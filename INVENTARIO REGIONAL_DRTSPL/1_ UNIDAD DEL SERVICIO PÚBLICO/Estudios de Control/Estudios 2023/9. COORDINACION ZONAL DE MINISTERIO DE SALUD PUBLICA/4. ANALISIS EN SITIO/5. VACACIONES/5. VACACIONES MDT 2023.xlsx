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mita\CONTROL TECNICO\2. ESTUDIOS DE CONTROL\COORDINACION ZONAL DE MINISTERIO DE SALUD PUBLICA\4. ANALISIS EN SITIO\5. VACACIONES\"/>
    </mc:Choice>
  </mc:AlternateContent>
  <bookViews>
    <workbookView xWindow="0" yWindow="0" windowWidth="20490" windowHeight="7755" tabRatio="876" firstSheet="7" activeTab="10"/>
  </bookViews>
  <sheets>
    <sheet name="CRONOGRAMA EJECUTADO" sheetId="8" state="hidden" r:id="rId1"/>
    <sheet name="ESTUDIOS PREVIOS" sheetId="16" r:id="rId2"/>
    <sheet name="REGLAMENTO-PROCEDIMIENTO" sheetId="11" r:id="rId3"/>
    <sheet name="CONTROL DE VACACIONES" sheetId="9" r:id="rId4"/>
    <sheet name="MUESTRA SALDO DE VACACIONES" sheetId="7" r:id="rId5"/>
    <sheet name="DETALLE PERMISOS" sheetId="6" r:id="rId6"/>
    <sheet name="DETALLE VACACIONES" sheetId="5" r:id="rId7"/>
    <sheet name="SALDO DE VACACIONES MDT" sheetId="4" r:id="rId8"/>
    <sheet name="COMPARACIÓN DE SALDOS" sheetId="2" r:id="rId9"/>
    <sheet name="JORNADA LABORAL " sheetId="1" r:id="rId10"/>
    <sheet name="TELETRABAJO" sheetId="14" r:id="rId11"/>
    <sheet name="MUESTRA ANTICIPO DE VACACIONES" sheetId="10" r:id="rId12"/>
  </sheets>
  <definedNames>
    <definedName name="_xlnm.Print_Area" localSheetId="8">'COMPARACIÓN DE SALDOS'!$A$1:$M$33</definedName>
    <definedName name="_xlnm.Print_Area" localSheetId="3">'CONTROL DE VACACIONES'!$A$1:$H$27</definedName>
    <definedName name="_xlnm.Print_Area" localSheetId="7">'SALDO DE VACACIONES MDT'!$A$1:$N$27</definedName>
    <definedName name="_xlnm.Print_Area" localSheetId="10">TELETRABAJO!$A$1:$I$73</definedName>
    <definedName name="OLE_LINK22" localSheetId="3">'CONTROL DE VACACIONES'!#REF!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D51" i="1"/>
  <c r="D50" i="1"/>
  <c r="D49" i="1"/>
  <c r="D48" i="1"/>
  <c r="D30" i="1"/>
  <c r="D21" i="1"/>
  <c r="D20" i="1"/>
  <c r="D19" i="1"/>
  <c r="D64" i="1" l="1"/>
  <c r="D63" i="1"/>
  <c r="D62" i="1"/>
  <c r="D61" i="1"/>
  <c r="D58" i="1"/>
  <c r="D57" i="1"/>
  <c r="D56" i="1"/>
  <c r="D55" i="1"/>
  <c r="D54" i="1"/>
  <c r="D47" i="1"/>
  <c r="D46" i="1"/>
  <c r="D45" i="1"/>
  <c r="D44" i="1"/>
  <c r="D43" i="1"/>
  <c r="D42" i="1"/>
  <c r="D41" i="1"/>
  <c r="D40" i="1"/>
  <c r="D39" i="1"/>
  <c r="D38" i="1"/>
  <c r="D29" i="1"/>
  <c r="D28" i="1"/>
  <c r="D18" i="1"/>
  <c r="D17" i="1"/>
  <c r="D16" i="1"/>
  <c r="D60" i="1" l="1"/>
  <c r="D53" i="1"/>
  <c r="D52" i="1"/>
  <c r="D37" i="1"/>
  <c r="D36" i="1"/>
  <c r="D35" i="1"/>
  <c r="D34" i="1"/>
  <c r="D27" i="1"/>
  <c r="D26" i="1"/>
  <c r="D25" i="1"/>
  <c r="D15" i="1"/>
  <c r="D14" i="1"/>
  <c r="D13" i="1"/>
  <c r="D9" i="1"/>
  <c r="D10" i="1"/>
  <c r="D11" i="1"/>
  <c r="D12" i="1"/>
  <c r="G43" i="6" l="1"/>
  <c r="G28" i="5"/>
  <c r="G33" i="6"/>
  <c r="G34" i="6"/>
  <c r="G35" i="6"/>
  <c r="G36" i="6"/>
  <c r="G37" i="6"/>
  <c r="G38" i="6"/>
  <c r="G30" i="6"/>
  <c r="G31" i="6"/>
  <c r="G32" i="6"/>
  <c r="G24" i="6"/>
  <c r="G25" i="6"/>
  <c r="G26" i="6"/>
  <c r="G27" i="6"/>
  <c r="G28" i="6"/>
  <c r="G29" i="6"/>
  <c r="G22" i="6"/>
  <c r="G23" i="6"/>
  <c r="B47" i="6" l="1"/>
  <c r="A47" i="6"/>
  <c r="B39" i="6"/>
  <c r="A39" i="6"/>
  <c r="B18" i="6"/>
  <c r="B18" i="5" s="1"/>
  <c r="A18" i="6"/>
  <c r="A13" i="6"/>
  <c r="A13" i="5" s="1"/>
  <c r="B13" i="6"/>
  <c r="B13" i="5" s="1"/>
  <c r="C5" i="14" l="1"/>
  <c r="D9" i="14" l="1"/>
  <c r="C4" i="14"/>
  <c r="D8" i="1" l="1"/>
  <c r="C4" i="1" l="1"/>
  <c r="C3" i="11" s="1"/>
  <c r="D8" i="2"/>
  <c r="B11" i="4"/>
  <c r="C11" i="4" s="1"/>
  <c r="B12" i="4"/>
  <c r="C12" i="4" s="1"/>
  <c r="B13" i="4"/>
  <c r="C13" i="4" s="1"/>
  <c r="B14" i="4"/>
  <c r="C14" i="4" s="1"/>
  <c r="D4" i="4"/>
  <c r="A18" i="5"/>
  <c r="B8" i="6"/>
  <c r="B8" i="5" s="1"/>
  <c r="A8" i="6"/>
  <c r="A8" i="5" s="1"/>
  <c r="C4" i="7"/>
  <c r="C5" i="6" s="1"/>
  <c r="C5" i="5" s="1"/>
  <c r="C3" i="10" l="1"/>
  <c r="D10" i="4"/>
  <c r="B10" i="4"/>
  <c r="D11" i="4"/>
  <c r="D12" i="4"/>
  <c r="D13" i="4"/>
  <c r="D14" i="4"/>
  <c r="G41" i="6" l="1"/>
  <c r="G42" i="6"/>
  <c r="G46" i="6"/>
  <c r="G13" i="6" l="1"/>
  <c r="G14" i="6"/>
  <c r="G15" i="6"/>
  <c r="G16" i="6"/>
  <c r="H19" i="2" l="1"/>
  <c r="H20" i="2"/>
  <c r="H21" i="2"/>
  <c r="H22" i="2"/>
  <c r="H18" i="2"/>
  <c r="G17" i="6"/>
  <c r="G18" i="6"/>
  <c r="G19" i="6"/>
  <c r="G20" i="6"/>
  <c r="G21" i="6"/>
  <c r="G39" i="6"/>
  <c r="G40" i="6"/>
  <c r="G47" i="6"/>
  <c r="G48" i="6"/>
  <c r="G49" i="6"/>
  <c r="G50" i="6"/>
  <c r="G51" i="6"/>
  <c r="G9" i="6"/>
  <c r="G10" i="6"/>
  <c r="G11" i="6"/>
  <c r="G12" i="6"/>
  <c r="G8" i="6"/>
  <c r="I39" i="6" l="1"/>
  <c r="I13" i="6"/>
  <c r="I8" i="6"/>
  <c r="D22" i="2"/>
  <c r="F19" i="2" l="1"/>
  <c r="G19" i="2"/>
  <c r="F20" i="2"/>
  <c r="G20" i="2"/>
  <c r="F21" i="2"/>
  <c r="G21" i="2"/>
  <c r="F22" i="2"/>
  <c r="G22" i="2"/>
  <c r="G18" i="2"/>
  <c r="F18" i="2"/>
  <c r="E18" i="2" l="1"/>
  <c r="I13" i="4"/>
  <c r="D19" i="2"/>
  <c r="D20" i="2"/>
  <c r="D21" i="2"/>
  <c r="D18" i="2"/>
  <c r="I10" i="4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9" i="5"/>
  <c r="G30" i="5"/>
  <c r="G31" i="5"/>
  <c r="G32" i="5"/>
  <c r="G33" i="5"/>
  <c r="C10" i="4"/>
  <c r="I29" i="5" l="1"/>
  <c r="J14" i="4" s="1"/>
  <c r="J22" i="2" s="1"/>
  <c r="I47" i="6"/>
  <c r="I14" i="4" s="1"/>
  <c r="I23" i="5"/>
  <c r="J13" i="4" s="1"/>
  <c r="B19" i="2" l="1"/>
  <c r="B20" i="2"/>
  <c r="B21" i="2"/>
  <c r="B22" i="2"/>
  <c r="B18" i="2"/>
  <c r="E22" i="2" l="1"/>
  <c r="E19" i="2"/>
  <c r="E20" i="2"/>
  <c r="E21" i="2"/>
  <c r="I18" i="5" l="1"/>
  <c r="J12" i="4" s="1"/>
  <c r="J20" i="2" s="1"/>
  <c r="G8" i="5"/>
  <c r="I8" i="5" s="1"/>
  <c r="J10" i="4" s="1"/>
  <c r="J18" i="2" s="1"/>
  <c r="K22" i="2"/>
  <c r="E14" i="4"/>
  <c r="C22" i="2"/>
  <c r="J21" i="2"/>
  <c r="K21" i="2"/>
  <c r="E13" i="4"/>
  <c r="C21" i="2"/>
  <c r="E12" i="4"/>
  <c r="C20" i="2"/>
  <c r="E11" i="4"/>
  <c r="C19" i="2"/>
  <c r="K18" i="2"/>
  <c r="E10" i="4"/>
  <c r="C18" i="2"/>
  <c r="D5" i="4"/>
  <c r="I12" i="2"/>
  <c r="K10" i="2"/>
  <c r="F13" i="4" l="1"/>
  <c r="I21" i="2" s="1"/>
  <c r="F10" i="4"/>
  <c r="I18" i="2" s="1"/>
  <c r="F14" i="4"/>
  <c r="I22" i="2" s="1"/>
  <c r="L22" i="2" s="1"/>
  <c r="M22" i="2" s="1"/>
  <c r="F12" i="4"/>
  <c r="I20" i="2" s="1"/>
  <c r="F11" i="4"/>
  <c r="I19" i="2" s="1"/>
  <c r="L21" i="2"/>
  <c r="M21" i="2" s="1"/>
  <c r="I18" i="6"/>
  <c r="I12" i="4" s="1"/>
  <c r="K20" i="2" s="1"/>
  <c r="I11" i="4"/>
  <c r="K19" i="2" s="1"/>
  <c r="I13" i="5"/>
  <c r="J11" i="4" s="1"/>
  <c r="J19" i="2" s="1"/>
  <c r="L18" i="2"/>
  <c r="M18" i="2" s="1"/>
  <c r="G13" i="4"/>
  <c r="K10" i="4"/>
  <c r="H10" i="4" l="1"/>
  <c r="K13" i="4"/>
  <c r="G10" i="4"/>
  <c r="H13" i="4"/>
  <c r="H12" i="4"/>
  <c r="L20" i="2"/>
  <c r="M20" i="2" s="1"/>
  <c r="G11" i="4"/>
  <c r="H14" i="4"/>
  <c r="G14" i="4"/>
  <c r="K14" i="4"/>
  <c r="H11" i="4"/>
  <c r="G12" i="4"/>
  <c r="L19" i="2"/>
  <c r="M19" i="2" s="1"/>
  <c r="K12" i="4"/>
  <c r="K11" i="4"/>
</calcChain>
</file>

<file path=xl/comments1.xml><?xml version="1.0" encoding="utf-8"?>
<comments xmlns="http://schemas.openxmlformats.org/spreadsheetml/2006/main">
  <authors>
    <author>usuario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Modificar a la fecha de corte del estudio.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Tiene formula para valir que la fecha se a dia laborable
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Tiene formula para valir que la fecha se a dia laborable
</t>
        </r>
      </text>
    </comment>
  </commentList>
</comments>
</file>

<file path=xl/comments4.xml><?xml version="1.0" encoding="utf-8"?>
<comments xmlns="http://schemas.openxmlformats.org/spreadsheetml/2006/main">
  <authors>
    <author>usuario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Si dentro de la matriz entregada por la UATH (calculo de permisos y vacaciones) se evidencia saldos negativos, se debe incluir esa información en ésta tabla y sería una observación.</t>
        </r>
      </text>
    </comment>
  </commentList>
</comments>
</file>

<file path=xl/sharedStrings.xml><?xml version="1.0" encoding="utf-8"?>
<sst xmlns="http://schemas.openxmlformats.org/spreadsheetml/2006/main" count="487" uniqueCount="259">
  <si>
    <t>ANÁLISIS DE CUMPLIMIENTO DE JORNADA LABORAL</t>
  </si>
  <si>
    <t>INSTITUCIÓN EVALUADA:</t>
  </si>
  <si>
    <t>RESPONSABLE DE LA EVALUACIÓN:</t>
  </si>
  <si>
    <t>No.</t>
  </si>
  <si>
    <t>JORNADA LABORAL</t>
  </si>
  <si>
    <t>HORARIO DE ALMUERZO</t>
  </si>
  <si>
    <t>OBSERVACIONES</t>
  </si>
  <si>
    <t>INGRESO</t>
  </si>
  <si>
    <t>SALIDA</t>
  </si>
  <si>
    <t xml:space="preserve">SALIDA </t>
  </si>
  <si>
    <t>RETORNO</t>
  </si>
  <si>
    <t>OBSERVACIONES GENERALES</t>
  </si>
  <si>
    <t>PAPEL DE TRABAJO</t>
  </si>
  <si>
    <t>INSTITUCIÓN:</t>
  </si>
  <si>
    <t xml:space="preserve">PERÍODO ANALIZADO: </t>
  </si>
  <si>
    <r>
      <t xml:space="preserve">VARIABLE </t>
    </r>
    <r>
      <rPr>
        <sz val="14"/>
        <color theme="4" tint="-0.499984740745262"/>
        <rFont val="Calibri"/>
        <family val="2"/>
        <scheme val="minor"/>
      </rPr>
      <t>:</t>
    </r>
  </si>
  <si>
    <t>CÁLCULO DE MUESTRA</t>
  </si>
  <si>
    <t>NOTA:</t>
  </si>
  <si>
    <t xml:space="preserve">PARÁMETROS </t>
  </si>
  <si>
    <t>VALORES</t>
  </si>
  <si>
    <t>POBLACIÓN (Personal LOSEP, CSO, ETC que trabajan en Planta Central)</t>
  </si>
  <si>
    <t>TOTAL ELEMENTOS DE LA MUESTRA A CONSIDERAR</t>
  </si>
  <si>
    <t>INFORMACION PERSONAL</t>
  </si>
  <si>
    <t>INFORMACIÓN PROPORCIONADA POR LA UATH INSTITUCIONAL</t>
  </si>
  <si>
    <t>VERIFICACIÓN MDT</t>
  </si>
  <si>
    <t>DIFERENCIA</t>
  </si>
  <si>
    <t>CÉDULA</t>
  </si>
  <si>
    <t>APELLIDOS Y NOMBRES</t>
  </si>
  <si>
    <t>FECHA DE INGRESO</t>
  </si>
  <si>
    <t>SALDO DE VACACIONES SIN DESCONTAR</t>
  </si>
  <si>
    <t>VACACIONES</t>
  </si>
  <si>
    <t>PERMISOS IMPUTABLES A VACACIONES</t>
  </si>
  <si>
    <t>SALDO FINAL DE VACACIONES</t>
  </si>
  <si>
    <t>SALDO DE VACACIONES SIN DESCONTAR PERMISOS NI VACACIONES</t>
  </si>
  <si>
    <t>VACACIONES GOZADAS</t>
  </si>
  <si>
    <t>ANÁLISIS DEL SALDO DE VACACIONES SEGÚN MDT</t>
  </si>
  <si>
    <t>FACTOR:</t>
  </si>
  <si>
    <t>FECHA DE CORTE:</t>
  </si>
  <si>
    <t>CALCULO DE VACACIONES MINISTERIO DEL TRABAJO</t>
  </si>
  <si>
    <t>INFORMACION DEL PERSONAL</t>
  </si>
  <si>
    <t>SALDO DE VACACIONES INICIAL</t>
  </si>
  <si>
    <t>SALDO DE VACACIONES FINAL MDT</t>
  </si>
  <si>
    <t>FECHA DE INGRESO A LA INSTITUCIÓN</t>
  </si>
  <si>
    <t>DÍAS</t>
  </si>
  <si>
    <t>CÁLCULO DE SALDO DE VACACIONES SIN DESCUENTOS</t>
  </si>
  <si>
    <t>DIAS LABORABLES</t>
  </si>
  <si>
    <t>DIAS NO LABORABLES</t>
  </si>
  <si>
    <t>TOTAL PERMISOS</t>
  </si>
  <si>
    <t>TOTAL VACACIONES</t>
  </si>
  <si>
    <t>SALDO FINAL MDT</t>
  </si>
  <si>
    <t>SALDO LABORABLES</t>
  </si>
  <si>
    <t>SALDO NO LABORABLES</t>
  </si>
  <si>
    <t>VALIDACIÓN Y CÁLCULO DEL TOTAL DE VACACIONES</t>
  </si>
  <si>
    <t>HORAS</t>
  </si>
  <si>
    <t>MINUTOS</t>
  </si>
  <si>
    <t>TIEMPO
(DÍAS)</t>
  </si>
  <si>
    <t>OBSERVACIÓN</t>
  </si>
  <si>
    <t>TOTAL</t>
  </si>
  <si>
    <t>VALIDACIÓN Y CÁLCULO DEL TOTAL DE PERMISOS</t>
  </si>
  <si>
    <t>FECHA DE INGRESO A LA INSTITUCION</t>
  </si>
  <si>
    <t>SALDO DE VACACIONES
(DÍAS)</t>
  </si>
  <si>
    <t>ANÁLISIS DEL CRONOGRAMA EJECUTADO</t>
  </si>
  <si>
    <t>Nº</t>
  </si>
  <si>
    <t>CRONOGRAMA PLANIFICADO</t>
  </si>
  <si>
    <t>CRONOGRAMA EJECUTADO</t>
  </si>
  <si>
    <t>JUSTIFICACIÓN DE REPROGRAMACIÓN</t>
  </si>
  <si>
    <t>FECHA DE INICIO
(DIA/MES/AÑO)</t>
  </si>
  <si>
    <t>FECHA DE FIN
(DIA/MES/AÑO)</t>
  </si>
  <si>
    <t>MUESTRA DE SALDOS DE VACACIONES PROPORCIONADOS POR LA UATH</t>
  </si>
  <si>
    <t>JUSTIFICACIÓN DE REPROGRAMACIÓN SI /NO</t>
  </si>
  <si>
    <t>SI</t>
  </si>
  <si>
    <t>NOMBRES Y APELLIDOS</t>
  </si>
  <si>
    <t>ANÁLISIS DEL CRONOGRAMA EJECUTADO VS PLANIFICADO</t>
  </si>
  <si>
    <t>PERMISOS SOLICITADOS
(DÍAS)</t>
  </si>
  <si>
    <t>VACACIONES SOLICITADAS
(DÍAS)</t>
  </si>
  <si>
    <t>FECHA
(DD/MM/AA)</t>
  </si>
  <si>
    <t>FECHA
(DD/MM/AAAA)</t>
  </si>
  <si>
    <t>COMPARACIÓN DE SALDOS DE VACACIONES</t>
  </si>
  <si>
    <t>FECHA (DD/MM/AA)</t>
  </si>
  <si>
    <t>DÍA</t>
  </si>
  <si>
    <t xml:space="preserve"> </t>
  </si>
  <si>
    <t>NOMBRS Y APELLIDOS</t>
  </si>
  <si>
    <t>ANTICIPO DE VACACIONES Y PERMISOS</t>
  </si>
  <si>
    <t>NO</t>
  </si>
  <si>
    <t>SI/NO/NO APLICA</t>
  </si>
  <si>
    <t>NO. DE DOCUMENTO</t>
  </si>
  <si>
    <t>CUESTIONARIO</t>
  </si>
  <si>
    <t>La entidad dispone de reglamento interno o procedimiento que regule la gestion de permisos y vacaciones?</t>
  </si>
  <si>
    <t>La entidad dispone de un horario establecido y aprobado por la maxima autoridad o su delegado?</t>
  </si>
  <si>
    <t>El procedimiento o reglamento establece la forma de calculo de vacaciones partiendo de los permisos y vacaciones solicitadas por el servidor?</t>
  </si>
  <si>
    <t>El procedimiento o reglamento establece tiempos de gracia para el ingreso a la jornada laboral?</t>
  </si>
  <si>
    <t>VERIFICACION DE PROCEDIMIENTO O REGLAMENTO INTERNO DE PERMISOS Y VACACIONES</t>
  </si>
  <si>
    <t>El procedimiento o reglamento incluye descuentos al saldo de vacaciones no establecidos en la LOSEP como atrasos u otro similar?</t>
  </si>
  <si>
    <t>ANÁLISIS DE HERRAMIENTAS DE INSTITUCIONALIDAD 
ESTUDIOS PREVIOS</t>
  </si>
  <si>
    <t>ENTIDAD EVALUADA:</t>
  </si>
  <si>
    <t>BASE LEGAL</t>
  </si>
  <si>
    <t>- Informes de estudios de control efectuados en períodos previos desde el año 2017.
- Comunicación de resultados finales de los estudios de control efectuados en períodos previos desde el año 2017.
- Matriz final de seguimiento a las acciones de mejoramiento efectuadas respecto de los hallagos determinados en los estudios de control ejecutados  desde el año 2017.
- Comunicación de resultados finales del seguimiento a las acciones de mejoramiento efctuadas respecto de los hallagos determinados  desde el año 2017.</t>
  </si>
  <si>
    <t>ANÁLISIS HISTÓRICO</t>
  </si>
  <si>
    <t>ELIJA:</t>
  </si>
  <si>
    <t>OBSERVACIÓN MDT</t>
  </si>
  <si>
    <t xml:space="preserve">Si su respuesta fue afirmativa, realizar el siguiente análisis: </t>
  </si>
  <si>
    <t>INFORMACIÓN DEL ESTUDIO DE CONTROL PREVIAMENTE REALIZADO</t>
  </si>
  <si>
    <t>INFORMACIÓN DE LAS ACTIVIDADES ESTABLECIDAS EN EL PLAN DE MEJORA</t>
  </si>
  <si>
    <t>VARIABLE</t>
  </si>
  <si>
    <t>AÑO EN QUE SE EJECUTÓ EL ESTUDIO</t>
  </si>
  <si>
    <t xml:space="preserve">PERÍODO ANALIZADO
(MES/AÑO - MES/AÑO) </t>
  </si>
  <si>
    <t>SE PLANTEARON ACCIONES DE MEJORAMIENTO
(SI/NO)</t>
  </si>
  <si>
    <t xml:space="preserve"> % DE CUMPLIMIENTO QUE ALCANZÓ ESTA VARIABLE DURANTE EL PLAN DE MEJORA</t>
  </si>
  <si>
    <t>¿SE REALIZARON ACCIONES POSTERIORES PARA CULMINAR LO CONTEMPLADO EN EL PLAN DE MEJORA O PARA SOLVENTAR EL HALLAZGO?</t>
  </si>
  <si>
    <r>
      <rPr>
        <b/>
        <sz val="9"/>
        <rFont val="Calibri"/>
        <family val="2"/>
      </rPr>
      <t xml:space="preserve"> ¿Se realizaron estudios previos ?</t>
    </r>
    <r>
      <rPr>
        <sz val="9"/>
        <rFont val="Calibri"/>
        <family val="2"/>
      </rPr>
      <t xml:space="preserve">
En caso de ser afirmativa la respuesta, realizar el siguiente cuadro comparativo, caso contrario continuar con la etapa de Análisis Actual</t>
    </r>
  </si>
  <si>
    <t>CUMPLIMIENTO (SI/NO)</t>
  </si>
  <si>
    <t>APROBACIÓN DEL PLAN DE VACACIONES</t>
  </si>
  <si>
    <t xml:space="preserve">IMPLEMENTACIÓN DEL PLAN </t>
  </si>
  <si>
    <t>CONTROL DE JORNADA LABORAL</t>
  </si>
  <si>
    <t>SALDOS DE VACACIONES</t>
  </si>
  <si>
    <t>PERIODO</t>
  </si>
  <si>
    <t xml:space="preserve">FORMULARIO DE REGISTRO DE TELETRABAJADORES </t>
  </si>
  <si>
    <t>TELETRABAJO</t>
  </si>
  <si>
    <t>PEREZ GONZALEZ CRISTINA ELIZABETH</t>
  </si>
  <si>
    <t>GUACHON MEDINA TANIA CECILIA</t>
  </si>
  <si>
    <t>CAMPUZANO VILLAFUERTE JOSE JAVIER</t>
  </si>
  <si>
    <t>TORRES CALBA MAIRA ESPERANZA</t>
  </si>
  <si>
    <t xml:space="preserve">De acuerdo al Cronograma, remito por la Institución se evidencia que no esta claro los tiempos planificados por no tienen fecha de fin y tampoco se puede verificar si las vacaciones planificadas fueron replanificadas- </t>
  </si>
  <si>
    <t xml:space="preserve">MINISTERIO DE SALUD PUBLICA COORDINACIÓN ZONA 7 SALUD </t>
  </si>
  <si>
    <t>al 31-03-2023</t>
  </si>
  <si>
    <t>RIVADENEIRA VILLARREAL DARWIN DANIEL</t>
  </si>
  <si>
    <t>0706858347</t>
  </si>
  <si>
    <t>0930243753</t>
  </si>
  <si>
    <t>CARDENAS SANCHEZ DOLORES CECILIA</t>
  </si>
  <si>
    <t>LEON CONTENTO MARIA SOLEDAD</t>
  </si>
  <si>
    <t>SEVERINO CORREA CARMELINA ESPERANZA</t>
  </si>
  <si>
    <t>CORONEL CELI CECILIA MARGARITA</t>
  </si>
  <si>
    <t>VILLACIS VILLA DIANA GABRIELA</t>
  </si>
  <si>
    <t>GALVEZ ALVAREZ ALEX FERNANDO</t>
  </si>
  <si>
    <t>MALDONADO ORTEGA JASMIN MARINA</t>
  </si>
  <si>
    <t>PINEDA LOPEZ LIVIA GLADYS</t>
  </si>
  <si>
    <t>8H00</t>
  </si>
  <si>
    <t>17H00</t>
  </si>
  <si>
    <t>13H00</t>
  </si>
  <si>
    <t>14H00</t>
  </si>
  <si>
    <t>04/01/2021 hasta 28/02/2022</t>
  </si>
  <si>
    <t>04/01/2021 hasta 22/09/2021</t>
  </si>
  <si>
    <t>09/03/2021 hasta 31/08/2021</t>
  </si>
  <si>
    <t>30/08/2022 hasta 08/12/2022</t>
  </si>
  <si>
    <t>18/05/2021  HASTA 22/09/2021</t>
  </si>
  <si>
    <t>24/01/2022 HASTA 20/12/2022</t>
  </si>
  <si>
    <t>La Institución remito la matriz de los servidores bajo la modalidad de Teletrabajo sin embargo no remiten documentación que sustente el procedimiento</t>
  </si>
  <si>
    <t>RESOLUCIÓN MSP-C7-SALUD-2017-0026-RA</t>
  </si>
  <si>
    <t xml:space="preserve">NO </t>
  </si>
  <si>
    <t xml:space="preserve">REGLAMENTO INTERNO DE TALENTO HUMANO </t>
  </si>
  <si>
    <t xml:space="preserve">NO TIENE </t>
  </si>
  <si>
    <t xml:space="preserve">1/6/2021/15 DIAS </t>
  </si>
  <si>
    <t>17/7/2022/ 15 DIAS; 01/09-2022-15 DIAS ; 01/02-2022-5 DIAS</t>
  </si>
  <si>
    <t>GUAMAN QUITUIZACA MARIA AUGUSTA</t>
  </si>
  <si>
    <t xml:space="preserve">10-01-2021/ 15 dias ; 06-09-2021 / 15 dias </t>
  </si>
  <si>
    <t xml:space="preserve">01-06-2022 / 15 dias ; 15-08-2022 / 15 dias; 15-12-2022 / 15 dias  </t>
  </si>
  <si>
    <t>MINISTERIO DE SALUD PÚBLICA</t>
  </si>
  <si>
    <t>MINISTERIO DEL TRABAJO</t>
  </si>
  <si>
    <t>Coordinación Zonal 7 Salud</t>
  </si>
  <si>
    <t xml:space="preserve">Dra. Laura Cecilia Mogrovejo Leon </t>
  </si>
  <si>
    <t>Ing. Maria Cumandá Nole Nole</t>
  </si>
  <si>
    <t>Responsable de la Gestión Interna Zonal Administración de Talento Humano</t>
  </si>
  <si>
    <t>Analista Regional de Control y Servicio Público</t>
  </si>
  <si>
    <t>NO APLICA</t>
  </si>
  <si>
    <t xml:space="preserve">De acuerdo al Cronograma Remitido por la Institución tiene fecha de inicio y no tiene fecha de fin </t>
  </si>
  <si>
    <t>No tiene permisos solicitados</t>
  </si>
  <si>
    <t>Los permisos varian de acuerdo a lo reportado por la insitutición 
2021 = 1,11
2022 = 1,16
2023 = 0,56
total 2,83</t>
  </si>
  <si>
    <t xml:space="preserve">En el expediente remitido por la institución no tiene acciones de personal por ejecución de vacaciones, ni documentos que justifiquen la reprogración de vacaciones. </t>
  </si>
  <si>
    <t xml:space="preserve">No aplica </t>
  </si>
  <si>
    <t>16-29 -03-2023 no se realizo las vacaciones</t>
  </si>
  <si>
    <r>
      <rPr>
        <b/>
        <sz val="9"/>
        <color rgb="FF000000"/>
        <rFont val="Calibri"/>
        <family val="2"/>
        <scheme val="minor"/>
      </rPr>
      <t>28/9/2021</t>
    </r>
    <r>
      <rPr>
        <sz val="9"/>
        <color rgb="FF000000"/>
        <rFont val="Calibri"/>
        <family val="2"/>
        <scheme val="minor"/>
      </rPr>
      <t xml:space="preserve">
</t>
    </r>
    <r>
      <rPr>
        <b/>
        <sz val="9"/>
        <color rgb="FF000000"/>
        <rFont val="Calibri"/>
        <family val="2"/>
        <scheme val="minor"/>
      </rPr>
      <t>29/03/2023</t>
    </r>
  </si>
  <si>
    <r>
      <rPr>
        <b/>
        <sz val="9"/>
        <color rgb="FF000000"/>
        <rFont val="Calibri"/>
        <family val="2"/>
        <scheme val="minor"/>
      </rPr>
      <t>15/3/2023</t>
    </r>
    <r>
      <rPr>
        <sz val="9"/>
        <color rgb="FF000000"/>
        <rFont val="Calibri"/>
        <family val="2"/>
        <scheme val="minor"/>
      </rPr>
      <t xml:space="preserve">; 12/09/2022;  </t>
    </r>
    <r>
      <rPr>
        <b/>
        <sz val="9"/>
        <color rgb="FF000000"/>
        <rFont val="Calibri"/>
        <family val="2"/>
        <scheme val="minor"/>
      </rPr>
      <t>14/09/2021; 15/03/021</t>
    </r>
  </si>
  <si>
    <r>
      <rPr>
        <b/>
        <sz val="9"/>
        <color rgb="FF000000"/>
        <rFont val="Calibri"/>
        <family val="2"/>
        <scheme val="minor"/>
      </rPr>
      <t>29/3/2023</t>
    </r>
    <r>
      <rPr>
        <sz val="9"/>
        <color rgb="FF000000"/>
        <rFont val="Calibri"/>
        <family val="2"/>
        <scheme val="minor"/>
      </rPr>
      <t xml:space="preserve">; 27/09/2022; </t>
    </r>
    <r>
      <rPr>
        <b/>
        <sz val="9"/>
        <color rgb="FF000000"/>
        <rFont val="Calibri"/>
        <family val="2"/>
        <scheme val="minor"/>
      </rPr>
      <t>28/09/2021; 04/04/2021</t>
    </r>
  </si>
  <si>
    <t>periodo febrero 2019-enero 2020</t>
  </si>
  <si>
    <r>
      <t xml:space="preserve">15/11/2022; </t>
    </r>
    <r>
      <rPr>
        <b/>
        <sz val="9"/>
        <color rgb="FF000000"/>
        <rFont val="Calibri"/>
        <family val="2"/>
        <scheme val="minor"/>
      </rPr>
      <t>01/07/2022;01/11/2022; 16/04/2022; 01/12/2021; 01/09/2021;16/07/2021</t>
    </r>
  </si>
  <si>
    <r>
      <t xml:space="preserve">29/11/2022; </t>
    </r>
    <r>
      <rPr>
        <b/>
        <sz val="9"/>
        <color rgb="FF000000"/>
        <rFont val="Calibri"/>
        <family val="2"/>
        <scheme val="minor"/>
      </rPr>
      <t>15/07/2022; 05/11/2022; 30/04/2022; 15/12/2021; 15/09/2021;30/07/2021</t>
    </r>
  </si>
  <si>
    <t>07H51</t>
  </si>
  <si>
    <t>16H48</t>
  </si>
  <si>
    <t>7H50</t>
  </si>
  <si>
    <t>16H28</t>
  </si>
  <si>
    <t>7H54</t>
  </si>
  <si>
    <t>16H19</t>
  </si>
  <si>
    <t>La institución no remite las acciones de personal para verificar el cumplimiento de las vacaciones del año 2021 y 2022.</t>
  </si>
  <si>
    <t>No existe información del Servidor en los kardex  remitidos por la insttución.</t>
  </si>
  <si>
    <t>Existen vacaciones planificadas del año 2022, que no se evidencia el documento de sustento de la Replanificación, y tampoco se puede verificar en el cronograma del año 2022 y 2023 las vacaciones planificadas.</t>
  </si>
  <si>
    <t>7h48</t>
  </si>
  <si>
    <t>16h24</t>
  </si>
  <si>
    <t>7h50</t>
  </si>
  <si>
    <t>16h50</t>
  </si>
  <si>
    <t>16h10</t>
  </si>
  <si>
    <t>SARANGO RIVERA FRANCIS DAVID</t>
  </si>
  <si>
    <t xml:space="preserve">JARAMILLO CASTILLO  ROMEO JAVIER </t>
  </si>
  <si>
    <t>7H43</t>
  </si>
  <si>
    <t xml:space="preserve">CASTILLO VALAREZO JANETH LUCIA </t>
  </si>
  <si>
    <t>La instirución no indica si el servidor mantiene turnos rotativos, lo que no se puede verificar el cumplimiento de la Jornada Laboral</t>
  </si>
  <si>
    <t>8h01</t>
  </si>
  <si>
    <t>7h03</t>
  </si>
  <si>
    <t>15h36</t>
  </si>
  <si>
    <t>17h43</t>
  </si>
  <si>
    <t>8h03</t>
  </si>
  <si>
    <t>17h30</t>
  </si>
  <si>
    <t>ROJAS BETANCOURT RAMIRO PATRICIO</t>
  </si>
  <si>
    <t>18H13</t>
  </si>
  <si>
    <t>8H07</t>
  </si>
  <si>
    <t>17H11</t>
  </si>
  <si>
    <t xml:space="preserve">RAMIREZ PROCEL JORGE EDUARDO </t>
  </si>
  <si>
    <t>8H04</t>
  </si>
  <si>
    <t>17H02</t>
  </si>
  <si>
    <t>7H59</t>
  </si>
  <si>
    <t>16H04</t>
  </si>
  <si>
    <t>7H52</t>
  </si>
  <si>
    <t>7H51</t>
  </si>
  <si>
    <t>13H55</t>
  </si>
  <si>
    <t>16H03</t>
  </si>
  <si>
    <t>16H10</t>
  </si>
  <si>
    <t>8H01</t>
  </si>
  <si>
    <t>7H42</t>
  </si>
  <si>
    <t>8H05</t>
  </si>
  <si>
    <t>17H39</t>
  </si>
  <si>
    <t>17H20</t>
  </si>
  <si>
    <t>8H02</t>
  </si>
  <si>
    <t>17H25</t>
  </si>
  <si>
    <t>16H14</t>
  </si>
  <si>
    <t>17H56</t>
  </si>
  <si>
    <t>8H06</t>
  </si>
  <si>
    <t>17H28</t>
  </si>
  <si>
    <t>9H31</t>
  </si>
  <si>
    <t>17H13</t>
  </si>
  <si>
    <t>16H17</t>
  </si>
  <si>
    <t>8H03</t>
  </si>
  <si>
    <t>17H05</t>
  </si>
  <si>
    <t>17H51</t>
  </si>
  <si>
    <t>7H49</t>
  </si>
  <si>
    <t>16H44</t>
  </si>
  <si>
    <t>16H07</t>
  </si>
  <si>
    <t>16H01</t>
  </si>
  <si>
    <t>7H46</t>
  </si>
  <si>
    <t>17h16</t>
  </si>
  <si>
    <t>8h00</t>
  </si>
  <si>
    <t>16h14</t>
  </si>
  <si>
    <t>7h58</t>
  </si>
  <si>
    <t>16h45</t>
  </si>
  <si>
    <t>8h04</t>
  </si>
  <si>
    <t>17h17</t>
  </si>
  <si>
    <t>7h57</t>
  </si>
  <si>
    <t>17h21</t>
  </si>
  <si>
    <t>7h39</t>
  </si>
  <si>
    <t>10h01</t>
  </si>
  <si>
    <t>17h01</t>
  </si>
  <si>
    <t>18h16</t>
  </si>
  <si>
    <t>17h54</t>
  </si>
  <si>
    <t>18h01</t>
  </si>
  <si>
    <t>7h59</t>
  </si>
  <si>
    <t>se verifica que el servidor mantiene marcaciones recurrentes  fuera del horario establecido , la institución no remite los justificativos.</t>
  </si>
  <si>
    <t>La Institución remitio la matriz de los servidores bajo la modalidad de Teletrabajo, Mediante Memorando Nro. CZ7-2023 de fech 30 de junio del 2023, justifica las actividades realizadas por los teletrabajadores  sin embargo no remite documentación para la verificación del cumplimiento de la Jornada Laboral.</t>
  </si>
  <si>
    <r>
      <t>16/03/2022; 12/09/2022; 14/09/2022;</t>
    </r>
    <r>
      <rPr>
        <b/>
        <sz val="9"/>
        <color rgb="FF000000"/>
        <rFont val="Calibri"/>
        <family val="2"/>
        <scheme val="minor"/>
      </rPr>
      <t>15/3/2023; 15/03/2021</t>
    </r>
    <r>
      <rPr>
        <sz val="9"/>
        <color rgb="FF000000"/>
        <rFont val="Calibri"/>
        <family val="2"/>
        <scheme val="minor"/>
      </rPr>
      <t>;</t>
    </r>
    <r>
      <rPr>
        <b/>
        <sz val="9"/>
        <color rgb="FF000000"/>
        <rFont val="Calibri"/>
        <family val="2"/>
        <scheme val="minor"/>
      </rPr>
      <t xml:space="preserve"> 14/09/2021</t>
    </r>
  </si>
  <si>
    <t>SI CUMPLE</t>
  </si>
  <si>
    <t xml:space="preserve">De acuerdo a la revisión de la información remitida por la institución y a la reportada en la matriz del mdt,  existe variación en el saldo de las vacaciones por lo que no se encuentran todos los sustentos para la verificación </t>
  </si>
  <si>
    <t>No.A7:H33A7:H38A7:H43A57A7:H28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</si>
</sst>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;@"/>
    <numFmt numFmtId="165" formatCode="[$-F800]dddd\,\ mmmm\ dd\,\ yyyy"/>
    <numFmt numFmtId="166" formatCode="[$-F800]dddd"/>
    <numFmt numFmtId="167" formatCode="dd/mm/yyyy"/>
    <numFmt numFmtId="168" formatCode="0.0"/>
  </numFmts>
  <fonts count="5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6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6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  <charset val="1"/>
    </font>
    <font>
      <sz val="10"/>
      <color rgb="FF000000"/>
      <name val="Abyssinica SIL"/>
      <charset val="1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-0.49998474074526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3"/>
        <bgColor theme="0"/>
      </patternFill>
    </fill>
    <fill>
      <patternFill patternType="solid">
        <fgColor theme="2"/>
        <bgColor theme="0"/>
      </patternFill>
    </fill>
    <fill>
      <patternFill patternType="solid">
        <fgColor rgb="FFDBE5F1"/>
        <bgColor theme="0"/>
      </patternFill>
    </fill>
    <fill>
      <patternFill patternType="solid">
        <fgColor rgb="FFDBE5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2" tint="-0.749992370372631"/>
        <bgColor theme="0"/>
      </patternFill>
    </fill>
    <fill>
      <patternFill patternType="solid">
        <fgColor rgb="FFF2F2F2"/>
        <bgColor rgb="FFE7E6E6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theme="4" tint="-0.249977111117893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</cellStyleXfs>
  <cellXfs count="389">
    <xf numFmtId="0" fontId="0" fillId="0" borderId="0" xfId="0"/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0" fillId="0" borderId="1" xfId="0" applyBorder="1"/>
    <xf numFmtId="0" fontId="7" fillId="5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/>
    </xf>
    <xf numFmtId="0" fontId="2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7" borderId="0" xfId="1" applyFont="1" applyFill="1" applyBorder="1" applyAlignment="1" applyProtection="1">
      <alignment horizontal="center" vertical="center"/>
      <protection locked="0" hidden="1"/>
    </xf>
    <xf numFmtId="0" fontId="10" fillId="7" borderId="0" xfId="1" applyFont="1" applyFill="1" applyBorder="1" applyAlignment="1" applyProtection="1">
      <alignment horizontal="center" vertical="center" wrapText="1"/>
      <protection locked="0" hidden="1"/>
    </xf>
    <xf numFmtId="0" fontId="9" fillId="0" borderId="0" xfId="1" applyFont="1" applyAlignment="1" applyProtection="1">
      <alignment vertical="center"/>
      <protection locked="0" hidden="1"/>
    </xf>
    <xf numFmtId="0" fontId="4" fillId="7" borderId="0" xfId="1" applyFont="1" applyFill="1" applyBorder="1" applyAlignment="1" applyProtection="1">
      <alignment horizontal="center" vertical="center"/>
      <protection locked="0" hidden="1"/>
    </xf>
    <xf numFmtId="0" fontId="9" fillId="7" borderId="0" xfId="1" applyFont="1" applyFill="1" applyAlignment="1" applyProtection="1">
      <alignment vertical="center"/>
      <protection locked="0" hidden="1"/>
    </xf>
    <xf numFmtId="0" fontId="9" fillId="0" borderId="0" xfId="1" applyFont="1" applyBorder="1" applyAlignment="1" applyProtection="1">
      <alignment horizontal="center" vertical="center"/>
      <protection locked="0" hidden="1"/>
    </xf>
    <xf numFmtId="0" fontId="12" fillId="7" borderId="0" xfId="1" applyFont="1" applyFill="1" applyBorder="1" applyAlignment="1" applyProtection="1">
      <alignment horizontal="center" vertical="center"/>
      <protection locked="0" hidden="1"/>
    </xf>
    <xf numFmtId="0" fontId="9" fillId="0" borderId="0" xfId="1" applyFont="1" applyAlignment="1" applyProtection="1">
      <alignment horizontal="center" vertical="center"/>
      <protection locked="0" hidden="1"/>
    </xf>
    <xf numFmtId="14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1" fillId="0" borderId="0" xfId="1" applyFont="1" applyBorder="1" applyAlignment="1" applyProtection="1">
      <alignment horizontal="center" vertical="center"/>
      <protection locked="0" hidden="1"/>
    </xf>
    <xf numFmtId="0" fontId="15" fillId="10" borderId="17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Fill="1" applyBorder="1" applyAlignment="1">
      <alignment horizontal="center" vertical="center"/>
    </xf>
    <xf numFmtId="0" fontId="17" fillId="7" borderId="17" xfId="0" applyNumberFormat="1" applyFont="1" applyFill="1" applyBorder="1" applyAlignment="1">
      <alignment horizontal="center" vertical="center"/>
    </xf>
    <xf numFmtId="0" fontId="16" fillId="7" borderId="17" xfId="0" applyNumberFormat="1" applyFont="1" applyFill="1" applyBorder="1" applyAlignment="1">
      <alignment horizontal="center" vertical="center"/>
    </xf>
    <xf numFmtId="0" fontId="16" fillId="7" borderId="18" xfId="0" applyNumberFormat="1" applyFont="1" applyFill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4" fillId="14" borderId="20" xfId="0" applyFont="1" applyFill="1" applyBorder="1" applyAlignment="1" applyProtection="1">
      <alignment horizontal="center" vertical="center" wrapText="1"/>
      <protection locked="0" hidden="1"/>
    </xf>
    <xf numFmtId="0" fontId="4" fillId="10" borderId="20" xfId="0" applyFont="1" applyFill="1" applyBorder="1" applyAlignment="1" applyProtection="1">
      <alignment horizontal="center" vertical="center" wrapText="1"/>
      <protection locked="0" hidden="1"/>
    </xf>
    <xf numFmtId="14" fontId="4" fillId="10" borderId="20" xfId="0" applyNumberFormat="1" applyFont="1" applyFill="1" applyBorder="1" applyAlignment="1" applyProtection="1">
      <alignment horizontal="center" vertical="center" wrapText="1"/>
      <protection locked="0" hidden="1"/>
    </xf>
    <xf numFmtId="0" fontId="19" fillId="0" borderId="0" xfId="1" applyFont="1" applyAlignment="1" applyProtection="1">
      <alignment vertical="center"/>
      <protection locked="0" hidden="1"/>
    </xf>
    <xf numFmtId="0" fontId="9" fillId="15" borderId="17" xfId="1" applyFont="1" applyFill="1" applyBorder="1" applyAlignment="1" applyProtection="1">
      <alignment horizontal="center" vertical="center"/>
      <protection locked="0" hidden="1"/>
    </xf>
    <xf numFmtId="2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1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14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0" fontId="9" fillId="15" borderId="4" xfId="1" applyFont="1" applyFill="1" applyBorder="1" applyAlignment="1" applyProtection="1">
      <alignment horizontal="center" vertical="center"/>
      <protection locked="0" hidden="1"/>
    </xf>
    <xf numFmtId="14" fontId="9" fillId="15" borderId="4" xfId="1" applyNumberFormat="1" applyFont="1" applyFill="1" applyBorder="1" applyAlignment="1" applyProtection="1">
      <alignment horizontal="center" vertical="center"/>
      <protection locked="0" hidden="1"/>
    </xf>
    <xf numFmtId="0" fontId="9" fillId="15" borderId="1" xfId="1" applyFont="1" applyFill="1" applyBorder="1" applyAlignment="1" applyProtection="1">
      <alignment horizontal="center" vertical="center"/>
      <protection locked="0" hidden="1"/>
    </xf>
    <xf numFmtId="14" fontId="9" fillId="15" borderId="1" xfId="1" applyNumberFormat="1" applyFont="1" applyFill="1" applyBorder="1" applyAlignment="1" applyProtection="1">
      <alignment horizontal="center" vertical="center"/>
      <protection locked="0" hidden="1"/>
    </xf>
    <xf numFmtId="0" fontId="9" fillId="0" borderId="2" xfId="1" applyFont="1" applyBorder="1" applyAlignment="1" applyProtection="1">
      <alignment horizontal="center" vertical="center"/>
      <protection locked="0" hidden="1"/>
    </xf>
    <xf numFmtId="14" fontId="9" fillId="0" borderId="2" xfId="1" applyNumberFormat="1" applyFont="1" applyBorder="1" applyAlignment="1" applyProtection="1">
      <alignment horizontal="center" vertical="center"/>
      <protection locked="0" hidden="1"/>
    </xf>
    <xf numFmtId="0" fontId="9" fillId="0" borderId="2" xfId="1" applyFont="1" applyBorder="1" applyAlignment="1" applyProtection="1">
      <alignment vertical="center"/>
      <protection locked="0" hidden="1"/>
    </xf>
    <xf numFmtId="14" fontId="9" fillId="0" borderId="0" xfId="1" applyNumberFormat="1" applyFont="1" applyBorder="1" applyAlignment="1" applyProtection="1">
      <alignment horizontal="center" vertical="center"/>
      <protection locked="0" hidden="1"/>
    </xf>
    <xf numFmtId="0" fontId="9" fillId="0" borderId="0" xfId="1" applyFont="1" applyBorder="1" applyAlignment="1" applyProtection="1">
      <alignment vertical="center"/>
      <protection locked="0" hidden="1"/>
    </xf>
    <xf numFmtId="0" fontId="9" fillId="0" borderId="1" xfId="1" applyFont="1" applyBorder="1" applyAlignment="1" applyProtection="1">
      <alignment horizontal="center" vertical="center"/>
      <protection locked="0" hidden="1"/>
    </xf>
    <xf numFmtId="14" fontId="9" fillId="0" borderId="1" xfId="1" applyNumberFormat="1" applyFont="1" applyBorder="1" applyAlignment="1" applyProtection="1">
      <alignment horizontal="center" vertical="center"/>
      <protection locked="0" hidden="1"/>
    </xf>
    <xf numFmtId="0" fontId="9" fillId="0" borderId="1" xfId="1" applyFont="1" applyBorder="1" applyAlignment="1" applyProtection="1">
      <alignment vertical="center"/>
      <protection locked="0" hidden="1"/>
    </xf>
    <xf numFmtId="0" fontId="20" fillId="7" borderId="0" xfId="1" applyFont="1" applyFill="1" applyBorder="1" applyAlignment="1" applyProtection="1">
      <alignment vertical="center"/>
      <protection locked="0" hidden="1"/>
    </xf>
    <xf numFmtId="0" fontId="22" fillId="7" borderId="0" xfId="1" applyFont="1" applyFill="1" applyBorder="1" applyAlignment="1" applyProtection="1">
      <alignment vertical="center"/>
      <protection locked="0" hidden="1"/>
    </xf>
    <xf numFmtId="0" fontId="9" fillId="7" borderId="0" xfId="1" applyFont="1" applyFill="1" applyBorder="1" applyAlignment="1" applyProtection="1">
      <alignment horizontal="left" vertical="center"/>
      <protection locked="0" hidden="1"/>
    </xf>
    <xf numFmtId="0" fontId="11" fillId="7" borderId="0" xfId="1" applyFont="1" applyFill="1" applyBorder="1" applyAlignment="1" applyProtection="1">
      <alignment horizontal="left" vertical="center"/>
      <protection locked="0" hidden="1"/>
    </xf>
    <xf numFmtId="0" fontId="9" fillId="16" borderId="0" xfId="1" applyFont="1" applyFill="1" applyBorder="1" applyAlignment="1" applyProtection="1">
      <alignment horizontal="center" vertical="center"/>
      <protection locked="0" hidden="1"/>
    </xf>
    <xf numFmtId="14" fontId="23" fillId="7" borderId="0" xfId="1" applyNumberFormat="1" applyFont="1" applyFill="1" applyBorder="1" applyAlignment="1" applyProtection="1">
      <alignment horizontal="center" vertical="center"/>
      <protection locked="0" hidden="1"/>
    </xf>
    <xf numFmtId="2" fontId="2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0" fillId="17" borderId="14" xfId="1" applyFont="1" applyFill="1" applyBorder="1" applyAlignment="1" applyProtection="1">
      <alignment vertical="center"/>
      <protection locked="0" hidden="1"/>
    </xf>
    <xf numFmtId="0" fontId="20" fillId="17" borderId="15" xfId="1" applyFont="1" applyFill="1" applyBorder="1" applyAlignment="1" applyProtection="1">
      <alignment vertical="center"/>
      <protection locked="0" hidden="1"/>
    </xf>
    <xf numFmtId="0" fontId="22" fillId="7" borderId="0" xfId="1" applyFont="1" applyFill="1" applyAlignment="1" applyProtection="1">
      <alignment vertical="center"/>
      <protection locked="0" hidden="1"/>
    </xf>
    <xf numFmtId="0" fontId="4" fillId="12" borderId="15" xfId="0" applyFont="1" applyFill="1" applyBorder="1" applyAlignment="1" applyProtection="1">
      <alignment horizontal="center" vertical="center" wrapText="1"/>
      <protection locked="0" hidden="1"/>
    </xf>
    <xf numFmtId="0" fontId="4" fillId="19" borderId="20" xfId="0" applyFont="1" applyFill="1" applyBorder="1" applyAlignment="1" applyProtection="1">
      <alignment horizontal="center" vertical="center" wrapText="1"/>
      <protection locked="0" hidden="1"/>
    </xf>
    <xf numFmtId="0" fontId="4" fillId="19" borderId="21" xfId="0" applyFont="1" applyFill="1" applyBorder="1" applyAlignment="1" applyProtection="1">
      <alignment horizontal="center" vertical="center" wrapText="1"/>
      <protection locked="0" hidden="1"/>
    </xf>
    <xf numFmtId="0" fontId="4" fillId="10" borderId="21" xfId="0" applyFont="1" applyFill="1" applyBorder="1" applyAlignment="1" applyProtection="1">
      <alignment horizontal="center" vertical="center" wrapText="1"/>
      <protection locked="0" hidden="1"/>
    </xf>
    <xf numFmtId="0" fontId="4" fillId="14" borderId="18" xfId="0" applyFont="1" applyFill="1" applyBorder="1" applyAlignment="1" applyProtection="1">
      <alignment horizontal="center" vertical="center" wrapText="1"/>
      <protection locked="0" hidden="1"/>
    </xf>
    <xf numFmtId="0" fontId="4" fillId="9" borderId="22" xfId="0" applyFont="1" applyFill="1" applyBorder="1" applyAlignment="1" applyProtection="1">
      <alignment horizontal="center" vertical="center" wrapText="1"/>
      <protection locked="0" hidden="1"/>
    </xf>
    <xf numFmtId="0" fontId="19" fillId="7" borderId="0" xfId="1" applyFont="1" applyFill="1" applyAlignment="1" applyProtection="1">
      <alignment vertical="center"/>
      <protection locked="0" hidden="1"/>
    </xf>
    <xf numFmtId="0" fontId="9" fillId="7" borderId="1" xfId="1" applyFont="1" applyFill="1" applyBorder="1" applyAlignment="1" applyProtection="1">
      <alignment horizontal="center" vertical="center"/>
      <protection locked="0" hidden="1"/>
    </xf>
    <xf numFmtId="14" fontId="9" fillId="7" borderId="1" xfId="1" applyNumberFormat="1" applyFont="1" applyFill="1" applyBorder="1" applyAlignment="1" applyProtection="1">
      <alignment horizontal="center" vertical="center"/>
      <protection locked="0" hidden="1"/>
    </xf>
    <xf numFmtId="2" fontId="9" fillId="7" borderId="1" xfId="1" applyNumberFormat="1" applyFont="1" applyFill="1" applyBorder="1" applyAlignment="1" applyProtection="1">
      <alignment horizontal="center" vertical="center" wrapText="1"/>
      <protection locked="0" hidden="1"/>
    </xf>
    <xf numFmtId="2" fontId="9" fillId="7" borderId="1" xfId="1" applyNumberFormat="1" applyFont="1" applyFill="1" applyBorder="1" applyAlignment="1" applyProtection="1">
      <alignment horizontal="center" vertical="center"/>
      <protection locked="0" hidden="1"/>
    </xf>
    <xf numFmtId="14" fontId="19" fillId="7" borderId="0" xfId="0" applyNumberFormat="1" applyFont="1" applyFill="1" applyBorder="1" applyAlignment="1">
      <alignment horizontal="center" vertical="center" wrapText="1"/>
    </xf>
    <xf numFmtId="2" fontId="9" fillId="7" borderId="0" xfId="1" applyNumberFormat="1" applyFont="1" applyFill="1" applyBorder="1" applyAlignment="1" applyProtection="1">
      <alignment horizontal="center" vertical="center" wrapText="1"/>
      <protection locked="0" hidden="1"/>
    </xf>
    <xf numFmtId="0" fontId="9" fillId="7" borderId="0" xfId="1" applyFont="1" applyFill="1" applyBorder="1" applyAlignment="1" applyProtection="1">
      <alignment vertical="center"/>
      <protection locked="0" hidden="1"/>
    </xf>
    <xf numFmtId="164" fontId="17" fillId="7" borderId="0" xfId="0" applyNumberFormat="1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wrapText="1"/>
    </xf>
    <xf numFmtId="14" fontId="9" fillId="7" borderId="0" xfId="1" applyNumberFormat="1" applyFont="1" applyFill="1" applyBorder="1" applyAlignment="1" applyProtection="1">
      <alignment horizontal="center" vertical="center"/>
      <protection locked="0" hidden="1"/>
    </xf>
    <xf numFmtId="0" fontId="9" fillId="0" borderId="0" xfId="1" applyFont="1" applyFill="1" applyBorder="1" applyAlignment="1" applyProtection="1">
      <alignment horizontal="center" vertical="center"/>
      <protection locked="0" hidden="1"/>
    </xf>
    <xf numFmtId="0" fontId="9" fillId="0" borderId="0" xfId="1" applyFont="1" applyFill="1" applyBorder="1" applyAlignment="1" applyProtection="1">
      <alignment vertical="center"/>
      <protection locked="0" hidden="1"/>
    </xf>
    <xf numFmtId="0" fontId="9" fillId="7" borderId="23" xfId="1" applyFont="1" applyFill="1" applyBorder="1" applyAlignment="1" applyProtection="1">
      <alignment horizontal="center" vertical="center"/>
      <protection locked="0" hidden="1"/>
    </xf>
    <xf numFmtId="0" fontId="9" fillId="7" borderId="17" xfId="1" applyFont="1" applyFill="1" applyBorder="1" applyAlignment="1" applyProtection="1">
      <alignment horizontal="center" vertical="center"/>
      <protection locked="0" hidden="1"/>
    </xf>
    <xf numFmtId="0" fontId="9" fillId="7" borderId="4" xfId="1" applyFont="1" applyFill="1" applyBorder="1" applyAlignment="1" applyProtection="1">
      <alignment horizontal="center" vertical="center"/>
      <protection locked="0" hidden="1"/>
    </xf>
    <xf numFmtId="0" fontId="9" fillId="7" borderId="2" xfId="1" applyFont="1" applyFill="1" applyBorder="1" applyAlignment="1" applyProtection="1">
      <alignment horizontal="center" vertical="center"/>
      <protection locked="0" hidden="1"/>
    </xf>
    <xf numFmtId="0" fontId="0" fillId="20" borderId="0" xfId="0" applyFill="1"/>
    <xf numFmtId="0" fontId="0" fillId="20" borderId="0" xfId="0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4" fontId="17" fillId="20" borderId="26" xfId="0" applyNumberFormat="1" applyFont="1" applyFill="1" applyBorder="1" applyAlignment="1">
      <alignment horizontal="center" vertical="center"/>
    </xf>
    <xf numFmtId="0" fontId="17" fillId="20" borderId="26" xfId="0" applyNumberFormat="1" applyFont="1" applyFill="1" applyBorder="1" applyAlignment="1">
      <alignment horizontal="center" vertical="center"/>
    </xf>
    <xf numFmtId="2" fontId="17" fillId="20" borderId="1" xfId="0" applyNumberFormat="1" applyFont="1" applyFill="1" applyBorder="1" applyAlignment="1">
      <alignment horizontal="center"/>
    </xf>
    <xf numFmtId="0" fontId="17" fillId="20" borderId="24" xfId="0" applyFont="1" applyFill="1" applyBorder="1" applyAlignment="1">
      <alignment horizontal="center"/>
    </xf>
    <xf numFmtId="0" fontId="17" fillId="20" borderId="26" xfId="0" applyFont="1" applyFill="1" applyBorder="1" applyAlignment="1">
      <alignment horizontal="center" vertical="center"/>
    </xf>
    <xf numFmtId="14" fontId="17" fillId="20" borderId="1" xfId="0" applyNumberFormat="1" applyFont="1" applyFill="1" applyBorder="1" applyAlignment="1">
      <alignment horizontal="center" vertical="center"/>
    </xf>
    <xf numFmtId="0" fontId="17" fillId="20" borderId="1" xfId="0" applyNumberFormat="1" applyFont="1" applyFill="1" applyBorder="1" applyAlignment="1">
      <alignment horizontal="center"/>
    </xf>
    <xf numFmtId="14" fontId="0" fillId="20" borderId="1" xfId="0" applyNumberFormat="1" applyFill="1" applyBorder="1" applyAlignment="1">
      <alignment horizontal="center" vertical="center"/>
    </xf>
    <xf numFmtId="0" fontId="0" fillId="20" borderId="24" xfId="0" applyFill="1" applyBorder="1"/>
    <xf numFmtId="0" fontId="10" fillId="3" borderId="0" xfId="1" applyFont="1" applyFill="1" applyBorder="1" applyAlignment="1" applyProtection="1">
      <alignment horizontal="center" vertical="center" wrapText="1"/>
      <protection locked="0" hidden="1"/>
    </xf>
    <xf numFmtId="14" fontId="10" fillId="3" borderId="0" xfId="1" applyNumberFormat="1" applyFont="1" applyFill="1" applyBorder="1" applyAlignment="1" applyProtection="1">
      <alignment horizontal="center" vertical="center" wrapText="1"/>
      <protection locked="0" hidden="1"/>
    </xf>
    <xf numFmtId="0" fontId="10" fillId="3" borderId="0" xfId="1" applyFont="1" applyFill="1" applyBorder="1" applyAlignment="1" applyProtection="1">
      <alignment vertical="center" wrapText="1"/>
      <protection locked="0" hidden="1"/>
    </xf>
    <xf numFmtId="0" fontId="9" fillId="3" borderId="0" xfId="1" applyFont="1" applyFill="1" applyAlignment="1" applyProtection="1">
      <alignment vertical="center"/>
      <protection locked="0" hidden="1"/>
    </xf>
    <xf numFmtId="0" fontId="0" fillId="21" borderId="0" xfId="0" applyFill="1"/>
    <xf numFmtId="0" fontId="4" fillId="3" borderId="0" xfId="1" applyFont="1" applyFill="1" applyBorder="1" applyAlignment="1" applyProtection="1">
      <alignment horizontal="center" vertical="center"/>
      <protection locked="0" hidden="1"/>
    </xf>
    <xf numFmtId="0" fontId="9" fillId="21" borderId="0" xfId="1" applyFont="1" applyFill="1" applyAlignment="1" applyProtection="1">
      <alignment vertical="center"/>
      <protection locked="0" hidden="1"/>
    </xf>
    <xf numFmtId="14" fontId="12" fillId="21" borderId="0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 applyProtection="1">
      <alignment horizontal="center" vertical="center" wrapText="1"/>
      <protection locked="0" hidden="1"/>
    </xf>
    <xf numFmtId="14" fontId="4" fillId="22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19" fillId="3" borderId="0" xfId="1" applyFont="1" applyFill="1" applyAlignment="1" applyProtection="1">
      <alignment vertical="center"/>
      <protection locked="0" hidden="1"/>
    </xf>
    <xf numFmtId="0" fontId="9" fillId="23" borderId="1" xfId="1" applyFont="1" applyFill="1" applyBorder="1" applyAlignment="1" applyProtection="1">
      <alignment horizontal="center" vertical="center"/>
      <protection locked="0" hidden="1"/>
    </xf>
    <xf numFmtId="14" fontId="9" fillId="23" borderId="1" xfId="1" applyNumberFormat="1" applyFont="1" applyFill="1" applyBorder="1" applyAlignment="1" applyProtection="1">
      <alignment horizontal="center" vertical="center"/>
      <protection locked="0" hidden="1"/>
    </xf>
    <xf numFmtId="2" fontId="9" fillId="23" borderId="1" xfId="1" applyNumberFormat="1" applyFont="1" applyFill="1" applyBorder="1" applyAlignment="1" applyProtection="1">
      <alignment horizontal="center" vertical="center"/>
      <protection locked="0" hidden="1"/>
    </xf>
    <xf numFmtId="0" fontId="26" fillId="3" borderId="21" xfId="1" applyFont="1" applyFill="1" applyBorder="1" applyAlignment="1" applyProtection="1">
      <alignment vertical="center"/>
      <protection locked="0" hidden="1"/>
    </xf>
    <xf numFmtId="0" fontId="26" fillId="3" borderId="18" xfId="1" applyFont="1" applyFill="1" applyBorder="1" applyAlignment="1" applyProtection="1">
      <alignment vertical="center"/>
      <protection locked="0" hidden="1"/>
    </xf>
    <xf numFmtId="0" fontId="23" fillId="3" borderId="18" xfId="1" applyFont="1" applyFill="1" applyBorder="1" applyAlignment="1" applyProtection="1">
      <alignment vertical="center"/>
      <protection locked="0" hidden="1"/>
    </xf>
    <xf numFmtId="0" fontId="26" fillId="3" borderId="0" xfId="1" applyFont="1" applyFill="1" applyBorder="1" applyAlignment="1" applyProtection="1">
      <alignment horizontal="left" vertical="center"/>
      <protection locked="0" hidden="1"/>
    </xf>
    <xf numFmtId="0" fontId="26" fillId="3" borderId="0" xfId="1" applyFont="1" applyFill="1" applyBorder="1" applyAlignment="1" applyProtection="1">
      <alignment horizontal="center" vertical="center"/>
      <protection locked="0" hidden="1"/>
    </xf>
    <xf numFmtId="0" fontId="5" fillId="24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/>
    </xf>
    <xf numFmtId="14" fontId="27" fillId="21" borderId="1" xfId="0" applyNumberFormat="1" applyFont="1" applyFill="1" applyBorder="1" applyAlignment="1">
      <alignment horizontal="center" vertical="center"/>
    </xf>
    <xf numFmtId="0" fontId="0" fillId="21" borderId="1" xfId="0" applyFill="1" applyBorder="1"/>
    <xf numFmtId="0" fontId="17" fillId="20" borderId="1" xfId="0" applyNumberFormat="1" applyFont="1" applyFill="1" applyBorder="1" applyAlignment="1">
      <alignment horizontal="center" vertical="center"/>
    </xf>
    <xf numFmtId="0" fontId="16" fillId="3" borderId="0" xfId="1" applyFont="1" applyFill="1" applyAlignment="1" applyProtection="1">
      <alignment vertical="center"/>
      <protection locked="0" hidden="1"/>
    </xf>
    <xf numFmtId="14" fontId="17" fillId="20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2" fillId="21" borderId="0" xfId="0" applyFont="1" applyFill="1" applyBorder="1" applyAlignment="1">
      <alignment horizontal="center" vertical="center"/>
    </xf>
    <xf numFmtId="0" fontId="26" fillId="7" borderId="21" xfId="1" applyFont="1" applyFill="1" applyBorder="1" applyAlignment="1" applyProtection="1">
      <alignment vertical="center"/>
      <protection locked="0" hidden="1"/>
    </xf>
    <xf numFmtId="0" fontId="26" fillId="7" borderId="18" xfId="1" applyFont="1" applyFill="1" applyBorder="1" applyAlignment="1" applyProtection="1">
      <alignment vertical="center"/>
      <protection locked="0" hidden="1"/>
    </xf>
    <xf numFmtId="0" fontId="26" fillId="7" borderId="28" xfId="1" applyFont="1" applyFill="1" applyBorder="1" applyAlignment="1" applyProtection="1">
      <alignment vertical="center"/>
      <protection locked="0" hidden="1"/>
    </xf>
    <xf numFmtId="0" fontId="28" fillId="7" borderId="0" xfId="1" applyFont="1" applyFill="1" applyAlignment="1" applyProtection="1">
      <alignment vertical="center"/>
      <protection locked="0" hidden="1"/>
    </xf>
    <xf numFmtId="0" fontId="26" fillId="7" borderId="0" xfId="1" applyFont="1" applyFill="1" applyBorder="1" applyAlignment="1" applyProtection="1">
      <alignment horizontal="left" vertical="center"/>
      <protection locked="0" hidden="1"/>
    </xf>
    <xf numFmtId="0" fontId="26" fillId="7" borderId="0" xfId="1" applyFont="1" applyFill="1" applyBorder="1" applyAlignment="1" applyProtection="1">
      <alignment horizontal="center" vertical="center"/>
      <protection locked="0" hidden="1"/>
    </xf>
    <xf numFmtId="0" fontId="5" fillId="25" borderId="1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0" fillId="0" borderId="1" xfId="0" quotePrefix="1" applyBorder="1"/>
    <xf numFmtId="0" fontId="29" fillId="21" borderId="0" xfId="0" applyFont="1" applyFill="1" applyBorder="1" applyAlignment="1">
      <alignment vertical="center"/>
    </xf>
    <xf numFmtId="0" fontId="25" fillId="8" borderId="1" xfId="0" applyFont="1" applyFill="1" applyBorder="1" applyAlignment="1">
      <alignment horizontal="center" vertical="center" wrapText="1"/>
    </xf>
    <xf numFmtId="14" fontId="30" fillId="7" borderId="0" xfId="1" applyNumberFormat="1" applyFont="1" applyFill="1" applyBorder="1" applyAlignment="1" applyProtection="1">
      <alignment horizontal="center" vertical="center"/>
      <protection locked="0" hidden="1"/>
    </xf>
    <xf numFmtId="0" fontId="24" fillId="20" borderId="0" xfId="0" applyFont="1" applyFill="1" applyAlignment="1">
      <alignment horizontal="left"/>
    </xf>
    <xf numFmtId="0" fontId="11" fillId="7" borderId="0" xfId="1" applyFont="1" applyFill="1" applyBorder="1" applyAlignment="1" applyProtection="1">
      <alignment horizontal="left" vertical="center"/>
      <protection hidden="1"/>
    </xf>
    <xf numFmtId="14" fontId="7" fillId="5" borderId="4" xfId="0" applyNumberFormat="1" applyFont="1" applyFill="1" applyBorder="1" applyAlignment="1">
      <alignment vertical="center" wrapText="1"/>
    </xf>
    <xf numFmtId="166" fontId="7" fillId="5" borderId="1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7" borderId="12" xfId="1" applyFont="1" applyFill="1" applyBorder="1" applyAlignment="1" applyProtection="1">
      <alignment vertical="center"/>
      <protection locked="0" hidden="1"/>
    </xf>
    <xf numFmtId="0" fontId="4" fillId="7" borderId="13" xfId="1" applyFont="1" applyFill="1" applyBorder="1" applyAlignment="1" applyProtection="1">
      <alignment vertical="center"/>
      <protection locked="0" hidden="1"/>
    </xf>
    <xf numFmtId="0" fontId="11" fillId="7" borderId="0" xfId="1" applyFont="1" applyFill="1" applyBorder="1" applyAlignment="1" applyProtection="1">
      <alignment vertical="center"/>
      <protection locked="0" hidden="1"/>
    </xf>
    <xf numFmtId="0" fontId="0" fillId="7" borderId="0" xfId="0" applyFill="1" applyAlignment="1">
      <alignment horizontal="center"/>
    </xf>
    <xf numFmtId="0" fontId="0" fillId="7" borderId="0" xfId="0" applyFill="1"/>
    <xf numFmtId="0" fontId="2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27" borderId="0" xfId="0" applyFill="1" applyAlignment="1">
      <alignment horizontal="center"/>
    </xf>
    <xf numFmtId="0" fontId="12" fillId="3" borderId="26" xfId="2" applyFont="1" applyFill="1" applyBorder="1" applyAlignment="1">
      <alignment horizontal="center" vertical="center"/>
    </xf>
    <xf numFmtId="0" fontId="29" fillId="3" borderId="0" xfId="2" applyFont="1" applyFill="1" applyAlignment="1">
      <alignment vertical="center"/>
    </xf>
    <xf numFmtId="0" fontId="12" fillId="3" borderId="0" xfId="2" applyFont="1" applyFill="1" applyBorder="1" applyAlignment="1">
      <alignment horizontal="center" vertical="center"/>
    </xf>
    <xf numFmtId="0" fontId="36" fillId="3" borderId="0" xfId="2" applyFont="1" applyFill="1" applyBorder="1" applyAlignment="1">
      <alignment horizontal="center" vertical="center" wrapText="1"/>
    </xf>
    <xf numFmtId="0" fontId="37" fillId="3" borderId="0" xfId="2" applyFont="1" applyFill="1" applyAlignment="1">
      <alignment vertical="center"/>
    </xf>
    <xf numFmtId="0" fontId="29" fillId="3" borderId="0" xfId="2" applyFont="1" applyFill="1" applyBorder="1" applyAlignment="1">
      <alignment horizontal="center" vertical="center"/>
    </xf>
    <xf numFmtId="0" fontId="14" fillId="8" borderId="0" xfId="0" applyFont="1" applyFill="1"/>
    <xf numFmtId="0" fontId="0" fillId="8" borderId="0" xfId="0" applyFill="1"/>
    <xf numFmtId="0" fontId="15" fillId="21" borderId="0" xfId="0" applyFont="1" applyFill="1" applyBorder="1" applyAlignment="1">
      <alignment horizontal="center"/>
    </xf>
    <xf numFmtId="0" fontId="29" fillId="3" borderId="0" xfId="2" applyFont="1" applyFill="1" applyAlignment="1">
      <alignment vertical="center" wrapText="1"/>
    </xf>
    <xf numFmtId="0" fontId="15" fillId="21" borderId="1" xfId="0" applyFont="1" applyFill="1" applyBorder="1" applyAlignment="1">
      <alignment horizontal="center" vertical="center"/>
    </xf>
    <xf numFmtId="0" fontId="34" fillId="21" borderId="1" xfId="0" applyFont="1" applyFill="1" applyBorder="1" applyAlignment="1">
      <alignment horizontal="center"/>
    </xf>
    <xf numFmtId="0" fontId="0" fillId="21" borderId="0" xfId="0" applyFill="1" applyBorder="1"/>
    <xf numFmtId="0" fontId="14" fillId="2" borderId="26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29" borderId="1" xfId="2" applyFont="1" applyFill="1" applyBorder="1" applyAlignment="1">
      <alignment horizontal="center" vertical="center" wrapText="1"/>
    </xf>
    <xf numFmtId="0" fontId="9" fillId="0" borderId="1" xfId="1" applyFont="1" applyFill="1" applyBorder="1" applyAlignment="1" applyProtection="1">
      <alignment horizontal="center" vertical="center"/>
      <protection locked="0" hidden="1"/>
    </xf>
    <xf numFmtId="0" fontId="9" fillId="0" borderId="1" xfId="1" applyFont="1" applyFill="1" applyBorder="1" applyAlignment="1" applyProtection="1">
      <alignment horizontal="center" vertical="center" wrapText="1"/>
      <protection locked="0" hidden="1"/>
    </xf>
    <xf numFmtId="14" fontId="9" fillId="0" borderId="1" xfId="1" applyNumberFormat="1" applyFont="1" applyFill="1" applyBorder="1" applyAlignment="1" applyProtection="1">
      <alignment horizontal="center" vertical="center"/>
      <protection locked="0" hidden="1"/>
    </xf>
    <xf numFmtId="0" fontId="37" fillId="0" borderId="26" xfId="2" applyFont="1" applyFill="1" applyBorder="1" applyAlignment="1">
      <alignment vertical="center" wrapText="1"/>
    </xf>
    <xf numFmtId="0" fontId="38" fillId="0" borderId="1" xfId="2" applyFont="1" applyFill="1" applyBorder="1" applyAlignment="1">
      <alignment horizontal="center" vertical="center" wrapText="1"/>
    </xf>
    <xf numFmtId="2" fontId="9" fillId="0" borderId="1" xfId="1" applyNumberFormat="1" applyFont="1" applyFill="1" applyBorder="1" applyAlignment="1" applyProtection="1">
      <alignment horizontal="center" vertical="center"/>
      <protection locked="0" hidden="1"/>
    </xf>
    <xf numFmtId="0" fontId="9" fillId="0" borderId="17" xfId="1" applyFont="1" applyFill="1" applyBorder="1" applyAlignment="1" applyProtection="1">
      <alignment horizontal="center" vertical="center"/>
      <protection locked="0" hidden="1"/>
    </xf>
    <xf numFmtId="0" fontId="9" fillId="0" borderId="17" xfId="1" applyFont="1" applyFill="1" applyBorder="1" applyAlignment="1" applyProtection="1">
      <alignment horizontal="center" vertical="center" wrapText="1"/>
      <protection locked="0" hidden="1"/>
    </xf>
    <xf numFmtId="14" fontId="9" fillId="0" borderId="17" xfId="1" applyNumberFormat="1" applyFont="1" applyFill="1" applyBorder="1" applyAlignment="1" applyProtection="1">
      <alignment horizontal="center" vertical="center" wrapText="1"/>
      <protection locked="0" hidden="1"/>
    </xf>
    <xf numFmtId="4" fontId="9" fillId="0" borderId="17" xfId="1" applyNumberFormat="1" applyFont="1" applyFill="1" applyBorder="1" applyAlignment="1" applyProtection="1">
      <alignment horizontal="center" vertical="center"/>
      <protection locked="0" hidden="1"/>
    </xf>
    <xf numFmtId="1" fontId="9" fillId="0" borderId="17" xfId="1" applyNumberFormat="1" applyFont="1" applyFill="1" applyBorder="1" applyAlignment="1" applyProtection="1">
      <alignment horizontal="center" vertical="center"/>
      <protection locked="0" hidden="1"/>
    </xf>
    <xf numFmtId="2" fontId="9" fillId="0" borderId="17" xfId="1" applyNumberFormat="1" applyFont="1" applyFill="1" applyBorder="1" applyAlignment="1" applyProtection="1">
      <alignment horizontal="center" vertical="center"/>
      <protection locked="0" hidden="1"/>
    </xf>
    <xf numFmtId="0" fontId="9" fillId="0" borderId="0" xfId="1" applyFont="1" applyFill="1" applyAlignment="1" applyProtection="1">
      <alignment vertical="center"/>
      <protection locked="0" hidden="1"/>
    </xf>
    <xf numFmtId="14" fontId="29" fillId="21" borderId="0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7" fontId="41" fillId="0" borderId="1" xfId="0" applyNumberFormat="1" applyFont="1" applyBorder="1" applyAlignment="1">
      <alignment horizontal="right"/>
    </xf>
    <xf numFmtId="167" fontId="41" fillId="0" borderId="0" xfId="0" applyNumberFormat="1" applyFont="1" applyBorder="1" applyAlignment="1">
      <alignment horizontal="right"/>
    </xf>
    <xf numFmtId="0" fontId="0" fillId="21" borderId="6" xfId="0" applyFill="1" applyBorder="1"/>
    <xf numFmtId="4" fontId="41" fillId="0" borderId="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27" fillId="0" borderId="27" xfId="0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34" fillId="0" borderId="1" xfId="0" applyFont="1" applyBorder="1"/>
    <xf numFmtId="14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14" fontId="4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7" fillId="6" borderId="24" xfId="0" applyFont="1" applyFill="1" applyBorder="1" applyAlignment="1">
      <alignment vertical="center"/>
    </xf>
    <xf numFmtId="2" fontId="0" fillId="20" borderId="27" xfId="0" applyNumberFormat="1" applyFill="1" applyBorder="1" applyAlignment="1">
      <alignment horizontal="center" vertical="center"/>
    </xf>
    <xf numFmtId="0" fontId="43" fillId="0" borderId="0" xfId="0" applyFont="1" applyBorder="1" applyAlignment="1">
      <alignment horizontal="center" vertical="center" wrapText="1"/>
    </xf>
    <xf numFmtId="0" fontId="43" fillId="7" borderId="0" xfId="0" applyFont="1" applyFill="1" applyBorder="1" applyAlignment="1">
      <alignment horizontal="center" vertical="center"/>
    </xf>
    <xf numFmtId="0" fontId="34" fillId="7" borderId="0" xfId="0" applyFont="1" applyFill="1" applyBorder="1"/>
    <xf numFmtId="14" fontId="43" fillId="7" borderId="0" xfId="0" applyNumberFormat="1" applyFont="1" applyFill="1" applyBorder="1" applyAlignment="1">
      <alignment horizontal="center" vertical="center" wrapText="1"/>
    </xf>
    <xf numFmtId="0" fontId="43" fillId="7" borderId="0" xfId="0" applyFont="1" applyFill="1" applyBorder="1" applyAlignment="1">
      <alignment horizontal="center" vertical="center" wrapText="1"/>
    </xf>
    <xf numFmtId="14" fontId="43" fillId="7" borderId="0" xfId="0" applyNumberFormat="1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34" fillId="7" borderId="1" xfId="0" applyFont="1" applyFill="1" applyBorder="1"/>
    <xf numFmtId="14" fontId="43" fillId="7" borderId="1" xfId="0" applyNumberFormat="1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 wrapText="1"/>
    </xf>
    <xf numFmtId="168" fontId="41" fillId="0" borderId="1" xfId="0" applyNumberFormat="1" applyFont="1" applyBorder="1" applyAlignment="1">
      <alignment horizontal="right" vertical="center" wrapText="1"/>
    </xf>
    <xf numFmtId="4" fontId="41" fillId="0" borderId="1" xfId="0" applyNumberFormat="1" applyFont="1" applyBorder="1" applyAlignment="1">
      <alignment horizontal="right" vertical="center" wrapText="1"/>
    </xf>
    <xf numFmtId="2" fontId="41" fillId="0" borderId="1" xfId="0" applyNumberFormat="1" applyFont="1" applyBorder="1" applyAlignment="1">
      <alignment horizontal="right" vertical="center" wrapText="1"/>
    </xf>
    <xf numFmtId="0" fontId="41" fillId="0" borderId="1" xfId="0" applyFont="1" applyBorder="1" applyAlignment="1">
      <alignment horizontal="right" vertical="center" wrapText="1"/>
    </xf>
    <xf numFmtId="4" fontId="41" fillId="0" borderId="1" xfId="0" applyNumberFormat="1" applyFont="1" applyBorder="1" applyAlignment="1">
      <alignment horizontal="right" vertical="center"/>
    </xf>
    <xf numFmtId="2" fontId="4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wrapText="1"/>
    </xf>
    <xf numFmtId="14" fontId="49" fillId="20" borderId="1" xfId="0" applyNumberFormat="1" applyFont="1" applyFill="1" applyBorder="1" applyAlignment="1">
      <alignment horizontal="center" vertical="center"/>
    </xf>
    <xf numFmtId="14" fontId="17" fillId="0" borderId="1" xfId="0" applyNumberFormat="1" applyFont="1" applyBorder="1"/>
    <xf numFmtId="14" fontId="50" fillId="7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right" vertical="center" wrapText="1"/>
    </xf>
    <xf numFmtId="166" fontId="7" fillId="5" borderId="4" xfId="0" applyNumberFormat="1" applyFont="1" applyFill="1" applyBorder="1" applyAlignment="1">
      <alignment vertical="center" wrapText="1"/>
    </xf>
    <xf numFmtId="0" fontId="43" fillId="7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0" fontId="7" fillId="6" borderId="4" xfId="0" applyNumberFormat="1" applyFont="1" applyFill="1" applyBorder="1" applyAlignment="1">
      <alignment vertical="center"/>
    </xf>
    <xf numFmtId="14" fontId="7" fillId="5" borderId="1" xfId="0" applyNumberFormat="1" applyFont="1" applyFill="1" applyBorder="1" applyAlignment="1">
      <alignment vertical="center" wrapText="1"/>
    </xf>
    <xf numFmtId="0" fontId="2" fillId="21" borderId="0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0" fontId="5" fillId="24" borderId="4" xfId="0" applyFont="1" applyFill="1" applyBorder="1" applyAlignment="1">
      <alignment horizontal="center" vertical="center" wrapText="1"/>
    </xf>
    <xf numFmtId="0" fontId="29" fillId="21" borderId="1" xfId="2" applyFont="1" applyFill="1" applyBorder="1" applyAlignment="1">
      <alignment horizontal="center" vertical="center" wrapText="1"/>
    </xf>
    <xf numFmtId="0" fontId="12" fillId="21" borderId="1" xfId="2" applyFont="1" applyFill="1" applyBorder="1" applyAlignment="1">
      <alignment horizontal="center" vertical="center" wrapText="1"/>
    </xf>
    <xf numFmtId="0" fontId="12" fillId="21" borderId="2" xfId="2" applyFont="1" applyFill="1" applyBorder="1" applyAlignment="1">
      <alignment horizontal="center" vertical="center"/>
    </xf>
    <xf numFmtId="0" fontId="12" fillId="21" borderId="4" xfId="2" applyFont="1" applyFill="1" applyBorder="1" applyAlignment="1">
      <alignment horizontal="center" vertical="center"/>
    </xf>
    <xf numFmtId="0" fontId="12" fillId="21" borderId="1" xfId="2" applyFont="1" applyFill="1" applyBorder="1" applyAlignment="1">
      <alignment horizontal="center" vertical="center"/>
    </xf>
    <xf numFmtId="0" fontId="14" fillId="2" borderId="29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horizontal="center" vertical="center"/>
    </xf>
    <xf numFmtId="0" fontId="14" fillId="29" borderId="24" xfId="2" applyFont="1" applyFill="1" applyBorder="1" applyAlignment="1">
      <alignment horizontal="center" vertical="center"/>
    </xf>
    <xf numFmtId="0" fontId="14" fillId="29" borderId="25" xfId="2" applyFont="1" applyFill="1" applyBorder="1" applyAlignment="1">
      <alignment horizontal="center" vertical="center"/>
    </xf>
    <xf numFmtId="0" fontId="14" fillId="29" borderId="26" xfId="2" applyFont="1" applyFill="1" applyBorder="1" applyAlignment="1">
      <alignment horizontal="center" vertical="center"/>
    </xf>
    <xf numFmtId="0" fontId="23" fillId="28" borderId="0" xfId="2" applyFont="1" applyFill="1" applyAlignment="1">
      <alignment horizontal="left" vertical="center"/>
    </xf>
    <xf numFmtId="0" fontId="12" fillId="3" borderId="24" xfId="2" applyFont="1" applyFill="1" applyBorder="1" applyAlignment="1">
      <alignment horizontal="center" vertical="center"/>
    </xf>
    <xf numFmtId="0" fontId="12" fillId="3" borderId="25" xfId="2" applyFont="1" applyFill="1" applyBorder="1" applyAlignment="1">
      <alignment horizontal="center" vertical="center"/>
    </xf>
    <xf numFmtId="0" fontId="12" fillId="3" borderId="26" xfId="2" applyFont="1" applyFill="1" applyBorder="1" applyAlignment="1">
      <alignment horizontal="center" vertical="center"/>
    </xf>
    <xf numFmtId="0" fontId="35" fillId="3" borderId="1" xfId="2" applyFont="1" applyFill="1" applyBorder="1" applyAlignment="1">
      <alignment horizontal="center" vertical="center" wrapText="1"/>
    </xf>
    <xf numFmtId="0" fontId="29" fillId="3" borderId="19" xfId="2" applyFont="1" applyFill="1" applyBorder="1" applyAlignment="1">
      <alignment horizontal="left" vertical="center"/>
    </xf>
    <xf numFmtId="14" fontId="29" fillId="3" borderId="19" xfId="2" applyNumberFormat="1" applyFont="1" applyFill="1" applyBorder="1" applyAlignment="1">
      <alignment horizontal="left" vertical="center"/>
    </xf>
    <xf numFmtId="0" fontId="12" fillId="20" borderId="1" xfId="0" quotePrefix="1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47" fillId="0" borderId="30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4" fontId="9" fillId="0" borderId="2" xfId="1" applyNumberFormat="1" applyFont="1" applyFill="1" applyBorder="1" applyAlignment="1" applyProtection="1">
      <alignment horizontal="center" vertical="center" wrapText="1"/>
      <protection locked="0" hidden="1"/>
    </xf>
    <xf numFmtId="14" fontId="9" fillId="0" borderId="27" xfId="1" applyNumberFormat="1" applyFont="1" applyFill="1" applyBorder="1" applyAlignment="1" applyProtection="1">
      <alignment horizontal="center" vertical="center" wrapText="1"/>
      <protection locked="0" hidden="1"/>
    </xf>
    <xf numFmtId="14" fontId="9" fillId="0" borderId="4" xfId="1" applyNumberFormat="1" applyFont="1" applyFill="1" applyBorder="1" applyAlignment="1" applyProtection="1">
      <alignment horizontal="center" vertical="center" wrapText="1"/>
      <protection locked="0" hidden="1"/>
    </xf>
    <xf numFmtId="0" fontId="44" fillId="0" borderId="30" xfId="0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23" fillId="7" borderId="18" xfId="1" applyFont="1" applyFill="1" applyBorder="1" applyAlignment="1" applyProtection="1">
      <alignment horizontal="center" vertical="center"/>
      <protection locked="0" hidden="1"/>
    </xf>
    <xf numFmtId="0" fontId="24" fillId="0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25" borderId="1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5" fillId="25" borderId="4" xfId="0" applyFont="1" applyFill="1" applyBorder="1" applyAlignment="1">
      <alignment horizontal="center" vertical="center" wrapText="1"/>
    </xf>
    <xf numFmtId="0" fontId="18" fillId="3" borderId="19" xfId="1" applyFont="1" applyFill="1" applyBorder="1" applyAlignment="1" applyProtection="1">
      <alignment horizontal="left" vertical="center"/>
      <protection locked="0" hidden="1"/>
    </xf>
    <xf numFmtId="0" fontId="23" fillId="3" borderId="14" xfId="1" applyFont="1" applyFill="1" applyBorder="1" applyAlignment="1" applyProtection="1">
      <alignment horizontal="right" vertical="center"/>
      <protection locked="0" hidden="1"/>
    </xf>
    <xf numFmtId="0" fontId="23" fillId="3" borderId="15" xfId="1" applyFont="1" applyFill="1" applyBorder="1" applyAlignment="1" applyProtection="1">
      <alignment horizontal="right" vertical="center"/>
      <protection locked="0" hidden="1"/>
    </xf>
    <xf numFmtId="0" fontId="23" fillId="3" borderId="16" xfId="1" applyFont="1" applyFill="1" applyBorder="1" applyAlignment="1" applyProtection="1">
      <alignment horizontal="right" vertical="center"/>
      <protection locked="0" hidden="1"/>
    </xf>
    <xf numFmtId="0" fontId="4" fillId="2" borderId="0" xfId="0" applyFont="1" applyFill="1" applyAlignment="1">
      <alignment horizontal="left" vertical="center"/>
    </xf>
    <xf numFmtId="0" fontId="17" fillId="20" borderId="2" xfId="0" applyFont="1" applyFill="1" applyBorder="1" applyAlignment="1">
      <alignment horizontal="center" vertical="center" wrapText="1"/>
    </xf>
    <xf numFmtId="0" fontId="17" fillId="20" borderId="27" xfId="0" applyFont="1" applyFill="1" applyBorder="1" applyAlignment="1">
      <alignment horizontal="center" vertical="center" wrapText="1"/>
    </xf>
    <xf numFmtId="0" fontId="17" fillId="20" borderId="4" xfId="0" applyFont="1" applyFill="1" applyBorder="1" applyAlignment="1">
      <alignment horizontal="center" vertical="center" wrapText="1"/>
    </xf>
    <xf numFmtId="2" fontId="0" fillId="20" borderId="2" xfId="0" applyNumberFormat="1" applyFill="1" applyBorder="1" applyAlignment="1">
      <alignment horizontal="center" vertical="center"/>
    </xf>
    <xf numFmtId="2" fontId="0" fillId="20" borderId="27" xfId="0" applyNumberFormat="1" applyFill="1" applyBorder="1" applyAlignment="1">
      <alignment horizontal="center" vertical="center"/>
    </xf>
    <xf numFmtId="2" fontId="0" fillId="20" borderId="4" xfId="0" applyNumberForma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wrapText="1"/>
    </xf>
    <xf numFmtId="0" fontId="17" fillId="20" borderId="27" xfId="0" applyFont="1" applyFill="1" applyBorder="1" applyAlignment="1">
      <alignment horizontal="center" wrapText="1"/>
    </xf>
    <xf numFmtId="0" fontId="17" fillId="20" borderId="4" xfId="0" applyFont="1" applyFill="1" applyBorder="1" applyAlignment="1">
      <alignment horizontal="center" wrapText="1"/>
    </xf>
    <xf numFmtId="0" fontId="2" fillId="20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0" fontId="17" fillId="20" borderId="2" xfId="0" applyFont="1" applyFill="1" applyBorder="1" applyAlignment="1">
      <alignment horizontal="center"/>
    </xf>
    <xf numFmtId="0" fontId="17" fillId="20" borderId="27" xfId="0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0" fontId="21" fillId="7" borderId="0" xfId="1" applyFont="1" applyFill="1" applyBorder="1" applyAlignment="1" applyProtection="1">
      <alignment horizontal="left" vertical="center"/>
      <protection locked="0" hidden="1"/>
    </xf>
    <xf numFmtId="0" fontId="9" fillId="7" borderId="0" xfId="1" applyFont="1" applyFill="1" applyBorder="1" applyAlignment="1" applyProtection="1">
      <alignment horizontal="left" vertical="center"/>
      <protection hidden="1"/>
    </xf>
    <xf numFmtId="0" fontId="9" fillId="7" borderId="2" xfId="1" applyFont="1" applyFill="1" applyBorder="1" applyAlignment="1" applyProtection="1">
      <alignment horizontal="center" vertical="center" wrapText="1"/>
      <protection locked="0" hidden="1"/>
    </xf>
    <xf numFmtId="0" fontId="9" fillId="7" borderId="27" xfId="1" applyFont="1" applyFill="1" applyBorder="1" applyAlignment="1" applyProtection="1">
      <alignment horizontal="center" vertical="center" wrapText="1"/>
      <protection locked="0" hidden="1"/>
    </xf>
    <xf numFmtId="0" fontId="9" fillId="7" borderId="4" xfId="1" applyFont="1" applyFill="1" applyBorder="1" applyAlignment="1" applyProtection="1">
      <alignment horizontal="center" vertical="center" wrapText="1"/>
      <protection locked="0" hidden="1"/>
    </xf>
    <xf numFmtId="0" fontId="4" fillId="12" borderId="14" xfId="0" applyFont="1" applyFill="1" applyBorder="1" applyAlignment="1" applyProtection="1">
      <alignment horizontal="center" vertical="center" wrapText="1"/>
      <protection locked="0" hidden="1"/>
    </xf>
    <xf numFmtId="0" fontId="4" fillId="12" borderId="15" xfId="0" applyFont="1" applyFill="1" applyBorder="1" applyAlignment="1" applyProtection="1">
      <alignment horizontal="center" vertical="center" wrapText="1"/>
      <protection locked="0" hidden="1"/>
    </xf>
    <xf numFmtId="0" fontId="4" fillId="10" borderId="15" xfId="0" applyFont="1" applyFill="1" applyBorder="1" applyAlignment="1" applyProtection="1">
      <alignment horizontal="center" vertical="center" wrapText="1"/>
      <protection locked="0" hidden="1"/>
    </xf>
    <xf numFmtId="0" fontId="4" fillId="11" borderId="18" xfId="0" applyFont="1" applyFill="1" applyBorder="1" applyAlignment="1" applyProtection="1">
      <alignment horizontal="center" vertical="center" wrapText="1"/>
      <protection locked="0" hidden="1"/>
    </xf>
    <xf numFmtId="0" fontId="4" fillId="18" borderId="18" xfId="0" applyFont="1" applyFill="1" applyBorder="1" applyAlignment="1" applyProtection="1">
      <alignment horizontal="center" vertical="center" wrapText="1"/>
      <protection locked="0" hidden="1"/>
    </xf>
    <xf numFmtId="0" fontId="4" fillId="18" borderId="10" xfId="0" applyFont="1" applyFill="1" applyBorder="1" applyAlignment="1" applyProtection="1">
      <alignment horizontal="center" vertical="center" wrapText="1"/>
      <protection locked="0" hidden="1"/>
    </xf>
    <xf numFmtId="0" fontId="16" fillId="7" borderId="14" xfId="0" applyNumberFormat="1" applyFont="1" applyFill="1" applyBorder="1" applyAlignment="1">
      <alignment horizontal="center" vertical="center"/>
    </xf>
    <xf numFmtId="0" fontId="16" fillId="7" borderId="15" xfId="0" applyNumberFormat="1" applyFont="1" applyFill="1" applyBorder="1" applyAlignment="1">
      <alignment horizontal="center" vertical="center"/>
    </xf>
    <xf numFmtId="0" fontId="16" fillId="7" borderId="16" xfId="0" applyNumberFormat="1" applyFont="1" applyFill="1" applyBorder="1" applyAlignment="1">
      <alignment horizontal="center" vertical="center"/>
    </xf>
    <xf numFmtId="0" fontId="18" fillId="7" borderId="19" xfId="1" applyFont="1" applyFill="1" applyBorder="1" applyAlignment="1" applyProtection="1">
      <alignment horizontal="left" vertical="center"/>
      <protection locked="0" hidden="1"/>
    </xf>
    <xf numFmtId="0" fontId="4" fillId="9" borderId="14" xfId="0" applyFont="1" applyFill="1" applyBorder="1" applyAlignment="1" applyProtection="1">
      <alignment horizontal="center" vertical="center" wrapText="1"/>
      <protection locked="0" hidden="1"/>
    </xf>
    <xf numFmtId="0" fontId="4" fillId="9" borderId="15" xfId="0" applyFont="1" applyFill="1" applyBorder="1" applyAlignment="1" applyProtection="1">
      <alignment horizontal="center" vertical="center" wrapText="1"/>
      <protection locked="0" hidden="1"/>
    </xf>
    <xf numFmtId="0" fontId="4" fillId="9" borderId="16" xfId="0" applyFont="1" applyFill="1" applyBorder="1" applyAlignment="1" applyProtection="1">
      <alignment horizontal="center" vertical="center" wrapText="1"/>
      <protection locked="0" hidden="1"/>
    </xf>
    <xf numFmtId="0" fontId="4" fillId="11" borderId="14" xfId="0" applyFont="1" applyFill="1" applyBorder="1" applyAlignment="1" applyProtection="1">
      <alignment horizontal="center" vertical="center" wrapText="1"/>
      <protection locked="0" hidden="1"/>
    </xf>
    <xf numFmtId="0" fontId="4" fillId="11" borderId="15" xfId="0" applyFont="1" applyFill="1" applyBorder="1" applyAlignment="1" applyProtection="1">
      <alignment horizontal="center" vertical="center" wrapText="1"/>
      <protection locked="0" hidden="1"/>
    </xf>
    <xf numFmtId="0" fontId="4" fillId="8" borderId="15" xfId="0" applyFont="1" applyFill="1" applyBorder="1" applyAlignment="1" applyProtection="1">
      <alignment horizontal="center" vertical="center" wrapText="1"/>
      <protection locked="0" hidden="1"/>
    </xf>
    <xf numFmtId="14" fontId="4" fillId="12" borderId="18" xfId="0" applyNumberFormat="1" applyFont="1" applyFill="1" applyBorder="1" applyAlignment="1" applyProtection="1">
      <alignment horizontal="center" vertical="center" wrapText="1"/>
      <protection locked="0" hidden="1"/>
    </xf>
    <xf numFmtId="14" fontId="4" fillId="12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33" fillId="7" borderId="0" xfId="1" applyFont="1" applyFill="1" applyBorder="1" applyAlignment="1" applyProtection="1">
      <alignment horizontal="center" vertical="center"/>
      <protection locked="0" hidden="1"/>
    </xf>
    <xf numFmtId="0" fontId="14" fillId="9" borderId="14" xfId="0" applyNumberFormat="1" applyFont="1" applyFill="1" applyBorder="1" applyAlignment="1">
      <alignment horizontal="center" vertical="center"/>
    </xf>
    <xf numFmtId="0" fontId="14" fillId="9" borderId="15" xfId="0" applyNumberFormat="1" applyFont="1" applyFill="1" applyBorder="1" applyAlignment="1">
      <alignment horizontal="center" vertical="center"/>
    </xf>
    <xf numFmtId="0" fontId="14" fillId="9" borderId="16" xfId="0" applyNumberFormat="1" applyFont="1" applyFill="1" applyBorder="1" applyAlignment="1">
      <alignment horizontal="center" vertical="center"/>
    </xf>
    <xf numFmtId="0" fontId="12" fillId="10" borderId="14" xfId="0" applyNumberFormat="1" applyFont="1" applyFill="1" applyBorder="1" applyAlignment="1">
      <alignment horizontal="center" vertical="center"/>
    </xf>
    <xf numFmtId="0" fontId="12" fillId="10" borderId="15" xfId="0" applyNumberFormat="1" applyFont="1" applyFill="1" applyBorder="1" applyAlignment="1">
      <alignment horizontal="center" vertical="center"/>
    </xf>
    <xf numFmtId="0" fontId="12" fillId="10" borderId="16" xfId="0" applyNumberFormat="1" applyFont="1" applyFill="1" applyBorder="1" applyAlignment="1">
      <alignment horizontal="center" vertical="center"/>
    </xf>
    <xf numFmtId="0" fontId="16" fillId="7" borderId="14" xfId="0" applyNumberFormat="1" applyFont="1" applyFill="1" applyBorder="1" applyAlignment="1">
      <alignment horizontal="center" vertical="center" wrapText="1"/>
    </xf>
    <xf numFmtId="0" fontId="16" fillId="7" borderId="15" xfId="0" applyNumberFormat="1" applyFont="1" applyFill="1" applyBorder="1" applyAlignment="1">
      <alignment horizontal="center" vertical="center" wrapText="1"/>
    </xf>
    <xf numFmtId="0" fontId="16" fillId="7" borderId="16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6" borderId="0" xfId="0" applyFont="1" applyFill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14" fontId="7" fillId="5" borderId="27" xfId="0" applyNumberFormat="1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42" fillId="30" borderId="2" xfId="0" applyFont="1" applyFill="1" applyBorder="1" applyAlignment="1">
      <alignment horizontal="center" vertical="center" wrapText="1"/>
    </xf>
    <xf numFmtId="0" fontId="42" fillId="30" borderId="27" xfId="0" applyFont="1" applyFill="1" applyBorder="1" applyAlignment="1">
      <alignment horizontal="center" vertical="center" wrapText="1"/>
    </xf>
    <xf numFmtId="0" fontId="42" fillId="30" borderId="4" xfId="0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165" fontId="7" fillId="5" borderId="27" xfId="0" applyNumberFormat="1" applyFont="1" applyFill="1" applyBorder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66" fontId="7" fillId="5" borderId="2" xfId="0" applyNumberFormat="1" applyFont="1" applyFill="1" applyBorder="1" applyAlignment="1">
      <alignment horizontal="center" vertical="center" wrapText="1"/>
    </xf>
    <xf numFmtId="166" fontId="7" fillId="5" borderId="27" xfId="0" applyNumberFormat="1" applyFont="1" applyFill="1" applyBorder="1" applyAlignment="1">
      <alignment horizontal="center" vertical="center" wrapText="1"/>
    </xf>
    <xf numFmtId="166" fontId="7" fillId="5" borderId="4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4">
    <cellStyle name="Normal" xfId="0" builtinId="0"/>
    <cellStyle name="Normal 10 2 10" xfId="1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</xdr:col>
      <xdr:colOff>1519918</xdr:colOff>
      <xdr:row>1</xdr:row>
      <xdr:rowOff>114300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297724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9525</xdr:colOff>
      <xdr:row>0</xdr:row>
      <xdr:rowOff>609599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4429124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1</xdr:col>
      <xdr:colOff>2874173</xdr:colOff>
      <xdr:row>1</xdr:row>
      <xdr:rowOff>171450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332184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2</xdr:col>
      <xdr:colOff>689823</xdr:colOff>
      <xdr:row>0</xdr:row>
      <xdr:rowOff>409575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0"/>
          <a:ext cx="2975823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2</xdr:col>
      <xdr:colOff>981076</xdr:colOff>
      <xdr:row>2</xdr:row>
      <xdr:rowOff>9320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2905126" cy="399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416719</xdr:colOff>
      <xdr:row>0</xdr:row>
      <xdr:rowOff>35719</xdr:rowOff>
    </xdr:from>
    <xdr:to>
      <xdr:col>3</xdr:col>
      <xdr:colOff>216174</xdr:colOff>
      <xdr:row>2</xdr:row>
      <xdr:rowOff>154781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9" y="35719"/>
          <a:ext cx="3633268" cy="500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66675</xdr:rowOff>
    </xdr:from>
    <xdr:to>
      <xdr:col>2</xdr:col>
      <xdr:colOff>864398</xdr:colOff>
      <xdr:row>2</xdr:row>
      <xdr:rowOff>142875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"/>
          <a:ext cx="332184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54431</xdr:rowOff>
    </xdr:from>
    <xdr:to>
      <xdr:col>0</xdr:col>
      <xdr:colOff>0</xdr:colOff>
      <xdr:row>2</xdr:row>
      <xdr:rowOff>118838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31"/>
          <a:ext cx="4645025" cy="740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1483523</xdr:colOff>
      <xdr:row>14</xdr:row>
      <xdr:rowOff>114300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2184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3</xdr:col>
      <xdr:colOff>711998</xdr:colOff>
      <xdr:row>2</xdr:row>
      <xdr:rowOff>66675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6675"/>
          <a:ext cx="332184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492923</xdr:colOff>
      <xdr:row>2</xdr:row>
      <xdr:rowOff>0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2184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2</xdr:col>
      <xdr:colOff>1016798</xdr:colOff>
      <xdr:row>1</xdr:row>
      <xdr:rowOff>171450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332184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6" workbookViewId="0">
      <selection activeCell="F7" sqref="F7"/>
    </sheetView>
  </sheetViews>
  <sheetFormatPr baseColWidth="10" defaultRowHeight="15"/>
  <cols>
    <col min="1" max="1" width="11.42578125" style="112"/>
    <col min="2" max="2" width="30.140625" style="112" customWidth="1"/>
    <col min="3" max="16384" width="11.42578125" style="112"/>
  </cols>
  <sheetData>
    <row r="1" spans="1:8">
      <c r="A1" s="122"/>
      <c r="B1" s="123"/>
      <c r="C1" s="123"/>
      <c r="D1" s="123"/>
      <c r="E1" s="124" t="s">
        <v>61</v>
      </c>
      <c r="F1" s="123"/>
      <c r="G1" s="123"/>
      <c r="H1" s="123"/>
    </row>
    <row r="2" spans="1:8">
      <c r="A2" s="125"/>
      <c r="B2" s="126"/>
      <c r="C2" s="126"/>
      <c r="D2" s="126"/>
      <c r="E2" s="126"/>
      <c r="F2" s="126"/>
      <c r="G2" s="126"/>
      <c r="H2" s="126"/>
    </row>
    <row r="3" spans="1:8">
      <c r="A3" s="1" t="s">
        <v>1</v>
      </c>
      <c r="B3" s="29"/>
      <c r="C3" s="126"/>
      <c r="D3" s="126"/>
      <c r="E3" s="126"/>
      <c r="F3" s="126"/>
      <c r="G3" s="126"/>
      <c r="H3" s="126"/>
    </row>
    <row r="4" spans="1:8">
      <c r="A4" s="3" t="s">
        <v>2</v>
      </c>
      <c r="B4" s="30"/>
      <c r="C4" s="126"/>
      <c r="D4" s="126"/>
      <c r="E4" s="126"/>
      <c r="F4" s="126"/>
      <c r="G4" s="126"/>
      <c r="H4" s="126"/>
    </row>
    <row r="5" spans="1:8">
      <c r="A5" s="238"/>
      <c r="B5" s="238"/>
      <c r="C5" s="238"/>
      <c r="D5" s="238"/>
      <c r="E5" s="238"/>
      <c r="F5" s="238"/>
      <c r="G5" s="238"/>
      <c r="H5" s="238"/>
    </row>
    <row r="6" spans="1:8">
      <c r="A6" s="239" t="s">
        <v>62</v>
      </c>
      <c r="B6" s="239" t="s">
        <v>27</v>
      </c>
      <c r="C6" s="239" t="s">
        <v>63</v>
      </c>
      <c r="D6" s="239"/>
      <c r="E6" s="239" t="s">
        <v>64</v>
      </c>
      <c r="F6" s="239"/>
      <c r="G6" s="240" t="s">
        <v>65</v>
      </c>
      <c r="H6" s="239" t="s">
        <v>56</v>
      </c>
    </row>
    <row r="7" spans="1:8" ht="45">
      <c r="A7" s="239"/>
      <c r="B7" s="239"/>
      <c r="C7" s="127" t="s">
        <v>66</v>
      </c>
      <c r="D7" s="127" t="s">
        <v>67</v>
      </c>
      <c r="E7" s="127" t="s">
        <v>66</v>
      </c>
      <c r="F7" s="127" t="s">
        <v>67</v>
      </c>
      <c r="G7" s="241"/>
      <c r="H7" s="239"/>
    </row>
    <row r="8" spans="1:8">
      <c r="A8" s="128"/>
      <c r="B8" s="128"/>
      <c r="C8" s="129"/>
      <c r="D8" s="129"/>
      <c r="E8" s="128"/>
      <c r="F8" s="128"/>
      <c r="G8" s="128"/>
      <c r="H8" s="128"/>
    </row>
    <row r="9" spans="1:8">
      <c r="A9" s="128"/>
      <c r="B9" s="128"/>
      <c r="C9" s="128"/>
      <c r="D9" s="128"/>
      <c r="E9" s="128"/>
      <c r="F9" s="128"/>
      <c r="G9" s="128"/>
      <c r="H9" s="128"/>
    </row>
    <row r="10" spans="1:8">
      <c r="A10" s="128"/>
      <c r="B10" s="128"/>
      <c r="C10" s="128"/>
      <c r="D10" s="128"/>
      <c r="E10" s="128"/>
      <c r="F10" s="128"/>
      <c r="G10" s="128"/>
      <c r="H10" s="128"/>
    </row>
    <row r="11" spans="1:8">
      <c r="A11" s="128"/>
      <c r="B11" s="128"/>
      <c r="C11" s="128"/>
      <c r="D11" s="128"/>
      <c r="E11" s="128"/>
      <c r="F11" s="128"/>
      <c r="G11" s="128"/>
      <c r="H11" s="128"/>
    </row>
    <row r="12" spans="1:8">
      <c r="A12" s="128"/>
      <c r="B12" s="128"/>
      <c r="C12" s="128"/>
      <c r="D12" s="128"/>
      <c r="E12" s="128"/>
      <c r="F12" s="128"/>
      <c r="G12" s="128"/>
      <c r="H12" s="128"/>
    </row>
    <row r="13" spans="1:8">
      <c r="A13" s="128"/>
      <c r="B13" s="128"/>
      <c r="C13" s="128"/>
      <c r="D13" s="128"/>
      <c r="E13" s="128"/>
      <c r="F13" s="128"/>
      <c r="G13" s="128"/>
      <c r="H13" s="128"/>
    </row>
    <row r="14" spans="1:8">
      <c r="A14" s="128"/>
      <c r="B14" s="128"/>
      <c r="C14" s="128"/>
      <c r="D14" s="128"/>
      <c r="E14" s="128"/>
      <c r="F14" s="128"/>
      <c r="G14" s="128"/>
      <c r="H14" s="128"/>
    </row>
    <row r="15" spans="1:8">
      <c r="A15" s="128"/>
      <c r="B15" s="128"/>
      <c r="C15" s="128"/>
      <c r="D15" s="128"/>
      <c r="E15" s="128"/>
      <c r="F15" s="128"/>
      <c r="G15" s="128"/>
      <c r="H15" s="128"/>
    </row>
    <row r="16" spans="1:8">
      <c r="A16" s="128"/>
      <c r="B16" s="128"/>
      <c r="C16" s="128"/>
      <c r="D16" s="128"/>
      <c r="E16" s="128"/>
      <c r="F16" s="128"/>
      <c r="G16" s="128"/>
      <c r="H16" s="128"/>
    </row>
    <row r="17" spans="1:8">
      <c r="A17" s="128"/>
      <c r="B17" s="128"/>
      <c r="C17" s="128"/>
      <c r="D17" s="128"/>
      <c r="E17" s="128"/>
      <c r="F17" s="128"/>
      <c r="G17" s="128"/>
      <c r="H17" s="128"/>
    </row>
    <row r="18" spans="1:8">
      <c r="A18" s="130"/>
      <c r="B18" s="130"/>
      <c r="C18" s="130"/>
      <c r="D18" s="130"/>
      <c r="E18" s="130"/>
      <c r="F18" s="130"/>
      <c r="G18" s="130"/>
      <c r="H18" s="130"/>
    </row>
    <row r="19" spans="1:8">
      <c r="A19" s="130"/>
      <c r="B19" s="130"/>
      <c r="C19" s="130"/>
      <c r="D19" s="130"/>
      <c r="E19" s="130"/>
      <c r="F19" s="130"/>
      <c r="G19" s="130"/>
      <c r="H19" s="130"/>
    </row>
    <row r="20" spans="1:8">
      <c r="A20" s="130"/>
      <c r="B20" s="130"/>
      <c r="C20" s="130"/>
      <c r="D20" s="130"/>
      <c r="E20" s="130"/>
      <c r="F20" s="130"/>
      <c r="G20" s="130"/>
      <c r="H20" s="130"/>
    </row>
    <row r="21" spans="1:8">
      <c r="A21" s="130"/>
      <c r="B21" s="130"/>
      <c r="C21" s="130"/>
      <c r="D21" s="130"/>
      <c r="E21" s="130"/>
      <c r="F21" s="130"/>
      <c r="G21" s="130"/>
      <c r="H21" s="130"/>
    </row>
  </sheetData>
  <mergeCells count="7">
    <mergeCell ref="A5:H5"/>
    <mergeCell ref="A6:A7"/>
    <mergeCell ref="B6:B7"/>
    <mergeCell ref="C6:D6"/>
    <mergeCell ref="E6:F6"/>
    <mergeCell ref="G6:G7"/>
    <mergeCell ref="H6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538"/>
  <sheetViews>
    <sheetView topLeftCell="A20" workbookViewId="0">
      <selection activeCell="B30" sqref="B29:B30"/>
    </sheetView>
  </sheetViews>
  <sheetFormatPr baseColWidth="10" defaultRowHeight="15" customHeight="1" zeroHeight="1"/>
  <cols>
    <col min="1" max="1" width="23.42578125" style="176" customWidth="1"/>
    <col min="2" max="2" width="24" style="176" customWidth="1"/>
    <col min="3" max="4" width="18.85546875" style="176" customWidth="1"/>
    <col min="5" max="5" width="18" style="176" customWidth="1"/>
    <col min="6" max="6" width="40.28515625" style="176" customWidth="1"/>
    <col min="7" max="7" width="21.7109375" style="176" customWidth="1"/>
    <col min="8" max="8" width="22.28515625" style="176" customWidth="1"/>
    <col min="9" max="9" width="20.28515625" style="176" customWidth="1"/>
    <col min="10" max="10" width="21.42578125" style="176" customWidth="1"/>
    <col min="11" max="11" width="37" style="176" customWidth="1"/>
    <col min="12" max="12" width="20.28515625" style="176" customWidth="1"/>
    <col min="13" max="256" width="11.42578125" style="176"/>
    <col min="257" max="257" width="23.42578125" style="176" customWidth="1"/>
    <col min="258" max="258" width="24" style="176" customWidth="1"/>
    <col min="259" max="260" width="18.85546875" style="176" customWidth="1"/>
    <col min="261" max="261" width="18" style="176" customWidth="1"/>
    <col min="262" max="262" width="40.28515625" style="176" customWidth="1"/>
    <col min="263" max="263" width="21.7109375" style="176" customWidth="1"/>
    <col min="264" max="264" width="22.28515625" style="176" customWidth="1"/>
    <col min="265" max="265" width="20.28515625" style="176" customWidth="1"/>
    <col min="266" max="266" width="21.42578125" style="176" customWidth="1"/>
    <col min="267" max="267" width="37" style="176" customWidth="1"/>
    <col min="268" max="268" width="20.28515625" style="176" customWidth="1"/>
    <col min="269" max="512" width="11.42578125" style="176"/>
    <col min="513" max="513" width="23.42578125" style="176" customWidth="1"/>
    <col min="514" max="514" width="24" style="176" customWidth="1"/>
    <col min="515" max="516" width="18.85546875" style="176" customWidth="1"/>
    <col min="517" max="517" width="18" style="176" customWidth="1"/>
    <col min="518" max="518" width="40.28515625" style="176" customWidth="1"/>
    <col min="519" max="519" width="21.7109375" style="176" customWidth="1"/>
    <col min="520" max="520" width="22.28515625" style="176" customWidth="1"/>
    <col min="521" max="521" width="20.28515625" style="176" customWidth="1"/>
    <col min="522" max="522" width="21.42578125" style="176" customWidth="1"/>
    <col min="523" max="523" width="37" style="176" customWidth="1"/>
    <col min="524" max="524" width="20.28515625" style="176" customWidth="1"/>
    <col min="525" max="768" width="11.42578125" style="176"/>
    <col min="769" max="769" width="23.42578125" style="176" customWidth="1"/>
    <col min="770" max="770" width="24" style="176" customWidth="1"/>
    <col min="771" max="772" width="18.85546875" style="176" customWidth="1"/>
    <col min="773" max="773" width="18" style="176" customWidth="1"/>
    <col min="774" max="774" width="40.28515625" style="176" customWidth="1"/>
    <col min="775" max="775" width="21.7109375" style="176" customWidth="1"/>
    <col min="776" max="776" width="22.28515625" style="176" customWidth="1"/>
    <col min="777" max="777" width="20.28515625" style="176" customWidth="1"/>
    <col min="778" max="778" width="21.42578125" style="176" customWidth="1"/>
    <col min="779" max="779" width="37" style="176" customWidth="1"/>
    <col min="780" max="780" width="20.28515625" style="176" customWidth="1"/>
    <col min="781" max="1024" width="11.42578125" style="176"/>
    <col min="1025" max="1025" width="23.42578125" style="176" customWidth="1"/>
    <col min="1026" max="1026" width="24" style="176" customWidth="1"/>
    <col min="1027" max="1028" width="18.85546875" style="176" customWidth="1"/>
    <col min="1029" max="1029" width="18" style="176" customWidth="1"/>
    <col min="1030" max="1030" width="40.28515625" style="176" customWidth="1"/>
    <col min="1031" max="1031" width="21.7109375" style="176" customWidth="1"/>
    <col min="1032" max="1032" width="22.28515625" style="176" customWidth="1"/>
    <col min="1033" max="1033" width="20.28515625" style="176" customWidth="1"/>
    <col min="1034" max="1034" width="21.42578125" style="176" customWidth="1"/>
    <col min="1035" max="1035" width="37" style="176" customWidth="1"/>
    <col min="1036" max="1036" width="20.28515625" style="176" customWidth="1"/>
    <col min="1037" max="1280" width="11.42578125" style="176"/>
    <col min="1281" max="1281" width="23.42578125" style="176" customWidth="1"/>
    <col min="1282" max="1282" width="24" style="176" customWidth="1"/>
    <col min="1283" max="1284" width="18.85546875" style="176" customWidth="1"/>
    <col min="1285" max="1285" width="18" style="176" customWidth="1"/>
    <col min="1286" max="1286" width="40.28515625" style="176" customWidth="1"/>
    <col min="1287" max="1287" width="21.7109375" style="176" customWidth="1"/>
    <col min="1288" max="1288" width="22.28515625" style="176" customWidth="1"/>
    <col min="1289" max="1289" width="20.28515625" style="176" customWidth="1"/>
    <col min="1290" max="1290" width="21.42578125" style="176" customWidth="1"/>
    <col min="1291" max="1291" width="37" style="176" customWidth="1"/>
    <col min="1292" max="1292" width="20.28515625" style="176" customWidth="1"/>
    <col min="1293" max="1536" width="11.42578125" style="176"/>
    <col min="1537" max="1537" width="23.42578125" style="176" customWidth="1"/>
    <col min="1538" max="1538" width="24" style="176" customWidth="1"/>
    <col min="1539" max="1540" width="18.85546875" style="176" customWidth="1"/>
    <col min="1541" max="1541" width="18" style="176" customWidth="1"/>
    <col min="1542" max="1542" width="40.28515625" style="176" customWidth="1"/>
    <col min="1543" max="1543" width="21.7109375" style="176" customWidth="1"/>
    <col min="1544" max="1544" width="22.28515625" style="176" customWidth="1"/>
    <col min="1545" max="1545" width="20.28515625" style="176" customWidth="1"/>
    <col min="1546" max="1546" width="21.42578125" style="176" customWidth="1"/>
    <col min="1547" max="1547" width="37" style="176" customWidth="1"/>
    <col min="1548" max="1548" width="20.28515625" style="176" customWidth="1"/>
    <col min="1549" max="1792" width="11.42578125" style="176"/>
    <col min="1793" max="1793" width="23.42578125" style="176" customWidth="1"/>
    <col min="1794" max="1794" width="24" style="176" customWidth="1"/>
    <col min="1795" max="1796" width="18.85546875" style="176" customWidth="1"/>
    <col min="1797" max="1797" width="18" style="176" customWidth="1"/>
    <col min="1798" max="1798" width="40.28515625" style="176" customWidth="1"/>
    <col min="1799" max="1799" width="21.7109375" style="176" customWidth="1"/>
    <col min="1800" max="1800" width="22.28515625" style="176" customWidth="1"/>
    <col min="1801" max="1801" width="20.28515625" style="176" customWidth="1"/>
    <col min="1802" max="1802" width="21.42578125" style="176" customWidth="1"/>
    <col min="1803" max="1803" width="37" style="176" customWidth="1"/>
    <col min="1804" max="1804" width="20.28515625" style="176" customWidth="1"/>
    <col min="1805" max="2048" width="11.42578125" style="176"/>
    <col min="2049" max="2049" width="23.42578125" style="176" customWidth="1"/>
    <col min="2050" max="2050" width="24" style="176" customWidth="1"/>
    <col min="2051" max="2052" width="18.85546875" style="176" customWidth="1"/>
    <col min="2053" max="2053" width="18" style="176" customWidth="1"/>
    <col min="2054" max="2054" width="40.28515625" style="176" customWidth="1"/>
    <col min="2055" max="2055" width="21.7109375" style="176" customWidth="1"/>
    <col min="2056" max="2056" width="22.28515625" style="176" customWidth="1"/>
    <col min="2057" max="2057" width="20.28515625" style="176" customWidth="1"/>
    <col min="2058" max="2058" width="21.42578125" style="176" customWidth="1"/>
    <col min="2059" max="2059" width="37" style="176" customWidth="1"/>
    <col min="2060" max="2060" width="20.28515625" style="176" customWidth="1"/>
    <col min="2061" max="2304" width="11.42578125" style="176"/>
    <col min="2305" max="2305" width="23.42578125" style="176" customWidth="1"/>
    <col min="2306" max="2306" width="24" style="176" customWidth="1"/>
    <col min="2307" max="2308" width="18.85546875" style="176" customWidth="1"/>
    <col min="2309" max="2309" width="18" style="176" customWidth="1"/>
    <col min="2310" max="2310" width="40.28515625" style="176" customWidth="1"/>
    <col min="2311" max="2311" width="21.7109375" style="176" customWidth="1"/>
    <col min="2312" max="2312" width="22.28515625" style="176" customWidth="1"/>
    <col min="2313" max="2313" width="20.28515625" style="176" customWidth="1"/>
    <col min="2314" max="2314" width="21.42578125" style="176" customWidth="1"/>
    <col min="2315" max="2315" width="37" style="176" customWidth="1"/>
    <col min="2316" max="2316" width="20.28515625" style="176" customWidth="1"/>
    <col min="2317" max="2560" width="11.42578125" style="176"/>
    <col min="2561" max="2561" width="23.42578125" style="176" customWidth="1"/>
    <col min="2562" max="2562" width="24" style="176" customWidth="1"/>
    <col min="2563" max="2564" width="18.85546875" style="176" customWidth="1"/>
    <col min="2565" max="2565" width="18" style="176" customWidth="1"/>
    <col min="2566" max="2566" width="40.28515625" style="176" customWidth="1"/>
    <col min="2567" max="2567" width="21.7109375" style="176" customWidth="1"/>
    <col min="2568" max="2568" width="22.28515625" style="176" customWidth="1"/>
    <col min="2569" max="2569" width="20.28515625" style="176" customWidth="1"/>
    <col min="2570" max="2570" width="21.42578125" style="176" customWidth="1"/>
    <col min="2571" max="2571" width="37" style="176" customWidth="1"/>
    <col min="2572" max="2572" width="20.28515625" style="176" customWidth="1"/>
    <col min="2573" max="2816" width="11.42578125" style="176"/>
    <col min="2817" max="2817" width="23.42578125" style="176" customWidth="1"/>
    <col min="2818" max="2818" width="24" style="176" customWidth="1"/>
    <col min="2819" max="2820" width="18.85546875" style="176" customWidth="1"/>
    <col min="2821" max="2821" width="18" style="176" customWidth="1"/>
    <col min="2822" max="2822" width="40.28515625" style="176" customWidth="1"/>
    <col min="2823" max="2823" width="21.7109375" style="176" customWidth="1"/>
    <col min="2824" max="2824" width="22.28515625" style="176" customWidth="1"/>
    <col min="2825" max="2825" width="20.28515625" style="176" customWidth="1"/>
    <col min="2826" max="2826" width="21.42578125" style="176" customWidth="1"/>
    <col min="2827" max="2827" width="37" style="176" customWidth="1"/>
    <col min="2828" max="2828" width="20.28515625" style="176" customWidth="1"/>
    <col min="2829" max="3072" width="11.42578125" style="176"/>
    <col min="3073" max="3073" width="23.42578125" style="176" customWidth="1"/>
    <col min="3074" max="3074" width="24" style="176" customWidth="1"/>
    <col min="3075" max="3076" width="18.85546875" style="176" customWidth="1"/>
    <col min="3077" max="3077" width="18" style="176" customWidth="1"/>
    <col min="3078" max="3078" width="40.28515625" style="176" customWidth="1"/>
    <col min="3079" max="3079" width="21.7109375" style="176" customWidth="1"/>
    <col min="3080" max="3080" width="22.28515625" style="176" customWidth="1"/>
    <col min="3081" max="3081" width="20.28515625" style="176" customWidth="1"/>
    <col min="3082" max="3082" width="21.42578125" style="176" customWidth="1"/>
    <col min="3083" max="3083" width="37" style="176" customWidth="1"/>
    <col min="3084" max="3084" width="20.28515625" style="176" customWidth="1"/>
    <col min="3085" max="3328" width="11.42578125" style="176"/>
    <col min="3329" max="3329" width="23.42578125" style="176" customWidth="1"/>
    <col min="3330" max="3330" width="24" style="176" customWidth="1"/>
    <col min="3331" max="3332" width="18.85546875" style="176" customWidth="1"/>
    <col min="3333" max="3333" width="18" style="176" customWidth="1"/>
    <col min="3334" max="3334" width="40.28515625" style="176" customWidth="1"/>
    <col min="3335" max="3335" width="21.7109375" style="176" customWidth="1"/>
    <col min="3336" max="3336" width="22.28515625" style="176" customWidth="1"/>
    <col min="3337" max="3337" width="20.28515625" style="176" customWidth="1"/>
    <col min="3338" max="3338" width="21.42578125" style="176" customWidth="1"/>
    <col min="3339" max="3339" width="37" style="176" customWidth="1"/>
    <col min="3340" max="3340" width="20.28515625" style="176" customWidth="1"/>
    <col min="3341" max="3584" width="11.42578125" style="176"/>
    <col min="3585" max="3585" width="23.42578125" style="176" customWidth="1"/>
    <col min="3586" max="3586" width="24" style="176" customWidth="1"/>
    <col min="3587" max="3588" width="18.85546875" style="176" customWidth="1"/>
    <col min="3589" max="3589" width="18" style="176" customWidth="1"/>
    <col min="3590" max="3590" width="40.28515625" style="176" customWidth="1"/>
    <col min="3591" max="3591" width="21.7109375" style="176" customWidth="1"/>
    <col min="3592" max="3592" width="22.28515625" style="176" customWidth="1"/>
    <col min="3593" max="3593" width="20.28515625" style="176" customWidth="1"/>
    <col min="3594" max="3594" width="21.42578125" style="176" customWidth="1"/>
    <col min="3595" max="3595" width="37" style="176" customWidth="1"/>
    <col min="3596" max="3596" width="20.28515625" style="176" customWidth="1"/>
    <col min="3597" max="3840" width="11.42578125" style="176"/>
    <col min="3841" max="3841" width="23.42578125" style="176" customWidth="1"/>
    <col min="3842" max="3842" width="24" style="176" customWidth="1"/>
    <col min="3843" max="3844" width="18.85546875" style="176" customWidth="1"/>
    <col min="3845" max="3845" width="18" style="176" customWidth="1"/>
    <col min="3846" max="3846" width="40.28515625" style="176" customWidth="1"/>
    <col min="3847" max="3847" width="21.7109375" style="176" customWidth="1"/>
    <col min="3848" max="3848" width="22.28515625" style="176" customWidth="1"/>
    <col min="3849" max="3849" width="20.28515625" style="176" customWidth="1"/>
    <col min="3850" max="3850" width="21.42578125" style="176" customWidth="1"/>
    <col min="3851" max="3851" width="37" style="176" customWidth="1"/>
    <col min="3852" max="3852" width="20.28515625" style="176" customWidth="1"/>
    <col min="3853" max="4096" width="11.42578125" style="176"/>
    <col min="4097" max="4097" width="23.42578125" style="176" customWidth="1"/>
    <col min="4098" max="4098" width="24" style="176" customWidth="1"/>
    <col min="4099" max="4100" width="18.85546875" style="176" customWidth="1"/>
    <col min="4101" max="4101" width="18" style="176" customWidth="1"/>
    <col min="4102" max="4102" width="40.28515625" style="176" customWidth="1"/>
    <col min="4103" max="4103" width="21.7109375" style="176" customWidth="1"/>
    <col min="4104" max="4104" width="22.28515625" style="176" customWidth="1"/>
    <col min="4105" max="4105" width="20.28515625" style="176" customWidth="1"/>
    <col min="4106" max="4106" width="21.42578125" style="176" customWidth="1"/>
    <col min="4107" max="4107" width="37" style="176" customWidth="1"/>
    <col min="4108" max="4108" width="20.28515625" style="176" customWidth="1"/>
    <col min="4109" max="4352" width="11.42578125" style="176"/>
    <col min="4353" max="4353" width="23.42578125" style="176" customWidth="1"/>
    <col min="4354" max="4354" width="24" style="176" customWidth="1"/>
    <col min="4355" max="4356" width="18.85546875" style="176" customWidth="1"/>
    <col min="4357" max="4357" width="18" style="176" customWidth="1"/>
    <col min="4358" max="4358" width="40.28515625" style="176" customWidth="1"/>
    <col min="4359" max="4359" width="21.7109375" style="176" customWidth="1"/>
    <col min="4360" max="4360" width="22.28515625" style="176" customWidth="1"/>
    <col min="4361" max="4361" width="20.28515625" style="176" customWidth="1"/>
    <col min="4362" max="4362" width="21.42578125" style="176" customWidth="1"/>
    <col min="4363" max="4363" width="37" style="176" customWidth="1"/>
    <col min="4364" max="4364" width="20.28515625" style="176" customWidth="1"/>
    <col min="4365" max="4608" width="11.42578125" style="176"/>
    <col min="4609" max="4609" width="23.42578125" style="176" customWidth="1"/>
    <col min="4610" max="4610" width="24" style="176" customWidth="1"/>
    <col min="4611" max="4612" width="18.85546875" style="176" customWidth="1"/>
    <col min="4613" max="4613" width="18" style="176" customWidth="1"/>
    <col min="4614" max="4614" width="40.28515625" style="176" customWidth="1"/>
    <col min="4615" max="4615" width="21.7109375" style="176" customWidth="1"/>
    <col min="4616" max="4616" width="22.28515625" style="176" customWidth="1"/>
    <col min="4617" max="4617" width="20.28515625" style="176" customWidth="1"/>
    <col min="4618" max="4618" width="21.42578125" style="176" customWidth="1"/>
    <col min="4619" max="4619" width="37" style="176" customWidth="1"/>
    <col min="4620" max="4620" width="20.28515625" style="176" customWidth="1"/>
    <col min="4621" max="4864" width="11.42578125" style="176"/>
    <col min="4865" max="4865" width="23.42578125" style="176" customWidth="1"/>
    <col min="4866" max="4866" width="24" style="176" customWidth="1"/>
    <col min="4867" max="4868" width="18.85546875" style="176" customWidth="1"/>
    <col min="4869" max="4869" width="18" style="176" customWidth="1"/>
    <col min="4870" max="4870" width="40.28515625" style="176" customWidth="1"/>
    <col min="4871" max="4871" width="21.7109375" style="176" customWidth="1"/>
    <col min="4872" max="4872" width="22.28515625" style="176" customWidth="1"/>
    <col min="4873" max="4873" width="20.28515625" style="176" customWidth="1"/>
    <col min="4874" max="4874" width="21.42578125" style="176" customWidth="1"/>
    <col min="4875" max="4875" width="37" style="176" customWidth="1"/>
    <col min="4876" max="4876" width="20.28515625" style="176" customWidth="1"/>
    <col min="4877" max="5120" width="11.42578125" style="176"/>
    <col min="5121" max="5121" width="23.42578125" style="176" customWidth="1"/>
    <col min="5122" max="5122" width="24" style="176" customWidth="1"/>
    <col min="5123" max="5124" width="18.85546875" style="176" customWidth="1"/>
    <col min="5125" max="5125" width="18" style="176" customWidth="1"/>
    <col min="5126" max="5126" width="40.28515625" style="176" customWidth="1"/>
    <col min="5127" max="5127" width="21.7109375" style="176" customWidth="1"/>
    <col min="5128" max="5128" width="22.28515625" style="176" customWidth="1"/>
    <col min="5129" max="5129" width="20.28515625" style="176" customWidth="1"/>
    <col min="5130" max="5130" width="21.42578125" style="176" customWidth="1"/>
    <col min="5131" max="5131" width="37" style="176" customWidth="1"/>
    <col min="5132" max="5132" width="20.28515625" style="176" customWidth="1"/>
    <col min="5133" max="5376" width="11.42578125" style="176"/>
    <col min="5377" max="5377" width="23.42578125" style="176" customWidth="1"/>
    <col min="5378" max="5378" width="24" style="176" customWidth="1"/>
    <col min="5379" max="5380" width="18.85546875" style="176" customWidth="1"/>
    <col min="5381" max="5381" width="18" style="176" customWidth="1"/>
    <col min="5382" max="5382" width="40.28515625" style="176" customWidth="1"/>
    <col min="5383" max="5383" width="21.7109375" style="176" customWidth="1"/>
    <col min="5384" max="5384" width="22.28515625" style="176" customWidth="1"/>
    <col min="5385" max="5385" width="20.28515625" style="176" customWidth="1"/>
    <col min="5386" max="5386" width="21.42578125" style="176" customWidth="1"/>
    <col min="5387" max="5387" width="37" style="176" customWidth="1"/>
    <col min="5388" max="5388" width="20.28515625" style="176" customWidth="1"/>
    <col min="5389" max="5632" width="11.42578125" style="176"/>
    <col min="5633" max="5633" width="23.42578125" style="176" customWidth="1"/>
    <col min="5634" max="5634" width="24" style="176" customWidth="1"/>
    <col min="5635" max="5636" width="18.85546875" style="176" customWidth="1"/>
    <col min="5637" max="5637" width="18" style="176" customWidth="1"/>
    <col min="5638" max="5638" width="40.28515625" style="176" customWidth="1"/>
    <col min="5639" max="5639" width="21.7109375" style="176" customWidth="1"/>
    <col min="5640" max="5640" width="22.28515625" style="176" customWidth="1"/>
    <col min="5641" max="5641" width="20.28515625" style="176" customWidth="1"/>
    <col min="5642" max="5642" width="21.42578125" style="176" customWidth="1"/>
    <col min="5643" max="5643" width="37" style="176" customWidth="1"/>
    <col min="5644" max="5644" width="20.28515625" style="176" customWidth="1"/>
    <col min="5645" max="5888" width="11.42578125" style="176"/>
    <col min="5889" max="5889" width="23.42578125" style="176" customWidth="1"/>
    <col min="5890" max="5890" width="24" style="176" customWidth="1"/>
    <col min="5891" max="5892" width="18.85546875" style="176" customWidth="1"/>
    <col min="5893" max="5893" width="18" style="176" customWidth="1"/>
    <col min="5894" max="5894" width="40.28515625" style="176" customWidth="1"/>
    <col min="5895" max="5895" width="21.7109375" style="176" customWidth="1"/>
    <col min="5896" max="5896" width="22.28515625" style="176" customWidth="1"/>
    <col min="5897" max="5897" width="20.28515625" style="176" customWidth="1"/>
    <col min="5898" max="5898" width="21.42578125" style="176" customWidth="1"/>
    <col min="5899" max="5899" width="37" style="176" customWidth="1"/>
    <col min="5900" max="5900" width="20.28515625" style="176" customWidth="1"/>
    <col min="5901" max="6144" width="11.42578125" style="176"/>
    <col min="6145" max="6145" width="23.42578125" style="176" customWidth="1"/>
    <col min="6146" max="6146" width="24" style="176" customWidth="1"/>
    <col min="6147" max="6148" width="18.85546875" style="176" customWidth="1"/>
    <col min="6149" max="6149" width="18" style="176" customWidth="1"/>
    <col min="6150" max="6150" width="40.28515625" style="176" customWidth="1"/>
    <col min="6151" max="6151" width="21.7109375" style="176" customWidth="1"/>
    <col min="6152" max="6152" width="22.28515625" style="176" customWidth="1"/>
    <col min="6153" max="6153" width="20.28515625" style="176" customWidth="1"/>
    <col min="6154" max="6154" width="21.42578125" style="176" customWidth="1"/>
    <col min="6155" max="6155" width="37" style="176" customWidth="1"/>
    <col min="6156" max="6156" width="20.28515625" style="176" customWidth="1"/>
    <col min="6157" max="6400" width="11.42578125" style="176"/>
    <col min="6401" max="6401" width="23.42578125" style="176" customWidth="1"/>
    <col min="6402" max="6402" width="24" style="176" customWidth="1"/>
    <col min="6403" max="6404" width="18.85546875" style="176" customWidth="1"/>
    <col min="6405" max="6405" width="18" style="176" customWidth="1"/>
    <col min="6406" max="6406" width="40.28515625" style="176" customWidth="1"/>
    <col min="6407" max="6407" width="21.7109375" style="176" customWidth="1"/>
    <col min="6408" max="6408" width="22.28515625" style="176" customWidth="1"/>
    <col min="6409" max="6409" width="20.28515625" style="176" customWidth="1"/>
    <col min="6410" max="6410" width="21.42578125" style="176" customWidth="1"/>
    <col min="6411" max="6411" width="37" style="176" customWidth="1"/>
    <col min="6412" max="6412" width="20.28515625" style="176" customWidth="1"/>
    <col min="6413" max="6656" width="11.42578125" style="176"/>
    <col min="6657" max="6657" width="23.42578125" style="176" customWidth="1"/>
    <col min="6658" max="6658" width="24" style="176" customWidth="1"/>
    <col min="6659" max="6660" width="18.85546875" style="176" customWidth="1"/>
    <col min="6661" max="6661" width="18" style="176" customWidth="1"/>
    <col min="6662" max="6662" width="40.28515625" style="176" customWidth="1"/>
    <col min="6663" max="6663" width="21.7109375" style="176" customWidth="1"/>
    <col min="6664" max="6664" width="22.28515625" style="176" customWidth="1"/>
    <col min="6665" max="6665" width="20.28515625" style="176" customWidth="1"/>
    <col min="6666" max="6666" width="21.42578125" style="176" customWidth="1"/>
    <col min="6667" max="6667" width="37" style="176" customWidth="1"/>
    <col min="6668" max="6668" width="20.28515625" style="176" customWidth="1"/>
    <col min="6669" max="6912" width="11.42578125" style="176"/>
    <col min="6913" max="6913" width="23.42578125" style="176" customWidth="1"/>
    <col min="6914" max="6914" width="24" style="176" customWidth="1"/>
    <col min="6915" max="6916" width="18.85546875" style="176" customWidth="1"/>
    <col min="6917" max="6917" width="18" style="176" customWidth="1"/>
    <col min="6918" max="6918" width="40.28515625" style="176" customWidth="1"/>
    <col min="6919" max="6919" width="21.7109375" style="176" customWidth="1"/>
    <col min="6920" max="6920" width="22.28515625" style="176" customWidth="1"/>
    <col min="6921" max="6921" width="20.28515625" style="176" customWidth="1"/>
    <col min="6922" max="6922" width="21.42578125" style="176" customWidth="1"/>
    <col min="6923" max="6923" width="37" style="176" customWidth="1"/>
    <col min="6924" max="6924" width="20.28515625" style="176" customWidth="1"/>
    <col min="6925" max="7168" width="11.42578125" style="176"/>
    <col min="7169" max="7169" width="23.42578125" style="176" customWidth="1"/>
    <col min="7170" max="7170" width="24" style="176" customWidth="1"/>
    <col min="7171" max="7172" width="18.85546875" style="176" customWidth="1"/>
    <col min="7173" max="7173" width="18" style="176" customWidth="1"/>
    <col min="7174" max="7174" width="40.28515625" style="176" customWidth="1"/>
    <col min="7175" max="7175" width="21.7109375" style="176" customWidth="1"/>
    <col min="7176" max="7176" width="22.28515625" style="176" customWidth="1"/>
    <col min="7177" max="7177" width="20.28515625" style="176" customWidth="1"/>
    <col min="7178" max="7178" width="21.42578125" style="176" customWidth="1"/>
    <col min="7179" max="7179" width="37" style="176" customWidth="1"/>
    <col min="7180" max="7180" width="20.28515625" style="176" customWidth="1"/>
    <col min="7181" max="7424" width="11.42578125" style="176"/>
    <col min="7425" max="7425" width="23.42578125" style="176" customWidth="1"/>
    <col min="7426" max="7426" width="24" style="176" customWidth="1"/>
    <col min="7427" max="7428" width="18.85546875" style="176" customWidth="1"/>
    <col min="7429" max="7429" width="18" style="176" customWidth="1"/>
    <col min="7430" max="7430" width="40.28515625" style="176" customWidth="1"/>
    <col min="7431" max="7431" width="21.7109375" style="176" customWidth="1"/>
    <col min="7432" max="7432" width="22.28515625" style="176" customWidth="1"/>
    <col min="7433" max="7433" width="20.28515625" style="176" customWidth="1"/>
    <col min="7434" max="7434" width="21.42578125" style="176" customWidth="1"/>
    <col min="7435" max="7435" width="37" style="176" customWidth="1"/>
    <col min="7436" max="7436" width="20.28515625" style="176" customWidth="1"/>
    <col min="7437" max="7680" width="11.42578125" style="176"/>
    <col min="7681" max="7681" width="23.42578125" style="176" customWidth="1"/>
    <col min="7682" max="7682" width="24" style="176" customWidth="1"/>
    <col min="7683" max="7684" width="18.85546875" style="176" customWidth="1"/>
    <col min="7685" max="7685" width="18" style="176" customWidth="1"/>
    <col min="7686" max="7686" width="40.28515625" style="176" customWidth="1"/>
    <col min="7687" max="7687" width="21.7109375" style="176" customWidth="1"/>
    <col min="7688" max="7688" width="22.28515625" style="176" customWidth="1"/>
    <col min="7689" max="7689" width="20.28515625" style="176" customWidth="1"/>
    <col min="7690" max="7690" width="21.42578125" style="176" customWidth="1"/>
    <col min="7691" max="7691" width="37" style="176" customWidth="1"/>
    <col min="7692" max="7692" width="20.28515625" style="176" customWidth="1"/>
    <col min="7693" max="7936" width="11.42578125" style="176"/>
    <col min="7937" max="7937" width="23.42578125" style="176" customWidth="1"/>
    <col min="7938" max="7938" width="24" style="176" customWidth="1"/>
    <col min="7939" max="7940" width="18.85546875" style="176" customWidth="1"/>
    <col min="7941" max="7941" width="18" style="176" customWidth="1"/>
    <col min="7942" max="7942" width="40.28515625" style="176" customWidth="1"/>
    <col min="7943" max="7943" width="21.7109375" style="176" customWidth="1"/>
    <col min="7944" max="7944" width="22.28515625" style="176" customWidth="1"/>
    <col min="7945" max="7945" width="20.28515625" style="176" customWidth="1"/>
    <col min="7946" max="7946" width="21.42578125" style="176" customWidth="1"/>
    <col min="7947" max="7947" width="37" style="176" customWidth="1"/>
    <col min="7948" max="7948" width="20.28515625" style="176" customWidth="1"/>
    <col min="7949" max="8192" width="11.42578125" style="176"/>
    <col min="8193" max="8193" width="23.42578125" style="176" customWidth="1"/>
    <col min="8194" max="8194" width="24" style="176" customWidth="1"/>
    <col min="8195" max="8196" width="18.85546875" style="176" customWidth="1"/>
    <col min="8197" max="8197" width="18" style="176" customWidth="1"/>
    <col min="8198" max="8198" width="40.28515625" style="176" customWidth="1"/>
    <col min="8199" max="8199" width="21.7109375" style="176" customWidth="1"/>
    <col min="8200" max="8200" width="22.28515625" style="176" customWidth="1"/>
    <col min="8201" max="8201" width="20.28515625" style="176" customWidth="1"/>
    <col min="8202" max="8202" width="21.42578125" style="176" customWidth="1"/>
    <col min="8203" max="8203" width="37" style="176" customWidth="1"/>
    <col min="8204" max="8204" width="20.28515625" style="176" customWidth="1"/>
    <col min="8205" max="8448" width="11.42578125" style="176"/>
    <col min="8449" max="8449" width="23.42578125" style="176" customWidth="1"/>
    <col min="8450" max="8450" width="24" style="176" customWidth="1"/>
    <col min="8451" max="8452" width="18.85546875" style="176" customWidth="1"/>
    <col min="8453" max="8453" width="18" style="176" customWidth="1"/>
    <col min="8454" max="8454" width="40.28515625" style="176" customWidth="1"/>
    <col min="8455" max="8455" width="21.7109375" style="176" customWidth="1"/>
    <col min="8456" max="8456" width="22.28515625" style="176" customWidth="1"/>
    <col min="8457" max="8457" width="20.28515625" style="176" customWidth="1"/>
    <col min="8458" max="8458" width="21.42578125" style="176" customWidth="1"/>
    <col min="8459" max="8459" width="37" style="176" customWidth="1"/>
    <col min="8460" max="8460" width="20.28515625" style="176" customWidth="1"/>
    <col min="8461" max="8704" width="11.42578125" style="176"/>
    <col min="8705" max="8705" width="23.42578125" style="176" customWidth="1"/>
    <col min="8706" max="8706" width="24" style="176" customWidth="1"/>
    <col min="8707" max="8708" width="18.85546875" style="176" customWidth="1"/>
    <col min="8709" max="8709" width="18" style="176" customWidth="1"/>
    <col min="8710" max="8710" width="40.28515625" style="176" customWidth="1"/>
    <col min="8711" max="8711" width="21.7109375" style="176" customWidth="1"/>
    <col min="8712" max="8712" width="22.28515625" style="176" customWidth="1"/>
    <col min="8713" max="8713" width="20.28515625" style="176" customWidth="1"/>
    <col min="8714" max="8714" width="21.42578125" style="176" customWidth="1"/>
    <col min="8715" max="8715" width="37" style="176" customWidth="1"/>
    <col min="8716" max="8716" width="20.28515625" style="176" customWidth="1"/>
    <col min="8717" max="8960" width="11.42578125" style="176"/>
    <col min="8961" max="8961" width="23.42578125" style="176" customWidth="1"/>
    <col min="8962" max="8962" width="24" style="176" customWidth="1"/>
    <col min="8963" max="8964" width="18.85546875" style="176" customWidth="1"/>
    <col min="8965" max="8965" width="18" style="176" customWidth="1"/>
    <col min="8966" max="8966" width="40.28515625" style="176" customWidth="1"/>
    <col min="8967" max="8967" width="21.7109375" style="176" customWidth="1"/>
    <col min="8968" max="8968" width="22.28515625" style="176" customWidth="1"/>
    <col min="8969" max="8969" width="20.28515625" style="176" customWidth="1"/>
    <col min="8970" max="8970" width="21.42578125" style="176" customWidth="1"/>
    <col min="8971" max="8971" width="37" style="176" customWidth="1"/>
    <col min="8972" max="8972" width="20.28515625" style="176" customWidth="1"/>
    <col min="8973" max="9216" width="11.42578125" style="176"/>
    <col min="9217" max="9217" width="23.42578125" style="176" customWidth="1"/>
    <col min="9218" max="9218" width="24" style="176" customWidth="1"/>
    <col min="9219" max="9220" width="18.85546875" style="176" customWidth="1"/>
    <col min="9221" max="9221" width="18" style="176" customWidth="1"/>
    <col min="9222" max="9222" width="40.28515625" style="176" customWidth="1"/>
    <col min="9223" max="9223" width="21.7109375" style="176" customWidth="1"/>
    <col min="9224" max="9224" width="22.28515625" style="176" customWidth="1"/>
    <col min="9225" max="9225" width="20.28515625" style="176" customWidth="1"/>
    <col min="9226" max="9226" width="21.42578125" style="176" customWidth="1"/>
    <col min="9227" max="9227" width="37" style="176" customWidth="1"/>
    <col min="9228" max="9228" width="20.28515625" style="176" customWidth="1"/>
    <col min="9229" max="9472" width="11.42578125" style="176"/>
    <col min="9473" max="9473" width="23.42578125" style="176" customWidth="1"/>
    <col min="9474" max="9474" width="24" style="176" customWidth="1"/>
    <col min="9475" max="9476" width="18.85546875" style="176" customWidth="1"/>
    <col min="9477" max="9477" width="18" style="176" customWidth="1"/>
    <col min="9478" max="9478" width="40.28515625" style="176" customWidth="1"/>
    <col min="9479" max="9479" width="21.7109375" style="176" customWidth="1"/>
    <col min="9480" max="9480" width="22.28515625" style="176" customWidth="1"/>
    <col min="9481" max="9481" width="20.28515625" style="176" customWidth="1"/>
    <col min="9482" max="9482" width="21.42578125" style="176" customWidth="1"/>
    <col min="9483" max="9483" width="37" style="176" customWidth="1"/>
    <col min="9484" max="9484" width="20.28515625" style="176" customWidth="1"/>
    <col min="9485" max="9728" width="11.42578125" style="176"/>
    <col min="9729" max="9729" width="23.42578125" style="176" customWidth="1"/>
    <col min="9730" max="9730" width="24" style="176" customWidth="1"/>
    <col min="9731" max="9732" width="18.85546875" style="176" customWidth="1"/>
    <col min="9733" max="9733" width="18" style="176" customWidth="1"/>
    <col min="9734" max="9734" width="40.28515625" style="176" customWidth="1"/>
    <col min="9735" max="9735" width="21.7109375" style="176" customWidth="1"/>
    <col min="9736" max="9736" width="22.28515625" style="176" customWidth="1"/>
    <col min="9737" max="9737" width="20.28515625" style="176" customWidth="1"/>
    <col min="9738" max="9738" width="21.42578125" style="176" customWidth="1"/>
    <col min="9739" max="9739" width="37" style="176" customWidth="1"/>
    <col min="9740" max="9740" width="20.28515625" style="176" customWidth="1"/>
    <col min="9741" max="9984" width="11.42578125" style="176"/>
    <col min="9985" max="9985" width="23.42578125" style="176" customWidth="1"/>
    <col min="9986" max="9986" width="24" style="176" customWidth="1"/>
    <col min="9987" max="9988" width="18.85546875" style="176" customWidth="1"/>
    <col min="9989" max="9989" width="18" style="176" customWidth="1"/>
    <col min="9990" max="9990" width="40.28515625" style="176" customWidth="1"/>
    <col min="9991" max="9991" width="21.7109375" style="176" customWidth="1"/>
    <col min="9992" max="9992" width="22.28515625" style="176" customWidth="1"/>
    <col min="9993" max="9993" width="20.28515625" style="176" customWidth="1"/>
    <col min="9994" max="9994" width="21.42578125" style="176" customWidth="1"/>
    <col min="9995" max="9995" width="37" style="176" customWidth="1"/>
    <col min="9996" max="9996" width="20.28515625" style="176" customWidth="1"/>
    <col min="9997" max="10240" width="11.42578125" style="176"/>
    <col min="10241" max="10241" width="23.42578125" style="176" customWidth="1"/>
    <col min="10242" max="10242" width="24" style="176" customWidth="1"/>
    <col min="10243" max="10244" width="18.85546875" style="176" customWidth="1"/>
    <col min="10245" max="10245" width="18" style="176" customWidth="1"/>
    <col min="10246" max="10246" width="40.28515625" style="176" customWidth="1"/>
    <col min="10247" max="10247" width="21.7109375" style="176" customWidth="1"/>
    <col min="10248" max="10248" width="22.28515625" style="176" customWidth="1"/>
    <col min="10249" max="10249" width="20.28515625" style="176" customWidth="1"/>
    <col min="10250" max="10250" width="21.42578125" style="176" customWidth="1"/>
    <col min="10251" max="10251" width="37" style="176" customWidth="1"/>
    <col min="10252" max="10252" width="20.28515625" style="176" customWidth="1"/>
    <col min="10253" max="10496" width="11.42578125" style="176"/>
    <col min="10497" max="10497" width="23.42578125" style="176" customWidth="1"/>
    <col min="10498" max="10498" width="24" style="176" customWidth="1"/>
    <col min="10499" max="10500" width="18.85546875" style="176" customWidth="1"/>
    <col min="10501" max="10501" width="18" style="176" customWidth="1"/>
    <col min="10502" max="10502" width="40.28515625" style="176" customWidth="1"/>
    <col min="10503" max="10503" width="21.7109375" style="176" customWidth="1"/>
    <col min="10504" max="10504" width="22.28515625" style="176" customWidth="1"/>
    <col min="10505" max="10505" width="20.28515625" style="176" customWidth="1"/>
    <col min="10506" max="10506" width="21.42578125" style="176" customWidth="1"/>
    <col min="10507" max="10507" width="37" style="176" customWidth="1"/>
    <col min="10508" max="10508" width="20.28515625" style="176" customWidth="1"/>
    <col min="10509" max="10752" width="11.42578125" style="176"/>
    <col min="10753" max="10753" width="23.42578125" style="176" customWidth="1"/>
    <col min="10754" max="10754" width="24" style="176" customWidth="1"/>
    <col min="10755" max="10756" width="18.85546875" style="176" customWidth="1"/>
    <col min="10757" max="10757" width="18" style="176" customWidth="1"/>
    <col min="10758" max="10758" width="40.28515625" style="176" customWidth="1"/>
    <col min="10759" max="10759" width="21.7109375" style="176" customWidth="1"/>
    <col min="10760" max="10760" width="22.28515625" style="176" customWidth="1"/>
    <col min="10761" max="10761" width="20.28515625" style="176" customWidth="1"/>
    <col min="10762" max="10762" width="21.42578125" style="176" customWidth="1"/>
    <col min="10763" max="10763" width="37" style="176" customWidth="1"/>
    <col min="10764" max="10764" width="20.28515625" style="176" customWidth="1"/>
    <col min="10765" max="11008" width="11.42578125" style="176"/>
    <col min="11009" max="11009" width="23.42578125" style="176" customWidth="1"/>
    <col min="11010" max="11010" width="24" style="176" customWidth="1"/>
    <col min="11011" max="11012" width="18.85546875" style="176" customWidth="1"/>
    <col min="11013" max="11013" width="18" style="176" customWidth="1"/>
    <col min="11014" max="11014" width="40.28515625" style="176" customWidth="1"/>
    <col min="11015" max="11015" width="21.7109375" style="176" customWidth="1"/>
    <col min="11016" max="11016" width="22.28515625" style="176" customWidth="1"/>
    <col min="11017" max="11017" width="20.28515625" style="176" customWidth="1"/>
    <col min="11018" max="11018" width="21.42578125" style="176" customWidth="1"/>
    <col min="11019" max="11019" width="37" style="176" customWidth="1"/>
    <col min="11020" max="11020" width="20.28515625" style="176" customWidth="1"/>
    <col min="11021" max="11264" width="11.42578125" style="176"/>
    <col min="11265" max="11265" width="23.42578125" style="176" customWidth="1"/>
    <col min="11266" max="11266" width="24" style="176" customWidth="1"/>
    <col min="11267" max="11268" width="18.85546875" style="176" customWidth="1"/>
    <col min="11269" max="11269" width="18" style="176" customWidth="1"/>
    <col min="11270" max="11270" width="40.28515625" style="176" customWidth="1"/>
    <col min="11271" max="11271" width="21.7109375" style="176" customWidth="1"/>
    <col min="11272" max="11272" width="22.28515625" style="176" customWidth="1"/>
    <col min="11273" max="11273" width="20.28515625" style="176" customWidth="1"/>
    <col min="11274" max="11274" width="21.42578125" style="176" customWidth="1"/>
    <col min="11275" max="11275" width="37" style="176" customWidth="1"/>
    <col min="11276" max="11276" width="20.28515625" style="176" customWidth="1"/>
    <col min="11277" max="11520" width="11.42578125" style="176"/>
    <col min="11521" max="11521" width="23.42578125" style="176" customWidth="1"/>
    <col min="11522" max="11522" width="24" style="176" customWidth="1"/>
    <col min="11523" max="11524" width="18.85546875" style="176" customWidth="1"/>
    <col min="11525" max="11525" width="18" style="176" customWidth="1"/>
    <col min="11526" max="11526" width="40.28515625" style="176" customWidth="1"/>
    <col min="11527" max="11527" width="21.7109375" style="176" customWidth="1"/>
    <col min="11528" max="11528" width="22.28515625" style="176" customWidth="1"/>
    <col min="11529" max="11529" width="20.28515625" style="176" customWidth="1"/>
    <col min="11530" max="11530" width="21.42578125" style="176" customWidth="1"/>
    <col min="11531" max="11531" width="37" style="176" customWidth="1"/>
    <col min="11532" max="11532" width="20.28515625" style="176" customWidth="1"/>
    <col min="11533" max="11776" width="11.42578125" style="176"/>
    <col min="11777" max="11777" width="23.42578125" style="176" customWidth="1"/>
    <col min="11778" max="11778" width="24" style="176" customWidth="1"/>
    <col min="11779" max="11780" width="18.85546875" style="176" customWidth="1"/>
    <col min="11781" max="11781" width="18" style="176" customWidth="1"/>
    <col min="11782" max="11782" width="40.28515625" style="176" customWidth="1"/>
    <col min="11783" max="11783" width="21.7109375" style="176" customWidth="1"/>
    <col min="11784" max="11784" width="22.28515625" style="176" customWidth="1"/>
    <col min="11785" max="11785" width="20.28515625" style="176" customWidth="1"/>
    <col min="11786" max="11786" width="21.42578125" style="176" customWidth="1"/>
    <col min="11787" max="11787" width="37" style="176" customWidth="1"/>
    <col min="11788" max="11788" width="20.28515625" style="176" customWidth="1"/>
    <col min="11789" max="12032" width="11.42578125" style="176"/>
    <col min="12033" max="12033" width="23.42578125" style="176" customWidth="1"/>
    <col min="12034" max="12034" width="24" style="176" customWidth="1"/>
    <col min="12035" max="12036" width="18.85546875" style="176" customWidth="1"/>
    <col min="12037" max="12037" width="18" style="176" customWidth="1"/>
    <col min="12038" max="12038" width="40.28515625" style="176" customWidth="1"/>
    <col min="12039" max="12039" width="21.7109375" style="176" customWidth="1"/>
    <col min="12040" max="12040" width="22.28515625" style="176" customWidth="1"/>
    <col min="12041" max="12041" width="20.28515625" style="176" customWidth="1"/>
    <col min="12042" max="12042" width="21.42578125" style="176" customWidth="1"/>
    <col min="12043" max="12043" width="37" style="176" customWidth="1"/>
    <col min="12044" max="12044" width="20.28515625" style="176" customWidth="1"/>
    <col min="12045" max="12288" width="11.42578125" style="176"/>
    <col min="12289" max="12289" width="23.42578125" style="176" customWidth="1"/>
    <col min="12290" max="12290" width="24" style="176" customWidth="1"/>
    <col min="12291" max="12292" width="18.85546875" style="176" customWidth="1"/>
    <col min="12293" max="12293" width="18" style="176" customWidth="1"/>
    <col min="12294" max="12294" width="40.28515625" style="176" customWidth="1"/>
    <col min="12295" max="12295" width="21.7109375" style="176" customWidth="1"/>
    <col min="12296" max="12296" width="22.28515625" style="176" customWidth="1"/>
    <col min="12297" max="12297" width="20.28515625" style="176" customWidth="1"/>
    <col min="12298" max="12298" width="21.42578125" style="176" customWidth="1"/>
    <col min="12299" max="12299" width="37" style="176" customWidth="1"/>
    <col min="12300" max="12300" width="20.28515625" style="176" customWidth="1"/>
    <col min="12301" max="12544" width="11.42578125" style="176"/>
    <col min="12545" max="12545" width="23.42578125" style="176" customWidth="1"/>
    <col min="12546" max="12546" width="24" style="176" customWidth="1"/>
    <col min="12547" max="12548" width="18.85546875" style="176" customWidth="1"/>
    <col min="12549" max="12549" width="18" style="176" customWidth="1"/>
    <col min="12550" max="12550" width="40.28515625" style="176" customWidth="1"/>
    <col min="12551" max="12551" width="21.7109375" style="176" customWidth="1"/>
    <col min="12552" max="12552" width="22.28515625" style="176" customWidth="1"/>
    <col min="12553" max="12553" width="20.28515625" style="176" customWidth="1"/>
    <col min="12554" max="12554" width="21.42578125" style="176" customWidth="1"/>
    <col min="12555" max="12555" width="37" style="176" customWidth="1"/>
    <col min="12556" max="12556" width="20.28515625" style="176" customWidth="1"/>
    <col min="12557" max="12800" width="11.42578125" style="176"/>
    <col min="12801" max="12801" width="23.42578125" style="176" customWidth="1"/>
    <col min="12802" max="12802" width="24" style="176" customWidth="1"/>
    <col min="12803" max="12804" width="18.85546875" style="176" customWidth="1"/>
    <col min="12805" max="12805" width="18" style="176" customWidth="1"/>
    <col min="12806" max="12806" width="40.28515625" style="176" customWidth="1"/>
    <col min="12807" max="12807" width="21.7109375" style="176" customWidth="1"/>
    <col min="12808" max="12808" width="22.28515625" style="176" customWidth="1"/>
    <col min="12809" max="12809" width="20.28515625" style="176" customWidth="1"/>
    <col min="12810" max="12810" width="21.42578125" style="176" customWidth="1"/>
    <col min="12811" max="12811" width="37" style="176" customWidth="1"/>
    <col min="12812" max="12812" width="20.28515625" style="176" customWidth="1"/>
    <col min="12813" max="13056" width="11.42578125" style="176"/>
    <col min="13057" max="13057" width="23.42578125" style="176" customWidth="1"/>
    <col min="13058" max="13058" width="24" style="176" customWidth="1"/>
    <col min="13059" max="13060" width="18.85546875" style="176" customWidth="1"/>
    <col min="13061" max="13061" width="18" style="176" customWidth="1"/>
    <col min="13062" max="13062" width="40.28515625" style="176" customWidth="1"/>
    <col min="13063" max="13063" width="21.7109375" style="176" customWidth="1"/>
    <col min="13064" max="13064" width="22.28515625" style="176" customWidth="1"/>
    <col min="13065" max="13065" width="20.28515625" style="176" customWidth="1"/>
    <col min="13066" max="13066" width="21.42578125" style="176" customWidth="1"/>
    <col min="13067" max="13067" width="37" style="176" customWidth="1"/>
    <col min="13068" max="13068" width="20.28515625" style="176" customWidth="1"/>
    <col min="13069" max="13312" width="11.42578125" style="176"/>
    <col min="13313" max="13313" width="23.42578125" style="176" customWidth="1"/>
    <col min="13314" max="13314" width="24" style="176" customWidth="1"/>
    <col min="13315" max="13316" width="18.85546875" style="176" customWidth="1"/>
    <col min="13317" max="13317" width="18" style="176" customWidth="1"/>
    <col min="13318" max="13318" width="40.28515625" style="176" customWidth="1"/>
    <col min="13319" max="13319" width="21.7109375" style="176" customWidth="1"/>
    <col min="13320" max="13320" width="22.28515625" style="176" customWidth="1"/>
    <col min="13321" max="13321" width="20.28515625" style="176" customWidth="1"/>
    <col min="13322" max="13322" width="21.42578125" style="176" customWidth="1"/>
    <col min="13323" max="13323" width="37" style="176" customWidth="1"/>
    <col min="13324" max="13324" width="20.28515625" style="176" customWidth="1"/>
    <col min="13325" max="13568" width="11.42578125" style="176"/>
    <col min="13569" max="13569" width="23.42578125" style="176" customWidth="1"/>
    <col min="13570" max="13570" width="24" style="176" customWidth="1"/>
    <col min="13571" max="13572" width="18.85546875" style="176" customWidth="1"/>
    <col min="13573" max="13573" width="18" style="176" customWidth="1"/>
    <col min="13574" max="13574" width="40.28515625" style="176" customWidth="1"/>
    <col min="13575" max="13575" width="21.7109375" style="176" customWidth="1"/>
    <col min="13576" max="13576" width="22.28515625" style="176" customWidth="1"/>
    <col min="13577" max="13577" width="20.28515625" style="176" customWidth="1"/>
    <col min="13578" max="13578" width="21.42578125" style="176" customWidth="1"/>
    <col min="13579" max="13579" width="37" style="176" customWidth="1"/>
    <col min="13580" max="13580" width="20.28515625" style="176" customWidth="1"/>
    <col min="13581" max="13824" width="11.42578125" style="176"/>
    <col min="13825" max="13825" width="23.42578125" style="176" customWidth="1"/>
    <col min="13826" max="13826" width="24" style="176" customWidth="1"/>
    <col min="13827" max="13828" width="18.85546875" style="176" customWidth="1"/>
    <col min="13829" max="13829" width="18" style="176" customWidth="1"/>
    <col min="13830" max="13830" width="40.28515625" style="176" customWidth="1"/>
    <col min="13831" max="13831" width="21.7109375" style="176" customWidth="1"/>
    <col min="13832" max="13832" width="22.28515625" style="176" customWidth="1"/>
    <col min="13833" max="13833" width="20.28515625" style="176" customWidth="1"/>
    <col min="13834" max="13834" width="21.42578125" style="176" customWidth="1"/>
    <col min="13835" max="13835" width="37" style="176" customWidth="1"/>
    <col min="13836" max="13836" width="20.28515625" style="176" customWidth="1"/>
    <col min="13837" max="14080" width="11.42578125" style="176"/>
    <col min="14081" max="14081" width="23.42578125" style="176" customWidth="1"/>
    <col min="14082" max="14082" width="24" style="176" customWidth="1"/>
    <col min="14083" max="14084" width="18.85546875" style="176" customWidth="1"/>
    <col min="14085" max="14085" width="18" style="176" customWidth="1"/>
    <col min="14086" max="14086" width="40.28515625" style="176" customWidth="1"/>
    <col min="14087" max="14087" width="21.7109375" style="176" customWidth="1"/>
    <col min="14088" max="14088" width="22.28515625" style="176" customWidth="1"/>
    <col min="14089" max="14089" width="20.28515625" style="176" customWidth="1"/>
    <col min="14090" max="14090" width="21.42578125" style="176" customWidth="1"/>
    <col min="14091" max="14091" width="37" style="176" customWidth="1"/>
    <col min="14092" max="14092" width="20.28515625" style="176" customWidth="1"/>
    <col min="14093" max="14336" width="11.42578125" style="176"/>
    <col min="14337" max="14337" width="23.42578125" style="176" customWidth="1"/>
    <col min="14338" max="14338" width="24" style="176" customWidth="1"/>
    <col min="14339" max="14340" width="18.85546875" style="176" customWidth="1"/>
    <col min="14341" max="14341" width="18" style="176" customWidth="1"/>
    <col min="14342" max="14342" width="40.28515625" style="176" customWidth="1"/>
    <col min="14343" max="14343" width="21.7109375" style="176" customWidth="1"/>
    <col min="14344" max="14344" width="22.28515625" style="176" customWidth="1"/>
    <col min="14345" max="14345" width="20.28515625" style="176" customWidth="1"/>
    <col min="14346" max="14346" width="21.42578125" style="176" customWidth="1"/>
    <col min="14347" max="14347" width="37" style="176" customWidth="1"/>
    <col min="14348" max="14348" width="20.28515625" style="176" customWidth="1"/>
    <col min="14349" max="14592" width="11.42578125" style="176"/>
    <col min="14593" max="14593" width="23.42578125" style="176" customWidth="1"/>
    <col min="14594" max="14594" width="24" style="176" customWidth="1"/>
    <col min="14595" max="14596" width="18.85546875" style="176" customWidth="1"/>
    <col min="14597" max="14597" width="18" style="176" customWidth="1"/>
    <col min="14598" max="14598" width="40.28515625" style="176" customWidth="1"/>
    <col min="14599" max="14599" width="21.7109375" style="176" customWidth="1"/>
    <col min="14600" max="14600" width="22.28515625" style="176" customWidth="1"/>
    <col min="14601" max="14601" width="20.28515625" style="176" customWidth="1"/>
    <col min="14602" max="14602" width="21.42578125" style="176" customWidth="1"/>
    <col min="14603" max="14603" width="37" style="176" customWidth="1"/>
    <col min="14604" max="14604" width="20.28515625" style="176" customWidth="1"/>
    <col min="14605" max="14848" width="11.42578125" style="176"/>
    <col min="14849" max="14849" width="23.42578125" style="176" customWidth="1"/>
    <col min="14850" max="14850" width="24" style="176" customWidth="1"/>
    <col min="14851" max="14852" width="18.85546875" style="176" customWidth="1"/>
    <col min="14853" max="14853" width="18" style="176" customWidth="1"/>
    <col min="14854" max="14854" width="40.28515625" style="176" customWidth="1"/>
    <col min="14855" max="14855" width="21.7109375" style="176" customWidth="1"/>
    <col min="14856" max="14856" width="22.28515625" style="176" customWidth="1"/>
    <col min="14857" max="14857" width="20.28515625" style="176" customWidth="1"/>
    <col min="14858" max="14858" width="21.42578125" style="176" customWidth="1"/>
    <col min="14859" max="14859" width="37" style="176" customWidth="1"/>
    <col min="14860" max="14860" width="20.28515625" style="176" customWidth="1"/>
    <col min="14861" max="15104" width="11.42578125" style="176"/>
    <col min="15105" max="15105" width="23.42578125" style="176" customWidth="1"/>
    <col min="15106" max="15106" width="24" style="176" customWidth="1"/>
    <col min="15107" max="15108" width="18.85546875" style="176" customWidth="1"/>
    <col min="15109" max="15109" width="18" style="176" customWidth="1"/>
    <col min="15110" max="15110" width="40.28515625" style="176" customWidth="1"/>
    <col min="15111" max="15111" width="21.7109375" style="176" customWidth="1"/>
    <col min="15112" max="15112" width="22.28515625" style="176" customWidth="1"/>
    <col min="15113" max="15113" width="20.28515625" style="176" customWidth="1"/>
    <col min="15114" max="15114" width="21.42578125" style="176" customWidth="1"/>
    <col min="15115" max="15115" width="37" style="176" customWidth="1"/>
    <col min="15116" max="15116" width="20.28515625" style="176" customWidth="1"/>
    <col min="15117" max="15360" width="11.42578125" style="176"/>
    <col min="15361" max="15361" width="23.42578125" style="176" customWidth="1"/>
    <col min="15362" max="15362" width="24" style="176" customWidth="1"/>
    <col min="15363" max="15364" width="18.85546875" style="176" customWidth="1"/>
    <col min="15365" max="15365" width="18" style="176" customWidth="1"/>
    <col min="15366" max="15366" width="40.28515625" style="176" customWidth="1"/>
    <col min="15367" max="15367" width="21.7109375" style="176" customWidth="1"/>
    <col min="15368" max="15368" width="22.28515625" style="176" customWidth="1"/>
    <col min="15369" max="15369" width="20.28515625" style="176" customWidth="1"/>
    <col min="15370" max="15370" width="21.42578125" style="176" customWidth="1"/>
    <col min="15371" max="15371" width="37" style="176" customWidth="1"/>
    <col min="15372" max="15372" width="20.28515625" style="176" customWidth="1"/>
    <col min="15373" max="15616" width="11.42578125" style="176"/>
    <col min="15617" max="15617" width="23.42578125" style="176" customWidth="1"/>
    <col min="15618" max="15618" width="24" style="176" customWidth="1"/>
    <col min="15619" max="15620" width="18.85546875" style="176" customWidth="1"/>
    <col min="15621" max="15621" width="18" style="176" customWidth="1"/>
    <col min="15622" max="15622" width="40.28515625" style="176" customWidth="1"/>
    <col min="15623" max="15623" width="21.7109375" style="176" customWidth="1"/>
    <col min="15624" max="15624" width="22.28515625" style="176" customWidth="1"/>
    <col min="15625" max="15625" width="20.28515625" style="176" customWidth="1"/>
    <col min="15626" max="15626" width="21.42578125" style="176" customWidth="1"/>
    <col min="15627" max="15627" width="37" style="176" customWidth="1"/>
    <col min="15628" max="15628" width="20.28515625" style="176" customWidth="1"/>
    <col min="15629" max="15872" width="11.42578125" style="176"/>
    <col min="15873" max="15873" width="23.42578125" style="176" customWidth="1"/>
    <col min="15874" max="15874" width="24" style="176" customWidth="1"/>
    <col min="15875" max="15876" width="18.85546875" style="176" customWidth="1"/>
    <col min="15877" max="15877" width="18" style="176" customWidth="1"/>
    <col min="15878" max="15878" width="40.28515625" style="176" customWidth="1"/>
    <col min="15879" max="15879" width="21.7109375" style="176" customWidth="1"/>
    <col min="15880" max="15880" width="22.28515625" style="176" customWidth="1"/>
    <col min="15881" max="15881" width="20.28515625" style="176" customWidth="1"/>
    <col min="15882" max="15882" width="21.42578125" style="176" customWidth="1"/>
    <col min="15883" max="15883" width="37" style="176" customWidth="1"/>
    <col min="15884" max="15884" width="20.28515625" style="176" customWidth="1"/>
    <col min="15885" max="16128" width="11.42578125" style="176"/>
    <col min="16129" max="16129" width="23.42578125" style="176" customWidth="1"/>
    <col min="16130" max="16130" width="24" style="176" customWidth="1"/>
    <col min="16131" max="16132" width="18.85546875" style="176" customWidth="1"/>
    <col min="16133" max="16133" width="18" style="176" customWidth="1"/>
    <col min="16134" max="16134" width="40.28515625" style="176" customWidth="1"/>
    <col min="16135" max="16135" width="21.7109375" style="176" customWidth="1"/>
    <col min="16136" max="16136" width="22.28515625" style="176" customWidth="1"/>
    <col min="16137" max="16137" width="20.28515625" style="176" customWidth="1"/>
    <col min="16138" max="16138" width="21.42578125" style="176" customWidth="1"/>
    <col min="16139" max="16139" width="37" style="176" customWidth="1"/>
    <col min="16140" max="16140" width="20.28515625" style="176" customWidth="1"/>
    <col min="16141" max="16384" width="11.42578125" style="176"/>
  </cols>
  <sheetData>
    <row r="1" spans="1:9" s="165" customFormat="1" ht="48.75" customHeight="1">
      <c r="A1" s="254"/>
      <c r="B1" s="255"/>
      <c r="C1" s="256"/>
      <c r="D1" s="164"/>
      <c r="E1" s="257" t="s">
        <v>93</v>
      </c>
      <c r="F1" s="257"/>
      <c r="G1" s="257"/>
      <c r="H1" s="257"/>
    </row>
    <row r="2" spans="1:9" s="165" customFormat="1" ht="12">
      <c r="A2" s="166"/>
      <c r="B2" s="166"/>
      <c r="C2" s="166"/>
      <c r="D2" s="166"/>
      <c r="E2" s="166"/>
      <c r="F2" s="167"/>
      <c r="G2" s="167"/>
      <c r="H2" s="167"/>
    </row>
    <row r="3" spans="1:9" s="165" customFormat="1" ht="12">
      <c r="A3" s="168" t="s">
        <v>94</v>
      </c>
      <c r="B3" s="258"/>
      <c r="C3" s="258"/>
      <c r="D3" s="258"/>
      <c r="E3" s="258"/>
      <c r="F3" s="258"/>
      <c r="G3" s="258"/>
    </row>
    <row r="4" spans="1:9" s="165" customFormat="1" ht="12">
      <c r="A4" s="168" t="s">
        <v>37</v>
      </c>
      <c r="B4" s="259"/>
      <c r="C4" s="259"/>
      <c r="D4" s="259"/>
      <c r="E4" s="259"/>
      <c r="F4" s="259"/>
      <c r="G4" s="259"/>
    </row>
    <row r="5" spans="1:9" s="165" customFormat="1" ht="12">
      <c r="A5" s="168"/>
      <c r="B5" s="169"/>
      <c r="C5" s="169"/>
      <c r="D5" s="169"/>
      <c r="E5" s="169"/>
      <c r="F5" s="169"/>
      <c r="G5" s="169"/>
    </row>
    <row r="6" spans="1:9" s="165" customFormat="1" ht="12">
      <c r="A6" s="168"/>
      <c r="B6" s="169"/>
      <c r="C6" s="169"/>
      <c r="D6" s="169"/>
      <c r="E6" s="169"/>
      <c r="F6" s="169"/>
      <c r="G6" s="169"/>
    </row>
    <row r="7" spans="1:9" s="93" customFormat="1">
      <c r="A7" s="170" t="s">
        <v>95</v>
      </c>
      <c r="B7" s="171"/>
      <c r="C7" s="171"/>
      <c r="D7" s="171"/>
      <c r="E7" s="171"/>
      <c r="F7" s="171"/>
      <c r="G7" s="171"/>
    </row>
    <row r="8" spans="1:9" s="165" customFormat="1" ht="48.75" customHeight="1">
      <c r="A8" s="260" t="s">
        <v>96</v>
      </c>
      <c r="B8" s="261"/>
      <c r="C8" s="261"/>
      <c r="D8" s="261"/>
      <c r="E8" s="261"/>
      <c r="F8" s="261"/>
      <c r="G8" s="261"/>
    </row>
    <row r="9" spans="1:9" s="165" customFormat="1" ht="12" customHeight="1">
      <c r="G9" s="172"/>
    </row>
    <row r="10" spans="1:9" s="165" customFormat="1" ht="9.75" customHeight="1"/>
    <row r="11" spans="1:9" s="165" customFormat="1" ht="12.75">
      <c r="A11" s="253" t="s">
        <v>97</v>
      </c>
      <c r="B11" s="253"/>
      <c r="C11" s="253"/>
      <c r="D11" s="253"/>
      <c r="E11" s="253"/>
      <c r="F11" s="253"/>
      <c r="G11" s="253"/>
      <c r="H11" s="253"/>
    </row>
    <row r="12" spans="1:9" s="165" customFormat="1" ht="14.25" customHeight="1">
      <c r="I12" s="173"/>
    </row>
    <row r="13" spans="1:9" s="165" customFormat="1" ht="12.75" customHeight="1">
      <c r="A13" s="242" t="s">
        <v>109</v>
      </c>
      <c r="B13" s="242"/>
      <c r="C13" s="243" t="s">
        <v>98</v>
      </c>
      <c r="D13" s="244" t="s">
        <v>70</v>
      </c>
      <c r="E13" s="246" t="s">
        <v>83</v>
      </c>
      <c r="F13" s="174" t="s">
        <v>99</v>
      </c>
      <c r="I13" s="173"/>
    </row>
    <row r="14" spans="1:9" s="165" customFormat="1" ht="53.25" customHeight="1">
      <c r="A14" s="242"/>
      <c r="B14" s="242"/>
      <c r="C14" s="243"/>
      <c r="D14" s="245"/>
      <c r="E14" s="246"/>
      <c r="F14" s="175"/>
      <c r="I14" s="173"/>
    </row>
    <row r="15" spans="1:9" ht="16.5" customHeight="1"/>
    <row r="16" spans="1:9" ht="19.5" customHeight="1">
      <c r="A16" s="168" t="s">
        <v>100</v>
      </c>
    </row>
    <row r="17" spans="1:7"/>
    <row r="18" spans="1:7">
      <c r="A18" s="247" t="s">
        <v>101</v>
      </c>
      <c r="B18" s="248"/>
      <c r="C18" s="248"/>
      <c r="D18" s="249"/>
      <c r="E18" s="250" t="s">
        <v>102</v>
      </c>
      <c r="F18" s="251"/>
      <c r="G18" s="252"/>
    </row>
    <row r="19" spans="1:7" ht="72">
      <c r="A19" s="177" t="s">
        <v>103</v>
      </c>
      <c r="B19" s="177" t="s">
        <v>104</v>
      </c>
      <c r="C19" s="178" t="s">
        <v>105</v>
      </c>
      <c r="D19" s="178" t="s">
        <v>110</v>
      </c>
      <c r="E19" s="179" t="s">
        <v>106</v>
      </c>
      <c r="F19" s="179" t="s">
        <v>107</v>
      </c>
      <c r="G19" s="179" t="s">
        <v>108</v>
      </c>
    </row>
    <row r="20" spans="1:7" ht="39" customHeight="1">
      <c r="A20" s="183" t="s">
        <v>111</v>
      </c>
      <c r="B20" s="183"/>
      <c r="C20" s="184"/>
      <c r="D20" s="184"/>
      <c r="E20" s="184"/>
      <c r="F20" s="184"/>
      <c r="G20" s="184"/>
    </row>
    <row r="21" spans="1:7" ht="39" customHeight="1">
      <c r="A21" s="183" t="s">
        <v>112</v>
      </c>
      <c r="B21" s="183"/>
      <c r="C21" s="184"/>
      <c r="D21" s="184"/>
      <c r="E21" s="184"/>
      <c r="F21" s="184"/>
      <c r="G21" s="184"/>
    </row>
    <row r="22" spans="1:7" ht="39" customHeight="1">
      <c r="A22" s="183" t="s">
        <v>113</v>
      </c>
      <c r="B22" s="183"/>
      <c r="C22" s="184"/>
      <c r="D22" s="184"/>
      <c r="E22" s="184"/>
      <c r="F22" s="184"/>
      <c r="G22" s="184"/>
    </row>
    <row r="23" spans="1:7" ht="39.75" customHeight="1">
      <c r="A23" s="183" t="s">
        <v>114</v>
      </c>
      <c r="B23" s="183"/>
      <c r="C23" s="184"/>
      <c r="D23" s="184"/>
      <c r="E23" s="184"/>
      <c r="F23" s="184"/>
      <c r="G23" s="184"/>
    </row>
    <row r="24" spans="1:7" ht="39.75" customHeight="1">
      <c r="A24" s="183" t="s">
        <v>117</v>
      </c>
      <c r="B24" s="183"/>
      <c r="C24" s="184"/>
      <c r="D24" s="184"/>
      <c r="E24" s="184"/>
      <c r="F24" s="184"/>
      <c r="G24" s="184"/>
    </row>
    <row r="25" spans="1:7"/>
    <row r="26" spans="1:7"/>
    <row r="27" spans="1:7"/>
    <row r="28" spans="1:7"/>
    <row r="29" spans="1:7"/>
    <row r="30" spans="1:7"/>
    <row r="31" spans="1:7"/>
    <row r="32" spans="1:7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</sheetData>
  <mergeCells count="12">
    <mergeCell ref="A11:H11"/>
    <mergeCell ref="A1:C1"/>
    <mergeCell ref="E1:H1"/>
    <mergeCell ref="B3:G3"/>
    <mergeCell ref="B4:G4"/>
    <mergeCell ref="A8:G8"/>
    <mergeCell ref="A13:B14"/>
    <mergeCell ref="C13:C14"/>
    <mergeCell ref="D13:D14"/>
    <mergeCell ref="E13:E14"/>
    <mergeCell ref="A18:D18"/>
    <mergeCell ref="E18:G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4" workbookViewId="0">
      <selection activeCell="G15" sqref="G15"/>
    </sheetView>
  </sheetViews>
  <sheetFormatPr baseColWidth="10" defaultRowHeight="15"/>
  <cols>
    <col min="1" max="1" width="11.42578125" style="134"/>
    <col min="2" max="2" width="45.85546875" style="134" customWidth="1"/>
    <col min="3" max="3" width="23" style="134" customWidth="1"/>
    <col min="4" max="4" width="30.42578125" style="134" customWidth="1"/>
    <col min="5" max="5" width="24.5703125" style="134" customWidth="1"/>
    <col min="6" max="6" width="11.85546875" style="134" bestFit="1" customWidth="1"/>
    <col min="7" max="16384" width="11.42578125" style="134"/>
  </cols>
  <sheetData>
    <row r="1" spans="1:5" ht="22.5" customHeight="1">
      <c r="A1" s="276"/>
      <c r="B1" s="276"/>
      <c r="C1" s="276"/>
      <c r="D1" s="278" t="s">
        <v>91</v>
      </c>
      <c r="E1" s="278"/>
    </row>
    <row r="2" spans="1:5" ht="22.5" customHeight="1">
      <c r="A2" s="276"/>
      <c r="B2" s="276"/>
      <c r="C2" s="276"/>
      <c r="D2" s="278"/>
      <c r="E2" s="278"/>
    </row>
    <row r="3" spans="1:5" ht="21.75" customHeight="1">
      <c r="A3" s="1" t="s">
        <v>1</v>
      </c>
      <c r="B3" s="2"/>
      <c r="C3" s="277" t="str">
        <f>'JORNADA LABORAL '!C4:I4</f>
        <v xml:space="preserve">MINISTERIO DE SALUD PUBLICA COORDINACIÓN ZONA 7 SALUD </v>
      </c>
      <c r="D3" s="277"/>
      <c r="E3" s="277"/>
    </row>
    <row r="4" spans="1:5" ht="25.5" customHeight="1">
      <c r="A4" s="116" t="s">
        <v>3</v>
      </c>
      <c r="B4" s="116" t="s">
        <v>86</v>
      </c>
      <c r="C4" s="116" t="s">
        <v>84</v>
      </c>
      <c r="D4" s="116" t="s">
        <v>85</v>
      </c>
      <c r="E4" s="117" t="s">
        <v>56</v>
      </c>
    </row>
    <row r="5" spans="1:5" ht="45.75" customHeight="1">
      <c r="A5" s="180">
        <v>1</v>
      </c>
      <c r="B5" s="181" t="s">
        <v>87</v>
      </c>
      <c r="C5" s="180" t="s">
        <v>70</v>
      </c>
      <c r="D5" s="181" t="s">
        <v>147</v>
      </c>
      <c r="E5" s="279" t="s">
        <v>149</v>
      </c>
    </row>
    <row r="6" spans="1:5" ht="45.75" customHeight="1">
      <c r="A6" s="180">
        <v>2</v>
      </c>
      <c r="B6" s="181" t="s">
        <v>88</v>
      </c>
      <c r="C6" s="180" t="s">
        <v>70</v>
      </c>
      <c r="D6" s="181" t="s">
        <v>147</v>
      </c>
      <c r="E6" s="280"/>
    </row>
    <row r="7" spans="1:5" ht="45.75" customHeight="1">
      <c r="A7" s="180">
        <v>3</v>
      </c>
      <c r="B7" s="181" t="s">
        <v>89</v>
      </c>
      <c r="C7" s="180" t="s">
        <v>70</v>
      </c>
      <c r="D7" s="181" t="s">
        <v>147</v>
      </c>
      <c r="E7" s="280"/>
    </row>
    <row r="8" spans="1:5" ht="45.75" customHeight="1">
      <c r="A8" s="180">
        <v>4</v>
      </c>
      <c r="B8" s="181" t="s">
        <v>92</v>
      </c>
      <c r="C8" s="180" t="s">
        <v>70</v>
      </c>
      <c r="D8" s="181" t="s">
        <v>147</v>
      </c>
      <c r="E8" s="281"/>
    </row>
    <row r="9" spans="1:5" ht="45.75" customHeight="1">
      <c r="A9" s="180">
        <v>5</v>
      </c>
      <c r="B9" s="181" t="s">
        <v>90</v>
      </c>
      <c r="C9" s="180" t="s">
        <v>148</v>
      </c>
      <c r="D9" s="180"/>
      <c r="E9" s="182"/>
    </row>
    <row r="11" spans="1:5" ht="15.75" thickBot="1"/>
    <row r="12" spans="1:5">
      <c r="B12" s="282" t="s">
        <v>156</v>
      </c>
      <c r="C12" s="283"/>
      <c r="D12" s="284" t="s">
        <v>157</v>
      </c>
      <c r="E12" s="285"/>
    </row>
    <row r="13" spans="1:5" ht="15.75" thickBot="1">
      <c r="B13" s="288" t="s">
        <v>158</v>
      </c>
      <c r="C13" s="289"/>
      <c r="D13" s="286"/>
      <c r="E13" s="287"/>
    </row>
    <row r="14" spans="1:5">
      <c r="B14" s="262"/>
      <c r="C14" s="263"/>
      <c r="D14" s="266"/>
      <c r="E14" s="267"/>
    </row>
    <row r="15" spans="1:5">
      <c r="B15" s="264"/>
      <c r="C15" s="265"/>
      <c r="D15" s="268"/>
      <c r="E15" s="269"/>
    </row>
    <row r="16" spans="1:5">
      <c r="B16" s="264"/>
      <c r="C16" s="265"/>
      <c r="D16" s="268"/>
      <c r="E16" s="269"/>
    </row>
    <row r="17" spans="2:5">
      <c r="B17" s="264"/>
      <c r="C17" s="265"/>
      <c r="D17" s="268"/>
      <c r="E17" s="269"/>
    </row>
    <row r="18" spans="2:5">
      <c r="B18" s="264"/>
      <c r="C18" s="265"/>
      <c r="D18" s="268"/>
      <c r="E18" s="269"/>
    </row>
    <row r="19" spans="2:5">
      <c r="B19" s="264"/>
      <c r="C19" s="265"/>
      <c r="D19" s="268"/>
      <c r="E19" s="269"/>
    </row>
    <row r="20" spans="2:5">
      <c r="B20" s="270" t="s">
        <v>159</v>
      </c>
      <c r="C20" s="270"/>
      <c r="D20" s="271" t="s">
        <v>160</v>
      </c>
      <c r="E20" s="271"/>
    </row>
    <row r="21" spans="2:5" ht="15.75" thickBot="1">
      <c r="B21" s="272" t="s">
        <v>161</v>
      </c>
      <c r="C21" s="273"/>
      <c r="D21" s="274" t="s">
        <v>162</v>
      </c>
      <c r="E21" s="275"/>
    </row>
  </sheetData>
  <mergeCells count="13">
    <mergeCell ref="A1:C2"/>
    <mergeCell ref="C3:E3"/>
    <mergeCell ref="D1:E2"/>
    <mergeCell ref="E5:E8"/>
    <mergeCell ref="B12:C12"/>
    <mergeCell ref="D12:E13"/>
    <mergeCell ref="B13:C13"/>
    <mergeCell ref="B14:C19"/>
    <mergeCell ref="D14:E19"/>
    <mergeCell ref="B20:C20"/>
    <mergeCell ref="D20:E20"/>
    <mergeCell ref="B21:C21"/>
    <mergeCell ref="D21:E21"/>
  </mergeCells>
  <conditionalFormatting sqref="A4:E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{26DBA200-4C60-4EC1-915C-09FD15CC5129}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DBA200-4C60-4EC1-915C-09FD15CC51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A4:E4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opLeftCell="A4" zoomScale="80" zoomScaleNormal="80" workbookViewId="0">
      <selection activeCell="H11" sqref="H11"/>
    </sheetView>
  </sheetViews>
  <sheetFormatPr baseColWidth="10" defaultRowHeight="15"/>
  <cols>
    <col min="1" max="1" width="7" style="134" customWidth="1"/>
    <col min="2" max="2" width="40" style="134" customWidth="1"/>
    <col min="3" max="3" width="25.42578125" style="134" customWidth="1"/>
    <col min="4" max="4" width="24" style="134" customWidth="1"/>
    <col min="5" max="5" width="25.42578125" style="134" customWidth="1"/>
    <col min="6" max="7" width="21.140625" style="134" customWidth="1"/>
    <col min="8" max="8" width="45.140625" style="134" customWidth="1"/>
    <col min="9" max="16384" width="11.42578125" style="134"/>
  </cols>
  <sheetData>
    <row r="1" spans="1:16" s="139" customFormat="1" ht="34.5" customHeight="1">
      <c r="A1" s="136"/>
      <c r="B1" s="137"/>
      <c r="C1" s="137"/>
      <c r="D1" s="137"/>
      <c r="E1" s="290" t="s">
        <v>72</v>
      </c>
      <c r="F1" s="290"/>
      <c r="G1" s="137"/>
      <c r="H1" s="137"/>
      <c r="I1" s="137"/>
      <c r="J1" s="137"/>
      <c r="K1" s="137"/>
      <c r="L1" s="137"/>
      <c r="M1" s="137"/>
      <c r="N1" s="137"/>
      <c r="O1" s="137"/>
      <c r="P1" s="138"/>
    </row>
    <row r="2" spans="1:16" s="139" customFormat="1" ht="13.5" customHeight="1">
      <c r="A2" s="140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 s="139" customFormat="1" ht="18" customHeight="1">
      <c r="A3" s="1" t="s">
        <v>1</v>
      </c>
      <c r="B3" s="29"/>
      <c r="C3" s="291" t="s">
        <v>123</v>
      </c>
      <c r="D3" s="291"/>
      <c r="E3" s="291"/>
      <c r="F3" s="291"/>
      <c r="G3" s="141"/>
      <c r="H3" s="141"/>
      <c r="I3" s="141"/>
      <c r="J3" s="141"/>
      <c r="K3" s="141"/>
      <c r="L3" s="141"/>
      <c r="M3" s="141"/>
      <c r="N3" s="141"/>
      <c r="O3" s="141"/>
      <c r="P3" s="141"/>
    </row>
    <row r="4" spans="1:16" s="139" customFormat="1" ht="18" customHeight="1">
      <c r="A4" s="1" t="s">
        <v>115</v>
      </c>
      <c r="B4" s="29"/>
      <c r="C4" s="159" t="s">
        <v>124</v>
      </c>
      <c r="D4" s="159"/>
      <c r="E4" s="159"/>
      <c r="F4" s="159"/>
      <c r="G4" s="141"/>
      <c r="H4" s="141"/>
      <c r="I4" s="141"/>
      <c r="J4" s="141"/>
      <c r="K4" s="141"/>
      <c r="L4" s="141"/>
      <c r="M4" s="141"/>
      <c r="N4" s="141"/>
      <c r="O4" s="141"/>
      <c r="P4" s="141"/>
    </row>
    <row r="5" spans="1:16">
      <c r="A5" s="292"/>
      <c r="B5" s="292"/>
      <c r="C5" s="292"/>
      <c r="D5" s="292"/>
      <c r="E5" s="292"/>
      <c r="F5" s="292"/>
      <c r="G5" s="292"/>
      <c r="H5" s="292"/>
    </row>
    <row r="6" spans="1:16">
      <c r="A6" s="293" t="s">
        <v>62</v>
      </c>
      <c r="B6" s="293" t="s">
        <v>71</v>
      </c>
      <c r="C6" s="293" t="s">
        <v>63</v>
      </c>
      <c r="D6" s="293"/>
      <c r="E6" s="293" t="s">
        <v>64</v>
      </c>
      <c r="F6" s="293"/>
      <c r="G6" s="294" t="s">
        <v>69</v>
      </c>
      <c r="H6" s="293" t="s">
        <v>56</v>
      </c>
    </row>
    <row r="7" spans="1:16" ht="22.5">
      <c r="A7" s="293"/>
      <c r="B7" s="293"/>
      <c r="C7" s="142" t="s">
        <v>66</v>
      </c>
      <c r="D7" s="142" t="s">
        <v>67</v>
      </c>
      <c r="E7" s="142" t="s">
        <v>66</v>
      </c>
      <c r="F7" s="142" t="s">
        <v>67</v>
      </c>
      <c r="G7" s="295"/>
      <c r="H7" s="293"/>
    </row>
    <row r="8" spans="1:16" ht="60" customHeight="1">
      <c r="A8" s="203">
        <v>1</v>
      </c>
      <c r="B8" s="219" t="s">
        <v>125</v>
      </c>
      <c r="C8" s="220" t="s">
        <v>150</v>
      </c>
      <c r="D8" s="221" t="s">
        <v>150</v>
      </c>
      <c r="E8" s="234" t="s">
        <v>150</v>
      </c>
      <c r="F8" s="234" t="s">
        <v>150</v>
      </c>
      <c r="G8" s="218" t="s">
        <v>83</v>
      </c>
      <c r="H8" s="204" t="s">
        <v>183</v>
      </c>
    </row>
    <row r="9" spans="1:16" ht="63.75" customHeight="1">
      <c r="A9" s="203">
        <v>2</v>
      </c>
      <c r="B9" s="209" t="s">
        <v>118</v>
      </c>
      <c r="C9" s="206" t="s">
        <v>150</v>
      </c>
      <c r="D9" s="203" t="s">
        <v>150</v>
      </c>
      <c r="E9" s="203" t="s">
        <v>150</v>
      </c>
      <c r="F9" s="203" t="s">
        <v>150</v>
      </c>
      <c r="G9" s="203" t="s">
        <v>83</v>
      </c>
      <c r="H9" s="204" t="s">
        <v>122</v>
      </c>
    </row>
    <row r="10" spans="1:16" ht="69.75" customHeight="1">
      <c r="A10" s="203">
        <v>3</v>
      </c>
      <c r="B10" s="209" t="s">
        <v>119</v>
      </c>
      <c r="C10" s="208" t="s">
        <v>255</v>
      </c>
      <c r="D10" s="208" t="s">
        <v>170</v>
      </c>
      <c r="E10" s="208" t="s">
        <v>171</v>
      </c>
      <c r="F10" s="208" t="s">
        <v>172</v>
      </c>
      <c r="G10" s="203" t="s">
        <v>163</v>
      </c>
      <c r="H10" s="207" t="s">
        <v>164</v>
      </c>
      <c r="I10" s="134">
        <v>2023</v>
      </c>
      <c r="J10" s="134">
        <v>15</v>
      </c>
      <c r="K10" s="228" t="s">
        <v>169</v>
      </c>
    </row>
    <row r="11" spans="1:16" ht="93" customHeight="1">
      <c r="A11" s="203">
        <v>4</v>
      </c>
      <c r="B11" s="205" t="s">
        <v>120</v>
      </c>
      <c r="C11" s="206" t="s">
        <v>151</v>
      </c>
      <c r="D11" s="208" t="s">
        <v>152</v>
      </c>
      <c r="E11" s="208" t="s">
        <v>174</v>
      </c>
      <c r="F11" s="208" t="s">
        <v>175</v>
      </c>
      <c r="G11" s="203" t="s">
        <v>83</v>
      </c>
      <c r="H11" s="207" t="s">
        <v>184</v>
      </c>
      <c r="I11" s="202">
        <v>2022</v>
      </c>
      <c r="J11" s="134">
        <v>4</v>
      </c>
    </row>
    <row r="12" spans="1:16" ht="101.25" customHeight="1">
      <c r="A12" s="203">
        <v>5</v>
      </c>
      <c r="B12" s="219" t="s">
        <v>153</v>
      </c>
      <c r="C12" s="220" t="s">
        <v>154</v>
      </c>
      <c r="D12" s="221" t="s">
        <v>155</v>
      </c>
      <c r="E12" s="231">
        <v>44986</v>
      </c>
      <c r="F12" s="231">
        <v>45000</v>
      </c>
      <c r="G12" s="218" t="s">
        <v>83</v>
      </c>
      <c r="H12" s="204" t="s">
        <v>182</v>
      </c>
      <c r="I12" s="228"/>
    </row>
    <row r="13" spans="1:16" ht="51.75" customHeight="1">
      <c r="A13" s="213"/>
      <c r="B13" s="214"/>
      <c r="C13" s="215"/>
      <c r="D13" s="216"/>
      <c r="E13" s="217"/>
      <c r="F13" s="217"/>
      <c r="G13" s="213"/>
      <c r="H13" s="212"/>
    </row>
    <row r="14" spans="1:16" ht="51.75" customHeight="1">
      <c r="A14" s="213"/>
      <c r="B14" s="214"/>
      <c r="C14" s="215"/>
      <c r="D14" s="216"/>
      <c r="E14" s="217"/>
      <c r="F14" s="217"/>
      <c r="G14" s="213"/>
      <c r="H14" s="212"/>
    </row>
    <row r="15" spans="1:16" ht="51.75" customHeight="1">
      <c r="A15" s="213"/>
      <c r="B15" s="214"/>
      <c r="C15" s="215"/>
      <c r="D15" s="216"/>
      <c r="E15" s="217"/>
      <c r="F15" s="217"/>
      <c r="G15" s="213"/>
      <c r="H15" s="212"/>
    </row>
    <row r="16" spans="1:16" ht="51.75" customHeight="1">
      <c r="A16" s="213"/>
      <c r="B16" s="214"/>
      <c r="C16" s="215"/>
      <c r="D16" s="216"/>
      <c r="E16" s="217"/>
      <c r="F16" s="217"/>
      <c r="G16" s="213"/>
      <c r="H16" s="212"/>
    </row>
    <row r="17" spans="3:6" ht="52.5" customHeight="1" thickBot="1"/>
    <row r="18" spans="3:6">
      <c r="C18" s="282" t="s">
        <v>156</v>
      </c>
      <c r="D18" s="283"/>
      <c r="E18" s="284" t="s">
        <v>157</v>
      </c>
      <c r="F18" s="285"/>
    </row>
    <row r="19" spans="3:6" ht="15.75" thickBot="1">
      <c r="C19" s="288" t="s">
        <v>158</v>
      </c>
      <c r="D19" s="289"/>
      <c r="E19" s="286"/>
      <c r="F19" s="287"/>
    </row>
    <row r="20" spans="3:6">
      <c r="C20" s="262"/>
      <c r="D20" s="263"/>
      <c r="E20" s="266"/>
      <c r="F20" s="267"/>
    </row>
    <row r="21" spans="3:6">
      <c r="C21" s="264"/>
      <c r="D21" s="265"/>
      <c r="E21" s="268"/>
      <c r="F21" s="269"/>
    </row>
    <row r="22" spans="3:6">
      <c r="C22" s="264"/>
      <c r="D22" s="265"/>
      <c r="E22" s="268"/>
      <c r="F22" s="269"/>
    </row>
    <row r="23" spans="3:6">
      <c r="C23" s="264"/>
      <c r="D23" s="265"/>
      <c r="E23" s="268"/>
      <c r="F23" s="269"/>
    </row>
    <row r="24" spans="3:6">
      <c r="C24" s="264"/>
      <c r="D24" s="265"/>
      <c r="E24" s="268"/>
      <c r="F24" s="269"/>
    </row>
    <row r="25" spans="3:6" ht="37.5" customHeight="1">
      <c r="C25" s="264"/>
      <c r="D25" s="265"/>
      <c r="E25" s="268"/>
      <c r="F25" s="269"/>
    </row>
    <row r="26" spans="3:6">
      <c r="C26" s="270" t="s">
        <v>159</v>
      </c>
      <c r="D26" s="270"/>
      <c r="E26" s="271" t="s">
        <v>160</v>
      </c>
      <c r="F26" s="271"/>
    </row>
    <row r="27" spans="3:6" ht="48.75" customHeight="1" thickBot="1">
      <c r="C27" s="272" t="s">
        <v>161</v>
      </c>
      <c r="D27" s="273"/>
      <c r="E27" s="274" t="s">
        <v>162</v>
      </c>
      <c r="F27" s="275"/>
    </row>
  </sheetData>
  <mergeCells count="18">
    <mergeCell ref="E1:F1"/>
    <mergeCell ref="C3:F3"/>
    <mergeCell ref="A5:H5"/>
    <mergeCell ref="A6:A7"/>
    <mergeCell ref="B6:B7"/>
    <mergeCell ref="C6:D6"/>
    <mergeCell ref="E6:F6"/>
    <mergeCell ref="G6:G7"/>
    <mergeCell ref="H6:H7"/>
    <mergeCell ref="C26:D26"/>
    <mergeCell ref="E26:F26"/>
    <mergeCell ref="C27:D27"/>
    <mergeCell ref="E27:F27"/>
    <mergeCell ref="C18:D18"/>
    <mergeCell ref="E18:F19"/>
    <mergeCell ref="C19:D19"/>
    <mergeCell ref="C20:D25"/>
    <mergeCell ref="E20:F25"/>
  </mergeCells>
  <pageMargins left="0.7" right="0.7" top="0.75" bottom="0.75" header="0.3" footer="0.3"/>
  <pageSetup paperSize="9" scale="60"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G15" sqref="G15"/>
    </sheetView>
  </sheetViews>
  <sheetFormatPr baseColWidth="10" defaultRowHeight="15"/>
  <cols>
    <col min="1" max="1" width="11.42578125" style="112"/>
    <col min="2" max="2" width="17.42578125" style="112" customWidth="1"/>
    <col min="3" max="3" width="45" style="112" customWidth="1"/>
    <col min="4" max="4" width="14.28515625" style="112" customWidth="1"/>
    <col min="5" max="5" width="11.42578125" style="112"/>
    <col min="6" max="6" width="13.28515625" style="112" customWidth="1"/>
    <col min="7" max="16384" width="11.42578125" style="112"/>
  </cols>
  <sheetData>
    <row r="1" spans="1:9" ht="18.75">
      <c r="B1" s="108"/>
      <c r="C1" s="108"/>
      <c r="D1" s="109"/>
      <c r="E1" s="110"/>
      <c r="F1" s="110"/>
      <c r="G1" s="110"/>
      <c r="H1" s="111"/>
      <c r="I1" s="111"/>
    </row>
    <row r="2" spans="1:9" ht="24.75" customHeight="1">
      <c r="A2" s="297" t="s">
        <v>68</v>
      </c>
      <c r="B2" s="298"/>
      <c r="C2" s="298"/>
      <c r="D2" s="298"/>
      <c r="E2" s="298"/>
      <c r="F2" s="298"/>
      <c r="G2" s="299"/>
      <c r="H2" s="111"/>
      <c r="I2" s="111"/>
    </row>
    <row r="3" spans="1:9">
      <c r="A3" s="113"/>
      <c r="B3" s="113"/>
      <c r="C3" s="113"/>
      <c r="D3" s="113"/>
      <c r="E3" s="113"/>
      <c r="F3" s="113"/>
      <c r="G3" s="113"/>
      <c r="H3" s="111"/>
      <c r="I3" s="111"/>
    </row>
    <row r="4" spans="1:9">
      <c r="A4" s="300" t="s">
        <v>1</v>
      </c>
      <c r="B4" s="300"/>
      <c r="C4" s="145" t="str">
        <f>'CONTROL DE VACACIONES'!C3:F3</f>
        <v xml:space="preserve">MINISTERIO DE SALUD PUBLICA COORDINACIÓN ZONA 7 SALUD </v>
      </c>
      <c r="D4" s="145"/>
      <c r="E4" s="145"/>
      <c r="F4" s="145"/>
      <c r="G4" s="145"/>
      <c r="H4" s="114"/>
      <c r="I4" s="114"/>
    </row>
    <row r="5" spans="1:9">
      <c r="A5" s="300" t="s">
        <v>37</v>
      </c>
      <c r="B5" s="300"/>
      <c r="C5" s="193">
        <v>45016</v>
      </c>
      <c r="D5" s="115"/>
      <c r="E5" s="135"/>
      <c r="F5" s="135"/>
      <c r="G5" s="135"/>
      <c r="H5" s="114"/>
      <c r="I5" s="114"/>
    </row>
    <row r="6" spans="1:9">
      <c r="A6" s="296"/>
      <c r="B6" s="296"/>
      <c r="C6" s="296"/>
      <c r="D6" s="296"/>
      <c r="E6" s="296"/>
      <c r="F6" s="296"/>
      <c r="G6" s="296"/>
      <c r="H6" s="114"/>
      <c r="I6" s="114"/>
    </row>
    <row r="7" spans="1:9" ht="58.5" customHeight="1">
      <c r="A7" s="116" t="s">
        <v>3</v>
      </c>
      <c r="B7" s="116" t="s">
        <v>26</v>
      </c>
      <c r="C7" s="116" t="s">
        <v>71</v>
      </c>
      <c r="D7" s="117" t="s">
        <v>59</v>
      </c>
      <c r="E7" s="117" t="s">
        <v>73</v>
      </c>
      <c r="F7" s="117" t="s">
        <v>74</v>
      </c>
      <c r="G7" s="117" t="s">
        <v>60</v>
      </c>
      <c r="H7" s="132"/>
      <c r="I7" s="118"/>
    </row>
    <row r="8" spans="1:9">
      <c r="A8" s="180">
        <v>1</v>
      </c>
      <c r="B8" s="194">
        <v>1725694341</v>
      </c>
      <c r="C8" s="7" t="s">
        <v>125</v>
      </c>
      <c r="D8" s="196">
        <v>44287</v>
      </c>
      <c r="E8" s="225">
        <v>0</v>
      </c>
      <c r="F8" s="222">
        <v>30</v>
      </c>
      <c r="G8" s="226">
        <v>30</v>
      </c>
      <c r="H8" s="114"/>
      <c r="I8" s="114"/>
    </row>
    <row r="9" spans="1:9">
      <c r="A9" s="180">
        <v>2</v>
      </c>
      <c r="B9" s="195" t="s">
        <v>126</v>
      </c>
      <c r="C9" s="7" t="s">
        <v>118</v>
      </c>
      <c r="D9" s="196">
        <v>44713</v>
      </c>
      <c r="E9" s="225">
        <v>0</v>
      </c>
      <c r="F9" s="223">
        <v>30</v>
      </c>
      <c r="G9" s="226">
        <v>30</v>
      </c>
      <c r="H9" s="114"/>
      <c r="I9" s="114"/>
    </row>
    <row r="10" spans="1:9">
      <c r="A10" s="180">
        <v>3</v>
      </c>
      <c r="B10" s="194">
        <v>1104739709</v>
      </c>
      <c r="C10" s="7" t="s">
        <v>119</v>
      </c>
      <c r="D10" s="196">
        <v>42767</v>
      </c>
      <c r="E10" s="225">
        <v>0.63</v>
      </c>
      <c r="F10" s="224">
        <v>30</v>
      </c>
      <c r="G10" s="227">
        <v>29.37</v>
      </c>
      <c r="H10" s="114"/>
      <c r="I10" s="114"/>
    </row>
    <row r="11" spans="1:9">
      <c r="A11" s="180">
        <v>4</v>
      </c>
      <c r="B11" s="195" t="s">
        <v>127</v>
      </c>
      <c r="C11" s="7" t="s">
        <v>120</v>
      </c>
      <c r="D11" s="196">
        <v>43952</v>
      </c>
      <c r="E11" s="225">
        <v>0</v>
      </c>
      <c r="F11" s="223">
        <v>30</v>
      </c>
      <c r="G11" s="226">
        <v>30</v>
      </c>
      <c r="H11" s="114"/>
      <c r="I11" s="114"/>
    </row>
    <row r="12" spans="1:9">
      <c r="A12" s="180">
        <v>5</v>
      </c>
      <c r="B12" s="201">
        <v>1104806730</v>
      </c>
      <c r="C12" s="7" t="s">
        <v>121</v>
      </c>
      <c r="D12" s="196">
        <v>44562</v>
      </c>
      <c r="E12" s="225">
        <v>0</v>
      </c>
      <c r="F12" s="225">
        <v>6.25</v>
      </c>
      <c r="G12" s="227">
        <v>6.25</v>
      </c>
      <c r="H12" s="114"/>
      <c r="I12" s="114"/>
    </row>
    <row r="13" spans="1:9">
      <c r="C13" s="198"/>
      <c r="D13" s="196"/>
      <c r="G13" s="199"/>
    </row>
    <row r="14" spans="1:9" ht="15.75" thickBot="1">
      <c r="C14" s="176"/>
      <c r="D14" s="197"/>
      <c r="G14" s="199"/>
    </row>
    <row r="15" spans="1:9">
      <c r="C15" s="282" t="s">
        <v>156</v>
      </c>
      <c r="D15" s="283"/>
      <c r="E15" s="284" t="s">
        <v>157</v>
      </c>
      <c r="F15" s="285"/>
      <c r="G15" s="176"/>
    </row>
    <row r="16" spans="1:9" ht="15.75" thickBot="1">
      <c r="C16" s="288" t="s">
        <v>158</v>
      </c>
      <c r="D16" s="289"/>
      <c r="E16" s="286"/>
      <c r="F16" s="287"/>
    </row>
    <row r="17" spans="3:6">
      <c r="C17" s="262"/>
      <c r="D17" s="263"/>
      <c r="E17" s="266"/>
      <c r="F17" s="267"/>
    </row>
    <row r="18" spans="3:6">
      <c r="C18" s="264"/>
      <c r="D18" s="265"/>
      <c r="E18" s="268"/>
      <c r="F18" s="269"/>
    </row>
    <row r="19" spans="3:6">
      <c r="C19" s="264"/>
      <c r="D19" s="265"/>
      <c r="E19" s="268"/>
      <c r="F19" s="269"/>
    </row>
    <row r="20" spans="3:6">
      <c r="C20" s="264"/>
      <c r="D20" s="265"/>
      <c r="E20" s="268"/>
      <c r="F20" s="269"/>
    </row>
    <row r="21" spans="3:6">
      <c r="C21" s="264"/>
      <c r="D21" s="265"/>
      <c r="E21" s="268"/>
      <c r="F21" s="269"/>
    </row>
    <row r="22" spans="3:6">
      <c r="C22" s="264"/>
      <c r="D22" s="265"/>
      <c r="E22" s="268"/>
      <c r="F22" s="269"/>
    </row>
    <row r="23" spans="3:6">
      <c r="C23" s="270" t="s">
        <v>159</v>
      </c>
      <c r="D23" s="270"/>
      <c r="E23" s="271" t="s">
        <v>160</v>
      </c>
      <c r="F23" s="271"/>
    </row>
    <row r="24" spans="3:6" ht="30" customHeight="1" thickBot="1">
      <c r="C24" s="272" t="s">
        <v>161</v>
      </c>
      <c r="D24" s="273"/>
      <c r="E24" s="274" t="s">
        <v>162</v>
      </c>
      <c r="F24" s="275"/>
    </row>
  </sheetData>
  <mergeCells count="13">
    <mergeCell ref="A6:G6"/>
    <mergeCell ref="A2:G2"/>
    <mergeCell ref="A4:B4"/>
    <mergeCell ref="A5:B5"/>
    <mergeCell ref="C23:D23"/>
    <mergeCell ref="E23:F23"/>
    <mergeCell ref="C24:D24"/>
    <mergeCell ref="E24:F24"/>
    <mergeCell ref="C15:D15"/>
    <mergeCell ref="E15:F16"/>
    <mergeCell ref="C16:D16"/>
    <mergeCell ref="C17:D22"/>
    <mergeCell ref="E17:F22"/>
  </mergeCells>
  <conditionalFormatting sqref="E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{BA05557D-8D86-4F26-B1A3-80C1FDE04142}</x14:id>
        </ext>
      </extLst>
    </cfRule>
  </conditionalFormatting>
  <conditionalFormatting sqref="F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{1E47197E-A8B4-45E7-B0C9-29ACE51BD4E3}</x14:id>
        </ext>
      </extLst>
    </cfRule>
  </conditionalFormatting>
  <conditionalFormatting sqref="G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{DBE4977D-0912-4995-82A4-89BE821C5073}</x14:id>
        </ext>
      </extLst>
    </cfRule>
  </conditionalFormatting>
  <conditionalFormatting sqref="A7:D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{68CA95FF-3F0C-4305-A5AC-CC92E3A720BA}</x14:id>
        </ext>
      </extLst>
    </cfRule>
  </conditionalFormatting>
  <pageMargins left="0.7" right="0.7" top="0.75" bottom="0.75" header="0.3" footer="0.3"/>
  <pageSetup paperSize="9" scale="65" orientation="portrait" horizontalDpi="4294967294" verticalDpi="4294967294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05557D-8D86-4F26-B1A3-80C1FDE04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</xm:sqref>
        </x14:conditionalFormatting>
        <x14:conditionalFormatting xmlns:xm="http://schemas.microsoft.com/office/excel/2006/main">
          <x14:cfRule type="dataBar" id="{1E47197E-A8B4-45E7-B0C9-29ACE51BD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DBE4977D-0912-4995-82A4-89BE821C5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68CA95FF-3F0C-4305-A5AC-CC92E3A720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A7:D7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zoomScale="80" zoomScaleNormal="80" workbookViewId="0">
      <selection activeCell="H39" sqref="H39:H46"/>
    </sheetView>
  </sheetViews>
  <sheetFormatPr baseColWidth="10" defaultRowHeight="15"/>
  <cols>
    <col min="1" max="1" width="11.42578125" style="93"/>
    <col min="2" max="2" width="34.5703125" style="93" customWidth="1"/>
    <col min="3" max="3" width="11.42578125" style="94"/>
    <col min="4" max="4" width="20.7109375" style="94" customWidth="1"/>
    <col min="5" max="5" width="11.42578125" style="94"/>
    <col min="6" max="6" width="23" style="94" customWidth="1"/>
    <col min="7" max="7" width="18.28515625" style="93" customWidth="1"/>
    <col min="8" max="8" width="43.5703125" style="93" bestFit="1" customWidth="1"/>
    <col min="9" max="9" width="26.140625" style="94" customWidth="1"/>
    <col min="10" max="10" width="16.7109375" style="93" customWidth="1"/>
    <col min="11" max="16384" width="11.42578125" style="93"/>
  </cols>
  <sheetData>
    <row r="1" spans="1:9">
      <c r="C1" s="310" t="s">
        <v>58</v>
      </c>
      <c r="D1" s="310"/>
      <c r="E1" s="310"/>
      <c r="F1" s="310"/>
      <c r="G1" s="310"/>
      <c r="H1" s="310"/>
      <c r="I1" s="310"/>
    </row>
    <row r="2" spans="1:9">
      <c r="C2" s="310"/>
      <c r="D2" s="310"/>
      <c r="E2" s="310"/>
      <c r="F2" s="310"/>
      <c r="G2" s="310"/>
      <c r="H2" s="310"/>
      <c r="I2" s="310"/>
    </row>
    <row r="5" spans="1:9">
      <c r="A5" s="1" t="s">
        <v>1</v>
      </c>
      <c r="B5" s="2"/>
      <c r="C5" s="311" t="str">
        <f>'MUESTRA SALDO DE VACACIONES'!C4</f>
        <v xml:space="preserve">MINISTERIO DE SALUD PUBLICA COORDINACIÓN ZONA 7 SALUD </v>
      </c>
      <c r="D5" s="311"/>
      <c r="E5" s="311"/>
      <c r="F5" s="311"/>
      <c r="G5" s="311"/>
      <c r="H5" s="311"/>
    </row>
    <row r="7" spans="1:9" ht="45" customHeight="1">
      <c r="A7" s="95" t="s">
        <v>26</v>
      </c>
      <c r="B7" s="95" t="s">
        <v>71</v>
      </c>
      <c r="C7" s="146" t="s">
        <v>75</v>
      </c>
      <c r="D7" s="96" t="s">
        <v>43</v>
      </c>
      <c r="E7" s="97" t="s">
        <v>53</v>
      </c>
      <c r="F7" s="97" t="s">
        <v>54</v>
      </c>
      <c r="G7" s="98" t="s">
        <v>55</v>
      </c>
      <c r="H7" s="95" t="s">
        <v>56</v>
      </c>
      <c r="I7" s="95" t="s">
        <v>57</v>
      </c>
    </row>
    <row r="8" spans="1:9">
      <c r="A8" s="301">
        <f>'MUESTRA SALDO DE VACACIONES'!B8</f>
        <v>1725694341</v>
      </c>
      <c r="B8" s="301" t="str">
        <f>'MUESTRA SALDO DE VACACIONES'!C8</f>
        <v>RIVADENEIRA VILLARREAL DARWIN DANIEL</v>
      </c>
      <c r="C8" s="7"/>
      <c r="D8" s="131"/>
      <c r="E8" s="100"/>
      <c r="F8" s="100"/>
      <c r="G8" s="101">
        <f>D8+(E8/8)+(F8/480)</f>
        <v>0</v>
      </c>
      <c r="H8" s="301" t="s">
        <v>165</v>
      </c>
      <c r="I8" s="304">
        <f>SUM(G8:G12)</f>
        <v>0</v>
      </c>
    </row>
    <row r="9" spans="1:9">
      <c r="A9" s="302"/>
      <c r="B9" s="302"/>
      <c r="C9" s="7"/>
      <c r="D9" s="131"/>
      <c r="E9" s="100"/>
      <c r="F9" s="100"/>
      <c r="G9" s="101">
        <f t="shared" ref="G9:G46" si="0">D9+(E9/8)+(F9/480)</f>
        <v>0</v>
      </c>
      <c r="H9" s="302"/>
      <c r="I9" s="305"/>
    </row>
    <row r="10" spans="1:9">
      <c r="A10" s="302"/>
      <c r="B10" s="302"/>
      <c r="C10" s="7"/>
      <c r="D10" s="131"/>
      <c r="E10" s="100"/>
      <c r="F10" s="100"/>
      <c r="G10" s="101">
        <f t="shared" si="0"/>
        <v>0</v>
      </c>
      <c r="H10" s="302"/>
      <c r="I10" s="305"/>
    </row>
    <row r="11" spans="1:9">
      <c r="A11" s="302"/>
      <c r="B11" s="302"/>
      <c r="C11" s="7"/>
      <c r="D11" s="131"/>
      <c r="E11" s="100"/>
      <c r="F11" s="100"/>
      <c r="G11" s="101">
        <f t="shared" si="0"/>
        <v>0</v>
      </c>
      <c r="H11" s="302"/>
      <c r="I11" s="305"/>
    </row>
    <row r="12" spans="1:9">
      <c r="A12" s="303"/>
      <c r="B12" s="303"/>
      <c r="C12" s="7"/>
      <c r="D12" s="131"/>
      <c r="E12" s="100"/>
      <c r="F12" s="100"/>
      <c r="G12" s="101">
        <f t="shared" si="0"/>
        <v>0</v>
      </c>
      <c r="H12" s="303"/>
      <c r="I12" s="306"/>
    </row>
    <row r="13" spans="1:9">
      <c r="A13" s="301" t="str">
        <f>'MUESTRA SALDO DE VACACIONES'!B9</f>
        <v>0706858347</v>
      </c>
      <c r="B13" s="301" t="str">
        <f>'MUESTRA SALDO DE VACACIONES'!C9</f>
        <v>PEREZ GONZALEZ CRISTINA ELIZABETH</v>
      </c>
      <c r="C13" s="7"/>
      <c r="D13" s="105"/>
      <c r="E13" s="100"/>
      <c r="F13" s="100"/>
      <c r="G13" s="101">
        <f t="shared" si="0"/>
        <v>0</v>
      </c>
      <c r="H13" s="307" t="s">
        <v>165</v>
      </c>
      <c r="I13" s="304">
        <f>SUM(G13:G17)</f>
        <v>0</v>
      </c>
    </row>
    <row r="14" spans="1:9">
      <c r="A14" s="302"/>
      <c r="B14" s="302"/>
      <c r="C14" s="7"/>
      <c r="D14" s="105"/>
      <c r="E14" s="100"/>
      <c r="F14" s="100"/>
      <c r="G14" s="101">
        <f t="shared" si="0"/>
        <v>0</v>
      </c>
      <c r="H14" s="308"/>
      <c r="I14" s="305"/>
    </row>
    <row r="15" spans="1:9">
      <c r="A15" s="302"/>
      <c r="B15" s="302"/>
      <c r="C15" s="7"/>
      <c r="D15" s="105"/>
      <c r="E15" s="100"/>
      <c r="F15" s="100"/>
      <c r="G15" s="101">
        <f t="shared" si="0"/>
        <v>0</v>
      </c>
      <c r="H15" s="308"/>
      <c r="I15" s="305"/>
    </row>
    <row r="16" spans="1:9">
      <c r="A16" s="302"/>
      <c r="B16" s="302"/>
      <c r="C16" s="7"/>
      <c r="D16" s="105"/>
      <c r="E16" s="100"/>
      <c r="F16" s="100"/>
      <c r="G16" s="101">
        <f t="shared" si="0"/>
        <v>0</v>
      </c>
      <c r="H16" s="308"/>
      <c r="I16" s="305"/>
    </row>
    <row r="17" spans="1:9">
      <c r="A17" s="303"/>
      <c r="B17" s="303"/>
      <c r="C17" s="144"/>
      <c r="D17" s="105"/>
      <c r="E17" s="100"/>
      <c r="F17" s="100"/>
      <c r="G17" s="101">
        <f t="shared" si="0"/>
        <v>0</v>
      </c>
      <c r="H17" s="309"/>
      <c r="I17" s="306"/>
    </row>
    <row r="18" spans="1:9">
      <c r="A18" s="301">
        <f>'MUESTRA SALDO DE VACACIONES'!B10</f>
        <v>1104739709</v>
      </c>
      <c r="B18" s="301" t="str">
        <f>'MUESTRA SALDO DE VACACIONES'!C10</f>
        <v>GUACHON MEDINA TANIA CECILIA</v>
      </c>
      <c r="C18" s="104">
        <v>44547</v>
      </c>
      <c r="D18" s="105"/>
      <c r="E18" s="100">
        <v>0</v>
      </c>
      <c r="F18" s="100">
        <v>30</v>
      </c>
      <c r="G18" s="101">
        <f t="shared" si="0"/>
        <v>6.25E-2</v>
      </c>
      <c r="H18" s="307" t="s">
        <v>166</v>
      </c>
      <c r="I18" s="304">
        <f>SUM(G18:G38)</f>
        <v>2.833333333333333</v>
      </c>
    </row>
    <row r="19" spans="1:9">
      <c r="A19" s="302"/>
      <c r="B19" s="302"/>
      <c r="C19" s="104">
        <v>44490</v>
      </c>
      <c r="D19" s="105"/>
      <c r="E19" s="100">
        <v>3</v>
      </c>
      <c r="F19" s="100"/>
      <c r="G19" s="101">
        <f t="shared" si="0"/>
        <v>0.375</v>
      </c>
      <c r="H19" s="308"/>
      <c r="I19" s="305"/>
    </row>
    <row r="20" spans="1:9">
      <c r="A20" s="302"/>
      <c r="B20" s="302"/>
      <c r="C20" s="104">
        <v>44494</v>
      </c>
      <c r="D20" s="105"/>
      <c r="E20" s="100">
        <v>1</v>
      </c>
      <c r="F20" s="100"/>
      <c r="G20" s="101">
        <f t="shared" si="0"/>
        <v>0.125</v>
      </c>
      <c r="H20" s="308"/>
      <c r="I20" s="305"/>
    </row>
    <row r="21" spans="1:9">
      <c r="A21" s="302"/>
      <c r="B21" s="302"/>
      <c r="C21" s="104">
        <v>44480</v>
      </c>
      <c r="D21" s="105"/>
      <c r="E21" s="100">
        <v>1</v>
      </c>
      <c r="F21" s="100"/>
      <c r="G21" s="101">
        <f t="shared" si="0"/>
        <v>0.125</v>
      </c>
      <c r="H21" s="308"/>
      <c r="I21" s="305"/>
    </row>
    <row r="22" spans="1:9">
      <c r="A22" s="302"/>
      <c r="B22" s="302"/>
      <c r="C22" s="104">
        <v>44439</v>
      </c>
      <c r="D22" s="105"/>
      <c r="E22" s="100"/>
      <c r="F22" s="100">
        <v>30</v>
      </c>
      <c r="G22" s="101">
        <f t="shared" si="0"/>
        <v>6.25E-2</v>
      </c>
      <c r="H22" s="308"/>
      <c r="I22" s="305"/>
    </row>
    <row r="23" spans="1:9">
      <c r="A23" s="302"/>
      <c r="B23" s="302"/>
      <c r="C23" s="104">
        <v>44323</v>
      </c>
      <c r="D23" s="105"/>
      <c r="E23" s="100">
        <v>2</v>
      </c>
      <c r="F23" s="100">
        <v>55</v>
      </c>
      <c r="G23" s="101">
        <f t="shared" si="0"/>
        <v>0.36458333333333331</v>
      </c>
      <c r="H23" s="308"/>
      <c r="I23" s="305"/>
    </row>
    <row r="24" spans="1:9">
      <c r="A24" s="302"/>
      <c r="B24" s="302"/>
      <c r="C24" s="104">
        <v>44791</v>
      </c>
      <c r="D24" s="105"/>
      <c r="E24" s="100"/>
      <c r="F24" s="100">
        <v>30</v>
      </c>
      <c r="G24" s="101">
        <f t="shared" si="0"/>
        <v>6.25E-2</v>
      </c>
      <c r="H24" s="308"/>
      <c r="I24" s="305"/>
    </row>
    <row r="25" spans="1:9">
      <c r="A25" s="302"/>
      <c r="B25" s="302"/>
      <c r="C25" s="104">
        <v>44721</v>
      </c>
      <c r="D25" s="105"/>
      <c r="E25" s="100"/>
      <c r="F25" s="100">
        <v>30</v>
      </c>
      <c r="G25" s="101">
        <f t="shared" si="0"/>
        <v>6.25E-2</v>
      </c>
      <c r="H25" s="308"/>
      <c r="I25" s="305"/>
    </row>
    <row r="26" spans="1:9">
      <c r="A26" s="302"/>
      <c r="B26" s="302"/>
      <c r="C26" s="104">
        <v>44601</v>
      </c>
      <c r="D26" s="105"/>
      <c r="E26" s="100">
        <v>1</v>
      </c>
      <c r="F26" s="100"/>
      <c r="G26" s="101">
        <f t="shared" si="0"/>
        <v>0.125</v>
      </c>
      <c r="H26" s="308"/>
      <c r="I26" s="305"/>
    </row>
    <row r="27" spans="1:9">
      <c r="A27" s="302"/>
      <c r="B27" s="302"/>
      <c r="C27" s="104">
        <v>44637</v>
      </c>
      <c r="D27" s="105"/>
      <c r="E27" s="100"/>
      <c r="F27" s="100">
        <v>30</v>
      </c>
      <c r="G27" s="101">
        <f t="shared" si="0"/>
        <v>6.25E-2</v>
      </c>
      <c r="H27" s="308"/>
      <c r="I27" s="305"/>
    </row>
    <row r="28" spans="1:9">
      <c r="A28" s="302"/>
      <c r="B28" s="302"/>
      <c r="C28" s="104">
        <v>44757</v>
      </c>
      <c r="D28" s="105"/>
      <c r="E28" s="100"/>
      <c r="F28" s="100">
        <v>30</v>
      </c>
      <c r="G28" s="101">
        <f t="shared" si="0"/>
        <v>6.25E-2</v>
      </c>
      <c r="H28" s="308"/>
      <c r="I28" s="305"/>
    </row>
    <row r="29" spans="1:9">
      <c r="A29" s="302"/>
      <c r="B29" s="302"/>
      <c r="C29" s="104">
        <v>44784</v>
      </c>
      <c r="D29" s="105"/>
      <c r="E29" s="100">
        <v>3</v>
      </c>
      <c r="F29" s="100"/>
      <c r="G29" s="101">
        <f t="shared" si="0"/>
        <v>0.375</v>
      </c>
      <c r="H29" s="308"/>
      <c r="I29" s="305"/>
    </row>
    <row r="30" spans="1:9">
      <c r="A30" s="302"/>
      <c r="B30" s="302"/>
      <c r="C30" s="104">
        <v>44873</v>
      </c>
      <c r="D30" s="105"/>
      <c r="E30" s="100">
        <v>1</v>
      </c>
      <c r="F30" s="100"/>
      <c r="G30" s="101">
        <f t="shared" si="0"/>
        <v>0.125</v>
      </c>
      <c r="H30" s="308"/>
      <c r="I30" s="305"/>
    </row>
    <row r="31" spans="1:9">
      <c r="A31" s="302"/>
      <c r="B31" s="302"/>
      <c r="C31" s="104">
        <v>44879</v>
      </c>
      <c r="D31" s="105"/>
      <c r="E31" s="100"/>
      <c r="F31" s="100">
        <v>45</v>
      </c>
      <c r="G31" s="101">
        <f t="shared" si="0"/>
        <v>9.375E-2</v>
      </c>
      <c r="H31" s="308"/>
      <c r="I31" s="305"/>
    </row>
    <row r="32" spans="1:9">
      <c r="A32" s="302"/>
      <c r="B32" s="302"/>
      <c r="C32" s="104">
        <v>44893</v>
      </c>
      <c r="D32" s="105"/>
      <c r="E32" s="100">
        <v>1</v>
      </c>
      <c r="F32" s="100">
        <v>30</v>
      </c>
      <c r="G32" s="101">
        <f t="shared" si="0"/>
        <v>0.1875</v>
      </c>
      <c r="H32" s="308"/>
      <c r="I32" s="305"/>
    </row>
    <row r="33" spans="1:9">
      <c r="A33" s="302"/>
      <c r="B33" s="302"/>
      <c r="C33" s="104">
        <v>44993</v>
      </c>
      <c r="D33" s="105"/>
      <c r="E33" s="100"/>
      <c r="F33" s="100">
        <v>30</v>
      </c>
      <c r="G33" s="101">
        <f t="shared" si="0"/>
        <v>6.25E-2</v>
      </c>
      <c r="H33" s="308"/>
      <c r="I33" s="305"/>
    </row>
    <row r="34" spans="1:9">
      <c r="A34" s="302"/>
      <c r="B34" s="302"/>
      <c r="C34" s="104">
        <v>44981</v>
      </c>
      <c r="D34" s="105"/>
      <c r="E34" s="100">
        <v>1</v>
      </c>
      <c r="F34" s="100"/>
      <c r="G34" s="101">
        <f t="shared" si="0"/>
        <v>0.125</v>
      </c>
      <c r="H34" s="308"/>
      <c r="I34" s="305"/>
    </row>
    <row r="35" spans="1:9">
      <c r="A35" s="302"/>
      <c r="B35" s="302"/>
      <c r="C35" s="104">
        <v>44946</v>
      </c>
      <c r="D35" s="105"/>
      <c r="E35" s="100">
        <v>3</v>
      </c>
      <c r="F35" s="100"/>
      <c r="G35" s="101">
        <f t="shared" si="0"/>
        <v>0.375</v>
      </c>
      <c r="H35" s="308"/>
      <c r="I35" s="305"/>
    </row>
    <row r="36" spans="1:9">
      <c r="A36" s="302"/>
      <c r="B36" s="302"/>
      <c r="C36" s="104"/>
      <c r="D36" s="105"/>
      <c r="E36" s="100"/>
      <c r="F36" s="100"/>
      <c r="G36" s="101">
        <f t="shared" si="0"/>
        <v>0</v>
      </c>
      <c r="H36" s="308"/>
      <c r="I36" s="305"/>
    </row>
    <row r="37" spans="1:9">
      <c r="A37" s="302"/>
      <c r="B37" s="302"/>
      <c r="C37" s="104"/>
      <c r="D37" s="105"/>
      <c r="E37" s="100"/>
      <c r="F37" s="100"/>
      <c r="G37" s="101">
        <f t="shared" si="0"/>
        <v>0</v>
      </c>
      <c r="H37" s="308"/>
      <c r="I37" s="305"/>
    </row>
    <row r="38" spans="1:9">
      <c r="A38" s="303"/>
      <c r="B38" s="303"/>
      <c r="C38" s="106"/>
      <c r="D38" s="105"/>
      <c r="E38" s="100"/>
      <c r="F38" s="100"/>
      <c r="G38" s="101">
        <f t="shared" si="0"/>
        <v>0</v>
      </c>
      <c r="H38" s="309"/>
      <c r="I38" s="306"/>
    </row>
    <row r="39" spans="1:9">
      <c r="A39" s="301" t="str">
        <f>'MUESTRA SALDO DE VACACIONES'!B11</f>
        <v>0930243753</v>
      </c>
      <c r="B39" s="301" t="str">
        <f>'MUESTRA SALDO DE VACACIONES'!C11</f>
        <v>CAMPUZANO VILLAFUERTE JOSE JAVIER</v>
      </c>
      <c r="C39" s="230">
        <v>44461</v>
      </c>
      <c r="D39" s="131"/>
      <c r="E39" s="131">
        <v>1</v>
      </c>
      <c r="F39" s="131"/>
      <c r="G39" s="101">
        <f t="shared" si="0"/>
        <v>0.125</v>
      </c>
      <c r="H39" s="307"/>
      <c r="I39" s="304">
        <f>SUM(G39:G46)</f>
        <v>0.625</v>
      </c>
    </row>
    <row r="40" spans="1:9">
      <c r="A40" s="302"/>
      <c r="B40" s="302"/>
      <c r="C40" s="230">
        <v>44424</v>
      </c>
      <c r="D40" s="131"/>
      <c r="E40" s="131">
        <v>1</v>
      </c>
      <c r="F40" s="131"/>
      <c r="G40" s="101">
        <f t="shared" si="0"/>
        <v>0.125</v>
      </c>
      <c r="H40" s="308"/>
      <c r="I40" s="305"/>
    </row>
    <row r="41" spans="1:9">
      <c r="A41" s="302"/>
      <c r="B41" s="302"/>
      <c r="C41" s="230">
        <v>44358</v>
      </c>
      <c r="D41" s="131"/>
      <c r="E41" s="131">
        <v>1</v>
      </c>
      <c r="F41" s="131"/>
      <c r="G41" s="101">
        <f t="shared" si="0"/>
        <v>0.125</v>
      </c>
      <c r="H41" s="308"/>
      <c r="I41" s="305"/>
    </row>
    <row r="42" spans="1:9">
      <c r="A42" s="302"/>
      <c r="B42" s="302"/>
      <c r="C42" s="230">
        <v>44337</v>
      </c>
      <c r="D42" s="131"/>
      <c r="E42" s="131">
        <v>1</v>
      </c>
      <c r="F42" s="131"/>
      <c r="G42" s="101">
        <f t="shared" si="0"/>
        <v>0.125</v>
      </c>
      <c r="H42" s="308"/>
      <c r="I42" s="305"/>
    </row>
    <row r="43" spans="1:9">
      <c r="A43" s="302"/>
      <c r="B43" s="302"/>
      <c r="C43" s="230">
        <v>44323</v>
      </c>
      <c r="D43" s="131"/>
      <c r="E43" s="131">
        <v>1</v>
      </c>
      <c r="F43" s="131"/>
      <c r="G43" s="101">
        <f t="shared" si="0"/>
        <v>0.125</v>
      </c>
      <c r="H43" s="308"/>
      <c r="I43" s="305"/>
    </row>
    <row r="44" spans="1:9">
      <c r="A44" s="302"/>
      <c r="B44" s="302"/>
      <c r="C44" s="230"/>
      <c r="D44" s="131"/>
      <c r="E44" s="131"/>
      <c r="F44" s="131"/>
      <c r="G44" s="101"/>
      <c r="H44" s="308"/>
      <c r="I44" s="305"/>
    </row>
    <row r="45" spans="1:9">
      <c r="A45" s="302"/>
      <c r="B45" s="302"/>
      <c r="C45" s="230"/>
      <c r="D45" s="131"/>
      <c r="E45" s="131"/>
      <c r="F45" s="131"/>
      <c r="G45" s="101"/>
      <c r="H45" s="308"/>
      <c r="I45" s="305"/>
    </row>
    <row r="46" spans="1:9">
      <c r="A46" s="303"/>
      <c r="B46" s="303"/>
      <c r="C46" s="143"/>
      <c r="D46" s="131"/>
      <c r="E46" s="131"/>
      <c r="F46" s="131"/>
      <c r="G46" s="101">
        <f t="shared" si="0"/>
        <v>0</v>
      </c>
      <c r="H46" s="309"/>
      <c r="I46" s="306"/>
    </row>
    <row r="47" spans="1:9">
      <c r="A47" s="301">
        <f>'MUESTRA SALDO DE VACACIONES'!B12</f>
        <v>1104806730</v>
      </c>
      <c r="B47" s="301" t="str">
        <f>'MUESTRA SALDO DE VACACIONES'!C12</f>
        <v>TORRES CALBA MAIRA ESPERANZA</v>
      </c>
      <c r="C47" s="104"/>
      <c r="D47" s="105"/>
      <c r="E47" s="100"/>
      <c r="F47" s="100"/>
      <c r="G47" s="101">
        <f t="shared" ref="G47:G51" si="1">D47+(E47/8)+(F47/480)</f>
        <v>0</v>
      </c>
      <c r="H47" s="307" t="s">
        <v>165</v>
      </c>
      <c r="I47" s="304">
        <f>SUM(G47:G51)</f>
        <v>0</v>
      </c>
    </row>
    <row r="48" spans="1:9">
      <c r="A48" s="302"/>
      <c r="B48" s="302"/>
      <c r="C48" s="104"/>
      <c r="D48" s="105"/>
      <c r="E48" s="100"/>
      <c r="F48" s="100"/>
      <c r="G48" s="101">
        <f t="shared" si="1"/>
        <v>0</v>
      </c>
      <c r="H48" s="308"/>
      <c r="I48" s="305"/>
    </row>
    <row r="49" spans="1:9">
      <c r="A49" s="302"/>
      <c r="B49" s="302"/>
      <c r="C49" s="104"/>
      <c r="D49" s="105"/>
      <c r="E49" s="100"/>
      <c r="F49" s="100"/>
      <c r="G49" s="101">
        <f t="shared" si="1"/>
        <v>0</v>
      </c>
      <c r="H49" s="308"/>
      <c r="I49" s="305"/>
    </row>
    <row r="50" spans="1:9">
      <c r="A50" s="302"/>
      <c r="B50" s="302"/>
      <c r="C50" s="104"/>
      <c r="D50" s="105"/>
      <c r="E50" s="100"/>
      <c r="F50" s="100"/>
      <c r="G50" s="101">
        <f t="shared" si="1"/>
        <v>0</v>
      </c>
      <c r="H50" s="308"/>
      <c r="I50" s="305"/>
    </row>
    <row r="51" spans="1:9">
      <c r="A51" s="303"/>
      <c r="B51" s="303"/>
      <c r="C51" s="104"/>
      <c r="D51" s="105"/>
      <c r="E51" s="100"/>
      <c r="F51" s="100"/>
      <c r="G51" s="101">
        <f t="shared" si="1"/>
        <v>0</v>
      </c>
      <c r="H51" s="309"/>
      <c r="I51" s="306"/>
    </row>
    <row r="54" spans="1:9" ht="15.75" thickBot="1"/>
    <row r="55" spans="1:9">
      <c r="C55" s="282" t="s">
        <v>156</v>
      </c>
      <c r="D55" s="283"/>
      <c r="E55" s="284" t="s">
        <v>157</v>
      </c>
      <c r="F55" s="285"/>
    </row>
    <row r="56" spans="1:9" ht="15.75" thickBot="1">
      <c r="C56" s="288" t="s">
        <v>158</v>
      </c>
      <c r="D56" s="289"/>
      <c r="E56" s="286"/>
      <c r="F56" s="287"/>
    </row>
    <row r="57" spans="1:9">
      <c r="C57" s="262"/>
      <c r="D57" s="263"/>
      <c r="E57" s="266"/>
      <c r="F57" s="267"/>
    </row>
    <row r="58" spans="1:9">
      <c r="C58" s="264"/>
      <c r="D58" s="265"/>
      <c r="E58" s="268"/>
      <c r="F58" s="269"/>
    </row>
    <row r="59" spans="1:9">
      <c r="C59" s="264"/>
      <c r="D59" s="265"/>
      <c r="E59" s="268"/>
      <c r="F59" s="269"/>
    </row>
    <row r="60" spans="1:9">
      <c r="C60" s="264"/>
      <c r="D60" s="265"/>
      <c r="E60" s="268"/>
      <c r="F60" s="269"/>
    </row>
    <row r="61" spans="1:9">
      <c r="C61" s="264"/>
      <c r="D61" s="265"/>
      <c r="E61" s="268"/>
      <c r="F61" s="269"/>
    </row>
    <row r="62" spans="1:9">
      <c r="C62" s="264"/>
      <c r="D62" s="265"/>
      <c r="E62" s="268"/>
      <c r="F62" s="269"/>
    </row>
    <row r="63" spans="1:9">
      <c r="C63" s="270" t="s">
        <v>159</v>
      </c>
      <c r="D63" s="270"/>
      <c r="E63" s="271" t="s">
        <v>160</v>
      </c>
      <c r="F63" s="271"/>
    </row>
    <row r="64" spans="1:9" ht="42" customHeight="1" thickBot="1">
      <c r="C64" s="272" t="s">
        <v>161</v>
      </c>
      <c r="D64" s="273"/>
      <c r="E64" s="274" t="s">
        <v>162</v>
      </c>
      <c r="F64" s="275"/>
    </row>
  </sheetData>
  <mergeCells count="31">
    <mergeCell ref="C1:I2"/>
    <mergeCell ref="C5:H5"/>
    <mergeCell ref="I8:I12"/>
    <mergeCell ref="I13:I17"/>
    <mergeCell ref="B39:B46"/>
    <mergeCell ref="H8:H12"/>
    <mergeCell ref="H13:H17"/>
    <mergeCell ref="B47:B51"/>
    <mergeCell ref="A18:A38"/>
    <mergeCell ref="I18:I38"/>
    <mergeCell ref="I39:I46"/>
    <mergeCell ref="A39:A46"/>
    <mergeCell ref="A47:A51"/>
    <mergeCell ref="I47:I51"/>
    <mergeCell ref="H39:H46"/>
    <mergeCell ref="H47:H51"/>
    <mergeCell ref="H18:H38"/>
    <mergeCell ref="A8:A12"/>
    <mergeCell ref="A13:A17"/>
    <mergeCell ref="B8:B12"/>
    <mergeCell ref="B13:B17"/>
    <mergeCell ref="B18:B38"/>
    <mergeCell ref="C63:D63"/>
    <mergeCell ref="E63:F63"/>
    <mergeCell ref="C64:D64"/>
    <mergeCell ref="E64:F64"/>
    <mergeCell ref="C55:D55"/>
    <mergeCell ref="E55:F56"/>
    <mergeCell ref="C56:D56"/>
    <mergeCell ref="C57:D62"/>
    <mergeCell ref="E57:F62"/>
  </mergeCells>
  <pageMargins left="0.7" right="0.7" top="0.75" bottom="0.75" header="0.3" footer="0.3"/>
  <pageSetup paperSize="9" scale="65" orientation="landscape" horizontalDpi="4294967294" vertic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0" workbookViewId="0">
      <selection activeCell="H23" sqref="H23:H28"/>
    </sheetView>
  </sheetViews>
  <sheetFormatPr baseColWidth="10" defaultRowHeight="15"/>
  <cols>
    <col min="1" max="1" width="11.42578125" style="93"/>
    <col min="2" max="2" width="34.5703125" style="93" customWidth="1"/>
    <col min="3" max="3" width="26.7109375" style="94" customWidth="1"/>
    <col min="4" max="4" width="8.85546875" style="93" customWidth="1"/>
    <col min="5" max="5" width="11.7109375" style="93" customWidth="1"/>
    <col min="6" max="6" width="21.140625" style="94" customWidth="1"/>
    <col min="7" max="7" width="12" style="93" customWidth="1"/>
    <col min="8" max="8" width="40.42578125" style="93" customWidth="1"/>
    <col min="9" max="16384" width="11.42578125" style="93"/>
  </cols>
  <sheetData>
    <row r="1" spans="1:9">
      <c r="C1" s="310" t="s">
        <v>52</v>
      </c>
      <c r="D1" s="310"/>
      <c r="E1" s="310"/>
      <c r="F1" s="310"/>
      <c r="G1" s="310"/>
      <c r="H1" s="310"/>
      <c r="I1" s="310"/>
    </row>
    <row r="2" spans="1:9">
      <c r="C2" s="310"/>
      <c r="D2" s="310"/>
      <c r="E2" s="310"/>
      <c r="F2" s="310"/>
      <c r="G2" s="310"/>
      <c r="H2" s="310"/>
      <c r="I2" s="310"/>
    </row>
    <row r="3" spans="1:9">
      <c r="C3" s="310"/>
      <c r="D3" s="310"/>
      <c r="E3" s="310"/>
      <c r="F3" s="310"/>
      <c r="G3" s="310"/>
      <c r="H3" s="310"/>
      <c r="I3" s="310"/>
    </row>
    <row r="5" spans="1:9">
      <c r="A5" s="1" t="s">
        <v>1</v>
      </c>
      <c r="B5" s="2"/>
      <c r="C5" s="311" t="str">
        <f>'DETALLE PERMISOS'!C5:H5</f>
        <v xml:space="preserve">MINISTERIO DE SALUD PUBLICA COORDINACIÓN ZONA 7 SALUD </v>
      </c>
      <c r="D5" s="311"/>
      <c r="E5" s="311"/>
      <c r="F5" s="311"/>
      <c r="G5" s="311"/>
      <c r="H5" s="311"/>
      <c r="I5" s="148"/>
    </row>
    <row r="7" spans="1:9" ht="30">
      <c r="A7" s="95" t="s">
        <v>26</v>
      </c>
      <c r="B7" s="95" t="s">
        <v>71</v>
      </c>
      <c r="C7" s="146" t="s">
        <v>76</v>
      </c>
      <c r="D7" s="96" t="s">
        <v>43</v>
      </c>
      <c r="E7" s="97" t="s">
        <v>53</v>
      </c>
      <c r="F7" s="97" t="s">
        <v>54</v>
      </c>
      <c r="G7" s="98" t="s">
        <v>55</v>
      </c>
      <c r="H7" s="95" t="s">
        <v>56</v>
      </c>
      <c r="I7" s="95" t="s">
        <v>57</v>
      </c>
    </row>
    <row r="8" spans="1:9">
      <c r="A8" s="301">
        <f>'DETALLE PERMISOS'!A8:A12</f>
        <v>1725694341</v>
      </c>
      <c r="B8" s="301" t="str">
        <f>'DETALLE PERMISOS'!B8:B12</f>
        <v>RIVADENEIRA VILLARREAL DARWIN DANIEL</v>
      </c>
      <c r="C8" s="99"/>
      <c r="D8" s="100"/>
      <c r="E8" s="100"/>
      <c r="F8" s="100"/>
      <c r="G8" s="101">
        <f>D8+(E8/8)+(F8/480)</f>
        <v>0</v>
      </c>
      <c r="H8" s="307" t="s">
        <v>167</v>
      </c>
      <c r="I8" s="304">
        <f>SUM(G8:G12)</f>
        <v>0</v>
      </c>
    </row>
    <row r="9" spans="1:9">
      <c r="A9" s="302"/>
      <c r="B9" s="302"/>
      <c r="C9" s="103"/>
      <c r="D9" s="100"/>
      <c r="E9" s="100"/>
      <c r="F9" s="100"/>
      <c r="G9" s="101">
        <f t="shared" ref="G9:G33" si="0">D9+(E9/8)+(F9/480)</f>
        <v>0</v>
      </c>
      <c r="H9" s="308"/>
      <c r="I9" s="305"/>
    </row>
    <row r="10" spans="1:9">
      <c r="A10" s="302"/>
      <c r="B10" s="302"/>
      <c r="C10" s="99"/>
      <c r="D10" s="100"/>
      <c r="E10" s="100"/>
      <c r="F10" s="100"/>
      <c r="G10" s="101">
        <f t="shared" si="0"/>
        <v>0</v>
      </c>
      <c r="H10" s="308"/>
      <c r="I10" s="305"/>
    </row>
    <row r="11" spans="1:9">
      <c r="A11" s="302"/>
      <c r="B11" s="302"/>
      <c r="C11" s="99"/>
      <c r="D11" s="100"/>
      <c r="E11" s="100"/>
      <c r="F11" s="100"/>
      <c r="G11" s="101">
        <f t="shared" si="0"/>
        <v>0</v>
      </c>
      <c r="H11" s="308"/>
      <c r="I11" s="305"/>
    </row>
    <row r="12" spans="1:9">
      <c r="A12" s="303"/>
      <c r="B12" s="303"/>
      <c r="C12" s="99"/>
      <c r="D12" s="100"/>
      <c r="E12" s="100"/>
      <c r="F12" s="100"/>
      <c r="G12" s="101">
        <f t="shared" si="0"/>
        <v>0</v>
      </c>
      <c r="H12" s="309"/>
      <c r="I12" s="306"/>
    </row>
    <row r="13" spans="1:9">
      <c r="A13" s="301" t="str">
        <f>'DETALLE PERMISOS'!A13:A17</f>
        <v>0706858347</v>
      </c>
      <c r="B13" s="301" t="str">
        <f>'DETALLE PERMISOS'!B13:B17</f>
        <v>PEREZ GONZALEZ CRISTINA ELIZABETH</v>
      </c>
      <c r="C13" s="133"/>
      <c r="D13" s="105"/>
      <c r="E13" s="100"/>
      <c r="F13" s="100"/>
      <c r="G13" s="101">
        <f t="shared" si="0"/>
        <v>0</v>
      </c>
      <c r="H13" s="301" t="s">
        <v>168</v>
      </c>
      <c r="I13" s="304">
        <f>SUM(G13:G17)</f>
        <v>0</v>
      </c>
    </row>
    <row r="14" spans="1:9">
      <c r="A14" s="302"/>
      <c r="B14" s="302"/>
      <c r="C14" s="133"/>
      <c r="D14" s="105"/>
      <c r="E14" s="100"/>
      <c r="F14" s="100"/>
      <c r="G14" s="101">
        <f t="shared" si="0"/>
        <v>0</v>
      </c>
      <c r="H14" s="302"/>
      <c r="I14" s="305"/>
    </row>
    <row r="15" spans="1:9">
      <c r="A15" s="302"/>
      <c r="B15" s="302"/>
      <c r="C15" s="133"/>
      <c r="D15" s="105"/>
      <c r="E15" s="100"/>
      <c r="F15" s="100"/>
      <c r="G15" s="101">
        <f t="shared" si="0"/>
        <v>0</v>
      </c>
      <c r="H15" s="302"/>
      <c r="I15" s="305"/>
    </row>
    <row r="16" spans="1:9">
      <c r="A16" s="302"/>
      <c r="B16" s="302"/>
      <c r="C16" s="104"/>
      <c r="D16" s="105"/>
      <c r="E16" s="100"/>
      <c r="F16" s="100"/>
      <c r="G16" s="101">
        <f t="shared" si="0"/>
        <v>0</v>
      </c>
      <c r="H16" s="302"/>
      <c r="I16" s="305"/>
    </row>
    <row r="17" spans="1:9">
      <c r="A17" s="303"/>
      <c r="B17" s="303"/>
      <c r="C17" s="104"/>
      <c r="D17" s="105"/>
      <c r="E17" s="100"/>
      <c r="F17" s="100"/>
      <c r="G17" s="101">
        <f t="shared" si="0"/>
        <v>0</v>
      </c>
      <c r="H17" s="303"/>
      <c r="I17" s="306"/>
    </row>
    <row r="18" spans="1:9" ht="17.25" customHeight="1">
      <c r="A18" s="301">
        <f>'DETALLE PERMISOS'!A18:A38</f>
        <v>1104739709</v>
      </c>
      <c r="B18" s="301" t="str">
        <f>'DETALLE PERMISOS'!B14:B22</f>
        <v>GUACHON MEDINA TANIA CECILIA</v>
      </c>
      <c r="C18" s="104">
        <v>45000</v>
      </c>
      <c r="D18" s="105">
        <v>15</v>
      </c>
      <c r="E18" s="100"/>
      <c r="F18" s="100"/>
      <c r="G18" s="101">
        <f t="shared" si="0"/>
        <v>15</v>
      </c>
      <c r="H18" s="102"/>
      <c r="I18" s="304">
        <f>SUM(G18:G22)</f>
        <v>54</v>
      </c>
    </row>
    <row r="19" spans="1:9">
      <c r="A19" s="302"/>
      <c r="B19" s="302"/>
      <c r="C19" s="104">
        <v>44816</v>
      </c>
      <c r="D19" s="105">
        <v>4</v>
      </c>
      <c r="E19" s="100"/>
      <c r="F19" s="100"/>
      <c r="G19" s="101">
        <f t="shared" si="0"/>
        <v>4</v>
      </c>
      <c r="H19" s="102"/>
      <c r="I19" s="305"/>
    </row>
    <row r="20" spans="1:9">
      <c r="A20" s="302"/>
      <c r="B20" s="302"/>
      <c r="C20" s="106">
        <v>44453</v>
      </c>
      <c r="D20" s="105">
        <v>14</v>
      </c>
      <c r="E20" s="100"/>
      <c r="F20" s="100"/>
      <c r="G20" s="101">
        <f t="shared" si="0"/>
        <v>14</v>
      </c>
      <c r="H20" s="107"/>
      <c r="I20" s="305"/>
    </row>
    <row r="21" spans="1:9">
      <c r="A21" s="302"/>
      <c r="B21" s="302"/>
      <c r="C21" s="229">
        <v>44270</v>
      </c>
      <c r="D21" s="105">
        <v>21</v>
      </c>
      <c r="E21" s="100"/>
      <c r="F21" s="100"/>
      <c r="G21" s="101">
        <f t="shared" si="0"/>
        <v>21</v>
      </c>
      <c r="H21" s="107" t="s">
        <v>173</v>
      </c>
      <c r="I21" s="305"/>
    </row>
    <row r="22" spans="1:9">
      <c r="A22" s="303"/>
      <c r="B22" s="303"/>
      <c r="C22" s="106"/>
      <c r="D22" s="105"/>
      <c r="E22" s="100"/>
      <c r="F22" s="100"/>
      <c r="G22" s="101">
        <f t="shared" si="0"/>
        <v>0</v>
      </c>
      <c r="H22" s="107"/>
      <c r="I22" s="306"/>
    </row>
    <row r="23" spans="1:9" ht="15" customHeight="1">
      <c r="A23" s="301" t="s">
        <v>127</v>
      </c>
      <c r="B23" s="301" t="s">
        <v>120</v>
      </c>
      <c r="C23" s="99">
        <v>44866</v>
      </c>
      <c r="D23" s="100">
        <v>5</v>
      </c>
      <c r="E23" s="100"/>
      <c r="F23" s="100"/>
      <c r="G23" s="101">
        <f t="shared" si="0"/>
        <v>5</v>
      </c>
      <c r="H23" s="312"/>
      <c r="I23" s="304">
        <f>SUM(G23:G27)</f>
        <v>65</v>
      </c>
    </row>
    <row r="24" spans="1:9">
      <c r="A24" s="302"/>
      <c r="B24" s="302"/>
      <c r="C24" s="99">
        <v>44743</v>
      </c>
      <c r="D24" s="100">
        <v>15</v>
      </c>
      <c r="E24" s="100"/>
      <c r="F24" s="100"/>
      <c r="G24" s="101">
        <f t="shared" si="0"/>
        <v>15</v>
      </c>
      <c r="H24" s="313"/>
      <c r="I24" s="305"/>
    </row>
    <row r="25" spans="1:9">
      <c r="A25" s="302"/>
      <c r="B25" s="302"/>
      <c r="C25" s="99">
        <v>44667</v>
      </c>
      <c r="D25" s="100">
        <v>15</v>
      </c>
      <c r="E25" s="100"/>
      <c r="F25" s="100"/>
      <c r="G25" s="101">
        <f t="shared" si="0"/>
        <v>15</v>
      </c>
      <c r="H25" s="313"/>
      <c r="I25" s="305"/>
    </row>
    <row r="26" spans="1:9">
      <c r="A26" s="302"/>
      <c r="B26" s="302"/>
      <c r="C26" s="99">
        <v>44531</v>
      </c>
      <c r="D26" s="100">
        <v>15</v>
      </c>
      <c r="E26" s="100"/>
      <c r="F26" s="100"/>
      <c r="G26" s="101">
        <f t="shared" si="0"/>
        <v>15</v>
      </c>
      <c r="H26" s="313"/>
      <c r="I26" s="305"/>
    </row>
    <row r="27" spans="1:9">
      <c r="A27" s="302"/>
      <c r="B27" s="302"/>
      <c r="C27" s="99">
        <v>44440</v>
      </c>
      <c r="D27" s="100">
        <v>15</v>
      </c>
      <c r="E27" s="100"/>
      <c r="F27" s="100"/>
      <c r="G27" s="101">
        <f t="shared" si="0"/>
        <v>15</v>
      </c>
      <c r="H27" s="313"/>
      <c r="I27" s="306"/>
    </row>
    <row r="28" spans="1:9">
      <c r="A28" s="303"/>
      <c r="B28" s="303"/>
      <c r="C28" s="99">
        <v>44393</v>
      </c>
      <c r="D28" s="100">
        <v>15</v>
      </c>
      <c r="E28" s="100"/>
      <c r="F28" s="100"/>
      <c r="G28" s="101">
        <f t="shared" si="0"/>
        <v>15</v>
      </c>
      <c r="H28" s="314"/>
      <c r="I28" s="211"/>
    </row>
    <row r="29" spans="1:9">
      <c r="A29" s="301">
        <v>1104806730</v>
      </c>
      <c r="B29" s="301" t="s">
        <v>121</v>
      </c>
      <c r="C29" s="99">
        <v>44986</v>
      </c>
      <c r="D29" s="100">
        <v>15</v>
      </c>
      <c r="E29" s="100"/>
      <c r="F29" s="100"/>
      <c r="G29" s="101">
        <f t="shared" si="0"/>
        <v>15</v>
      </c>
      <c r="H29" s="301" t="s">
        <v>256</v>
      </c>
      <c r="I29" s="304">
        <f>SUM(G29:G33)</f>
        <v>15</v>
      </c>
    </row>
    <row r="30" spans="1:9">
      <c r="A30" s="302"/>
      <c r="B30" s="302"/>
      <c r="C30" s="103"/>
      <c r="D30" s="100"/>
      <c r="E30" s="100"/>
      <c r="F30" s="100"/>
      <c r="G30" s="101">
        <f t="shared" si="0"/>
        <v>0</v>
      </c>
      <c r="H30" s="302"/>
      <c r="I30" s="305"/>
    </row>
    <row r="31" spans="1:9">
      <c r="A31" s="302"/>
      <c r="B31" s="302"/>
      <c r="C31" s="99"/>
      <c r="D31" s="100"/>
      <c r="E31" s="100"/>
      <c r="F31" s="100"/>
      <c r="G31" s="101">
        <f t="shared" si="0"/>
        <v>0</v>
      </c>
      <c r="H31" s="302"/>
      <c r="I31" s="305"/>
    </row>
    <row r="32" spans="1:9">
      <c r="A32" s="302"/>
      <c r="B32" s="302"/>
      <c r="C32" s="99"/>
      <c r="D32" s="100"/>
      <c r="E32" s="100"/>
      <c r="F32" s="100"/>
      <c r="G32" s="101">
        <f t="shared" si="0"/>
        <v>0</v>
      </c>
      <c r="H32" s="302"/>
      <c r="I32" s="305"/>
    </row>
    <row r="33" spans="1:9">
      <c r="A33" s="303"/>
      <c r="B33" s="303"/>
      <c r="C33" s="99"/>
      <c r="D33" s="100"/>
      <c r="E33" s="100"/>
      <c r="F33" s="100"/>
      <c r="G33" s="101">
        <f t="shared" si="0"/>
        <v>0</v>
      </c>
      <c r="H33" s="303"/>
      <c r="I33" s="306"/>
    </row>
    <row r="35" spans="1:9" ht="15.75" thickBot="1"/>
    <row r="36" spans="1:9">
      <c r="C36" s="282" t="s">
        <v>156</v>
      </c>
      <c r="D36" s="283"/>
      <c r="E36" s="284" t="s">
        <v>157</v>
      </c>
      <c r="F36" s="285"/>
    </row>
    <row r="37" spans="1:9" ht="15.75" thickBot="1">
      <c r="C37" s="288" t="s">
        <v>158</v>
      </c>
      <c r="D37" s="289"/>
      <c r="E37" s="286"/>
      <c r="F37" s="287"/>
    </row>
    <row r="38" spans="1:9">
      <c r="C38" s="262"/>
      <c r="D38" s="263"/>
      <c r="E38" s="266"/>
      <c r="F38" s="267"/>
    </row>
    <row r="39" spans="1:9">
      <c r="C39" s="264"/>
      <c r="D39" s="265"/>
      <c r="E39" s="268"/>
      <c r="F39" s="269"/>
    </row>
    <row r="40" spans="1:9">
      <c r="C40" s="264"/>
      <c r="D40" s="265"/>
      <c r="E40" s="268"/>
      <c r="F40" s="269"/>
    </row>
    <row r="41" spans="1:9">
      <c r="C41" s="264"/>
      <c r="D41" s="265"/>
      <c r="E41" s="268"/>
      <c r="F41" s="269"/>
    </row>
    <row r="42" spans="1:9">
      <c r="C42" s="264"/>
      <c r="D42" s="265"/>
      <c r="E42" s="268"/>
      <c r="F42" s="269"/>
    </row>
    <row r="43" spans="1:9">
      <c r="C43" s="264"/>
      <c r="D43" s="265"/>
      <c r="E43" s="268"/>
      <c r="F43" s="269"/>
    </row>
    <row r="44" spans="1:9">
      <c r="C44" s="270" t="s">
        <v>159</v>
      </c>
      <c r="D44" s="270"/>
      <c r="E44" s="271" t="s">
        <v>160</v>
      </c>
      <c r="F44" s="271"/>
    </row>
    <row r="45" spans="1:9" ht="44.25" customHeight="1" thickBot="1">
      <c r="C45" s="272" t="s">
        <v>161</v>
      </c>
      <c r="D45" s="273"/>
      <c r="E45" s="274" t="s">
        <v>162</v>
      </c>
      <c r="F45" s="275"/>
    </row>
  </sheetData>
  <mergeCells count="30">
    <mergeCell ref="I23:I27"/>
    <mergeCell ref="I29:I33"/>
    <mergeCell ref="A29:A33"/>
    <mergeCell ref="B8:B12"/>
    <mergeCell ref="B13:B17"/>
    <mergeCell ref="B18:B22"/>
    <mergeCell ref="B29:B33"/>
    <mergeCell ref="A18:A22"/>
    <mergeCell ref="I18:I22"/>
    <mergeCell ref="B23:B28"/>
    <mergeCell ref="A23:A28"/>
    <mergeCell ref="H29:H33"/>
    <mergeCell ref="H23:H28"/>
    <mergeCell ref="C5:H5"/>
    <mergeCell ref="C1:I3"/>
    <mergeCell ref="A8:A12"/>
    <mergeCell ref="A13:A17"/>
    <mergeCell ref="I8:I12"/>
    <mergeCell ref="I13:I17"/>
    <mergeCell ref="H8:H12"/>
    <mergeCell ref="H13:H17"/>
    <mergeCell ref="C44:D44"/>
    <mergeCell ref="E44:F44"/>
    <mergeCell ref="C45:D45"/>
    <mergeCell ref="E45:F45"/>
    <mergeCell ref="C36:D36"/>
    <mergeCell ref="E36:F37"/>
    <mergeCell ref="C37:D37"/>
    <mergeCell ref="C38:D43"/>
    <mergeCell ref="E38:F43"/>
  </mergeCells>
  <pageMargins left="0.7" right="0.7" top="0.75" bottom="0.75" header="0.3" footer="0.3"/>
  <pageSetup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X1048428"/>
  <sheetViews>
    <sheetView zoomScale="70" zoomScaleNormal="70" workbookViewId="0">
      <selection activeCell="J18" sqref="J18"/>
    </sheetView>
  </sheetViews>
  <sheetFormatPr baseColWidth="10" defaultColWidth="0" defaultRowHeight="27" customHeight="1"/>
  <cols>
    <col min="1" max="1" width="7" style="77" customWidth="1"/>
    <col min="2" max="2" width="14.5703125" style="77" customWidth="1"/>
    <col min="3" max="3" width="42" style="77" customWidth="1"/>
    <col min="4" max="4" width="19.28515625" style="77" customWidth="1"/>
    <col min="5" max="5" width="15" style="77" customWidth="1"/>
    <col min="6" max="6" width="22.28515625" style="77" customWidth="1"/>
    <col min="7" max="7" width="23.140625" style="77" customWidth="1"/>
    <col min="8" max="8" width="21.7109375" style="77" customWidth="1"/>
    <col min="9" max="9" width="18.28515625" style="77" customWidth="1"/>
    <col min="10" max="10" width="17.42578125" style="77" customWidth="1"/>
    <col min="11" max="11" width="19.5703125" style="77" customWidth="1"/>
    <col min="12" max="12" width="18.28515625" style="77" customWidth="1"/>
    <col min="13" max="13" width="18.140625" style="77" customWidth="1"/>
    <col min="14" max="14" width="21" style="77" customWidth="1"/>
    <col min="15" max="24" width="0" style="23" hidden="1" customWidth="1"/>
    <col min="25" max="25" width="14.140625" style="23" hidden="1" customWidth="1"/>
    <col min="26" max="26" width="12.7109375" style="23" hidden="1" customWidth="1"/>
    <col min="27" max="27" width="14.85546875" style="23" hidden="1" customWidth="1"/>
    <col min="28" max="29" width="20" style="23" hidden="1" customWidth="1"/>
    <col min="30" max="47" width="3" style="23" hidden="1" customWidth="1"/>
    <col min="48" max="48" width="14.140625" style="23" hidden="1" customWidth="1"/>
    <col min="49" max="49" width="12.7109375" style="23" hidden="1" customWidth="1"/>
    <col min="50" max="50" width="14.85546875" style="23" hidden="1" customWidth="1"/>
    <col min="51" max="52" width="20" style="23" hidden="1" customWidth="1"/>
    <col min="53" max="76" width="3" style="23" hidden="1" customWidth="1"/>
    <col min="77" max="16384" width="11.42578125" style="23" hidden="1"/>
  </cols>
  <sheetData>
    <row r="1" spans="1:14" ht="18.75">
      <c r="A1" s="19"/>
      <c r="B1" s="20"/>
      <c r="C1" s="20"/>
      <c r="D1" s="315" t="s">
        <v>35</v>
      </c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14" s="60" customFormat="1" ht="21">
      <c r="A2" s="59" t="s">
        <v>12</v>
      </c>
      <c r="B2" s="59"/>
      <c r="C2" s="59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3" spans="1:14" ht="12.75">
      <c r="A3" s="19"/>
      <c r="B3" s="19"/>
      <c r="C3" s="2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</row>
    <row r="4" spans="1:14" ht="18.75">
      <c r="A4" s="1" t="s">
        <v>1</v>
      </c>
      <c r="B4" s="2"/>
      <c r="C4" s="29"/>
      <c r="D4" s="316">
        <f>'DETALLE VACACIONES'!C5:H5</f>
        <v>0</v>
      </c>
      <c r="E4" s="316"/>
      <c r="F4" s="316"/>
      <c r="G4" s="316"/>
      <c r="H4" s="316"/>
      <c r="I4" s="149"/>
      <c r="J4" s="62"/>
      <c r="K4" s="62"/>
      <c r="L4" s="62"/>
      <c r="M4" s="62"/>
      <c r="N4" s="62"/>
    </row>
    <row r="5" spans="1:14" ht="18.75">
      <c r="A5" s="3" t="s">
        <v>36</v>
      </c>
      <c r="B5" s="2"/>
      <c r="C5" s="30"/>
      <c r="D5" s="63">
        <f>2.5/30</f>
        <v>8.3333333333333329E-2</v>
      </c>
      <c r="E5" s="61"/>
      <c r="F5" s="62"/>
      <c r="G5" s="62"/>
      <c r="H5" s="62"/>
      <c r="I5" s="62"/>
      <c r="J5" s="62"/>
      <c r="K5" s="62"/>
      <c r="L5" s="62"/>
      <c r="M5" s="62"/>
      <c r="N5" s="62"/>
    </row>
    <row r="6" spans="1:14" ht="15">
      <c r="A6" s="3" t="s">
        <v>37</v>
      </c>
      <c r="B6" s="2"/>
      <c r="C6" s="30"/>
      <c r="D6" s="147">
        <v>45016</v>
      </c>
      <c r="E6" s="64"/>
      <c r="F6" s="65"/>
      <c r="G6" s="65"/>
      <c r="H6" s="65"/>
      <c r="I6" s="66"/>
      <c r="J6" s="66"/>
      <c r="K6" s="66"/>
      <c r="L6" s="66"/>
      <c r="M6" s="66"/>
      <c r="N6" s="66"/>
    </row>
    <row r="7" spans="1:14" s="69" customFormat="1" ht="21">
      <c r="A7" s="67" t="s">
        <v>38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</row>
    <row r="8" spans="1:14" ht="12.75">
      <c r="A8" s="320" t="s">
        <v>39</v>
      </c>
      <c r="B8" s="321"/>
      <c r="C8" s="321"/>
      <c r="D8" s="321"/>
      <c r="E8" s="70"/>
      <c r="F8" s="322" t="s">
        <v>40</v>
      </c>
      <c r="G8" s="322"/>
      <c r="H8" s="322"/>
      <c r="I8" s="323" t="s">
        <v>41</v>
      </c>
      <c r="J8" s="323"/>
      <c r="K8" s="323"/>
      <c r="L8" s="323"/>
      <c r="M8" s="323"/>
      <c r="N8" s="324" t="s">
        <v>6</v>
      </c>
    </row>
    <row r="9" spans="1:14" s="76" customFormat="1" ht="57.75" customHeight="1">
      <c r="A9" s="71" t="s">
        <v>3</v>
      </c>
      <c r="B9" s="71" t="s">
        <v>26</v>
      </c>
      <c r="C9" s="71" t="s">
        <v>71</v>
      </c>
      <c r="D9" s="71" t="s">
        <v>42</v>
      </c>
      <c r="E9" s="72" t="s">
        <v>43</v>
      </c>
      <c r="F9" s="73" t="s">
        <v>44</v>
      </c>
      <c r="G9" s="73" t="s">
        <v>45</v>
      </c>
      <c r="H9" s="73" t="s">
        <v>46</v>
      </c>
      <c r="I9" s="74" t="s">
        <v>47</v>
      </c>
      <c r="J9" s="73" t="s">
        <v>48</v>
      </c>
      <c r="K9" s="75" t="s">
        <v>49</v>
      </c>
      <c r="L9" s="75" t="s">
        <v>50</v>
      </c>
      <c r="M9" s="75" t="s">
        <v>51</v>
      </c>
      <c r="N9" s="325"/>
    </row>
    <row r="10" spans="1:14" ht="15.75" customHeight="1">
      <c r="A10" s="77">
        <v>1</v>
      </c>
      <c r="B10" s="119">
        <f>'MUESTRA SALDO DE VACACIONES'!B8</f>
        <v>1725694341</v>
      </c>
      <c r="C10" s="77" t="str">
        <f>VLOOKUP(B10,'MUESTRA SALDO DE VACACIONES'!$B$7:E61,2,0)</f>
        <v>RIVADENEIRA VILLARREAL DARWIN DANIEL</v>
      </c>
      <c r="D10" s="78">
        <f>'MUESTRA SALDO DE VACACIONES'!D8</f>
        <v>44287</v>
      </c>
      <c r="E10" s="79">
        <f>(ROUND(DAYS360((EOMONTH(D10,-1)+1),(IF(EOMONTH($D$6,0)=$D$6,EOMONTH($D$6,0),EOMONTH($D$6,-1))))/30,0)*30+(IF(EOMONTH($D$6,0)=$D$6,0,DAY($D$6))-DAY(D10)))+1</f>
        <v>720</v>
      </c>
      <c r="F10" s="79">
        <f>+E10*$D$5</f>
        <v>60</v>
      </c>
      <c r="G10" s="79">
        <f>F10*(22/30)</f>
        <v>44</v>
      </c>
      <c r="H10" s="79">
        <f>F10*(8/30)</f>
        <v>16</v>
      </c>
      <c r="I10" s="79">
        <f>'DETALLE PERMISOS'!I8</f>
        <v>0</v>
      </c>
      <c r="J10" s="79">
        <f>'DETALLE VACACIONES'!I8</f>
        <v>0</v>
      </c>
      <c r="K10" s="80">
        <f>+F10-I10-J10</f>
        <v>60</v>
      </c>
      <c r="L10" s="80"/>
      <c r="M10" s="80"/>
      <c r="N10" s="317" t="s">
        <v>257</v>
      </c>
    </row>
    <row r="11" spans="1:14" ht="15.75" customHeight="1">
      <c r="A11" s="77">
        <v>2</v>
      </c>
      <c r="B11" s="119" t="str">
        <f>'MUESTRA SALDO DE VACACIONES'!B9</f>
        <v>0706858347</v>
      </c>
      <c r="C11" s="77" t="str">
        <f>VLOOKUP(B11,'MUESTRA SALDO DE VACACIONES'!$B$7:E62,2,0)</f>
        <v>PEREZ GONZALEZ CRISTINA ELIZABETH</v>
      </c>
      <c r="D11" s="78">
        <f>'MUESTRA SALDO DE VACACIONES'!D9</f>
        <v>44713</v>
      </c>
      <c r="E11" s="79">
        <f t="shared" ref="E11:E14" si="0">(ROUND(DAYS360((EOMONTH(D11,-1)+1),(IF(EOMONTH($D$6,0)=$D$6,EOMONTH($D$6,0),EOMONTH($D$6,-1))))/30,0)*30+(IF(EOMONTH($D$6,0)=$D$6,0,DAY($D$6))-DAY(D11)))+1</f>
        <v>300</v>
      </c>
      <c r="F11" s="79">
        <f t="shared" ref="F11:F14" si="1">+E11*$D$5</f>
        <v>25</v>
      </c>
      <c r="G11" s="79">
        <f t="shared" ref="G11:G14" si="2">F11*(22/30)</f>
        <v>18.333333333333332</v>
      </c>
      <c r="H11" s="79">
        <f t="shared" ref="H11:H14" si="3">F11*(8/30)</f>
        <v>6.666666666666667</v>
      </c>
      <c r="I11" s="79">
        <f>'DETALLE PERMISOS'!I13</f>
        <v>0</v>
      </c>
      <c r="J11" s="79">
        <f>'DETALLE VACACIONES'!I13</f>
        <v>0</v>
      </c>
      <c r="K11" s="80">
        <f t="shared" ref="K11:K14" si="4">+F11-I11-J11</f>
        <v>25</v>
      </c>
      <c r="L11" s="80"/>
      <c r="M11" s="80"/>
      <c r="N11" s="318"/>
    </row>
    <row r="12" spans="1:14" ht="15.75" customHeight="1">
      <c r="A12" s="77">
        <v>3</v>
      </c>
      <c r="B12" s="119">
        <f>'MUESTRA SALDO DE VACACIONES'!B10</f>
        <v>1104739709</v>
      </c>
      <c r="C12" s="77" t="str">
        <f>VLOOKUP(B12,'MUESTRA SALDO DE VACACIONES'!$B$7:E63,2,0)</f>
        <v>GUACHON MEDINA TANIA CECILIA</v>
      </c>
      <c r="D12" s="78">
        <f>'MUESTRA SALDO DE VACACIONES'!D10</f>
        <v>42767</v>
      </c>
      <c r="E12" s="79">
        <f t="shared" si="0"/>
        <v>2220</v>
      </c>
      <c r="F12" s="79">
        <f t="shared" si="1"/>
        <v>185</v>
      </c>
      <c r="G12" s="79">
        <f t="shared" si="2"/>
        <v>135.66666666666666</v>
      </c>
      <c r="H12" s="79">
        <f t="shared" si="3"/>
        <v>49.333333333333336</v>
      </c>
      <c r="I12" s="79">
        <f>'DETALLE PERMISOS'!I18</f>
        <v>2.833333333333333</v>
      </c>
      <c r="J12" s="79">
        <f>'DETALLE VACACIONES'!I18</f>
        <v>54</v>
      </c>
      <c r="K12" s="80">
        <f t="shared" si="4"/>
        <v>128.16666666666666</v>
      </c>
      <c r="L12" s="80"/>
      <c r="M12" s="80"/>
      <c r="N12" s="318"/>
    </row>
    <row r="13" spans="1:14" ht="15.75" customHeight="1">
      <c r="A13" s="77">
        <v>4</v>
      </c>
      <c r="B13" s="119" t="str">
        <f>'MUESTRA SALDO DE VACACIONES'!B11</f>
        <v>0930243753</v>
      </c>
      <c r="C13" s="77" t="str">
        <f>VLOOKUP(B13,'MUESTRA SALDO DE VACACIONES'!$B$7:E64,2,0)</f>
        <v>CAMPUZANO VILLAFUERTE JOSE JAVIER</v>
      </c>
      <c r="D13" s="78">
        <f>'MUESTRA SALDO DE VACACIONES'!D11</f>
        <v>43952</v>
      </c>
      <c r="E13" s="79">
        <f t="shared" si="0"/>
        <v>1050</v>
      </c>
      <c r="F13" s="79">
        <f t="shared" si="1"/>
        <v>87.5</v>
      </c>
      <c r="G13" s="79">
        <f t="shared" si="2"/>
        <v>64.166666666666657</v>
      </c>
      <c r="H13" s="79">
        <f t="shared" si="3"/>
        <v>23.333333333333332</v>
      </c>
      <c r="I13" s="79">
        <f>'DETALLE PERMISOS'!I39</f>
        <v>0.625</v>
      </c>
      <c r="J13" s="79">
        <f>'DETALLE VACACIONES'!I23</f>
        <v>65</v>
      </c>
      <c r="K13" s="80">
        <f t="shared" si="4"/>
        <v>21.875</v>
      </c>
      <c r="L13" s="80"/>
      <c r="M13" s="80"/>
      <c r="N13" s="318"/>
    </row>
    <row r="14" spans="1:14" ht="91.5" customHeight="1">
      <c r="A14" s="77">
        <v>5</v>
      </c>
      <c r="B14" s="119">
        <f>'MUESTRA SALDO DE VACACIONES'!B12</f>
        <v>1104806730</v>
      </c>
      <c r="C14" s="77" t="str">
        <f>VLOOKUP(B14,'MUESTRA SALDO DE VACACIONES'!$B$7:E65,2,0)</f>
        <v>TORRES CALBA MAIRA ESPERANZA</v>
      </c>
      <c r="D14" s="78">
        <f>'MUESTRA SALDO DE VACACIONES'!D12</f>
        <v>44562</v>
      </c>
      <c r="E14" s="79">
        <f t="shared" si="0"/>
        <v>450</v>
      </c>
      <c r="F14" s="79">
        <f t="shared" si="1"/>
        <v>37.5</v>
      </c>
      <c r="G14" s="79">
        <f t="shared" si="2"/>
        <v>27.499999999999996</v>
      </c>
      <c r="H14" s="79">
        <f t="shared" si="3"/>
        <v>10</v>
      </c>
      <c r="I14" s="79">
        <f>'DETALLE PERMISOS'!I47</f>
        <v>0</v>
      </c>
      <c r="J14" s="79">
        <f>'DETALLE VACACIONES'!I29</f>
        <v>15</v>
      </c>
      <c r="K14" s="80">
        <f t="shared" si="4"/>
        <v>22.5</v>
      </c>
      <c r="L14" s="80"/>
      <c r="M14" s="80"/>
      <c r="N14" s="319"/>
    </row>
    <row r="15" spans="1:14" s="83" customFormat="1" ht="12.75">
      <c r="A15" s="19"/>
      <c r="B15" s="19"/>
      <c r="C15" s="19"/>
      <c r="D15" s="81"/>
      <c r="E15" s="82"/>
      <c r="F15" s="82"/>
      <c r="G15" s="19"/>
      <c r="H15" s="19"/>
      <c r="I15" s="19"/>
      <c r="J15" s="19"/>
      <c r="K15" s="19"/>
      <c r="L15" s="19"/>
      <c r="M15" s="85"/>
      <c r="N15" s="19"/>
    </row>
    <row r="16" spans="1:14" s="83" customFormat="1" ht="12.75">
      <c r="A16" s="19"/>
      <c r="B16" s="19"/>
      <c r="C16" s="19"/>
      <c r="D16" s="84"/>
      <c r="E16" s="82"/>
      <c r="F16" s="82"/>
      <c r="G16" s="19"/>
      <c r="H16" s="19"/>
      <c r="I16" s="19"/>
      <c r="J16" s="19"/>
      <c r="K16" s="19"/>
      <c r="L16" s="19"/>
      <c r="M16" s="85"/>
      <c r="N16" s="19"/>
    </row>
    <row r="17" spans="1:14" s="83" customFormat="1" ht="13.5" thickBot="1">
      <c r="A17" s="19"/>
      <c r="B17" s="19"/>
      <c r="C17" s="19"/>
      <c r="D17" s="86"/>
      <c r="E17" s="19"/>
      <c r="F17" s="19"/>
      <c r="G17" s="19"/>
      <c r="H17" s="19"/>
      <c r="I17" s="19"/>
      <c r="J17" s="19"/>
      <c r="K17" s="19"/>
      <c r="L17" s="19"/>
      <c r="M17" s="85"/>
      <c r="N17" s="19"/>
    </row>
    <row r="18" spans="1:14" s="83" customFormat="1" ht="34.5" customHeight="1">
      <c r="A18" s="19"/>
      <c r="B18" s="19"/>
      <c r="C18" s="19"/>
      <c r="D18" s="282" t="s">
        <v>156</v>
      </c>
      <c r="E18" s="283"/>
      <c r="F18" s="284" t="s">
        <v>157</v>
      </c>
      <c r="G18" s="285"/>
      <c r="H18" s="19"/>
      <c r="I18" s="19"/>
      <c r="J18" s="19"/>
      <c r="K18" s="19"/>
      <c r="L18" s="19"/>
      <c r="M18" s="85"/>
      <c r="N18" s="19"/>
    </row>
    <row r="19" spans="1:14" s="83" customFormat="1" ht="30" customHeight="1" thickBot="1">
      <c r="A19" s="19"/>
      <c r="B19" s="19"/>
      <c r="C19" s="19"/>
      <c r="D19" s="288" t="s">
        <v>158</v>
      </c>
      <c r="E19" s="289"/>
      <c r="F19" s="286"/>
      <c r="G19" s="287"/>
      <c r="H19" s="19"/>
      <c r="I19" s="19"/>
      <c r="J19" s="19"/>
      <c r="K19" s="19"/>
      <c r="L19" s="19"/>
      <c r="M19" s="19"/>
      <c r="N19" s="19"/>
    </row>
    <row r="20" spans="1:14" s="83" customFormat="1" ht="12.75">
      <c r="A20" s="19"/>
      <c r="B20" s="19"/>
      <c r="C20" s="19"/>
      <c r="D20" s="262"/>
      <c r="E20" s="263"/>
      <c r="F20" s="266"/>
      <c r="G20" s="267"/>
      <c r="H20" s="19"/>
      <c r="I20" s="19"/>
      <c r="J20" s="19"/>
      <c r="K20" s="19"/>
      <c r="L20" s="19"/>
      <c r="M20" s="19"/>
      <c r="N20" s="19"/>
    </row>
    <row r="21" spans="1:14" s="83" customFormat="1" ht="12.75">
      <c r="A21" s="19"/>
      <c r="B21" s="19"/>
      <c r="C21" s="19"/>
      <c r="D21" s="264"/>
      <c r="E21" s="265"/>
      <c r="F21" s="268"/>
      <c r="G21" s="269"/>
      <c r="H21" s="19"/>
      <c r="I21" s="19"/>
      <c r="J21" s="19"/>
      <c r="K21" s="19"/>
      <c r="L21" s="19"/>
      <c r="M21" s="19"/>
      <c r="N21" s="19"/>
    </row>
    <row r="22" spans="1:14" s="83" customFormat="1" ht="12.75">
      <c r="A22" s="19"/>
      <c r="B22" s="19"/>
      <c r="C22" s="19"/>
      <c r="D22" s="264"/>
      <c r="E22" s="265"/>
      <c r="F22" s="268"/>
      <c r="G22" s="269"/>
      <c r="H22" s="19"/>
      <c r="I22" s="19"/>
      <c r="J22" s="19"/>
      <c r="K22" s="19"/>
      <c r="L22" s="19"/>
      <c r="M22" s="19"/>
      <c r="N22" s="19"/>
    </row>
    <row r="23" spans="1:14" s="83" customFormat="1" ht="12.75">
      <c r="A23" s="19"/>
      <c r="B23" s="19"/>
      <c r="C23" s="19"/>
      <c r="D23" s="264"/>
      <c r="E23" s="265"/>
      <c r="F23" s="268"/>
      <c r="G23" s="269"/>
      <c r="H23" s="19"/>
      <c r="I23" s="19"/>
      <c r="J23" s="19"/>
      <c r="K23" s="19"/>
      <c r="L23" s="19"/>
      <c r="M23" s="19"/>
      <c r="N23" s="19"/>
    </row>
    <row r="24" spans="1:14" s="83" customFormat="1" ht="12.75">
      <c r="A24" s="19"/>
      <c r="B24" s="19"/>
      <c r="C24" s="19"/>
      <c r="D24" s="264"/>
      <c r="E24" s="265"/>
      <c r="F24" s="268"/>
      <c r="G24" s="269"/>
      <c r="H24" s="19"/>
      <c r="I24" s="19"/>
      <c r="J24" s="19"/>
      <c r="K24" s="19"/>
      <c r="L24" s="19"/>
      <c r="M24" s="19"/>
      <c r="N24" s="19"/>
    </row>
    <row r="25" spans="1:14" s="88" customFormat="1" ht="12.75">
      <c r="A25" s="87"/>
      <c r="B25" s="87"/>
      <c r="C25" s="87"/>
      <c r="D25" s="264"/>
      <c r="E25" s="265"/>
      <c r="F25" s="268"/>
      <c r="G25" s="269"/>
      <c r="H25" s="87"/>
      <c r="I25" s="87"/>
      <c r="J25" s="87"/>
      <c r="K25" s="87"/>
      <c r="L25" s="87"/>
      <c r="M25" s="87"/>
      <c r="N25" s="87"/>
    </row>
    <row r="26" spans="1:14" s="88" customFormat="1" ht="27.75" customHeight="1">
      <c r="A26" s="87"/>
      <c r="B26" s="87"/>
      <c r="C26" s="87"/>
      <c r="D26" s="270" t="s">
        <v>159</v>
      </c>
      <c r="E26" s="270"/>
      <c r="F26" s="271" t="s">
        <v>160</v>
      </c>
      <c r="G26" s="271"/>
      <c r="H26" s="87"/>
      <c r="I26" s="87"/>
      <c r="J26" s="87"/>
      <c r="K26" s="87"/>
      <c r="L26" s="87"/>
      <c r="M26" s="87"/>
      <c r="N26" s="87"/>
    </row>
    <row r="27" spans="1:14" s="88" customFormat="1" ht="45.75" customHeight="1" thickBot="1">
      <c r="A27" s="87"/>
      <c r="B27" s="87"/>
      <c r="C27" s="87"/>
      <c r="D27" s="272" t="s">
        <v>161</v>
      </c>
      <c r="E27" s="273"/>
      <c r="F27" s="274" t="s">
        <v>162</v>
      </c>
      <c r="G27" s="275"/>
      <c r="H27" s="87"/>
      <c r="I27" s="87"/>
      <c r="J27" s="87"/>
      <c r="K27" s="87"/>
      <c r="L27" s="87"/>
      <c r="M27" s="87"/>
      <c r="N27" s="87"/>
    </row>
    <row r="28" spans="1:14" s="88" customFormat="1" ht="12.75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</row>
    <row r="29" spans="1:14" s="88" customFormat="1" ht="12.7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</row>
    <row r="30" spans="1:14" s="88" customFormat="1" ht="12.75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</row>
    <row r="31" spans="1:14" s="88" customFormat="1" ht="12.75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</row>
    <row r="32" spans="1:14" s="88" customFormat="1" ht="12.75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</row>
    <row r="33" spans="1:14" s="88" customFormat="1" ht="12.75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</row>
    <row r="34" spans="1:14" s="88" customFormat="1" ht="12.75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</row>
    <row r="35" spans="1:14" s="88" customFormat="1" ht="12.7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</row>
    <row r="36" spans="1:14" s="88" customFormat="1" ht="12.7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</row>
    <row r="37" spans="1:14" s="88" customFormat="1" ht="12.75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</row>
    <row r="38" spans="1:14" s="88" customFormat="1" ht="12.7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</row>
    <row r="39" spans="1:14" s="83" customFormat="1" ht="12.7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s="83" customFormat="1" ht="12.7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s="83" customFormat="1" ht="12.7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s="83" customFormat="1" ht="12.7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s="83" customFormat="1" ht="12.7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s="83" customFormat="1" ht="12.7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s="83" customFormat="1" ht="12.7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4" s="83" customFormat="1" ht="12.7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2.7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</row>
    <row r="48" spans="1:14" ht="12.75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</row>
    <row r="49" spans="1:14" ht="12.75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</row>
    <row r="50" spans="1:14" ht="12.75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</row>
    <row r="51" spans="1:14" ht="12.75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</row>
    <row r="52" spans="1:14" ht="12.75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</row>
    <row r="53" spans="1:14" ht="12.75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</row>
    <row r="54" spans="1:14" ht="12.75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</row>
    <row r="55" spans="1:14" ht="12.7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</row>
    <row r="56" spans="1:14" ht="12.75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</row>
    <row r="57" spans="1:14" ht="12.75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</row>
    <row r="58" spans="1:14" ht="12.75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</row>
    <row r="59" spans="1:14" ht="12.75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</row>
    <row r="60" spans="1:14" ht="12.75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</row>
    <row r="61" spans="1:14" ht="12.75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</row>
    <row r="62" spans="1:14" ht="12.75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</row>
    <row r="63" spans="1:14" ht="12.75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</row>
    <row r="64" spans="1:14" ht="12.75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</row>
    <row r="65" spans="1:14" ht="12.7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</row>
    <row r="66" spans="1:14" ht="12.75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</row>
    <row r="67" spans="1:14" ht="12.75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</row>
    <row r="68" spans="1:14" ht="12.75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</row>
    <row r="69" spans="1:14" ht="12.75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</row>
    <row r="70" spans="1:14" ht="12.75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</row>
    <row r="71" spans="1:14" ht="12.75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</row>
    <row r="72" spans="1:14" ht="12.75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</row>
    <row r="73" spans="1:14" ht="12.75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</row>
    <row r="74" spans="1:14" ht="12.75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</row>
    <row r="75" spans="1:14" ht="12.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</row>
    <row r="76" spans="1:14" ht="12.75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</row>
    <row r="77" spans="1:14" ht="12.75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</row>
    <row r="78" spans="1:14" ht="12.75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</row>
    <row r="79" spans="1:14" ht="12.75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</row>
    <row r="80" spans="1:14" ht="12.75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</row>
    <row r="81" spans="1:14" ht="12.75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</row>
    <row r="82" spans="1:14" ht="12.75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</row>
    <row r="83" spans="1:14" ht="12.75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</row>
    <row r="84" spans="1:14" ht="12.75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</row>
    <row r="85" spans="1:14" ht="12.7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</row>
    <row r="86" spans="1:14" ht="12.75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</row>
    <row r="87" spans="1:14" ht="12.75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</row>
    <row r="88" spans="1:14" ht="12.75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</row>
    <row r="89" spans="1:14" ht="12.75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</row>
    <row r="90" spans="1:14" ht="12.75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</row>
    <row r="91" spans="1:14" ht="12.75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</row>
    <row r="92" spans="1:14" ht="12.75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</row>
    <row r="93" spans="1:14" ht="12.75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</row>
    <row r="94" spans="1:14" ht="12.75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</row>
    <row r="95" spans="1:14" ht="12.7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</row>
    <row r="96" spans="1:14" ht="12.75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</row>
    <row r="97" spans="1:14" ht="12.75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</row>
    <row r="98" spans="1:14" ht="12.75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</row>
    <row r="99" spans="1:14" ht="12.75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</row>
    <row r="100" spans="1:14" ht="12.75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</row>
    <row r="101" spans="1:14" ht="12.75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</row>
    <row r="102" spans="1:14" ht="12.75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</row>
    <row r="103" spans="1:14" ht="12.75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</row>
    <row r="104" spans="1:14" ht="12.75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</row>
    <row r="105" spans="1:14" ht="12.7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</row>
    <row r="106" spans="1:14" ht="12.75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</row>
    <row r="107" spans="1:14" ht="12.75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</row>
    <row r="108" spans="1:14" ht="12.75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</row>
    <row r="109" spans="1:14" ht="12.75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</row>
    <row r="110" spans="1:14" ht="12.75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</row>
    <row r="111" spans="1:14" ht="12.75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</row>
    <row r="112" spans="1:14" ht="12.75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</row>
    <row r="113" spans="1:14" ht="12.75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</row>
    <row r="114" spans="1:14" ht="12.75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</row>
    <row r="115" spans="1:14" ht="12.7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</row>
    <row r="116" spans="1:14" ht="12.75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</row>
    <row r="117" spans="1:14" ht="12.75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</row>
    <row r="118" spans="1:14" ht="12.75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</row>
    <row r="119" spans="1:14" ht="12.75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</row>
    <row r="120" spans="1:14" ht="12.7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</row>
    <row r="121" spans="1:14" ht="12.7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</row>
    <row r="122" spans="1:14" ht="12.7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</row>
    <row r="123" spans="1:14" ht="12.7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</row>
    <row r="124" spans="1:14" ht="12.7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</row>
    <row r="125" spans="1:14" ht="12.7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</row>
    <row r="126" spans="1:14" ht="12.7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</row>
    <row r="127" spans="1:14" ht="12.7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</row>
    <row r="128" spans="1:14" ht="12.7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</row>
    <row r="129" spans="1:14" ht="12.7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</row>
    <row r="130" spans="1:14" ht="12.7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</row>
    <row r="131" spans="1:14" ht="12.7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</row>
    <row r="132" spans="1:14" ht="12.75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</row>
    <row r="133" spans="1:14" ht="12.75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</row>
    <row r="134" spans="1:14" ht="12.75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</row>
    <row r="135" spans="1:14" ht="12.7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</row>
    <row r="136" spans="1:14" ht="12.7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</row>
    <row r="137" spans="1:14" ht="12.7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</row>
    <row r="138" spans="1:14" ht="12.75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</row>
    <row r="139" spans="1:14" ht="12.75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</row>
    <row r="140" spans="1:14" ht="12.75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</row>
    <row r="141" spans="1:14" ht="12.75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</row>
    <row r="142" spans="1:14" ht="12.7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</row>
    <row r="143" spans="1:14" ht="12.75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</row>
    <row r="144" spans="1:14" ht="12.75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</row>
    <row r="145" spans="1:14" ht="12.7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</row>
    <row r="146" spans="1:14" ht="12.75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</row>
    <row r="147" spans="1:14" ht="12.7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</row>
    <row r="148" spans="1:14" ht="12.75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</row>
    <row r="149" spans="1:14" ht="12.75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</row>
    <row r="150" spans="1:14" ht="12.75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</row>
    <row r="151" spans="1:14" ht="12.75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</row>
    <row r="152" spans="1:14" ht="12.7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</row>
    <row r="153" spans="1:14" ht="12.7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</row>
    <row r="154" spans="1:14" ht="12.7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</row>
    <row r="155" spans="1:14" ht="12.7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</row>
    <row r="156" spans="1:14" ht="12.75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</row>
    <row r="157" spans="1:14" ht="12.75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</row>
    <row r="158" spans="1:14" ht="12.75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</row>
    <row r="159" spans="1:14" ht="12.75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</row>
    <row r="160" spans="1:14" ht="12.75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</row>
    <row r="161" spans="1:14" ht="12.7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</row>
    <row r="162" spans="1:14" ht="12.75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</row>
    <row r="163" spans="1:14" ht="12.75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</row>
    <row r="164" spans="1:14" ht="12.7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</row>
    <row r="165" spans="1:14" ht="12.7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</row>
    <row r="166" spans="1:14" ht="12.7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</row>
    <row r="167" spans="1:14" ht="12.75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</row>
    <row r="168" spans="1:14" ht="12.75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</row>
    <row r="169" spans="1:14" ht="12.7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</row>
    <row r="170" spans="1:14" ht="12.75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</row>
    <row r="171" spans="1:14" ht="12.75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</row>
    <row r="172" spans="1:14" ht="12.75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</row>
    <row r="173" spans="1:14" ht="12.7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</row>
    <row r="174" spans="1:14" ht="12.7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</row>
    <row r="175" spans="1:14" ht="12.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</row>
    <row r="176" spans="1:14" ht="12.7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</row>
    <row r="177" spans="1:14" ht="12.75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</row>
    <row r="178" spans="1:14" ht="12.7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</row>
    <row r="179" spans="1:14" ht="12.7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</row>
    <row r="180" spans="1:14" ht="12.75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</row>
    <row r="181" spans="1:14" ht="12.75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</row>
    <row r="182" spans="1:14" ht="12.75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</row>
    <row r="183" spans="1:14" ht="12.75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</row>
    <row r="184" spans="1:14" ht="12.75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</row>
    <row r="185" spans="1:14" ht="12.7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</row>
    <row r="186" spans="1:14" ht="12.75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</row>
    <row r="187" spans="1:14" ht="12.75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</row>
    <row r="188" spans="1:14" ht="12.75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</row>
    <row r="189" spans="1:14" ht="12.75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</row>
    <row r="190" spans="1:14" ht="12.75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</row>
    <row r="191" spans="1:14" ht="12.75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</row>
    <row r="192" spans="1:14" ht="12.75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</row>
    <row r="193" spans="1:14" ht="12.75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</row>
    <row r="194" spans="1:14" ht="12.75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</row>
    <row r="195" spans="1:14" ht="12.7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</row>
    <row r="196" spans="1:14" ht="12.75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</row>
    <row r="197" spans="1:14" ht="12.75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</row>
    <row r="198" spans="1:14" ht="12.75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</row>
    <row r="199" spans="1:14" ht="12.75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</row>
    <row r="200" spans="1:14" ht="12.75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</row>
    <row r="201" spans="1:14" ht="12.75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</row>
    <row r="202" spans="1:14" ht="12.75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</row>
    <row r="203" spans="1:14" ht="12.75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</row>
    <row r="204" spans="1:14" ht="12.75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</row>
    <row r="205" spans="1:14" ht="12.7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</row>
    <row r="206" spans="1:14" ht="12.75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</row>
    <row r="207" spans="1:14" ht="12.75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</row>
    <row r="208" spans="1:14" ht="12.75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</row>
    <row r="209" spans="1:14" ht="12.75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</row>
    <row r="210" spans="1:14" ht="12.75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</row>
    <row r="211" spans="1:14" ht="12.75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</row>
    <row r="212" spans="1:14" ht="12.75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</row>
    <row r="213" spans="1:14" ht="12.75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</row>
    <row r="214" spans="1:14" ht="12.75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</row>
    <row r="215" spans="1:14" ht="12.7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</row>
    <row r="216" spans="1:14" ht="12.75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</row>
    <row r="217" spans="1:14" ht="12.75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</row>
    <row r="218" spans="1:14" ht="12.75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</row>
    <row r="219" spans="1:14" ht="12.75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</row>
    <row r="220" spans="1:14" ht="12.75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</row>
    <row r="221" spans="1:14" ht="12.75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</row>
    <row r="222" spans="1:14" ht="12.75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</row>
    <row r="223" spans="1:14" ht="12.75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</row>
    <row r="224" spans="1:14" ht="12.75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</row>
    <row r="225" spans="1:14" ht="12.7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</row>
    <row r="226" spans="1:14" ht="12.75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</row>
    <row r="227" spans="1:14" ht="12.75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</row>
    <row r="228" spans="1:14" ht="12.75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</row>
    <row r="229" spans="1:14" ht="12.75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</row>
    <row r="230" spans="1:14" ht="12.75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</row>
    <row r="231" spans="1:14" ht="12.75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</row>
    <row r="232" spans="1:14" ht="12.75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</row>
    <row r="233" spans="1:14" ht="12.75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</row>
    <row r="234" spans="1:14" ht="12.7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</row>
    <row r="235" spans="1:14" ht="12.7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</row>
    <row r="236" spans="1:14" ht="12.75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</row>
    <row r="237" spans="1:14" ht="12.75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</row>
    <row r="238" spans="1:14" ht="12.75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</row>
    <row r="239" spans="1:14" ht="12.75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</row>
    <row r="240" spans="1:14" ht="12.7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</row>
    <row r="241" spans="1:14" ht="12.7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</row>
    <row r="242" spans="1:14" ht="12.7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</row>
    <row r="243" spans="1:14" ht="12.7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</row>
    <row r="244" spans="1:14" ht="12.7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</row>
    <row r="245" spans="1:14" ht="12.7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</row>
    <row r="246" spans="1:14" ht="12.7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</row>
    <row r="247" spans="1:14" ht="12.7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</row>
    <row r="248" spans="1:14" ht="12.7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</row>
    <row r="249" spans="1:14" ht="12.7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</row>
    <row r="250" spans="1:14" ht="12.7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</row>
    <row r="251" spans="1:14" ht="12.7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</row>
    <row r="252" spans="1:14" ht="12.7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</row>
    <row r="253" spans="1:14" ht="12.7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</row>
    <row r="254" spans="1:14" ht="12.7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</row>
    <row r="255" spans="1:14" ht="12.7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</row>
    <row r="256" spans="1:14" ht="12.7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</row>
    <row r="257" s="23" customFormat="1" ht="12.75"/>
    <row r="258" s="23" customFormat="1" ht="12.75"/>
    <row r="1041004" spans="1:14" ht="12.75">
      <c r="A1041004" s="92"/>
      <c r="B1041004" s="92"/>
      <c r="C1041004" s="92"/>
      <c r="D1041004" s="92"/>
      <c r="E1041004" s="92"/>
      <c r="F1041004" s="92"/>
      <c r="G1041004" s="92"/>
      <c r="H1041004" s="92"/>
      <c r="I1041004" s="92"/>
      <c r="J1041004" s="92"/>
      <c r="K1041004" s="92"/>
      <c r="L1041004" s="92"/>
      <c r="M1041004" s="92"/>
      <c r="N1041004" s="92"/>
    </row>
    <row r="1041005" spans="1:14" s="83" customFormat="1" ht="12.75">
      <c r="A1041005" s="19"/>
      <c r="B1041005" s="19"/>
      <c r="C1041005" s="19"/>
      <c r="D1041005" s="19"/>
      <c r="E1041005" s="19"/>
      <c r="F1041005" s="19"/>
      <c r="G1041005" s="19"/>
      <c r="H1041005" s="19"/>
      <c r="I1041005" s="19"/>
      <c r="J1041005" s="19"/>
      <c r="K1041005" s="19"/>
      <c r="L1041005" s="19"/>
      <c r="M1041005" s="19"/>
      <c r="N1041005" s="19"/>
    </row>
    <row r="1041006" spans="1:14" s="83" customFormat="1" ht="12.75">
      <c r="A1041006" s="19"/>
      <c r="B1041006" s="19"/>
      <c r="C1041006" s="19"/>
      <c r="D1041006" s="19"/>
      <c r="E1041006" s="19"/>
      <c r="F1041006" s="19"/>
      <c r="G1041006" s="19"/>
      <c r="H1041006" s="19"/>
      <c r="I1041006" s="19"/>
      <c r="J1041006" s="19"/>
      <c r="K1041006" s="19"/>
      <c r="L1041006" s="19"/>
      <c r="M1041006" s="19"/>
      <c r="N1041006" s="19"/>
    </row>
    <row r="1041007" spans="1:14" s="83" customFormat="1" ht="12.75">
      <c r="A1041007" s="19"/>
      <c r="B1041007" s="19"/>
      <c r="C1041007" s="19"/>
      <c r="D1041007" s="19"/>
      <c r="E1041007" s="19"/>
      <c r="F1041007" s="19"/>
      <c r="G1041007" s="19"/>
      <c r="H1041007" s="19"/>
      <c r="I1041007" s="19"/>
      <c r="J1041007" s="19"/>
      <c r="K1041007" s="19"/>
      <c r="L1041007" s="19"/>
      <c r="M1041007" s="19"/>
      <c r="N1041007" s="19"/>
    </row>
    <row r="1041008" spans="1:14" s="83" customFormat="1" ht="12.75">
      <c r="A1041008" s="19"/>
      <c r="B1041008" s="19"/>
      <c r="C1041008" s="19"/>
      <c r="D1041008" s="19"/>
      <c r="E1041008" s="19"/>
      <c r="F1041008" s="19"/>
      <c r="G1041008" s="19"/>
      <c r="H1041008" s="19"/>
      <c r="I1041008" s="19"/>
      <c r="J1041008" s="19"/>
      <c r="K1041008" s="19"/>
      <c r="L1041008" s="19"/>
      <c r="M1041008" s="19"/>
      <c r="N1041008" s="19"/>
    </row>
    <row r="1041009" spans="1:14" s="83" customFormat="1" ht="12.75">
      <c r="A1041009" s="19"/>
      <c r="B1041009" s="19"/>
      <c r="C1041009" s="19"/>
      <c r="D1041009" s="19"/>
      <c r="E1041009" s="19"/>
      <c r="F1041009" s="19"/>
      <c r="G1041009" s="19"/>
      <c r="H1041009" s="19"/>
      <c r="I1041009" s="19"/>
      <c r="J1041009" s="19"/>
      <c r="K1041009" s="19"/>
      <c r="L1041009" s="19"/>
      <c r="M1041009" s="19"/>
      <c r="N1041009" s="19"/>
    </row>
    <row r="1041010" spans="1:14" s="83" customFormat="1" ht="12.75">
      <c r="A1041010" s="19"/>
      <c r="B1041010" s="19"/>
      <c r="C1041010" s="19"/>
      <c r="D1041010" s="19"/>
      <c r="E1041010" s="19"/>
      <c r="F1041010" s="19"/>
      <c r="G1041010" s="19"/>
      <c r="H1041010" s="19"/>
      <c r="I1041010" s="19"/>
      <c r="J1041010" s="19"/>
      <c r="K1041010" s="19"/>
      <c r="L1041010" s="19"/>
      <c r="M1041010" s="19"/>
      <c r="N1041010" s="19"/>
    </row>
    <row r="1041011" spans="1:14" s="83" customFormat="1" ht="12.75">
      <c r="A1041011" s="19"/>
      <c r="B1041011" s="19"/>
      <c r="C1041011" s="19"/>
      <c r="D1041011" s="19"/>
      <c r="E1041011" s="19"/>
      <c r="F1041011" s="19"/>
      <c r="G1041011" s="19"/>
      <c r="H1041011" s="19"/>
      <c r="I1041011" s="19"/>
      <c r="J1041011" s="19"/>
      <c r="K1041011" s="19"/>
      <c r="L1041011" s="19"/>
      <c r="M1041011" s="19"/>
      <c r="N1041011" s="19"/>
    </row>
    <row r="1041012" spans="1:14" s="83" customFormat="1" ht="12.75">
      <c r="A1041012" s="19"/>
      <c r="B1041012" s="19"/>
      <c r="C1041012" s="19"/>
      <c r="D1041012" s="19"/>
      <c r="E1041012" s="19"/>
      <c r="F1041012" s="19"/>
      <c r="G1041012" s="19"/>
      <c r="H1041012" s="19"/>
      <c r="I1041012" s="19"/>
      <c r="J1041012" s="19"/>
      <c r="K1041012" s="19"/>
      <c r="L1041012" s="19"/>
      <c r="M1041012" s="19"/>
      <c r="N1041012" s="19"/>
    </row>
    <row r="1041013" spans="1:14" s="83" customFormat="1" ht="12.75">
      <c r="A1041013" s="19"/>
      <c r="B1041013" s="19"/>
      <c r="C1041013" s="19"/>
      <c r="D1041013" s="19"/>
      <c r="E1041013" s="19"/>
      <c r="F1041013" s="19"/>
      <c r="G1041013" s="19"/>
      <c r="H1041013" s="19"/>
      <c r="I1041013" s="19"/>
      <c r="J1041013" s="19"/>
      <c r="K1041013" s="19"/>
      <c r="L1041013" s="19"/>
      <c r="M1041013" s="19"/>
      <c r="N1041013" s="19"/>
    </row>
    <row r="1041014" spans="1:14" s="83" customFormat="1" ht="12.75">
      <c r="A1041014" s="19"/>
      <c r="B1041014" s="19"/>
      <c r="C1041014" s="19"/>
      <c r="D1041014" s="19"/>
      <c r="E1041014" s="19"/>
      <c r="F1041014" s="19"/>
      <c r="G1041014" s="19"/>
      <c r="H1041014" s="19"/>
      <c r="I1041014" s="19"/>
      <c r="J1041014" s="19"/>
      <c r="K1041014" s="19"/>
      <c r="L1041014" s="19"/>
      <c r="M1041014" s="19"/>
      <c r="N1041014" s="19"/>
    </row>
    <row r="1041015" spans="1:14" s="83" customFormat="1" ht="12.75">
      <c r="A1041015" s="19"/>
      <c r="B1041015" s="19"/>
      <c r="C1041015" s="19"/>
      <c r="D1041015" s="19"/>
      <c r="E1041015" s="19"/>
      <c r="F1041015" s="19"/>
      <c r="G1041015" s="19"/>
      <c r="H1041015" s="19"/>
      <c r="I1041015" s="19"/>
      <c r="J1041015" s="19"/>
      <c r="K1041015" s="19"/>
      <c r="L1041015" s="19"/>
      <c r="M1041015" s="19"/>
      <c r="N1041015" s="19"/>
    </row>
    <row r="1041016" spans="1:14" s="83" customFormat="1" ht="12.75">
      <c r="A1041016" s="19"/>
      <c r="B1041016" s="19"/>
      <c r="C1041016" s="19"/>
      <c r="D1041016" s="19"/>
      <c r="E1041016" s="19"/>
      <c r="F1041016" s="19"/>
      <c r="G1041016" s="19"/>
      <c r="H1041016" s="19"/>
      <c r="I1041016" s="19"/>
      <c r="J1041016" s="19"/>
      <c r="K1041016" s="19"/>
      <c r="L1041016" s="19"/>
      <c r="M1041016" s="19"/>
      <c r="N1041016" s="19"/>
    </row>
    <row r="1041017" spans="1:14" s="83" customFormat="1" ht="12.75">
      <c r="A1041017" s="19"/>
      <c r="B1041017" s="19"/>
      <c r="C1041017" s="19"/>
      <c r="D1041017" s="19"/>
      <c r="E1041017" s="19"/>
      <c r="F1041017" s="19"/>
      <c r="G1041017" s="19"/>
      <c r="H1041017" s="19"/>
      <c r="I1041017" s="19"/>
      <c r="J1041017" s="19"/>
      <c r="K1041017" s="19"/>
      <c r="L1041017" s="19"/>
      <c r="M1041017" s="19"/>
      <c r="N1041017" s="19"/>
    </row>
    <row r="1041018" spans="1:14" s="83" customFormat="1" ht="12.75">
      <c r="A1041018" s="19"/>
      <c r="B1041018" s="19"/>
      <c r="C1041018" s="19"/>
      <c r="D1041018" s="19"/>
      <c r="E1041018" s="19"/>
      <c r="F1041018" s="19"/>
      <c r="G1041018" s="19"/>
      <c r="H1041018" s="19"/>
      <c r="I1041018" s="19"/>
      <c r="J1041018" s="19"/>
      <c r="K1041018" s="19"/>
      <c r="L1041018" s="19"/>
      <c r="M1041018" s="19"/>
      <c r="N1041018" s="19"/>
    </row>
    <row r="1041019" spans="1:14" s="83" customFormat="1" ht="12.75">
      <c r="A1041019" s="19"/>
      <c r="B1041019" s="19"/>
      <c r="C1041019" s="19"/>
      <c r="D1041019" s="19"/>
      <c r="E1041019" s="19"/>
      <c r="F1041019" s="19"/>
      <c r="G1041019" s="19"/>
      <c r="H1041019" s="19"/>
      <c r="I1041019" s="19"/>
      <c r="J1041019" s="19"/>
      <c r="K1041019" s="19"/>
      <c r="L1041019" s="19"/>
      <c r="M1041019" s="19"/>
      <c r="N1041019" s="19"/>
    </row>
    <row r="1041020" spans="1:14" s="83" customFormat="1" ht="12.75">
      <c r="A1041020" s="19"/>
      <c r="B1041020" s="19"/>
      <c r="C1041020" s="19"/>
      <c r="D1041020" s="19"/>
      <c r="E1041020" s="19"/>
      <c r="F1041020" s="19"/>
      <c r="G1041020" s="19"/>
      <c r="H1041020" s="19"/>
      <c r="I1041020" s="19"/>
      <c r="J1041020" s="19"/>
      <c r="K1041020" s="19"/>
      <c r="L1041020" s="19"/>
      <c r="M1041020" s="19"/>
      <c r="N1041020" s="19"/>
    </row>
    <row r="1041021" spans="1:14" s="83" customFormat="1" ht="12.75">
      <c r="A1041021" s="19"/>
      <c r="B1041021" s="19"/>
      <c r="C1041021" s="19"/>
      <c r="D1041021" s="19"/>
      <c r="E1041021" s="19"/>
      <c r="F1041021" s="19"/>
      <c r="G1041021" s="19"/>
      <c r="H1041021" s="19"/>
      <c r="I1041021" s="19"/>
      <c r="J1041021" s="19"/>
      <c r="K1041021" s="19"/>
      <c r="L1041021" s="19"/>
      <c r="M1041021" s="19"/>
      <c r="N1041021" s="19"/>
    </row>
    <row r="1041022" spans="1:14" s="83" customFormat="1" ht="12.75">
      <c r="A1041022" s="19"/>
      <c r="B1041022" s="19"/>
      <c r="C1041022" s="19"/>
      <c r="D1041022" s="19"/>
      <c r="E1041022" s="19"/>
      <c r="F1041022" s="19"/>
      <c r="G1041022" s="19"/>
      <c r="H1041022" s="19"/>
      <c r="I1041022" s="19"/>
      <c r="J1041022" s="19"/>
      <c r="K1041022" s="19"/>
      <c r="L1041022" s="19"/>
      <c r="M1041022" s="19"/>
      <c r="N1041022" s="19"/>
    </row>
    <row r="1041023" spans="1:14" s="83" customFormat="1" ht="12.75">
      <c r="A1041023" s="19"/>
      <c r="B1041023" s="19"/>
      <c r="C1041023" s="19"/>
      <c r="D1041023" s="19"/>
      <c r="E1041023" s="19"/>
      <c r="F1041023" s="19"/>
      <c r="G1041023" s="19"/>
      <c r="H1041023" s="19"/>
      <c r="I1041023" s="19"/>
      <c r="J1041023" s="19"/>
      <c r="K1041023" s="19"/>
      <c r="L1041023" s="19"/>
      <c r="M1041023" s="19"/>
      <c r="N1041023" s="19"/>
    </row>
    <row r="1041024" spans="1:14" s="83" customFormat="1" ht="12.75">
      <c r="A1041024" s="19"/>
      <c r="B1041024" s="19"/>
      <c r="C1041024" s="19"/>
      <c r="D1041024" s="19"/>
      <c r="E1041024" s="19"/>
      <c r="F1041024" s="19"/>
      <c r="G1041024" s="19"/>
      <c r="H1041024" s="19"/>
      <c r="I1041024" s="19"/>
      <c r="J1041024" s="19"/>
      <c r="K1041024" s="19"/>
      <c r="L1041024" s="19"/>
      <c r="M1041024" s="19"/>
      <c r="N1041024" s="19"/>
    </row>
    <row r="1041025" spans="1:14" s="83" customFormat="1" ht="12.75">
      <c r="A1041025" s="19"/>
      <c r="B1041025" s="19"/>
      <c r="C1041025" s="19"/>
      <c r="D1041025" s="19"/>
      <c r="E1041025" s="19"/>
      <c r="F1041025" s="19"/>
      <c r="G1041025" s="19"/>
      <c r="H1041025" s="19"/>
      <c r="I1041025" s="19"/>
      <c r="J1041025" s="19"/>
      <c r="K1041025" s="19"/>
      <c r="L1041025" s="19"/>
      <c r="M1041025" s="19"/>
      <c r="N1041025" s="19"/>
    </row>
    <row r="1041026" spans="1:14" s="83" customFormat="1" ht="12.75">
      <c r="A1041026" s="19"/>
      <c r="B1041026" s="19"/>
      <c r="C1041026" s="19"/>
      <c r="D1041026" s="19"/>
      <c r="E1041026" s="19"/>
      <c r="F1041026" s="19"/>
      <c r="G1041026" s="19"/>
      <c r="H1041026" s="19"/>
      <c r="I1041026" s="19"/>
      <c r="J1041026" s="19"/>
      <c r="K1041026" s="19"/>
      <c r="L1041026" s="19"/>
      <c r="M1041026" s="19"/>
      <c r="N1041026" s="19"/>
    </row>
    <row r="1041027" spans="1:14" s="83" customFormat="1" ht="12.75">
      <c r="A1041027" s="19"/>
      <c r="B1041027" s="19"/>
      <c r="C1041027" s="19"/>
      <c r="D1041027" s="19"/>
      <c r="E1041027" s="19"/>
      <c r="F1041027" s="19"/>
      <c r="G1041027" s="19"/>
      <c r="H1041027" s="19"/>
      <c r="I1041027" s="19"/>
      <c r="J1041027" s="19"/>
      <c r="K1041027" s="19"/>
      <c r="L1041027" s="19"/>
      <c r="M1041027" s="19"/>
      <c r="N1041027" s="19"/>
    </row>
    <row r="1041028" spans="1:14" s="83" customFormat="1" ht="12.75">
      <c r="A1041028" s="19"/>
      <c r="B1041028" s="19"/>
      <c r="C1041028" s="19"/>
      <c r="D1041028" s="19"/>
      <c r="E1041028" s="19"/>
      <c r="F1041028" s="19"/>
      <c r="G1041028" s="19"/>
      <c r="H1041028" s="19"/>
      <c r="I1041028" s="19"/>
      <c r="J1041028" s="19"/>
      <c r="K1041028" s="19"/>
      <c r="L1041028" s="19"/>
      <c r="M1041028" s="19"/>
      <c r="N1041028" s="19"/>
    </row>
    <row r="1041029" spans="1:14" s="83" customFormat="1" ht="12.75">
      <c r="A1041029" s="19"/>
      <c r="B1041029" s="19"/>
      <c r="C1041029" s="19"/>
      <c r="D1041029" s="19"/>
      <c r="E1041029" s="19"/>
      <c r="F1041029" s="19"/>
      <c r="G1041029" s="19"/>
      <c r="H1041029" s="19"/>
      <c r="I1041029" s="19"/>
      <c r="J1041029" s="19"/>
      <c r="K1041029" s="19"/>
      <c r="L1041029" s="19"/>
      <c r="M1041029" s="19"/>
      <c r="N1041029" s="19"/>
    </row>
    <row r="1041030" spans="1:14" s="83" customFormat="1" ht="12.75">
      <c r="A1041030" s="19"/>
      <c r="B1041030" s="19"/>
      <c r="C1041030" s="19"/>
      <c r="D1041030" s="19"/>
      <c r="E1041030" s="19"/>
      <c r="F1041030" s="19"/>
      <c r="G1041030" s="19"/>
      <c r="H1041030" s="19"/>
      <c r="I1041030" s="19"/>
      <c r="J1041030" s="19"/>
      <c r="K1041030" s="19"/>
      <c r="L1041030" s="19"/>
      <c r="M1041030" s="19"/>
      <c r="N1041030" s="19"/>
    </row>
    <row r="1041031" spans="1:14" s="83" customFormat="1" ht="12.75">
      <c r="A1041031" s="19"/>
      <c r="B1041031" s="19"/>
      <c r="C1041031" s="19"/>
      <c r="D1041031" s="19"/>
      <c r="E1041031" s="19"/>
      <c r="F1041031" s="19"/>
      <c r="G1041031" s="19"/>
      <c r="H1041031" s="19"/>
      <c r="I1041031" s="19"/>
      <c r="J1041031" s="19"/>
      <c r="K1041031" s="19"/>
      <c r="L1041031" s="19"/>
      <c r="M1041031" s="19"/>
      <c r="N1041031" s="19"/>
    </row>
    <row r="1041032" spans="1:14" s="83" customFormat="1" ht="12.75">
      <c r="A1041032" s="19"/>
      <c r="B1041032" s="19"/>
      <c r="C1041032" s="19"/>
      <c r="D1041032" s="19"/>
      <c r="E1041032" s="19"/>
      <c r="F1041032" s="19"/>
      <c r="G1041032" s="19"/>
      <c r="H1041032" s="19"/>
      <c r="I1041032" s="19"/>
      <c r="J1041032" s="19"/>
      <c r="K1041032" s="19"/>
      <c r="L1041032" s="19"/>
      <c r="M1041032" s="19"/>
      <c r="N1041032" s="19"/>
    </row>
    <row r="1041033" spans="1:14" s="83" customFormat="1" ht="12.75">
      <c r="A1041033" s="19"/>
      <c r="B1041033" s="19"/>
      <c r="C1041033" s="19"/>
      <c r="D1041033" s="19"/>
      <c r="E1041033" s="19"/>
      <c r="F1041033" s="19"/>
      <c r="G1041033" s="19"/>
      <c r="H1041033" s="19"/>
      <c r="I1041033" s="19"/>
      <c r="J1041033" s="19"/>
      <c r="K1041033" s="19"/>
      <c r="L1041033" s="19"/>
      <c r="M1041033" s="19"/>
      <c r="N1041033" s="19"/>
    </row>
    <row r="1041034" spans="1:14" s="83" customFormat="1" ht="12.75">
      <c r="A1041034" s="19"/>
      <c r="B1041034" s="19"/>
      <c r="C1041034" s="19"/>
      <c r="D1041034" s="19"/>
      <c r="E1041034" s="19"/>
      <c r="F1041034" s="19"/>
      <c r="G1041034" s="19"/>
      <c r="H1041034" s="19"/>
      <c r="I1041034" s="19"/>
      <c r="J1041034" s="19"/>
      <c r="K1041034" s="19"/>
      <c r="L1041034" s="19"/>
      <c r="M1041034" s="19"/>
      <c r="N1041034" s="19"/>
    </row>
    <row r="1041035" spans="1:14" s="83" customFormat="1" ht="12.75">
      <c r="A1041035" s="19"/>
      <c r="B1041035" s="19"/>
      <c r="C1041035" s="19"/>
      <c r="D1041035" s="19"/>
      <c r="E1041035" s="19"/>
      <c r="F1041035" s="19"/>
      <c r="G1041035" s="19"/>
      <c r="H1041035" s="19"/>
      <c r="I1041035" s="19"/>
      <c r="J1041035" s="19"/>
      <c r="K1041035" s="19"/>
      <c r="L1041035" s="19"/>
      <c r="M1041035" s="19"/>
      <c r="N1041035" s="19"/>
    </row>
    <row r="1041036" spans="1:14" s="83" customFormat="1" ht="12.75">
      <c r="A1041036" s="19"/>
      <c r="B1041036" s="19"/>
      <c r="C1041036" s="19"/>
      <c r="D1041036" s="19"/>
      <c r="E1041036" s="19"/>
      <c r="F1041036" s="19"/>
      <c r="G1041036" s="19"/>
      <c r="H1041036" s="19"/>
      <c r="I1041036" s="19"/>
      <c r="J1041036" s="19"/>
      <c r="K1041036" s="19"/>
      <c r="L1041036" s="19"/>
      <c r="M1041036" s="19"/>
      <c r="N1041036" s="19"/>
    </row>
    <row r="1041037" spans="1:14" s="83" customFormat="1" ht="12.75">
      <c r="A1041037" s="19"/>
      <c r="B1041037" s="19"/>
      <c r="C1041037" s="19"/>
      <c r="D1041037" s="19"/>
      <c r="E1041037" s="19"/>
      <c r="F1041037" s="19"/>
      <c r="G1041037" s="19"/>
      <c r="H1041037" s="19"/>
      <c r="I1041037" s="19"/>
      <c r="J1041037" s="19"/>
      <c r="K1041037" s="19"/>
      <c r="L1041037" s="19"/>
      <c r="M1041037" s="19"/>
      <c r="N1041037" s="19"/>
    </row>
    <row r="1041038" spans="1:14" s="83" customFormat="1" ht="12.75">
      <c r="A1041038" s="19"/>
      <c r="B1041038" s="19"/>
      <c r="C1041038" s="19"/>
      <c r="D1041038" s="19"/>
      <c r="E1041038" s="19"/>
      <c r="F1041038" s="19"/>
      <c r="G1041038" s="19"/>
      <c r="H1041038" s="19"/>
      <c r="I1041038" s="19"/>
      <c r="J1041038" s="19"/>
      <c r="K1041038" s="19"/>
      <c r="L1041038" s="19"/>
      <c r="M1041038" s="19"/>
      <c r="N1041038" s="19"/>
    </row>
    <row r="1041039" spans="1:14" s="83" customFormat="1" ht="12.75">
      <c r="A1041039" s="19"/>
      <c r="B1041039" s="19"/>
      <c r="C1041039" s="19"/>
      <c r="D1041039" s="19"/>
      <c r="E1041039" s="19"/>
      <c r="F1041039" s="19"/>
      <c r="G1041039" s="19"/>
      <c r="H1041039" s="19"/>
      <c r="I1041039" s="19"/>
      <c r="J1041039" s="19"/>
      <c r="K1041039" s="19"/>
      <c r="L1041039" s="19"/>
      <c r="M1041039" s="19"/>
      <c r="N1041039" s="19"/>
    </row>
    <row r="1041040" spans="1:14" s="83" customFormat="1" ht="12.75">
      <c r="A1041040" s="19"/>
      <c r="B1041040" s="19"/>
      <c r="C1041040" s="19"/>
      <c r="D1041040" s="19"/>
      <c r="E1041040" s="19"/>
      <c r="F1041040" s="19"/>
      <c r="G1041040" s="19"/>
      <c r="H1041040" s="19"/>
      <c r="I1041040" s="19"/>
      <c r="J1041040" s="19"/>
      <c r="K1041040" s="19"/>
      <c r="L1041040" s="19"/>
      <c r="M1041040" s="19"/>
      <c r="N1041040" s="19"/>
    </row>
    <row r="1041041" spans="1:14" s="83" customFormat="1" ht="12.75">
      <c r="A1041041" s="19"/>
      <c r="B1041041" s="19"/>
      <c r="C1041041" s="19"/>
      <c r="D1041041" s="19"/>
      <c r="E1041041" s="19"/>
      <c r="F1041041" s="19"/>
      <c r="G1041041" s="19"/>
      <c r="H1041041" s="19"/>
      <c r="I1041041" s="19"/>
      <c r="J1041041" s="19"/>
      <c r="K1041041" s="19"/>
      <c r="L1041041" s="19"/>
      <c r="M1041041" s="19"/>
      <c r="N1041041" s="19"/>
    </row>
    <row r="1041042" spans="1:14" s="83" customFormat="1" ht="12.75">
      <c r="A1041042" s="19"/>
      <c r="B1041042" s="19"/>
      <c r="C1041042" s="19"/>
      <c r="D1041042" s="19"/>
      <c r="E1041042" s="19"/>
      <c r="F1041042" s="19"/>
      <c r="G1041042" s="19"/>
      <c r="H1041042" s="19"/>
      <c r="I1041042" s="19"/>
      <c r="J1041042" s="19"/>
      <c r="K1041042" s="19"/>
      <c r="L1041042" s="19"/>
      <c r="M1041042" s="19"/>
      <c r="N1041042" s="19"/>
    </row>
    <row r="1041043" spans="1:14" s="83" customFormat="1" ht="12.75">
      <c r="A1041043" s="19"/>
      <c r="B1041043" s="19"/>
      <c r="C1041043" s="19"/>
      <c r="D1041043" s="19"/>
      <c r="E1041043" s="19"/>
      <c r="F1041043" s="19"/>
      <c r="G1041043" s="19"/>
      <c r="H1041043" s="19"/>
      <c r="I1041043" s="19"/>
      <c r="J1041043" s="19"/>
      <c r="K1041043" s="19"/>
      <c r="L1041043" s="19"/>
      <c r="M1041043" s="19"/>
      <c r="N1041043" s="19"/>
    </row>
    <row r="1041044" spans="1:14" s="83" customFormat="1" ht="12.75">
      <c r="A1041044" s="19"/>
      <c r="B1041044" s="19"/>
      <c r="C1041044" s="19"/>
      <c r="D1041044" s="19"/>
      <c r="E1041044" s="19"/>
      <c r="F1041044" s="19"/>
      <c r="G1041044" s="19"/>
      <c r="H1041044" s="19"/>
      <c r="I1041044" s="19"/>
      <c r="J1041044" s="19"/>
      <c r="K1041044" s="19"/>
      <c r="L1041044" s="19"/>
      <c r="M1041044" s="19"/>
      <c r="N1041044" s="19"/>
    </row>
    <row r="1041045" spans="1:14" s="83" customFormat="1" ht="12.75">
      <c r="A1041045" s="19"/>
      <c r="B1041045" s="19"/>
      <c r="C1041045" s="19"/>
      <c r="D1041045" s="19"/>
      <c r="E1041045" s="19"/>
      <c r="F1041045" s="19"/>
      <c r="G1041045" s="19"/>
      <c r="H1041045" s="19"/>
      <c r="I1041045" s="19"/>
      <c r="J1041045" s="19"/>
      <c r="K1041045" s="19"/>
      <c r="L1041045" s="19"/>
      <c r="M1041045" s="19"/>
      <c r="N1041045" s="19"/>
    </row>
    <row r="1041046" spans="1:14" s="83" customFormat="1" ht="12.75">
      <c r="A1041046" s="19"/>
      <c r="B1041046" s="19"/>
      <c r="C1041046" s="19"/>
      <c r="D1041046" s="19"/>
      <c r="E1041046" s="19"/>
      <c r="F1041046" s="19"/>
      <c r="G1041046" s="19"/>
      <c r="H1041046" s="19"/>
      <c r="I1041046" s="19"/>
      <c r="J1041046" s="19"/>
      <c r="K1041046" s="19"/>
      <c r="L1041046" s="19"/>
      <c r="M1041046" s="19"/>
      <c r="N1041046" s="19"/>
    </row>
    <row r="1041047" spans="1:14" s="83" customFormat="1" ht="12.75">
      <c r="A1041047" s="19"/>
      <c r="B1041047" s="19"/>
      <c r="C1041047" s="19"/>
      <c r="D1041047" s="19"/>
      <c r="E1041047" s="19"/>
      <c r="F1041047" s="19"/>
      <c r="G1041047" s="19"/>
      <c r="H1041047" s="19"/>
      <c r="I1041047" s="19"/>
      <c r="J1041047" s="19"/>
      <c r="K1041047" s="19"/>
      <c r="L1041047" s="19"/>
      <c r="M1041047" s="19"/>
      <c r="N1041047" s="19"/>
    </row>
    <row r="1041048" spans="1:14" s="83" customFormat="1" ht="12.75">
      <c r="A1041048" s="19"/>
      <c r="B1041048" s="19"/>
      <c r="C1041048" s="19"/>
      <c r="D1041048" s="19"/>
      <c r="E1041048" s="19"/>
      <c r="F1041048" s="19"/>
      <c r="G1041048" s="19"/>
      <c r="H1041048" s="19"/>
      <c r="I1041048" s="19"/>
      <c r="J1041048" s="19"/>
      <c r="K1041048" s="19"/>
      <c r="L1041048" s="19"/>
      <c r="M1041048" s="19"/>
      <c r="N1041048" s="19"/>
    </row>
    <row r="1041049" spans="1:14" s="83" customFormat="1" ht="12.75">
      <c r="A1041049" s="19"/>
      <c r="B1041049" s="19"/>
      <c r="C1041049" s="19"/>
      <c r="D1041049" s="19"/>
      <c r="E1041049" s="19"/>
      <c r="F1041049" s="19"/>
      <c r="G1041049" s="19"/>
      <c r="H1041049" s="19"/>
      <c r="I1041049" s="19"/>
      <c r="J1041049" s="19"/>
      <c r="K1041049" s="19"/>
      <c r="L1041049" s="19"/>
      <c r="M1041049" s="19"/>
      <c r="N1041049" s="19"/>
    </row>
    <row r="1041050" spans="1:14" s="83" customFormat="1" ht="12.75">
      <c r="A1041050" s="19"/>
      <c r="B1041050" s="19"/>
      <c r="C1041050" s="19"/>
      <c r="D1041050" s="19"/>
      <c r="E1041050" s="19"/>
      <c r="F1041050" s="19"/>
      <c r="G1041050" s="19"/>
      <c r="H1041050" s="19"/>
      <c r="I1041050" s="19"/>
      <c r="J1041050" s="19"/>
      <c r="K1041050" s="19"/>
      <c r="L1041050" s="19"/>
      <c r="M1041050" s="19"/>
      <c r="N1041050" s="19"/>
    </row>
    <row r="1041051" spans="1:14" s="83" customFormat="1" ht="12.75">
      <c r="A1041051" s="19"/>
      <c r="B1041051" s="19"/>
      <c r="C1041051" s="19"/>
      <c r="D1041051" s="19"/>
      <c r="E1041051" s="19"/>
      <c r="F1041051" s="19"/>
      <c r="G1041051" s="19"/>
      <c r="H1041051" s="19"/>
      <c r="I1041051" s="19"/>
      <c r="J1041051" s="19"/>
      <c r="K1041051" s="19"/>
      <c r="L1041051" s="19"/>
      <c r="M1041051" s="19"/>
      <c r="N1041051" s="19"/>
    </row>
    <row r="1041052" spans="1:14" s="83" customFormat="1" ht="12.75">
      <c r="A1041052" s="19"/>
      <c r="B1041052" s="19"/>
      <c r="C1041052" s="19"/>
      <c r="D1041052" s="19"/>
      <c r="E1041052" s="19"/>
      <c r="F1041052" s="19"/>
      <c r="G1041052" s="19"/>
      <c r="H1041052" s="19"/>
      <c r="I1041052" s="19"/>
      <c r="J1041052" s="19"/>
      <c r="K1041052" s="19"/>
      <c r="L1041052" s="19"/>
      <c r="M1041052" s="19"/>
      <c r="N1041052" s="19"/>
    </row>
    <row r="1041053" spans="1:14" s="83" customFormat="1" ht="12.75">
      <c r="A1041053" s="19"/>
      <c r="B1041053" s="19"/>
      <c r="C1041053" s="19"/>
      <c r="D1041053" s="19"/>
      <c r="E1041053" s="19"/>
      <c r="F1041053" s="19"/>
      <c r="G1041053" s="19"/>
      <c r="H1041053" s="19"/>
      <c r="I1041053" s="19"/>
      <c r="J1041053" s="19"/>
      <c r="K1041053" s="19"/>
      <c r="L1041053" s="19"/>
      <c r="M1041053" s="19"/>
      <c r="N1041053" s="19"/>
    </row>
    <row r="1041054" spans="1:14" s="83" customFormat="1" ht="12.75">
      <c r="A1041054" s="19"/>
      <c r="B1041054" s="19"/>
      <c r="C1041054" s="19"/>
      <c r="D1041054" s="19"/>
      <c r="E1041054" s="19"/>
      <c r="F1041054" s="19"/>
      <c r="G1041054" s="19"/>
      <c r="H1041054" s="19"/>
      <c r="I1041054" s="19"/>
      <c r="J1041054" s="19"/>
      <c r="K1041054" s="19"/>
      <c r="L1041054" s="19"/>
      <c r="M1041054" s="19"/>
      <c r="N1041054" s="19"/>
    </row>
    <row r="1041055" spans="1:14" s="83" customFormat="1" ht="12.75">
      <c r="A1041055" s="19"/>
      <c r="B1041055" s="19"/>
      <c r="C1041055" s="19"/>
      <c r="D1041055" s="19"/>
      <c r="E1041055" s="19"/>
      <c r="F1041055" s="19"/>
      <c r="G1041055" s="19"/>
      <c r="H1041055" s="19"/>
      <c r="I1041055" s="19"/>
      <c r="J1041055" s="19"/>
      <c r="K1041055" s="19"/>
      <c r="L1041055" s="19"/>
      <c r="M1041055" s="19"/>
      <c r="N1041055" s="19"/>
    </row>
    <row r="1041056" spans="1:14" s="83" customFormat="1" ht="12.75">
      <c r="A1041056" s="19"/>
      <c r="B1041056" s="19"/>
      <c r="C1041056" s="19"/>
      <c r="D1041056" s="19"/>
      <c r="E1041056" s="19"/>
      <c r="F1041056" s="19"/>
      <c r="G1041056" s="19"/>
      <c r="H1041056" s="19"/>
      <c r="I1041056" s="19"/>
      <c r="J1041056" s="19"/>
      <c r="K1041056" s="19"/>
      <c r="L1041056" s="19"/>
      <c r="M1041056" s="19"/>
      <c r="N1041056" s="19"/>
    </row>
    <row r="1041057" spans="1:14" s="83" customFormat="1" ht="12.75">
      <c r="A1041057" s="19"/>
      <c r="B1041057" s="19"/>
      <c r="C1041057" s="19"/>
      <c r="D1041057" s="19"/>
      <c r="E1041057" s="19"/>
      <c r="F1041057" s="19"/>
      <c r="G1041057" s="19"/>
      <c r="H1041057" s="19"/>
      <c r="I1041057" s="19"/>
      <c r="J1041057" s="19"/>
      <c r="K1041057" s="19"/>
      <c r="L1041057" s="19"/>
      <c r="M1041057" s="19"/>
      <c r="N1041057" s="19"/>
    </row>
    <row r="1041058" spans="1:14" s="83" customFormat="1" ht="12.75">
      <c r="A1041058" s="19"/>
      <c r="B1041058" s="19"/>
      <c r="C1041058" s="19"/>
      <c r="D1041058" s="19"/>
      <c r="E1041058" s="19"/>
      <c r="F1041058" s="19"/>
      <c r="G1041058" s="19"/>
      <c r="H1041058" s="19"/>
      <c r="I1041058" s="19"/>
      <c r="J1041058" s="19"/>
      <c r="K1041058" s="19"/>
      <c r="L1041058" s="19"/>
      <c r="M1041058" s="19"/>
      <c r="N1041058" s="19"/>
    </row>
    <row r="1041059" spans="1:14" s="83" customFormat="1" ht="12.75">
      <c r="A1041059" s="19"/>
      <c r="B1041059" s="19"/>
      <c r="C1041059" s="19"/>
      <c r="D1041059" s="19"/>
      <c r="E1041059" s="19"/>
      <c r="F1041059" s="19"/>
      <c r="G1041059" s="19"/>
      <c r="H1041059" s="19"/>
      <c r="I1041059" s="19"/>
      <c r="J1041059" s="19"/>
      <c r="K1041059" s="19"/>
      <c r="L1041059" s="19"/>
      <c r="M1041059" s="19"/>
      <c r="N1041059" s="19"/>
    </row>
    <row r="1041060" spans="1:14" s="83" customFormat="1" ht="12.75">
      <c r="A1041060" s="19"/>
      <c r="B1041060" s="19"/>
      <c r="C1041060" s="19"/>
      <c r="D1041060" s="19"/>
      <c r="E1041060" s="19"/>
      <c r="F1041060" s="19"/>
      <c r="G1041060" s="19"/>
      <c r="H1041060" s="19"/>
      <c r="I1041060" s="19"/>
      <c r="J1041060" s="19"/>
      <c r="K1041060" s="19"/>
      <c r="L1041060" s="19"/>
      <c r="M1041060" s="19"/>
      <c r="N1041060" s="19"/>
    </row>
    <row r="1041061" spans="1:14" s="83" customFormat="1" ht="12.75">
      <c r="A1041061" s="19"/>
      <c r="B1041061" s="19"/>
      <c r="C1041061" s="19"/>
      <c r="D1041061" s="19"/>
      <c r="E1041061" s="19"/>
      <c r="F1041061" s="19"/>
      <c r="G1041061" s="19"/>
      <c r="H1041061" s="19"/>
      <c r="I1041061" s="19"/>
      <c r="J1041061" s="19"/>
      <c r="K1041061" s="19"/>
      <c r="L1041061" s="19"/>
      <c r="M1041061" s="19"/>
      <c r="N1041061" s="19"/>
    </row>
    <row r="1041062" spans="1:14" s="83" customFormat="1" ht="12.75">
      <c r="A1041062" s="19"/>
      <c r="B1041062" s="19"/>
      <c r="C1041062" s="19"/>
      <c r="D1041062" s="19"/>
      <c r="E1041062" s="19"/>
      <c r="F1041062" s="19"/>
      <c r="G1041062" s="19"/>
      <c r="H1041062" s="19"/>
      <c r="I1041062" s="19"/>
      <c r="J1041062" s="19"/>
      <c r="K1041062" s="19"/>
      <c r="L1041062" s="19"/>
      <c r="M1041062" s="19"/>
      <c r="N1041062" s="19"/>
    </row>
    <row r="1041063" spans="1:14" s="83" customFormat="1" ht="12.75">
      <c r="A1041063" s="19"/>
      <c r="B1041063" s="19"/>
      <c r="C1041063" s="19"/>
      <c r="D1041063" s="19"/>
      <c r="E1041063" s="19"/>
      <c r="F1041063" s="19"/>
      <c r="G1041063" s="19"/>
      <c r="H1041063" s="19"/>
      <c r="I1041063" s="19"/>
      <c r="J1041063" s="19"/>
      <c r="K1041063" s="19"/>
      <c r="L1041063" s="19"/>
      <c r="M1041063" s="19"/>
      <c r="N1041063" s="19"/>
    </row>
    <row r="1041064" spans="1:14" s="83" customFormat="1" ht="12.75">
      <c r="A1041064" s="19"/>
      <c r="B1041064" s="19"/>
      <c r="C1041064" s="19"/>
      <c r="D1041064" s="19"/>
      <c r="E1041064" s="19"/>
      <c r="F1041064" s="19"/>
      <c r="G1041064" s="19"/>
      <c r="H1041064" s="19"/>
      <c r="I1041064" s="19"/>
      <c r="J1041064" s="19"/>
      <c r="K1041064" s="19"/>
      <c r="L1041064" s="19"/>
      <c r="M1041064" s="19"/>
      <c r="N1041064" s="19"/>
    </row>
    <row r="1041065" spans="1:14" s="83" customFormat="1" ht="12.75">
      <c r="A1041065" s="19"/>
      <c r="B1041065" s="19"/>
      <c r="C1041065" s="19"/>
      <c r="D1041065" s="19"/>
      <c r="E1041065" s="19"/>
      <c r="F1041065" s="19"/>
      <c r="G1041065" s="19"/>
      <c r="H1041065" s="19"/>
      <c r="I1041065" s="19"/>
      <c r="J1041065" s="19"/>
      <c r="K1041065" s="19"/>
      <c r="L1041065" s="19"/>
      <c r="M1041065" s="19"/>
      <c r="N1041065" s="19"/>
    </row>
    <row r="1041066" spans="1:14" s="83" customFormat="1" ht="12.75">
      <c r="A1041066" s="19"/>
      <c r="B1041066" s="19"/>
      <c r="C1041066" s="19"/>
      <c r="D1041066" s="19"/>
      <c r="E1041066" s="19"/>
      <c r="F1041066" s="19"/>
      <c r="G1041066" s="19"/>
      <c r="H1041066" s="19"/>
      <c r="I1041066" s="19"/>
      <c r="J1041066" s="19"/>
      <c r="K1041066" s="19"/>
      <c r="L1041066" s="19"/>
      <c r="M1041066" s="19"/>
      <c r="N1041066" s="19"/>
    </row>
    <row r="1041067" spans="1:14" s="83" customFormat="1" ht="12.75">
      <c r="A1041067" s="19"/>
      <c r="B1041067" s="19"/>
      <c r="C1041067" s="19"/>
      <c r="D1041067" s="19"/>
      <c r="E1041067" s="19"/>
      <c r="F1041067" s="19"/>
      <c r="G1041067" s="19"/>
      <c r="H1041067" s="19"/>
      <c r="I1041067" s="19"/>
      <c r="J1041067" s="19"/>
      <c r="K1041067" s="19"/>
      <c r="L1041067" s="19"/>
      <c r="M1041067" s="19"/>
      <c r="N1041067" s="19"/>
    </row>
    <row r="1041068" spans="1:14" s="83" customFormat="1" ht="12.75">
      <c r="A1041068" s="19"/>
      <c r="B1041068" s="19"/>
      <c r="C1041068" s="19"/>
      <c r="D1041068" s="19"/>
      <c r="E1041068" s="19"/>
      <c r="F1041068" s="19"/>
      <c r="G1041068" s="19"/>
      <c r="H1041068" s="19"/>
      <c r="I1041068" s="19"/>
      <c r="J1041068" s="19"/>
      <c r="K1041068" s="19"/>
      <c r="L1041068" s="19"/>
      <c r="M1041068" s="19"/>
      <c r="N1041068" s="19"/>
    </row>
    <row r="1041069" spans="1:14" s="83" customFormat="1" ht="12.75">
      <c r="A1041069" s="19"/>
      <c r="B1041069" s="19"/>
      <c r="C1041069" s="19"/>
      <c r="D1041069" s="19"/>
      <c r="E1041069" s="19"/>
      <c r="F1041069" s="19"/>
      <c r="G1041069" s="19"/>
      <c r="H1041069" s="19"/>
      <c r="I1041069" s="19"/>
      <c r="J1041069" s="19"/>
      <c r="K1041069" s="19"/>
      <c r="L1041069" s="19"/>
      <c r="M1041069" s="19"/>
      <c r="N1041069" s="19"/>
    </row>
    <row r="1041070" spans="1:14" s="83" customFormat="1" ht="12.75">
      <c r="A1041070" s="19"/>
      <c r="B1041070" s="19"/>
      <c r="C1041070" s="19"/>
      <c r="D1041070" s="19"/>
      <c r="E1041070" s="19"/>
      <c r="F1041070" s="19"/>
      <c r="G1041070" s="19"/>
      <c r="H1041070" s="19"/>
      <c r="I1041070" s="19"/>
      <c r="J1041070" s="19"/>
      <c r="K1041070" s="19"/>
      <c r="L1041070" s="19"/>
      <c r="M1041070" s="19"/>
      <c r="N1041070" s="19"/>
    </row>
    <row r="1041071" spans="1:14" s="83" customFormat="1" ht="12.75">
      <c r="A1041071" s="19"/>
      <c r="B1041071" s="19"/>
      <c r="C1041071" s="19"/>
      <c r="D1041071" s="19"/>
      <c r="E1041071" s="19"/>
      <c r="F1041071" s="19"/>
      <c r="G1041071" s="19"/>
      <c r="H1041071" s="19"/>
      <c r="I1041071" s="19"/>
      <c r="J1041071" s="19"/>
      <c r="K1041071" s="19"/>
      <c r="L1041071" s="19"/>
      <c r="M1041071" s="19"/>
      <c r="N1041071" s="19"/>
    </row>
    <row r="1041072" spans="1:14" s="83" customFormat="1" ht="12.75">
      <c r="A1041072" s="19"/>
      <c r="B1041072" s="19"/>
      <c r="C1041072" s="19"/>
      <c r="D1041072" s="19"/>
      <c r="E1041072" s="19"/>
      <c r="F1041072" s="19"/>
      <c r="G1041072" s="19"/>
      <c r="H1041072" s="19"/>
      <c r="I1041072" s="19"/>
      <c r="J1041072" s="19"/>
      <c r="K1041072" s="19"/>
      <c r="L1041072" s="19"/>
      <c r="M1041072" s="19"/>
      <c r="N1041072" s="19"/>
    </row>
    <row r="1041073" spans="1:14" s="83" customFormat="1" ht="12.75">
      <c r="A1041073" s="19"/>
      <c r="B1041073" s="19"/>
      <c r="C1041073" s="19"/>
      <c r="D1041073" s="19"/>
      <c r="E1041073" s="19"/>
      <c r="F1041073" s="19"/>
      <c r="G1041073" s="19"/>
      <c r="H1041073" s="19"/>
      <c r="I1041073" s="19"/>
      <c r="J1041073" s="19"/>
      <c r="K1041073" s="19"/>
      <c r="L1041073" s="19"/>
      <c r="M1041073" s="19"/>
      <c r="N1041073" s="19"/>
    </row>
    <row r="1041074" spans="1:14" s="83" customFormat="1" ht="12.75">
      <c r="A1041074" s="19"/>
      <c r="B1041074" s="19"/>
      <c r="C1041074" s="19"/>
      <c r="D1041074" s="19"/>
      <c r="E1041074" s="19"/>
      <c r="F1041074" s="19"/>
      <c r="G1041074" s="19"/>
      <c r="H1041074" s="19"/>
      <c r="I1041074" s="19"/>
      <c r="J1041074" s="19"/>
      <c r="K1041074" s="19"/>
      <c r="L1041074" s="19"/>
      <c r="M1041074" s="19"/>
      <c r="N1041074" s="19"/>
    </row>
    <row r="1041075" spans="1:14" s="83" customFormat="1" ht="12.75">
      <c r="A1041075" s="19"/>
      <c r="B1041075" s="19"/>
      <c r="C1041075" s="19"/>
      <c r="D1041075" s="19"/>
      <c r="E1041075" s="19"/>
      <c r="F1041075" s="19"/>
      <c r="G1041075" s="19"/>
      <c r="H1041075" s="19"/>
      <c r="I1041075" s="19"/>
      <c r="J1041075" s="19"/>
      <c r="K1041075" s="19"/>
      <c r="L1041075" s="19"/>
      <c r="M1041075" s="19"/>
      <c r="N1041075" s="19"/>
    </row>
    <row r="1041076" spans="1:14" s="83" customFormat="1" ht="12.75">
      <c r="A1041076" s="19"/>
      <c r="B1041076" s="19"/>
      <c r="C1041076" s="19"/>
      <c r="D1041076" s="19"/>
      <c r="E1041076" s="19"/>
      <c r="F1041076" s="19"/>
      <c r="G1041076" s="19"/>
      <c r="H1041076" s="19"/>
      <c r="I1041076" s="19"/>
      <c r="J1041076" s="19"/>
      <c r="K1041076" s="19"/>
      <c r="L1041076" s="19"/>
      <c r="M1041076" s="19"/>
      <c r="N1041076" s="19"/>
    </row>
    <row r="1041077" spans="1:14" s="83" customFormat="1" ht="12.75">
      <c r="A1041077" s="19"/>
      <c r="B1041077" s="19"/>
      <c r="C1041077" s="19"/>
      <c r="D1041077" s="19"/>
      <c r="E1041077" s="19"/>
      <c r="F1041077" s="19"/>
      <c r="G1041077" s="19"/>
      <c r="H1041077" s="19"/>
      <c r="I1041077" s="19"/>
      <c r="J1041077" s="19"/>
      <c r="K1041077" s="19"/>
      <c r="L1041077" s="19"/>
      <c r="M1041077" s="19"/>
      <c r="N1041077" s="19"/>
    </row>
    <row r="1041078" spans="1:14" s="83" customFormat="1" ht="12.75">
      <c r="A1041078" s="19"/>
      <c r="B1041078" s="19"/>
      <c r="C1041078" s="19"/>
      <c r="D1041078" s="19"/>
      <c r="E1041078" s="19"/>
      <c r="F1041078" s="19"/>
      <c r="G1041078" s="19"/>
      <c r="H1041078" s="19"/>
      <c r="I1041078" s="19"/>
      <c r="J1041078" s="19"/>
      <c r="K1041078" s="19"/>
      <c r="L1041078" s="19"/>
      <c r="M1041078" s="19"/>
      <c r="N1041078" s="19"/>
    </row>
    <row r="1041079" spans="1:14" s="83" customFormat="1" ht="12.75">
      <c r="A1041079" s="19"/>
      <c r="B1041079" s="19"/>
      <c r="C1041079" s="19"/>
      <c r="D1041079" s="19"/>
      <c r="E1041079" s="19"/>
      <c r="F1041079" s="19"/>
      <c r="G1041079" s="19"/>
      <c r="H1041079" s="19"/>
      <c r="I1041079" s="19"/>
      <c r="J1041079" s="19"/>
      <c r="K1041079" s="19"/>
      <c r="L1041079" s="19"/>
      <c r="M1041079" s="19"/>
      <c r="N1041079" s="19"/>
    </row>
    <row r="1041080" spans="1:14" s="83" customFormat="1" ht="12.75">
      <c r="A1041080" s="19"/>
      <c r="B1041080" s="19"/>
      <c r="C1041080" s="19"/>
      <c r="D1041080" s="19"/>
      <c r="E1041080" s="19"/>
      <c r="F1041080" s="19"/>
      <c r="G1041080" s="19"/>
      <c r="H1041080" s="19"/>
      <c r="I1041080" s="19"/>
      <c r="J1041080" s="19"/>
      <c r="K1041080" s="19"/>
      <c r="L1041080" s="19"/>
      <c r="M1041080" s="19"/>
      <c r="N1041080" s="19"/>
    </row>
    <row r="1041081" spans="1:14" s="83" customFormat="1" ht="12.75">
      <c r="A1041081" s="19"/>
      <c r="B1041081" s="19"/>
      <c r="C1041081" s="19"/>
      <c r="D1041081" s="19"/>
      <c r="E1041081" s="19"/>
      <c r="F1041081" s="19"/>
      <c r="G1041081" s="19"/>
      <c r="H1041081" s="19"/>
      <c r="I1041081" s="19"/>
      <c r="J1041081" s="19"/>
      <c r="K1041081" s="19"/>
      <c r="L1041081" s="19"/>
      <c r="M1041081" s="19"/>
      <c r="N1041081" s="19"/>
    </row>
    <row r="1041082" spans="1:14" s="83" customFormat="1" ht="12.75">
      <c r="A1041082" s="19"/>
      <c r="B1041082" s="19"/>
      <c r="C1041082" s="19"/>
      <c r="D1041082" s="19"/>
      <c r="E1041082" s="19"/>
      <c r="F1041082" s="19"/>
      <c r="G1041082" s="19"/>
      <c r="H1041082" s="19"/>
      <c r="I1041082" s="19"/>
      <c r="J1041082" s="19"/>
      <c r="K1041082" s="19"/>
      <c r="L1041082" s="19"/>
      <c r="M1041082" s="19"/>
      <c r="N1041082" s="19"/>
    </row>
    <row r="1041083" spans="1:14" s="83" customFormat="1" ht="12.75">
      <c r="A1041083" s="19"/>
      <c r="B1041083" s="19"/>
      <c r="C1041083" s="19"/>
      <c r="D1041083" s="19"/>
      <c r="E1041083" s="19"/>
      <c r="F1041083" s="19"/>
      <c r="G1041083" s="19"/>
      <c r="H1041083" s="19"/>
      <c r="I1041083" s="19"/>
      <c r="J1041083" s="19"/>
      <c r="K1041083" s="19"/>
      <c r="L1041083" s="19"/>
      <c r="M1041083" s="19"/>
      <c r="N1041083" s="19"/>
    </row>
    <row r="1041084" spans="1:14" s="83" customFormat="1" ht="12.75">
      <c r="A1041084" s="19"/>
      <c r="B1041084" s="19"/>
      <c r="C1041084" s="19"/>
      <c r="D1041084" s="19"/>
      <c r="E1041084" s="19"/>
      <c r="F1041084" s="19"/>
      <c r="G1041084" s="19"/>
      <c r="H1041084" s="19"/>
      <c r="I1041084" s="19"/>
      <c r="J1041084" s="19"/>
      <c r="K1041084" s="19"/>
      <c r="L1041084" s="19"/>
      <c r="M1041084" s="19"/>
      <c r="N1041084" s="19"/>
    </row>
    <row r="1041085" spans="1:14" s="83" customFormat="1" ht="12.75">
      <c r="A1041085" s="19"/>
      <c r="B1041085" s="19"/>
      <c r="C1041085" s="19"/>
      <c r="D1041085" s="19"/>
      <c r="E1041085" s="19"/>
      <c r="F1041085" s="19"/>
      <c r="G1041085" s="19"/>
      <c r="H1041085" s="19"/>
      <c r="I1041085" s="19"/>
      <c r="J1041085" s="19"/>
      <c r="K1041085" s="19"/>
      <c r="L1041085" s="19"/>
      <c r="M1041085" s="19"/>
      <c r="N1041085" s="19"/>
    </row>
    <row r="1041086" spans="1:14" s="83" customFormat="1" ht="12.75">
      <c r="A1041086" s="19"/>
      <c r="B1041086" s="19"/>
      <c r="C1041086" s="19"/>
      <c r="D1041086" s="19"/>
      <c r="E1041086" s="19"/>
      <c r="F1041086" s="19"/>
      <c r="G1041086" s="19"/>
      <c r="H1041086" s="19"/>
      <c r="I1041086" s="19"/>
      <c r="J1041086" s="19"/>
      <c r="K1041086" s="19"/>
      <c r="L1041086" s="19"/>
      <c r="M1041086" s="19"/>
      <c r="N1041086" s="19"/>
    </row>
    <row r="1041087" spans="1:14" s="83" customFormat="1" ht="12.75">
      <c r="A1041087" s="19"/>
      <c r="B1041087" s="19"/>
      <c r="C1041087" s="19"/>
      <c r="D1041087" s="19"/>
      <c r="E1041087" s="19"/>
      <c r="F1041087" s="19"/>
      <c r="G1041087" s="19"/>
      <c r="H1041087" s="19"/>
      <c r="I1041087" s="19"/>
      <c r="J1041087" s="19"/>
      <c r="K1041087" s="19"/>
      <c r="L1041087" s="19"/>
      <c r="M1041087" s="19"/>
      <c r="N1041087" s="19"/>
    </row>
    <row r="1041088" spans="1:14" s="83" customFormat="1" ht="12.75">
      <c r="A1041088" s="19"/>
      <c r="B1041088" s="19"/>
      <c r="C1041088" s="19"/>
      <c r="D1041088" s="19"/>
      <c r="E1041088" s="19"/>
      <c r="F1041088" s="19"/>
      <c r="G1041088" s="19"/>
      <c r="H1041088" s="19"/>
      <c r="I1041088" s="19"/>
      <c r="J1041088" s="19"/>
      <c r="K1041088" s="19"/>
      <c r="L1041088" s="19"/>
      <c r="M1041088" s="19"/>
      <c r="N1041088" s="19"/>
    </row>
    <row r="1041089" spans="1:14" s="83" customFormat="1" ht="12.75">
      <c r="A1041089" s="19"/>
      <c r="B1041089" s="19"/>
      <c r="C1041089" s="19"/>
      <c r="D1041089" s="19"/>
      <c r="E1041089" s="19"/>
      <c r="F1041089" s="19"/>
      <c r="G1041089" s="19"/>
      <c r="H1041089" s="19"/>
      <c r="I1041089" s="19"/>
      <c r="J1041089" s="19"/>
      <c r="K1041089" s="19"/>
      <c r="L1041089" s="19"/>
      <c r="M1041089" s="19"/>
      <c r="N1041089" s="19"/>
    </row>
    <row r="1041090" spans="1:14" s="83" customFormat="1" ht="12.75">
      <c r="A1041090" s="19"/>
      <c r="B1041090" s="19"/>
      <c r="C1041090" s="19"/>
      <c r="D1041090" s="19"/>
      <c r="E1041090" s="19"/>
      <c r="F1041090" s="19"/>
      <c r="G1041090" s="19"/>
      <c r="H1041090" s="19"/>
      <c r="I1041090" s="19"/>
      <c r="J1041090" s="19"/>
      <c r="K1041090" s="19"/>
      <c r="L1041090" s="19"/>
      <c r="M1041090" s="19"/>
      <c r="N1041090" s="19"/>
    </row>
    <row r="1041091" spans="1:14" s="83" customFormat="1" ht="12.75">
      <c r="A1041091" s="19"/>
      <c r="B1041091" s="19"/>
      <c r="C1041091" s="19"/>
      <c r="D1041091" s="19"/>
      <c r="E1041091" s="19"/>
      <c r="F1041091" s="19"/>
      <c r="G1041091" s="19"/>
      <c r="H1041091" s="19"/>
      <c r="I1041091" s="19"/>
      <c r="J1041091" s="19"/>
      <c r="K1041091" s="19"/>
      <c r="L1041091" s="19"/>
      <c r="M1041091" s="19"/>
      <c r="N1041091" s="19"/>
    </row>
    <row r="1041092" spans="1:14" s="83" customFormat="1" ht="12.75">
      <c r="A1041092" s="19"/>
      <c r="B1041092" s="19"/>
      <c r="C1041092" s="19"/>
      <c r="D1041092" s="19"/>
      <c r="E1041092" s="19"/>
      <c r="F1041092" s="19"/>
      <c r="G1041092" s="19"/>
      <c r="H1041092" s="19"/>
      <c r="I1041092" s="19"/>
      <c r="J1041092" s="19"/>
      <c r="K1041092" s="19"/>
      <c r="L1041092" s="19"/>
      <c r="M1041092" s="19"/>
      <c r="N1041092" s="19"/>
    </row>
    <row r="1041093" spans="1:14" s="83" customFormat="1" ht="12.75">
      <c r="A1041093" s="19"/>
      <c r="B1041093" s="19"/>
      <c r="C1041093" s="19"/>
      <c r="D1041093" s="19"/>
      <c r="E1041093" s="19"/>
      <c r="F1041093" s="19"/>
      <c r="G1041093" s="19"/>
      <c r="H1041093" s="19"/>
      <c r="I1041093" s="19"/>
      <c r="J1041093" s="19"/>
      <c r="K1041093" s="19"/>
      <c r="L1041093" s="19"/>
      <c r="M1041093" s="19"/>
      <c r="N1041093" s="19"/>
    </row>
    <row r="1041094" spans="1:14" s="83" customFormat="1" ht="12.75">
      <c r="A1041094" s="19"/>
      <c r="B1041094" s="19"/>
      <c r="C1041094" s="19"/>
      <c r="D1041094" s="19"/>
      <c r="E1041094" s="19"/>
      <c r="F1041094" s="19"/>
      <c r="G1041094" s="19"/>
      <c r="H1041094" s="19"/>
      <c r="I1041094" s="19"/>
      <c r="J1041094" s="19"/>
      <c r="K1041094" s="19"/>
      <c r="L1041094" s="19"/>
      <c r="M1041094" s="19"/>
      <c r="N1041094" s="19"/>
    </row>
    <row r="1041095" spans="1:14" s="83" customFormat="1" ht="12.75">
      <c r="A1041095" s="19"/>
      <c r="B1041095" s="19"/>
      <c r="C1041095" s="19"/>
      <c r="D1041095" s="19"/>
      <c r="E1041095" s="19"/>
      <c r="F1041095" s="19"/>
      <c r="G1041095" s="19"/>
      <c r="H1041095" s="19"/>
      <c r="I1041095" s="19"/>
      <c r="J1041095" s="19"/>
      <c r="K1041095" s="19"/>
      <c r="L1041095" s="19"/>
      <c r="M1041095" s="19"/>
      <c r="N1041095" s="19"/>
    </row>
    <row r="1041096" spans="1:14" s="83" customFormat="1" ht="12.75">
      <c r="A1041096" s="19"/>
      <c r="B1041096" s="19"/>
      <c r="C1041096" s="19"/>
      <c r="D1041096" s="19"/>
      <c r="E1041096" s="19"/>
      <c r="F1041096" s="19"/>
      <c r="G1041096" s="19"/>
      <c r="H1041096" s="19"/>
      <c r="I1041096" s="19"/>
      <c r="J1041096" s="19"/>
      <c r="K1041096" s="19"/>
      <c r="L1041096" s="19"/>
      <c r="M1041096" s="19"/>
      <c r="N1041096" s="19"/>
    </row>
    <row r="1041097" spans="1:14" s="83" customFormat="1" ht="12.75">
      <c r="A1041097" s="19"/>
      <c r="B1041097" s="19"/>
      <c r="C1041097" s="19"/>
      <c r="D1041097" s="19"/>
      <c r="E1041097" s="19"/>
      <c r="F1041097" s="19"/>
      <c r="G1041097" s="19"/>
      <c r="H1041097" s="19"/>
      <c r="I1041097" s="19"/>
      <c r="J1041097" s="19"/>
      <c r="K1041097" s="19"/>
      <c r="L1041097" s="19"/>
      <c r="M1041097" s="19"/>
      <c r="N1041097" s="19"/>
    </row>
    <row r="1041098" spans="1:14" s="83" customFormat="1" ht="12.75">
      <c r="A1041098" s="19"/>
      <c r="B1041098" s="19"/>
      <c r="C1041098" s="19"/>
      <c r="D1041098" s="19"/>
      <c r="E1041098" s="19"/>
      <c r="F1041098" s="19"/>
      <c r="G1041098" s="19"/>
      <c r="H1041098" s="19"/>
      <c r="I1041098" s="19"/>
      <c r="J1041098" s="19"/>
      <c r="K1041098" s="19"/>
      <c r="L1041098" s="19"/>
      <c r="M1041098" s="19"/>
      <c r="N1041098" s="19"/>
    </row>
    <row r="1041099" spans="1:14" s="83" customFormat="1" ht="12.75">
      <c r="A1041099" s="19"/>
      <c r="B1041099" s="19"/>
      <c r="C1041099" s="19"/>
      <c r="D1041099" s="19"/>
      <c r="E1041099" s="19"/>
      <c r="F1041099" s="19"/>
      <c r="G1041099" s="19"/>
      <c r="H1041099" s="19"/>
      <c r="I1041099" s="19"/>
      <c r="J1041099" s="19"/>
      <c r="K1041099" s="19"/>
      <c r="L1041099" s="19"/>
      <c r="M1041099" s="19"/>
      <c r="N1041099" s="19"/>
    </row>
    <row r="1041100" spans="1:14" s="83" customFormat="1" ht="12.75">
      <c r="A1041100" s="19"/>
      <c r="B1041100" s="19"/>
      <c r="C1041100" s="19"/>
      <c r="D1041100" s="19"/>
      <c r="E1041100" s="19"/>
      <c r="F1041100" s="19"/>
      <c r="G1041100" s="19"/>
      <c r="H1041100" s="19"/>
      <c r="I1041100" s="19"/>
      <c r="J1041100" s="19"/>
      <c r="K1041100" s="19"/>
      <c r="L1041100" s="19"/>
      <c r="M1041100" s="19"/>
      <c r="N1041100" s="19"/>
    </row>
    <row r="1041101" spans="1:14" s="83" customFormat="1" ht="12.75">
      <c r="A1041101" s="19"/>
      <c r="B1041101" s="19"/>
      <c r="C1041101" s="19"/>
      <c r="D1041101" s="19"/>
      <c r="E1041101" s="19"/>
      <c r="F1041101" s="19"/>
      <c r="G1041101" s="19"/>
      <c r="H1041101" s="19"/>
      <c r="I1041101" s="19"/>
      <c r="J1041101" s="19"/>
      <c r="K1041101" s="19"/>
      <c r="L1041101" s="19"/>
      <c r="M1041101" s="19"/>
      <c r="N1041101" s="19"/>
    </row>
    <row r="1041102" spans="1:14" s="83" customFormat="1" ht="12.75">
      <c r="A1041102" s="19"/>
      <c r="B1041102" s="19"/>
      <c r="C1041102" s="19"/>
      <c r="D1041102" s="19"/>
      <c r="E1041102" s="19"/>
      <c r="F1041102" s="19"/>
      <c r="G1041102" s="19"/>
      <c r="H1041102" s="19"/>
      <c r="I1041102" s="19"/>
      <c r="J1041102" s="19"/>
      <c r="K1041102" s="19"/>
      <c r="L1041102" s="19"/>
      <c r="M1041102" s="19"/>
      <c r="N1041102" s="19"/>
    </row>
    <row r="1041103" spans="1:14" s="83" customFormat="1" ht="12.75">
      <c r="A1041103" s="19"/>
      <c r="B1041103" s="19"/>
      <c r="C1041103" s="19"/>
      <c r="D1041103" s="19"/>
      <c r="E1041103" s="19"/>
      <c r="F1041103" s="19"/>
      <c r="G1041103" s="19"/>
      <c r="H1041103" s="19"/>
      <c r="I1041103" s="19"/>
      <c r="J1041103" s="19"/>
      <c r="K1041103" s="19"/>
      <c r="L1041103" s="19"/>
      <c r="M1041103" s="19"/>
      <c r="N1041103" s="19"/>
    </row>
    <row r="1041104" spans="1:14" s="83" customFormat="1" ht="12.75">
      <c r="A1041104" s="19"/>
      <c r="B1041104" s="19"/>
      <c r="C1041104" s="19"/>
      <c r="D1041104" s="19"/>
      <c r="E1041104" s="19"/>
      <c r="F1041104" s="19"/>
      <c r="G1041104" s="19"/>
      <c r="H1041104" s="19"/>
      <c r="I1041104" s="19"/>
      <c r="J1041104" s="19"/>
      <c r="K1041104" s="19"/>
      <c r="L1041104" s="19"/>
      <c r="M1041104" s="19"/>
      <c r="N1041104" s="19"/>
    </row>
    <row r="1041105" spans="1:14" s="83" customFormat="1" ht="12.75">
      <c r="A1041105" s="19"/>
      <c r="B1041105" s="19"/>
      <c r="C1041105" s="19"/>
      <c r="D1041105" s="19"/>
      <c r="E1041105" s="19"/>
      <c r="F1041105" s="19"/>
      <c r="G1041105" s="19"/>
      <c r="H1041105" s="19"/>
      <c r="I1041105" s="19"/>
      <c r="J1041105" s="19"/>
      <c r="K1041105" s="19"/>
      <c r="L1041105" s="19"/>
      <c r="M1041105" s="19"/>
      <c r="N1041105" s="19"/>
    </row>
    <row r="1041106" spans="1:14" s="83" customFormat="1" ht="12.75">
      <c r="A1041106" s="19"/>
      <c r="B1041106" s="19"/>
      <c r="C1041106" s="19"/>
      <c r="D1041106" s="19"/>
      <c r="E1041106" s="19"/>
      <c r="F1041106" s="19"/>
      <c r="G1041106" s="19"/>
      <c r="H1041106" s="19"/>
      <c r="I1041106" s="19"/>
      <c r="J1041106" s="19"/>
      <c r="K1041106" s="19"/>
      <c r="L1041106" s="19"/>
      <c r="M1041106" s="19"/>
      <c r="N1041106" s="19"/>
    </row>
    <row r="1041107" spans="1:14" s="83" customFormat="1" ht="12.75">
      <c r="A1041107" s="19"/>
      <c r="B1041107" s="19"/>
      <c r="C1041107" s="19"/>
      <c r="D1041107" s="19"/>
      <c r="E1041107" s="19"/>
      <c r="F1041107" s="19"/>
      <c r="G1041107" s="19"/>
      <c r="H1041107" s="19"/>
      <c r="I1041107" s="19"/>
      <c r="J1041107" s="19"/>
      <c r="K1041107" s="19"/>
      <c r="L1041107" s="19"/>
      <c r="M1041107" s="19"/>
      <c r="N1041107" s="19"/>
    </row>
    <row r="1041108" spans="1:14" s="83" customFormat="1" ht="12.75">
      <c r="A1041108" s="19"/>
      <c r="B1041108" s="19"/>
      <c r="C1041108" s="19"/>
      <c r="D1041108" s="19"/>
      <c r="E1041108" s="19"/>
      <c r="F1041108" s="19"/>
      <c r="G1041108" s="19"/>
      <c r="H1041108" s="19"/>
      <c r="I1041108" s="19"/>
      <c r="J1041108" s="19"/>
      <c r="K1041108" s="19"/>
      <c r="L1041108" s="19"/>
      <c r="M1041108" s="19"/>
      <c r="N1041108" s="19"/>
    </row>
    <row r="1041109" spans="1:14" s="83" customFormat="1" ht="12.75">
      <c r="A1041109" s="19"/>
      <c r="B1041109" s="19"/>
      <c r="C1041109" s="19"/>
      <c r="D1041109" s="19"/>
      <c r="E1041109" s="19"/>
      <c r="F1041109" s="19"/>
      <c r="G1041109" s="19"/>
      <c r="H1041109" s="19"/>
      <c r="I1041109" s="19"/>
      <c r="J1041109" s="19"/>
      <c r="K1041109" s="19"/>
      <c r="L1041109" s="19"/>
      <c r="M1041109" s="19"/>
      <c r="N1041109" s="19"/>
    </row>
    <row r="1041110" spans="1:14" s="83" customFormat="1" ht="12.75">
      <c r="A1041110" s="19"/>
      <c r="B1041110" s="19"/>
      <c r="C1041110" s="19"/>
      <c r="D1041110" s="19"/>
      <c r="E1041110" s="19"/>
      <c r="F1041110" s="19"/>
      <c r="G1041110" s="19"/>
      <c r="H1041110" s="19"/>
      <c r="I1041110" s="19"/>
      <c r="J1041110" s="19"/>
      <c r="K1041110" s="19"/>
      <c r="L1041110" s="19"/>
      <c r="M1041110" s="19"/>
      <c r="N1041110" s="19"/>
    </row>
    <row r="1041111" spans="1:14" s="83" customFormat="1" ht="12.75">
      <c r="A1041111" s="19"/>
      <c r="B1041111" s="19"/>
      <c r="C1041111" s="19"/>
      <c r="D1041111" s="19"/>
      <c r="E1041111" s="19"/>
      <c r="F1041111" s="19"/>
      <c r="G1041111" s="19"/>
      <c r="H1041111" s="19"/>
      <c r="I1041111" s="19"/>
      <c r="J1041111" s="19"/>
      <c r="K1041111" s="19"/>
      <c r="L1041111" s="19"/>
      <c r="M1041111" s="19"/>
      <c r="N1041111" s="19"/>
    </row>
    <row r="1041112" spans="1:14" s="83" customFormat="1" ht="12.75">
      <c r="A1041112" s="19"/>
      <c r="B1041112" s="19"/>
      <c r="C1041112" s="19"/>
      <c r="D1041112" s="19"/>
      <c r="E1041112" s="19"/>
      <c r="F1041112" s="19"/>
      <c r="G1041112" s="19"/>
      <c r="H1041112" s="19"/>
      <c r="I1041112" s="19"/>
      <c r="J1041112" s="19"/>
      <c r="K1041112" s="19"/>
      <c r="L1041112" s="19"/>
      <c r="M1041112" s="19"/>
      <c r="N1041112" s="19"/>
    </row>
    <row r="1041113" spans="1:14" s="83" customFormat="1" ht="12.75">
      <c r="A1041113" s="19"/>
      <c r="B1041113" s="19"/>
      <c r="C1041113" s="19"/>
      <c r="D1041113" s="19"/>
      <c r="E1041113" s="19"/>
      <c r="F1041113" s="19"/>
      <c r="G1041113" s="19"/>
      <c r="H1041113" s="19"/>
      <c r="I1041113" s="19"/>
      <c r="J1041113" s="19"/>
      <c r="K1041113" s="19"/>
      <c r="L1041113" s="19"/>
      <c r="M1041113" s="19"/>
      <c r="N1041113" s="19"/>
    </row>
    <row r="1041114" spans="1:14" s="83" customFormat="1" ht="12.75">
      <c r="A1041114" s="19"/>
      <c r="B1041114" s="19"/>
      <c r="C1041114" s="19"/>
      <c r="D1041114" s="19"/>
      <c r="E1041114" s="19"/>
      <c r="F1041114" s="19"/>
      <c r="G1041114" s="19"/>
      <c r="H1041114" s="19"/>
      <c r="I1041114" s="19"/>
      <c r="J1041114" s="19"/>
      <c r="K1041114" s="19"/>
      <c r="L1041114" s="19"/>
      <c r="M1041114" s="19"/>
      <c r="N1041114" s="19"/>
    </row>
    <row r="1041115" spans="1:14" s="83" customFormat="1" ht="12.75">
      <c r="A1041115" s="19"/>
      <c r="B1041115" s="19"/>
      <c r="C1041115" s="19"/>
      <c r="D1041115" s="19"/>
      <c r="E1041115" s="19"/>
      <c r="F1041115" s="19"/>
      <c r="G1041115" s="19"/>
      <c r="H1041115" s="19"/>
      <c r="I1041115" s="19"/>
      <c r="J1041115" s="19"/>
      <c r="K1041115" s="19"/>
      <c r="L1041115" s="19"/>
      <c r="M1041115" s="19"/>
      <c r="N1041115" s="19"/>
    </row>
    <row r="1041116" spans="1:14" s="83" customFormat="1" ht="12.75">
      <c r="A1041116" s="19"/>
      <c r="B1041116" s="19"/>
      <c r="C1041116" s="19"/>
      <c r="D1041116" s="19"/>
      <c r="E1041116" s="19"/>
      <c r="F1041116" s="19"/>
      <c r="G1041116" s="19"/>
      <c r="H1041116" s="19"/>
      <c r="I1041116" s="19"/>
      <c r="J1041116" s="19"/>
      <c r="K1041116" s="19"/>
      <c r="L1041116" s="19"/>
      <c r="M1041116" s="19"/>
      <c r="N1041116" s="19"/>
    </row>
    <row r="1041117" spans="1:14" s="83" customFormat="1" ht="12.75">
      <c r="A1041117" s="19"/>
      <c r="B1041117" s="19"/>
      <c r="C1041117" s="19"/>
      <c r="D1041117" s="19"/>
      <c r="E1041117" s="19"/>
      <c r="F1041117" s="19"/>
      <c r="G1041117" s="19"/>
      <c r="H1041117" s="19"/>
      <c r="I1041117" s="19"/>
      <c r="J1041117" s="19"/>
      <c r="K1041117" s="19"/>
      <c r="L1041117" s="19"/>
      <c r="M1041117" s="19"/>
      <c r="N1041117" s="19"/>
    </row>
    <row r="1041118" spans="1:14" s="83" customFormat="1" ht="12.75">
      <c r="A1041118" s="19"/>
      <c r="B1041118" s="19"/>
      <c r="C1041118" s="19"/>
      <c r="D1041118" s="19"/>
      <c r="E1041118" s="19"/>
      <c r="F1041118" s="19"/>
      <c r="G1041118" s="19"/>
      <c r="H1041118" s="19"/>
      <c r="I1041118" s="19"/>
      <c r="J1041118" s="19"/>
      <c r="K1041118" s="19"/>
      <c r="L1041118" s="19"/>
      <c r="M1041118" s="19"/>
      <c r="N1041118" s="19"/>
    </row>
    <row r="1041119" spans="1:14" s="83" customFormat="1" ht="12.75">
      <c r="A1041119" s="19"/>
      <c r="B1041119" s="19"/>
      <c r="C1041119" s="19"/>
      <c r="D1041119" s="19"/>
      <c r="E1041119" s="19"/>
      <c r="F1041119" s="19"/>
      <c r="G1041119" s="19"/>
      <c r="H1041119" s="19"/>
      <c r="I1041119" s="19"/>
      <c r="J1041119" s="19"/>
      <c r="K1041119" s="19"/>
      <c r="L1041119" s="19"/>
      <c r="M1041119" s="19"/>
      <c r="N1041119" s="19"/>
    </row>
    <row r="1041120" spans="1:14" s="83" customFormat="1" ht="12.75">
      <c r="A1041120" s="19"/>
      <c r="B1041120" s="19"/>
      <c r="C1041120" s="19"/>
      <c r="D1041120" s="19"/>
      <c r="E1041120" s="19"/>
      <c r="F1041120" s="19"/>
      <c r="G1041120" s="19"/>
      <c r="H1041120" s="19"/>
      <c r="I1041120" s="19"/>
      <c r="J1041120" s="19"/>
      <c r="K1041120" s="19"/>
      <c r="L1041120" s="19"/>
      <c r="M1041120" s="19"/>
      <c r="N1041120" s="19"/>
    </row>
    <row r="1041121" spans="1:14" s="83" customFormat="1" ht="12.75">
      <c r="A1041121" s="19"/>
      <c r="B1041121" s="19"/>
      <c r="C1041121" s="19"/>
      <c r="D1041121" s="19"/>
      <c r="E1041121" s="19"/>
      <c r="F1041121" s="19"/>
      <c r="G1041121" s="19"/>
      <c r="H1041121" s="19"/>
      <c r="I1041121" s="19"/>
      <c r="J1041121" s="19"/>
      <c r="K1041121" s="19"/>
      <c r="L1041121" s="19"/>
      <c r="M1041121" s="19"/>
      <c r="N1041121" s="19"/>
    </row>
    <row r="1041122" spans="1:14" s="83" customFormat="1" ht="12.75">
      <c r="A1041122" s="19"/>
      <c r="B1041122" s="19"/>
      <c r="C1041122" s="19"/>
      <c r="D1041122" s="19"/>
      <c r="E1041122" s="19"/>
      <c r="F1041122" s="19"/>
      <c r="G1041122" s="19"/>
      <c r="H1041122" s="19"/>
      <c r="I1041122" s="19"/>
      <c r="J1041122" s="19"/>
      <c r="K1041122" s="19"/>
      <c r="L1041122" s="19"/>
      <c r="M1041122" s="19"/>
      <c r="N1041122" s="19"/>
    </row>
    <row r="1041123" spans="1:14" s="83" customFormat="1" ht="12.75">
      <c r="A1041123" s="19"/>
      <c r="B1041123" s="19"/>
      <c r="C1041123" s="19"/>
      <c r="D1041123" s="19"/>
      <c r="E1041123" s="19"/>
      <c r="F1041123" s="19"/>
      <c r="G1041123" s="19"/>
      <c r="H1041123" s="19"/>
      <c r="I1041123" s="19"/>
      <c r="J1041123" s="19"/>
      <c r="K1041123" s="19"/>
      <c r="L1041123" s="19"/>
      <c r="M1041123" s="19"/>
      <c r="N1041123" s="19"/>
    </row>
    <row r="1041124" spans="1:14" s="83" customFormat="1" ht="12.75">
      <c r="A1041124" s="19"/>
      <c r="B1041124" s="19"/>
      <c r="C1041124" s="19"/>
      <c r="D1041124" s="19"/>
      <c r="E1041124" s="19"/>
      <c r="F1041124" s="19"/>
      <c r="G1041124" s="19"/>
      <c r="H1041124" s="19"/>
      <c r="I1041124" s="19"/>
      <c r="J1041124" s="19"/>
      <c r="K1041124" s="19"/>
      <c r="L1041124" s="19"/>
      <c r="M1041124" s="19"/>
      <c r="N1041124" s="19"/>
    </row>
    <row r="1041125" spans="1:14" s="83" customFormat="1" ht="12.75">
      <c r="A1041125" s="19"/>
      <c r="B1041125" s="19"/>
      <c r="C1041125" s="19"/>
      <c r="D1041125" s="19"/>
      <c r="E1041125" s="19"/>
      <c r="F1041125" s="19"/>
      <c r="G1041125" s="19"/>
      <c r="H1041125" s="19"/>
      <c r="I1041125" s="19"/>
      <c r="J1041125" s="19"/>
      <c r="K1041125" s="19"/>
      <c r="L1041125" s="19"/>
      <c r="M1041125" s="19"/>
      <c r="N1041125" s="19"/>
    </row>
    <row r="1041126" spans="1:14" s="83" customFormat="1" ht="12.75">
      <c r="A1041126" s="19"/>
      <c r="B1041126" s="19"/>
      <c r="C1041126" s="19"/>
      <c r="D1041126" s="19"/>
      <c r="E1041126" s="19"/>
      <c r="F1041126" s="19"/>
      <c r="G1041126" s="19"/>
      <c r="H1041126" s="19"/>
      <c r="I1041126" s="19"/>
      <c r="J1041126" s="19"/>
      <c r="K1041126" s="19"/>
      <c r="L1041126" s="19"/>
      <c r="M1041126" s="19"/>
      <c r="N1041126" s="19"/>
    </row>
    <row r="1041127" spans="1:14" s="83" customFormat="1" ht="12.75">
      <c r="A1041127" s="19"/>
      <c r="B1041127" s="19"/>
      <c r="C1041127" s="19"/>
      <c r="D1041127" s="19"/>
      <c r="E1041127" s="19"/>
      <c r="F1041127" s="19"/>
      <c r="G1041127" s="19"/>
      <c r="H1041127" s="19"/>
      <c r="I1041127" s="19"/>
      <c r="J1041127" s="19"/>
      <c r="K1041127" s="19"/>
      <c r="L1041127" s="19"/>
      <c r="M1041127" s="19"/>
      <c r="N1041127" s="19"/>
    </row>
    <row r="1041128" spans="1:14" s="83" customFormat="1" ht="12.75">
      <c r="A1041128" s="19"/>
      <c r="B1041128" s="19"/>
      <c r="C1041128" s="19"/>
      <c r="D1041128" s="19"/>
      <c r="E1041128" s="19"/>
      <c r="F1041128" s="19"/>
      <c r="G1041128" s="19"/>
      <c r="H1041128" s="19"/>
      <c r="I1041128" s="19"/>
      <c r="J1041128" s="19"/>
      <c r="K1041128" s="19"/>
      <c r="L1041128" s="19"/>
      <c r="M1041128" s="19"/>
      <c r="N1041128" s="19"/>
    </row>
    <row r="1041129" spans="1:14" s="83" customFormat="1" ht="12.75">
      <c r="A1041129" s="19"/>
      <c r="B1041129" s="19"/>
      <c r="C1041129" s="19"/>
      <c r="D1041129" s="19"/>
      <c r="E1041129" s="19"/>
      <c r="F1041129" s="19"/>
      <c r="G1041129" s="19"/>
      <c r="H1041129" s="19"/>
      <c r="I1041129" s="19"/>
      <c r="J1041129" s="19"/>
      <c r="K1041129" s="19"/>
      <c r="L1041129" s="19"/>
      <c r="M1041129" s="19"/>
      <c r="N1041129" s="19"/>
    </row>
    <row r="1041130" spans="1:14" s="83" customFormat="1" ht="12.75">
      <c r="A1041130" s="19"/>
      <c r="B1041130" s="19"/>
      <c r="C1041130" s="19"/>
      <c r="D1041130" s="19"/>
      <c r="E1041130" s="19"/>
      <c r="F1041130" s="19"/>
      <c r="G1041130" s="19"/>
      <c r="H1041130" s="19"/>
      <c r="I1041130" s="19"/>
      <c r="J1041130" s="19"/>
      <c r="K1041130" s="19"/>
      <c r="L1041130" s="19"/>
      <c r="M1041130" s="19"/>
      <c r="N1041130" s="19"/>
    </row>
    <row r="1041131" spans="1:14" s="83" customFormat="1" ht="12.75">
      <c r="A1041131" s="19"/>
      <c r="B1041131" s="19"/>
      <c r="C1041131" s="19"/>
      <c r="D1041131" s="19"/>
      <c r="E1041131" s="19"/>
      <c r="F1041131" s="19"/>
      <c r="G1041131" s="19"/>
      <c r="H1041131" s="19"/>
      <c r="I1041131" s="19"/>
      <c r="J1041131" s="19"/>
      <c r="K1041131" s="19"/>
      <c r="L1041131" s="19"/>
      <c r="M1041131" s="19"/>
      <c r="N1041131" s="19"/>
    </row>
    <row r="1041132" spans="1:14" s="83" customFormat="1" ht="12.75">
      <c r="A1041132" s="19"/>
      <c r="B1041132" s="19"/>
      <c r="C1041132" s="19"/>
      <c r="D1041132" s="19"/>
      <c r="E1041132" s="19"/>
      <c r="F1041132" s="19"/>
      <c r="G1041132" s="19"/>
      <c r="H1041132" s="19"/>
      <c r="I1041132" s="19"/>
      <c r="J1041132" s="19"/>
      <c r="K1041132" s="19"/>
      <c r="L1041132" s="19"/>
      <c r="M1041132" s="19"/>
      <c r="N1041132" s="19"/>
    </row>
    <row r="1041133" spans="1:14" s="83" customFormat="1" ht="12.75">
      <c r="A1041133" s="19"/>
      <c r="B1041133" s="19"/>
      <c r="C1041133" s="19"/>
      <c r="D1041133" s="19"/>
      <c r="E1041133" s="19"/>
      <c r="F1041133" s="19"/>
      <c r="G1041133" s="19"/>
      <c r="H1041133" s="19"/>
      <c r="I1041133" s="19"/>
      <c r="J1041133" s="19"/>
      <c r="K1041133" s="19"/>
      <c r="L1041133" s="19"/>
      <c r="M1041133" s="19"/>
      <c r="N1041133" s="19"/>
    </row>
    <row r="1041134" spans="1:14" s="83" customFormat="1" ht="12.75">
      <c r="A1041134" s="19"/>
      <c r="B1041134" s="19"/>
      <c r="C1041134" s="19"/>
      <c r="D1041134" s="19"/>
      <c r="E1041134" s="19"/>
      <c r="F1041134" s="19"/>
      <c r="G1041134" s="19"/>
      <c r="H1041134" s="19"/>
      <c r="I1041134" s="19"/>
      <c r="J1041134" s="19"/>
      <c r="K1041134" s="19"/>
      <c r="L1041134" s="19"/>
      <c r="M1041134" s="19"/>
      <c r="N1041134" s="19"/>
    </row>
    <row r="1041135" spans="1:14" s="83" customFormat="1" ht="12.75">
      <c r="A1041135" s="19"/>
      <c r="B1041135" s="19"/>
      <c r="C1041135" s="19"/>
      <c r="D1041135" s="19"/>
      <c r="E1041135" s="19"/>
      <c r="F1041135" s="19"/>
      <c r="G1041135" s="19"/>
      <c r="H1041135" s="19"/>
      <c r="I1041135" s="19"/>
      <c r="J1041135" s="19"/>
      <c r="K1041135" s="19"/>
      <c r="L1041135" s="19"/>
      <c r="M1041135" s="19"/>
      <c r="N1041135" s="19"/>
    </row>
    <row r="1041136" spans="1:14" s="83" customFormat="1" ht="12.75">
      <c r="A1041136" s="19"/>
      <c r="B1041136" s="19"/>
      <c r="C1041136" s="19"/>
      <c r="D1041136" s="19"/>
      <c r="E1041136" s="19"/>
      <c r="F1041136" s="19"/>
      <c r="G1041136" s="19"/>
      <c r="H1041136" s="19"/>
      <c r="I1041136" s="19"/>
      <c r="J1041136" s="19"/>
      <c r="K1041136" s="19"/>
      <c r="L1041136" s="19"/>
      <c r="M1041136" s="19"/>
      <c r="N1041136" s="19"/>
    </row>
    <row r="1041137" spans="1:14" s="83" customFormat="1" ht="12.75">
      <c r="A1041137" s="19"/>
      <c r="B1041137" s="19"/>
      <c r="C1041137" s="19"/>
      <c r="D1041137" s="19"/>
      <c r="E1041137" s="19"/>
      <c r="F1041137" s="19"/>
      <c r="G1041137" s="19"/>
      <c r="H1041137" s="19"/>
      <c r="I1041137" s="19"/>
      <c r="J1041137" s="19"/>
      <c r="K1041137" s="19"/>
      <c r="L1041137" s="19"/>
      <c r="M1041137" s="19"/>
      <c r="N1041137" s="19"/>
    </row>
    <row r="1041138" spans="1:14" s="83" customFormat="1" ht="12.75">
      <c r="A1041138" s="19"/>
      <c r="B1041138" s="19"/>
      <c r="C1041138" s="19"/>
      <c r="D1041138" s="19"/>
      <c r="E1041138" s="19"/>
      <c r="F1041138" s="19"/>
      <c r="G1041138" s="19"/>
      <c r="H1041138" s="19"/>
      <c r="I1041138" s="19"/>
      <c r="J1041138" s="19"/>
      <c r="K1041138" s="19"/>
      <c r="L1041138" s="19"/>
      <c r="M1041138" s="19"/>
      <c r="N1041138" s="19"/>
    </row>
    <row r="1041139" spans="1:14" s="83" customFormat="1" ht="12.75">
      <c r="A1041139" s="19"/>
      <c r="B1041139" s="19"/>
      <c r="C1041139" s="19"/>
      <c r="D1041139" s="19"/>
      <c r="E1041139" s="19"/>
      <c r="F1041139" s="19"/>
      <c r="G1041139" s="19"/>
      <c r="H1041139" s="19"/>
      <c r="I1041139" s="19"/>
      <c r="J1041139" s="19"/>
      <c r="K1041139" s="19"/>
      <c r="L1041139" s="19"/>
      <c r="M1041139" s="19"/>
      <c r="N1041139" s="19"/>
    </row>
    <row r="1041140" spans="1:14" s="83" customFormat="1" ht="12.75">
      <c r="A1041140" s="19"/>
      <c r="B1041140" s="19"/>
      <c r="C1041140" s="19"/>
      <c r="D1041140" s="19"/>
      <c r="E1041140" s="19"/>
      <c r="F1041140" s="19"/>
      <c r="G1041140" s="19"/>
      <c r="H1041140" s="19"/>
      <c r="I1041140" s="19"/>
      <c r="J1041140" s="19"/>
      <c r="K1041140" s="19"/>
      <c r="L1041140" s="19"/>
      <c r="M1041140" s="19"/>
      <c r="N1041140" s="19"/>
    </row>
    <row r="1041141" spans="1:14" s="83" customFormat="1" ht="12.75">
      <c r="A1041141" s="19"/>
      <c r="B1041141" s="19"/>
      <c r="C1041141" s="19"/>
      <c r="D1041141" s="19"/>
      <c r="E1041141" s="19"/>
      <c r="F1041141" s="19"/>
      <c r="G1041141" s="19"/>
      <c r="H1041141" s="19"/>
      <c r="I1041141" s="19"/>
      <c r="J1041141" s="19"/>
      <c r="K1041141" s="19"/>
      <c r="L1041141" s="19"/>
      <c r="M1041141" s="19"/>
      <c r="N1041141" s="19"/>
    </row>
    <row r="1041142" spans="1:14" s="83" customFormat="1" ht="12.75">
      <c r="A1041142" s="19"/>
      <c r="B1041142" s="19"/>
      <c r="C1041142" s="19"/>
      <c r="D1041142" s="19"/>
      <c r="E1041142" s="19"/>
      <c r="F1041142" s="19"/>
      <c r="G1041142" s="19"/>
      <c r="H1041142" s="19"/>
      <c r="I1041142" s="19"/>
      <c r="J1041142" s="19"/>
      <c r="K1041142" s="19"/>
      <c r="L1041142" s="19"/>
      <c r="M1041142" s="19"/>
      <c r="N1041142" s="19"/>
    </row>
    <row r="1041143" spans="1:14" s="83" customFormat="1" ht="12.75">
      <c r="A1041143" s="19"/>
      <c r="B1041143" s="19"/>
      <c r="C1041143" s="19"/>
      <c r="D1041143" s="19"/>
      <c r="E1041143" s="19"/>
      <c r="F1041143" s="19"/>
      <c r="G1041143" s="19"/>
      <c r="H1041143" s="19"/>
      <c r="I1041143" s="19"/>
      <c r="J1041143" s="19"/>
      <c r="K1041143" s="19"/>
      <c r="L1041143" s="19"/>
      <c r="M1041143" s="19"/>
      <c r="N1041143" s="19"/>
    </row>
    <row r="1041144" spans="1:14" s="83" customFormat="1" ht="12.75">
      <c r="A1041144" s="19"/>
      <c r="B1041144" s="19"/>
      <c r="C1041144" s="19"/>
      <c r="D1041144" s="19"/>
      <c r="E1041144" s="19"/>
      <c r="F1041144" s="19"/>
      <c r="G1041144" s="19"/>
      <c r="H1041144" s="19"/>
      <c r="I1041144" s="19"/>
      <c r="J1041144" s="19"/>
      <c r="K1041144" s="19"/>
      <c r="L1041144" s="19"/>
      <c r="M1041144" s="19"/>
      <c r="N1041144" s="19"/>
    </row>
    <row r="1041145" spans="1:14" s="83" customFormat="1" ht="12.75">
      <c r="A1041145" s="19"/>
      <c r="B1041145" s="19"/>
      <c r="C1041145" s="19"/>
      <c r="D1041145" s="19"/>
      <c r="E1041145" s="19"/>
      <c r="F1041145" s="19"/>
      <c r="G1041145" s="19"/>
      <c r="H1041145" s="19"/>
      <c r="I1041145" s="19"/>
      <c r="J1041145" s="19"/>
      <c r="K1041145" s="19"/>
      <c r="L1041145" s="19"/>
      <c r="M1041145" s="19"/>
      <c r="N1041145" s="19"/>
    </row>
    <row r="1041146" spans="1:14" s="83" customFormat="1" ht="12.75">
      <c r="A1041146" s="19"/>
      <c r="B1041146" s="19"/>
      <c r="C1041146" s="19"/>
      <c r="D1041146" s="19"/>
      <c r="E1041146" s="19"/>
      <c r="F1041146" s="19"/>
      <c r="G1041146" s="19"/>
      <c r="H1041146" s="19"/>
      <c r="I1041146" s="19"/>
      <c r="J1041146" s="19"/>
      <c r="K1041146" s="19"/>
      <c r="L1041146" s="19"/>
      <c r="M1041146" s="19"/>
      <c r="N1041146" s="19"/>
    </row>
    <row r="1041147" spans="1:14" s="83" customFormat="1" ht="12.75">
      <c r="A1041147" s="19"/>
      <c r="B1041147" s="19"/>
      <c r="C1041147" s="19"/>
      <c r="D1041147" s="19"/>
      <c r="E1041147" s="19"/>
      <c r="F1041147" s="19"/>
      <c r="G1041147" s="19"/>
      <c r="H1041147" s="19"/>
      <c r="I1041147" s="19"/>
      <c r="J1041147" s="19"/>
      <c r="K1041147" s="19"/>
      <c r="L1041147" s="19"/>
      <c r="M1041147" s="19"/>
      <c r="N1041147" s="19"/>
    </row>
    <row r="1041148" spans="1:14" s="83" customFormat="1" ht="12.75">
      <c r="A1041148" s="19"/>
      <c r="B1041148" s="19"/>
      <c r="C1041148" s="19"/>
      <c r="D1041148" s="19"/>
      <c r="E1041148" s="19"/>
      <c r="F1041148" s="19"/>
      <c r="G1041148" s="19"/>
      <c r="H1041148" s="19"/>
      <c r="I1041148" s="19"/>
      <c r="J1041148" s="19"/>
      <c r="K1041148" s="19"/>
      <c r="L1041148" s="19"/>
      <c r="M1041148" s="19"/>
      <c r="N1041148" s="19"/>
    </row>
    <row r="1041149" spans="1:14" s="83" customFormat="1" ht="12.75">
      <c r="A1041149" s="19"/>
      <c r="B1041149" s="19"/>
      <c r="C1041149" s="19"/>
      <c r="D1041149" s="19"/>
      <c r="E1041149" s="19"/>
      <c r="F1041149" s="19"/>
      <c r="G1041149" s="19"/>
      <c r="H1041149" s="19"/>
      <c r="I1041149" s="19"/>
      <c r="J1041149" s="19"/>
      <c r="K1041149" s="19"/>
      <c r="L1041149" s="19"/>
      <c r="M1041149" s="19"/>
      <c r="N1041149" s="19"/>
    </row>
    <row r="1041150" spans="1:14" s="83" customFormat="1" ht="12.75">
      <c r="A1041150" s="19"/>
      <c r="B1041150" s="19"/>
      <c r="C1041150" s="19"/>
      <c r="D1041150" s="19"/>
      <c r="E1041150" s="19"/>
      <c r="F1041150" s="19"/>
      <c r="G1041150" s="19"/>
      <c r="H1041150" s="19"/>
      <c r="I1041150" s="19"/>
      <c r="J1041150" s="19"/>
      <c r="K1041150" s="19"/>
      <c r="L1041150" s="19"/>
      <c r="M1041150" s="19"/>
      <c r="N1041150" s="19"/>
    </row>
    <row r="1041151" spans="1:14" s="83" customFormat="1" ht="12.75">
      <c r="A1041151" s="19"/>
      <c r="B1041151" s="19"/>
      <c r="C1041151" s="19"/>
      <c r="D1041151" s="19"/>
      <c r="E1041151" s="19"/>
      <c r="F1041151" s="19"/>
      <c r="G1041151" s="19"/>
      <c r="H1041151" s="19"/>
      <c r="I1041151" s="19"/>
      <c r="J1041151" s="19"/>
      <c r="K1041151" s="19"/>
      <c r="L1041151" s="19"/>
      <c r="M1041151" s="19"/>
      <c r="N1041151" s="19"/>
    </row>
    <row r="1041152" spans="1:14" s="83" customFormat="1" ht="12.75">
      <c r="A1041152" s="19"/>
      <c r="B1041152" s="19"/>
      <c r="C1041152" s="19"/>
      <c r="D1041152" s="19"/>
      <c r="E1041152" s="19"/>
      <c r="F1041152" s="19"/>
      <c r="G1041152" s="19"/>
      <c r="H1041152" s="19"/>
      <c r="I1041152" s="19"/>
      <c r="J1041152" s="19"/>
      <c r="K1041152" s="19"/>
      <c r="L1041152" s="19"/>
      <c r="M1041152" s="19"/>
      <c r="N1041152" s="19"/>
    </row>
    <row r="1041153" spans="1:14" s="83" customFormat="1" ht="12.75">
      <c r="A1041153" s="19"/>
      <c r="B1041153" s="19"/>
      <c r="C1041153" s="19"/>
      <c r="D1041153" s="19"/>
      <c r="E1041153" s="19"/>
      <c r="F1041153" s="19"/>
      <c r="G1041153" s="19"/>
      <c r="H1041153" s="19"/>
      <c r="I1041153" s="19"/>
      <c r="J1041153" s="19"/>
      <c r="K1041153" s="19"/>
      <c r="L1041153" s="19"/>
      <c r="M1041153" s="19"/>
      <c r="N1041153" s="19"/>
    </row>
    <row r="1041154" spans="1:14" s="83" customFormat="1" ht="12.75">
      <c r="A1041154" s="19"/>
      <c r="B1041154" s="19"/>
      <c r="C1041154" s="19"/>
      <c r="D1041154" s="19"/>
      <c r="E1041154" s="19"/>
      <c r="F1041154" s="19"/>
      <c r="G1041154" s="19"/>
      <c r="H1041154" s="19"/>
      <c r="I1041154" s="19"/>
      <c r="J1041154" s="19"/>
      <c r="K1041154" s="19"/>
      <c r="L1041154" s="19"/>
      <c r="M1041154" s="19"/>
      <c r="N1041154" s="19"/>
    </row>
    <row r="1041155" spans="1:14" s="83" customFormat="1" ht="12.75">
      <c r="A1041155" s="19"/>
      <c r="B1041155" s="19"/>
      <c r="C1041155" s="19"/>
      <c r="D1041155" s="19"/>
      <c r="E1041155" s="19"/>
      <c r="F1041155" s="19"/>
      <c r="G1041155" s="19"/>
      <c r="H1041155" s="19"/>
      <c r="I1041155" s="19"/>
      <c r="J1041155" s="19"/>
      <c r="K1041155" s="19"/>
      <c r="L1041155" s="19"/>
      <c r="M1041155" s="19"/>
      <c r="N1041155" s="19"/>
    </row>
    <row r="1041156" spans="1:14" s="83" customFormat="1" ht="12.75">
      <c r="A1041156" s="19"/>
      <c r="B1041156" s="19"/>
      <c r="C1041156" s="19"/>
      <c r="D1041156" s="19"/>
      <c r="E1041156" s="19"/>
      <c r="F1041156" s="19"/>
      <c r="G1041156" s="19"/>
      <c r="H1041156" s="19"/>
      <c r="I1041156" s="19"/>
      <c r="J1041156" s="19"/>
      <c r="K1041156" s="19"/>
      <c r="L1041156" s="19"/>
      <c r="M1041156" s="19"/>
      <c r="N1041156" s="19"/>
    </row>
    <row r="1041157" spans="1:14" s="83" customFormat="1" ht="12.75">
      <c r="A1041157" s="19"/>
      <c r="B1041157" s="19"/>
      <c r="C1041157" s="19"/>
      <c r="D1041157" s="19"/>
      <c r="E1041157" s="19"/>
      <c r="F1041157" s="19"/>
      <c r="G1041157" s="19"/>
      <c r="H1041157" s="19"/>
      <c r="I1041157" s="19"/>
      <c r="J1041157" s="19"/>
      <c r="K1041157" s="19"/>
      <c r="L1041157" s="19"/>
      <c r="M1041157" s="19"/>
      <c r="N1041157" s="19"/>
    </row>
    <row r="1041158" spans="1:14" s="83" customFormat="1" ht="12.75">
      <c r="A1041158" s="19"/>
      <c r="B1041158" s="19"/>
      <c r="C1041158" s="19"/>
      <c r="D1041158" s="19"/>
      <c r="E1041158" s="19"/>
      <c r="F1041158" s="19"/>
      <c r="G1041158" s="19"/>
      <c r="H1041158" s="19"/>
      <c r="I1041158" s="19"/>
      <c r="J1041158" s="19"/>
      <c r="K1041158" s="19"/>
      <c r="L1041158" s="19"/>
      <c r="M1041158" s="19"/>
      <c r="N1041158" s="19"/>
    </row>
    <row r="1041159" spans="1:14" s="83" customFormat="1" ht="12.75">
      <c r="A1041159" s="19"/>
      <c r="B1041159" s="19"/>
      <c r="C1041159" s="19"/>
      <c r="D1041159" s="19"/>
      <c r="E1041159" s="19"/>
      <c r="F1041159" s="19"/>
      <c r="G1041159" s="19"/>
      <c r="H1041159" s="19"/>
      <c r="I1041159" s="19"/>
      <c r="J1041159" s="19"/>
      <c r="K1041159" s="19"/>
      <c r="L1041159" s="19"/>
      <c r="M1041159" s="19"/>
      <c r="N1041159" s="19"/>
    </row>
    <row r="1041160" spans="1:14" s="83" customFormat="1" ht="12.75">
      <c r="A1041160" s="19"/>
      <c r="B1041160" s="19"/>
      <c r="C1041160" s="19"/>
      <c r="D1041160" s="19"/>
      <c r="E1041160" s="19"/>
      <c r="F1041160" s="19"/>
      <c r="G1041160" s="19"/>
      <c r="H1041160" s="19"/>
      <c r="I1041160" s="19"/>
      <c r="J1041160" s="19"/>
      <c r="K1041160" s="19"/>
      <c r="L1041160" s="19"/>
      <c r="M1041160" s="19"/>
      <c r="N1041160" s="19"/>
    </row>
    <row r="1041161" spans="1:14" s="83" customFormat="1" ht="12.75">
      <c r="A1041161" s="19"/>
      <c r="B1041161" s="19"/>
      <c r="C1041161" s="19"/>
      <c r="D1041161" s="19"/>
      <c r="E1041161" s="19"/>
      <c r="F1041161" s="19"/>
      <c r="G1041161" s="19"/>
      <c r="H1041161" s="19"/>
      <c r="I1041161" s="19"/>
      <c r="J1041161" s="19"/>
      <c r="K1041161" s="19"/>
      <c r="L1041161" s="19"/>
      <c r="M1041161" s="19"/>
      <c r="N1041161" s="19"/>
    </row>
    <row r="1041162" spans="1:14" s="83" customFormat="1" ht="12.75">
      <c r="A1041162" s="19"/>
      <c r="B1041162" s="19"/>
      <c r="C1041162" s="19"/>
      <c r="D1041162" s="19"/>
      <c r="E1041162" s="19"/>
      <c r="F1041162" s="19"/>
      <c r="G1041162" s="19"/>
      <c r="H1041162" s="19"/>
      <c r="I1041162" s="19"/>
      <c r="J1041162" s="19"/>
      <c r="K1041162" s="19"/>
      <c r="L1041162" s="19"/>
      <c r="M1041162" s="19"/>
      <c r="N1041162" s="19"/>
    </row>
    <row r="1041163" spans="1:14" s="83" customFormat="1" ht="12.75">
      <c r="A1041163" s="19"/>
      <c r="B1041163" s="19"/>
      <c r="C1041163" s="19"/>
      <c r="D1041163" s="19"/>
      <c r="E1041163" s="19"/>
      <c r="F1041163" s="19"/>
      <c r="G1041163" s="19"/>
      <c r="H1041163" s="19"/>
      <c r="I1041163" s="19"/>
      <c r="J1041163" s="19"/>
      <c r="K1041163" s="19"/>
      <c r="L1041163" s="19"/>
      <c r="M1041163" s="19"/>
      <c r="N1041163" s="19"/>
    </row>
    <row r="1041164" spans="1:14" s="83" customFormat="1" ht="12.75">
      <c r="A1041164" s="19"/>
      <c r="B1041164" s="19"/>
      <c r="C1041164" s="19"/>
      <c r="D1041164" s="19"/>
      <c r="E1041164" s="19"/>
      <c r="F1041164" s="19"/>
      <c r="G1041164" s="19"/>
      <c r="H1041164" s="19"/>
      <c r="I1041164" s="19"/>
      <c r="J1041164" s="19"/>
      <c r="K1041164" s="19"/>
      <c r="L1041164" s="19"/>
      <c r="M1041164" s="19"/>
      <c r="N1041164" s="19"/>
    </row>
    <row r="1041165" spans="1:14" s="83" customFormat="1" ht="12.75">
      <c r="A1041165" s="19"/>
      <c r="B1041165" s="19"/>
      <c r="C1041165" s="19"/>
      <c r="D1041165" s="19"/>
      <c r="E1041165" s="19"/>
      <c r="F1041165" s="19"/>
      <c r="G1041165" s="19"/>
      <c r="H1041165" s="19"/>
      <c r="I1041165" s="19"/>
      <c r="J1041165" s="19"/>
      <c r="K1041165" s="19"/>
      <c r="L1041165" s="19"/>
      <c r="M1041165" s="19"/>
      <c r="N1041165" s="19"/>
    </row>
    <row r="1041166" spans="1:14" s="83" customFormat="1" ht="12.75">
      <c r="A1041166" s="19"/>
      <c r="B1041166" s="19"/>
      <c r="C1041166" s="19"/>
      <c r="D1041166" s="19"/>
      <c r="E1041166" s="19"/>
      <c r="F1041166" s="19"/>
      <c r="G1041166" s="19"/>
      <c r="H1041166" s="19"/>
      <c r="I1041166" s="19"/>
      <c r="J1041166" s="19"/>
      <c r="K1041166" s="19"/>
      <c r="L1041166" s="19"/>
      <c r="M1041166" s="19"/>
      <c r="N1041166" s="19"/>
    </row>
    <row r="1041167" spans="1:14" s="83" customFormat="1" ht="12.75">
      <c r="A1041167" s="19"/>
      <c r="B1041167" s="19"/>
      <c r="C1041167" s="19"/>
      <c r="D1041167" s="19"/>
      <c r="E1041167" s="19"/>
      <c r="F1041167" s="19"/>
      <c r="G1041167" s="19"/>
      <c r="H1041167" s="19"/>
      <c r="I1041167" s="19"/>
      <c r="J1041167" s="19"/>
      <c r="K1041167" s="19"/>
      <c r="L1041167" s="19"/>
      <c r="M1041167" s="19"/>
      <c r="N1041167" s="19"/>
    </row>
    <row r="1041168" spans="1:14" s="83" customFormat="1" ht="12.75">
      <c r="A1041168" s="19"/>
      <c r="B1041168" s="19"/>
      <c r="C1041168" s="19"/>
      <c r="D1041168" s="19"/>
      <c r="E1041168" s="19"/>
      <c r="F1041168" s="19"/>
      <c r="G1041168" s="19"/>
      <c r="H1041168" s="19"/>
      <c r="I1041168" s="19"/>
      <c r="J1041168" s="19"/>
      <c r="K1041168" s="19"/>
      <c r="L1041168" s="19"/>
      <c r="M1041168" s="19"/>
      <c r="N1041168" s="19"/>
    </row>
    <row r="1041169" spans="1:14" s="83" customFormat="1" ht="12.75">
      <c r="A1041169" s="19"/>
      <c r="B1041169" s="19"/>
      <c r="C1041169" s="19"/>
      <c r="D1041169" s="19"/>
      <c r="E1041169" s="19"/>
      <c r="F1041169" s="19"/>
      <c r="G1041169" s="19"/>
      <c r="H1041169" s="19"/>
      <c r="I1041169" s="19"/>
      <c r="J1041169" s="19"/>
      <c r="K1041169" s="19"/>
      <c r="L1041169" s="19"/>
      <c r="M1041169" s="19"/>
      <c r="N1041169" s="19"/>
    </row>
    <row r="1041170" spans="1:14" s="83" customFormat="1" ht="12.75">
      <c r="A1041170" s="19"/>
      <c r="B1041170" s="19"/>
      <c r="C1041170" s="19"/>
      <c r="D1041170" s="19"/>
      <c r="E1041170" s="19"/>
      <c r="F1041170" s="19"/>
      <c r="G1041170" s="19"/>
      <c r="H1041170" s="19"/>
      <c r="I1041170" s="19"/>
      <c r="J1041170" s="19"/>
      <c r="K1041170" s="19"/>
      <c r="L1041170" s="19"/>
      <c r="M1041170" s="19"/>
      <c r="N1041170" s="19"/>
    </row>
    <row r="1041171" spans="1:14" s="83" customFormat="1" ht="12.75">
      <c r="A1041171" s="19"/>
      <c r="B1041171" s="19"/>
      <c r="C1041171" s="19"/>
      <c r="D1041171" s="19"/>
      <c r="E1041171" s="19"/>
      <c r="F1041171" s="19"/>
      <c r="G1041171" s="19"/>
      <c r="H1041171" s="19"/>
      <c r="I1041171" s="19"/>
      <c r="J1041171" s="19"/>
      <c r="K1041171" s="19"/>
      <c r="L1041171" s="19"/>
      <c r="M1041171" s="19"/>
      <c r="N1041171" s="19"/>
    </row>
    <row r="1041172" spans="1:14" s="83" customFormat="1" ht="12.75">
      <c r="A1041172" s="19"/>
      <c r="B1041172" s="19"/>
      <c r="C1041172" s="19"/>
      <c r="D1041172" s="19"/>
      <c r="E1041172" s="19"/>
      <c r="F1041172" s="19"/>
      <c r="G1041172" s="19"/>
      <c r="H1041172" s="19"/>
      <c r="I1041172" s="19"/>
      <c r="J1041172" s="19"/>
      <c r="K1041172" s="19"/>
      <c r="L1041172" s="19"/>
      <c r="M1041172" s="19"/>
      <c r="N1041172" s="19"/>
    </row>
    <row r="1041173" spans="1:14" s="83" customFormat="1" ht="12.75">
      <c r="A1041173" s="19"/>
      <c r="B1041173" s="19"/>
      <c r="C1041173" s="19"/>
      <c r="D1041173" s="19"/>
      <c r="E1041173" s="19"/>
      <c r="F1041173" s="19"/>
      <c r="G1041173" s="19"/>
      <c r="H1041173" s="19"/>
      <c r="I1041173" s="19"/>
      <c r="J1041173" s="19"/>
      <c r="K1041173" s="19"/>
      <c r="L1041173" s="19"/>
      <c r="M1041173" s="19"/>
      <c r="N1041173" s="19"/>
    </row>
    <row r="1041174" spans="1:14" s="83" customFormat="1" ht="12.75">
      <c r="A1041174" s="19"/>
      <c r="B1041174" s="19"/>
      <c r="C1041174" s="19"/>
      <c r="D1041174" s="19"/>
      <c r="E1041174" s="19"/>
      <c r="F1041174" s="19"/>
      <c r="G1041174" s="19"/>
      <c r="H1041174" s="19"/>
      <c r="I1041174" s="19"/>
      <c r="J1041174" s="19"/>
      <c r="K1041174" s="19"/>
      <c r="L1041174" s="19"/>
      <c r="M1041174" s="19"/>
      <c r="N1041174" s="19"/>
    </row>
    <row r="1041175" spans="1:14" s="83" customFormat="1" ht="12.75">
      <c r="A1041175" s="19"/>
      <c r="B1041175" s="19"/>
      <c r="C1041175" s="19"/>
      <c r="D1041175" s="19"/>
      <c r="E1041175" s="19"/>
      <c r="F1041175" s="19"/>
      <c r="G1041175" s="19"/>
      <c r="H1041175" s="19"/>
      <c r="I1041175" s="19"/>
      <c r="J1041175" s="19"/>
      <c r="K1041175" s="19"/>
      <c r="L1041175" s="19"/>
      <c r="M1041175" s="19"/>
      <c r="N1041175" s="19"/>
    </row>
    <row r="1041176" spans="1:14" s="83" customFormat="1" ht="12.75">
      <c r="A1041176" s="19"/>
      <c r="B1041176" s="19"/>
      <c r="C1041176" s="19"/>
      <c r="D1041176" s="19"/>
      <c r="E1041176" s="19"/>
      <c r="F1041176" s="19"/>
      <c r="G1041176" s="19"/>
      <c r="H1041176" s="19"/>
      <c r="I1041176" s="19"/>
      <c r="J1041176" s="19"/>
      <c r="K1041176" s="19"/>
      <c r="L1041176" s="19"/>
      <c r="M1041176" s="19"/>
      <c r="N1041176" s="19"/>
    </row>
    <row r="1041177" spans="1:14" s="83" customFormat="1" ht="12.75">
      <c r="A1041177" s="19"/>
      <c r="B1041177" s="19"/>
      <c r="C1041177" s="19"/>
      <c r="D1041177" s="19"/>
      <c r="E1041177" s="19"/>
      <c r="F1041177" s="19"/>
      <c r="G1041177" s="19"/>
      <c r="H1041177" s="19"/>
      <c r="I1041177" s="19"/>
      <c r="J1041177" s="19"/>
      <c r="K1041177" s="19"/>
      <c r="L1041177" s="19"/>
      <c r="M1041177" s="19"/>
      <c r="N1041177" s="19"/>
    </row>
    <row r="1041178" spans="1:14" s="83" customFormat="1" ht="12.75">
      <c r="A1041178" s="19"/>
      <c r="B1041178" s="19"/>
      <c r="C1041178" s="19"/>
      <c r="D1041178" s="19"/>
      <c r="E1041178" s="19"/>
      <c r="F1041178" s="19"/>
      <c r="G1041178" s="19"/>
      <c r="H1041178" s="19"/>
      <c r="I1041178" s="19"/>
      <c r="J1041178" s="19"/>
      <c r="K1041178" s="19"/>
      <c r="L1041178" s="19"/>
      <c r="M1041178" s="19"/>
      <c r="N1041178" s="19"/>
    </row>
    <row r="1041179" spans="1:14" s="83" customFormat="1" ht="12.75">
      <c r="A1041179" s="19"/>
      <c r="B1041179" s="19"/>
      <c r="C1041179" s="19"/>
      <c r="D1041179" s="19"/>
      <c r="E1041179" s="19"/>
      <c r="F1041179" s="19"/>
      <c r="G1041179" s="19"/>
      <c r="H1041179" s="19"/>
      <c r="I1041179" s="19"/>
      <c r="J1041179" s="19"/>
      <c r="K1041179" s="19"/>
      <c r="L1041179" s="19"/>
      <c r="M1041179" s="19"/>
      <c r="N1041179" s="19"/>
    </row>
    <row r="1041180" spans="1:14" s="83" customFormat="1" ht="12.75">
      <c r="A1041180" s="19"/>
      <c r="B1041180" s="19"/>
      <c r="C1041180" s="19"/>
      <c r="D1041180" s="19"/>
      <c r="E1041180" s="19"/>
      <c r="F1041180" s="19"/>
      <c r="G1041180" s="19"/>
      <c r="H1041180" s="19"/>
      <c r="I1041180" s="19"/>
      <c r="J1041180" s="19"/>
      <c r="K1041180" s="19"/>
      <c r="L1041180" s="19"/>
      <c r="M1041180" s="19"/>
      <c r="N1041180" s="19"/>
    </row>
    <row r="1041181" spans="1:14" s="83" customFormat="1" ht="12.75">
      <c r="A1041181" s="19"/>
      <c r="B1041181" s="19"/>
      <c r="C1041181" s="19"/>
      <c r="D1041181" s="19"/>
      <c r="E1041181" s="19"/>
      <c r="F1041181" s="19"/>
      <c r="G1041181" s="19"/>
      <c r="H1041181" s="19"/>
      <c r="I1041181" s="19"/>
      <c r="J1041181" s="19"/>
      <c r="K1041181" s="19"/>
      <c r="L1041181" s="19"/>
      <c r="M1041181" s="19"/>
      <c r="N1041181" s="19"/>
    </row>
    <row r="1041182" spans="1:14" s="83" customFormat="1" ht="12.75">
      <c r="A1041182" s="19"/>
      <c r="B1041182" s="19"/>
      <c r="C1041182" s="19"/>
      <c r="D1041182" s="19"/>
      <c r="E1041182" s="19"/>
      <c r="F1041182" s="19"/>
      <c r="G1041182" s="19"/>
      <c r="H1041182" s="19"/>
      <c r="I1041182" s="19"/>
      <c r="J1041182" s="19"/>
      <c r="K1041182" s="19"/>
      <c r="L1041182" s="19"/>
      <c r="M1041182" s="19"/>
      <c r="N1041182" s="19"/>
    </row>
    <row r="1041183" spans="1:14" s="83" customFormat="1" ht="12.75">
      <c r="A1041183" s="19"/>
      <c r="B1041183" s="19"/>
      <c r="C1041183" s="19"/>
      <c r="D1041183" s="19"/>
      <c r="E1041183" s="19"/>
      <c r="F1041183" s="19"/>
      <c r="G1041183" s="19"/>
      <c r="H1041183" s="19"/>
      <c r="I1041183" s="19"/>
      <c r="J1041183" s="19"/>
      <c r="K1041183" s="19"/>
      <c r="L1041183" s="19"/>
      <c r="M1041183" s="19"/>
      <c r="N1041183" s="19"/>
    </row>
    <row r="1041184" spans="1:14" s="83" customFormat="1" ht="12.75">
      <c r="A1041184" s="19"/>
      <c r="B1041184" s="19"/>
      <c r="C1041184" s="19"/>
      <c r="D1041184" s="19"/>
      <c r="E1041184" s="19"/>
      <c r="F1041184" s="19"/>
      <c r="G1041184" s="19"/>
      <c r="H1041184" s="19"/>
      <c r="I1041184" s="19"/>
      <c r="J1041184" s="19"/>
      <c r="K1041184" s="19"/>
      <c r="L1041184" s="19"/>
      <c r="M1041184" s="19"/>
      <c r="N1041184" s="19"/>
    </row>
    <row r="1041185" spans="1:14" s="83" customFormat="1" ht="12.75">
      <c r="A1041185" s="19"/>
      <c r="B1041185" s="19"/>
      <c r="C1041185" s="19"/>
      <c r="D1041185" s="19"/>
      <c r="E1041185" s="19"/>
      <c r="F1041185" s="19"/>
      <c r="G1041185" s="19"/>
      <c r="H1041185" s="19"/>
      <c r="I1041185" s="19"/>
      <c r="J1041185" s="19"/>
      <c r="K1041185" s="19"/>
      <c r="L1041185" s="19"/>
      <c r="M1041185" s="19"/>
      <c r="N1041185" s="19"/>
    </row>
    <row r="1041186" spans="1:14" s="83" customFormat="1" ht="12.75">
      <c r="A1041186" s="19"/>
      <c r="B1041186" s="19"/>
      <c r="C1041186" s="19"/>
      <c r="D1041186" s="19"/>
      <c r="E1041186" s="19"/>
      <c r="F1041186" s="19"/>
      <c r="G1041186" s="19"/>
      <c r="H1041186" s="19"/>
      <c r="I1041186" s="19"/>
      <c r="J1041186" s="19"/>
      <c r="K1041186" s="19"/>
      <c r="L1041186" s="19"/>
      <c r="M1041186" s="19"/>
      <c r="N1041186" s="19"/>
    </row>
    <row r="1041187" spans="1:14" s="83" customFormat="1" ht="12.75">
      <c r="A1041187" s="19"/>
      <c r="B1041187" s="19"/>
      <c r="C1041187" s="19"/>
      <c r="D1041187" s="19"/>
      <c r="E1041187" s="19"/>
      <c r="F1041187" s="19"/>
      <c r="G1041187" s="19"/>
      <c r="H1041187" s="19"/>
      <c r="I1041187" s="19"/>
      <c r="J1041187" s="19"/>
      <c r="K1041187" s="19"/>
      <c r="L1041187" s="19"/>
      <c r="M1041187" s="19"/>
      <c r="N1041187" s="19"/>
    </row>
    <row r="1041188" spans="1:14" s="83" customFormat="1" ht="12.75">
      <c r="A1041188" s="19"/>
      <c r="B1041188" s="19"/>
      <c r="C1041188" s="19"/>
      <c r="D1041188" s="19"/>
      <c r="E1041188" s="19"/>
      <c r="F1041188" s="19"/>
      <c r="G1041188" s="19"/>
      <c r="H1041188" s="19"/>
      <c r="I1041188" s="19"/>
      <c r="J1041188" s="19"/>
      <c r="K1041188" s="19"/>
      <c r="L1041188" s="19"/>
      <c r="M1041188" s="19"/>
      <c r="N1041188" s="19"/>
    </row>
    <row r="1041189" spans="1:14" s="83" customFormat="1" ht="12.75">
      <c r="A1041189" s="19"/>
      <c r="B1041189" s="19"/>
      <c r="C1041189" s="19"/>
      <c r="D1041189" s="19"/>
      <c r="E1041189" s="19"/>
      <c r="F1041189" s="19"/>
      <c r="G1041189" s="19"/>
      <c r="H1041189" s="19"/>
      <c r="I1041189" s="19"/>
      <c r="J1041189" s="19"/>
      <c r="K1041189" s="19"/>
      <c r="L1041189" s="19"/>
      <c r="M1041189" s="19"/>
      <c r="N1041189" s="19"/>
    </row>
    <row r="1041190" spans="1:14" s="83" customFormat="1" ht="12.75">
      <c r="A1041190" s="19"/>
      <c r="B1041190" s="19"/>
      <c r="C1041190" s="19"/>
      <c r="D1041190" s="19"/>
      <c r="E1041190" s="19"/>
      <c r="F1041190" s="19"/>
      <c r="G1041190" s="19"/>
      <c r="H1041190" s="19"/>
      <c r="I1041190" s="19"/>
      <c r="J1041190" s="19"/>
      <c r="K1041190" s="19"/>
      <c r="L1041190" s="19"/>
      <c r="M1041190" s="19"/>
      <c r="N1041190" s="19"/>
    </row>
    <row r="1041191" spans="1:14" s="83" customFormat="1" ht="12.75">
      <c r="A1041191" s="19"/>
      <c r="B1041191" s="19"/>
      <c r="C1041191" s="19"/>
      <c r="D1041191" s="19"/>
      <c r="E1041191" s="19"/>
      <c r="F1041191" s="19"/>
      <c r="G1041191" s="19"/>
      <c r="H1041191" s="19"/>
      <c r="I1041191" s="19"/>
      <c r="J1041191" s="19"/>
      <c r="K1041191" s="19"/>
      <c r="L1041191" s="19"/>
      <c r="M1041191" s="19"/>
      <c r="N1041191" s="19"/>
    </row>
    <row r="1041192" spans="1:14" s="83" customFormat="1" ht="12.75">
      <c r="A1041192" s="19"/>
      <c r="B1041192" s="19"/>
      <c r="C1041192" s="19"/>
      <c r="D1041192" s="19"/>
      <c r="E1041192" s="19"/>
      <c r="F1041192" s="19"/>
      <c r="G1041192" s="19"/>
      <c r="H1041192" s="19"/>
      <c r="I1041192" s="19"/>
      <c r="J1041192" s="19"/>
      <c r="K1041192" s="19"/>
      <c r="L1041192" s="19"/>
      <c r="M1041192" s="19"/>
      <c r="N1041192" s="19"/>
    </row>
    <row r="1041193" spans="1:14" s="83" customFormat="1" ht="12.75">
      <c r="A1041193" s="19"/>
      <c r="B1041193" s="19"/>
      <c r="C1041193" s="19"/>
      <c r="D1041193" s="19"/>
      <c r="E1041193" s="19"/>
      <c r="F1041193" s="19"/>
      <c r="G1041193" s="19"/>
      <c r="H1041193" s="19"/>
      <c r="I1041193" s="19"/>
      <c r="J1041193" s="19"/>
      <c r="K1041193" s="19"/>
      <c r="L1041193" s="19"/>
      <c r="M1041193" s="19"/>
      <c r="N1041193" s="19"/>
    </row>
    <row r="1041194" spans="1:14" s="83" customFormat="1" ht="12.75">
      <c r="A1041194" s="19"/>
      <c r="B1041194" s="19"/>
      <c r="C1041194" s="19"/>
      <c r="D1041194" s="19"/>
      <c r="E1041194" s="19"/>
      <c r="F1041194" s="19"/>
      <c r="G1041194" s="19"/>
      <c r="H1041194" s="19"/>
      <c r="I1041194" s="19"/>
      <c r="J1041194" s="19"/>
      <c r="K1041194" s="19"/>
      <c r="L1041194" s="19"/>
      <c r="M1041194" s="19"/>
      <c r="N1041194" s="19"/>
    </row>
    <row r="1041195" spans="1:14" s="83" customFormat="1" ht="12.75">
      <c r="A1041195" s="19"/>
      <c r="B1041195" s="19"/>
      <c r="C1041195" s="19"/>
      <c r="D1041195" s="19"/>
      <c r="E1041195" s="19"/>
      <c r="F1041195" s="19"/>
      <c r="G1041195" s="19"/>
      <c r="H1041195" s="19"/>
      <c r="I1041195" s="19"/>
      <c r="J1041195" s="19"/>
      <c r="K1041195" s="19"/>
      <c r="L1041195" s="19"/>
      <c r="M1041195" s="19"/>
      <c r="N1041195" s="19"/>
    </row>
    <row r="1041196" spans="1:14" s="83" customFormat="1" ht="12.75">
      <c r="A1041196" s="19"/>
      <c r="B1041196" s="19"/>
      <c r="C1041196" s="19"/>
      <c r="D1041196" s="19"/>
      <c r="E1041196" s="19"/>
      <c r="F1041196" s="19"/>
      <c r="G1041196" s="19"/>
      <c r="H1041196" s="19"/>
      <c r="I1041196" s="19"/>
      <c r="J1041196" s="19"/>
      <c r="K1041196" s="19"/>
      <c r="L1041196" s="19"/>
      <c r="M1041196" s="19"/>
      <c r="N1041196" s="19"/>
    </row>
    <row r="1041197" spans="1:14" s="83" customFormat="1" ht="12.75">
      <c r="A1041197" s="19"/>
      <c r="B1041197" s="19"/>
      <c r="C1041197" s="19"/>
      <c r="D1041197" s="19"/>
      <c r="E1041197" s="19"/>
      <c r="F1041197" s="19"/>
      <c r="G1041197" s="19"/>
      <c r="H1041197" s="19"/>
      <c r="I1041197" s="19"/>
      <c r="J1041197" s="19"/>
      <c r="K1041197" s="19"/>
      <c r="L1041197" s="19"/>
      <c r="M1041197" s="19"/>
      <c r="N1041197" s="19"/>
    </row>
    <row r="1041198" spans="1:14" s="83" customFormat="1" ht="12.75">
      <c r="A1041198" s="19"/>
      <c r="B1041198" s="19"/>
      <c r="C1041198" s="19"/>
      <c r="D1041198" s="19"/>
      <c r="E1041198" s="19"/>
      <c r="F1041198" s="19"/>
      <c r="G1041198" s="19"/>
      <c r="H1041198" s="19"/>
      <c r="I1041198" s="19"/>
      <c r="J1041198" s="19"/>
      <c r="K1041198" s="19"/>
      <c r="L1041198" s="19"/>
      <c r="M1041198" s="19"/>
      <c r="N1041198" s="19"/>
    </row>
    <row r="1041199" spans="1:14" s="83" customFormat="1" ht="12.75">
      <c r="A1041199" s="19"/>
      <c r="B1041199" s="19"/>
      <c r="C1041199" s="19"/>
      <c r="D1041199" s="19"/>
      <c r="E1041199" s="19"/>
      <c r="F1041199" s="19"/>
      <c r="G1041199" s="19"/>
      <c r="H1041199" s="19"/>
      <c r="I1041199" s="19"/>
      <c r="J1041199" s="19"/>
      <c r="K1041199" s="19"/>
      <c r="L1041199" s="19"/>
      <c r="M1041199" s="19"/>
      <c r="N1041199" s="19"/>
    </row>
    <row r="1041200" spans="1:14" s="83" customFormat="1" ht="12.75">
      <c r="A1041200" s="19"/>
      <c r="B1041200" s="19"/>
      <c r="C1041200" s="19"/>
      <c r="D1041200" s="19"/>
      <c r="E1041200" s="19"/>
      <c r="F1041200" s="19"/>
      <c r="G1041200" s="19"/>
      <c r="H1041200" s="19"/>
      <c r="I1041200" s="19"/>
      <c r="J1041200" s="19"/>
      <c r="K1041200" s="19"/>
      <c r="L1041200" s="19"/>
      <c r="M1041200" s="19"/>
      <c r="N1041200" s="19"/>
    </row>
    <row r="1041201" spans="1:14" s="83" customFormat="1" ht="12.75">
      <c r="A1041201" s="19"/>
      <c r="B1041201" s="19"/>
      <c r="C1041201" s="19"/>
      <c r="D1041201" s="19"/>
      <c r="E1041201" s="19"/>
      <c r="F1041201" s="19"/>
      <c r="G1041201" s="19"/>
      <c r="H1041201" s="19"/>
      <c r="I1041201" s="19"/>
      <c r="J1041201" s="19"/>
      <c r="K1041201" s="19"/>
      <c r="L1041201" s="19"/>
      <c r="M1041201" s="19"/>
      <c r="N1041201" s="19"/>
    </row>
    <row r="1041202" spans="1:14" s="83" customFormat="1" ht="12.75">
      <c r="A1041202" s="19"/>
      <c r="B1041202" s="19"/>
      <c r="C1041202" s="19"/>
      <c r="D1041202" s="19"/>
      <c r="E1041202" s="19"/>
      <c r="F1041202" s="19"/>
      <c r="G1041202" s="19"/>
      <c r="H1041202" s="19"/>
      <c r="I1041202" s="19"/>
      <c r="J1041202" s="19"/>
      <c r="K1041202" s="19"/>
      <c r="L1041202" s="19"/>
      <c r="M1041202" s="19"/>
      <c r="N1041202" s="19"/>
    </row>
    <row r="1041203" spans="1:14" s="83" customFormat="1" ht="12.75">
      <c r="A1041203" s="19"/>
      <c r="B1041203" s="19"/>
      <c r="C1041203" s="19"/>
      <c r="D1041203" s="19"/>
      <c r="E1041203" s="19"/>
      <c r="F1041203" s="19"/>
      <c r="G1041203" s="19"/>
      <c r="H1041203" s="19"/>
      <c r="I1041203" s="19"/>
      <c r="J1041203" s="19"/>
      <c r="K1041203" s="19"/>
      <c r="L1041203" s="19"/>
      <c r="M1041203" s="19"/>
      <c r="N1041203" s="19"/>
    </row>
    <row r="1041204" spans="1:14" s="83" customFormat="1" ht="12.75">
      <c r="A1041204" s="19"/>
      <c r="B1041204" s="19"/>
      <c r="C1041204" s="19"/>
      <c r="D1041204" s="19"/>
      <c r="E1041204" s="19"/>
      <c r="F1041204" s="19"/>
      <c r="G1041204" s="19"/>
      <c r="H1041204" s="19"/>
      <c r="I1041204" s="19"/>
      <c r="J1041204" s="19"/>
      <c r="K1041204" s="19"/>
      <c r="L1041204" s="19"/>
      <c r="M1041204" s="19"/>
      <c r="N1041204" s="19"/>
    </row>
    <row r="1041205" spans="1:14" s="83" customFormat="1" ht="12.75">
      <c r="A1041205" s="19"/>
      <c r="B1041205" s="19"/>
      <c r="C1041205" s="19"/>
      <c r="D1041205" s="19"/>
      <c r="E1041205" s="19"/>
      <c r="F1041205" s="19"/>
      <c r="G1041205" s="19"/>
      <c r="H1041205" s="19"/>
      <c r="I1041205" s="19"/>
      <c r="J1041205" s="19"/>
      <c r="K1041205" s="19"/>
      <c r="L1041205" s="19"/>
      <c r="M1041205" s="19"/>
      <c r="N1041205" s="19"/>
    </row>
    <row r="1041206" spans="1:14" s="83" customFormat="1" ht="12.75">
      <c r="A1041206" s="19"/>
      <c r="B1041206" s="19"/>
      <c r="C1041206" s="19"/>
      <c r="D1041206" s="19"/>
      <c r="E1041206" s="19"/>
      <c r="F1041206" s="19"/>
      <c r="G1041206" s="19"/>
      <c r="H1041206" s="19"/>
      <c r="I1041206" s="19"/>
      <c r="J1041206" s="19"/>
      <c r="K1041206" s="19"/>
      <c r="L1041206" s="19"/>
      <c r="M1041206" s="19"/>
      <c r="N1041206" s="19"/>
    </row>
    <row r="1041207" spans="1:14" s="83" customFormat="1" ht="12.75">
      <c r="A1041207" s="19"/>
      <c r="B1041207" s="19"/>
      <c r="C1041207" s="19"/>
      <c r="D1041207" s="19"/>
      <c r="E1041207" s="19"/>
      <c r="F1041207" s="19"/>
      <c r="G1041207" s="19"/>
      <c r="H1041207" s="19"/>
      <c r="I1041207" s="19"/>
      <c r="J1041207" s="19"/>
      <c r="K1041207" s="19"/>
      <c r="L1041207" s="19"/>
      <c r="M1041207" s="19"/>
      <c r="N1041207" s="19"/>
    </row>
    <row r="1041208" spans="1:14" s="83" customFormat="1" ht="12.75">
      <c r="A1041208" s="19"/>
      <c r="B1041208" s="19"/>
      <c r="C1041208" s="19"/>
      <c r="D1041208" s="19"/>
      <c r="E1041208" s="19"/>
      <c r="F1041208" s="19"/>
      <c r="G1041208" s="19"/>
      <c r="H1041208" s="19"/>
      <c r="I1041208" s="19"/>
      <c r="J1041208" s="19"/>
      <c r="K1041208" s="19"/>
      <c r="L1041208" s="19"/>
      <c r="M1041208" s="19"/>
      <c r="N1041208" s="19"/>
    </row>
    <row r="1041209" spans="1:14" s="83" customFormat="1" ht="12.75">
      <c r="A1041209" s="19"/>
      <c r="B1041209" s="19"/>
      <c r="C1041209" s="19"/>
      <c r="D1041209" s="19"/>
      <c r="E1041209" s="19"/>
      <c r="F1041209" s="19"/>
      <c r="G1041209" s="19"/>
      <c r="H1041209" s="19"/>
      <c r="I1041209" s="19"/>
      <c r="J1041209" s="19"/>
      <c r="K1041209" s="19"/>
      <c r="L1041209" s="19"/>
      <c r="M1041209" s="19"/>
      <c r="N1041209" s="19"/>
    </row>
    <row r="1041210" spans="1:14" s="83" customFormat="1" ht="12.75">
      <c r="A1041210" s="19"/>
      <c r="B1041210" s="19"/>
      <c r="C1041210" s="19"/>
      <c r="D1041210" s="19"/>
      <c r="E1041210" s="19"/>
      <c r="F1041210" s="19"/>
      <c r="G1041210" s="19"/>
      <c r="H1041210" s="19"/>
      <c r="I1041210" s="19"/>
      <c r="J1041210" s="19"/>
      <c r="K1041210" s="19"/>
      <c r="L1041210" s="19"/>
      <c r="M1041210" s="19"/>
      <c r="N1041210" s="19"/>
    </row>
    <row r="1041211" spans="1:14" s="83" customFormat="1" ht="12.75">
      <c r="A1041211" s="19"/>
      <c r="B1041211" s="19"/>
      <c r="C1041211" s="19"/>
      <c r="D1041211" s="19"/>
      <c r="E1041211" s="19"/>
      <c r="F1041211" s="19"/>
      <c r="G1041211" s="19"/>
      <c r="H1041211" s="19"/>
      <c r="I1041211" s="19"/>
      <c r="J1041211" s="19"/>
      <c r="K1041211" s="19"/>
      <c r="L1041211" s="19"/>
      <c r="M1041211" s="19"/>
      <c r="N1041211" s="19"/>
    </row>
    <row r="1041212" spans="1:14" s="83" customFormat="1" ht="12.75">
      <c r="A1041212" s="19"/>
      <c r="B1041212" s="19"/>
      <c r="C1041212" s="19"/>
      <c r="D1041212" s="19"/>
      <c r="E1041212" s="19"/>
      <c r="F1041212" s="19"/>
      <c r="G1041212" s="19"/>
      <c r="H1041212" s="19"/>
      <c r="I1041212" s="19"/>
      <c r="J1041212" s="19"/>
      <c r="K1041212" s="19"/>
      <c r="L1041212" s="19"/>
      <c r="M1041212" s="19"/>
      <c r="N1041212" s="19"/>
    </row>
    <row r="1041213" spans="1:14" s="83" customFormat="1" ht="12.75">
      <c r="A1041213" s="19"/>
      <c r="B1041213" s="19"/>
      <c r="C1041213" s="19"/>
      <c r="D1041213" s="19"/>
      <c r="E1041213" s="19"/>
      <c r="F1041213" s="19"/>
      <c r="G1041213" s="19"/>
      <c r="H1041213" s="19"/>
      <c r="I1041213" s="19"/>
      <c r="J1041213" s="19"/>
      <c r="K1041213" s="19"/>
      <c r="L1041213" s="19"/>
      <c r="M1041213" s="19"/>
      <c r="N1041213" s="19"/>
    </row>
    <row r="1041214" spans="1:14" s="83" customFormat="1" ht="12.75">
      <c r="A1041214" s="19"/>
      <c r="B1041214" s="19"/>
      <c r="C1041214" s="19"/>
      <c r="D1041214" s="19"/>
      <c r="E1041214" s="19"/>
      <c r="F1041214" s="19"/>
      <c r="G1041214" s="19"/>
      <c r="H1041214" s="19"/>
      <c r="I1041214" s="19"/>
      <c r="J1041214" s="19"/>
      <c r="K1041214" s="19"/>
      <c r="L1041214" s="19"/>
      <c r="M1041214" s="19"/>
      <c r="N1041214" s="19"/>
    </row>
    <row r="1041215" spans="1:14" s="83" customFormat="1" ht="12.75">
      <c r="A1041215" s="19"/>
      <c r="B1041215" s="19"/>
      <c r="C1041215" s="19"/>
      <c r="D1041215" s="19"/>
      <c r="E1041215" s="19"/>
      <c r="F1041215" s="19"/>
      <c r="G1041215" s="19"/>
      <c r="H1041215" s="19"/>
      <c r="I1041215" s="19"/>
      <c r="J1041215" s="19"/>
      <c r="K1041215" s="19"/>
      <c r="L1041215" s="19"/>
      <c r="M1041215" s="19"/>
      <c r="N1041215" s="19"/>
    </row>
    <row r="1041216" spans="1:14" s="83" customFormat="1" ht="12.75">
      <c r="A1041216" s="19"/>
      <c r="B1041216" s="19"/>
      <c r="C1041216" s="19"/>
      <c r="D1041216" s="19"/>
      <c r="E1041216" s="19"/>
      <c r="F1041216" s="19"/>
      <c r="G1041216" s="19"/>
      <c r="H1041216" s="19"/>
      <c r="I1041216" s="19"/>
      <c r="J1041216" s="19"/>
      <c r="K1041216" s="19"/>
      <c r="L1041216" s="19"/>
      <c r="M1041216" s="19"/>
      <c r="N1041216" s="19"/>
    </row>
    <row r="1041217" spans="1:14" s="83" customFormat="1" ht="12.75">
      <c r="A1041217" s="19"/>
      <c r="B1041217" s="19"/>
      <c r="C1041217" s="19"/>
      <c r="D1041217" s="19"/>
      <c r="E1041217" s="19"/>
      <c r="F1041217" s="19"/>
      <c r="G1041217" s="19"/>
      <c r="H1041217" s="19"/>
      <c r="I1041217" s="19"/>
      <c r="J1041217" s="19"/>
      <c r="K1041217" s="19"/>
      <c r="L1041217" s="19"/>
      <c r="M1041217" s="19"/>
      <c r="N1041217" s="19"/>
    </row>
    <row r="1041218" spans="1:14" s="83" customFormat="1" ht="12.75">
      <c r="A1041218" s="19"/>
      <c r="B1041218" s="19"/>
      <c r="C1041218" s="19"/>
      <c r="D1041218" s="19"/>
      <c r="E1041218" s="19"/>
      <c r="F1041218" s="19"/>
      <c r="G1041218" s="19"/>
      <c r="H1041218" s="19"/>
      <c r="I1041218" s="19"/>
      <c r="J1041218" s="19"/>
      <c r="K1041218" s="19"/>
      <c r="L1041218" s="19"/>
      <c r="M1041218" s="19"/>
      <c r="N1041218" s="19"/>
    </row>
    <row r="1041219" spans="1:14" s="83" customFormat="1" ht="12.75">
      <c r="A1041219" s="19"/>
      <c r="B1041219" s="19"/>
      <c r="C1041219" s="19"/>
      <c r="D1041219" s="19"/>
      <c r="E1041219" s="19"/>
      <c r="F1041219" s="19"/>
      <c r="G1041219" s="19"/>
      <c r="H1041219" s="19"/>
      <c r="I1041219" s="19"/>
      <c r="J1041219" s="19"/>
      <c r="K1041219" s="19"/>
      <c r="L1041219" s="19"/>
      <c r="M1041219" s="19"/>
      <c r="N1041219" s="19"/>
    </row>
    <row r="1041220" spans="1:14" s="83" customFormat="1" ht="12.75">
      <c r="A1041220" s="19"/>
      <c r="B1041220" s="19"/>
      <c r="C1041220" s="19"/>
      <c r="D1041220" s="19"/>
      <c r="E1041220" s="19"/>
      <c r="F1041220" s="19"/>
      <c r="G1041220" s="19"/>
      <c r="H1041220" s="19"/>
      <c r="I1041220" s="19"/>
      <c r="J1041220" s="19"/>
      <c r="K1041220" s="19"/>
      <c r="L1041220" s="19"/>
      <c r="M1041220" s="19"/>
      <c r="N1041220" s="19"/>
    </row>
    <row r="1041221" spans="1:14" s="83" customFormat="1" ht="12.75">
      <c r="A1041221" s="19"/>
      <c r="B1041221" s="19"/>
      <c r="C1041221" s="19"/>
      <c r="D1041221" s="19"/>
      <c r="E1041221" s="19"/>
      <c r="F1041221" s="19"/>
      <c r="G1041221" s="19"/>
      <c r="H1041221" s="19"/>
      <c r="I1041221" s="19"/>
      <c r="J1041221" s="19"/>
      <c r="K1041221" s="19"/>
      <c r="L1041221" s="19"/>
      <c r="M1041221" s="19"/>
      <c r="N1041221" s="19"/>
    </row>
    <row r="1041222" spans="1:14" s="83" customFormat="1" ht="12.75">
      <c r="A1041222" s="19"/>
      <c r="B1041222" s="19"/>
      <c r="C1041222" s="19"/>
      <c r="D1041222" s="19"/>
      <c r="E1041222" s="19"/>
      <c r="F1041222" s="19"/>
      <c r="G1041222" s="19"/>
      <c r="H1041222" s="19"/>
      <c r="I1041222" s="19"/>
      <c r="J1041222" s="19"/>
      <c r="K1041222" s="19"/>
      <c r="L1041222" s="19"/>
      <c r="M1041222" s="19"/>
      <c r="N1041222" s="19"/>
    </row>
    <row r="1041223" spans="1:14" s="83" customFormat="1" ht="12.75">
      <c r="A1041223" s="19"/>
      <c r="B1041223" s="19"/>
      <c r="C1041223" s="19"/>
      <c r="D1041223" s="19"/>
      <c r="E1041223" s="19"/>
      <c r="F1041223" s="19"/>
      <c r="G1041223" s="19"/>
      <c r="H1041223" s="19"/>
      <c r="I1041223" s="19"/>
      <c r="J1041223" s="19"/>
      <c r="K1041223" s="19"/>
      <c r="L1041223" s="19"/>
      <c r="M1041223" s="19"/>
      <c r="N1041223" s="19"/>
    </row>
    <row r="1041224" spans="1:14" s="83" customFormat="1" ht="12.75">
      <c r="A1041224" s="19"/>
      <c r="B1041224" s="19"/>
      <c r="C1041224" s="19"/>
      <c r="D1041224" s="19"/>
      <c r="E1041224" s="19"/>
      <c r="F1041224" s="19"/>
      <c r="G1041224" s="19"/>
      <c r="H1041224" s="19"/>
      <c r="I1041224" s="19"/>
      <c r="J1041224" s="19"/>
      <c r="K1041224" s="19"/>
      <c r="L1041224" s="19"/>
      <c r="M1041224" s="19"/>
      <c r="N1041224" s="19"/>
    </row>
    <row r="1041225" spans="1:14" s="83" customFormat="1" ht="12.75">
      <c r="A1041225" s="19"/>
      <c r="B1041225" s="19"/>
      <c r="C1041225" s="19"/>
      <c r="D1041225" s="19"/>
      <c r="E1041225" s="19"/>
      <c r="F1041225" s="19"/>
      <c r="G1041225" s="19"/>
      <c r="H1041225" s="19"/>
      <c r="I1041225" s="19"/>
      <c r="J1041225" s="19"/>
      <c r="K1041225" s="19"/>
      <c r="L1041225" s="19"/>
      <c r="M1041225" s="19"/>
      <c r="N1041225" s="19"/>
    </row>
    <row r="1041226" spans="1:14" s="83" customFormat="1" ht="12.75">
      <c r="A1041226" s="19"/>
      <c r="B1041226" s="19"/>
      <c r="C1041226" s="19"/>
      <c r="D1041226" s="19"/>
      <c r="E1041226" s="19"/>
      <c r="F1041226" s="19"/>
      <c r="G1041226" s="19"/>
      <c r="H1041226" s="19"/>
      <c r="I1041226" s="19"/>
      <c r="J1041226" s="19"/>
      <c r="K1041226" s="19"/>
      <c r="L1041226" s="19"/>
      <c r="M1041226" s="19"/>
      <c r="N1041226" s="19"/>
    </row>
    <row r="1041227" spans="1:14" s="83" customFormat="1" ht="12.75">
      <c r="A1041227" s="19"/>
      <c r="B1041227" s="19"/>
      <c r="C1041227" s="19"/>
      <c r="D1041227" s="19"/>
      <c r="E1041227" s="19"/>
      <c r="F1041227" s="19"/>
      <c r="G1041227" s="19"/>
      <c r="H1041227" s="19"/>
      <c r="I1041227" s="19"/>
      <c r="J1041227" s="19"/>
      <c r="K1041227" s="19"/>
      <c r="L1041227" s="19"/>
      <c r="M1041227" s="19"/>
      <c r="N1041227" s="19"/>
    </row>
    <row r="1041228" spans="1:14" s="83" customFormat="1" ht="12.75">
      <c r="A1041228" s="19"/>
      <c r="B1041228" s="19"/>
      <c r="C1041228" s="19"/>
      <c r="D1041228" s="19"/>
      <c r="E1041228" s="19"/>
      <c r="F1041228" s="19"/>
      <c r="G1041228" s="19"/>
      <c r="H1041228" s="19"/>
      <c r="I1041228" s="19"/>
      <c r="J1041228" s="19"/>
      <c r="K1041228" s="19"/>
      <c r="L1041228" s="19"/>
      <c r="M1041228" s="19"/>
      <c r="N1041228" s="19"/>
    </row>
    <row r="1041229" spans="1:14" s="83" customFormat="1" ht="12.75">
      <c r="A1041229" s="19"/>
      <c r="B1041229" s="19"/>
      <c r="C1041229" s="19"/>
      <c r="D1041229" s="19"/>
      <c r="E1041229" s="19"/>
      <c r="F1041229" s="19"/>
      <c r="G1041229" s="19"/>
      <c r="H1041229" s="19"/>
      <c r="I1041229" s="19"/>
      <c r="J1041229" s="19"/>
      <c r="K1041229" s="19"/>
      <c r="L1041229" s="19"/>
      <c r="M1041229" s="19"/>
      <c r="N1041229" s="19"/>
    </row>
    <row r="1041230" spans="1:14" s="83" customFormat="1" ht="12.75">
      <c r="A1041230" s="19"/>
      <c r="B1041230" s="19"/>
      <c r="C1041230" s="19"/>
      <c r="D1041230" s="19"/>
      <c r="E1041230" s="19"/>
      <c r="F1041230" s="19"/>
      <c r="G1041230" s="19"/>
      <c r="H1041230" s="19"/>
      <c r="I1041230" s="19"/>
      <c r="J1041230" s="19"/>
      <c r="K1041230" s="19"/>
      <c r="L1041230" s="19"/>
      <c r="M1041230" s="19"/>
      <c r="N1041230" s="19"/>
    </row>
    <row r="1041231" spans="1:14" s="83" customFormat="1" ht="12.75">
      <c r="A1041231" s="19"/>
      <c r="B1041231" s="19"/>
      <c r="C1041231" s="19"/>
      <c r="D1041231" s="19"/>
      <c r="E1041231" s="19"/>
      <c r="F1041231" s="19"/>
      <c r="G1041231" s="19"/>
      <c r="H1041231" s="19"/>
      <c r="I1041231" s="19"/>
      <c r="J1041231" s="19"/>
      <c r="K1041231" s="19"/>
      <c r="L1041231" s="19"/>
      <c r="M1041231" s="19"/>
      <c r="N1041231" s="19"/>
    </row>
    <row r="1041232" spans="1:14" s="83" customFormat="1" ht="12.75">
      <c r="A1041232" s="19"/>
      <c r="B1041232" s="19"/>
      <c r="C1041232" s="19"/>
      <c r="D1041232" s="19"/>
      <c r="E1041232" s="19"/>
      <c r="F1041232" s="19"/>
      <c r="G1041232" s="19"/>
      <c r="H1041232" s="19"/>
      <c r="I1041232" s="19"/>
      <c r="J1041232" s="19"/>
      <c r="K1041232" s="19"/>
      <c r="L1041232" s="19"/>
      <c r="M1041232" s="19"/>
      <c r="N1041232" s="19"/>
    </row>
    <row r="1041233" spans="1:14" s="83" customFormat="1" ht="12.75">
      <c r="A1041233" s="19"/>
      <c r="B1041233" s="19"/>
      <c r="C1041233" s="19"/>
      <c r="D1041233" s="19"/>
      <c r="E1041233" s="19"/>
      <c r="F1041233" s="19"/>
      <c r="G1041233" s="19"/>
      <c r="H1041233" s="19"/>
      <c r="I1041233" s="19"/>
      <c r="J1041233" s="19"/>
      <c r="K1041233" s="19"/>
      <c r="L1041233" s="19"/>
      <c r="M1041233" s="19"/>
      <c r="N1041233" s="19"/>
    </row>
    <row r="1041234" spans="1:14" s="83" customFormat="1" ht="12.75">
      <c r="A1041234" s="19"/>
      <c r="B1041234" s="19"/>
      <c r="C1041234" s="19"/>
      <c r="D1041234" s="19"/>
      <c r="E1041234" s="19"/>
      <c r="F1041234" s="19"/>
      <c r="G1041234" s="19"/>
      <c r="H1041234" s="19"/>
      <c r="I1041234" s="19"/>
      <c r="J1041234" s="19"/>
      <c r="K1041234" s="19"/>
      <c r="L1041234" s="19"/>
      <c r="M1041234" s="19"/>
      <c r="N1041234" s="19"/>
    </row>
    <row r="1041235" spans="1:14" s="83" customFormat="1" ht="12.75">
      <c r="A1041235" s="19"/>
      <c r="B1041235" s="19"/>
      <c r="C1041235" s="19"/>
      <c r="D1041235" s="19"/>
      <c r="E1041235" s="19"/>
      <c r="F1041235" s="19"/>
      <c r="G1041235" s="19"/>
      <c r="H1041235" s="19"/>
      <c r="I1041235" s="19"/>
      <c r="J1041235" s="19"/>
      <c r="K1041235" s="19"/>
      <c r="L1041235" s="19"/>
      <c r="M1041235" s="19"/>
      <c r="N1041235" s="19"/>
    </row>
    <row r="1041236" spans="1:14" s="83" customFormat="1" ht="12.75">
      <c r="A1041236" s="19"/>
      <c r="B1041236" s="19"/>
      <c r="C1041236" s="19"/>
      <c r="D1041236" s="19"/>
      <c r="E1041236" s="19"/>
      <c r="F1041236" s="19"/>
      <c r="G1041236" s="19"/>
      <c r="H1041236" s="19"/>
      <c r="I1041236" s="19"/>
      <c r="J1041236" s="19"/>
      <c r="K1041236" s="19"/>
      <c r="L1041236" s="19"/>
      <c r="M1041236" s="19"/>
      <c r="N1041236" s="19"/>
    </row>
    <row r="1041237" spans="1:14" s="83" customFormat="1" ht="12.75">
      <c r="A1041237" s="19"/>
      <c r="B1041237" s="19"/>
      <c r="C1041237" s="19"/>
      <c r="D1041237" s="19"/>
      <c r="E1041237" s="19"/>
      <c r="F1041237" s="19"/>
      <c r="G1041237" s="19"/>
      <c r="H1041237" s="19"/>
      <c r="I1041237" s="19"/>
      <c r="J1041237" s="19"/>
      <c r="K1041237" s="19"/>
      <c r="L1041237" s="19"/>
      <c r="M1041237" s="19"/>
      <c r="N1041237" s="19"/>
    </row>
    <row r="1041238" spans="1:14" s="83" customFormat="1" ht="12.75">
      <c r="A1041238" s="19"/>
      <c r="B1041238" s="19"/>
      <c r="C1041238" s="19"/>
      <c r="D1041238" s="19"/>
      <c r="E1041238" s="19"/>
      <c r="F1041238" s="19"/>
      <c r="G1041238" s="19"/>
      <c r="H1041238" s="19"/>
      <c r="I1041238" s="19"/>
      <c r="J1041238" s="19"/>
      <c r="K1041238" s="19"/>
      <c r="L1041238" s="19"/>
      <c r="M1041238" s="19"/>
      <c r="N1041238" s="19"/>
    </row>
    <row r="1041239" spans="1:14" s="83" customFormat="1" ht="12.75">
      <c r="A1041239" s="19"/>
      <c r="B1041239" s="19"/>
      <c r="C1041239" s="19"/>
      <c r="D1041239" s="19"/>
      <c r="E1041239" s="19"/>
      <c r="F1041239" s="19"/>
      <c r="G1041239" s="19"/>
      <c r="H1041239" s="19"/>
      <c r="I1041239" s="19"/>
      <c r="J1041239" s="19"/>
      <c r="K1041239" s="19"/>
      <c r="L1041239" s="19"/>
      <c r="M1041239" s="19"/>
      <c r="N1041239" s="19"/>
    </row>
    <row r="1041240" spans="1:14" s="83" customFormat="1" ht="12.75">
      <c r="A1041240" s="19"/>
      <c r="B1041240" s="19"/>
      <c r="C1041240" s="19"/>
      <c r="D1041240" s="19"/>
      <c r="E1041240" s="19"/>
      <c r="F1041240" s="19"/>
      <c r="G1041240" s="19"/>
      <c r="H1041240" s="19"/>
      <c r="I1041240" s="19"/>
      <c r="J1041240" s="19"/>
      <c r="K1041240" s="19"/>
      <c r="L1041240" s="19"/>
      <c r="M1041240" s="19"/>
      <c r="N1041240" s="19"/>
    </row>
    <row r="1041241" spans="1:14" s="83" customFormat="1" ht="12.75">
      <c r="A1041241" s="19"/>
      <c r="B1041241" s="19"/>
      <c r="C1041241" s="19"/>
      <c r="D1041241" s="19"/>
      <c r="E1041241" s="19"/>
      <c r="F1041241" s="19"/>
      <c r="G1041241" s="19"/>
      <c r="H1041241" s="19"/>
      <c r="I1041241" s="19"/>
      <c r="J1041241" s="19"/>
      <c r="K1041241" s="19"/>
      <c r="L1041241" s="19"/>
      <c r="M1041241" s="19"/>
      <c r="N1041241" s="19"/>
    </row>
    <row r="1041242" spans="1:14" s="83" customFormat="1" ht="12.75">
      <c r="A1041242" s="19"/>
      <c r="B1041242" s="19"/>
      <c r="C1041242" s="19"/>
      <c r="D1041242" s="19"/>
      <c r="E1041242" s="19"/>
      <c r="F1041242" s="19"/>
      <c r="G1041242" s="19"/>
      <c r="H1041242" s="19"/>
      <c r="I1041242" s="19"/>
      <c r="J1041242" s="19"/>
      <c r="K1041242" s="19"/>
      <c r="L1041242" s="19"/>
      <c r="M1041242" s="19"/>
      <c r="N1041242" s="19"/>
    </row>
    <row r="1041243" spans="1:14" s="83" customFormat="1" ht="12.75">
      <c r="A1041243" s="19"/>
      <c r="B1041243" s="19"/>
      <c r="C1041243" s="19"/>
      <c r="D1041243" s="19"/>
      <c r="E1041243" s="19"/>
      <c r="F1041243" s="19"/>
      <c r="G1041243" s="19"/>
      <c r="H1041243" s="19"/>
      <c r="I1041243" s="19"/>
      <c r="J1041243" s="19"/>
      <c r="K1041243" s="19"/>
      <c r="L1041243" s="19"/>
      <c r="M1041243" s="19"/>
      <c r="N1041243" s="19"/>
    </row>
    <row r="1041244" spans="1:14" s="83" customFormat="1" ht="12.75">
      <c r="A1041244" s="19"/>
      <c r="B1041244" s="19"/>
      <c r="C1041244" s="19"/>
      <c r="D1041244" s="19"/>
      <c r="E1041244" s="19"/>
      <c r="F1041244" s="19"/>
      <c r="G1041244" s="19"/>
      <c r="H1041244" s="19"/>
      <c r="I1041244" s="19"/>
      <c r="J1041244" s="19"/>
      <c r="K1041244" s="19"/>
      <c r="L1041244" s="19"/>
      <c r="M1041244" s="19"/>
      <c r="N1041244" s="19"/>
    </row>
    <row r="1041245" spans="1:14" s="83" customFormat="1" ht="12.75">
      <c r="A1041245" s="19"/>
      <c r="B1041245" s="19"/>
      <c r="C1041245" s="19"/>
      <c r="D1041245" s="19"/>
      <c r="E1041245" s="19"/>
      <c r="F1041245" s="19"/>
      <c r="G1041245" s="19"/>
      <c r="H1041245" s="19"/>
      <c r="I1041245" s="19"/>
      <c r="J1041245" s="19"/>
      <c r="K1041245" s="19"/>
      <c r="L1041245" s="19"/>
      <c r="M1041245" s="19"/>
      <c r="N1041245" s="19"/>
    </row>
    <row r="1041246" spans="1:14" s="83" customFormat="1" ht="12.75">
      <c r="A1041246" s="19"/>
      <c r="B1041246" s="19"/>
      <c r="C1041246" s="19"/>
      <c r="D1041246" s="19"/>
      <c r="E1041246" s="19"/>
      <c r="F1041246" s="19"/>
      <c r="G1041246" s="19"/>
      <c r="H1041246" s="19"/>
      <c r="I1041246" s="19"/>
      <c r="J1041246" s="19"/>
      <c r="K1041246" s="19"/>
      <c r="L1041246" s="19"/>
      <c r="M1041246" s="19"/>
      <c r="N1041246" s="19"/>
    </row>
    <row r="1041247" spans="1:14" s="83" customFormat="1" ht="12.75">
      <c r="A1041247" s="19"/>
      <c r="B1041247" s="19"/>
      <c r="C1041247" s="19"/>
      <c r="D1041247" s="19"/>
      <c r="E1041247" s="19"/>
      <c r="F1041247" s="19"/>
      <c r="G1041247" s="19"/>
      <c r="H1041247" s="19"/>
      <c r="I1041247" s="19"/>
      <c r="J1041247" s="19"/>
      <c r="K1041247" s="19"/>
      <c r="L1041247" s="19"/>
      <c r="M1041247" s="19"/>
      <c r="N1041247" s="19"/>
    </row>
    <row r="1041248" spans="1:14" s="83" customFormat="1" ht="12.75">
      <c r="A1041248" s="19"/>
      <c r="B1041248" s="19"/>
      <c r="C1041248" s="19"/>
      <c r="D1041248" s="19"/>
      <c r="E1041248" s="19"/>
      <c r="F1041248" s="19"/>
      <c r="G1041248" s="19"/>
      <c r="H1041248" s="19"/>
      <c r="I1041248" s="19"/>
      <c r="J1041248" s="19"/>
      <c r="K1041248" s="19"/>
      <c r="L1041248" s="19"/>
      <c r="M1041248" s="19"/>
      <c r="N1041248" s="19"/>
    </row>
    <row r="1041249" spans="1:14" s="83" customFormat="1" ht="12.75">
      <c r="A1041249" s="19"/>
      <c r="B1041249" s="19"/>
      <c r="C1041249" s="19"/>
      <c r="D1041249" s="19"/>
      <c r="E1041249" s="19"/>
      <c r="F1041249" s="19"/>
      <c r="G1041249" s="19"/>
      <c r="H1041249" s="19"/>
      <c r="I1041249" s="19"/>
      <c r="J1041249" s="19"/>
      <c r="K1041249" s="19"/>
      <c r="L1041249" s="19"/>
      <c r="M1041249" s="19"/>
      <c r="N1041249" s="19"/>
    </row>
    <row r="1041250" spans="1:14" s="83" customFormat="1" ht="12.75">
      <c r="A1041250" s="19"/>
      <c r="B1041250" s="19"/>
      <c r="C1041250" s="19"/>
      <c r="D1041250" s="19"/>
      <c r="E1041250" s="19"/>
      <c r="F1041250" s="19"/>
      <c r="G1041250" s="19"/>
      <c r="H1041250" s="19"/>
      <c r="I1041250" s="19"/>
      <c r="J1041250" s="19"/>
      <c r="K1041250" s="19"/>
      <c r="L1041250" s="19"/>
      <c r="M1041250" s="19"/>
      <c r="N1041250" s="19"/>
    </row>
    <row r="1041251" spans="1:14" s="83" customFormat="1" ht="12.75">
      <c r="A1041251" s="19"/>
      <c r="B1041251" s="19"/>
      <c r="C1041251" s="19"/>
      <c r="D1041251" s="19"/>
      <c r="E1041251" s="19"/>
      <c r="F1041251" s="19"/>
      <c r="G1041251" s="19"/>
      <c r="H1041251" s="19"/>
      <c r="I1041251" s="19"/>
      <c r="J1041251" s="19"/>
      <c r="K1041251" s="19"/>
      <c r="L1041251" s="19"/>
      <c r="M1041251" s="19"/>
      <c r="N1041251" s="19"/>
    </row>
    <row r="1041252" spans="1:14" s="83" customFormat="1" ht="12.75">
      <c r="A1041252" s="19"/>
      <c r="B1041252" s="19"/>
      <c r="C1041252" s="19"/>
      <c r="D1041252" s="19"/>
      <c r="E1041252" s="19"/>
      <c r="F1041252" s="19"/>
      <c r="G1041252" s="19"/>
      <c r="H1041252" s="19"/>
      <c r="I1041252" s="19"/>
      <c r="J1041252" s="19"/>
      <c r="K1041252" s="19"/>
      <c r="L1041252" s="19"/>
      <c r="M1041252" s="19"/>
      <c r="N1041252" s="19"/>
    </row>
    <row r="1041253" spans="1:14" s="83" customFormat="1" ht="12.75">
      <c r="A1041253" s="19"/>
      <c r="B1041253" s="19"/>
      <c r="C1041253" s="19"/>
      <c r="D1041253" s="19"/>
      <c r="E1041253" s="19"/>
      <c r="F1041253" s="19"/>
      <c r="G1041253" s="19"/>
      <c r="H1041253" s="19"/>
      <c r="I1041253" s="19"/>
      <c r="J1041253" s="19"/>
      <c r="K1041253" s="19"/>
      <c r="L1041253" s="19"/>
      <c r="M1041253" s="19"/>
      <c r="N1041253" s="19"/>
    </row>
    <row r="1041254" spans="1:14" s="83" customFormat="1" ht="12.75">
      <c r="A1041254" s="19"/>
      <c r="B1041254" s="19"/>
      <c r="C1041254" s="19"/>
      <c r="D1041254" s="19"/>
      <c r="E1041254" s="19"/>
      <c r="F1041254" s="19"/>
      <c r="G1041254" s="19"/>
      <c r="H1041254" s="19"/>
      <c r="I1041254" s="19"/>
      <c r="J1041254" s="19"/>
      <c r="K1041254" s="19"/>
      <c r="L1041254" s="19"/>
      <c r="M1041254" s="19"/>
      <c r="N1041254" s="19"/>
    </row>
    <row r="1041255" spans="1:14" s="83" customFormat="1" ht="12.75">
      <c r="A1041255" s="19"/>
      <c r="B1041255" s="19"/>
      <c r="C1041255" s="19"/>
      <c r="D1041255" s="19"/>
      <c r="E1041255" s="19"/>
      <c r="F1041255" s="19"/>
      <c r="G1041255" s="19"/>
      <c r="H1041255" s="19"/>
      <c r="I1041255" s="19"/>
      <c r="J1041255" s="19"/>
      <c r="K1041255" s="19"/>
      <c r="L1041255" s="19"/>
      <c r="M1041255" s="19"/>
      <c r="N1041255" s="19"/>
    </row>
    <row r="1041256" spans="1:14" s="83" customFormat="1" ht="12.75">
      <c r="A1041256" s="19"/>
      <c r="B1041256" s="19"/>
      <c r="C1041256" s="19"/>
      <c r="D1041256" s="19"/>
      <c r="E1041256" s="19"/>
      <c r="F1041256" s="19"/>
      <c r="G1041256" s="19"/>
      <c r="H1041256" s="19"/>
      <c r="I1041256" s="19"/>
      <c r="J1041256" s="19"/>
      <c r="K1041256" s="19"/>
      <c r="L1041256" s="19"/>
      <c r="M1041256" s="19"/>
      <c r="N1041256" s="19"/>
    </row>
    <row r="1041257" spans="1:14" s="83" customFormat="1" ht="12.75">
      <c r="A1041257" s="19"/>
      <c r="B1041257" s="19"/>
      <c r="C1041257" s="19"/>
      <c r="D1041257" s="19"/>
      <c r="E1041257" s="19"/>
      <c r="F1041257" s="19"/>
      <c r="G1041257" s="19"/>
      <c r="H1041257" s="19"/>
      <c r="I1041257" s="19"/>
      <c r="J1041257" s="19"/>
      <c r="K1041257" s="19"/>
      <c r="L1041257" s="19"/>
      <c r="M1041257" s="19"/>
      <c r="N1041257" s="19"/>
    </row>
    <row r="1041258" spans="1:14" s="83" customFormat="1" ht="12.75">
      <c r="A1041258" s="19"/>
      <c r="B1041258" s="19"/>
      <c r="C1041258" s="19"/>
      <c r="D1041258" s="19"/>
      <c r="E1041258" s="19"/>
      <c r="F1041258" s="19"/>
      <c r="G1041258" s="19"/>
      <c r="H1041258" s="19"/>
      <c r="I1041258" s="19"/>
      <c r="J1041258" s="19"/>
      <c r="K1041258" s="19"/>
      <c r="L1041258" s="19"/>
      <c r="M1041258" s="19"/>
      <c r="N1041258" s="19"/>
    </row>
    <row r="1041259" spans="1:14" s="83" customFormat="1" ht="12.75">
      <c r="A1041259" s="19"/>
      <c r="B1041259" s="19"/>
      <c r="C1041259" s="19"/>
      <c r="D1041259" s="19"/>
      <c r="E1041259" s="19"/>
      <c r="F1041259" s="19"/>
      <c r="G1041259" s="19"/>
      <c r="H1041259" s="19"/>
      <c r="I1041259" s="19"/>
      <c r="J1041259" s="19"/>
      <c r="K1041259" s="19"/>
      <c r="L1041259" s="19"/>
      <c r="M1041259" s="19"/>
      <c r="N1041259" s="19"/>
    </row>
    <row r="1041260" spans="1:14" s="83" customFormat="1" ht="12.75">
      <c r="A1041260" s="19"/>
      <c r="B1041260" s="19"/>
      <c r="C1041260" s="19"/>
      <c r="D1041260" s="19"/>
      <c r="E1041260" s="19"/>
      <c r="F1041260" s="19"/>
      <c r="G1041260" s="19"/>
      <c r="H1041260" s="19"/>
      <c r="I1041260" s="19"/>
      <c r="J1041260" s="19"/>
      <c r="K1041260" s="19"/>
      <c r="L1041260" s="19"/>
      <c r="M1041260" s="19"/>
      <c r="N1041260" s="19"/>
    </row>
    <row r="1041261" spans="1:14" s="83" customFormat="1" ht="12.75">
      <c r="A1041261" s="19"/>
      <c r="B1041261" s="19"/>
      <c r="C1041261" s="19"/>
      <c r="D1041261" s="19"/>
      <c r="E1041261" s="19"/>
      <c r="F1041261" s="19"/>
      <c r="G1041261" s="19"/>
      <c r="H1041261" s="19"/>
      <c r="I1041261" s="19"/>
      <c r="J1041261" s="19"/>
      <c r="K1041261" s="19"/>
      <c r="L1041261" s="19"/>
      <c r="M1041261" s="19"/>
      <c r="N1041261" s="19"/>
    </row>
    <row r="1041262" spans="1:14" s="83" customFormat="1" ht="12.75">
      <c r="A1041262" s="19"/>
      <c r="B1041262" s="19"/>
      <c r="C1041262" s="19"/>
      <c r="D1041262" s="19"/>
      <c r="E1041262" s="19"/>
      <c r="F1041262" s="19"/>
      <c r="G1041262" s="19"/>
      <c r="H1041262" s="19"/>
      <c r="I1041262" s="19"/>
      <c r="J1041262" s="19"/>
      <c r="K1041262" s="19"/>
      <c r="L1041262" s="19"/>
      <c r="M1041262" s="19"/>
      <c r="N1041262" s="19"/>
    </row>
    <row r="1041263" spans="1:14" s="83" customFormat="1" ht="12.75">
      <c r="A1041263" s="19"/>
      <c r="B1041263" s="19"/>
      <c r="C1041263" s="19"/>
      <c r="D1041263" s="19"/>
      <c r="E1041263" s="19"/>
      <c r="F1041263" s="19"/>
      <c r="G1041263" s="19"/>
      <c r="H1041263" s="19"/>
      <c r="I1041263" s="19"/>
      <c r="J1041263" s="19"/>
      <c r="K1041263" s="19"/>
      <c r="L1041263" s="19"/>
      <c r="M1041263" s="19"/>
      <c r="N1041263" s="19"/>
    </row>
    <row r="1041264" spans="1:14" s="83" customFormat="1" ht="12.75">
      <c r="A1041264" s="19"/>
      <c r="B1041264" s="19"/>
      <c r="C1041264" s="19"/>
      <c r="D1041264" s="19"/>
      <c r="E1041264" s="19"/>
      <c r="F1041264" s="19"/>
      <c r="G1041264" s="19"/>
      <c r="H1041264" s="19"/>
      <c r="I1041264" s="19"/>
      <c r="J1041264" s="19"/>
      <c r="K1041264" s="19"/>
      <c r="L1041264" s="19"/>
      <c r="M1041264" s="19"/>
      <c r="N1041264" s="19"/>
    </row>
    <row r="1041265" spans="1:14" s="83" customFormat="1" ht="12.75">
      <c r="A1041265" s="19"/>
      <c r="B1041265" s="19"/>
      <c r="C1041265" s="19"/>
      <c r="D1041265" s="19"/>
      <c r="E1041265" s="19"/>
      <c r="F1041265" s="19"/>
      <c r="G1041265" s="19"/>
      <c r="H1041265" s="19"/>
      <c r="I1041265" s="19"/>
      <c r="J1041265" s="19"/>
      <c r="K1041265" s="19"/>
      <c r="L1041265" s="19"/>
      <c r="M1041265" s="19"/>
      <c r="N1041265" s="19"/>
    </row>
    <row r="1041266" spans="1:14" s="83" customFormat="1" ht="12.75">
      <c r="A1041266" s="19"/>
      <c r="B1041266" s="19"/>
      <c r="C1041266" s="19"/>
      <c r="D1041266" s="19"/>
      <c r="E1041266" s="19"/>
      <c r="F1041266" s="19"/>
      <c r="G1041266" s="19"/>
      <c r="H1041266" s="19"/>
      <c r="I1041266" s="19"/>
      <c r="J1041266" s="19"/>
      <c r="K1041266" s="19"/>
      <c r="L1041266" s="19"/>
      <c r="M1041266" s="19"/>
      <c r="N1041266" s="19"/>
    </row>
    <row r="1041267" spans="1:14" s="83" customFormat="1" ht="12.75">
      <c r="A1041267" s="19"/>
      <c r="B1041267" s="19"/>
      <c r="C1041267" s="19"/>
      <c r="D1041267" s="19"/>
      <c r="E1041267" s="19"/>
      <c r="F1041267" s="19"/>
      <c r="G1041267" s="19"/>
      <c r="H1041267" s="19"/>
      <c r="I1041267" s="19"/>
      <c r="J1041267" s="19"/>
      <c r="K1041267" s="19"/>
      <c r="L1041267" s="19"/>
      <c r="M1041267" s="19"/>
      <c r="N1041267" s="19"/>
    </row>
    <row r="1041268" spans="1:14" s="83" customFormat="1" ht="12.75">
      <c r="A1041268" s="19"/>
      <c r="B1041268" s="19"/>
      <c r="C1041268" s="19"/>
      <c r="D1041268" s="19"/>
      <c r="E1041268" s="19"/>
      <c r="F1041268" s="19"/>
      <c r="G1041268" s="19"/>
      <c r="H1041268" s="19"/>
      <c r="I1041268" s="19"/>
      <c r="J1041268" s="19"/>
      <c r="K1041268" s="19"/>
      <c r="L1041268" s="19"/>
      <c r="M1041268" s="19"/>
      <c r="N1041268" s="19"/>
    </row>
    <row r="1041269" spans="1:14" s="83" customFormat="1" ht="12.75">
      <c r="A1041269" s="19"/>
      <c r="B1041269" s="19"/>
      <c r="C1041269" s="19"/>
      <c r="D1041269" s="19"/>
      <c r="E1041269" s="19"/>
      <c r="F1041269" s="19"/>
      <c r="G1041269" s="19"/>
      <c r="H1041269" s="19"/>
      <c r="I1041269" s="19"/>
      <c r="J1041269" s="19"/>
      <c r="K1041269" s="19"/>
      <c r="L1041269" s="19"/>
      <c r="M1041269" s="19"/>
      <c r="N1041269" s="19"/>
    </row>
    <row r="1041270" spans="1:14" s="83" customFormat="1" ht="12.75">
      <c r="A1041270" s="19"/>
      <c r="B1041270" s="19"/>
      <c r="C1041270" s="19"/>
      <c r="D1041270" s="19"/>
      <c r="E1041270" s="19"/>
      <c r="F1041270" s="19"/>
      <c r="G1041270" s="19"/>
      <c r="H1041270" s="19"/>
      <c r="I1041270" s="19"/>
      <c r="J1041270" s="19"/>
      <c r="K1041270" s="19"/>
      <c r="L1041270" s="19"/>
      <c r="M1041270" s="19"/>
      <c r="N1041270" s="19"/>
    </row>
    <row r="1041271" spans="1:14" s="83" customFormat="1" ht="12.75">
      <c r="A1041271" s="19"/>
      <c r="B1041271" s="19"/>
      <c r="C1041271" s="19"/>
      <c r="D1041271" s="19"/>
      <c r="E1041271" s="19"/>
      <c r="F1041271" s="19"/>
      <c r="G1041271" s="19"/>
      <c r="H1041271" s="19"/>
      <c r="I1041271" s="19"/>
      <c r="J1041271" s="19"/>
      <c r="K1041271" s="19"/>
      <c r="L1041271" s="19"/>
      <c r="M1041271" s="19"/>
      <c r="N1041271" s="19"/>
    </row>
    <row r="1041272" spans="1:14" s="83" customFormat="1" ht="12.75">
      <c r="A1041272" s="19"/>
      <c r="B1041272" s="19"/>
      <c r="C1041272" s="19"/>
      <c r="D1041272" s="19"/>
      <c r="E1041272" s="19"/>
      <c r="F1041272" s="19"/>
      <c r="G1041272" s="19"/>
      <c r="H1041272" s="19"/>
      <c r="I1041272" s="19"/>
      <c r="J1041272" s="19"/>
      <c r="K1041272" s="19"/>
      <c r="L1041272" s="19"/>
      <c r="M1041272" s="19"/>
      <c r="N1041272" s="19"/>
    </row>
    <row r="1041273" spans="1:14" s="83" customFormat="1" ht="12.75">
      <c r="A1041273" s="19"/>
      <c r="B1041273" s="19"/>
      <c r="C1041273" s="19"/>
      <c r="D1041273" s="19"/>
      <c r="E1041273" s="19"/>
      <c r="F1041273" s="19"/>
      <c r="G1041273" s="19"/>
      <c r="H1041273" s="19"/>
      <c r="I1041273" s="19"/>
      <c r="J1041273" s="19"/>
      <c r="K1041273" s="19"/>
      <c r="L1041273" s="19"/>
      <c r="M1041273" s="19"/>
      <c r="N1041273" s="19"/>
    </row>
    <row r="1041274" spans="1:14" s="83" customFormat="1" ht="12.75">
      <c r="A1041274" s="19"/>
      <c r="B1041274" s="19"/>
      <c r="C1041274" s="19"/>
      <c r="D1041274" s="19"/>
      <c r="E1041274" s="19"/>
      <c r="F1041274" s="19"/>
      <c r="G1041274" s="19"/>
      <c r="H1041274" s="19"/>
      <c r="I1041274" s="19"/>
      <c r="J1041274" s="19"/>
      <c r="K1041274" s="19"/>
      <c r="L1041274" s="19"/>
      <c r="M1041274" s="19"/>
      <c r="N1041274" s="19"/>
    </row>
    <row r="1041275" spans="1:14" s="83" customFormat="1" ht="12.75">
      <c r="A1041275" s="19"/>
      <c r="B1041275" s="19"/>
      <c r="C1041275" s="19"/>
      <c r="D1041275" s="19"/>
      <c r="E1041275" s="19"/>
      <c r="F1041275" s="19"/>
      <c r="G1041275" s="19"/>
      <c r="H1041275" s="19"/>
      <c r="I1041275" s="19"/>
      <c r="J1041275" s="19"/>
      <c r="K1041275" s="19"/>
      <c r="L1041275" s="19"/>
      <c r="M1041275" s="19"/>
      <c r="N1041275" s="19"/>
    </row>
    <row r="1041276" spans="1:14" s="83" customFormat="1" ht="12.75">
      <c r="A1041276" s="19"/>
      <c r="B1041276" s="19"/>
      <c r="C1041276" s="19"/>
      <c r="D1041276" s="19"/>
      <c r="E1041276" s="19"/>
      <c r="F1041276" s="19"/>
      <c r="G1041276" s="19"/>
      <c r="H1041276" s="19"/>
      <c r="I1041276" s="19"/>
      <c r="J1041276" s="19"/>
      <c r="K1041276" s="19"/>
      <c r="L1041276" s="19"/>
      <c r="M1041276" s="19"/>
      <c r="N1041276" s="19"/>
    </row>
    <row r="1041277" spans="1:14" s="83" customFormat="1" ht="12.75">
      <c r="A1041277" s="19"/>
      <c r="B1041277" s="19"/>
      <c r="C1041277" s="19"/>
      <c r="D1041277" s="19"/>
      <c r="E1041277" s="19"/>
      <c r="F1041277" s="19"/>
      <c r="G1041277" s="19"/>
      <c r="H1041277" s="19"/>
      <c r="I1041277" s="19"/>
      <c r="J1041277" s="19"/>
      <c r="K1041277" s="19"/>
      <c r="L1041277" s="19"/>
      <c r="M1041277" s="19"/>
      <c r="N1041277" s="19"/>
    </row>
    <row r="1041278" spans="1:14" s="83" customFormat="1" ht="12.75">
      <c r="A1041278" s="19"/>
      <c r="B1041278" s="19"/>
      <c r="C1041278" s="19"/>
      <c r="D1041278" s="19"/>
      <c r="E1041278" s="19"/>
      <c r="F1041278" s="19"/>
      <c r="G1041278" s="19"/>
      <c r="H1041278" s="19"/>
      <c r="I1041278" s="19"/>
      <c r="J1041278" s="19"/>
      <c r="K1041278" s="19"/>
      <c r="L1041278" s="19"/>
      <c r="M1041278" s="19"/>
      <c r="N1041278" s="19"/>
    </row>
    <row r="1041279" spans="1:14" s="83" customFormat="1" ht="12.75">
      <c r="A1041279" s="19"/>
      <c r="B1041279" s="19"/>
      <c r="C1041279" s="19"/>
      <c r="D1041279" s="19"/>
      <c r="E1041279" s="19"/>
      <c r="F1041279" s="19"/>
      <c r="G1041279" s="19"/>
      <c r="H1041279" s="19"/>
      <c r="I1041279" s="19"/>
      <c r="J1041279" s="19"/>
      <c r="K1041279" s="19"/>
      <c r="L1041279" s="19"/>
      <c r="M1041279" s="19"/>
      <c r="N1041279" s="19"/>
    </row>
    <row r="1041280" spans="1:14" s="83" customFormat="1" ht="12.75">
      <c r="A1041280" s="19"/>
      <c r="B1041280" s="19"/>
      <c r="C1041280" s="19"/>
      <c r="D1041280" s="19"/>
      <c r="E1041280" s="19"/>
      <c r="F1041280" s="19"/>
      <c r="G1041280" s="19"/>
      <c r="H1041280" s="19"/>
      <c r="I1041280" s="19"/>
      <c r="J1041280" s="19"/>
      <c r="K1041280" s="19"/>
      <c r="L1041280" s="19"/>
      <c r="M1041280" s="19"/>
      <c r="N1041280" s="19"/>
    </row>
    <row r="1041281" spans="1:14" s="83" customFormat="1" ht="12.75">
      <c r="A1041281" s="19"/>
      <c r="B1041281" s="19"/>
      <c r="C1041281" s="19"/>
      <c r="D1041281" s="19"/>
      <c r="E1041281" s="19"/>
      <c r="F1041281" s="19"/>
      <c r="G1041281" s="19"/>
      <c r="H1041281" s="19"/>
      <c r="I1041281" s="19"/>
      <c r="J1041281" s="19"/>
      <c r="K1041281" s="19"/>
      <c r="L1041281" s="19"/>
      <c r="M1041281" s="19"/>
      <c r="N1041281" s="19"/>
    </row>
    <row r="1041282" spans="1:14" s="83" customFormat="1" ht="12.75">
      <c r="A1041282" s="19"/>
      <c r="B1041282" s="19"/>
      <c r="C1041282" s="19"/>
      <c r="D1041282" s="19"/>
      <c r="E1041282" s="19"/>
      <c r="F1041282" s="19"/>
      <c r="G1041282" s="19"/>
      <c r="H1041282" s="19"/>
      <c r="I1041282" s="19"/>
      <c r="J1041282" s="19"/>
      <c r="K1041282" s="19"/>
      <c r="L1041282" s="19"/>
      <c r="M1041282" s="19"/>
      <c r="N1041282" s="19"/>
    </row>
    <row r="1041283" spans="1:14" s="83" customFormat="1" ht="12.75">
      <c r="A1041283" s="19"/>
      <c r="B1041283" s="19"/>
      <c r="C1041283" s="19"/>
      <c r="D1041283" s="19"/>
      <c r="E1041283" s="19"/>
      <c r="F1041283" s="19"/>
      <c r="G1041283" s="19"/>
      <c r="H1041283" s="19"/>
      <c r="I1041283" s="19"/>
      <c r="J1041283" s="19"/>
      <c r="K1041283" s="19"/>
      <c r="L1041283" s="19"/>
      <c r="M1041283" s="19"/>
      <c r="N1041283" s="19"/>
    </row>
    <row r="1041284" spans="1:14" s="83" customFormat="1" ht="12.75">
      <c r="A1041284" s="19"/>
      <c r="B1041284" s="19"/>
      <c r="C1041284" s="19"/>
      <c r="D1041284" s="19"/>
      <c r="E1041284" s="19"/>
      <c r="F1041284" s="19"/>
      <c r="G1041284" s="19"/>
      <c r="H1041284" s="19"/>
      <c r="I1041284" s="19"/>
      <c r="J1041284" s="19"/>
      <c r="K1041284" s="19"/>
      <c r="L1041284" s="19"/>
      <c r="M1041284" s="19"/>
      <c r="N1041284" s="19"/>
    </row>
    <row r="1041285" spans="1:14" s="83" customFormat="1" ht="12.75">
      <c r="A1041285" s="19"/>
      <c r="B1041285" s="19"/>
      <c r="C1041285" s="19"/>
      <c r="D1041285" s="19"/>
      <c r="E1041285" s="19"/>
      <c r="F1041285" s="19"/>
      <c r="G1041285" s="19"/>
      <c r="H1041285" s="19"/>
      <c r="I1041285" s="19"/>
      <c r="J1041285" s="19"/>
      <c r="K1041285" s="19"/>
      <c r="L1041285" s="19"/>
      <c r="M1041285" s="19"/>
      <c r="N1041285" s="19"/>
    </row>
    <row r="1041286" spans="1:14" s="83" customFormat="1" ht="12.75">
      <c r="A1041286" s="19"/>
      <c r="B1041286" s="19"/>
      <c r="C1041286" s="19"/>
      <c r="D1041286" s="19"/>
      <c r="E1041286" s="19"/>
      <c r="F1041286" s="19"/>
      <c r="G1041286" s="19"/>
      <c r="H1041286" s="19"/>
      <c r="I1041286" s="19"/>
      <c r="J1041286" s="19"/>
      <c r="K1041286" s="19"/>
      <c r="L1041286" s="19"/>
      <c r="M1041286" s="19"/>
      <c r="N1041286" s="19"/>
    </row>
    <row r="1041287" spans="1:14" s="83" customFormat="1" ht="12.75">
      <c r="A1041287" s="19"/>
      <c r="B1041287" s="19"/>
      <c r="C1041287" s="19"/>
      <c r="D1041287" s="19"/>
      <c r="E1041287" s="19"/>
      <c r="F1041287" s="19"/>
      <c r="G1041287" s="19"/>
      <c r="H1041287" s="19"/>
      <c r="I1041287" s="19"/>
      <c r="J1041287" s="19"/>
      <c r="K1041287" s="19"/>
      <c r="L1041287" s="19"/>
      <c r="M1041287" s="19"/>
      <c r="N1041287" s="19"/>
    </row>
    <row r="1041288" spans="1:14" s="83" customFormat="1" ht="12.75">
      <c r="A1041288" s="19"/>
      <c r="B1041288" s="19"/>
      <c r="C1041288" s="19"/>
      <c r="D1041288" s="19"/>
      <c r="E1041288" s="19"/>
      <c r="F1041288" s="19"/>
      <c r="G1041288" s="19"/>
      <c r="H1041288" s="19"/>
      <c r="I1041288" s="19"/>
      <c r="J1041288" s="19"/>
      <c r="K1041288" s="19"/>
      <c r="L1041288" s="19"/>
      <c r="M1041288" s="19"/>
      <c r="N1041288" s="19"/>
    </row>
    <row r="1041289" spans="1:14" s="83" customFormat="1" ht="12.75">
      <c r="A1041289" s="19"/>
      <c r="B1041289" s="19"/>
      <c r="C1041289" s="19"/>
      <c r="D1041289" s="19"/>
      <c r="E1041289" s="19"/>
      <c r="F1041289" s="19"/>
      <c r="G1041289" s="19"/>
      <c r="H1041289" s="19"/>
      <c r="I1041289" s="19"/>
      <c r="J1041289" s="19"/>
      <c r="K1041289" s="19"/>
      <c r="L1041289" s="19"/>
      <c r="M1041289" s="19"/>
      <c r="N1041289" s="19"/>
    </row>
    <row r="1041290" spans="1:14" s="83" customFormat="1" ht="12.75">
      <c r="A1041290" s="19"/>
      <c r="B1041290" s="19"/>
      <c r="C1041290" s="19"/>
      <c r="D1041290" s="19"/>
      <c r="E1041290" s="19"/>
      <c r="F1041290" s="19"/>
      <c r="G1041290" s="19"/>
      <c r="H1041290" s="19"/>
      <c r="I1041290" s="19"/>
      <c r="J1041290" s="19"/>
      <c r="K1041290" s="19"/>
      <c r="L1041290" s="19"/>
      <c r="M1041290" s="19"/>
      <c r="N1041290" s="19"/>
    </row>
    <row r="1041291" spans="1:14" s="83" customFormat="1" ht="12.75">
      <c r="A1041291" s="19"/>
      <c r="B1041291" s="19"/>
      <c r="C1041291" s="19"/>
      <c r="D1041291" s="19"/>
      <c r="E1041291" s="19"/>
      <c r="F1041291" s="19"/>
      <c r="G1041291" s="19"/>
      <c r="H1041291" s="19"/>
      <c r="I1041291" s="19"/>
      <c r="J1041291" s="19"/>
      <c r="K1041291" s="19"/>
      <c r="L1041291" s="19"/>
      <c r="M1041291" s="19"/>
      <c r="N1041291" s="19"/>
    </row>
    <row r="1041292" spans="1:14" s="83" customFormat="1" ht="12.75">
      <c r="A1041292" s="19"/>
      <c r="B1041292" s="19"/>
      <c r="C1041292" s="19"/>
      <c r="D1041292" s="19"/>
      <c r="E1041292" s="19"/>
      <c r="F1041292" s="19"/>
      <c r="G1041292" s="19"/>
      <c r="H1041292" s="19"/>
      <c r="I1041292" s="19"/>
      <c r="J1041292" s="19"/>
      <c r="K1041292" s="19"/>
      <c r="L1041292" s="19"/>
      <c r="M1041292" s="19"/>
      <c r="N1041292" s="19"/>
    </row>
    <row r="1041293" spans="1:14" s="83" customFormat="1" ht="12.75">
      <c r="A1041293" s="19"/>
      <c r="B1041293" s="19"/>
      <c r="C1041293" s="19"/>
      <c r="D1041293" s="19"/>
      <c r="E1041293" s="19"/>
      <c r="F1041293" s="19"/>
      <c r="G1041293" s="19"/>
      <c r="H1041293" s="19"/>
      <c r="I1041293" s="19"/>
      <c r="J1041293" s="19"/>
      <c r="K1041293" s="19"/>
      <c r="L1041293" s="19"/>
      <c r="M1041293" s="19"/>
      <c r="N1041293" s="19"/>
    </row>
    <row r="1041294" spans="1:14" s="83" customFormat="1" ht="12.75">
      <c r="A1041294" s="19"/>
      <c r="B1041294" s="19"/>
      <c r="C1041294" s="19"/>
      <c r="D1041294" s="19"/>
      <c r="E1041294" s="19"/>
      <c r="F1041294" s="19"/>
      <c r="G1041294" s="19"/>
      <c r="H1041294" s="19"/>
      <c r="I1041294" s="19"/>
      <c r="J1041294" s="19"/>
      <c r="K1041294" s="19"/>
      <c r="L1041294" s="19"/>
      <c r="M1041294" s="19"/>
      <c r="N1041294" s="19"/>
    </row>
    <row r="1041295" spans="1:14" s="83" customFormat="1" ht="12.75">
      <c r="A1041295" s="19"/>
      <c r="B1041295" s="19"/>
      <c r="C1041295" s="19"/>
      <c r="D1041295" s="19"/>
      <c r="E1041295" s="19"/>
      <c r="F1041295" s="19"/>
      <c r="G1041295" s="19"/>
      <c r="H1041295" s="19"/>
      <c r="I1041295" s="19"/>
      <c r="J1041295" s="19"/>
      <c r="K1041295" s="19"/>
      <c r="L1041295" s="19"/>
      <c r="M1041295" s="19"/>
      <c r="N1041295" s="19"/>
    </row>
    <row r="1041296" spans="1:14" s="83" customFormat="1" ht="12.75">
      <c r="A1041296" s="19"/>
      <c r="B1041296" s="19"/>
      <c r="C1041296" s="19"/>
      <c r="D1041296" s="19"/>
      <c r="E1041296" s="19"/>
      <c r="F1041296" s="19"/>
      <c r="G1041296" s="19"/>
      <c r="H1041296" s="19"/>
      <c r="I1041296" s="19"/>
      <c r="J1041296" s="19"/>
      <c r="K1041296" s="19"/>
      <c r="L1041296" s="19"/>
      <c r="M1041296" s="19"/>
      <c r="N1041296" s="19"/>
    </row>
    <row r="1041297" spans="1:14" s="83" customFormat="1" ht="12.75">
      <c r="A1041297" s="19"/>
      <c r="B1041297" s="19"/>
      <c r="C1041297" s="19"/>
      <c r="D1041297" s="19"/>
      <c r="E1041297" s="19"/>
      <c r="F1041297" s="19"/>
      <c r="G1041297" s="19"/>
      <c r="H1041297" s="19"/>
      <c r="I1041297" s="19"/>
      <c r="J1041297" s="19"/>
      <c r="K1041297" s="19"/>
      <c r="L1041297" s="19"/>
      <c r="M1041297" s="19"/>
      <c r="N1041297" s="19"/>
    </row>
    <row r="1041298" spans="1:14" s="83" customFormat="1" ht="12.75">
      <c r="A1041298" s="19"/>
      <c r="B1041298" s="19"/>
      <c r="C1041298" s="19"/>
      <c r="D1041298" s="19"/>
      <c r="E1041298" s="19"/>
      <c r="F1041298" s="19"/>
      <c r="G1041298" s="19"/>
      <c r="H1041298" s="19"/>
      <c r="I1041298" s="19"/>
      <c r="J1041298" s="19"/>
      <c r="K1041298" s="19"/>
      <c r="L1041298" s="19"/>
      <c r="M1041298" s="19"/>
      <c r="N1041298" s="19"/>
    </row>
    <row r="1041299" spans="1:14" s="83" customFormat="1" ht="12.75">
      <c r="A1041299" s="19"/>
      <c r="B1041299" s="19"/>
      <c r="C1041299" s="19"/>
      <c r="D1041299" s="19"/>
      <c r="E1041299" s="19"/>
      <c r="F1041299" s="19"/>
      <c r="G1041299" s="19"/>
      <c r="H1041299" s="19"/>
      <c r="I1041299" s="19"/>
      <c r="J1041299" s="19"/>
      <c r="K1041299" s="19"/>
      <c r="L1041299" s="19"/>
      <c r="M1041299" s="19"/>
      <c r="N1041299" s="19"/>
    </row>
    <row r="1041300" spans="1:14" s="83" customFormat="1" ht="12.75">
      <c r="A1041300" s="19"/>
      <c r="B1041300" s="19"/>
      <c r="C1041300" s="19"/>
      <c r="D1041300" s="19"/>
      <c r="E1041300" s="19"/>
      <c r="F1041300" s="19"/>
      <c r="G1041300" s="19"/>
      <c r="H1041300" s="19"/>
      <c r="I1041300" s="19"/>
      <c r="J1041300" s="19"/>
      <c r="K1041300" s="19"/>
      <c r="L1041300" s="19"/>
      <c r="M1041300" s="19"/>
      <c r="N1041300" s="19"/>
    </row>
    <row r="1041301" spans="1:14" s="83" customFormat="1" ht="12.75">
      <c r="A1041301" s="19"/>
      <c r="B1041301" s="19"/>
      <c r="C1041301" s="19"/>
      <c r="D1041301" s="19"/>
      <c r="E1041301" s="19"/>
      <c r="F1041301" s="19"/>
      <c r="G1041301" s="19"/>
      <c r="H1041301" s="19"/>
      <c r="I1041301" s="19"/>
      <c r="J1041301" s="19"/>
      <c r="K1041301" s="19"/>
      <c r="L1041301" s="19"/>
      <c r="M1041301" s="19"/>
      <c r="N1041301" s="19"/>
    </row>
    <row r="1041302" spans="1:14" s="83" customFormat="1" ht="12.75">
      <c r="A1041302" s="19"/>
      <c r="B1041302" s="19"/>
      <c r="C1041302" s="19"/>
      <c r="D1041302" s="19"/>
      <c r="E1041302" s="19"/>
      <c r="F1041302" s="19"/>
      <c r="G1041302" s="19"/>
      <c r="H1041302" s="19"/>
      <c r="I1041302" s="19"/>
      <c r="J1041302" s="19"/>
      <c r="K1041302" s="19"/>
      <c r="L1041302" s="19"/>
      <c r="M1041302" s="19"/>
      <c r="N1041302" s="19"/>
    </row>
    <row r="1041303" spans="1:14" s="83" customFormat="1" ht="12.75">
      <c r="A1041303" s="19"/>
      <c r="B1041303" s="19"/>
      <c r="C1041303" s="19"/>
      <c r="D1041303" s="19"/>
      <c r="E1041303" s="19"/>
      <c r="F1041303" s="19"/>
      <c r="G1041303" s="19"/>
      <c r="H1041303" s="19"/>
      <c r="I1041303" s="19"/>
      <c r="J1041303" s="19"/>
      <c r="K1041303" s="19"/>
      <c r="L1041303" s="19"/>
      <c r="M1041303" s="19"/>
      <c r="N1041303" s="19"/>
    </row>
    <row r="1041304" spans="1:14" s="83" customFormat="1" ht="12.75">
      <c r="A1041304" s="19"/>
      <c r="B1041304" s="19"/>
      <c r="C1041304" s="19"/>
      <c r="D1041304" s="19"/>
      <c r="E1041304" s="19"/>
      <c r="F1041304" s="19"/>
      <c r="G1041304" s="19"/>
      <c r="H1041304" s="19"/>
      <c r="I1041304" s="19"/>
      <c r="J1041304" s="19"/>
      <c r="K1041304" s="19"/>
      <c r="L1041304" s="19"/>
      <c r="M1041304" s="19"/>
      <c r="N1041304" s="19"/>
    </row>
    <row r="1041305" spans="1:14" s="83" customFormat="1" ht="12.75">
      <c r="A1041305" s="19"/>
      <c r="B1041305" s="19"/>
      <c r="C1041305" s="19"/>
      <c r="D1041305" s="19"/>
      <c r="E1041305" s="19"/>
      <c r="F1041305" s="19"/>
      <c r="G1041305" s="19"/>
      <c r="H1041305" s="19"/>
      <c r="I1041305" s="19"/>
      <c r="J1041305" s="19"/>
      <c r="K1041305" s="19"/>
      <c r="L1041305" s="19"/>
      <c r="M1041305" s="19"/>
      <c r="N1041305" s="19"/>
    </row>
    <row r="1041306" spans="1:14" s="83" customFormat="1" ht="12.75">
      <c r="A1041306" s="19"/>
      <c r="B1041306" s="19"/>
      <c r="C1041306" s="19"/>
      <c r="D1041306" s="19"/>
      <c r="E1041306" s="19"/>
      <c r="F1041306" s="19"/>
      <c r="G1041306" s="19"/>
      <c r="H1041306" s="19"/>
      <c r="I1041306" s="19"/>
      <c r="J1041306" s="19"/>
      <c r="K1041306" s="19"/>
      <c r="L1041306" s="19"/>
      <c r="M1041306" s="19"/>
      <c r="N1041306" s="19"/>
    </row>
    <row r="1041307" spans="1:14" s="83" customFormat="1" ht="12.75">
      <c r="A1041307" s="19"/>
      <c r="B1041307" s="19"/>
      <c r="C1041307" s="19"/>
      <c r="D1041307" s="19"/>
      <c r="E1041307" s="19"/>
      <c r="F1041307" s="19"/>
      <c r="G1041307" s="19"/>
      <c r="H1041307" s="19"/>
      <c r="I1041307" s="19"/>
      <c r="J1041307" s="19"/>
      <c r="K1041307" s="19"/>
      <c r="L1041307" s="19"/>
      <c r="M1041307" s="19"/>
      <c r="N1041307" s="19"/>
    </row>
    <row r="1041308" spans="1:14" s="83" customFormat="1" ht="12.75">
      <c r="A1041308" s="19"/>
      <c r="B1041308" s="19"/>
      <c r="C1041308" s="19"/>
      <c r="D1041308" s="19"/>
      <c r="E1041308" s="19"/>
      <c r="F1041308" s="19"/>
      <c r="G1041308" s="19"/>
      <c r="H1041308" s="19"/>
      <c r="I1041308" s="19"/>
      <c r="J1041308" s="19"/>
      <c r="K1041308" s="19"/>
      <c r="L1041308" s="19"/>
      <c r="M1041308" s="19"/>
      <c r="N1041308" s="19"/>
    </row>
    <row r="1041309" spans="1:14" s="83" customFormat="1" ht="12.75">
      <c r="A1041309" s="19"/>
      <c r="B1041309" s="19"/>
      <c r="C1041309" s="19"/>
      <c r="D1041309" s="19"/>
      <c r="E1041309" s="19"/>
      <c r="F1041309" s="19"/>
      <c r="G1041309" s="19"/>
      <c r="H1041309" s="19"/>
      <c r="I1041309" s="19"/>
      <c r="J1041309" s="19"/>
      <c r="K1041309" s="19"/>
      <c r="L1041309" s="19"/>
      <c r="M1041309" s="19"/>
      <c r="N1041309" s="19"/>
    </row>
    <row r="1041310" spans="1:14" s="83" customFormat="1" ht="12.75">
      <c r="A1041310" s="19"/>
      <c r="B1041310" s="19"/>
      <c r="C1041310" s="19"/>
      <c r="D1041310" s="19"/>
      <c r="E1041310" s="19"/>
      <c r="F1041310" s="19"/>
      <c r="G1041310" s="19"/>
      <c r="H1041310" s="19"/>
      <c r="I1041310" s="19"/>
      <c r="J1041310" s="19"/>
      <c r="K1041310" s="19"/>
      <c r="L1041310" s="19"/>
      <c r="M1041310" s="19"/>
      <c r="N1041310" s="19"/>
    </row>
    <row r="1041311" spans="1:14" s="83" customFormat="1" ht="12.75">
      <c r="A1041311" s="19"/>
      <c r="B1041311" s="19"/>
      <c r="C1041311" s="19"/>
      <c r="D1041311" s="19"/>
      <c r="E1041311" s="19"/>
      <c r="F1041311" s="19"/>
      <c r="G1041311" s="19"/>
      <c r="H1041311" s="19"/>
      <c r="I1041311" s="19"/>
      <c r="J1041311" s="19"/>
      <c r="K1041311" s="19"/>
      <c r="L1041311" s="19"/>
      <c r="M1041311" s="19"/>
      <c r="N1041311" s="19"/>
    </row>
    <row r="1041312" spans="1:14" s="83" customFormat="1" ht="12.75">
      <c r="A1041312" s="19"/>
      <c r="B1041312" s="19"/>
      <c r="C1041312" s="19"/>
      <c r="D1041312" s="19"/>
      <c r="E1041312" s="19"/>
      <c r="F1041312" s="19"/>
      <c r="G1041312" s="19"/>
      <c r="H1041312" s="19"/>
      <c r="I1041312" s="19"/>
      <c r="J1041312" s="19"/>
      <c r="K1041312" s="19"/>
      <c r="L1041312" s="19"/>
      <c r="M1041312" s="19"/>
      <c r="N1041312" s="19"/>
    </row>
    <row r="1041313" spans="1:14" s="83" customFormat="1" ht="12.75">
      <c r="A1041313" s="19"/>
      <c r="B1041313" s="19"/>
      <c r="C1041313" s="19"/>
      <c r="D1041313" s="19"/>
      <c r="E1041313" s="19"/>
      <c r="F1041313" s="19"/>
      <c r="G1041313" s="19"/>
      <c r="H1041313" s="19"/>
      <c r="I1041313" s="19"/>
      <c r="J1041313" s="19"/>
      <c r="K1041313" s="19"/>
      <c r="L1041313" s="19"/>
      <c r="M1041313" s="19"/>
      <c r="N1041313" s="19"/>
    </row>
    <row r="1041314" spans="1:14" s="83" customFormat="1" ht="12.75">
      <c r="A1041314" s="19"/>
      <c r="B1041314" s="19"/>
      <c r="C1041314" s="19"/>
      <c r="D1041314" s="19"/>
      <c r="E1041314" s="19"/>
      <c r="F1041314" s="19"/>
      <c r="G1041314" s="19"/>
      <c r="H1041314" s="19"/>
      <c r="I1041314" s="19"/>
      <c r="J1041314" s="19"/>
      <c r="K1041314" s="19"/>
      <c r="L1041314" s="19"/>
      <c r="M1041314" s="19"/>
      <c r="N1041314" s="19"/>
    </row>
    <row r="1041315" spans="1:14" s="83" customFormat="1" ht="12.75">
      <c r="A1041315" s="19"/>
      <c r="B1041315" s="19"/>
      <c r="C1041315" s="19"/>
      <c r="D1041315" s="19"/>
      <c r="E1041315" s="19"/>
      <c r="F1041315" s="19"/>
      <c r="G1041315" s="19"/>
      <c r="H1041315" s="19"/>
      <c r="I1041315" s="19"/>
      <c r="J1041315" s="19"/>
      <c r="K1041315" s="19"/>
      <c r="L1041315" s="19"/>
      <c r="M1041315" s="19"/>
      <c r="N1041315" s="19"/>
    </row>
    <row r="1041316" spans="1:14" s="83" customFormat="1" ht="12.75">
      <c r="A1041316" s="19"/>
      <c r="B1041316" s="19"/>
      <c r="C1041316" s="19"/>
      <c r="D1041316" s="19"/>
      <c r="E1041316" s="19"/>
      <c r="F1041316" s="19"/>
      <c r="G1041316" s="19"/>
      <c r="H1041316" s="19"/>
      <c r="I1041316" s="19"/>
      <c r="J1041316" s="19"/>
      <c r="K1041316" s="19"/>
      <c r="L1041316" s="19"/>
      <c r="M1041316" s="19"/>
      <c r="N1041316" s="19"/>
    </row>
    <row r="1041317" spans="1:14" s="83" customFormat="1" ht="12.75">
      <c r="A1041317" s="19"/>
      <c r="B1041317" s="19"/>
      <c r="C1041317" s="19"/>
      <c r="D1041317" s="19"/>
      <c r="E1041317" s="19"/>
      <c r="F1041317" s="19"/>
      <c r="G1041317" s="19"/>
      <c r="H1041317" s="19"/>
      <c r="I1041317" s="19"/>
      <c r="J1041317" s="19"/>
      <c r="K1041317" s="19"/>
      <c r="L1041317" s="19"/>
      <c r="M1041317" s="19"/>
      <c r="N1041317" s="19"/>
    </row>
    <row r="1041318" spans="1:14" s="83" customFormat="1" ht="12.75">
      <c r="A1041318" s="19"/>
      <c r="B1041318" s="19"/>
      <c r="C1041318" s="19"/>
      <c r="D1041318" s="19"/>
      <c r="E1041318" s="19"/>
      <c r="F1041318" s="19"/>
      <c r="G1041318" s="19"/>
      <c r="H1041318" s="19"/>
      <c r="I1041318" s="19"/>
      <c r="J1041318" s="19"/>
      <c r="K1041318" s="19"/>
      <c r="L1041318" s="19"/>
      <c r="M1041318" s="19"/>
      <c r="N1041318" s="19"/>
    </row>
    <row r="1041319" spans="1:14" s="83" customFormat="1" ht="12.75">
      <c r="A1041319" s="19"/>
      <c r="B1041319" s="19"/>
      <c r="C1041319" s="19"/>
      <c r="D1041319" s="19"/>
      <c r="E1041319" s="19"/>
      <c r="F1041319" s="19"/>
      <c r="G1041319" s="19"/>
      <c r="H1041319" s="19"/>
      <c r="I1041319" s="19"/>
      <c r="J1041319" s="19"/>
      <c r="K1041319" s="19"/>
      <c r="L1041319" s="19"/>
      <c r="M1041319" s="19"/>
      <c r="N1041319" s="19"/>
    </row>
    <row r="1041320" spans="1:14" s="83" customFormat="1" ht="12.75">
      <c r="A1041320" s="19"/>
      <c r="B1041320" s="19"/>
      <c r="C1041320" s="19"/>
      <c r="D1041320" s="19"/>
      <c r="E1041320" s="19"/>
      <c r="F1041320" s="19"/>
      <c r="G1041320" s="19"/>
      <c r="H1041320" s="19"/>
      <c r="I1041320" s="19"/>
      <c r="J1041320" s="19"/>
      <c r="K1041320" s="19"/>
      <c r="L1041320" s="19"/>
      <c r="M1041320" s="19"/>
      <c r="N1041320" s="19"/>
    </row>
    <row r="1041321" spans="1:14" s="83" customFormat="1" ht="12.75">
      <c r="A1041321" s="19"/>
      <c r="B1041321" s="19"/>
      <c r="C1041321" s="19"/>
      <c r="D1041321" s="19"/>
      <c r="E1041321" s="19"/>
      <c r="F1041321" s="19"/>
      <c r="G1041321" s="19"/>
      <c r="H1041321" s="19"/>
      <c r="I1041321" s="19"/>
      <c r="J1041321" s="19"/>
      <c r="K1041321" s="19"/>
      <c r="L1041321" s="19"/>
      <c r="M1041321" s="19"/>
      <c r="N1041321" s="19"/>
    </row>
    <row r="1041322" spans="1:14" s="83" customFormat="1" ht="12.75">
      <c r="A1041322" s="19"/>
      <c r="B1041322" s="19"/>
      <c r="C1041322" s="19"/>
      <c r="D1041322" s="19"/>
      <c r="E1041322" s="19"/>
      <c r="F1041322" s="19"/>
      <c r="G1041322" s="19"/>
      <c r="H1041322" s="19"/>
      <c r="I1041322" s="19"/>
      <c r="J1041322" s="19"/>
      <c r="K1041322" s="19"/>
      <c r="L1041322" s="19"/>
      <c r="M1041322" s="19"/>
      <c r="N1041322" s="19"/>
    </row>
    <row r="1041323" spans="1:14" s="83" customFormat="1" ht="12.75">
      <c r="A1041323" s="19"/>
      <c r="B1041323" s="19"/>
      <c r="C1041323" s="19"/>
      <c r="D1041323" s="19"/>
      <c r="E1041323" s="19"/>
      <c r="F1041323" s="19"/>
      <c r="G1041323" s="19"/>
      <c r="H1041323" s="19"/>
      <c r="I1041323" s="19"/>
      <c r="J1041323" s="19"/>
      <c r="K1041323" s="19"/>
      <c r="L1041323" s="19"/>
      <c r="M1041323" s="19"/>
      <c r="N1041323" s="19"/>
    </row>
    <row r="1041324" spans="1:14" s="83" customFormat="1" ht="12.75">
      <c r="A1041324" s="19"/>
      <c r="B1041324" s="19"/>
      <c r="C1041324" s="19"/>
      <c r="D1041324" s="19"/>
      <c r="E1041324" s="19"/>
      <c r="F1041324" s="19"/>
      <c r="G1041324" s="19"/>
      <c r="H1041324" s="19"/>
      <c r="I1041324" s="19"/>
      <c r="J1041324" s="19"/>
      <c r="K1041324" s="19"/>
      <c r="L1041324" s="19"/>
      <c r="M1041324" s="19"/>
      <c r="N1041324" s="19"/>
    </row>
    <row r="1041325" spans="1:14" s="83" customFormat="1" ht="12.75">
      <c r="A1041325" s="19"/>
      <c r="B1041325" s="19"/>
      <c r="C1041325" s="19"/>
      <c r="D1041325" s="19"/>
      <c r="E1041325" s="19"/>
      <c r="F1041325" s="19"/>
      <c r="G1041325" s="19"/>
      <c r="H1041325" s="19"/>
      <c r="I1041325" s="19"/>
      <c r="J1041325" s="19"/>
      <c r="K1041325" s="19"/>
      <c r="L1041325" s="19"/>
      <c r="M1041325" s="19"/>
      <c r="N1041325" s="19"/>
    </row>
    <row r="1041326" spans="1:14" s="83" customFormat="1" ht="12.75">
      <c r="A1041326" s="19"/>
      <c r="B1041326" s="19"/>
      <c r="C1041326" s="19"/>
      <c r="D1041326" s="19"/>
      <c r="E1041326" s="19"/>
      <c r="F1041326" s="19"/>
      <c r="G1041326" s="19"/>
      <c r="H1041326" s="19"/>
      <c r="I1041326" s="19"/>
      <c r="J1041326" s="19"/>
      <c r="K1041326" s="19"/>
      <c r="L1041326" s="19"/>
      <c r="M1041326" s="19"/>
      <c r="N1041326" s="19"/>
    </row>
    <row r="1041327" spans="1:14" s="83" customFormat="1" ht="12.75">
      <c r="A1041327" s="19"/>
      <c r="B1041327" s="19"/>
      <c r="C1041327" s="19"/>
      <c r="D1041327" s="19"/>
      <c r="E1041327" s="19"/>
      <c r="F1041327" s="19"/>
      <c r="G1041327" s="19"/>
      <c r="H1041327" s="19"/>
      <c r="I1041327" s="19"/>
      <c r="J1041327" s="19"/>
      <c r="K1041327" s="19"/>
      <c r="L1041327" s="19"/>
      <c r="M1041327" s="19"/>
      <c r="N1041327" s="19"/>
    </row>
    <row r="1041328" spans="1:14" s="83" customFormat="1" ht="12.75">
      <c r="A1041328" s="19"/>
      <c r="B1041328" s="19"/>
      <c r="C1041328" s="19"/>
      <c r="D1041328" s="19"/>
      <c r="E1041328" s="19"/>
      <c r="F1041328" s="19"/>
      <c r="G1041328" s="19"/>
      <c r="H1041328" s="19"/>
      <c r="I1041328" s="19"/>
      <c r="J1041328" s="19"/>
      <c r="K1041328" s="19"/>
      <c r="L1041328" s="19"/>
      <c r="M1041328" s="19"/>
      <c r="N1041328" s="19"/>
    </row>
    <row r="1041329" spans="1:14" s="83" customFormat="1" ht="12.75">
      <c r="A1041329" s="19"/>
      <c r="B1041329" s="19"/>
      <c r="C1041329" s="19"/>
      <c r="D1041329" s="19"/>
      <c r="E1041329" s="19"/>
      <c r="F1041329" s="19"/>
      <c r="G1041329" s="19"/>
      <c r="H1041329" s="19"/>
      <c r="I1041329" s="19"/>
      <c r="J1041329" s="19"/>
      <c r="K1041329" s="19"/>
      <c r="L1041329" s="19"/>
      <c r="M1041329" s="19"/>
      <c r="N1041329" s="19"/>
    </row>
    <row r="1041330" spans="1:14" s="83" customFormat="1" ht="12.75">
      <c r="A1041330" s="19"/>
      <c r="B1041330" s="19"/>
      <c r="C1041330" s="19"/>
      <c r="D1041330" s="19"/>
      <c r="E1041330" s="19"/>
      <c r="F1041330" s="19"/>
      <c r="G1041330" s="19"/>
      <c r="H1041330" s="19"/>
      <c r="I1041330" s="19"/>
      <c r="J1041330" s="19"/>
      <c r="K1041330" s="19"/>
      <c r="L1041330" s="19"/>
      <c r="M1041330" s="19"/>
      <c r="N1041330" s="19"/>
    </row>
    <row r="1041331" spans="1:14" s="83" customFormat="1" ht="12.75">
      <c r="A1041331" s="19"/>
      <c r="B1041331" s="19"/>
      <c r="C1041331" s="19"/>
      <c r="D1041331" s="19"/>
      <c r="E1041331" s="19"/>
      <c r="F1041331" s="19"/>
      <c r="G1041331" s="19"/>
      <c r="H1041331" s="19"/>
      <c r="I1041331" s="19"/>
      <c r="J1041331" s="19"/>
      <c r="K1041331" s="19"/>
      <c r="L1041331" s="19"/>
      <c r="M1041331" s="19"/>
      <c r="N1041331" s="19"/>
    </row>
    <row r="1041332" spans="1:14" s="83" customFormat="1" ht="12.75">
      <c r="A1041332" s="19"/>
      <c r="B1041332" s="19"/>
      <c r="C1041332" s="19"/>
      <c r="D1041332" s="19"/>
      <c r="E1041332" s="19"/>
      <c r="F1041332" s="19"/>
      <c r="G1041332" s="19"/>
      <c r="H1041332" s="19"/>
      <c r="I1041332" s="19"/>
      <c r="J1041332" s="19"/>
      <c r="K1041332" s="19"/>
      <c r="L1041332" s="19"/>
      <c r="M1041332" s="19"/>
      <c r="N1041332" s="19"/>
    </row>
    <row r="1041333" spans="1:14" s="83" customFormat="1" ht="12.75">
      <c r="A1041333" s="19"/>
      <c r="B1041333" s="19"/>
      <c r="C1041333" s="19"/>
      <c r="D1041333" s="19"/>
      <c r="E1041333" s="19"/>
      <c r="F1041333" s="19"/>
      <c r="G1041333" s="19"/>
      <c r="H1041333" s="19"/>
      <c r="I1041333" s="19"/>
      <c r="J1041333" s="19"/>
      <c r="K1041333" s="19"/>
      <c r="L1041333" s="19"/>
      <c r="M1041333" s="19"/>
      <c r="N1041333" s="19"/>
    </row>
    <row r="1041334" spans="1:14" s="83" customFormat="1" ht="12.75">
      <c r="A1041334" s="19"/>
      <c r="B1041334" s="19"/>
      <c r="C1041334" s="19"/>
      <c r="D1041334" s="19"/>
      <c r="E1041334" s="19"/>
      <c r="F1041334" s="19"/>
      <c r="G1041334" s="19"/>
      <c r="H1041334" s="19"/>
      <c r="I1041334" s="19"/>
      <c r="J1041334" s="19"/>
      <c r="K1041334" s="19"/>
      <c r="L1041334" s="19"/>
      <c r="M1041334" s="19"/>
      <c r="N1041334" s="19"/>
    </row>
    <row r="1041335" spans="1:14" s="83" customFormat="1" ht="12.75">
      <c r="A1041335" s="19"/>
      <c r="B1041335" s="19"/>
      <c r="C1041335" s="19"/>
      <c r="D1041335" s="19"/>
      <c r="E1041335" s="19"/>
      <c r="F1041335" s="19"/>
      <c r="G1041335" s="19"/>
      <c r="H1041335" s="19"/>
      <c r="I1041335" s="19"/>
      <c r="J1041335" s="19"/>
      <c r="K1041335" s="19"/>
      <c r="L1041335" s="19"/>
      <c r="M1041335" s="19"/>
      <c r="N1041335" s="19"/>
    </row>
    <row r="1041336" spans="1:14" s="83" customFormat="1" ht="12.75">
      <c r="A1041336" s="19"/>
      <c r="B1041336" s="19"/>
      <c r="C1041336" s="19"/>
      <c r="D1041336" s="19"/>
      <c r="E1041336" s="19"/>
      <c r="F1041336" s="19"/>
      <c r="G1041336" s="19"/>
      <c r="H1041336" s="19"/>
      <c r="I1041336" s="19"/>
      <c r="J1041336" s="19"/>
      <c r="K1041336" s="19"/>
      <c r="L1041336" s="19"/>
      <c r="M1041336" s="19"/>
      <c r="N1041336" s="19"/>
    </row>
    <row r="1041337" spans="1:14" s="83" customFormat="1" ht="12.75">
      <c r="A1041337" s="19"/>
      <c r="B1041337" s="19"/>
      <c r="C1041337" s="19"/>
      <c r="D1041337" s="19"/>
      <c r="E1041337" s="19"/>
      <c r="F1041337" s="19"/>
      <c r="G1041337" s="19"/>
      <c r="H1041337" s="19"/>
      <c r="I1041337" s="19"/>
      <c r="J1041337" s="19"/>
      <c r="K1041337" s="19"/>
      <c r="L1041337" s="19"/>
      <c r="M1041337" s="19"/>
      <c r="N1041337" s="19"/>
    </row>
    <row r="1041338" spans="1:14" s="83" customFormat="1" ht="12.75">
      <c r="A1041338" s="19"/>
      <c r="B1041338" s="19"/>
      <c r="C1041338" s="19"/>
      <c r="D1041338" s="19"/>
      <c r="E1041338" s="19"/>
      <c r="F1041338" s="19"/>
      <c r="G1041338" s="19"/>
      <c r="H1041338" s="19"/>
      <c r="I1041338" s="19"/>
      <c r="J1041338" s="19"/>
      <c r="K1041338" s="19"/>
      <c r="L1041338" s="19"/>
      <c r="M1041338" s="19"/>
      <c r="N1041338" s="19"/>
    </row>
    <row r="1041339" spans="1:14" s="83" customFormat="1" ht="12.75">
      <c r="A1041339" s="19"/>
      <c r="B1041339" s="19"/>
      <c r="C1041339" s="19"/>
      <c r="D1041339" s="19"/>
      <c r="E1041339" s="19"/>
      <c r="F1041339" s="19"/>
      <c r="G1041339" s="19"/>
      <c r="H1041339" s="19"/>
      <c r="I1041339" s="19"/>
      <c r="J1041339" s="19"/>
      <c r="K1041339" s="19"/>
      <c r="L1041339" s="19"/>
      <c r="M1041339" s="19"/>
      <c r="N1041339" s="19"/>
    </row>
    <row r="1041340" spans="1:14" s="83" customFormat="1" ht="12.75">
      <c r="A1041340" s="19"/>
      <c r="B1041340" s="19"/>
      <c r="C1041340" s="19"/>
      <c r="D1041340" s="19"/>
      <c r="E1041340" s="19"/>
      <c r="F1041340" s="19"/>
      <c r="G1041340" s="19"/>
      <c r="H1041340" s="19"/>
      <c r="I1041340" s="19"/>
      <c r="J1041340" s="19"/>
      <c r="K1041340" s="19"/>
      <c r="L1041340" s="19"/>
      <c r="M1041340" s="19"/>
      <c r="N1041340" s="19"/>
    </row>
    <row r="1041341" spans="1:14" s="83" customFormat="1" ht="12.75">
      <c r="A1041341" s="19"/>
      <c r="B1041341" s="19"/>
      <c r="C1041341" s="19"/>
      <c r="D1041341" s="19"/>
      <c r="E1041341" s="19"/>
      <c r="F1041341" s="19"/>
      <c r="G1041341" s="19"/>
      <c r="H1041341" s="19"/>
      <c r="I1041341" s="19"/>
      <c r="J1041341" s="19"/>
      <c r="K1041341" s="19"/>
      <c r="L1041341" s="19"/>
      <c r="M1041341" s="19"/>
      <c r="N1041341" s="19"/>
    </row>
    <row r="1041342" spans="1:14" s="83" customFormat="1" ht="12.75">
      <c r="A1041342" s="19"/>
      <c r="B1041342" s="19"/>
      <c r="C1041342" s="19"/>
      <c r="D1041342" s="19"/>
      <c r="E1041342" s="19"/>
      <c r="F1041342" s="19"/>
      <c r="G1041342" s="19"/>
      <c r="H1041342" s="19"/>
      <c r="I1041342" s="19"/>
      <c r="J1041342" s="19"/>
      <c r="K1041342" s="19"/>
      <c r="L1041342" s="19"/>
      <c r="M1041342" s="19"/>
      <c r="N1041342" s="19"/>
    </row>
    <row r="1041343" spans="1:14" s="83" customFormat="1" ht="12.75">
      <c r="A1041343" s="19"/>
      <c r="B1041343" s="19"/>
      <c r="C1041343" s="19"/>
      <c r="D1041343" s="19"/>
      <c r="E1041343" s="19"/>
      <c r="F1041343" s="19"/>
      <c r="G1041343" s="19"/>
      <c r="H1041343" s="19"/>
      <c r="I1041343" s="19"/>
      <c r="J1041343" s="19"/>
      <c r="K1041343" s="19"/>
      <c r="L1041343" s="19"/>
      <c r="M1041343" s="19"/>
      <c r="N1041343" s="19"/>
    </row>
    <row r="1041344" spans="1:14" s="83" customFormat="1" ht="12.75">
      <c r="A1041344" s="19"/>
      <c r="B1041344" s="19"/>
      <c r="C1041344" s="19"/>
      <c r="D1041344" s="19"/>
      <c r="E1041344" s="19"/>
      <c r="F1041344" s="19"/>
      <c r="G1041344" s="19"/>
      <c r="H1041344" s="19"/>
      <c r="I1041344" s="19"/>
      <c r="J1041344" s="19"/>
      <c r="K1041344" s="19"/>
      <c r="L1041344" s="19"/>
      <c r="M1041344" s="19"/>
      <c r="N1041344" s="19"/>
    </row>
    <row r="1041345" spans="1:14" s="83" customFormat="1" ht="12.75">
      <c r="A1041345" s="19"/>
      <c r="B1041345" s="19"/>
      <c r="C1041345" s="19"/>
      <c r="D1041345" s="19"/>
      <c r="E1041345" s="19"/>
      <c r="F1041345" s="19"/>
      <c r="G1041345" s="19"/>
      <c r="H1041345" s="19"/>
      <c r="I1041345" s="19"/>
      <c r="J1041345" s="19"/>
      <c r="K1041345" s="19"/>
      <c r="L1041345" s="19"/>
      <c r="M1041345" s="19"/>
      <c r="N1041345" s="19"/>
    </row>
    <row r="1041346" spans="1:14" s="83" customFormat="1" ht="12.75">
      <c r="A1041346" s="19"/>
      <c r="B1041346" s="19"/>
      <c r="C1041346" s="19"/>
      <c r="D1041346" s="19"/>
      <c r="E1041346" s="19"/>
      <c r="F1041346" s="19"/>
      <c r="G1041346" s="19"/>
      <c r="H1041346" s="19"/>
      <c r="I1041346" s="19"/>
      <c r="J1041346" s="19"/>
      <c r="K1041346" s="19"/>
      <c r="L1041346" s="19"/>
      <c r="M1041346" s="19"/>
      <c r="N1041346" s="19"/>
    </row>
    <row r="1041347" spans="1:14" s="83" customFormat="1" ht="12.75">
      <c r="A1041347" s="19"/>
      <c r="B1041347" s="19"/>
      <c r="C1041347" s="19"/>
      <c r="D1041347" s="19"/>
      <c r="E1041347" s="19"/>
      <c r="F1041347" s="19"/>
      <c r="G1041347" s="19"/>
      <c r="H1041347" s="19"/>
      <c r="I1041347" s="19"/>
      <c r="J1041347" s="19"/>
      <c r="K1041347" s="19"/>
      <c r="L1041347" s="19"/>
      <c r="M1041347" s="19"/>
      <c r="N1041347" s="19"/>
    </row>
    <row r="1041348" spans="1:14" s="83" customFormat="1" ht="12.75">
      <c r="A1041348" s="19"/>
      <c r="B1041348" s="19"/>
      <c r="C1041348" s="19"/>
      <c r="D1041348" s="19"/>
      <c r="E1041348" s="19"/>
      <c r="F1041348" s="19"/>
      <c r="G1041348" s="19"/>
      <c r="H1041348" s="19"/>
      <c r="I1041348" s="19"/>
      <c r="J1041348" s="19"/>
      <c r="K1041348" s="19"/>
      <c r="L1041348" s="19"/>
      <c r="M1041348" s="19"/>
      <c r="N1041348" s="19"/>
    </row>
    <row r="1041349" spans="1:14" s="83" customFormat="1" ht="12.75">
      <c r="A1041349" s="19"/>
      <c r="B1041349" s="19"/>
      <c r="C1041349" s="19"/>
      <c r="D1041349" s="19"/>
      <c r="E1041349" s="19"/>
      <c r="F1041349" s="19"/>
      <c r="G1041349" s="19"/>
      <c r="H1041349" s="19"/>
      <c r="I1041349" s="19"/>
      <c r="J1041349" s="19"/>
      <c r="K1041349" s="19"/>
      <c r="L1041349" s="19"/>
      <c r="M1041349" s="19"/>
      <c r="N1041349" s="19"/>
    </row>
    <row r="1041350" spans="1:14" s="83" customFormat="1" ht="12.75">
      <c r="A1041350" s="19"/>
      <c r="B1041350" s="19"/>
      <c r="C1041350" s="19"/>
      <c r="D1041350" s="19"/>
      <c r="E1041350" s="19"/>
      <c r="F1041350" s="19"/>
      <c r="G1041350" s="19"/>
      <c r="H1041350" s="19"/>
      <c r="I1041350" s="19"/>
      <c r="J1041350" s="19"/>
      <c r="K1041350" s="19"/>
      <c r="L1041350" s="19"/>
      <c r="M1041350" s="19"/>
      <c r="N1041350" s="19"/>
    </row>
    <row r="1041351" spans="1:14" s="83" customFormat="1" ht="12.75">
      <c r="A1041351" s="19"/>
      <c r="B1041351" s="19"/>
      <c r="C1041351" s="19"/>
      <c r="D1041351" s="19"/>
      <c r="E1041351" s="19"/>
      <c r="F1041351" s="19"/>
      <c r="G1041351" s="19"/>
      <c r="H1041351" s="19"/>
      <c r="I1041351" s="19"/>
      <c r="J1041351" s="19"/>
      <c r="K1041351" s="19"/>
      <c r="L1041351" s="19"/>
      <c r="M1041351" s="19"/>
      <c r="N1041351" s="19"/>
    </row>
    <row r="1041352" spans="1:14" s="83" customFormat="1" ht="12.75">
      <c r="A1041352" s="19"/>
      <c r="B1041352" s="19"/>
      <c r="C1041352" s="19"/>
      <c r="D1041352" s="19"/>
      <c r="E1041352" s="19"/>
      <c r="F1041352" s="19"/>
      <c r="G1041352" s="19"/>
      <c r="H1041352" s="19"/>
      <c r="I1041352" s="19"/>
      <c r="J1041352" s="19"/>
      <c r="K1041352" s="19"/>
      <c r="L1041352" s="19"/>
      <c r="M1041352" s="19"/>
      <c r="N1041352" s="19"/>
    </row>
    <row r="1041353" spans="1:14" s="83" customFormat="1" ht="12.75">
      <c r="A1041353" s="19"/>
      <c r="B1041353" s="19"/>
      <c r="C1041353" s="19"/>
      <c r="D1041353" s="19"/>
      <c r="E1041353" s="19"/>
      <c r="F1041353" s="19"/>
      <c r="G1041353" s="19"/>
      <c r="H1041353" s="19"/>
      <c r="I1041353" s="19"/>
      <c r="J1041353" s="19"/>
      <c r="K1041353" s="19"/>
      <c r="L1041353" s="19"/>
      <c r="M1041353" s="19"/>
      <c r="N1041353" s="19"/>
    </row>
    <row r="1041354" spans="1:14" s="83" customFormat="1" ht="12.75">
      <c r="A1041354" s="19"/>
      <c r="B1041354" s="19"/>
      <c r="C1041354" s="19"/>
      <c r="D1041354" s="19"/>
      <c r="E1041354" s="19"/>
      <c r="F1041354" s="19"/>
      <c r="G1041354" s="19"/>
      <c r="H1041354" s="19"/>
      <c r="I1041354" s="19"/>
      <c r="J1041354" s="19"/>
      <c r="K1041354" s="19"/>
      <c r="L1041354" s="19"/>
      <c r="M1041354" s="19"/>
      <c r="N1041354" s="19"/>
    </row>
    <row r="1041355" spans="1:14" s="83" customFormat="1" ht="12.75">
      <c r="A1041355" s="19"/>
      <c r="B1041355" s="19"/>
      <c r="C1041355" s="19"/>
      <c r="D1041355" s="19"/>
      <c r="E1041355" s="19"/>
      <c r="F1041355" s="19"/>
      <c r="G1041355" s="19"/>
      <c r="H1041355" s="19"/>
      <c r="I1041355" s="19"/>
      <c r="J1041355" s="19"/>
      <c r="K1041355" s="19"/>
      <c r="L1041355" s="19"/>
      <c r="M1041355" s="19"/>
      <c r="N1041355" s="19"/>
    </row>
    <row r="1041356" spans="1:14" s="83" customFormat="1" ht="12.75">
      <c r="A1041356" s="19"/>
      <c r="B1041356" s="19"/>
      <c r="C1041356" s="19"/>
      <c r="D1041356" s="19"/>
      <c r="E1041356" s="19"/>
      <c r="F1041356" s="19"/>
      <c r="G1041356" s="19"/>
      <c r="H1041356" s="19"/>
      <c r="I1041356" s="19"/>
      <c r="J1041356" s="19"/>
      <c r="K1041356" s="19"/>
      <c r="L1041356" s="19"/>
      <c r="M1041356" s="19"/>
      <c r="N1041356" s="19"/>
    </row>
    <row r="1041357" spans="1:14" s="83" customFormat="1" ht="12.75">
      <c r="A1041357" s="19"/>
      <c r="B1041357" s="19"/>
      <c r="C1041357" s="19"/>
      <c r="D1041357" s="19"/>
      <c r="E1041357" s="19"/>
      <c r="F1041357" s="19"/>
      <c r="G1041357" s="19"/>
      <c r="H1041357" s="19"/>
      <c r="I1041357" s="19"/>
      <c r="J1041357" s="19"/>
      <c r="K1041357" s="19"/>
      <c r="L1041357" s="19"/>
      <c r="M1041357" s="19"/>
      <c r="N1041357" s="19"/>
    </row>
    <row r="1041358" spans="1:14" s="83" customFormat="1" ht="12.75">
      <c r="A1041358" s="19"/>
      <c r="B1041358" s="19"/>
      <c r="C1041358" s="19"/>
      <c r="D1041358" s="19"/>
      <c r="E1041358" s="19"/>
      <c r="F1041358" s="19"/>
      <c r="G1041358" s="19"/>
      <c r="H1041358" s="19"/>
      <c r="I1041358" s="19"/>
      <c r="J1041358" s="19"/>
      <c r="K1041358" s="19"/>
      <c r="L1041358" s="19"/>
      <c r="M1041358" s="19"/>
      <c r="N1041358" s="19"/>
    </row>
    <row r="1041359" spans="1:14" s="83" customFormat="1" ht="12.75">
      <c r="A1041359" s="19"/>
      <c r="B1041359" s="19"/>
      <c r="C1041359" s="19"/>
      <c r="D1041359" s="19"/>
      <c r="E1041359" s="19"/>
      <c r="F1041359" s="19"/>
      <c r="G1041359" s="19"/>
      <c r="H1041359" s="19"/>
      <c r="I1041359" s="19"/>
      <c r="J1041359" s="19"/>
      <c r="K1041359" s="19"/>
      <c r="L1041359" s="19"/>
      <c r="M1041359" s="19"/>
      <c r="N1041359" s="19"/>
    </row>
    <row r="1041360" spans="1:14" s="83" customFormat="1" ht="12.75">
      <c r="A1041360" s="19"/>
      <c r="B1041360" s="19"/>
      <c r="C1041360" s="19"/>
      <c r="D1041360" s="19"/>
      <c r="E1041360" s="19"/>
      <c r="F1041360" s="19"/>
      <c r="G1041360" s="19"/>
      <c r="H1041360" s="19"/>
      <c r="I1041360" s="19"/>
      <c r="J1041360" s="19"/>
      <c r="K1041360" s="19"/>
      <c r="L1041360" s="19"/>
      <c r="M1041360" s="19"/>
      <c r="N1041360" s="19"/>
    </row>
    <row r="1041361" spans="1:14" s="83" customFormat="1" ht="12.75">
      <c r="A1041361" s="19"/>
      <c r="B1041361" s="19"/>
      <c r="C1041361" s="19"/>
      <c r="D1041361" s="19"/>
      <c r="E1041361" s="19"/>
      <c r="F1041361" s="19"/>
      <c r="G1041361" s="19"/>
      <c r="H1041361" s="19"/>
      <c r="I1041361" s="19"/>
      <c r="J1041361" s="19"/>
      <c r="K1041361" s="19"/>
      <c r="L1041361" s="19"/>
      <c r="M1041361" s="19"/>
      <c r="N1041361" s="19"/>
    </row>
    <row r="1041362" spans="1:14" s="83" customFormat="1" ht="12.75">
      <c r="A1041362" s="19"/>
      <c r="B1041362" s="19"/>
      <c r="C1041362" s="19"/>
      <c r="D1041362" s="19"/>
      <c r="E1041362" s="19"/>
      <c r="F1041362" s="19"/>
      <c r="G1041362" s="19"/>
      <c r="H1041362" s="19"/>
      <c r="I1041362" s="19"/>
      <c r="J1041362" s="19"/>
      <c r="K1041362" s="19"/>
      <c r="L1041362" s="19"/>
      <c r="M1041362" s="19"/>
      <c r="N1041362" s="19"/>
    </row>
    <row r="1041363" spans="1:14" s="83" customFormat="1" ht="12.75">
      <c r="A1041363" s="19"/>
      <c r="B1041363" s="19"/>
      <c r="C1041363" s="19"/>
      <c r="D1041363" s="19"/>
      <c r="E1041363" s="19"/>
      <c r="F1041363" s="19"/>
      <c r="G1041363" s="19"/>
      <c r="H1041363" s="19"/>
      <c r="I1041363" s="19"/>
      <c r="J1041363" s="19"/>
      <c r="K1041363" s="19"/>
      <c r="L1041363" s="19"/>
      <c r="M1041363" s="19"/>
      <c r="N1041363" s="19"/>
    </row>
    <row r="1041364" spans="1:14" s="83" customFormat="1" ht="12.75">
      <c r="A1041364" s="19"/>
      <c r="B1041364" s="19"/>
      <c r="C1041364" s="19"/>
      <c r="D1041364" s="19"/>
      <c r="E1041364" s="19"/>
      <c r="F1041364" s="19"/>
      <c r="G1041364" s="19"/>
      <c r="H1041364" s="19"/>
      <c r="I1041364" s="19"/>
      <c r="J1041364" s="19"/>
      <c r="K1041364" s="19"/>
      <c r="L1041364" s="19"/>
      <c r="M1041364" s="19"/>
      <c r="N1041364" s="19"/>
    </row>
    <row r="1041365" spans="1:14" s="83" customFormat="1" ht="12.75">
      <c r="A1041365" s="19"/>
      <c r="B1041365" s="19"/>
      <c r="C1041365" s="19"/>
      <c r="D1041365" s="19"/>
      <c r="E1041365" s="19"/>
      <c r="F1041365" s="19"/>
      <c r="G1041365" s="19"/>
      <c r="H1041365" s="19"/>
      <c r="I1041365" s="19"/>
      <c r="J1041365" s="19"/>
      <c r="K1041365" s="19"/>
      <c r="L1041365" s="19"/>
      <c r="M1041365" s="19"/>
      <c r="N1041365" s="19"/>
    </row>
    <row r="1041366" spans="1:14" s="83" customFormat="1" ht="12.75">
      <c r="A1041366" s="19"/>
      <c r="B1041366" s="19"/>
      <c r="C1041366" s="19"/>
      <c r="D1041366" s="19"/>
      <c r="E1041366" s="19"/>
      <c r="F1041366" s="19"/>
      <c r="G1041366" s="19"/>
      <c r="H1041366" s="19"/>
      <c r="I1041366" s="19"/>
      <c r="J1041366" s="19"/>
      <c r="K1041366" s="19"/>
      <c r="L1041366" s="19"/>
      <c r="M1041366" s="19"/>
      <c r="N1041366" s="19"/>
    </row>
    <row r="1041367" spans="1:14" s="83" customFormat="1" ht="12.75">
      <c r="A1041367" s="19"/>
      <c r="B1041367" s="19"/>
      <c r="C1041367" s="19"/>
      <c r="D1041367" s="19"/>
      <c r="E1041367" s="19"/>
      <c r="F1041367" s="19"/>
      <c r="G1041367" s="19"/>
      <c r="H1041367" s="19"/>
      <c r="I1041367" s="19"/>
      <c r="J1041367" s="19"/>
      <c r="K1041367" s="19"/>
      <c r="L1041367" s="19"/>
      <c r="M1041367" s="19"/>
      <c r="N1041367" s="19"/>
    </row>
    <row r="1041368" spans="1:14" s="83" customFormat="1" ht="12.75">
      <c r="A1041368" s="19"/>
      <c r="B1041368" s="19"/>
      <c r="C1041368" s="19"/>
      <c r="D1041368" s="19"/>
      <c r="E1041368" s="19"/>
      <c r="F1041368" s="19"/>
      <c r="G1041368" s="19"/>
      <c r="H1041368" s="19"/>
      <c r="I1041368" s="19"/>
      <c r="J1041368" s="19"/>
      <c r="K1041368" s="19"/>
      <c r="L1041368" s="19"/>
      <c r="M1041368" s="19"/>
      <c r="N1041368" s="19"/>
    </row>
    <row r="1041369" spans="1:14" s="83" customFormat="1" ht="12.75">
      <c r="A1041369" s="19"/>
      <c r="B1041369" s="19"/>
      <c r="C1041369" s="19"/>
      <c r="D1041369" s="19"/>
      <c r="E1041369" s="19"/>
      <c r="F1041369" s="19"/>
      <c r="G1041369" s="19"/>
      <c r="H1041369" s="19"/>
      <c r="I1041369" s="19"/>
      <c r="J1041369" s="19"/>
      <c r="K1041369" s="19"/>
      <c r="L1041369" s="19"/>
      <c r="M1041369" s="19"/>
      <c r="N1041369" s="19"/>
    </row>
    <row r="1041370" spans="1:14" s="83" customFormat="1" ht="12.75">
      <c r="A1041370" s="19"/>
      <c r="B1041370" s="19"/>
      <c r="C1041370" s="19"/>
      <c r="D1041370" s="19"/>
      <c r="E1041370" s="19"/>
      <c r="F1041370" s="19"/>
      <c r="G1041370" s="19"/>
      <c r="H1041370" s="19"/>
      <c r="I1041370" s="19"/>
      <c r="J1041370" s="19"/>
      <c r="K1041370" s="19"/>
      <c r="L1041370" s="19"/>
      <c r="M1041370" s="19"/>
      <c r="N1041370" s="19"/>
    </row>
    <row r="1041371" spans="1:14" s="83" customFormat="1" ht="12.75">
      <c r="A1041371" s="19"/>
      <c r="B1041371" s="19"/>
      <c r="C1041371" s="19"/>
      <c r="D1041371" s="19"/>
      <c r="E1041371" s="19"/>
      <c r="F1041371" s="19"/>
      <c r="G1041371" s="19"/>
      <c r="H1041371" s="19"/>
      <c r="I1041371" s="19"/>
      <c r="J1041371" s="19"/>
      <c r="K1041371" s="19"/>
      <c r="L1041371" s="19"/>
      <c r="M1041371" s="19"/>
      <c r="N1041371" s="19"/>
    </row>
    <row r="1041372" spans="1:14" s="83" customFormat="1" ht="12.75">
      <c r="A1041372" s="19"/>
      <c r="B1041372" s="19"/>
      <c r="C1041372" s="19"/>
      <c r="D1041372" s="19"/>
      <c r="E1041372" s="19"/>
      <c r="F1041372" s="19"/>
      <c r="G1041372" s="19"/>
      <c r="H1041372" s="19"/>
      <c r="I1041372" s="19"/>
      <c r="J1041372" s="19"/>
      <c r="K1041372" s="19"/>
      <c r="L1041372" s="19"/>
      <c r="M1041372" s="19"/>
      <c r="N1041372" s="19"/>
    </row>
    <row r="1041373" spans="1:14" s="83" customFormat="1" ht="12.75">
      <c r="A1041373" s="19"/>
      <c r="B1041373" s="19"/>
      <c r="C1041373" s="19"/>
      <c r="D1041373" s="19"/>
      <c r="E1041373" s="19"/>
      <c r="F1041373" s="19"/>
      <c r="G1041373" s="19"/>
      <c r="H1041373" s="19"/>
      <c r="I1041373" s="19"/>
      <c r="J1041373" s="19"/>
      <c r="K1041373" s="19"/>
      <c r="L1041373" s="19"/>
      <c r="M1041373" s="19"/>
      <c r="N1041373" s="19"/>
    </row>
    <row r="1041374" spans="1:14" s="83" customFormat="1" ht="12.75">
      <c r="A1041374" s="19"/>
      <c r="B1041374" s="19"/>
      <c r="C1041374" s="19"/>
      <c r="D1041374" s="19"/>
      <c r="E1041374" s="19"/>
      <c r="F1041374" s="19"/>
      <c r="G1041374" s="19"/>
      <c r="H1041374" s="19"/>
      <c r="I1041374" s="19"/>
      <c r="J1041374" s="19"/>
      <c r="K1041374" s="19"/>
      <c r="L1041374" s="19"/>
      <c r="M1041374" s="19"/>
      <c r="N1041374" s="19"/>
    </row>
    <row r="1041375" spans="1:14" s="83" customFormat="1" ht="12.75">
      <c r="A1041375" s="19"/>
      <c r="B1041375" s="19"/>
      <c r="C1041375" s="19"/>
      <c r="D1041375" s="19"/>
      <c r="E1041375" s="19"/>
      <c r="F1041375" s="19"/>
      <c r="G1041375" s="19"/>
      <c r="H1041375" s="19"/>
      <c r="I1041375" s="19"/>
      <c r="J1041375" s="19"/>
      <c r="K1041375" s="19"/>
      <c r="L1041375" s="19"/>
      <c r="M1041375" s="19"/>
      <c r="N1041375" s="19"/>
    </row>
    <row r="1041376" spans="1:14" s="83" customFormat="1" ht="12.75">
      <c r="A1041376" s="19"/>
      <c r="B1041376" s="19"/>
      <c r="C1041376" s="19"/>
      <c r="D1041376" s="19"/>
      <c r="E1041376" s="19"/>
      <c r="F1041376" s="19"/>
      <c r="G1041376" s="19"/>
      <c r="H1041376" s="19"/>
      <c r="I1041376" s="19"/>
      <c r="J1041376" s="19"/>
      <c r="K1041376" s="19"/>
      <c r="L1041376" s="19"/>
      <c r="M1041376" s="19"/>
      <c r="N1041376" s="19"/>
    </row>
    <row r="1041377" spans="1:14" s="83" customFormat="1" ht="12.75">
      <c r="A1041377" s="19"/>
      <c r="B1041377" s="19"/>
      <c r="C1041377" s="19"/>
      <c r="D1041377" s="19"/>
      <c r="E1041377" s="19"/>
      <c r="F1041377" s="19"/>
      <c r="G1041377" s="19"/>
      <c r="H1041377" s="19"/>
      <c r="I1041377" s="19"/>
      <c r="J1041377" s="19"/>
      <c r="K1041377" s="19"/>
      <c r="L1041377" s="19"/>
      <c r="M1041377" s="19"/>
      <c r="N1041377" s="19"/>
    </row>
    <row r="1041378" spans="1:14" s="83" customFormat="1" ht="12.75">
      <c r="A1041378" s="19"/>
      <c r="B1041378" s="19"/>
      <c r="C1041378" s="19"/>
      <c r="D1041378" s="19"/>
      <c r="E1041378" s="19"/>
      <c r="F1041378" s="19"/>
      <c r="G1041378" s="19"/>
      <c r="H1041378" s="19"/>
      <c r="I1041378" s="19"/>
      <c r="J1041378" s="19"/>
      <c r="K1041378" s="19"/>
      <c r="L1041378" s="19"/>
      <c r="M1041378" s="19"/>
      <c r="N1041378" s="19"/>
    </row>
    <row r="1041379" spans="1:14" s="83" customFormat="1" ht="12.75">
      <c r="A1041379" s="19"/>
      <c r="B1041379" s="19"/>
      <c r="C1041379" s="19"/>
      <c r="D1041379" s="19"/>
      <c r="E1041379" s="19"/>
      <c r="F1041379" s="19"/>
      <c r="G1041379" s="19"/>
      <c r="H1041379" s="19"/>
      <c r="I1041379" s="19"/>
      <c r="J1041379" s="19"/>
      <c r="K1041379" s="19"/>
      <c r="L1041379" s="19"/>
      <c r="M1041379" s="19"/>
      <c r="N1041379" s="19"/>
    </row>
    <row r="1041380" spans="1:14" s="83" customFormat="1" ht="12.75">
      <c r="A1041380" s="19"/>
      <c r="B1041380" s="19"/>
      <c r="C1041380" s="19"/>
      <c r="D1041380" s="19"/>
      <c r="E1041380" s="19"/>
      <c r="F1041380" s="19"/>
      <c r="G1041380" s="19"/>
      <c r="H1041380" s="19"/>
      <c r="I1041380" s="19"/>
      <c r="J1041380" s="19"/>
      <c r="K1041380" s="19"/>
      <c r="L1041380" s="19"/>
      <c r="M1041380" s="19"/>
      <c r="N1041380" s="19"/>
    </row>
    <row r="1041381" spans="1:14" s="83" customFormat="1" ht="12.75">
      <c r="A1041381" s="19"/>
      <c r="B1041381" s="19"/>
      <c r="C1041381" s="19"/>
      <c r="D1041381" s="19"/>
      <c r="E1041381" s="19"/>
      <c r="F1041381" s="19"/>
      <c r="G1041381" s="19"/>
      <c r="H1041381" s="19"/>
      <c r="I1041381" s="19"/>
      <c r="J1041381" s="19"/>
      <c r="K1041381" s="19"/>
      <c r="L1041381" s="19"/>
      <c r="M1041381" s="19"/>
      <c r="N1041381" s="19"/>
    </row>
    <row r="1041382" spans="1:14" s="83" customFormat="1" ht="12.75">
      <c r="A1041382" s="19"/>
      <c r="B1041382" s="19"/>
      <c r="C1041382" s="19"/>
      <c r="D1041382" s="19"/>
      <c r="E1041382" s="19"/>
      <c r="F1041382" s="19"/>
      <c r="G1041382" s="19"/>
      <c r="H1041382" s="19"/>
      <c r="I1041382" s="19"/>
      <c r="J1041382" s="19"/>
      <c r="K1041382" s="19"/>
      <c r="L1041382" s="19"/>
      <c r="M1041382" s="19"/>
      <c r="N1041382" s="19"/>
    </row>
    <row r="1041383" spans="1:14" s="83" customFormat="1" ht="12.75">
      <c r="A1041383" s="19"/>
      <c r="B1041383" s="19"/>
      <c r="C1041383" s="19"/>
      <c r="D1041383" s="19"/>
      <c r="E1041383" s="19"/>
      <c r="F1041383" s="19"/>
      <c r="G1041383" s="19"/>
      <c r="H1041383" s="19"/>
      <c r="I1041383" s="19"/>
      <c r="J1041383" s="19"/>
      <c r="K1041383" s="19"/>
      <c r="L1041383" s="19"/>
      <c r="M1041383" s="19"/>
      <c r="N1041383" s="19"/>
    </row>
    <row r="1041384" spans="1:14" s="83" customFormat="1" ht="12.75">
      <c r="A1041384" s="19"/>
      <c r="B1041384" s="19"/>
      <c r="C1041384" s="19"/>
      <c r="D1041384" s="19"/>
      <c r="E1041384" s="19"/>
      <c r="F1041384" s="19"/>
      <c r="G1041384" s="19"/>
      <c r="H1041384" s="19"/>
      <c r="I1041384" s="19"/>
      <c r="J1041384" s="19"/>
      <c r="K1041384" s="19"/>
      <c r="L1041384" s="19"/>
      <c r="M1041384" s="19"/>
      <c r="N1041384" s="19"/>
    </row>
    <row r="1041385" spans="1:14" s="83" customFormat="1" ht="12.75">
      <c r="A1041385" s="19"/>
      <c r="B1041385" s="19"/>
      <c r="C1041385" s="19"/>
      <c r="D1041385" s="19"/>
      <c r="E1041385" s="19"/>
      <c r="F1041385" s="19"/>
      <c r="G1041385" s="19"/>
      <c r="H1041385" s="19"/>
      <c r="I1041385" s="19"/>
      <c r="J1041385" s="19"/>
      <c r="K1041385" s="19"/>
      <c r="L1041385" s="19"/>
      <c r="M1041385" s="19"/>
      <c r="N1041385" s="19"/>
    </row>
    <row r="1041386" spans="1:14" s="83" customFormat="1" ht="12.75">
      <c r="A1041386" s="19"/>
      <c r="B1041386" s="19"/>
      <c r="C1041386" s="19"/>
      <c r="D1041386" s="19"/>
      <c r="E1041386" s="19"/>
      <c r="F1041386" s="19"/>
      <c r="G1041386" s="19"/>
      <c r="H1041386" s="19"/>
      <c r="I1041386" s="19"/>
      <c r="J1041386" s="19"/>
      <c r="K1041386" s="19"/>
      <c r="L1041386" s="19"/>
      <c r="M1041386" s="19"/>
      <c r="N1041386" s="19"/>
    </row>
    <row r="1041387" spans="1:14" s="83" customFormat="1" ht="12.75">
      <c r="A1041387" s="19"/>
      <c r="B1041387" s="19"/>
      <c r="C1041387" s="19"/>
      <c r="D1041387" s="19"/>
      <c r="E1041387" s="19"/>
      <c r="F1041387" s="19"/>
      <c r="G1041387" s="19"/>
      <c r="H1041387" s="19"/>
      <c r="I1041387" s="19"/>
      <c r="J1041387" s="19"/>
      <c r="K1041387" s="19"/>
      <c r="L1041387" s="19"/>
      <c r="M1041387" s="19"/>
      <c r="N1041387" s="19"/>
    </row>
    <row r="1041388" spans="1:14" s="83" customFormat="1" ht="12.75">
      <c r="A1041388" s="19"/>
      <c r="B1041388" s="19"/>
      <c r="C1041388" s="19"/>
      <c r="D1041388" s="19"/>
      <c r="E1041388" s="19"/>
      <c r="F1041388" s="19"/>
      <c r="G1041388" s="19"/>
      <c r="H1041388" s="19"/>
      <c r="I1041388" s="19"/>
      <c r="J1041388" s="19"/>
      <c r="K1041388" s="19"/>
      <c r="L1041388" s="19"/>
      <c r="M1041388" s="19"/>
      <c r="N1041388" s="19"/>
    </row>
    <row r="1041389" spans="1:14" s="83" customFormat="1" ht="12.75">
      <c r="A1041389" s="19"/>
      <c r="B1041389" s="19"/>
      <c r="C1041389" s="19"/>
      <c r="D1041389" s="19"/>
      <c r="E1041389" s="19"/>
      <c r="F1041389" s="19"/>
      <c r="G1041389" s="19"/>
      <c r="H1041389" s="19"/>
      <c r="I1041389" s="19"/>
      <c r="J1041389" s="19"/>
      <c r="K1041389" s="19"/>
      <c r="L1041389" s="19"/>
      <c r="M1041389" s="19"/>
      <c r="N1041389" s="19"/>
    </row>
    <row r="1041390" spans="1:14" s="83" customFormat="1" ht="12.75">
      <c r="A1041390" s="19"/>
      <c r="B1041390" s="19"/>
      <c r="C1041390" s="19"/>
      <c r="D1041390" s="19"/>
      <c r="E1041390" s="19"/>
      <c r="F1041390" s="19"/>
      <c r="G1041390" s="19"/>
      <c r="H1041390" s="19"/>
      <c r="I1041390" s="19"/>
      <c r="J1041390" s="19"/>
      <c r="K1041390" s="19"/>
      <c r="L1041390" s="19"/>
      <c r="M1041390" s="19"/>
      <c r="N1041390" s="19"/>
    </row>
    <row r="1041391" spans="1:14" s="83" customFormat="1" ht="12.75">
      <c r="A1041391" s="19"/>
      <c r="B1041391" s="19"/>
      <c r="C1041391" s="19"/>
      <c r="D1041391" s="19"/>
      <c r="E1041391" s="19"/>
      <c r="F1041391" s="19"/>
      <c r="G1041391" s="19"/>
      <c r="H1041391" s="19"/>
      <c r="I1041391" s="19"/>
      <c r="J1041391" s="19"/>
      <c r="K1041391" s="19"/>
      <c r="L1041391" s="19"/>
      <c r="M1041391" s="19"/>
      <c r="N1041391" s="19"/>
    </row>
    <row r="1041392" spans="1:14" s="83" customFormat="1" ht="12.75">
      <c r="A1041392" s="19"/>
      <c r="B1041392" s="19"/>
      <c r="C1041392" s="19"/>
      <c r="D1041392" s="19"/>
      <c r="E1041392" s="19"/>
      <c r="F1041392" s="19"/>
      <c r="G1041392" s="19"/>
      <c r="H1041392" s="19"/>
      <c r="I1041392" s="19"/>
      <c r="J1041392" s="19"/>
      <c r="K1041392" s="19"/>
      <c r="L1041392" s="19"/>
      <c r="M1041392" s="19"/>
      <c r="N1041392" s="19"/>
    </row>
    <row r="1041393" spans="1:14" s="83" customFormat="1" ht="12.75">
      <c r="A1041393" s="19"/>
      <c r="B1041393" s="19"/>
      <c r="C1041393" s="19"/>
      <c r="D1041393" s="19"/>
      <c r="E1041393" s="19"/>
      <c r="F1041393" s="19"/>
      <c r="G1041393" s="19"/>
      <c r="H1041393" s="19"/>
      <c r="I1041393" s="19"/>
      <c r="J1041393" s="19"/>
      <c r="K1041393" s="19"/>
      <c r="L1041393" s="19"/>
      <c r="M1041393" s="19"/>
      <c r="N1041393" s="19"/>
    </row>
    <row r="1041394" spans="1:14" s="83" customFormat="1" ht="12.75">
      <c r="A1041394" s="19"/>
      <c r="B1041394" s="19"/>
      <c r="C1041394" s="19"/>
      <c r="D1041394" s="19"/>
      <c r="E1041394" s="19"/>
      <c r="F1041394" s="19"/>
      <c r="G1041394" s="19"/>
      <c r="H1041394" s="19"/>
      <c r="I1041394" s="19"/>
      <c r="J1041394" s="19"/>
      <c r="K1041394" s="19"/>
      <c r="L1041394" s="19"/>
      <c r="M1041394" s="19"/>
      <c r="N1041394" s="19"/>
    </row>
    <row r="1041395" spans="1:14" s="83" customFormat="1" ht="12.75">
      <c r="A1041395" s="19"/>
      <c r="B1041395" s="19"/>
      <c r="C1041395" s="19"/>
      <c r="D1041395" s="19"/>
      <c r="E1041395" s="19"/>
      <c r="F1041395" s="19"/>
      <c r="G1041395" s="19"/>
      <c r="H1041395" s="19"/>
      <c r="I1041395" s="19"/>
      <c r="J1041395" s="19"/>
      <c r="K1041395" s="19"/>
      <c r="L1041395" s="19"/>
      <c r="M1041395" s="19"/>
      <c r="N1041395" s="19"/>
    </row>
    <row r="1041396" spans="1:14" s="83" customFormat="1" ht="12.75">
      <c r="A1041396" s="19"/>
      <c r="B1041396" s="19"/>
      <c r="C1041396" s="19"/>
      <c r="D1041396" s="19"/>
      <c r="E1041396" s="19"/>
      <c r="F1041396" s="19"/>
      <c r="G1041396" s="19"/>
      <c r="H1041396" s="19"/>
      <c r="I1041396" s="19"/>
      <c r="J1041396" s="19"/>
      <c r="K1041396" s="19"/>
      <c r="L1041396" s="19"/>
      <c r="M1041396" s="19"/>
      <c r="N1041396" s="19"/>
    </row>
    <row r="1041397" spans="1:14" s="83" customFormat="1" ht="12.75">
      <c r="A1041397" s="19"/>
      <c r="B1041397" s="19"/>
      <c r="C1041397" s="19"/>
      <c r="D1041397" s="19"/>
      <c r="E1041397" s="19"/>
      <c r="F1041397" s="19"/>
      <c r="G1041397" s="19"/>
      <c r="H1041397" s="19"/>
      <c r="I1041397" s="19"/>
      <c r="J1041397" s="19"/>
      <c r="K1041397" s="19"/>
      <c r="L1041397" s="19"/>
      <c r="M1041397" s="19"/>
      <c r="N1041397" s="19"/>
    </row>
    <row r="1041398" spans="1:14" s="83" customFormat="1" ht="12.75">
      <c r="A1041398" s="19"/>
      <c r="B1041398" s="19"/>
      <c r="C1041398" s="19"/>
      <c r="D1041398" s="19"/>
      <c r="E1041398" s="19"/>
      <c r="F1041398" s="19"/>
      <c r="G1041398" s="19"/>
      <c r="H1041398" s="19"/>
      <c r="I1041398" s="19"/>
      <c r="J1041398" s="19"/>
      <c r="K1041398" s="19"/>
      <c r="L1041398" s="19"/>
      <c r="M1041398" s="19"/>
      <c r="N1041398" s="19"/>
    </row>
    <row r="1041399" spans="1:14" s="83" customFormat="1" ht="12.75">
      <c r="A1041399" s="19"/>
      <c r="B1041399" s="19"/>
      <c r="C1041399" s="19"/>
      <c r="D1041399" s="19"/>
      <c r="E1041399" s="19"/>
      <c r="F1041399" s="19"/>
      <c r="G1041399" s="19"/>
      <c r="H1041399" s="19"/>
      <c r="I1041399" s="19"/>
      <c r="J1041399" s="19"/>
      <c r="K1041399" s="19"/>
      <c r="L1041399" s="19"/>
      <c r="M1041399" s="19"/>
      <c r="N1041399" s="19"/>
    </row>
    <row r="1041400" spans="1:14" s="83" customFormat="1" ht="12.75">
      <c r="A1041400" s="19"/>
      <c r="B1041400" s="19"/>
      <c r="C1041400" s="19"/>
      <c r="D1041400" s="19"/>
      <c r="E1041400" s="19"/>
      <c r="F1041400" s="19"/>
      <c r="G1041400" s="19"/>
      <c r="H1041400" s="19"/>
      <c r="I1041400" s="19"/>
      <c r="J1041400" s="19"/>
      <c r="K1041400" s="19"/>
      <c r="L1041400" s="19"/>
      <c r="M1041400" s="19"/>
      <c r="N1041400" s="19"/>
    </row>
    <row r="1041401" spans="1:14" s="83" customFormat="1" ht="12.75">
      <c r="A1041401" s="19"/>
      <c r="B1041401" s="19"/>
      <c r="C1041401" s="19"/>
      <c r="D1041401" s="19"/>
      <c r="E1041401" s="19"/>
      <c r="F1041401" s="19"/>
      <c r="G1041401" s="19"/>
      <c r="H1041401" s="19"/>
      <c r="I1041401" s="19"/>
      <c r="J1041401" s="19"/>
      <c r="K1041401" s="19"/>
      <c r="L1041401" s="19"/>
      <c r="M1041401" s="19"/>
      <c r="N1041401" s="19"/>
    </row>
    <row r="1041402" spans="1:14" s="83" customFormat="1" ht="12.75">
      <c r="A1041402" s="19"/>
      <c r="B1041402" s="19"/>
      <c r="C1041402" s="19"/>
      <c r="D1041402" s="19"/>
      <c r="E1041402" s="19"/>
      <c r="F1041402" s="19"/>
      <c r="G1041402" s="19"/>
      <c r="H1041402" s="19"/>
      <c r="I1041402" s="19"/>
      <c r="J1041402" s="19"/>
      <c r="K1041402" s="19"/>
      <c r="L1041402" s="19"/>
      <c r="M1041402" s="19"/>
      <c r="N1041402" s="19"/>
    </row>
    <row r="1041403" spans="1:14" s="83" customFormat="1" ht="12.75">
      <c r="A1041403" s="19"/>
      <c r="B1041403" s="19"/>
      <c r="C1041403" s="19"/>
      <c r="D1041403" s="19"/>
      <c r="E1041403" s="19"/>
      <c r="F1041403" s="19"/>
      <c r="G1041403" s="19"/>
      <c r="H1041403" s="19"/>
      <c r="I1041403" s="19"/>
      <c r="J1041403" s="19"/>
      <c r="K1041403" s="19"/>
      <c r="L1041403" s="19"/>
      <c r="M1041403" s="19"/>
      <c r="N1041403" s="19"/>
    </row>
    <row r="1041404" spans="1:14" s="83" customFormat="1" ht="12.75">
      <c r="A1041404" s="19"/>
      <c r="B1041404" s="19"/>
      <c r="C1041404" s="19"/>
      <c r="D1041404" s="19"/>
      <c r="E1041404" s="19"/>
      <c r="F1041404" s="19"/>
      <c r="G1041404" s="19"/>
      <c r="H1041404" s="19"/>
      <c r="I1041404" s="19"/>
      <c r="J1041404" s="19"/>
      <c r="K1041404" s="19"/>
      <c r="L1041404" s="19"/>
      <c r="M1041404" s="19"/>
      <c r="N1041404" s="19"/>
    </row>
    <row r="1041405" spans="1:14" s="83" customFormat="1" ht="12.75">
      <c r="A1041405" s="19"/>
      <c r="B1041405" s="19"/>
      <c r="C1041405" s="19"/>
      <c r="D1041405" s="19"/>
      <c r="E1041405" s="19"/>
      <c r="F1041405" s="19"/>
      <c r="G1041405" s="19"/>
      <c r="H1041405" s="19"/>
      <c r="I1041405" s="19"/>
      <c r="J1041405" s="19"/>
      <c r="K1041405" s="19"/>
      <c r="L1041405" s="19"/>
      <c r="M1041405" s="19"/>
      <c r="N1041405" s="19"/>
    </row>
    <row r="1041406" spans="1:14" s="83" customFormat="1" ht="12.75">
      <c r="A1041406" s="19"/>
      <c r="B1041406" s="19"/>
      <c r="C1041406" s="19"/>
      <c r="D1041406" s="19"/>
      <c r="E1041406" s="19"/>
      <c r="F1041406" s="19"/>
      <c r="G1041406" s="19"/>
      <c r="H1041406" s="19"/>
      <c r="I1041406" s="19"/>
      <c r="J1041406" s="19"/>
      <c r="K1041406" s="19"/>
      <c r="L1041406" s="19"/>
      <c r="M1041406" s="19"/>
      <c r="N1041406" s="19"/>
    </row>
    <row r="1041407" spans="1:14" s="83" customFormat="1" ht="12.75">
      <c r="A1041407" s="19"/>
      <c r="B1041407" s="19"/>
      <c r="C1041407" s="19"/>
      <c r="D1041407" s="19"/>
      <c r="E1041407" s="19"/>
      <c r="F1041407" s="19"/>
      <c r="G1041407" s="19"/>
      <c r="H1041407" s="19"/>
      <c r="I1041407" s="19"/>
      <c r="J1041407" s="19"/>
      <c r="K1041407" s="19"/>
      <c r="L1041407" s="19"/>
      <c r="M1041407" s="19"/>
      <c r="N1041407" s="19"/>
    </row>
    <row r="1041408" spans="1:14" s="83" customFormat="1" ht="12.75">
      <c r="A1041408" s="19"/>
      <c r="B1041408" s="19"/>
      <c r="C1041408" s="19"/>
      <c r="D1041408" s="19"/>
      <c r="E1041408" s="19"/>
      <c r="F1041408" s="19"/>
      <c r="G1041408" s="19"/>
      <c r="H1041408" s="19"/>
      <c r="I1041408" s="19"/>
      <c r="J1041408" s="19"/>
      <c r="K1041408" s="19"/>
      <c r="L1041408" s="19"/>
      <c r="M1041408" s="19"/>
      <c r="N1041408" s="19"/>
    </row>
    <row r="1041409" spans="1:14" s="83" customFormat="1" ht="12.75">
      <c r="A1041409" s="19"/>
      <c r="B1041409" s="19"/>
      <c r="C1041409" s="19"/>
      <c r="D1041409" s="19"/>
      <c r="E1041409" s="19"/>
      <c r="F1041409" s="19"/>
      <c r="G1041409" s="19"/>
      <c r="H1041409" s="19"/>
      <c r="I1041409" s="19"/>
      <c r="J1041409" s="19"/>
      <c r="K1041409" s="19"/>
      <c r="L1041409" s="19"/>
      <c r="M1041409" s="19"/>
      <c r="N1041409" s="19"/>
    </row>
    <row r="1041410" spans="1:14" s="83" customFormat="1" ht="12.75">
      <c r="A1041410" s="19"/>
      <c r="B1041410" s="19"/>
      <c r="C1041410" s="19"/>
      <c r="D1041410" s="19"/>
      <c r="E1041410" s="19"/>
      <c r="F1041410" s="19"/>
      <c r="G1041410" s="19"/>
      <c r="H1041410" s="19"/>
      <c r="I1041410" s="19"/>
      <c r="J1041410" s="19"/>
      <c r="K1041410" s="19"/>
      <c r="L1041410" s="19"/>
      <c r="M1041410" s="19"/>
      <c r="N1041410" s="19"/>
    </row>
    <row r="1041411" spans="1:14" s="83" customFormat="1" ht="12.75">
      <c r="A1041411" s="19"/>
      <c r="B1041411" s="19"/>
      <c r="C1041411" s="19"/>
      <c r="D1041411" s="19"/>
      <c r="E1041411" s="19"/>
      <c r="F1041411" s="19"/>
      <c r="G1041411" s="19"/>
      <c r="H1041411" s="19"/>
      <c r="I1041411" s="19"/>
      <c r="J1041411" s="19"/>
      <c r="K1041411" s="19"/>
      <c r="L1041411" s="19"/>
      <c r="M1041411" s="19"/>
      <c r="N1041411" s="19"/>
    </row>
    <row r="1041412" spans="1:14" s="83" customFormat="1" ht="12.75">
      <c r="A1041412" s="19"/>
      <c r="B1041412" s="19"/>
      <c r="C1041412" s="19"/>
      <c r="D1041412" s="19"/>
      <c r="E1041412" s="19"/>
      <c r="F1041412" s="19"/>
      <c r="G1041412" s="19"/>
      <c r="H1041412" s="19"/>
      <c r="I1041412" s="19"/>
      <c r="J1041412" s="19"/>
      <c r="K1041412" s="19"/>
      <c r="L1041412" s="19"/>
      <c r="M1041412" s="19"/>
      <c r="N1041412" s="19"/>
    </row>
    <row r="1041413" spans="1:14" s="83" customFormat="1" ht="12.75">
      <c r="A1041413" s="19"/>
      <c r="B1041413" s="19"/>
      <c r="C1041413" s="19"/>
      <c r="D1041413" s="19"/>
      <c r="E1041413" s="19"/>
      <c r="F1041413" s="19"/>
      <c r="G1041413" s="19"/>
      <c r="H1041413" s="19"/>
      <c r="I1041413" s="19"/>
      <c r="J1041413" s="19"/>
      <c r="K1041413" s="19"/>
      <c r="L1041413" s="19"/>
      <c r="M1041413" s="19"/>
      <c r="N1041413" s="19"/>
    </row>
    <row r="1041414" spans="1:14" s="83" customFormat="1" ht="12.75">
      <c r="A1041414" s="19"/>
      <c r="B1041414" s="19"/>
      <c r="C1041414" s="19"/>
      <c r="D1041414" s="19"/>
      <c r="E1041414" s="19"/>
      <c r="F1041414" s="19"/>
      <c r="G1041414" s="19"/>
      <c r="H1041414" s="19"/>
      <c r="I1041414" s="19"/>
      <c r="J1041414" s="19"/>
      <c r="K1041414" s="19"/>
      <c r="L1041414" s="19"/>
      <c r="M1041414" s="19"/>
      <c r="N1041414" s="19"/>
    </row>
    <row r="1041415" spans="1:14" s="83" customFormat="1" ht="12.75">
      <c r="A1041415" s="19"/>
      <c r="B1041415" s="19"/>
      <c r="C1041415" s="19"/>
      <c r="D1041415" s="19"/>
      <c r="E1041415" s="19"/>
      <c r="F1041415" s="19"/>
      <c r="G1041415" s="19"/>
      <c r="H1041415" s="19"/>
      <c r="I1041415" s="19"/>
      <c r="J1041415" s="19"/>
      <c r="K1041415" s="19"/>
      <c r="L1041415" s="19"/>
      <c r="M1041415" s="19"/>
      <c r="N1041415" s="19"/>
    </row>
    <row r="1041416" spans="1:14" s="83" customFormat="1" ht="12.75">
      <c r="A1041416" s="19"/>
      <c r="B1041416" s="19"/>
      <c r="C1041416" s="19"/>
      <c r="D1041416" s="19"/>
      <c r="E1041416" s="19"/>
      <c r="F1041416" s="19"/>
      <c r="G1041416" s="19"/>
      <c r="H1041416" s="19"/>
      <c r="I1041416" s="19"/>
      <c r="J1041416" s="19"/>
      <c r="K1041416" s="19"/>
      <c r="L1041416" s="19"/>
      <c r="M1041416" s="19"/>
      <c r="N1041416" s="19"/>
    </row>
    <row r="1041417" spans="1:14" s="83" customFormat="1" ht="12.75">
      <c r="A1041417" s="19"/>
      <c r="B1041417" s="19"/>
      <c r="C1041417" s="19"/>
      <c r="D1041417" s="19"/>
      <c r="E1041417" s="19"/>
      <c r="F1041417" s="19"/>
      <c r="G1041417" s="19"/>
      <c r="H1041417" s="19"/>
      <c r="I1041417" s="19"/>
      <c r="J1041417" s="19"/>
      <c r="K1041417" s="19"/>
      <c r="L1041417" s="19"/>
      <c r="M1041417" s="19"/>
      <c r="N1041417" s="19"/>
    </row>
    <row r="1041418" spans="1:14" s="83" customFormat="1" ht="12.75">
      <c r="A1041418" s="19"/>
      <c r="B1041418" s="19"/>
      <c r="C1041418" s="19"/>
      <c r="D1041418" s="19"/>
      <c r="E1041418" s="19"/>
      <c r="F1041418" s="19"/>
      <c r="G1041418" s="19"/>
      <c r="H1041418" s="19"/>
      <c r="I1041418" s="19"/>
      <c r="J1041418" s="19"/>
      <c r="K1041418" s="19"/>
      <c r="L1041418" s="19"/>
      <c r="M1041418" s="19"/>
      <c r="N1041418" s="19"/>
    </row>
    <row r="1041419" spans="1:14" s="83" customFormat="1" ht="12.75">
      <c r="A1041419" s="19"/>
      <c r="B1041419" s="19"/>
      <c r="C1041419" s="19"/>
      <c r="D1041419" s="19"/>
      <c r="E1041419" s="19"/>
      <c r="F1041419" s="19"/>
      <c r="G1041419" s="19"/>
      <c r="H1041419" s="19"/>
      <c r="I1041419" s="19"/>
      <c r="J1041419" s="19"/>
      <c r="K1041419" s="19"/>
      <c r="L1041419" s="19"/>
      <c r="M1041419" s="19"/>
      <c r="N1041419" s="19"/>
    </row>
    <row r="1041420" spans="1:14" s="83" customFormat="1" ht="12.75">
      <c r="A1041420" s="19"/>
      <c r="B1041420" s="19"/>
      <c r="C1041420" s="19"/>
      <c r="D1041420" s="19"/>
      <c r="E1041420" s="19"/>
      <c r="F1041420" s="19"/>
      <c r="G1041420" s="19"/>
      <c r="H1041420" s="19"/>
      <c r="I1041420" s="19"/>
      <c r="J1041420" s="19"/>
      <c r="K1041420" s="19"/>
      <c r="L1041420" s="19"/>
      <c r="M1041420" s="19"/>
      <c r="N1041420" s="19"/>
    </row>
    <row r="1041421" spans="1:14" s="83" customFormat="1" ht="12.75">
      <c r="A1041421" s="19"/>
      <c r="B1041421" s="19"/>
      <c r="C1041421" s="19"/>
      <c r="D1041421" s="19"/>
      <c r="E1041421" s="19"/>
      <c r="F1041421" s="19"/>
      <c r="G1041421" s="19"/>
      <c r="H1041421" s="19"/>
      <c r="I1041421" s="19"/>
      <c r="J1041421" s="19"/>
      <c r="K1041421" s="19"/>
      <c r="L1041421" s="19"/>
      <c r="M1041421" s="19"/>
      <c r="N1041421" s="19"/>
    </row>
    <row r="1041422" spans="1:14" s="83" customFormat="1" ht="12.75">
      <c r="A1041422" s="19"/>
      <c r="B1041422" s="19"/>
      <c r="C1041422" s="19"/>
      <c r="D1041422" s="19"/>
      <c r="E1041422" s="19"/>
      <c r="F1041422" s="19"/>
      <c r="G1041422" s="19"/>
      <c r="H1041422" s="19"/>
      <c r="I1041422" s="19"/>
      <c r="J1041422" s="19"/>
      <c r="K1041422" s="19"/>
      <c r="L1041422" s="19"/>
      <c r="M1041422" s="19"/>
      <c r="N1041422" s="19"/>
    </row>
    <row r="1041423" spans="1:14" s="83" customFormat="1" ht="12.75">
      <c r="A1041423" s="19"/>
      <c r="B1041423" s="19"/>
      <c r="C1041423" s="19"/>
      <c r="D1041423" s="19"/>
      <c r="E1041423" s="19"/>
      <c r="F1041423" s="19"/>
      <c r="G1041423" s="19"/>
      <c r="H1041423" s="19"/>
      <c r="I1041423" s="19"/>
      <c r="J1041423" s="19"/>
      <c r="K1041423" s="19"/>
      <c r="L1041423" s="19"/>
      <c r="M1041423" s="19"/>
      <c r="N1041423" s="19"/>
    </row>
    <row r="1041424" spans="1:14" s="83" customFormat="1" ht="12.75">
      <c r="A1041424" s="19"/>
      <c r="B1041424" s="19"/>
      <c r="C1041424" s="19"/>
      <c r="D1041424" s="19"/>
      <c r="E1041424" s="19"/>
      <c r="F1041424" s="19"/>
      <c r="G1041424" s="19"/>
      <c r="H1041424" s="19"/>
      <c r="I1041424" s="19"/>
      <c r="J1041424" s="19"/>
      <c r="K1041424" s="19"/>
      <c r="L1041424" s="19"/>
      <c r="M1041424" s="19"/>
      <c r="N1041424" s="19"/>
    </row>
    <row r="1041425" spans="1:14" s="83" customFormat="1" ht="12.75">
      <c r="A1041425" s="19"/>
      <c r="B1041425" s="19"/>
      <c r="C1041425" s="19"/>
      <c r="D1041425" s="19"/>
      <c r="E1041425" s="19"/>
      <c r="F1041425" s="19"/>
      <c r="G1041425" s="19"/>
      <c r="H1041425" s="19"/>
      <c r="I1041425" s="19"/>
      <c r="J1041425" s="19"/>
      <c r="K1041425" s="19"/>
      <c r="L1041425" s="19"/>
      <c r="M1041425" s="19"/>
      <c r="N1041425" s="19"/>
    </row>
    <row r="1041426" spans="1:14" s="83" customFormat="1" ht="12.75">
      <c r="A1041426" s="19"/>
      <c r="B1041426" s="19"/>
      <c r="C1041426" s="19"/>
      <c r="D1041426" s="19"/>
      <c r="E1041426" s="19"/>
      <c r="F1041426" s="19"/>
      <c r="G1041426" s="19"/>
      <c r="H1041426" s="19"/>
      <c r="I1041426" s="19"/>
      <c r="J1041426" s="19"/>
      <c r="K1041426" s="19"/>
      <c r="L1041426" s="19"/>
      <c r="M1041426" s="19"/>
      <c r="N1041426" s="19"/>
    </row>
    <row r="1041427" spans="1:14" s="83" customFormat="1" ht="12.75">
      <c r="A1041427" s="19"/>
      <c r="B1041427" s="19"/>
      <c r="C1041427" s="19"/>
      <c r="D1041427" s="19"/>
      <c r="E1041427" s="19"/>
      <c r="F1041427" s="19"/>
      <c r="G1041427" s="19"/>
      <c r="H1041427" s="19"/>
      <c r="I1041427" s="19"/>
      <c r="J1041427" s="19"/>
      <c r="K1041427" s="19"/>
      <c r="L1041427" s="19"/>
      <c r="M1041427" s="19"/>
      <c r="N1041427" s="19"/>
    </row>
    <row r="1041428" spans="1:14" s="83" customFormat="1" ht="12.75">
      <c r="A1041428" s="19"/>
      <c r="B1041428" s="19"/>
      <c r="C1041428" s="19"/>
      <c r="D1041428" s="19"/>
      <c r="E1041428" s="19"/>
      <c r="F1041428" s="19"/>
      <c r="G1041428" s="19"/>
      <c r="H1041428" s="19"/>
      <c r="I1041428" s="19"/>
      <c r="J1041428" s="19"/>
      <c r="K1041428" s="19"/>
      <c r="L1041428" s="19"/>
      <c r="M1041428" s="19"/>
      <c r="N1041428" s="19"/>
    </row>
    <row r="1041429" spans="1:14" s="83" customFormat="1" ht="12.75">
      <c r="A1041429" s="19"/>
      <c r="B1041429" s="19"/>
      <c r="C1041429" s="19"/>
      <c r="D1041429" s="19"/>
      <c r="E1041429" s="19"/>
      <c r="F1041429" s="19"/>
      <c r="G1041429" s="19"/>
      <c r="H1041429" s="19"/>
      <c r="I1041429" s="19"/>
      <c r="J1041429" s="19"/>
      <c r="K1041429" s="19"/>
      <c r="L1041429" s="19"/>
      <c r="M1041429" s="19"/>
      <c r="N1041429" s="19"/>
    </row>
    <row r="1041430" spans="1:14" s="83" customFormat="1" ht="12.75">
      <c r="A1041430" s="19"/>
      <c r="B1041430" s="19"/>
      <c r="C1041430" s="19"/>
      <c r="D1041430" s="19"/>
      <c r="E1041430" s="19"/>
      <c r="F1041430" s="19"/>
      <c r="G1041430" s="19"/>
      <c r="H1041430" s="19"/>
      <c r="I1041430" s="19"/>
      <c r="J1041430" s="19"/>
      <c r="K1041430" s="19"/>
      <c r="L1041430" s="19"/>
      <c r="M1041430" s="19"/>
      <c r="N1041430" s="19"/>
    </row>
    <row r="1041431" spans="1:14" s="83" customFormat="1" ht="12.75">
      <c r="A1041431" s="19"/>
      <c r="B1041431" s="19"/>
      <c r="C1041431" s="19"/>
      <c r="D1041431" s="19"/>
      <c r="E1041431" s="19"/>
      <c r="F1041431" s="19"/>
      <c r="G1041431" s="19"/>
      <c r="H1041431" s="19"/>
      <c r="I1041431" s="19"/>
      <c r="J1041431" s="19"/>
      <c r="K1041431" s="19"/>
      <c r="L1041431" s="19"/>
      <c r="M1041431" s="19"/>
      <c r="N1041431" s="19"/>
    </row>
    <row r="1041432" spans="1:14" s="83" customFormat="1" ht="12.75">
      <c r="A1041432" s="19"/>
      <c r="B1041432" s="19"/>
      <c r="C1041432" s="19"/>
      <c r="D1041432" s="19"/>
      <c r="E1041432" s="19"/>
      <c r="F1041432" s="19"/>
      <c r="G1041432" s="19"/>
      <c r="H1041432" s="19"/>
      <c r="I1041432" s="19"/>
      <c r="J1041432" s="19"/>
      <c r="K1041432" s="19"/>
      <c r="L1041432" s="19"/>
      <c r="M1041432" s="19"/>
      <c r="N1041432" s="19"/>
    </row>
    <row r="1041433" spans="1:14" s="83" customFormat="1" ht="12.75">
      <c r="A1041433" s="19"/>
      <c r="B1041433" s="19"/>
      <c r="C1041433" s="19"/>
      <c r="D1041433" s="19"/>
      <c r="E1041433" s="19"/>
      <c r="F1041433" s="19"/>
      <c r="G1041433" s="19"/>
      <c r="H1041433" s="19"/>
      <c r="I1041433" s="19"/>
      <c r="J1041433" s="19"/>
      <c r="K1041433" s="19"/>
      <c r="L1041433" s="19"/>
      <c r="M1041433" s="19"/>
      <c r="N1041433" s="19"/>
    </row>
    <row r="1041434" spans="1:14" s="83" customFormat="1" ht="12.75">
      <c r="A1041434" s="19"/>
      <c r="B1041434" s="19"/>
      <c r="C1041434" s="19"/>
      <c r="D1041434" s="19"/>
      <c r="E1041434" s="19"/>
      <c r="F1041434" s="19"/>
      <c r="G1041434" s="19"/>
      <c r="H1041434" s="19"/>
      <c r="I1041434" s="19"/>
      <c r="J1041434" s="19"/>
      <c r="K1041434" s="19"/>
      <c r="L1041434" s="19"/>
      <c r="M1041434" s="19"/>
      <c r="N1041434" s="19"/>
    </row>
    <row r="1041435" spans="1:14" s="83" customFormat="1" ht="12.75">
      <c r="A1041435" s="19"/>
      <c r="B1041435" s="19"/>
      <c r="C1041435" s="19"/>
      <c r="D1041435" s="19"/>
      <c r="E1041435" s="19"/>
      <c r="F1041435" s="19"/>
      <c r="G1041435" s="19"/>
      <c r="H1041435" s="19"/>
      <c r="I1041435" s="19"/>
      <c r="J1041435" s="19"/>
      <c r="K1041435" s="19"/>
      <c r="L1041435" s="19"/>
      <c r="M1041435" s="19"/>
      <c r="N1041435" s="19"/>
    </row>
    <row r="1041436" spans="1:14" s="83" customFormat="1" ht="12.75">
      <c r="A1041436" s="19"/>
      <c r="B1041436" s="19"/>
      <c r="C1041436" s="19"/>
      <c r="D1041436" s="19"/>
      <c r="E1041436" s="19"/>
      <c r="F1041436" s="19"/>
      <c r="G1041436" s="19"/>
      <c r="H1041436" s="19"/>
      <c r="I1041436" s="19"/>
      <c r="J1041436" s="19"/>
      <c r="K1041436" s="19"/>
      <c r="L1041436" s="19"/>
      <c r="M1041436" s="19"/>
      <c r="N1041436" s="19"/>
    </row>
    <row r="1041437" spans="1:14" s="83" customFormat="1" ht="12.75">
      <c r="A1041437" s="19"/>
      <c r="B1041437" s="19"/>
      <c r="C1041437" s="19"/>
      <c r="D1041437" s="19"/>
      <c r="E1041437" s="19"/>
      <c r="F1041437" s="19"/>
      <c r="G1041437" s="19"/>
      <c r="H1041437" s="19"/>
      <c r="I1041437" s="19"/>
      <c r="J1041437" s="19"/>
      <c r="K1041437" s="19"/>
      <c r="L1041437" s="19"/>
      <c r="M1041437" s="19"/>
      <c r="N1041437" s="19"/>
    </row>
    <row r="1041438" spans="1:14" s="83" customFormat="1" ht="12.75">
      <c r="A1041438" s="19"/>
      <c r="B1041438" s="19"/>
      <c r="C1041438" s="19"/>
      <c r="D1041438" s="19"/>
      <c r="E1041438" s="19"/>
      <c r="F1041438" s="19"/>
      <c r="G1041438" s="19"/>
      <c r="H1041438" s="19"/>
      <c r="I1041438" s="19"/>
      <c r="J1041438" s="19"/>
      <c r="K1041438" s="19"/>
      <c r="L1041438" s="19"/>
      <c r="M1041438" s="19"/>
      <c r="N1041438" s="19"/>
    </row>
    <row r="1041439" spans="1:14" s="83" customFormat="1" ht="12.75">
      <c r="A1041439" s="19"/>
      <c r="B1041439" s="19"/>
      <c r="C1041439" s="19"/>
      <c r="D1041439" s="19"/>
      <c r="E1041439" s="19"/>
      <c r="F1041439" s="19"/>
      <c r="G1041439" s="19"/>
      <c r="H1041439" s="19"/>
      <c r="I1041439" s="19"/>
      <c r="J1041439" s="19"/>
      <c r="K1041439" s="19"/>
      <c r="L1041439" s="19"/>
      <c r="M1041439" s="19"/>
      <c r="N1041439" s="19"/>
    </row>
    <row r="1041440" spans="1:14" s="83" customFormat="1" ht="12.75">
      <c r="A1041440" s="19"/>
      <c r="B1041440" s="19"/>
      <c r="C1041440" s="19"/>
      <c r="D1041440" s="19"/>
      <c r="E1041440" s="19"/>
      <c r="F1041440" s="19"/>
      <c r="G1041440" s="19"/>
      <c r="H1041440" s="19"/>
      <c r="I1041440" s="19"/>
      <c r="J1041440" s="19"/>
      <c r="K1041440" s="19"/>
      <c r="L1041440" s="19"/>
      <c r="M1041440" s="19"/>
      <c r="N1041440" s="19"/>
    </row>
    <row r="1041441" spans="1:14" s="83" customFormat="1" ht="12.75">
      <c r="A1041441" s="19"/>
      <c r="B1041441" s="19"/>
      <c r="C1041441" s="19"/>
      <c r="D1041441" s="19"/>
      <c r="E1041441" s="19"/>
      <c r="F1041441" s="19"/>
      <c r="G1041441" s="19"/>
      <c r="H1041441" s="19"/>
      <c r="I1041441" s="19"/>
      <c r="J1041441" s="19"/>
      <c r="K1041441" s="19"/>
      <c r="L1041441" s="19"/>
      <c r="M1041441" s="19"/>
      <c r="N1041441" s="19"/>
    </row>
    <row r="1041442" spans="1:14" s="83" customFormat="1" ht="12.75">
      <c r="A1041442" s="19"/>
      <c r="B1041442" s="19"/>
      <c r="C1041442" s="19"/>
      <c r="D1041442" s="19"/>
      <c r="E1041442" s="19"/>
      <c r="F1041442" s="19"/>
      <c r="G1041442" s="19"/>
      <c r="H1041442" s="19"/>
      <c r="I1041442" s="19"/>
      <c r="J1041442" s="19"/>
      <c r="K1041442" s="19"/>
      <c r="L1041442" s="19"/>
      <c r="M1041442" s="19"/>
      <c r="N1041442" s="19"/>
    </row>
    <row r="1041443" spans="1:14" s="83" customFormat="1" ht="12.75">
      <c r="A1041443" s="19"/>
      <c r="B1041443" s="19"/>
      <c r="C1041443" s="19"/>
      <c r="D1041443" s="19"/>
      <c r="E1041443" s="19"/>
      <c r="F1041443" s="19"/>
      <c r="G1041443" s="19"/>
      <c r="H1041443" s="19"/>
      <c r="I1041443" s="19"/>
      <c r="J1041443" s="19"/>
      <c r="K1041443" s="19"/>
      <c r="L1041443" s="19"/>
      <c r="M1041443" s="19"/>
      <c r="N1041443" s="19"/>
    </row>
    <row r="1041444" spans="1:14" s="83" customFormat="1" ht="12.75">
      <c r="A1041444" s="19"/>
      <c r="B1041444" s="19"/>
      <c r="C1041444" s="19"/>
      <c r="D1041444" s="19"/>
      <c r="E1041444" s="19"/>
      <c r="F1041444" s="19"/>
      <c r="G1041444" s="19"/>
      <c r="H1041444" s="19"/>
      <c r="I1041444" s="19"/>
      <c r="J1041444" s="19"/>
      <c r="K1041444" s="19"/>
      <c r="L1041444" s="19"/>
      <c r="M1041444" s="19"/>
      <c r="N1041444" s="19"/>
    </row>
    <row r="1041445" spans="1:14" s="83" customFormat="1" ht="12.75">
      <c r="A1041445" s="19"/>
      <c r="B1041445" s="19"/>
      <c r="C1041445" s="19"/>
      <c r="D1041445" s="19"/>
      <c r="E1041445" s="19"/>
      <c r="F1041445" s="19"/>
      <c r="G1041445" s="19"/>
      <c r="H1041445" s="19"/>
      <c r="I1041445" s="19"/>
      <c r="J1041445" s="19"/>
      <c r="K1041445" s="19"/>
      <c r="L1041445" s="19"/>
      <c r="M1041445" s="19"/>
      <c r="N1041445" s="19"/>
    </row>
    <row r="1041446" spans="1:14" s="83" customFormat="1" ht="12.75">
      <c r="A1041446" s="19"/>
      <c r="B1041446" s="19"/>
      <c r="C1041446" s="19"/>
      <c r="D1041446" s="19"/>
      <c r="E1041446" s="19"/>
      <c r="F1041446" s="19"/>
      <c r="G1041446" s="19"/>
      <c r="H1041446" s="19"/>
      <c r="I1041446" s="19"/>
      <c r="J1041446" s="19"/>
      <c r="K1041446" s="19"/>
      <c r="L1041446" s="19"/>
      <c r="M1041446" s="19"/>
      <c r="N1041446" s="19"/>
    </row>
    <row r="1041447" spans="1:14" s="83" customFormat="1" ht="12.75">
      <c r="A1041447" s="19"/>
      <c r="B1041447" s="19"/>
      <c r="C1041447" s="19"/>
      <c r="D1041447" s="19"/>
      <c r="E1041447" s="19"/>
      <c r="F1041447" s="19"/>
      <c r="G1041447" s="19"/>
      <c r="H1041447" s="19"/>
      <c r="I1041447" s="19"/>
      <c r="J1041447" s="19"/>
      <c r="K1041447" s="19"/>
      <c r="L1041447" s="19"/>
      <c r="M1041447" s="19"/>
      <c r="N1041447" s="19"/>
    </row>
    <row r="1041448" spans="1:14" s="83" customFormat="1" ht="12.75">
      <c r="A1041448" s="19"/>
      <c r="B1041448" s="19"/>
      <c r="C1041448" s="19"/>
      <c r="D1041448" s="19"/>
      <c r="E1041448" s="19"/>
      <c r="F1041448" s="19"/>
      <c r="G1041448" s="19"/>
      <c r="H1041448" s="19"/>
      <c r="I1041448" s="19"/>
      <c r="J1041448" s="19"/>
      <c r="K1041448" s="19"/>
      <c r="L1041448" s="19"/>
      <c r="M1041448" s="19"/>
      <c r="N1041448" s="19"/>
    </row>
    <row r="1041449" spans="1:14" s="83" customFormat="1" ht="12.75">
      <c r="A1041449" s="19"/>
      <c r="B1041449" s="19"/>
      <c r="C1041449" s="19"/>
      <c r="D1041449" s="19"/>
      <c r="E1041449" s="19"/>
      <c r="F1041449" s="19"/>
      <c r="G1041449" s="19"/>
      <c r="H1041449" s="19"/>
      <c r="I1041449" s="19"/>
      <c r="J1041449" s="19"/>
      <c r="K1041449" s="19"/>
      <c r="L1041449" s="19"/>
      <c r="M1041449" s="19"/>
      <c r="N1041449" s="19"/>
    </row>
    <row r="1041450" spans="1:14" s="83" customFormat="1" ht="12.75">
      <c r="A1041450" s="19"/>
      <c r="B1041450" s="19"/>
      <c r="C1041450" s="19"/>
      <c r="D1041450" s="19"/>
      <c r="E1041450" s="19"/>
      <c r="F1041450" s="19"/>
      <c r="G1041450" s="19"/>
      <c r="H1041450" s="19"/>
      <c r="I1041450" s="19"/>
      <c r="J1041450" s="19"/>
      <c r="K1041450" s="19"/>
      <c r="L1041450" s="19"/>
      <c r="M1041450" s="19"/>
      <c r="N1041450" s="19"/>
    </row>
    <row r="1041451" spans="1:14" s="83" customFormat="1" ht="12.75">
      <c r="A1041451" s="19"/>
      <c r="B1041451" s="19"/>
      <c r="C1041451" s="19"/>
      <c r="D1041451" s="19"/>
      <c r="E1041451" s="19"/>
      <c r="F1041451" s="19"/>
      <c r="G1041451" s="19"/>
      <c r="H1041451" s="19"/>
      <c r="I1041451" s="19"/>
      <c r="J1041451" s="19"/>
      <c r="K1041451" s="19"/>
      <c r="L1041451" s="19"/>
      <c r="M1041451" s="19"/>
      <c r="N1041451" s="19"/>
    </row>
    <row r="1041452" spans="1:14" s="83" customFormat="1" ht="12.75">
      <c r="A1041452" s="19"/>
      <c r="B1041452" s="19"/>
      <c r="C1041452" s="19"/>
      <c r="D1041452" s="19"/>
      <c r="E1041452" s="19"/>
      <c r="F1041452" s="19"/>
      <c r="G1041452" s="19"/>
      <c r="H1041452" s="19"/>
      <c r="I1041452" s="19"/>
      <c r="J1041452" s="19"/>
      <c r="K1041452" s="19"/>
      <c r="L1041452" s="19"/>
      <c r="M1041452" s="19"/>
      <c r="N1041452" s="19"/>
    </row>
    <row r="1041453" spans="1:14" s="83" customFormat="1" ht="12.75">
      <c r="A1041453" s="19"/>
      <c r="B1041453" s="19"/>
      <c r="C1041453" s="19"/>
      <c r="D1041453" s="19"/>
      <c r="E1041453" s="19"/>
      <c r="F1041453" s="19"/>
      <c r="G1041453" s="19"/>
      <c r="H1041453" s="19"/>
      <c r="I1041453" s="19"/>
      <c r="J1041453" s="19"/>
      <c r="K1041453" s="19"/>
      <c r="L1041453" s="19"/>
      <c r="M1041453" s="19"/>
      <c r="N1041453" s="19"/>
    </row>
    <row r="1041454" spans="1:14" s="83" customFormat="1" ht="12.75">
      <c r="A1041454" s="19"/>
      <c r="B1041454" s="19"/>
      <c r="C1041454" s="19"/>
      <c r="D1041454" s="19"/>
      <c r="E1041454" s="19"/>
      <c r="F1041454" s="19"/>
      <c r="G1041454" s="19"/>
      <c r="H1041454" s="19"/>
      <c r="I1041454" s="19"/>
      <c r="J1041454" s="19"/>
      <c r="K1041454" s="19"/>
      <c r="L1041454" s="19"/>
      <c r="M1041454" s="19"/>
      <c r="N1041454" s="19"/>
    </row>
    <row r="1041455" spans="1:14" s="83" customFormat="1" ht="12.75">
      <c r="A1041455" s="19"/>
      <c r="B1041455" s="19"/>
      <c r="C1041455" s="19"/>
      <c r="D1041455" s="19"/>
      <c r="E1041455" s="19"/>
      <c r="F1041455" s="19"/>
      <c r="G1041455" s="19"/>
      <c r="H1041455" s="19"/>
      <c r="I1041455" s="19"/>
      <c r="J1041455" s="19"/>
      <c r="K1041455" s="19"/>
      <c r="L1041455" s="19"/>
      <c r="M1041455" s="19"/>
      <c r="N1041455" s="19"/>
    </row>
    <row r="1041456" spans="1:14" s="83" customFormat="1" ht="12.75">
      <c r="A1041456" s="19"/>
      <c r="B1041456" s="19"/>
      <c r="C1041456" s="19"/>
      <c r="D1041456" s="19"/>
      <c r="E1041456" s="19"/>
      <c r="F1041456" s="19"/>
      <c r="G1041456" s="19"/>
      <c r="H1041456" s="19"/>
      <c r="I1041456" s="19"/>
      <c r="J1041456" s="19"/>
      <c r="K1041456" s="19"/>
      <c r="L1041456" s="19"/>
      <c r="M1041456" s="19"/>
      <c r="N1041456" s="19"/>
    </row>
    <row r="1041457" spans="1:14" s="83" customFormat="1" ht="12.75">
      <c r="A1041457" s="19"/>
      <c r="B1041457" s="19"/>
      <c r="C1041457" s="19"/>
      <c r="D1041457" s="19"/>
      <c r="E1041457" s="19"/>
      <c r="F1041457" s="19"/>
      <c r="G1041457" s="19"/>
      <c r="H1041457" s="19"/>
      <c r="I1041457" s="19"/>
      <c r="J1041457" s="19"/>
      <c r="K1041457" s="19"/>
      <c r="L1041457" s="19"/>
      <c r="M1041457" s="19"/>
      <c r="N1041457" s="19"/>
    </row>
    <row r="1041458" spans="1:14" s="83" customFormat="1" ht="12.75">
      <c r="A1041458" s="19"/>
      <c r="B1041458" s="19"/>
      <c r="C1041458" s="19"/>
      <c r="D1041458" s="19"/>
      <c r="E1041458" s="19"/>
      <c r="F1041458" s="19"/>
      <c r="G1041458" s="19"/>
      <c r="H1041458" s="19"/>
      <c r="I1041458" s="19"/>
      <c r="J1041458" s="19"/>
      <c r="K1041458" s="19"/>
      <c r="L1041458" s="19"/>
      <c r="M1041458" s="19"/>
      <c r="N1041458" s="19"/>
    </row>
    <row r="1041459" spans="1:14" s="83" customFormat="1" ht="12.75">
      <c r="A1041459" s="19"/>
      <c r="B1041459" s="19"/>
      <c r="C1041459" s="19"/>
      <c r="D1041459" s="19"/>
      <c r="E1041459" s="19"/>
      <c r="F1041459" s="19"/>
      <c r="G1041459" s="19"/>
      <c r="H1041459" s="19"/>
      <c r="I1041459" s="19"/>
      <c r="J1041459" s="19"/>
      <c r="K1041459" s="19"/>
      <c r="L1041459" s="19"/>
      <c r="M1041459" s="19"/>
      <c r="N1041459" s="19"/>
    </row>
    <row r="1041460" spans="1:14" s="83" customFormat="1" ht="12.75">
      <c r="A1041460" s="19"/>
      <c r="B1041460" s="19"/>
      <c r="C1041460" s="19"/>
      <c r="D1041460" s="19"/>
      <c r="E1041460" s="19"/>
      <c r="F1041460" s="19"/>
      <c r="G1041460" s="19"/>
      <c r="H1041460" s="19"/>
      <c r="I1041460" s="19"/>
      <c r="J1041460" s="19"/>
      <c r="K1041460" s="19"/>
      <c r="L1041460" s="19"/>
      <c r="M1041460" s="19"/>
      <c r="N1041460" s="19"/>
    </row>
    <row r="1041461" spans="1:14" s="83" customFormat="1" ht="12.75">
      <c r="A1041461" s="19"/>
      <c r="B1041461" s="19"/>
      <c r="C1041461" s="19"/>
      <c r="D1041461" s="19"/>
      <c r="E1041461" s="19"/>
      <c r="F1041461" s="19"/>
      <c r="G1041461" s="19"/>
      <c r="H1041461" s="19"/>
      <c r="I1041461" s="19"/>
      <c r="J1041461" s="19"/>
      <c r="K1041461" s="19"/>
      <c r="L1041461" s="19"/>
      <c r="M1041461" s="19"/>
      <c r="N1041461" s="19"/>
    </row>
    <row r="1041462" spans="1:14" s="83" customFormat="1" ht="12.75">
      <c r="A1041462" s="19"/>
      <c r="B1041462" s="19"/>
      <c r="C1041462" s="19"/>
      <c r="D1041462" s="19"/>
      <c r="E1041462" s="19"/>
      <c r="F1041462" s="19"/>
      <c r="G1041462" s="19"/>
      <c r="H1041462" s="19"/>
      <c r="I1041462" s="19"/>
      <c r="J1041462" s="19"/>
      <c r="K1041462" s="19"/>
      <c r="L1041462" s="19"/>
      <c r="M1041462" s="19"/>
      <c r="N1041462" s="19"/>
    </row>
    <row r="1041463" spans="1:14" s="83" customFormat="1" ht="12.75">
      <c r="A1041463" s="19"/>
      <c r="B1041463" s="19"/>
      <c r="C1041463" s="19"/>
      <c r="D1041463" s="19"/>
      <c r="E1041463" s="19"/>
      <c r="F1041463" s="19"/>
      <c r="G1041463" s="19"/>
      <c r="H1041463" s="19"/>
      <c r="I1041463" s="19"/>
      <c r="J1041463" s="19"/>
      <c r="K1041463" s="19"/>
      <c r="L1041463" s="19"/>
      <c r="M1041463" s="19"/>
      <c r="N1041463" s="19"/>
    </row>
    <row r="1041464" spans="1:14" s="83" customFormat="1" ht="12.75">
      <c r="A1041464" s="19"/>
      <c r="B1041464" s="19"/>
      <c r="C1041464" s="19"/>
      <c r="D1041464" s="19"/>
      <c r="E1041464" s="19"/>
      <c r="F1041464" s="19"/>
      <c r="G1041464" s="19"/>
      <c r="H1041464" s="19"/>
      <c r="I1041464" s="19"/>
      <c r="J1041464" s="19"/>
      <c r="K1041464" s="19"/>
      <c r="L1041464" s="19"/>
      <c r="M1041464" s="19"/>
      <c r="N1041464" s="19"/>
    </row>
    <row r="1041465" spans="1:14" s="83" customFormat="1" ht="12.75">
      <c r="A1041465" s="19"/>
      <c r="B1041465" s="19"/>
      <c r="C1041465" s="19"/>
      <c r="D1041465" s="19"/>
      <c r="E1041465" s="19"/>
      <c r="F1041465" s="19"/>
      <c r="G1041465" s="19"/>
      <c r="H1041465" s="19"/>
      <c r="I1041465" s="19"/>
      <c r="J1041465" s="19"/>
      <c r="K1041465" s="19"/>
      <c r="L1041465" s="19"/>
      <c r="M1041465" s="19"/>
      <c r="N1041465" s="19"/>
    </row>
    <row r="1041466" spans="1:14" s="83" customFormat="1" ht="12.75">
      <c r="A1041466" s="19"/>
      <c r="B1041466" s="19"/>
      <c r="C1041466" s="19"/>
      <c r="D1041466" s="19"/>
      <c r="E1041466" s="19"/>
      <c r="F1041466" s="19"/>
      <c r="G1041466" s="19"/>
      <c r="H1041466" s="19"/>
      <c r="I1041466" s="19"/>
      <c r="J1041466" s="19"/>
      <c r="K1041466" s="19"/>
      <c r="L1041466" s="19"/>
      <c r="M1041466" s="19"/>
      <c r="N1041466" s="19"/>
    </row>
    <row r="1041467" spans="1:14" s="83" customFormat="1" ht="12.75">
      <c r="A1041467" s="19"/>
      <c r="B1041467" s="19"/>
      <c r="C1041467" s="19"/>
      <c r="D1041467" s="19"/>
      <c r="E1041467" s="19"/>
      <c r="F1041467" s="19"/>
      <c r="G1041467" s="19"/>
      <c r="H1041467" s="19"/>
      <c r="I1041467" s="19"/>
      <c r="J1041467" s="19"/>
      <c r="K1041467" s="19"/>
      <c r="L1041467" s="19"/>
      <c r="M1041467" s="19"/>
      <c r="N1041467" s="19"/>
    </row>
    <row r="1041468" spans="1:14" s="83" customFormat="1" ht="12.75">
      <c r="A1041468" s="19"/>
      <c r="B1041468" s="19"/>
      <c r="C1041468" s="19"/>
      <c r="D1041468" s="19"/>
      <c r="E1041468" s="19"/>
      <c r="F1041468" s="19"/>
      <c r="G1041468" s="19"/>
      <c r="H1041468" s="19"/>
      <c r="I1041468" s="19"/>
      <c r="J1041468" s="19"/>
      <c r="K1041468" s="19"/>
      <c r="L1041468" s="19"/>
      <c r="M1041468" s="19"/>
      <c r="N1041468" s="19"/>
    </row>
    <row r="1041469" spans="1:14" s="83" customFormat="1" ht="12.75">
      <c r="A1041469" s="19"/>
      <c r="B1041469" s="19"/>
      <c r="C1041469" s="19"/>
      <c r="D1041469" s="19"/>
      <c r="E1041469" s="19"/>
      <c r="F1041469" s="19"/>
      <c r="G1041469" s="19"/>
      <c r="H1041469" s="19"/>
      <c r="I1041469" s="19"/>
      <c r="J1041469" s="19"/>
      <c r="K1041469" s="19"/>
      <c r="L1041469" s="19"/>
      <c r="M1041469" s="19"/>
      <c r="N1041469" s="19"/>
    </row>
    <row r="1041470" spans="1:14" s="83" customFormat="1" ht="12.75">
      <c r="A1041470" s="19"/>
      <c r="B1041470" s="19"/>
      <c r="C1041470" s="19"/>
      <c r="D1041470" s="19"/>
      <c r="E1041470" s="19"/>
      <c r="F1041470" s="19"/>
      <c r="G1041470" s="19"/>
      <c r="H1041470" s="19"/>
      <c r="I1041470" s="19"/>
      <c r="J1041470" s="19"/>
      <c r="K1041470" s="19"/>
      <c r="L1041470" s="19"/>
      <c r="M1041470" s="19"/>
      <c r="N1041470" s="19"/>
    </row>
    <row r="1041471" spans="1:14" s="83" customFormat="1" ht="12.75">
      <c r="A1041471" s="19"/>
      <c r="B1041471" s="19"/>
      <c r="C1041471" s="19"/>
      <c r="D1041471" s="19"/>
      <c r="E1041471" s="19"/>
      <c r="F1041471" s="19"/>
      <c r="G1041471" s="19"/>
      <c r="H1041471" s="19"/>
      <c r="I1041471" s="19"/>
      <c r="J1041471" s="19"/>
      <c r="K1041471" s="19"/>
      <c r="L1041471" s="19"/>
      <c r="M1041471" s="19"/>
      <c r="N1041471" s="19"/>
    </row>
    <row r="1041472" spans="1:14" s="83" customFormat="1" ht="12.75">
      <c r="A1041472" s="19"/>
      <c r="B1041472" s="19"/>
      <c r="C1041472" s="19"/>
      <c r="D1041472" s="19"/>
      <c r="E1041472" s="19"/>
      <c r="F1041472" s="19"/>
      <c r="G1041472" s="19"/>
      <c r="H1041472" s="19"/>
      <c r="I1041472" s="19"/>
      <c r="J1041472" s="19"/>
      <c r="K1041472" s="19"/>
      <c r="L1041472" s="19"/>
      <c r="M1041472" s="19"/>
      <c r="N1041472" s="19"/>
    </row>
    <row r="1041473" spans="1:14" s="83" customFormat="1" ht="12.75">
      <c r="A1041473" s="19"/>
      <c r="B1041473" s="19"/>
      <c r="C1041473" s="19"/>
      <c r="D1041473" s="19"/>
      <c r="E1041473" s="19"/>
      <c r="F1041473" s="19"/>
      <c r="G1041473" s="19"/>
      <c r="H1041473" s="19"/>
      <c r="I1041473" s="19"/>
      <c r="J1041473" s="19"/>
      <c r="K1041473" s="19"/>
      <c r="L1041473" s="19"/>
      <c r="M1041473" s="19"/>
      <c r="N1041473" s="19"/>
    </row>
    <row r="1041474" spans="1:14" s="83" customFormat="1" ht="12.75">
      <c r="A1041474" s="19"/>
      <c r="B1041474" s="19"/>
      <c r="C1041474" s="19"/>
      <c r="D1041474" s="19"/>
      <c r="E1041474" s="19"/>
      <c r="F1041474" s="19"/>
      <c r="G1041474" s="19"/>
      <c r="H1041474" s="19"/>
      <c r="I1041474" s="19"/>
      <c r="J1041474" s="19"/>
      <c r="K1041474" s="19"/>
      <c r="L1041474" s="19"/>
      <c r="M1041474" s="19"/>
      <c r="N1041474" s="19"/>
    </row>
    <row r="1041475" spans="1:14" s="83" customFormat="1" ht="12.75">
      <c r="A1041475" s="19"/>
      <c r="B1041475" s="19"/>
      <c r="C1041475" s="19"/>
      <c r="D1041475" s="19"/>
      <c r="E1041475" s="19"/>
      <c r="F1041475" s="19"/>
      <c r="G1041475" s="19"/>
      <c r="H1041475" s="19"/>
      <c r="I1041475" s="19"/>
      <c r="J1041475" s="19"/>
      <c r="K1041475" s="19"/>
      <c r="L1041475" s="19"/>
      <c r="M1041475" s="19"/>
      <c r="N1041475" s="19"/>
    </row>
    <row r="1041476" spans="1:14" s="83" customFormat="1" ht="12.75">
      <c r="A1041476" s="19"/>
      <c r="B1041476" s="19"/>
      <c r="C1041476" s="19"/>
      <c r="D1041476" s="19"/>
      <c r="E1041476" s="19"/>
      <c r="F1041476" s="19"/>
      <c r="G1041476" s="19"/>
      <c r="H1041476" s="19"/>
      <c r="I1041476" s="19"/>
      <c r="J1041476" s="19"/>
      <c r="K1041476" s="19"/>
      <c r="L1041476" s="19"/>
      <c r="M1041476" s="19"/>
      <c r="N1041476" s="19"/>
    </row>
    <row r="1041477" spans="1:14" s="83" customFormat="1" ht="12.75">
      <c r="A1041477" s="19"/>
      <c r="B1041477" s="19"/>
      <c r="C1041477" s="19"/>
      <c r="D1041477" s="19"/>
      <c r="E1041477" s="19"/>
      <c r="F1041477" s="19"/>
      <c r="G1041477" s="19"/>
      <c r="H1041477" s="19"/>
      <c r="I1041477" s="19"/>
      <c r="J1041477" s="19"/>
      <c r="K1041477" s="19"/>
      <c r="L1041477" s="19"/>
      <c r="M1041477" s="19"/>
      <c r="N1041477" s="19"/>
    </row>
    <row r="1041478" spans="1:14" s="83" customFormat="1" ht="12.75">
      <c r="A1041478" s="19"/>
      <c r="B1041478" s="19"/>
      <c r="C1041478" s="19"/>
      <c r="D1041478" s="19"/>
      <c r="E1041478" s="19"/>
      <c r="F1041478" s="19"/>
      <c r="G1041478" s="19"/>
      <c r="H1041478" s="19"/>
      <c r="I1041478" s="19"/>
      <c r="J1041478" s="19"/>
      <c r="K1041478" s="19"/>
      <c r="L1041478" s="19"/>
      <c r="M1041478" s="19"/>
      <c r="N1041478" s="19"/>
    </row>
    <row r="1041479" spans="1:14" s="83" customFormat="1" ht="12.75">
      <c r="A1041479" s="19"/>
      <c r="B1041479" s="19"/>
      <c r="C1041479" s="19"/>
      <c r="D1041479" s="19"/>
      <c r="E1041479" s="19"/>
      <c r="F1041479" s="19"/>
      <c r="G1041479" s="19"/>
      <c r="H1041479" s="19"/>
      <c r="I1041479" s="19"/>
      <c r="J1041479" s="19"/>
      <c r="K1041479" s="19"/>
      <c r="L1041479" s="19"/>
      <c r="M1041479" s="19"/>
      <c r="N1041479" s="19"/>
    </row>
    <row r="1041480" spans="1:14" s="83" customFormat="1" ht="12.75">
      <c r="A1041480" s="19"/>
      <c r="B1041480" s="19"/>
      <c r="C1041480" s="19"/>
      <c r="D1041480" s="19"/>
      <c r="E1041480" s="19"/>
      <c r="F1041480" s="19"/>
      <c r="G1041480" s="19"/>
      <c r="H1041480" s="19"/>
      <c r="I1041480" s="19"/>
      <c r="J1041480" s="19"/>
      <c r="K1041480" s="19"/>
      <c r="L1041480" s="19"/>
      <c r="M1041480" s="19"/>
      <c r="N1041480" s="19"/>
    </row>
    <row r="1041481" spans="1:14" s="83" customFormat="1" ht="12.75">
      <c r="A1041481" s="19"/>
      <c r="B1041481" s="19"/>
      <c r="C1041481" s="19"/>
      <c r="D1041481" s="19"/>
      <c r="E1041481" s="19"/>
      <c r="F1041481" s="19"/>
      <c r="G1041481" s="19"/>
      <c r="H1041481" s="19"/>
      <c r="I1041481" s="19"/>
      <c r="J1041481" s="19"/>
      <c r="K1041481" s="19"/>
      <c r="L1041481" s="19"/>
      <c r="M1041481" s="19"/>
      <c r="N1041481" s="19"/>
    </row>
    <row r="1041482" spans="1:14" s="83" customFormat="1" ht="12.75">
      <c r="A1041482" s="19"/>
      <c r="B1041482" s="19"/>
      <c r="C1041482" s="19"/>
      <c r="D1041482" s="19"/>
      <c r="E1041482" s="19"/>
      <c r="F1041482" s="19"/>
      <c r="G1041482" s="19"/>
      <c r="H1041482" s="19"/>
      <c r="I1041482" s="19"/>
      <c r="J1041482" s="19"/>
      <c r="K1041482" s="19"/>
      <c r="L1041482" s="19"/>
      <c r="M1041482" s="19"/>
      <c r="N1041482" s="19"/>
    </row>
    <row r="1041483" spans="1:14" s="83" customFormat="1" ht="12.75">
      <c r="A1041483" s="19"/>
      <c r="B1041483" s="19"/>
      <c r="C1041483" s="19"/>
      <c r="D1041483" s="19"/>
      <c r="E1041483" s="19"/>
      <c r="F1041483" s="19"/>
      <c r="G1041483" s="19"/>
      <c r="H1041483" s="19"/>
      <c r="I1041483" s="19"/>
      <c r="J1041483" s="19"/>
      <c r="K1041483" s="19"/>
      <c r="L1041483" s="19"/>
      <c r="M1041483" s="19"/>
      <c r="N1041483" s="19"/>
    </row>
    <row r="1041484" spans="1:14" s="83" customFormat="1" ht="12.75">
      <c r="A1041484" s="19"/>
      <c r="B1041484" s="19"/>
      <c r="C1041484" s="19"/>
      <c r="D1041484" s="19"/>
      <c r="E1041484" s="19"/>
      <c r="F1041484" s="19"/>
      <c r="G1041484" s="19"/>
      <c r="H1041484" s="19"/>
      <c r="I1041484" s="19"/>
      <c r="J1041484" s="19"/>
      <c r="K1041484" s="19"/>
      <c r="L1041484" s="19"/>
      <c r="M1041484" s="19"/>
      <c r="N1041484" s="19"/>
    </row>
    <row r="1041485" spans="1:14" s="83" customFormat="1" ht="12.75">
      <c r="A1041485" s="19"/>
      <c r="B1041485" s="19"/>
      <c r="C1041485" s="19"/>
      <c r="D1041485" s="19"/>
      <c r="E1041485" s="19"/>
      <c r="F1041485" s="19"/>
      <c r="G1041485" s="19"/>
      <c r="H1041485" s="19"/>
      <c r="I1041485" s="19"/>
      <c r="J1041485" s="19"/>
      <c r="K1041485" s="19"/>
      <c r="L1041485" s="19"/>
      <c r="M1041485" s="19"/>
      <c r="N1041485" s="19"/>
    </row>
    <row r="1041486" spans="1:14" s="83" customFormat="1" ht="12.75">
      <c r="A1041486" s="19"/>
      <c r="B1041486" s="19"/>
      <c r="C1041486" s="19"/>
      <c r="D1041486" s="19"/>
      <c r="E1041486" s="19"/>
      <c r="F1041486" s="19"/>
      <c r="G1041486" s="19"/>
      <c r="H1041486" s="19"/>
      <c r="I1041486" s="19"/>
      <c r="J1041486" s="19"/>
      <c r="K1041486" s="19"/>
      <c r="L1041486" s="19"/>
      <c r="M1041486" s="19"/>
      <c r="N1041486" s="19"/>
    </row>
    <row r="1041487" spans="1:14" s="83" customFormat="1" ht="12.75">
      <c r="A1041487" s="19"/>
      <c r="B1041487" s="19"/>
      <c r="C1041487" s="19"/>
      <c r="D1041487" s="19"/>
      <c r="E1041487" s="19"/>
      <c r="F1041487" s="19"/>
      <c r="G1041487" s="19"/>
      <c r="H1041487" s="19"/>
      <c r="I1041487" s="19"/>
      <c r="J1041487" s="19"/>
      <c r="K1041487" s="19"/>
      <c r="L1041487" s="19"/>
      <c r="M1041487" s="19"/>
      <c r="N1041487" s="19"/>
    </row>
    <row r="1041488" spans="1:14" s="83" customFormat="1" ht="12.75">
      <c r="A1041488" s="19"/>
      <c r="B1041488" s="19"/>
      <c r="C1041488" s="19"/>
      <c r="D1041488" s="19"/>
      <c r="E1041488" s="19"/>
      <c r="F1041488" s="19"/>
      <c r="G1041488" s="19"/>
      <c r="H1041488" s="19"/>
      <c r="I1041488" s="19"/>
      <c r="J1041488" s="19"/>
      <c r="K1041488" s="19"/>
      <c r="L1041488" s="19"/>
      <c r="M1041488" s="19"/>
      <c r="N1041488" s="19"/>
    </row>
    <row r="1041489" spans="1:14" s="83" customFormat="1" ht="12.75">
      <c r="A1041489" s="19"/>
      <c r="B1041489" s="19"/>
      <c r="C1041489" s="19"/>
      <c r="D1041489" s="19"/>
      <c r="E1041489" s="19"/>
      <c r="F1041489" s="19"/>
      <c r="G1041489" s="19"/>
      <c r="H1041489" s="19"/>
      <c r="I1041489" s="19"/>
      <c r="J1041489" s="19"/>
      <c r="K1041489" s="19"/>
      <c r="L1041489" s="19"/>
      <c r="M1041489" s="19"/>
      <c r="N1041489" s="19"/>
    </row>
    <row r="1041490" spans="1:14" s="83" customFormat="1" ht="12.75">
      <c r="A1041490" s="19"/>
      <c r="B1041490" s="19"/>
      <c r="C1041490" s="19"/>
      <c r="D1041490" s="19"/>
      <c r="E1041490" s="19"/>
      <c r="F1041490" s="19"/>
      <c r="G1041490" s="19"/>
      <c r="H1041490" s="19"/>
      <c r="I1041490" s="19"/>
      <c r="J1041490" s="19"/>
      <c r="K1041490" s="19"/>
      <c r="L1041490" s="19"/>
      <c r="M1041490" s="19"/>
      <c r="N1041490" s="19"/>
    </row>
    <row r="1041491" spans="1:14" s="83" customFormat="1" ht="12.75">
      <c r="A1041491" s="19"/>
      <c r="B1041491" s="19"/>
      <c r="C1041491" s="19"/>
      <c r="D1041491" s="19"/>
      <c r="E1041491" s="19"/>
      <c r="F1041491" s="19"/>
      <c r="G1041491" s="19"/>
      <c r="H1041491" s="19"/>
      <c r="I1041491" s="19"/>
      <c r="J1041491" s="19"/>
      <c r="K1041491" s="19"/>
      <c r="L1041491" s="19"/>
      <c r="M1041491" s="19"/>
      <c r="N1041491" s="19"/>
    </row>
    <row r="1041492" spans="1:14" s="83" customFormat="1" ht="12.75">
      <c r="A1041492" s="19"/>
      <c r="B1041492" s="19"/>
      <c r="C1041492" s="19"/>
      <c r="D1041492" s="19"/>
      <c r="E1041492" s="19"/>
      <c r="F1041492" s="19"/>
      <c r="G1041492" s="19"/>
      <c r="H1041492" s="19"/>
      <c r="I1041492" s="19"/>
      <c r="J1041492" s="19"/>
      <c r="K1041492" s="19"/>
      <c r="L1041492" s="19"/>
      <c r="M1041492" s="19"/>
      <c r="N1041492" s="19"/>
    </row>
    <row r="1041493" spans="1:14" s="83" customFormat="1" ht="12.75">
      <c r="A1041493" s="19"/>
      <c r="B1041493" s="19"/>
      <c r="C1041493" s="19"/>
      <c r="D1041493" s="19"/>
      <c r="E1041493" s="19"/>
      <c r="F1041493" s="19"/>
      <c r="G1041493" s="19"/>
      <c r="H1041493" s="19"/>
      <c r="I1041493" s="19"/>
      <c r="J1041493" s="19"/>
      <c r="K1041493" s="19"/>
      <c r="L1041493" s="19"/>
      <c r="M1041493" s="19"/>
      <c r="N1041493" s="19"/>
    </row>
    <row r="1041494" spans="1:14" s="83" customFormat="1" ht="12.75">
      <c r="A1041494" s="19"/>
      <c r="B1041494" s="19"/>
      <c r="C1041494" s="19"/>
      <c r="D1041494" s="19"/>
      <c r="E1041494" s="19"/>
      <c r="F1041494" s="19"/>
      <c r="G1041494" s="19"/>
      <c r="H1041494" s="19"/>
      <c r="I1041494" s="19"/>
      <c r="J1041494" s="19"/>
      <c r="K1041494" s="19"/>
      <c r="L1041494" s="19"/>
      <c r="M1041494" s="19"/>
      <c r="N1041494" s="19"/>
    </row>
    <row r="1041495" spans="1:14" s="83" customFormat="1" ht="12.75">
      <c r="A1041495" s="19"/>
      <c r="B1041495" s="19"/>
      <c r="C1041495" s="19"/>
      <c r="D1041495" s="19"/>
      <c r="E1041495" s="19"/>
      <c r="F1041495" s="19"/>
      <c r="G1041495" s="19"/>
      <c r="H1041495" s="19"/>
      <c r="I1041495" s="19"/>
      <c r="J1041495" s="19"/>
      <c r="K1041495" s="19"/>
      <c r="L1041495" s="19"/>
      <c r="M1041495" s="19"/>
      <c r="N1041495" s="19"/>
    </row>
    <row r="1041496" spans="1:14" s="83" customFormat="1" ht="12.75">
      <c r="A1041496" s="19"/>
      <c r="B1041496" s="19"/>
      <c r="C1041496" s="19"/>
      <c r="D1041496" s="19"/>
      <c r="E1041496" s="19"/>
      <c r="F1041496" s="19"/>
      <c r="G1041496" s="19"/>
      <c r="H1041496" s="19"/>
      <c r="I1041496" s="19"/>
      <c r="J1041496" s="19"/>
      <c r="K1041496" s="19"/>
      <c r="L1041496" s="19"/>
      <c r="M1041496" s="19"/>
      <c r="N1041496" s="19"/>
    </row>
    <row r="1041497" spans="1:14" s="83" customFormat="1" ht="12.75">
      <c r="A1041497" s="19"/>
      <c r="B1041497" s="19"/>
      <c r="C1041497" s="19"/>
      <c r="D1041497" s="19"/>
      <c r="E1041497" s="19"/>
      <c r="F1041497" s="19"/>
      <c r="G1041497" s="19"/>
      <c r="H1041497" s="19"/>
      <c r="I1041497" s="19"/>
      <c r="J1041497" s="19"/>
      <c r="K1041497" s="19"/>
      <c r="L1041497" s="19"/>
      <c r="M1041497" s="19"/>
      <c r="N1041497" s="19"/>
    </row>
    <row r="1041498" spans="1:14" s="83" customFormat="1" ht="12.75">
      <c r="A1041498" s="19"/>
      <c r="B1041498" s="19"/>
      <c r="C1041498" s="19"/>
      <c r="D1041498" s="19"/>
      <c r="E1041498" s="19"/>
      <c r="F1041498" s="19"/>
      <c r="G1041498" s="19"/>
      <c r="H1041498" s="19"/>
      <c r="I1041498" s="19"/>
      <c r="J1041498" s="19"/>
      <c r="K1041498" s="19"/>
      <c r="L1041498" s="19"/>
      <c r="M1041498" s="19"/>
      <c r="N1041498" s="19"/>
    </row>
    <row r="1041499" spans="1:14" s="83" customFormat="1" ht="12.75">
      <c r="A1041499" s="19"/>
      <c r="B1041499" s="19"/>
      <c r="C1041499" s="19"/>
      <c r="D1041499" s="19"/>
      <c r="E1041499" s="19"/>
      <c r="F1041499" s="19"/>
      <c r="G1041499" s="19"/>
      <c r="H1041499" s="19"/>
      <c r="I1041499" s="19"/>
      <c r="J1041499" s="19"/>
      <c r="K1041499" s="19"/>
      <c r="L1041499" s="19"/>
      <c r="M1041499" s="19"/>
      <c r="N1041499" s="19"/>
    </row>
    <row r="1041500" spans="1:14" s="83" customFormat="1" ht="12.75">
      <c r="A1041500" s="19"/>
      <c r="B1041500" s="19"/>
      <c r="C1041500" s="19"/>
      <c r="D1041500" s="19"/>
      <c r="E1041500" s="19"/>
      <c r="F1041500" s="19"/>
      <c r="G1041500" s="19"/>
      <c r="H1041500" s="19"/>
      <c r="I1041500" s="19"/>
      <c r="J1041500" s="19"/>
      <c r="K1041500" s="19"/>
      <c r="L1041500" s="19"/>
      <c r="M1041500" s="19"/>
      <c r="N1041500" s="19"/>
    </row>
    <row r="1041501" spans="1:14" s="83" customFormat="1" ht="12.75">
      <c r="A1041501" s="19"/>
      <c r="B1041501" s="19"/>
      <c r="C1041501" s="19"/>
      <c r="D1041501" s="19"/>
      <c r="E1041501" s="19"/>
      <c r="F1041501" s="19"/>
      <c r="G1041501" s="19"/>
      <c r="H1041501" s="19"/>
      <c r="I1041501" s="19"/>
      <c r="J1041501" s="19"/>
      <c r="K1041501" s="19"/>
      <c r="L1041501" s="19"/>
      <c r="M1041501" s="19"/>
      <c r="N1041501" s="19"/>
    </row>
    <row r="1041502" spans="1:14" s="83" customFormat="1" ht="12.75">
      <c r="A1041502" s="19"/>
      <c r="B1041502" s="19"/>
      <c r="C1041502" s="19"/>
      <c r="D1041502" s="19"/>
      <c r="E1041502" s="19"/>
      <c r="F1041502" s="19"/>
      <c r="G1041502" s="19"/>
      <c r="H1041502" s="19"/>
      <c r="I1041502" s="19"/>
      <c r="J1041502" s="19"/>
      <c r="K1041502" s="19"/>
      <c r="L1041502" s="19"/>
      <c r="M1041502" s="19"/>
      <c r="N1041502" s="19"/>
    </row>
    <row r="1041503" spans="1:14" s="83" customFormat="1" ht="12.75">
      <c r="A1041503" s="19"/>
      <c r="B1041503" s="19"/>
      <c r="C1041503" s="19"/>
      <c r="D1041503" s="19"/>
      <c r="E1041503" s="19"/>
      <c r="F1041503" s="19"/>
      <c r="G1041503" s="19"/>
      <c r="H1041503" s="19"/>
      <c r="I1041503" s="19"/>
      <c r="J1041503" s="19"/>
      <c r="K1041503" s="19"/>
      <c r="L1041503" s="19"/>
      <c r="M1041503" s="19"/>
      <c r="N1041503" s="19"/>
    </row>
    <row r="1041504" spans="1:14" s="83" customFormat="1" ht="12.75">
      <c r="A1041504" s="19"/>
      <c r="B1041504" s="19"/>
      <c r="C1041504" s="19"/>
      <c r="D1041504" s="19"/>
      <c r="E1041504" s="19"/>
      <c r="F1041504" s="19"/>
      <c r="G1041504" s="19"/>
      <c r="H1041504" s="19"/>
      <c r="I1041504" s="19"/>
      <c r="J1041504" s="19"/>
      <c r="K1041504" s="19"/>
      <c r="L1041504" s="19"/>
      <c r="M1041504" s="19"/>
      <c r="N1041504" s="19"/>
    </row>
    <row r="1041505" spans="1:14" s="83" customFormat="1" ht="12.75">
      <c r="A1041505" s="19"/>
      <c r="B1041505" s="19"/>
      <c r="C1041505" s="19"/>
      <c r="D1041505" s="19"/>
      <c r="E1041505" s="19"/>
      <c r="F1041505" s="19"/>
      <c r="G1041505" s="19"/>
      <c r="H1041505" s="19"/>
      <c r="I1041505" s="19"/>
      <c r="J1041505" s="19"/>
      <c r="K1041505" s="19"/>
      <c r="L1041505" s="19"/>
      <c r="M1041505" s="19"/>
      <c r="N1041505" s="19"/>
    </row>
    <row r="1041506" spans="1:14" s="83" customFormat="1" ht="12.75">
      <c r="A1041506" s="19"/>
      <c r="B1041506" s="19"/>
      <c r="C1041506" s="19"/>
      <c r="D1041506" s="19"/>
      <c r="E1041506" s="19"/>
      <c r="F1041506" s="19"/>
      <c r="G1041506" s="19"/>
      <c r="H1041506" s="19"/>
      <c r="I1041506" s="19"/>
      <c r="J1041506" s="19"/>
      <c r="K1041506" s="19"/>
      <c r="L1041506" s="19"/>
      <c r="M1041506" s="19"/>
      <c r="N1041506" s="19"/>
    </row>
    <row r="1041507" spans="1:14" s="83" customFormat="1" ht="12.75">
      <c r="A1041507" s="19"/>
      <c r="B1041507" s="19"/>
      <c r="C1041507" s="19"/>
      <c r="D1041507" s="19"/>
      <c r="E1041507" s="19"/>
      <c r="F1041507" s="19"/>
      <c r="G1041507" s="19"/>
      <c r="H1041507" s="19"/>
      <c r="I1041507" s="19"/>
      <c r="J1041507" s="19"/>
      <c r="K1041507" s="19"/>
      <c r="L1041507" s="19"/>
      <c r="M1041507" s="19"/>
      <c r="N1041507" s="19"/>
    </row>
    <row r="1041508" spans="1:14" s="83" customFormat="1" ht="12.75">
      <c r="A1041508" s="19"/>
      <c r="B1041508" s="19"/>
      <c r="C1041508" s="19"/>
      <c r="D1041508" s="19"/>
      <c r="E1041508" s="19"/>
      <c r="F1041508" s="19"/>
      <c r="G1041508" s="19"/>
      <c r="H1041508" s="19"/>
      <c r="I1041508" s="19"/>
      <c r="J1041508" s="19"/>
      <c r="K1041508" s="19"/>
      <c r="L1041508" s="19"/>
      <c r="M1041508" s="19"/>
      <c r="N1041508" s="19"/>
    </row>
    <row r="1041509" spans="1:14" s="83" customFormat="1" ht="12.75">
      <c r="A1041509" s="19"/>
      <c r="B1041509" s="19"/>
      <c r="C1041509" s="19"/>
      <c r="D1041509" s="19"/>
      <c r="E1041509" s="19"/>
      <c r="F1041509" s="19"/>
      <c r="G1041509" s="19"/>
      <c r="H1041509" s="19"/>
      <c r="I1041509" s="19"/>
      <c r="J1041509" s="19"/>
      <c r="K1041509" s="19"/>
      <c r="L1041509" s="19"/>
      <c r="M1041509" s="19"/>
      <c r="N1041509" s="19"/>
    </row>
    <row r="1041510" spans="1:14" s="83" customFormat="1" ht="12.75">
      <c r="A1041510" s="19"/>
      <c r="B1041510" s="19"/>
      <c r="C1041510" s="19"/>
      <c r="D1041510" s="19"/>
      <c r="E1041510" s="19"/>
      <c r="F1041510" s="19"/>
      <c r="G1041510" s="19"/>
      <c r="H1041510" s="19"/>
      <c r="I1041510" s="19"/>
      <c r="J1041510" s="19"/>
      <c r="K1041510" s="19"/>
      <c r="L1041510" s="19"/>
      <c r="M1041510" s="19"/>
      <c r="N1041510" s="19"/>
    </row>
    <row r="1041511" spans="1:14" s="83" customFormat="1" ht="12.75">
      <c r="A1041511" s="19"/>
      <c r="B1041511" s="19"/>
      <c r="C1041511" s="19"/>
      <c r="D1041511" s="19"/>
      <c r="E1041511" s="19"/>
      <c r="F1041511" s="19"/>
      <c r="G1041511" s="19"/>
      <c r="H1041511" s="19"/>
      <c r="I1041511" s="19"/>
      <c r="J1041511" s="19"/>
      <c r="K1041511" s="19"/>
      <c r="L1041511" s="19"/>
      <c r="M1041511" s="19"/>
      <c r="N1041511" s="19"/>
    </row>
    <row r="1041512" spans="1:14" s="83" customFormat="1" ht="12.75">
      <c r="A1041512" s="19"/>
      <c r="B1041512" s="19"/>
      <c r="C1041512" s="19"/>
      <c r="D1041512" s="19"/>
      <c r="E1041512" s="19"/>
      <c r="F1041512" s="19"/>
      <c r="G1041512" s="19"/>
      <c r="H1041512" s="19"/>
      <c r="I1041512" s="19"/>
      <c r="J1041512" s="19"/>
      <c r="K1041512" s="19"/>
      <c r="L1041512" s="19"/>
      <c r="M1041512" s="19"/>
      <c r="N1041512" s="19"/>
    </row>
    <row r="1041513" spans="1:14" s="83" customFormat="1" ht="12.75">
      <c r="A1041513" s="19"/>
      <c r="B1041513" s="19"/>
      <c r="C1041513" s="19"/>
      <c r="D1041513" s="19"/>
      <c r="E1041513" s="19"/>
      <c r="F1041513" s="19"/>
      <c r="G1041513" s="19"/>
      <c r="H1041513" s="19"/>
      <c r="I1041513" s="19"/>
      <c r="J1041513" s="19"/>
      <c r="K1041513" s="19"/>
      <c r="L1041513" s="19"/>
      <c r="M1041513" s="19"/>
      <c r="N1041513" s="19"/>
    </row>
    <row r="1041514" spans="1:14" s="83" customFormat="1" ht="12.75">
      <c r="A1041514" s="19"/>
      <c r="B1041514" s="19"/>
      <c r="C1041514" s="19"/>
      <c r="D1041514" s="19"/>
      <c r="E1041514" s="19"/>
      <c r="F1041514" s="19"/>
      <c r="G1041514" s="19"/>
      <c r="H1041514" s="19"/>
      <c r="I1041514" s="19"/>
      <c r="J1041514" s="19"/>
      <c r="K1041514" s="19"/>
      <c r="L1041514" s="19"/>
      <c r="M1041514" s="19"/>
      <c r="N1041514" s="19"/>
    </row>
    <row r="1041515" spans="1:14" s="83" customFormat="1" ht="12.75">
      <c r="A1041515" s="19"/>
      <c r="B1041515" s="19"/>
      <c r="C1041515" s="19"/>
      <c r="D1041515" s="19"/>
      <c r="E1041515" s="19"/>
      <c r="F1041515" s="19"/>
      <c r="G1041515" s="19"/>
      <c r="H1041515" s="19"/>
      <c r="I1041515" s="19"/>
      <c r="J1041515" s="19"/>
      <c r="K1041515" s="19"/>
      <c r="L1041515" s="19"/>
      <c r="M1041515" s="19"/>
      <c r="N1041515" s="19"/>
    </row>
    <row r="1041516" spans="1:14" s="83" customFormat="1" ht="12.75">
      <c r="A1041516" s="19"/>
      <c r="B1041516" s="19"/>
      <c r="C1041516" s="19"/>
      <c r="D1041516" s="19"/>
      <c r="E1041516" s="19"/>
      <c r="F1041516" s="19"/>
      <c r="G1041516" s="19"/>
      <c r="H1041516" s="19"/>
      <c r="I1041516" s="19"/>
      <c r="J1041516" s="19"/>
      <c r="K1041516" s="19"/>
      <c r="L1041516" s="19"/>
      <c r="M1041516" s="19"/>
      <c r="N1041516" s="19"/>
    </row>
    <row r="1041517" spans="1:14" s="83" customFormat="1" ht="12.75">
      <c r="A1041517" s="19"/>
      <c r="B1041517" s="19"/>
      <c r="C1041517" s="19"/>
      <c r="D1041517" s="19"/>
      <c r="E1041517" s="19"/>
      <c r="F1041517" s="19"/>
      <c r="G1041517" s="19"/>
      <c r="H1041517" s="19"/>
      <c r="I1041517" s="19"/>
      <c r="J1041517" s="19"/>
      <c r="K1041517" s="19"/>
      <c r="L1041517" s="19"/>
      <c r="M1041517" s="19"/>
      <c r="N1041517" s="19"/>
    </row>
    <row r="1041518" spans="1:14" s="83" customFormat="1" ht="12.75">
      <c r="A1041518" s="19"/>
      <c r="B1041518" s="19"/>
      <c r="C1041518" s="19"/>
      <c r="D1041518" s="19"/>
      <c r="E1041518" s="19"/>
      <c r="F1041518" s="19"/>
      <c r="G1041518" s="19"/>
      <c r="H1041518" s="19"/>
      <c r="I1041518" s="19"/>
      <c r="J1041518" s="19"/>
      <c r="K1041518" s="19"/>
      <c r="L1041518" s="19"/>
      <c r="M1041518" s="19"/>
      <c r="N1041518" s="19"/>
    </row>
    <row r="1041519" spans="1:14" s="83" customFormat="1" ht="12.75">
      <c r="A1041519" s="19"/>
      <c r="B1041519" s="19"/>
      <c r="C1041519" s="19"/>
      <c r="D1041519" s="19"/>
      <c r="E1041519" s="19"/>
      <c r="F1041519" s="19"/>
      <c r="G1041519" s="19"/>
      <c r="H1041519" s="19"/>
      <c r="I1041519" s="19"/>
      <c r="J1041519" s="19"/>
      <c r="K1041519" s="19"/>
      <c r="L1041519" s="19"/>
      <c r="M1041519" s="19"/>
      <c r="N1041519" s="19"/>
    </row>
    <row r="1041520" spans="1:14" s="83" customFormat="1" ht="12.75">
      <c r="A1041520" s="19"/>
      <c r="B1041520" s="19"/>
      <c r="C1041520" s="19"/>
      <c r="D1041520" s="19"/>
      <c r="E1041520" s="19"/>
      <c r="F1041520" s="19"/>
      <c r="G1041520" s="19"/>
      <c r="H1041520" s="19"/>
      <c r="I1041520" s="19"/>
      <c r="J1041520" s="19"/>
      <c r="K1041520" s="19"/>
      <c r="L1041520" s="19"/>
      <c r="M1041520" s="19"/>
      <c r="N1041520" s="19"/>
    </row>
    <row r="1041521" spans="1:14" s="83" customFormat="1" ht="12.75">
      <c r="A1041521" s="19"/>
      <c r="B1041521" s="19"/>
      <c r="C1041521" s="19"/>
      <c r="D1041521" s="19"/>
      <c r="E1041521" s="19"/>
      <c r="F1041521" s="19"/>
      <c r="G1041521" s="19"/>
      <c r="H1041521" s="19"/>
      <c r="I1041521" s="19"/>
      <c r="J1041521" s="19"/>
      <c r="K1041521" s="19"/>
      <c r="L1041521" s="19"/>
      <c r="M1041521" s="19"/>
      <c r="N1041521" s="19"/>
    </row>
    <row r="1041522" spans="1:14" s="83" customFormat="1" ht="12.75">
      <c r="A1041522" s="19"/>
      <c r="B1041522" s="19"/>
      <c r="C1041522" s="19"/>
      <c r="D1041522" s="19"/>
      <c r="E1041522" s="19"/>
      <c r="F1041522" s="19"/>
      <c r="G1041522" s="19"/>
      <c r="H1041522" s="19"/>
      <c r="I1041522" s="19"/>
      <c r="J1041522" s="19"/>
      <c r="K1041522" s="19"/>
      <c r="L1041522" s="19"/>
      <c r="M1041522" s="19"/>
      <c r="N1041522" s="19"/>
    </row>
    <row r="1041523" spans="1:14" s="83" customFormat="1" ht="12.75">
      <c r="A1041523" s="19"/>
      <c r="B1041523" s="19"/>
      <c r="C1041523" s="19"/>
      <c r="D1041523" s="19"/>
      <c r="E1041523" s="19"/>
      <c r="F1041523" s="19"/>
      <c r="G1041523" s="19"/>
      <c r="H1041523" s="19"/>
      <c r="I1041523" s="19"/>
      <c r="J1041523" s="19"/>
      <c r="K1041523" s="19"/>
      <c r="L1041523" s="19"/>
      <c r="M1041523" s="19"/>
      <c r="N1041523" s="19"/>
    </row>
    <row r="1041524" spans="1:14" s="83" customFormat="1" ht="12.75">
      <c r="A1041524" s="19"/>
      <c r="B1041524" s="19"/>
      <c r="C1041524" s="19"/>
      <c r="D1041524" s="19"/>
      <c r="E1041524" s="19"/>
      <c r="F1041524" s="19"/>
      <c r="G1041524" s="19"/>
      <c r="H1041524" s="19"/>
      <c r="I1041524" s="19"/>
      <c r="J1041524" s="19"/>
      <c r="K1041524" s="19"/>
      <c r="L1041524" s="19"/>
      <c r="M1041524" s="19"/>
      <c r="N1041524" s="19"/>
    </row>
    <row r="1041525" spans="1:14" s="83" customFormat="1" ht="12.75">
      <c r="A1041525" s="19"/>
      <c r="B1041525" s="19"/>
      <c r="C1041525" s="19"/>
      <c r="D1041525" s="19"/>
      <c r="E1041525" s="19"/>
      <c r="F1041525" s="19"/>
      <c r="G1041525" s="19"/>
      <c r="H1041525" s="19"/>
      <c r="I1041525" s="19"/>
      <c r="J1041525" s="19"/>
      <c r="K1041525" s="19"/>
      <c r="L1041525" s="19"/>
      <c r="M1041525" s="19"/>
      <c r="N1041525" s="19"/>
    </row>
    <row r="1041526" spans="1:14" s="83" customFormat="1" ht="12.75">
      <c r="A1041526" s="19"/>
      <c r="B1041526" s="19"/>
      <c r="C1041526" s="19"/>
      <c r="D1041526" s="19"/>
      <c r="E1041526" s="19"/>
      <c r="F1041526" s="19"/>
      <c r="G1041526" s="19"/>
      <c r="H1041526" s="19"/>
      <c r="I1041526" s="19"/>
      <c r="J1041526" s="19"/>
      <c r="K1041526" s="19"/>
      <c r="L1041526" s="19"/>
      <c r="M1041526" s="19"/>
      <c r="N1041526" s="19"/>
    </row>
    <row r="1041527" spans="1:14" s="83" customFormat="1" ht="12.75">
      <c r="A1041527" s="19"/>
      <c r="B1041527" s="19"/>
      <c r="C1041527" s="19"/>
      <c r="D1041527" s="19"/>
      <c r="E1041527" s="19"/>
      <c r="F1041527" s="19"/>
      <c r="G1041527" s="19"/>
      <c r="H1041527" s="19"/>
      <c r="I1041527" s="19"/>
      <c r="J1041527" s="19"/>
      <c r="K1041527" s="19"/>
      <c r="L1041527" s="19"/>
      <c r="M1041527" s="19"/>
      <c r="N1041527" s="19"/>
    </row>
    <row r="1041528" spans="1:14" s="83" customFormat="1" ht="12.75">
      <c r="A1041528" s="19"/>
      <c r="B1041528" s="19"/>
      <c r="C1041528" s="19"/>
      <c r="D1041528" s="19"/>
      <c r="E1041528" s="19"/>
      <c r="F1041528" s="19"/>
      <c r="G1041528" s="19"/>
      <c r="H1041528" s="19"/>
      <c r="I1041528" s="19"/>
      <c r="J1041528" s="19"/>
      <c r="K1041528" s="19"/>
      <c r="L1041528" s="19"/>
      <c r="M1041528" s="19"/>
      <c r="N1041528" s="19"/>
    </row>
    <row r="1041529" spans="1:14" s="83" customFormat="1" ht="12.75">
      <c r="A1041529" s="19"/>
      <c r="B1041529" s="19"/>
      <c r="C1041529" s="19"/>
      <c r="D1041529" s="19"/>
      <c r="E1041529" s="19"/>
      <c r="F1041529" s="19"/>
      <c r="G1041529" s="19"/>
      <c r="H1041529" s="19"/>
      <c r="I1041529" s="19"/>
      <c r="J1041529" s="19"/>
      <c r="K1041529" s="19"/>
      <c r="L1041529" s="19"/>
      <c r="M1041529" s="19"/>
      <c r="N1041529" s="19"/>
    </row>
    <row r="1041530" spans="1:14" s="83" customFormat="1" ht="12.75">
      <c r="A1041530" s="19"/>
      <c r="B1041530" s="19"/>
      <c r="C1041530" s="19"/>
      <c r="D1041530" s="19"/>
      <c r="E1041530" s="19"/>
      <c r="F1041530" s="19"/>
      <c r="G1041530" s="19"/>
      <c r="H1041530" s="19"/>
      <c r="I1041530" s="19"/>
      <c r="J1041530" s="19"/>
      <c r="K1041530" s="19"/>
      <c r="L1041530" s="19"/>
      <c r="M1041530" s="19"/>
      <c r="N1041530" s="19"/>
    </row>
    <row r="1041531" spans="1:14" s="83" customFormat="1" ht="12.75">
      <c r="A1041531" s="19"/>
      <c r="B1041531" s="19"/>
      <c r="C1041531" s="19"/>
      <c r="D1041531" s="19"/>
      <c r="E1041531" s="19"/>
      <c r="F1041531" s="19"/>
      <c r="G1041531" s="19"/>
      <c r="H1041531" s="19"/>
      <c r="I1041531" s="19"/>
      <c r="J1041531" s="19"/>
      <c r="K1041531" s="19"/>
      <c r="L1041531" s="19"/>
      <c r="M1041531" s="19"/>
      <c r="N1041531" s="19"/>
    </row>
    <row r="1041532" spans="1:14" s="83" customFormat="1" ht="12.75">
      <c r="A1041532" s="19"/>
      <c r="B1041532" s="19"/>
      <c r="C1041532" s="19"/>
      <c r="D1041532" s="19"/>
      <c r="E1041532" s="19"/>
      <c r="F1041532" s="19"/>
      <c r="G1041532" s="19"/>
      <c r="H1041532" s="19"/>
      <c r="I1041532" s="19"/>
      <c r="J1041532" s="19"/>
      <c r="K1041532" s="19"/>
      <c r="L1041532" s="19"/>
      <c r="M1041532" s="19"/>
      <c r="N1041532" s="19"/>
    </row>
    <row r="1041533" spans="1:14" s="83" customFormat="1" ht="12.75">
      <c r="A1041533" s="19"/>
      <c r="B1041533" s="19"/>
      <c r="C1041533" s="19"/>
      <c r="D1041533" s="19"/>
      <c r="E1041533" s="19"/>
      <c r="F1041533" s="19"/>
      <c r="G1041533" s="19"/>
      <c r="H1041533" s="19"/>
      <c r="I1041533" s="19"/>
      <c r="J1041533" s="19"/>
      <c r="K1041533" s="19"/>
      <c r="L1041533" s="19"/>
      <c r="M1041533" s="19"/>
      <c r="N1041533" s="19"/>
    </row>
    <row r="1041534" spans="1:14" s="83" customFormat="1" ht="12.75">
      <c r="A1041534" s="19"/>
      <c r="B1041534" s="19"/>
      <c r="C1041534" s="19"/>
      <c r="D1041534" s="19"/>
      <c r="E1041534" s="19"/>
      <c r="F1041534" s="19"/>
      <c r="G1041534" s="19"/>
      <c r="H1041534" s="19"/>
      <c r="I1041534" s="19"/>
      <c r="J1041534" s="19"/>
      <c r="K1041534" s="19"/>
      <c r="L1041534" s="19"/>
      <c r="M1041534" s="19"/>
      <c r="N1041534" s="19"/>
    </row>
    <row r="1041535" spans="1:14" s="83" customFormat="1" ht="12.75">
      <c r="A1041535" s="19"/>
      <c r="B1041535" s="19"/>
      <c r="C1041535" s="19"/>
      <c r="D1041535" s="19"/>
      <c r="E1041535" s="19"/>
      <c r="F1041535" s="19"/>
      <c r="G1041535" s="19"/>
      <c r="H1041535" s="19"/>
      <c r="I1041535" s="19"/>
      <c r="J1041535" s="19"/>
      <c r="K1041535" s="19"/>
      <c r="L1041535" s="19"/>
      <c r="M1041535" s="19"/>
      <c r="N1041535" s="19"/>
    </row>
    <row r="1041536" spans="1:14" s="83" customFormat="1" ht="12.75">
      <c r="A1041536" s="19"/>
      <c r="B1041536" s="19"/>
      <c r="C1041536" s="19"/>
      <c r="D1041536" s="19"/>
      <c r="E1041536" s="19"/>
      <c r="F1041536" s="19"/>
      <c r="G1041536" s="19"/>
      <c r="H1041536" s="19"/>
      <c r="I1041536" s="19"/>
      <c r="J1041536" s="19"/>
      <c r="K1041536" s="19"/>
      <c r="L1041536" s="19"/>
      <c r="M1041536" s="19"/>
      <c r="N1041536" s="19"/>
    </row>
    <row r="1041537" spans="1:14" s="83" customFormat="1" ht="12.75">
      <c r="A1041537" s="19"/>
      <c r="B1041537" s="19"/>
      <c r="C1041537" s="19"/>
      <c r="D1041537" s="19"/>
      <c r="E1041537" s="19"/>
      <c r="F1041537" s="19"/>
      <c r="G1041537" s="19"/>
      <c r="H1041537" s="19"/>
      <c r="I1041537" s="19"/>
      <c r="J1041537" s="19"/>
      <c r="K1041537" s="19"/>
      <c r="L1041537" s="19"/>
      <c r="M1041537" s="19"/>
      <c r="N1041537" s="19"/>
    </row>
    <row r="1041538" spans="1:14" s="83" customFormat="1" ht="12.75">
      <c r="A1041538" s="19"/>
      <c r="B1041538" s="19"/>
      <c r="C1041538" s="19"/>
      <c r="D1041538" s="19"/>
      <c r="E1041538" s="19"/>
      <c r="F1041538" s="19"/>
      <c r="G1041538" s="19"/>
      <c r="H1041538" s="19"/>
      <c r="I1041538" s="19"/>
      <c r="J1041538" s="19"/>
      <c r="K1041538" s="19"/>
      <c r="L1041538" s="19"/>
      <c r="M1041538" s="19"/>
      <c r="N1041538" s="19"/>
    </row>
    <row r="1041539" spans="1:14" s="83" customFormat="1" ht="12.75">
      <c r="A1041539" s="19"/>
      <c r="B1041539" s="19"/>
      <c r="C1041539" s="19"/>
      <c r="D1041539" s="19"/>
      <c r="E1041539" s="19"/>
      <c r="F1041539" s="19"/>
      <c r="G1041539" s="19"/>
      <c r="H1041539" s="19"/>
      <c r="I1041539" s="19"/>
      <c r="J1041539" s="19"/>
      <c r="K1041539" s="19"/>
      <c r="L1041539" s="19"/>
      <c r="M1041539" s="19"/>
      <c r="N1041539" s="19"/>
    </row>
    <row r="1041540" spans="1:14" s="83" customFormat="1" ht="12.75">
      <c r="A1041540" s="19"/>
      <c r="B1041540" s="19"/>
      <c r="C1041540" s="19"/>
      <c r="D1041540" s="19"/>
      <c r="E1041540" s="19"/>
      <c r="F1041540" s="19"/>
      <c r="G1041540" s="19"/>
      <c r="H1041540" s="19"/>
      <c r="I1041540" s="19"/>
      <c r="J1041540" s="19"/>
      <c r="K1041540" s="19"/>
      <c r="L1041540" s="19"/>
      <c r="M1041540" s="19"/>
      <c r="N1041540" s="19"/>
    </row>
    <row r="1041541" spans="1:14" s="83" customFormat="1" ht="12.75">
      <c r="A1041541" s="19"/>
      <c r="B1041541" s="19"/>
      <c r="C1041541" s="19"/>
      <c r="D1041541" s="19"/>
      <c r="E1041541" s="19"/>
      <c r="F1041541" s="19"/>
      <c r="G1041541" s="19"/>
      <c r="H1041541" s="19"/>
      <c r="I1041541" s="19"/>
      <c r="J1041541" s="19"/>
      <c r="K1041541" s="19"/>
      <c r="L1041541" s="19"/>
      <c r="M1041541" s="19"/>
      <c r="N1041541" s="19"/>
    </row>
    <row r="1041542" spans="1:14" s="83" customFormat="1" ht="12.75">
      <c r="A1041542" s="19"/>
      <c r="B1041542" s="19"/>
      <c r="C1041542" s="19"/>
      <c r="D1041542" s="19"/>
      <c r="E1041542" s="19"/>
      <c r="F1041542" s="19"/>
      <c r="G1041542" s="19"/>
      <c r="H1041542" s="19"/>
      <c r="I1041542" s="19"/>
      <c r="J1041542" s="19"/>
      <c r="K1041542" s="19"/>
      <c r="L1041542" s="19"/>
      <c r="M1041542" s="19"/>
      <c r="N1041542" s="19"/>
    </row>
    <row r="1041543" spans="1:14" s="83" customFormat="1" ht="12.75">
      <c r="A1041543" s="19"/>
      <c r="B1041543" s="19"/>
      <c r="C1041543" s="19"/>
      <c r="D1041543" s="19"/>
      <c r="E1041543" s="19"/>
      <c r="F1041543" s="19"/>
      <c r="G1041543" s="19"/>
      <c r="H1041543" s="19"/>
      <c r="I1041543" s="19"/>
      <c r="J1041543" s="19"/>
      <c r="K1041543" s="19"/>
      <c r="L1041543" s="19"/>
      <c r="M1041543" s="19"/>
      <c r="N1041543" s="19"/>
    </row>
    <row r="1041544" spans="1:14" s="83" customFormat="1" ht="12.75">
      <c r="A1041544" s="19"/>
      <c r="B1041544" s="19"/>
      <c r="C1041544" s="19"/>
      <c r="D1041544" s="19"/>
      <c r="E1041544" s="19"/>
      <c r="F1041544" s="19"/>
      <c r="G1041544" s="19"/>
      <c r="H1041544" s="19"/>
      <c r="I1041544" s="19"/>
      <c r="J1041544" s="19"/>
      <c r="K1041544" s="19"/>
      <c r="L1041544" s="19"/>
      <c r="M1041544" s="19"/>
      <c r="N1041544" s="19"/>
    </row>
    <row r="1041545" spans="1:14" s="83" customFormat="1" ht="12.75">
      <c r="A1041545" s="19"/>
      <c r="B1041545" s="19"/>
      <c r="C1041545" s="19"/>
      <c r="D1041545" s="19"/>
      <c r="E1041545" s="19"/>
      <c r="F1041545" s="19"/>
      <c r="G1041545" s="19"/>
      <c r="H1041545" s="19"/>
      <c r="I1041545" s="19"/>
      <c r="J1041545" s="19"/>
      <c r="K1041545" s="19"/>
      <c r="L1041545" s="19"/>
      <c r="M1041545" s="19"/>
      <c r="N1041545" s="19"/>
    </row>
    <row r="1041546" spans="1:14" s="83" customFormat="1" ht="12.75">
      <c r="A1041546" s="19"/>
      <c r="B1041546" s="19"/>
      <c r="C1041546" s="19"/>
      <c r="D1041546" s="19"/>
      <c r="E1041546" s="19"/>
      <c r="F1041546" s="19"/>
      <c r="G1041546" s="19"/>
      <c r="H1041546" s="19"/>
      <c r="I1041546" s="19"/>
      <c r="J1041546" s="19"/>
      <c r="K1041546" s="19"/>
      <c r="L1041546" s="19"/>
      <c r="M1041546" s="19"/>
      <c r="N1041546" s="19"/>
    </row>
    <row r="1041547" spans="1:14" s="83" customFormat="1" ht="12.75">
      <c r="A1041547" s="19"/>
      <c r="B1041547" s="19"/>
      <c r="C1041547" s="19"/>
      <c r="D1041547" s="19"/>
      <c r="E1041547" s="19"/>
      <c r="F1041547" s="19"/>
      <c r="G1041547" s="19"/>
      <c r="H1041547" s="19"/>
      <c r="I1041547" s="19"/>
      <c r="J1041547" s="19"/>
      <c r="K1041547" s="19"/>
      <c r="L1041547" s="19"/>
      <c r="M1041547" s="19"/>
      <c r="N1041547" s="19"/>
    </row>
    <row r="1041548" spans="1:14" s="83" customFormat="1" ht="12.75">
      <c r="A1041548" s="19"/>
      <c r="B1041548" s="19"/>
      <c r="C1041548" s="19"/>
      <c r="D1041548" s="19"/>
      <c r="E1041548" s="19"/>
      <c r="F1041548" s="19"/>
      <c r="G1041548" s="19"/>
      <c r="H1041548" s="19"/>
      <c r="I1041548" s="19"/>
      <c r="J1041548" s="19"/>
      <c r="K1041548" s="19"/>
      <c r="L1041548" s="19"/>
      <c r="M1041548" s="19"/>
      <c r="N1041548" s="19"/>
    </row>
    <row r="1041549" spans="1:14" s="83" customFormat="1" ht="12.75">
      <c r="A1041549" s="19"/>
      <c r="B1041549" s="19"/>
      <c r="C1041549" s="19"/>
      <c r="D1041549" s="19"/>
      <c r="E1041549" s="19"/>
      <c r="F1041549" s="19"/>
      <c r="G1041549" s="19"/>
      <c r="H1041549" s="19"/>
      <c r="I1041549" s="19"/>
      <c r="J1041549" s="19"/>
      <c r="K1041549" s="19"/>
      <c r="L1041549" s="19"/>
      <c r="M1041549" s="19"/>
      <c r="N1041549" s="19"/>
    </row>
    <row r="1041550" spans="1:14" s="83" customFormat="1" ht="12.75">
      <c r="A1041550" s="19"/>
      <c r="B1041550" s="19"/>
      <c r="C1041550" s="19"/>
      <c r="D1041550" s="19"/>
      <c r="E1041550" s="19"/>
      <c r="F1041550" s="19"/>
      <c r="G1041550" s="19"/>
      <c r="H1041550" s="19"/>
      <c r="I1041550" s="19"/>
      <c r="J1041550" s="19"/>
      <c r="K1041550" s="19"/>
      <c r="L1041550" s="19"/>
      <c r="M1041550" s="19"/>
      <c r="N1041550" s="19"/>
    </row>
    <row r="1041551" spans="1:14" s="83" customFormat="1" ht="12.75">
      <c r="A1041551" s="19"/>
      <c r="B1041551" s="19"/>
      <c r="C1041551" s="19"/>
      <c r="D1041551" s="19"/>
      <c r="E1041551" s="19"/>
      <c r="F1041551" s="19"/>
      <c r="G1041551" s="19"/>
      <c r="H1041551" s="19"/>
      <c r="I1041551" s="19"/>
      <c r="J1041551" s="19"/>
      <c r="K1041551" s="19"/>
      <c r="L1041551" s="19"/>
      <c r="M1041551" s="19"/>
      <c r="N1041551" s="19"/>
    </row>
    <row r="1041552" spans="1:14" s="83" customFormat="1" ht="12.75">
      <c r="A1041552" s="19"/>
      <c r="B1041552" s="19"/>
      <c r="C1041552" s="19"/>
      <c r="D1041552" s="19"/>
      <c r="E1041552" s="19"/>
      <c r="F1041552" s="19"/>
      <c r="G1041552" s="19"/>
      <c r="H1041552" s="19"/>
      <c r="I1041552" s="19"/>
      <c r="J1041552" s="19"/>
      <c r="K1041552" s="19"/>
      <c r="L1041552" s="19"/>
      <c r="M1041552" s="19"/>
      <c r="N1041552" s="19"/>
    </row>
    <row r="1041553" spans="1:14" s="83" customFormat="1" ht="12.75">
      <c r="A1041553" s="19"/>
      <c r="B1041553" s="19"/>
      <c r="C1041553" s="19"/>
      <c r="D1041553" s="19"/>
      <c r="E1041553" s="19"/>
      <c r="F1041553" s="19"/>
      <c r="G1041553" s="19"/>
      <c r="H1041553" s="19"/>
      <c r="I1041553" s="19"/>
      <c r="J1041553" s="19"/>
      <c r="K1041553" s="19"/>
      <c r="L1041553" s="19"/>
      <c r="M1041553" s="19"/>
      <c r="N1041553" s="19"/>
    </row>
    <row r="1041554" spans="1:14" s="83" customFormat="1" ht="12.75">
      <c r="A1041554" s="19"/>
      <c r="B1041554" s="19"/>
      <c r="C1041554" s="19"/>
      <c r="D1041554" s="19"/>
      <c r="E1041554" s="19"/>
      <c r="F1041554" s="19"/>
      <c r="G1041554" s="19"/>
      <c r="H1041554" s="19"/>
      <c r="I1041554" s="19"/>
      <c r="J1041554" s="19"/>
      <c r="K1041554" s="19"/>
      <c r="L1041554" s="19"/>
      <c r="M1041554" s="19"/>
      <c r="N1041554" s="19"/>
    </row>
    <row r="1041555" spans="1:14" s="83" customFormat="1" ht="12.75">
      <c r="A1041555" s="19"/>
      <c r="B1041555" s="19"/>
      <c r="C1041555" s="19"/>
      <c r="D1041555" s="19"/>
      <c r="E1041555" s="19"/>
      <c r="F1041555" s="19"/>
      <c r="G1041555" s="19"/>
      <c r="H1041555" s="19"/>
      <c r="I1041555" s="19"/>
      <c r="J1041555" s="19"/>
      <c r="K1041555" s="19"/>
      <c r="L1041555" s="19"/>
      <c r="M1041555" s="19"/>
      <c r="N1041555" s="19"/>
    </row>
    <row r="1041556" spans="1:14" s="83" customFormat="1" ht="12.75">
      <c r="A1041556" s="19"/>
      <c r="B1041556" s="19"/>
      <c r="C1041556" s="19"/>
      <c r="D1041556" s="19"/>
      <c r="E1041556" s="19"/>
      <c r="F1041556" s="19"/>
      <c r="G1041556" s="19"/>
      <c r="H1041556" s="19"/>
      <c r="I1041556" s="19"/>
      <c r="J1041556" s="19"/>
      <c r="K1041556" s="19"/>
      <c r="L1041556" s="19"/>
      <c r="M1041556" s="19"/>
      <c r="N1041556" s="19"/>
    </row>
    <row r="1041557" spans="1:14" s="83" customFormat="1" ht="12.75">
      <c r="A1041557" s="19"/>
      <c r="B1041557" s="19"/>
      <c r="C1041557" s="19"/>
      <c r="D1041557" s="19"/>
      <c r="E1041557" s="19"/>
      <c r="F1041557" s="19"/>
      <c r="G1041557" s="19"/>
      <c r="H1041557" s="19"/>
      <c r="I1041557" s="19"/>
      <c r="J1041557" s="19"/>
      <c r="K1041557" s="19"/>
      <c r="L1041557" s="19"/>
      <c r="M1041557" s="19"/>
      <c r="N1041557" s="19"/>
    </row>
    <row r="1041558" spans="1:14" s="83" customFormat="1" ht="12.75">
      <c r="A1041558" s="19"/>
      <c r="B1041558" s="19"/>
      <c r="C1041558" s="19"/>
      <c r="D1041558" s="19"/>
      <c r="E1041558" s="19"/>
      <c r="F1041558" s="19"/>
      <c r="G1041558" s="19"/>
      <c r="H1041558" s="19"/>
      <c r="I1041558" s="19"/>
      <c r="J1041558" s="19"/>
      <c r="K1041558" s="19"/>
      <c r="L1041558" s="19"/>
      <c r="M1041558" s="19"/>
      <c r="N1041558" s="19"/>
    </row>
    <row r="1041559" spans="1:14" s="83" customFormat="1" ht="12.75">
      <c r="A1041559" s="19"/>
      <c r="B1041559" s="19"/>
      <c r="C1041559" s="19"/>
      <c r="D1041559" s="19"/>
      <c r="E1041559" s="19"/>
      <c r="F1041559" s="19"/>
      <c r="G1041559" s="19"/>
      <c r="H1041559" s="19"/>
      <c r="I1041559" s="19"/>
      <c r="J1041559" s="19"/>
      <c r="K1041559" s="19"/>
      <c r="L1041559" s="19"/>
      <c r="M1041559" s="19"/>
      <c r="N1041559" s="19"/>
    </row>
    <row r="1041560" spans="1:14" s="83" customFormat="1" ht="12.75">
      <c r="A1041560" s="19"/>
      <c r="B1041560" s="19"/>
      <c r="C1041560" s="19"/>
      <c r="D1041560" s="19"/>
      <c r="E1041560" s="19"/>
      <c r="F1041560" s="19"/>
      <c r="G1041560" s="19"/>
      <c r="H1041560" s="19"/>
      <c r="I1041560" s="19"/>
      <c r="J1041560" s="19"/>
      <c r="K1041560" s="19"/>
      <c r="L1041560" s="19"/>
      <c r="M1041560" s="19"/>
      <c r="N1041560" s="19"/>
    </row>
    <row r="1041561" spans="1:14" s="83" customFormat="1" ht="12.75">
      <c r="A1041561" s="19"/>
      <c r="B1041561" s="19"/>
      <c r="C1041561" s="19"/>
      <c r="D1041561" s="19"/>
      <c r="E1041561" s="19"/>
      <c r="F1041561" s="19"/>
      <c r="G1041561" s="19"/>
      <c r="H1041561" s="19"/>
      <c r="I1041561" s="19"/>
      <c r="J1041561" s="19"/>
      <c r="K1041561" s="19"/>
      <c r="L1041561" s="19"/>
      <c r="M1041561" s="19"/>
      <c r="N1041561" s="19"/>
    </row>
    <row r="1041562" spans="1:14" s="83" customFormat="1" ht="12.75">
      <c r="A1041562" s="19"/>
      <c r="B1041562" s="19"/>
      <c r="C1041562" s="19"/>
      <c r="D1041562" s="19"/>
      <c r="E1041562" s="19"/>
      <c r="F1041562" s="19"/>
      <c r="G1041562" s="19"/>
      <c r="H1041562" s="19"/>
      <c r="I1041562" s="19"/>
      <c r="J1041562" s="19"/>
      <c r="K1041562" s="19"/>
      <c r="L1041562" s="19"/>
      <c r="M1041562" s="19"/>
      <c r="N1041562" s="19"/>
    </row>
    <row r="1041563" spans="1:14" s="83" customFormat="1" ht="12.75">
      <c r="A1041563" s="19"/>
      <c r="B1041563" s="19"/>
      <c r="C1041563" s="19"/>
      <c r="D1041563" s="19"/>
      <c r="E1041563" s="19"/>
      <c r="F1041563" s="19"/>
      <c r="G1041563" s="19"/>
      <c r="H1041563" s="19"/>
      <c r="I1041563" s="19"/>
      <c r="J1041563" s="19"/>
      <c r="K1041563" s="19"/>
      <c r="L1041563" s="19"/>
      <c r="M1041563" s="19"/>
      <c r="N1041563" s="19"/>
    </row>
    <row r="1041564" spans="1:14" s="83" customFormat="1" ht="12.75">
      <c r="A1041564" s="19"/>
      <c r="B1041564" s="19"/>
      <c r="C1041564" s="19"/>
      <c r="D1041564" s="19"/>
      <c r="E1041564" s="19"/>
      <c r="F1041564" s="19"/>
      <c r="G1041564" s="19"/>
      <c r="H1041564" s="19"/>
      <c r="I1041564" s="19"/>
      <c r="J1041564" s="19"/>
      <c r="K1041564" s="19"/>
      <c r="L1041564" s="19"/>
      <c r="M1041564" s="19"/>
      <c r="N1041564" s="19"/>
    </row>
    <row r="1041565" spans="1:14" s="83" customFormat="1" ht="12.75">
      <c r="A1041565" s="19"/>
      <c r="B1041565" s="19"/>
      <c r="C1041565" s="19"/>
      <c r="D1041565" s="19"/>
      <c r="E1041565" s="19"/>
      <c r="F1041565" s="19"/>
      <c r="G1041565" s="19"/>
      <c r="H1041565" s="19"/>
      <c r="I1041565" s="19"/>
      <c r="J1041565" s="19"/>
      <c r="K1041565" s="19"/>
      <c r="L1041565" s="19"/>
      <c r="M1041565" s="19"/>
      <c r="N1041565" s="19"/>
    </row>
    <row r="1041566" spans="1:14" s="83" customFormat="1" ht="12.75">
      <c r="A1041566" s="19"/>
      <c r="B1041566" s="19"/>
      <c r="C1041566" s="19"/>
      <c r="D1041566" s="19"/>
      <c r="E1041566" s="19"/>
      <c r="F1041566" s="19"/>
      <c r="G1041566" s="19"/>
      <c r="H1041566" s="19"/>
      <c r="I1041566" s="19"/>
      <c r="J1041566" s="19"/>
      <c r="K1041566" s="19"/>
      <c r="L1041566" s="19"/>
      <c r="M1041566" s="19"/>
      <c r="N1041566" s="19"/>
    </row>
    <row r="1041567" spans="1:14" s="83" customFormat="1" ht="12.75">
      <c r="A1041567" s="19"/>
      <c r="B1041567" s="19"/>
      <c r="C1041567" s="19"/>
      <c r="D1041567" s="19"/>
      <c r="E1041567" s="19"/>
      <c r="F1041567" s="19"/>
      <c r="G1041567" s="19"/>
      <c r="H1041567" s="19"/>
      <c r="I1041567" s="19"/>
      <c r="J1041567" s="19"/>
      <c r="K1041567" s="19"/>
      <c r="L1041567" s="19"/>
      <c r="M1041567" s="19"/>
      <c r="N1041567" s="19"/>
    </row>
    <row r="1041568" spans="1:14" s="83" customFormat="1" ht="12.75">
      <c r="A1041568" s="19"/>
      <c r="B1041568" s="19"/>
      <c r="C1041568" s="19"/>
      <c r="D1041568" s="19"/>
      <c r="E1041568" s="19"/>
      <c r="F1041568" s="19"/>
      <c r="G1041568" s="19"/>
      <c r="H1041568" s="19"/>
      <c r="I1041568" s="19"/>
      <c r="J1041568" s="19"/>
      <c r="K1041568" s="19"/>
      <c r="L1041568" s="19"/>
      <c r="M1041568" s="19"/>
      <c r="N1041568" s="19"/>
    </row>
    <row r="1041569" spans="1:14" s="83" customFormat="1" ht="12.75">
      <c r="A1041569" s="19"/>
      <c r="B1041569" s="19"/>
      <c r="C1041569" s="19"/>
      <c r="D1041569" s="19"/>
      <c r="E1041569" s="19"/>
      <c r="F1041569" s="19"/>
      <c r="G1041569" s="19"/>
      <c r="H1041569" s="19"/>
      <c r="I1041569" s="19"/>
      <c r="J1041569" s="19"/>
      <c r="K1041569" s="19"/>
      <c r="L1041569" s="19"/>
      <c r="M1041569" s="19"/>
      <c r="N1041569" s="19"/>
    </row>
    <row r="1041570" spans="1:14" s="83" customFormat="1" ht="12.75">
      <c r="A1041570" s="19"/>
      <c r="B1041570" s="19"/>
      <c r="C1041570" s="19"/>
      <c r="D1041570" s="19"/>
      <c r="E1041570" s="19"/>
      <c r="F1041570" s="19"/>
      <c r="G1041570" s="19"/>
      <c r="H1041570" s="19"/>
      <c r="I1041570" s="19"/>
      <c r="J1041570" s="19"/>
      <c r="K1041570" s="19"/>
      <c r="L1041570" s="19"/>
      <c r="M1041570" s="19"/>
      <c r="N1041570" s="19"/>
    </row>
    <row r="1041571" spans="1:14" s="83" customFormat="1" ht="12.75">
      <c r="A1041571" s="19"/>
      <c r="B1041571" s="19"/>
      <c r="C1041571" s="19"/>
      <c r="D1041571" s="19"/>
      <c r="E1041571" s="19"/>
      <c r="F1041571" s="19"/>
      <c r="G1041571" s="19"/>
      <c r="H1041571" s="19"/>
      <c r="I1041571" s="19"/>
      <c r="J1041571" s="19"/>
      <c r="K1041571" s="19"/>
      <c r="L1041571" s="19"/>
      <c r="M1041571" s="19"/>
      <c r="N1041571" s="19"/>
    </row>
    <row r="1041572" spans="1:14" s="83" customFormat="1" ht="12.75">
      <c r="A1041572" s="19"/>
      <c r="B1041572" s="19"/>
      <c r="C1041572" s="19"/>
      <c r="D1041572" s="19"/>
      <c r="E1041572" s="19"/>
      <c r="F1041572" s="19"/>
      <c r="G1041572" s="19"/>
      <c r="H1041572" s="19"/>
      <c r="I1041572" s="19"/>
      <c r="J1041572" s="19"/>
      <c r="K1041572" s="19"/>
      <c r="L1041572" s="19"/>
      <c r="M1041572" s="19"/>
      <c r="N1041572" s="19"/>
    </row>
    <row r="1041573" spans="1:14" s="83" customFormat="1" ht="12.75">
      <c r="A1041573" s="19"/>
      <c r="B1041573" s="19"/>
      <c r="C1041573" s="19"/>
      <c r="D1041573" s="19"/>
      <c r="E1041573" s="19"/>
      <c r="F1041573" s="19"/>
      <c r="G1041573" s="19"/>
      <c r="H1041573" s="19"/>
      <c r="I1041573" s="19"/>
      <c r="J1041573" s="19"/>
      <c r="K1041573" s="19"/>
      <c r="L1041573" s="19"/>
      <c r="M1041573" s="19"/>
      <c r="N1041573" s="19"/>
    </row>
    <row r="1041574" spans="1:14" s="83" customFormat="1" ht="12.75">
      <c r="A1041574" s="19"/>
      <c r="B1041574" s="19"/>
      <c r="C1041574" s="19"/>
      <c r="D1041574" s="19"/>
      <c r="E1041574" s="19"/>
      <c r="F1041574" s="19"/>
      <c r="G1041574" s="19"/>
      <c r="H1041574" s="19"/>
      <c r="I1041574" s="19"/>
      <c r="J1041574" s="19"/>
      <c r="K1041574" s="19"/>
      <c r="L1041574" s="19"/>
      <c r="M1041574" s="19"/>
      <c r="N1041574" s="19"/>
    </row>
    <row r="1041575" spans="1:14" s="83" customFormat="1" ht="12.75">
      <c r="A1041575" s="19"/>
      <c r="B1041575" s="19"/>
      <c r="C1041575" s="19"/>
      <c r="D1041575" s="19"/>
      <c r="E1041575" s="19"/>
      <c r="F1041575" s="19"/>
      <c r="G1041575" s="19"/>
      <c r="H1041575" s="19"/>
      <c r="I1041575" s="19"/>
      <c r="J1041575" s="19"/>
      <c r="K1041575" s="19"/>
      <c r="L1041575" s="19"/>
      <c r="M1041575" s="19"/>
      <c r="N1041575" s="19"/>
    </row>
    <row r="1041576" spans="1:14" s="83" customFormat="1" ht="12.75">
      <c r="A1041576" s="19"/>
      <c r="B1041576" s="19"/>
      <c r="C1041576" s="19"/>
      <c r="D1041576" s="19"/>
      <c r="E1041576" s="19"/>
      <c r="F1041576" s="19"/>
      <c r="G1041576" s="19"/>
      <c r="H1041576" s="19"/>
      <c r="I1041576" s="19"/>
      <c r="J1041576" s="19"/>
      <c r="K1041576" s="19"/>
      <c r="L1041576" s="19"/>
      <c r="M1041576" s="19"/>
      <c r="N1041576" s="19"/>
    </row>
    <row r="1041577" spans="1:14" s="83" customFormat="1" ht="12.75">
      <c r="A1041577" s="19"/>
      <c r="B1041577" s="19"/>
      <c r="C1041577" s="19"/>
      <c r="D1041577" s="19"/>
      <c r="E1041577" s="19"/>
      <c r="F1041577" s="19"/>
      <c r="G1041577" s="19"/>
      <c r="H1041577" s="19"/>
      <c r="I1041577" s="19"/>
      <c r="J1041577" s="19"/>
      <c r="K1041577" s="19"/>
      <c r="L1041577" s="19"/>
      <c r="M1041577" s="19"/>
      <c r="N1041577" s="19"/>
    </row>
    <row r="1041578" spans="1:14" s="83" customFormat="1" ht="12.75">
      <c r="A1041578" s="19"/>
      <c r="B1041578" s="19"/>
      <c r="C1041578" s="19"/>
      <c r="D1041578" s="19"/>
      <c r="E1041578" s="19"/>
      <c r="F1041578" s="19"/>
      <c r="G1041578" s="19"/>
      <c r="H1041578" s="19"/>
      <c r="I1041578" s="19"/>
      <c r="J1041578" s="19"/>
      <c r="K1041578" s="19"/>
      <c r="L1041578" s="19"/>
      <c r="M1041578" s="19"/>
      <c r="N1041578" s="19"/>
    </row>
    <row r="1041579" spans="1:14" s="83" customFormat="1" ht="12.75">
      <c r="A1041579" s="19"/>
      <c r="B1041579" s="19"/>
      <c r="C1041579" s="19"/>
      <c r="D1041579" s="19"/>
      <c r="E1041579" s="19"/>
      <c r="F1041579" s="19"/>
      <c r="G1041579" s="19"/>
      <c r="H1041579" s="19"/>
      <c r="I1041579" s="19"/>
      <c r="J1041579" s="19"/>
      <c r="K1041579" s="19"/>
      <c r="L1041579" s="19"/>
      <c r="M1041579" s="19"/>
      <c r="N1041579" s="19"/>
    </row>
    <row r="1041580" spans="1:14" s="83" customFormat="1" ht="12.75">
      <c r="A1041580" s="19"/>
      <c r="B1041580" s="19"/>
      <c r="C1041580" s="19"/>
      <c r="D1041580" s="19"/>
      <c r="E1041580" s="19"/>
      <c r="F1041580" s="19"/>
      <c r="G1041580" s="19"/>
      <c r="H1041580" s="19"/>
      <c r="I1041580" s="19"/>
      <c r="J1041580" s="19"/>
      <c r="K1041580" s="19"/>
      <c r="L1041580" s="19"/>
      <c r="M1041580" s="19"/>
      <c r="N1041580" s="19"/>
    </row>
    <row r="1041581" spans="1:14" s="83" customFormat="1" ht="12.75">
      <c r="A1041581" s="19"/>
      <c r="B1041581" s="19"/>
      <c r="C1041581" s="19"/>
      <c r="D1041581" s="19"/>
      <c r="E1041581" s="19"/>
      <c r="F1041581" s="19"/>
      <c r="G1041581" s="19"/>
      <c r="H1041581" s="19"/>
      <c r="I1041581" s="19"/>
      <c r="J1041581" s="19"/>
      <c r="K1041581" s="19"/>
      <c r="L1041581" s="19"/>
      <c r="M1041581" s="19"/>
      <c r="N1041581" s="19"/>
    </row>
    <row r="1041582" spans="1:14" s="83" customFormat="1" ht="12.75">
      <c r="A1041582" s="19"/>
      <c r="B1041582" s="19"/>
      <c r="C1041582" s="19"/>
      <c r="D1041582" s="19"/>
      <c r="E1041582" s="19"/>
      <c r="F1041582" s="19"/>
      <c r="G1041582" s="19"/>
      <c r="H1041582" s="19"/>
      <c r="I1041582" s="19"/>
      <c r="J1041582" s="19"/>
      <c r="K1041582" s="19"/>
      <c r="L1041582" s="19"/>
      <c r="M1041582" s="19"/>
      <c r="N1041582" s="19"/>
    </row>
    <row r="1041583" spans="1:14" s="83" customFormat="1" ht="12.75">
      <c r="A1041583" s="19"/>
      <c r="B1041583" s="19"/>
      <c r="C1041583" s="19"/>
      <c r="D1041583" s="19"/>
      <c r="E1041583" s="19"/>
      <c r="F1041583" s="19"/>
      <c r="G1041583" s="19"/>
      <c r="H1041583" s="19"/>
      <c r="I1041583" s="19"/>
      <c r="J1041583" s="19"/>
      <c r="K1041583" s="19"/>
      <c r="L1041583" s="19"/>
      <c r="M1041583" s="19"/>
      <c r="N1041583" s="19"/>
    </row>
    <row r="1041584" spans="1:14" s="83" customFormat="1" ht="12.75">
      <c r="A1041584" s="19"/>
      <c r="B1041584" s="19"/>
      <c r="C1041584" s="19"/>
      <c r="D1041584" s="19"/>
      <c r="E1041584" s="19"/>
      <c r="F1041584" s="19"/>
      <c r="G1041584" s="19"/>
      <c r="H1041584" s="19"/>
      <c r="I1041584" s="19"/>
      <c r="J1041584" s="19"/>
      <c r="K1041584" s="19"/>
      <c r="L1041584" s="19"/>
      <c r="M1041584" s="19"/>
      <c r="N1041584" s="19"/>
    </row>
    <row r="1041585" spans="1:14" s="83" customFormat="1" ht="12.75">
      <c r="A1041585" s="19"/>
      <c r="B1041585" s="19"/>
      <c r="C1041585" s="19"/>
      <c r="D1041585" s="19"/>
      <c r="E1041585" s="19"/>
      <c r="F1041585" s="19"/>
      <c r="G1041585" s="19"/>
      <c r="H1041585" s="19"/>
      <c r="I1041585" s="19"/>
      <c r="J1041585" s="19"/>
      <c r="K1041585" s="19"/>
      <c r="L1041585" s="19"/>
      <c r="M1041585" s="19"/>
      <c r="N1041585" s="19"/>
    </row>
    <row r="1041586" spans="1:14" s="83" customFormat="1" ht="12.75">
      <c r="A1041586" s="19"/>
      <c r="B1041586" s="19"/>
      <c r="C1041586" s="19"/>
      <c r="D1041586" s="19"/>
      <c r="E1041586" s="19"/>
      <c r="F1041586" s="19"/>
      <c r="G1041586" s="19"/>
      <c r="H1041586" s="19"/>
      <c r="I1041586" s="19"/>
      <c r="J1041586" s="19"/>
      <c r="K1041586" s="19"/>
      <c r="L1041586" s="19"/>
      <c r="M1041586" s="19"/>
      <c r="N1041586" s="19"/>
    </row>
    <row r="1041587" spans="1:14" s="83" customFormat="1" ht="12.75">
      <c r="A1041587" s="19"/>
      <c r="B1041587" s="19"/>
      <c r="C1041587" s="19"/>
      <c r="D1041587" s="19"/>
      <c r="E1041587" s="19"/>
      <c r="F1041587" s="19"/>
      <c r="G1041587" s="19"/>
      <c r="H1041587" s="19"/>
      <c r="I1041587" s="19"/>
      <c r="J1041587" s="19"/>
      <c r="K1041587" s="19"/>
      <c r="L1041587" s="19"/>
      <c r="M1041587" s="19"/>
      <c r="N1041587" s="19"/>
    </row>
    <row r="1041588" spans="1:14" s="83" customFormat="1" ht="12.75">
      <c r="A1041588" s="19"/>
      <c r="B1041588" s="19"/>
      <c r="C1041588" s="19"/>
      <c r="D1041588" s="19"/>
      <c r="E1041588" s="19"/>
      <c r="F1041588" s="19"/>
      <c r="G1041588" s="19"/>
      <c r="H1041588" s="19"/>
      <c r="I1041588" s="19"/>
      <c r="J1041588" s="19"/>
      <c r="K1041588" s="19"/>
      <c r="L1041588" s="19"/>
      <c r="M1041588" s="19"/>
      <c r="N1041588" s="19"/>
    </row>
    <row r="1041589" spans="1:14" s="83" customFormat="1" ht="12.75">
      <c r="A1041589" s="19"/>
      <c r="B1041589" s="19"/>
      <c r="C1041589" s="19"/>
      <c r="D1041589" s="19"/>
      <c r="E1041589" s="19"/>
      <c r="F1041589" s="19"/>
      <c r="G1041589" s="19"/>
      <c r="H1041589" s="19"/>
      <c r="I1041589" s="19"/>
      <c r="J1041589" s="19"/>
      <c r="K1041589" s="19"/>
      <c r="L1041589" s="19"/>
      <c r="M1041589" s="19"/>
      <c r="N1041589" s="19"/>
    </row>
    <row r="1041590" spans="1:14" s="83" customFormat="1" ht="12.75">
      <c r="A1041590" s="19"/>
      <c r="B1041590" s="19"/>
      <c r="C1041590" s="19"/>
      <c r="D1041590" s="19"/>
      <c r="E1041590" s="19"/>
      <c r="F1041590" s="19"/>
      <c r="G1041590" s="19"/>
      <c r="H1041590" s="19"/>
      <c r="I1041590" s="19"/>
      <c r="J1041590" s="19"/>
      <c r="K1041590" s="19"/>
      <c r="L1041590" s="19"/>
      <c r="M1041590" s="19"/>
      <c r="N1041590" s="19"/>
    </row>
    <row r="1041591" spans="1:14" s="83" customFormat="1" ht="12.75">
      <c r="A1041591" s="19"/>
      <c r="B1041591" s="19"/>
      <c r="C1041591" s="19"/>
      <c r="D1041591" s="19"/>
      <c r="E1041591" s="19"/>
      <c r="F1041591" s="19"/>
      <c r="G1041591" s="19"/>
      <c r="H1041591" s="19"/>
      <c r="I1041591" s="19"/>
      <c r="J1041591" s="19"/>
      <c r="K1041591" s="19"/>
      <c r="L1041591" s="19"/>
      <c r="M1041591" s="19"/>
      <c r="N1041591" s="19"/>
    </row>
    <row r="1041592" spans="1:14" s="83" customFormat="1" ht="12.75">
      <c r="A1041592" s="19"/>
      <c r="B1041592" s="19"/>
      <c r="C1041592" s="19"/>
      <c r="D1041592" s="19"/>
      <c r="E1041592" s="19"/>
      <c r="F1041592" s="19"/>
      <c r="G1041592" s="19"/>
      <c r="H1041592" s="19"/>
      <c r="I1041592" s="19"/>
      <c r="J1041592" s="19"/>
      <c r="K1041592" s="19"/>
      <c r="L1041592" s="19"/>
      <c r="M1041592" s="19"/>
      <c r="N1041592" s="19"/>
    </row>
    <row r="1041593" spans="1:14" s="83" customFormat="1" ht="12.75">
      <c r="A1041593" s="19"/>
      <c r="B1041593" s="19"/>
      <c r="C1041593" s="19"/>
      <c r="D1041593" s="19"/>
      <c r="E1041593" s="19"/>
      <c r="F1041593" s="19"/>
      <c r="G1041593" s="19"/>
      <c r="H1041593" s="19"/>
      <c r="I1041593" s="19"/>
      <c r="J1041593" s="19"/>
      <c r="K1041593" s="19"/>
      <c r="L1041593" s="19"/>
      <c r="M1041593" s="19"/>
      <c r="N1041593" s="19"/>
    </row>
    <row r="1041594" spans="1:14" s="83" customFormat="1" ht="12.75">
      <c r="A1041594" s="19"/>
      <c r="B1041594" s="19"/>
      <c r="C1041594" s="19"/>
      <c r="D1041594" s="19"/>
      <c r="E1041594" s="19"/>
      <c r="F1041594" s="19"/>
      <c r="G1041594" s="19"/>
      <c r="H1041594" s="19"/>
      <c r="I1041594" s="19"/>
      <c r="J1041594" s="19"/>
      <c r="K1041594" s="19"/>
      <c r="L1041594" s="19"/>
      <c r="M1041594" s="19"/>
      <c r="N1041594" s="19"/>
    </row>
    <row r="1041595" spans="1:14" s="83" customFormat="1" ht="12.75">
      <c r="A1041595" s="19"/>
      <c r="B1041595" s="19"/>
      <c r="C1041595" s="19"/>
      <c r="D1041595" s="19"/>
      <c r="E1041595" s="19"/>
      <c r="F1041595" s="19"/>
      <c r="G1041595" s="19"/>
      <c r="H1041595" s="19"/>
      <c r="I1041595" s="19"/>
      <c r="J1041595" s="19"/>
      <c r="K1041595" s="19"/>
      <c r="L1041595" s="19"/>
      <c r="M1041595" s="19"/>
      <c r="N1041595" s="19"/>
    </row>
    <row r="1041596" spans="1:14" s="83" customFormat="1" ht="12.75">
      <c r="A1041596" s="19"/>
      <c r="B1041596" s="19"/>
      <c r="C1041596" s="19"/>
      <c r="D1041596" s="19"/>
      <c r="E1041596" s="19"/>
      <c r="F1041596" s="19"/>
      <c r="G1041596" s="19"/>
      <c r="H1041596" s="19"/>
      <c r="I1041596" s="19"/>
      <c r="J1041596" s="19"/>
      <c r="K1041596" s="19"/>
      <c r="L1041596" s="19"/>
      <c r="M1041596" s="19"/>
      <c r="N1041596" s="19"/>
    </row>
    <row r="1041597" spans="1:14" s="83" customFormat="1" ht="12.75">
      <c r="A1041597" s="19"/>
      <c r="B1041597" s="19"/>
      <c r="C1041597" s="19"/>
      <c r="D1041597" s="19"/>
      <c r="E1041597" s="19"/>
      <c r="F1041597" s="19"/>
      <c r="G1041597" s="19"/>
      <c r="H1041597" s="19"/>
      <c r="I1041597" s="19"/>
      <c r="J1041597" s="19"/>
      <c r="K1041597" s="19"/>
      <c r="L1041597" s="19"/>
      <c r="M1041597" s="19"/>
      <c r="N1041597" s="19"/>
    </row>
    <row r="1041598" spans="1:14" s="83" customFormat="1" ht="12.75">
      <c r="A1041598" s="19"/>
      <c r="B1041598" s="19"/>
      <c r="C1041598" s="19"/>
      <c r="D1041598" s="19"/>
      <c r="E1041598" s="19"/>
      <c r="F1041598" s="19"/>
      <c r="G1041598" s="19"/>
      <c r="H1041598" s="19"/>
      <c r="I1041598" s="19"/>
      <c r="J1041598" s="19"/>
      <c r="K1041598" s="19"/>
      <c r="L1041598" s="19"/>
      <c r="M1041598" s="19"/>
      <c r="N1041598" s="19"/>
    </row>
    <row r="1041599" spans="1:14" s="83" customFormat="1" ht="12.75">
      <c r="A1041599" s="19"/>
      <c r="B1041599" s="19"/>
      <c r="C1041599" s="19"/>
      <c r="D1041599" s="19"/>
      <c r="E1041599" s="19"/>
      <c r="F1041599" s="19"/>
      <c r="G1041599" s="19"/>
      <c r="H1041599" s="19"/>
      <c r="I1041599" s="19"/>
      <c r="J1041599" s="19"/>
      <c r="K1041599" s="19"/>
      <c r="L1041599" s="19"/>
      <c r="M1041599" s="19"/>
      <c r="N1041599" s="19"/>
    </row>
    <row r="1041600" spans="1:14" s="83" customFormat="1" ht="12.75">
      <c r="A1041600" s="19"/>
      <c r="B1041600" s="19"/>
      <c r="C1041600" s="19"/>
      <c r="D1041600" s="19"/>
      <c r="E1041600" s="19"/>
      <c r="F1041600" s="19"/>
      <c r="G1041600" s="19"/>
      <c r="H1041600" s="19"/>
      <c r="I1041600" s="19"/>
      <c r="J1041600" s="19"/>
      <c r="K1041600" s="19"/>
      <c r="L1041600" s="19"/>
      <c r="M1041600" s="19"/>
      <c r="N1041600" s="19"/>
    </row>
    <row r="1041601" spans="1:14" s="83" customFormat="1" ht="12.75">
      <c r="A1041601" s="19"/>
      <c r="B1041601" s="19"/>
      <c r="C1041601" s="19"/>
      <c r="D1041601" s="19"/>
      <c r="E1041601" s="19"/>
      <c r="F1041601" s="19"/>
      <c r="G1041601" s="19"/>
      <c r="H1041601" s="19"/>
      <c r="I1041601" s="19"/>
      <c r="J1041601" s="19"/>
      <c r="K1041601" s="19"/>
      <c r="L1041601" s="19"/>
      <c r="M1041601" s="19"/>
      <c r="N1041601" s="19"/>
    </row>
    <row r="1041602" spans="1:14" s="83" customFormat="1" ht="12.75">
      <c r="A1041602" s="19"/>
      <c r="B1041602" s="19"/>
      <c r="C1041602" s="19"/>
      <c r="D1041602" s="19"/>
      <c r="E1041602" s="19"/>
      <c r="F1041602" s="19"/>
      <c r="G1041602" s="19"/>
      <c r="H1041602" s="19"/>
      <c r="I1041602" s="19"/>
      <c r="J1041602" s="19"/>
      <c r="K1041602" s="19"/>
      <c r="L1041602" s="19"/>
      <c r="M1041602" s="19"/>
      <c r="N1041602" s="19"/>
    </row>
    <row r="1041603" spans="1:14" s="83" customFormat="1" ht="12.75">
      <c r="A1041603" s="19"/>
      <c r="B1041603" s="19"/>
      <c r="C1041603" s="19"/>
      <c r="D1041603" s="19"/>
      <c r="E1041603" s="19"/>
      <c r="F1041603" s="19"/>
      <c r="G1041603" s="19"/>
      <c r="H1041603" s="19"/>
      <c r="I1041603" s="19"/>
      <c r="J1041603" s="19"/>
      <c r="K1041603" s="19"/>
      <c r="L1041603" s="19"/>
      <c r="M1041603" s="19"/>
      <c r="N1041603" s="19"/>
    </row>
    <row r="1041604" spans="1:14" s="83" customFormat="1" ht="12.75">
      <c r="A1041604" s="19"/>
      <c r="B1041604" s="19"/>
      <c r="C1041604" s="19"/>
      <c r="D1041604" s="19"/>
      <c r="E1041604" s="19"/>
      <c r="F1041604" s="19"/>
      <c r="G1041604" s="19"/>
      <c r="H1041604" s="19"/>
      <c r="I1041604" s="19"/>
      <c r="J1041604" s="19"/>
      <c r="K1041604" s="19"/>
      <c r="L1041604" s="19"/>
      <c r="M1041604" s="19"/>
      <c r="N1041604" s="19"/>
    </row>
    <row r="1041605" spans="1:14" s="83" customFormat="1" ht="12.75">
      <c r="A1041605" s="19"/>
      <c r="B1041605" s="19"/>
      <c r="C1041605" s="19"/>
      <c r="D1041605" s="19"/>
      <c r="E1041605" s="19"/>
      <c r="F1041605" s="19"/>
      <c r="G1041605" s="19"/>
      <c r="H1041605" s="19"/>
      <c r="I1041605" s="19"/>
      <c r="J1041605" s="19"/>
      <c r="K1041605" s="19"/>
      <c r="L1041605" s="19"/>
      <c r="M1041605" s="19"/>
      <c r="N1041605" s="19"/>
    </row>
    <row r="1041606" spans="1:14" s="83" customFormat="1" ht="12.75">
      <c r="A1041606" s="19"/>
      <c r="B1041606" s="19"/>
      <c r="C1041606" s="19"/>
      <c r="D1041606" s="19"/>
      <c r="E1041606" s="19"/>
      <c r="F1041606" s="19"/>
      <c r="G1041606" s="19"/>
      <c r="H1041606" s="19"/>
      <c r="I1041606" s="19"/>
      <c r="J1041606" s="19"/>
      <c r="K1041606" s="19"/>
      <c r="L1041606" s="19"/>
      <c r="M1041606" s="19"/>
      <c r="N1041606" s="19"/>
    </row>
    <row r="1041607" spans="1:14" s="83" customFormat="1" ht="12.75">
      <c r="A1041607" s="19"/>
      <c r="B1041607" s="19"/>
      <c r="C1041607" s="19"/>
      <c r="D1041607" s="19"/>
      <c r="E1041607" s="19"/>
      <c r="F1041607" s="19"/>
      <c r="G1041607" s="19"/>
      <c r="H1041607" s="19"/>
      <c r="I1041607" s="19"/>
      <c r="J1041607" s="19"/>
      <c r="K1041607" s="19"/>
      <c r="L1041607" s="19"/>
      <c r="M1041607" s="19"/>
      <c r="N1041607" s="19"/>
    </row>
    <row r="1041608" spans="1:14" s="83" customFormat="1" ht="12.75">
      <c r="A1041608" s="19"/>
      <c r="B1041608" s="19"/>
      <c r="C1041608" s="19"/>
      <c r="D1041608" s="19"/>
      <c r="E1041608" s="19"/>
      <c r="F1041608" s="19"/>
      <c r="G1041608" s="19"/>
      <c r="H1041608" s="19"/>
      <c r="I1041608" s="19"/>
      <c r="J1041608" s="19"/>
      <c r="K1041608" s="19"/>
      <c r="L1041608" s="19"/>
      <c r="M1041608" s="19"/>
      <c r="N1041608" s="19"/>
    </row>
    <row r="1041609" spans="1:14" s="83" customFormat="1" ht="12.75">
      <c r="A1041609" s="19"/>
      <c r="B1041609" s="19"/>
      <c r="C1041609" s="19"/>
      <c r="D1041609" s="19"/>
      <c r="E1041609" s="19"/>
      <c r="F1041609" s="19"/>
      <c r="G1041609" s="19"/>
      <c r="H1041609" s="19"/>
      <c r="I1041609" s="19"/>
      <c r="J1041609" s="19"/>
      <c r="K1041609" s="19"/>
      <c r="L1041609" s="19"/>
      <c r="M1041609" s="19"/>
      <c r="N1041609" s="19"/>
    </row>
    <row r="1041610" spans="1:14" s="83" customFormat="1" ht="12.75">
      <c r="A1041610" s="19"/>
      <c r="B1041610" s="19"/>
      <c r="C1041610" s="19"/>
      <c r="D1041610" s="19"/>
      <c r="E1041610" s="19"/>
      <c r="F1041610" s="19"/>
      <c r="G1041610" s="19"/>
      <c r="H1041610" s="19"/>
      <c r="I1041610" s="19"/>
      <c r="J1041610" s="19"/>
      <c r="K1041610" s="19"/>
      <c r="L1041610" s="19"/>
      <c r="M1041610" s="19"/>
      <c r="N1041610" s="19"/>
    </row>
    <row r="1041611" spans="1:14" s="83" customFormat="1" ht="12.75">
      <c r="A1041611" s="19"/>
      <c r="B1041611" s="19"/>
      <c r="C1041611" s="19"/>
      <c r="D1041611" s="19"/>
      <c r="E1041611" s="19"/>
      <c r="F1041611" s="19"/>
      <c r="G1041611" s="19"/>
      <c r="H1041611" s="19"/>
      <c r="I1041611" s="19"/>
      <c r="J1041611" s="19"/>
      <c r="K1041611" s="19"/>
      <c r="L1041611" s="19"/>
      <c r="M1041611" s="19"/>
      <c r="N1041611" s="19"/>
    </row>
    <row r="1041612" spans="1:14" s="83" customFormat="1" ht="12.75">
      <c r="A1041612" s="19"/>
      <c r="B1041612" s="19"/>
      <c r="C1041612" s="19"/>
      <c r="D1041612" s="19"/>
      <c r="E1041612" s="19"/>
      <c r="F1041612" s="19"/>
      <c r="G1041612" s="19"/>
      <c r="H1041612" s="19"/>
      <c r="I1041612" s="19"/>
      <c r="J1041612" s="19"/>
      <c r="K1041612" s="19"/>
      <c r="L1041612" s="19"/>
      <c r="M1041612" s="19"/>
      <c r="N1041612" s="19"/>
    </row>
    <row r="1041613" spans="1:14" s="83" customFormat="1" ht="12.75">
      <c r="A1041613" s="19"/>
      <c r="B1041613" s="19"/>
      <c r="C1041613" s="19"/>
      <c r="D1041613" s="19"/>
      <c r="E1041613" s="19"/>
      <c r="F1041613" s="19"/>
      <c r="G1041613" s="19"/>
      <c r="H1041613" s="19"/>
      <c r="I1041613" s="19"/>
      <c r="J1041613" s="19"/>
      <c r="K1041613" s="19"/>
      <c r="L1041613" s="19"/>
      <c r="M1041613" s="19"/>
      <c r="N1041613" s="19"/>
    </row>
    <row r="1041614" spans="1:14" s="83" customFormat="1" ht="12.75">
      <c r="A1041614" s="19"/>
      <c r="B1041614" s="19"/>
      <c r="C1041614" s="19"/>
      <c r="D1041614" s="19"/>
      <c r="E1041614" s="19"/>
      <c r="F1041614" s="19"/>
      <c r="G1041614" s="19"/>
      <c r="H1041614" s="19"/>
      <c r="I1041614" s="19"/>
      <c r="J1041614" s="19"/>
      <c r="K1041614" s="19"/>
      <c r="L1041614" s="19"/>
      <c r="M1041614" s="19"/>
      <c r="N1041614" s="19"/>
    </row>
    <row r="1041615" spans="1:14" s="83" customFormat="1" ht="12.75">
      <c r="A1041615" s="19"/>
      <c r="B1041615" s="19"/>
      <c r="C1041615" s="19"/>
      <c r="D1041615" s="19"/>
      <c r="E1041615" s="19"/>
      <c r="F1041615" s="19"/>
      <c r="G1041615" s="19"/>
      <c r="H1041615" s="19"/>
      <c r="I1041615" s="19"/>
      <c r="J1041615" s="19"/>
      <c r="K1041615" s="19"/>
      <c r="L1041615" s="19"/>
      <c r="M1041615" s="19"/>
      <c r="N1041615" s="19"/>
    </row>
    <row r="1041616" spans="1:14" s="83" customFormat="1" ht="12.75">
      <c r="A1041616" s="19"/>
      <c r="B1041616" s="19"/>
      <c r="C1041616" s="19"/>
      <c r="D1041616" s="19"/>
      <c r="E1041616" s="19"/>
      <c r="F1041616" s="19"/>
      <c r="G1041616" s="19"/>
      <c r="H1041616" s="19"/>
      <c r="I1041616" s="19"/>
      <c r="J1041616" s="19"/>
      <c r="K1041616" s="19"/>
      <c r="L1041616" s="19"/>
      <c r="M1041616" s="19"/>
      <c r="N1041616" s="19"/>
    </row>
    <row r="1041617" spans="1:14" s="83" customFormat="1" ht="12.75">
      <c r="A1041617" s="19"/>
      <c r="B1041617" s="19"/>
      <c r="C1041617" s="19"/>
      <c r="D1041617" s="19"/>
      <c r="E1041617" s="19"/>
      <c r="F1041617" s="19"/>
      <c r="G1041617" s="19"/>
      <c r="H1041617" s="19"/>
      <c r="I1041617" s="19"/>
      <c r="J1041617" s="19"/>
      <c r="K1041617" s="19"/>
      <c r="L1041617" s="19"/>
      <c r="M1041617" s="19"/>
      <c r="N1041617" s="19"/>
    </row>
    <row r="1041618" spans="1:14" s="83" customFormat="1" ht="12.75">
      <c r="A1041618" s="19"/>
      <c r="B1041618" s="19"/>
      <c r="C1041618" s="19"/>
      <c r="D1041618" s="19"/>
      <c r="E1041618" s="19"/>
      <c r="F1041618" s="19"/>
      <c r="G1041618" s="19"/>
      <c r="H1041618" s="19"/>
      <c r="I1041618" s="19"/>
      <c r="J1041618" s="19"/>
      <c r="K1041618" s="19"/>
      <c r="L1041618" s="19"/>
      <c r="M1041618" s="19"/>
      <c r="N1041618" s="19"/>
    </row>
    <row r="1041619" spans="1:14" s="83" customFormat="1" ht="12.75">
      <c r="A1041619" s="19"/>
      <c r="B1041619" s="19"/>
      <c r="C1041619" s="19"/>
      <c r="D1041619" s="19"/>
      <c r="E1041619" s="19"/>
      <c r="F1041619" s="19"/>
      <c r="G1041619" s="19"/>
      <c r="H1041619" s="19"/>
      <c r="I1041619" s="19"/>
      <c r="J1041619" s="19"/>
      <c r="K1041619" s="19"/>
      <c r="L1041619" s="19"/>
      <c r="M1041619" s="19"/>
      <c r="N1041619" s="19"/>
    </row>
    <row r="1041620" spans="1:14" s="83" customFormat="1" ht="12.75">
      <c r="A1041620" s="19"/>
      <c r="B1041620" s="19"/>
      <c r="C1041620" s="19"/>
      <c r="D1041620" s="19"/>
      <c r="E1041620" s="19"/>
      <c r="F1041620" s="19"/>
      <c r="G1041620" s="19"/>
      <c r="H1041620" s="19"/>
      <c r="I1041620" s="19"/>
      <c r="J1041620" s="19"/>
      <c r="K1041620" s="19"/>
      <c r="L1041620" s="19"/>
      <c r="M1041620" s="19"/>
      <c r="N1041620" s="19"/>
    </row>
    <row r="1041621" spans="1:14" s="83" customFormat="1" ht="12.75">
      <c r="A1041621" s="19"/>
      <c r="B1041621" s="19"/>
      <c r="C1041621" s="19"/>
      <c r="D1041621" s="19"/>
      <c r="E1041621" s="19"/>
      <c r="F1041621" s="19"/>
      <c r="G1041621" s="19"/>
      <c r="H1041621" s="19"/>
      <c r="I1041621" s="19"/>
      <c r="J1041621" s="19"/>
      <c r="K1041621" s="19"/>
      <c r="L1041621" s="19"/>
      <c r="M1041621" s="19"/>
      <c r="N1041621" s="19"/>
    </row>
    <row r="1041622" spans="1:14" s="83" customFormat="1" ht="12.75">
      <c r="A1041622" s="19"/>
      <c r="B1041622" s="19"/>
      <c r="C1041622" s="19"/>
      <c r="D1041622" s="19"/>
      <c r="E1041622" s="19"/>
      <c r="F1041622" s="19"/>
      <c r="G1041622" s="19"/>
      <c r="H1041622" s="19"/>
      <c r="I1041622" s="19"/>
      <c r="J1041622" s="19"/>
      <c r="K1041622" s="19"/>
      <c r="L1041622" s="19"/>
      <c r="M1041622" s="19"/>
      <c r="N1041622" s="19"/>
    </row>
    <row r="1041623" spans="1:14" s="83" customFormat="1" ht="12.75">
      <c r="A1041623" s="19"/>
      <c r="B1041623" s="19"/>
      <c r="C1041623" s="19"/>
      <c r="D1041623" s="19"/>
      <c r="E1041623" s="19"/>
      <c r="F1041623" s="19"/>
      <c r="G1041623" s="19"/>
      <c r="H1041623" s="19"/>
      <c r="I1041623" s="19"/>
      <c r="J1041623" s="19"/>
      <c r="K1041623" s="19"/>
      <c r="L1041623" s="19"/>
      <c r="M1041623" s="19"/>
      <c r="N1041623" s="19"/>
    </row>
    <row r="1041624" spans="1:14" s="83" customFormat="1" ht="12.75">
      <c r="A1041624" s="19"/>
      <c r="B1041624" s="19"/>
      <c r="C1041624" s="19"/>
      <c r="D1041624" s="19"/>
      <c r="E1041624" s="19"/>
      <c r="F1041624" s="19"/>
      <c r="G1041624" s="19"/>
      <c r="H1041624" s="19"/>
      <c r="I1041624" s="19"/>
      <c r="J1041624" s="19"/>
      <c r="K1041624" s="19"/>
      <c r="L1041624" s="19"/>
      <c r="M1041624" s="19"/>
      <c r="N1041624" s="19"/>
    </row>
    <row r="1041625" spans="1:14" s="83" customFormat="1" ht="12.75">
      <c r="A1041625" s="19"/>
      <c r="B1041625" s="19"/>
      <c r="C1041625" s="19"/>
      <c r="D1041625" s="19"/>
      <c r="E1041625" s="19"/>
      <c r="F1041625" s="19"/>
      <c r="G1041625" s="19"/>
      <c r="H1041625" s="19"/>
      <c r="I1041625" s="19"/>
      <c r="J1041625" s="19"/>
      <c r="K1041625" s="19"/>
      <c r="L1041625" s="19"/>
      <c r="M1041625" s="19"/>
      <c r="N1041625" s="19"/>
    </row>
    <row r="1041626" spans="1:14" s="83" customFormat="1" ht="12.75">
      <c r="A1041626" s="19"/>
      <c r="B1041626" s="19"/>
      <c r="C1041626" s="19"/>
      <c r="D1041626" s="19"/>
      <c r="E1041626" s="19"/>
      <c r="F1041626" s="19"/>
      <c r="G1041626" s="19"/>
      <c r="H1041626" s="19"/>
      <c r="I1041626" s="19"/>
      <c r="J1041626" s="19"/>
      <c r="K1041626" s="19"/>
      <c r="L1041626" s="19"/>
      <c r="M1041626" s="19"/>
      <c r="N1041626" s="19"/>
    </row>
    <row r="1041627" spans="1:14" s="83" customFormat="1" ht="12.75">
      <c r="A1041627" s="19"/>
      <c r="B1041627" s="19"/>
      <c r="C1041627" s="19"/>
      <c r="D1041627" s="19"/>
      <c r="E1041627" s="19"/>
      <c r="F1041627" s="19"/>
      <c r="G1041627" s="19"/>
      <c r="H1041627" s="19"/>
      <c r="I1041627" s="19"/>
      <c r="J1041627" s="19"/>
      <c r="K1041627" s="19"/>
      <c r="L1041627" s="19"/>
      <c r="M1041627" s="19"/>
      <c r="N1041627" s="19"/>
    </row>
    <row r="1041628" spans="1:14" s="83" customFormat="1" ht="12.75">
      <c r="A1041628" s="19"/>
      <c r="B1041628" s="19"/>
      <c r="C1041628" s="19"/>
      <c r="D1041628" s="19"/>
      <c r="E1041628" s="19"/>
      <c r="F1041628" s="19"/>
      <c r="G1041628" s="19"/>
      <c r="H1041628" s="19"/>
      <c r="I1041628" s="19"/>
      <c r="J1041628" s="19"/>
      <c r="K1041628" s="19"/>
      <c r="L1041628" s="19"/>
      <c r="M1041628" s="19"/>
      <c r="N1041628" s="19"/>
    </row>
    <row r="1041629" spans="1:14" s="83" customFormat="1" ht="12.75">
      <c r="A1041629" s="19"/>
      <c r="B1041629" s="19"/>
      <c r="C1041629" s="19"/>
      <c r="D1041629" s="19"/>
      <c r="E1041629" s="19"/>
      <c r="F1041629" s="19"/>
      <c r="G1041629" s="19"/>
      <c r="H1041629" s="19"/>
      <c r="I1041629" s="19"/>
      <c r="J1041629" s="19"/>
      <c r="K1041629" s="19"/>
      <c r="L1041629" s="19"/>
      <c r="M1041629" s="19"/>
      <c r="N1041629" s="19"/>
    </row>
    <row r="1041630" spans="1:14" s="83" customFormat="1" ht="12.75">
      <c r="A1041630" s="19"/>
      <c r="B1041630" s="19"/>
      <c r="C1041630" s="19"/>
      <c r="D1041630" s="19"/>
      <c r="E1041630" s="19"/>
      <c r="F1041630" s="19"/>
      <c r="G1041630" s="19"/>
      <c r="H1041630" s="19"/>
      <c r="I1041630" s="19"/>
      <c r="J1041630" s="19"/>
      <c r="K1041630" s="19"/>
      <c r="L1041630" s="19"/>
      <c r="M1041630" s="19"/>
      <c r="N1041630" s="19"/>
    </row>
    <row r="1041631" spans="1:14" s="83" customFormat="1" ht="12.75">
      <c r="A1041631" s="19"/>
      <c r="B1041631" s="19"/>
      <c r="C1041631" s="19"/>
      <c r="D1041631" s="19"/>
      <c r="E1041631" s="19"/>
      <c r="F1041631" s="19"/>
      <c r="G1041631" s="19"/>
      <c r="H1041631" s="19"/>
      <c r="I1041631" s="19"/>
      <c r="J1041631" s="19"/>
      <c r="K1041631" s="19"/>
      <c r="L1041631" s="19"/>
      <c r="M1041631" s="19"/>
      <c r="N1041631" s="19"/>
    </row>
    <row r="1041632" spans="1:14" s="83" customFormat="1" ht="12.75">
      <c r="A1041632" s="19"/>
      <c r="B1041632" s="19"/>
      <c r="C1041632" s="19"/>
      <c r="D1041632" s="19"/>
      <c r="E1041632" s="19"/>
      <c r="F1041632" s="19"/>
      <c r="G1041632" s="19"/>
      <c r="H1041632" s="19"/>
      <c r="I1041632" s="19"/>
      <c r="J1041632" s="19"/>
      <c r="K1041632" s="19"/>
      <c r="L1041632" s="19"/>
      <c r="M1041632" s="19"/>
      <c r="N1041632" s="19"/>
    </row>
    <row r="1041633" spans="1:14" s="83" customFormat="1" ht="12.75">
      <c r="A1041633" s="19"/>
      <c r="B1041633" s="19"/>
      <c r="C1041633" s="19"/>
      <c r="D1041633" s="19"/>
      <c r="E1041633" s="19"/>
      <c r="F1041633" s="19"/>
      <c r="G1041633" s="19"/>
      <c r="H1041633" s="19"/>
      <c r="I1041633" s="19"/>
      <c r="J1041633" s="19"/>
      <c r="K1041633" s="19"/>
      <c r="L1041633" s="19"/>
      <c r="M1041633" s="19"/>
      <c r="N1041633" s="19"/>
    </row>
    <row r="1041634" spans="1:14" s="83" customFormat="1" ht="12.75">
      <c r="A1041634" s="19"/>
      <c r="B1041634" s="19"/>
      <c r="C1041634" s="19"/>
      <c r="D1041634" s="19"/>
      <c r="E1041634" s="19"/>
      <c r="F1041634" s="19"/>
      <c r="G1041634" s="19"/>
      <c r="H1041634" s="19"/>
      <c r="I1041634" s="19"/>
      <c r="J1041634" s="19"/>
      <c r="K1041634" s="19"/>
      <c r="L1041634" s="19"/>
      <c r="M1041634" s="19"/>
      <c r="N1041634" s="19"/>
    </row>
    <row r="1041635" spans="1:14" s="83" customFormat="1" ht="12.75">
      <c r="A1041635" s="19"/>
      <c r="B1041635" s="19"/>
      <c r="C1041635" s="19"/>
      <c r="D1041635" s="19"/>
      <c r="E1041635" s="19"/>
      <c r="F1041635" s="19"/>
      <c r="G1041635" s="19"/>
      <c r="H1041635" s="19"/>
      <c r="I1041635" s="19"/>
      <c r="J1041635" s="19"/>
      <c r="K1041635" s="19"/>
      <c r="L1041635" s="19"/>
      <c r="M1041635" s="19"/>
      <c r="N1041635" s="19"/>
    </row>
    <row r="1041636" spans="1:14" s="83" customFormat="1" ht="12.75">
      <c r="A1041636" s="19"/>
      <c r="B1041636" s="19"/>
      <c r="C1041636" s="19"/>
      <c r="D1041636" s="19"/>
      <c r="E1041636" s="19"/>
      <c r="F1041636" s="19"/>
      <c r="G1041636" s="19"/>
      <c r="H1041636" s="19"/>
      <c r="I1041636" s="19"/>
      <c r="J1041636" s="19"/>
      <c r="K1041636" s="19"/>
      <c r="L1041636" s="19"/>
      <c r="M1041636" s="19"/>
      <c r="N1041636" s="19"/>
    </row>
    <row r="1041637" spans="1:14" s="83" customFormat="1" ht="12.75">
      <c r="A1041637" s="19"/>
      <c r="B1041637" s="19"/>
      <c r="C1041637" s="19"/>
      <c r="D1041637" s="19"/>
      <c r="E1041637" s="19"/>
      <c r="F1041637" s="19"/>
      <c r="G1041637" s="19"/>
      <c r="H1041637" s="19"/>
      <c r="I1041637" s="19"/>
      <c r="J1041637" s="19"/>
      <c r="K1041637" s="19"/>
      <c r="L1041637" s="19"/>
      <c r="M1041637" s="19"/>
      <c r="N1041637" s="19"/>
    </row>
    <row r="1041638" spans="1:14" s="83" customFormat="1" ht="12.75">
      <c r="A1041638" s="19"/>
      <c r="B1041638" s="19"/>
      <c r="C1041638" s="19"/>
      <c r="D1041638" s="19"/>
      <c r="E1041638" s="19"/>
      <c r="F1041638" s="19"/>
      <c r="G1041638" s="19"/>
      <c r="H1041638" s="19"/>
      <c r="I1041638" s="19"/>
      <c r="J1041638" s="19"/>
      <c r="K1041638" s="19"/>
      <c r="L1041638" s="19"/>
      <c r="M1041638" s="19"/>
      <c r="N1041638" s="19"/>
    </row>
    <row r="1041639" spans="1:14" s="83" customFormat="1" ht="12.75">
      <c r="A1041639" s="19"/>
      <c r="B1041639" s="19"/>
      <c r="C1041639" s="19"/>
      <c r="D1041639" s="19"/>
      <c r="E1041639" s="19"/>
      <c r="F1041639" s="19"/>
      <c r="G1041639" s="19"/>
      <c r="H1041639" s="19"/>
      <c r="I1041639" s="19"/>
      <c r="J1041639" s="19"/>
      <c r="K1041639" s="19"/>
      <c r="L1041639" s="19"/>
      <c r="M1041639" s="19"/>
      <c r="N1041639" s="19"/>
    </row>
    <row r="1041640" spans="1:14" s="83" customFormat="1" ht="12.75">
      <c r="A1041640" s="19"/>
      <c r="B1041640" s="19"/>
      <c r="C1041640" s="19"/>
      <c r="D1041640" s="19"/>
      <c r="E1041640" s="19"/>
      <c r="F1041640" s="19"/>
      <c r="G1041640" s="19"/>
      <c r="H1041640" s="19"/>
      <c r="I1041640" s="19"/>
      <c r="J1041640" s="19"/>
      <c r="K1041640" s="19"/>
      <c r="L1041640" s="19"/>
      <c r="M1041640" s="19"/>
      <c r="N1041640" s="19"/>
    </row>
    <row r="1041641" spans="1:14" s="83" customFormat="1" ht="12.75">
      <c r="A1041641" s="19"/>
      <c r="B1041641" s="19"/>
      <c r="C1041641" s="19"/>
      <c r="D1041641" s="19"/>
      <c r="E1041641" s="19"/>
      <c r="F1041641" s="19"/>
      <c r="G1041641" s="19"/>
      <c r="H1041641" s="19"/>
      <c r="I1041641" s="19"/>
      <c r="J1041641" s="19"/>
      <c r="K1041641" s="19"/>
      <c r="L1041641" s="19"/>
      <c r="M1041641" s="19"/>
      <c r="N1041641" s="19"/>
    </row>
    <row r="1041642" spans="1:14" s="83" customFormat="1" ht="12.75">
      <c r="A1041642" s="19"/>
      <c r="B1041642" s="19"/>
      <c r="C1041642" s="19"/>
      <c r="D1041642" s="19"/>
      <c r="E1041642" s="19"/>
      <c r="F1041642" s="19"/>
      <c r="G1041642" s="19"/>
      <c r="H1041642" s="19"/>
      <c r="I1041642" s="19"/>
      <c r="J1041642" s="19"/>
      <c r="K1041642" s="19"/>
      <c r="L1041642" s="19"/>
      <c r="M1041642" s="19"/>
      <c r="N1041642" s="19"/>
    </row>
    <row r="1041643" spans="1:14" s="83" customFormat="1" ht="12.75">
      <c r="A1041643" s="19"/>
      <c r="B1041643" s="19"/>
      <c r="C1041643" s="19"/>
      <c r="D1041643" s="19"/>
      <c r="E1041643" s="19"/>
      <c r="F1041643" s="19"/>
      <c r="G1041643" s="19"/>
      <c r="H1041643" s="19"/>
      <c r="I1041643" s="19"/>
      <c r="J1041643" s="19"/>
      <c r="K1041643" s="19"/>
      <c r="L1041643" s="19"/>
      <c r="M1041643" s="19"/>
      <c r="N1041643" s="19"/>
    </row>
    <row r="1041644" spans="1:14" s="83" customFormat="1" ht="12.75">
      <c r="A1041644" s="19"/>
      <c r="B1041644" s="19"/>
      <c r="C1041644" s="19"/>
      <c r="D1041644" s="19"/>
      <c r="E1041644" s="19"/>
      <c r="F1041644" s="19"/>
      <c r="G1041644" s="19"/>
      <c r="H1041644" s="19"/>
      <c r="I1041644" s="19"/>
      <c r="J1041644" s="19"/>
      <c r="K1041644" s="19"/>
      <c r="L1041644" s="19"/>
      <c r="M1041644" s="19"/>
      <c r="N1041644" s="19"/>
    </row>
    <row r="1041645" spans="1:14" s="83" customFormat="1" ht="12.75">
      <c r="A1041645" s="19"/>
      <c r="B1041645" s="19"/>
      <c r="C1041645" s="19"/>
      <c r="D1041645" s="19"/>
      <c r="E1041645" s="19"/>
      <c r="F1041645" s="19"/>
      <c r="G1041645" s="19"/>
      <c r="H1041645" s="19"/>
      <c r="I1041645" s="19"/>
      <c r="J1041645" s="19"/>
      <c r="K1041645" s="19"/>
      <c r="L1041645" s="19"/>
      <c r="M1041645" s="19"/>
      <c r="N1041645" s="19"/>
    </row>
    <row r="1041646" spans="1:14" s="83" customFormat="1" ht="12.75">
      <c r="A1041646" s="19"/>
      <c r="B1041646" s="19"/>
      <c r="C1041646" s="19"/>
      <c r="D1041646" s="19"/>
      <c r="E1041646" s="19"/>
      <c r="F1041646" s="19"/>
      <c r="G1041646" s="19"/>
      <c r="H1041646" s="19"/>
      <c r="I1041646" s="19"/>
      <c r="J1041646" s="19"/>
      <c r="K1041646" s="19"/>
      <c r="L1041646" s="19"/>
      <c r="M1041646" s="19"/>
      <c r="N1041646" s="19"/>
    </row>
    <row r="1041647" spans="1:14" s="83" customFormat="1" ht="12.75">
      <c r="A1041647" s="19"/>
      <c r="B1041647" s="19"/>
      <c r="C1041647" s="19"/>
      <c r="D1041647" s="19"/>
      <c r="E1041647" s="19"/>
      <c r="F1041647" s="19"/>
      <c r="G1041647" s="19"/>
      <c r="H1041647" s="19"/>
      <c r="I1041647" s="19"/>
      <c r="J1041647" s="19"/>
      <c r="K1041647" s="19"/>
      <c r="L1041647" s="19"/>
      <c r="M1041647" s="19"/>
      <c r="N1041647" s="19"/>
    </row>
    <row r="1041648" spans="1:14" s="83" customFormat="1" ht="12.75">
      <c r="A1041648" s="19"/>
      <c r="B1041648" s="19"/>
      <c r="C1041648" s="19"/>
      <c r="D1041648" s="19"/>
      <c r="E1041648" s="19"/>
      <c r="F1041648" s="19"/>
      <c r="G1041648" s="19"/>
      <c r="H1041648" s="19"/>
      <c r="I1041648" s="19"/>
      <c r="J1041648" s="19"/>
      <c r="K1041648" s="19"/>
      <c r="L1041648" s="19"/>
      <c r="M1041648" s="19"/>
      <c r="N1041648" s="19"/>
    </row>
    <row r="1041649" spans="1:14" s="83" customFormat="1" ht="12.75">
      <c r="A1041649" s="19"/>
      <c r="B1041649" s="19"/>
      <c r="C1041649" s="19"/>
      <c r="D1041649" s="19"/>
      <c r="E1041649" s="19"/>
      <c r="F1041649" s="19"/>
      <c r="G1041649" s="19"/>
      <c r="H1041649" s="19"/>
      <c r="I1041649" s="19"/>
      <c r="J1041649" s="19"/>
      <c r="K1041649" s="19"/>
      <c r="L1041649" s="19"/>
      <c r="M1041649" s="19"/>
      <c r="N1041649" s="19"/>
    </row>
    <row r="1041650" spans="1:14" s="83" customFormat="1" ht="12.75">
      <c r="A1041650" s="19"/>
      <c r="B1041650" s="19"/>
      <c r="C1041650" s="19"/>
      <c r="D1041650" s="19"/>
      <c r="E1041650" s="19"/>
      <c r="F1041650" s="19"/>
      <c r="G1041650" s="19"/>
      <c r="H1041650" s="19"/>
      <c r="I1041650" s="19"/>
      <c r="J1041650" s="19"/>
      <c r="K1041650" s="19"/>
      <c r="L1041650" s="19"/>
      <c r="M1041650" s="19"/>
      <c r="N1041650" s="19"/>
    </row>
    <row r="1041651" spans="1:14" s="83" customFormat="1" ht="12.75">
      <c r="A1041651" s="19"/>
      <c r="B1041651" s="19"/>
      <c r="C1041651" s="19"/>
      <c r="D1041651" s="19"/>
      <c r="E1041651" s="19"/>
      <c r="F1041651" s="19"/>
      <c r="G1041651" s="19"/>
      <c r="H1041651" s="19"/>
      <c r="I1041651" s="19"/>
      <c r="J1041651" s="19"/>
      <c r="K1041651" s="19"/>
      <c r="L1041651" s="19"/>
      <c r="M1041651" s="19"/>
      <c r="N1041651" s="19"/>
    </row>
    <row r="1041652" spans="1:14" s="83" customFormat="1" ht="12.75">
      <c r="A1041652" s="19"/>
      <c r="B1041652" s="19"/>
      <c r="C1041652" s="19"/>
      <c r="D1041652" s="19"/>
      <c r="E1041652" s="19"/>
      <c r="F1041652" s="19"/>
      <c r="G1041652" s="19"/>
      <c r="H1041652" s="19"/>
      <c r="I1041652" s="19"/>
      <c r="J1041652" s="19"/>
      <c r="K1041652" s="19"/>
      <c r="L1041652" s="19"/>
      <c r="M1041652" s="19"/>
      <c r="N1041652" s="19"/>
    </row>
    <row r="1041653" spans="1:14" s="83" customFormat="1" ht="12.75">
      <c r="A1041653" s="19"/>
      <c r="B1041653" s="19"/>
      <c r="C1041653" s="19"/>
      <c r="D1041653" s="19"/>
      <c r="E1041653" s="19"/>
      <c r="F1041653" s="19"/>
      <c r="G1041653" s="19"/>
      <c r="H1041653" s="19"/>
      <c r="I1041653" s="19"/>
      <c r="J1041653" s="19"/>
      <c r="K1041653" s="19"/>
      <c r="L1041653" s="19"/>
      <c r="M1041653" s="19"/>
      <c r="N1041653" s="19"/>
    </row>
    <row r="1041654" spans="1:14" s="83" customFormat="1" ht="12.75">
      <c r="A1041654" s="19"/>
      <c r="B1041654" s="19"/>
      <c r="C1041654" s="19"/>
      <c r="D1041654" s="19"/>
      <c r="E1041654" s="19"/>
      <c r="F1041654" s="19"/>
      <c r="G1041654" s="19"/>
      <c r="H1041654" s="19"/>
      <c r="I1041654" s="19"/>
      <c r="J1041654" s="19"/>
      <c r="K1041654" s="19"/>
      <c r="L1041654" s="19"/>
      <c r="M1041654" s="19"/>
      <c r="N1041654" s="19"/>
    </row>
    <row r="1041655" spans="1:14" s="83" customFormat="1" ht="12.75">
      <c r="A1041655" s="19"/>
      <c r="B1041655" s="19"/>
      <c r="C1041655" s="19"/>
      <c r="D1041655" s="19"/>
      <c r="E1041655" s="19"/>
      <c r="F1041655" s="19"/>
      <c r="G1041655" s="19"/>
      <c r="H1041655" s="19"/>
      <c r="I1041655" s="19"/>
      <c r="J1041655" s="19"/>
      <c r="K1041655" s="19"/>
      <c r="L1041655" s="19"/>
      <c r="M1041655" s="19"/>
      <c r="N1041655" s="19"/>
    </row>
    <row r="1041656" spans="1:14" s="83" customFormat="1" ht="12.75">
      <c r="A1041656" s="19"/>
      <c r="B1041656" s="19"/>
      <c r="C1041656" s="19"/>
      <c r="D1041656" s="19"/>
      <c r="E1041656" s="19"/>
      <c r="F1041656" s="19"/>
      <c r="G1041656" s="19"/>
      <c r="H1041656" s="19"/>
      <c r="I1041656" s="19"/>
      <c r="J1041656" s="19"/>
      <c r="K1041656" s="19"/>
      <c r="L1041656" s="19"/>
      <c r="M1041656" s="19"/>
      <c r="N1041656" s="19"/>
    </row>
    <row r="1041657" spans="1:14" s="83" customFormat="1" ht="12.75">
      <c r="A1041657" s="19"/>
      <c r="B1041657" s="19"/>
      <c r="C1041657" s="19"/>
      <c r="D1041657" s="19"/>
      <c r="E1041657" s="19"/>
      <c r="F1041657" s="19"/>
      <c r="G1041657" s="19"/>
      <c r="H1041657" s="19"/>
      <c r="I1041657" s="19"/>
      <c r="J1041657" s="19"/>
      <c r="K1041657" s="19"/>
      <c r="L1041657" s="19"/>
      <c r="M1041657" s="19"/>
      <c r="N1041657" s="19"/>
    </row>
    <row r="1041658" spans="1:14" s="83" customFormat="1" ht="12.75">
      <c r="A1041658" s="19"/>
      <c r="B1041658" s="19"/>
      <c r="C1041658" s="19"/>
      <c r="D1041658" s="19"/>
      <c r="E1041658" s="19"/>
      <c r="F1041658" s="19"/>
      <c r="G1041658" s="19"/>
      <c r="H1041658" s="19"/>
      <c r="I1041658" s="19"/>
      <c r="J1041658" s="19"/>
      <c r="K1041658" s="19"/>
      <c r="L1041658" s="19"/>
      <c r="M1041658" s="19"/>
      <c r="N1041658" s="19"/>
    </row>
    <row r="1041659" spans="1:14" s="83" customFormat="1" ht="12.75">
      <c r="A1041659" s="19"/>
      <c r="B1041659" s="19"/>
      <c r="C1041659" s="19"/>
      <c r="D1041659" s="19"/>
      <c r="E1041659" s="19"/>
      <c r="F1041659" s="19"/>
      <c r="G1041659" s="19"/>
      <c r="H1041659" s="19"/>
      <c r="I1041659" s="19"/>
      <c r="J1041659" s="19"/>
      <c r="K1041659" s="19"/>
      <c r="L1041659" s="19"/>
      <c r="M1041659" s="19"/>
      <c r="N1041659" s="19"/>
    </row>
    <row r="1041660" spans="1:14" s="83" customFormat="1" ht="12.75">
      <c r="A1041660" s="19"/>
      <c r="B1041660" s="19"/>
      <c r="C1041660" s="19"/>
      <c r="D1041660" s="19"/>
      <c r="E1041660" s="19"/>
      <c r="F1041660" s="19"/>
      <c r="G1041660" s="19"/>
      <c r="H1041660" s="19"/>
      <c r="I1041660" s="19"/>
      <c r="J1041660" s="19"/>
      <c r="K1041660" s="19"/>
      <c r="L1041660" s="19"/>
      <c r="M1041660" s="19"/>
      <c r="N1041660" s="19"/>
    </row>
    <row r="1041661" spans="1:14" s="83" customFormat="1" ht="12.75">
      <c r="A1041661" s="19"/>
      <c r="B1041661" s="19"/>
      <c r="C1041661" s="19"/>
      <c r="D1041661" s="19"/>
      <c r="E1041661" s="19"/>
      <c r="F1041661" s="19"/>
      <c r="G1041661" s="19"/>
      <c r="H1041661" s="19"/>
      <c r="I1041661" s="19"/>
      <c r="J1041661" s="19"/>
      <c r="K1041661" s="19"/>
      <c r="L1041661" s="19"/>
      <c r="M1041661" s="19"/>
      <c r="N1041661" s="19"/>
    </row>
    <row r="1041662" spans="1:14" s="83" customFormat="1" ht="12.75">
      <c r="A1041662" s="19"/>
      <c r="B1041662" s="19"/>
      <c r="C1041662" s="19"/>
      <c r="D1041662" s="19"/>
      <c r="E1041662" s="19"/>
      <c r="F1041662" s="19"/>
      <c r="G1041662" s="19"/>
      <c r="H1041662" s="19"/>
      <c r="I1041662" s="19"/>
      <c r="J1041662" s="19"/>
      <c r="K1041662" s="19"/>
      <c r="L1041662" s="19"/>
      <c r="M1041662" s="19"/>
      <c r="N1041662" s="19"/>
    </row>
    <row r="1041663" spans="1:14" s="83" customFormat="1" ht="12.75">
      <c r="A1041663" s="19"/>
      <c r="B1041663" s="19"/>
      <c r="C1041663" s="19"/>
      <c r="D1041663" s="19"/>
      <c r="E1041663" s="19"/>
      <c r="F1041663" s="19"/>
      <c r="G1041663" s="19"/>
      <c r="H1041663" s="19"/>
      <c r="I1041663" s="19"/>
      <c r="J1041663" s="19"/>
      <c r="K1041663" s="19"/>
      <c r="L1041663" s="19"/>
      <c r="M1041663" s="19"/>
      <c r="N1041663" s="19"/>
    </row>
    <row r="1041664" spans="1:14" s="83" customFormat="1" ht="12.75">
      <c r="A1041664" s="19"/>
      <c r="B1041664" s="19"/>
      <c r="C1041664" s="19"/>
      <c r="D1041664" s="19"/>
      <c r="E1041664" s="19"/>
      <c r="F1041664" s="19"/>
      <c r="G1041664" s="19"/>
      <c r="H1041664" s="19"/>
      <c r="I1041664" s="19"/>
      <c r="J1041664" s="19"/>
      <c r="K1041664" s="19"/>
      <c r="L1041664" s="19"/>
      <c r="M1041664" s="19"/>
      <c r="N1041664" s="19"/>
    </row>
    <row r="1041665" spans="1:14" s="83" customFormat="1" ht="12.75">
      <c r="A1041665" s="19"/>
      <c r="B1041665" s="19"/>
      <c r="C1041665" s="19"/>
      <c r="D1041665" s="19"/>
      <c r="E1041665" s="19"/>
      <c r="F1041665" s="19"/>
      <c r="G1041665" s="19"/>
      <c r="H1041665" s="19"/>
      <c r="I1041665" s="19"/>
      <c r="J1041665" s="19"/>
      <c r="K1041665" s="19"/>
      <c r="L1041665" s="19"/>
      <c r="M1041665" s="19"/>
      <c r="N1041665" s="19"/>
    </row>
    <row r="1041666" spans="1:14" s="83" customFormat="1" ht="12.75">
      <c r="A1041666" s="19"/>
      <c r="B1041666" s="19"/>
      <c r="C1041666" s="19"/>
      <c r="D1041666" s="19"/>
      <c r="E1041666" s="19"/>
      <c r="F1041666" s="19"/>
      <c r="G1041666" s="19"/>
      <c r="H1041666" s="19"/>
      <c r="I1041666" s="19"/>
      <c r="J1041666" s="19"/>
      <c r="K1041666" s="19"/>
      <c r="L1041666" s="19"/>
      <c r="M1041666" s="19"/>
      <c r="N1041666" s="19"/>
    </row>
    <row r="1041667" spans="1:14" s="83" customFormat="1" ht="12.75">
      <c r="A1041667" s="19"/>
      <c r="B1041667" s="19"/>
      <c r="C1041667" s="19"/>
      <c r="D1041667" s="19"/>
      <c r="E1041667" s="19"/>
      <c r="F1041667" s="19"/>
      <c r="G1041667" s="19"/>
      <c r="H1041667" s="19"/>
      <c r="I1041667" s="19"/>
      <c r="J1041667" s="19"/>
      <c r="K1041667" s="19"/>
      <c r="L1041667" s="19"/>
      <c r="M1041667" s="19"/>
      <c r="N1041667" s="19"/>
    </row>
    <row r="1041668" spans="1:14" s="83" customFormat="1" ht="12.75">
      <c r="A1041668" s="19"/>
      <c r="B1041668" s="19"/>
      <c r="C1041668" s="19"/>
      <c r="D1041668" s="19"/>
      <c r="E1041668" s="19"/>
      <c r="F1041668" s="19"/>
      <c r="G1041668" s="19"/>
      <c r="H1041668" s="19"/>
      <c r="I1041668" s="19"/>
      <c r="J1041668" s="19"/>
      <c r="K1041668" s="19"/>
      <c r="L1041668" s="19"/>
      <c r="M1041668" s="19"/>
      <c r="N1041668" s="19"/>
    </row>
    <row r="1041669" spans="1:14" s="83" customFormat="1" ht="12.75">
      <c r="A1041669" s="19"/>
      <c r="B1041669" s="19"/>
      <c r="C1041669" s="19"/>
      <c r="D1041669" s="19"/>
      <c r="E1041669" s="19"/>
      <c r="F1041669" s="19"/>
      <c r="G1041669" s="19"/>
      <c r="H1041669" s="19"/>
      <c r="I1041669" s="19"/>
      <c r="J1041669" s="19"/>
      <c r="K1041669" s="19"/>
      <c r="L1041669" s="19"/>
      <c r="M1041669" s="19"/>
      <c r="N1041669" s="19"/>
    </row>
    <row r="1041670" spans="1:14" s="83" customFormat="1" ht="12.75">
      <c r="A1041670" s="19"/>
      <c r="B1041670" s="19"/>
      <c r="C1041670" s="19"/>
      <c r="D1041670" s="19"/>
      <c r="E1041670" s="19"/>
      <c r="F1041670" s="19"/>
      <c r="G1041670" s="19"/>
      <c r="H1041670" s="19"/>
      <c r="I1041670" s="19"/>
      <c r="J1041670" s="19"/>
      <c r="K1041670" s="19"/>
      <c r="L1041670" s="19"/>
      <c r="M1041670" s="19"/>
      <c r="N1041670" s="19"/>
    </row>
    <row r="1041671" spans="1:14" s="83" customFormat="1" ht="12.75">
      <c r="A1041671" s="19"/>
      <c r="B1041671" s="19"/>
      <c r="C1041671" s="19"/>
      <c r="D1041671" s="19"/>
      <c r="E1041671" s="19"/>
      <c r="F1041671" s="19"/>
      <c r="G1041671" s="19"/>
      <c r="H1041671" s="19"/>
      <c r="I1041671" s="19"/>
      <c r="J1041671" s="19"/>
      <c r="K1041671" s="19"/>
      <c r="L1041671" s="19"/>
      <c r="M1041671" s="19"/>
      <c r="N1041671" s="19"/>
    </row>
    <row r="1041672" spans="1:14" s="83" customFormat="1" ht="12.75">
      <c r="A1041672" s="19"/>
      <c r="B1041672" s="19"/>
      <c r="C1041672" s="19"/>
      <c r="D1041672" s="19"/>
      <c r="E1041672" s="19"/>
      <c r="F1041672" s="19"/>
      <c r="G1041672" s="19"/>
      <c r="H1041672" s="19"/>
      <c r="I1041672" s="19"/>
      <c r="J1041672" s="19"/>
      <c r="K1041672" s="19"/>
      <c r="L1041672" s="19"/>
      <c r="M1041672" s="19"/>
      <c r="N1041672" s="19"/>
    </row>
    <row r="1041673" spans="1:14" s="83" customFormat="1" ht="12.75">
      <c r="A1041673" s="19"/>
      <c r="B1041673" s="19"/>
      <c r="C1041673" s="19"/>
      <c r="D1041673" s="19"/>
      <c r="E1041673" s="19"/>
      <c r="F1041673" s="19"/>
      <c r="G1041673" s="19"/>
      <c r="H1041673" s="19"/>
      <c r="I1041673" s="19"/>
      <c r="J1041673" s="19"/>
      <c r="K1041673" s="19"/>
      <c r="L1041673" s="19"/>
      <c r="M1041673" s="19"/>
      <c r="N1041673" s="19"/>
    </row>
    <row r="1041674" spans="1:14" s="83" customFormat="1" ht="12.75">
      <c r="A1041674" s="19"/>
      <c r="B1041674" s="19"/>
      <c r="C1041674" s="19"/>
      <c r="D1041674" s="19"/>
      <c r="E1041674" s="19"/>
      <c r="F1041674" s="19"/>
      <c r="G1041674" s="19"/>
      <c r="H1041674" s="19"/>
      <c r="I1041674" s="19"/>
      <c r="J1041674" s="19"/>
      <c r="K1041674" s="19"/>
      <c r="L1041674" s="19"/>
      <c r="M1041674" s="19"/>
      <c r="N1041674" s="19"/>
    </row>
    <row r="1041675" spans="1:14" s="83" customFormat="1" ht="12.75">
      <c r="A1041675" s="19"/>
      <c r="B1041675" s="19"/>
      <c r="C1041675" s="19"/>
      <c r="D1041675" s="19"/>
      <c r="E1041675" s="19"/>
      <c r="F1041675" s="19"/>
      <c r="G1041675" s="19"/>
      <c r="H1041675" s="19"/>
      <c r="I1041675" s="19"/>
      <c r="J1041675" s="19"/>
      <c r="K1041675" s="19"/>
      <c r="L1041675" s="19"/>
      <c r="M1041675" s="19"/>
      <c r="N1041675" s="19"/>
    </row>
    <row r="1041676" spans="1:14" s="83" customFormat="1" ht="12.75">
      <c r="A1041676" s="19"/>
      <c r="B1041676" s="19"/>
      <c r="C1041676" s="19"/>
      <c r="D1041676" s="19"/>
      <c r="E1041676" s="19"/>
      <c r="F1041676" s="19"/>
      <c r="G1041676" s="19"/>
      <c r="H1041676" s="19"/>
      <c r="I1041676" s="19"/>
      <c r="J1041676" s="19"/>
      <c r="K1041676" s="19"/>
      <c r="L1041676" s="19"/>
      <c r="M1041676" s="19"/>
      <c r="N1041676" s="19"/>
    </row>
    <row r="1041677" spans="1:14" s="83" customFormat="1" ht="12.75">
      <c r="A1041677" s="19"/>
      <c r="B1041677" s="19"/>
      <c r="C1041677" s="19"/>
      <c r="D1041677" s="19"/>
      <c r="E1041677" s="19"/>
      <c r="F1041677" s="19"/>
      <c r="G1041677" s="19"/>
      <c r="H1041677" s="19"/>
      <c r="I1041677" s="19"/>
      <c r="J1041677" s="19"/>
      <c r="K1041677" s="19"/>
      <c r="L1041677" s="19"/>
      <c r="M1041677" s="19"/>
      <c r="N1041677" s="19"/>
    </row>
    <row r="1041678" spans="1:14" s="83" customFormat="1" ht="12.75">
      <c r="A1041678" s="19"/>
      <c r="B1041678" s="19"/>
      <c r="C1041678" s="19"/>
      <c r="D1041678" s="19"/>
      <c r="E1041678" s="19"/>
      <c r="F1041678" s="19"/>
      <c r="G1041678" s="19"/>
      <c r="H1041678" s="19"/>
      <c r="I1041678" s="19"/>
      <c r="J1041678" s="19"/>
      <c r="K1041678" s="19"/>
      <c r="L1041678" s="19"/>
      <c r="M1041678" s="19"/>
      <c r="N1041678" s="19"/>
    </row>
    <row r="1041679" spans="1:14" s="83" customFormat="1" ht="12.75">
      <c r="A1041679" s="19"/>
      <c r="B1041679" s="19"/>
      <c r="C1041679" s="19"/>
      <c r="D1041679" s="19"/>
      <c r="E1041679" s="19"/>
      <c r="F1041679" s="19"/>
      <c r="G1041679" s="19"/>
      <c r="H1041679" s="19"/>
      <c r="I1041679" s="19"/>
      <c r="J1041679" s="19"/>
      <c r="K1041679" s="19"/>
      <c r="L1041679" s="19"/>
      <c r="M1041679" s="19"/>
      <c r="N1041679" s="19"/>
    </row>
    <row r="1041680" spans="1:14" s="83" customFormat="1" ht="12.75">
      <c r="A1041680" s="19"/>
      <c r="B1041680" s="19"/>
      <c r="C1041680" s="19"/>
      <c r="D1041680" s="19"/>
      <c r="E1041680" s="19"/>
      <c r="F1041680" s="19"/>
      <c r="G1041680" s="19"/>
      <c r="H1041680" s="19"/>
      <c r="I1041680" s="19"/>
      <c r="J1041680" s="19"/>
      <c r="K1041680" s="19"/>
      <c r="L1041680" s="19"/>
      <c r="M1041680" s="19"/>
      <c r="N1041680" s="19"/>
    </row>
    <row r="1041681" spans="1:14" s="83" customFormat="1" ht="12.75">
      <c r="A1041681" s="19"/>
      <c r="B1041681" s="19"/>
      <c r="C1041681" s="19"/>
      <c r="D1041681" s="19"/>
      <c r="E1041681" s="19"/>
      <c r="F1041681" s="19"/>
      <c r="G1041681" s="19"/>
      <c r="H1041681" s="19"/>
      <c r="I1041681" s="19"/>
      <c r="J1041681" s="19"/>
      <c r="K1041681" s="19"/>
      <c r="L1041681" s="19"/>
      <c r="M1041681" s="19"/>
      <c r="N1041681" s="19"/>
    </row>
    <row r="1041682" spans="1:14" s="83" customFormat="1" ht="12.75">
      <c r="A1041682" s="19"/>
      <c r="B1041682" s="19"/>
      <c r="C1041682" s="19"/>
      <c r="D1041682" s="19"/>
      <c r="E1041682" s="19"/>
      <c r="F1041682" s="19"/>
      <c r="G1041682" s="19"/>
      <c r="H1041682" s="19"/>
      <c r="I1041682" s="19"/>
      <c r="J1041682" s="19"/>
      <c r="K1041682" s="19"/>
      <c r="L1041682" s="19"/>
      <c r="M1041682" s="19"/>
      <c r="N1041682" s="19"/>
    </row>
    <row r="1041683" spans="1:14" s="83" customFormat="1" ht="12.75">
      <c r="A1041683" s="19"/>
      <c r="B1041683" s="19"/>
      <c r="C1041683" s="19"/>
      <c r="D1041683" s="19"/>
      <c r="E1041683" s="19"/>
      <c r="F1041683" s="19"/>
      <c r="G1041683" s="19"/>
      <c r="H1041683" s="19"/>
      <c r="I1041683" s="19"/>
      <c r="J1041683" s="19"/>
      <c r="K1041683" s="19"/>
      <c r="L1041683" s="19"/>
      <c r="M1041683" s="19"/>
      <c r="N1041683" s="19"/>
    </row>
    <row r="1041684" spans="1:14" s="83" customFormat="1" ht="12.75">
      <c r="A1041684" s="19"/>
      <c r="B1041684" s="19"/>
      <c r="C1041684" s="19"/>
      <c r="D1041684" s="19"/>
      <c r="E1041684" s="19"/>
      <c r="F1041684" s="19"/>
      <c r="G1041684" s="19"/>
      <c r="H1041684" s="19"/>
      <c r="I1041684" s="19"/>
      <c r="J1041684" s="19"/>
      <c r="K1041684" s="19"/>
      <c r="L1041684" s="19"/>
      <c r="M1041684" s="19"/>
      <c r="N1041684" s="19"/>
    </row>
    <row r="1041685" spans="1:14" s="83" customFormat="1" ht="12.75">
      <c r="A1041685" s="19"/>
      <c r="B1041685" s="19"/>
      <c r="C1041685" s="19"/>
      <c r="D1041685" s="19"/>
      <c r="E1041685" s="19"/>
      <c r="F1041685" s="19"/>
      <c r="G1041685" s="19"/>
      <c r="H1041685" s="19"/>
      <c r="I1041685" s="19"/>
      <c r="J1041685" s="19"/>
      <c r="K1041685" s="19"/>
      <c r="L1041685" s="19"/>
      <c r="M1041685" s="19"/>
      <c r="N1041685" s="19"/>
    </row>
    <row r="1041686" spans="1:14" s="83" customFormat="1" ht="12.75">
      <c r="A1041686" s="19"/>
      <c r="B1041686" s="19"/>
      <c r="C1041686" s="19"/>
      <c r="D1041686" s="19"/>
      <c r="E1041686" s="19"/>
      <c r="F1041686" s="19"/>
      <c r="G1041686" s="19"/>
      <c r="H1041686" s="19"/>
      <c r="I1041686" s="19"/>
      <c r="J1041686" s="19"/>
      <c r="K1041686" s="19"/>
      <c r="L1041686" s="19"/>
      <c r="M1041686" s="19"/>
      <c r="N1041686" s="19"/>
    </row>
    <row r="1041687" spans="1:14" s="83" customFormat="1" ht="12.75">
      <c r="A1041687" s="19"/>
      <c r="B1041687" s="19"/>
      <c r="C1041687" s="19"/>
      <c r="D1041687" s="19"/>
      <c r="E1041687" s="19"/>
      <c r="F1041687" s="19"/>
      <c r="G1041687" s="19"/>
      <c r="H1041687" s="19"/>
      <c r="I1041687" s="19"/>
      <c r="J1041687" s="19"/>
      <c r="K1041687" s="19"/>
      <c r="L1041687" s="19"/>
      <c r="M1041687" s="19"/>
      <c r="N1041687" s="19"/>
    </row>
    <row r="1041688" spans="1:14" s="83" customFormat="1" ht="12.75">
      <c r="A1041688" s="19"/>
      <c r="B1041688" s="19"/>
      <c r="C1041688" s="19"/>
      <c r="D1041688" s="19"/>
      <c r="E1041688" s="19"/>
      <c r="F1041688" s="19"/>
      <c r="G1041688" s="19"/>
      <c r="H1041688" s="19"/>
      <c r="I1041688" s="19"/>
      <c r="J1041688" s="19"/>
      <c r="K1041688" s="19"/>
      <c r="L1041688" s="19"/>
      <c r="M1041688" s="19"/>
      <c r="N1041688" s="19"/>
    </row>
    <row r="1041689" spans="1:14" s="83" customFormat="1" ht="12.75">
      <c r="A1041689" s="19"/>
      <c r="B1041689" s="19"/>
      <c r="C1041689" s="19"/>
      <c r="D1041689" s="19"/>
      <c r="E1041689" s="19"/>
      <c r="F1041689" s="19"/>
      <c r="G1041689" s="19"/>
      <c r="H1041689" s="19"/>
      <c r="I1041689" s="19"/>
      <c r="J1041689" s="19"/>
      <c r="K1041689" s="19"/>
      <c r="L1041689" s="19"/>
      <c r="M1041689" s="19"/>
      <c r="N1041689" s="19"/>
    </row>
    <row r="1041690" spans="1:14" s="83" customFormat="1" ht="12.75">
      <c r="A1041690" s="19"/>
      <c r="B1041690" s="19"/>
      <c r="C1041690" s="19"/>
      <c r="D1041690" s="19"/>
      <c r="E1041690" s="19"/>
      <c r="F1041690" s="19"/>
      <c r="G1041690" s="19"/>
      <c r="H1041690" s="19"/>
      <c r="I1041690" s="19"/>
      <c r="J1041690" s="19"/>
      <c r="K1041690" s="19"/>
      <c r="L1041690" s="19"/>
      <c r="M1041690" s="19"/>
      <c r="N1041690" s="19"/>
    </row>
    <row r="1041691" spans="1:14" s="83" customFormat="1" ht="12.75">
      <c r="A1041691" s="19"/>
      <c r="B1041691" s="19"/>
      <c r="C1041691" s="19"/>
      <c r="D1041691" s="19"/>
      <c r="E1041691" s="19"/>
      <c r="F1041691" s="19"/>
      <c r="G1041691" s="19"/>
      <c r="H1041691" s="19"/>
      <c r="I1041691" s="19"/>
      <c r="J1041691" s="19"/>
      <c r="K1041691" s="19"/>
      <c r="L1041691" s="19"/>
      <c r="M1041691" s="19"/>
      <c r="N1041691" s="19"/>
    </row>
    <row r="1041692" spans="1:14" s="83" customFormat="1" ht="12.75">
      <c r="A1041692" s="19"/>
      <c r="B1041692" s="19"/>
      <c r="C1041692" s="19"/>
      <c r="D1041692" s="19"/>
      <c r="E1041692" s="19"/>
      <c r="F1041692" s="19"/>
      <c r="G1041692" s="19"/>
      <c r="H1041692" s="19"/>
      <c r="I1041692" s="19"/>
      <c r="J1041692" s="19"/>
      <c r="K1041692" s="19"/>
      <c r="L1041692" s="19"/>
      <c r="M1041692" s="19"/>
      <c r="N1041692" s="19"/>
    </row>
    <row r="1041693" spans="1:14" s="83" customFormat="1" ht="12.75">
      <c r="A1041693" s="19"/>
      <c r="B1041693" s="19"/>
      <c r="C1041693" s="19"/>
      <c r="D1041693" s="19"/>
      <c r="E1041693" s="19"/>
      <c r="F1041693" s="19"/>
      <c r="G1041693" s="19"/>
      <c r="H1041693" s="19"/>
      <c r="I1041693" s="19"/>
      <c r="J1041693" s="19"/>
      <c r="K1041693" s="19"/>
      <c r="L1041693" s="19"/>
      <c r="M1041693" s="19"/>
      <c r="N1041693" s="19"/>
    </row>
    <row r="1041694" spans="1:14" s="83" customFormat="1" ht="12.75">
      <c r="A1041694" s="19"/>
      <c r="B1041694" s="19"/>
      <c r="C1041694" s="19"/>
      <c r="D1041694" s="19"/>
      <c r="E1041694" s="19"/>
      <c r="F1041694" s="19"/>
      <c r="G1041694" s="19"/>
      <c r="H1041694" s="19"/>
      <c r="I1041694" s="19"/>
      <c r="J1041694" s="19"/>
      <c r="K1041694" s="19"/>
      <c r="L1041694" s="19"/>
      <c r="M1041694" s="19"/>
      <c r="N1041694" s="19"/>
    </row>
    <row r="1041695" spans="1:14" s="83" customFormat="1" ht="12.75">
      <c r="A1041695" s="19"/>
      <c r="B1041695" s="19"/>
      <c r="C1041695" s="19"/>
      <c r="D1041695" s="19"/>
      <c r="E1041695" s="19"/>
      <c r="F1041695" s="19"/>
      <c r="G1041695" s="19"/>
      <c r="H1041695" s="19"/>
      <c r="I1041695" s="19"/>
      <c r="J1041695" s="19"/>
      <c r="K1041695" s="19"/>
      <c r="L1041695" s="19"/>
      <c r="M1041695" s="19"/>
      <c r="N1041695" s="19"/>
    </row>
    <row r="1041696" spans="1:14" s="83" customFormat="1" ht="12.75">
      <c r="A1041696" s="19"/>
      <c r="B1041696" s="19"/>
      <c r="C1041696" s="19"/>
      <c r="D1041696" s="19"/>
      <c r="E1041696" s="19"/>
      <c r="F1041696" s="19"/>
      <c r="G1041696" s="19"/>
      <c r="H1041696" s="19"/>
      <c r="I1041696" s="19"/>
      <c r="J1041696" s="19"/>
      <c r="K1041696" s="19"/>
      <c r="L1041696" s="19"/>
      <c r="M1041696" s="19"/>
      <c r="N1041696" s="19"/>
    </row>
    <row r="1041697" spans="1:14" s="83" customFormat="1" ht="12.75">
      <c r="A1041697" s="19"/>
      <c r="B1041697" s="19"/>
      <c r="C1041697" s="19"/>
      <c r="D1041697" s="19"/>
      <c r="E1041697" s="19"/>
      <c r="F1041697" s="19"/>
      <c r="G1041697" s="19"/>
      <c r="H1041697" s="19"/>
      <c r="I1041697" s="19"/>
      <c r="J1041697" s="19"/>
      <c r="K1041697" s="19"/>
      <c r="L1041697" s="19"/>
      <c r="M1041697" s="19"/>
      <c r="N1041697" s="19"/>
    </row>
    <row r="1041698" spans="1:14" s="83" customFormat="1" ht="12.75">
      <c r="A1041698" s="19"/>
      <c r="B1041698" s="19"/>
      <c r="C1041698" s="19"/>
      <c r="D1041698" s="19"/>
      <c r="E1041698" s="19"/>
      <c r="F1041698" s="19"/>
      <c r="G1041698" s="19"/>
      <c r="H1041698" s="19"/>
      <c r="I1041698" s="19"/>
      <c r="J1041698" s="19"/>
      <c r="K1041698" s="19"/>
      <c r="L1041698" s="19"/>
      <c r="M1041698" s="19"/>
      <c r="N1041698" s="19"/>
    </row>
    <row r="1041699" spans="1:14" s="83" customFormat="1" ht="12.75">
      <c r="A1041699" s="19"/>
      <c r="B1041699" s="19"/>
      <c r="C1041699" s="19"/>
      <c r="D1041699" s="19"/>
      <c r="E1041699" s="19"/>
      <c r="F1041699" s="19"/>
      <c r="G1041699" s="19"/>
      <c r="H1041699" s="19"/>
      <c r="I1041699" s="19"/>
      <c r="J1041699" s="19"/>
      <c r="K1041699" s="19"/>
      <c r="L1041699" s="19"/>
      <c r="M1041699" s="19"/>
      <c r="N1041699" s="19"/>
    </row>
    <row r="1041700" spans="1:14" s="83" customFormat="1" ht="12.75">
      <c r="A1041700" s="19"/>
      <c r="B1041700" s="19"/>
      <c r="C1041700" s="19"/>
      <c r="D1041700" s="19"/>
      <c r="E1041700" s="19"/>
      <c r="F1041700" s="19"/>
      <c r="G1041700" s="19"/>
      <c r="H1041700" s="19"/>
      <c r="I1041700" s="19"/>
      <c r="J1041700" s="19"/>
      <c r="K1041700" s="19"/>
      <c r="L1041700" s="19"/>
      <c r="M1041700" s="19"/>
      <c r="N1041700" s="19"/>
    </row>
    <row r="1041701" spans="1:14" s="83" customFormat="1" ht="12.75">
      <c r="A1041701" s="19"/>
      <c r="B1041701" s="19"/>
      <c r="C1041701" s="19"/>
      <c r="D1041701" s="19"/>
      <c r="E1041701" s="19"/>
      <c r="F1041701" s="19"/>
      <c r="G1041701" s="19"/>
      <c r="H1041701" s="19"/>
      <c r="I1041701" s="19"/>
      <c r="J1041701" s="19"/>
      <c r="K1041701" s="19"/>
      <c r="L1041701" s="19"/>
      <c r="M1041701" s="19"/>
      <c r="N1041701" s="19"/>
    </row>
    <row r="1041702" spans="1:14" s="83" customFormat="1" ht="12.75">
      <c r="A1041702" s="19"/>
      <c r="B1041702" s="19"/>
      <c r="C1041702" s="19"/>
      <c r="D1041702" s="19"/>
      <c r="E1041702" s="19"/>
      <c r="F1041702" s="19"/>
      <c r="G1041702" s="19"/>
      <c r="H1041702" s="19"/>
      <c r="I1041702" s="19"/>
      <c r="J1041702" s="19"/>
      <c r="K1041702" s="19"/>
      <c r="L1041702" s="19"/>
      <c r="M1041702" s="19"/>
      <c r="N1041702" s="19"/>
    </row>
    <row r="1041703" spans="1:14" s="83" customFormat="1" ht="12.75">
      <c r="A1041703" s="19"/>
      <c r="B1041703" s="19"/>
      <c r="C1041703" s="19"/>
      <c r="D1041703" s="19"/>
      <c r="E1041703" s="19"/>
      <c r="F1041703" s="19"/>
      <c r="G1041703" s="19"/>
      <c r="H1041703" s="19"/>
      <c r="I1041703" s="19"/>
      <c r="J1041703" s="19"/>
      <c r="K1041703" s="19"/>
      <c r="L1041703" s="19"/>
      <c r="M1041703" s="19"/>
      <c r="N1041703" s="19"/>
    </row>
    <row r="1041704" spans="1:14" s="83" customFormat="1" ht="12.75">
      <c r="A1041704" s="19"/>
      <c r="B1041704" s="19"/>
      <c r="C1041704" s="19"/>
      <c r="D1041704" s="19"/>
      <c r="E1041704" s="19"/>
      <c r="F1041704" s="19"/>
      <c r="G1041704" s="19"/>
      <c r="H1041704" s="19"/>
      <c r="I1041704" s="19"/>
      <c r="J1041704" s="19"/>
      <c r="K1041704" s="19"/>
      <c r="L1041704" s="19"/>
      <c r="M1041704" s="19"/>
      <c r="N1041704" s="19"/>
    </row>
    <row r="1041705" spans="1:14" s="83" customFormat="1" ht="12.75">
      <c r="A1041705" s="19"/>
      <c r="B1041705" s="19"/>
      <c r="C1041705" s="19"/>
      <c r="D1041705" s="19"/>
      <c r="E1041705" s="19"/>
      <c r="F1041705" s="19"/>
      <c r="G1041705" s="19"/>
      <c r="H1041705" s="19"/>
      <c r="I1041705" s="19"/>
      <c r="J1041705" s="19"/>
      <c r="K1041705" s="19"/>
      <c r="L1041705" s="19"/>
      <c r="M1041705" s="19"/>
      <c r="N1041705" s="19"/>
    </row>
    <row r="1041706" spans="1:14" s="83" customFormat="1" ht="12.75">
      <c r="A1041706" s="19"/>
      <c r="B1041706" s="19"/>
      <c r="C1041706" s="19"/>
      <c r="D1041706" s="19"/>
      <c r="E1041706" s="19"/>
      <c r="F1041706" s="19"/>
      <c r="G1041706" s="19"/>
      <c r="H1041706" s="19"/>
      <c r="I1041706" s="19"/>
      <c r="J1041706" s="19"/>
      <c r="K1041706" s="19"/>
      <c r="L1041706" s="19"/>
      <c r="M1041706" s="19"/>
      <c r="N1041706" s="19"/>
    </row>
    <row r="1041707" spans="1:14" s="83" customFormat="1" ht="12.75">
      <c r="A1041707" s="19"/>
      <c r="B1041707" s="19"/>
      <c r="C1041707" s="19"/>
      <c r="D1041707" s="19"/>
      <c r="E1041707" s="19"/>
      <c r="F1041707" s="19"/>
      <c r="G1041707" s="19"/>
      <c r="H1041707" s="19"/>
      <c r="I1041707" s="19"/>
      <c r="J1041707" s="19"/>
      <c r="K1041707" s="19"/>
      <c r="L1041707" s="19"/>
      <c r="M1041707" s="19"/>
      <c r="N1041707" s="19"/>
    </row>
    <row r="1041708" spans="1:14" s="83" customFormat="1" ht="12.75">
      <c r="A1041708" s="19"/>
      <c r="B1041708" s="19"/>
      <c r="C1041708" s="19"/>
      <c r="D1041708" s="19"/>
      <c r="E1041708" s="19"/>
      <c r="F1041708" s="19"/>
      <c r="G1041708" s="19"/>
      <c r="H1041708" s="19"/>
      <c r="I1041708" s="19"/>
      <c r="J1041708" s="19"/>
      <c r="K1041708" s="19"/>
      <c r="L1041708" s="19"/>
      <c r="M1041708" s="19"/>
      <c r="N1041708" s="19"/>
    </row>
    <row r="1041709" spans="1:14" s="83" customFormat="1" ht="12.75">
      <c r="A1041709" s="19"/>
      <c r="B1041709" s="19"/>
      <c r="C1041709" s="19"/>
      <c r="D1041709" s="19"/>
      <c r="E1041709" s="19"/>
      <c r="F1041709" s="19"/>
      <c r="G1041709" s="19"/>
      <c r="H1041709" s="19"/>
      <c r="I1041709" s="19"/>
      <c r="J1041709" s="19"/>
      <c r="K1041709" s="19"/>
      <c r="L1041709" s="19"/>
      <c r="M1041709" s="19"/>
      <c r="N1041709" s="19"/>
    </row>
    <row r="1041710" spans="1:14" s="83" customFormat="1" ht="12.75">
      <c r="A1041710" s="19"/>
      <c r="B1041710" s="19"/>
      <c r="C1041710" s="19"/>
      <c r="D1041710" s="19"/>
      <c r="E1041710" s="19"/>
      <c r="F1041710" s="19"/>
      <c r="G1041710" s="19"/>
      <c r="H1041710" s="19"/>
      <c r="I1041710" s="19"/>
      <c r="J1041710" s="19"/>
      <c r="K1041710" s="19"/>
      <c r="L1041710" s="19"/>
      <c r="M1041710" s="19"/>
      <c r="N1041710" s="19"/>
    </row>
    <row r="1041711" spans="1:14" s="83" customFormat="1" ht="12.75">
      <c r="A1041711" s="19"/>
      <c r="B1041711" s="19"/>
      <c r="C1041711" s="19"/>
      <c r="D1041711" s="19"/>
      <c r="E1041711" s="19"/>
      <c r="F1041711" s="19"/>
      <c r="G1041711" s="19"/>
      <c r="H1041711" s="19"/>
      <c r="I1041711" s="19"/>
      <c r="J1041711" s="19"/>
      <c r="K1041711" s="19"/>
      <c r="L1041711" s="19"/>
      <c r="M1041711" s="19"/>
      <c r="N1041711" s="19"/>
    </row>
    <row r="1041712" spans="1:14" s="83" customFormat="1" ht="12.75">
      <c r="A1041712" s="19"/>
      <c r="B1041712" s="19"/>
      <c r="C1041712" s="19"/>
      <c r="D1041712" s="19"/>
      <c r="E1041712" s="19"/>
      <c r="F1041712" s="19"/>
      <c r="G1041712" s="19"/>
      <c r="H1041712" s="19"/>
      <c r="I1041712" s="19"/>
      <c r="J1041712" s="19"/>
      <c r="K1041712" s="19"/>
      <c r="L1041712" s="19"/>
      <c r="M1041712" s="19"/>
      <c r="N1041712" s="19"/>
    </row>
    <row r="1041713" spans="1:14" s="83" customFormat="1" ht="12.75">
      <c r="A1041713" s="19"/>
      <c r="B1041713" s="19"/>
      <c r="C1041713" s="19"/>
      <c r="D1041713" s="19"/>
      <c r="E1041713" s="19"/>
      <c r="F1041713" s="19"/>
      <c r="G1041713" s="19"/>
      <c r="H1041713" s="19"/>
      <c r="I1041713" s="19"/>
      <c r="J1041713" s="19"/>
      <c r="K1041713" s="19"/>
      <c r="L1041713" s="19"/>
      <c r="M1041713" s="19"/>
      <c r="N1041713" s="19"/>
    </row>
    <row r="1041714" spans="1:14" s="83" customFormat="1" ht="12.75">
      <c r="A1041714" s="19"/>
      <c r="B1041714" s="19"/>
      <c r="C1041714" s="19"/>
      <c r="D1041714" s="19"/>
      <c r="E1041714" s="19"/>
      <c r="F1041714" s="19"/>
      <c r="G1041714" s="19"/>
      <c r="H1041714" s="19"/>
      <c r="I1041714" s="19"/>
      <c r="J1041714" s="19"/>
      <c r="K1041714" s="19"/>
      <c r="L1041714" s="19"/>
      <c r="M1041714" s="19"/>
      <c r="N1041714" s="19"/>
    </row>
    <row r="1041715" spans="1:14" s="83" customFormat="1" ht="12.75">
      <c r="A1041715" s="19"/>
      <c r="B1041715" s="19"/>
      <c r="C1041715" s="19"/>
      <c r="D1041715" s="19"/>
      <c r="E1041715" s="19"/>
      <c r="F1041715" s="19"/>
      <c r="G1041715" s="19"/>
      <c r="H1041715" s="19"/>
      <c r="I1041715" s="19"/>
      <c r="J1041715" s="19"/>
      <c r="K1041715" s="19"/>
      <c r="L1041715" s="19"/>
      <c r="M1041715" s="19"/>
      <c r="N1041715" s="19"/>
    </row>
    <row r="1041716" spans="1:14" s="83" customFormat="1" ht="12.75">
      <c r="A1041716" s="19"/>
      <c r="B1041716" s="19"/>
      <c r="C1041716" s="19"/>
      <c r="D1041716" s="19"/>
      <c r="E1041716" s="19"/>
      <c r="F1041716" s="19"/>
      <c r="G1041716" s="19"/>
      <c r="H1041716" s="19"/>
      <c r="I1041716" s="19"/>
      <c r="J1041716" s="19"/>
      <c r="K1041716" s="19"/>
      <c r="L1041716" s="19"/>
      <c r="M1041716" s="19"/>
      <c r="N1041716" s="19"/>
    </row>
    <row r="1041717" spans="1:14" s="83" customFormat="1" ht="12.75">
      <c r="A1041717" s="19"/>
      <c r="B1041717" s="19"/>
      <c r="C1041717" s="19"/>
      <c r="D1041717" s="19"/>
      <c r="E1041717" s="19"/>
      <c r="F1041717" s="19"/>
      <c r="G1041717" s="19"/>
      <c r="H1041717" s="19"/>
      <c r="I1041717" s="19"/>
      <c r="J1041717" s="19"/>
      <c r="K1041717" s="19"/>
      <c r="L1041717" s="19"/>
      <c r="M1041717" s="19"/>
      <c r="N1041717" s="19"/>
    </row>
    <row r="1041718" spans="1:14" s="83" customFormat="1" ht="12.75">
      <c r="A1041718" s="19"/>
      <c r="B1041718" s="19"/>
      <c r="C1041718" s="19"/>
      <c r="D1041718" s="19"/>
      <c r="E1041718" s="19"/>
      <c r="F1041718" s="19"/>
      <c r="G1041718" s="19"/>
      <c r="H1041718" s="19"/>
      <c r="I1041718" s="19"/>
      <c r="J1041718" s="19"/>
      <c r="K1041718" s="19"/>
      <c r="L1041718" s="19"/>
      <c r="M1041718" s="19"/>
      <c r="N1041718" s="19"/>
    </row>
    <row r="1041719" spans="1:14" s="83" customFormat="1" ht="12.75">
      <c r="A1041719" s="19"/>
      <c r="B1041719" s="19"/>
      <c r="C1041719" s="19"/>
      <c r="D1041719" s="19"/>
      <c r="E1041719" s="19"/>
      <c r="F1041719" s="19"/>
      <c r="G1041719" s="19"/>
      <c r="H1041719" s="19"/>
      <c r="I1041719" s="19"/>
      <c r="J1041719" s="19"/>
      <c r="K1041719" s="19"/>
      <c r="L1041719" s="19"/>
      <c r="M1041719" s="19"/>
      <c r="N1041719" s="19"/>
    </row>
    <row r="1041720" spans="1:14" s="83" customFormat="1" ht="12.75">
      <c r="A1041720" s="19"/>
      <c r="B1041720" s="19"/>
      <c r="C1041720" s="19"/>
      <c r="D1041720" s="19"/>
      <c r="E1041720" s="19"/>
      <c r="F1041720" s="19"/>
      <c r="G1041720" s="19"/>
      <c r="H1041720" s="19"/>
      <c r="I1041720" s="19"/>
      <c r="J1041720" s="19"/>
      <c r="K1041720" s="19"/>
      <c r="L1041720" s="19"/>
      <c r="M1041720" s="19"/>
      <c r="N1041720" s="19"/>
    </row>
    <row r="1041721" spans="1:14" s="83" customFormat="1" ht="12.75">
      <c r="A1041721" s="19"/>
      <c r="B1041721" s="19"/>
      <c r="C1041721" s="19"/>
      <c r="D1041721" s="19"/>
      <c r="E1041721" s="19"/>
      <c r="F1041721" s="19"/>
      <c r="G1041721" s="19"/>
      <c r="H1041721" s="19"/>
      <c r="I1041721" s="19"/>
      <c r="J1041721" s="19"/>
      <c r="K1041721" s="19"/>
      <c r="L1041721" s="19"/>
      <c r="M1041721" s="19"/>
      <c r="N1041721" s="19"/>
    </row>
    <row r="1041722" spans="1:14" s="83" customFormat="1" ht="12.75">
      <c r="A1041722" s="19"/>
      <c r="B1041722" s="19"/>
      <c r="C1041722" s="19"/>
      <c r="D1041722" s="19"/>
      <c r="E1041722" s="19"/>
      <c r="F1041722" s="19"/>
      <c r="G1041722" s="19"/>
      <c r="H1041722" s="19"/>
      <c r="I1041722" s="19"/>
      <c r="J1041722" s="19"/>
      <c r="K1041722" s="19"/>
      <c r="L1041722" s="19"/>
      <c r="M1041722" s="19"/>
      <c r="N1041722" s="19"/>
    </row>
    <row r="1041723" spans="1:14" s="83" customFormat="1" ht="12.75">
      <c r="A1041723" s="19"/>
      <c r="B1041723" s="19"/>
      <c r="C1041723" s="19"/>
      <c r="D1041723" s="19"/>
      <c r="E1041723" s="19"/>
      <c r="F1041723" s="19"/>
      <c r="G1041723" s="19"/>
      <c r="H1041723" s="19"/>
      <c r="I1041723" s="19"/>
      <c r="J1041723" s="19"/>
      <c r="K1041723" s="19"/>
      <c r="L1041723" s="19"/>
      <c r="M1041723" s="19"/>
      <c r="N1041723" s="19"/>
    </row>
    <row r="1041724" spans="1:14" s="83" customFormat="1" ht="12.75">
      <c r="A1041724" s="19"/>
      <c r="B1041724" s="19"/>
      <c r="C1041724" s="19"/>
      <c r="D1041724" s="19"/>
      <c r="E1041724" s="19"/>
      <c r="F1041724" s="19"/>
      <c r="G1041724" s="19"/>
      <c r="H1041724" s="19"/>
      <c r="I1041724" s="19"/>
      <c r="J1041724" s="19"/>
      <c r="K1041724" s="19"/>
      <c r="L1041724" s="19"/>
      <c r="M1041724" s="19"/>
      <c r="N1041724" s="19"/>
    </row>
    <row r="1041725" spans="1:14" s="83" customFormat="1" ht="12.75">
      <c r="A1041725" s="19"/>
      <c r="B1041725" s="19"/>
      <c r="C1041725" s="19"/>
      <c r="D1041725" s="19"/>
      <c r="E1041725" s="19"/>
      <c r="F1041725" s="19"/>
      <c r="G1041725" s="19"/>
      <c r="H1041725" s="19"/>
      <c r="I1041725" s="19"/>
      <c r="J1041725" s="19"/>
      <c r="K1041725" s="19"/>
      <c r="L1041725" s="19"/>
      <c r="M1041725" s="19"/>
      <c r="N1041725" s="19"/>
    </row>
    <row r="1041726" spans="1:14" s="83" customFormat="1" ht="12.75">
      <c r="A1041726" s="19"/>
      <c r="B1041726" s="19"/>
      <c r="C1041726" s="19"/>
      <c r="D1041726" s="19"/>
      <c r="E1041726" s="19"/>
      <c r="F1041726" s="19"/>
      <c r="G1041726" s="19"/>
      <c r="H1041726" s="19"/>
      <c r="I1041726" s="19"/>
      <c r="J1041726" s="19"/>
      <c r="K1041726" s="19"/>
      <c r="L1041726" s="19"/>
      <c r="M1041726" s="19"/>
      <c r="N1041726" s="19"/>
    </row>
    <row r="1041727" spans="1:14" s="83" customFormat="1" ht="12.75">
      <c r="A1041727" s="19"/>
      <c r="B1041727" s="19"/>
      <c r="C1041727" s="19"/>
      <c r="D1041727" s="19"/>
      <c r="E1041727" s="19"/>
      <c r="F1041727" s="19"/>
      <c r="G1041727" s="19"/>
      <c r="H1041727" s="19"/>
      <c r="I1041727" s="19"/>
      <c r="J1041727" s="19"/>
      <c r="K1041727" s="19"/>
      <c r="L1041727" s="19"/>
      <c r="M1041727" s="19"/>
      <c r="N1041727" s="19"/>
    </row>
    <row r="1041728" spans="1:14" s="83" customFormat="1" ht="12.75">
      <c r="A1041728" s="19"/>
      <c r="B1041728" s="19"/>
      <c r="C1041728" s="19"/>
      <c r="D1041728" s="19"/>
      <c r="E1041728" s="19"/>
      <c r="F1041728" s="19"/>
      <c r="G1041728" s="19"/>
      <c r="H1041728" s="19"/>
      <c r="I1041728" s="19"/>
      <c r="J1041728" s="19"/>
      <c r="K1041728" s="19"/>
      <c r="L1041728" s="19"/>
      <c r="M1041728" s="19"/>
      <c r="N1041728" s="19"/>
    </row>
    <row r="1041729" spans="1:14" s="83" customFormat="1" ht="12.75">
      <c r="A1041729" s="19"/>
      <c r="B1041729" s="19"/>
      <c r="C1041729" s="19"/>
      <c r="D1041729" s="19"/>
      <c r="E1041729" s="19"/>
      <c r="F1041729" s="19"/>
      <c r="G1041729" s="19"/>
      <c r="H1041729" s="19"/>
      <c r="I1041729" s="19"/>
      <c r="J1041729" s="19"/>
      <c r="K1041729" s="19"/>
      <c r="L1041729" s="19"/>
      <c r="M1041729" s="19"/>
      <c r="N1041729" s="19"/>
    </row>
    <row r="1041730" spans="1:14" s="83" customFormat="1" ht="12.75">
      <c r="A1041730" s="19"/>
      <c r="B1041730" s="19"/>
      <c r="C1041730" s="19"/>
      <c r="D1041730" s="19"/>
      <c r="E1041730" s="19"/>
      <c r="F1041730" s="19"/>
      <c r="G1041730" s="19"/>
      <c r="H1041730" s="19"/>
      <c r="I1041730" s="19"/>
      <c r="J1041730" s="19"/>
      <c r="K1041730" s="19"/>
      <c r="L1041730" s="19"/>
      <c r="M1041730" s="19"/>
      <c r="N1041730" s="19"/>
    </row>
    <row r="1041731" spans="1:14" s="83" customFormat="1" ht="12.75">
      <c r="A1041731" s="19"/>
      <c r="B1041731" s="19"/>
      <c r="C1041731" s="19"/>
      <c r="D1041731" s="19"/>
      <c r="E1041731" s="19"/>
      <c r="F1041731" s="19"/>
      <c r="G1041731" s="19"/>
      <c r="H1041731" s="19"/>
      <c r="I1041731" s="19"/>
      <c r="J1041731" s="19"/>
      <c r="K1041731" s="19"/>
      <c r="L1041731" s="19"/>
      <c r="M1041731" s="19"/>
      <c r="N1041731" s="19"/>
    </row>
    <row r="1041732" spans="1:14" s="83" customFormat="1" ht="12.75">
      <c r="A1041732" s="19"/>
      <c r="B1041732" s="19"/>
      <c r="C1041732" s="19"/>
      <c r="D1041732" s="19"/>
      <c r="E1041732" s="19"/>
      <c r="F1041732" s="19"/>
      <c r="G1041732" s="19"/>
      <c r="H1041732" s="19"/>
      <c r="I1041732" s="19"/>
      <c r="J1041732" s="19"/>
      <c r="K1041732" s="19"/>
      <c r="L1041732" s="19"/>
      <c r="M1041732" s="19"/>
      <c r="N1041732" s="19"/>
    </row>
    <row r="1041733" spans="1:14" s="83" customFormat="1" ht="12.75">
      <c r="A1041733" s="19"/>
      <c r="B1041733" s="19"/>
      <c r="C1041733" s="19"/>
      <c r="D1041733" s="19"/>
      <c r="E1041733" s="19"/>
      <c r="F1041733" s="19"/>
      <c r="G1041733" s="19"/>
      <c r="H1041733" s="19"/>
      <c r="I1041733" s="19"/>
      <c r="J1041733" s="19"/>
      <c r="K1041733" s="19"/>
      <c r="L1041733" s="19"/>
      <c r="M1041733" s="19"/>
      <c r="N1041733" s="19"/>
    </row>
    <row r="1041734" spans="1:14" s="83" customFormat="1" ht="12.75">
      <c r="A1041734" s="19"/>
      <c r="B1041734" s="19"/>
      <c r="C1041734" s="19"/>
      <c r="D1041734" s="19"/>
      <c r="E1041734" s="19"/>
      <c r="F1041734" s="19"/>
      <c r="G1041734" s="19"/>
      <c r="H1041734" s="19"/>
      <c r="I1041734" s="19"/>
      <c r="J1041734" s="19"/>
      <c r="K1041734" s="19"/>
      <c r="L1041734" s="19"/>
      <c r="M1041734" s="19"/>
      <c r="N1041734" s="19"/>
    </row>
    <row r="1041735" spans="1:14" s="83" customFormat="1" ht="12.75">
      <c r="A1041735" s="19"/>
      <c r="B1041735" s="19"/>
      <c r="C1041735" s="19"/>
      <c r="D1041735" s="19"/>
      <c r="E1041735" s="19"/>
      <c r="F1041735" s="19"/>
      <c r="G1041735" s="19"/>
      <c r="H1041735" s="19"/>
      <c r="I1041735" s="19"/>
      <c r="J1041735" s="19"/>
      <c r="K1041735" s="19"/>
      <c r="L1041735" s="19"/>
      <c r="M1041735" s="19"/>
      <c r="N1041735" s="19"/>
    </row>
    <row r="1041736" spans="1:14" s="83" customFormat="1" ht="12.75">
      <c r="A1041736" s="19"/>
      <c r="B1041736" s="19"/>
      <c r="C1041736" s="19"/>
      <c r="D1041736" s="19"/>
      <c r="E1041736" s="19"/>
      <c r="F1041736" s="19"/>
      <c r="G1041736" s="19"/>
      <c r="H1041736" s="19"/>
      <c r="I1041736" s="19"/>
      <c r="J1041736" s="19"/>
      <c r="K1041736" s="19"/>
      <c r="L1041736" s="19"/>
      <c r="M1041736" s="19"/>
      <c r="N1041736" s="19"/>
    </row>
    <row r="1041737" spans="1:14" s="83" customFormat="1" ht="12.75">
      <c r="A1041737" s="19"/>
      <c r="B1041737" s="19"/>
      <c r="C1041737" s="19"/>
      <c r="D1041737" s="19"/>
      <c r="E1041737" s="19"/>
      <c r="F1041737" s="19"/>
      <c r="G1041737" s="19"/>
      <c r="H1041737" s="19"/>
      <c r="I1041737" s="19"/>
      <c r="J1041737" s="19"/>
      <c r="K1041737" s="19"/>
      <c r="L1041737" s="19"/>
      <c r="M1041737" s="19"/>
      <c r="N1041737" s="19"/>
    </row>
    <row r="1041738" spans="1:14" s="83" customFormat="1" ht="12.75">
      <c r="A1041738" s="19"/>
      <c r="B1041738" s="19"/>
      <c r="C1041738" s="19"/>
      <c r="D1041738" s="19"/>
      <c r="E1041738" s="19"/>
      <c r="F1041738" s="19"/>
      <c r="G1041738" s="19"/>
      <c r="H1041738" s="19"/>
      <c r="I1041738" s="19"/>
      <c r="J1041738" s="19"/>
      <c r="K1041738" s="19"/>
      <c r="L1041738" s="19"/>
      <c r="M1041738" s="19"/>
      <c r="N1041738" s="19"/>
    </row>
    <row r="1041739" spans="1:14" s="83" customFormat="1" ht="12.75">
      <c r="A1041739" s="19"/>
      <c r="B1041739" s="19"/>
      <c r="C1041739" s="19"/>
      <c r="D1041739" s="19"/>
      <c r="E1041739" s="19"/>
      <c r="F1041739" s="19"/>
      <c r="G1041739" s="19"/>
      <c r="H1041739" s="19"/>
      <c r="I1041739" s="19"/>
      <c r="J1041739" s="19"/>
      <c r="K1041739" s="19"/>
      <c r="L1041739" s="19"/>
      <c r="M1041739" s="19"/>
      <c r="N1041739" s="19"/>
    </row>
    <row r="1041740" spans="1:14" s="83" customFormat="1" ht="12.75">
      <c r="A1041740" s="19"/>
      <c r="B1041740" s="19"/>
      <c r="C1041740" s="19"/>
      <c r="D1041740" s="19"/>
      <c r="E1041740" s="19"/>
      <c r="F1041740" s="19"/>
      <c r="G1041740" s="19"/>
      <c r="H1041740" s="19"/>
      <c r="I1041740" s="19"/>
      <c r="J1041740" s="19"/>
      <c r="K1041740" s="19"/>
      <c r="L1041740" s="19"/>
      <c r="M1041740" s="19"/>
      <c r="N1041740" s="19"/>
    </row>
    <row r="1041741" spans="1:14" s="83" customFormat="1" ht="12.75">
      <c r="A1041741" s="19"/>
      <c r="B1041741" s="19"/>
      <c r="C1041741" s="19"/>
      <c r="D1041741" s="19"/>
      <c r="E1041741" s="19"/>
      <c r="F1041741" s="19"/>
      <c r="G1041741" s="19"/>
      <c r="H1041741" s="19"/>
      <c r="I1041741" s="19"/>
      <c r="J1041741" s="19"/>
      <c r="K1041741" s="19"/>
      <c r="L1041741" s="19"/>
      <c r="M1041741" s="19"/>
      <c r="N1041741" s="19"/>
    </row>
    <row r="1041742" spans="1:14" s="83" customFormat="1" ht="12.75">
      <c r="A1041742" s="19"/>
      <c r="B1041742" s="19"/>
      <c r="C1041742" s="19"/>
      <c r="D1041742" s="19"/>
      <c r="E1041742" s="19"/>
      <c r="F1041742" s="19"/>
      <c r="G1041742" s="19"/>
      <c r="H1041742" s="19"/>
      <c r="I1041742" s="19"/>
      <c r="J1041742" s="19"/>
      <c r="K1041742" s="19"/>
      <c r="L1041742" s="19"/>
      <c r="M1041742" s="19"/>
      <c r="N1041742" s="19"/>
    </row>
    <row r="1041743" spans="1:14" s="83" customFormat="1" ht="12.75">
      <c r="A1041743" s="19"/>
      <c r="B1041743" s="19"/>
      <c r="C1041743" s="19"/>
      <c r="D1041743" s="19"/>
      <c r="E1041743" s="19"/>
      <c r="F1041743" s="19"/>
      <c r="G1041743" s="19"/>
      <c r="H1041743" s="19"/>
      <c r="I1041743" s="19"/>
      <c r="J1041743" s="19"/>
      <c r="K1041743" s="19"/>
      <c r="L1041743" s="19"/>
      <c r="M1041743" s="19"/>
      <c r="N1041743" s="19"/>
    </row>
    <row r="1041744" spans="1:14" s="83" customFormat="1" ht="12.75">
      <c r="A1041744" s="19"/>
      <c r="B1041744" s="19"/>
      <c r="C1041744" s="19"/>
      <c r="D1041744" s="19"/>
      <c r="E1041744" s="19"/>
      <c r="F1041744" s="19"/>
      <c r="G1041744" s="19"/>
      <c r="H1041744" s="19"/>
      <c r="I1041744" s="19"/>
      <c r="J1041744" s="19"/>
      <c r="K1041744" s="19"/>
      <c r="L1041744" s="19"/>
      <c r="M1041744" s="19"/>
      <c r="N1041744" s="19"/>
    </row>
    <row r="1041745" spans="1:14" s="83" customFormat="1" ht="12.75">
      <c r="A1041745" s="19"/>
      <c r="B1041745" s="19"/>
      <c r="C1041745" s="19"/>
      <c r="D1041745" s="19"/>
      <c r="E1041745" s="19"/>
      <c r="F1041745" s="19"/>
      <c r="G1041745" s="19"/>
      <c r="H1041745" s="19"/>
      <c r="I1041745" s="19"/>
      <c r="J1041745" s="19"/>
      <c r="K1041745" s="19"/>
      <c r="L1041745" s="19"/>
      <c r="M1041745" s="19"/>
      <c r="N1041745" s="19"/>
    </row>
    <row r="1041746" spans="1:14" s="83" customFormat="1" ht="12.75">
      <c r="A1041746" s="19"/>
      <c r="B1041746" s="19"/>
      <c r="C1041746" s="19"/>
      <c r="D1041746" s="19"/>
      <c r="E1041746" s="19"/>
      <c r="F1041746" s="19"/>
      <c r="G1041746" s="19"/>
      <c r="H1041746" s="19"/>
      <c r="I1041746" s="19"/>
      <c r="J1041746" s="19"/>
      <c r="K1041746" s="19"/>
      <c r="L1041746" s="19"/>
      <c r="M1041746" s="19"/>
      <c r="N1041746" s="19"/>
    </row>
    <row r="1041747" spans="1:14" s="83" customFormat="1" ht="12.75">
      <c r="A1041747" s="19"/>
      <c r="B1041747" s="19"/>
      <c r="C1041747" s="19"/>
      <c r="D1041747" s="19"/>
      <c r="E1041747" s="19"/>
      <c r="F1041747" s="19"/>
      <c r="G1041747" s="19"/>
      <c r="H1041747" s="19"/>
      <c r="I1041747" s="19"/>
      <c r="J1041747" s="19"/>
      <c r="K1041747" s="19"/>
      <c r="L1041747" s="19"/>
      <c r="M1041747" s="19"/>
      <c r="N1041747" s="19"/>
    </row>
    <row r="1041748" spans="1:14" s="83" customFormat="1" ht="12.75">
      <c r="A1041748" s="19"/>
      <c r="B1041748" s="19"/>
      <c r="C1041748" s="19"/>
      <c r="D1041748" s="19"/>
      <c r="E1041748" s="19"/>
      <c r="F1041748" s="19"/>
      <c r="G1041748" s="19"/>
      <c r="H1041748" s="19"/>
      <c r="I1041748" s="19"/>
      <c r="J1041748" s="19"/>
      <c r="K1041748" s="19"/>
      <c r="L1041748" s="19"/>
      <c r="M1041748" s="19"/>
      <c r="N1041748" s="19"/>
    </row>
    <row r="1041749" spans="1:14" s="83" customFormat="1" ht="12.75">
      <c r="A1041749" s="19"/>
      <c r="B1041749" s="19"/>
      <c r="C1041749" s="19"/>
      <c r="D1041749" s="19"/>
      <c r="E1041749" s="19"/>
      <c r="F1041749" s="19"/>
      <c r="G1041749" s="19"/>
      <c r="H1041749" s="19"/>
      <c r="I1041749" s="19"/>
      <c r="J1041749" s="19"/>
      <c r="K1041749" s="19"/>
      <c r="L1041749" s="19"/>
      <c r="M1041749" s="19"/>
      <c r="N1041749" s="19"/>
    </row>
    <row r="1041750" spans="1:14" s="83" customFormat="1" ht="12.75">
      <c r="A1041750" s="19"/>
      <c r="B1041750" s="19"/>
      <c r="C1041750" s="19"/>
      <c r="D1041750" s="19"/>
      <c r="E1041750" s="19"/>
      <c r="F1041750" s="19"/>
      <c r="G1041750" s="19"/>
      <c r="H1041750" s="19"/>
      <c r="I1041750" s="19"/>
      <c r="J1041750" s="19"/>
      <c r="K1041750" s="19"/>
      <c r="L1041750" s="19"/>
      <c r="M1041750" s="19"/>
      <c r="N1041750" s="19"/>
    </row>
    <row r="1041751" spans="1:14" s="83" customFormat="1" ht="12.75">
      <c r="A1041751" s="19"/>
      <c r="B1041751" s="19"/>
      <c r="C1041751" s="19"/>
      <c r="D1041751" s="19"/>
      <c r="E1041751" s="19"/>
      <c r="F1041751" s="19"/>
      <c r="G1041751" s="19"/>
      <c r="H1041751" s="19"/>
      <c r="I1041751" s="19"/>
      <c r="J1041751" s="19"/>
      <c r="K1041751" s="19"/>
      <c r="L1041751" s="19"/>
      <c r="M1041751" s="19"/>
      <c r="N1041751" s="19"/>
    </row>
    <row r="1041752" spans="1:14" s="83" customFormat="1" ht="12.75">
      <c r="A1041752" s="19"/>
      <c r="B1041752" s="19"/>
      <c r="C1041752" s="19"/>
      <c r="D1041752" s="19"/>
      <c r="E1041752" s="19"/>
      <c r="F1041752" s="19"/>
      <c r="G1041752" s="19"/>
      <c r="H1041752" s="19"/>
      <c r="I1041752" s="19"/>
      <c r="J1041752" s="19"/>
      <c r="K1041752" s="19"/>
      <c r="L1041752" s="19"/>
      <c r="M1041752" s="19"/>
      <c r="N1041752" s="19"/>
    </row>
    <row r="1041753" spans="1:14" s="83" customFormat="1" ht="12.75">
      <c r="A1041753" s="19"/>
      <c r="B1041753" s="19"/>
      <c r="C1041753" s="19"/>
      <c r="D1041753" s="19"/>
      <c r="E1041753" s="19"/>
      <c r="F1041753" s="19"/>
      <c r="G1041753" s="19"/>
      <c r="H1041753" s="19"/>
      <c r="I1041753" s="19"/>
      <c r="J1041753" s="19"/>
      <c r="K1041753" s="19"/>
      <c r="L1041753" s="19"/>
      <c r="M1041753" s="19"/>
      <c r="N1041753" s="19"/>
    </row>
    <row r="1041754" spans="1:14" s="83" customFormat="1" ht="12.75">
      <c r="A1041754" s="19"/>
      <c r="B1041754" s="19"/>
      <c r="C1041754" s="19"/>
      <c r="D1041754" s="19"/>
      <c r="E1041754" s="19"/>
      <c r="F1041754" s="19"/>
      <c r="G1041754" s="19"/>
      <c r="H1041754" s="19"/>
      <c r="I1041754" s="19"/>
      <c r="J1041754" s="19"/>
      <c r="K1041754" s="19"/>
      <c r="L1041754" s="19"/>
      <c r="M1041754" s="19"/>
      <c r="N1041754" s="19"/>
    </row>
    <row r="1041755" spans="1:14" s="83" customFormat="1" ht="12.75">
      <c r="A1041755" s="19"/>
      <c r="B1041755" s="19"/>
      <c r="C1041755" s="19"/>
      <c r="D1041755" s="19"/>
      <c r="E1041755" s="19"/>
      <c r="F1041755" s="19"/>
      <c r="G1041755" s="19"/>
      <c r="H1041755" s="19"/>
      <c r="I1041755" s="19"/>
      <c r="J1041755" s="19"/>
      <c r="K1041755" s="19"/>
      <c r="L1041755" s="19"/>
      <c r="M1041755" s="19"/>
      <c r="N1041755" s="19"/>
    </row>
    <row r="1041756" spans="1:14" s="83" customFormat="1" ht="12.75">
      <c r="A1041756" s="19"/>
      <c r="B1041756" s="19"/>
      <c r="C1041756" s="19"/>
      <c r="D1041756" s="19"/>
      <c r="E1041756" s="19"/>
      <c r="F1041756" s="19"/>
      <c r="G1041756" s="19"/>
      <c r="H1041756" s="19"/>
      <c r="I1041756" s="19"/>
      <c r="J1041756" s="19"/>
      <c r="K1041756" s="19"/>
      <c r="L1041756" s="19"/>
      <c r="M1041756" s="19"/>
      <c r="N1041756" s="19"/>
    </row>
    <row r="1041757" spans="1:14" s="83" customFormat="1" ht="12.75">
      <c r="A1041757" s="19"/>
      <c r="B1041757" s="19"/>
      <c r="C1041757" s="19"/>
      <c r="D1041757" s="19"/>
      <c r="E1041757" s="19"/>
      <c r="F1041757" s="19"/>
      <c r="G1041757" s="19"/>
      <c r="H1041757" s="19"/>
      <c r="I1041757" s="19"/>
      <c r="J1041757" s="19"/>
      <c r="K1041757" s="19"/>
      <c r="L1041757" s="19"/>
      <c r="M1041757" s="19"/>
      <c r="N1041757" s="19"/>
    </row>
    <row r="1041758" spans="1:14" s="83" customFormat="1" ht="12.75">
      <c r="A1041758" s="19"/>
      <c r="B1041758" s="19"/>
      <c r="C1041758" s="19"/>
      <c r="D1041758" s="19"/>
      <c r="E1041758" s="19"/>
      <c r="F1041758" s="19"/>
      <c r="G1041758" s="19"/>
      <c r="H1041758" s="19"/>
      <c r="I1041758" s="19"/>
      <c r="J1041758" s="19"/>
      <c r="K1041758" s="19"/>
      <c r="L1041758" s="19"/>
      <c r="M1041758" s="19"/>
      <c r="N1041758" s="19"/>
    </row>
    <row r="1041759" spans="1:14" s="83" customFormat="1" ht="12.75">
      <c r="A1041759" s="19"/>
      <c r="B1041759" s="19"/>
      <c r="C1041759" s="19"/>
      <c r="D1041759" s="19"/>
      <c r="E1041759" s="19"/>
      <c r="F1041759" s="19"/>
      <c r="G1041759" s="19"/>
      <c r="H1041759" s="19"/>
      <c r="I1041759" s="19"/>
      <c r="J1041759" s="19"/>
      <c r="K1041759" s="19"/>
      <c r="L1041759" s="19"/>
      <c r="M1041759" s="19"/>
      <c r="N1041759" s="19"/>
    </row>
    <row r="1041760" spans="1:14" s="83" customFormat="1" ht="12.75">
      <c r="A1041760" s="19"/>
      <c r="B1041760" s="19"/>
      <c r="C1041760" s="19"/>
      <c r="D1041760" s="19"/>
      <c r="E1041760" s="19"/>
      <c r="F1041760" s="19"/>
      <c r="G1041760" s="19"/>
      <c r="H1041760" s="19"/>
      <c r="I1041760" s="19"/>
      <c r="J1041760" s="19"/>
      <c r="K1041760" s="19"/>
      <c r="L1041760" s="19"/>
      <c r="M1041760" s="19"/>
      <c r="N1041760" s="19"/>
    </row>
    <row r="1041761" spans="1:14" s="83" customFormat="1" ht="12.75">
      <c r="A1041761" s="19"/>
      <c r="B1041761" s="19"/>
      <c r="C1041761" s="19"/>
      <c r="D1041761" s="19"/>
      <c r="E1041761" s="19"/>
      <c r="F1041761" s="19"/>
      <c r="G1041761" s="19"/>
      <c r="H1041761" s="19"/>
      <c r="I1041761" s="19"/>
      <c r="J1041761" s="19"/>
      <c r="K1041761" s="19"/>
      <c r="L1041761" s="19"/>
      <c r="M1041761" s="19"/>
      <c r="N1041761" s="19"/>
    </row>
    <row r="1041762" spans="1:14" s="83" customFormat="1" ht="12.75">
      <c r="A1041762" s="19"/>
      <c r="B1041762" s="19"/>
      <c r="C1041762" s="19"/>
      <c r="D1041762" s="19"/>
      <c r="E1041762" s="19"/>
      <c r="F1041762" s="19"/>
      <c r="G1041762" s="19"/>
      <c r="H1041762" s="19"/>
      <c r="I1041762" s="19"/>
      <c r="J1041762" s="19"/>
      <c r="K1041762" s="19"/>
      <c r="L1041762" s="19"/>
      <c r="M1041762" s="19"/>
      <c r="N1041762" s="19"/>
    </row>
    <row r="1041763" spans="1:14" s="83" customFormat="1" ht="12.75">
      <c r="A1041763" s="19"/>
      <c r="B1041763" s="19"/>
      <c r="C1041763" s="19"/>
      <c r="D1041763" s="19"/>
      <c r="E1041763" s="19"/>
      <c r="F1041763" s="19"/>
      <c r="G1041763" s="19"/>
      <c r="H1041763" s="19"/>
      <c r="I1041763" s="19"/>
      <c r="J1041763" s="19"/>
      <c r="K1041763" s="19"/>
      <c r="L1041763" s="19"/>
      <c r="M1041763" s="19"/>
      <c r="N1041763" s="19"/>
    </row>
    <row r="1041764" spans="1:14" s="83" customFormat="1" ht="12.75">
      <c r="A1041764" s="19"/>
      <c r="B1041764" s="19"/>
      <c r="C1041764" s="19"/>
      <c r="D1041764" s="19"/>
      <c r="E1041764" s="19"/>
      <c r="F1041764" s="19"/>
      <c r="G1041764" s="19"/>
      <c r="H1041764" s="19"/>
      <c r="I1041764" s="19"/>
      <c r="J1041764" s="19"/>
      <c r="K1041764" s="19"/>
      <c r="L1041764" s="19"/>
      <c r="M1041764" s="19"/>
      <c r="N1041764" s="19"/>
    </row>
    <row r="1041765" spans="1:14" s="83" customFormat="1" ht="12.75">
      <c r="A1041765" s="19"/>
      <c r="B1041765" s="19"/>
      <c r="C1041765" s="19"/>
      <c r="D1041765" s="19"/>
      <c r="E1041765" s="19"/>
      <c r="F1041765" s="19"/>
      <c r="G1041765" s="19"/>
      <c r="H1041765" s="19"/>
      <c r="I1041765" s="19"/>
      <c r="J1041765" s="19"/>
      <c r="K1041765" s="19"/>
      <c r="L1041765" s="19"/>
      <c r="M1041765" s="19"/>
      <c r="N1041765" s="19"/>
    </row>
    <row r="1041766" spans="1:14" s="83" customFormat="1" ht="12.75">
      <c r="A1041766" s="19"/>
      <c r="B1041766" s="19"/>
      <c r="C1041766" s="19"/>
      <c r="D1041766" s="19"/>
      <c r="E1041766" s="19"/>
      <c r="F1041766" s="19"/>
      <c r="G1041766" s="19"/>
      <c r="H1041766" s="19"/>
      <c r="I1041766" s="19"/>
      <c r="J1041766" s="19"/>
      <c r="K1041766" s="19"/>
      <c r="L1041766" s="19"/>
      <c r="M1041766" s="19"/>
      <c r="N1041766" s="19"/>
    </row>
    <row r="1041767" spans="1:14" s="83" customFormat="1" ht="12.75">
      <c r="A1041767" s="19"/>
      <c r="B1041767" s="19"/>
      <c r="C1041767" s="19"/>
      <c r="D1041767" s="19"/>
      <c r="E1041767" s="19"/>
      <c r="F1041767" s="19"/>
      <c r="G1041767" s="19"/>
      <c r="H1041767" s="19"/>
      <c r="I1041767" s="19"/>
      <c r="J1041767" s="19"/>
      <c r="K1041767" s="19"/>
      <c r="L1041767" s="19"/>
      <c r="M1041767" s="19"/>
      <c r="N1041767" s="19"/>
    </row>
    <row r="1041768" spans="1:14" s="83" customFormat="1" ht="12.75">
      <c r="A1041768" s="19"/>
      <c r="B1041768" s="19"/>
      <c r="C1041768" s="19"/>
      <c r="D1041768" s="19"/>
      <c r="E1041768" s="19"/>
      <c r="F1041768" s="19"/>
      <c r="G1041768" s="19"/>
      <c r="H1041768" s="19"/>
      <c r="I1041768" s="19"/>
      <c r="J1041768" s="19"/>
      <c r="K1041768" s="19"/>
      <c r="L1041768" s="19"/>
      <c r="M1041768" s="19"/>
      <c r="N1041768" s="19"/>
    </row>
    <row r="1041769" spans="1:14" s="83" customFormat="1" ht="12.75">
      <c r="A1041769" s="19"/>
      <c r="B1041769" s="19"/>
      <c r="C1041769" s="19"/>
      <c r="D1041769" s="19"/>
      <c r="E1041769" s="19"/>
      <c r="F1041769" s="19"/>
      <c r="G1041769" s="19"/>
      <c r="H1041769" s="19"/>
      <c r="I1041769" s="19"/>
      <c r="J1041769" s="19"/>
      <c r="K1041769" s="19"/>
      <c r="L1041769" s="19"/>
      <c r="M1041769" s="19"/>
      <c r="N1041769" s="19"/>
    </row>
    <row r="1041770" spans="1:14" s="83" customFormat="1" ht="12.75">
      <c r="A1041770" s="19"/>
      <c r="B1041770" s="19"/>
      <c r="C1041770" s="19"/>
      <c r="D1041770" s="19"/>
      <c r="E1041770" s="19"/>
      <c r="F1041770" s="19"/>
      <c r="G1041770" s="19"/>
      <c r="H1041770" s="19"/>
      <c r="I1041770" s="19"/>
      <c r="J1041770" s="19"/>
      <c r="K1041770" s="19"/>
      <c r="L1041770" s="19"/>
      <c r="M1041770" s="19"/>
      <c r="N1041770" s="19"/>
    </row>
    <row r="1041771" spans="1:14" s="83" customFormat="1" ht="12.75">
      <c r="A1041771" s="19"/>
      <c r="B1041771" s="19"/>
      <c r="C1041771" s="19"/>
      <c r="D1041771" s="19"/>
      <c r="E1041771" s="19"/>
      <c r="F1041771" s="19"/>
      <c r="G1041771" s="19"/>
      <c r="H1041771" s="19"/>
      <c r="I1041771" s="19"/>
      <c r="J1041771" s="19"/>
      <c r="K1041771" s="19"/>
      <c r="L1041771" s="19"/>
      <c r="M1041771" s="19"/>
      <c r="N1041771" s="19"/>
    </row>
    <row r="1041772" spans="1:14" s="83" customFormat="1" ht="12.75">
      <c r="A1041772" s="19"/>
      <c r="B1041772" s="19"/>
      <c r="C1041772" s="19"/>
      <c r="D1041772" s="19"/>
      <c r="E1041772" s="19"/>
      <c r="F1041772" s="19"/>
      <c r="G1041772" s="19"/>
      <c r="H1041772" s="19"/>
      <c r="I1041772" s="19"/>
      <c r="J1041772" s="19"/>
      <c r="K1041772" s="19"/>
      <c r="L1041772" s="19"/>
      <c r="M1041772" s="19"/>
      <c r="N1041772" s="19"/>
    </row>
    <row r="1041773" spans="1:14" s="83" customFormat="1" ht="12.75">
      <c r="A1041773" s="19"/>
      <c r="B1041773" s="19"/>
      <c r="C1041773" s="19"/>
      <c r="D1041773" s="19"/>
      <c r="E1041773" s="19"/>
      <c r="F1041773" s="19"/>
      <c r="G1041773" s="19"/>
      <c r="H1041773" s="19"/>
      <c r="I1041773" s="19"/>
      <c r="J1041773" s="19"/>
      <c r="K1041773" s="19"/>
      <c r="L1041773" s="19"/>
      <c r="M1041773" s="19"/>
      <c r="N1041773" s="19"/>
    </row>
    <row r="1041774" spans="1:14" s="83" customFormat="1" ht="12.75">
      <c r="A1041774" s="19"/>
      <c r="B1041774" s="19"/>
      <c r="C1041774" s="19"/>
      <c r="D1041774" s="19"/>
      <c r="E1041774" s="19"/>
      <c r="F1041774" s="19"/>
      <c r="G1041774" s="19"/>
      <c r="H1041774" s="19"/>
      <c r="I1041774" s="19"/>
      <c r="J1041774" s="19"/>
      <c r="K1041774" s="19"/>
      <c r="L1041774" s="19"/>
      <c r="M1041774" s="19"/>
      <c r="N1041774" s="19"/>
    </row>
    <row r="1041775" spans="1:14" s="83" customFormat="1" ht="12.75">
      <c r="A1041775" s="19"/>
      <c r="B1041775" s="19"/>
      <c r="C1041775" s="19"/>
      <c r="D1041775" s="19"/>
      <c r="E1041775" s="19"/>
      <c r="F1041775" s="19"/>
      <c r="G1041775" s="19"/>
      <c r="H1041775" s="19"/>
      <c r="I1041775" s="19"/>
      <c r="J1041775" s="19"/>
      <c r="K1041775" s="19"/>
      <c r="L1041775" s="19"/>
      <c r="M1041775" s="19"/>
      <c r="N1041775" s="19"/>
    </row>
    <row r="1041776" spans="1:14" s="83" customFormat="1" ht="12.75">
      <c r="A1041776" s="19"/>
      <c r="B1041776" s="19"/>
      <c r="C1041776" s="19"/>
      <c r="D1041776" s="19"/>
      <c r="E1041776" s="19"/>
      <c r="F1041776" s="19"/>
      <c r="G1041776" s="19"/>
      <c r="H1041776" s="19"/>
      <c r="I1041776" s="19"/>
      <c r="J1041776" s="19"/>
      <c r="K1041776" s="19"/>
      <c r="L1041776" s="19"/>
      <c r="M1041776" s="19"/>
      <c r="N1041776" s="19"/>
    </row>
    <row r="1041777" spans="1:14" s="83" customFormat="1" ht="12.75">
      <c r="A1041777" s="19"/>
      <c r="B1041777" s="19"/>
      <c r="C1041777" s="19"/>
      <c r="D1041777" s="19"/>
      <c r="E1041777" s="19"/>
      <c r="F1041777" s="19"/>
      <c r="G1041777" s="19"/>
      <c r="H1041777" s="19"/>
      <c r="I1041777" s="19"/>
      <c r="J1041777" s="19"/>
      <c r="K1041777" s="19"/>
      <c r="L1041777" s="19"/>
      <c r="M1041777" s="19"/>
      <c r="N1041777" s="19"/>
    </row>
    <row r="1041778" spans="1:14" s="83" customFormat="1" ht="12.75">
      <c r="A1041778" s="19"/>
      <c r="B1041778" s="19"/>
      <c r="C1041778" s="19"/>
      <c r="D1041778" s="19"/>
      <c r="E1041778" s="19"/>
      <c r="F1041778" s="19"/>
      <c r="G1041778" s="19"/>
      <c r="H1041778" s="19"/>
      <c r="I1041778" s="19"/>
      <c r="J1041778" s="19"/>
      <c r="K1041778" s="19"/>
      <c r="L1041778" s="19"/>
      <c r="M1041778" s="19"/>
      <c r="N1041778" s="19"/>
    </row>
    <row r="1041779" spans="1:14" s="83" customFormat="1" ht="12.75">
      <c r="A1041779" s="19"/>
      <c r="B1041779" s="19"/>
      <c r="C1041779" s="19"/>
      <c r="D1041779" s="19"/>
      <c r="E1041779" s="19"/>
      <c r="F1041779" s="19"/>
      <c r="G1041779" s="19"/>
      <c r="H1041779" s="19"/>
      <c r="I1041779" s="19"/>
      <c r="J1041779" s="19"/>
      <c r="K1041779" s="19"/>
      <c r="L1041779" s="19"/>
      <c r="M1041779" s="19"/>
      <c r="N1041779" s="19"/>
    </row>
    <row r="1041780" spans="1:14" s="83" customFormat="1" ht="12.75">
      <c r="A1041780" s="19"/>
      <c r="B1041780" s="19"/>
      <c r="C1041780" s="19"/>
      <c r="D1041780" s="19"/>
      <c r="E1041780" s="19"/>
      <c r="F1041780" s="19"/>
      <c r="G1041780" s="19"/>
      <c r="H1041780" s="19"/>
      <c r="I1041780" s="19"/>
      <c r="J1041780" s="19"/>
      <c r="K1041780" s="19"/>
      <c r="L1041780" s="19"/>
      <c r="M1041780" s="19"/>
      <c r="N1041780" s="19"/>
    </row>
    <row r="1041781" spans="1:14" s="83" customFormat="1" ht="12.75">
      <c r="A1041781" s="19"/>
      <c r="B1041781" s="19"/>
      <c r="C1041781" s="19"/>
      <c r="D1041781" s="19"/>
      <c r="E1041781" s="19"/>
      <c r="F1041781" s="19"/>
      <c r="G1041781" s="19"/>
      <c r="H1041781" s="19"/>
      <c r="I1041781" s="19"/>
      <c r="J1041781" s="19"/>
      <c r="K1041781" s="19"/>
      <c r="L1041781" s="19"/>
      <c r="M1041781" s="19"/>
      <c r="N1041781" s="19"/>
    </row>
    <row r="1041782" spans="1:14" s="83" customFormat="1" ht="12.75">
      <c r="A1041782" s="19"/>
      <c r="B1041782" s="19"/>
      <c r="C1041782" s="19"/>
      <c r="D1041782" s="19"/>
      <c r="E1041782" s="19"/>
      <c r="F1041782" s="19"/>
      <c r="G1041782" s="19"/>
      <c r="H1041782" s="19"/>
      <c r="I1041782" s="19"/>
      <c r="J1041782" s="19"/>
      <c r="K1041782" s="19"/>
      <c r="L1041782" s="19"/>
      <c r="M1041782" s="19"/>
      <c r="N1041782" s="19"/>
    </row>
    <row r="1041783" spans="1:14" s="83" customFormat="1" ht="12.75">
      <c r="A1041783" s="19"/>
      <c r="B1041783" s="19"/>
      <c r="C1041783" s="19"/>
      <c r="D1041783" s="19"/>
      <c r="E1041783" s="19"/>
      <c r="F1041783" s="19"/>
      <c r="G1041783" s="19"/>
      <c r="H1041783" s="19"/>
      <c r="I1041783" s="19"/>
      <c r="J1041783" s="19"/>
      <c r="K1041783" s="19"/>
      <c r="L1041783" s="19"/>
      <c r="M1041783" s="19"/>
      <c r="N1041783" s="19"/>
    </row>
    <row r="1041784" spans="1:14" s="83" customFormat="1" ht="12.75">
      <c r="A1041784" s="19"/>
      <c r="B1041784" s="19"/>
      <c r="C1041784" s="19"/>
      <c r="D1041784" s="19"/>
      <c r="E1041784" s="19"/>
      <c r="F1041784" s="19"/>
      <c r="G1041784" s="19"/>
      <c r="H1041784" s="19"/>
      <c r="I1041784" s="19"/>
      <c r="J1041784" s="19"/>
      <c r="K1041784" s="19"/>
      <c r="L1041784" s="19"/>
      <c r="M1041784" s="19"/>
      <c r="N1041784" s="19"/>
    </row>
    <row r="1041785" spans="1:14" s="83" customFormat="1" ht="12.75">
      <c r="A1041785" s="19"/>
      <c r="B1041785" s="19"/>
      <c r="C1041785" s="19"/>
      <c r="D1041785" s="19"/>
      <c r="E1041785" s="19"/>
      <c r="F1041785" s="19"/>
      <c r="G1041785" s="19"/>
      <c r="H1041785" s="19"/>
      <c r="I1041785" s="19"/>
      <c r="J1041785" s="19"/>
      <c r="K1041785" s="19"/>
      <c r="L1041785" s="19"/>
      <c r="M1041785" s="19"/>
      <c r="N1041785" s="19"/>
    </row>
    <row r="1041786" spans="1:14" s="83" customFormat="1" ht="12.75">
      <c r="A1041786" s="19"/>
      <c r="B1041786" s="19"/>
      <c r="C1041786" s="19"/>
      <c r="D1041786" s="19"/>
      <c r="E1041786" s="19"/>
      <c r="F1041786" s="19"/>
      <c r="G1041786" s="19"/>
      <c r="H1041786" s="19"/>
      <c r="I1041786" s="19"/>
      <c r="J1041786" s="19"/>
      <c r="K1041786" s="19"/>
      <c r="L1041786" s="19"/>
      <c r="M1041786" s="19"/>
      <c r="N1041786" s="19"/>
    </row>
    <row r="1041787" spans="1:14" s="83" customFormat="1" ht="12.75">
      <c r="A1041787" s="19"/>
      <c r="B1041787" s="19"/>
      <c r="C1041787" s="19"/>
      <c r="D1041787" s="19"/>
      <c r="E1041787" s="19"/>
      <c r="F1041787" s="19"/>
      <c r="G1041787" s="19"/>
      <c r="H1041787" s="19"/>
      <c r="I1041787" s="19"/>
      <c r="J1041787" s="19"/>
      <c r="K1041787" s="19"/>
      <c r="L1041787" s="19"/>
      <c r="M1041787" s="19"/>
      <c r="N1041787" s="19"/>
    </row>
    <row r="1041788" spans="1:14" s="83" customFormat="1" ht="12.75">
      <c r="A1041788" s="19"/>
      <c r="B1041788" s="19"/>
      <c r="C1041788" s="19"/>
      <c r="D1041788" s="19"/>
      <c r="E1041788" s="19"/>
      <c r="F1041788" s="19"/>
      <c r="G1041788" s="19"/>
      <c r="H1041788" s="19"/>
      <c r="I1041788" s="19"/>
      <c r="J1041788" s="19"/>
      <c r="K1041788" s="19"/>
      <c r="L1041788" s="19"/>
      <c r="M1041788" s="19"/>
      <c r="N1041788" s="19"/>
    </row>
    <row r="1041789" spans="1:14" s="83" customFormat="1" ht="12.75">
      <c r="A1041789" s="19"/>
      <c r="B1041789" s="19"/>
      <c r="C1041789" s="19"/>
      <c r="D1041789" s="19"/>
      <c r="E1041789" s="19"/>
      <c r="F1041789" s="19"/>
      <c r="G1041789" s="19"/>
      <c r="H1041789" s="19"/>
      <c r="I1041789" s="19"/>
      <c r="J1041789" s="19"/>
      <c r="K1041789" s="19"/>
      <c r="L1041789" s="19"/>
      <c r="M1041789" s="19"/>
      <c r="N1041789" s="19"/>
    </row>
    <row r="1041790" spans="1:14" s="83" customFormat="1" ht="12.75">
      <c r="A1041790" s="19"/>
      <c r="B1041790" s="19"/>
      <c r="C1041790" s="19"/>
      <c r="D1041790" s="19"/>
      <c r="E1041790" s="19"/>
      <c r="F1041790" s="19"/>
      <c r="G1041790" s="19"/>
      <c r="H1041790" s="19"/>
      <c r="I1041790" s="19"/>
      <c r="J1041790" s="19"/>
      <c r="K1041790" s="19"/>
      <c r="L1041790" s="19"/>
      <c r="M1041790" s="19"/>
      <c r="N1041790" s="19"/>
    </row>
    <row r="1041791" spans="1:14" s="83" customFormat="1" ht="12.75">
      <c r="A1041791" s="19"/>
      <c r="B1041791" s="19"/>
      <c r="C1041791" s="19"/>
      <c r="D1041791" s="19"/>
      <c r="E1041791" s="19"/>
      <c r="F1041791" s="19"/>
      <c r="G1041791" s="19"/>
      <c r="H1041791" s="19"/>
      <c r="I1041791" s="19"/>
      <c r="J1041791" s="19"/>
      <c r="K1041791" s="19"/>
      <c r="L1041791" s="19"/>
      <c r="M1041791" s="19"/>
      <c r="N1041791" s="19"/>
    </row>
    <row r="1041792" spans="1:14" s="83" customFormat="1" ht="12.75">
      <c r="A1041792" s="19"/>
      <c r="B1041792" s="19"/>
      <c r="C1041792" s="19"/>
      <c r="D1041792" s="19"/>
      <c r="E1041792" s="19"/>
      <c r="F1041792" s="19"/>
      <c r="G1041792" s="19"/>
      <c r="H1041792" s="19"/>
      <c r="I1041792" s="19"/>
      <c r="J1041792" s="19"/>
      <c r="K1041792" s="19"/>
      <c r="L1041792" s="19"/>
      <c r="M1041792" s="19"/>
      <c r="N1041792" s="19"/>
    </row>
    <row r="1041793" spans="1:14" s="83" customFormat="1" ht="12.75">
      <c r="A1041793" s="19"/>
      <c r="B1041793" s="19"/>
      <c r="C1041793" s="19"/>
      <c r="D1041793" s="19"/>
      <c r="E1041793" s="19"/>
      <c r="F1041793" s="19"/>
      <c r="G1041793" s="19"/>
      <c r="H1041793" s="19"/>
      <c r="I1041793" s="19"/>
      <c r="J1041793" s="19"/>
      <c r="K1041793" s="19"/>
      <c r="L1041793" s="19"/>
      <c r="M1041793" s="19"/>
      <c r="N1041793" s="19"/>
    </row>
    <row r="1041794" spans="1:14" s="83" customFormat="1" ht="12.75">
      <c r="A1041794" s="19"/>
      <c r="B1041794" s="19"/>
      <c r="C1041794" s="19"/>
      <c r="D1041794" s="19"/>
      <c r="E1041794" s="19"/>
      <c r="F1041794" s="19"/>
      <c r="G1041794" s="19"/>
      <c r="H1041794" s="19"/>
      <c r="I1041794" s="19"/>
      <c r="J1041794" s="19"/>
      <c r="K1041794" s="19"/>
      <c r="L1041794" s="19"/>
      <c r="M1041794" s="19"/>
      <c r="N1041794" s="19"/>
    </row>
    <row r="1041795" spans="1:14" s="83" customFormat="1" ht="12.75">
      <c r="A1041795" s="19"/>
      <c r="B1041795" s="19"/>
      <c r="C1041795" s="19"/>
      <c r="D1041795" s="19"/>
      <c r="E1041795" s="19"/>
      <c r="F1041795" s="19"/>
      <c r="G1041795" s="19"/>
      <c r="H1041795" s="19"/>
      <c r="I1041795" s="19"/>
      <c r="J1041795" s="19"/>
      <c r="K1041795" s="19"/>
      <c r="L1041795" s="19"/>
      <c r="M1041795" s="19"/>
      <c r="N1041795" s="19"/>
    </row>
    <row r="1041796" spans="1:14" s="83" customFormat="1" ht="12.75">
      <c r="A1041796" s="19"/>
      <c r="B1041796" s="19"/>
      <c r="C1041796" s="19"/>
      <c r="D1041796" s="19"/>
      <c r="E1041796" s="19"/>
      <c r="F1041796" s="19"/>
      <c r="G1041796" s="19"/>
      <c r="H1041796" s="19"/>
      <c r="I1041796" s="19"/>
      <c r="J1041796" s="19"/>
      <c r="K1041796" s="19"/>
      <c r="L1041796" s="19"/>
      <c r="M1041796" s="19"/>
      <c r="N1041796" s="19"/>
    </row>
    <row r="1041797" spans="1:14" s="83" customFormat="1" ht="12.75">
      <c r="A1041797" s="19"/>
      <c r="B1041797" s="19"/>
      <c r="C1041797" s="19"/>
      <c r="D1041797" s="19"/>
      <c r="E1041797" s="19"/>
      <c r="F1041797" s="19"/>
      <c r="G1041797" s="19"/>
      <c r="H1041797" s="19"/>
      <c r="I1041797" s="19"/>
      <c r="J1041797" s="19"/>
      <c r="K1041797" s="19"/>
      <c r="L1041797" s="19"/>
      <c r="M1041797" s="19"/>
      <c r="N1041797" s="19"/>
    </row>
    <row r="1041798" spans="1:14" s="83" customFormat="1" ht="12.75">
      <c r="A1041798" s="19"/>
      <c r="B1041798" s="19"/>
      <c r="C1041798" s="19"/>
      <c r="D1041798" s="19"/>
      <c r="E1041798" s="19"/>
      <c r="F1041798" s="19"/>
      <c r="G1041798" s="19"/>
      <c r="H1041798" s="19"/>
      <c r="I1041798" s="19"/>
      <c r="J1041798" s="19"/>
      <c r="K1041798" s="19"/>
      <c r="L1041798" s="19"/>
      <c r="M1041798" s="19"/>
      <c r="N1041798" s="19"/>
    </row>
    <row r="1041799" spans="1:14" s="83" customFormat="1" ht="12.75">
      <c r="A1041799" s="19"/>
      <c r="B1041799" s="19"/>
      <c r="C1041799" s="19"/>
      <c r="D1041799" s="19"/>
      <c r="E1041799" s="19"/>
      <c r="F1041799" s="19"/>
      <c r="G1041799" s="19"/>
      <c r="H1041799" s="19"/>
      <c r="I1041799" s="19"/>
      <c r="J1041799" s="19"/>
      <c r="K1041799" s="19"/>
      <c r="L1041799" s="19"/>
      <c r="M1041799" s="19"/>
      <c r="N1041799" s="19"/>
    </row>
    <row r="1041800" spans="1:14" s="83" customFormat="1" ht="12.75">
      <c r="A1041800" s="19"/>
      <c r="B1041800" s="19"/>
      <c r="C1041800" s="19"/>
      <c r="D1041800" s="19"/>
      <c r="E1041800" s="19"/>
      <c r="F1041800" s="19"/>
      <c r="G1041800" s="19"/>
      <c r="H1041800" s="19"/>
      <c r="I1041800" s="19"/>
      <c r="J1041800" s="19"/>
      <c r="K1041800" s="19"/>
      <c r="L1041800" s="19"/>
      <c r="M1041800" s="19"/>
      <c r="N1041800" s="19"/>
    </row>
    <row r="1041801" spans="1:14" s="83" customFormat="1" ht="12.75">
      <c r="A1041801" s="19"/>
      <c r="B1041801" s="19"/>
      <c r="C1041801" s="19"/>
      <c r="D1041801" s="19"/>
      <c r="E1041801" s="19"/>
      <c r="F1041801" s="19"/>
      <c r="G1041801" s="19"/>
      <c r="H1041801" s="19"/>
      <c r="I1041801" s="19"/>
      <c r="J1041801" s="19"/>
      <c r="K1041801" s="19"/>
      <c r="L1041801" s="19"/>
      <c r="M1041801" s="19"/>
      <c r="N1041801" s="19"/>
    </row>
    <row r="1041802" spans="1:14" s="83" customFormat="1" ht="12.75">
      <c r="A1041802" s="19"/>
      <c r="B1041802" s="19"/>
      <c r="C1041802" s="19"/>
      <c r="D1041802" s="19"/>
      <c r="E1041802" s="19"/>
      <c r="F1041802" s="19"/>
      <c r="G1041802" s="19"/>
      <c r="H1041802" s="19"/>
      <c r="I1041802" s="19"/>
      <c r="J1041802" s="19"/>
      <c r="K1041802" s="19"/>
      <c r="L1041802" s="19"/>
      <c r="M1041802" s="19"/>
      <c r="N1041802" s="19"/>
    </row>
    <row r="1041803" spans="1:14" s="83" customFormat="1" ht="12.75">
      <c r="A1041803" s="19"/>
      <c r="B1041803" s="19"/>
      <c r="C1041803" s="19"/>
      <c r="D1041803" s="19"/>
      <c r="E1041803" s="19"/>
      <c r="F1041803" s="19"/>
      <c r="G1041803" s="19"/>
      <c r="H1041803" s="19"/>
      <c r="I1041803" s="19"/>
      <c r="J1041803" s="19"/>
      <c r="K1041803" s="19"/>
      <c r="L1041803" s="19"/>
      <c r="M1041803" s="19"/>
      <c r="N1041803" s="19"/>
    </row>
    <row r="1041804" spans="1:14" s="83" customFormat="1" ht="12.75">
      <c r="A1041804" s="19"/>
      <c r="B1041804" s="19"/>
      <c r="C1041804" s="19"/>
      <c r="D1041804" s="19"/>
      <c r="E1041804" s="19"/>
      <c r="F1041804" s="19"/>
      <c r="G1041804" s="19"/>
      <c r="H1041804" s="19"/>
      <c r="I1041804" s="19"/>
      <c r="J1041804" s="19"/>
      <c r="K1041804" s="19"/>
      <c r="L1041804" s="19"/>
      <c r="M1041804" s="19"/>
      <c r="N1041804" s="19"/>
    </row>
    <row r="1041805" spans="1:14" s="83" customFormat="1" ht="12.75">
      <c r="A1041805" s="19"/>
      <c r="B1041805" s="19"/>
      <c r="C1041805" s="19"/>
      <c r="D1041805" s="19"/>
      <c r="E1041805" s="19"/>
      <c r="F1041805" s="19"/>
      <c r="G1041805" s="19"/>
      <c r="H1041805" s="19"/>
      <c r="I1041805" s="19"/>
      <c r="J1041805" s="19"/>
      <c r="K1041805" s="19"/>
      <c r="L1041805" s="19"/>
      <c r="M1041805" s="19"/>
      <c r="N1041805" s="19"/>
    </row>
    <row r="1041806" spans="1:14" s="83" customFormat="1" ht="12.75">
      <c r="A1041806" s="19"/>
      <c r="B1041806" s="19"/>
      <c r="C1041806" s="19"/>
      <c r="D1041806" s="19"/>
      <c r="E1041806" s="19"/>
      <c r="F1041806" s="19"/>
      <c r="G1041806" s="19"/>
      <c r="H1041806" s="19"/>
      <c r="I1041806" s="19"/>
      <c r="J1041806" s="19"/>
      <c r="K1041806" s="19"/>
      <c r="L1041806" s="19"/>
      <c r="M1041806" s="19"/>
      <c r="N1041806" s="19"/>
    </row>
    <row r="1041807" spans="1:14" s="83" customFormat="1" ht="12.75">
      <c r="A1041807" s="19"/>
      <c r="B1041807" s="19"/>
      <c r="C1041807" s="19"/>
      <c r="D1041807" s="19"/>
      <c r="E1041807" s="19"/>
      <c r="F1041807" s="19"/>
      <c r="G1041807" s="19"/>
      <c r="H1041807" s="19"/>
      <c r="I1041807" s="19"/>
      <c r="J1041807" s="19"/>
      <c r="K1041807" s="19"/>
      <c r="L1041807" s="19"/>
      <c r="M1041807" s="19"/>
      <c r="N1041807" s="19"/>
    </row>
    <row r="1041808" spans="1:14" s="83" customFormat="1" ht="12.75">
      <c r="A1041808" s="19"/>
      <c r="B1041808" s="19"/>
      <c r="C1041808" s="19"/>
      <c r="D1041808" s="19"/>
      <c r="E1041808" s="19"/>
      <c r="F1041808" s="19"/>
      <c r="G1041808" s="19"/>
      <c r="H1041808" s="19"/>
      <c r="I1041808" s="19"/>
      <c r="J1041808" s="19"/>
      <c r="K1041808" s="19"/>
      <c r="L1041808" s="19"/>
      <c r="M1041808" s="19"/>
      <c r="N1041808" s="19"/>
    </row>
    <row r="1041809" spans="1:14" s="83" customFormat="1" ht="12.75">
      <c r="A1041809" s="19"/>
      <c r="B1041809" s="19"/>
      <c r="C1041809" s="19"/>
      <c r="D1041809" s="19"/>
      <c r="E1041809" s="19"/>
      <c r="F1041809" s="19"/>
      <c r="G1041809" s="19"/>
      <c r="H1041809" s="19"/>
      <c r="I1041809" s="19"/>
      <c r="J1041809" s="19"/>
      <c r="K1041809" s="19"/>
      <c r="L1041809" s="19"/>
      <c r="M1041809" s="19"/>
      <c r="N1041809" s="19"/>
    </row>
    <row r="1041810" spans="1:14" s="83" customFormat="1" ht="12.75">
      <c r="A1041810" s="19"/>
      <c r="B1041810" s="19"/>
      <c r="C1041810" s="19"/>
      <c r="D1041810" s="19"/>
      <c r="E1041810" s="19"/>
      <c r="F1041810" s="19"/>
      <c r="G1041810" s="19"/>
      <c r="H1041810" s="19"/>
      <c r="I1041810" s="19"/>
      <c r="J1041810" s="19"/>
      <c r="K1041810" s="19"/>
      <c r="L1041810" s="19"/>
      <c r="M1041810" s="19"/>
      <c r="N1041810" s="19"/>
    </row>
    <row r="1041811" spans="1:14" s="83" customFormat="1" ht="12.75">
      <c r="A1041811" s="19"/>
      <c r="B1041811" s="19"/>
      <c r="C1041811" s="19"/>
      <c r="D1041811" s="19"/>
      <c r="E1041811" s="19"/>
      <c r="F1041811" s="19"/>
      <c r="G1041811" s="19"/>
      <c r="H1041811" s="19"/>
      <c r="I1041811" s="19"/>
      <c r="J1041811" s="19"/>
      <c r="K1041811" s="19"/>
      <c r="L1041811" s="19"/>
      <c r="M1041811" s="19"/>
      <c r="N1041811" s="19"/>
    </row>
    <row r="1041812" spans="1:14" s="83" customFormat="1" ht="12.75">
      <c r="A1041812" s="19"/>
      <c r="B1041812" s="19"/>
      <c r="C1041812" s="19"/>
      <c r="D1041812" s="19"/>
      <c r="E1041812" s="19"/>
      <c r="F1041812" s="19"/>
      <c r="G1041812" s="19"/>
      <c r="H1041812" s="19"/>
      <c r="I1041812" s="19"/>
      <c r="J1041812" s="19"/>
      <c r="K1041812" s="19"/>
      <c r="L1041812" s="19"/>
      <c r="M1041812" s="19"/>
      <c r="N1041812" s="19"/>
    </row>
    <row r="1041813" spans="1:14" s="83" customFormat="1" ht="12.75">
      <c r="A1041813" s="19"/>
      <c r="B1041813" s="19"/>
      <c r="C1041813" s="19"/>
      <c r="D1041813" s="19"/>
      <c r="E1041813" s="19"/>
      <c r="F1041813" s="19"/>
      <c r="G1041813" s="19"/>
      <c r="H1041813" s="19"/>
      <c r="I1041813" s="19"/>
      <c r="J1041813" s="19"/>
      <c r="K1041813" s="19"/>
      <c r="L1041813" s="19"/>
      <c r="M1041813" s="19"/>
      <c r="N1041813" s="19"/>
    </row>
    <row r="1041814" spans="1:14" s="83" customFormat="1" ht="12.75">
      <c r="A1041814" s="19"/>
      <c r="B1041814" s="19"/>
      <c r="C1041814" s="19"/>
      <c r="D1041814" s="19"/>
      <c r="E1041814" s="19"/>
      <c r="F1041814" s="19"/>
      <c r="G1041814" s="19"/>
      <c r="H1041814" s="19"/>
      <c r="I1041814" s="19"/>
      <c r="J1041814" s="19"/>
      <c r="K1041814" s="19"/>
      <c r="L1041814" s="19"/>
      <c r="M1041814" s="19"/>
      <c r="N1041814" s="19"/>
    </row>
    <row r="1041815" spans="1:14" s="83" customFormat="1" ht="12.75">
      <c r="A1041815" s="19"/>
      <c r="B1041815" s="19"/>
      <c r="C1041815" s="19"/>
      <c r="D1041815" s="19"/>
      <c r="E1041815" s="19"/>
      <c r="F1041815" s="19"/>
      <c r="G1041815" s="19"/>
      <c r="H1041815" s="19"/>
      <c r="I1041815" s="19"/>
      <c r="J1041815" s="19"/>
      <c r="K1041815" s="19"/>
      <c r="L1041815" s="19"/>
      <c r="M1041815" s="19"/>
      <c r="N1041815" s="19"/>
    </row>
    <row r="1041816" spans="1:14" s="83" customFormat="1" ht="12.75">
      <c r="A1041816" s="19"/>
      <c r="B1041816" s="19"/>
      <c r="C1041816" s="19"/>
      <c r="D1041816" s="19"/>
      <c r="E1041816" s="19"/>
      <c r="F1041816" s="19"/>
      <c r="G1041816" s="19"/>
      <c r="H1041816" s="19"/>
      <c r="I1041816" s="19"/>
      <c r="J1041816" s="19"/>
      <c r="K1041816" s="19"/>
      <c r="L1041816" s="19"/>
      <c r="M1041816" s="19"/>
      <c r="N1041816" s="19"/>
    </row>
    <row r="1041817" spans="1:14" s="83" customFormat="1" ht="12.75">
      <c r="A1041817" s="19"/>
      <c r="B1041817" s="19"/>
      <c r="C1041817" s="19"/>
      <c r="D1041817" s="19"/>
      <c r="E1041817" s="19"/>
      <c r="F1041817" s="19"/>
      <c r="G1041817" s="19"/>
      <c r="H1041817" s="19"/>
      <c r="I1041817" s="19"/>
      <c r="J1041817" s="19"/>
      <c r="K1041817" s="19"/>
      <c r="L1041817" s="19"/>
      <c r="M1041817" s="19"/>
      <c r="N1041817" s="19"/>
    </row>
    <row r="1041818" spans="1:14" s="83" customFormat="1" ht="12.75">
      <c r="A1041818" s="19"/>
      <c r="B1041818" s="19"/>
      <c r="C1041818" s="19"/>
      <c r="D1041818" s="19"/>
      <c r="E1041818" s="19"/>
      <c r="F1041818" s="19"/>
      <c r="G1041818" s="19"/>
      <c r="H1041818" s="19"/>
      <c r="I1041818" s="19"/>
      <c r="J1041818" s="19"/>
      <c r="K1041818" s="19"/>
      <c r="L1041818" s="19"/>
      <c r="M1041818" s="19"/>
      <c r="N1041818" s="19"/>
    </row>
    <row r="1041819" spans="1:14" s="83" customFormat="1" ht="12.75">
      <c r="A1041819" s="19"/>
      <c r="B1041819" s="19"/>
      <c r="C1041819" s="19"/>
      <c r="D1041819" s="19"/>
      <c r="E1041819" s="19"/>
      <c r="F1041819" s="19"/>
      <c r="G1041819" s="19"/>
      <c r="H1041819" s="19"/>
      <c r="I1041819" s="19"/>
      <c r="J1041819" s="19"/>
      <c r="K1041819" s="19"/>
      <c r="L1041819" s="19"/>
      <c r="M1041819" s="19"/>
      <c r="N1041819" s="19"/>
    </row>
    <row r="1041820" spans="1:14" s="83" customFormat="1" ht="12.75">
      <c r="A1041820" s="19"/>
      <c r="B1041820" s="19"/>
      <c r="C1041820" s="19"/>
      <c r="D1041820" s="19"/>
      <c r="E1041820" s="19"/>
      <c r="F1041820" s="19"/>
      <c r="G1041820" s="19"/>
      <c r="H1041820" s="19"/>
      <c r="I1041820" s="19"/>
      <c r="J1041820" s="19"/>
      <c r="K1041820" s="19"/>
      <c r="L1041820" s="19"/>
      <c r="M1041820" s="19"/>
      <c r="N1041820" s="19"/>
    </row>
    <row r="1041821" spans="1:14" s="83" customFormat="1" ht="12.75">
      <c r="A1041821" s="19"/>
      <c r="B1041821" s="19"/>
      <c r="C1041821" s="19"/>
      <c r="D1041821" s="19"/>
      <c r="E1041821" s="19"/>
      <c r="F1041821" s="19"/>
      <c r="G1041821" s="19"/>
      <c r="H1041821" s="19"/>
      <c r="I1041821" s="19"/>
      <c r="J1041821" s="19"/>
      <c r="K1041821" s="19"/>
      <c r="L1041821" s="19"/>
      <c r="M1041821" s="19"/>
      <c r="N1041821" s="19"/>
    </row>
    <row r="1041822" spans="1:14" s="83" customFormat="1" ht="12.75">
      <c r="A1041822" s="19"/>
      <c r="B1041822" s="19"/>
      <c r="C1041822" s="19"/>
      <c r="D1041822" s="19"/>
      <c r="E1041822" s="19"/>
      <c r="F1041822" s="19"/>
      <c r="G1041822" s="19"/>
      <c r="H1041822" s="19"/>
      <c r="I1041822" s="19"/>
      <c r="J1041822" s="19"/>
      <c r="K1041822" s="19"/>
      <c r="L1041822" s="19"/>
      <c r="M1041822" s="19"/>
      <c r="N1041822" s="19"/>
    </row>
    <row r="1041823" spans="1:14" s="83" customFormat="1" ht="12.75">
      <c r="A1041823" s="19"/>
      <c r="B1041823" s="19"/>
      <c r="C1041823" s="19"/>
      <c r="D1041823" s="19"/>
      <c r="E1041823" s="19"/>
      <c r="F1041823" s="19"/>
      <c r="G1041823" s="19"/>
      <c r="H1041823" s="19"/>
      <c r="I1041823" s="19"/>
      <c r="J1041823" s="19"/>
      <c r="K1041823" s="19"/>
      <c r="L1041823" s="19"/>
      <c r="M1041823" s="19"/>
      <c r="N1041823" s="19"/>
    </row>
    <row r="1041824" spans="1:14" s="83" customFormat="1" ht="12.75">
      <c r="A1041824" s="19"/>
      <c r="B1041824" s="19"/>
      <c r="C1041824" s="19"/>
      <c r="D1041824" s="19"/>
      <c r="E1041824" s="19"/>
      <c r="F1041824" s="19"/>
      <c r="G1041824" s="19"/>
      <c r="H1041824" s="19"/>
      <c r="I1041824" s="19"/>
      <c r="J1041824" s="19"/>
      <c r="K1041824" s="19"/>
      <c r="L1041824" s="19"/>
      <c r="M1041824" s="19"/>
      <c r="N1041824" s="19"/>
    </row>
    <row r="1041825" spans="1:14" s="83" customFormat="1" ht="12.75">
      <c r="A1041825" s="19"/>
      <c r="B1041825" s="19"/>
      <c r="C1041825" s="19"/>
      <c r="D1041825" s="19"/>
      <c r="E1041825" s="19"/>
      <c r="F1041825" s="19"/>
      <c r="G1041825" s="19"/>
      <c r="H1041825" s="19"/>
      <c r="I1041825" s="19"/>
      <c r="J1041825" s="19"/>
      <c r="K1041825" s="19"/>
      <c r="L1041825" s="19"/>
      <c r="M1041825" s="19"/>
      <c r="N1041825" s="19"/>
    </row>
    <row r="1041826" spans="1:14" s="83" customFormat="1" ht="12.75">
      <c r="A1041826" s="19"/>
      <c r="B1041826" s="19"/>
      <c r="C1041826" s="19"/>
      <c r="D1041826" s="19"/>
      <c r="E1041826" s="19"/>
      <c r="F1041826" s="19"/>
      <c r="G1041826" s="19"/>
      <c r="H1041826" s="19"/>
      <c r="I1041826" s="19"/>
      <c r="J1041826" s="19"/>
      <c r="K1041826" s="19"/>
      <c r="L1041826" s="19"/>
      <c r="M1041826" s="19"/>
      <c r="N1041826" s="19"/>
    </row>
    <row r="1041827" spans="1:14" s="83" customFormat="1" ht="12.75">
      <c r="A1041827" s="19"/>
      <c r="B1041827" s="19"/>
      <c r="C1041827" s="19"/>
      <c r="D1041827" s="19"/>
      <c r="E1041827" s="19"/>
      <c r="F1041827" s="19"/>
      <c r="G1041827" s="19"/>
      <c r="H1041827" s="19"/>
      <c r="I1041827" s="19"/>
      <c r="J1041827" s="19"/>
      <c r="K1041827" s="19"/>
      <c r="L1041827" s="19"/>
      <c r="M1041827" s="19"/>
      <c r="N1041827" s="19"/>
    </row>
    <row r="1041828" spans="1:14" s="83" customFormat="1" ht="12.75">
      <c r="A1041828" s="19"/>
      <c r="B1041828" s="19"/>
      <c r="C1041828" s="19"/>
      <c r="D1041828" s="19"/>
      <c r="E1041828" s="19"/>
      <c r="F1041828" s="19"/>
      <c r="G1041828" s="19"/>
      <c r="H1041828" s="19"/>
      <c r="I1041828" s="19"/>
      <c r="J1041828" s="19"/>
      <c r="K1041828" s="19"/>
      <c r="L1041828" s="19"/>
      <c r="M1041828" s="19"/>
      <c r="N1041828" s="19"/>
    </row>
    <row r="1041829" spans="1:14" s="83" customFormat="1" ht="12.75">
      <c r="A1041829" s="19"/>
      <c r="B1041829" s="19"/>
      <c r="C1041829" s="19"/>
      <c r="D1041829" s="19"/>
      <c r="E1041829" s="19"/>
      <c r="F1041829" s="19"/>
      <c r="G1041829" s="19"/>
      <c r="H1041829" s="19"/>
      <c r="I1041829" s="19"/>
      <c r="J1041829" s="19"/>
      <c r="K1041829" s="19"/>
      <c r="L1041829" s="19"/>
      <c r="M1041829" s="19"/>
      <c r="N1041829" s="19"/>
    </row>
    <row r="1041830" spans="1:14" s="83" customFormat="1" ht="12.75">
      <c r="A1041830" s="19"/>
      <c r="B1041830" s="19"/>
      <c r="C1041830" s="19"/>
      <c r="D1041830" s="19"/>
      <c r="E1041830" s="19"/>
      <c r="F1041830" s="19"/>
      <c r="G1041830" s="19"/>
      <c r="H1041830" s="19"/>
      <c r="I1041830" s="19"/>
      <c r="J1041830" s="19"/>
      <c r="K1041830" s="19"/>
      <c r="L1041830" s="19"/>
      <c r="M1041830" s="19"/>
      <c r="N1041830" s="19"/>
    </row>
    <row r="1041831" spans="1:14" s="83" customFormat="1" ht="12.75">
      <c r="A1041831" s="19"/>
      <c r="B1041831" s="19"/>
      <c r="C1041831" s="19"/>
      <c r="D1041831" s="19"/>
      <c r="E1041831" s="19"/>
      <c r="F1041831" s="19"/>
      <c r="G1041831" s="19"/>
      <c r="H1041831" s="19"/>
      <c r="I1041831" s="19"/>
      <c r="J1041831" s="19"/>
      <c r="K1041831" s="19"/>
      <c r="L1041831" s="19"/>
      <c r="M1041831" s="19"/>
      <c r="N1041831" s="19"/>
    </row>
    <row r="1041832" spans="1:14" s="83" customFormat="1" ht="12.75">
      <c r="A1041832" s="19"/>
      <c r="B1041832" s="19"/>
      <c r="C1041832" s="19"/>
      <c r="D1041832" s="19"/>
      <c r="E1041832" s="19"/>
      <c r="F1041832" s="19"/>
      <c r="G1041832" s="19"/>
      <c r="H1041832" s="19"/>
      <c r="I1041832" s="19"/>
      <c r="J1041832" s="19"/>
      <c r="K1041832" s="19"/>
      <c r="L1041832" s="19"/>
      <c r="M1041832" s="19"/>
      <c r="N1041832" s="19"/>
    </row>
    <row r="1041833" spans="1:14" s="83" customFormat="1" ht="12.75">
      <c r="A1041833" s="19"/>
      <c r="B1041833" s="19"/>
      <c r="C1041833" s="19"/>
      <c r="D1041833" s="19"/>
      <c r="E1041833" s="19"/>
      <c r="F1041833" s="19"/>
      <c r="G1041833" s="19"/>
      <c r="H1041833" s="19"/>
      <c r="I1041833" s="19"/>
      <c r="J1041833" s="19"/>
      <c r="K1041833" s="19"/>
      <c r="L1041833" s="19"/>
      <c r="M1041833" s="19"/>
      <c r="N1041833" s="19"/>
    </row>
    <row r="1041834" spans="1:14" s="83" customFormat="1" ht="12.75">
      <c r="A1041834" s="19"/>
      <c r="B1041834" s="19"/>
      <c r="C1041834" s="19"/>
      <c r="D1041834" s="19"/>
      <c r="E1041834" s="19"/>
      <c r="F1041834" s="19"/>
      <c r="G1041834" s="19"/>
      <c r="H1041834" s="19"/>
      <c r="I1041834" s="19"/>
      <c r="J1041834" s="19"/>
      <c r="K1041834" s="19"/>
      <c r="L1041834" s="19"/>
      <c r="M1041834" s="19"/>
      <c r="N1041834" s="19"/>
    </row>
    <row r="1041835" spans="1:14" s="83" customFormat="1" ht="12.75">
      <c r="A1041835" s="19"/>
      <c r="B1041835" s="19"/>
      <c r="C1041835" s="19"/>
      <c r="D1041835" s="19"/>
      <c r="E1041835" s="19"/>
      <c r="F1041835" s="19"/>
      <c r="G1041835" s="19"/>
      <c r="H1041835" s="19"/>
      <c r="I1041835" s="19"/>
      <c r="J1041835" s="19"/>
      <c r="K1041835" s="19"/>
      <c r="L1041835" s="19"/>
      <c r="M1041835" s="19"/>
      <c r="N1041835" s="19"/>
    </row>
    <row r="1041836" spans="1:14" s="83" customFormat="1" ht="12.75">
      <c r="A1041836" s="19"/>
      <c r="B1041836" s="19"/>
      <c r="C1041836" s="19"/>
      <c r="D1041836" s="19"/>
      <c r="E1041836" s="19"/>
      <c r="F1041836" s="19"/>
      <c r="G1041836" s="19"/>
      <c r="H1041836" s="19"/>
      <c r="I1041836" s="19"/>
      <c r="J1041836" s="19"/>
      <c r="K1041836" s="19"/>
      <c r="L1041836" s="19"/>
      <c r="M1041836" s="19"/>
      <c r="N1041836" s="19"/>
    </row>
    <row r="1041837" spans="1:14" s="83" customFormat="1" ht="12.75">
      <c r="A1041837" s="19"/>
      <c r="B1041837" s="19"/>
      <c r="C1041837" s="19"/>
      <c r="D1041837" s="19"/>
      <c r="E1041837" s="19"/>
      <c r="F1041837" s="19"/>
      <c r="G1041837" s="19"/>
      <c r="H1041837" s="19"/>
      <c r="I1041837" s="19"/>
      <c r="J1041837" s="19"/>
      <c r="K1041837" s="19"/>
      <c r="L1041837" s="19"/>
      <c r="M1041837" s="19"/>
      <c r="N1041837" s="19"/>
    </row>
    <row r="1041838" spans="1:14" s="83" customFormat="1" ht="12.75">
      <c r="A1041838" s="19"/>
      <c r="B1041838" s="19"/>
      <c r="C1041838" s="19"/>
      <c r="D1041838" s="19"/>
      <c r="E1041838" s="19"/>
      <c r="F1041838" s="19"/>
      <c r="G1041838" s="19"/>
      <c r="H1041838" s="19"/>
      <c r="I1041838" s="19"/>
      <c r="J1041838" s="19"/>
      <c r="K1041838" s="19"/>
      <c r="L1041838" s="19"/>
      <c r="M1041838" s="19"/>
      <c r="N1041838" s="19"/>
    </row>
    <row r="1041839" spans="1:14" s="83" customFormat="1" ht="12.75">
      <c r="A1041839" s="19"/>
      <c r="B1041839" s="19"/>
      <c r="C1041839" s="19"/>
      <c r="D1041839" s="19"/>
      <c r="E1041839" s="19"/>
      <c r="F1041839" s="19"/>
      <c r="G1041839" s="19"/>
      <c r="H1041839" s="19"/>
      <c r="I1041839" s="19"/>
      <c r="J1041839" s="19"/>
      <c r="K1041839" s="19"/>
      <c r="L1041839" s="19"/>
      <c r="M1041839" s="19"/>
      <c r="N1041839" s="19"/>
    </row>
    <row r="1041840" spans="1:14" s="83" customFormat="1" ht="12.75">
      <c r="A1041840" s="19"/>
      <c r="B1041840" s="19"/>
      <c r="C1041840" s="19"/>
      <c r="D1041840" s="19"/>
      <c r="E1041840" s="19"/>
      <c r="F1041840" s="19"/>
      <c r="G1041840" s="19"/>
      <c r="H1041840" s="19"/>
      <c r="I1041840" s="19"/>
      <c r="J1041840" s="19"/>
      <c r="K1041840" s="19"/>
      <c r="L1041840" s="19"/>
      <c r="M1041840" s="19"/>
      <c r="N1041840" s="19"/>
    </row>
    <row r="1041841" spans="1:14" s="83" customFormat="1" ht="12.75">
      <c r="A1041841" s="19"/>
      <c r="B1041841" s="19"/>
      <c r="C1041841" s="19"/>
      <c r="D1041841" s="19"/>
      <c r="E1041841" s="19"/>
      <c r="F1041841" s="19"/>
      <c r="G1041841" s="19"/>
      <c r="H1041841" s="19"/>
      <c r="I1041841" s="19"/>
      <c r="J1041841" s="19"/>
      <c r="K1041841" s="19"/>
      <c r="L1041841" s="19"/>
      <c r="M1041841" s="19"/>
      <c r="N1041841" s="19"/>
    </row>
    <row r="1041842" spans="1:14" s="83" customFormat="1" ht="12.75">
      <c r="A1041842" s="19"/>
      <c r="B1041842" s="19"/>
      <c r="C1041842" s="19"/>
      <c r="D1041842" s="19"/>
      <c r="E1041842" s="19"/>
      <c r="F1041842" s="19"/>
      <c r="G1041842" s="19"/>
      <c r="H1041842" s="19"/>
      <c r="I1041842" s="19"/>
      <c r="J1041842" s="19"/>
      <c r="K1041842" s="19"/>
      <c r="L1041842" s="19"/>
      <c r="M1041842" s="19"/>
      <c r="N1041842" s="19"/>
    </row>
    <row r="1041843" spans="1:14" s="83" customFormat="1" ht="12.75">
      <c r="A1041843" s="19"/>
      <c r="B1041843" s="19"/>
      <c r="C1041843" s="19"/>
      <c r="D1041843" s="19"/>
      <c r="E1041843" s="19"/>
      <c r="F1041843" s="19"/>
      <c r="G1041843" s="19"/>
      <c r="H1041843" s="19"/>
      <c r="I1041843" s="19"/>
      <c r="J1041843" s="19"/>
      <c r="K1041843" s="19"/>
      <c r="L1041843" s="19"/>
      <c r="M1041843" s="19"/>
      <c r="N1041843" s="19"/>
    </row>
    <row r="1041844" spans="1:14" s="83" customFormat="1" ht="12.75">
      <c r="A1041844" s="19"/>
      <c r="B1041844" s="19"/>
      <c r="C1041844" s="19"/>
      <c r="D1041844" s="19"/>
      <c r="E1041844" s="19"/>
      <c r="F1041844" s="19"/>
      <c r="G1041844" s="19"/>
      <c r="H1041844" s="19"/>
      <c r="I1041844" s="19"/>
      <c r="J1041844" s="19"/>
      <c r="K1041844" s="19"/>
      <c r="L1041844" s="19"/>
      <c r="M1041844" s="19"/>
      <c r="N1041844" s="19"/>
    </row>
    <row r="1041845" spans="1:14" s="83" customFormat="1" ht="12.75">
      <c r="A1041845" s="19"/>
      <c r="B1041845" s="19"/>
      <c r="C1041845" s="19"/>
      <c r="D1041845" s="19"/>
      <c r="E1041845" s="19"/>
      <c r="F1041845" s="19"/>
      <c r="G1041845" s="19"/>
      <c r="H1041845" s="19"/>
      <c r="I1041845" s="19"/>
      <c r="J1041845" s="19"/>
      <c r="K1041845" s="19"/>
      <c r="L1041845" s="19"/>
      <c r="M1041845" s="19"/>
      <c r="N1041845" s="19"/>
    </row>
    <row r="1041846" spans="1:14" s="83" customFormat="1" ht="12.75">
      <c r="A1041846" s="19"/>
      <c r="B1041846" s="19"/>
      <c r="C1041846" s="19"/>
      <c r="D1041846" s="19"/>
      <c r="E1041846" s="19"/>
      <c r="F1041846" s="19"/>
      <c r="G1041846" s="19"/>
      <c r="H1041846" s="19"/>
      <c r="I1041846" s="19"/>
      <c r="J1041846" s="19"/>
      <c r="K1041846" s="19"/>
      <c r="L1041846" s="19"/>
      <c r="M1041846" s="19"/>
      <c r="N1041846" s="19"/>
    </row>
    <row r="1041847" spans="1:14" s="83" customFormat="1" ht="12.75">
      <c r="A1041847" s="19"/>
      <c r="B1041847" s="19"/>
      <c r="C1041847" s="19"/>
      <c r="D1041847" s="19"/>
      <c r="E1041847" s="19"/>
      <c r="F1041847" s="19"/>
      <c r="G1041847" s="19"/>
      <c r="H1041847" s="19"/>
      <c r="I1041847" s="19"/>
      <c r="J1041847" s="19"/>
      <c r="K1041847" s="19"/>
      <c r="L1041847" s="19"/>
      <c r="M1041847" s="19"/>
      <c r="N1041847" s="19"/>
    </row>
    <row r="1041848" spans="1:14" s="83" customFormat="1" ht="12.75">
      <c r="A1041848" s="19"/>
      <c r="B1041848" s="19"/>
      <c r="C1041848" s="19"/>
      <c r="D1041848" s="19"/>
      <c r="E1041848" s="19"/>
      <c r="F1041848" s="19"/>
      <c r="G1041848" s="19"/>
      <c r="H1041848" s="19"/>
      <c r="I1041848" s="19"/>
      <c r="J1041848" s="19"/>
      <c r="K1041848" s="19"/>
      <c r="L1041848" s="19"/>
      <c r="M1041848" s="19"/>
      <c r="N1041848" s="19"/>
    </row>
    <row r="1041849" spans="1:14" s="83" customFormat="1" ht="12.75">
      <c r="A1041849" s="19"/>
      <c r="B1041849" s="19"/>
      <c r="C1041849" s="19"/>
      <c r="D1041849" s="19"/>
      <c r="E1041849" s="19"/>
      <c r="F1041849" s="19"/>
      <c r="G1041849" s="19"/>
      <c r="H1041849" s="19"/>
      <c r="I1041849" s="19"/>
      <c r="J1041849" s="19"/>
      <c r="K1041849" s="19"/>
      <c r="L1041849" s="19"/>
      <c r="M1041849" s="19"/>
      <c r="N1041849" s="19"/>
    </row>
    <row r="1041850" spans="1:14" s="83" customFormat="1" ht="12.75">
      <c r="A1041850" s="19"/>
      <c r="B1041850" s="19"/>
      <c r="C1041850" s="19"/>
      <c r="D1041850" s="19"/>
      <c r="E1041850" s="19"/>
      <c r="F1041850" s="19"/>
      <c r="G1041850" s="19"/>
      <c r="H1041850" s="19"/>
      <c r="I1041850" s="19"/>
      <c r="J1041850" s="19"/>
      <c r="K1041850" s="19"/>
      <c r="L1041850" s="19"/>
      <c r="M1041850" s="19"/>
      <c r="N1041850" s="19"/>
    </row>
    <row r="1041851" spans="1:14" s="83" customFormat="1" ht="12.75">
      <c r="A1041851" s="19"/>
      <c r="B1041851" s="19"/>
      <c r="C1041851" s="19"/>
      <c r="D1041851" s="19"/>
      <c r="E1041851" s="19"/>
      <c r="F1041851" s="19"/>
      <c r="G1041851" s="19"/>
      <c r="H1041851" s="19"/>
      <c r="I1041851" s="19"/>
      <c r="J1041851" s="19"/>
      <c r="K1041851" s="19"/>
      <c r="L1041851" s="19"/>
      <c r="M1041851" s="19"/>
      <c r="N1041851" s="19"/>
    </row>
    <row r="1041852" spans="1:14" s="83" customFormat="1" ht="12.75">
      <c r="A1041852" s="19"/>
      <c r="B1041852" s="19"/>
      <c r="C1041852" s="19"/>
      <c r="D1041852" s="19"/>
      <c r="E1041852" s="19"/>
      <c r="F1041852" s="19"/>
      <c r="G1041852" s="19"/>
      <c r="H1041852" s="19"/>
      <c r="I1041852" s="19"/>
      <c r="J1041852" s="19"/>
      <c r="K1041852" s="19"/>
      <c r="L1041852" s="19"/>
      <c r="M1041852" s="19"/>
      <c r="N1041852" s="19"/>
    </row>
    <row r="1041853" spans="1:14" s="83" customFormat="1" ht="12.75">
      <c r="A1041853" s="19"/>
      <c r="B1041853" s="19"/>
      <c r="C1041853" s="19"/>
      <c r="D1041853" s="19"/>
      <c r="E1041853" s="19"/>
      <c r="F1041853" s="19"/>
      <c r="G1041853" s="19"/>
      <c r="H1041853" s="19"/>
      <c r="I1041853" s="19"/>
      <c r="J1041853" s="19"/>
      <c r="K1041853" s="19"/>
      <c r="L1041853" s="19"/>
      <c r="M1041853" s="19"/>
      <c r="N1041853" s="19"/>
    </row>
    <row r="1041854" spans="1:14" s="83" customFormat="1" ht="12.75">
      <c r="A1041854" s="19"/>
      <c r="B1041854" s="19"/>
      <c r="C1041854" s="19"/>
      <c r="D1041854" s="19"/>
      <c r="E1041854" s="19"/>
      <c r="F1041854" s="19"/>
      <c r="G1041854" s="19"/>
      <c r="H1041854" s="19"/>
      <c r="I1041854" s="19"/>
      <c r="J1041854" s="19"/>
      <c r="K1041854" s="19"/>
      <c r="L1041854" s="19"/>
      <c r="M1041854" s="19"/>
      <c r="N1041854" s="19"/>
    </row>
    <row r="1041855" spans="1:14" s="83" customFormat="1" ht="12.75">
      <c r="A1041855" s="19"/>
      <c r="B1041855" s="19"/>
      <c r="C1041855" s="19"/>
      <c r="D1041855" s="19"/>
      <c r="E1041855" s="19"/>
      <c r="F1041855" s="19"/>
      <c r="G1041855" s="19"/>
      <c r="H1041855" s="19"/>
      <c r="I1041855" s="19"/>
      <c r="J1041855" s="19"/>
      <c r="K1041855" s="19"/>
      <c r="L1041855" s="19"/>
      <c r="M1041855" s="19"/>
      <c r="N1041855" s="19"/>
    </row>
    <row r="1041856" spans="1:14" s="83" customFormat="1" ht="12.75">
      <c r="A1041856" s="19"/>
      <c r="B1041856" s="19"/>
      <c r="C1041856" s="19"/>
      <c r="D1041856" s="19"/>
      <c r="E1041856" s="19"/>
      <c r="F1041856" s="19"/>
      <c r="G1041856" s="19"/>
      <c r="H1041856" s="19"/>
      <c r="I1041856" s="19"/>
      <c r="J1041856" s="19"/>
      <c r="K1041856" s="19"/>
      <c r="L1041856" s="19"/>
      <c r="M1041856" s="19"/>
      <c r="N1041856" s="19"/>
    </row>
    <row r="1041857" spans="1:14" s="83" customFormat="1" ht="12.75">
      <c r="A1041857" s="19"/>
      <c r="B1041857" s="19"/>
      <c r="C1041857" s="19"/>
      <c r="D1041857" s="19"/>
      <c r="E1041857" s="19"/>
      <c r="F1041857" s="19"/>
      <c r="G1041857" s="19"/>
      <c r="H1041857" s="19"/>
      <c r="I1041857" s="19"/>
      <c r="J1041857" s="19"/>
      <c r="K1041857" s="19"/>
      <c r="L1041857" s="19"/>
      <c r="M1041857" s="19"/>
      <c r="N1041857" s="19"/>
    </row>
    <row r="1041858" spans="1:14" s="83" customFormat="1" ht="12.75">
      <c r="A1041858" s="19"/>
      <c r="B1041858" s="19"/>
      <c r="C1041858" s="19"/>
      <c r="D1041858" s="19"/>
      <c r="E1041858" s="19"/>
      <c r="F1041858" s="19"/>
      <c r="G1041858" s="19"/>
      <c r="H1041858" s="19"/>
      <c r="I1041858" s="19"/>
      <c r="J1041858" s="19"/>
      <c r="K1041858" s="19"/>
      <c r="L1041858" s="19"/>
      <c r="M1041858" s="19"/>
      <c r="N1041858" s="19"/>
    </row>
    <row r="1041859" spans="1:14" s="83" customFormat="1" ht="12.75">
      <c r="A1041859" s="19"/>
      <c r="B1041859" s="19"/>
      <c r="C1041859" s="19"/>
      <c r="D1041859" s="19"/>
      <c r="E1041859" s="19"/>
      <c r="F1041859" s="19"/>
      <c r="G1041859" s="19"/>
      <c r="H1041859" s="19"/>
      <c r="I1041859" s="19"/>
      <c r="J1041859" s="19"/>
      <c r="K1041859" s="19"/>
      <c r="L1041859" s="19"/>
      <c r="M1041859" s="19"/>
      <c r="N1041859" s="19"/>
    </row>
    <row r="1041860" spans="1:14" s="83" customFormat="1" ht="12.75">
      <c r="A1041860" s="19"/>
      <c r="B1041860" s="19"/>
      <c r="C1041860" s="19"/>
      <c r="D1041860" s="19"/>
      <c r="E1041860" s="19"/>
      <c r="F1041860" s="19"/>
      <c r="G1041860" s="19"/>
      <c r="H1041860" s="19"/>
      <c r="I1041860" s="19"/>
      <c r="J1041860" s="19"/>
      <c r="K1041860" s="19"/>
      <c r="L1041860" s="19"/>
      <c r="M1041860" s="19"/>
      <c r="N1041860" s="19"/>
    </row>
    <row r="1041861" spans="1:14" s="83" customFormat="1" ht="12.75">
      <c r="A1041861" s="19"/>
      <c r="B1041861" s="19"/>
      <c r="C1041861" s="19"/>
      <c r="D1041861" s="19"/>
      <c r="E1041861" s="19"/>
      <c r="F1041861" s="19"/>
      <c r="G1041861" s="19"/>
      <c r="H1041861" s="19"/>
      <c r="I1041861" s="19"/>
      <c r="J1041861" s="19"/>
      <c r="K1041861" s="19"/>
      <c r="L1041861" s="19"/>
      <c r="M1041861" s="19"/>
      <c r="N1041861" s="19"/>
    </row>
    <row r="1041862" spans="1:14" s="83" customFormat="1" ht="12.75">
      <c r="A1041862" s="19"/>
      <c r="B1041862" s="19"/>
      <c r="C1041862" s="19"/>
      <c r="D1041862" s="19"/>
      <c r="E1041862" s="19"/>
      <c r="F1041862" s="19"/>
      <c r="G1041862" s="19"/>
      <c r="H1041862" s="19"/>
      <c r="I1041862" s="19"/>
      <c r="J1041862" s="19"/>
      <c r="K1041862" s="19"/>
      <c r="L1041862" s="19"/>
      <c r="M1041862" s="19"/>
      <c r="N1041862" s="19"/>
    </row>
    <row r="1041863" spans="1:14" s="83" customFormat="1" ht="12.75">
      <c r="A1041863" s="19"/>
      <c r="B1041863" s="19"/>
      <c r="C1041863" s="19"/>
      <c r="D1041863" s="19"/>
      <c r="E1041863" s="19"/>
      <c r="F1041863" s="19"/>
      <c r="G1041863" s="19"/>
      <c r="H1041863" s="19"/>
      <c r="I1041863" s="19"/>
      <c r="J1041863" s="19"/>
      <c r="K1041863" s="19"/>
      <c r="L1041863" s="19"/>
      <c r="M1041863" s="19"/>
      <c r="N1041863" s="19"/>
    </row>
    <row r="1041864" spans="1:14" s="83" customFormat="1" ht="12.75">
      <c r="A1041864" s="19"/>
      <c r="B1041864" s="19"/>
      <c r="C1041864" s="19"/>
      <c r="D1041864" s="19"/>
      <c r="E1041864" s="19"/>
      <c r="F1041864" s="19"/>
      <c r="G1041864" s="19"/>
      <c r="H1041864" s="19"/>
      <c r="I1041864" s="19"/>
      <c r="J1041864" s="19"/>
      <c r="K1041864" s="19"/>
      <c r="L1041864" s="19"/>
      <c r="M1041864" s="19"/>
      <c r="N1041864" s="19"/>
    </row>
    <row r="1041865" spans="1:14" s="83" customFormat="1" ht="12.75">
      <c r="A1041865" s="19"/>
      <c r="B1041865" s="19"/>
      <c r="C1041865" s="19"/>
      <c r="D1041865" s="19"/>
      <c r="E1041865" s="19"/>
      <c r="F1041865" s="19"/>
      <c r="G1041865" s="19"/>
      <c r="H1041865" s="19"/>
      <c r="I1041865" s="19"/>
      <c r="J1041865" s="19"/>
      <c r="K1041865" s="19"/>
      <c r="L1041865" s="19"/>
      <c r="M1041865" s="19"/>
      <c r="N1041865" s="19"/>
    </row>
    <row r="1041866" spans="1:14" s="83" customFormat="1" ht="12.75">
      <c r="A1041866" s="19"/>
      <c r="B1041866" s="19"/>
      <c r="C1041866" s="19"/>
      <c r="D1041866" s="19"/>
      <c r="E1041866" s="19"/>
      <c r="F1041866" s="19"/>
      <c r="G1041866" s="19"/>
      <c r="H1041866" s="19"/>
      <c r="I1041866" s="19"/>
      <c r="J1041866" s="19"/>
      <c r="K1041866" s="19"/>
      <c r="L1041866" s="19"/>
      <c r="M1041866" s="19"/>
      <c r="N1041866" s="19"/>
    </row>
    <row r="1041867" spans="1:14" s="83" customFormat="1" ht="12.75">
      <c r="A1041867" s="19"/>
      <c r="B1041867" s="19"/>
      <c r="C1041867" s="19"/>
      <c r="D1041867" s="19"/>
      <c r="E1041867" s="19"/>
      <c r="F1041867" s="19"/>
      <c r="G1041867" s="19"/>
      <c r="H1041867" s="19"/>
      <c r="I1041867" s="19"/>
      <c r="J1041867" s="19"/>
      <c r="K1041867" s="19"/>
      <c r="L1041867" s="19"/>
      <c r="M1041867" s="19"/>
      <c r="N1041867" s="19"/>
    </row>
    <row r="1041868" spans="1:14" s="83" customFormat="1" ht="12.75">
      <c r="A1041868" s="19"/>
      <c r="B1041868" s="19"/>
      <c r="C1041868" s="19"/>
      <c r="D1041868" s="19"/>
      <c r="E1041868" s="19"/>
      <c r="F1041868" s="19"/>
      <c r="G1041868" s="19"/>
      <c r="H1041868" s="19"/>
      <c r="I1041868" s="19"/>
      <c r="J1041868" s="19"/>
      <c r="K1041868" s="19"/>
      <c r="L1041868" s="19"/>
      <c r="M1041868" s="19"/>
      <c r="N1041868" s="19"/>
    </row>
    <row r="1041869" spans="1:14" s="83" customFormat="1" ht="12.75">
      <c r="A1041869" s="19"/>
      <c r="B1041869" s="19"/>
      <c r="C1041869" s="19"/>
      <c r="D1041869" s="19"/>
      <c r="E1041869" s="19"/>
      <c r="F1041869" s="19"/>
      <c r="G1041869" s="19"/>
      <c r="H1041869" s="19"/>
      <c r="I1041869" s="19"/>
      <c r="J1041869" s="19"/>
      <c r="K1041869" s="19"/>
      <c r="L1041869" s="19"/>
      <c r="M1041869" s="19"/>
      <c r="N1041869" s="19"/>
    </row>
    <row r="1041870" spans="1:14" s="83" customFormat="1" ht="12.75">
      <c r="A1041870" s="19"/>
      <c r="B1041870" s="19"/>
      <c r="C1041870" s="19"/>
      <c r="D1041870" s="19"/>
      <c r="E1041870" s="19"/>
      <c r="F1041870" s="19"/>
      <c r="G1041870" s="19"/>
      <c r="H1041870" s="19"/>
      <c r="I1041870" s="19"/>
      <c r="J1041870" s="19"/>
      <c r="K1041870" s="19"/>
      <c r="L1041870" s="19"/>
      <c r="M1041870" s="19"/>
      <c r="N1041870" s="19"/>
    </row>
    <row r="1041871" spans="1:14" s="83" customFormat="1" ht="12.75">
      <c r="A1041871" s="19"/>
      <c r="B1041871" s="19"/>
      <c r="C1041871" s="19"/>
      <c r="D1041871" s="19"/>
      <c r="E1041871" s="19"/>
      <c r="F1041871" s="19"/>
      <c r="G1041871" s="19"/>
      <c r="H1041871" s="19"/>
      <c r="I1041871" s="19"/>
      <c r="J1041871" s="19"/>
      <c r="K1041871" s="19"/>
      <c r="L1041871" s="19"/>
      <c r="M1041871" s="19"/>
      <c r="N1041871" s="19"/>
    </row>
    <row r="1041872" spans="1:14" s="83" customFormat="1" ht="12.75">
      <c r="A1041872" s="19"/>
      <c r="B1041872" s="19"/>
      <c r="C1041872" s="19"/>
      <c r="D1041872" s="19"/>
      <c r="E1041872" s="19"/>
      <c r="F1041872" s="19"/>
      <c r="G1041872" s="19"/>
      <c r="H1041872" s="19"/>
      <c r="I1041872" s="19"/>
      <c r="J1041872" s="19"/>
      <c r="K1041872" s="19"/>
      <c r="L1041872" s="19"/>
      <c r="M1041872" s="19"/>
      <c r="N1041872" s="19"/>
    </row>
    <row r="1041873" spans="1:14" s="83" customFormat="1" ht="12.75">
      <c r="A1041873" s="19"/>
      <c r="B1041873" s="19"/>
      <c r="C1041873" s="19"/>
      <c r="D1041873" s="19"/>
      <c r="E1041873" s="19"/>
      <c r="F1041873" s="19"/>
      <c r="G1041873" s="19"/>
      <c r="H1041873" s="19"/>
      <c r="I1041873" s="19"/>
      <c r="J1041873" s="19"/>
      <c r="K1041873" s="19"/>
      <c r="L1041873" s="19"/>
      <c r="M1041873" s="19"/>
      <c r="N1041873" s="19"/>
    </row>
    <row r="1041874" spans="1:14" s="83" customFormat="1" ht="12.75">
      <c r="A1041874" s="19"/>
      <c r="B1041874" s="19"/>
      <c r="C1041874" s="19"/>
      <c r="D1041874" s="19"/>
      <c r="E1041874" s="19"/>
      <c r="F1041874" s="19"/>
      <c r="G1041874" s="19"/>
      <c r="H1041874" s="19"/>
      <c r="I1041874" s="19"/>
      <c r="J1041874" s="19"/>
      <c r="K1041874" s="19"/>
      <c r="L1041874" s="19"/>
      <c r="M1041874" s="19"/>
      <c r="N1041874" s="19"/>
    </row>
    <row r="1041875" spans="1:14" s="83" customFormat="1" ht="12.75">
      <c r="A1041875" s="19"/>
      <c r="B1041875" s="19"/>
      <c r="C1041875" s="19"/>
      <c r="D1041875" s="19"/>
      <c r="E1041875" s="19"/>
      <c r="F1041875" s="19"/>
      <c r="G1041875" s="19"/>
      <c r="H1041875" s="19"/>
      <c r="I1041875" s="19"/>
      <c r="J1041875" s="19"/>
      <c r="K1041875" s="19"/>
      <c r="L1041875" s="19"/>
      <c r="M1041875" s="19"/>
      <c r="N1041875" s="19"/>
    </row>
    <row r="1041876" spans="1:14" s="83" customFormat="1" ht="12.75">
      <c r="A1041876" s="19"/>
      <c r="B1041876" s="19"/>
      <c r="C1041876" s="19"/>
      <c r="D1041876" s="19"/>
      <c r="E1041876" s="19"/>
      <c r="F1041876" s="19"/>
      <c r="G1041876" s="19"/>
      <c r="H1041876" s="19"/>
      <c r="I1041876" s="19"/>
      <c r="J1041876" s="19"/>
      <c r="K1041876" s="19"/>
      <c r="L1041876" s="19"/>
      <c r="M1041876" s="19"/>
      <c r="N1041876" s="19"/>
    </row>
    <row r="1041877" spans="1:14" s="83" customFormat="1" ht="12.75">
      <c r="A1041877" s="19"/>
      <c r="B1041877" s="19"/>
      <c r="C1041877" s="19"/>
      <c r="D1041877" s="19"/>
      <c r="E1041877" s="19"/>
      <c r="F1041877" s="19"/>
      <c r="G1041877" s="19"/>
      <c r="H1041877" s="19"/>
      <c r="I1041877" s="19"/>
      <c r="J1041877" s="19"/>
      <c r="K1041877" s="19"/>
      <c r="L1041877" s="19"/>
      <c r="M1041877" s="19"/>
      <c r="N1041877" s="19"/>
    </row>
    <row r="1041878" spans="1:14" s="83" customFormat="1" ht="12.75">
      <c r="A1041878" s="19"/>
      <c r="B1041878" s="19"/>
      <c r="C1041878" s="19"/>
      <c r="D1041878" s="19"/>
      <c r="E1041878" s="19"/>
      <c r="F1041878" s="19"/>
      <c r="G1041878" s="19"/>
      <c r="H1041878" s="19"/>
      <c r="I1041878" s="19"/>
      <c r="J1041878" s="19"/>
      <c r="K1041878" s="19"/>
      <c r="L1041878" s="19"/>
      <c r="M1041878" s="19"/>
      <c r="N1041878" s="19"/>
    </row>
    <row r="1041879" spans="1:14" s="83" customFormat="1" ht="12.75">
      <c r="A1041879" s="19"/>
      <c r="B1041879" s="19"/>
      <c r="C1041879" s="19"/>
      <c r="D1041879" s="19"/>
      <c r="E1041879" s="19"/>
      <c r="F1041879" s="19"/>
      <c r="G1041879" s="19"/>
      <c r="H1041879" s="19"/>
      <c r="I1041879" s="19"/>
      <c r="J1041879" s="19"/>
      <c r="K1041879" s="19"/>
      <c r="L1041879" s="19"/>
      <c r="M1041879" s="19"/>
      <c r="N1041879" s="19"/>
    </row>
    <row r="1041880" spans="1:14" s="83" customFormat="1" ht="12.75">
      <c r="A1041880" s="19"/>
      <c r="B1041880" s="19"/>
      <c r="C1041880" s="19"/>
      <c r="D1041880" s="19"/>
      <c r="E1041880" s="19"/>
      <c r="F1041880" s="19"/>
      <c r="G1041880" s="19"/>
      <c r="H1041880" s="19"/>
      <c r="I1041880" s="19"/>
      <c r="J1041880" s="19"/>
      <c r="K1041880" s="19"/>
      <c r="L1041880" s="19"/>
      <c r="M1041880" s="19"/>
      <c r="N1041880" s="19"/>
    </row>
    <row r="1041881" spans="1:14" s="83" customFormat="1" ht="12.75">
      <c r="A1041881" s="19"/>
      <c r="B1041881" s="19"/>
      <c r="C1041881" s="19"/>
      <c r="D1041881" s="19"/>
      <c r="E1041881" s="19"/>
      <c r="F1041881" s="19"/>
      <c r="G1041881" s="19"/>
      <c r="H1041881" s="19"/>
      <c r="I1041881" s="19"/>
      <c r="J1041881" s="19"/>
      <c r="K1041881" s="19"/>
      <c r="L1041881" s="19"/>
      <c r="M1041881" s="19"/>
      <c r="N1041881" s="19"/>
    </row>
    <row r="1041882" spans="1:14" s="83" customFormat="1" ht="12.75">
      <c r="A1041882" s="19"/>
      <c r="B1041882" s="19"/>
      <c r="C1041882" s="19"/>
      <c r="D1041882" s="19"/>
      <c r="E1041882" s="19"/>
      <c r="F1041882" s="19"/>
      <c r="G1041882" s="19"/>
      <c r="H1041882" s="19"/>
      <c r="I1041882" s="19"/>
      <c r="J1041882" s="19"/>
      <c r="K1041882" s="19"/>
      <c r="L1041882" s="19"/>
      <c r="M1041882" s="19"/>
      <c r="N1041882" s="19"/>
    </row>
    <row r="1041883" spans="1:14" s="83" customFormat="1" ht="12.75">
      <c r="A1041883" s="19"/>
      <c r="B1041883" s="19"/>
      <c r="C1041883" s="19"/>
      <c r="D1041883" s="19"/>
      <c r="E1041883" s="19"/>
      <c r="F1041883" s="19"/>
      <c r="G1041883" s="19"/>
      <c r="H1041883" s="19"/>
      <c r="I1041883" s="19"/>
      <c r="J1041883" s="19"/>
      <c r="K1041883" s="19"/>
      <c r="L1041883" s="19"/>
      <c r="M1041883" s="19"/>
      <c r="N1041883" s="19"/>
    </row>
    <row r="1041884" spans="1:14" s="83" customFormat="1" ht="12.75">
      <c r="A1041884" s="19"/>
      <c r="B1041884" s="19"/>
      <c r="C1041884" s="19"/>
      <c r="D1041884" s="19"/>
      <c r="E1041884" s="19"/>
      <c r="F1041884" s="19"/>
      <c r="G1041884" s="19"/>
      <c r="H1041884" s="19"/>
      <c r="I1041884" s="19"/>
      <c r="J1041884" s="19"/>
      <c r="K1041884" s="19"/>
      <c r="L1041884" s="19"/>
      <c r="M1041884" s="19"/>
      <c r="N1041884" s="19"/>
    </row>
    <row r="1041885" spans="1:14" s="83" customFormat="1" ht="12.75">
      <c r="A1041885" s="19"/>
      <c r="B1041885" s="19"/>
      <c r="C1041885" s="19"/>
      <c r="D1041885" s="19"/>
      <c r="E1041885" s="19"/>
      <c r="F1041885" s="19"/>
      <c r="G1041885" s="19"/>
      <c r="H1041885" s="19"/>
      <c r="I1041885" s="19"/>
      <c r="J1041885" s="19"/>
      <c r="K1041885" s="19"/>
      <c r="L1041885" s="19"/>
      <c r="M1041885" s="19"/>
      <c r="N1041885" s="19"/>
    </row>
    <row r="1041886" spans="1:14" s="83" customFormat="1" ht="12.75">
      <c r="A1041886" s="19"/>
      <c r="B1041886" s="19"/>
      <c r="C1041886" s="19"/>
      <c r="D1041886" s="19"/>
      <c r="E1041886" s="19"/>
      <c r="F1041886" s="19"/>
      <c r="G1041886" s="19"/>
      <c r="H1041886" s="19"/>
      <c r="I1041886" s="19"/>
      <c r="J1041886" s="19"/>
      <c r="K1041886" s="19"/>
      <c r="L1041886" s="19"/>
      <c r="M1041886" s="19"/>
      <c r="N1041886" s="19"/>
    </row>
    <row r="1041887" spans="1:14" s="83" customFormat="1" ht="12.75">
      <c r="A1041887" s="19"/>
      <c r="B1041887" s="19"/>
      <c r="C1041887" s="19"/>
      <c r="D1041887" s="19"/>
      <c r="E1041887" s="19"/>
      <c r="F1041887" s="19"/>
      <c r="G1041887" s="19"/>
      <c r="H1041887" s="19"/>
      <c r="I1041887" s="19"/>
      <c r="J1041887" s="19"/>
      <c r="K1041887" s="19"/>
      <c r="L1041887" s="19"/>
      <c r="M1041887" s="19"/>
      <c r="N1041887" s="19"/>
    </row>
    <row r="1041888" spans="1:14" s="83" customFormat="1" ht="12.75">
      <c r="A1041888" s="19"/>
      <c r="B1041888" s="19"/>
      <c r="C1041888" s="19"/>
      <c r="D1041888" s="19"/>
      <c r="E1041888" s="19"/>
      <c r="F1041888" s="19"/>
      <c r="G1041888" s="19"/>
      <c r="H1041888" s="19"/>
      <c r="I1041888" s="19"/>
      <c r="J1041888" s="19"/>
      <c r="K1041888" s="19"/>
      <c r="L1041888" s="19"/>
      <c r="M1041888" s="19"/>
      <c r="N1041888" s="19"/>
    </row>
    <row r="1041889" spans="1:14" s="83" customFormat="1" ht="12.75">
      <c r="A1041889" s="19"/>
      <c r="B1041889" s="19"/>
      <c r="C1041889" s="19"/>
      <c r="D1041889" s="19"/>
      <c r="E1041889" s="19"/>
      <c r="F1041889" s="19"/>
      <c r="G1041889" s="19"/>
      <c r="H1041889" s="19"/>
      <c r="I1041889" s="19"/>
      <c r="J1041889" s="19"/>
      <c r="K1041889" s="19"/>
      <c r="L1041889" s="19"/>
      <c r="M1041889" s="19"/>
      <c r="N1041889" s="19"/>
    </row>
    <row r="1041890" spans="1:14" s="83" customFormat="1" ht="12.75">
      <c r="A1041890" s="19"/>
      <c r="B1041890" s="19"/>
      <c r="C1041890" s="19"/>
      <c r="D1041890" s="19"/>
      <c r="E1041890" s="19"/>
      <c r="F1041890" s="19"/>
      <c r="G1041890" s="19"/>
      <c r="H1041890" s="19"/>
      <c r="I1041890" s="19"/>
      <c r="J1041890" s="19"/>
      <c r="K1041890" s="19"/>
      <c r="L1041890" s="19"/>
      <c r="M1041890" s="19"/>
      <c r="N1041890" s="19"/>
    </row>
    <row r="1041891" spans="1:14" s="83" customFormat="1" ht="12.75">
      <c r="A1041891" s="19"/>
      <c r="B1041891" s="19"/>
      <c r="C1041891" s="19"/>
      <c r="D1041891" s="19"/>
      <c r="E1041891" s="19"/>
      <c r="F1041891" s="19"/>
      <c r="G1041891" s="19"/>
      <c r="H1041891" s="19"/>
      <c r="I1041891" s="19"/>
      <c r="J1041891" s="19"/>
      <c r="K1041891" s="19"/>
      <c r="L1041891" s="19"/>
      <c r="M1041891" s="19"/>
      <c r="N1041891" s="19"/>
    </row>
    <row r="1041892" spans="1:14" s="83" customFormat="1" ht="12.75">
      <c r="A1041892" s="19"/>
      <c r="B1041892" s="19"/>
      <c r="C1041892" s="19"/>
      <c r="D1041892" s="19"/>
      <c r="E1041892" s="19"/>
      <c r="F1041892" s="19"/>
      <c r="G1041892" s="19"/>
      <c r="H1041892" s="19"/>
      <c r="I1041892" s="19"/>
      <c r="J1041892" s="19"/>
      <c r="K1041892" s="19"/>
      <c r="L1041892" s="19"/>
      <c r="M1041892" s="19"/>
      <c r="N1041892" s="19"/>
    </row>
    <row r="1041893" spans="1:14" s="83" customFormat="1" ht="12.75">
      <c r="A1041893" s="19"/>
      <c r="B1041893" s="19"/>
      <c r="C1041893" s="19"/>
      <c r="D1041893" s="19"/>
      <c r="E1041893" s="19"/>
      <c r="F1041893" s="19"/>
      <c r="G1041893" s="19"/>
      <c r="H1041893" s="19"/>
      <c r="I1041893" s="19"/>
      <c r="J1041893" s="19"/>
      <c r="K1041893" s="19"/>
      <c r="L1041893" s="19"/>
      <c r="M1041893" s="19"/>
      <c r="N1041893" s="19"/>
    </row>
    <row r="1041894" spans="1:14" s="83" customFormat="1" ht="12.75">
      <c r="A1041894" s="19"/>
      <c r="B1041894" s="19"/>
      <c r="C1041894" s="19"/>
      <c r="D1041894" s="19"/>
      <c r="E1041894" s="19"/>
      <c r="F1041894" s="19"/>
      <c r="G1041894" s="19"/>
      <c r="H1041894" s="19"/>
      <c r="I1041894" s="19"/>
      <c r="J1041894" s="19"/>
      <c r="K1041894" s="19"/>
      <c r="L1041894" s="19"/>
      <c r="M1041894" s="19"/>
      <c r="N1041894" s="19"/>
    </row>
    <row r="1041895" spans="1:14" s="83" customFormat="1" ht="12.75">
      <c r="A1041895" s="19"/>
      <c r="B1041895" s="19"/>
      <c r="C1041895" s="19"/>
      <c r="D1041895" s="19"/>
      <c r="E1041895" s="19"/>
      <c r="F1041895" s="19"/>
      <c r="G1041895" s="19"/>
      <c r="H1041895" s="19"/>
      <c r="I1041895" s="19"/>
      <c r="J1041895" s="19"/>
      <c r="K1041895" s="19"/>
      <c r="L1041895" s="19"/>
      <c r="M1041895" s="19"/>
      <c r="N1041895" s="19"/>
    </row>
    <row r="1041896" spans="1:14" s="83" customFormat="1" ht="12.75">
      <c r="A1041896" s="19"/>
      <c r="B1041896" s="19"/>
      <c r="C1041896" s="19"/>
      <c r="D1041896" s="19"/>
      <c r="E1041896" s="19"/>
      <c r="F1041896" s="19"/>
      <c r="G1041896" s="19"/>
      <c r="H1041896" s="19"/>
      <c r="I1041896" s="19"/>
      <c r="J1041896" s="19"/>
      <c r="K1041896" s="19"/>
      <c r="L1041896" s="19"/>
      <c r="M1041896" s="19"/>
      <c r="N1041896" s="19"/>
    </row>
    <row r="1041897" spans="1:14" s="83" customFormat="1" ht="12.75">
      <c r="A1041897" s="19"/>
      <c r="B1041897" s="19"/>
      <c r="C1041897" s="19"/>
      <c r="D1041897" s="19"/>
      <c r="E1041897" s="19"/>
      <c r="F1041897" s="19"/>
      <c r="G1041897" s="19"/>
      <c r="H1041897" s="19"/>
      <c r="I1041897" s="19"/>
      <c r="J1041897" s="19"/>
      <c r="K1041897" s="19"/>
      <c r="L1041897" s="19"/>
      <c r="M1041897" s="19"/>
      <c r="N1041897" s="19"/>
    </row>
    <row r="1041898" spans="1:14" s="83" customFormat="1" ht="12.75">
      <c r="A1041898" s="19"/>
      <c r="B1041898" s="19"/>
      <c r="C1041898" s="19"/>
      <c r="D1041898" s="19"/>
      <c r="E1041898" s="19"/>
      <c r="F1041898" s="19"/>
      <c r="G1041898" s="19"/>
      <c r="H1041898" s="19"/>
      <c r="I1041898" s="19"/>
      <c r="J1041898" s="19"/>
      <c r="K1041898" s="19"/>
      <c r="L1041898" s="19"/>
      <c r="M1041898" s="19"/>
      <c r="N1041898" s="19"/>
    </row>
    <row r="1041899" spans="1:14" s="83" customFormat="1" ht="12.75">
      <c r="A1041899" s="19"/>
      <c r="B1041899" s="19"/>
      <c r="C1041899" s="19"/>
      <c r="D1041899" s="19"/>
      <c r="E1041899" s="19"/>
      <c r="F1041899" s="19"/>
      <c r="G1041899" s="19"/>
      <c r="H1041899" s="19"/>
      <c r="I1041899" s="19"/>
      <c r="J1041899" s="19"/>
      <c r="K1041899" s="19"/>
      <c r="L1041899" s="19"/>
      <c r="M1041899" s="19"/>
      <c r="N1041899" s="19"/>
    </row>
    <row r="1041900" spans="1:14" s="83" customFormat="1" ht="12.75">
      <c r="A1041900" s="19"/>
      <c r="B1041900" s="19"/>
      <c r="C1041900" s="19"/>
      <c r="D1041900" s="19"/>
      <c r="E1041900" s="19"/>
      <c r="F1041900" s="19"/>
      <c r="G1041900" s="19"/>
      <c r="H1041900" s="19"/>
      <c r="I1041900" s="19"/>
      <c r="J1041900" s="19"/>
      <c r="K1041900" s="19"/>
      <c r="L1041900" s="19"/>
      <c r="M1041900" s="19"/>
      <c r="N1041900" s="19"/>
    </row>
    <row r="1041901" spans="1:14" s="83" customFormat="1" ht="12.75">
      <c r="A1041901" s="19"/>
      <c r="B1041901" s="19"/>
      <c r="C1041901" s="19"/>
      <c r="D1041901" s="19"/>
      <c r="E1041901" s="19"/>
      <c r="F1041901" s="19"/>
      <c r="G1041901" s="19"/>
      <c r="H1041901" s="19"/>
      <c r="I1041901" s="19"/>
      <c r="J1041901" s="19"/>
      <c r="K1041901" s="19"/>
      <c r="L1041901" s="19"/>
      <c r="M1041901" s="19"/>
      <c r="N1041901" s="19"/>
    </row>
    <row r="1041902" spans="1:14" s="83" customFormat="1" ht="12.75">
      <c r="A1041902" s="19"/>
      <c r="B1041902" s="19"/>
      <c r="C1041902" s="19"/>
      <c r="D1041902" s="19"/>
      <c r="E1041902" s="19"/>
      <c r="F1041902" s="19"/>
      <c r="G1041902" s="19"/>
      <c r="H1041902" s="19"/>
      <c r="I1041902" s="19"/>
      <c r="J1041902" s="19"/>
      <c r="K1041902" s="19"/>
      <c r="L1041902" s="19"/>
      <c r="M1041902" s="19"/>
      <c r="N1041902" s="19"/>
    </row>
    <row r="1041903" spans="1:14" s="83" customFormat="1" ht="12.75">
      <c r="A1041903" s="19"/>
      <c r="B1041903" s="19"/>
      <c r="C1041903" s="19"/>
      <c r="D1041903" s="19"/>
      <c r="E1041903" s="19"/>
      <c r="F1041903" s="19"/>
      <c r="G1041903" s="19"/>
      <c r="H1041903" s="19"/>
      <c r="I1041903" s="19"/>
      <c r="J1041903" s="19"/>
      <c r="K1041903" s="19"/>
      <c r="L1041903" s="19"/>
      <c r="M1041903" s="19"/>
      <c r="N1041903" s="19"/>
    </row>
    <row r="1041904" spans="1:14" s="83" customFormat="1" ht="12.75">
      <c r="A1041904" s="19"/>
      <c r="B1041904" s="19"/>
      <c r="C1041904" s="19"/>
      <c r="D1041904" s="19"/>
      <c r="E1041904" s="19"/>
      <c r="F1041904" s="19"/>
      <c r="G1041904" s="19"/>
      <c r="H1041904" s="19"/>
      <c r="I1041904" s="19"/>
      <c r="J1041904" s="19"/>
      <c r="K1041904" s="19"/>
      <c r="L1041904" s="19"/>
      <c r="M1041904" s="19"/>
      <c r="N1041904" s="19"/>
    </row>
    <row r="1041905" spans="1:14" s="83" customFormat="1" ht="12.75">
      <c r="A1041905" s="19"/>
      <c r="B1041905" s="19"/>
      <c r="C1041905" s="19"/>
      <c r="D1041905" s="19"/>
      <c r="E1041905" s="19"/>
      <c r="F1041905" s="19"/>
      <c r="G1041905" s="19"/>
      <c r="H1041905" s="19"/>
      <c r="I1041905" s="19"/>
      <c r="J1041905" s="19"/>
      <c r="K1041905" s="19"/>
      <c r="L1041905" s="19"/>
      <c r="M1041905" s="19"/>
      <c r="N1041905" s="19"/>
    </row>
    <row r="1041906" spans="1:14" s="83" customFormat="1" ht="12.75">
      <c r="A1041906" s="19"/>
      <c r="B1041906" s="19"/>
      <c r="C1041906" s="19"/>
      <c r="D1041906" s="19"/>
      <c r="E1041906" s="19"/>
      <c r="F1041906" s="19"/>
      <c r="G1041906" s="19"/>
      <c r="H1041906" s="19"/>
      <c r="I1041906" s="19"/>
      <c r="J1041906" s="19"/>
      <c r="K1041906" s="19"/>
      <c r="L1041906" s="19"/>
      <c r="M1041906" s="19"/>
      <c r="N1041906" s="19"/>
    </row>
    <row r="1041907" spans="1:14" s="83" customFormat="1" ht="12.75">
      <c r="A1041907" s="19"/>
      <c r="B1041907" s="19"/>
      <c r="C1041907" s="19"/>
      <c r="D1041907" s="19"/>
      <c r="E1041907" s="19"/>
      <c r="F1041907" s="19"/>
      <c r="G1041907" s="19"/>
      <c r="H1041907" s="19"/>
      <c r="I1041907" s="19"/>
      <c r="J1041907" s="19"/>
      <c r="K1041907" s="19"/>
      <c r="L1041907" s="19"/>
      <c r="M1041907" s="19"/>
      <c r="N1041907" s="19"/>
    </row>
    <row r="1041908" spans="1:14" s="83" customFormat="1" ht="12.75">
      <c r="A1041908" s="19"/>
      <c r="B1041908" s="19"/>
      <c r="C1041908" s="19"/>
      <c r="D1041908" s="19"/>
      <c r="E1041908" s="19"/>
      <c r="F1041908" s="19"/>
      <c r="G1041908" s="19"/>
      <c r="H1041908" s="19"/>
      <c r="I1041908" s="19"/>
      <c r="J1041908" s="19"/>
      <c r="K1041908" s="19"/>
      <c r="L1041908" s="19"/>
      <c r="M1041908" s="19"/>
      <c r="N1041908" s="19"/>
    </row>
    <row r="1041909" spans="1:14" s="83" customFormat="1" ht="12.75">
      <c r="A1041909" s="19"/>
      <c r="B1041909" s="19"/>
      <c r="C1041909" s="19"/>
      <c r="D1041909" s="19"/>
      <c r="E1041909" s="19"/>
      <c r="F1041909" s="19"/>
      <c r="G1041909" s="19"/>
      <c r="H1041909" s="19"/>
      <c r="I1041909" s="19"/>
      <c r="J1041909" s="19"/>
      <c r="K1041909" s="19"/>
      <c r="L1041909" s="19"/>
      <c r="M1041909" s="19"/>
      <c r="N1041909" s="19"/>
    </row>
    <row r="1041910" spans="1:14" s="83" customFormat="1" ht="12.75">
      <c r="A1041910" s="19"/>
      <c r="B1041910" s="19"/>
      <c r="C1041910" s="19"/>
      <c r="D1041910" s="19"/>
      <c r="E1041910" s="19"/>
      <c r="F1041910" s="19"/>
      <c r="G1041910" s="19"/>
      <c r="H1041910" s="19"/>
      <c r="I1041910" s="19"/>
      <c r="J1041910" s="19"/>
      <c r="K1041910" s="19"/>
      <c r="L1041910" s="19"/>
      <c r="M1041910" s="19"/>
      <c r="N1041910" s="19"/>
    </row>
    <row r="1041911" spans="1:14" s="83" customFormat="1" ht="12.75">
      <c r="A1041911" s="19"/>
      <c r="B1041911" s="19"/>
      <c r="C1041911" s="19"/>
      <c r="D1041911" s="19"/>
      <c r="E1041911" s="19"/>
      <c r="F1041911" s="19"/>
      <c r="G1041911" s="19"/>
      <c r="H1041911" s="19"/>
      <c r="I1041911" s="19"/>
      <c r="J1041911" s="19"/>
      <c r="K1041911" s="19"/>
      <c r="L1041911" s="19"/>
      <c r="M1041911" s="19"/>
      <c r="N1041911" s="19"/>
    </row>
    <row r="1041912" spans="1:14" s="83" customFormat="1" ht="12.75">
      <c r="A1041912" s="19"/>
      <c r="B1041912" s="19"/>
      <c r="C1041912" s="19"/>
      <c r="D1041912" s="19"/>
      <c r="E1041912" s="19"/>
      <c r="F1041912" s="19"/>
      <c r="G1041912" s="19"/>
      <c r="H1041912" s="19"/>
      <c r="I1041912" s="19"/>
      <c r="J1041912" s="19"/>
      <c r="K1041912" s="19"/>
      <c r="L1041912" s="19"/>
      <c r="M1041912" s="19"/>
      <c r="N1041912" s="19"/>
    </row>
    <row r="1041913" spans="1:14" s="83" customFormat="1" ht="12.75">
      <c r="A1041913" s="19"/>
      <c r="B1041913" s="19"/>
      <c r="C1041913" s="19"/>
      <c r="D1041913" s="19"/>
      <c r="E1041913" s="19"/>
      <c r="F1041913" s="19"/>
      <c r="G1041913" s="19"/>
      <c r="H1041913" s="19"/>
      <c r="I1041913" s="19"/>
      <c r="J1041913" s="19"/>
      <c r="K1041913" s="19"/>
      <c r="L1041913" s="19"/>
      <c r="M1041913" s="19"/>
      <c r="N1041913" s="19"/>
    </row>
    <row r="1041914" spans="1:14" s="83" customFormat="1" ht="12.75">
      <c r="A1041914" s="19"/>
      <c r="B1041914" s="19"/>
      <c r="C1041914" s="19"/>
      <c r="D1041914" s="19"/>
      <c r="E1041914" s="19"/>
      <c r="F1041914" s="19"/>
      <c r="G1041914" s="19"/>
      <c r="H1041914" s="19"/>
      <c r="I1041914" s="19"/>
      <c r="J1041914" s="19"/>
      <c r="K1041914" s="19"/>
      <c r="L1041914" s="19"/>
      <c r="M1041914" s="19"/>
      <c r="N1041914" s="19"/>
    </row>
    <row r="1041915" spans="1:14" s="83" customFormat="1" ht="12.75">
      <c r="A1041915" s="19"/>
      <c r="B1041915" s="19"/>
      <c r="C1041915" s="19"/>
      <c r="D1041915" s="19"/>
      <c r="E1041915" s="19"/>
      <c r="F1041915" s="19"/>
      <c r="G1041915" s="19"/>
      <c r="H1041915" s="19"/>
      <c r="I1041915" s="19"/>
      <c r="J1041915" s="19"/>
      <c r="K1041915" s="19"/>
      <c r="L1041915" s="19"/>
      <c r="M1041915" s="19"/>
      <c r="N1041915" s="19"/>
    </row>
    <row r="1041916" spans="1:14" s="83" customFormat="1" ht="12.75">
      <c r="A1041916" s="19"/>
      <c r="B1041916" s="19"/>
      <c r="C1041916" s="19"/>
      <c r="D1041916" s="19"/>
      <c r="E1041916" s="19"/>
      <c r="F1041916" s="19"/>
      <c r="G1041916" s="19"/>
      <c r="H1041916" s="19"/>
      <c r="I1041916" s="19"/>
      <c r="J1041916" s="19"/>
      <c r="K1041916" s="19"/>
      <c r="L1041916" s="19"/>
      <c r="M1041916" s="19"/>
      <c r="N1041916" s="19"/>
    </row>
    <row r="1041917" spans="1:14" s="83" customFormat="1" ht="12.75">
      <c r="A1041917" s="19"/>
      <c r="B1041917" s="19"/>
      <c r="C1041917" s="19"/>
      <c r="D1041917" s="19"/>
      <c r="E1041917" s="19"/>
      <c r="F1041917" s="19"/>
      <c r="G1041917" s="19"/>
      <c r="H1041917" s="19"/>
      <c r="I1041917" s="19"/>
      <c r="J1041917" s="19"/>
      <c r="K1041917" s="19"/>
      <c r="L1041917" s="19"/>
      <c r="M1041917" s="19"/>
      <c r="N1041917" s="19"/>
    </row>
    <row r="1041918" spans="1:14" s="83" customFormat="1" ht="12.75">
      <c r="A1041918" s="19"/>
      <c r="B1041918" s="19"/>
      <c r="C1041918" s="19"/>
      <c r="D1041918" s="19"/>
      <c r="E1041918" s="19"/>
      <c r="F1041918" s="19"/>
      <c r="G1041918" s="19"/>
      <c r="H1041918" s="19"/>
      <c r="I1041918" s="19"/>
      <c r="J1041918" s="19"/>
      <c r="K1041918" s="19"/>
      <c r="L1041918" s="19"/>
      <c r="M1041918" s="19"/>
      <c r="N1041918" s="19"/>
    </row>
    <row r="1041919" spans="1:14" s="83" customFormat="1" ht="12.75">
      <c r="A1041919" s="19"/>
      <c r="B1041919" s="19"/>
      <c r="C1041919" s="19"/>
      <c r="D1041919" s="19"/>
      <c r="E1041919" s="19"/>
      <c r="F1041919" s="19"/>
      <c r="G1041919" s="19"/>
      <c r="H1041919" s="19"/>
      <c r="I1041919" s="19"/>
      <c r="J1041919" s="19"/>
      <c r="K1041919" s="19"/>
      <c r="L1041919" s="19"/>
      <c r="M1041919" s="19"/>
      <c r="N1041919" s="19"/>
    </row>
    <row r="1041920" spans="1:14" s="83" customFormat="1" ht="12.75">
      <c r="A1041920" s="19"/>
      <c r="B1041920" s="19"/>
      <c r="C1041920" s="19"/>
      <c r="D1041920" s="19"/>
      <c r="E1041920" s="19"/>
      <c r="F1041920" s="19"/>
      <c r="G1041920" s="19"/>
      <c r="H1041920" s="19"/>
      <c r="I1041920" s="19"/>
      <c r="J1041920" s="19"/>
      <c r="K1041920" s="19"/>
      <c r="L1041920" s="19"/>
      <c r="M1041920" s="19"/>
      <c r="N1041920" s="19"/>
    </row>
    <row r="1041921" spans="1:14" s="83" customFormat="1" ht="12.75">
      <c r="A1041921" s="19"/>
      <c r="B1041921" s="19"/>
      <c r="C1041921" s="19"/>
      <c r="D1041921" s="19"/>
      <c r="E1041921" s="19"/>
      <c r="F1041921" s="19"/>
      <c r="G1041921" s="19"/>
      <c r="H1041921" s="19"/>
      <c r="I1041921" s="19"/>
      <c r="J1041921" s="19"/>
      <c r="K1041921" s="19"/>
      <c r="L1041921" s="19"/>
      <c r="M1041921" s="19"/>
      <c r="N1041921" s="19"/>
    </row>
    <row r="1041922" spans="1:14" s="83" customFormat="1" ht="12.75">
      <c r="A1041922" s="19"/>
      <c r="B1041922" s="19"/>
      <c r="C1041922" s="19"/>
      <c r="D1041922" s="19"/>
      <c r="E1041922" s="19"/>
      <c r="F1041922" s="19"/>
      <c r="G1041922" s="19"/>
      <c r="H1041922" s="19"/>
      <c r="I1041922" s="19"/>
      <c r="J1041922" s="19"/>
      <c r="K1041922" s="19"/>
      <c r="L1041922" s="19"/>
      <c r="M1041922" s="19"/>
      <c r="N1041922" s="19"/>
    </row>
    <row r="1041923" spans="1:14" s="83" customFormat="1" ht="12.75">
      <c r="A1041923" s="19"/>
      <c r="B1041923" s="19"/>
      <c r="C1041923" s="19"/>
      <c r="D1041923" s="19"/>
      <c r="E1041923" s="19"/>
      <c r="F1041923" s="19"/>
      <c r="G1041923" s="19"/>
      <c r="H1041923" s="19"/>
      <c r="I1041923" s="19"/>
      <c r="J1041923" s="19"/>
      <c r="K1041923" s="19"/>
      <c r="L1041923" s="19"/>
      <c r="M1041923" s="19"/>
      <c r="N1041923" s="19"/>
    </row>
    <row r="1041924" spans="1:14" s="83" customFormat="1" ht="12.75">
      <c r="A1041924" s="19"/>
      <c r="B1041924" s="19"/>
      <c r="C1041924" s="19"/>
      <c r="D1041924" s="19"/>
      <c r="E1041924" s="19"/>
      <c r="F1041924" s="19"/>
      <c r="G1041924" s="19"/>
      <c r="H1041924" s="19"/>
      <c r="I1041924" s="19"/>
      <c r="J1041924" s="19"/>
      <c r="K1041924" s="19"/>
      <c r="L1041924" s="19"/>
      <c r="M1041924" s="19"/>
      <c r="N1041924" s="19"/>
    </row>
    <row r="1041925" spans="1:14" s="83" customFormat="1" ht="12.75">
      <c r="A1041925" s="19"/>
      <c r="B1041925" s="19"/>
      <c r="C1041925" s="19"/>
      <c r="D1041925" s="19"/>
      <c r="E1041925" s="19"/>
      <c r="F1041925" s="19"/>
      <c r="G1041925" s="19"/>
      <c r="H1041925" s="19"/>
      <c r="I1041925" s="19"/>
      <c r="J1041925" s="19"/>
      <c r="K1041925" s="19"/>
      <c r="L1041925" s="19"/>
      <c r="M1041925" s="19"/>
      <c r="N1041925" s="19"/>
    </row>
    <row r="1041926" spans="1:14" s="83" customFormat="1" ht="12.75">
      <c r="A1041926" s="19"/>
      <c r="B1041926" s="19"/>
      <c r="C1041926" s="19"/>
      <c r="D1041926" s="19"/>
      <c r="E1041926" s="19"/>
      <c r="F1041926" s="19"/>
      <c r="G1041926" s="19"/>
      <c r="H1041926" s="19"/>
      <c r="I1041926" s="19"/>
      <c r="J1041926" s="19"/>
      <c r="K1041926" s="19"/>
      <c r="L1041926" s="19"/>
      <c r="M1041926" s="19"/>
      <c r="N1041926" s="19"/>
    </row>
    <row r="1041927" spans="1:14" s="83" customFormat="1" ht="12.75">
      <c r="A1041927" s="19"/>
      <c r="B1041927" s="19"/>
      <c r="C1041927" s="19"/>
      <c r="D1041927" s="19"/>
      <c r="E1041927" s="19"/>
      <c r="F1041927" s="19"/>
      <c r="G1041927" s="19"/>
      <c r="H1041927" s="19"/>
      <c r="I1041927" s="19"/>
      <c r="J1041927" s="19"/>
      <c r="K1041927" s="19"/>
      <c r="L1041927" s="19"/>
      <c r="M1041927" s="19"/>
      <c r="N1041927" s="19"/>
    </row>
    <row r="1041928" spans="1:14" s="83" customFormat="1" ht="12.75">
      <c r="A1041928" s="19"/>
      <c r="B1041928" s="19"/>
      <c r="C1041928" s="19"/>
      <c r="D1041928" s="19"/>
      <c r="E1041928" s="19"/>
      <c r="F1041928" s="19"/>
      <c r="G1041928" s="19"/>
      <c r="H1041928" s="19"/>
      <c r="I1041928" s="19"/>
      <c r="J1041928" s="19"/>
      <c r="K1041928" s="19"/>
      <c r="L1041928" s="19"/>
      <c r="M1041928" s="19"/>
      <c r="N1041928" s="19"/>
    </row>
    <row r="1041929" spans="1:14" s="83" customFormat="1" ht="12.75">
      <c r="A1041929" s="19"/>
      <c r="B1041929" s="19"/>
      <c r="C1041929" s="19"/>
      <c r="D1041929" s="19"/>
      <c r="E1041929" s="19"/>
      <c r="F1041929" s="19"/>
      <c r="G1041929" s="19"/>
      <c r="H1041929" s="19"/>
      <c r="I1041929" s="19"/>
      <c r="J1041929" s="19"/>
      <c r="K1041929" s="19"/>
      <c r="L1041929" s="19"/>
      <c r="M1041929" s="19"/>
      <c r="N1041929" s="19"/>
    </row>
    <row r="1041930" spans="1:14" s="83" customFormat="1" ht="12.75">
      <c r="A1041930" s="19"/>
      <c r="B1041930" s="19"/>
      <c r="C1041930" s="19"/>
      <c r="D1041930" s="19"/>
      <c r="E1041930" s="19"/>
      <c r="F1041930" s="19"/>
      <c r="G1041930" s="19"/>
      <c r="H1041930" s="19"/>
      <c r="I1041930" s="19"/>
      <c r="J1041930" s="19"/>
      <c r="K1041930" s="19"/>
      <c r="L1041930" s="19"/>
      <c r="M1041930" s="19"/>
      <c r="N1041930" s="19"/>
    </row>
    <row r="1041931" spans="1:14" s="83" customFormat="1" ht="12.75">
      <c r="A1041931" s="19"/>
      <c r="B1041931" s="19"/>
      <c r="C1041931" s="19"/>
      <c r="D1041931" s="19"/>
      <c r="E1041931" s="19"/>
      <c r="F1041931" s="19"/>
      <c r="G1041931" s="19"/>
      <c r="H1041931" s="19"/>
      <c r="I1041931" s="19"/>
      <c r="J1041931" s="19"/>
      <c r="K1041931" s="19"/>
      <c r="L1041931" s="19"/>
      <c r="M1041931" s="19"/>
      <c r="N1041931" s="19"/>
    </row>
    <row r="1041932" spans="1:14" s="83" customFormat="1" ht="12.75">
      <c r="A1041932" s="19"/>
      <c r="B1041932" s="19"/>
      <c r="C1041932" s="19"/>
      <c r="D1041932" s="19"/>
      <c r="E1041932" s="19"/>
      <c r="F1041932" s="19"/>
      <c r="G1041932" s="19"/>
      <c r="H1041932" s="19"/>
      <c r="I1041932" s="19"/>
      <c r="J1041932" s="19"/>
      <c r="K1041932" s="19"/>
      <c r="L1041932" s="19"/>
      <c r="M1041932" s="19"/>
      <c r="N1041932" s="19"/>
    </row>
    <row r="1041933" spans="1:14" s="83" customFormat="1" ht="12.75">
      <c r="A1041933" s="19"/>
      <c r="B1041933" s="19"/>
      <c r="C1041933" s="19"/>
      <c r="D1041933" s="19"/>
      <c r="E1041933" s="19"/>
      <c r="F1041933" s="19"/>
      <c r="G1041933" s="19"/>
      <c r="H1041933" s="19"/>
      <c r="I1041933" s="19"/>
      <c r="J1041933" s="19"/>
      <c r="K1041933" s="19"/>
      <c r="L1041933" s="19"/>
      <c r="M1041933" s="19"/>
      <c r="N1041933" s="19"/>
    </row>
    <row r="1041934" spans="1:14" s="83" customFormat="1" ht="12.75">
      <c r="A1041934" s="19"/>
      <c r="B1041934" s="19"/>
      <c r="C1041934" s="19"/>
      <c r="D1041934" s="19"/>
      <c r="E1041934" s="19"/>
      <c r="F1041934" s="19"/>
      <c r="G1041934" s="19"/>
      <c r="H1041934" s="19"/>
      <c r="I1041934" s="19"/>
      <c r="J1041934" s="19"/>
      <c r="K1041934" s="19"/>
      <c r="L1041934" s="19"/>
      <c r="M1041934" s="19"/>
      <c r="N1041934" s="19"/>
    </row>
    <row r="1041935" spans="1:14" s="83" customFormat="1" ht="12.75">
      <c r="A1041935" s="19"/>
      <c r="B1041935" s="19"/>
      <c r="C1041935" s="19"/>
      <c r="D1041935" s="19"/>
      <c r="E1041935" s="19"/>
      <c r="F1041935" s="19"/>
      <c r="G1041935" s="19"/>
      <c r="H1041935" s="19"/>
      <c r="I1041935" s="19"/>
      <c r="J1041935" s="19"/>
      <c r="K1041935" s="19"/>
      <c r="L1041935" s="19"/>
      <c r="M1041935" s="19"/>
      <c r="N1041935" s="19"/>
    </row>
    <row r="1041936" spans="1:14" s="83" customFormat="1" ht="12.75">
      <c r="A1041936" s="19"/>
      <c r="B1041936" s="19"/>
      <c r="C1041936" s="19"/>
      <c r="D1041936" s="19"/>
      <c r="E1041936" s="19"/>
      <c r="F1041936" s="19"/>
      <c r="G1041936" s="19"/>
      <c r="H1041936" s="19"/>
      <c r="I1041936" s="19"/>
      <c r="J1041936" s="19"/>
      <c r="K1041936" s="19"/>
      <c r="L1041936" s="19"/>
      <c r="M1041936" s="19"/>
      <c r="N1041936" s="19"/>
    </row>
    <row r="1041937" spans="1:14" s="83" customFormat="1" ht="12.75">
      <c r="A1041937" s="19"/>
      <c r="B1041937" s="19"/>
      <c r="C1041937" s="19"/>
      <c r="D1041937" s="19"/>
      <c r="E1041937" s="19"/>
      <c r="F1041937" s="19"/>
      <c r="G1041937" s="19"/>
      <c r="H1041937" s="19"/>
      <c r="I1041937" s="19"/>
      <c r="J1041937" s="19"/>
      <c r="K1041937" s="19"/>
      <c r="L1041937" s="19"/>
      <c r="M1041937" s="19"/>
      <c r="N1041937" s="19"/>
    </row>
    <row r="1041938" spans="1:14" s="83" customFormat="1" ht="12.75">
      <c r="A1041938" s="19"/>
      <c r="B1041938" s="19"/>
      <c r="C1041938" s="19"/>
      <c r="D1041938" s="19"/>
      <c r="E1041938" s="19"/>
      <c r="F1041938" s="19"/>
      <c r="G1041938" s="19"/>
      <c r="H1041938" s="19"/>
      <c r="I1041938" s="19"/>
      <c r="J1041938" s="19"/>
      <c r="K1041938" s="19"/>
      <c r="L1041938" s="19"/>
      <c r="M1041938" s="19"/>
      <c r="N1041938" s="19"/>
    </row>
    <row r="1041939" spans="1:14" s="83" customFormat="1" ht="12.75">
      <c r="A1041939" s="19"/>
      <c r="B1041939" s="19"/>
      <c r="C1041939" s="19"/>
      <c r="D1041939" s="19"/>
      <c r="E1041939" s="19"/>
      <c r="F1041939" s="19"/>
      <c r="G1041939" s="19"/>
      <c r="H1041939" s="19"/>
      <c r="I1041939" s="19"/>
      <c r="J1041939" s="19"/>
      <c r="K1041939" s="19"/>
      <c r="L1041939" s="19"/>
      <c r="M1041939" s="19"/>
      <c r="N1041939" s="19"/>
    </row>
    <row r="1041940" spans="1:14" s="83" customFormat="1" ht="12.75">
      <c r="A1041940" s="19"/>
      <c r="B1041940" s="19"/>
      <c r="C1041940" s="19"/>
      <c r="D1041940" s="19"/>
      <c r="E1041940" s="19"/>
      <c r="F1041940" s="19"/>
      <c r="G1041940" s="19"/>
      <c r="H1041940" s="19"/>
      <c r="I1041940" s="19"/>
      <c r="J1041940" s="19"/>
      <c r="K1041940" s="19"/>
      <c r="L1041940" s="19"/>
      <c r="M1041940" s="19"/>
      <c r="N1041940" s="19"/>
    </row>
    <row r="1041941" spans="1:14" s="83" customFormat="1" ht="12.75">
      <c r="A1041941" s="19"/>
      <c r="B1041941" s="19"/>
      <c r="C1041941" s="19"/>
      <c r="D1041941" s="19"/>
      <c r="E1041941" s="19"/>
      <c r="F1041941" s="19"/>
      <c r="G1041941" s="19"/>
      <c r="H1041941" s="19"/>
      <c r="I1041941" s="19"/>
      <c r="J1041941" s="19"/>
      <c r="K1041941" s="19"/>
      <c r="L1041941" s="19"/>
      <c r="M1041941" s="19"/>
      <c r="N1041941" s="19"/>
    </row>
    <row r="1041942" spans="1:14" s="83" customFormat="1" ht="12.75">
      <c r="A1041942" s="19"/>
      <c r="B1041942" s="19"/>
      <c r="C1041942" s="19"/>
      <c r="D1041942" s="19"/>
      <c r="E1041942" s="19"/>
      <c r="F1041942" s="19"/>
      <c r="G1041942" s="19"/>
      <c r="H1041942" s="19"/>
      <c r="I1041942" s="19"/>
      <c r="J1041942" s="19"/>
      <c r="K1041942" s="19"/>
      <c r="L1041942" s="19"/>
      <c r="M1041942" s="19"/>
      <c r="N1041942" s="19"/>
    </row>
    <row r="1041943" spans="1:14" s="83" customFormat="1" ht="12.75">
      <c r="A1041943" s="19"/>
      <c r="B1041943" s="19"/>
      <c r="C1041943" s="19"/>
      <c r="D1041943" s="19"/>
      <c r="E1041943" s="19"/>
      <c r="F1041943" s="19"/>
      <c r="G1041943" s="19"/>
      <c r="H1041943" s="19"/>
      <c r="I1041943" s="19"/>
      <c r="J1041943" s="19"/>
      <c r="K1041943" s="19"/>
      <c r="L1041943" s="19"/>
      <c r="M1041943" s="19"/>
      <c r="N1041943" s="19"/>
    </row>
    <row r="1041944" spans="1:14" s="83" customFormat="1" ht="12.75">
      <c r="A1041944" s="19"/>
      <c r="B1041944" s="19"/>
      <c r="C1041944" s="19"/>
      <c r="D1041944" s="19"/>
      <c r="E1041944" s="19"/>
      <c r="F1041944" s="19"/>
      <c r="G1041944" s="19"/>
      <c r="H1041944" s="19"/>
      <c r="I1041944" s="19"/>
      <c r="J1041944" s="19"/>
      <c r="K1041944" s="19"/>
      <c r="L1041944" s="19"/>
      <c r="M1041944" s="19"/>
      <c r="N1041944" s="19"/>
    </row>
    <row r="1041945" spans="1:14" s="83" customFormat="1" ht="12.75">
      <c r="A1041945" s="19"/>
      <c r="B1041945" s="19"/>
      <c r="C1041945" s="19"/>
      <c r="D1041945" s="19"/>
      <c r="E1041945" s="19"/>
      <c r="F1041945" s="19"/>
      <c r="G1041945" s="19"/>
      <c r="H1041945" s="19"/>
      <c r="I1041945" s="19"/>
      <c r="J1041945" s="19"/>
      <c r="K1041945" s="19"/>
      <c r="L1041945" s="19"/>
      <c r="M1041945" s="19"/>
      <c r="N1041945" s="19"/>
    </row>
    <row r="1041946" spans="1:14" s="83" customFormat="1" ht="12.75">
      <c r="A1041946" s="19"/>
      <c r="B1041946" s="19"/>
      <c r="C1041946" s="19"/>
      <c r="D1041946" s="19"/>
      <c r="E1041946" s="19"/>
      <c r="F1041946" s="19"/>
      <c r="G1041946" s="19"/>
      <c r="H1041946" s="19"/>
      <c r="I1041946" s="19"/>
      <c r="J1041946" s="19"/>
      <c r="K1041946" s="19"/>
      <c r="L1041946" s="19"/>
      <c r="M1041946" s="19"/>
      <c r="N1041946" s="19"/>
    </row>
    <row r="1041947" spans="1:14" s="83" customFormat="1" ht="12.75">
      <c r="A1041947" s="19"/>
      <c r="B1041947" s="19"/>
      <c r="C1041947" s="19"/>
      <c r="D1041947" s="19"/>
      <c r="E1041947" s="19"/>
      <c r="F1041947" s="19"/>
      <c r="G1041947" s="19"/>
      <c r="H1041947" s="19"/>
      <c r="I1041947" s="19"/>
      <c r="J1041947" s="19"/>
      <c r="K1041947" s="19"/>
      <c r="L1041947" s="19"/>
      <c r="M1041947" s="19"/>
      <c r="N1041947" s="19"/>
    </row>
    <row r="1041948" spans="1:14" s="83" customFormat="1" ht="12.75">
      <c r="A1041948" s="19"/>
      <c r="B1041948" s="19"/>
      <c r="C1041948" s="19"/>
      <c r="D1041948" s="19"/>
      <c r="E1041948" s="19"/>
      <c r="F1041948" s="19"/>
      <c r="G1041948" s="19"/>
      <c r="H1041948" s="19"/>
      <c r="I1041948" s="19"/>
      <c r="J1041948" s="19"/>
      <c r="K1041948" s="19"/>
      <c r="L1041948" s="19"/>
      <c r="M1041948" s="19"/>
      <c r="N1041948" s="19"/>
    </row>
    <row r="1041949" spans="1:14" s="83" customFormat="1" ht="12.75">
      <c r="A1041949" s="19"/>
      <c r="B1041949" s="19"/>
      <c r="C1041949" s="19"/>
      <c r="D1041949" s="19"/>
      <c r="E1041949" s="19"/>
      <c r="F1041949" s="19"/>
      <c r="G1041949" s="19"/>
      <c r="H1041949" s="19"/>
      <c r="I1041949" s="19"/>
      <c r="J1041949" s="19"/>
      <c r="K1041949" s="19"/>
      <c r="L1041949" s="19"/>
      <c r="M1041949" s="19"/>
      <c r="N1041949" s="19"/>
    </row>
    <row r="1041950" spans="1:14" s="83" customFormat="1" ht="12.75">
      <c r="A1041950" s="19"/>
      <c r="B1041950" s="19"/>
      <c r="C1041950" s="19"/>
      <c r="D1041950" s="19"/>
      <c r="E1041950" s="19"/>
      <c r="F1041950" s="19"/>
      <c r="G1041950" s="19"/>
      <c r="H1041950" s="19"/>
      <c r="I1041950" s="19"/>
      <c r="J1041950" s="19"/>
      <c r="K1041950" s="19"/>
      <c r="L1041950" s="19"/>
      <c r="M1041950" s="19"/>
      <c r="N1041950" s="19"/>
    </row>
    <row r="1041951" spans="1:14" s="83" customFormat="1" ht="12.75">
      <c r="A1041951" s="19"/>
      <c r="B1041951" s="19"/>
      <c r="C1041951" s="19"/>
      <c r="D1041951" s="19"/>
      <c r="E1041951" s="19"/>
      <c r="F1041951" s="19"/>
      <c r="G1041951" s="19"/>
      <c r="H1041951" s="19"/>
      <c r="I1041951" s="19"/>
      <c r="J1041951" s="19"/>
      <c r="K1041951" s="19"/>
      <c r="L1041951" s="19"/>
      <c r="M1041951" s="19"/>
      <c r="N1041951" s="19"/>
    </row>
    <row r="1041952" spans="1:14" s="83" customFormat="1" ht="12.75">
      <c r="A1041952" s="19"/>
      <c r="B1041952" s="19"/>
      <c r="C1041952" s="19"/>
      <c r="D1041952" s="19"/>
      <c r="E1041952" s="19"/>
      <c r="F1041952" s="19"/>
      <c r="G1041952" s="19"/>
      <c r="H1041952" s="19"/>
      <c r="I1041952" s="19"/>
      <c r="J1041952" s="19"/>
      <c r="K1041952" s="19"/>
      <c r="L1041952" s="19"/>
      <c r="M1041952" s="19"/>
      <c r="N1041952" s="19"/>
    </row>
    <row r="1041953" spans="1:14" s="83" customFormat="1" ht="12.75">
      <c r="A1041953" s="19"/>
      <c r="B1041953" s="19"/>
      <c r="C1041953" s="19"/>
      <c r="D1041953" s="19"/>
      <c r="E1041953" s="19"/>
      <c r="F1041953" s="19"/>
      <c r="G1041953" s="19"/>
      <c r="H1041953" s="19"/>
      <c r="I1041953" s="19"/>
      <c r="J1041953" s="19"/>
      <c r="K1041953" s="19"/>
      <c r="L1041953" s="19"/>
      <c r="M1041953" s="19"/>
      <c r="N1041953" s="19"/>
    </row>
    <row r="1041954" spans="1:14" s="83" customFormat="1" ht="12.75">
      <c r="A1041954" s="19"/>
      <c r="B1041954" s="19"/>
      <c r="C1041954" s="19"/>
      <c r="D1041954" s="19"/>
      <c r="E1041954" s="19"/>
      <c r="F1041954" s="19"/>
      <c r="G1041954" s="19"/>
      <c r="H1041954" s="19"/>
      <c r="I1041954" s="19"/>
      <c r="J1041954" s="19"/>
      <c r="K1041954" s="19"/>
      <c r="L1041954" s="19"/>
      <c r="M1041954" s="19"/>
      <c r="N1041954" s="19"/>
    </row>
    <row r="1041955" spans="1:14" s="83" customFormat="1" ht="12.75">
      <c r="A1041955" s="19"/>
      <c r="B1041955" s="19"/>
      <c r="C1041955" s="19"/>
      <c r="D1041955" s="19"/>
      <c r="E1041955" s="19"/>
      <c r="F1041955" s="19"/>
      <c r="G1041955" s="19"/>
      <c r="H1041955" s="19"/>
      <c r="I1041955" s="19"/>
      <c r="J1041955" s="19"/>
      <c r="K1041955" s="19"/>
      <c r="L1041955" s="19"/>
      <c r="M1041955" s="19"/>
      <c r="N1041955" s="19"/>
    </row>
    <row r="1041956" spans="1:14" s="83" customFormat="1" ht="12.75">
      <c r="A1041956" s="19"/>
      <c r="B1041956" s="19"/>
      <c r="C1041956" s="19"/>
      <c r="D1041956" s="19"/>
      <c r="E1041956" s="19"/>
      <c r="F1041956" s="19"/>
      <c r="G1041956" s="19"/>
      <c r="H1041956" s="19"/>
      <c r="I1041956" s="19"/>
      <c r="J1041956" s="19"/>
      <c r="K1041956" s="19"/>
      <c r="L1041956" s="19"/>
      <c r="M1041956" s="19"/>
      <c r="N1041956" s="19"/>
    </row>
    <row r="1041957" spans="1:14" s="83" customFormat="1" ht="12.75">
      <c r="A1041957" s="19"/>
      <c r="B1041957" s="19"/>
      <c r="C1041957" s="19"/>
      <c r="D1041957" s="19"/>
      <c r="E1041957" s="19"/>
      <c r="F1041957" s="19"/>
      <c r="G1041957" s="19"/>
      <c r="H1041957" s="19"/>
      <c r="I1041957" s="19"/>
      <c r="J1041957" s="19"/>
      <c r="K1041957" s="19"/>
      <c r="L1041957" s="19"/>
      <c r="M1041957" s="19"/>
      <c r="N1041957" s="19"/>
    </row>
    <row r="1041958" spans="1:14" s="83" customFormat="1" ht="12.75">
      <c r="A1041958" s="19"/>
      <c r="B1041958" s="19"/>
      <c r="C1041958" s="19"/>
      <c r="D1041958" s="19"/>
      <c r="E1041958" s="19"/>
      <c r="F1041958" s="19"/>
      <c r="G1041958" s="19"/>
      <c r="H1041958" s="19"/>
      <c r="I1041958" s="19"/>
      <c r="J1041958" s="19"/>
      <c r="K1041958" s="19"/>
      <c r="L1041958" s="19"/>
      <c r="M1041958" s="19"/>
      <c r="N1041958" s="19"/>
    </row>
    <row r="1041959" spans="1:14" s="83" customFormat="1" ht="12.75">
      <c r="A1041959" s="19"/>
      <c r="B1041959" s="19"/>
      <c r="C1041959" s="19"/>
      <c r="D1041959" s="19"/>
      <c r="E1041959" s="19"/>
      <c r="F1041959" s="19"/>
      <c r="G1041959" s="19"/>
      <c r="H1041959" s="19"/>
      <c r="I1041959" s="19"/>
      <c r="J1041959" s="19"/>
      <c r="K1041959" s="19"/>
      <c r="L1041959" s="19"/>
      <c r="M1041959" s="19"/>
      <c r="N1041959" s="19"/>
    </row>
    <row r="1041960" spans="1:14" s="83" customFormat="1" ht="12.75">
      <c r="A1041960" s="19"/>
      <c r="B1041960" s="19"/>
      <c r="C1041960" s="19"/>
      <c r="D1041960" s="19"/>
      <c r="E1041960" s="19"/>
      <c r="F1041960" s="19"/>
      <c r="G1041960" s="19"/>
      <c r="H1041960" s="19"/>
      <c r="I1041960" s="19"/>
      <c r="J1041960" s="19"/>
      <c r="K1041960" s="19"/>
      <c r="L1041960" s="19"/>
      <c r="M1041960" s="19"/>
      <c r="N1041960" s="19"/>
    </row>
    <row r="1041961" spans="1:14" s="83" customFormat="1" ht="12.75">
      <c r="A1041961" s="19"/>
      <c r="B1041961" s="19"/>
      <c r="C1041961" s="19"/>
      <c r="D1041961" s="19"/>
      <c r="E1041961" s="19"/>
      <c r="F1041961" s="19"/>
      <c r="G1041961" s="19"/>
      <c r="H1041961" s="19"/>
      <c r="I1041961" s="19"/>
      <c r="J1041961" s="19"/>
      <c r="K1041961" s="19"/>
      <c r="L1041961" s="19"/>
      <c r="M1041961" s="19"/>
      <c r="N1041961" s="19"/>
    </row>
    <row r="1041962" spans="1:14" s="83" customFormat="1" ht="12.75">
      <c r="A1041962" s="19"/>
      <c r="B1041962" s="19"/>
      <c r="C1041962" s="19"/>
      <c r="D1041962" s="19"/>
      <c r="E1041962" s="19"/>
      <c r="F1041962" s="19"/>
      <c r="G1041962" s="19"/>
      <c r="H1041962" s="19"/>
      <c r="I1041962" s="19"/>
      <c r="J1041962" s="19"/>
      <c r="K1041962" s="19"/>
      <c r="L1041962" s="19"/>
      <c r="M1041962" s="19"/>
      <c r="N1041962" s="19"/>
    </row>
    <row r="1041963" spans="1:14" s="83" customFormat="1" ht="12.75">
      <c r="A1041963" s="19"/>
      <c r="B1041963" s="19"/>
      <c r="C1041963" s="19"/>
      <c r="D1041963" s="19"/>
      <c r="E1041963" s="19"/>
      <c r="F1041963" s="19"/>
      <c r="G1041963" s="19"/>
      <c r="H1041963" s="19"/>
      <c r="I1041963" s="19"/>
      <c r="J1041963" s="19"/>
      <c r="K1041963" s="19"/>
      <c r="L1041963" s="19"/>
      <c r="M1041963" s="19"/>
      <c r="N1041963" s="19"/>
    </row>
    <row r="1041964" spans="1:14" s="83" customFormat="1" ht="12.75">
      <c r="A1041964" s="19"/>
      <c r="B1041964" s="19"/>
      <c r="C1041964" s="19"/>
      <c r="D1041964" s="19"/>
      <c r="E1041964" s="19"/>
      <c r="F1041964" s="19"/>
      <c r="G1041964" s="19"/>
      <c r="H1041964" s="19"/>
      <c r="I1041964" s="19"/>
      <c r="J1041964" s="19"/>
      <c r="K1041964" s="19"/>
      <c r="L1041964" s="19"/>
      <c r="M1041964" s="19"/>
      <c r="N1041964" s="19"/>
    </row>
    <row r="1041965" spans="1:14" s="83" customFormat="1" ht="12.75">
      <c r="A1041965" s="19"/>
      <c r="B1041965" s="19"/>
      <c r="C1041965" s="19"/>
      <c r="D1041965" s="19"/>
      <c r="E1041965" s="19"/>
      <c r="F1041965" s="19"/>
      <c r="G1041965" s="19"/>
      <c r="H1041965" s="19"/>
      <c r="I1041965" s="19"/>
      <c r="J1041965" s="19"/>
      <c r="K1041965" s="19"/>
      <c r="L1041965" s="19"/>
      <c r="M1041965" s="19"/>
      <c r="N1041965" s="19"/>
    </row>
    <row r="1041966" spans="1:14" s="83" customFormat="1" ht="12.75">
      <c r="A1041966" s="19"/>
      <c r="B1041966" s="19"/>
      <c r="C1041966" s="19"/>
      <c r="D1041966" s="19"/>
      <c r="E1041966" s="19"/>
      <c r="F1041966" s="19"/>
      <c r="G1041966" s="19"/>
      <c r="H1041966" s="19"/>
      <c r="I1041966" s="19"/>
      <c r="J1041966" s="19"/>
      <c r="K1041966" s="19"/>
      <c r="L1041966" s="19"/>
      <c r="M1041966" s="19"/>
      <c r="N1041966" s="19"/>
    </row>
    <row r="1041967" spans="1:14" s="83" customFormat="1" ht="12.75">
      <c r="A1041967" s="19"/>
      <c r="B1041967" s="19"/>
      <c r="C1041967" s="19"/>
      <c r="D1041967" s="19"/>
      <c r="E1041967" s="19"/>
      <c r="F1041967" s="19"/>
      <c r="G1041967" s="19"/>
      <c r="H1041967" s="19"/>
      <c r="I1041967" s="19"/>
      <c r="J1041967" s="19"/>
      <c r="K1041967" s="19"/>
      <c r="L1041967" s="19"/>
      <c r="M1041967" s="19"/>
      <c r="N1041967" s="19"/>
    </row>
    <row r="1041968" spans="1:14" s="83" customFormat="1" ht="12.75">
      <c r="A1041968" s="19"/>
      <c r="B1041968" s="19"/>
      <c r="C1041968" s="19"/>
      <c r="D1041968" s="19"/>
      <c r="E1041968" s="19"/>
      <c r="F1041968" s="19"/>
      <c r="G1041968" s="19"/>
      <c r="H1041968" s="19"/>
      <c r="I1041968" s="19"/>
      <c r="J1041968" s="19"/>
      <c r="K1041968" s="19"/>
      <c r="L1041968" s="19"/>
      <c r="M1041968" s="19"/>
      <c r="N1041968" s="19"/>
    </row>
    <row r="1041969" spans="1:14" s="83" customFormat="1" ht="12.75">
      <c r="A1041969" s="19"/>
      <c r="B1041969" s="19"/>
      <c r="C1041969" s="19"/>
      <c r="D1041969" s="19"/>
      <c r="E1041969" s="19"/>
      <c r="F1041969" s="19"/>
      <c r="G1041969" s="19"/>
      <c r="H1041969" s="19"/>
      <c r="I1041969" s="19"/>
      <c r="J1041969" s="19"/>
      <c r="K1041969" s="19"/>
      <c r="L1041969" s="19"/>
      <c r="M1041969" s="19"/>
      <c r="N1041969" s="19"/>
    </row>
    <row r="1041970" spans="1:14" s="83" customFormat="1" ht="12.75">
      <c r="A1041970" s="19"/>
      <c r="B1041970" s="19"/>
      <c r="C1041970" s="19"/>
      <c r="D1041970" s="19"/>
      <c r="E1041970" s="19"/>
      <c r="F1041970" s="19"/>
      <c r="G1041970" s="19"/>
      <c r="H1041970" s="19"/>
      <c r="I1041970" s="19"/>
      <c r="J1041970" s="19"/>
      <c r="K1041970" s="19"/>
      <c r="L1041970" s="19"/>
      <c r="M1041970" s="19"/>
      <c r="N1041970" s="19"/>
    </row>
    <row r="1041971" spans="1:14" s="83" customFormat="1" ht="12.75">
      <c r="A1041971" s="19"/>
      <c r="B1041971" s="19"/>
      <c r="C1041971" s="19"/>
      <c r="D1041971" s="19"/>
      <c r="E1041971" s="19"/>
      <c r="F1041971" s="19"/>
      <c r="G1041971" s="19"/>
      <c r="H1041971" s="19"/>
      <c r="I1041971" s="19"/>
      <c r="J1041971" s="19"/>
      <c r="K1041971" s="19"/>
      <c r="L1041971" s="19"/>
      <c r="M1041971" s="19"/>
      <c r="N1041971" s="19"/>
    </row>
    <row r="1041972" spans="1:14" s="83" customFormat="1" ht="12.75">
      <c r="A1041972" s="19"/>
      <c r="B1041972" s="19"/>
      <c r="C1041972" s="19"/>
      <c r="D1041972" s="19"/>
      <c r="E1041972" s="19"/>
      <c r="F1041972" s="19"/>
      <c r="G1041972" s="19"/>
      <c r="H1041972" s="19"/>
      <c r="I1041972" s="19"/>
      <c r="J1041972" s="19"/>
      <c r="K1041972" s="19"/>
      <c r="L1041972" s="19"/>
      <c r="M1041972" s="19"/>
      <c r="N1041972" s="19"/>
    </row>
    <row r="1041973" spans="1:14" s="83" customFormat="1" ht="12.75">
      <c r="A1041973" s="19"/>
      <c r="B1041973" s="19"/>
      <c r="C1041973" s="19"/>
      <c r="D1041973" s="19"/>
      <c r="E1041973" s="19"/>
      <c r="F1041973" s="19"/>
      <c r="G1041973" s="19"/>
      <c r="H1041973" s="19"/>
      <c r="I1041973" s="19"/>
      <c r="J1041973" s="19"/>
      <c r="K1041973" s="19"/>
      <c r="L1041973" s="19"/>
      <c r="M1041973" s="19"/>
      <c r="N1041973" s="19"/>
    </row>
    <row r="1041974" spans="1:14" s="83" customFormat="1" ht="12.75">
      <c r="A1041974" s="19"/>
      <c r="B1041974" s="19"/>
      <c r="C1041974" s="19"/>
      <c r="D1041974" s="19"/>
      <c r="E1041974" s="19"/>
      <c r="F1041974" s="19"/>
      <c r="G1041974" s="19"/>
      <c r="H1041974" s="19"/>
      <c r="I1041974" s="19"/>
      <c r="J1041974" s="19"/>
      <c r="K1041974" s="19"/>
      <c r="L1041974" s="19"/>
      <c r="M1041974" s="19"/>
      <c r="N1041974" s="19"/>
    </row>
    <row r="1041975" spans="1:14" s="83" customFormat="1" ht="12.75">
      <c r="A1041975" s="19"/>
      <c r="B1041975" s="19"/>
      <c r="C1041975" s="19"/>
      <c r="D1041975" s="19"/>
      <c r="E1041975" s="19"/>
      <c r="F1041975" s="19"/>
      <c r="G1041975" s="19"/>
      <c r="H1041975" s="19"/>
      <c r="I1041975" s="19"/>
      <c r="J1041975" s="19"/>
      <c r="K1041975" s="19"/>
      <c r="L1041975" s="19"/>
      <c r="M1041975" s="19"/>
      <c r="N1041975" s="19"/>
    </row>
    <row r="1041976" spans="1:14" s="83" customFormat="1" ht="12.75">
      <c r="A1041976" s="19"/>
      <c r="B1041976" s="19"/>
      <c r="C1041976" s="19"/>
      <c r="D1041976" s="19"/>
      <c r="E1041976" s="19"/>
      <c r="F1041976" s="19"/>
      <c r="G1041976" s="19"/>
      <c r="H1041976" s="19"/>
      <c r="I1041976" s="19"/>
      <c r="J1041976" s="19"/>
      <c r="K1041976" s="19"/>
      <c r="L1041976" s="19"/>
      <c r="M1041976" s="19"/>
      <c r="N1041976" s="19"/>
    </row>
    <row r="1041977" spans="1:14" s="83" customFormat="1" ht="12.75">
      <c r="A1041977" s="19"/>
      <c r="B1041977" s="19"/>
      <c r="C1041977" s="19"/>
      <c r="D1041977" s="19"/>
      <c r="E1041977" s="19"/>
      <c r="F1041977" s="19"/>
      <c r="G1041977" s="19"/>
      <c r="H1041977" s="19"/>
      <c r="I1041977" s="19"/>
      <c r="J1041977" s="19"/>
      <c r="K1041977" s="19"/>
      <c r="L1041977" s="19"/>
      <c r="M1041977" s="19"/>
      <c r="N1041977" s="19"/>
    </row>
    <row r="1041978" spans="1:14" s="83" customFormat="1" ht="12.75">
      <c r="A1041978" s="19"/>
      <c r="B1041978" s="19"/>
      <c r="C1041978" s="19"/>
      <c r="D1041978" s="19"/>
      <c r="E1041978" s="19"/>
      <c r="F1041978" s="19"/>
      <c r="G1041978" s="19"/>
      <c r="H1041978" s="19"/>
      <c r="I1041978" s="19"/>
      <c r="J1041978" s="19"/>
      <c r="K1041978" s="19"/>
      <c r="L1041978" s="19"/>
      <c r="M1041978" s="19"/>
      <c r="N1041978" s="19"/>
    </row>
    <row r="1041979" spans="1:14" s="83" customFormat="1" ht="12.75">
      <c r="A1041979" s="19"/>
      <c r="B1041979" s="19"/>
      <c r="C1041979" s="19"/>
      <c r="D1041979" s="19"/>
      <c r="E1041979" s="19"/>
      <c r="F1041979" s="19"/>
      <c r="G1041979" s="19"/>
      <c r="H1041979" s="19"/>
      <c r="I1041979" s="19"/>
      <c r="J1041979" s="19"/>
      <c r="K1041979" s="19"/>
      <c r="L1041979" s="19"/>
      <c r="M1041979" s="19"/>
      <c r="N1041979" s="19"/>
    </row>
    <row r="1041980" spans="1:14" s="83" customFormat="1" ht="12.75">
      <c r="A1041980" s="19"/>
      <c r="B1041980" s="19"/>
      <c r="C1041980" s="19"/>
      <c r="D1041980" s="19"/>
      <c r="E1041980" s="19"/>
      <c r="F1041980" s="19"/>
      <c r="G1041980" s="19"/>
      <c r="H1041980" s="19"/>
      <c r="I1041980" s="19"/>
      <c r="J1041980" s="19"/>
      <c r="K1041980" s="19"/>
      <c r="L1041980" s="19"/>
      <c r="M1041980" s="19"/>
      <c r="N1041980" s="19"/>
    </row>
    <row r="1041981" spans="1:14" s="83" customFormat="1" ht="12.75">
      <c r="A1041981" s="19"/>
      <c r="B1041981" s="19"/>
      <c r="C1041981" s="19"/>
      <c r="D1041981" s="19"/>
      <c r="E1041981" s="19"/>
      <c r="F1041981" s="19"/>
      <c r="G1041981" s="19"/>
      <c r="H1041981" s="19"/>
      <c r="I1041981" s="19"/>
      <c r="J1041981" s="19"/>
      <c r="K1041981" s="19"/>
      <c r="L1041981" s="19"/>
      <c r="M1041981" s="19"/>
      <c r="N1041981" s="19"/>
    </row>
    <row r="1041982" spans="1:14" s="83" customFormat="1" ht="12.75">
      <c r="A1041982" s="19"/>
      <c r="B1041982" s="19"/>
      <c r="C1041982" s="19"/>
      <c r="D1041982" s="19"/>
      <c r="E1041982" s="19"/>
      <c r="F1041982" s="19"/>
      <c r="G1041982" s="19"/>
      <c r="H1041982" s="19"/>
      <c r="I1041982" s="19"/>
      <c r="J1041982" s="19"/>
      <c r="K1041982" s="19"/>
      <c r="L1041982" s="19"/>
      <c r="M1041982" s="19"/>
      <c r="N1041982" s="19"/>
    </row>
    <row r="1041983" spans="1:14" s="83" customFormat="1" ht="12.75">
      <c r="A1041983" s="19"/>
      <c r="B1041983" s="19"/>
      <c r="C1041983" s="19"/>
      <c r="D1041983" s="19"/>
      <c r="E1041983" s="19"/>
      <c r="F1041983" s="19"/>
      <c r="G1041983" s="19"/>
      <c r="H1041983" s="19"/>
      <c r="I1041983" s="19"/>
      <c r="J1041983" s="19"/>
      <c r="K1041983" s="19"/>
      <c r="L1041983" s="19"/>
      <c r="M1041983" s="19"/>
      <c r="N1041983" s="19"/>
    </row>
    <row r="1041984" spans="1:14" s="83" customFormat="1" ht="12.75">
      <c r="A1041984" s="19"/>
      <c r="B1041984" s="19"/>
      <c r="C1041984" s="19"/>
      <c r="D1041984" s="19"/>
      <c r="E1041984" s="19"/>
      <c r="F1041984" s="19"/>
      <c r="G1041984" s="19"/>
      <c r="H1041984" s="19"/>
      <c r="I1041984" s="19"/>
      <c r="J1041984" s="19"/>
      <c r="K1041984" s="19"/>
      <c r="L1041984" s="19"/>
      <c r="M1041984" s="19"/>
      <c r="N1041984" s="19"/>
    </row>
    <row r="1041985" spans="1:14" s="83" customFormat="1" ht="12.75">
      <c r="A1041985" s="19"/>
      <c r="B1041985" s="19"/>
      <c r="C1041985" s="19"/>
      <c r="D1041985" s="19"/>
      <c r="E1041985" s="19"/>
      <c r="F1041985" s="19"/>
      <c r="G1041985" s="19"/>
      <c r="H1041985" s="19"/>
      <c r="I1041985" s="19"/>
      <c r="J1041985" s="19"/>
      <c r="K1041985" s="19"/>
      <c r="L1041985" s="19"/>
      <c r="M1041985" s="19"/>
      <c r="N1041985" s="19"/>
    </row>
    <row r="1041986" spans="1:14" s="83" customFormat="1" ht="12.75">
      <c r="A1041986" s="19"/>
      <c r="B1041986" s="19"/>
      <c r="C1041986" s="19"/>
      <c r="D1041986" s="19"/>
      <c r="E1041986" s="19"/>
      <c r="F1041986" s="19"/>
      <c r="G1041986" s="19"/>
      <c r="H1041986" s="19"/>
      <c r="I1041986" s="19"/>
      <c r="J1041986" s="19"/>
      <c r="K1041986" s="19"/>
      <c r="L1041986" s="19"/>
      <c r="M1041986" s="19"/>
      <c r="N1041986" s="19"/>
    </row>
    <row r="1041987" spans="1:14" s="83" customFormat="1" ht="12.75">
      <c r="A1041987" s="19"/>
      <c r="B1041987" s="19"/>
      <c r="C1041987" s="19"/>
      <c r="D1041987" s="19"/>
      <c r="E1041987" s="19"/>
      <c r="F1041987" s="19"/>
      <c r="G1041987" s="19"/>
      <c r="H1041987" s="19"/>
      <c r="I1041987" s="19"/>
      <c r="J1041987" s="19"/>
      <c r="K1041987" s="19"/>
      <c r="L1041987" s="19"/>
      <c r="M1041987" s="19"/>
      <c r="N1041987" s="19"/>
    </row>
    <row r="1041988" spans="1:14" s="83" customFormat="1" ht="12.75">
      <c r="A1041988" s="19"/>
      <c r="B1041988" s="19"/>
      <c r="C1041988" s="19"/>
      <c r="D1041988" s="19"/>
      <c r="E1041988" s="19"/>
      <c r="F1041988" s="19"/>
      <c r="G1041988" s="19"/>
      <c r="H1041988" s="19"/>
      <c r="I1041988" s="19"/>
      <c r="J1041988" s="19"/>
      <c r="K1041988" s="19"/>
      <c r="L1041988" s="19"/>
      <c r="M1041988" s="19"/>
      <c r="N1041988" s="19"/>
    </row>
    <row r="1041989" spans="1:14" s="83" customFormat="1" ht="12.75">
      <c r="A1041989" s="19"/>
      <c r="B1041989" s="19"/>
      <c r="C1041989" s="19"/>
      <c r="D1041989" s="19"/>
      <c r="E1041989" s="19"/>
      <c r="F1041989" s="19"/>
      <c r="G1041989" s="19"/>
      <c r="H1041989" s="19"/>
      <c r="I1041989" s="19"/>
      <c r="J1041989" s="19"/>
      <c r="K1041989" s="19"/>
      <c r="L1041989" s="19"/>
      <c r="M1041989" s="19"/>
      <c r="N1041989" s="19"/>
    </row>
    <row r="1041990" spans="1:14" s="83" customFormat="1" ht="12.75">
      <c r="A1041990" s="19"/>
      <c r="B1041990" s="19"/>
      <c r="C1041990" s="19"/>
      <c r="D1041990" s="19"/>
      <c r="E1041990" s="19"/>
      <c r="F1041990" s="19"/>
      <c r="G1041990" s="19"/>
      <c r="H1041990" s="19"/>
      <c r="I1041990" s="19"/>
      <c r="J1041990" s="19"/>
      <c r="K1041990" s="19"/>
      <c r="L1041990" s="19"/>
      <c r="M1041990" s="19"/>
      <c r="N1041990" s="19"/>
    </row>
    <row r="1041991" spans="1:14" s="83" customFormat="1" ht="12.75">
      <c r="A1041991" s="19"/>
      <c r="B1041991" s="19"/>
      <c r="C1041991" s="19"/>
      <c r="D1041991" s="19"/>
      <c r="E1041991" s="19"/>
      <c r="F1041991" s="19"/>
      <c r="G1041991" s="19"/>
      <c r="H1041991" s="19"/>
      <c r="I1041991" s="19"/>
      <c r="J1041991" s="19"/>
      <c r="K1041991" s="19"/>
      <c r="L1041991" s="19"/>
      <c r="M1041991" s="19"/>
      <c r="N1041991" s="19"/>
    </row>
    <row r="1041992" spans="1:14" s="83" customFormat="1" ht="12.75">
      <c r="A1041992" s="19"/>
      <c r="B1041992" s="19"/>
      <c r="C1041992" s="19"/>
      <c r="D1041992" s="19"/>
      <c r="E1041992" s="19"/>
      <c r="F1041992" s="19"/>
      <c r="G1041992" s="19"/>
      <c r="H1041992" s="19"/>
      <c r="I1041992" s="19"/>
      <c r="J1041992" s="19"/>
      <c r="K1041992" s="19"/>
      <c r="L1041992" s="19"/>
      <c r="M1041992" s="19"/>
      <c r="N1041992" s="19"/>
    </row>
    <row r="1041993" spans="1:14" s="83" customFormat="1" ht="12.75">
      <c r="A1041993" s="19"/>
      <c r="B1041993" s="19"/>
      <c r="C1041993" s="19"/>
      <c r="D1041993" s="19"/>
      <c r="E1041993" s="19"/>
      <c r="F1041993" s="19"/>
      <c r="G1041993" s="19"/>
      <c r="H1041993" s="19"/>
      <c r="I1041993" s="19"/>
      <c r="J1041993" s="19"/>
      <c r="K1041993" s="19"/>
      <c r="L1041993" s="19"/>
      <c r="M1041993" s="19"/>
      <c r="N1041993" s="19"/>
    </row>
    <row r="1041994" spans="1:14" s="83" customFormat="1" ht="12.75">
      <c r="A1041994" s="19"/>
      <c r="B1041994" s="19"/>
      <c r="C1041994" s="19"/>
      <c r="D1041994" s="19"/>
      <c r="E1041994" s="19"/>
      <c r="F1041994" s="19"/>
      <c r="G1041994" s="19"/>
      <c r="H1041994" s="19"/>
      <c r="I1041994" s="19"/>
      <c r="J1041994" s="19"/>
      <c r="K1041994" s="19"/>
      <c r="L1041994" s="19"/>
      <c r="M1041994" s="19"/>
      <c r="N1041994" s="19"/>
    </row>
    <row r="1041995" spans="1:14" s="83" customFormat="1" ht="12.75">
      <c r="A1041995" s="19"/>
      <c r="B1041995" s="19"/>
      <c r="C1041995" s="19"/>
      <c r="D1041995" s="19"/>
      <c r="E1041995" s="19"/>
      <c r="F1041995" s="19"/>
      <c r="G1041995" s="19"/>
      <c r="H1041995" s="19"/>
      <c r="I1041995" s="19"/>
      <c r="J1041995" s="19"/>
      <c r="K1041995" s="19"/>
      <c r="L1041995" s="19"/>
      <c r="M1041995" s="19"/>
      <c r="N1041995" s="19"/>
    </row>
    <row r="1041996" spans="1:14" s="83" customFormat="1" ht="12.75">
      <c r="A1041996" s="19"/>
      <c r="B1041996" s="19"/>
      <c r="C1041996" s="19"/>
      <c r="D1041996" s="19"/>
      <c r="E1041996" s="19"/>
      <c r="F1041996" s="19"/>
      <c r="G1041996" s="19"/>
      <c r="H1041996" s="19"/>
      <c r="I1041996" s="19"/>
      <c r="J1041996" s="19"/>
      <c r="K1041996" s="19"/>
      <c r="L1041996" s="19"/>
      <c r="M1041996" s="19"/>
      <c r="N1041996" s="19"/>
    </row>
    <row r="1041997" spans="1:14" s="83" customFormat="1" ht="12.75">
      <c r="A1041997" s="19"/>
      <c r="B1041997" s="19"/>
      <c r="C1041997" s="19"/>
      <c r="D1041997" s="19"/>
      <c r="E1041997" s="19"/>
      <c r="F1041997" s="19"/>
      <c r="G1041997" s="19"/>
      <c r="H1041997" s="19"/>
      <c r="I1041997" s="19"/>
      <c r="J1041997" s="19"/>
      <c r="K1041997" s="19"/>
      <c r="L1041997" s="19"/>
      <c r="M1041997" s="19"/>
      <c r="N1041997" s="19"/>
    </row>
    <row r="1041998" spans="1:14" s="83" customFormat="1" ht="12.75">
      <c r="A1041998" s="19"/>
      <c r="B1041998" s="19"/>
      <c r="C1041998" s="19"/>
      <c r="D1041998" s="19"/>
      <c r="E1041998" s="19"/>
      <c r="F1041998" s="19"/>
      <c r="G1041998" s="19"/>
      <c r="H1041998" s="19"/>
      <c r="I1041998" s="19"/>
      <c r="J1041998" s="19"/>
      <c r="K1041998" s="19"/>
      <c r="L1041998" s="19"/>
      <c r="M1041998" s="19"/>
      <c r="N1041998" s="19"/>
    </row>
    <row r="1041999" spans="1:14" s="83" customFormat="1" ht="12.75">
      <c r="A1041999" s="19"/>
      <c r="B1041999" s="19"/>
      <c r="C1041999" s="19"/>
      <c r="D1041999" s="19"/>
      <c r="E1041999" s="19"/>
      <c r="F1041999" s="19"/>
      <c r="G1041999" s="19"/>
      <c r="H1041999" s="19"/>
      <c r="I1041999" s="19"/>
      <c r="J1041999" s="19"/>
      <c r="K1041999" s="19"/>
      <c r="L1041999" s="19"/>
      <c r="M1041999" s="19"/>
      <c r="N1041999" s="19"/>
    </row>
    <row r="1042000" spans="1:14" s="83" customFormat="1" ht="12.75">
      <c r="A1042000" s="19"/>
      <c r="B1042000" s="19"/>
      <c r="C1042000" s="19"/>
      <c r="D1042000" s="19"/>
      <c r="E1042000" s="19"/>
      <c r="F1042000" s="19"/>
      <c r="G1042000" s="19"/>
      <c r="H1042000" s="19"/>
      <c r="I1042000" s="19"/>
      <c r="J1042000" s="19"/>
      <c r="K1042000" s="19"/>
      <c r="L1042000" s="19"/>
      <c r="M1042000" s="19"/>
      <c r="N1042000" s="19"/>
    </row>
    <row r="1042001" spans="1:14" s="83" customFormat="1" ht="12.75">
      <c r="A1042001" s="19"/>
      <c r="B1042001" s="19"/>
      <c r="C1042001" s="19"/>
      <c r="D1042001" s="19"/>
      <c r="E1042001" s="19"/>
      <c r="F1042001" s="19"/>
      <c r="G1042001" s="19"/>
      <c r="H1042001" s="19"/>
      <c r="I1042001" s="19"/>
      <c r="J1042001" s="19"/>
      <c r="K1042001" s="19"/>
      <c r="L1042001" s="19"/>
      <c r="M1042001" s="19"/>
      <c r="N1042001" s="19"/>
    </row>
    <row r="1042002" spans="1:14" s="83" customFormat="1" ht="12.75">
      <c r="A1042002" s="19"/>
      <c r="B1042002" s="19"/>
      <c r="C1042002" s="19"/>
      <c r="D1042002" s="19"/>
      <c r="E1042002" s="19"/>
      <c r="F1042002" s="19"/>
      <c r="G1042002" s="19"/>
      <c r="H1042002" s="19"/>
      <c r="I1042002" s="19"/>
      <c r="J1042002" s="19"/>
      <c r="K1042002" s="19"/>
      <c r="L1042002" s="19"/>
      <c r="M1042002" s="19"/>
      <c r="N1042002" s="19"/>
    </row>
    <row r="1042003" spans="1:14" s="83" customFormat="1" ht="12.75">
      <c r="A1042003" s="19"/>
      <c r="B1042003" s="19"/>
      <c r="C1042003" s="19"/>
      <c r="D1042003" s="19"/>
      <c r="E1042003" s="19"/>
      <c r="F1042003" s="19"/>
      <c r="G1042003" s="19"/>
      <c r="H1042003" s="19"/>
      <c r="I1042003" s="19"/>
      <c r="J1042003" s="19"/>
      <c r="K1042003" s="19"/>
      <c r="L1042003" s="19"/>
      <c r="M1042003" s="19"/>
      <c r="N1042003" s="19"/>
    </row>
    <row r="1042004" spans="1:14" s="83" customFormat="1" ht="12.75">
      <c r="A1042004" s="19"/>
      <c r="B1042004" s="19"/>
      <c r="C1042004" s="19"/>
      <c r="D1042004" s="19"/>
      <c r="E1042004" s="19"/>
      <c r="F1042004" s="19"/>
      <c r="G1042004" s="19"/>
      <c r="H1042004" s="19"/>
      <c r="I1042004" s="19"/>
      <c r="J1042004" s="19"/>
      <c r="K1042004" s="19"/>
      <c r="L1042004" s="19"/>
      <c r="M1042004" s="19"/>
      <c r="N1042004" s="19"/>
    </row>
    <row r="1042005" spans="1:14" s="83" customFormat="1" ht="12.75">
      <c r="A1042005" s="19"/>
      <c r="B1042005" s="19"/>
      <c r="C1042005" s="19"/>
      <c r="D1042005" s="19"/>
      <c r="E1042005" s="19"/>
      <c r="F1042005" s="19"/>
      <c r="G1042005" s="19"/>
      <c r="H1042005" s="19"/>
      <c r="I1042005" s="19"/>
      <c r="J1042005" s="19"/>
      <c r="K1042005" s="19"/>
      <c r="L1042005" s="19"/>
      <c r="M1042005" s="19"/>
      <c r="N1042005" s="19"/>
    </row>
    <row r="1042006" spans="1:14" s="83" customFormat="1" ht="12.75">
      <c r="A1042006" s="19"/>
      <c r="B1042006" s="19"/>
      <c r="C1042006" s="19"/>
      <c r="D1042006" s="19"/>
      <c r="E1042006" s="19"/>
      <c r="F1042006" s="19"/>
      <c r="G1042006" s="19"/>
      <c r="H1042006" s="19"/>
      <c r="I1042006" s="19"/>
      <c r="J1042006" s="19"/>
      <c r="K1042006" s="19"/>
      <c r="L1042006" s="19"/>
      <c r="M1042006" s="19"/>
      <c r="N1042006" s="19"/>
    </row>
    <row r="1042007" spans="1:14" s="83" customFormat="1" ht="12.75">
      <c r="A1042007" s="19"/>
      <c r="B1042007" s="19"/>
      <c r="C1042007" s="19"/>
      <c r="D1042007" s="19"/>
      <c r="E1042007" s="19"/>
      <c r="F1042007" s="19"/>
      <c r="G1042007" s="19"/>
      <c r="H1042007" s="19"/>
      <c r="I1042007" s="19"/>
      <c r="J1042007" s="19"/>
      <c r="K1042007" s="19"/>
      <c r="L1042007" s="19"/>
      <c r="M1042007" s="19"/>
      <c r="N1042007" s="19"/>
    </row>
    <row r="1042008" spans="1:14" s="83" customFormat="1" ht="12.75">
      <c r="A1042008" s="19"/>
      <c r="B1042008" s="19"/>
      <c r="C1042008" s="19"/>
      <c r="D1042008" s="19"/>
      <c r="E1042008" s="19"/>
      <c r="F1042008" s="19"/>
      <c r="G1042008" s="19"/>
      <c r="H1042008" s="19"/>
      <c r="I1042008" s="19"/>
      <c r="J1042008" s="19"/>
      <c r="K1042008" s="19"/>
      <c r="L1042008" s="19"/>
      <c r="M1042008" s="19"/>
      <c r="N1042008" s="19"/>
    </row>
    <row r="1042009" spans="1:14" s="83" customFormat="1" ht="12.75">
      <c r="A1042009" s="19"/>
      <c r="B1042009" s="19"/>
      <c r="C1042009" s="19"/>
      <c r="D1042009" s="19"/>
      <c r="E1042009" s="19"/>
      <c r="F1042009" s="19"/>
      <c r="G1042009" s="19"/>
      <c r="H1042009" s="19"/>
      <c r="I1042009" s="19"/>
      <c r="J1042009" s="19"/>
      <c r="K1042009" s="19"/>
      <c r="L1042009" s="19"/>
      <c r="M1042009" s="19"/>
      <c r="N1042009" s="19"/>
    </row>
    <row r="1042010" spans="1:14" s="83" customFormat="1" ht="12.75">
      <c r="A1042010" s="19"/>
      <c r="B1042010" s="19"/>
      <c r="C1042010" s="19"/>
      <c r="D1042010" s="19"/>
      <c r="E1042010" s="19"/>
      <c r="F1042010" s="19"/>
      <c r="G1042010" s="19"/>
      <c r="H1042010" s="19"/>
      <c r="I1042010" s="19"/>
      <c r="J1042010" s="19"/>
      <c r="K1042010" s="19"/>
      <c r="L1042010" s="19"/>
      <c r="M1042010" s="19"/>
      <c r="N1042010" s="19"/>
    </row>
    <row r="1042011" spans="1:14" s="83" customFormat="1" ht="12.75">
      <c r="A1042011" s="19"/>
      <c r="B1042011" s="19"/>
      <c r="C1042011" s="19"/>
      <c r="D1042011" s="19"/>
      <c r="E1042011" s="19"/>
      <c r="F1042011" s="19"/>
      <c r="G1042011" s="19"/>
      <c r="H1042011" s="19"/>
      <c r="I1042011" s="19"/>
      <c r="J1042011" s="19"/>
      <c r="K1042011" s="19"/>
      <c r="L1042011" s="19"/>
      <c r="M1042011" s="19"/>
      <c r="N1042011" s="19"/>
    </row>
    <row r="1042012" spans="1:14" s="83" customFormat="1" ht="12.75">
      <c r="A1042012" s="19"/>
      <c r="B1042012" s="19"/>
      <c r="C1042012" s="19"/>
      <c r="D1042012" s="19"/>
      <c r="E1042012" s="19"/>
      <c r="F1042012" s="19"/>
      <c r="G1042012" s="19"/>
      <c r="H1042012" s="19"/>
      <c r="I1042012" s="19"/>
      <c r="J1042012" s="19"/>
      <c r="K1042012" s="19"/>
      <c r="L1042012" s="19"/>
      <c r="M1042012" s="19"/>
      <c r="N1042012" s="19"/>
    </row>
    <row r="1042013" spans="1:14" s="83" customFormat="1" ht="12.75">
      <c r="A1042013" s="19"/>
      <c r="B1042013" s="19"/>
      <c r="C1042013" s="19"/>
      <c r="D1042013" s="19"/>
      <c r="E1042013" s="19"/>
      <c r="F1042013" s="19"/>
      <c r="G1042013" s="19"/>
      <c r="H1042013" s="19"/>
      <c r="I1042013" s="19"/>
      <c r="J1042013" s="19"/>
      <c r="K1042013" s="19"/>
      <c r="L1042013" s="19"/>
      <c r="M1042013" s="19"/>
      <c r="N1042013" s="19"/>
    </row>
    <row r="1042014" spans="1:14" s="83" customFormat="1" ht="12.75">
      <c r="A1042014" s="19"/>
      <c r="B1042014" s="19"/>
      <c r="C1042014" s="19"/>
      <c r="D1042014" s="19"/>
      <c r="E1042014" s="19"/>
      <c r="F1042014" s="19"/>
      <c r="G1042014" s="19"/>
      <c r="H1042014" s="19"/>
      <c r="I1042014" s="19"/>
      <c r="J1042014" s="19"/>
      <c r="K1042014" s="19"/>
      <c r="L1042014" s="19"/>
      <c r="M1042014" s="19"/>
      <c r="N1042014" s="19"/>
    </row>
    <row r="1042015" spans="1:14" s="83" customFormat="1" ht="12.75">
      <c r="A1042015" s="19"/>
      <c r="B1042015" s="19"/>
      <c r="C1042015" s="19"/>
      <c r="D1042015" s="19"/>
      <c r="E1042015" s="19"/>
      <c r="F1042015" s="19"/>
      <c r="G1042015" s="19"/>
      <c r="H1042015" s="19"/>
      <c r="I1042015" s="19"/>
      <c r="J1042015" s="19"/>
      <c r="K1042015" s="19"/>
      <c r="L1042015" s="19"/>
      <c r="M1042015" s="19"/>
      <c r="N1042015" s="19"/>
    </row>
    <row r="1042016" spans="1:14" s="83" customFormat="1" ht="12.75">
      <c r="A1042016" s="19"/>
      <c r="B1042016" s="19"/>
      <c r="C1042016" s="19"/>
      <c r="D1042016" s="19"/>
      <c r="E1042016" s="19"/>
      <c r="F1042016" s="19"/>
      <c r="G1042016" s="19"/>
      <c r="H1042016" s="19"/>
      <c r="I1042016" s="19"/>
      <c r="J1042016" s="19"/>
      <c r="K1042016" s="19"/>
      <c r="L1042016" s="19"/>
      <c r="M1042016" s="19"/>
      <c r="N1042016" s="19"/>
    </row>
    <row r="1042017" spans="1:14" s="83" customFormat="1" ht="12.75">
      <c r="A1042017" s="19"/>
      <c r="B1042017" s="19"/>
      <c r="C1042017" s="19"/>
      <c r="D1042017" s="19"/>
      <c r="E1042017" s="19"/>
      <c r="F1042017" s="19"/>
      <c r="G1042017" s="19"/>
      <c r="H1042017" s="19"/>
      <c r="I1042017" s="19"/>
      <c r="J1042017" s="19"/>
      <c r="K1042017" s="19"/>
      <c r="L1042017" s="19"/>
      <c r="M1042017" s="19"/>
      <c r="N1042017" s="19"/>
    </row>
    <row r="1042018" spans="1:14" s="83" customFormat="1" ht="12.75">
      <c r="A1042018" s="19"/>
      <c r="B1042018" s="19"/>
      <c r="C1042018" s="19"/>
      <c r="D1042018" s="19"/>
      <c r="E1042018" s="19"/>
      <c r="F1042018" s="19"/>
      <c r="G1042018" s="19"/>
      <c r="H1042018" s="19"/>
      <c r="I1042018" s="19"/>
      <c r="J1042018" s="19"/>
      <c r="K1042018" s="19"/>
      <c r="L1042018" s="19"/>
      <c r="M1042018" s="19"/>
      <c r="N1042018" s="19"/>
    </row>
    <row r="1042019" spans="1:14" s="83" customFormat="1" ht="12.75">
      <c r="A1042019" s="19"/>
      <c r="B1042019" s="19"/>
      <c r="C1042019" s="19"/>
      <c r="D1042019" s="19"/>
      <c r="E1042019" s="19"/>
      <c r="F1042019" s="19"/>
      <c r="G1042019" s="19"/>
      <c r="H1042019" s="19"/>
      <c r="I1042019" s="19"/>
      <c r="J1042019" s="19"/>
      <c r="K1042019" s="19"/>
      <c r="L1042019" s="19"/>
      <c r="M1042019" s="19"/>
      <c r="N1042019" s="19"/>
    </row>
    <row r="1042020" spans="1:14" s="83" customFormat="1" ht="12.75">
      <c r="A1042020" s="19"/>
      <c r="B1042020" s="19"/>
      <c r="C1042020" s="19"/>
      <c r="D1042020" s="19"/>
      <c r="E1042020" s="19"/>
      <c r="F1042020" s="19"/>
      <c r="G1042020" s="19"/>
      <c r="H1042020" s="19"/>
      <c r="I1042020" s="19"/>
      <c r="J1042020" s="19"/>
      <c r="K1042020" s="19"/>
      <c r="L1042020" s="19"/>
      <c r="M1042020" s="19"/>
      <c r="N1042020" s="19"/>
    </row>
    <row r="1042021" spans="1:14" s="83" customFormat="1" ht="12.75">
      <c r="A1042021" s="19"/>
      <c r="B1042021" s="19"/>
      <c r="C1042021" s="19"/>
      <c r="D1042021" s="19"/>
      <c r="E1042021" s="19"/>
      <c r="F1042021" s="19"/>
      <c r="G1042021" s="19"/>
      <c r="H1042021" s="19"/>
      <c r="I1042021" s="19"/>
      <c r="J1042021" s="19"/>
      <c r="K1042021" s="19"/>
      <c r="L1042021" s="19"/>
      <c r="M1042021" s="19"/>
      <c r="N1042021" s="19"/>
    </row>
    <row r="1042022" spans="1:14" s="83" customFormat="1" ht="12.75">
      <c r="A1042022" s="19"/>
      <c r="B1042022" s="19"/>
      <c r="C1042022" s="19"/>
      <c r="D1042022" s="19"/>
      <c r="E1042022" s="19"/>
      <c r="F1042022" s="19"/>
      <c r="G1042022" s="19"/>
      <c r="H1042022" s="19"/>
      <c r="I1042022" s="19"/>
      <c r="J1042022" s="19"/>
      <c r="K1042022" s="19"/>
      <c r="L1042022" s="19"/>
      <c r="M1042022" s="19"/>
      <c r="N1042022" s="19"/>
    </row>
    <row r="1042023" spans="1:14" s="83" customFormat="1" ht="12.75">
      <c r="A1042023" s="19"/>
      <c r="B1042023" s="19"/>
      <c r="C1042023" s="19"/>
      <c r="D1042023" s="19"/>
      <c r="E1042023" s="19"/>
      <c r="F1042023" s="19"/>
      <c r="G1042023" s="19"/>
      <c r="H1042023" s="19"/>
      <c r="I1042023" s="19"/>
      <c r="J1042023" s="19"/>
      <c r="K1042023" s="19"/>
      <c r="L1042023" s="19"/>
      <c r="M1042023" s="19"/>
      <c r="N1042023" s="19"/>
    </row>
    <row r="1042024" spans="1:14" s="83" customFormat="1" ht="12.75">
      <c r="A1042024" s="19"/>
      <c r="B1042024" s="19"/>
      <c r="C1042024" s="19"/>
      <c r="D1042024" s="19"/>
      <c r="E1042024" s="19"/>
      <c r="F1042024" s="19"/>
      <c r="G1042024" s="19"/>
      <c r="H1042024" s="19"/>
      <c r="I1042024" s="19"/>
      <c r="J1042024" s="19"/>
      <c r="K1042024" s="19"/>
      <c r="L1042024" s="19"/>
      <c r="M1042024" s="19"/>
      <c r="N1042024" s="19"/>
    </row>
    <row r="1042025" spans="1:14" s="83" customFormat="1" ht="12.75">
      <c r="A1042025" s="19"/>
      <c r="B1042025" s="19"/>
      <c r="C1042025" s="19"/>
      <c r="D1042025" s="19"/>
      <c r="E1042025" s="19"/>
      <c r="F1042025" s="19"/>
      <c r="G1042025" s="19"/>
      <c r="H1042025" s="19"/>
      <c r="I1042025" s="19"/>
      <c r="J1042025" s="19"/>
      <c r="K1042025" s="19"/>
      <c r="L1042025" s="19"/>
      <c r="M1042025" s="19"/>
      <c r="N1042025" s="19"/>
    </row>
    <row r="1042026" spans="1:14" s="83" customFormat="1" ht="12.75">
      <c r="A1042026" s="19"/>
      <c r="B1042026" s="19"/>
      <c r="C1042026" s="19"/>
      <c r="D1042026" s="19"/>
      <c r="E1042026" s="19"/>
      <c r="F1042026" s="19"/>
      <c r="G1042026" s="19"/>
      <c r="H1042026" s="19"/>
      <c r="I1042026" s="19"/>
      <c r="J1042026" s="19"/>
      <c r="K1042026" s="19"/>
      <c r="L1042026" s="19"/>
      <c r="M1042026" s="19"/>
      <c r="N1042026" s="19"/>
    </row>
    <row r="1042027" spans="1:14" s="83" customFormat="1" ht="12.75">
      <c r="A1042027" s="19"/>
      <c r="B1042027" s="19"/>
      <c r="C1042027" s="19"/>
      <c r="D1042027" s="19"/>
      <c r="E1042027" s="19"/>
      <c r="F1042027" s="19"/>
      <c r="G1042027" s="19"/>
      <c r="H1042027" s="19"/>
      <c r="I1042027" s="19"/>
      <c r="J1042027" s="19"/>
      <c r="K1042027" s="19"/>
      <c r="L1042027" s="19"/>
      <c r="M1042027" s="19"/>
      <c r="N1042027" s="19"/>
    </row>
    <row r="1042028" spans="1:14" s="83" customFormat="1" ht="12.75">
      <c r="A1042028" s="19"/>
      <c r="B1042028" s="19"/>
      <c r="C1042028" s="19"/>
      <c r="D1042028" s="19"/>
      <c r="E1042028" s="19"/>
      <c r="F1042028" s="19"/>
      <c r="G1042028" s="19"/>
      <c r="H1042028" s="19"/>
      <c r="I1042028" s="19"/>
      <c r="J1042028" s="19"/>
      <c r="K1042028" s="19"/>
      <c r="L1042028" s="19"/>
      <c r="M1042028" s="19"/>
      <c r="N1042028" s="19"/>
    </row>
    <row r="1042029" spans="1:14" s="83" customFormat="1" ht="12.75">
      <c r="A1042029" s="19"/>
      <c r="B1042029" s="19"/>
      <c r="C1042029" s="19"/>
      <c r="D1042029" s="19"/>
      <c r="E1042029" s="19"/>
      <c r="F1042029" s="19"/>
      <c r="G1042029" s="19"/>
      <c r="H1042029" s="19"/>
      <c r="I1042029" s="19"/>
      <c r="J1042029" s="19"/>
      <c r="K1042029" s="19"/>
      <c r="L1042029" s="19"/>
      <c r="M1042029" s="19"/>
      <c r="N1042029" s="19"/>
    </row>
    <row r="1042030" spans="1:14" s="83" customFormat="1" ht="12.75">
      <c r="A1042030" s="19"/>
      <c r="B1042030" s="19"/>
      <c r="C1042030" s="19"/>
      <c r="D1042030" s="19"/>
      <c r="E1042030" s="19"/>
      <c r="F1042030" s="19"/>
      <c r="G1042030" s="19"/>
      <c r="H1042030" s="19"/>
      <c r="I1042030" s="19"/>
      <c r="J1042030" s="19"/>
      <c r="K1042030" s="19"/>
      <c r="L1042030" s="19"/>
      <c r="M1042030" s="19"/>
      <c r="N1042030" s="19"/>
    </row>
    <row r="1042031" spans="1:14" s="83" customFormat="1" ht="12.75">
      <c r="A1042031" s="19"/>
      <c r="B1042031" s="19"/>
      <c r="C1042031" s="19"/>
      <c r="D1042031" s="19"/>
      <c r="E1042031" s="19"/>
      <c r="F1042031" s="19"/>
      <c r="G1042031" s="19"/>
      <c r="H1042031" s="19"/>
      <c r="I1042031" s="19"/>
      <c r="J1042031" s="19"/>
      <c r="K1042031" s="19"/>
      <c r="L1042031" s="19"/>
      <c r="M1042031" s="19"/>
      <c r="N1042031" s="19"/>
    </row>
    <row r="1042032" spans="1:14" s="83" customFormat="1" ht="12.75">
      <c r="A1042032" s="19"/>
      <c r="B1042032" s="19"/>
      <c r="C1042032" s="19"/>
      <c r="D1042032" s="19"/>
      <c r="E1042032" s="19"/>
      <c r="F1042032" s="19"/>
      <c r="G1042032" s="19"/>
      <c r="H1042032" s="19"/>
      <c r="I1042032" s="19"/>
      <c r="J1042032" s="19"/>
      <c r="K1042032" s="19"/>
      <c r="L1042032" s="19"/>
      <c r="M1042032" s="19"/>
      <c r="N1042032" s="19"/>
    </row>
    <row r="1042033" spans="1:14" s="83" customFormat="1" ht="12.75">
      <c r="A1042033" s="19"/>
      <c r="B1042033" s="19"/>
      <c r="C1042033" s="19"/>
      <c r="D1042033" s="19"/>
      <c r="E1042033" s="19"/>
      <c r="F1042033" s="19"/>
      <c r="G1042033" s="19"/>
      <c r="H1042033" s="19"/>
      <c r="I1042033" s="19"/>
      <c r="J1042033" s="19"/>
      <c r="K1042033" s="19"/>
      <c r="L1042033" s="19"/>
      <c r="M1042033" s="19"/>
      <c r="N1042033" s="19"/>
    </row>
    <row r="1042034" spans="1:14" s="83" customFormat="1" ht="12.75">
      <c r="A1042034" s="19"/>
      <c r="B1042034" s="19"/>
      <c r="C1042034" s="19"/>
      <c r="D1042034" s="19"/>
      <c r="E1042034" s="19"/>
      <c r="F1042034" s="19"/>
      <c r="G1042034" s="19"/>
      <c r="H1042034" s="19"/>
      <c r="I1042034" s="19"/>
      <c r="J1042034" s="19"/>
      <c r="K1042034" s="19"/>
      <c r="L1042034" s="19"/>
      <c r="M1042034" s="19"/>
      <c r="N1042034" s="19"/>
    </row>
    <row r="1042035" spans="1:14" s="83" customFormat="1" ht="12.75">
      <c r="A1042035" s="19"/>
      <c r="B1042035" s="19"/>
      <c r="C1042035" s="19"/>
      <c r="D1042035" s="19"/>
      <c r="E1042035" s="19"/>
      <c r="F1042035" s="19"/>
      <c r="G1042035" s="19"/>
      <c r="H1042035" s="19"/>
      <c r="I1042035" s="19"/>
      <c r="J1042035" s="19"/>
      <c r="K1042035" s="19"/>
      <c r="L1042035" s="19"/>
      <c r="M1042035" s="19"/>
      <c r="N1042035" s="19"/>
    </row>
    <row r="1042036" spans="1:14" s="83" customFormat="1" ht="12.75">
      <c r="A1042036" s="19"/>
      <c r="B1042036" s="19"/>
      <c r="C1042036" s="19"/>
      <c r="D1042036" s="19"/>
      <c r="E1042036" s="19"/>
      <c r="F1042036" s="19"/>
      <c r="G1042036" s="19"/>
      <c r="H1042036" s="19"/>
      <c r="I1042036" s="19"/>
      <c r="J1042036" s="19"/>
      <c r="K1042036" s="19"/>
      <c r="L1042036" s="19"/>
      <c r="M1042036" s="19"/>
      <c r="N1042036" s="19"/>
    </row>
    <row r="1042037" spans="1:14" s="83" customFormat="1" ht="12.75">
      <c r="A1042037" s="19"/>
      <c r="B1042037" s="19"/>
      <c r="C1042037" s="19"/>
      <c r="D1042037" s="19"/>
      <c r="E1042037" s="19"/>
      <c r="F1042037" s="19"/>
      <c r="G1042037" s="19"/>
      <c r="H1042037" s="19"/>
      <c r="I1042037" s="19"/>
      <c r="J1042037" s="19"/>
      <c r="K1042037" s="19"/>
      <c r="L1042037" s="19"/>
      <c r="M1042037" s="19"/>
      <c r="N1042037" s="19"/>
    </row>
    <row r="1042038" spans="1:14" s="83" customFormat="1" ht="12.75">
      <c r="A1042038" s="19"/>
      <c r="B1042038" s="19"/>
      <c r="C1042038" s="19"/>
      <c r="D1042038" s="19"/>
      <c r="E1042038" s="19"/>
      <c r="F1042038" s="19"/>
      <c r="G1042038" s="19"/>
      <c r="H1042038" s="19"/>
      <c r="I1042038" s="19"/>
      <c r="J1042038" s="19"/>
      <c r="K1042038" s="19"/>
      <c r="L1042038" s="19"/>
      <c r="M1042038" s="19"/>
      <c r="N1042038" s="19"/>
    </row>
    <row r="1042039" spans="1:14" s="83" customFormat="1" ht="12.75">
      <c r="A1042039" s="19"/>
      <c r="B1042039" s="19"/>
      <c r="C1042039" s="19"/>
      <c r="D1042039" s="19"/>
      <c r="E1042039" s="19"/>
      <c r="F1042039" s="19"/>
      <c r="G1042039" s="19"/>
      <c r="H1042039" s="19"/>
      <c r="I1042039" s="19"/>
      <c r="J1042039" s="19"/>
      <c r="K1042039" s="19"/>
      <c r="L1042039" s="19"/>
      <c r="M1042039" s="19"/>
      <c r="N1042039" s="19"/>
    </row>
    <row r="1042040" spans="1:14" s="83" customFormat="1" ht="12.75">
      <c r="A1042040" s="19"/>
      <c r="B1042040" s="19"/>
      <c r="C1042040" s="19"/>
      <c r="D1042040" s="19"/>
      <c r="E1042040" s="19"/>
      <c r="F1042040" s="19"/>
      <c r="G1042040" s="19"/>
      <c r="H1042040" s="19"/>
      <c r="I1042040" s="19"/>
      <c r="J1042040" s="19"/>
      <c r="K1042040" s="19"/>
      <c r="L1042040" s="19"/>
      <c r="M1042040" s="19"/>
      <c r="N1042040" s="19"/>
    </row>
    <row r="1042041" spans="1:14" s="83" customFormat="1" ht="12.75">
      <c r="A1042041" s="19"/>
      <c r="B1042041" s="19"/>
      <c r="C1042041" s="19"/>
      <c r="D1042041" s="19"/>
      <c r="E1042041" s="19"/>
      <c r="F1042041" s="19"/>
      <c r="G1042041" s="19"/>
      <c r="H1042041" s="19"/>
      <c r="I1042041" s="19"/>
      <c r="J1042041" s="19"/>
      <c r="K1042041" s="19"/>
      <c r="L1042041" s="19"/>
      <c r="M1042041" s="19"/>
      <c r="N1042041" s="19"/>
    </row>
    <row r="1042042" spans="1:14" s="83" customFormat="1" ht="12.75">
      <c r="A1042042" s="19"/>
      <c r="B1042042" s="19"/>
      <c r="C1042042" s="19"/>
      <c r="D1042042" s="19"/>
      <c r="E1042042" s="19"/>
      <c r="F1042042" s="19"/>
      <c r="G1042042" s="19"/>
      <c r="H1042042" s="19"/>
      <c r="I1042042" s="19"/>
      <c r="J1042042" s="19"/>
      <c r="K1042042" s="19"/>
      <c r="L1042042" s="19"/>
      <c r="M1042042" s="19"/>
      <c r="N1042042" s="19"/>
    </row>
    <row r="1042043" spans="1:14" s="83" customFormat="1" ht="12.75">
      <c r="A1042043" s="19"/>
      <c r="B1042043" s="19"/>
      <c r="C1042043" s="19"/>
      <c r="D1042043" s="19"/>
      <c r="E1042043" s="19"/>
      <c r="F1042043" s="19"/>
      <c r="G1042043" s="19"/>
      <c r="H1042043" s="19"/>
      <c r="I1042043" s="19"/>
      <c r="J1042043" s="19"/>
      <c r="K1042043" s="19"/>
      <c r="L1042043" s="19"/>
      <c r="M1042043" s="19"/>
      <c r="N1042043" s="19"/>
    </row>
    <row r="1042044" spans="1:14" s="83" customFormat="1" ht="12.75">
      <c r="A1042044" s="19"/>
      <c r="B1042044" s="19"/>
      <c r="C1042044" s="19"/>
      <c r="D1042044" s="19"/>
      <c r="E1042044" s="19"/>
      <c r="F1042044" s="19"/>
      <c r="G1042044" s="19"/>
      <c r="H1042044" s="19"/>
      <c r="I1042044" s="19"/>
      <c r="J1042044" s="19"/>
      <c r="K1042044" s="19"/>
      <c r="L1042044" s="19"/>
      <c r="M1042044" s="19"/>
      <c r="N1042044" s="19"/>
    </row>
    <row r="1042045" spans="1:14" s="83" customFormat="1" ht="12.75">
      <c r="A1042045" s="19"/>
      <c r="B1042045" s="19"/>
      <c r="C1042045" s="19"/>
      <c r="D1042045" s="19"/>
      <c r="E1042045" s="19"/>
      <c r="F1042045" s="19"/>
      <c r="G1042045" s="19"/>
      <c r="H1042045" s="19"/>
      <c r="I1042045" s="19"/>
      <c r="J1042045" s="19"/>
      <c r="K1042045" s="19"/>
      <c r="L1042045" s="19"/>
      <c r="M1042045" s="19"/>
      <c r="N1042045" s="19"/>
    </row>
    <row r="1042046" spans="1:14" s="83" customFormat="1" ht="12.75">
      <c r="A1042046" s="19"/>
      <c r="B1042046" s="19"/>
      <c r="C1042046" s="19"/>
      <c r="D1042046" s="19"/>
      <c r="E1042046" s="19"/>
      <c r="F1042046" s="19"/>
      <c r="G1042046" s="19"/>
      <c r="H1042046" s="19"/>
      <c r="I1042046" s="19"/>
      <c r="J1042046" s="19"/>
      <c r="K1042046" s="19"/>
      <c r="L1042046" s="19"/>
      <c r="M1042046" s="19"/>
      <c r="N1042046" s="19"/>
    </row>
    <row r="1042047" spans="1:14" s="83" customFormat="1" ht="12.75">
      <c r="A1042047" s="19"/>
      <c r="B1042047" s="19"/>
      <c r="C1042047" s="19"/>
      <c r="D1042047" s="19"/>
      <c r="E1042047" s="19"/>
      <c r="F1042047" s="19"/>
      <c r="G1042047" s="19"/>
      <c r="H1042047" s="19"/>
      <c r="I1042047" s="19"/>
      <c r="J1042047" s="19"/>
      <c r="K1042047" s="19"/>
      <c r="L1042047" s="19"/>
      <c r="M1042047" s="19"/>
      <c r="N1042047" s="19"/>
    </row>
    <row r="1042048" spans="1:14" s="83" customFormat="1" ht="12.75">
      <c r="A1042048" s="19"/>
      <c r="B1042048" s="19"/>
      <c r="C1042048" s="19"/>
      <c r="D1042048" s="19"/>
      <c r="E1042048" s="19"/>
      <c r="F1042048" s="19"/>
      <c r="G1042048" s="19"/>
      <c r="H1042048" s="19"/>
      <c r="I1042048" s="19"/>
      <c r="J1042048" s="19"/>
      <c r="K1042048" s="19"/>
      <c r="L1042048" s="19"/>
      <c r="M1042048" s="19"/>
      <c r="N1042048" s="19"/>
    </row>
    <row r="1042049" spans="1:14" s="83" customFormat="1" ht="12.75">
      <c r="A1042049" s="19"/>
      <c r="B1042049" s="19"/>
      <c r="C1042049" s="19"/>
      <c r="D1042049" s="19"/>
      <c r="E1042049" s="19"/>
      <c r="F1042049" s="19"/>
      <c r="G1042049" s="19"/>
      <c r="H1042049" s="19"/>
      <c r="I1042049" s="19"/>
      <c r="J1042049" s="19"/>
      <c r="K1042049" s="19"/>
      <c r="L1042049" s="19"/>
      <c r="M1042049" s="19"/>
      <c r="N1042049" s="19"/>
    </row>
    <row r="1042050" spans="1:14" s="83" customFormat="1" ht="12.75">
      <c r="A1042050" s="19"/>
      <c r="B1042050" s="19"/>
      <c r="C1042050" s="19"/>
      <c r="D1042050" s="19"/>
      <c r="E1042050" s="19"/>
      <c r="F1042050" s="19"/>
      <c r="G1042050" s="19"/>
      <c r="H1042050" s="19"/>
      <c r="I1042050" s="19"/>
      <c r="J1042050" s="19"/>
      <c r="K1042050" s="19"/>
      <c r="L1042050" s="19"/>
      <c r="M1042050" s="19"/>
      <c r="N1042050" s="19"/>
    </row>
    <row r="1042051" spans="1:14" s="83" customFormat="1" ht="12.75">
      <c r="A1042051" s="19"/>
      <c r="B1042051" s="19"/>
      <c r="C1042051" s="19"/>
      <c r="D1042051" s="19"/>
      <c r="E1042051" s="19"/>
      <c r="F1042051" s="19"/>
      <c r="G1042051" s="19"/>
      <c r="H1042051" s="19"/>
      <c r="I1042051" s="19"/>
      <c r="J1042051" s="19"/>
      <c r="K1042051" s="19"/>
      <c r="L1042051" s="19"/>
      <c r="M1042051" s="19"/>
      <c r="N1042051" s="19"/>
    </row>
    <row r="1042052" spans="1:14" s="83" customFormat="1" ht="12.75">
      <c r="A1042052" s="19"/>
      <c r="B1042052" s="19"/>
      <c r="C1042052" s="19"/>
      <c r="D1042052" s="19"/>
      <c r="E1042052" s="19"/>
      <c r="F1042052" s="19"/>
      <c r="G1042052" s="19"/>
      <c r="H1042052" s="19"/>
      <c r="I1042052" s="19"/>
      <c r="J1042052" s="19"/>
      <c r="K1042052" s="19"/>
      <c r="L1042052" s="19"/>
      <c r="M1042052" s="19"/>
      <c r="N1042052" s="19"/>
    </row>
    <row r="1042053" spans="1:14" s="83" customFormat="1" ht="12.75">
      <c r="A1042053" s="19"/>
      <c r="B1042053" s="19"/>
      <c r="C1042053" s="19"/>
      <c r="D1042053" s="19"/>
      <c r="E1042053" s="19"/>
      <c r="F1042053" s="19"/>
      <c r="G1042053" s="19"/>
      <c r="H1042053" s="19"/>
      <c r="I1042053" s="19"/>
      <c r="J1042053" s="19"/>
      <c r="K1042053" s="19"/>
      <c r="L1042053" s="19"/>
      <c r="M1042053" s="19"/>
      <c r="N1042053" s="19"/>
    </row>
    <row r="1042054" spans="1:14" s="83" customFormat="1" ht="12.75">
      <c r="A1042054" s="19"/>
      <c r="B1042054" s="19"/>
      <c r="C1042054" s="19"/>
      <c r="D1042054" s="19"/>
      <c r="E1042054" s="19"/>
      <c r="F1042054" s="19"/>
      <c r="G1042054" s="19"/>
      <c r="H1042054" s="19"/>
      <c r="I1042054" s="19"/>
      <c r="J1042054" s="19"/>
      <c r="K1042054" s="19"/>
      <c r="L1042054" s="19"/>
      <c r="M1042054" s="19"/>
      <c r="N1042054" s="19"/>
    </row>
    <row r="1042055" spans="1:14" s="83" customFormat="1" ht="12.75">
      <c r="A1042055" s="19"/>
      <c r="B1042055" s="19"/>
      <c r="C1042055" s="19"/>
      <c r="D1042055" s="19"/>
      <c r="E1042055" s="19"/>
      <c r="F1042055" s="19"/>
      <c r="G1042055" s="19"/>
      <c r="H1042055" s="19"/>
      <c r="I1042055" s="19"/>
      <c r="J1042055" s="19"/>
      <c r="K1042055" s="19"/>
      <c r="L1042055" s="19"/>
      <c r="M1042055" s="19"/>
      <c r="N1042055" s="19"/>
    </row>
    <row r="1042056" spans="1:14" s="83" customFormat="1" ht="12.75">
      <c r="A1042056" s="19"/>
      <c r="B1042056" s="19"/>
      <c r="C1042056" s="19"/>
      <c r="D1042056" s="19"/>
      <c r="E1042056" s="19"/>
      <c r="F1042056" s="19"/>
      <c r="G1042056" s="19"/>
      <c r="H1042056" s="19"/>
      <c r="I1042056" s="19"/>
      <c r="J1042056" s="19"/>
      <c r="K1042056" s="19"/>
      <c r="L1042056" s="19"/>
      <c r="M1042056" s="19"/>
      <c r="N1042056" s="19"/>
    </row>
    <row r="1042057" spans="1:14" s="83" customFormat="1" ht="12.75">
      <c r="A1042057" s="19"/>
      <c r="B1042057" s="19"/>
      <c r="C1042057" s="19"/>
      <c r="D1042057" s="19"/>
      <c r="E1042057" s="19"/>
      <c r="F1042057" s="19"/>
      <c r="G1042057" s="19"/>
      <c r="H1042057" s="19"/>
      <c r="I1042057" s="19"/>
      <c r="J1042057" s="19"/>
      <c r="K1042057" s="19"/>
      <c r="L1042057" s="19"/>
      <c r="M1042057" s="19"/>
      <c r="N1042057" s="19"/>
    </row>
    <row r="1042058" spans="1:14" s="83" customFormat="1" ht="12.75">
      <c r="A1042058" s="19"/>
      <c r="B1042058" s="19"/>
      <c r="C1042058" s="19"/>
      <c r="D1042058" s="19"/>
      <c r="E1042058" s="19"/>
      <c r="F1042058" s="19"/>
      <c r="G1042058" s="19"/>
      <c r="H1042058" s="19"/>
      <c r="I1042058" s="19"/>
      <c r="J1042058" s="19"/>
      <c r="K1042058" s="19"/>
      <c r="L1042058" s="19"/>
      <c r="M1042058" s="19"/>
      <c r="N1042058" s="19"/>
    </row>
    <row r="1042059" spans="1:14" s="83" customFormat="1" ht="12.75">
      <c r="A1042059" s="19"/>
      <c r="B1042059" s="19"/>
      <c r="C1042059" s="19"/>
      <c r="D1042059" s="19"/>
      <c r="E1042059" s="19"/>
      <c r="F1042059" s="19"/>
      <c r="G1042059" s="19"/>
      <c r="H1042059" s="19"/>
      <c r="I1042059" s="19"/>
      <c r="J1042059" s="19"/>
      <c r="K1042059" s="19"/>
      <c r="L1042059" s="19"/>
      <c r="M1042059" s="19"/>
      <c r="N1042059" s="19"/>
    </row>
    <row r="1042060" spans="1:14" s="83" customFormat="1" ht="12.75">
      <c r="A1042060" s="19"/>
      <c r="B1042060" s="19"/>
      <c r="C1042060" s="19"/>
      <c r="D1042060" s="19"/>
      <c r="E1042060" s="19"/>
      <c r="F1042060" s="19"/>
      <c r="G1042060" s="19"/>
      <c r="H1042060" s="19"/>
      <c r="I1042060" s="19"/>
      <c r="J1042060" s="19"/>
      <c r="K1042060" s="19"/>
      <c r="L1042060" s="19"/>
      <c r="M1042060" s="19"/>
      <c r="N1042060" s="19"/>
    </row>
    <row r="1042061" spans="1:14" s="83" customFormat="1" ht="12.75">
      <c r="A1042061" s="19"/>
      <c r="B1042061" s="19"/>
      <c r="C1042061" s="19"/>
      <c r="D1042061" s="19"/>
      <c r="E1042061" s="19"/>
      <c r="F1042061" s="19"/>
      <c r="G1042061" s="19"/>
      <c r="H1042061" s="19"/>
      <c r="I1042061" s="19"/>
      <c r="J1042061" s="19"/>
      <c r="K1042061" s="19"/>
      <c r="L1042061" s="19"/>
      <c r="M1042061" s="19"/>
      <c r="N1042061" s="19"/>
    </row>
    <row r="1042062" spans="1:14" s="83" customFormat="1" ht="12.75">
      <c r="A1042062" s="19"/>
      <c r="B1042062" s="19"/>
      <c r="C1042062" s="19"/>
      <c r="D1042062" s="19"/>
      <c r="E1042062" s="19"/>
      <c r="F1042062" s="19"/>
      <c r="G1042062" s="19"/>
      <c r="H1042062" s="19"/>
      <c r="I1042062" s="19"/>
      <c r="J1042062" s="19"/>
      <c r="K1042062" s="19"/>
      <c r="L1042062" s="19"/>
      <c r="M1042062" s="19"/>
      <c r="N1042062" s="19"/>
    </row>
    <row r="1042063" spans="1:14" s="83" customFormat="1" ht="12.75">
      <c r="A1042063" s="19"/>
      <c r="B1042063" s="19"/>
      <c r="C1042063" s="19"/>
      <c r="D1042063" s="19"/>
      <c r="E1042063" s="19"/>
      <c r="F1042063" s="19"/>
      <c r="G1042063" s="19"/>
      <c r="H1042063" s="19"/>
      <c r="I1042063" s="19"/>
      <c r="J1042063" s="19"/>
      <c r="K1042063" s="19"/>
      <c r="L1042063" s="19"/>
      <c r="M1042063" s="19"/>
      <c r="N1042063" s="19"/>
    </row>
    <row r="1042064" spans="1:14" s="83" customFormat="1" ht="12.75">
      <c r="A1042064" s="19"/>
      <c r="B1042064" s="19"/>
      <c r="C1042064" s="19"/>
      <c r="D1042064" s="19"/>
      <c r="E1042064" s="19"/>
      <c r="F1042064" s="19"/>
      <c r="G1042064" s="19"/>
      <c r="H1042064" s="19"/>
      <c r="I1042064" s="19"/>
      <c r="J1042064" s="19"/>
      <c r="K1042064" s="19"/>
      <c r="L1042064" s="19"/>
      <c r="M1042064" s="19"/>
      <c r="N1042064" s="19"/>
    </row>
    <row r="1042065" spans="1:14" s="83" customFormat="1" ht="12.75">
      <c r="A1042065" s="19"/>
      <c r="B1042065" s="19"/>
      <c r="C1042065" s="19"/>
      <c r="D1042065" s="19"/>
      <c r="E1042065" s="19"/>
      <c r="F1042065" s="19"/>
      <c r="G1042065" s="19"/>
      <c r="H1042065" s="19"/>
      <c r="I1042065" s="19"/>
      <c r="J1042065" s="19"/>
      <c r="K1042065" s="19"/>
      <c r="L1042065" s="19"/>
      <c r="M1042065" s="19"/>
      <c r="N1042065" s="19"/>
    </row>
    <row r="1042066" spans="1:14" s="83" customFormat="1" ht="12.75">
      <c r="A1042066" s="19"/>
      <c r="B1042066" s="19"/>
      <c r="C1042066" s="19"/>
      <c r="D1042066" s="19"/>
      <c r="E1042066" s="19"/>
      <c r="F1042066" s="19"/>
      <c r="G1042066" s="19"/>
      <c r="H1042066" s="19"/>
      <c r="I1042066" s="19"/>
      <c r="J1042066" s="19"/>
      <c r="K1042066" s="19"/>
      <c r="L1042066" s="19"/>
      <c r="M1042066" s="19"/>
      <c r="N1042066" s="19"/>
    </row>
    <row r="1042067" spans="1:14" s="83" customFormat="1" ht="12.75">
      <c r="A1042067" s="19"/>
      <c r="B1042067" s="19"/>
      <c r="C1042067" s="19"/>
      <c r="D1042067" s="19"/>
      <c r="E1042067" s="19"/>
      <c r="F1042067" s="19"/>
      <c r="G1042067" s="19"/>
      <c r="H1042067" s="19"/>
      <c r="I1042067" s="19"/>
      <c r="J1042067" s="19"/>
      <c r="K1042067" s="19"/>
      <c r="L1042067" s="19"/>
      <c r="M1042067" s="19"/>
      <c r="N1042067" s="19"/>
    </row>
    <row r="1042068" spans="1:14" s="83" customFormat="1" ht="12.75">
      <c r="A1042068" s="19"/>
      <c r="B1042068" s="19"/>
      <c r="C1042068" s="19"/>
      <c r="D1042068" s="19"/>
      <c r="E1042068" s="19"/>
      <c r="F1042068" s="19"/>
      <c r="G1042068" s="19"/>
      <c r="H1042068" s="19"/>
      <c r="I1042068" s="19"/>
      <c r="J1042068" s="19"/>
      <c r="K1042068" s="19"/>
      <c r="L1042068" s="19"/>
      <c r="M1042068" s="19"/>
      <c r="N1042068" s="19"/>
    </row>
    <row r="1042069" spans="1:14" s="83" customFormat="1" ht="12.75">
      <c r="A1042069" s="19"/>
      <c r="B1042069" s="19"/>
      <c r="C1042069" s="19"/>
      <c r="D1042069" s="19"/>
      <c r="E1042069" s="19"/>
      <c r="F1042069" s="19"/>
      <c r="G1042069" s="19"/>
      <c r="H1042069" s="19"/>
      <c r="I1042069" s="19"/>
      <c r="J1042069" s="19"/>
      <c r="K1042069" s="19"/>
      <c r="L1042069" s="19"/>
      <c r="M1042069" s="19"/>
      <c r="N1042069" s="19"/>
    </row>
    <row r="1042070" spans="1:14" s="83" customFormat="1" ht="12.75">
      <c r="A1042070" s="19"/>
      <c r="B1042070" s="19"/>
      <c r="C1042070" s="19"/>
      <c r="D1042070" s="19"/>
      <c r="E1042070" s="19"/>
      <c r="F1042070" s="19"/>
      <c r="G1042070" s="19"/>
      <c r="H1042070" s="19"/>
      <c r="I1042070" s="19"/>
      <c r="J1042070" s="19"/>
      <c r="K1042070" s="19"/>
      <c r="L1042070" s="19"/>
      <c r="M1042070" s="19"/>
      <c r="N1042070" s="19"/>
    </row>
    <row r="1042071" spans="1:14" s="83" customFormat="1" ht="12.75">
      <c r="A1042071" s="19"/>
      <c r="B1042071" s="19"/>
      <c r="C1042071" s="19"/>
      <c r="D1042071" s="19"/>
      <c r="E1042071" s="19"/>
      <c r="F1042071" s="19"/>
      <c r="G1042071" s="19"/>
      <c r="H1042071" s="19"/>
      <c r="I1042071" s="19"/>
      <c r="J1042071" s="19"/>
      <c r="K1042071" s="19"/>
      <c r="L1042071" s="19"/>
      <c r="M1042071" s="19"/>
      <c r="N1042071" s="19"/>
    </row>
    <row r="1042072" spans="1:14" s="83" customFormat="1" ht="12.75">
      <c r="A1042072" s="19"/>
      <c r="B1042072" s="19"/>
      <c r="C1042072" s="19"/>
      <c r="D1042072" s="19"/>
      <c r="E1042072" s="19"/>
      <c r="F1042072" s="19"/>
      <c r="G1042072" s="19"/>
      <c r="H1042072" s="19"/>
      <c r="I1042072" s="19"/>
      <c r="J1042072" s="19"/>
      <c r="K1042072" s="19"/>
      <c r="L1042072" s="19"/>
      <c r="M1042072" s="19"/>
      <c r="N1042072" s="19"/>
    </row>
    <row r="1042073" spans="1:14" s="83" customFormat="1" ht="12.75">
      <c r="A1042073" s="19"/>
      <c r="B1042073" s="19"/>
      <c r="C1042073" s="19"/>
      <c r="D1042073" s="19"/>
      <c r="E1042073" s="19"/>
      <c r="F1042073" s="19"/>
      <c r="G1042073" s="19"/>
      <c r="H1042073" s="19"/>
      <c r="I1042073" s="19"/>
      <c r="J1042073" s="19"/>
      <c r="K1042073" s="19"/>
      <c r="L1042073" s="19"/>
      <c r="M1042073" s="19"/>
      <c r="N1042073" s="19"/>
    </row>
    <row r="1042074" spans="1:14" s="83" customFormat="1" ht="12.75">
      <c r="A1042074" s="19"/>
      <c r="B1042074" s="19"/>
      <c r="C1042074" s="19"/>
      <c r="D1042074" s="19"/>
      <c r="E1042074" s="19"/>
      <c r="F1042074" s="19"/>
      <c r="G1042074" s="19"/>
      <c r="H1042074" s="19"/>
      <c r="I1042074" s="19"/>
      <c r="J1042074" s="19"/>
      <c r="K1042074" s="19"/>
      <c r="L1042074" s="19"/>
      <c r="M1042074" s="19"/>
      <c r="N1042074" s="19"/>
    </row>
    <row r="1042075" spans="1:14" s="83" customFormat="1" ht="12.75">
      <c r="A1042075" s="19"/>
      <c r="B1042075" s="19"/>
      <c r="C1042075" s="19"/>
      <c r="D1042075" s="19"/>
      <c r="E1042075" s="19"/>
      <c r="F1042075" s="19"/>
      <c r="G1042075" s="19"/>
      <c r="H1042075" s="19"/>
      <c r="I1042075" s="19"/>
      <c r="J1042075" s="19"/>
      <c r="K1042075" s="19"/>
      <c r="L1042075" s="19"/>
      <c r="M1042075" s="19"/>
      <c r="N1042075" s="19"/>
    </row>
    <row r="1042076" spans="1:14" s="83" customFormat="1" ht="12.75">
      <c r="A1042076" s="19"/>
      <c r="B1042076" s="19"/>
      <c r="C1042076" s="19"/>
      <c r="D1042076" s="19"/>
      <c r="E1042076" s="19"/>
      <c r="F1042076" s="19"/>
      <c r="G1042076" s="19"/>
      <c r="H1042076" s="19"/>
      <c r="I1042076" s="19"/>
      <c r="J1042076" s="19"/>
      <c r="K1042076" s="19"/>
      <c r="L1042076" s="19"/>
      <c r="M1042076" s="19"/>
      <c r="N1042076" s="19"/>
    </row>
    <row r="1042077" spans="1:14" s="83" customFormat="1" ht="12.75">
      <c r="A1042077" s="19"/>
      <c r="B1042077" s="19"/>
      <c r="C1042077" s="19"/>
      <c r="D1042077" s="19"/>
      <c r="E1042077" s="19"/>
      <c r="F1042077" s="19"/>
      <c r="G1042077" s="19"/>
      <c r="H1042077" s="19"/>
      <c r="I1042077" s="19"/>
      <c r="J1042077" s="19"/>
      <c r="K1042077" s="19"/>
      <c r="L1042077" s="19"/>
      <c r="M1042077" s="19"/>
      <c r="N1042077" s="19"/>
    </row>
    <row r="1042078" spans="1:14" s="83" customFormat="1" ht="12.75">
      <c r="A1042078" s="19"/>
      <c r="B1042078" s="19"/>
      <c r="C1042078" s="19"/>
      <c r="D1042078" s="19"/>
      <c r="E1042078" s="19"/>
      <c r="F1042078" s="19"/>
      <c r="G1042078" s="19"/>
      <c r="H1042078" s="19"/>
      <c r="I1042078" s="19"/>
      <c r="J1042078" s="19"/>
      <c r="K1042078" s="19"/>
      <c r="L1042078" s="19"/>
      <c r="M1042078" s="19"/>
      <c r="N1042078" s="19"/>
    </row>
    <row r="1042079" spans="1:14" s="83" customFormat="1" ht="12.75">
      <c r="A1042079" s="19"/>
      <c r="B1042079" s="19"/>
      <c r="C1042079" s="19"/>
      <c r="D1042079" s="19"/>
      <c r="E1042079" s="19"/>
      <c r="F1042079" s="19"/>
      <c r="G1042079" s="19"/>
      <c r="H1042079" s="19"/>
      <c r="I1042079" s="19"/>
      <c r="J1042079" s="19"/>
      <c r="K1042079" s="19"/>
      <c r="L1042079" s="19"/>
      <c r="M1042079" s="19"/>
      <c r="N1042079" s="19"/>
    </row>
    <row r="1042080" spans="1:14" s="83" customFormat="1" ht="12.75">
      <c r="A1042080" s="19"/>
      <c r="B1042080" s="19"/>
      <c r="C1042080" s="19"/>
      <c r="D1042080" s="19"/>
      <c r="E1042080" s="19"/>
      <c r="F1042080" s="19"/>
      <c r="G1042080" s="19"/>
      <c r="H1042080" s="19"/>
      <c r="I1042080" s="19"/>
      <c r="J1042080" s="19"/>
      <c r="K1042080" s="19"/>
      <c r="L1042080" s="19"/>
      <c r="M1042080" s="19"/>
      <c r="N1042080" s="19"/>
    </row>
    <row r="1042081" spans="1:14" s="83" customFormat="1" ht="12.75">
      <c r="A1042081" s="19"/>
      <c r="B1042081" s="19"/>
      <c r="C1042081" s="19"/>
      <c r="D1042081" s="19"/>
      <c r="E1042081" s="19"/>
      <c r="F1042081" s="19"/>
      <c r="G1042081" s="19"/>
      <c r="H1042081" s="19"/>
      <c r="I1042081" s="19"/>
      <c r="J1042081" s="19"/>
      <c r="K1042081" s="19"/>
      <c r="L1042081" s="19"/>
      <c r="M1042081" s="19"/>
      <c r="N1042081" s="19"/>
    </row>
    <row r="1042082" spans="1:14" s="83" customFormat="1" ht="12.75">
      <c r="A1042082" s="19"/>
      <c r="B1042082" s="19"/>
      <c r="C1042082" s="19"/>
      <c r="D1042082" s="19"/>
      <c r="E1042082" s="19"/>
      <c r="F1042082" s="19"/>
      <c r="G1042082" s="19"/>
      <c r="H1042082" s="19"/>
      <c r="I1042082" s="19"/>
      <c r="J1042082" s="19"/>
      <c r="K1042082" s="19"/>
      <c r="L1042082" s="19"/>
      <c r="M1042082" s="19"/>
      <c r="N1042082" s="19"/>
    </row>
    <row r="1042083" spans="1:14" s="83" customFormat="1" ht="12.75">
      <c r="A1042083" s="19"/>
      <c r="B1042083" s="19"/>
      <c r="C1042083" s="19"/>
      <c r="D1042083" s="19"/>
      <c r="E1042083" s="19"/>
      <c r="F1042083" s="19"/>
      <c r="G1042083" s="19"/>
      <c r="H1042083" s="19"/>
      <c r="I1042083" s="19"/>
      <c r="J1042083" s="19"/>
      <c r="K1042083" s="19"/>
      <c r="L1042083" s="19"/>
      <c r="M1042083" s="19"/>
      <c r="N1042083" s="19"/>
    </row>
    <row r="1042084" spans="1:14" s="83" customFormat="1" ht="12.75">
      <c r="A1042084" s="19"/>
      <c r="B1042084" s="19"/>
      <c r="C1042084" s="19"/>
      <c r="D1042084" s="19"/>
      <c r="E1042084" s="19"/>
      <c r="F1042084" s="19"/>
      <c r="G1042084" s="19"/>
      <c r="H1042084" s="19"/>
      <c r="I1042084" s="19"/>
      <c r="J1042084" s="19"/>
      <c r="K1042084" s="19"/>
      <c r="L1042084" s="19"/>
      <c r="M1042084" s="19"/>
      <c r="N1042084" s="19"/>
    </row>
    <row r="1042085" spans="1:14" s="83" customFormat="1" ht="12.75">
      <c r="A1042085" s="19"/>
      <c r="B1042085" s="19"/>
      <c r="C1042085" s="19"/>
      <c r="D1042085" s="19"/>
      <c r="E1042085" s="19"/>
      <c r="F1042085" s="19"/>
      <c r="G1042085" s="19"/>
      <c r="H1042085" s="19"/>
      <c r="I1042085" s="19"/>
      <c r="J1042085" s="19"/>
      <c r="K1042085" s="19"/>
      <c r="L1042085" s="19"/>
      <c r="M1042085" s="19"/>
      <c r="N1042085" s="19"/>
    </row>
    <row r="1042086" spans="1:14" s="83" customFormat="1" ht="12.75">
      <c r="A1042086" s="19"/>
      <c r="B1042086" s="19"/>
      <c r="C1042086" s="19"/>
      <c r="D1042086" s="19"/>
      <c r="E1042086" s="19"/>
      <c r="F1042086" s="19"/>
      <c r="G1042086" s="19"/>
      <c r="H1042086" s="19"/>
      <c r="I1042086" s="19"/>
      <c r="J1042086" s="19"/>
      <c r="K1042086" s="19"/>
      <c r="L1042086" s="19"/>
      <c r="M1042086" s="19"/>
      <c r="N1042086" s="19"/>
    </row>
    <row r="1042087" spans="1:14" s="83" customFormat="1" ht="12.75">
      <c r="A1042087" s="19"/>
      <c r="B1042087" s="19"/>
      <c r="C1042087" s="19"/>
      <c r="D1042087" s="19"/>
      <c r="E1042087" s="19"/>
      <c r="F1042087" s="19"/>
      <c r="G1042087" s="19"/>
      <c r="H1042087" s="19"/>
      <c r="I1042087" s="19"/>
      <c r="J1042087" s="19"/>
      <c r="K1042087" s="19"/>
      <c r="L1042087" s="19"/>
      <c r="M1042087" s="19"/>
      <c r="N1042087" s="19"/>
    </row>
    <row r="1042088" spans="1:14" s="83" customFormat="1" ht="12.75">
      <c r="A1042088" s="19"/>
      <c r="B1042088" s="19"/>
      <c r="C1042088" s="19"/>
      <c r="D1042088" s="19"/>
      <c r="E1042088" s="19"/>
      <c r="F1042088" s="19"/>
      <c r="G1042088" s="19"/>
      <c r="H1042088" s="19"/>
      <c r="I1042088" s="19"/>
      <c r="J1042088" s="19"/>
      <c r="K1042088" s="19"/>
      <c r="L1042088" s="19"/>
      <c r="M1042088" s="19"/>
      <c r="N1042088" s="19"/>
    </row>
    <row r="1042089" spans="1:14" s="83" customFormat="1" ht="12.75">
      <c r="A1042089" s="19"/>
      <c r="B1042089" s="19"/>
      <c r="C1042089" s="19"/>
      <c r="D1042089" s="19"/>
      <c r="E1042089" s="19"/>
      <c r="F1042089" s="19"/>
      <c r="G1042089" s="19"/>
      <c r="H1042089" s="19"/>
      <c r="I1042089" s="19"/>
      <c r="J1042089" s="19"/>
      <c r="K1042089" s="19"/>
      <c r="L1042089" s="19"/>
      <c r="M1042089" s="19"/>
      <c r="N1042089" s="19"/>
    </row>
    <row r="1042090" spans="1:14" s="83" customFormat="1" ht="12.75">
      <c r="A1042090" s="19"/>
      <c r="B1042090" s="19"/>
      <c r="C1042090" s="19"/>
      <c r="D1042090" s="19"/>
      <c r="E1042090" s="19"/>
      <c r="F1042090" s="19"/>
      <c r="G1042090" s="19"/>
      <c r="H1042090" s="19"/>
      <c r="I1042090" s="19"/>
      <c r="J1042090" s="19"/>
      <c r="K1042090" s="19"/>
      <c r="L1042090" s="19"/>
      <c r="M1042090" s="19"/>
      <c r="N1042090" s="19"/>
    </row>
    <row r="1042091" spans="1:14" s="83" customFormat="1" ht="12.75">
      <c r="A1042091" s="19"/>
      <c r="B1042091" s="19"/>
      <c r="C1042091" s="19"/>
      <c r="D1042091" s="19"/>
      <c r="E1042091" s="19"/>
      <c r="F1042091" s="19"/>
      <c r="G1042091" s="19"/>
      <c r="H1042091" s="19"/>
      <c r="I1042091" s="19"/>
      <c r="J1042091" s="19"/>
      <c r="K1042091" s="19"/>
      <c r="L1042091" s="19"/>
      <c r="M1042091" s="19"/>
      <c r="N1042091" s="19"/>
    </row>
    <row r="1042092" spans="1:14" s="83" customFormat="1" ht="12.75">
      <c r="A1042092" s="19"/>
      <c r="B1042092" s="19"/>
      <c r="C1042092" s="19"/>
      <c r="D1042092" s="19"/>
      <c r="E1042092" s="19"/>
      <c r="F1042092" s="19"/>
      <c r="G1042092" s="19"/>
      <c r="H1042092" s="19"/>
      <c r="I1042092" s="19"/>
      <c r="J1042092" s="19"/>
      <c r="K1042092" s="19"/>
      <c r="L1042092" s="19"/>
      <c r="M1042092" s="19"/>
      <c r="N1042092" s="19"/>
    </row>
    <row r="1042093" spans="1:14" s="83" customFormat="1" ht="12.75">
      <c r="A1042093" s="19"/>
      <c r="B1042093" s="19"/>
      <c r="C1042093" s="19"/>
      <c r="D1042093" s="19"/>
      <c r="E1042093" s="19"/>
      <c r="F1042093" s="19"/>
      <c r="G1042093" s="19"/>
      <c r="H1042093" s="19"/>
      <c r="I1042093" s="19"/>
      <c r="J1042093" s="19"/>
      <c r="K1042093" s="19"/>
      <c r="L1042093" s="19"/>
      <c r="M1042093" s="19"/>
      <c r="N1042093" s="19"/>
    </row>
    <row r="1042094" spans="1:14" s="83" customFormat="1" ht="12.75">
      <c r="A1042094" s="19"/>
      <c r="B1042094" s="19"/>
      <c r="C1042094" s="19"/>
      <c r="D1042094" s="19"/>
      <c r="E1042094" s="19"/>
      <c r="F1042094" s="19"/>
      <c r="G1042094" s="19"/>
      <c r="H1042094" s="19"/>
      <c r="I1042094" s="19"/>
      <c r="J1042094" s="19"/>
      <c r="K1042094" s="19"/>
      <c r="L1042094" s="19"/>
      <c r="M1042094" s="19"/>
      <c r="N1042094" s="19"/>
    </row>
    <row r="1042095" spans="1:14" s="83" customFormat="1" ht="12.75">
      <c r="A1042095" s="19"/>
      <c r="B1042095" s="19"/>
      <c r="C1042095" s="19"/>
      <c r="D1042095" s="19"/>
      <c r="E1042095" s="19"/>
      <c r="F1042095" s="19"/>
      <c r="G1042095" s="19"/>
      <c r="H1042095" s="19"/>
      <c r="I1042095" s="19"/>
      <c r="J1042095" s="19"/>
      <c r="K1042095" s="19"/>
      <c r="L1042095" s="19"/>
      <c r="M1042095" s="19"/>
      <c r="N1042095" s="19"/>
    </row>
    <row r="1042096" spans="1:14" s="83" customFormat="1" ht="12.75">
      <c r="A1042096" s="19"/>
      <c r="B1042096" s="19"/>
      <c r="C1042096" s="19"/>
      <c r="D1042096" s="19"/>
      <c r="E1042096" s="19"/>
      <c r="F1042096" s="19"/>
      <c r="G1042096" s="19"/>
      <c r="H1042096" s="19"/>
      <c r="I1042096" s="19"/>
      <c r="J1042096" s="19"/>
      <c r="K1042096" s="19"/>
      <c r="L1042096" s="19"/>
      <c r="M1042096" s="19"/>
      <c r="N1042096" s="19"/>
    </row>
    <row r="1042097" spans="1:14" s="83" customFormat="1" ht="12.75">
      <c r="A1042097" s="19"/>
      <c r="B1042097" s="19"/>
      <c r="C1042097" s="19"/>
      <c r="D1042097" s="19"/>
      <c r="E1042097" s="19"/>
      <c r="F1042097" s="19"/>
      <c r="G1042097" s="19"/>
      <c r="H1042097" s="19"/>
      <c r="I1042097" s="19"/>
      <c r="J1042097" s="19"/>
      <c r="K1042097" s="19"/>
      <c r="L1042097" s="19"/>
      <c r="M1042097" s="19"/>
      <c r="N1042097" s="19"/>
    </row>
    <row r="1042098" spans="1:14" s="83" customFormat="1" ht="12.75">
      <c r="A1042098" s="19"/>
      <c r="B1042098" s="19"/>
      <c r="C1042098" s="19"/>
      <c r="D1042098" s="19"/>
      <c r="E1042098" s="19"/>
      <c r="F1042098" s="19"/>
      <c r="G1042098" s="19"/>
      <c r="H1042098" s="19"/>
      <c r="I1042098" s="19"/>
      <c r="J1042098" s="19"/>
      <c r="K1042098" s="19"/>
      <c r="L1042098" s="19"/>
      <c r="M1042098" s="19"/>
      <c r="N1042098" s="19"/>
    </row>
    <row r="1042099" spans="1:14" s="83" customFormat="1" ht="12.75">
      <c r="A1042099" s="19"/>
      <c r="B1042099" s="19"/>
      <c r="C1042099" s="19"/>
      <c r="D1042099" s="19"/>
      <c r="E1042099" s="19"/>
      <c r="F1042099" s="19"/>
      <c r="G1042099" s="19"/>
      <c r="H1042099" s="19"/>
      <c r="I1042099" s="19"/>
      <c r="J1042099" s="19"/>
      <c r="K1042099" s="19"/>
      <c r="L1042099" s="19"/>
      <c r="M1042099" s="19"/>
      <c r="N1042099" s="19"/>
    </row>
    <row r="1042100" spans="1:14" s="83" customFormat="1" ht="12.75">
      <c r="A1042100" s="19"/>
      <c r="B1042100" s="19"/>
      <c r="C1042100" s="19"/>
      <c r="D1042100" s="19"/>
      <c r="E1042100" s="19"/>
      <c r="F1042100" s="19"/>
      <c r="G1042100" s="19"/>
      <c r="H1042100" s="19"/>
      <c r="I1042100" s="19"/>
      <c r="J1042100" s="19"/>
      <c r="K1042100" s="19"/>
      <c r="L1042100" s="19"/>
      <c r="M1042100" s="19"/>
      <c r="N1042100" s="19"/>
    </row>
    <row r="1042101" spans="1:14" s="83" customFormat="1" ht="12.75">
      <c r="A1042101" s="19"/>
      <c r="B1042101" s="19"/>
      <c r="C1042101" s="19"/>
      <c r="D1042101" s="19"/>
      <c r="E1042101" s="19"/>
      <c r="F1042101" s="19"/>
      <c r="G1042101" s="19"/>
      <c r="H1042101" s="19"/>
      <c r="I1042101" s="19"/>
      <c r="J1042101" s="19"/>
      <c r="K1042101" s="19"/>
      <c r="L1042101" s="19"/>
      <c r="M1042101" s="19"/>
      <c r="N1042101" s="19"/>
    </row>
    <row r="1042102" spans="1:14" s="83" customFormat="1" ht="12.75">
      <c r="A1042102" s="19"/>
      <c r="B1042102" s="19"/>
      <c r="C1042102" s="19"/>
      <c r="D1042102" s="19"/>
      <c r="E1042102" s="19"/>
      <c r="F1042102" s="19"/>
      <c r="G1042102" s="19"/>
      <c r="H1042102" s="19"/>
      <c r="I1042102" s="19"/>
      <c r="J1042102" s="19"/>
      <c r="K1042102" s="19"/>
      <c r="L1042102" s="19"/>
      <c r="M1042102" s="19"/>
      <c r="N1042102" s="19"/>
    </row>
    <row r="1042103" spans="1:14" s="83" customFormat="1" ht="12.75">
      <c r="A1042103" s="19"/>
      <c r="B1042103" s="19"/>
      <c r="C1042103" s="19"/>
      <c r="D1042103" s="19"/>
      <c r="E1042103" s="19"/>
      <c r="F1042103" s="19"/>
      <c r="G1042103" s="19"/>
      <c r="H1042103" s="19"/>
      <c r="I1042103" s="19"/>
      <c r="J1042103" s="19"/>
      <c r="K1042103" s="19"/>
      <c r="L1042103" s="19"/>
      <c r="M1042103" s="19"/>
      <c r="N1042103" s="19"/>
    </row>
    <row r="1042104" spans="1:14" s="83" customFormat="1" ht="12.75">
      <c r="A1042104" s="19"/>
      <c r="B1042104" s="19"/>
      <c r="C1042104" s="19"/>
      <c r="D1042104" s="19"/>
      <c r="E1042104" s="19"/>
      <c r="F1042104" s="19"/>
      <c r="G1042104" s="19"/>
      <c r="H1042104" s="19"/>
      <c r="I1042104" s="19"/>
      <c r="J1042104" s="19"/>
      <c r="K1042104" s="19"/>
      <c r="L1042104" s="19"/>
      <c r="M1042104" s="19"/>
      <c r="N1042104" s="19"/>
    </row>
    <row r="1042105" spans="1:14" s="83" customFormat="1" ht="12.75">
      <c r="A1042105" s="19"/>
      <c r="B1042105" s="19"/>
      <c r="C1042105" s="19"/>
      <c r="D1042105" s="19"/>
      <c r="E1042105" s="19"/>
      <c r="F1042105" s="19"/>
      <c r="G1042105" s="19"/>
      <c r="H1042105" s="19"/>
      <c r="I1042105" s="19"/>
      <c r="J1042105" s="19"/>
      <c r="K1042105" s="19"/>
      <c r="L1042105" s="19"/>
      <c r="M1042105" s="19"/>
      <c r="N1042105" s="19"/>
    </row>
    <row r="1042106" spans="1:14" s="83" customFormat="1" ht="12.75">
      <c r="A1042106" s="19"/>
      <c r="B1042106" s="19"/>
      <c r="C1042106" s="19"/>
      <c r="D1042106" s="19"/>
      <c r="E1042106" s="19"/>
      <c r="F1042106" s="19"/>
      <c r="G1042106" s="19"/>
      <c r="H1042106" s="19"/>
      <c r="I1042106" s="19"/>
      <c r="J1042106" s="19"/>
      <c r="K1042106" s="19"/>
      <c r="L1042106" s="19"/>
      <c r="M1042106" s="19"/>
      <c r="N1042106" s="19"/>
    </row>
    <row r="1042107" spans="1:14" s="83" customFormat="1" ht="12.75">
      <c r="A1042107" s="19"/>
      <c r="B1042107" s="19"/>
      <c r="C1042107" s="19"/>
      <c r="D1042107" s="19"/>
      <c r="E1042107" s="19"/>
      <c r="F1042107" s="19"/>
      <c r="G1042107" s="19"/>
      <c r="H1042107" s="19"/>
      <c r="I1042107" s="19"/>
      <c r="J1042107" s="19"/>
      <c r="K1042107" s="19"/>
      <c r="L1042107" s="19"/>
      <c r="M1042107" s="19"/>
      <c r="N1042107" s="19"/>
    </row>
    <row r="1042108" spans="1:14" s="83" customFormat="1" ht="12.75">
      <c r="A1042108" s="19"/>
      <c r="B1042108" s="19"/>
      <c r="C1042108" s="19"/>
      <c r="D1042108" s="19"/>
      <c r="E1042108" s="19"/>
      <c r="F1042108" s="19"/>
      <c r="G1042108" s="19"/>
      <c r="H1042108" s="19"/>
      <c r="I1042108" s="19"/>
      <c r="J1042108" s="19"/>
      <c r="K1042108" s="19"/>
      <c r="L1042108" s="19"/>
      <c r="M1042108" s="19"/>
      <c r="N1042108" s="19"/>
    </row>
    <row r="1042109" spans="1:14" s="83" customFormat="1" ht="12.75">
      <c r="A1042109" s="19"/>
      <c r="B1042109" s="19"/>
      <c r="C1042109" s="19"/>
      <c r="D1042109" s="19"/>
      <c r="E1042109" s="19"/>
      <c r="F1042109" s="19"/>
      <c r="G1042109" s="19"/>
      <c r="H1042109" s="19"/>
      <c r="I1042109" s="19"/>
      <c r="J1042109" s="19"/>
      <c r="K1042109" s="19"/>
      <c r="L1042109" s="19"/>
      <c r="M1042109" s="19"/>
      <c r="N1042109" s="19"/>
    </row>
    <row r="1042110" spans="1:14" s="83" customFormat="1" ht="12.75">
      <c r="A1042110" s="19"/>
      <c r="B1042110" s="19"/>
      <c r="C1042110" s="19"/>
      <c r="D1042110" s="19"/>
      <c r="E1042110" s="19"/>
      <c r="F1042110" s="19"/>
      <c r="G1042110" s="19"/>
      <c r="H1042110" s="19"/>
      <c r="I1042110" s="19"/>
      <c r="J1042110" s="19"/>
      <c r="K1042110" s="19"/>
      <c r="L1042110" s="19"/>
      <c r="M1042110" s="19"/>
      <c r="N1042110" s="19"/>
    </row>
    <row r="1042111" spans="1:14" s="83" customFormat="1" ht="12.75">
      <c r="A1042111" s="19"/>
      <c r="B1042111" s="19"/>
      <c r="C1042111" s="19"/>
      <c r="D1042111" s="19"/>
      <c r="E1042111" s="19"/>
      <c r="F1042111" s="19"/>
      <c r="G1042111" s="19"/>
      <c r="H1042111" s="19"/>
      <c r="I1042111" s="19"/>
      <c r="J1042111" s="19"/>
      <c r="K1042111" s="19"/>
      <c r="L1042111" s="19"/>
      <c r="M1042111" s="19"/>
      <c r="N1042111" s="19"/>
    </row>
    <row r="1042112" spans="1:14" s="83" customFormat="1" ht="12.75">
      <c r="A1042112" s="19"/>
      <c r="B1042112" s="19"/>
      <c r="C1042112" s="19"/>
      <c r="D1042112" s="19"/>
      <c r="E1042112" s="19"/>
      <c r="F1042112" s="19"/>
      <c r="G1042112" s="19"/>
      <c r="H1042112" s="19"/>
      <c r="I1042112" s="19"/>
      <c r="J1042112" s="19"/>
      <c r="K1042112" s="19"/>
      <c r="L1042112" s="19"/>
      <c r="M1042112" s="19"/>
      <c r="N1042112" s="19"/>
    </row>
    <row r="1042113" spans="1:14" s="83" customFormat="1" ht="12.75">
      <c r="A1042113" s="19"/>
      <c r="B1042113" s="19"/>
      <c r="C1042113" s="19"/>
      <c r="D1042113" s="19"/>
      <c r="E1042113" s="19"/>
      <c r="F1042113" s="19"/>
      <c r="G1042113" s="19"/>
      <c r="H1042113" s="19"/>
      <c r="I1042113" s="19"/>
      <c r="J1042113" s="19"/>
      <c r="K1042113" s="19"/>
      <c r="L1042113" s="19"/>
      <c r="M1042113" s="19"/>
      <c r="N1042113" s="19"/>
    </row>
    <row r="1042114" spans="1:14" s="83" customFormat="1" ht="12.75">
      <c r="A1042114" s="19"/>
      <c r="B1042114" s="19"/>
      <c r="C1042114" s="19"/>
      <c r="D1042114" s="19"/>
      <c r="E1042114" s="19"/>
      <c r="F1042114" s="19"/>
      <c r="G1042114" s="19"/>
      <c r="H1042114" s="19"/>
      <c r="I1042114" s="19"/>
      <c r="J1042114" s="19"/>
      <c r="K1042114" s="19"/>
      <c r="L1042114" s="19"/>
      <c r="M1042114" s="19"/>
      <c r="N1042114" s="19"/>
    </row>
    <row r="1042115" spans="1:14" s="83" customFormat="1" ht="12.75">
      <c r="A1042115" s="19"/>
      <c r="B1042115" s="19"/>
      <c r="C1042115" s="19"/>
      <c r="D1042115" s="19"/>
      <c r="E1042115" s="19"/>
      <c r="F1042115" s="19"/>
      <c r="G1042115" s="19"/>
      <c r="H1042115" s="19"/>
      <c r="I1042115" s="19"/>
      <c r="J1042115" s="19"/>
      <c r="K1042115" s="19"/>
      <c r="L1042115" s="19"/>
      <c r="M1042115" s="19"/>
      <c r="N1042115" s="19"/>
    </row>
    <row r="1042116" spans="1:14" s="83" customFormat="1" ht="12.75">
      <c r="A1042116" s="19"/>
      <c r="B1042116" s="19"/>
      <c r="C1042116" s="19"/>
      <c r="D1042116" s="19"/>
      <c r="E1042116" s="19"/>
      <c r="F1042116" s="19"/>
      <c r="G1042116" s="19"/>
      <c r="H1042116" s="19"/>
      <c r="I1042116" s="19"/>
      <c r="J1042116" s="19"/>
      <c r="K1042116" s="19"/>
      <c r="L1042116" s="19"/>
      <c r="M1042116" s="19"/>
      <c r="N1042116" s="19"/>
    </row>
    <row r="1042117" spans="1:14" s="83" customFormat="1" ht="12.75">
      <c r="A1042117" s="19"/>
      <c r="B1042117" s="19"/>
      <c r="C1042117" s="19"/>
      <c r="D1042117" s="19"/>
      <c r="E1042117" s="19"/>
      <c r="F1042117" s="19"/>
      <c r="G1042117" s="19"/>
      <c r="H1042117" s="19"/>
      <c r="I1042117" s="19"/>
      <c r="J1042117" s="19"/>
      <c r="K1042117" s="19"/>
      <c r="L1042117" s="19"/>
      <c r="M1042117" s="19"/>
      <c r="N1042117" s="19"/>
    </row>
    <row r="1042118" spans="1:14" s="83" customFormat="1" ht="12.75">
      <c r="A1042118" s="19"/>
      <c r="B1042118" s="19"/>
      <c r="C1042118" s="19"/>
      <c r="D1042118" s="19"/>
      <c r="E1042118" s="19"/>
      <c r="F1042118" s="19"/>
      <c r="G1042118" s="19"/>
      <c r="H1042118" s="19"/>
      <c r="I1042118" s="19"/>
      <c r="J1042118" s="19"/>
      <c r="K1042118" s="19"/>
      <c r="L1042118" s="19"/>
      <c r="M1042118" s="19"/>
      <c r="N1042118" s="19"/>
    </row>
    <row r="1042119" spans="1:14" s="83" customFormat="1" ht="12.75">
      <c r="A1042119" s="19"/>
      <c r="B1042119" s="19"/>
      <c r="C1042119" s="19"/>
      <c r="D1042119" s="19"/>
      <c r="E1042119" s="19"/>
      <c r="F1042119" s="19"/>
      <c r="G1042119" s="19"/>
      <c r="H1042119" s="19"/>
      <c r="I1042119" s="19"/>
      <c r="J1042119" s="19"/>
      <c r="K1042119" s="19"/>
      <c r="L1042119" s="19"/>
      <c r="M1042119" s="19"/>
      <c r="N1042119" s="19"/>
    </row>
    <row r="1042120" spans="1:14" s="83" customFormat="1" ht="12.75">
      <c r="A1042120" s="19"/>
      <c r="B1042120" s="19"/>
      <c r="C1042120" s="19"/>
      <c r="D1042120" s="19"/>
      <c r="E1042120" s="19"/>
      <c r="F1042120" s="19"/>
      <c r="G1042120" s="19"/>
      <c r="H1042120" s="19"/>
      <c r="I1042120" s="19"/>
      <c r="J1042120" s="19"/>
      <c r="K1042120" s="19"/>
      <c r="L1042120" s="19"/>
      <c r="M1042120" s="19"/>
      <c r="N1042120" s="19"/>
    </row>
    <row r="1042121" spans="1:14" s="83" customFormat="1" ht="12.75">
      <c r="A1042121" s="19"/>
      <c r="B1042121" s="19"/>
      <c r="C1042121" s="19"/>
      <c r="D1042121" s="19"/>
      <c r="E1042121" s="19"/>
      <c r="F1042121" s="19"/>
      <c r="G1042121" s="19"/>
      <c r="H1042121" s="19"/>
      <c r="I1042121" s="19"/>
      <c r="J1042121" s="19"/>
      <c r="K1042121" s="19"/>
      <c r="L1042121" s="19"/>
      <c r="M1042121" s="19"/>
      <c r="N1042121" s="19"/>
    </row>
    <row r="1042122" spans="1:14" s="83" customFormat="1" ht="12.75">
      <c r="A1042122" s="19"/>
      <c r="B1042122" s="19"/>
      <c r="C1042122" s="19"/>
      <c r="D1042122" s="19"/>
      <c r="E1042122" s="19"/>
      <c r="F1042122" s="19"/>
      <c r="G1042122" s="19"/>
      <c r="H1042122" s="19"/>
      <c r="I1042122" s="19"/>
      <c r="J1042122" s="19"/>
      <c r="K1042122" s="19"/>
      <c r="L1042122" s="19"/>
      <c r="M1042122" s="19"/>
      <c r="N1042122" s="19"/>
    </row>
    <row r="1042123" spans="1:14" s="83" customFormat="1" ht="12.75">
      <c r="A1042123" s="19"/>
      <c r="B1042123" s="19"/>
      <c r="C1042123" s="19"/>
      <c r="D1042123" s="19"/>
      <c r="E1042123" s="19"/>
      <c r="F1042123" s="19"/>
      <c r="G1042123" s="19"/>
      <c r="H1042123" s="19"/>
      <c r="I1042123" s="19"/>
      <c r="J1042123" s="19"/>
      <c r="K1042123" s="19"/>
      <c r="L1042123" s="19"/>
      <c r="M1042123" s="19"/>
      <c r="N1042123" s="19"/>
    </row>
    <row r="1042124" spans="1:14" s="83" customFormat="1" ht="12.75">
      <c r="A1042124" s="19"/>
      <c r="B1042124" s="19"/>
      <c r="C1042124" s="19"/>
      <c r="D1042124" s="19"/>
      <c r="E1042124" s="19"/>
      <c r="F1042124" s="19"/>
      <c r="G1042124" s="19"/>
      <c r="H1042124" s="19"/>
      <c r="I1042124" s="19"/>
      <c r="J1042124" s="19"/>
      <c r="K1042124" s="19"/>
      <c r="L1042124" s="19"/>
      <c r="M1042124" s="19"/>
      <c r="N1042124" s="19"/>
    </row>
    <row r="1042125" spans="1:14" s="83" customFormat="1" ht="12.75">
      <c r="A1042125" s="19"/>
      <c r="B1042125" s="19"/>
      <c r="C1042125" s="19"/>
      <c r="D1042125" s="19"/>
      <c r="E1042125" s="19"/>
      <c r="F1042125" s="19"/>
      <c r="G1042125" s="19"/>
      <c r="H1042125" s="19"/>
      <c r="I1042125" s="19"/>
      <c r="J1042125" s="19"/>
      <c r="K1042125" s="19"/>
      <c r="L1042125" s="19"/>
      <c r="M1042125" s="19"/>
      <c r="N1042125" s="19"/>
    </row>
    <row r="1042126" spans="1:14" s="83" customFormat="1" ht="12.75">
      <c r="A1042126" s="19"/>
      <c r="B1042126" s="19"/>
      <c r="C1042126" s="19"/>
      <c r="D1042126" s="19"/>
      <c r="E1042126" s="19"/>
      <c r="F1042126" s="19"/>
      <c r="G1042126" s="19"/>
      <c r="H1042126" s="19"/>
      <c r="I1042126" s="19"/>
      <c r="J1042126" s="19"/>
      <c r="K1042126" s="19"/>
      <c r="L1042126" s="19"/>
      <c r="M1042126" s="19"/>
      <c r="N1042126" s="19"/>
    </row>
    <row r="1042127" spans="1:14" s="83" customFormat="1" ht="12.75">
      <c r="A1042127" s="19"/>
      <c r="B1042127" s="19"/>
      <c r="C1042127" s="19"/>
      <c r="D1042127" s="19"/>
      <c r="E1042127" s="19"/>
      <c r="F1042127" s="19"/>
      <c r="G1042127" s="19"/>
      <c r="H1042127" s="19"/>
      <c r="I1042127" s="19"/>
      <c r="J1042127" s="19"/>
      <c r="K1042127" s="19"/>
      <c r="L1042127" s="19"/>
      <c r="M1042127" s="19"/>
      <c r="N1042127" s="19"/>
    </row>
    <row r="1042128" spans="1:14" s="83" customFormat="1" ht="12.75">
      <c r="A1042128" s="19"/>
      <c r="B1042128" s="19"/>
      <c r="C1042128" s="19"/>
      <c r="D1042128" s="19"/>
      <c r="E1042128" s="19"/>
      <c r="F1042128" s="19"/>
      <c r="G1042128" s="19"/>
      <c r="H1042128" s="19"/>
      <c r="I1042128" s="19"/>
      <c r="J1042128" s="19"/>
      <c r="K1042128" s="19"/>
      <c r="L1042128" s="19"/>
      <c r="M1042128" s="19"/>
      <c r="N1042128" s="19"/>
    </row>
    <row r="1042129" spans="1:14" s="83" customFormat="1" ht="12.75">
      <c r="A1042129" s="19"/>
      <c r="B1042129" s="19"/>
      <c r="C1042129" s="19"/>
      <c r="D1042129" s="19"/>
      <c r="E1042129" s="19"/>
      <c r="F1042129" s="19"/>
      <c r="G1042129" s="19"/>
      <c r="H1042129" s="19"/>
      <c r="I1042129" s="19"/>
      <c r="J1042129" s="19"/>
      <c r="K1042129" s="19"/>
      <c r="L1042129" s="19"/>
      <c r="M1042129" s="19"/>
      <c r="N1042129" s="19"/>
    </row>
    <row r="1042130" spans="1:14" s="83" customFormat="1" ht="12.75">
      <c r="A1042130" s="19"/>
      <c r="B1042130" s="19"/>
      <c r="C1042130" s="19"/>
      <c r="D1042130" s="19"/>
      <c r="E1042130" s="19"/>
      <c r="F1042130" s="19"/>
      <c r="G1042130" s="19"/>
      <c r="H1042130" s="19"/>
      <c r="I1042130" s="19"/>
      <c r="J1042130" s="19"/>
      <c r="K1042130" s="19"/>
      <c r="L1042130" s="19"/>
      <c r="M1042130" s="19"/>
      <c r="N1042130" s="19"/>
    </row>
    <row r="1042131" spans="1:14" s="83" customFormat="1" ht="12.75">
      <c r="A1042131" s="19"/>
      <c r="B1042131" s="19"/>
      <c r="C1042131" s="19"/>
      <c r="D1042131" s="19"/>
      <c r="E1042131" s="19"/>
      <c r="F1042131" s="19"/>
      <c r="G1042131" s="19"/>
      <c r="H1042131" s="19"/>
      <c r="I1042131" s="19"/>
      <c r="J1042131" s="19"/>
      <c r="K1042131" s="19"/>
      <c r="L1042131" s="19"/>
      <c r="M1042131" s="19"/>
      <c r="N1042131" s="19"/>
    </row>
    <row r="1042132" spans="1:14" s="83" customFormat="1" ht="12.75">
      <c r="A1042132" s="19"/>
      <c r="B1042132" s="19"/>
      <c r="C1042132" s="19"/>
      <c r="D1042132" s="19"/>
      <c r="E1042132" s="19"/>
      <c r="F1042132" s="19"/>
      <c r="G1042132" s="19"/>
      <c r="H1042132" s="19"/>
      <c r="I1042132" s="19"/>
      <c r="J1042132" s="19"/>
      <c r="K1042132" s="19"/>
      <c r="L1042132" s="19"/>
      <c r="M1042132" s="19"/>
      <c r="N1042132" s="19"/>
    </row>
    <row r="1042133" spans="1:14" s="83" customFormat="1" ht="12.75">
      <c r="A1042133" s="19"/>
      <c r="B1042133" s="19"/>
      <c r="C1042133" s="19"/>
      <c r="D1042133" s="19"/>
      <c r="E1042133" s="19"/>
      <c r="F1042133" s="19"/>
      <c r="G1042133" s="19"/>
      <c r="H1042133" s="19"/>
      <c r="I1042133" s="19"/>
      <c r="J1042133" s="19"/>
      <c r="K1042133" s="19"/>
      <c r="L1042133" s="19"/>
      <c r="M1042133" s="19"/>
      <c r="N1042133" s="19"/>
    </row>
    <row r="1042134" spans="1:14" s="83" customFormat="1" ht="12.75">
      <c r="A1042134" s="19"/>
      <c r="B1042134" s="19"/>
      <c r="C1042134" s="19"/>
      <c r="D1042134" s="19"/>
      <c r="E1042134" s="19"/>
      <c r="F1042134" s="19"/>
      <c r="G1042134" s="19"/>
      <c r="H1042134" s="19"/>
      <c r="I1042134" s="19"/>
      <c r="J1042134" s="19"/>
      <c r="K1042134" s="19"/>
      <c r="L1042134" s="19"/>
      <c r="M1042134" s="19"/>
      <c r="N1042134" s="19"/>
    </row>
    <row r="1042135" spans="1:14" s="83" customFormat="1" ht="12.75">
      <c r="A1042135" s="19"/>
      <c r="B1042135" s="19"/>
      <c r="C1042135" s="19"/>
      <c r="D1042135" s="19"/>
      <c r="E1042135" s="19"/>
      <c r="F1042135" s="19"/>
      <c r="G1042135" s="19"/>
      <c r="H1042135" s="19"/>
      <c r="I1042135" s="19"/>
      <c r="J1042135" s="19"/>
      <c r="K1042135" s="19"/>
      <c r="L1042135" s="19"/>
      <c r="M1042135" s="19"/>
      <c r="N1042135" s="19"/>
    </row>
    <row r="1042136" spans="1:14" s="83" customFormat="1" ht="12.75">
      <c r="A1042136" s="19"/>
      <c r="B1042136" s="19"/>
      <c r="C1042136" s="19"/>
      <c r="D1042136" s="19"/>
      <c r="E1042136" s="19"/>
      <c r="F1042136" s="19"/>
      <c r="G1042136" s="19"/>
      <c r="H1042136" s="19"/>
      <c r="I1042136" s="19"/>
      <c r="J1042136" s="19"/>
      <c r="K1042136" s="19"/>
      <c r="L1042136" s="19"/>
      <c r="M1042136" s="19"/>
      <c r="N1042136" s="19"/>
    </row>
    <row r="1042137" spans="1:14" s="83" customFormat="1" ht="12.75">
      <c r="A1042137" s="19"/>
      <c r="B1042137" s="19"/>
      <c r="C1042137" s="19"/>
      <c r="D1042137" s="19"/>
      <c r="E1042137" s="19"/>
      <c r="F1042137" s="19"/>
      <c r="G1042137" s="19"/>
      <c r="H1042137" s="19"/>
      <c r="I1042137" s="19"/>
      <c r="J1042137" s="19"/>
      <c r="K1042137" s="19"/>
      <c r="L1042137" s="19"/>
      <c r="M1042137" s="19"/>
      <c r="N1042137" s="19"/>
    </row>
    <row r="1042138" spans="1:14" s="83" customFormat="1" ht="12.75">
      <c r="A1042138" s="19"/>
      <c r="B1042138" s="19"/>
      <c r="C1042138" s="19"/>
      <c r="D1042138" s="19"/>
      <c r="E1042138" s="19"/>
      <c r="F1042138" s="19"/>
      <c r="G1042138" s="19"/>
      <c r="H1042138" s="19"/>
      <c r="I1042138" s="19"/>
      <c r="J1042138" s="19"/>
      <c r="K1042138" s="19"/>
      <c r="L1042138" s="19"/>
      <c r="M1042138" s="19"/>
      <c r="N1042138" s="19"/>
    </row>
    <row r="1042139" spans="1:14" s="83" customFormat="1" ht="12.75">
      <c r="A1042139" s="19"/>
      <c r="B1042139" s="19"/>
      <c r="C1042139" s="19"/>
      <c r="D1042139" s="19"/>
      <c r="E1042139" s="19"/>
      <c r="F1042139" s="19"/>
      <c r="G1042139" s="19"/>
      <c r="H1042139" s="19"/>
      <c r="I1042139" s="19"/>
      <c r="J1042139" s="19"/>
      <c r="K1042139" s="19"/>
      <c r="L1042139" s="19"/>
      <c r="M1042139" s="19"/>
      <c r="N1042139" s="19"/>
    </row>
    <row r="1042140" spans="1:14" s="83" customFormat="1" ht="12.75">
      <c r="A1042140" s="19"/>
      <c r="B1042140" s="19"/>
      <c r="C1042140" s="19"/>
      <c r="D1042140" s="19"/>
      <c r="E1042140" s="19"/>
      <c r="F1042140" s="19"/>
      <c r="G1042140" s="19"/>
      <c r="H1042140" s="19"/>
      <c r="I1042140" s="19"/>
      <c r="J1042140" s="19"/>
      <c r="K1042140" s="19"/>
      <c r="L1042140" s="19"/>
      <c r="M1042140" s="19"/>
      <c r="N1042140" s="19"/>
    </row>
    <row r="1042141" spans="1:14" s="83" customFormat="1" ht="12.75">
      <c r="A1042141" s="19"/>
      <c r="B1042141" s="19"/>
      <c r="C1042141" s="19"/>
      <c r="D1042141" s="19"/>
      <c r="E1042141" s="19"/>
      <c r="F1042141" s="19"/>
      <c r="G1042141" s="19"/>
      <c r="H1042141" s="19"/>
      <c r="I1042141" s="19"/>
      <c r="J1042141" s="19"/>
      <c r="K1042141" s="19"/>
      <c r="L1042141" s="19"/>
      <c r="M1042141" s="19"/>
      <c r="N1042141" s="19"/>
    </row>
    <row r="1042142" spans="1:14" s="83" customFormat="1" ht="12.75">
      <c r="A1042142" s="19"/>
      <c r="B1042142" s="19"/>
      <c r="C1042142" s="19"/>
      <c r="D1042142" s="19"/>
      <c r="E1042142" s="19"/>
      <c r="F1042142" s="19"/>
      <c r="G1042142" s="19"/>
      <c r="H1042142" s="19"/>
      <c r="I1042142" s="19"/>
      <c r="J1042142" s="19"/>
      <c r="K1042142" s="19"/>
      <c r="L1042142" s="19"/>
      <c r="M1042142" s="19"/>
      <c r="N1042142" s="19"/>
    </row>
    <row r="1042143" spans="1:14" s="83" customFormat="1" ht="12.75">
      <c r="A1042143" s="19"/>
      <c r="B1042143" s="19"/>
      <c r="C1042143" s="19"/>
      <c r="D1042143" s="19"/>
      <c r="E1042143" s="19"/>
      <c r="F1042143" s="19"/>
      <c r="G1042143" s="19"/>
      <c r="H1042143" s="19"/>
      <c r="I1042143" s="19"/>
      <c r="J1042143" s="19"/>
      <c r="K1042143" s="19"/>
      <c r="L1042143" s="19"/>
      <c r="M1042143" s="19"/>
      <c r="N1042143" s="19"/>
    </row>
    <row r="1042144" spans="1:14" s="83" customFormat="1" ht="12.75">
      <c r="A1042144" s="19"/>
      <c r="B1042144" s="19"/>
      <c r="C1042144" s="19"/>
      <c r="D1042144" s="19"/>
      <c r="E1042144" s="19"/>
      <c r="F1042144" s="19"/>
      <c r="G1042144" s="19"/>
      <c r="H1042144" s="19"/>
      <c r="I1042144" s="19"/>
      <c r="J1042144" s="19"/>
      <c r="K1042144" s="19"/>
      <c r="L1042144" s="19"/>
      <c r="M1042144" s="19"/>
      <c r="N1042144" s="19"/>
    </row>
    <row r="1042145" spans="1:14" s="83" customFormat="1" ht="12.75">
      <c r="A1042145" s="19"/>
      <c r="B1042145" s="19"/>
      <c r="C1042145" s="19"/>
      <c r="D1042145" s="19"/>
      <c r="E1042145" s="19"/>
      <c r="F1042145" s="19"/>
      <c r="G1042145" s="19"/>
      <c r="H1042145" s="19"/>
      <c r="I1042145" s="19"/>
      <c r="J1042145" s="19"/>
      <c r="K1042145" s="19"/>
      <c r="L1042145" s="19"/>
      <c r="M1042145" s="19"/>
      <c r="N1042145" s="19"/>
    </row>
    <row r="1042146" spans="1:14" s="83" customFormat="1" ht="12.75">
      <c r="A1042146" s="19"/>
      <c r="B1042146" s="19"/>
      <c r="C1042146" s="19"/>
      <c r="D1042146" s="19"/>
      <c r="E1042146" s="19"/>
      <c r="F1042146" s="19"/>
      <c r="G1042146" s="19"/>
      <c r="H1042146" s="19"/>
      <c r="I1042146" s="19"/>
      <c r="J1042146" s="19"/>
      <c r="K1042146" s="19"/>
      <c r="L1042146" s="19"/>
      <c r="M1042146" s="19"/>
      <c r="N1042146" s="19"/>
    </row>
    <row r="1042147" spans="1:14" s="83" customFormat="1" ht="12.75">
      <c r="A1042147" s="19"/>
      <c r="B1042147" s="19"/>
      <c r="C1042147" s="19"/>
      <c r="D1042147" s="19"/>
      <c r="E1042147" s="19"/>
      <c r="F1042147" s="19"/>
      <c r="G1042147" s="19"/>
      <c r="H1042147" s="19"/>
      <c r="I1042147" s="19"/>
      <c r="J1042147" s="19"/>
      <c r="K1042147" s="19"/>
      <c r="L1042147" s="19"/>
      <c r="M1042147" s="19"/>
      <c r="N1042147" s="19"/>
    </row>
    <row r="1042148" spans="1:14" s="83" customFormat="1" ht="12.75">
      <c r="A1042148" s="19"/>
      <c r="B1042148" s="19"/>
      <c r="C1042148" s="19"/>
      <c r="D1042148" s="19"/>
      <c r="E1042148" s="19"/>
      <c r="F1042148" s="19"/>
      <c r="G1042148" s="19"/>
      <c r="H1042148" s="19"/>
      <c r="I1042148" s="19"/>
      <c r="J1042148" s="19"/>
      <c r="K1042148" s="19"/>
      <c r="L1042148" s="19"/>
      <c r="M1042148" s="19"/>
      <c r="N1042148" s="19"/>
    </row>
    <row r="1042149" spans="1:14" s="83" customFormat="1" ht="12.75">
      <c r="A1042149" s="19"/>
      <c r="B1042149" s="19"/>
      <c r="C1042149" s="19"/>
      <c r="D1042149" s="19"/>
      <c r="E1042149" s="19"/>
      <c r="F1042149" s="19"/>
      <c r="G1042149" s="19"/>
      <c r="H1042149" s="19"/>
      <c r="I1042149" s="19"/>
      <c r="J1042149" s="19"/>
      <c r="K1042149" s="19"/>
      <c r="L1042149" s="19"/>
      <c r="M1042149" s="19"/>
      <c r="N1042149" s="19"/>
    </row>
    <row r="1042150" spans="1:14" s="83" customFormat="1" ht="12.75">
      <c r="A1042150" s="19"/>
      <c r="B1042150" s="19"/>
      <c r="C1042150" s="19"/>
      <c r="D1042150" s="19"/>
      <c r="E1042150" s="19"/>
      <c r="F1042150" s="19"/>
      <c r="G1042150" s="19"/>
      <c r="H1042150" s="19"/>
      <c r="I1042150" s="19"/>
      <c r="J1042150" s="19"/>
      <c r="K1042150" s="19"/>
      <c r="L1042150" s="19"/>
      <c r="M1042150" s="19"/>
      <c r="N1042150" s="19"/>
    </row>
    <row r="1042151" spans="1:14" s="83" customFormat="1" ht="12.75">
      <c r="A1042151" s="19"/>
      <c r="B1042151" s="19"/>
      <c r="C1042151" s="19"/>
      <c r="D1042151" s="19"/>
      <c r="E1042151" s="19"/>
      <c r="F1042151" s="19"/>
      <c r="G1042151" s="19"/>
      <c r="H1042151" s="19"/>
      <c r="I1042151" s="19"/>
      <c r="J1042151" s="19"/>
      <c r="K1042151" s="19"/>
      <c r="L1042151" s="19"/>
      <c r="M1042151" s="19"/>
      <c r="N1042151" s="19"/>
    </row>
    <row r="1042152" spans="1:14" s="83" customFormat="1" ht="12.75">
      <c r="A1042152" s="19"/>
      <c r="B1042152" s="19"/>
      <c r="C1042152" s="19"/>
      <c r="D1042152" s="19"/>
      <c r="E1042152" s="19"/>
      <c r="F1042152" s="19"/>
      <c r="G1042152" s="19"/>
      <c r="H1042152" s="19"/>
      <c r="I1042152" s="19"/>
      <c r="J1042152" s="19"/>
      <c r="K1042152" s="19"/>
      <c r="L1042152" s="19"/>
      <c r="M1042152" s="19"/>
      <c r="N1042152" s="19"/>
    </row>
    <row r="1042153" spans="1:14" s="83" customFormat="1" ht="12.75">
      <c r="A1042153" s="19"/>
      <c r="B1042153" s="19"/>
      <c r="C1042153" s="19"/>
      <c r="D1042153" s="19"/>
      <c r="E1042153" s="19"/>
      <c r="F1042153" s="19"/>
      <c r="G1042153" s="19"/>
      <c r="H1042153" s="19"/>
      <c r="I1042153" s="19"/>
      <c r="J1042153" s="19"/>
      <c r="K1042153" s="19"/>
      <c r="L1042153" s="19"/>
      <c r="M1042153" s="19"/>
      <c r="N1042153" s="19"/>
    </row>
    <row r="1042154" spans="1:14" s="83" customFormat="1" ht="12.75">
      <c r="A1042154" s="19"/>
      <c r="B1042154" s="19"/>
      <c r="C1042154" s="19"/>
      <c r="D1042154" s="19"/>
      <c r="E1042154" s="19"/>
      <c r="F1042154" s="19"/>
      <c r="G1042154" s="19"/>
      <c r="H1042154" s="19"/>
      <c r="I1042154" s="19"/>
      <c r="J1042154" s="19"/>
      <c r="K1042154" s="19"/>
      <c r="L1042154" s="19"/>
      <c r="M1042154" s="19"/>
      <c r="N1042154" s="19"/>
    </row>
    <row r="1042155" spans="1:14" s="83" customFormat="1" ht="12.75">
      <c r="A1042155" s="19"/>
      <c r="B1042155" s="19"/>
      <c r="C1042155" s="19"/>
      <c r="D1042155" s="19"/>
      <c r="E1042155" s="19"/>
      <c r="F1042155" s="19"/>
      <c r="G1042155" s="19"/>
      <c r="H1042155" s="19"/>
      <c r="I1042155" s="19"/>
      <c r="J1042155" s="19"/>
      <c r="K1042155" s="19"/>
      <c r="L1042155" s="19"/>
      <c r="M1042155" s="19"/>
      <c r="N1042155" s="19"/>
    </row>
    <row r="1042156" spans="1:14" s="83" customFormat="1" ht="12.75">
      <c r="A1042156" s="19"/>
      <c r="B1042156" s="19"/>
      <c r="C1042156" s="19"/>
      <c r="D1042156" s="19"/>
      <c r="E1042156" s="19"/>
      <c r="F1042156" s="19"/>
      <c r="G1042156" s="19"/>
      <c r="H1042156" s="19"/>
      <c r="I1042156" s="19"/>
      <c r="J1042156" s="19"/>
      <c r="K1042156" s="19"/>
      <c r="L1042156" s="19"/>
      <c r="M1042156" s="19"/>
      <c r="N1042156" s="19"/>
    </row>
    <row r="1042157" spans="1:14" s="83" customFormat="1" ht="12.75">
      <c r="A1042157" s="19"/>
      <c r="B1042157" s="19"/>
      <c r="C1042157" s="19"/>
      <c r="D1042157" s="19"/>
      <c r="E1042157" s="19"/>
      <c r="F1042157" s="19"/>
      <c r="G1042157" s="19"/>
      <c r="H1042157" s="19"/>
      <c r="I1042157" s="19"/>
      <c r="J1042157" s="19"/>
      <c r="K1042157" s="19"/>
      <c r="L1042157" s="19"/>
      <c r="M1042157" s="19"/>
      <c r="N1042157" s="19"/>
    </row>
    <row r="1042158" spans="1:14" s="83" customFormat="1" ht="12.75">
      <c r="A1042158" s="19"/>
      <c r="B1042158" s="19"/>
      <c r="C1042158" s="19"/>
      <c r="D1042158" s="19"/>
      <c r="E1042158" s="19"/>
      <c r="F1042158" s="19"/>
      <c r="G1042158" s="19"/>
      <c r="H1042158" s="19"/>
      <c r="I1042158" s="19"/>
      <c r="J1042158" s="19"/>
      <c r="K1042158" s="19"/>
      <c r="L1042158" s="19"/>
      <c r="M1042158" s="19"/>
      <c r="N1042158" s="19"/>
    </row>
    <row r="1042159" spans="1:14" s="83" customFormat="1" ht="12.75">
      <c r="A1042159" s="19"/>
      <c r="B1042159" s="19"/>
      <c r="C1042159" s="19"/>
      <c r="D1042159" s="19"/>
      <c r="E1042159" s="19"/>
      <c r="F1042159" s="19"/>
      <c r="G1042159" s="19"/>
      <c r="H1042159" s="19"/>
      <c r="I1042159" s="19"/>
      <c r="J1042159" s="19"/>
      <c r="K1042159" s="19"/>
      <c r="L1042159" s="19"/>
      <c r="M1042159" s="19"/>
      <c r="N1042159" s="19"/>
    </row>
    <row r="1042160" spans="1:14" s="83" customFormat="1" ht="12.75">
      <c r="A1042160" s="19"/>
      <c r="B1042160" s="19"/>
      <c r="C1042160" s="19"/>
      <c r="D1042160" s="19"/>
      <c r="E1042160" s="19"/>
      <c r="F1042160" s="19"/>
      <c r="G1042160" s="19"/>
      <c r="H1042160" s="19"/>
      <c r="I1042160" s="19"/>
      <c r="J1042160" s="19"/>
      <c r="K1042160" s="19"/>
      <c r="L1042160" s="19"/>
      <c r="M1042160" s="19"/>
      <c r="N1042160" s="19"/>
    </row>
    <row r="1042161" spans="1:14" s="83" customFormat="1" ht="12.75">
      <c r="A1042161" s="19"/>
      <c r="B1042161" s="19"/>
      <c r="C1042161" s="19"/>
      <c r="D1042161" s="19"/>
      <c r="E1042161" s="19"/>
      <c r="F1042161" s="19"/>
      <c r="G1042161" s="19"/>
      <c r="H1042161" s="19"/>
      <c r="I1042161" s="19"/>
      <c r="J1042161" s="19"/>
      <c r="K1042161" s="19"/>
      <c r="L1042161" s="19"/>
      <c r="M1042161" s="19"/>
      <c r="N1042161" s="19"/>
    </row>
    <row r="1042162" spans="1:14" s="83" customFormat="1" ht="12.75">
      <c r="A1042162" s="19"/>
      <c r="B1042162" s="19"/>
      <c r="C1042162" s="19"/>
      <c r="D1042162" s="19"/>
      <c r="E1042162" s="19"/>
      <c r="F1042162" s="19"/>
      <c r="G1042162" s="19"/>
      <c r="H1042162" s="19"/>
      <c r="I1042162" s="19"/>
      <c r="J1042162" s="19"/>
      <c r="K1042162" s="19"/>
      <c r="L1042162" s="19"/>
      <c r="M1042162" s="19"/>
      <c r="N1042162" s="19"/>
    </row>
    <row r="1042163" spans="1:14" s="83" customFormat="1" ht="12.75">
      <c r="A1042163" s="19"/>
      <c r="B1042163" s="19"/>
      <c r="C1042163" s="19"/>
      <c r="D1042163" s="19"/>
      <c r="E1042163" s="19"/>
      <c r="F1042163" s="19"/>
      <c r="G1042163" s="19"/>
      <c r="H1042163" s="19"/>
      <c r="I1042163" s="19"/>
      <c r="J1042163" s="19"/>
      <c r="K1042163" s="19"/>
      <c r="L1042163" s="19"/>
      <c r="M1042163" s="19"/>
      <c r="N1042163" s="19"/>
    </row>
    <row r="1042164" spans="1:14" s="83" customFormat="1" ht="12.75">
      <c r="A1042164" s="19"/>
      <c r="B1042164" s="19"/>
      <c r="C1042164" s="19"/>
      <c r="D1042164" s="19"/>
      <c r="E1042164" s="19"/>
      <c r="F1042164" s="19"/>
      <c r="G1042164" s="19"/>
      <c r="H1042164" s="19"/>
      <c r="I1042164" s="19"/>
      <c r="J1042164" s="19"/>
      <c r="K1042164" s="19"/>
      <c r="L1042164" s="19"/>
      <c r="M1042164" s="19"/>
      <c r="N1042164" s="19"/>
    </row>
    <row r="1042165" spans="1:14" s="83" customFormat="1" ht="12.75">
      <c r="A1042165" s="19"/>
      <c r="B1042165" s="19"/>
      <c r="C1042165" s="19"/>
      <c r="D1042165" s="19"/>
      <c r="E1042165" s="19"/>
      <c r="F1042165" s="19"/>
      <c r="G1042165" s="19"/>
      <c r="H1042165" s="19"/>
      <c r="I1042165" s="19"/>
      <c r="J1042165" s="19"/>
      <c r="K1042165" s="19"/>
      <c r="L1042165" s="19"/>
      <c r="M1042165" s="19"/>
      <c r="N1042165" s="19"/>
    </row>
    <row r="1042166" spans="1:14" s="83" customFormat="1" ht="12.75">
      <c r="A1042166" s="19"/>
      <c r="B1042166" s="19"/>
      <c r="C1042166" s="19"/>
      <c r="D1042166" s="19"/>
      <c r="E1042166" s="19"/>
      <c r="F1042166" s="19"/>
      <c r="G1042166" s="19"/>
      <c r="H1042166" s="19"/>
      <c r="I1042166" s="19"/>
      <c r="J1042166" s="19"/>
      <c r="K1042166" s="19"/>
      <c r="L1042166" s="19"/>
      <c r="M1042166" s="19"/>
      <c r="N1042166" s="19"/>
    </row>
    <row r="1042167" spans="1:14" s="83" customFormat="1" ht="12.75">
      <c r="A1042167" s="19"/>
      <c r="B1042167" s="19"/>
      <c r="C1042167" s="19"/>
      <c r="D1042167" s="19"/>
      <c r="E1042167" s="19"/>
      <c r="F1042167" s="19"/>
      <c r="G1042167" s="19"/>
      <c r="H1042167" s="19"/>
      <c r="I1042167" s="19"/>
      <c r="J1042167" s="19"/>
      <c r="K1042167" s="19"/>
      <c r="L1042167" s="19"/>
      <c r="M1042167" s="19"/>
      <c r="N1042167" s="19"/>
    </row>
    <row r="1042168" spans="1:14" s="83" customFormat="1" ht="12.75">
      <c r="A1042168" s="19"/>
      <c r="B1042168" s="19"/>
      <c r="C1042168" s="19"/>
      <c r="D1042168" s="19"/>
      <c r="E1042168" s="19"/>
      <c r="F1042168" s="19"/>
      <c r="G1042168" s="19"/>
      <c r="H1042168" s="19"/>
      <c r="I1042168" s="19"/>
      <c r="J1042168" s="19"/>
      <c r="K1042168" s="19"/>
      <c r="L1042168" s="19"/>
      <c r="M1042168" s="19"/>
      <c r="N1042168" s="19"/>
    </row>
    <row r="1042169" spans="1:14" s="83" customFormat="1" ht="12.75">
      <c r="A1042169" s="19"/>
      <c r="B1042169" s="19"/>
      <c r="C1042169" s="19"/>
      <c r="D1042169" s="19"/>
      <c r="E1042169" s="19"/>
      <c r="F1042169" s="19"/>
      <c r="G1042169" s="19"/>
      <c r="H1042169" s="19"/>
      <c r="I1042169" s="19"/>
      <c r="J1042169" s="19"/>
      <c r="K1042169" s="19"/>
      <c r="L1042169" s="19"/>
      <c r="M1042169" s="19"/>
      <c r="N1042169" s="19"/>
    </row>
    <row r="1042170" spans="1:14" s="83" customFormat="1" ht="12.75">
      <c r="A1042170" s="19"/>
      <c r="B1042170" s="19"/>
      <c r="C1042170" s="19"/>
      <c r="D1042170" s="19"/>
      <c r="E1042170" s="19"/>
      <c r="F1042170" s="19"/>
      <c r="G1042170" s="19"/>
      <c r="H1042170" s="19"/>
      <c r="I1042170" s="19"/>
      <c r="J1042170" s="19"/>
      <c r="K1042170" s="19"/>
      <c r="L1042170" s="19"/>
      <c r="M1042170" s="19"/>
      <c r="N1042170" s="19"/>
    </row>
    <row r="1042171" spans="1:14" s="83" customFormat="1" ht="12.75">
      <c r="A1042171" s="19"/>
      <c r="B1042171" s="19"/>
      <c r="C1042171" s="19"/>
      <c r="D1042171" s="19"/>
      <c r="E1042171" s="19"/>
      <c r="F1042171" s="19"/>
      <c r="G1042171" s="19"/>
      <c r="H1042171" s="19"/>
      <c r="I1042171" s="19"/>
      <c r="J1042171" s="19"/>
      <c r="K1042171" s="19"/>
      <c r="L1042171" s="19"/>
      <c r="M1042171" s="19"/>
      <c r="N1042171" s="19"/>
    </row>
    <row r="1042172" spans="1:14" s="83" customFormat="1" ht="12.75">
      <c r="A1042172" s="19"/>
      <c r="B1042172" s="19"/>
      <c r="C1042172" s="19"/>
      <c r="D1042172" s="19"/>
      <c r="E1042172" s="19"/>
      <c r="F1042172" s="19"/>
      <c r="G1042172" s="19"/>
      <c r="H1042172" s="19"/>
      <c r="I1042172" s="19"/>
      <c r="J1042172" s="19"/>
      <c r="K1042172" s="19"/>
      <c r="L1042172" s="19"/>
      <c r="M1042172" s="19"/>
      <c r="N1042172" s="19"/>
    </row>
    <row r="1042173" spans="1:14" s="83" customFormat="1" ht="12.75">
      <c r="A1042173" s="19"/>
      <c r="B1042173" s="19"/>
      <c r="C1042173" s="19"/>
      <c r="D1042173" s="19"/>
      <c r="E1042173" s="19"/>
      <c r="F1042173" s="19"/>
      <c r="G1042173" s="19"/>
      <c r="H1042173" s="19"/>
      <c r="I1042173" s="19"/>
      <c r="J1042173" s="19"/>
      <c r="K1042173" s="19"/>
      <c r="L1042173" s="19"/>
      <c r="M1042173" s="19"/>
      <c r="N1042173" s="19"/>
    </row>
    <row r="1042174" spans="1:14" s="83" customFormat="1" ht="12.75">
      <c r="A1042174" s="19"/>
      <c r="B1042174" s="19"/>
      <c r="C1042174" s="19"/>
      <c r="D1042174" s="19"/>
      <c r="E1042174" s="19"/>
      <c r="F1042174" s="19"/>
      <c r="G1042174" s="19"/>
      <c r="H1042174" s="19"/>
      <c r="I1042174" s="19"/>
      <c r="J1042174" s="19"/>
      <c r="K1042174" s="19"/>
      <c r="L1042174" s="19"/>
      <c r="M1042174" s="19"/>
      <c r="N1042174" s="19"/>
    </row>
    <row r="1042175" spans="1:14" s="83" customFormat="1" ht="12.75">
      <c r="A1042175" s="19"/>
      <c r="B1042175" s="19"/>
      <c r="C1042175" s="19"/>
      <c r="D1042175" s="19"/>
      <c r="E1042175" s="19"/>
      <c r="F1042175" s="19"/>
      <c r="G1042175" s="19"/>
      <c r="H1042175" s="19"/>
      <c r="I1042175" s="19"/>
      <c r="J1042175" s="19"/>
      <c r="K1042175" s="19"/>
      <c r="L1042175" s="19"/>
      <c r="M1042175" s="19"/>
      <c r="N1042175" s="19"/>
    </row>
    <row r="1042176" spans="1:14" s="83" customFormat="1" ht="12.75">
      <c r="A1042176" s="19"/>
      <c r="B1042176" s="19"/>
      <c r="C1042176" s="19"/>
      <c r="D1042176" s="19"/>
      <c r="E1042176" s="19"/>
      <c r="F1042176" s="19"/>
      <c r="G1042176" s="19"/>
      <c r="H1042176" s="19"/>
      <c r="I1042176" s="19"/>
      <c r="J1042176" s="19"/>
      <c r="K1042176" s="19"/>
      <c r="L1042176" s="19"/>
      <c r="M1042176" s="19"/>
      <c r="N1042176" s="19"/>
    </row>
    <row r="1042177" spans="1:14" s="83" customFormat="1" ht="12.75">
      <c r="A1042177" s="19"/>
      <c r="B1042177" s="19"/>
      <c r="C1042177" s="19"/>
      <c r="D1042177" s="19"/>
      <c r="E1042177" s="19"/>
      <c r="F1042177" s="19"/>
      <c r="G1042177" s="19"/>
      <c r="H1042177" s="19"/>
      <c r="I1042177" s="19"/>
      <c r="J1042177" s="19"/>
      <c r="K1042177" s="19"/>
      <c r="L1042177" s="19"/>
      <c r="M1042177" s="19"/>
      <c r="N1042177" s="19"/>
    </row>
    <row r="1042178" spans="1:14" s="83" customFormat="1" ht="12.75">
      <c r="A1042178" s="19"/>
      <c r="B1042178" s="19"/>
      <c r="C1042178" s="19"/>
      <c r="D1042178" s="19"/>
      <c r="E1042178" s="19"/>
      <c r="F1042178" s="19"/>
      <c r="G1042178" s="19"/>
      <c r="H1042178" s="19"/>
      <c r="I1042178" s="19"/>
      <c r="J1042178" s="19"/>
      <c r="K1042178" s="19"/>
      <c r="L1042178" s="19"/>
      <c r="M1042178" s="19"/>
      <c r="N1042178" s="19"/>
    </row>
    <row r="1042179" spans="1:14" s="83" customFormat="1" ht="12.75">
      <c r="A1042179" s="19"/>
      <c r="B1042179" s="19"/>
      <c r="C1042179" s="19"/>
      <c r="D1042179" s="19"/>
      <c r="E1042179" s="19"/>
      <c r="F1042179" s="19"/>
      <c r="G1042179" s="19"/>
      <c r="H1042179" s="19"/>
      <c r="I1042179" s="19"/>
      <c r="J1042179" s="19"/>
      <c r="K1042179" s="19"/>
      <c r="L1042179" s="19"/>
      <c r="M1042179" s="19"/>
      <c r="N1042179" s="19"/>
    </row>
    <row r="1042180" spans="1:14" s="83" customFormat="1" ht="12.75">
      <c r="A1042180" s="19"/>
      <c r="B1042180" s="19"/>
      <c r="C1042180" s="19"/>
      <c r="D1042180" s="19"/>
      <c r="E1042180" s="19"/>
      <c r="F1042180" s="19"/>
      <c r="G1042180" s="19"/>
      <c r="H1042180" s="19"/>
      <c r="I1042180" s="19"/>
      <c r="J1042180" s="19"/>
      <c r="K1042180" s="19"/>
      <c r="L1042180" s="19"/>
      <c r="M1042180" s="19"/>
      <c r="N1042180" s="19"/>
    </row>
    <row r="1042181" spans="1:14" s="83" customFormat="1" ht="12.75">
      <c r="A1042181" s="19"/>
      <c r="B1042181" s="19"/>
      <c r="C1042181" s="19"/>
      <c r="D1042181" s="19"/>
      <c r="E1042181" s="19"/>
      <c r="F1042181" s="19"/>
      <c r="G1042181" s="19"/>
      <c r="H1042181" s="19"/>
      <c r="I1042181" s="19"/>
      <c r="J1042181" s="19"/>
      <c r="K1042181" s="19"/>
      <c r="L1042181" s="19"/>
      <c r="M1042181" s="19"/>
      <c r="N1042181" s="19"/>
    </row>
    <row r="1042182" spans="1:14" s="83" customFormat="1" ht="12.75">
      <c r="A1042182" s="19"/>
      <c r="B1042182" s="19"/>
      <c r="C1042182" s="19"/>
      <c r="D1042182" s="19"/>
      <c r="E1042182" s="19"/>
      <c r="F1042182" s="19"/>
      <c r="G1042182" s="19"/>
      <c r="H1042182" s="19"/>
      <c r="I1042182" s="19"/>
      <c r="J1042182" s="19"/>
      <c r="K1042182" s="19"/>
      <c r="L1042182" s="19"/>
      <c r="M1042182" s="19"/>
      <c r="N1042182" s="19"/>
    </row>
    <row r="1042183" spans="1:14" s="83" customFormat="1" ht="12.75">
      <c r="A1042183" s="19"/>
      <c r="B1042183" s="19"/>
      <c r="C1042183" s="19"/>
      <c r="D1042183" s="19"/>
      <c r="E1042183" s="19"/>
      <c r="F1042183" s="19"/>
      <c r="G1042183" s="19"/>
      <c r="H1042183" s="19"/>
      <c r="I1042183" s="19"/>
      <c r="J1042183" s="19"/>
      <c r="K1042183" s="19"/>
      <c r="L1042183" s="19"/>
      <c r="M1042183" s="19"/>
      <c r="N1042183" s="19"/>
    </row>
    <row r="1042184" spans="1:14" s="83" customFormat="1" ht="12.75">
      <c r="A1042184" s="19"/>
      <c r="B1042184" s="19"/>
      <c r="C1042184" s="19"/>
      <c r="D1042184" s="19"/>
      <c r="E1042184" s="19"/>
      <c r="F1042184" s="19"/>
      <c r="G1042184" s="19"/>
      <c r="H1042184" s="19"/>
      <c r="I1042184" s="19"/>
      <c r="J1042184" s="19"/>
      <c r="K1042184" s="19"/>
      <c r="L1042184" s="19"/>
      <c r="M1042184" s="19"/>
      <c r="N1042184" s="19"/>
    </row>
    <row r="1042185" spans="1:14" s="83" customFormat="1" ht="12.75">
      <c r="A1042185" s="19"/>
      <c r="B1042185" s="19"/>
      <c r="C1042185" s="19"/>
      <c r="D1042185" s="19"/>
      <c r="E1042185" s="19"/>
      <c r="F1042185" s="19"/>
      <c r="G1042185" s="19"/>
      <c r="H1042185" s="19"/>
      <c r="I1042185" s="19"/>
      <c r="J1042185" s="19"/>
      <c r="K1042185" s="19"/>
      <c r="L1042185" s="19"/>
      <c r="M1042185" s="19"/>
      <c r="N1042185" s="19"/>
    </row>
    <row r="1042186" spans="1:14" s="83" customFormat="1" ht="12.75">
      <c r="A1042186" s="19"/>
      <c r="B1042186" s="19"/>
      <c r="C1042186" s="19"/>
      <c r="D1042186" s="19"/>
      <c r="E1042186" s="19"/>
      <c r="F1042186" s="19"/>
      <c r="G1042186" s="19"/>
      <c r="H1042186" s="19"/>
      <c r="I1042186" s="19"/>
      <c r="J1042186" s="19"/>
      <c r="K1042186" s="19"/>
      <c r="L1042186" s="19"/>
      <c r="M1042186" s="19"/>
      <c r="N1042186" s="19"/>
    </row>
    <row r="1042187" spans="1:14" s="83" customFormat="1" ht="12.75">
      <c r="A1042187" s="19"/>
      <c r="B1042187" s="19"/>
      <c r="C1042187" s="19"/>
      <c r="D1042187" s="19"/>
      <c r="E1042187" s="19"/>
      <c r="F1042187" s="19"/>
      <c r="G1042187" s="19"/>
      <c r="H1042187" s="19"/>
      <c r="I1042187" s="19"/>
      <c r="J1042187" s="19"/>
      <c r="K1042187" s="19"/>
      <c r="L1042187" s="19"/>
      <c r="M1042187" s="19"/>
      <c r="N1042187" s="19"/>
    </row>
    <row r="1042188" spans="1:14" s="83" customFormat="1" ht="12.75">
      <c r="A1042188" s="19"/>
      <c r="B1042188" s="19"/>
      <c r="C1042188" s="19"/>
      <c r="D1042188" s="19"/>
      <c r="E1042188" s="19"/>
      <c r="F1042188" s="19"/>
      <c r="G1042188" s="19"/>
      <c r="H1042188" s="19"/>
      <c r="I1042188" s="19"/>
      <c r="J1042188" s="19"/>
      <c r="K1042188" s="19"/>
      <c r="L1042188" s="19"/>
      <c r="M1042188" s="19"/>
      <c r="N1042188" s="19"/>
    </row>
    <row r="1042189" spans="1:14" s="83" customFormat="1" ht="12.75">
      <c r="A1042189" s="19"/>
      <c r="B1042189" s="19"/>
      <c r="C1042189" s="19"/>
      <c r="D1042189" s="19"/>
      <c r="E1042189" s="19"/>
      <c r="F1042189" s="19"/>
      <c r="G1042189" s="19"/>
      <c r="H1042189" s="19"/>
      <c r="I1042189" s="19"/>
      <c r="J1042189" s="19"/>
      <c r="K1042189" s="19"/>
      <c r="L1042189" s="19"/>
      <c r="M1042189" s="19"/>
      <c r="N1042189" s="19"/>
    </row>
    <row r="1042190" spans="1:14" s="83" customFormat="1" ht="12.75">
      <c r="A1042190" s="19"/>
      <c r="B1042190" s="19"/>
      <c r="C1042190" s="19"/>
      <c r="D1042190" s="19"/>
      <c r="E1042190" s="19"/>
      <c r="F1042190" s="19"/>
      <c r="G1042190" s="19"/>
      <c r="H1042190" s="19"/>
      <c r="I1042190" s="19"/>
      <c r="J1042190" s="19"/>
      <c r="K1042190" s="19"/>
      <c r="L1042190" s="19"/>
      <c r="M1042190" s="19"/>
      <c r="N1042190" s="19"/>
    </row>
    <row r="1042191" spans="1:14" s="83" customFormat="1" ht="12.75">
      <c r="A1042191" s="19"/>
      <c r="B1042191" s="19"/>
      <c r="C1042191" s="19"/>
      <c r="D1042191" s="19"/>
      <c r="E1042191" s="19"/>
      <c r="F1042191" s="19"/>
      <c r="G1042191" s="19"/>
      <c r="H1042191" s="19"/>
      <c r="I1042191" s="19"/>
      <c r="J1042191" s="19"/>
      <c r="K1042191" s="19"/>
      <c r="L1042191" s="19"/>
      <c r="M1042191" s="19"/>
      <c r="N1042191" s="19"/>
    </row>
    <row r="1042192" spans="1:14" s="83" customFormat="1" ht="12.75">
      <c r="A1042192" s="19"/>
      <c r="B1042192" s="19"/>
      <c r="C1042192" s="19"/>
      <c r="D1042192" s="19"/>
      <c r="E1042192" s="19"/>
      <c r="F1042192" s="19"/>
      <c r="G1042192" s="19"/>
      <c r="H1042192" s="19"/>
      <c r="I1042192" s="19"/>
      <c r="J1042192" s="19"/>
      <c r="K1042192" s="19"/>
      <c r="L1042192" s="19"/>
      <c r="M1042192" s="19"/>
      <c r="N1042192" s="19"/>
    </row>
    <row r="1042193" spans="1:14" s="83" customFormat="1" ht="12.75">
      <c r="A1042193" s="19"/>
      <c r="B1042193" s="19"/>
      <c r="C1042193" s="19"/>
      <c r="D1042193" s="19"/>
      <c r="E1042193" s="19"/>
      <c r="F1042193" s="19"/>
      <c r="G1042193" s="19"/>
      <c r="H1042193" s="19"/>
      <c r="I1042193" s="19"/>
      <c r="J1042193" s="19"/>
      <c r="K1042193" s="19"/>
      <c r="L1042193" s="19"/>
      <c r="M1042193" s="19"/>
      <c r="N1042193" s="19"/>
    </row>
    <row r="1042194" spans="1:14" s="83" customFormat="1" ht="12.75">
      <c r="A1042194" s="19"/>
      <c r="B1042194" s="19"/>
      <c r="C1042194" s="19"/>
      <c r="D1042194" s="19"/>
      <c r="E1042194" s="19"/>
      <c r="F1042194" s="19"/>
      <c r="G1042194" s="19"/>
      <c r="H1042194" s="19"/>
      <c r="I1042194" s="19"/>
      <c r="J1042194" s="19"/>
      <c r="K1042194" s="19"/>
      <c r="L1042194" s="19"/>
      <c r="M1042194" s="19"/>
      <c r="N1042194" s="19"/>
    </row>
    <row r="1042195" spans="1:14" s="83" customFormat="1" ht="12.75">
      <c r="A1042195" s="19"/>
      <c r="B1042195" s="19"/>
      <c r="C1042195" s="19"/>
      <c r="D1042195" s="19"/>
      <c r="E1042195" s="19"/>
      <c r="F1042195" s="19"/>
      <c r="G1042195" s="19"/>
      <c r="H1042195" s="19"/>
      <c r="I1042195" s="19"/>
      <c r="J1042195" s="19"/>
      <c r="K1042195" s="19"/>
      <c r="L1042195" s="19"/>
      <c r="M1042195" s="19"/>
      <c r="N1042195" s="19"/>
    </row>
    <row r="1042196" spans="1:14" s="83" customFormat="1" ht="12.75">
      <c r="A1042196" s="19"/>
      <c r="B1042196" s="19"/>
      <c r="C1042196" s="19"/>
      <c r="D1042196" s="19"/>
      <c r="E1042196" s="19"/>
      <c r="F1042196" s="19"/>
      <c r="G1042196" s="19"/>
      <c r="H1042196" s="19"/>
      <c r="I1042196" s="19"/>
      <c r="J1042196" s="19"/>
      <c r="K1042196" s="19"/>
      <c r="L1042196" s="19"/>
      <c r="M1042196" s="19"/>
      <c r="N1042196" s="19"/>
    </row>
    <row r="1042197" spans="1:14" s="83" customFormat="1" ht="12.75">
      <c r="A1042197" s="19"/>
      <c r="B1042197" s="19"/>
      <c r="C1042197" s="19"/>
      <c r="D1042197" s="19"/>
      <c r="E1042197" s="19"/>
      <c r="F1042197" s="19"/>
      <c r="G1042197" s="19"/>
      <c r="H1042197" s="19"/>
      <c r="I1042197" s="19"/>
      <c r="J1042197" s="19"/>
      <c r="K1042197" s="19"/>
      <c r="L1042197" s="19"/>
      <c r="M1042197" s="19"/>
      <c r="N1042197" s="19"/>
    </row>
    <row r="1042198" spans="1:14" s="83" customFormat="1" ht="12.75">
      <c r="A1042198" s="19"/>
      <c r="B1042198" s="19"/>
      <c r="C1042198" s="19"/>
      <c r="D1042198" s="19"/>
      <c r="E1042198" s="19"/>
      <c r="F1042198" s="19"/>
      <c r="G1042198" s="19"/>
      <c r="H1042198" s="19"/>
      <c r="I1042198" s="19"/>
      <c r="J1042198" s="19"/>
      <c r="K1042198" s="19"/>
      <c r="L1042198" s="19"/>
      <c r="M1042198" s="19"/>
      <c r="N1042198" s="19"/>
    </row>
    <row r="1042199" spans="1:14" s="83" customFormat="1" ht="12.75">
      <c r="A1042199" s="19"/>
      <c r="B1042199" s="19"/>
      <c r="C1042199" s="19"/>
      <c r="D1042199" s="19"/>
      <c r="E1042199" s="19"/>
      <c r="F1042199" s="19"/>
      <c r="G1042199" s="19"/>
      <c r="H1042199" s="19"/>
      <c r="I1042199" s="19"/>
      <c r="J1042199" s="19"/>
      <c r="K1042199" s="19"/>
      <c r="L1042199" s="19"/>
      <c r="M1042199" s="19"/>
      <c r="N1042199" s="19"/>
    </row>
    <row r="1042200" spans="1:14" s="83" customFormat="1" ht="12.75">
      <c r="A1042200" s="19"/>
      <c r="B1042200" s="19"/>
      <c r="C1042200" s="19"/>
      <c r="D1042200" s="19"/>
      <c r="E1042200" s="19"/>
      <c r="F1042200" s="19"/>
      <c r="G1042200" s="19"/>
      <c r="H1042200" s="19"/>
      <c r="I1042200" s="19"/>
      <c r="J1042200" s="19"/>
      <c r="K1042200" s="19"/>
      <c r="L1042200" s="19"/>
      <c r="M1042200" s="19"/>
      <c r="N1042200" s="19"/>
    </row>
    <row r="1042201" spans="1:14" s="83" customFormat="1" ht="12.75">
      <c r="A1042201" s="19"/>
      <c r="B1042201" s="19"/>
      <c r="C1042201" s="19"/>
      <c r="D1042201" s="19"/>
      <c r="E1042201" s="19"/>
      <c r="F1042201" s="19"/>
      <c r="G1042201" s="19"/>
      <c r="H1042201" s="19"/>
      <c r="I1042201" s="19"/>
      <c r="J1042201" s="19"/>
      <c r="K1042201" s="19"/>
      <c r="L1042201" s="19"/>
      <c r="M1042201" s="19"/>
      <c r="N1042201" s="19"/>
    </row>
    <row r="1042202" spans="1:14" s="83" customFormat="1" ht="12.75">
      <c r="A1042202" s="19"/>
      <c r="B1042202" s="19"/>
      <c r="C1042202" s="19"/>
      <c r="D1042202" s="19"/>
      <c r="E1042202" s="19"/>
      <c r="F1042202" s="19"/>
      <c r="G1042202" s="19"/>
      <c r="H1042202" s="19"/>
      <c r="I1042202" s="19"/>
      <c r="J1042202" s="19"/>
      <c r="K1042202" s="19"/>
      <c r="L1042202" s="19"/>
      <c r="M1042202" s="19"/>
      <c r="N1042202" s="19"/>
    </row>
    <row r="1042203" spans="1:14" s="83" customFormat="1" ht="12.75">
      <c r="A1042203" s="19"/>
      <c r="B1042203" s="19"/>
      <c r="C1042203" s="19"/>
      <c r="D1042203" s="19"/>
      <c r="E1042203" s="19"/>
      <c r="F1042203" s="19"/>
      <c r="G1042203" s="19"/>
      <c r="H1042203" s="19"/>
      <c r="I1042203" s="19"/>
      <c r="J1042203" s="19"/>
      <c r="K1042203" s="19"/>
      <c r="L1042203" s="19"/>
      <c r="M1042203" s="19"/>
      <c r="N1042203" s="19"/>
    </row>
    <row r="1042204" spans="1:14" s="83" customFormat="1" ht="12.75">
      <c r="A1042204" s="19"/>
      <c r="B1042204" s="19"/>
      <c r="C1042204" s="19"/>
      <c r="D1042204" s="19"/>
      <c r="E1042204" s="19"/>
      <c r="F1042204" s="19"/>
      <c r="G1042204" s="19"/>
      <c r="H1042204" s="19"/>
      <c r="I1042204" s="19"/>
      <c r="J1042204" s="19"/>
      <c r="K1042204" s="19"/>
      <c r="L1042204" s="19"/>
      <c r="M1042204" s="19"/>
      <c r="N1042204" s="19"/>
    </row>
    <row r="1042205" spans="1:14" s="83" customFormat="1" ht="12.75">
      <c r="A1042205" s="19"/>
      <c r="B1042205" s="19"/>
      <c r="C1042205" s="19"/>
      <c r="D1042205" s="19"/>
      <c r="E1042205" s="19"/>
      <c r="F1042205" s="19"/>
      <c r="G1042205" s="19"/>
      <c r="H1042205" s="19"/>
      <c r="I1042205" s="19"/>
      <c r="J1042205" s="19"/>
      <c r="K1042205" s="19"/>
      <c r="L1042205" s="19"/>
      <c r="M1042205" s="19"/>
      <c r="N1042205" s="19"/>
    </row>
    <row r="1042206" spans="1:14" s="83" customFormat="1" ht="12.75">
      <c r="A1042206" s="19"/>
      <c r="B1042206" s="19"/>
      <c r="C1042206" s="19"/>
      <c r="D1042206" s="19"/>
      <c r="E1042206" s="19"/>
      <c r="F1042206" s="19"/>
      <c r="G1042206" s="19"/>
      <c r="H1042206" s="19"/>
      <c r="I1042206" s="19"/>
      <c r="J1042206" s="19"/>
      <c r="K1042206" s="19"/>
      <c r="L1042206" s="19"/>
      <c r="M1042206" s="19"/>
      <c r="N1042206" s="19"/>
    </row>
    <row r="1042207" spans="1:14" s="83" customFormat="1" ht="12.75">
      <c r="A1042207" s="19"/>
      <c r="B1042207" s="19"/>
      <c r="C1042207" s="19"/>
      <c r="D1042207" s="19"/>
      <c r="E1042207" s="19"/>
      <c r="F1042207" s="19"/>
      <c r="G1042207" s="19"/>
      <c r="H1042207" s="19"/>
      <c r="I1042207" s="19"/>
      <c r="J1042207" s="19"/>
      <c r="K1042207" s="19"/>
      <c r="L1042207" s="19"/>
      <c r="M1042207" s="19"/>
      <c r="N1042207" s="19"/>
    </row>
    <row r="1042208" spans="1:14" s="83" customFormat="1" ht="12.75">
      <c r="A1042208" s="19"/>
      <c r="B1042208" s="19"/>
      <c r="C1042208" s="19"/>
      <c r="D1042208" s="19"/>
      <c r="E1042208" s="19"/>
      <c r="F1042208" s="19"/>
      <c r="G1042208" s="19"/>
      <c r="H1042208" s="19"/>
      <c r="I1042208" s="19"/>
      <c r="J1042208" s="19"/>
      <c r="K1042208" s="19"/>
      <c r="L1042208" s="19"/>
      <c r="M1042208" s="19"/>
      <c r="N1042208" s="19"/>
    </row>
    <row r="1042209" spans="1:14" s="83" customFormat="1" ht="12.75">
      <c r="A1042209" s="19"/>
      <c r="B1042209" s="19"/>
      <c r="C1042209" s="19"/>
      <c r="D1042209" s="19"/>
      <c r="E1042209" s="19"/>
      <c r="F1042209" s="19"/>
      <c r="G1042209" s="19"/>
      <c r="H1042209" s="19"/>
      <c r="I1042209" s="19"/>
      <c r="J1042209" s="19"/>
      <c r="K1042209" s="19"/>
      <c r="L1042209" s="19"/>
      <c r="M1042209" s="19"/>
      <c r="N1042209" s="19"/>
    </row>
    <row r="1042210" spans="1:14" s="83" customFormat="1" ht="12.75">
      <c r="A1042210" s="19"/>
      <c r="B1042210" s="19"/>
      <c r="C1042210" s="19"/>
      <c r="D1042210" s="19"/>
      <c r="E1042210" s="19"/>
      <c r="F1042210" s="19"/>
      <c r="G1042210" s="19"/>
      <c r="H1042210" s="19"/>
      <c r="I1042210" s="19"/>
      <c r="J1042210" s="19"/>
      <c r="K1042210" s="19"/>
      <c r="L1042210" s="19"/>
      <c r="M1042210" s="19"/>
      <c r="N1042210" s="19"/>
    </row>
    <row r="1042211" spans="1:14" s="83" customFormat="1" ht="12.75">
      <c r="A1042211" s="19"/>
      <c r="B1042211" s="19"/>
      <c r="C1042211" s="19"/>
      <c r="D1042211" s="19"/>
      <c r="E1042211" s="19"/>
      <c r="F1042211" s="19"/>
      <c r="G1042211" s="19"/>
      <c r="H1042211" s="19"/>
      <c r="I1042211" s="19"/>
      <c r="J1042211" s="19"/>
      <c r="K1042211" s="19"/>
      <c r="L1042211" s="19"/>
      <c r="M1042211" s="19"/>
      <c r="N1042211" s="19"/>
    </row>
    <row r="1042212" spans="1:14" s="83" customFormat="1" ht="12.75">
      <c r="A1042212" s="19"/>
      <c r="B1042212" s="19"/>
      <c r="C1042212" s="19"/>
      <c r="D1042212" s="19"/>
      <c r="E1042212" s="19"/>
      <c r="F1042212" s="19"/>
      <c r="G1042212" s="19"/>
      <c r="H1042212" s="19"/>
      <c r="I1042212" s="19"/>
      <c r="J1042212" s="19"/>
      <c r="K1042212" s="19"/>
      <c r="L1042212" s="19"/>
      <c r="M1042212" s="19"/>
      <c r="N1042212" s="19"/>
    </row>
    <row r="1042213" spans="1:14" s="83" customFormat="1" ht="12.75">
      <c r="A1042213" s="19"/>
      <c r="B1042213" s="19"/>
      <c r="C1042213" s="19"/>
      <c r="D1042213" s="19"/>
      <c r="E1042213" s="19"/>
      <c r="F1042213" s="19"/>
      <c r="G1042213" s="19"/>
      <c r="H1042213" s="19"/>
      <c r="I1042213" s="19"/>
      <c r="J1042213" s="19"/>
      <c r="K1042213" s="19"/>
      <c r="L1042213" s="19"/>
      <c r="M1042213" s="19"/>
      <c r="N1042213" s="19"/>
    </row>
    <row r="1042214" spans="1:14" s="83" customFormat="1" ht="12.75">
      <c r="A1042214" s="19"/>
      <c r="B1042214" s="19"/>
      <c r="C1042214" s="19"/>
      <c r="D1042214" s="19"/>
      <c r="E1042214" s="19"/>
      <c r="F1042214" s="19"/>
      <c r="G1042214" s="19"/>
      <c r="H1042214" s="19"/>
      <c r="I1042214" s="19"/>
      <c r="J1042214" s="19"/>
      <c r="K1042214" s="19"/>
      <c r="L1042214" s="19"/>
      <c r="M1042214" s="19"/>
      <c r="N1042214" s="19"/>
    </row>
    <row r="1042215" spans="1:14" s="83" customFormat="1" ht="12.75">
      <c r="A1042215" s="19"/>
      <c r="B1042215" s="19"/>
      <c r="C1042215" s="19"/>
      <c r="D1042215" s="19"/>
      <c r="E1042215" s="19"/>
      <c r="F1042215" s="19"/>
      <c r="G1042215" s="19"/>
      <c r="H1042215" s="19"/>
      <c r="I1042215" s="19"/>
      <c r="J1042215" s="19"/>
      <c r="K1042215" s="19"/>
      <c r="L1042215" s="19"/>
      <c r="M1042215" s="19"/>
      <c r="N1042215" s="19"/>
    </row>
    <row r="1042216" spans="1:14" s="83" customFormat="1" ht="12.75">
      <c r="A1042216" s="19"/>
      <c r="B1042216" s="19"/>
      <c r="C1042216" s="19"/>
      <c r="D1042216" s="19"/>
      <c r="E1042216" s="19"/>
      <c r="F1042216" s="19"/>
      <c r="G1042216" s="19"/>
      <c r="H1042216" s="19"/>
      <c r="I1042216" s="19"/>
      <c r="J1042216" s="19"/>
      <c r="K1042216" s="19"/>
      <c r="L1042216" s="19"/>
      <c r="M1042216" s="19"/>
      <c r="N1042216" s="19"/>
    </row>
    <row r="1042217" spans="1:14" s="83" customFormat="1" ht="12.75">
      <c r="A1042217" s="19"/>
      <c r="B1042217" s="19"/>
      <c r="C1042217" s="19"/>
      <c r="D1042217" s="19"/>
      <c r="E1042217" s="19"/>
      <c r="F1042217" s="19"/>
      <c r="G1042217" s="19"/>
      <c r="H1042217" s="19"/>
      <c r="I1042217" s="19"/>
      <c r="J1042217" s="19"/>
      <c r="K1042217" s="19"/>
      <c r="L1042217" s="19"/>
      <c r="M1042217" s="19"/>
      <c r="N1042217" s="19"/>
    </row>
    <row r="1042218" spans="1:14" s="83" customFormat="1" ht="12.75">
      <c r="A1042218" s="19"/>
      <c r="B1042218" s="19"/>
      <c r="C1042218" s="19"/>
      <c r="D1042218" s="19"/>
      <c r="E1042218" s="19"/>
      <c r="F1042218" s="19"/>
      <c r="G1042218" s="19"/>
      <c r="H1042218" s="19"/>
      <c r="I1042218" s="19"/>
      <c r="J1042218" s="19"/>
      <c r="K1042218" s="19"/>
      <c r="L1042218" s="19"/>
      <c r="M1042218" s="19"/>
      <c r="N1042218" s="19"/>
    </row>
    <row r="1042219" spans="1:14" s="83" customFormat="1" ht="12.75">
      <c r="A1042219" s="19"/>
      <c r="B1042219" s="19"/>
      <c r="C1042219" s="19"/>
      <c r="D1042219" s="19"/>
      <c r="E1042219" s="19"/>
      <c r="F1042219" s="19"/>
      <c r="G1042219" s="19"/>
      <c r="H1042219" s="19"/>
      <c r="I1042219" s="19"/>
      <c r="J1042219" s="19"/>
      <c r="K1042219" s="19"/>
      <c r="L1042219" s="19"/>
      <c r="M1042219" s="19"/>
      <c r="N1042219" s="19"/>
    </row>
    <row r="1042220" spans="1:14" s="83" customFormat="1" ht="12.75">
      <c r="A1042220" s="19"/>
      <c r="B1042220" s="19"/>
      <c r="C1042220" s="19"/>
      <c r="D1042220" s="19"/>
      <c r="E1042220" s="19"/>
      <c r="F1042220" s="19"/>
      <c r="G1042220" s="19"/>
      <c r="H1042220" s="19"/>
      <c r="I1042220" s="19"/>
      <c r="J1042220" s="19"/>
      <c r="K1042220" s="19"/>
      <c r="L1042220" s="19"/>
      <c r="M1042220" s="19"/>
      <c r="N1042220" s="19"/>
    </row>
    <row r="1042221" spans="1:14" s="83" customFormat="1" ht="12.75">
      <c r="A1042221" s="19"/>
      <c r="B1042221" s="19"/>
      <c r="C1042221" s="19"/>
      <c r="D1042221" s="19"/>
      <c r="E1042221" s="19"/>
      <c r="F1042221" s="19"/>
      <c r="G1042221" s="19"/>
      <c r="H1042221" s="19"/>
      <c r="I1042221" s="19"/>
      <c r="J1042221" s="19"/>
      <c r="K1042221" s="19"/>
      <c r="L1042221" s="19"/>
      <c r="M1042221" s="19"/>
      <c r="N1042221" s="19"/>
    </row>
    <row r="1042222" spans="1:14" s="83" customFormat="1" ht="12.75">
      <c r="A1042222" s="19"/>
      <c r="B1042222" s="19"/>
      <c r="C1042222" s="19"/>
      <c r="D1042222" s="19"/>
      <c r="E1042222" s="19"/>
      <c r="F1042222" s="19"/>
      <c r="G1042222" s="19"/>
      <c r="H1042222" s="19"/>
      <c r="I1042222" s="19"/>
      <c r="J1042222" s="19"/>
      <c r="K1042222" s="19"/>
      <c r="L1042222" s="19"/>
      <c r="M1042222" s="19"/>
      <c r="N1042222" s="19"/>
    </row>
    <row r="1042223" spans="1:14" s="83" customFormat="1" ht="12.75">
      <c r="A1042223" s="19"/>
      <c r="B1042223" s="19"/>
      <c r="C1042223" s="19"/>
      <c r="D1042223" s="19"/>
      <c r="E1042223" s="19"/>
      <c r="F1042223" s="19"/>
      <c r="G1042223" s="19"/>
      <c r="H1042223" s="19"/>
      <c r="I1042223" s="19"/>
      <c r="J1042223" s="19"/>
      <c r="K1042223" s="19"/>
      <c r="L1042223" s="19"/>
      <c r="M1042223" s="19"/>
      <c r="N1042223" s="19"/>
    </row>
    <row r="1042224" spans="1:14" s="83" customFormat="1" ht="12.75">
      <c r="A1042224" s="19"/>
      <c r="B1042224" s="19"/>
      <c r="C1042224" s="19"/>
      <c r="D1042224" s="19"/>
      <c r="E1042224" s="19"/>
      <c r="F1042224" s="19"/>
      <c r="G1042224" s="19"/>
      <c r="H1042224" s="19"/>
      <c r="I1042224" s="19"/>
      <c r="J1042224" s="19"/>
      <c r="K1042224" s="19"/>
      <c r="L1042224" s="19"/>
      <c r="M1042224" s="19"/>
      <c r="N1042224" s="19"/>
    </row>
    <row r="1042225" spans="1:14" s="83" customFormat="1" ht="12.75">
      <c r="A1042225" s="19"/>
      <c r="B1042225" s="19"/>
      <c r="C1042225" s="19"/>
      <c r="D1042225" s="19"/>
      <c r="E1042225" s="19"/>
      <c r="F1042225" s="19"/>
      <c r="G1042225" s="19"/>
      <c r="H1042225" s="19"/>
      <c r="I1042225" s="19"/>
      <c r="J1042225" s="19"/>
      <c r="K1042225" s="19"/>
      <c r="L1042225" s="19"/>
      <c r="M1042225" s="19"/>
      <c r="N1042225" s="19"/>
    </row>
    <row r="1042226" spans="1:14" s="83" customFormat="1" ht="12.75">
      <c r="A1042226" s="19"/>
      <c r="B1042226" s="19"/>
      <c r="C1042226" s="19"/>
      <c r="D1042226" s="19"/>
      <c r="E1042226" s="19"/>
      <c r="F1042226" s="19"/>
      <c r="G1042226" s="19"/>
      <c r="H1042226" s="19"/>
      <c r="I1042226" s="19"/>
      <c r="J1042226" s="19"/>
      <c r="K1042226" s="19"/>
      <c r="L1042226" s="19"/>
      <c r="M1042226" s="19"/>
      <c r="N1042226" s="19"/>
    </row>
    <row r="1042227" spans="1:14" s="83" customFormat="1" ht="12.75">
      <c r="A1042227" s="19"/>
      <c r="B1042227" s="19"/>
      <c r="C1042227" s="19"/>
      <c r="D1042227" s="19"/>
      <c r="E1042227" s="19"/>
      <c r="F1042227" s="19"/>
      <c r="G1042227" s="19"/>
      <c r="H1042227" s="19"/>
      <c r="I1042227" s="19"/>
      <c r="J1042227" s="19"/>
      <c r="K1042227" s="19"/>
      <c r="L1042227" s="19"/>
      <c r="M1042227" s="19"/>
      <c r="N1042227" s="19"/>
    </row>
    <row r="1042228" spans="1:14" s="83" customFormat="1" ht="12.75">
      <c r="A1042228" s="19"/>
      <c r="B1042228" s="19"/>
      <c r="C1042228" s="19"/>
      <c r="D1042228" s="19"/>
      <c r="E1042228" s="19"/>
      <c r="F1042228" s="19"/>
      <c r="G1042228" s="19"/>
      <c r="H1042228" s="19"/>
      <c r="I1042228" s="19"/>
      <c r="J1042228" s="19"/>
      <c r="K1042228" s="19"/>
      <c r="L1042228" s="19"/>
      <c r="M1042228" s="19"/>
      <c r="N1042228" s="19"/>
    </row>
    <row r="1042229" spans="1:14" s="83" customFormat="1" ht="12.75">
      <c r="A1042229" s="19"/>
      <c r="B1042229" s="19"/>
      <c r="C1042229" s="19"/>
      <c r="D1042229" s="19"/>
      <c r="E1042229" s="19"/>
      <c r="F1042229" s="19"/>
      <c r="G1042229" s="19"/>
      <c r="H1042229" s="19"/>
      <c r="I1042229" s="19"/>
      <c r="J1042229" s="19"/>
      <c r="K1042229" s="19"/>
      <c r="L1042229" s="19"/>
      <c r="M1042229" s="19"/>
      <c r="N1042229" s="19"/>
    </row>
    <row r="1042230" spans="1:14" s="83" customFormat="1" ht="12.75">
      <c r="A1042230" s="19"/>
      <c r="B1042230" s="19"/>
      <c r="C1042230" s="19"/>
      <c r="D1042230" s="19"/>
      <c r="E1042230" s="19"/>
      <c r="F1042230" s="19"/>
      <c r="G1042230" s="19"/>
      <c r="H1042230" s="19"/>
      <c r="I1042230" s="19"/>
      <c r="J1042230" s="19"/>
      <c r="K1042230" s="19"/>
      <c r="L1042230" s="19"/>
      <c r="M1042230" s="19"/>
      <c r="N1042230" s="19"/>
    </row>
    <row r="1042231" spans="1:14" s="83" customFormat="1" ht="12.75">
      <c r="A1042231" s="19"/>
      <c r="B1042231" s="19"/>
      <c r="C1042231" s="19"/>
      <c r="D1042231" s="19"/>
      <c r="E1042231" s="19"/>
      <c r="F1042231" s="19"/>
      <c r="G1042231" s="19"/>
      <c r="H1042231" s="19"/>
      <c r="I1042231" s="19"/>
      <c r="J1042231" s="19"/>
      <c r="K1042231" s="19"/>
      <c r="L1042231" s="19"/>
      <c r="M1042231" s="19"/>
      <c r="N1042231" s="19"/>
    </row>
    <row r="1042232" spans="1:14" s="83" customFormat="1" ht="12.75">
      <c r="A1042232" s="19"/>
      <c r="B1042232" s="19"/>
      <c r="C1042232" s="19"/>
      <c r="D1042232" s="19"/>
      <c r="E1042232" s="19"/>
      <c r="F1042232" s="19"/>
      <c r="G1042232" s="19"/>
      <c r="H1042232" s="19"/>
      <c r="I1042232" s="19"/>
      <c r="J1042232" s="19"/>
      <c r="K1042232" s="19"/>
      <c r="L1042232" s="19"/>
      <c r="M1042232" s="19"/>
      <c r="N1042232" s="19"/>
    </row>
    <row r="1042233" spans="1:14" s="83" customFormat="1" ht="12.75">
      <c r="A1042233" s="19"/>
      <c r="B1042233" s="19"/>
      <c r="C1042233" s="19"/>
      <c r="D1042233" s="19"/>
      <c r="E1042233" s="19"/>
      <c r="F1042233" s="19"/>
      <c r="G1042233" s="19"/>
      <c r="H1042233" s="19"/>
      <c r="I1042233" s="19"/>
      <c r="J1042233" s="19"/>
      <c r="K1042233" s="19"/>
      <c r="L1042233" s="19"/>
      <c r="M1042233" s="19"/>
      <c r="N1042233" s="19"/>
    </row>
    <row r="1042234" spans="1:14" s="83" customFormat="1" ht="12.75">
      <c r="A1042234" s="19"/>
      <c r="B1042234" s="19"/>
      <c r="C1042234" s="19"/>
      <c r="D1042234" s="19"/>
      <c r="E1042234" s="19"/>
      <c r="F1042234" s="19"/>
      <c r="G1042234" s="19"/>
      <c r="H1042234" s="19"/>
      <c r="I1042234" s="19"/>
      <c r="J1042234" s="19"/>
      <c r="K1042234" s="19"/>
      <c r="L1042234" s="19"/>
      <c r="M1042234" s="19"/>
      <c r="N1042234" s="19"/>
    </row>
    <row r="1042235" spans="1:14" s="83" customFormat="1" ht="12.75">
      <c r="A1042235" s="19"/>
      <c r="B1042235" s="19"/>
      <c r="C1042235" s="19"/>
      <c r="D1042235" s="19"/>
      <c r="E1042235" s="19"/>
      <c r="F1042235" s="19"/>
      <c r="G1042235" s="19"/>
      <c r="H1042235" s="19"/>
      <c r="I1042235" s="19"/>
      <c r="J1042235" s="19"/>
      <c r="K1042235" s="19"/>
      <c r="L1042235" s="19"/>
      <c r="M1042235" s="19"/>
      <c r="N1042235" s="19"/>
    </row>
    <row r="1042236" spans="1:14" s="83" customFormat="1" ht="12.75">
      <c r="A1042236" s="19"/>
      <c r="B1042236" s="19"/>
      <c r="C1042236" s="19"/>
      <c r="D1042236" s="19"/>
      <c r="E1042236" s="19"/>
      <c r="F1042236" s="19"/>
      <c r="G1042236" s="19"/>
      <c r="H1042236" s="19"/>
      <c r="I1042236" s="19"/>
      <c r="J1042236" s="19"/>
      <c r="K1042236" s="19"/>
      <c r="L1042236" s="19"/>
      <c r="M1042236" s="19"/>
      <c r="N1042236" s="19"/>
    </row>
    <row r="1042237" spans="1:14" s="83" customFormat="1" ht="12.75">
      <c r="A1042237" s="19"/>
      <c r="B1042237" s="19"/>
      <c r="C1042237" s="19"/>
      <c r="D1042237" s="19"/>
      <c r="E1042237" s="19"/>
      <c r="F1042237" s="19"/>
      <c r="G1042237" s="19"/>
      <c r="H1042237" s="19"/>
      <c r="I1042237" s="19"/>
      <c r="J1042237" s="19"/>
      <c r="K1042237" s="19"/>
      <c r="L1042237" s="19"/>
      <c r="M1042237" s="19"/>
      <c r="N1042237" s="19"/>
    </row>
    <row r="1042238" spans="1:14" s="83" customFormat="1" ht="12.75">
      <c r="A1042238" s="19"/>
      <c r="B1042238" s="19"/>
      <c r="C1042238" s="19"/>
      <c r="D1042238" s="19"/>
      <c r="E1042238" s="19"/>
      <c r="F1042238" s="19"/>
      <c r="G1042238" s="19"/>
      <c r="H1042238" s="19"/>
      <c r="I1042238" s="19"/>
      <c r="J1042238" s="19"/>
      <c r="K1042238" s="19"/>
      <c r="L1042238" s="19"/>
      <c r="M1042238" s="19"/>
      <c r="N1042238" s="19"/>
    </row>
    <row r="1042239" spans="1:14" s="83" customFormat="1" ht="12.75">
      <c r="A1042239" s="19"/>
      <c r="B1042239" s="19"/>
      <c r="C1042239" s="19"/>
      <c r="D1042239" s="19"/>
      <c r="E1042239" s="19"/>
      <c r="F1042239" s="19"/>
      <c r="G1042239" s="19"/>
      <c r="H1042239" s="19"/>
      <c r="I1042239" s="19"/>
      <c r="J1042239" s="19"/>
      <c r="K1042239" s="19"/>
      <c r="L1042239" s="19"/>
      <c r="M1042239" s="19"/>
      <c r="N1042239" s="19"/>
    </row>
    <row r="1042240" spans="1:14" s="83" customFormat="1" ht="12.75">
      <c r="A1042240" s="19"/>
      <c r="B1042240" s="19"/>
      <c r="C1042240" s="19"/>
      <c r="D1042240" s="19"/>
      <c r="E1042240" s="19"/>
      <c r="F1042240" s="19"/>
      <c r="G1042240" s="19"/>
      <c r="H1042240" s="19"/>
      <c r="I1042240" s="19"/>
      <c r="J1042240" s="19"/>
      <c r="K1042240" s="19"/>
      <c r="L1042240" s="19"/>
      <c r="M1042240" s="19"/>
      <c r="N1042240" s="19"/>
    </row>
    <row r="1042241" spans="1:14" s="83" customFormat="1" ht="12.75">
      <c r="A1042241" s="19"/>
      <c r="B1042241" s="19"/>
      <c r="C1042241" s="19"/>
      <c r="D1042241" s="19"/>
      <c r="E1042241" s="19"/>
      <c r="F1042241" s="19"/>
      <c r="G1042241" s="19"/>
      <c r="H1042241" s="19"/>
      <c r="I1042241" s="19"/>
      <c r="J1042241" s="19"/>
      <c r="K1042241" s="19"/>
      <c r="L1042241" s="19"/>
      <c r="M1042241" s="19"/>
      <c r="N1042241" s="19"/>
    </row>
    <row r="1042242" spans="1:14" s="83" customFormat="1" ht="12.75">
      <c r="A1042242" s="19"/>
      <c r="B1042242" s="19"/>
      <c r="C1042242" s="19"/>
      <c r="D1042242" s="19"/>
      <c r="E1042242" s="19"/>
      <c r="F1042242" s="19"/>
      <c r="G1042242" s="19"/>
      <c r="H1042242" s="19"/>
      <c r="I1042242" s="19"/>
      <c r="J1042242" s="19"/>
      <c r="K1042242" s="19"/>
      <c r="L1042242" s="19"/>
      <c r="M1042242" s="19"/>
      <c r="N1042242" s="19"/>
    </row>
    <row r="1042243" spans="1:14" s="83" customFormat="1" ht="12.75">
      <c r="A1042243" s="19"/>
      <c r="B1042243" s="19"/>
      <c r="C1042243" s="19"/>
      <c r="D1042243" s="19"/>
      <c r="E1042243" s="19"/>
      <c r="F1042243" s="19"/>
      <c r="G1042243" s="19"/>
      <c r="H1042243" s="19"/>
      <c r="I1042243" s="19"/>
      <c r="J1042243" s="19"/>
      <c r="K1042243" s="19"/>
      <c r="L1042243" s="19"/>
      <c r="M1042243" s="19"/>
      <c r="N1042243" s="19"/>
    </row>
    <row r="1042244" spans="1:14" s="83" customFormat="1" ht="12.75">
      <c r="A1042244" s="19"/>
      <c r="B1042244" s="19"/>
      <c r="C1042244" s="19"/>
      <c r="D1042244" s="19"/>
      <c r="E1042244" s="19"/>
      <c r="F1042244" s="19"/>
      <c r="G1042244" s="19"/>
      <c r="H1042244" s="19"/>
      <c r="I1042244" s="19"/>
      <c r="J1042244" s="19"/>
      <c r="K1042244" s="19"/>
      <c r="L1042244" s="19"/>
      <c r="M1042244" s="19"/>
      <c r="N1042244" s="19"/>
    </row>
    <row r="1042245" spans="1:14" s="83" customFormat="1" ht="12.75">
      <c r="A1042245" s="19"/>
      <c r="B1042245" s="19"/>
      <c r="C1042245" s="19"/>
      <c r="D1042245" s="19"/>
      <c r="E1042245" s="19"/>
      <c r="F1042245" s="19"/>
      <c r="G1042245" s="19"/>
      <c r="H1042245" s="19"/>
      <c r="I1042245" s="19"/>
      <c r="J1042245" s="19"/>
      <c r="K1042245" s="19"/>
      <c r="L1042245" s="19"/>
      <c r="M1042245" s="19"/>
      <c r="N1042245" s="19"/>
    </row>
    <row r="1042246" spans="1:14" s="83" customFormat="1" ht="12.75">
      <c r="A1042246" s="19"/>
      <c r="B1042246" s="19"/>
      <c r="C1042246" s="19"/>
      <c r="D1042246" s="19"/>
      <c r="E1042246" s="19"/>
      <c r="F1042246" s="19"/>
      <c r="G1042246" s="19"/>
      <c r="H1042246" s="19"/>
      <c r="I1042246" s="19"/>
      <c r="J1042246" s="19"/>
      <c r="K1042246" s="19"/>
      <c r="L1042246" s="19"/>
      <c r="M1042246" s="19"/>
      <c r="N1042246" s="19"/>
    </row>
    <row r="1042247" spans="1:14" s="83" customFormat="1" ht="12.75">
      <c r="A1042247" s="19"/>
      <c r="B1042247" s="19"/>
      <c r="C1042247" s="19"/>
      <c r="D1042247" s="19"/>
      <c r="E1042247" s="19"/>
      <c r="F1042247" s="19"/>
      <c r="G1042247" s="19"/>
      <c r="H1042247" s="19"/>
      <c r="I1042247" s="19"/>
      <c r="J1042247" s="19"/>
      <c r="K1042247" s="19"/>
      <c r="L1042247" s="19"/>
      <c r="M1042247" s="19"/>
      <c r="N1042247" s="19"/>
    </row>
    <row r="1042248" spans="1:14" s="83" customFormat="1" ht="12.75">
      <c r="A1042248" s="19"/>
      <c r="B1042248" s="19"/>
      <c r="C1042248" s="19"/>
      <c r="D1042248" s="19"/>
      <c r="E1042248" s="19"/>
      <c r="F1042248" s="19"/>
      <c r="G1042248" s="19"/>
      <c r="H1042248" s="19"/>
      <c r="I1042248" s="19"/>
      <c r="J1042248" s="19"/>
      <c r="K1042248" s="19"/>
      <c r="L1042248" s="19"/>
      <c r="M1042248" s="19"/>
      <c r="N1042248" s="19"/>
    </row>
    <row r="1042249" spans="1:14" s="83" customFormat="1" ht="12.75">
      <c r="A1042249" s="19"/>
      <c r="B1042249" s="19"/>
      <c r="C1042249" s="19"/>
      <c r="D1042249" s="19"/>
      <c r="E1042249" s="19"/>
      <c r="F1042249" s="19"/>
      <c r="G1042249" s="19"/>
      <c r="H1042249" s="19"/>
      <c r="I1042249" s="19"/>
      <c r="J1042249" s="19"/>
      <c r="K1042249" s="19"/>
      <c r="L1042249" s="19"/>
      <c r="M1042249" s="19"/>
      <c r="N1042249" s="19"/>
    </row>
    <row r="1042250" spans="1:14" s="83" customFormat="1" ht="12.75">
      <c r="A1042250" s="19"/>
      <c r="B1042250" s="19"/>
      <c r="C1042250" s="19"/>
      <c r="D1042250" s="19"/>
      <c r="E1042250" s="19"/>
      <c r="F1042250" s="19"/>
      <c r="G1042250" s="19"/>
      <c r="H1042250" s="19"/>
      <c r="I1042250" s="19"/>
      <c r="J1042250" s="19"/>
      <c r="K1042250" s="19"/>
      <c r="L1042250" s="19"/>
      <c r="M1042250" s="19"/>
      <c r="N1042250" s="19"/>
    </row>
    <row r="1042251" spans="1:14" s="83" customFormat="1" ht="12.75">
      <c r="A1042251" s="19"/>
      <c r="B1042251" s="19"/>
      <c r="C1042251" s="19"/>
      <c r="D1042251" s="19"/>
      <c r="E1042251" s="19"/>
      <c r="F1042251" s="19"/>
      <c r="G1042251" s="19"/>
      <c r="H1042251" s="19"/>
      <c r="I1042251" s="19"/>
      <c r="J1042251" s="19"/>
      <c r="K1042251" s="19"/>
      <c r="L1042251" s="19"/>
      <c r="M1042251" s="19"/>
      <c r="N1042251" s="19"/>
    </row>
    <row r="1042252" spans="1:14" s="83" customFormat="1" ht="12.75">
      <c r="A1042252" s="19"/>
      <c r="B1042252" s="19"/>
      <c r="C1042252" s="19"/>
      <c r="D1042252" s="19"/>
      <c r="E1042252" s="19"/>
      <c r="F1042252" s="19"/>
      <c r="G1042252" s="19"/>
      <c r="H1042252" s="19"/>
      <c r="I1042252" s="19"/>
      <c r="J1042252" s="19"/>
      <c r="K1042252" s="19"/>
      <c r="L1042252" s="19"/>
      <c r="M1042252" s="19"/>
      <c r="N1042252" s="19"/>
    </row>
    <row r="1042253" spans="1:14" s="83" customFormat="1" ht="12.75">
      <c r="A1042253" s="19"/>
      <c r="B1042253" s="19"/>
      <c r="C1042253" s="19"/>
      <c r="D1042253" s="19"/>
      <c r="E1042253" s="19"/>
      <c r="F1042253" s="19"/>
      <c r="G1042253" s="19"/>
      <c r="H1042253" s="19"/>
      <c r="I1042253" s="19"/>
      <c r="J1042253" s="19"/>
      <c r="K1042253" s="19"/>
      <c r="L1042253" s="19"/>
      <c r="M1042253" s="19"/>
      <c r="N1042253" s="19"/>
    </row>
    <row r="1042254" spans="1:14" s="83" customFormat="1" ht="12.75">
      <c r="A1042254" s="19"/>
      <c r="B1042254" s="19"/>
      <c r="C1042254" s="19"/>
      <c r="D1042254" s="19"/>
      <c r="E1042254" s="19"/>
      <c r="F1042254" s="19"/>
      <c r="G1042254" s="19"/>
      <c r="H1042254" s="19"/>
      <c r="I1042254" s="19"/>
      <c r="J1042254" s="19"/>
      <c r="K1042254" s="19"/>
      <c r="L1042254" s="19"/>
      <c r="M1042254" s="19"/>
      <c r="N1042254" s="19"/>
    </row>
    <row r="1042255" spans="1:14" s="83" customFormat="1" ht="12.75">
      <c r="A1042255" s="19"/>
      <c r="B1042255" s="19"/>
      <c r="C1042255" s="19"/>
      <c r="D1042255" s="19"/>
      <c r="E1042255" s="19"/>
      <c r="F1042255" s="19"/>
      <c r="G1042255" s="19"/>
      <c r="H1042255" s="19"/>
      <c r="I1042255" s="19"/>
      <c r="J1042255" s="19"/>
      <c r="K1042255" s="19"/>
      <c r="L1042255" s="19"/>
      <c r="M1042255" s="19"/>
      <c r="N1042255" s="19"/>
    </row>
    <row r="1042256" spans="1:14" s="83" customFormat="1" ht="12.75">
      <c r="A1042256" s="19"/>
      <c r="B1042256" s="19"/>
      <c r="C1042256" s="19"/>
      <c r="D1042256" s="19"/>
      <c r="E1042256" s="19"/>
      <c r="F1042256" s="19"/>
      <c r="G1042256" s="19"/>
      <c r="H1042256" s="19"/>
      <c r="I1042256" s="19"/>
      <c r="J1042256" s="19"/>
      <c r="K1042256" s="19"/>
      <c r="L1042256" s="19"/>
      <c r="M1042256" s="19"/>
      <c r="N1042256" s="19"/>
    </row>
    <row r="1042257" spans="1:14" s="83" customFormat="1" ht="12.75">
      <c r="A1042257" s="19"/>
      <c r="B1042257" s="19"/>
      <c r="C1042257" s="19"/>
      <c r="D1042257" s="19"/>
      <c r="E1042257" s="19"/>
      <c r="F1042257" s="19"/>
      <c r="G1042257" s="19"/>
      <c r="H1042257" s="19"/>
      <c r="I1042257" s="19"/>
      <c r="J1042257" s="19"/>
      <c r="K1042257" s="19"/>
      <c r="L1042257" s="19"/>
      <c r="M1042257" s="19"/>
      <c r="N1042257" s="19"/>
    </row>
    <row r="1042258" spans="1:14" s="83" customFormat="1" ht="12.75">
      <c r="A1042258" s="19"/>
      <c r="B1042258" s="19"/>
      <c r="C1042258" s="19"/>
      <c r="D1042258" s="19"/>
      <c r="E1042258" s="19"/>
      <c r="F1042258" s="19"/>
      <c r="G1042258" s="19"/>
      <c r="H1042258" s="19"/>
      <c r="I1042258" s="19"/>
      <c r="J1042258" s="19"/>
      <c r="K1042258" s="19"/>
      <c r="L1042258" s="19"/>
      <c r="M1042258" s="19"/>
      <c r="N1042258" s="19"/>
    </row>
    <row r="1042259" spans="1:14" s="83" customFormat="1" ht="12.75">
      <c r="A1042259" s="19"/>
      <c r="B1042259" s="19"/>
      <c r="C1042259" s="19"/>
      <c r="D1042259" s="19"/>
      <c r="E1042259" s="19"/>
      <c r="F1042259" s="19"/>
      <c r="G1042259" s="19"/>
      <c r="H1042259" s="19"/>
      <c r="I1042259" s="19"/>
      <c r="J1042259" s="19"/>
      <c r="K1042259" s="19"/>
      <c r="L1042259" s="19"/>
      <c r="M1042259" s="19"/>
      <c r="N1042259" s="19"/>
    </row>
    <row r="1042260" spans="1:14" s="83" customFormat="1" ht="12.75">
      <c r="A1042260" s="19"/>
      <c r="B1042260" s="19"/>
      <c r="C1042260" s="19"/>
      <c r="D1042260" s="19"/>
      <c r="E1042260" s="19"/>
      <c r="F1042260" s="19"/>
      <c r="G1042260" s="19"/>
      <c r="H1042260" s="19"/>
      <c r="I1042260" s="19"/>
      <c r="J1042260" s="19"/>
      <c r="K1042260" s="19"/>
      <c r="L1042260" s="19"/>
      <c r="M1042260" s="19"/>
      <c r="N1042260" s="19"/>
    </row>
    <row r="1042261" spans="1:14" s="83" customFormat="1" ht="12.75">
      <c r="A1042261" s="19"/>
      <c r="B1042261" s="19"/>
      <c r="C1042261" s="19"/>
      <c r="D1042261" s="19"/>
      <c r="E1042261" s="19"/>
      <c r="F1042261" s="19"/>
      <c r="G1042261" s="19"/>
      <c r="H1042261" s="19"/>
      <c r="I1042261" s="19"/>
      <c r="J1042261" s="19"/>
      <c r="K1042261" s="19"/>
      <c r="L1042261" s="19"/>
      <c r="M1042261" s="19"/>
      <c r="N1042261" s="19"/>
    </row>
    <row r="1042262" spans="1:14" s="83" customFormat="1" ht="12.75">
      <c r="A1042262" s="19"/>
      <c r="B1042262" s="19"/>
      <c r="C1042262" s="19"/>
      <c r="D1042262" s="19"/>
      <c r="E1042262" s="19"/>
      <c r="F1042262" s="19"/>
      <c r="G1042262" s="19"/>
      <c r="H1042262" s="19"/>
      <c r="I1042262" s="19"/>
      <c r="J1042262" s="19"/>
      <c r="K1042262" s="19"/>
      <c r="L1042262" s="19"/>
      <c r="M1042262" s="19"/>
      <c r="N1042262" s="19"/>
    </row>
    <row r="1042263" spans="1:14" s="83" customFormat="1" ht="12.75">
      <c r="A1042263" s="19"/>
      <c r="B1042263" s="19"/>
      <c r="C1042263" s="19"/>
      <c r="D1042263" s="19"/>
      <c r="E1042263" s="19"/>
      <c r="F1042263" s="19"/>
      <c r="G1042263" s="19"/>
      <c r="H1042263" s="19"/>
      <c r="I1042263" s="19"/>
      <c r="J1042263" s="19"/>
      <c r="K1042263" s="19"/>
      <c r="L1042263" s="19"/>
      <c r="M1042263" s="19"/>
      <c r="N1042263" s="19"/>
    </row>
    <row r="1042264" spans="1:14" s="83" customFormat="1" ht="12.75">
      <c r="A1042264" s="19"/>
      <c r="B1042264" s="19"/>
      <c r="C1042264" s="19"/>
      <c r="D1042264" s="19"/>
      <c r="E1042264" s="19"/>
      <c r="F1042264" s="19"/>
      <c r="G1042264" s="19"/>
      <c r="H1042264" s="19"/>
      <c r="I1042264" s="19"/>
      <c r="J1042264" s="19"/>
      <c r="K1042264" s="19"/>
      <c r="L1042264" s="19"/>
      <c r="M1042264" s="19"/>
      <c r="N1042264" s="19"/>
    </row>
    <row r="1042265" spans="1:14" s="83" customFormat="1" ht="12.75">
      <c r="A1042265" s="19"/>
      <c r="B1042265" s="19"/>
      <c r="C1042265" s="19"/>
      <c r="D1042265" s="19"/>
      <c r="E1042265" s="19"/>
      <c r="F1042265" s="19"/>
      <c r="G1042265" s="19"/>
      <c r="H1042265" s="19"/>
      <c r="I1042265" s="19"/>
      <c r="J1042265" s="19"/>
      <c r="K1042265" s="19"/>
      <c r="L1042265" s="19"/>
      <c r="M1042265" s="19"/>
      <c r="N1042265" s="19"/>
    </row>
    <row r="1042266" spans="1:14" s="83" customFormat="1" ht="12.75">
      <c r="A1042266" s="19"/>
      <c r="B1042266" s="19"/>
      <c r="C1042266" s="19"/>
      <c r="D1042266" s="19"/>
      <c r="E1042266" s="19"/>
      <c r="F1042266" s="19"/>
      <c r="G1042266" s="19"/>
      <c r="H1042266" s="19"/>
      <c r="I1042266" s="19"/>
      <c r="J1042266" s="19"/>
      <c r="K1042266" s="19"/>
      <c r="L1042266" s="19"/>
      <c r="M1042266" s="19"/>
      <c r="N1042266" s="19"/>
    </row>
    <row r="1042267" spans="1:14" s="83" customFormat="1" ht="12.75">
      <c r="A1042267" s="19"/>
      <c r="B1042267" s="19"/>
      <c r="C1042267" s="19"/>
      <c r="D1042267" s="19"/>
      <c r="E1042267" s="19"/>
      <c r="F1042267" s="19"/>
      <c r="G1042267" s="19"/>
      <c r="H1042267" s="19"/>
      <c r="I1042267" s="19"/>
      <c r="J1042267" s="19"/>
      <c r="K1042267" s="19"/>
      <c r="L1042267" s="19"/>
      <c r="M1042267" s="19"/>
      <c r="N1042267" s="19"/>
    </row>
    <row r="1042268" spans="1:14" s="83" customFormat="1" ht="12.75">
      <c r="A1042268" s="19"/>
      <c r="B1042268" s="19"/>
      <c r="C1042268" s="19"/>
      <c r="D1042268" s="19"/>
      <c r="E1042268" s="19"/>
      <c r="F1042268" s="19"/>
      <c r="G1042268" s="19"/>
      <c r="H1042268" s="19"/>
      <c r="I1042268" s="19"/>
      <c r="J1042268" s="19"/>
      <c r="K1042268" s="19"/>
      <c r="L1042268" s="19"/>
      <c r="M1042268" s="19"/>
      <c r="N1042268" s="19"/>
    </row>
    <row r="1042269" spans="1:14" s="83" customFormat="1" ht="12.75">
      <c r="A1042269" s="19"/>
      <c r="B1042269" s="19"/>
      <c r="C1042269" s="19"/>
      <c r="D1042269" s="19"/>
      <c r="E1042269" s="19"/>
      <c r="F1042269" s="19"/>
      <c r="G1042269" s="19"/>
      <c r="H1042269" s="19"/>
      <c r="I1042269" s="19"/>
      <c r="J1042269" s="19"/>
      <c r="K1042269" s="19"/>
      <c r="L1042269" s="19"/>
      <c r="M1042269" s="19"/>
      <c r="N1042269" s="19"/>
    </row>
    <row r="1042270" spans="1:14" s="83" customFormat="1" ht="12.75">
      <c r="A1042270" s="19"/>
      <c r="B1042270" s="19"/>
      <c r="C1042270" s="19"/>
      <c r="D1042270" s="19"/>
      <c r="E1042270" s="19"/>
      <c r="F1042270" s="19"/>
      <c r="G1042270" s="19"/>
      <c r="H1042270" s="19"/>
      <c r="I1042270" s="19"/>
      <c r="J1042270" s="19"/>
      <c r="K1042270" s="19"/>
      <c r="L1042270" s="19"/>
      <c r="M1042270" s="19"/>
      <c r="N1042270" s="19"/>
    </row>
    <row r="1042271" spans="1:14" s="83" customFormat="1" ht="12.75">
      <c r="A1042271" s="19"/>
      <c r="B1042271" s="19"/>
      <c r="C1042271" s="19"/>
      <c r="D1042271" s="19"/>
      <c r="E1042271" s="19"/>
      <c r="F1042271" s="19"/>
      <c r="G1042271" s="19"/>
      <c r="H1042271" s="19"/>
      <c r="I1042271" s="19"/>
      <c r="J1042271" s="19"/>
      <c r="K1042271" s="19"/>
      <c r="L1042271" s="19"/>
      <c r="M1042271" s="19"/>
      <c r="N1042271" s="19"/>
    </row>
    <row r="1042272" spans="1:14" s="83" customFormat="1" ht="12.75">
      <c r="A1042272" s="19"/>
      <c r="B1042272" s="19"/>
      <c r="C1042272" s="19"/>
      <c r="D1042272" s="19"/>
      <c r="E1042272" s="19"/>
      <c r="F1042272" s="19"/>
      <c r="G1042272" s="19"/>
      <c r="H1042272" s="19"/>
      <c r="I1042272" s="19"/>
      <c r="J1042272" s="19"/>
      <c r="K1042272" s="19"/>
      <c r="L1042272" s="19"/>
      <c r="M1042272" s="19"/>
      <c r="N1042272" s="19"/>
    </row>
    <row r="1042273" spans="1:14" s="83" customFormat="1" ht="12.75">
      <c r="A1042273" s="19"/>
      <c r="B1042273" s="19"/>
      <c r="C1042273" s="19"/>
      <c r="D1042273" s="19"/>
      <c r="E1042273" s="19"/>
      <c r="F1042273" s="19"/>
      <c r="G1042273" s="19"/>
      <c r="H1042273" s="19"/>
      <c r="I1042273" s="19"/>
      <c r="J1042273" s="19"/>
      <c r="K1042273" s="19"/>
      <c r="L1042273" s="19"/>
      <c r="M1042273" s="19"/>
      <c r="N1042273" s="19"/>
    </row>
    <row r="1042274" spans="1:14" s="83" customFormat="1" ht="12.75">
      <c r="A1042274" s="19"/>
      <c r="B1042274" s="19"/>
      <c r="C1042274" s="19"/>
      <c r="D1042274" s="19"/>
      <c r="E1042274" s="19"/>
      <c r="F1042274" s="19"/>
      <c r="G1042274" s="19"/>
      <c r="H1042274" s="19"/>
      <c r="I1042274" s="19"/>
      <c r="J1042274" s="19"/>
      <c r="K1042274" s="19"/>
      <c r="L1042274" s="19"/>
      <c r="M1042274" s="19"/>
      <c r="N1042274" s="19"/>
    </row>
    <row r="1042275" spans="1:14" s="83" customFormat="1" ht="12.75">
      <c r="A1042275" s="19"/>
      <c r="B1042275" s="19"/>
      <c r="C1042275" s="19"/>
      <c r="D1042275" s="19"/>
      <c r="E1042275" s="19"/>
      <c r="F1042275" s="19"/>
      <c r="G1042275" s="19"/>
      <c r="H1042275" s="19"/>
      <c r="I1042275" s="19"/>
      <c r="J1042275" s="19"/>
      <c r="K1042275" s="19"/>
      <c r="L1042275" s="19"/>
      <c r="M1042275" s="19"/>
      <c r="N1042275" s="19"/>
    </row>
    <row r="1042276" spans="1:14" s="83" customFormat="1" ht="12.75">
      <c r="A1042276" s="19"/>
      <c r="B1042276" s="19"/>
      <c r="C1042276" s="19"/>
      <c r="D1042276" s="19"/>
      <c r="E1042276" s="19"/>
      <c r="F1042276" s="19"/>
      <c r="G1042276" s="19"/>
      <c r="H1042276" s="19"/>
      <c r="I1042276" s="19"/>
      <c r="J1042276" s="19"/>
      <c r="K1042276" s="19"/>
      <c r="L1042276" s="19"/>
      <c r="M1042276" s="19"/>
      <c r="N1042276" s="19"/>
    </row>
    <row r="1042277" spans="1:14" s="83" customFormat="1" ht="12.75">
      <c r="A1042277" s="19"/>
      <c r="B1042277" s="19"/>
      <c r="C1042277" s="19"/>
      <c r="D1042277" s="19"/>
      <c r="E1042277" s="19"/>
      <c r="F1042277" s="19"/>
      <c r="G1042277" s="19"/>
      <c r="H1042277" s="19"/>
      <c r="I1042277" s="19"/>
      <c r="J1042277" s="19"/>
      <c r="K1042277" s="19"/>
      <c r="L1042277" s="19"/>
      <c r="M1042277" s="19"/>
      <c r="N1042277" s="19"/>
    </row>
    <row r="1042278" spans="1:14" s="83" customFormat="1" ht="12.75">
      <c r="A1042278" s="19"/>
      <c r="B1042278" s="19"/>
      <c r="C1042278" s="19"/>
      <c r="D1042278" s="19"/>
      <c r="E1042278" s="19"/>
      <c r="F1042278" s="19"/>
      <c r="G1042278" s="19"/>
      <c r="H1042278" s="19"/>
      <c r="I1042278" s="19"/>
      <c r="J1042278" s="19"/>
      <c r="K1042278" s="19"/>
      <c r="L1042278" s="19"/>
      <c r="M1042278" s="19"/>
      <c r="N1042278" s="19"/>
    </row>
    <row r="1042279" spans="1:14" s="83" customFormat="1" ht="12.75">
      <c r="A1042279" s="19"/>
      <c r="B1042279" s="19"/>
      <c r="C1042279" s="19"/>
      <c r="D1042279" s="19"/>
      <c r="E1042279" s="19"/>
      <c r="F1042279" s="19"/>
      <c r="G1042279" s="19"/>
      <c r="H1042279" s="19"/>
      <c r="I1042279" s="19"/>
      <c r="J1042279" s="19"/>
      <c r="K1042279" s="19"/>
      <c r="L1042279" s="19"/>
      <c r="M1042279" s="19"/>
      <c r="N1042279" s="19"/>
    </row>
    <row r="1042280" spans="1:14" s="83" customFormat="1" ht="12.75">
      <c r="A1042280" s="19"/>
      <c r="B1042280" s="19"/>
      <c r="C1042280" s="19"/>
      <c r="D1042280" s="19"/>
      <c r="E1042280" s="19"/>
      <c r="F1042280" s="19"/>
      <c r="G1042280" s="19"/>
      <c r="H1042280" s="19"/>
      <c r="I1042280" s="19"/>
      <c r="J1042280" s="19"/>
      <c r="K1042280" s="19"/>
      <c r="L1042280" s="19"/>
      <c r="M1042280" s="19"/>
      <c r="N1042280" s="19"/>
    </row>
    <row r="1042281" spans="1:14" s="83" customFormat="1" ht="12.75">
      <c r="A1042281" s="19"/>
      <c r="B1042281" s="19"/>
      <c r="C1042281" s="19"/>
      <c r="D1042281" s="19"/>
      <c r="E1042281" s="19"/>
      <c r="F1042281" s="19"/>
      <c r="G1042281" s="19"/>
      <c r="H1042281" s="19"/>
      <c r="I1042281" s="19"/>
      <c r="J1042281" s="19"/>
      <c r="K1042281" s="19"/>
      <c r="L1042281" s="19"/>
      <c r="M1042281" s="19"/>
      <c r="N1042281" s="19"/>
    </row>
    <row r="1042282" spans="1:14" s="83" customFormat="1" ht="12.75">
      <c r="A1042282" s="19"/>
      <c r="B1042282" s="19"/>
      <c r="C1042282" s="19"/>
      <c r="D1042282" s="19"/>
      <c r="E1042282" s="19"/>
      <c r="F1042282" s="19"/>
      <c r="G1042282" s="19"/>
      <c r="H1042282" s="19"/>
      <c r="I1042282" s="19"/>
      <c r="J1042282" s="19"/>
      <c r="K1042282" s="19"/>
      <c r="L1042282" s="19"/>
      <c r="M1042282" s="19"/>
      <c r="N1042282" s="19"/>
    </row>
    <row r="1042283" spans="1:14" s="83" customFormat="1" ht="12.75">
      <c r="A1042283" s="19"/>
      <c r="B1042283" s="19"/>
      <c r="C1042283" s="19"/>
      <c r="D1042283" s="19"/>
      <c r="E1042283" s="19"/>
      <c r="F1042283" s="19"/>
      <c r="G1042283" s="19"/>
      <c r="H1042283" s="19"/>
      <c r="I1042283" s="19"/>
      <c r="J1042283" s="19"/>
      <c r="K1042283" s="19"/>
      <c r="L1042283" s="19"/>
      <c r="M1042283" s="19"/>
      <c r="N1042283" s="19"/>
    </row>
    <row r="1042284" spans="1:14" s="83" customFormat="1" ht="12.75">
      <c r="A1042284" s="19"/>
      <c r="B1042284" s="19"/>
      <c r="C1042284" s="19"/>
      <c r="D1042284" s="19"/>
      <c r="E1042284" s="19"/>
      <c r="F1042284" s="19"/>
      <c r="G1042284" s="19"/>
      <c r="H1042284" s="19"/>
      <c r="I1042284" s="19"/>
      <c r="J1042284" s="19"/>
      <c r="K1042284" s="19"/>
      <c r="L1042284" s="19"/>
      <c r="M1042284" s="19"/>
      <c r="N1042284" s="19"/>
    </row>
    <row r="1042285" spans="1:14" s="83" customFormat="1" ht="12.75">
      <c r="A1042285" s="19"/>
      <c r="B1042285" s="19"/>
      <c r="C1042285" s="19"/>
      <c r="D1042285" s="19"/>
      <c r="E1042285" s="19"/>
      <c r="F1042285" s="19"/>
      <c r="G1042285" s="19"/>
      <c r="H1042285" s="19"/>
      <c r="I1042285" s="19"/>
      <c r="J1042285" s="19"/>
      <c r="K1042285" s="19"/>
      <c r="L1042285" s="19"/>
      <c r="M1042285" s="19"/>
      <c r="N1042285" s="19"/>
    </row>
    <row r="1042286" spans="1:14" s="83" customFormat="1" ht="12.75">
      <c r="A1042286" s="19"/>
      <c r="B1042286" s="19"/>
      <c r="C1042286" s="19"/>
      <c r="D1042286" s="19"/>
      <c r="E1042286" s="19"/>
      <c r="F1042286" s="19"/>
      <c r="G1042286" s="19"/>
      <c r="H1042286" s="19"/>
      <c r="I1042286" s="19"/>
      <c r="J1042286" s="19"/>
      <c r="K1042286" s="19"/>
      <c r="L1042286" s="19"/>
      <c r="M1042286" s="19"/>
      <c r="N1042286" s="19"/>
    </row>
    <row r="1042287" spans="1:14" s="83" customFormat="1" ht="12.75">
      <c r="A1042287" s="19"/>
      <c r="B1042287" s="19"/>
      <c r="C1042287" s="19"/>
      <c r="D1042287" s="19"/>
      <c r="E1042287" s="19"/>
      <c r="F1042287" s="19"/>
      <c r="G1042287" s="19"/>
      <c r="H1042287" s="19"/>
      <c r="I1042287" s="19"/>
      <c r="J1042287" s="19"/>
      <c r="K1042287" s="19"/>
      <c r="L1042287" s="19"/>
      <c r="M1042287" s="19"/>
      <c r="N1042287" s="19"/>
    </row>
    <row r="1042288" spans="1:14" s="83" customFormat="1" ht="12.75">
      <c r="A1042288" s="19"/>
      <c r="B1042288" s="19"/>
      <c r="C1042288" s="19"/>
      <c r="D1042288" s="19"/>
      <c r="E1042288" s="19"/>
      <c r="F1042288" s="19"/>
      <c r="G1042288" s="19"/>
      <c r="H1042288" s="19"/>
      <c r="I1042288" s="19"/>
      <c r="J1042288" s="19"/>
      <c r="K1042288" s="19"/>
      <c r="L1042288" s="19"/>
      <c r="M1042288" s="19"/>
      <c r="N1042288" s="19"/>
    </row>
    <row r="1042289" spans="1:14" s="83" customFormat="1" ht="12.75">
      <c r="A1042289" s="19"/>
      <c r="B1042289" s="19"/>
      <c r="C1042289" s="19"/>
      <c r="D1042289" s="19"/>
      <c r="E1042289" s="19"/>
      <c r="F1042289" s="19"/>
      <c r="G1042289" s="19"/>
      <c r="H1042289" s="19"/>
      <c r="I1042289" s="19"/>
      <c r="J1042289" s="19"/>
      <c r="K1042289" s="19"/>
      <c r="L1042289" s="19"/>
      <c r="M1042289" s="19"/>
      <c r="N1042289" s="19"/>
    </row>
    <row r="1042290" spans="1:14" s="83" customFormat="1" ht="12.75">
      <c r="A1042290" s="19"/>
      <c r="B1042290" s="19"/>
      <c r="C1042290" s="19"/>
      <c r="D1042290" s="19"/>
      <c r="E1042290" s="19"/>
      <c r="F1042290" s="19"/>
      <c r="G1042290" s="19"/>
      <c r="H1042290" s="19"/>
      <c r="I1042290" s="19"/>
      <c r="J1042290" s="19"/>
      <c r="K1042290" s="19"/>
      <c r="L1042290" s="19"/>
      <c r="M1042290" s="19"/>
      <c r="N1042290" s="19"/>
    </row>
    <row r="1042291" spans="1:14" s="83" customFormat="1" ht="12.75">
      <c r="A1042291" s="19"/>
      <c r="B1042291" s="19"/>
      <c r="C1042291" s="19"/>
      <c r="D1042291" s="19"/>
      <c r="E1042291" s="19"/>
      <c r="F1042291" s="19"/>
      <c r="G1042291" s="19"/>
      <c r="H1042291" s="19"/>
      <c r="I1042291" s="19"/>
      <c r="J1042291" s="19"/>
      <c r="K1042291" s="19"/>
      <c r="L1042291" s="19"/>
      <c r="M1042291" s="19"/>
      <c r="N1042291" s="19"/>
    </row>
    <row r="1042292" spans="1:14" s="83" customFormat="1" ht="12.75">
      <c r="A1042292" s="19"/>
      <c r="B1042292" s="19"/>
      <c r="C1042292" s="19"/>
      <c r="D1042292" s="19"/>
      <c r="E1042292" s="19"/>
      <c r="F1042292" s="19"/>
      <c r="G1042292" s="19"/>
      <c r="H1042292" s="19"/>
      <c r="I1042292" s="19"/>
      <c r="J1042292" s="19"/>
      <c r="K1042292" s="19"/>
      <c r="L1042292" s="19"/>
      <c r="M1042292" s="19"/>
      <c r="N1042292" s="19"/>
    </row>
    <row r="1042293" spans="1:14" s="83" customFormat="1" ht="12.75">
      <c r="A1042293" s="19"/>
      <c r="B1042293" s="19"/>
      <c r="C1042293" s="19"/>
      <c r="D1042293" s="19"/>
      <c r="E1042293" s="19"/>
      <c r="F1042293" s="19"/>
      <c r="G1042293" s="19"/>
      <c r="H1042293" s="19"/>
      <c r="I1042293" s="19"/>
      <c r="J1042293" s="19"/>
      <c r="K1042293" s="19"/>
      <c r="L1042293" s="19"/>
      <c r="M1042293" s="19"/>
      <c r="N1042293" s="19"/>
    </row>
    <row r="1042294" spans="1:14" s="83" customFormat="1" ht="12.75">
      <c r="A1042294" s="19"/>
      <c r="B1042294" s="19"/>
      <c r="C1042294" s="19"/>
      <c r="D1042294" s="19"/>
      <c r="E1042294" s="19"/>
      <c r="F1042294" s="19"/>
      <c r="G1042294" s="19"/>
      <c r="H1042294" s="19"/>
      <c r="I1042294" s="19"/>
      <c r="J1042294" s="19"/>
      <c r="K1042294" s="19"/>
      <c r="L1042294" s="19"/>
      <c r="M1042294" s="19"/>
      <c r="N1042294" s="19"/>
    </row>
    <row r="1042295" spans="1:14" s="83" customFormat="1" ht="12.75">
      <c r="A1042295" s="19"/>
      <c r="B1042295" s="19"/>
      <c r="C1042295" s="19"/>
      <c r="D1042295" s="19"/>
      <c r="E1042295" s="19"/>
      <c r="F1042295" s="19"/>
      <c r="G1042295" s="19"/>
      <c r="H1042295" s="19"/>
      <c r="I1042295" s="19"/>
      <c r="J1042295" s="19"/>
      <c r="K1042295" s="19"/>
      <c r="L1042295" s="19"/>
      <c r="M1042295" s="19"/>
      <c r="N1042295" s="19"/>
    </row>
    <row r="1042296" spans="1:14" s="83" customFormat="1" ht="12.75">
      <c r="A1042296" s="19"/>
      <c r="B1042296" s="19"/>
      <c r="C1042296" s="19"/>
      <c r="D1042296" s="19"/>
      <c r="E1042296" s="19"/>
      <c r="F1042296" s="19"/>
      <c r="G1042296" s="19"/>
      <c r="H1042296" s="19"/>
      <c r="I1042296" s="19"/>
      <c r="J1042296" s="19"/>
      <c r="K1042296" s="19"/>
      <c r="L1042296" s="19"/>
      <c r="M1042296" s="19"/>
      <c r="N1042296" s="19"/>
    </row>
    <row r="1042297" spans="1:14" s="83" customFormat="1" ht="12.75">
      <c r="A1042297" s="19"/>
      <c r="B1042297" s="19"/>
      <c r="C1042297" s="19"/>
      <c r="D1042297" s="19"/>
      <c r="E1042297" s="19"/>
      <c r="F1042297" s="19"/>
      <c r="G1042297" s="19"/>
      <c r="H1042297" s="19"/>
      <c r="I1042297" s="19"/>
      <c r="J1042297" s="19"/>
      <c r="K1042297" s="19"/>
      <c r="L1042297" s="19"/>
      <c r="M1042297" s="19"/>
      <c r="N1042297" s="19"/>
    </row>
    <row r="1042298" spans="1:14" s="83" customFormat="1" ht="12.75">
      <c r="A1042298" s="19"/>
      <c r="B1042298" s="19"/>
      <c r="C1042298" s="19"/>
      <c r="D1042298" s="19"/>
      <c r="E1042298" s="19"/>
      <c r="F1042298" s="19"/>
      <c r="G1042298" s="19"/>
      <c r="H1042298" s="19"/>
      <c r="I1042298" s="19"/>
      <c r="J1042298" s="19"/>
      <c r="K1042298" s="19"/>
      <c r="L1042298" s="19"/>
      <c r="M1042298" s="19"/>
      <c r="N1042298" s="19"/>
    </row>
    <row r="1042299" spans="1:14" s="83" customFormat="1" ht="12.75">
      <c r="A1042299" s="19"/>
      <c r="B1042299" s="19"/>
      <c r="C1042299" s="19"/>
      <c r="D1042299" s="19"/>
      <c r="E1042299" s="19"/>
      <c r="F1042299" s="19"/>
      <c r="G1042299" s="19"/>
      <c r="H1042299" s="19"/>
      <c r="I1042299" s="19"/>
      <c r="J1042299" s="19"/>
      <c r="K1042299" s="19"/>
      <c r="L1042299" s="19"/>
      <c r="M1042299" s="19"/>
      <c r="N1042299" s="19"/>
    </row>
    <row r="1042300" spans="1:14" s="83" customFormat="1" ht="12.75">
      <c r="A1042300" s="19"/>
      <c r="B1042300" s="19"/>
      <c r="C1042300" s="19"/>
      <c r="D1042300" s="19"/>
      <c r="E1042300" s="19"/>
      <c r="F1042300" s="19"/>
      <c r="G1042300" s="19"/>
      <c r="H1042300" s="19"/>
      <c r="I1042300" s="19"/>
      <c r="J1042300" s="19"/>
      <c r="K1042300" s="19"/>
      <c r="L1042300" s="19"/>
      <c r="M1042300" s="19"/>
      <c r="N1042300" s="19"/>
    </row>
    <row r="1042301" spans="1:14" s="83" customFormat="1" ht="12.75">
      <c r="A1042301" s="19"/>
      <c r="B1042301" s="19"/>
      <c r="C1042301" s="19"/>
      <c r="D1042301" s="19"/>
      <c r="E1042301" s="19"/>
      <c r="F1042301" s="19"/>
      <c r="G1042301" s="19"/>
      <c r="H1042301" s="19"/>
      <c r="I1042301" s="19"/>
      <c r="J1042301" s="19"/>
      <c r="K1042301" s="19"/>
      <c r="L1042301" s="19"/>
      <c r="M1042301" s="19"/>
      <c r="N1042301" s="19"/>
    </row>
    <row r="1042302" spans="1:14" s="83" customFormat="1" ht="12.75">
      <c r="A1042302" s="19"/>
      <c r="B1042302" s="19"/>
      <c r="C1042302" s="19"/>
      <c r="D1042302" s="19"/>
      <c r="E1042302" s="19"/>
      <c r="F1042302" s="19"/>
      <c r="G1042302" s="19"/>
      <c r="H1042302" s="19"/>
      <c r="I1042302" s="19"/>
      <c r="J1042302" s="19"/>
      <c r="K1042302" s="19"/>
      <c r="L1042302" s="19"/>
      <c r="M1042302" s="19"/>
      <c r="N1042302" s="19"/>
    </row>
    <row r="1042303" spans="1:14" s="83" customFormat="1" ht="12.75">
      <c r="A1042303" s="19"/>
      <c r="B1042303" s="19"/>
      <c r="C1042303" s="19"/>
      <c r="D1042303" s="19"/>
      <c r="E1042303" s="19"/>
      <c r="F1042303" s="19"/>
      <c r="G1042303" s="19"/>
      <c r="H1042303" s="19"/>
      <c r="I1042303" s="19"/>
      <c r="J1042303" s="19"/>
      <c r="K1042303" s="19"/>
      <c r="L1042303" s="19"/>
      <c r="M1042303" s="19"/>
      <c r="N1042303" s="19"/>
    </row>
    <row r="1042304" spans="1:14" s="83" customFormat="1" ht="12.75">
      <c r="A1042304" s="19"/>
      <c r="B1042304" s="19"/>
      <c r="C1042304" s="19"/>
      <c r="D1042304" s="19"/>
      <c r="E1042304" s="19"/>
      <c r="F1042304" s="19"/>
      <c r="G1042304" s="19"/>
      <c r="H1042304" s="19"/>
      <c r="I1042304" s="19"/>
      <c r="J1042304" s="19"/>
      <c r="K1042304" s="19"/>
      <c r="L1042304" s="19"/>
      <c r="M1042304" s="19"/>
      <c r="N1042304" s="19"/>
    </row>
    <row r="1042305" spans="1:14" s="83" customFormat="1" ht="12.75">
      <c r="A1042305" s="19"/>
      <c r="B1042305" s="19"/>
      <c r="C1042305" s="19"/>
      <c r="D1042305" s="19"/>
      <c r="E1042305" s="19"/>
      <c r="F1042305" s="19"/>
      <c r="G1042305" s="19"/>
      <c r="H1042305" s="19"/>
      <c r="I1042305" s="19"/>
      <c r="J1042305" s="19"/>
      <c r="K1042305" s="19"/>
      <c r="L1042305" s="19"/>
      <c r="M1042305" s="19"/>
      <c r="N1042305" s="19"/>
    </row>
    <row r="1042306" spans="1:14" s="83" customFormat="1" ht="12.75">
      <c r="A1042306" s="19"/>
      <c r="B1042306" s="19"/>
      <c r="C1042306" s="19"/>
      <c r="D1042306" s="19"/>
      <c r="E1042306" s="19"/>
      <c r="F1042306" s="19"/>
      <c r="G1042306" s="19"/>
      <c r="H1042306" s="19"/>
      <c r="I1042306" s="19"/>
      <c r="J1042306" s="19"/>
      <c r="K1042306" s="19"/>
      <c r="L1042306" s="19"/>
      <c r="M1042306" s="19"/>
      <c r="N1042306" s="19"/>
    </row>
    <row r="1042307" spans="1:14" s="83" customFormat="1" ht="12.75">
      <c r="A1042307" s="19"/>
      <c r="B1042307" s="19"/>
      <c r="C1042307" s="19"/>
      <c r="D1042307" s="19"/>
      <c r="E1042307" s="19"/>
      <c r="F1042307" s="19"/>
      <c r="G1042307" s="19"/>
      <c r="H1042307" s="19"/>
      <c r="I1042307" s="19"/>
      <c r="J1042307" s="19"/>
      <c r="K1042307" s="19"/>
      <c r="L1042307" s="19"/>
      <c r="M1042307" s="19"/>
      <c r="N1042307" s="19"/>
    </row>
    <row r="1042308" spans="1:14" s="83" customFormat="1" ht="12.75">
      <c r="A1042308" s="19"/>
      <c r="B1042308" s="19"/>
      <c r="C1042308" s="19"/>
      <c r="D1042308" s="19"/>
      <c r="E1042308" s="19"/>
      <c r="F1042308" s="19"/>
      <c r="G1042308" s="19"/>
      <c r="H1042308" s="19"/>
      <c r="I1042308" s="19"/>
      <c r="J1042308" s="19"/>
      <c r="K1042308" s="19"/>
      <c r="L1042308" s="19"/>
      <c r="M1042308" s="19"/>
      <c r="N1042308" s="19"/>
    </row>
    <row r="1042309" spans="1:14" s="83" customFormat="1" ht="12.75">
      <c r="A1042309" s="19"/>
      <c r="B1042309" s="19"/>
      <c r="C1042309" s="19"/>
      <c r="D1042309" s="19"/>
      <c r="E1042309" s="19"/>
      <c r="F1042309" s="19"/>
      <c r="G1042309" s="19"/>
      <c r="H1042309" s="19"/>
      <c r="I1042309" s="19"/>
      <c r="J1042309" s="19"/>
      <c r="K1042309" s="19"/>
      <c r="L1042309" s="19"/>
      <c r="M1042309" s="19"/>
      <c r="N1042309" s="19"/>
    </row>
    <row r="1042310" spans="1:14" s="83" customFormat="1" ht="12.75">
      <c r="A1042310" s="19"/>
      <c r="B1042310" s="19"/>
      <c r="C1042310" s="19"/>
      <c r="D1042310" s="19"/>
      <c r="E1042310" s="19"/>
      <c r="F1042310" s="19"/>
      <c r="G1042310" s="19"/>
      <c r="H1042310" s="19"/>
      <c r="I1042310" s="19"/>
      <c r="J1042310" s="19"/>
      <c r="K1042310" s="19"/>
      <c r="L1042310" s="19"/>
      <c r="M1042310" s="19"/>
      <c r="N1042310" s="19"/>
    </row>
    <row r="1042311" spans="1:14" s="83" customFormat="1" ht="12.75">
      <c r="A1042311" s="19"/>
      <c r="B1042311" s="19"/>
      <c r="C1042311" s="19"/>
      <c r="D1042311" s="19"/>
      <c r="E1042311" s="19"/>
      <c r="F1042311" s="19"/>
      <c r="G1042311" s="19"/>
      <c r="H1042311" s="19"/>
      <c r="I1042311" s="19"/>
      <c r="J1042311" s="19"/>
      <c r="K1042311" s="19"/>
      <c r="L1042311" s="19"/>
      <c r="M1042311" s="19"/>
      <c r="N1042311" s="19"/>
    </row>
    <row r="1042312" spans="1:14" s="83" customFormat="1" ht="12.75">
      <c r="A1042312" s="19"/>
      <c r="B1042312" s="19"/>
      <c r="C1042312" s="19"/>
      <c r="D1042312" s="19"/>
      <c r="E1042312" s="19"/>
      <c r="F1042312" s="19"/>
      <c r="G1042312" s="19"/>
      <c r="H1042312" s="19"/>
      <c r="I1042312" s="19"/>
      <c r="J1042312" s="19"/>
      <c r="K1042312" s="19"/>
      <c r="L1042312" s="19"/>
      <c r="M1042312" s="19"/>
      <c r="N1042312" s="19"/>
    </row>
    <row r="1042313" spans="1:14" s="83" customFormat="1" ht="12.75">
      <c r="A1042313" s="19"/>
      <c r="B1042313" s="19"/>
      <c r="C1042313" s="19"/>
      <c r="D1042313" s="19"/>
      <c r="E1042313" s="19"/>
      <c r="F1042313" s="19"/>
      <c r="G1042313" s="19"/>
      <c r="H1042313" s="19"/>
      <c r="I1042313" s="19"/>
      <c r="J1042313" s="19"/>
      <c r="K1042313" s="19"/>
      <c r="L1042313" s="19"/>
      <c r="M1042313" s="19"/>
      <c r="N1042313" s="19"/>
    </row>
    <row r="1042314" spans="1:14" s="83" customFormat="1" ht="12.75">
      <c r="A1042314" s="19"/>
      <c r="B1042314" s="19"/>
      <c r="C1042314" s="19"/>
      <c r="D1042314" s="19"/>
      <c r="E1042314" s="19"/>
      <c r="F1042314" s="19"/>
      <c r="G1042314" s="19"/>
      <c r="H1042314" s="19"/>
      <c r="I1042314" s="19"/>
      <c r="J1042314" s="19"/>
      <c r="K1042314" s="19"/>
      <c r="L1042314" s="19"/>
      <c r="M1042314" s="19"/>
      <c r="N1042314" s="19"/>
    </row>
    <row r="1042315" spans="1:14" s="83" customFormat="1" ht="12.75">
      <c r="A1042315" s="19"/>
      <c r="B1042315" s="19"/>
      <c r="C1042315" s="19"/>
      <c r="D1042315" s="19"/>
      <c r="E1042315" s="19"/>
      <c r="F1042315" s="19"/>
      <c r="G1042315" s="19"/>
      <c r="H1042315" s="19"/>
      <c r="I1042315" s="19"/>
      <c r="J1042315" s="19"/>
      <c r="K1042315" s="19"/>
      <c r="L1042315" s="19"/>
      <c r="M1042315" s="19"/>
      <c r="N1042315" s="19"/>
    </row>
    <row r="1042316" spans="1:14" s="83" customFormat="1" ht="12.75">
      <c r="A1042316" s="19"/>
      <c r="B1042316" s="19"/>
      <c r="C1042316" s="19"/>
      <c r="D1042316" s="19"/>
      <c r="E1042316" s="19"/>
      <c r="F1042316" s="19"/>
      <c r="G1042316" s="19"/>
      <c r="H1042316" s="19"/>
      <c r="I1042316" s="19"/>
      <c r="J1042316" s="19"/>
      <c r="K1042316" s="19"/>
      <c r="L1042316" s="19"/>
      <c r="M1042316" s="19"/>
      <c r="N1042316" s="19"/>
    </row>
    <row r="1042317" spans="1:14" s="83" customFormat="1" ht="12.75">
      <c r="A1042317" s="19"/>
      <c r="B1042317" s="19"/>
      <c r="C1042317" s="19"/>
      <c r="D1042317" s="19"/>
      <c r="E1042317" s="19"/>
      <c r="F1042317" s="19"/>
      <c r="G1042317" s="19"/>
      <c r="H1042317" s="19"/>
      <c r="I1042317" s="19"/>
      <c r="J1042317" s="19"/>
      <c r="K1042317" s="19"/>
      <c r="L1042317" s="19"/>
      <c r="M1042317" s="19"/>
      <c r="N1042317" s="19"/>
    </row>
    <row r="1042318" spans="1:14" s="83" customFormat="1" ht="12.75">
      <c r="A1042318" s="19"/>
      <c r="B1042318" s="19"/>
      <c r="C1042318" s="19"/>
      <c r="D1042318" s="19"/>
      <c r="E1042318" s="19"/>
      <c r="F1042318" s="19"/>
      <c r="G1042318" s="19"/>
      <c r="H1042318" s="19"/>
      <c r="I1042318" s="19"/>
      <c r="J1042318" s="19"/>
      <c r="K1042318" s="19"/>
      <c r="L1042318" s="19"/>
      <c r="M1042318" s="19"/>
      <c r="N1042318" s="19"/>
    </row>
    <row r="1042319" spans="1:14" s="83" customFormat="1" ht="12.75">
      <c r="A1042319" s="19"/>
      <c r="B1042319" s="19"/>
      <c r="C1042319" s="19"/>
      <c r="D1042319" s="19"/>
      <c r="E1042319" s="19"/>
      <c r="F1042319" s="19"/>
      <c r="G1042319" s="19"/>
      <c r="H1042319" s="19"/>
      <c r="I1042319" s="19"/>
      <c r="J1042319" s="19"/>
      <c r="K1042319" s="19"/>
      <c r="L1042319" s="19"/>
      <c r="M1042319" s="19"/>
      <c r="N1042319" s="19"/>
    </row>
    <row r="1042320" spans="1:14" s="83" customFormat="1" ht="12.75">
      <c r="A1042320" s="19"/>
      <c r="B1042320" s="19"/>
      <c r="C1042320" s="19"/>
      <c r="D1042320" s="19"/>
      <c r="E1042320" s="19"/>
      <c r="F1042320" s="19"/>
      <c r="G1042320" s="19"/>
      <c r="H1042320" s="19"/>
      <c r="I1042320" s="19"/>
      <c r="J1042320" s="19"/>
      <c r="K1042320" s="19"/>
      <c r="L1042320" s="19"/>
      <c r="M1042320" s="19"/>
      <c r="N1042320" s="19"/>
    </row>
    <row r="1042321" spans="1:14" s="83" customFormat="1" ht="12.75">
      <c r="A1042321" s="19"/>
      <c r="B1042321" s="19"/>
      <c r="C1042321" s="19"/>
      <c r="D1042321" s="19"/>
      <c r="E1042321" s="19"/>
      <c r="F1042321" s="19"/>
      <c r="G1042321" s="19"/>
      <c r="H1042321" s="19"/>
      <c r="I1042321" s="19"/>
      <c r="J1042321" s="19"/>
      <c r="K1042321" s="19"/>
      <c r="L1042321" s="19"/>
      <c r="M1042321" s="19"/>
      <c r="N1042321" s="19"/>
    </row>
    <row r="1042322" spans="1:14" s="83" customFormat="1" ht="12.75">
      <c r="A1042322" s="19"/>
      <c r="B1042322" s="19"/>
      <c r="C1042322" s="19"/>
      <c r="D1042322" s="19"/>
      <c r="E1042322" s="19"/>
      <c r="F1042322" s="19"/>
      <c r="G1042322" s="19"/>
      <c r="H1042322" s="19"/>
      <c r="I1042322" s="19"/>
      <c r="J1042322" s="19"/>
      <c r="K1042322" s="19"/>
      <c r="L1042322" s="19"/>
      <c r="M1042322" s="19"/>
      <c r="N1042322" s="19"/>
    </row>
    <row r="1042323" spans="1:14" s="83" customFormat="1" ht="12.75">
      <c r="A1042323" s="19"/>
      <c r="B1042323" s="19"/>
      <c r="C1042323" s="19"/>
      <c r="D1042323" s="19"/>
      <c r="E1042323" s="19"/>
      <c r="F1042323" s="19"/>
      <c r="G1042323" s="19"/>
      <c r="H1042323" s="19"/>
      <c r="I1042323" s="19"/>
      <c r="J1042323" s="19"/>
      <c r="K1042323" s="19"/>
      <c r="L1042323" s="19"/>
      <c r="M1042323" s="19"/>
      <c r="N1042323" s="19"/>
    </row>
    <row r="1042324" spans="1:14" s="83" customFormat="1" ht="12.75">
      <c r="A1042324" s="19"/>
      <c r="B1042324" s="19"/>
      <c r="C1042324" s="19"/>
      <c r="D1042324" s="19"/>
      <c r="E1042324" s="19"/>
      <c r="F1042324" s="19"/>
      <c r="G1042324" s="19"/>
      <c r="H1042324" s="19"/>
      <c r="I1042324" s="19"/>
      <c r="J1042324" s="19"/>
      <c r="K1042324" s="19"/>
      <c r="L1042324" s="19"/>
      <c r="M1042324" s="19"/>
      <c r="N1042324" s="19"/>
    </row>
    <row r="1042325" spans="1:14" s="83" customFormat="1" ht="12.75">
      <c r="A1042325" s="19"/>
      <c r="B1042325" s="19"/>
      <c r="C1042325" s="19"/>
      <c r="D1042325" s="19"/>
      <c r="E1042325" s="19"/>
      <c r="F1042325" s="19"/>
      <c r="G1042325" s="19"/>
      <c r="H1042325" s="19"/>
      <c r="I1042325" s="19"/>
      <c r="J1042325" s="19"/>
      <c r="K1042325" s="19"/>
      <c r="L1042325" s="19"/>
      <c r="M1042325" s="19"/>
      <c r="N1042325" s="19"/>
    </row>
    <row r="1042326" spans="1:14" s="83" customFormat="1" ht="12.75">
      <c r="A1042326" s="19"/>
      <c r="B1042326" s="19"/>
      <c r="C1042326" s="19"/>
      <c r="D1042326" s="19"/>
      <c r="E1042326" s="19"/>
      <c r="F1042326" s="19"/>
      <c r="G1042326" s="19"/>
      <c r="H1042326" s="19"/>
      <c r="I1042326" s="19"/>
      <c r="J1042326" s="19"/>
      <c r="K1042326" s="19"/>
      <c r="L1042326" s="19"/>
      <c r="M1042326" s="19"/>
      <c r="N1042326" s="19"/>
    </row>
    <row r="1042327" spans="1:14" s="83" customFormat="1" ht="12.75">
      <c r="A1042327" s="19"/>
      <c r="B1042327" s="19"/>
      <c r="C1042327" s="19"/>
      <c r="D1042327" s="19"/>
      <c r="E1042327" s="19"/>
      <c r="F1042327" s="19"/>
      <c r="G1042327" s="19"/>
      <c r="H1042327" s="19"/>
      <c r="I1042327" s="19"/>
      <c r="J1042327" s="19"/>
      <c r="K1042327" s="19"/>
      <c r="L1042327" s="19"/>
      <c r="M1042327" s="19"/>
      <c r="N1042327" s="19"/>
    </row>
    <row r="1042328" spans="1:14" s="83" customFormat="1" ht="12.75">
      <c r="A1042328" s="19"/>
      <c r="B1042328" s="19"/>
      <c r="C1042328" s="19"/>
      <c r="D1042328" s="19"/>
      <c r="E1042328" s="19"/>
      <c r="F1042328" s="19"/>
      <c r="G1042328" s="19"/>
      <c r="H1042328" s="19"/>
      <c r="I1042328" s="19"/>
      <c r="J1042328" s="19"/>
      <c r="K1042328" s="19"/>
      <c r="L1042328" s="19"/>
      <c r="M1042328" s="19"/>
      <c r="N1042328" s="19"/>
    </row>
    <row r="1042329" spans="1:14" s="83" customFormat="1" ht="12.75">
      <c r="A1042329" s="19"/>
      <c r="B1042329" s="19"/>
      <c r="C1042329" s="19"/>
      <c r="D1042329" s="19"/>
      <c r="E1042329" s="19"/>
      <c r="F1042329" s="19"/>
      <c r="G1042329" s="19"/>
      <c r="H1042329" s="19"/>
      <c r="I1042329" s="19"/>
      <c r="J1042329" s="19"/>
      <c r="K1042329" s="19"/>
      <c r="L1042329" s="19"/>
      <c r="M1042329" s="19"/>
      <c r="N1042329" s="19"/>
    </row>
    <row r="1042330" spans="1:14" s="83" customFormat="1" ht="12.75">
      <c r="A1042330" s="19"/>
      <c r="B1042330" s="19"/>
      <c r="C1042330" s="19"/>
      <c r="D1042330" s="19"/>
      <c r="E1042330" s="19"/>
      <c r="F1042330" s="19"/>
      <c r="G1042330" s="19"/>
      <c r="H1042330" s="19"/>
      <c r="I1042330" s="19"/>
      <c r="J1042330" s="19"/>
      <c r="K1042330" s="19"/>
      <c r="L1042330" s="19"/>
      <c r="M1042330" s="19"/>
      <c r="N1042330" s="19"/>
    </row>
    <row r="1042331" spans="1:14" s="83" customFormat="1" ht="12.75">
      <c r="A1042331" s="19"/>
      <c r="B1042331" s="19"/>
      <c r="C1042331" s="19"/>
      <c r="D1042331" s="19"/>
      <c r="E1042331" s="19"/>
      <c r="F1042331" s="19"/>
      <c r="G1042331" s="19"/>
      <c r="H1042331" s="19"/>
      <c r="I1042331" s="19"/>
      <c r="J1042331" s="19"/>
      <c r="K1042331" s="19"/>
      <c r="L1042331" s="19"/>
      <c r="M1042331" s="19"/>
      <c r="N1042331" s="19"/>
    </row>
    <row r="1042332" spans="1:14" s="83" customFormat="1" ht="12.75">
      <c r="A1042332" s="19"/>
      <c r="B1042332" s="19"/>
      <c r="C1042332" s="19"/>
      <c r="D1042332" s="19"/>
      <c r="E1042332" s="19"/>
      <c r="F1042332" s="19"/>
      <c r="G1042332" s="19"/>
      <c r="H1042332" s="19"/>
      <c r="I1042332" s="19"/>
      <c r="J1042332" s="19"/>
      <c r="K1042332" s="19"/>
      <c r="L1042332" s="19"/>
      <c r="M1042332" s="19"/>
      <c r="N1042332" s="19"/>
    </row>
    <row r="1042333" spans="1:14" s="83" customFormat="1" ht="12.75">
      <c r="A1042333" s="19"/>
      <c r="B1042333" s="19"/>
      <c r="C1042333" s="19"/>
      <c r="D1042333" s="19"/>
      <c r="E1042333" s="19"/>
      <c r="F1042333" s="19"/>
      <c r="G1042333" s="19"/>
      <c r="H1042333" s="19"/>
      <c r="I1042333" s="19"/>
      <c r="J1042333" s="19"/>
      <c r="K1042333" s="19"/>
      <c r="L1042333" s="19"/>
      <c r="M1042333" s="19"/>
      <c r="N1042333" s="19"/>
    </row>
    <row r="1042334" spans="1:14" s="83" customFormat="1" ht="12.75">
      <c r="A1042334" s="19"/>
      <c r="B1042334" s="19"/>
      <c r="C1042334" s="19"/>
      <c r="D1042334" s="19"/>
      <c r="E1042334" s="19"/>
      <c r="F1042334" s="19"/>
      <c r="G1042334" s="19"/>
      <c r="H1042334" s="19"/>
      <c r="I1042334" s="19"/>
      <c r="J1042334" s="19"/>
      <c r="K1042334" s="19"/>
      <c r="L1042334" s="19"/>
      <c r="M1042334" s="19"/>
      <c r="N1042334" s="19"/>
    </row>
    <row r="1042335" spans="1:14" s="83" customFormat="1" ht="12.75">
      <c r="A1042335" s="19"/>
      <c r="B1042335" s="19"/>
      <c r="C1042335" s="19"/>
      <c r="D1042335" s="19"/>
      <c r="E1042335" s="19"/>
      <c r="F1042335" s="19"/>
      <c r="G1042335" s="19"/>
      <c r="H1042335" s="19"/>
      <c r="I1042335" s="19"/>
      <c r="J1042335" s="19"/>
      <c r="K1042335" s="19"/>
      <c r="L1042335" s="19"/>
      <c r="M1042335" s="19"/>
      <c r="N1042335" s="19"/>
    </row>
    <row r="1042336" spans="1:14" s="83" customFormat="1" ht="12.75">
      <c r="A1042336" s="19"/>
      <c r="B1042336" s="19"/>
      <c r="C1042336" s="19"/>
      <c r="D1042336" s="19"/>
      <c r="E1042336" s="19"/>
      <c r="F1042336" s="19"/>
      <c r="G1042336" s="19"/>
      <c r="H1042336" s="19"/>
      <c r="I1042336" s="19"/>
      <c r="J1042336" s="19"/>
      <c r="K1042336" s="19"/>
      <c r="L1042336" s="19"/>
      <c r="M1042336" s="19"/>
      <c r="N1042336" s="19"/>
    </row>
    <row r="1042337" spans="1:14" s="83" customFormat="1" ht="12.75">
      <c r="A1042337" s="19"/>
      <c r="B1042337" s="19"/>
      <c r="C1042337" s="19"/>
      <c r="D1042337" s="19"/>
      <c r="E1042337" s="19"/>
      <c r="F1042337" s="19"/>
      <c r="G1042337" s="19"/>
      <c r="H1042337" s="19"/>
      <c r="I1042337" s="19"/>
      <c r="J1042337" s="19"/>
      <c r="K1042337" s="19"/>
      <c r="L1042337" s="19"/>
      <c r="M1042337" s="19"/>
      <c r="N1042337" s="19"/>
    </row>
    <row r="1042338" spans="1:14" s="83" customFormat="1" ht="12.75">
      <c r="A1042338" s="19"/>
      <c r="B1042338" s="19"/>
      <c r="C1042338" s="19"/>
      <c r="D1042338" s="19"/>
      <c r="E1042338" s="19"/>
      <c r="F1042338" s="19"/>
      <c r="G1042338" s="19"/>
      <c r="H1042338" s="19"/>
      <c r="I1042338" s="19"/>
      <c r="J1042338" s="19"/>
      <c r="K1042338" s="19"/>
      <c r="L1042338" s="19"/>
      <c r="M1042338" s="19"/>
      <c r="N1042338" s="19"/>
    </row>
    <row r="1042339" spans="1:14" s="83" customFormat="1" ht="12.75">
      <c r="A1042339" s="19"/>
      <c r="B1042339" s="19"/>
      <c r="C1042339" s="19"/>
      <c r="D1042339" s="19"/>
      <c r="E1042339" s="19"/>
      <c r="F1042339" s="19"/>
      <c r="G1042339" s="19"/>
      <c r="H1042339" s="19"/>
      <c r="I1042339" s="19"/>
      <c r="J1042339" s="19"/>
      <c r="K1042339" s="19"/>
      <c r="L1042339" s="19"/>
      <c r="M1042339" s="19"/>
      <c r="N1042339" s="19"/>
    </row>
    <row r="1042340" spans="1:14" s="83" customFormat="1" ht="12.75">
      <c r="A1042340" s="19"/>
      <c r="B1042340" s="19"/>
      <c r="C1042340" s="19"/>
      <c r="D1042340" s="19"/>
      <c r="E1042340" s="19"/>
      <c r="F1042340" s="19"/>
      <c r="G1042340" s="19"/>
      <c r="H1042340" s="19"/>
      <c r="I1042340" s="19"/>
      <c r="J1042340" s="19"/>
      <c r="K1042340" s="19"/>
      <c r="L1042340" s="19"/>
      <c r="M1042340" s="19"/>
      <c r="N1042340" s="19"/>
    </row>
    <row r="1042341" spans="1:14" s="83" customFormat="1" ht="12.75">
      <c r="A1042341" s="19"/>
      <c r="B1042341" s="19"/>
      <c r="C1042341" s="19"/>
      <c r="D1042341" s="19"/>
      <c r="E1042341" s="19"/>
      <c r="F1042341" s="19"/>
      <c r="G1042341" s="19"/>
      <c r="H1042341" s="19"/>
      <c r="I1042341" s="19"/>
      <c r="J1042341" s="19"/>
      <c r="K1042341" s="19"/>
      <c r="L1042341" s="19"/>
      <c r="M1042341" s="19"/>
      <c r="N1042341" s="19"/>
    </row>
    <row r="1042342" spans="1:14" s="83" customFormat="1" ht="12.75">
      <c r="A1042342" s="19"/>
      <c r="B1042342" s="19"/>
      <c r="C1042342" s="19"/>
      <c r="D1042342" s="19"/>
      <c r="E1042342" s="19"/>
      <c r="F1042342" s="19"/>
      <c r="G1042342" s="19"/>
      <c r="H1042342" s="19"/>
      <c r="I1042342" s="19"/>
      <c r="J1042342" s="19"/>
      <c r="K1042342" s="19"/>
      <c r="L1042342" s="19"/>
      <c r="M1042342" s="19"/>
      <c r="N1042342" s="19"/>
    </row>
    <row r="1042343" spans="1:14" s="83" customFormat="1" ht="12.75">
      <c r="A1042343" s="19"/>
      <c r="B1042343" s="19"/>
      <c r="C1042343" s="19"/>
      <c r="D1042343" s="19"/>
      <c r="E1042343" s="19"/>
      <c r="F1042343" s="19"/>
      <c r="G1042343" s="19"/>
      <c r="H1042343" s="19"/>
      <c r="I1042343" s="19"/>
      <c r="J1042343" s="19"/>
      <c r="K1042343" s="19"/>
      <c r="L1042343" s="19"/>
      <c r="M1042343" s="19"/>
      <c r="N1042343" s="19"/>
    </row>
    <row r="1042344" spans="1:14" s="83" customFormat="1" ht="12.75">
      <c r="A1042344" s="19"/>
      <c r="B1042344" s="19"/>
      <c r="C1042344" s="19"/>
      <c r="D1042344" s="19"/>
      <c r="E1042344" s="19"/>
      <c r="F1042344" s="19"/>
      <c r="G1042344" s="19"/>
      <c r="H1042344" s="19"/>
      <c r="I1042344" s="19"/>
      <c r="J1042344" s="19"/>
      <c r="K1042344" s="19"/>
      <c r="L1042344" s="19"/>
      <c r="M1042344" s="19"/>
      <c r="N1042344" s="19"/>
    </row>
    <row r="1042345" spans="1:14" s="83" customFormat="1" ht="12.75">
      <c r="A1042345" s="19"/>
      <c r="B1042345" s="19"/>
      <c r="C1042345" s="19"/>
      <c r="D1042345" s="19"/>
      <c r="E1042345" s="19"/>
      <c r="F1042345" s="19"/>
      <c r="G1042345" s="19"/>
      <c r="H1042345" s="19"/>
      <c r="I1042345" s="19"/>
      <c r="J1042345" s="19"/>
      <c r="K1042345" s="19"/>
      <c r="L1042345" s="19"/>
      <c r="M1042345" s="19"/>
      <c r="N1042345" s="19"/>
    </row>
    <row r="1042346" spans="1:14" s="83" customFormat="1" ht="12.75">
      <c r="A1042346" s="19"/>
      <c r="B1042346" s="19"/>
      <c r="C1042346" s="19"/>
      <c r="D1042346" s="19"/>
      <c r="E1042346" s="19"/>
      <c r="F1042346" s="19"/>
      <c r="G1042346" s="19"/>
      <c r="H1042346" s="19"/>
      <c r="I1042346" s="19"/>
      <c r="J1042346" s="19"/>
      <c r="K1042346" s="19"/>
      <c r="L1042346" s="19"/>
      <c r="M1042346" s="19"/>
      <c r="N1042346" s="19"/>
    </row>
    <row r="1042347" spans="1:14" s="83" customFormat="1" ht="12.75">
      <c r="A1042347" s="19"/>
      <c r="B1042347" s="19"/>
      <c r="C1042347" s="19"/>
      <c r="D1042347" s="19"/>
      <c r="E1042347" s="19"/>
      <c r="F1042347" s="19"/>
      <c r="G1042347" s="19"/>
      <c r="H1042347" s="19"/>
      <c r="I1042347" s="19"/>
      <c r="J1042347" s="19"/>
      <c r="K1042347" s="19"/>
      <c r="L1042347" s="19"/>
      <c r="M1042347" s="19"/>
      <c r="N1042347" s="19"/>
    </row>
    <row r="1042348" spans="1:14" s="83" customFormat="1" ht="12.75">
      <c r="A1042348" s="19"/>
      <c r="B1042348" s="19"/>
      <c r="C1042348" s="19"/>
      <c r="D1042348" s="19"/>
      <c r="E1042348" s="19"/>
      <c r="F1042348" s="19"/>
      <c r="G1042348" s="19"/>
      <c r="H1042348" s="19"/>
      <c r="I1042348" s="19"/>
      <c r="J1042348" s="19"/>
      <c r="K1042348" s="19"/>
      <c r="L1042348" s="19"/>
      <c r="M1042348" s="19"/>
      <c r="N1042348" s="19"/>
    </row>
    <row r="1042349" spans="1:14" s="83" customFormat="1" ht="12.75">
      <c r="A1042349" s="19"/>
      <c r="B1042349" s="19"/>
      <c r="C1042349" s="19"/>
      <c r="D1042349" s="19"/>
      <c r="E1042349" s="19"/>
      <c r="F1042349" s="19"/>
      <c r="G1042349" s="19"/>
      <c r="H1042349" s="19"/>
      <c r="I1042349" s="19"/>
      <c r="J1042349" s="19"/>
      <c r="K1042349" s="19"/>
      <c r="L1042349" s="19"/>
      <c r="M1042349" s="19"/>
      <c r="N1042349" s="19"/>
    </row>
    <row r="1042350" spans="1:14" s="83" customFormat="1" ht="12.75">
      <c r="A1042350" s="19"/>
      <c r="B1042350" s="19"/>
      <c r="C1042350" s="19"/>
      <c r="D1042350" s="19"/>
      <c r="E1042350" s="19"/>
      <c r="F1042350" s="19"/>
      <c r="G1042350" s="19"/>
      <c r="H1042350" s="19"/>
      <c r="I1042350" s="19"/>
      <c r="J1042350" s="19"/>
      <c r="K1042350" s="19"/>
      <c r="L1042350" s="19"/>
      <c r="M1042350" s="19"/>
      <c r="N1042350" s="19"/>
    </row>
    <row r="1042351" spans="1:14" s="83" customFormat="1" ht="12.75">
      <c r="A1042351" s="19"/>
      <c r="B1042351" s="19"/>
      <c r="C1042351" s="19"/>
      <c r="D1042351" s="19"/>
      <c r="E1042351" s="19"/>
      <c r="F1042351" s="19"/>
      <c r="G1042351" s="19"/>
      <c r="H1042351" s="19"/>
      <c r="I1042351" s="19"/>
      <c r="J1042351" s="19"/>
      <c r="K1042351" s="19"/>
      <c r="L1042351" s="19"/>
      <c r="M1042351" s="19"/>
      <c r="N1042351" s="19"/>
    </row>
    <row r="1042352" spans="1:14" s="83" customFormat="1" ht="12.75">
      <c r="A1042352" s="19"/>
      <c r="B1042352" s="19"/>
      <c r="C1042352" s="19"/>
      <c r="D1042352" s="19"/>
      <c r="E1042352" s="19"/>
      <c r="F1042352" s="19"/>
      <c r="G1042352" s="19"/>
      <c r="H1042352" s="19"/>
      <c r="I1042352" s="19"/>
      <c r="J1042352" s="19"/>
      <c r="K1042352" s="19"/>
      <c r="L1042352" s="19"/>
      <c r="M1042352" s="19"/>
      <c r="N1042352" s="19"/>
    </row>
    <row r="1042353" spans="1:14" s="83" customFormat="1" ht="12.75">
      <c r="A1042353" s="19"/>
      <c r="B1042353" s="19"/>
      <c r="C1042353" s="19"/>
      <c r="D1042353" s="19"/>
      <c r="E1042353" s="19"/>
      <c r="F1042353" s="19"/>
      <c r="G1042353" s="19"/>
      <c r="H1042353" s="19"/>
      <c r="I1042353" s="19"/>
      <c r="J1042353" s="19"/>
      <c r="K1042353" s="19"/>
      <c r="L1042353" s="19"/>
      <c r="M1042353" s="19"/>
      <c r="N1042353" s="19"/>
    </row>
    <row r="1042354" spans="1:14" s="83" customFormat="1" ht="12.75">
      <c r="A1042354" s="19"/>
      <c r="B1042354" s="19"/>
      <c r="C1042354" s="19"/>
      <c r="D1042354" s="19"/>
      <c r="E1042354" s="19"/>
      <c r="F1042354" s="19"/>
      <c r="G1042354" s="19"/>
      <c r="H1042354" s="19"/>
      <c r="I1042354" s="19"/>
      <c r="J1042354" s="19"/>
      <c r="K1042354" s="19"/>
      <c r="L1042354" s="19"/>
      <c r="M1042354" s="19"/>
      <c r="N1042354" s="19"/>
    </row>
    <row r="1042355" spans="1:14" s="83" customFormat="1" ht="12.75">
      <c r="A1042355" s="19"/>
      <c r="B1042355" s="19"/>
      <c r="C1042355" s="19"/>
      <c r="D1042355" s="19"/>
      <c r="E1042355" s="19"/>
      <c r="F1042355" s="19"/>
      <c r="G1042355" s="19"/>
      <c r="H1042355" s="19"/>
      <c r="I1042355" s="19"/>
      <c r="J1042355" s="19"/>
      <c r="K1042355" s="19"/>
      <c r="L1042355" s="19"/>
      <c r="M1042355" s="19"/>
      <c r="N1042355" s="19"/>
    </row>
    <row r="1042356" spans="1:14" s="83" customFormat="1" ht="12.75">
      <c r="A1042356" s="19"/>
      <c r="B1042356" s="19"/>
      <c r="C1042356" s="19"/>
      <c r="D1042356" s="19"/>
      <c r="E1042356" s="19"/>
      <c r="F1042356" s="19"/>
      <c r="G1042356" s="19"/>
      <c r="H1042356" s="19"/>
      <c r="I1042356" s="19"/>
      <c r="J1042356" s="19"/>
      <c r="K1042356" s="19"/>
      <c r="L1042356" s="19"/>
      <c r="M1042356" s="19"/>
      <c r="N1042356" s="19"/>
    </row>
    <row r="1042357" spans="1:14" s="83" customFormat="1" ht="12.75">
      <c r="A1042357" s="19"/>
      <c r="B1042357" s="19"/>
      <c r="C1042357" s="19"/>
      <c r="D1042357" s="19"/>
      <c r="E1042357" s="19"/>
      <c r="F1042357" s="19"/>
      <c r="G1042357" s="19"/>
      <c r="H1042357" s="19"/>
      <c r="I1042357" s="19"/>
      <c r="J1042357" s="19"/>
      <c r="K1042357" s="19"/>
      <c r="L1042357" s="19"/>
      <c r="M1042357" s="19"/>
      <c r="N1042357" s="19"/>
    </row>
    <row r="1042358" spans="1:14" s="83" customFormat="1" ht="12.75">
      <c r="A1042358" s="19"/>
      <c r="B1042358" s="19"/>
      <c r="C1042358" s="19"/>
      <c r="D1042358" s="19"/>
      <c r="E1042358" s="19"/>
      <c r="F1042358" s="19"/>
      <c r="G1042358" s="19"/>
      <c r="H1042358" s="19"/>
      <c r="I1042358" s="19"/>
      <c r="J1042358" s="19"/>
      <c r="K1042358" s="19"/>
      <c r="L1042358" s="19"/>
      <c r="M1042358" s="19"/>
      <c r="N1042358" s="19"/>
    </row>
    <row r="1042359" spans="1:14" s="83" customFormat="1" ht="12.75">
      <c r="A1042359" s="19"/>
      <c r="B1042359" s="19"/>
      <c r="C1042359" s="19"/>
      <c r="D1042359" s="19"/>
      <c r="E1042359" s="19"/>
      <c r="F1042359" s="19"/>
      <c r="G1042359" s="19"/>
      <c r="H1042359" s="19"/>
      <c r="I1042359" s="19"/>
      <c r="J1042359" s="19"/>
      <c r="K1042359" s="19"/>
      <c r="L1042359" s="19"/>
      <c r="M1042359" s="19"/>
      <c r="N1042359" s="19"/>
    </row>
    <row r="1042360" spans="1:14" s="83" customFormat="1" ht="12.75">
      <c r="A1042360" s="19"/>
      <c r="B1042360" s="19"/>
      <c r="C1042360" s="19"/>
      <c r="D1042360" s="19"/>
      <c r="E1042360" s="19"/>
      <c r="F1042360" s="19"/>
      <c r="G1042360" s="19"/>
      <c r="H1042360" s="19"/>
      <c r="I1042360" s="19"/>
      <c r="J1042360" s="19"/>
      <c r="K1042360" s="19"/>
      <c r="L1042360" s="19"/>
      <c r="M1042360" s="19"/>
      <c r="N1042360" s="19"/>
    </row>
    <row r="1042361" spans="1:14" s="83" customFormat="1" ht="12.75">
      <c r="A1042361" s="19"/>
      <c r="B1042361" s="19"/>
      <c r="C1042361" s="19"/>
      <c r="D1042361" s="19"/>
      <c r="E1042361" s="19"/>
      <c r="F1042361" s="19"/>
      <c r="G1042361" s="19"/>
      <c r="H1042361" s="19"/>
      <c r="I1042361" s="19"/>
      <c r="J1042361" s="19"/>
      <c r="K1042361" s="19"/>
      <c r="L1042361" s="19"/>
      <c r="M1042361" s="19"/>
      <c r="N1042361" s="19"/>
    </row>
    <row r="1042362" spans="1:14" s="83" customFormat="1" ht="12.75">
      <c r="A1042362" s="19"/>
      <c r="B1042362" s="19"/>
      <c r="C1042362" s="19"/>
      <c r="D1042362" s="19"/>
      <c r="E1042362" s="19"/>
      <c r="F1042362" s="19"/>
      <c r="G1042362" s="19"/>
      <c r="H1042362" s="19"/>
      <c r="I1042362" s="19"/>
      <c r="J1042362" s="19"/>
      <c r="K1042362" s="19"/>
      <c r="L1042362" s="19"/>
      <c r="M1042362" s="19"/>
      <c r="N1042362" s="19"/>
    </row>
    <row r="1042363" spans="1:14" s="83" customFormat="1" ht="12.75">
      <c r="A1042363" s="19"/>
      <c r="B1042363" s="19"/>
      <c r="C1042363" s="19"/>
      <c r="D1042363" s="19"/>
      <c r="E1042363" s="19"/>
      <c r="F1042363" s="19"/>
      <c r="G1042363" s="19"/>
      <c r="H1042363" s="19"/>
      <c r="I1042363" s="19"/>
      <c r="J1042363" s="19"/>
      <c r="K1042363" s="19"/>
      <c r="L1042363" s="19"/>
      <c r="M1042363" s="19"/>
      <c r="N1042363" s="19"/>
    </row>
    <row r="1042364" spans="1:14" s="83" customFormat="1" ht="12.75">
      <c r="A1042364" s="19"/>
      <c r="B1042364" s="19"/>
      <c r="C1042364" s="19"/>
      <c r="D1042364" s="19"/>
      <c r="E1042364" s="19"/>
      <c r="F1042364" s="19"/>
      <c r="G1042364" s="19"/>
      <c r="H1042364" s="19"/>
      <c r="I1042364" s="19"/>
      <c r="J1042364" s="19"/>
      <c r="K1042364" s="19"/>
      <c r="L1042364" s="19"/>
      <c r="M1042364" s="19"/>
      <c r="N1042364" s="19"/>
    </row>
    <row r="1042365" spans="1:14" s="83" customFormat="1" ht="12.75">
      <c r="A1042365" s="19"/>
      <c r="B1042365" s="19"/>
      <c r="C1042365" s="19"/>
      <c r="D1042365" s="19"/>
      <c r="E1042365" s="19"/>
      <c r="F1042365" s="19"/>
      <c r="G1042365" s="19"/>
      <c r="H1042365" s="19"/>
      <c r="I1042365" s="19"/>
      <c r="J1042365" s="19"/>
      <c r="K1042365" s="19"/>
      <c r="L1042365" s="19"/>
      <c r="M1042365" s="19"/>
      <c r="N1042365" s="19"/>
    </row>
    <row r="1042366" spans="1:14" s="83" customFormat="1" ht="12.75">
      <c r="A1042366" s="19"/>
      <c r="B1042366" s="19"/>
      <c r="C1042366" s="19"/>
      <c r="D1042366" s="19"/>
      <c r="E1042366" s="19"/>
      <c r="F1042366" s="19"/>
      <c r="G1042366" s="19"/>
      <c r="H1042366" s="19"/>
      <c r="I1042366" s="19"/>
      <c r="J1042366" s="19"/>
      <c r="K1042366" s="19"/>
      <c r="L1042366" s="19"/>
      <c r="M1042366" s="19"/>
      <c r="N1042366" s="19"/>
    </row>
    <row r="1042367" spans="1:14" s="83" customFormat="1" ht="12.75">
      <c r="A1042367" s="19"/>
      <c r="B1042367" s="19"/>
      <c r="C1042367" s="19"/>
      <c r="D1042367" s="19"/>
      <c r="E1042367" s="19"/>
      <c r="F1042367" s="19"/>
      <c r="G1042367" s="19"/>
      <c r="H1042367" s="19"/>
      <c r="I1042367" s="19"/>
      <c r="J1042367" s="19"/>
      <c r="K1042367" s="19"/>
      <c r="L1042367" s="19"/>
      <c r="M1042367" s="19"/>
      <c r="N1042367" s="19"/>
    </row>
    <row r="1042368" spans="1:14" s="83" customFormat="1" ht="12.75">
      <c r="A1042368" s="19"/>
      <c r="B1042368" s="19"/>
      <c r="C1042368" s="19"/>
      <c r="D1042368" s="19"/>
      <c r="E1042368" s="19"/>
      <c r="F1042368" s="19"/>
      <c r="G1042368" s="19"/>
      <c r="H1042368" s="19"/>
      <c r="I1042368" s="19"/>
      <c r="J1042368" s="19"/>
      <c r="K1042368" s="19"/>
      <c r="L1042368" s="19"/>
      <c r="M1042368" s="19"/>
      <c r="N1042368" s="19"/>
    </row>
    <row r="1042369" spans="1:14" s="83" customFormat="1" ht="12.75">
      <c r="A1042369" s="19"/>
      <c r="B1042369" s="19"/>
      <c r="C1042369" s="19"/>
      <c r="D1042369" s="19"/>
      <c r="E1042369" s="19"/>
      <c r="F1042369" s="19"/>
      <c r="G1042369" s="19"/>
      <c r="H1042369" s="19"/>
      <c r="I1042369" s="19"/>
      <c r="J1042369" s="19"/>
      <c r="K1042369" s="19"/>
      <c r="L1042369" s="19"/>
      <c r="M1042369" s="19"/>
      <c r="N1042369" s="19"/>
    </row>
    <row r="1042370" spans="1:14" s="83" customFormat="1" ht="12.75">
      <c r="A1042370" s="19"/>
      <c r="B1042370" s="19"/>
      <c r="C1042370" s="19"/>
      <c r="D1042370" s="19"/>
      <c r="E1042370" s="19"/>
      <c r="F1042370" s="19"/>
      <c r="G1042370" s="19"/>
      <c r="H1042370" s="19"/>
      <c r="I1042370" s="19"/>
      <c r="J1042370" s="19"/>
      <c r="K1042370" s="19"/>
      <c r="L1042370" s="19"/>
      <c r="M1042370" s="19"/>
      <c r="N1042370" s="19"/>
    </row>
    <row r="1042371" spans="1:14" s="83" customFormat="1" ht="12.75">
      <c r="A1042371" s="19"/>
      <c r="B1042371" s="19"/>
      <c r="C1042371" s="19"/>
      <c r="D1042371" s="19"/>
      <c r="E1042371" s="19"/>
      <c r="F1042371" s="19"/>
      <c r="G1042371" s="19"/>
      <c r="H1042371" s="19"/>
      <c r="I1042371" s="19"/>
      <c r="J1042371" s="19"/>
      <c r="K1042371" s="19"/>
      <c r="L1042371" s="19"/>
      <c r="M1042371" s="19"/>
      <c r="N1042371" s="19"/>
    </row>
    <row r="1042372" spans="1:14" s="83" customFormat="1" ht="12.75">
      <c r="A1042372" s="19"/>
      <c r="B1042372" s="19"/>
      <c r="C1042372" s="19"/>
      <c r="D1042372" s="19"/>
      <c r="E1042372" s="19"/>
      <c r="F1042372" s="19"/>
      <c r="G1042372" s="19"/>
      <c r="H1042372" s="19"/>
      <c r="I1042372" s="19"/>
      <c r="J1042372" s="19"/>
      <c r="K1042372" s="19"/>
      <c r="L1042372" s="19"/>
      <c r="M1042372" s="19"/>
      <c r="N1042372" s="19"/>
    </row>
    <row r="1042373" spans="1:14" s="83" customFormat="1" ht="12.75">
      <c r="A1042373" s="19"/>
      <c r="B1042373" s="19"/>
      <c r="C1042373" s="19"/>
      <c r="D1042373" s="19"/>
      <c r="E1042373" s="19"/>
      <c r="F1042373" s="19"/>
      <c r="G1042373" s="19"/>
      <c r="H1042373" s="19"/>
      <c r="I1042373" s="19"/>
      <c r="J1042373" s="19"/>
      <c r="K1042373" s="19"/>
      <c r="L1042373" s="19"/>
      <c r="M1042373" s="19"/>
      <c r="N1042373" s="19"/>
    </row>
    <row r="1042374" spans="1:14" s="83" customFormat="1" ht="12.75">
      <c r="A1042374" s="19"/>
      <c r="B1042374" s="19"/>
      <c r="C1042374" s="19"/>
      <c r="D1042374" s="19"/>
      <c r="E1042374" s="19"/>
      <c r="F1042374" s="19"/>
      <c r="G1042374" s="19"/>
      <c r="H1042374" s="19"/>
      <c r="I1042374" s="19"/>
      <c r="J1042374" s="19"/>
      <c r="K1042374" s="19"/>
      <c r="L1042374" s="19"/>
      <c r="M1042374" s="19"/>
      <c r="N1042374" s="19"/>
    </row>
    <row r="1042375" spans="1:14" s="83" customFormat="1" ht="12.75">
      <c r="A1042375" s="19"/>
      <c r="B1042375" s="19"/>
      <c r="C1042375" s="19"/>
      <c r="D1042375" s="19"/>
      <c r="E1042375" s="19"/>
      <c r="F1042375" s="19"/>
      <c r="G1042375" s="19"/>
      <c r="H1042375" s="19"/>
      <c r="I1042375" s="19"/>
      <c r="J1042375" s="19"/>
      <c r="K1042375" s="19"/>
      <c r="L1042375" s="19"/>
      <c r="M1042375" s="19"/>
      <c r="N1042375" s="19"/>
    </row>
    <row r="1042376" spans="1:14" s="83" customFormat="1" ht="12.75">
      <c r="A1042376" s="19"/>
      <c r="B1042376" s="19"/>
      <c r="C1042376" s="19"/>
      <c r="D1042376" s="19"/>
      <c r="E1042376" s="19"/>
      <c r="F1042376" s="19"/>
      <c r="G1042376" s="19"/>
      <c r="H1042376" s="19"/>
      <c r="I1042376" s="19"/>
      <c r="J1042376" s="19"/>
      <c r="K1042376" s="19"/>
      <c r="L1042376" s="19"/>
      <c r="M1042376" s="19"/>
      <c r="N1042376" s="19"/>
    </row>
    <row r="1042377" spans="1:14" s="83" customFormat="1" ht="12.75">
      <c r="A1042377" s="19"/>
      <c r="B1042377" s="19"/>
      <c r="C1042377" s="19"/>
      <c r="D1042377" s="19"/>
      <c r="E1042377" s="19"/>
      <c r="F1042377" s="19"/>
      <c r="G1042377" s="19"/>
      <c r="H1042377" s="19"/>
      <c r="I1042377" s="19"/>
      <c r="J1042377" s="19"/>
      <c r="K1042377" s="19"/>
      <c r="L1042377" s="19"/>
      <c r="M1042377" s="19"/>
      <c r="N1042377" s="19"/>
    </row>
    <row r="1042378" spans="1:14" s="83" customFormat="1" ht="12.75">
      <c r="A1042378" s="19"/>
      <c r="B1042378" s="19"/>
      <c r="C1042378" s="19"/>
      <c r="D1042378" s="19"/>
      <c r="E1042378" s="19"/>
      <c r="F1042378" s="19"/>
      <c r="G1042378" s="19"/>
      <c r="H1042378" s="19"/>
      <c r="I1042378" s="19"/>
      <c r="J1042378" s="19"/>
      <c r="K1042378" s="19"/>
      <c r="L1042378" s="19"/>
      <c r="M1042378" s="19"/>
      <c r="N1042378" s="19"/>
    </row>
    <row r="1042379" spans="1:14" s="83" customFormat="1" ht="12.75">
      <c r="A1042379" s="19"/>
      <c r="B1042379" s="19"/>
      <c r="C1042379" s="19"/>
      <c r="D1042379" s="19"/>
      <c r="E1042379" s="19"/>
      <c r="F1042379" s="19"/>
      <c r="G1042379" s="19"/>
      <c r="H1042379" s="19"/>
      <c r="I1042379" s="19"/>
      <c r="J1042379" s="19"/>
      <c r="K1042379" s="19"/>
      <c r="L1042379" s="19"/>
      <c r="M1042379" s="19"/>
      <c r="N1042379" s="19"/>
    </row>
    <row r="1042380" spans="1:14" s="83" customFormat="1" ht="12.75">
      <c r="A1042380" s="19"/>
      <c r="B1042380" s="19"/>
      <c r="C1042380" s="19"/>
      <c r="D1042380" s="19"/>
      <c r="E1042380" s="19"/>
      <c r="F1042380" s="19"/>
      <c r="G1042380" s="19"/>
      <c r="H1042380" s="19"/>
      <c r="I1042380" s="19"/>
      <c r="J1042380" s="19"/>
      <c r="K1042380" s="19"/>
      <c r="L1042380" s="19"/>
      <c r="M1042380" s="19"/>
      <c r="N1042380" s="19"/>
    </row>
    <row r="1042381" spans="1:14" s="83" customFormat="1" ht="12.75">
      <c r="A1042381" s="19"/>
      <c r="B1042381" s="19"/>
      <c r="C1042381" s="19"/>
      <c r="D1042381" s="19"/>
      <c r="E1042381" s="19"/>
      <c r="F1042381" s="19"/>
      <c r="G1042381" s="19"/>
      <c r="H1042381" s="19"/>
      <c r="I1042381" s="19"/>
      <c r="J1042381" s="19"/>
      <c r="K1042381" s="19"/>
      <c r="L1042381" s="19"/>
      <c r="M1042381" s="19"/>
      <c r="N1042381" s="19"/>
    </row>
    <row r="1042382" spans="1:14" s="83" customFormat="1" ht="12.75">
      <c r="A1042382" s="19"/>
      <c r="B1042382" s="19"/>
      <c r="C1042382" s="19"/>
      <c r="D1042382" s="19"/>
      <c r="E1042382" s="19"/>
      <c r="F1042382" s="19"/>
      <c r="G1042382" s="19"/>
      <c r="H1042382" s="19"/>
      <c r="I1042382" s="19"/>
      <c r="J1042382" s="19"/>
      <c r="K1042382" s="19"/>
      <c r="L1042382" s="19"/>
      <c r="M1042382" s="19"/>
      <c r="N1042382" s="19"/>
    </row>
    <row r="1042383" spans="1:14" s="83" customFormat="1" ht="12.75">
      <c r="A1042383" s="19"/>
      <c r="B1042383" s="19"/>
      <c r="C1042383" s="19"/>
      <c r="D1042383" s="19"/>
      <c r="E1042383" s="19"/>
      <c r="F1042383" s="19"/>
      <c r="G1042383" s="19"/>
      <c r="H1042383" s="19"/>
      <c r="I1042383" s="19"/>
      <c r="J1042383" s="19"/>
      <c r="K1042383" s="19"/>
      <c r="L1042383" s="19"/>
      <c r="M1042383" s="19"/>
      <c r="N1042383" s="19"/>
    </row>
    <row r="1042384" spans="1:14" s="83" customFormat="1" ht="12.75">
      <c r="A1042384" s="19"/>
      <c r="B1042384" s="19"/>
      <c r="C1042384" s="19"/>
      <c r="D1042384" s="19"/>
      <c r="E1042384" s="19"/>
      <c r="F1042384" s="19"/>
      <c r="G1042384" s="19"/>
      <c r="H1042384" s="19"/>
      <c r="I1042384" s="19"/>
      <c r="J1042384" s="19"/>
      <c r="K1042384" s="19"/>
      <c r="L1042384" s="19"/>
      <c r="M1042384" s="19"/>
      <c r="N1042384" s="19"/>
    </row>
    <row r="1042385" spans="1:14" s="83" customFormat="1" ht="12.75">
      <c r="A1042385" s="19"/>
      <c r="B1042385" s="19"/>
      <c r="C1042385" s="19"/>
      <c r="D1042385" s="19"/>
      <c r="E1042385" s="19"/>
      <c r="F1042385" s="19"/>
      <c r="G1042385" s="19"/>
      <c r="H1042385" s="19"/>
      <c r="I1042385" s="19"/>
      <c r="J1042385" s="19"/>
      <c r="K1042385" s="19"/>
      <c r="L1042385" s="19"/>
      <c r="M1042385" s="19"/>
      <c r="N1042385" s="19"/>
    </row>
    <row r="1042386" spans="1:14" s="83" customFormat="1" ht="12.75">
      <c r="A1042386" s="19"/>
      <c r="B1042386" s="19"/>
      <c r="C1042386" s="19"/>
      <c r="D1042386" s="19"/>
      <c r="E1042386" s="19"/>
      <c r="F1042386" s="19"/>
      <c r="G1042386" s="19"/>
      <c r="H1042386" s="19"/>
      <c r="I1042386" s="19"/>
      <c r="J1042386" s="19"/>
      <c r="K1042386" s="19"/>
      <c r="L1042386" s="19"/>
      <c r="M1042386" s="19"/>
      <c r="N1042386" s="19"/>
    </row>
    <row r="1042387" spans="1:14" s="83" customFormat="1" ht="12.75">
      <c r="A1042387" s="19"/>
      <c r="B1042387" s="19"/>
      <c r="C1042387" s="19"/>
      <c r="D1042387" s="19"/>
      <c r="E1042387" s="19"/>
      <c r="F1042387" s="19"/>
      <c r="G1042387" s="19"/>
      <c r="H1042387" s="19"/>
      <c r="I1042387" s="19"/>
      <c r="J1042387" s="19"/>
      <c r="K1042387" s="19"/>
      <c r="L1042387" s="19"/>
      <c r="M1042387" s="19"/>
      <c r="N1042387" s="19"/>
    </row>
    <row r="1042388" spans="1:14" s="83" customFormat="1" ht="12.75">
      <c r="A1042388" s="19"/>
      <c r="B1042388" s="19"/>
      <c r="C1042388" s="19"/>
      <c r="D1042388" s="19"/>
      <c r="E1042388" s="19"/>
      <c r="F1042388" s="19"/>
      <c r="G1042388" s="19"/>
      <c r="H1042388" s="19"/>
      <c r="I1042388" s="19"/>
      <c r="J1042388" s="19"/>
      <c r="K1042388" s="19"/>
      <c r="L1042388" s="19"/>
      <c r="M1042388" s="19"/>
      <c r="N1042388" s="19"/>
    </row>
    <row r="1042389" spans="1:14" s="83" customFormat="1" ht="12.75">
      <c r="A1042389" s="19"/>
      <c r="B1042389" s="19"/>
      <c r="C1042389" s="19"/>
      <c r="D1042389" s="19"/>
      <c r="E1042389" s="19"/>
      <c r="F1042389" s="19"/>
      <c r="G1042389" s="19"/>
      <c r="H1042389" s="19"/>
      <c r="I1042389" s="19"/>
      <c r="J1042389" s="19"/>
      <c r="K1042389" s="19"/>
      <c r="L1042389" s="19"/>
      <c r="M1042389" s="19"/>
      <c r="N1042389" s="19"/>
    </row>
    <row r="1042390" spans="1:14" s="83" customFormat="1" ht="12.75">
      <c r="A1042390" s="19"/>
      <c r="B1042390" s="19"/>
      <c r="C1042390" s="19"/>
      <c r="D1042390" s="19"/>
      <c r="E1042390" s="19"/>
      <c r="F1042390" s="19"/>
      <c r="G1042390" s="19"/>
      <c r="H1042390" s="19"/>
      <c r="I1042390" s="19"/>
      <c r="J1042390" s="19"/>
      <c r="K1042390" s="19"/>
      <c r="L1042390" s="19"/>
      <c r="M1042390" s="19"/>
      <c r="N1042390" s="19"/>
    </row>
    <row r="1042391" spans="1:14" s="83" customFormat="1" ht="12.75">
      <c r="A1042391" s="19"/>
      <c r="B1042391" s="19"/>
      <c r="C1042391" s="19"/>
      <c r="D1042391" s="19"/>
      <c r="E1042391" s="19"/>
      <c r="F1042391" s="19"/>
      <c r="G1042391" s="19"/>
      <c r="H1042391" s="19"/>
      <c r="I1042391" s="19"/>
      <c r="J1042391" s="19"/>
      <c r="K1042391" s="19"/>
      <c r="L1042391" s="19"/>
      <c r="M1042391" s="19"/>
      <c r="N1042391" s="19"/>
    </row>
    <row r="1042392" spans="1:14" s="83" customFormat="1" ht="12.75">
      <c r="A1042392" s="19"/>
      <c r="B1042392" s="19"/>
      <c r="C1042392" s="19"/>
      <c r="D1042392" s="19"/>
      <c r="E1042392" s="19"/>
      <c r="F1042392" s="19"/>
      <c r="G1042392" s="19"/>
      <c r="H1042392" s="19"/>
      <c r="I1042392" s="19"/>
      <c r="J1042392" s="19"/>
      <c r="K1042392" s="19"/>
      <c r="L1042392" s="19"/>
      <c r="M1042392" s="19"/>
      <c r="N1042392" s="19"/>
    </row>
    <row r="1042393" spans="1:14" s="83" customFormat="1" ht="12.75">
      <c r="A1042393" s="19"/>
      <c r="B1042393" s="19"/>
      <c r="C1042393" s="19"/>
      <c r="D1042393" s="19"/>
      <c r="E1042393" s="19"/>
      <c r="F1042393" s="19"/>
      <c r="G1042393" s="19"/>
      <c r="H1042393" s="19"/>
      <c r="I1042393" s="19"/>
      <c r="J1042393" s="19"/>
      <c r="K1042393" s="19"/>
      <c r="L1042393" s="19"/>
      <c r="M1042393" s="19"/>
      <c r="N1042393" s="19"/>
    </row>
    <row r="1042394" spans="1:14" s="83" customFormat="1" ht="12.75">
      <c r="A1042394" s="19"/>
      <c r="B1042394" s="19"/>
      <c r="C1042394" s="19"/>
      <c r="D1042394" s="19"/>
      <c r="E1042394" s="19"/>
      <c r="F1042394" s="19"/>
      <c r="G1042394" s="19"/>
      <c r="H1042394" s="19"/>
      <c r="I1042394" s="19"/>
      <c r="J1042394" s="19"/>
      <c r="K1042394" s="19"/>
      <c r="L1042394" s="19"/>
      <c r="M1042394" s="19"/>
      <c r="N1042394" s="19"/>
    </row>
    <row r="1042395" spans="1:14" s="83" customFormat="1" ht="12.75">
      <c r="A1042395" s="19"/>
      <c r="B1042395" s="19"/>
      <c r="C1042395" s="19"/>
      <c r="D1042395" s="19"/>
      <c r="E1042395" s="19"/>
      <c r="F1042395" s="19"/>
      <c r="G1042395" s="19"/>
      <c r="H1042395" s="19"/>
      <c r="I1042395" s="19"/>
      <c r="J1042395" s="19"/>
      <c r="K1042395" s="19"/>
      <c r="L1042395" s="19"/>
      <c r="M1042395" s="19"/>
      <c r="N1042395" s="19"/>
    </row>
    <row r="1042396" spans="1:14" s="83" customFormat="1" ht="12.75">
      <c r="A1042396" s="19"/>
      <c r="B1042396" s="19"/>
      <c r="C1042396" s="19"/>
      <c r="D1042396" s="19"/>
      <c r="E1042396" s="19"/>
      <c r="F1042396" s="19"/>
      <c r="G1042396" s="19"/>
      <c r="H1042396" s="19"/>
      <c r="I1042396" s="19"/>
      <c r="J1042396" s="19"/>
      <c r="K1042396" s="19"/>
      <c r="L1042396" s="19"/>
      <c r="M1042396" s="19"/>
      <c r="N1042396" s="19"/>
    </row>
    <row r="1042397" spans="1:14" s="83" customFormat="1" ht="12.75">
      <c r="A1042397" s="19"/>
      <c r="B1042397" s="19"/>
      <c r="C1042397" s="19"/>
      <c r="D1042397" s="19"/>
      <c r="E1042397" s="19"/>
      <c r="F1042397" s="19"/>
      <c r="G1042397" s="19"/>
      <c r="H1042397" s="19"/>
      <c r="I1042397" s="19"/>
      <c r="J1042397" s="19"/>
      <c r="K1042397" s="19"/>
      <c r="L1042397" s="19"/>
      <c r="M1042397" s="19"/>
      <c r="N1042397" s="19"/>
    </row>
    <row r="1042398" spans="1:14" s="83" customFormat="1" ht="12.75">
      <c r="A1042398" s="19"/>
      <c r="B1042398" s="19"/>
      <c r="C1042398" s="19"/>
      <c r="D1042398" s="19"/>
      <c r="E1042398" s="19"/>
      <c r="F1042398" s="19"/>
      <c r="G1042398" s="19"/>
      <c r="H1042398" s="19"/>
      <c r="I1042398" s="19"/>
      <c r="J1042398" s="19"/>
      <c r="K1042398" s="19"/>
      <c r="L1042398" s="19"/>
      <c r="M1042398" s="19"/>
      <c r="N1042398" s="19"/>
    </row>
    <row r="1042399" spans="1:14" s="83" customFormat="1" ht="12.75">
      <c r="A1042399" s="19"/>
      <c r="B1042399" s="19"/>
      <c r="C1042399" s="19"/>
      <c r="D1042399" s="19"/>
      <c r="E1042399" s="19"/>
      <c r="F1042399" s="19"/>
      <c r="G1042399" s="19"/>
      <c r="H1042399" s="19"/>
      <c r="I1042399" s="19"/>
      <c r="J1042399" s="19"/>
      <c r="K1042399" s="19"/>
      <c r="L1042399" s="19"/>
      <c r="M1042399" s="19"/>
      <c r="N1042399" s="19"/>
    </row>
    <row r="1042400" spans="1:14" s="83" customFormat="1" ht="12.75">
      <c r="A1042400" s="19"/>
      <c r="B1042400" s="19"/>
      <c r="C1042400" s="19"/>
      <c r="D1042400" s="19"/>
      <c r="E1042400" s="19"/>
      <c r="F1042400" s="19"/>
      <c r="G1042400" s="19"/>
      <c r="H1042400" s="19"/>
      <c r="I1042400" s="19"/>
      <c r="J1042400" s="19"/>
      <c r="K1042400" s="19"/>
      <c r="L1042400" s="19"/>
      <c r="M1042400" s="19"/>
      <c r="N1042400" s="19"/>
    </row>
    <row r="1042401" spans="1:14" s="83" customFormat="1" ht="12.75">
      <c r="A1042401" s="19"/>
      <c r="B1042401" s="19"/>
      <c r="C1042401" s="19"/>
      <c r="D1042401" s="19"/>
      <c r="E1042401" s="19"/>
      <c r="F1042401" s="19"/>
      <c r="G1042401" s="19"/>
      <c r="H1042401" s="19"/>
      <c r="I1042401" s="19"/>
      <c r="J1042401" s="19"/>
      <c r="K1042401" s="19"/>
      <c r="L1042401" s="19"/>
      <c r="M1042401" s="19"/>
      <c r="N1042401" s="19"/>
    </row>
    <row r="1042402" spans="1:14" s="83" customFormat="1" ht="12.75">
      <c r="A1042402" s="19"/>
      <c r="B1042402" s="19"/>
      <c r="C1042402" s="19"/>
      <c r="D1042402" s="19"/>
      <c r="E1042402" s="19"/>
      <c r="F1042402" s="19"/>
      <c r="G1042402" s="19"/>
      <c r="H1042402" s="19"/>
      <c r="I1042402" s="19"/>
      <c r="J1042402" s="19"/>
      <c r="K1042402" s="19"/>
      <c r="L1042402" s="19"/>
      <c r="M1042402" s="19"/>
      <c r="N1042402" s="19"/>
    </row>
    <row r="1042403" spans="1:14" s="83" customFormat="1" ht="12.75">
      <c r="A1042403" s="19"/>
      <c r="B1042403" s="19"/>
      <c r="C1042403" s="19"/>
      <c r="D1042403" s="19"/>
      <c r="E1042403" s="19"/>
      <c r="F1042403" s="19"/>
      <c r="G1042403" s="19"/>
      <c r="H1042403" s="19"/>
      <c r="I1042403" s="19"/>
      <c r="J1042403" s="19"/>
      <c r="K1042403" s="19"/>
      <c r="L1042403" s="19"/>
      <c r="M1042403" s="19"/>
      <c r="N1042403" s="19"/>
    </row>
    <row r="1042404" spans="1:14" s="83" customFormat="1" ht="12.75">
      <c r="A1042404" s="19"/>
      <c r="B1042404" s="19"/>
      <c r="C1042404" s="19"/>
      <c r="D1042404" s="19"/>
      <c r="E1042404" s="19"/>
      <c r="F1042404" s="19"/>
      <c r="G1042404" s="19"/>
      <c r="H1042404" s="19"/>
      <c r="I1042404" s="19"/>
      <c r="J1042404" s="19"/>
      <c r="K1042404" s="19"/>
      <c r="L1042404" s="19"/>
      <c r="M1042404" s="19"/>
      <c r="N1042404" s="19"/>
    </row>
    <row r="1042405" spans="1:14" s="83" customFormat="1" ht="12.75">
      <c r="A1042405" s="19"/>
      <c r="B1042405" s="19"/>
      <c r="C1042405" s="19"/>
      <c r="D1042405" s="19"/>
      <c r="E1042405" s="19"/>
      <c r="F1042405" s="19"/>
      <c r="G1042405" s="19"/>
      <c r="H1042405" s="19"/>
      <c r="I1042405" s="19"/>
      <c r="J1042405" s="19"/>
      <c r="K1042405" s="19"/>
      <c r="L1042405" s="19"/>
      <c r="M1042405" s="19"/>
      <c r="N1042405" s="19"/>
    </row>
    <row r="1042406" spans="1:14" s="83" customFormat="1" ht="12.75">
      <c r="A1042406" s="19"/>
      <c r="B1042406" s="19"/>
      <c r="C1042406" s="19"/>
      <c r="D1042406" s="19"/>
      <c r="E1042406" s="19"/>
      <c r="F1042406" s="19"/>
      <c r="G1042406" s="19"/>
      <c r="H1042406" s="19"/>
      <c r="I1042406" s="19"/>
      <c r="J1042406" s="19"/>
      <c r="K1042406" s="19"/>
      <c r="L1042406" s="19"/>
      <c r="M1042406" s="19"/>
      <c r="N1042406" s="19"/>
    </row>
    <row r="1042407" spans="1:14" s="83" customFormat="1" ht="12.75">
      <c r="A1042407" s="19"/>
      <c r="B1042407" s="19"/>
      <c r="C1042407" s="19"/>
      <c r="D1042407" s="19"/>
      <c r="E1042407" s="19"/>
      <c r="F1042407" s="19"/>
      <c r="G1042407" s="19"/>
      <c r="H1042407" s="19"/>
      <c r="I1042407" s="19"/>
      <c r="J1042407" s="19"/>
      <c r="K1042407" s="19"/>
      <c r="L1042407" s="19"/>
      <c r="M1042407" s="19"/>
      <c r="N1042407" s="19"/>
    </row>
    <row r="1042408" spans="1:14" s="83" customFormat="1" ht="12.75">
      <c r="A1042408" s="19"/>
      <c r="B1042408" s="19"/>
      <c r="C1042408" s="19"/>
      <c r="D1042408" s="19"/>
      <c r="E1042408" s="19"/>
      <c r="F1042408" s="19"/>
      <c r="G1042408" s="19"/>
      <c r="H1042408" s="19"/>
      <c r="I1042408" s="19"/>
      <c r="J1042408" s="19"/>
      <c r="K1042408" s="19"/>
      <c r="L1042408" s="19"/>
      <c r="M1042408" s="19"/>
      <c r="N1042408" s="19"/>
    </row>
    <row r="1042409" spans="1:14" s="83" customFormat="1" ht="12.75">
      <c r="A1042409" s="19"/>
      <c r="B1042409" s="19"/>
      <c r="C1042409" s="19"/>
      <c r="D1042409" s="19"/>
      <c r="E1042409" s="19"/>
      <c r="F1042409" s="19"/>
      <c r="G1042409" s="19"/>
      <c r="H1042409" s="19"/>
      <c r="I1042409" s="19"/>
      <c r="J1042409" s="19"/>
      <c r="K1042409" s="19"/>
      <c r="L1042409" s="19"/>
      <c r="M1042409" s="19"/>
      <c r="N1042409" s="19"/>
    </row>
    <row r="1042410" spans="1:14" s="83" customFormat="1" ht="12.75">
      <c r="A1042410" s="19"/>
      <c r="B1042410" s="19"/>
      <c r="C1042410" s="19"/>
      <c r="D1042410" s="19"/>
      <c r="E1042410" s="19"/>
      <c r="F1042410" s="19"/>
      <c r="G1042410" s="19"/>
      <c r="H1042410" s="19"/>
      <c r="I1042410" s="19"/>
      <c r="J1042410" s="19"/>
      <c r="K1042410" s="19"/>
      <c r="L1042410" s="19"/>
      <c r="M1042410" s="19"/>
      <c r="N1042410" s="19"/>
    </row>
    <row r="1042411" spans="1:14" s="83" customFormat="1" ht="12.75">
      <c r="A1042411" s="19"/>
      <c r="B1042411" s="19"/>
      <c r="C1042411" s="19"/>
      <c r="D1042411" s="19"/>
      <c r="E1042411" s="19"/>
      <c r="F1042411" s="19"/>
      <c r="G1042411" s="19"/>
      <c r="H1042411" s="19"/>
      <c r="I1042411" s="19"/>
      <c r="J1042411" s="19"/>
      <c r="K1042411" s="19"/>
      <c r="L1042411" s="19"/>
      <c r="M1042411" s="19"/>
      <c r="N1042411" s="19"/>
    </row>
    <row r="1042412" spans="1:14" s="83" customFormat="1" ht="12.75">
      <c r="A1042412" s="19"/>
      <c r="B1042412" s="19"/>
      <c r="C1042412" s="19"/>
      <c r="D1042412" s="19"/>
      <c r="E1042412" s="19"/>
      <c r="F1042412" s="19"/>
      <c r="G1042412" s="19"/>
      <c r="H1042412" s="19"/>
      <c r="I1042412" s="19"/>
      <c r="J1042412" s="19"/>
      <c r="K1042412" s="19"/>
      <c r="L1042412" s="19"/>
      <c r="M1042412" s="19"/>
      <c r="N1042412" s="19"/>
    </row>
    <row r="1042413" spans="1:14" s="83" customFormat="1" ht="12.75">
      <c r="A1042413" s="19"/>
      <c r="B1042413" s="19"/>
      <c r="C1042413" s="19"/>
      <c r="D1042413" s="19"/>
      <c r="E1042413" s="19"/>
      <c r="F1042413" s="19"/>
      <c r="G1042413" s="19"/>
      <c r="H1042413" s="19"/>
      <c r="I1042413" s="19"/>
      <c r="J1042413" s="19"/>
      <c r="K1042413" s="19"/>
      <c r="L1042413" s="19"/>
      <c r="M1042413" s="19"/>
      <c r="N1042413" s="19"/>
    </row>
    <row r="1042414" spans="1:14" s="83" customFormat="1" ht="12.75">
      <c r="A1042414" s="19"/>
      <c r="B1042414" s="19"/>
      <c r="C1042414" s="19"/>
      <c r="D1042414" s="19"/>
      <c r="E1042414" s="19"/>
      <c r="F1042414" s="19"/>
      <c r="G1042414" s="19"/>
      <c r="H1042414" s="19"/>
      <c r="I1042414" s="19"/>
      <c r="J1042414" s="19"/>
      <c r="K1042414" s="19"/>
      <c r="L1042414" s="19"/>
      <c r="M1042414" s="19"/>
      <c r="N1042414" s="19"/>
    </row>
    <row r="1042415" spans="1:14" s="83" customFormat="1" ht="12.75">
      <c r="A1042415" s="19"/>
      <c r="B1042415" s="19"/>
      <c r="C1042415" s="19"/>
      <c r="D1042415" s="19"/>
      <c r="E1042415" s="19"/>
      <c r="F1042415" s="19"/>
      <c r="G1042415" s="19"/>
      <c r="H1042415" s="19"/>
      <c r="I1042415" s="19"/>
      <c r="J1042415" s="19"/>
      <c r="K1042415" s="19"/>
      <c r="L1042415" s="19"/>
      <c r="M1042415" s="19"/>
      <c r="N1042415" s="19"/>
    </row>
    <row r="1042416" spans="1:14" s="83" customFormat="1" ht="12.75">
      <c r="A1042416" s="19"/>
      <c r="B1042416" s="19"/>
      <c r="C1042416" s="19"/>
      <c r="D1042416" s="19"/>
      <c r="E1042416" s="19"/>
      <c r="F1042416" s="19"/>
      <c r="G1042416" s="19"/>
      <c r="H1042416" s="19"/>
      <c r="I1042416" s="19"/>
      <c r="J1042416" s="19"/>
      <c r="K1042416" s="19"/>
      <c r="L1042416" s="19"/>
      <c r="M1042416" s="19"/>
      <c r="N1042416" s="19"/>
    </row>
    <row r="1042417" spans="1:14" s="83" customFormat="1" ht="12.75">
      <c r="A1042417" s="19"/>
      <c r="B1042417" s="19"/>
      <c r="C1042417" s="19"/>
      <c r="D1042417" s="19"/>
      <c r="E1042417" s="19"/>
      <c r="F1042417" s="19"/>
      <c r="G1042417" s="19"/>
      <c r="H1042417" s="19"/>
      <c r="I1042417" s="19"/>
      <c r="J1042417" s="19"/>
      <c r="K1042417" s="19"/>
      <c r="L1042417" s="19"/>
      <c r="M1042417" s="19"/>
      <c r="N1042417" s="19"/>
    </row>
    <row r="1042418" spans="1:14" s="83" customFormat="1" ht="12.75">
      <c r="A1042418" s="19"/>
      <c r="B1042418" s="19"/>
      <c r="C1042418" s="19"/>
      <c r="D1042418" s="19"/>
      <c r="E1042418" s="19"/>
      <c r="F1042418" s="19"/>
      <c r="G1042418" s="19"/>
      <c r="H1042418" s="19"/>
      <c r="I1042418" s="19"/>
      <c r="J1042418" s="19"/>
      <c r="K1042418" s="19"/>
      <c r="L1042418" s="19"/>
      <c r="M1042418" s="19"/>
      <c r="N1042418" s="19"/>
    </row>
    <row r="1042419" spans="1:14" s="83" customFormat="1" ht="12.75">
      <c r="A1042419" s="19"/>
      <c r="B1042419" s="19"/>
      <c r="C1042419" s="19"/>
      <c r="D1042419" s="19"/>
      <c r="E1042419" s="19"/>
      <c r="F1042419" s="19"/>
      <c r="G1042419" s="19"/>
      <c r="H1042419" s="19"/>
      <c r="I1042419" s="19"/>
      <c r="J1042419" s="19"/>
      <c r="K1042419" s="19"/>
      <c r="L1042419" s="19"/>
      <c r="M1042419" s="19"/>
      <c r="N1042419" s="19"/>
    </row>
    <row r="1042420" spans="1:14" s="83" customFormat="1" ht="12.75">
      <c r="A1042420" s="19"/>
      <c r="B1042420" s="19"/>
      <c r="C1042420" s="19"/>
      <c r="D1042420" s="19"/>
      <c r="E1042420" s="19"/>
      <c r="F1042420" s="19"/>
      <c r="G1042420" s="19"/>
      <c r="H1042420" s="19"/>
      <c r="I1042420" s="19"/>
      <c r="J1042420" s="19"/>
      <c r="K1042420" s="19"/>
      <c r="L1042420" s="19"/>
      <c r="M1042420" s="19"/>
      <c r="N1042420" s="19"/>
    </row>
    <row r="1042421" spans="1:14" s="83" customFormat="1" ht="12.75">
      <c r="A1042421" s="19"/>
      <c r="B1042421" s="19"/>
      <c r="C1042421" s="19"/>
      <c r="D1042421" s="19"/>
      <c r="E1042421" s="19"/>
      <c r="F1042421" s="19"/>
      <c r="G1042421" s="19"/>
      <c r="H1042421" s="19"/>
      <c r="I1042421" s="19"/>
      <c r="J1042421" s="19"/>
      <c r="K1042421" s="19"/>
      <c r="L1042421" s="19"/>
      <c r="M1042421" s="19"/>
      <c r="N1042421" s="19"/>
    </row>
    <row r="1042422" spans="1:14" s="83" customFormat="1" ht="12.75">
      <c r="A1042422" s="19"/>
      <c r="B1042422" s="19"/>
      <c r="C1042422" s="19"/>
      <c r="D1042422" s="19"/>
      <c r="E1042422" s="19"/>
      <c r="F1042422" s="19"/>
      <c r="G1042422" s="19"/>
      <c r="H1042422" s="19"/>
      <c r="I1042422" s="19"/>
      <c r="J1042422" s="19"/>
      <c r="K1042422" s="19"/>
      <c r="L1042422" s="19"/>
      <c r="M1042422" s="19"/>
      <c r="N1042422" s="19"/>
    </row>
    <row r="1042423" spans="1:14" s="83" customFormat="1" ht="12.75">
      <c r="A1042423" s="19"/>
      <c r="B1042423" s="19"/>
      <c r="C1042423" s="19"/>
      <c r="D1042423" s="19"/>
      <c r="E1042423" s="19"/>
      <c r="F1042423" s="19"/>
      <c r="G1042423" s="19"/>
      <c r="H1042423" s="19"/>
      <c r="I1042423" s="19"/>
      <c r="J1042423" s="19"/>
      <c r="K1042423" s="19"/>
      <c r="L1042423" s="19"/>
      <c r="M1042423" s="19"/>
      <c r="N1042423" s="19"/>
    </row>
    <row r="1042424" spans="1:14" s="83" customFormat="1" ht="12.75">
      <c r="A1042424" s="19"/>
      <c r="B1042424" s="19"/>
      <c r="C1042424" s="19"/>
      <c r="D1042424" s="19"/>
      <c r="E1042424" s="19"/>
      <c r="F1042424" s="19"/>
      <c r="G1042424" s="19"/>
      <c r="H1042424" s="19"/>
      <c r="I1042424" s="19"/>
      <c r="J1042424" s="19"/>
      <c r="K1042424" s="19"/>
      <c r="L1042424" s="19"/>
      <c r="M1042424" s="19"/>
      <c r="N1042424" s="19"/>
    </row>
    <row r="1042425" spans="1:14" s="83" customFormat="1" ht="12.75">
      <c r="A1042425" s="19"/>
      <c r="B1042425" s="19"/>
      <c r="C1042425" s="19"/>
      <c r="D1042425" s="19"/>
      <c r="E1042425" s="19"/>
      <c r="F1042425" s="19"/>
      <c r="G1042425" s="19"/>
      <c r="H1042425" s="19"/>
      <c r="I1042425" s="19"/>
      <c r="J1042425" s="19"/>
      <c r="K1042425" s="19"/>
      <c r="L1042425" s="19"/>
      <c r="M1042425" s="19"/>
      <c r="N1042425" s="19"/>
    </row>
    <row r="1042426" spans="1:14" s="83" customFormat="1" ht="12.75">
      <c r="A1042426" s="19"/>
      <c r="B1042426" s="19"/>
      <c r="C1042426" s="19"/>
      <c r="D1042426" s="19"/>
      <c r="E1042426" s="19"/>
      <c r="F1042426" s="19"/>
      <c r="G1042426" s="19"/>
      <c r="H1042426" s="19"/>
      <c r="I1042426" s="19"/>
      <c r="J1042426" s="19"/>
      <c r="K1042426" s="19"/>
      <c r="L1042426" s="19"/>
      <c r="M1042426" s="19"/>
      <c r="N1042426" s="19"/>
    </row>
    <row r="1042427" spans="1:14" s="83" customFormat="1" ht="12.75">
      <c r="A1042427" s="19"/>
      <c r="B1042427" s="19"/>
      <c r="C1042427" s="19"/>
      <c r="D1042427" s="19"/>
      <c r="E1042427" s="19"/>
      <c r="F1042427" s="19"/>
      <c r="G1042427" s="19"/>
      <c r="H1042427" s="19"/>
      <c r="I1042427" s="19"/>
      <c r="J1042427" s="19"/>
      <c r="K1042427" s="19"/>
      <c r="L1042427" s="19"/>
      <c r="M1042427" s="19"/>
      <c r="N1042427" s="19"/>
    </row>
    <row r="1042428" spans="1:14" s="83" customFormat="1" ht="12.75">
      <c r="A1042428" s="19"/>
      <c r="B1042428" s="19"/>
      <c r="C1042428" s="19"/>
      <c r="D1042428" s="19"/>
      <c r="E1042428" s="19"/>
      <c r="F1042428" s="19"/>
      <c r="G1042428" s="19"/>
      <c r="H1042428" s="19"/>
      <c r="I1042428" s="19"/>
      <c r="J1042428" s="19"/>
      <c r="K1042428" s="19"/>
      <c r="L1042428" s="19"/>
      <c r="M1042428" s="19"/>
      <c r="N1042428" s="19"/>
    </row>
    <row r="1042429" spans="1:14" s="83" customFormat="1" ht="12.75">
      <c r="A1042429" s="19"/>
      <c r="B1042429" s="19"/>
      <c r="C1042429" s="19"/>
      <c r="D1042429" s="19"/>
      <c r="E1042429" s="19"/>
      <c r="F1042429" s="19"/>
      <c r="G1042429" s="19"/>
      <c r="H1042429" s="19"/>
      <c r="I1042429" s="19"/>
      <c r="J1042429" s="19"/>
      <c r="K1042429" s="19"/>
      <c r="L1042429" s="19"/>
      <c r="M1042429" s="19"/>
      <c r="N1042429" s="19"/>
    </row>
    <row r="1042430" spans="1:14" s="83" customFormat="1" ht="12.75">
      <c r="A1042430" s="19"/>
      <c r="B1042430" s="19"/>
      <c r="C1042430" s="19"/>
      <c r="D1042430" s="19"/>
      <c r="E1042430" s="19"/>
      <c r="F1042430" s="19"/>
      <c r="G1042430" s="19"/>
      <c r="H1042430" s="19"/>
      <c r="I1042430" s="19"/>
      <c r="J1042430" s="19"/>
      <c r="K1042430" s="19"/>
      <c r="L1042430" s="19"/>
      <c r="M1042430" s="19"/>
      <c r="N1042430" s="19"/>
    </row>
    <row r="1042431" spans="1:14" s="83" customFormat="1" ht="12.75">
      <c r="A1042431" s="19"/>
      <c r="B1042431" s="19"/>
      <c r="C1042431" s="19"/>
      <c r="D1042431" s="19"/>
      <c r="E1042431" s="19"/>
      <c r="F1042431" s="19"/>
      <c r="G1042431" s="19"/>
      <c r="H1042431" s="19"/>
      <c r="I1042431" s="19"/>
      <c r="J1042431" s="19"/>
      <c r="K1042431" s="19"/>
      <c r="L1042431" s="19"/>
      <c r="M1042431" s="19"/>
      <c r="N1042431" s="19"/>
    </row>
    <row r="1042432" spans="1:14" s="83" customFormat="1" ht="12.75">
      <c r="A1042432" s="19"/>
      <c r="B1042432" s="19"/>
      <c r="C1042432" s="19"/>
      <c r="D1042432" s="19"/>
      <c r="E1042432" s="19"/>
      <c r="F1042432" s="19"/>
      <c r="G1042432" s="19"/>
      <c r="H1042432" s="19"/>
      <c r="I1042432" s="19"/>
      <c r="J1042432" s="19"/>
      <c r="K1042432" s="19"/>
      <c r="L1042432" s="19"/>
      <c r="M1042432" s="19"/>
      <c r="N1042432" s="19"/>
    </row>
    <row r="1042433" spans="1:14" s="83" customFormat="1" ht="12.75">
      <c r="A1042433" s="19"/>
      <c r="B1042433" s="19"/>
      <c r="C1042433" s="19"/>
      <c r="D1042433" s="19"/>
      <c r="E1042433" s="19"/>
      <c r="F1042433" s="19"/>
      <c r="G1042433" s="19"/>
      <c r="H1042433" s="19"/>
      <c r="I1042433" s="19"/>
      <c r="J1042433" s="19"/>
      <c r="K1042433" s="19"/>
      <c r="L1042433" s="19"/>
      <c r="M1042433" s="19"/>
      <c r="N1042433" s="19"/>
    </row>
    <row r="1042434" spans="1:14" s="83" customFormat="1" ht="12.75">
      <c r="A1042434" s="19"/>
      <c r="B1042434" s="19"/>
      <c r="C1042434" s="19"/>
      <c r="D1042434" s="19"/>
      <c r="E1042434" s="19"/>
      <c r="F1042434" s="19"/>
      <c r="G1042434" s="19"/>
      <c r="H1042434" s="19"/>
      <c r="I1042434" s="19"/>
      <c r="J1042434" s="19"/>
      <c r="K1042434" s="19"/>
      <c r="L1042434" s="19"/>
      <c r="M1042434" s="19"/>
      <c r="N1042434" s="19"/>
    </row>
    <row r="1042435" spans="1:14" s="83" customFormat="1" ht="12.75">
      <c r="A1042435" s="19"/>
      <c r="B1042435" s="19"/>
      <c r="C1042435" s="19"/>
      <c r="D1042435" s="19"/>
      <c r="E1042435" s="19"/>
      <c r="F1042435" s="19"/>
      <c r="G1042435" s="19"/>
      <c r="H1042435" s="19"/>
      <c r="I1042435" s="19"/>
      <c r="J1042435" s="19"/>
      <c r="K1042435" s="19"/>
      <c r="L1042435" s="19"/>
      <c r="M1042435" s="19"/>
      <c r="N1042435" s="19"/>
    </row>
    <row r="1042436" spans="1:14" s="83" customFormat="1" ht="12.75">
      <c r="A1042436" s="19"/>
      <c r="B1042436" s="19"/>
      <c r="C1042436" s="19"/>
      <c r="D1042436" s="19"/>
      <c r="E1042436" s="19"/>
      <c r="F1042436" s="19"/>
      <c r="G1042436" s="19"/>
      <c r="H1042436" s="19"/>
      <c r="I1042436" s="19"/>
      <c r="J1042436" s="19"/>
      <c r="K1042436" s="19"/>
      <c r="L1042436" s="19"/>
      <c r="M1042436" s="19"/>
      <c r="N1042436" s="19"/>
    </row>
    <row r="1042437" spans="1:14" s="83" customFormat="1" ht="12.75">
      <c r="A1042437" s="19"/>
      <c r="B1042437" s="19"/>
      <c r="C1042437" s="19"/>
      <c r="D1042437" s="19"/>
      <c r="E1042437" s="19"/>
      <c r="F1042437" s="19"/>
      <c r="G1042437" s="19"/>
      <c r="H1042437" s="19"/>
      <c r="I1042437" s="19"/>
      <c r="J1042437" s="19"/>
      <c r="K1042437" s="19"/>
      <c r="L1042437" s="19"/>
      <c r="M1042437" s="19"/>
      <c r="N1042437" s="19"/>
    </row>
    <row r="1042438" spans="1:14" s="83" customFormat="1" ht="12.75">
      <c r="A1042438" s="19"/>
      <c r="B1042438" s="19"/>
      <c r="C1042438" s="19"/>
      <c r="D1042438" s="19"/>
      <c r="E1042438" s="19"/>
      <c r="F1042438" s="19"/>
      <c r="G1042438" s="19"/>
      <c r="H1042438" s="19"/>
      <c r="I1042438" s="19"/>
      <c r="J1042438" s="19"/>
      <c r="K1042438" s="19"/>
      <c r="L1042438" s="19"/>
      <c r="M1042438" s="19"/>
      <c r="N1042438" s="19"/>
    </row>
    <row r="1042439" spans="1:14" s="83" customFormat="1" ht="12.75">
      <c r="A1042439" s="19"/>
      <c r="B1042439" s="19"/>
      <c r="C1042439" s="19"/>
      <c r="D1042439" s="19"/>
      <c r="E1042439" s="19"/>
      <c r="F1042439" s="19"/>
      <c r="G1042439" s="19"/>
      <c r="H1042439" s="19"/>
      <c r="I1042439" s="19"/>
      <c r="J1042439" s="19"/>
      <c r="K1042439" s="19"/>
      <c r="L1042439" s="19"/>
      <c r="M1042439" s="19"/>
      <c r="N1042439" s="19"/>
    </row>
    <row r="1042440" spans="1:14" s="83" customFormat="1" ht="12.75">
      <c r="A1042440" s="19"/>
      <c r="B1042440" s="19"/>
      <c r="C1042440" s="19"/>
      <c r="D1042440" s="19"/>
      <c r="E1042440" s="19"/>
      <c r="F1042440" s="19"/>
      <c r="G1042440" s="19"/>
      <c r="H1042440" s="19"/>
      <c r="I1042440" s="19"/>
      <c r="J1042440" s="19"/>
      <c r="K1042440" s="19"/>
      <c r="L1042440" s="19"/>
      <c r="M1042440" s="19"/>
      <c r="N1042440" s="19"/>
    </row>
    <row r="1042441" spans="1:14" s="83" customFormat="1" ht="12.75">
      <c r="A1042441" s="19"/>
      <c r="B1042441" s="19"/>
      <c r="C1042441" s="19"/>
      <c r="D1042441" s="19"/>
      <c r="E1042441" s="19"/>
      <c r="F1042441" s="19"/>
      <c r="G1042441" s="19"/>
      <c r="H1042441" s="19"/>
      <c r="I1042441" s="19"/>
      <c r="J1042441" s="19"/>
      <c r="K1042441" s="19"/>
      <c r="L1042441" s="19"/>
      <c r="M1042441" s="19"/>
      <c r="N1042441" s="19"/>
    </row>
    <row r="1042442" spans="1:14" s="83" customFormat="1" ht="12.75">
      <c r="A1042442" s="19"/>
      <c r="B1042442" s="19"/>
      <c r="C1042442" s="19"/>
      <c r="D1042442" s="19"/>
      <c r="E1042442" s="19"/>
      <c r="F1042442" s="19"/>
      <c r="G1042442" s="19"/>
      <c r="H1042442" s="19"/>
      <c r="I1042442" s="19"/>
      <c r="J1042442" s="19"/>
      <c r="K1042442" s="19"/>
      <c r="L1042442" s="19"/>
      <c r="M1042442" s="19"/>
      <c r="N1042442" s="19"/>
    </row>
    <row r="1042443" spans="1:14" s="83" customFormat="1" ht="12.75">
      <c r="A1042443" s="19"/>
      <c r="B1042443" s="19"/>
      <c r="C1042443" s="19"/>
      <c r="D1042443" s="19"/>
      <c r="E1042443" s="19"/>
      <c r="F1042443" s="19"/>
      <c r="G1042443" s="19"/>
      <c r="H1042443" s="19"/>
      <c r="I1042443" s="19"/>
      <c r="J1042443" s="19"/>
      <c r="K1042443" s="19"/>
      <c r="L1042443" s="19"/>
      <c r="M1042443" s="19"/>
      <c r="N1042443" s="19"/>
    </row>
    <row r="1042444" spans="1:14" s="83" customFormat="1" ht="12.75">
      <c r="A1042444" s="19"/>
      <c r="B1042444" s="19"/>
      <c r="C1042444" s="19"/>
      <c r="D1042444" s="19"/>
      <c r="E1042444" s="19"/>
      <c r="F1042444" s="19"/>
      <c r="G1042444" s="19"/>
      <c r="H1042444" s="19"/>
      <c r="I1042444" s="19"/>
      <c r="J1042444" s="19"/>
      <c r="K1042444" s="19"/>
      <c r="L1042444" s="19"/>
      <c r="M1042444" s="19"/>
      <c r="N1042444" s="19"/>
    </row>
    <row r="1042445" spans="1:14" s="83" customFormat="1" ht="12.75">
      <c r="A1042445" s="19"/>
      <c r="B1042445" s="19"/>
      <c r="C1042445" s="19"/>
      <c r="D1042445" s="19"/>
      <c r="E1042445" s="19"/>
      <c r="F1042445" s="19"/>
      <c r="G1042445" s="19"/>
      <c r="H1042445" s="19"/>
      <c r="I1042445" s="19"/>
      <c r="J1042445" s="19"/>
      <c r="K1042445" s="19"/>
      <c r="L1042445" s="19"/>
      <c r="M1042445" s="19"/>
      <c r="N1042445" s="19"/>
    </row>
    <row r="1042446" spans="1:14" s="83" customFormat="1" ht="12.75">
      <c r="A1042446" s="19"/>
      <c r="B1042446" s="19"/>
      <c r="C1042446" s="19"/>
      <c r="D1042446" s="19"/>
      <c r="E1042446" s="19"/>
      <c r="F1042446" s="19"/>
      <c r="G1042446" s="19"/>
      <c r="H1042446" s="19"/>
      <c r="I1042446" s="19"/>
      <c r="J1042446" s="19"/>
      <c r="K1042446" s="19"/>
      <c r="L1042446" s="19"/>
      <c r="M1042446" s="19"/>
      <c r="N1042446" s="19"/>
    </row>
    <row r="1042447" spans="1:14" s="83" customFormat="1" ht="12.75">
      <c r="A1042447" s="19"/>
      <c r="B1042447" s="19"/>
      <c r="C1042447" s="19"/>
      <c r="D1042447" s="19"/>
      <c r="E1042447" s="19"/>
      <c r="F1042447" s="19"/>
      <c r="G1042447" s="19"/>
      <c r="H1042447" s="19"/>
      <c r="I1042447" s="19"/>
      <c r="J1042447" s="19"/>
      <c r="K1042447" s="19"/>
      <c r="L1042447" s="19"/>
      <c r="M1042447" s="19"/>
      <c r="N1042447" s="19"/>
    </row>
    <row r="1042448" spans="1:14" s="83" customFormat="1" ht="12.75">
      <c r="A1042448" s="19"/>
      <c r="B1042448" s="19"/>
      <c r="C1042448" s="19"/>
      <c r="D1042448" s="19"/>
      <c r="E1042448" s="19"/>
      <c r="F1042448" s="19"/>
      <c r="G1042448" s="19"/>
      <c r="H1042448" s="19"/>
      <c r="I1042448" s="19"/>
      <c r="J1042448" s="19"/>
      <c r="K1042448" s="19"/>
      <c r="L1042448" s="19"/>
      <c r="M1042448" s="19"/>
      <c r="N1042448" s="19"/>
    </row>
    <row r="1042449" spans="1:14" s="83" customFormat="1" ht="12.75">
      <c r="A1042449" s="19"/>
      <c r="B1042449" s="19"/>
      <c r="C1042449" s="19"/>
      <c r="D1042449" s="19"/>
      <c r="E1042449" s="19"/>
      <c r="F1042449" s="19"/>
      <c r="G1042449" s="19"/>
      <c r="H1042449" s="19"/>
      <c r="I1042449" s="19"/>
      <c r="J1042449" s="19"/>
      <c r="K1042449" s="19"/>
      <c r="L1042449" s="19"/>
      <c r="M1042449" s="19"/>
      <c r="N1042449" s="19"/>
    </row>
    <row r="1042450" spans="1:14" s="83" customFormat="1" ht="12.75">
      <c r="A1042450" s="19"/>
      <c r="B1042450" s="19"/>
      <c r="C1042450" s="19"/>
      <c r="D1042450" s="19"/>
      <c r="E1042450" s="19"/>
      <c r="F1042450" s="19"/>
      <c r="G1042450" s="19"/>
      <c r="H1042450" s="19"/>
      <c r="I1042450" s="19"/>
      <c r="J1042450" s="19"/>
      <c r="K1042450" s="19"/>
      <c r="L1042450" s="19"/>
      <c r="M1042450" s="19"/>
      <c r="N1042450" s="19"/>
    </row>
    <row r="1042451" spans="1:14" s="83" customFormat="1" ht="12.75">
      <c r="A1042451" s="19"/>
      <c r="B1042451" s="19"/>
      <c r="C1042451" s="19"/>
      <c r="D1042451" s="19"/>
      <c r="E1042451" s="19"/>
      <c r="F1042451" s="19"/>
      <c r="G1042451" s="19"/>
      <c r="H1042451" s="19"/>
      <c r="I1042451" s="19"/>
      <c r="J1042451" s="19"/>
      <c r="K1042451" s="19"/>
      <c r="L1042451" s="19"/>
      <c r="M1042451" s="19"/>
      <c r="N1042451" s="19"/>
    </row>
    <row r="1042452" spans="1:14" s="83" customFormat="1" ht="12.75">
      <c r="A1042452" s="19"/>
      <c r="B1042452" s="19"/>
      <c r="C1042452" s="19"/>
      <c r="D1042452" s="19"/>
      <c r="E1042452" s="19"/>
      <c r="F1042452" s="19"/>
      <c r="G1042452" s="19"/>
      <c r="H1042452" s="19"/>
      <c r="I1042452" s="19"/>
      <c r="J1042452" s="19"/>
      <c r="K1042452" s="19"/>
      <c r="L1042452" s="19"/>
      <c r="M1042452" s="19"/>
      <c r="N1042452" s="19"/>
    </row>
    <row r="1042453" spans="1:14" s="83" customFormat="1" ht="12.75">
      <c r="A1042453" s="19"/>
      <c r="B1042453" s="19"/>
      <c r="C1042453" s="19"/>
      <c r="D1042453" s="19"/>
      <c r="E1042453" s="19"/>
      <c r="F1042453" s="19"/>
      <c r="G1042453" s="19"/>
      <c r="H1042453" s="19"/>
      <c r="I1042453" s="19"/>
      <c r="J1042453" s="19"/>
      <c r="K1042453" s="19"/>
      <c r="L1042453" s="19"/>
      <c r="M1042453" s="19"/>
      <c r="N1042453" s="19"/>
    </row>
    <row r="1042454" spans="1:14" s="83" customFormat="1" ht="12.75">
      <c r="A1042454" s="19"/>
      <c r="B1042454" s="19"/>
      <c r="C1042454" s="19"/>
      <c r="D1042454" s="19"/>
      <c r="E1042454" s="19"/>
      <c r="F1042454" s="19"/>
      <c r="G1042454" s="19"/>
      <c r="H1042454" s="19"/>
      <c r="I1042454" s="19"/>
      <c r="J1042454" s="19"/>
      <c r="K1042454" s="19"/>
      <c r="L1042454" s="19"/>
      <c r="M1042454" s="19"/>
      <c r="N1042454" s="19"/>
    </row>
    <row r="1042455" spans="1:14" s="83" customFormat="1" ht="12.75">
      <c r="A1042455" s="19"/>
      <c r="B1042455" s="19"/>
      <c r="C1042455" s="19"/>
      <c r="D1042455" s="19"/>
      <c r="E1042455" s="19"/>
      <c r="F1042455" s="19"/>
      <c r="G1042455" s="19"/>
      <c r="H1042455" s="19"/>
      <c r="I1042455" s="19"/>
      <c r="J1042455" s="19"/>
      <c r="K1042455" s="19"/>
      <c r="L1042455" s="19"/>
      <c r="M1042455" s="19"/>
      <c r="N1042455" s="19"/>
    </row>
    <row r="1042456" spans="1:14" s="83" customFormat="1" ht="12.75">
      <c r="A1042456" s="19"/>
      <c r="B1042456" s="19"/>
      <c r="C1042456" s="19"/>
      <c r="D1042456" s="19"/>
      <c r="E1042456" s="19"/>
      <c r="F1042456" s="19"/>
      <c r="G1042456" s="19"/>
      <c r="H1042456" s="19"/>
      <c r="I1042456" s="19"/>
      <c r="J1042456" s="19"/>
      <c r="K1042456" s="19"/>
      <c r="L1042456" s="19"/>
      <c r="M1042456" s="19"/>
      <c r="N1042456" s="19"/>
    </row>
    <row r="1042457" spans="1:14" s="83" customFormat="1" ht="12.75">
      <c r="A1042457" s="19"/>
      <c r="B1042457" s="19"/>
      <c r="C1042457" s="19"/>
      <c r="D1042457" s="19"/>
      <c r="E1042457" s="19"/>
      <c r="F1042457" s="19"/>
      <c r="G1042457" s="19"/>
      <c r="H1042457" s="19"/>
      <c r="I1042457" s="19"/>
      <c r="J1042457" s="19"/>
      <c r="K1042457" s="19"/>
      <c r="L1042457" s="19"/>
      <c r="M1042457" s="19"/>
      <c r="N1042457" s="19"/>
    </row>
    <row r="1042458" spans="1:14" s="83" customFormat="1" ht="12.75">
      <c r="A1042458" s="19"/>
      <c r="B1042458" s="19"/>
      <c r="C1042458" s="19"/>
      <c r="D1042458" s="19"/>
      <c r="E1042458" s="19"/>
      <c r="F1042458" s="19"/>
      <c r="G1042458" s="19"/>
      <c r="H1042458" s="19"/>
      <c r="I1042458" s="19"/>
      <c r="J1042458" s="19"/>
      <c r="K1042458" s="19"/>
      <c r="L1042458" s="19"/>
      <c r="M1042458" s="19"/>
      <c r="N1042458" s="19"/>
    </row>
    <row r="1042459" spans="1:14" s="83" customFormat="1" ht="12.75">
      <c r="A1042459" s="19"/>
      <c r="B1042459" s="19"/>
      <c r="C1042459" s="19"/>
      <c r="D1042459" s="19"/>
      <c r="E1042459" s="19"/>
      <c r="F1042459" s="19"/>
      <c r="G1042459" s="19"/>
      <c r="H1042459" s="19"/>
      <c r="I1042459" s="19"/>
      <c r="J1042459" s="19"/>
      <c r="K1042459" s="19"/>
      <c r="L1042459" s="19"/>
      <c r="M1042459" s="19"/>
      <c r="N1042459" s="19"/>
    </row>
    <row r="1042460" spans="1:14" s="83" customFormat="1" ht="12.75">
      <c r="A1042460" s="19"/>
      <c r="B1042460" s="19"/>
      <c r="C1042460" s="19"/>
      <c r="D1042460" s="19"/>
      <c r="E1042460" s="19"/>
      <c r="F1042460" s="19"/>
      <c r="G1042460" s="19"/>
      <c r="H1042460" s="19"/>
      <c r="I1042460" s="19"/>
      <c r="J1042460" s="19"/>
      <c r="K1042460" s="19"/>
      <c r="L1042460" s="19"/>
      <c r="M1042460" s="19"/>
      <c r="N1042460" s="19"/>
    </row>
    <row r="1042461" spans="1:14" s="83" customFormat="1" ht="12.75">
      <c r="A1042461" s="19"/>
      <c r="B1042461" s="19"/>
      <c r="C1042461" s="19"/>
      <c r="D1042461" s="19"/>
      <c r="E1042461" s="19"/>
      <c r="F1042461" s="19"/>
      <c r="G1042461" s="19"/>
      <c r="H1042461" s="19"/>
      <c r="I1042461" s="19"/>
      <c r="J1042461" s="19"/>
      <c r="K1042461" s="19"/>
      <c r="L1042461" s="19"/>
      <c r="M1042461" s="19"/>
      <c r="N1042461" s="19"/>
    </row>
    <row r="1042462" spans="1:14" s="83" customFormat="1" ht="12.75">
      <c r="A1042462" s="19"/>
      <c r="B1042462" s="19"/>
      <c r="C1042462" s="19"/>
      <c r="D1042462" s="19"/>
      <c r="E1042462" s="19"/>
      <c r="F1042462" s="19"/>
      <c r="G1042462" s="19"/>
      <c r="H1042462" s="19"/>
      <c r="I1042462" s="19"/>
      <c r="J1042462" s="19"/>
      <c r="K1042462" s="19"/>
      <c r="L1042462" s="19"/>
      <c r="M1042462" s="19"/>
      <c r="N1042462" s="19"/>
    </row>
    <row r="1042463" spans="1:14" s="83" customFormat="1" ht="12.75">
      <c r="A1042463" s="19"/>
      <c r="B1042463" s="19"/>
      <c r="C1042463" s="19"/>
      <c r="D1042463" s="19"/>
      <c r="E1042463" s="19"/>
      <c r="F1042463" s="19"/>
      <c r="G1042463" s="19"/>
      <c r="H1042463" s="19"/>
      <c r="I1042463" s="19"/>
      <c r="J1042463" s="19"/>
      <c r="K1042463" s="19"/>
      <c r="L1042463" s="19"/>
      <c r="M1042463" s="19"/>
      <c r="N1042463" s="19"/>
    </row>
    <row r="1042464" spans="1:14" s="83" customFormat="1" ht="12.75">
      <c r="A1042464" s="19"/>
      <c r="B1042464" s="19"/>
      <c r="C1042464" s="19"/>
      <c r="D1042464" s="19"/>
      <c r="E1042464" s="19"/>
      <c r="F1042464" s="19"/>
      <c r="G1042464" s="19"/>
      <c r="H1042464" s="19"/>
      <c r="I1042464" s="19"/>
      <c r="J1042464" s="19"/>
      <c r="K1042464" s="19"/>
      <c r="L1042464" s="19"/>
      <c r="M1042464" s="19"/>
      <c r="N1042464" s="19"/>
    </row>
    <row r="1042465" spans="1:14" s="83" customFormat="1" ht="12.75">
      <c r="A1042465" s="19"/>
      <c r="B1042465" s="19"/>
      <c r="C1042465" s="19"/>
      <c r="D1042465" s="19"/>
      <c r="E1042465" s="19"/>
      <c r="F1042465" s="19"/>
      <c r="G1042465" s="19"/>
      <c r="H1042465" s="19"/>
      <c r="I1042465" s="19"/>
      <c r="J1042465" s="19"/>
      <c r="K1042465" s="19"/>
      <c r="L1042465" s="19"/>
      <c r="M1042465" s="19"/>
      <c r="N1042465" s="19"/>
    </row>
    <row r="1042466" spans="1:14" s="83" customFormat="1" ht="12.75">
      <c r="A1042466" s="19"/>
      <c r="B1042466" s="19"/>
      <c r="C1042466" s="19"/>
      <c r="D1042466" s="19"/>
      <c r="E1042466" s="19"/>
      <c r="F1042466" s="19"/>
      <c r="G1042466" s="19"/>
      <c r="H1042466" s="19"/>
      <c r="I1042466" s="19"/>
      <c r="J1042466" s="19"/>
      <c r="K1042466" s="19"/>
      <c r="L1042466" s="19"/>
      <c r="M1042466" s="19"/>
      <c r="N1042466" s="19"/>
    </row>
    <row r="1042467" spans="1:14" s="83" customFormat="1" ht="12.75">
      <c r="A1042467" s="19"/>
      <c r="B1042467" s="19"/>
      <c r="C1042467" s="19"/>
      <c r="D1042467" s="19"/>
      <c r="E1042467" s="19"/>
      <c r="F1042467" s="19"/>
      <c r="G1042467" s="19"/>
      <c r="H1042467" s="19"/>
      <c r="I1042467" s="19"/>
      <c r="J1042467" s="19"/>
      <c r="K1042467" s="19"/>
      <c r="L1042467" s="19"/>
      <c r="M1042467" s="19"/>
      <c r="N1042467" s="19"/>
    </row>
    <row r="1042468" spans="1:14" s="83" customFormat="1" ht="12.75">
      <c r="A1042468" s="19"/>
      <c r="B1042468" s="19"/>
      <c r="C1042468" s="19"/>
      <c r="D1042468" s="19"/>
      <c r="E1042468" s="19"/>
      <c r="F1042468" s="19"/>
      <c r="G1042468" s="19"/>
      <c r="H1042468" s="19"/>
      <c r="I1042468" s="19"/>
      <c r="J1042468" s="19"/>
      <c r="K1042468" s="19"/>
      <c r="L1042468" s="19"/>
      <c r="M1042468" s="19"/>
      <c r="N1042468" s="19"/>
    </row>
    <row r="1042469" spans="1:14" s="83" customFormat="1" ht="12.75">
      <c r="A1042469" s="19"/>
      <c r="B1042469" s="19"/>
      <c r="C1042469" s="19"/>
      <c r="D1042469" s="19"/>
      <c r="E1042469" s="19"/>
      <c r="F1042469" s="19"/>
      <c r="G1042469" s="19"/>
      <c r="H1042469" s="19"/>
      <c r="I1042469" s="19"/>
      <c r="J1042469" s="19"/>
      <c r="K1042469" s="19"/>
      <c r="L1042469" s="19"/>
      <c r="M1042469" s="19"/>
      <c r="N1042469" s="19"/>
    </row>
    <row r="1042470" spans="1:14" s="83" customFormat="1" ht="12.75">
      <c r="A1042470" s="19"/>
      <c r="B1042470" s="19"/>
      <c r="C1042470" s="19"/>
      <c r="D1042470" s="19"/>
      <c r="E1042470" s="19"/>
      <c r="F1042470" s="19"/>
      <c r="G1042470" s="19"/>
      <c r="H1042470" s="19"/>
      <c r="I1042470" s="19"/>
      <c r="J1042470" s="19"/>
      <c r="K1042470" s="19"/>
      <c r="L1042470" s="19"/>
      <c r="M1042470" s="19"/>
      <c r="N1042470" s="19"/>
    </row>
    <row r="1042471" spans="1:14" s="83" customFormat="1" ht="12.75">
      <c r="A1042471" s="19"/>
      <c r="B1042471" s="19"/>
      <c r="C1042471" s="19"/>
      <c r="D1042471" s="19"/>
      <c r="E1042471" s="19"/>
      <c r="F1042471" s="19"/>
      <c r="G1042471" s="19"/>
      <c r="H1042471" s="19"/>
      <c r="I1042471" s="19"/>
      <c r="J1042471" s="19"/>
      <c r="K1042471" s="19"/>
      <c r="L1042471" s="19"/>
      <c r="M1042471" s="19"/>
      <c r="N1042471" s="19"/>
    </row>
    <row r="1042472" spans="1:14" s="83" customFormat="1" ht="12.75">
      <c r="A1042472" s="19"/>
      <c r="B1042472" s="19"/>
      <c r="C1042472" s="19"/>
      <c r="D1042472" s="19"/>
      <c r="E1042472" s="19"/>
      <c r="F1042472" s="19"/>
      <c r="G1042472" s="19"/>
      <c r="H1042472" s="19"/>
      <c r="I1042472" s="19"/>
      <c r="J1042472" s="19"/>
      <c r="K1042472" s="19"/>
      <c r="L1042472" s="19"/>
      <c r="M1042472" s="19"/>
      <c r="N1042472" s="19"/>
    </row>
    <row r="1042473" spans="1:14" s="83" customFormat="1" ht="12.75">
      <c r="A1042473" s="19"/>
      <c r="B1042473" s="19"/>
      <c r="C1042473" s="19"/>
      <c r="D1042473" s="19"/>
      <c r="E1042473" s="19"/>
      <c r="F1042473" s="19"/>
      <c r="G1042473" s="19"/>
      <c r="H1042473" s="19"/>
      <c r="I1042473" s="19"/>
      <c r="J1042473" s="19"/>
      <c r="K1042473" s="19"/>
      <c r="L1042473" s="19"/>
      <c r="M1042473" s="19"/>
      <c r="N1042473" s="19"/>
    </row>
    <row r="1042474" spans="1:14" s="83" customFormat="1" ht="12.75">
      <c r="A1042474" s="19"/>
      <c r="B1042474" s="19"/>
      <c r="C1042474" s="19"/>
      <c r="D1042474" s="19"/>
      <c r="E1042474" s="19"/>
      <c r="F1042474" s="19"/>
      <c r="G1042474" s="19"/>
      <c r="H1042474" s="19"/>
      <c r="I1042474" s="19"/>
      <c r="J1042474" s="19"/>
      <c r="K1042474" s="19"/>
      <c r="L1042474" s="19"/>
      <c r="M1042474" s="19"/>
      <c r="N1042474" s="19"/>
    </row>
    <row r="1042475" spans="1:14" s="83" customFormat="1" ht="12.75">
      <c r="A1042475" s="19"/>
      <c r="B1042475" s="19"/>
      <c r="C1042475" s="19"/>
      <c r="D1042475" s="19"/>
      <c r="E1042475" s="19"/>
      <c r="F1042475" s="19"/>
      <c r="G1042475" s="19"/>
      <c r="H1042475" s="19"/>
      <c r="I1042475" s="19"/>
      <c r="J1042475" s="19"/>
      <c r="K1042475" s="19"/>
      <c r="L1042475" s="19"/>
      <c r="M1042475" s="19"/>
      <c r="N1042475" s="19"/>
    </row>
    <row r="1042476" spans="1:14" s="83" customFormat="1" ht="12.75">
      <c r="A1042476" s="19"/>
      <c r="B1042476" s="19"/>
      <c r="C1042476" s="19"/>
      <c r="D1042476" s="19"/>
      <c r="E1042476" s="19"/>
      <c r="F1042476" s="19"/>
      <c r="G1042476" s="19"/>
      <c r="H1042476" s="19"/>
      <c r="I1042476" s="19"/>
      <c r="J1042476" s="19"/>
      <c r="K1042476" s="19"/>
      <c r="L1042476" s="19"/>
      <c r="M1042476" s="19"/>
      <c r="N1042476" s="19"/>
    </row>
    <row r="1042477" spans="1:14" s="83" customFormat="1" ht="12.75">
      <c r="A1042477" s="19"/>
      <c r="B1042477" s="19"/>
      <c r="C1042477" s="19"/>
      <c r="D1042477" s="19"/>
      <c r="E1042477" s="19"/>
      <c r="F1042477" s="19"/>
      <c r="G1042477" s="19"/>
      <c r="H1042477" s="19"/>
      <c r="I1042477" s="19"/>
      <c r="J1042477" s="19"/>
      <c r="K1042477" s="19"/>
      <c r="L1042477" s="19"/>
      <c r="M1042477" s="19"/>
      <c r="N1042477" s="19"/>
    </row>
    <row r="1042478" spans="1:14" s="83" customFormat="1" ht="12.75">
      <c r="A1042478" s="19"/>
      <c r="B1042478" s="19"/>
      <c r="C1042478" s="19"/>
      <c r="D1042478" s="19"/>
      <c r="E1042478" s="19"/>
      <c r="F1042478" s="19"/>
      <c r="G1042478" s="19"/>
      <c r="H1042478" s="19"/>
      <c r="I1042478" s="19"/>
      <c r="J1042478" s="19"/>
      <c r="K1042478" s="19"/>
      <c r="L1042478" s="19"/>
      <c r="M1042478" s="19"/>
      <c r="N1042478" s="19"/>
    </row>
    <row r="1042479" spans="1:14" s="83" customFormat="1" ht="12.75">
      <c r="A1042479" s="19"/>
      <c r="B1042479" s="19"/>
      <c r="C1042479" s="19"/>
      <c r="D1042479" s="19"/>
      <c r="E1042479" s="19"/>
      <c r="F1042479" s="19"/>
      <c r="G1042479" s="19"/>
      <c r="H1042479" s="19"/>
      <c r="I1042479" s="19"/>
      <c r="J1042479" s="19"/>
      <c r="K1042479" s="19"/>
      <c r="L1042479" s="19"/>
      <c r="M1042479" s="19"/>
      <c r="N1042479" s="19"/>
    </row>
    <row r="1042480" spans="1:14" s="83" customFormat="1" ht="12.75">
      <c r="A1042480" s="19"/>
      <c r="B1042480" s="19"/>
      <c r="C1042480" s="19"/>
      <c r="D1042480" s="19"/>
      <c r="E1042480" s="19"/>
      <c r="F1042480" s="19"/>
      <c r="G1042480" s="19"/>
      <c r="H1042480" s="19"/>
      <c r="I1042480" s="19"/>
      <c r="J1042480" s="19"/>
      <c r="K1042480" s="19"/>
      <c r="L1042480" s="19"/>
      <c r="M1042480" s="19"/>
      <c r="N1042480" s="19"/>
    </row>
    <row r="1042481" spans="1:14" s="83" customFormat="1" ht="12.75">
      <c r="A1042481" s="19"/>
      <c r="B1042481" s="19"/>
      <c r="C1042481" s="19"/>
      <c r="D1042481" s="19"/>
      <c r="E1042481" s="19"/>
      <c r="F1042481" s="19"/>
      <c r="G1042481" s="19"/>
      <c r="H1042481" s="19"/>
      <c r="I1042481" s="19"/>
      <c r="J1042481" s="19"/>
      <c r="K1042481" s="19"/>
      <c r="L1042481" s="19"/>
      <c r="M1042481" s="19"/>
      <c r="N1042481" s="19"/>
    </row>
    <row r="1042482" spans="1:14" s="83" customFormat="1" ht="12.75">
      <c r="A1042482" s="19"/>
      <c r="B1042482" s="19"/>
      <c r="C1042482" s="19"/>
      <c r="D1042482" s="19"/>
      <c r="E1042482" s="19"/>
      <c r="F1042482" s="19"/>
      <c r="G1042482" s="19"/>
      <c r="H1042482" s="19"/>
      <c r="I1042482" s="19"/>
      <c r="J1042482" s="19"/>
      <c r="K1042482" s="19"/>
      <c r="L1042482" s="19"/>
      <c r="M1042482" s="19"/>
      <c r="N1042482" s="19"/>
    </row>
    <row r="1042483" spans="1:14" s="83" customFormat="1" ht="12.75">
      <c r="A1042483" s="19"/>
      <c r="B1042483" s="19"/>
      <c r="C1042483" s="19"/>
      <c r="D1042483" s="19"/>
      <c r="E1042483" s="19"/>
      <c r="F1042483" s="19"/>
      <c r="G1042483" s="19"/>
      <c r="H1042483" s="19"/>
      <c r="I1042483" s="19"/>
      <c r="J1042483" s="19"/>
      <c r="K1042483" s="19"/>
      <c r="L1042483" s="19"/>
      <c r="M1042483" s="19"/>
      <c r="N1042483" s="19"/>
    </row>
    <row r="1042484" spans="1:14" s="83" customFormat="1" ht="12.75">
      <c r="A1042484" s="19"/>
      <c r="B1042484" s="19"/>
      <c r="C1042484" s="19"/>
      <c r="D1042484" s="19"/>
      <c r="E1042484" s="19"/>
      <c r="F1042484" s="19"/>
      <c r="G1042484" s="19"/>
      <c r="H1042484" s="19"/>
      <c r="I1042484" s="19"/>
      <c r="J1042484" s="19"/>
      <c r="K1042484" s="19"/>
      <c r="L1042484" s="19"/>
      <c r="M1042484" s="19"/>
      <c r="N1042484" s="19"/>
    </row>
    <row r="1042485" spans="1:14" s="83" customFormat="1" ht="12.75">
      <c r="A1042485" s="19"/>
      <c r="B1042485" s="19"/>
      <c r="C1042485" s="19"/>
      <c r="D1042485" s="19"/>
      <c r="E1042485" s="19"/>
      <c r="F1042485" s="19"/>
      <c r="G1042485" s="19"/>
      <c r="H1042485" s="19"/>
      <c r="I1042485" s="19"/>
      <c r="J1042485" s="19"/>
      <c r="K1042485" s="19"/>
      <c r="L1042485" s="19"/>
      <c r="M1042485" s="19"/>
      <c r="N1042485" s="19"/>
    </row>
    <row r="1042486" spans="1:14" s="83" customFormat="1" ht="12.75">
      <c r="A1042486" s="19"/>
      <c r="B1042486" s="19"/>
      <c r="C1042486" s="19"/>
      <c r="D1042486" s="19"/>
      <c r="E1042486" s="19"/>
      <c r="F1042486" s="19"/>
      <c r="G1042486" s="19"/>
      <c r="H1042486" s="19"/>
      <c r="I1042486" s="19"/>
      <c r="J1042486" s="19"/>
      <c r="K1042486" s="19"/>
      <c r="L1042486" s="19"/>
      <c r="M1042486" s="19"/>
      <c r="N1042486" s="19"/>
    </row>
    <row r="1042487" spans="1:14" s="83" customFormat="1" ht="12.75">
      <c r="A1042487" s="19"/>
      <c r="B1042487" s="19"/>
      <c r="C1042487" s="19"/>
      <c r="D1042487" s="19"/>
      <c r="E1042487" s="19"/>
      <c r="F1042487" s="19"/>
      <c r="G1042487" s="19"/>
      <c r="H1042487" s="19"/>
      <c r="I1042487" s="19"/>
      <c r="J1042487" s="19"/>
      <c r="K1042487" s="19"/>
      <c r="L1042487" s="19"/>
      <c r="M1042487" s="19"/>
      <c r="N1042487" s="19"/>
    </row>
    <row r="1042488" spans="1:14" s="83" customFormat="1" ht="12.75">
      <c r="A1042488" s="19"/>
      <c r="B1042488" s="19"/>
      <c r="C1042488" s="19"/>
      <c r="D1042488" s="19"/>
      <c r="E1042488" s="19"/>
      <c r="F1042488" s="19"/>
      <c r="G1042488" s="19"/>
      <c r="H1042488" s="19"/>
      <c r="I1042488" s="19"/>
      <c r="J1042488" s="19"/>
      <c r="K1042488" s="19"/>
      <c r="L1042488" s="19"/>
      <c r="M1042488" s="19"/>
      <c r="N1042488" s="19"/>
    </row>
    <row r="1042489" spans="1:14" s="83" customFormat="1" ht="12.75">
      <c r="A1042489" s="19"/>
      <c r="B1042489" s="19"/>
      <c r="C1042489" s="19"/>
      <c r="D1042489" s="19"/>
      <c r="E1042489" s="19"/>
      <c r="F1042489" s="19"/>
      <c r="G1042489" s="19"/>
      <c r="H1042489" s="19"/>
      <c r="I1042489" s="19"/>
      <c r="J1042489" s="19"/>
      <c r="K1042489" s="19"/>
      <c r="L1042489" s="19"/>
      <c r="M1042489" s="19"/>
      <c r="N1042489" s="19"/>
    </row>
    <row r="1042490" spans="1:14" s="83" customFormat="1" ht="12.75">
      <c r="A1042490" s="19"/>
      <c r="B1042490" s="19"/>
      <c r="C1042490" s="19"/>
      <c r="D1042490" s="19"/>
      <c r="E1042490" s="19"/>
      <c r="F1042490" s="19"/>
      <c r="G1042490" s="19"/>
      <c r="H1042490" s="19"/>
      <c r="I1042490" s="19"/>
      <c r="J1042490" s="19"/>
      <c r="K1042490" s="19"/>
      <c r="L1042490" s="19"/>
      <c r="M1042490" s="19"/>
      <c r="N1042490" s="19"/>
    </row>
    <row r="1042491" spans="1:14" s="83" customFormat="1" ht="12.75">
      <c r="A1042491" s="19"/>
      <c r="B1042491" s="19"/>
      <c r="C1042491" s="19"/>
      <c r="D1042491" s="19"/>
      <c r="E1042491" s="19"/>
      <c r="F1042491" s="19"/>
      <c r="G1042491" s="19"/>
      <c r="H1042491" s="19"/>
      <c r="I1042491" s="19"/>
      <c r="J1042491" s="19"/>
      <c r="K1042491" s="19"/>
      <c r="L1042491" s="19"/>
      <c r="M1042491" s="19"/>
      <c r="N1042491" s="19"/>
    </row>
    <row r="1042492" spans="1:14" s="83" customFormat="1" ht="12.75">
      <c r="A1042492" s="19"/>
      <c r="B1042492" s="19"/>
      <c r="C1042492" s="19"/>
      <c r="D1042492" s="19"/>
      <c r="E1042492" s="19"/>
      <c r="F1042492" s="19"/>
      <c r="G1042492" s="19"/>
      <c r="H1042492" s="19"/>
      <c r="I1042492" s="19"/>
      <c r="J1042492" s="19"/>
      <c r="K1042492" s="19"/>
      <c r="L1042492" s="19"/>
      <c r="M1042492" s="19"/>
      <c r="N1042492" s="19"/>
    </row>
    <row r="1042493" spans="1:14" s="83" customFormat="1" ht="12.75">
      <c r="A1042493" s="19"/>
      <c r="B1042493" s="19"/>
      <c r="C1042493" s="19"/>
      <c r="D1042493" s="19"/>
      <c r="E1042493" s="19"/>
      <c r="F1042493" s="19"/>
      <c r="G1042493" s="19"/>
      <c r="H1042493" s="19"/>
      <c r="I1042493" s="19"/>
      <c r="J1042493" s="19"/>
      <c r="K1042493" s="19"/>
      <c r="L1042493" s="19"/>
      <c r="M1042493" s="19"/>
      <c r="N1042493" s="19"/>
    </row>
    <row r="1042494" spans="1:14" s="83" customFormat="1" ht="12.75">
      <c r="A1042494" s="19"/>
      <c r="B1042494" s="19"/>
      <c r="C1042494" s="19"/>
      <c r="D1042494" s="19"/>
      <c r="E1042494" s="19"/>
      <c r="F1042494" s="19"/>
      <c r="G1042494" s="19"/>
      <c r="H1042494" s="19"/>
      <c r="I1042494" s="19"/>
      <c r="J1042494" s="19"/>
      <c r="K1042494" s="19"/>
      <c r="L1042494" s="19"/>
      <c r="M1042494" s="19"/>
      <c r="N1042494" s="19"/>
    </row>
    <row r="1042495" spans="1:14" s="83" customFormat="1" ht="12.75">
      <c r="A1042495" s="19"/>
      <c r="B1042495" s="19"/>
      <c r="C1042495" s="19"/>
      <c r="D1042495" s="19"/>
      <c r="E1042495" s="19"/>
      <c r="F1042495" s="19"/>
      <c r="G1042495" s="19"/>
      <c r="H1042495" s="19"/>
      <c r="I1042495" s="19"/>
      <c r="J1042495" s="19"/>
      <c r="K1042495" s="19"/>
      <c r="L1042495" s="19"/>
      <c r="M1042495" s="19"/>
      <c r="N1042495" s="19"/>
    </row>
    <row r="1042496" spans="1:14" s="83" customFormat="1" ht="12.75">
      <c r="A1042496" s="19"/>
      <c r="B1042496" s="19"/>
      <c r="C1042496" s="19"/>
      <c r="D1042496" s="19"/>
      <c r="E1042496" s="19"/>
      <c r="F1042496" s="19"/>
      <c r="G1042496" s="19"/>
      <c r="H1042496" s="19"/>
      <c r="I1042496" s="19"/>
      <c r="J1042496" s="19"/>
      <c r="K1042496" s="19"/>
      <c r="L1042496" s="19"/>
      <c r="M1042496" s="19"/>
      <c r="N1042496" s="19"/>
    </row>
    <row r="1042497" spans="1:14" s="83" customFormat="1" ht="12.75">
      <c r="A1042497" s="19"/>
      <c r="B1042497" s="19"/>
      <c r="C1042497" s="19"/>
      <c r="D1042497" s="19"/>
      <c r="E1042497" s="19"/>
      <c r="F1042497" s="19"/>
      <c r="G1042497" s="19"/>
      <c r="H1042497" s="19"/>
      <c r="I1042497" s="19"/>
      <c r="J1042497" s="19"/>
      <c r="K1042497" s="19"/>
      <c r="L1042497" s="19"/>
      <c r="M1042497" s="19"/>
      <c r="N1042497" s="19"/>
    </row>
    <row r="1042498" spans="1:14" s="83" customFormat="1" ht="12.75">
      <c r="A1042498" s="19"/>
      <c r="B1042498" s="19"/>
      <c r="C1042498" s="19"/>
      <c r="D1042498" s="19"/>
      <c r="E1042498" s="19"/>
      <c r="F1042498" s="19"/>
      <c r="G1042498" s="19"/>
      <c r="H1042498" s="19"/>
      <c r="I1042498" s="19"/>
      <c r="J1042498" s="19"/>
      <c r="K1042498" s="19"/>
      <c r="L1042498" s="19"/>
      <c r="M1042498" s="19"/>
      <c r="N1042498" s="19"/>
    </row>
    <row r="1042499" spans="1:14" s="83" customFormat="1" ht="12.75">
      <c r="A1042499" s="19"/>
      <c r="B1042499" s="19"/>
      <c r="C1042499" s="19"/>
      <c r="D1042499" s="19"/>
      <c r="E1042499" s="19"/>
      <c r="F1042499" s="19"/>
      <c r="G1042499" s="19"/>
      <c r="H1042499" s="19"/>
      <c r="I1042499" s="19"/>
      <c r="J1042499" s="19"/>
      <c r="K1042499" s="19"/>
      <c r="L1042499" s="19"/>
      <c r="M1042499" s="19"/>
      <c r="N1042499" s="19"/>
    </row>
    <row r="1042500" spans="1:14" s="83" customFormat="1" ht="12.75">
      <c r="A1042500" s="19"/>
      <c r="B1042500" s="19"/>
      <c r="C1042500" s="19"/>
      <c r="D1042500" s="19"/>
      <c r="E1042500" s="19"/>
      <c r="F1042500" s="19"/>
      <c r="G1042500" s="19"/>
      <c r="H1042500" s="19"/>
      <c r="I1042500" s="19"/>
      <c r="J1042500" s="19"/>
      <c r="K1042500" s="19"/>
      <c r="L1042500" s="19"/>
      <c r="M1042500" s="19"/>
      <c r="N1042500" s="19"/>
    </row>
    <row r="1042501" spans="1:14" s="83" customFormat="1" ht="12.75">
      <c r="A1042501" s="19"/>
      <c r="B1042501" s="19"/>
      <c r="C1042501" s="19"/>
      <c r="D1042501" s="19"/>
      <c r="E1042501" s="19"/>
      <c r="F1042501" s="19"/>
      <c r="G1042501" s="19"/>
      <c r="H1042501" s="19"/>
      <c r="I1042501" s="19"/>
      <c r="J1042501" s="19"/>
      <c r="K1042501" s="19"/>
      <c r="L1042501" s="19"/>
      <c r="M1042501" s="19"/>
      <c r="N1042501" s="19"/>
    </row>
    <row r="1042502" spans="1:14" s="83" customFormat="1" ht="12.75">
      <c r="A1042502" s="19"/>
      <c r="B1042502" s="19"/>
      <c r="C1042502" s="19"/>
      <c r="D1042502" s="19"/>
      <c r="E1042502" s="19"/>
      <c r="F1042502" s="19"/>
      <c r="G1042502" s="19"/>
      <c r="H1042502" s="19"/>
      <c r="I1042502" s="19"/>
      <c r="J1042502" s="19"/>
      <c r="K1042502" s="19"/>
      <c r="L1042502" s="19"/>
      <c r="M1042502" s="19"/>
      <c r="N1042502" s="19"/>
    </row>
    <row r="1042503" spans="1:14" s="83" customFormat="1" ht="12.75">
      <c r="A1042503" s="19"/>
      <c r="B1042503" s="19"/>
      <c r="C1042503" s="19"/>
      <c r="D1042503" s="19"/>
      <c r="E1042503" s="19"/>
      <c r="F1042503" s="19"/>
      <c r="G1042503" s="19"/>
      <c r="H1042503" s="19"/>
      <c r="I1042503" s="19"/>
      <c r="J1042503" s="19"/>
      <c r="K1042503" s="19"/>
      <c r="L1042503" s="19"/>
      <c r="M1042503" s="19"/>
      <c r="N1042503" s="19"/>
    </row>
    <row r="1042504" spans="1:14" s="83" customFormat="1" ht="12.75">
      <c r="A1042504" s="19"/>
      <c r="B1042504" s="19"/>
      <c r="C1042504" s="19"/>
      <c r="D1042504" s="19"/>
      <c r="E1042504" s="19"/>
      <c r="F1042504" s="19"/>
      <c r="G1042504" s="19"/>
      <c r="H1042504" s="19"/>
      <c r="I1042504" s="19"/>
      <c r="J1042504" s="19"/>
      <c r="K1042504" s="19"/>
      <c r="L1042504" s="19"/>
      <c r="M1042504" s="19"/>
      <c r="N1042504" s="19"/>
    </row>
    <row r="1042505" spans="1:14" s="83" customFormat="1" ht="12.75">
      <c r="A1042505" s="19"/>
      <c r="B1042505" s="19"/>
      <c r="C1042505" s="19"/>
      <c r="D1042505" s="19"/>
      <c r="E1042505" s="19"/>
      <c r="F1042505" s="19"/>
      <c r="G1042505" s="19"/>
      <c r="H1042505" s="19"/>
      <c r="I1042505" s="19"/>
      <c r="J1042505" s="19"/>
      <c r="K1042505" s="19"/>
      <c r="L1042505" s="19"/>
      <c r="M1042505" s="19"/>
      <c r="N1042505" s="19"/>
    </row>
    <row r="1042506" spans="1:14" s="83" customFormat="1" ht="12.75">
      <c r="A1042506" s="19"/>
      <c r="B1042506" s="19"/>
      <c r="C1042506" s="19"/>
      <c r="D1042506" s="19"/>
      <c r="E1042506" s="19"/>
      <c r="F1042506" s="19"/>
      <c r="G1042506" s="19"/>
      <c r="H1042506" s="19"/>
      <c r="I1042506" s="19"/>
      <c r="J1042506" s="19"/>
      <c r="K1042506" s="19"/>
      <c r="L1042506" s="19"/>
      <c r="M1042506" s="19"/>
      <c r="N1042506" s="19"/>
    </row>
    <row r="1042507" spans="1:14" s="83" customFormat="1" ht="12.75">
      <c r="A1042507" s="19"/>
      <c r="B1042507" s="19"/>
      <c r="C1042507" s="19"/>
      <c r="D1042507" s="19"/>
      <c r="E1042507" s="19"/>
      <c r="F1042507" s="19"/>
      <c r="G1042507" s="19"/>
      <c r="H1042507" s="19"/>
      <c r="I1042507" s="19"/>
      <c r="J1042507" s="19"/>
      <c r="K1042507" s="19"/>
      <c r="L1042507" s="19"/>
      <c r="M1042507" s="19"/>
      <c r="N1042507" s="19"/>
    </row>
    <row r="1042508" spans="1:14" s="83" customFormat="1" ht="12.75">
      <c r="A1042508" s="19"/>
      <c r="B1042508" s="19"/>
      <c r="C1042508" s="19"/>
      <c r="D1042508" s="19"/>
      <c r="E1042508" s="19"/>
      <c r="F1042508" s="19"/>
      <c r="G1042508" s="19"/>
      <c r="H1042508" s="19"/>
      <c r="I1042508" s="19"/>
      <c r="J1042508" s="19"/>
      <c r="K1042508" s="19"/>
      <c r="L1042508" s="19"/>
      <c r="M1042508" s="19"/>
      <c r="N1042508" s="19"/>
    </row>
    <row r="1042509" spans="1:14" s="83" customFormat="1" ht="12.75">
      <c r="A1042509" s="19"/>
      <c r="B1042509" s="19"/>
      <c r="C1042509" s="19"/>
      <c r="D1042509" s="19"/>
      <c r="E1042509" s="19"/>
      <c r="F1042509" s="19"/>
      <c r="G1042509" s="19"/>
      <c r="H1042509" s="19"/>
      <c r="I1042509" s="19"/>
      <c r="J1042509" s="19"/>
      <c r="K1042509" s="19"/>
      <c r="L1042509" s="19"/>
      <c r="M1042509" s="19"/>
      <c r="N1042509" s="19"/>
    </row>
    <row r="1042510" spans="1:14" s="83" customFormat="1" ht="12.75">
      <c r="A1042510" s="19"/>
      <c r="B1042510" s="19"/>
      <c r="C1042510" s="19"/>
      <c r="D1042510" s="19"/>
      <c r="E1042510" s="19"/>
      <c r="F1042510" s="19"/>
      <c r="G1042510" s="19"/>
      <c r="H1042510" s="19"/>
      <c r="I1042510" s="19"/>
      <c r="J1042510" s="19"/>
      <c r="K1042510" s="19"/>
      <c r="L1042510" s="19"/>
      <c r="M1042510" s="19"/>
      <c r="N1042510" s="19"/>
    </row>
    <row r="1042511" spans="1:14" s="83" customFormat="1" ht="12.75">
      <c r="A1042511" s="19"/>
      <c r="B1042511" s="19"/>
      <c r="C1042511" s="19"/>
      <c r="D1042511" s="19"/>
      <c r="E1042511" s="19"/>
      <c r="F1042511" s="19"/>
      <c r="G1042511" s="19"/>
      <c r="H1042511" s="19"/>
      <c r="I1042511" s="19"/>
      <c r="J1042511" s="19"/>
      <c r="K1042511" s="19"/>
      <c r="L1042511" s="19"/>
      <c r="M1042511" s="19"/>
      <c r="N1042511" s="19"/>
    </row>
    <row r="1042512" spans="1:14" s="83" customFormat="1" ht="12.75">
      <c r="A1042512" s="19"/>
      <c r="B1042512" s="19"/>
      <c r="C1042512" s="19"/>
      <c r="D1042512" s="19"/>
      <c r="E1042512" s="19"/>
      <c r="F1042512" s="19"/>
      <c r="G1042512" s="19"/>
      <c r="H1042512" s="19"/>
      <c r="I1042512" s="19"/>
      <c r="J1042512" s="19"/>
      <c r="K1042512" s="19"/>
      <c r="L1042512" s="19"/>
      <c r="M1042512" s="19"/>
      <c r="N1042512" s="19"/>
    </row>
    <row r="1042513" spans="1:14" s="83" customFormat="1" ht="12.75">
      <c r="A1042513" s="19"/>
      <c r="B1042513" s="19"/>
      <c r="C1042513" s="19"/>
      <c r="D1042513" s="19"/>
      <c r="E1042513" s="19"/>
      <c r="F1042513" s="19"/>
      <c r="G1042513" s="19"/>
      <c r="H1042513" s="19"/>
      <c r="I1042513" s="19"/>
      <c r="J1042513" s="19"/>
      <c r="K1042513" s="19"/>
      <c r="L1042513" s="19"/>
      <c r="M1042513" s="19"/>
      <c r="N1042513" s="19"/>
    </row>
    <row r="1042514" spans="1:14" s="83" customFormat="1" ht="12.75">
      <c r="A1042514" s="19"/>
      <c r="B1042514" s="19"/>
      <c r="C1042514" s="19"/>
      <c r="D1042514" s="19"/>
      <c r="E1042514" s="19"/>
      <c r="F1042514" s="19"/>
      <c r="G1042514" s="19"/>
      <c r="H1042514" s="19"/>
      <c r="I1042514" s="19"/>
      <c r="J1042514" s="19"/>
      <c r="K1042514" s="19"/>
      <c r="L1042514" s="19"/>
      <c r="M1042514" s="19"/>
      <c r="N1042514" s="19"/>
    </row>
    <row r="1042515" spans="1:14" s="83" customFormat="1" ht="12.75">
      <c r="A1042515" s="19"/>
      <c r="B1042515" s="19"/>
      <c r="C1042515" s="19"/>
      <c r="D1042515" s="19"/>
      <c r="E1042515" s="19"/>
      <c r="F1042515" s="19"/>
      <c r="G1042515" s="19"/>
      <c r="H1042515" s="19"/>
      <c r="I1042515" s="19"/>
      <c r="J1042515" s="19"/>
      <c r="K1042515" s="19"/>
      <c r="L1042515" s="19"/>
      <c r="M1042515" s="19"/>
      <c r="N1042515" s="19"/>
    </row>
    <row r="1042516" spans="1:14" s="83" customFormat="1" ht="12.75">
      <c r="A1042516" s="19"/>
      <c r="B1042516" s="19"/>
      <c r="C1042516" s="19"/>
      <c r="D1042516" s="19"/>
      <c r="E1042516" s="19"/>
      <c r="F1042516" s="19"/>
      <c r="G1042516" s="19"/>
      <c r="H1042516" s="19"/>
      <c r="I1042516" s="19"/>
      <c r="J1042516" s="19"/>
      <c r="K1042516" s="19"/>
      <c r="L1042516" s="19"/>
      <c r="M1042516" s="19"/>
      <c r="N1042516" s="19"/>
    </row>
    <row r="1042517" spans="1:14" s="83" customFormat="1" ht="12.75">
      <c r="A1042517" s="19"/>
      <c r="B1042517" s="19"/>
      <c r="C1042517" s="19"/>
      <c r="D1042517" s="19"/>
      <c r="E1042517" s="19"/>
      <c r="F1042517" s="19"/>
      <c r="G1042517" s="19"/>
      <c r="H1042517" s="19"/>
      <c r="I1042517" s="19"/>
      <c r="J1042517" s="19"/>
      <c r="K1042517" s="19"/>
      <c r="L1042517" s="19"/>
      <c r="M1042517" s="19"/>
      <c r="N1042517" s="19"/>
    </row>
    <row r="1042518" spans="1:14" s="83" customFormat="1" ht="12.75">
      <c r="A1042518" s="19"/>
      <c r="B1042518" s="19"/>
      <c r="C1042518" s="19"/>
      <c r="D1042518" s="19"/>
      <c r="E1042518" s="19"/>
      <c r="F1042518" s="19"/>
      <c r="G1042518" s="19"/>
      <c r="H1042518" s="19"/>
      <c r="I1042518" s="19"/>
      <c r="J1042518" s="19"/>
      <c r="K1042518" s="19"/>
      <c r="L1042518" s="19"/>
      <c r="M1042518" s="19"/>
      <c r="N1042518" s="19"/>
    </row>
    <row r="1042519" spans="1:14" s="83" customFormat="1" ht="12.75">
      <c r="A1042519" s="19"/>
      <c r="B1042519" s="19"/>
      <c r="C1042519" s="19"/>
      <c r="D1042519" s="19"/>
      <c r="E1042519" s="19"/>
      <c r="F1042519" s="19"/>
      <c r="G1042519" s="19"/>
      <c r="H1042519" s="19"/>
      <c r="I1042519" s="19"/>
      <c r="J1042519" s="19"/>
      <c r="K1042519" s="19"/>
      <c r="L1042519" s="19"/>
      <c r="M1042519" s="19"/>
      <c r="N1042519" s="19"/>
    </row>
    <row r="1042520" spans="1:14" s="83" customFormat="1" ht="12.75">
      <c r="A1042520" s="19"/>
      <c r="B1042520" s="19"/>
      <c r="C1042520" s="19"/>
      <c r="D1042520" s="19"/>
      <c r="E1042520" s="19"/>
      <c r="F1042520" s="19"/>
      <c r="G1042520" s="19"/>
      <c r="H1042520" s="19"/>
      <c r="I1042520" s="19"/>
      <c r="J1042520" s="19"/>
      <c r="K1042520" s="19"/>
      <c r="L1042520" s="19"/>
      <c r="M1042520" s="19"/>
      <c r="N1042520" s="19"/>
    </row>
    <row r="1042521" spans="1:14" s="83" customFormat="1" ht="12.75">
      <c r="A1042521" s="19"/>
      <c r="B1042521" s="19"/>
      <c r="C1042521" s="19"/>
      <c r="D1042521" s="19"/>
      <c r="E1042521" s="19"/>
      <c r="F1042521" s="19"/>
      <c r="G1042521" s="19"/>
      <c r="H1042521" s="19"/>
      <c r="I1042521" s="19"/>
      <c r="J1042521" s="19"/>
      <c r="K1042521" s="19"/>
      <c r="L1042521" s="19"/>
      <c r="M1042521" s="19"/>
      <c r="N1042521" s="19"/>
    </row>
    <row r="1042522" spans="1:14" s="83" customFormat="1" ht="12.75">
      <c r="A1042522" s="19"/>
      <c r="B1042522" s="19"/>
      <c r="C1042522" s="19"/>
      <c r="D1042522" s="19"/>
      <c r="E1042522" s="19"/>
      <c r="F1042522" s="19"/>
      <c r="G1042522" s="19"/>
      <c r="H1042522" s="19"/>
      <c r="I1042522" s="19"/>
      <c r="J1042522" s="19"/>
      <c r="K1042522" s="19"/>
      <c r="L1042522" s="19"/>
      <c r="M1042522" s="19"/>
      <c r="N1042522" s="19"/>
    </row>
    <row r="1042523" spans="1:14" s="83" customFormat="1" ht="12.75">
      <c r="A1042523" s="19"/>
      <c r="B1042523" s="19"/>
      <c r="C1042523" s="19"/>
      <c r="D1042523" s="19"/>
      <c r="E1042523" s="19"/>
      <c r="F1042523" s="19"/>
      <c r="G1042523" s="19"/>
      <c r="H1042523" s="19"/>
      <c r="I1042523" s="19"/>
      <c r="J1042523" s="19"/>
      <c r="K1042523" s="19"/>
      <c r="L1042523" s="19"/>
      <c r="M1042523" s="19"/>
      <c r="N1042523" s="19"/>
    </row>
    <row r="1042524" spans="1:14" s="83" customFormat="1" ht="12.75">
      <c r="A1042524" s="19"/>
      <c r="B1042524" s="19"/>
      <c r="C1042524" s="19"/>
      <c r="D1042524" s="19"/>
      <c r="E1042524" s="19"/>
      <c r="F1042524" s="19"/>
      <c r="G1042524" s="19"/>
      <c r="H1042524" s="19"/>
      <c r="I1042524" s="19"/>
      <c r="J1042524" s="19"/>
      <c r="K1042524" s="19"/>
      <c r="L1042524" s="19"/>
      <c r="M1042524" s="19"/>
      <c r="N1042524" s="19"/>
    </row>
    <row r="1042525" spans="1:14" s="83" customFormat="1" ht="12.75">
      <c r="A1042525" s="19"/>
      <c r="B1042525" s="19"/>
      <c r="C1042525" s="19"/>
      <c r="D1042525" s="19"/>
      <c r="E1042525" s="19"/>
      <c r="F1042525" s="19"/>
      <c r="G1042525" s="19"/>
      <c r="H1042525" s="19"/>
      <c r="I1042525" s="19"/>
      <c r="J1042525" s="19"/>
      <c r="K1042525" s="19"/>
      <c r="L1042525" s="19"/>
      <c r="M1042525" s="19"/>
      <c r="N1042525" s="19"/>
    </row>
    <row r="1042526" spans="1:14" s="83" customFormat="1" ht="12.75">
      <c r="A1042526" s="19"/>
      <c r="B1042526" s="19"/>
      <c r="C1042526" s="19"/>
      <c r="D1042526" s="19"/>
      <c r="E1042526" s="19"/>
      <c r="F1042526" s="19"/>
      <c r="G1042526" s="19"/>
      <c r="H1042526" s="19"/>
      <c r="I1042526" s="19"/>
      <c r="J1042526" s="19"/>
      <c r="K1042526" s="19"/>
      <c r="L1042526" s="19"/>
      <c r="M1042526" s="19"/>
      <c r="N1042526" s="19"/>
    </row>
    <row r="1042527" spans="1:14" s="83" customFormat="1" ht="12.75">
      <c r="A1042527" s="19"/>
      <c r="B1042527" s="19"/>
      <c r="C1042527" s="19"/>
      <c r="D1042527" s="19"/>
      <c r="E1042527" s="19"/>
      <c r="F1042527" s="19"/>
      <c r="G1042527" s="19"/>
      <c r="H1042527" s="19"/>
      <c r="I1042527" s="19"/>
      <c r="J1042527" s="19"/>
      <c r="K1042527" s="19"/>
      <c r="L1042527" s="19"/>
      <c r="M1042527" s="19"/>
      <c r="N1042527" s="19"/>
    </row>
    <row r="1042528" spans="1:14" s="83" customFormat="1" ht="12.75">
      <c r="A1042528" s="19"/>
      <c r="B1042528" s="19"/>
      <c r="C1042528" s="19"/>
      <c r="D1042528" s="19"/>
      <c r="E1042528" s="19"/>
      <c r="F1042528" s="19"/>
      <c r="G1042528" s="19"/>
      <c r="H1042528" s="19"/>
      <c r="I1042528" s="19"/>
      <c r="J1042528" s="19"/>
      <c r="K1042528" s="19"/>
      <c r="L1042528" s="19"/>
      <c r="M1042528" s="19"/>
      <c r="N1042528" s="19"/>
    </row>
    <row r="1042529" spans="1:14" s="83" customFormat="1" ht="12.75">
      <c r="A1042529" s="19"/>
      <c r="B1042529" s="19"/>
      <c r="C1042529" s="19"/>
      <c r="D1042529" s="19"/>
      <c r="E1042529" s="19"/>
      <c r="F1042529" s="19"/>
      <c r="G1042529" s="19"/>
      <c r="H1042529" s="19"/>
      <c r="I1042529" s="19"/>
      <c r="J1042529" s="19"/>
      <c r="K1042529" s="19"/>
      <c r="L1042529" s="19"/>
      <c r="M1042529" s="19"/>
      <c r="N1042529" s="19"/>
    </row>
    <row r="1042530" spans="1:14" s="83" customFormat="1" ht="12.75">
      <c r="A1042530" s="19"/>
      <c r="B1042530" s="19"/>
      <c r="C1042530" s="19"/>
      <c r="D1042530" s="19"/>
      <c r="E1042530" s="19"/>
      <c r="F1042530" s="19"/>
      <c r="G1042530" s="19"/>
      <c r="H1042530" s="19"/>
      <c r="I1042530" s="19"/>
      <c r="J1042530" s="19"/>
      <c r="K1042530" s="19"/>
      <c r="L1042530" s="19"/>
      <c r="M1042530" s="19"/>
      <c r="N1042530" s="19"/>
    </row>
    <row r="1042531" spans="1:14" s="83" customFormat="1" ht="12.75">
      <c r="A1042531" s="19"/>
      <c r="B1042531" s="19"/>
      <c r="C1042531" s="19"/>
      <c r="D1042531" s="19"/>
      <c r="E1042531" s="19"/>
      <c r="F1042531" s="19"/>
      <c r="G1042531" s="19"/>
      <c r="H1042531" s="19"/>
      <c r="I1042531" s="19"/>
      <c r="J1042531" s="19"/>
      <c r="K1042531" s="19"/>
      <c r="L1042531" s="19"/>
      <c r="M1042531" s="19"/>
      <c r="N1042531" s="19"/>
    </row>
    <row r="1042532" spans="1:14" s="83" customFormat="1" ht="12.75">
      <c r="A1042532" s="19"/>
      <c r="B1042532" s="19"/>
      <c r="C1042532" s="19"/>
      <c r="D1042532" s="19"/>
      <c r="E1042532" s="19"/>
      <c r="F1042532" s="19"/>
      <c r="G1042532" s="19"/>
      <c r="H1042532" s="19"/>
      <c r="I1042532" s="19"/>
      <c r="J1042532" s="19"/>
      <c r="K1042532" s="19"/>
      <c r="L1042532" s="19"/>
      <c r="M1042532" s="19"/>
      <c r="N1042532" s="19"/>
    </row>
    <row r="1042533" spans="1:14" s="83" customFormat="1" ht="12.75">
      <c r="A1042533" s="19"/>
      <c r="B1042533" s="19"/>
      <c r="C1042533" s="19"/>
      <c r="D1042533" s="19"/>
      <c r="E1042533" s="19"/>
      <c r="F1042533" s="19"/>
      <c r="G1042533" s="19"/>
      <c r="H1042533" s="19"/>
      <c r="I1042533" s="19"/>
      <c r="J1042533" s="19"/>
      <c r="K1042533" s="19"/>
      <c r="L1042533" s="19"/>
      <c r="M1042533" s="19"/>
      <c r="N1042533" s="19"/>
    </row>
    <row r="1042534" spans="1:14" s="83" customFormat="1" ht="12.75">
      <c r="A1042534" s="19"/>
      <c r="B1042534" s="19"/>
      <c r="C1042534" s="19"/>
      <c r="D1042534" s="19"/>
      <c r="E1042534" s="19"/>
      <c r="F1042534" s="19"/>
      <c r="G1042534" s="19"/>
      <c r="H1042534" s="19"/>
      <c r="I1042534" s="19"/>
      <c r="J1042534" s="19"/>
      <c r="K1042534" s="19"/>
      <c r="L1042534" s="19"/>
      <c r="M1042534" s="19"/>
      <c r="N1042534" s="19"/>
    </row>
    <row r="1042535" spans="1:14" s="83" customFormat="1" ht="12.75">
      <c r="A1042535" s="19"/>
      <c r="B1042535" s="19"/>
      <c r="C1042535" s="19"/>
      <c r="D1042535" s="19"/>
      <c r="E1042535" s="19"/>
      <c r="F1042535" s="19"/>
      <c r="G1042535" s="19"/>
      <c r="H1042535" s="19"/>
      <c r="I1042535" s="19"/>
      <c r="J1042535" s="19"/>
      <c r="K1042535" s="19"/>
      <c r="L1042535" s="19"/>
      <c r="M1042535" s="19"/>
      <c r="N1042535" s="19"/>
    </row>
    <row r="1042536" spans="1:14" s="83" customFormat="1" ht="12.75">
      <c r="A1042536" s="19"/>
      <c r="B1042536" s="19"/>
      <c r="C1042536" s="19"/>
      <c r="D1042536" s="19"/>
      <c r="E1042536" s="19"/>
      <c r="F1042536" s="19"/>
      <c r="G1042536" s="19"/>
      <c r="H1042536" s="19"/>
      <c r="I1042536" s="19"/>
      <c r="J1042536" s="19"/>
      <c r="K1042536" s="19"/>
      <c r="L1042536" s="19"/>
      <c r="M1042536" s="19"/>
      <c r="N1042536" s="19"/>
    </row>
    <row r="1042537" spans="1:14" s="83" customFormat="1" ht="12.75">
      <c r="A1042537" s="19"/>
      <c r="B1042537" s="19"/>
      <c r="C1042537" s="19"/>
      <c r="D1042537" s="19"/>
      <c r="E1042537" s="19"/>
      <c r="F1042537" s="19"/>
      <c r="G1042537" s="19"/>
      <c r="H1042537" s="19"/>
      <c r="I1042537" s="19"/>
      <c r="J1042537" s="19"/>
      <c r="K1042537" s="19"/>
      <c r="L1042537" s="19"/>
      <c r="M1042537" s="19"/>
      <c r="N1042537" s="19"/>
    </row>
    <row r="1042538" spans="1:14" s="83" customFormat="1" ht="12.75">
      <c r="A1042538" s="19"/>
      <c r="B1042538" s="19"/>
      <c r="C1042538" s="19"/>
      <c r="D1042538" s="19"/>
      <c r="E1042538" s="19"/>
      <c r="F1042538" s="19"/>
      <c r="G1042538" s="19"/>
      <c r="H1042538" s="19"/>
      <c r="I1042538" s="19"/>
      <c r="J1042538" s="19"/>
      <c r="K1042538" s="19"/>
      <c r="L1042538" s="19"/>
      <c r="M1042538" s="19"/>
      <c r="N1042538" s="19"/>
    </row>
    <row r="1042539" spans="1:14" s="83" customFormat="1" ht="12.75">
      <c r="A1042539" s="19"/>
      <c r="B1042539" s="19"/>
      <c r="C1042539" s="19"/>
      <c r="D1042539" s="19"/>
      <c r="E1042539" s="19"/>
      <c r="F1042539" s="19"/>
      <c r="G1042539" s="19"/>
      <c r="H1042539" s="19"/>
      <c r="I1042539" s="19"/>
      <c r="J1042539" s="19"/>
      <c r="K1042539" s="19"/>
      <c r="L1042539" s="19"/>
      <c r="M1042539" s="19"/>
      <c r="N1042539" s="19"/>
    </row>
    <row r="1042540" spans="1:14" s="83" customFormat="1" ht="12.75">
      <c r="A1042540" s="19"/>
      <c r="B1042540" s="19"/>
      <c r="C1042540" s="19"/>
      <c r="D1042540" s="19"/>
      <c r="E1042540" s="19"/>
      <c r="F1042540" s="19"/>
      <c r="G1042540" s="19"/>
      <c r="H1042540" s="19"/>
      <c r="I1042540" s="19"/>
      <c r="J1042540" s="19"/>
      <c r="K1042540" s="19"/>
      <c r="L1042540" s="19"/>
      <c r="M1042540" s="19"/>
      <c r="N1042540" s="19"/>
    </row>
    <row r="1042541" spans="1:14" s="83" customFormat="1" ht="12.75">
      <c r="A1042541" s="19"/>
      <c r="B1042541" s="19"/>
      <c r="C1042541" s="19"/>
      <c r="D1042541" s="19"/>
      <c r="E1042541" s="19"/>
      <c r="F1042541" s="19"/>
      <c r="G1042541" s="19"/>
      <c r="H1042541" s="19"/>
      <c r="I1042541" s="19"/>
      <c r="J1042541" s="19"/>
      <c r="K1042541" s="19"/>
      <c r="L1042541" s="19"/>
      <c r="M1042541" s="19"/>
      <c r="N1042541" s="19"/>
    </row>
    <row r="1042542" spans="1:14" s="83" customFormat="1" ht="12.75">
      <c r="A1042542" s="19"/>
      <c r="B1042542" s="19"/>
      <c r="C1042542" s="19"/>
      <c r="D1042542" s="19"/>
      <c r="E1042542" s="19"/>
      <c r="F1042542" s="19"/>
      <c r="G1042542" s="19"/>
      <c r="H1042542" s="19"/>
      <c r="I1042542" s="19"/>
      <c r="J1042542" s="19"/>
      <c r="K1042542" s="19"/>
      <c r="L1042542" s="19"/>
      <c r="M1042542" s="19"/>
      <c r="N1042542" s="19"/>
    </row>
    <row r="1042543" spans="1:14" s="83" customFormat="1" ht="12.75">
      <c r="A1042543" s="19"/>
      <c r="B1042543" s="19"/>
      <c r="C1042543" s="19"/>
      <c r="D1042543" s="19"/>
      <c r="E1042543" s="19"/>
      <c r="F1042543" s="19"/>
      <c r="G1042543" s="19"/>
      <c r="H1042543" s="19"/>
      <c r="I1042543" s="19"/>
      <c r="J1042543" s="19"/>
      <c r="K1042543" s="19"/>
      <c r="L1042543" s="19"/>
      <c r="M1042543" s="19"/>
      <c r="N1042543" s="19"/>
    </row>
    <row r="1042544" spans="1:14" s="83" customFormat="1" ht="12.75">
      <c r="A1042544" s="19"/>
      <c r="B1042544" s="19"/>
      <c r="C1042544" s="19"/>
      <c r="D1042544" s="19"/>
      <c r="E1042544" s="19"/>
      <c r="F1042544" s="19"/>
      <c r="G1042544" s="19"/>
      <c r="H1042544" s="19"/>
      <c r="I1042544" s="19"/>
      <c r="J1042544" s="19"/>
      <c r="K1042544" s="19"/>
      <c r="L1042544" s="19"/>
      <c r="M1042544" s="19"/>
      <c r="N1042544" s="19"/>
    </row>
    <row r="1042545" spans="1:14" s="83" customFormat="1" ht="12.75">
      <c r="A1042545" s="19"/>
      <c r="B1042545" s="19"/>
      <c r="C1042545" s="19"/>
      <c r="D1042545" s="19"/>
      <c r="E1042545" s="19"/>
      <c r="F1042545" s="19"/>
      <c r="G1042545" s="19"/>
      <c r="H1042545" s="19"/>
      <c r="I1042545" s="19"/>
      <c r="J1042545" s="19"/>
      <c r="K1042545" s="19"/>
      <c r="L1042545" s="19"/>
      <c r="M1042545" s="19"/>
      <c r="N1042545" s="19"/>
    </row>
    <row r="1042546" spans="1:14" s="83" customFormat="1" ht="12.75">
      <c r="A1042546" s="19"/>
      <c r="B1042546" s="19"/>
      <c r="C1042546" s="19"/>
      <c r="D1042546" s="19"/>
      <c r="E1042546" s="19"/>
      <c r="F1042546" s="19"/>
      <c r="G1042546" s="19"/>
      <c r="H1042546" s="19"/>
      <c r="I1042546" s="19"/>
      <c r="J1042546" s="19"/>
      <c r="K1042546" s="19"/>
      <c r="L1042546" s="19"/>
      <c r="M1042546" s="19"/>
      <c r="N1042546" s="19"/>
    </row>
    <row r="1042547" spans="1:14" s="83" customFormat="1" ht="12.75">
      <c r="A1042547" s="19"/>
      <c r="B1042547" s="19"/>
      <c r="C1042547" s="19"/>
      <c r="D1042547" s="19"/>
      <c r="E1042547" s="19"/>
      <c r="F1042547" s="19"/>
      <c r="G1042547" s="19"/>
      <c r="H1042547" s="19"/>
      <c r="I1042547" s="19"/>
      <c r="J1042547" s="19"/>
      <c r="K1042547" s="19"/>
      <c r="L1042547" s="19"/>
      <c r="M1042547" s="19"/>
      <c r="N1042547" s="19"/>
    </row>
    <row r="1042548" spans="1:14" s="83" customFormat="1" ht="12.75">
      <c r="A1042548" s="19"/>
      <c r="B1042548" s="19"/>
      <c r="C1042548" s="19"/>
      <c r="D1042548" s="19"/>
      <c r="E1042548" s="19"/>
      <c r="F1042548" s="19"/>
      <c r="G1042548" s="19"/>
      <c r="H1042548" s="19"/>
      <c r="I1042548" s="19"/>
      <c r="J1042548" s="19"/>
      <c r="K1042548" s="19"/>
      <c r="L1042548" s="19"/>
      <c r="M1042548" s="19"/>
      <c r="N1042548" s="19"/>
    </row>
    <row r="1042549" spans="1:14" s="83" customFormat="1" ht="12.75">
      <c r="A1042549" s="19"/>
      <c r="B1042549" s="19"/>
      <c r="C1042549" s="19"/>
      <c r="D1042549" s="19"/>
      <c r="E1042549" s="19"/>
      <c r="F1042549" s="19"/>
      <c r="G1042549" s="19"/>
      <c r="H1042549" s="19"/>
      <c r="I1042549" s="19"/>
      <c r="J1042549" s="19"/>
      <c r="K1042549" s="19"/>
      <c r="L1042549" s="19"/>
      <c r="M1042549" s="19"/>
      <c r="N1042549" s="19"/>
    </row>
    <row r="1042550" spans="1:14" s="83" customFormat="1" ht="12.75">
      <c r="A1042550" s="19"/>
      <c r="B1042550" s="19"/>
      <c r="C1042550" s="19"/>
      <c r="D1042550" s="19"/>
      <c r="E1042550" s="19"/>
      <c r="F1042550" s="19"/>
      <c r="G1042550" s="19"/>
      <c r="H1042550" s="19"/>
      <c r="I1042550" s="19"/>
      <c r="J1042550" s="19"/>
      <c r="K1042550" s="19"/>
      <c r="L1042550" s="19"/>
      <c r="M1042550" s="19"/>
      <c r="N1042550" s="19"/>
    </row>
    <row r="1042551" spans="1:14" s="83" customFormat="1" ht="12.75">
      <c r="A1042551" s="19"/>
      <c r="B1042551" s="19"/>
      <c r="C1042551" s="19"/>
      <c r="D1042551" s="19"/>
      <c r="E1042551" s="19"/>
      <c r="F1042551" s="19"/>
      <c r="G1042551" s="19"/>
      <c r="H1042551" s="19"/>
      <c r="I1042551" s="19"/>
      <c r="J1042551" s="19"/>
      <c r="K1042551" s="19"/>
      <c r="L1042551" s="19"/>
      <c r="M1042551" s="19"/>
      <c r="N1042551" s="19"/>
    </row>
    <row r="1042552" spans="1:14" s="83" customFormat="1" ht="12.75">
      <c r="A1042552" s="19"/>
      <c r="B1042552" s="19"/>
      <c r="C1042552" s="19"/>
      <c r="D1042552" s="19"/>
      <c r="E1042552" s="19"/>
      <c r="F1042552" s="19"/>
      <c r="G1042552" s="19"/>
      <c r="H1042552" s="19"/>
      <c r="I1042552" s="19"/>
      <c r="J1042552" s="19"/>
      <c r="K1042552" s="19"/>
      <c r="L1042552" s="19"/>
      <c r="M1042552" s="19"/>
      <c r="N1042552" s="19"/>
    </row>
    <row r="1042553" spans="1:14" s="83" customFormat="1" ht="12.75">
      <c r="A1042553" s="19"/>
      <c r="B1042553" s="19"/>
      <c r="C1042553" s="19"/>
      <c r="D1042553" s="19"/>
      <c r="E1042553" s="19"/>
      <c r="F1042553" s="19"/>
      <c r="G1042553" s="19"/>
      <c r="H1042553" s="19"/>
      <c r="I1042553" s="19"/>
      <c r="J1042553" s="19"/>
      <c r="K1042553" s="19"/>
      <c r="L1042553" s="19"/>
      <c r="M1042553" s="19"/>
      <c r="N1042553" s="19"/>
    </row>
    <row r="1042554" spans="1:14" s="83" customFormat="1" ht="12.75">
      <c r="A1042554" s="19"/>
      <c r="B1042554" s="19"/>
      <c r="C1042554" s="19"/>
      <c r="D1042554" s="19"/>
      <c r="E1042554" s="19"/>
      <c r="F1042554" s="19"/>
      <c r="G1042554" s="19"/>
      <c r="H1042554" s="19"/>
      <c r="I1042554" s="19"/>
      <c r="J1042554" s="19"/>
      <c r="K1042554" s="19"/>
      <c r="L1042554" s="19"/>
      <c r="M1042554" s="19"/>
      <c r="N1042554" s="19"/>
    </row>
    <row r="1042555" spans="1:14" s="83" customFormat="1" ht="12.75">
      <c r="A1042555" s="19"/>
      <c r="B1042555" s="19"/>
      <c r="C1042555" s="19"/>
      <c r="D1042555" s="19"/>
      <c r="E1042555" s="19"/>
      <c r="F1042555" s="19"/>
      <c r="G1042555" s="19"/>
      <c r="H1042555" s="19"/>
      <c r="I1042555" s="19"/>
      <c r="J1042555" s="19"/>
      <c r="K1042555" s="19"/>
      <c r="L1042555" s="19"/>
      <c r="M1042555" s="19"/>
      <c r="N1042555" s="19"/>
    </row>
    <row r="1042556" spans="1:14" s="83" customFormat="1" ht="12.75">
      <c r="A1042556" s="19"/>
      <c r="B1042556" s="19"/>
      <c r="C1042556" s="19"/>
      <c r="D1042556" s="19"/>
      <c r="E1042556" s="19"/>
      <c r="F1042556" s="19"/>
      <c r="G1042556" s="19"/>
      <c r="H1042556" s="19"/>
      <c r="I1042556" s="19"/>
      <c r="J1042556" s="19"/>
      <c r="K1042556" s="19"/>
      <c r="L1042556" s="19"/>
      <c r="M1042556" s="19"/>
      <c r="N1042556" s="19"/>
    </row>
    <row r="1042557" spans="1:14" s="83" customFormat="1" ht="12.75">
      <c r="A1042557" s="19"/>
      <c r="B1042557" s="19"/>
      <c r="C1042557" s="19"/>
      <c r="D1042557" s="19"/>
      <c r="E1042557" s="19"/>
      <c r="F1042557" s="19"/>
      <c r="G1042557" s="19"/>
      <c r="H1042557" s="19"/>
      <c r="I1042557" s="19"/>
      <c r="J1042557" s="19"/>
      <c r="K1042557" s="19"/>
      <c r="L1042557" s="19"/>
      <c r="M1042557" s="19"/>
      <c r="N1042557" s="19"/>
    </row>
    <row r="1042558" spans="1:14" s="83" customFormat="1" ht="12.75">
      <c r="A1042558" s="19"/>
      <c r="B1042558" s="19"/>
      <c r="C1042558" s="19"/>
      <c r="D1042558" s="19"/>
      <c r="E1042558" s="19"/>
      <c r="F1042558" s="19"/>
      <c r="G1042558" s="19"/>
      <c r="H1042558" s="19"/>
      <c r="I1042558" s="19"/>
      <c r="J1042558" s="19"/>
      <c r="K1042558" s="19"/>
      <c r="L1042558" s="19"/>
      <c r="M1042558" s="19"/>
      <c r="N1042558" s="19"/>
    </row>
    <row r="1042559" spans="1:14" s="83" customFormat="1" ht="12.75">
      <c r="A1042559" s="19"/>
      <c r="B1042559" s="19"/>
      <c r="C1042559" s="19"/>
      <c r="D1042559" s="19"/>
      <c r="E1042559" s="19"/>
      <c r="F1042559" s="19"/>
      <c r="G1042559" s="19"/>
      <c r="H1042559" s="19"/>
      <c r="I1042559" s="19"/>
      <c r="J1042559" s="19"/>
      <c r="K1042559" s="19"/>
      <c r="L1042559" s="19"/>
      <c r="M1042559" s="19"/>
      <c r="N1042559" s="19"/>
    </row>
    <row r="1042560" spans="1:14" s="83" customFormat="1" ht="12.75">
      <c r="A1042560" s="19"/>
      <c r="B1042560" s="19"/>
      <c r="C1042560" s="19"/>
      <c r="D1042560" s="19"/>
      <c r="E1042560" s="19"/>
      <c r="F1042560" s="19"/>
      <c r="G1042560" s="19"/>
      <c r="H1042560" s="19"/>
      <c r="I1042560" s="19"/>
      <c r="J1042560" s="19"/>
      <c r="K1042560" s="19"/>
      <c r="L1042560" s="19"/>
      <c r="M1042560" s="19"/>
      <c r="N1042560" s="19"/>
    </row>
    <row r="1042561" spans="1:14" s="83" customFormat="1" ht="12.75">
      <c r="A1042561" s="19"/>
      <c r="B1042561" s="19"/>
      <c r="C1042561" s="19"/>
      <c r="D1042561" s="19"/>
      <c r="E1042561" s="19"/>
      <c r="F1042561" s="19"/>
      <c r="G1042561" s="19"/>
      <c r="H1042561" s="19"/>
      <c r="I1042561" s="19"/>
      <c r="J1042561" s="19"/>
      <c r="K1042561" s="19"/>
      <c r="L1042561" s="19"/>
      <c r="M1042561" s="19"/>
      <c r="N1042561" s="19"/>
    </row>
    <row r="1042562" spans="1:14" s="83" customFormat="1" ht="12.75">
      <c r="A1042562" s="19"/>
      <c r="B1042562" s="19"/>
      <c r="C1042562" s="19"/>
      <c r="D1042562" s="19"/>
      <c r="E1042562" s="19"/>
      <c r="F1042562" s="19"/>
      <c r="G1042562" s="19"/>
      <c r="H1042562" s="19"/>
      <c r="I1042562" s="19"/>
      <c r="J1042562" s="19"/>
      <c r="K1042562" s="19"/>
      <c r="L1042562" s="19"/>
      <c r="M1042562" s="19"/>
      <c r="N1042562" s="19"/>
    </row>
    <row r="1042563" spans="1:14" s="83" customFormat="1" ht="12.75">
      <c r="A1042563" s="19"/>
      <c r="B1042563" s="19"/>
      <c r="C1042563" s="19"/>
      <c r="D1042563" s="19"/>
      <c r="E1042563" s="19"/>
      <c r="F1042563" s="19"/>
      <c r="G1042563" s="19"/>
      <c r="H1042563" s="19"/>
      <c r="I1042563" s="19"/>
      <c r="J1042563" s="19"/>
      <c r="K1042563" s="19"/>
      <c r="L1042563" s="19"/>
      <c r="M1042563" s="19"/>
      <c r="N1042563" s="19"/>
    </row>
    <row r="1042564" spans="1:14" s="83" customFormat="1" ht="12.75">
      <c r="A1042564" s="19"/>
      <c r="B1042564" s="19"/>
      <c r="C1042564" s="19"/>
      <c r="D1042564" s="19"/>
      <c r="E1042564" s="19"/>
      <c r="F1042564" s="19"/>
      <c r="G1042564" s="19"/>
      <c r="H1042564" s="19"/>
      <c r="I1042564" s="19"/>
      <c r="J1042564" s="19"/>
      <c r="K1042564" s="19"/>
      <c r="L1042564" s="19"/>
      <c r="M1042564" s="19"/>
      <c r="N1042564" s="19"/>
    </row>
    <row r="1042565" spans="1:14" s="83" customFormat="1" ht="12.75">
      <c r="A1042565" s="19"/>
      <c r="B1042565" s="19"/>
      <c r="C1042565" s="19"/>
      <c r="D1042565" s="19"/>
      <c r="E1042565" s="19"/>
      <c r="F1042565" s="19"/>
      <c r="G1042565" s="19"/>
      <c r="H1042565" s="19"/>
      <c r="I1042565" s="19"/>
      <c r="J1042565" s="19"/>
      <c r="K1042565" s="19"/>
      <c r="L1042565" s="19"/>
      <c r="M1042565" s="19"/>
      <c r="N1042565" s="19"/>
    </row>
    <row r="1042566" spans="1:14" s="83" customFormat="1" ht="12.75">
      <c r="A1042566" s="19"/>
      <c r="B1042566" s="19"/>
      <c r="C1042566" s="19"/>
      <c r="D1042566" s="19"/>
      <c r="E1042566" s="19"/>
      <c r="F1042566" s="19"/>
      <c r="G1042566" s="19"/>
      <c r="H1042566" s="19"/>
      <c r="I1042566" s="19"/>
      <c r="J1042566" s="19"/>
      <c r="K1042566" s="19"/>
      <c r="L1042566" s="19"/>
      <c r="M1042566" s="19"/>
      <c r="N1042566" s="19"/>
    </row>
    <row r="1042567" spans="1:14" s="83" customFormat="1" ht="12.75">
      <c r="A1042567" s="19"/>
      <c r="B1042567" s="19"/>
      <c r="C1042567" s="19"/>
      <c r="D1042567" s="19"/>
      <c r="E1042567" s="19"/>
      <c r="F1042567" s="19"/>
      <c r="G1042567" s="19"/>
      <c r="H1042567" s="19"/>
      <c r="I1042567" s="19"/>
      <c r="J1042567" s="19"/>
      <c r="K1042567" s="19"/>
      <c r="L1042567" s="19"/>
      <c r="M1042567" s="19"/>
      <c r="N1042567" s="19"/>
    </row>
    <row r="1042568" spans="1:14" s="83" customFormat="1" ht="12.75">
      <c r="A1042568" s="19"/>
      <c r="B1042568" s="19"/>
      <c r="C1042568" s="19"/>
      <c r="D1042568" s="19"/>
      <c r="E1042568" s="19"/>
      <c r="F1042568" s="19"/>
      <c r="G1042568" s="19"/>
      <c r="H1042568" s="19"/>
      <c r="I1042568" s="19"/>
      <c r="J1042568" s="19"/>
      <c r="K1042568" s="19"/>
      <c r="L1042568" s="19"/>
      <c r="M1042568" s="19"/>
      <c r="N1042568" s="19"/>
    </row>
    <row r="1042569" spans="1:14" s="83" customFormat="1" ht="12.75">
      <c r="A1042569" s="19"/>
      <c r="B1042569" s="19"/>
      <c r="C1042569" s="19"/>
      <c r="D1042569" s="19"/>
      <c r="E1042569" s="19"/>
      <c r="F1042569" s="19"/>
      <c r="G1042569" s="19"/>
      <c r="H1042569" s="19"/>
      <c r="I1042569" s="19"/>
      <c r="J1042569" s="19"/>
      <c r="K1042569" s="19"/>
      <c r="L1042569" s="19"/>
      <c r="M1042569" s="19"/>
      <c r="N1042569" s="19"/>
    </row>
    <row r="1042570" spans="1:14" s="83" customFormat="1" ht="12.75">
      <c r="A1042570" s="19"/>
      <c r="B1042570" s="19"/>
      <c r="C1042570" s="19"/>
      <c r="D1042570" s="19"/>
      <c r="E1042570" s="19"/>
      <c r="F1042570" s="19"/>
      <c r="G1042570" s="19"/>
      <c r="H1042570" s="19"/>
      <c r="I1042570" s="19"/>
      <c r="J1042570" s="19"/>
      <c r="K1042570" s="19"/>
      <c r="L1042570" s="19"/>
      <c r="M1042570" s="19"/>
      <c r="N1042570" s="19"/>
    </row>
    <row r="1042571" spans="1:14" s="83" customFormat="1" ht="12.75">
      <c r="A1042571" s="19"/>
      <c r="B1042571" s="19"/>
      <c r="C1042571" s="19"/>
      <c r="D1042571" s="19"/>
      <c r="E1042571" s="19"/>
      <c r="F1042571" s="19"/>
      <c r="G1042571" s="19"/>
      <c r="H1042571" s="19"/>
      <c r="I1042571" s="19"/>
      <c r="J1042571" s="19"/>
      <c r="K1042571" s="19"/>
      <c r="L1042571" s="19"/>
      <c r="M1042571" s="19"/>
      <c r="N1042571" s="19"/>
    </row>
    <row r="1042572" spans="1:14" s="83" customFormat="1" ht="12.75">
      <c r="A1042572" s="19"/>
      <c r="B1042572" s="19"/>
      <c r="C1042572" s="19"/>
      <c r="D1042572" s="19"/>
      <c r="E1042572" s="19"/>
      <c r="F1042572" s="19"/>
      <c r="G1042572" s="19"/>
      <c r="H1042572" s="19"/>
      <c r="I1042572" s="19"/>
      <c r="J1042572" s="19"/>
      <c r="K1042572" s="19"/>
      <c r="L1042572" s="19"/>
      <c r="M1042572" s="19"/>
      <c r="N1042572" s="19"/>
    </row>
    <row r="1042573" spans="1:14" s="83" customFormat="1" ht="12.75">
      <c r="A1042573" s="19"/>
      <c r="B1042573" s="19"/>
      <c r="C1042573" s="19"/>
      <c r="D1042573" s="19"/>
      <c r="E1042573" s="19"/>
      <c r="F1042573" s="19"/>
      <c r="G1042573" s="19"/>
      <c r="H1042573" s="19"/>
      <c r="I1042573" s="19"/>
      <c r="J1042573" s="19"/>
      <c r="K1042573" s="19"/>
      <c r="L1042573" s="19"/>
      <c r="M1042573" s="19"/>
      <c r="N1042573" s="19"/>
    </row>
    <row r="1042574" spans="1:14" s="83" customFormat="1" ht="12.75">
      <c r="A1042574" s="19"/>
      <c r="B1042574" s="19"/>
      <c r="C1042574" s="19"/>
      <c r="D1042574" s="19"/>
      <c r="E1042574" s="19"/>
      <c r="F1042574" s="19"/>
      <c r="G1042574" s="19"/>
      <c r="H1042574" s="19"/>
      <c r="I1042574" s="19"/>
      <c r="J1042574" s="19"/>
      <c r="K1042574" s="19"/>
      <c r="L1042574" s="19"/>
      <c r="M1042574" s="19"/>
      <c r="N1042574" s="19"/>
    </row>
    <row r="1042575" spans="1:14" s="83" customFormat="1" ht="12.75">
      <c r="A1042575" s="19"/>
      <c r="B1042575" s="19"/>
      <c r="C1042575" s="19"/>
      <c r="D1042575" s="19"/>
      <c r="E1042575" s="19"/>
      <c r="F1042575" s="19"/>
      <c r="G1042575" s="19"/>
      <c r="H1042575" s="19"/>
      <c r="I1042575" s="19"/>
      <c r="J1042575" s="19"/>
      <c r="K1042575" s="19"/>
      <c r="L1042575" s="19"/>
      <c r="M1042575" s="19"/>
      <c r="N1042575" s="19"/>
    </row>
    <row r="1042576" spans="1:14" s="83" customFormat="1" ht="12.75">
      <c r="A1042576" s="19"/>
      <c r="B1042576" s="19"/>
      <c r="C1042576" s="19"/>
      <c r="D1042576" s="19"/>
      <c r="E1042576" s="19"/>
      <c r="F1042576" s="19"/>
      <c r="G1042576" s="19"/>
      <c r="H1042576" s="19"/>
      <c r="I1042576" s="19"/>
      <c r="J1042576" s="19"/>
      <c r="K1042576" s="19"/>
      <c r="L1042576" s="19"/>
      <c r="M1042576" s="19"/>
      <c r="N1042576" s="19"/>
    </row>
    <row r="1042577" spans="1:14" s="83" customFormat="1" ht="12.75">
      <c r="A1042577" s="19"/>
      <c r="B1042577" s="19"/>
      <c r="C1042577" s="19"/>
      <c r="D1042577" s="19"/>
      <c r="E1042577" s="19"/>
      <c r="F1042577" s="19"/>
      <c r="G1042577" s="19"/>
      <c r="H1042577" s="19"/>
      <c r="I1042577" s="19"/>
      <c r="J1042577" s="19"/>
      <c r="K1042577" s="19"/>
      <c r="L1042577" s="19"/>
      <c r="M1042577" s="19"/>
      <c r="N1042577" s="19"/>
    </row>
    <row r="1042578" spans="1:14" s="83" customFormat="1" ht="12.75">
      <c r="A1042578" s="19"/>
      <c r="B1042578" s="19"/>
      <c r="C1042578" s="19"/>
      <c r="D1042578" s="19"/>
      <c r="E1042578" s="19"/>
      <c r="F1042578" s="19"/>
      <c r="G1042578" s="19"/>
      <c r="H1042578" s="19"/>
      <c r="I1042578" s="19"/>
      <c r="J1042578" s="19"/>
      <c r="K1042578" s="19"/>
      <c r="L1042578" s="19"/>
      <c r="M1042578" s="19"/>
      <c r="N1042578" s="19"/>
    </row>
    <row r="1042579" spans="1:14" s="83" customFormat="1" ht="12.75">
      <c r="A1042579" s="19"/>
      <c r="B1042579" s="19"/>
      <c r="C1042579" s="19"/>
      <c r="D1042579" s="19"/>
      <c r="E1042579" s="19"/>
      <c r="F1042579" s="19"/>
      <c r="G1042579" s="19"/>
      <c r="H1042579" s="19"/>
      <c r="I1042579" s="19"/>
      <c r="J1042579" s="19"/>
      <c r="K1042579" s="19"/>
      <c r="L1042579" s="19"/>
      <c r="M1042579" s="19"/>
      <c r="N1042579" s="19"/>
    </row>
    <row r="1042580" spans="1:14" s="83" customFormat="1" ht="12.75">
      <c r="A1042580" s="19"/>
      <c r="B1042580" s="19"/>
      <c r="C1042580" s="19"/>
      <c r="D1042580" s="19"/>
      <c r="E1042580" s="19"/>
      <c r="F1042580" s="19"/>
      <c r="G1042580" s="19"/>
      <c r="H1042580" s="19"/>
      <c r="I1042580" s="19"/>
      <c r="J1042580" s="19"/>
      <c r="K1042580" s="19"/>
      <c r="L1042580" s="19"/>
      <c r="M1042580" s="19"/>
      <c r="N1042580" s="19"/>
    </row>
    <row r="1042581" spans="1:14" s="83" customFormat="1" ht="12.75">
      <c r="A1042581" s="19"/>
      <c r="B1042581" s="19"/>
      <c r="C1042581" s="19"/>
      <c r="D1042581" s="19"/>
      <c r="E1042581" s="19"/>
      <c r="F1042581" s="19"/>
      <c r="G1042581" s="19"/>
      <c r="H1042581" s="19"/>
      <c r="I1042581" s="19"/>
      <c r="J1042581" s="19"/>
      <c r="K1042581" s="19"/>
      <c r="L1042581" s="19"/>
      <c r="M1042581" s="19"/>
      <c r="N1042581" s="19"/>
    </row>
    <row r="1042582" spans="1:14" s="83" customFormat="1" ht="12.75">
      <c r="A1042582" s="19"/>
      <c r="B1042582" s="19"/>
      <c r="C1042582" s="19"/>
      <c r="D1042582" s="19"/>
      <c r="E1042582" s="19"/>
      <c r="F1042582" s="19"/>
      <c r="G1042582" s="19"/>
      <c r="H1042582" s="19"/>
      <c r="I1042582" s="19"/>
      <c r="J1042582" s="19"/>
      <c r="K1042582" s="19"/>
      <c r="L1042582" s="19"/>
      <c r="M1042582" s="19"/>
      <c r="N1042582" s="19"/>
    </row>
    <row r="1042583" spans="1:14" s="83" customFormat="1" ht="12.75">
      <c r="A1042583" s="19"/>
      <c r="B1042583" s="19"/>
      <c r="C1042583" s="19"/>
      <c r="D1042583" s="19"/>
      <c r="E1042583" s="19"/>
      <c r="F1042583" s="19"/>
      <c r="G1042583" s="19"/>
      <c r="H1042583" s="19"/>
      <c r="I1042583" s="19"/>
      <c r="J1042583" s="19"/>
      <c r="K1042583" s="19"/>
      <c r="L1042583" s="19"/>
      <c r="M1042583" s="19"/>
      <c r="N1042583" s="19"/>
    </row>
    <row r="1042584" spans="1:14" s="83" customFormat="1" ht="12.75">
      <c r="A1042584" s="19"/>
      <c r="B1042584" s="19"/>
      <c r="C1042584" s="19"/>
      <c r="D1042584" s="19"/>
      <c r="E1042584" s="19"/>
      <c r="F1042584" s="19"/>
      <c r="G1042584" s="19"/>
      <c r="H1042584" s="19"/>
      <c r="I1042584" s="19"/>
      <c r="J1042584" s="19"/>
      <c r="K1042584" s="19"/>
      <c r="L1042584" s="19"/>
      <c r="M1042584" s="19"/>
      <c r="N1042584" s="19"/>
    </row>
    <row r="1042585" spans="1:14" s="83" customFormat="1" ht="12.75">
      <c r="A1042585" s="19"/>
      <c r="B1042585" s="19"/>
      <c r="C1042585" s="19"/>
      <c r="D1042585" s="19"/>
      <c r="E1042585" s="19"/>
      <c r="F1042585" s="19"/>
      <c r="G1042585" s="19"/>
      <c r="H1042585" s="19"/>
      <c r="I1042585" s="19"/>
      <c r="J1042585" s="19"/>
      <c r="K1042585" s="19"/>
      <c r="L1042585" s="19"/>
      <c r="M1042585" s="19"/>
      <c r="N1042585" s="19"/>
    </row>
    <row r="1042586" spans="1:14" s="83" customFormat="1" ht="12.75">
      <c r="A1042586" s="19"/>
      <c r="B1042586" s="19"/>
      <c r="C1042586" s="19"/>
      <c r="D1042586" s="19"/>
      <c r="E1042586" s="19"/>
      <c r="F1042586" s="19"/>
      <c r="G1042586" s="19"/>
      <c r="H1042586" s="19"/>
      <c r="I1042586" s="19"/>
      <c r="J1042586" s="19"/>
      <c r="K1042586" s="19"/>
      <c r="L1042586" s="19"/>
      <c r="M1042586" s="19"/>
      <c r="N1042586" s="19"/>
    </row>
    <row r="1042587" spans="1:14" s="83" customFormat="1" ht="12.75">
      <c r="A1042587" s="19"/>
      <c r="B1042587" s="19"/>
      <c r="C1042587" s="19"/>
      <c r="D1042587" s="19"/>
      <c r="E1042587" s="19"/>
      <c r="F1042587" s="19"/>
      <c r="G1042587" s="19"/>
      <c r="H1042587" s="19"/>
      <c r="I1042587" s="19"/>
      <c r="J1042587" s="19"/>
      <c r="K1042587" s="19"/>
      <c r="L1042587" s="19"/>
      <c r="M1042587" s="19"/>
      <c r="N1042587" s="19"/>
    </row>
    <row r="1042588" spans="1:14" s="83" customFormat="1" ht="12.75">
      <c r="A1042588" s="19"/>
      <c r="B1042588" s="19"/>
      <c r="C1042588" s="19"/>
      <c r="D1042588" s="19"/>
      <c r="E1042588" s="19"/>
      <c r="F1042588" s="19"/>
      <c r="G1042588" s="19"/>
      <c r="H1042588" s="19"/>
      <c r="I1042588" s="19"/>
      <c r="J1042588" s="19"/>
      <c r="K1042588" s="19"/>
      <c r="L1042588" s="19"/>
      <c r="M1042588" s="19"/>
      <c r="N1042588" s="19"/>
    </row>
    <row r="1042589" spans="1:14" s="83" customFormat="1" ht="12.75">
      <c r="A1042589" s="19"/>
      <c r="B1042589" s="19"/>
      <c r="C1042589" s="19"/>
      <c r="D1042589" s="19"/>
      <c r="E1042589" s="19"/>
      <c r="F1042589" s="19"/>
      <c r="G1042589" s="19"/>
      <c r="H1042589" s="19"/>
      <c r="I1042589" s="19"/>
      <c r="J1042589" s="19"/>
      <c r="K1042589" s="19"/>
      <c r="L1042589" s="19"/>
      <c r="M1042589" s="19"/>
      <c r="N1042589" s="19"/>
    </row>
    <row r="1042590" spans="1:14" s="83" customFormat="1" ht="12.75">
      <c r="A1042590" s="19"/>
      <c r="B1042590" s="19"/>
      <c r="C1042590" s="19"/>
      <c r="D1042590" s="19"/>
      <c r="E1042590" s="19"/>
      <c r="F1042590" s="19"/>
      <c r="G1042590" s="19"/>
      <c r="H1042590" s="19"/>
      <c r="I1042590" s="19"/>
      <c r="J1042590" s="19"/>
      <c r="K1042590" s="19"/>
      <c r="L1042590" s="19"/>
      <c r="M1042590" s="19"/>
      <c r="N1042590" s="19"/>
    </row>
    <row r="1042591" spans="1:14" s="83" customFormat="1" ht="12.75">
      <c r="A1042591" s="19"/>
      <c r="B1042591" s="19"/>
      <c r="C1042591" s="19"/>
      <c r="D1042591" s="19"/>
      <c r="E1042591" s="19"/>
      <c r="F1042591" s="19"/>
      <c r="G1042591" s="19"/>
      <c r="H1042591" s="19"/>
      <c r="I1042591" s="19"/>
      <c r="J1042591" s="19"/>
      <c r="K1042591" s="19"/>
      <c r="L1042591" s="19"/>
      <c r="M1042591" s="19"/>
      <c r="N1042591" s="19"/>
    </row>
    <row r="1042592" spans="1:14" s="83" customFormat="1" ht="12.75">
      <c r="A1042592" s="19"/>
      <c r="B1042592" s="19"/>
      <c r="C1042592" s="19"/>
      <c r="D1042592" s="19"/>
      <c r="E1042592" s="19"/>
      <c r="F1042592" s="19"/>
      <c r="G1042592" s="19"/>
      <c r="H1042592" s="19"/>
      <c r="I1042592" s="19"/>
      <c r="J1042592" s="19"/>
      <c r="K1042592" s="19"/>
      <c r="L1042592" s="19"/>
      <c r="M1042592" s="19"/>
      <c r="N1042592" s="19"/>
    </row>
    <row r="1042593" spans="1:14" s="83" customFormat="1" ht="12.75">
      <c r="A1042593" s="19"/>
      <c r="B1042593" s="19"/>
      <c r="C1042593" s="19"/>
      <c r="D1042593" s="19"/>
      <c r="E1042593" s="19"/>
      <c r="F1042593" s="19"/>
      <c r="G1042593" s="19"/>
      <c r="H1042593" s="19"/>
      <c r="I1042593" s="19"/>
      <c r="J1042593" s="19"/>
      <c r="K1042593" s="19"/>
      <c r="L1042593" s="19"/>
      <c r="M1042593" s="19"/>
      <c r="N1042593" s="19"/>
    </row>
    <row r="1042594" spans="1:14" s="83" customFormat="1" ht="12.75">
      <c r="A1042594" s="19"/>
      <c r="B1042594" s="19"/>
      <c r="C1042594" s="19"/>
      <c r="D1042594" s="19"/>
      <c r="E1042594" s="19"/>
      <c r="F1042594" s="19"/>
      <c r="G1042594" s="19"/>
      <c r="H1042594" s="19"/>
      <c r="I1042594" s="19"/>
      <c r="J1042594" s="19"/>
      <c r="K1042594" s="19"/>
      <c r="L1042594" s="19"/>
      <c r="M1042594" s="19"/>
      <c r="N1042594" s="19"/>
    </row>
    <row r="1042595" spans="1:14" s="83" customFormat="1" ht="12.75">
      <c r="A1042595" s="19"/>
      <c r="B1042595" s="19"/>
      <c r="C1042595" s="19"/>
      <c r="D1042595" s="19"/>
      <c r="E1042595" s="19"/>
      <c r="F1042595" s="19"/>
      <c r="G1042595" s="19"/>
      <c r="H1042595" s="19"/>
      <c r="I1042595" s="19"/>
      <c r="J1042595" s="19"/>
      <c r="K1042595" s="19"/>
      <c r="L1042595" s="19"/>
      <c r="M1042595" s="19"/>
      <c r="N1042595" s="19"/>
    </row>
    <row r="1042596" spans="1:14" s="83" customFormat="1" ht="12.75">
      <c r="A1042596" s="19"/>
      <c r="B1042596" s="19"/>
      <c r="C1042596" s="19"/>
      <c r="D1042596" s="19"/>
      <c r="E1042596" s="19"/>
      <c r="F1042596" s="19"/>
      <c r="G1042596" s="19"/>
      <c r="H1042596" s="19"/>
      <c r="I1042596" s="19"/>
      <c r="J1042596" s="19"/>
      <c r="K1042596" s="19"/>
      <c r="L1042596" s="19"/>
      <c r="M1042596" s="19"/>
      <c r="N1042596" s="19"/>
    </row>
    <row r="1042597" spans="1:14" s="83" customFormat="1" ht="12.75">
      <c r="A1042597" s="19"/>
      <c r="B1042597" s="19"/>
      <c r="C1042597" s="19"/>
      <c r="D1042597" s="19"/>
      <c r="E1042597" s="19"/>
      <c r="F1042597" s="19"/>
      <c r="G1042597" s="19"/>
      <c r="H1042597" s="19"/>
      <c r="I1042597" s="19"/>
      <c r="J1042597" s="19"/>
      <c r="K1042597" s="19"/>
      <c r="L1042597" s="19"/>
      <c r="M1042597" s="19"/>
      <c r="N1042597" s="19"/>
    </row>
    <row r="1042598" spans="1:14" s="83" customFormat="1" ht="12.75">
      <c r="A1042598" s="19"/>
      <c r="B1042598" s="19"/>
      <c r="C1042598" s="19"/>
      <c r="D1042598" s="19"/>
      <c r="E1042598" s="19"/>
      <c r="F1042598" s="19"/>
      <c r="G1042598" s="19"/>
      <c r="H1042598" s="19"/>
      <c r="I1042598" s="19"/>
      <c r="J1042598" s="19"/>
      <c r="K1042598" s="19"/>
      <c r="L1042598" s="19"/>
      <c r="M1042598" s="19"/>
      <c r="N1042598" s="19"/>
    </row>
    <row r="1042599" spans="1:14" s="83" customFormat="1" ht="12.75">
      <c r="A1042599" s="19"/>
      <c r="B1042599" s="19"/>
      <c r="C1042599" s="19"/>
      <c r="D1042599" s="19"/>
      <c r="E1042599" s="19"/>
      <c r="F1042599" s="19"/>
      <c r="G1042599" s="19"/>
      <c r="H1042599" s="19"/>
      <c r="I1042599" s="19"/>
      <c r="J1042599" s="19"/>
      <c r="K1042599" s="19"/>
      <c r="L1042599" s="19"/>
      <c r="M1042599" s="19"/>
      <c r="N1042599" s="19"/>
    </row>
    <row r="1042600" spans="1:14" s="83" customFormat="1" ht="12.75">
      <c r="A1042600" s="19"/>
      <c r="B1042600" s="19"/>
      <c r="C1042600" s="19"/>
      <c r="D1042600" s="19"/>
      <c r="E1042600" s="19"/>
      <c r="F1042600" s="19"/>
      <c r="G1042600" s="19"/>
      <c r="H1042600" s="19"/>
      <c r="I1042600" s="19"/>
      <c r="J1042600" s="19"/>
      <c r="K1042600" s="19"/>
      <c r="L1042600" s="19"/>
      <c r="M1042600" s="19"/>
      <c r="N1042600" s="19"/>
    </row>
    <row r="1042601" spans="1:14" s="83" customFormat="1" ht="12.75">
      <c r="A1042601" s="19"/>
      <c r="B1042601" s="19"/>
      <c r="C1042601" s="19"/>
      <c r="D1042601" s="19"/>
      <c r="E1042601" s="19"/>
      <c r="F1042601" s="19"/>
      <c r="G1042601" s="19"/>
      <c r="H1042601" s="19"/>
      <c r="I1042601" s="19"/>
      <c r="J1042601" s="19"/>
      <c r="K1042601" s="19"/>
      <c r="L1042601" s="19"/>
      <c r="M1042601" s="19"/>
      <c r="N1042601" s="19"/>
    </row>
    <row r="1042602" spans="1:14" s="83" customFormat="1" ht="12.75">
      <c r="A1042602" s="19"/>
      <c r="B1042602" s="19"/>
      <c r="C1042602" s="19"/>
      <c r="D1042602" s="19"/>
      <c r="E1042602" s="19"/>
      <c r="F1042602" s="19"/>
      <c r="G1042602" s="19"/>
      <c r="H1042602" s="19"/>
      <c r="I1042602" s="19"/>
      <c r="J1042602" s="19"/>
      <c r="K1042602" s="19"/>
      <c r="L1042602" s="19"/>
      <c r="M1042602" s="19"/>
      <c r="N1042602" s="19"/>
    </row>
    <row r="1042603" spans="1:14" s="83" customFormat="1" ht="12.75">
      <c r="A1042603" s="19"/>
      <c r="B1042603" s="19"/>
      <c r="C1042603" s="19"/>
      <c r="D1042603" s="19"/>
      <c r="E1042603" s="19"/>
      <c r="F1042603" s="19"/>
      <c r="G1042603" s="19"/>
      <c r="H1042603" s="19"/>
      <c r="I1042603" s="19"/>
      <c r="J1042603" s="19"/>
      <c r="K1042603" s="19"/>
      <c r="L1042603" s="19"/>
      <c r="M1042603" s="19"/>
      <c r="N1042603" s="19"/>
    </row>
    <row r="1042604" spans="1:14" s="83" customFormat="1" ht="12.75">
      <c r="A1042604" s="19"/>
      <c r="B1042604" s="19"/>
      <c r="C1042604" s="19"/>
      <c r="D1042604" s="19"/>
      <c r="E1042604" s="19"/>
      <c r="F1042604" s="19"/>
      <c r="G1042604" s="19"/>
      <c r="H1042604" s="19"/>
      <c r="I1042604" s="19"/>
      <c r="J1042604" s="19"/>
      <c r="K1042604" s="19"/>
      <c r="L1042604" s="19"/>
      <c r="M1042604" s="19"/>
      <c r="N1042604" s="19"/>
    </row>
    <row r="1042605" spans="1:14" s="83" customFormat="1" ht="12.75">
      <c r="A1042605" s="19"/>
      <c r="B1042605" s="19"/>
      <c r="C1042605" s="19"/>
      <c r="D1042605" s="19"/>
      <c r="E1042605" s="19"/>
      <c r="F1042605" s="19"/>
      <c r="G1042605" s="19"/>
      <c r="H1042605" s="19"/>
      <c r="I1042605" s="19"/>
      <c r="J1042605" s="19"/>
      <c r="K1042605" s="19"/>
      <c r="L1042605" s="19"/>
      <c r="M1042605" s="19"/>
      <c r="N1042605" s="19"/>
    </row>
    <row r="1042606" spans="1:14" s="83" customFormat="1" ht="12.75">
      <c r="A1042606" s="19"/>
      <c r="B1042606" s="19"/>
      <c r="C1042606" s="19"/>
      <c r="D1042606" s="19"/>
      <c r="E1042606" s="19"/>
      <c r="F1042606" s="19"/>
      <c r="G1042606" s="19"/>
      <c r="H1042606" s="19"/>
      <c r="I1042606" s="19"/>
      <c r="J1042606" s="19"/>
      <c r="K1042606" s="19"/>
      <c r="L1042606" s="19"/>
      <c r="M1042606" s="19"/>
      <c r="N1042606" s="19"/>
    </row>
    <row r="1042607" spans="1:14" s="83" customFormat="1" ht="12.75">
      <c r="A1042607" s="19"/>
      <c r="B1042607" s="19"/>
      <c r="C1042607" s="19"/>
      <c r="D1042607" s="19"/>
      <c r="E1042607" s="19"/>
      <c r="F1042607" s="19"/>
      <c r="G1042607" s="19"/>
      <c r="H1042607" s="19"/>
      <c r="I1042607" s="19"/>
      <c r="J1042607" s="19"/>
      <c r="K1042607" s="19"/>
      <c r="L1042607" s="19"/>
      <c r="M1042607" s="19"/>
      <c r="N1042607" s="19"/>
    </row>
    <row r="1042608" spans="1:14" s="83" customFormat="1" ht="12.75">
      <c r="A1042608" s="19"/>
      <c r="B1042608" s="19"/>
      <c r="C1042608" s="19"/>
      <c r="D1042608" s="19"/>
      <c r="E1042608" s="19"/>
      <c r="F1042608" s="19"/>
      <c r="G1042608" s="19"/>
      <c r="H1042608" s="19"/>
      <c r="I1042608" s="19"/>
      <c r="J1042608" s="19"/>
      <c r="K1042608" s="19"/>
      <c r="L1042608" s="19"/>
      <c r="M1042608" s="19"/>
      <c r="N1042608" s="19"/>
    </row>
    <row r="1042609" spans="1:14" s="83" customFormat="1" ht="12.75">
      <c r="A1042609" s="19"/>
      <c r="B1042609" s="19"/>
      <c r="C1042609" s="19"/>
      <c r="D1042609" s="19"/>
      <c r="E1042609" s="19"/>
      <c r="F1042609" s="19"/>
      <c r="G1042609" s="19"/>
      <c r="H1042609" s="19"/>
      <c r="I1042609" s="19"/>
      <c r="J1042609" s="19"/>
      <c r="K1042609" s="19"/>
      <c r="L1042609" s="19"/>
      <c r="M1042609" s="19"/>
      <c r="N1042609" s="19"/>
    </row>
    <row r="1042610" spans="1:14" s="83" customFormat="1" ht="12.75">
      <c r="A1042610" s="19"/>
      <c r="B1042610" s="19"/>
      <c r="C1042610" s="19"/>
      <c r="D1042610" s="19"/>
      <c r="E1042610" s="19"/>
      <c r="F1042610" s="19"/>
      <c r="G1042610" s="19"/>
      <c r="H1042610" s="19"/>
      <c r="I1042610" s="19"/>
      <c r="J1042610" s="19"/>
      <c r="K1042610" s="19"/>
      <c r="L1042610" s="19"/>
      <c r="M1042610" s="19"/>
      <c r="N1042610" s="19"/>
    </row>
    <row r="1042611" spans="1:14" s="83" customFormat="1" ht="12.75">
      <c r="A1042611" s="19"/>
      <c r="B1042611" s="19"/>
      <c r="C1042611" s="19"/>
      <c r="D1042611" s="19"/>
      <c r="E1042611" s="19"/>
      <c r="F1042611" s="19"/>
      <c r="G1042611" s="19"/>
      <c r="H1042611" s="19"/>
      <c r="I1042611" s="19"/>
      <c r="J1042611" s="19"/>
      <c r="K1042611" s="19"/>
      <c r="L1042611" s="19"/>
      <c r="M1042611" s="19"/>
      <c r="N1042611" s="19"/>
    </row>
    <row r="1042612" spans="1:14" s="83" customFormat="1" ht="12.75">
      <c r="A1042612" s="19"/>
      <c r="B1042612" s="19"/>
      <c r="C1042612" s="19"/>
      <c r="D1042612" s="19"/>
      <c r="E1042612" s="19"/>
      <c r="F1042612" s="19"/>
      <c r="G1042612" s="19"/>
      <c r="H1042612" s="19"/>
      <c r="I1042612" s="19"/>
      <c r="J1042612" s="19"/>
      <c r="K1042612" s="19"/>
      <c r="L1042612" s="19"/>
      <c r="M1042612" s="19"/>
      <c r="N1042612" s="19"/>
    </row>
    <row r="1042613" spans="1:14" s="83" customFormat="1" ht="12.75">
      <c r="A1042613" s="19"/>
      <c r="B1042613" s="19"/>
      <c r="C1042613" s="19"/>
      <c r="D1042613" s="19"/>
      <c r="E1042613" s="19"/>
      <c r="F1042613" s="19"/>
      <c r="G1042613" s="19"/>
      <c r="H1042613" s="19"/>
      <c r="I1042613" s="19"/>
      <c r="J1042613" s="19"/>
      <c r="K1042613" s="19"/>
      <c r="L1042613" s="19"/>
      <c r="M1042613" s="19"/>
      <c r="N1042613" s="19"/>
    </row>
    <row r="1042614" spans="1:14" s="83" customFormat="1" ht="12.75">
      <c r="A1042614" s="19"/>
      <c r="B1042614" s="19"/>
      <c r="C1042614" s="19"/>
      <c r="D1042614" s="19"/>
      <c r="E1042614" s="19"/>
      <c r="F1042614" s="19"/>
      <c r="G1042614" s="19"/>
      <c r="H1042614" s="19"/>
      <c r="I1042614" s="19"/>
      <c r="J1042614" s="19"/>
      <c r="K1042614" s="19"/>
      <c r="L1042614" s="19"/>
      <c r="M1042614" s="19"/>
      <c r="N1042614" s="19"/>
    </row>
    <row r="1042615" spans="1:14" s="83" customFormat="1" ht="12.75">
      <c r="A1042615" s="19"/>
      <c r="B1042615" s="19"/>
      <c r="C1042615" s="19"/>
      <c r="D1042615" s="19"/>
      <c r="E1042615" s="19"/>
      <c r="F1042615" s="19"/>
      <c r="G1042615" s="19"/>
      <c r="H1042615" s="19"/>
      <c r="I1042615" s="19"/>
      <c r="J1042615" s="19"/>
      <c r="K1042615" s="19"/>
      <c r="L1042615" s="19"/>
      <c r="M1042615" s="19"/>
      <c r="N1042615" s="19"/>
    </row>
    <row r="1042616" spans="1:14" s="83" customFormat="1" ht="12.75">
      <c r="A1042616" s="19"/>
      <c r="B1042616" s="19"/>
      <c r="C1042616" s="19"/>
      <c r="D1042616" s="19"/>
      <c r="E1042616" s="19"/>
      <c r="F1042616" s="19"/>
      <c r="G1042616" s="19"/>
      <c r="H1042616" s="19"/>
      <c r="I1042616" s="19"/>
      <c r="J1042616" s="19"/>
      <c r="K1042616" s="19"/>
      <c r="L1042616" s="19"/>
      <c r="M1042616" s="19"/>
      <c r="N1042616" s="19"/>
    </row>
    <row r="1042617" spans="1:14" s="83" customFormat="1" ht="12.75">
      <c r="A1042617" s="19"/>
      <c r="B1042617" s="19"/>
      <c r="C1042617" s="19"/>
      <c r="D1042617" s="19"/>
      <c r="E1042617" s="19"/>
      <c r="F1042617" s="19"/>
      <c r="G1042617" s="19"/>
      <c r="H1042617" s="19"/>
      <c r="I1042617" s="19"/>
      <c r="J1042617" s="19"/>
      <c r="K1042617" s="19"/>
      <c r="L1042617" s="19"/>
      <c r="M1042617" s="19"/>
      <c r="N1042617" s="19"/>
    </row>
    <row r="1042618" spans="1:14" s="83" customFormat="1" ht="12.75">
      <c r="A1042618" s="19"/>
      <c r="B1042618" s="19"/>
      <c r="C1042618" s="19"/>
      <c r="D1042618" s="19"/>
      <c r="E1042618" s="19"/>
      <c r="F1042618" s="19"/>
      <c r="G1042618" s="19"/>
      <c r="H1042618" s="19"/>
      <c r="I1042618" s="19"/>
      <c r="J1042618" s="19"/>
      <c r="K1042618" s="19"/>
      <c r="L1042618" s="19"/>
      <c r="M1042618" s="19"/>
      <c r="N1042618" s="19"/>
    </row>
    <row r="1042619" spans="1:14" s="83" customFormat="1" ht="12.75">
      <c r="A1042619" s="19"/>
      <c r="B1042619" s="19"/>
      <c r="C1042619" s="19"/>
      <c r="D1042619" s="19"/>
      <c r="E1042619" s="19"/>
      <c r="F1042619" s="19"/>
      <c r="G1042619" s="19"/>
      <c r="H1042619" s="19"/>
      <c r="I1042619" s="19"/>
      <c r="J1042619" s="19"/>
      <c r="K1042619" s="19"/>
      <c r="L1042619" s="19"/>
      <c r="M1042619" s="19"/>
      <c r="N1042619" s="19"/>
    </row>
    <row r="1042620" spans="1:14" s="83" customFormat="1" ht="12.75">
      <c r="A1042620" s="19"/>
      <c r="B1042620" s="19"/>
      <c r="C1042620" s="19"/>
      <c r="D1042620" s="19"/>
      <c r="E1042620" s="19"/>
      <c r="F1042620" s="19"/>
      <c r="G1042620" s="19"/>
      <c r="H1042620" s="19"/>
      <c r="I1042620" s="19"/>
      <c r="J1042620" s="19"/>
      <c r="K1042620" s="19"/>
      <c r="L1042620" s="19"/>
      <c r="M1042620" s="19"/>
      <c r="N1042620" s="19"/>
    </row>
    <row r="1042621" spans="1:14" s="83" customFormat="1" ht="12.75">
      <c r="A1042621" s="19"/>
      <c r="B1042621" s="19"/>
      <c r="C1042621" s="19"/>
      <c r="D1042621" s="19"/>
      <c r="E1042621" s="19"/>
      <c r="F1042621" s="19"/>
      <c r="G1042621" s="19"/>
      <c r="H1042621" s="19"/>
      <c r="I1042621" s="19"/>
      <c r="J1042621" s="19"/>
      <c r="K1042621" s="19"/>
      <c r="L1042621" s="19"/>
      <c r="M1042621" s="19"/>
      <c r="N1042621" s="19"/>
    </row>
    <row r="1042622" spans="1:14" s="83" customFormat="1" ht="12.75">
      <c r="A1042622" s="19"/>
      <c r="B1042622" s="19"/>
      <c r="C1042622" s="19"/>
      <c r="D1042622" s="19"/>
      <c r="E1042622" s="19"/>
      <c r="F1042622" s="19"/>
      <c r="G1042622" s="19"/>
      <c r="H1042622" s="19"/>
      <c r="I1042622" s="19"/>
      <c r="J1042622" s="19"/>
      <c r="K1042622" s="19"/>
      <c r="L1042622" s="19"/>
      <c r="M1042622" s="19"/>
      <c r="N1042622" s="19"/>
    </row>
    <row r="1042623" spans="1:14" s="83" customFormat="1" ht="12.75">
      <c r="A1042623" s="19"/>
      <c r="B1042623" s="19"/>
      <c r="C1042623" s="19"/>
      <c r="D1042623" s="19"/>
      <c r="E1042623" s="19"/>
      <c r="F1042623" s="19"/>
      <c r="G1042623" s="19"/>
      <c r="H1042623" s="19"/>
      <c r="I1042623" s="19"/>
      <c r="J1042623" s="19"/>
      <c r="K1042623" s="19"/>
      <c r="L1042623" s="19"/>
      <c r="M1042623" s="19"/>
      <c r="N1042623" s="19"/>
    </row>
    <row r="1042624" spans="1:14" s="83" customFormat="1" ht="12.75">
      <c r="A1042624" s="19"/>
      <c r="B1042624" s="19"/>
      <c r="C1042624" s="19"/>
      <c r="D1042624" s="19"/>
      <c r="E1042624" s="19"/>
      <c r="F1042624" s="19"/>
      <c r="G1042624" s="19"/>
      <c r="H1042624" s="19"/>
      <c r="I1042624" s="19"/>
      <c r="J1042624" s="19"/>
      <c r="K1042624" s="19"/>
      <c r="L1042624" s="19"/>
      <c r="M1042624" s="19"/>
      <c r="N1042624" s="19"/>
    </row>
    <row r="1042625" spans="1:14" s="83" customFormat="1" ht="12.75">
      <c r="A1042625" s="19"/>
      <c r="B1042625" s="19"/>
      <c r="C1042625" s="19"/>
      <c r="D1042625" s="19"/>
      <c r="E1042625" s="19"/>
      <c r="F1042625" s="19"/>
      <c r="G1042625" s="19"/>
      <c r="H1042625" s="19"/>
      <c r="I1042625" s="19"/>
      <c r="J1042625" s="19"/>
      <c r="K1042625" s="19"/>
      <c r="L1042625" s="19"/>
      <c r="M1042625" s="19"/>
      <c r="N1042625" s="19"/>
    </row>
    <row r="1042626" spans="1:14" s="83" customFormat="1" ht="12.75">
      <c r="A1042626" s="19"/>
      <c r="B1042626" s="19"/>
      <c r="C1042626" s="19"/>
      <c r="D1042626" s="19"/>
      <c r="E1042626" s="19"/>
      <c r="F1042626" s="19"/>
      <c r="G1042626" s="19"/>
      <c r="H1042626" s="19"/>
      <c r="I1042626" s="19"/>
      <c r="J1042626" s="19"/>
      <c r="K1042626" s="19"/>
      <c r="L1042626" s="19"/>
      <c r="M1042626" s="19"/>
      <c r="N1042626" s="19"/>
    </row>
    <row r="1042627" spans="1:14" s="83" customFormat="1" ht="12.75">
      <c r="A1042627" s="19"/>
      <c r="B1042627" s="19"/>
      <c r="C1042627" s="19"/>
      <c r="D1042627" s="19"/>
      <c r="E1042627" s="19"/>
      <c r="F1042627" s="19"/>
      <c r="G1042627" s="19"/>
      <c r="H1042627" s="19"/>
      <c r="I1042627" s="19"/>
      <c r="J1042627" s="19"/>
      <c r="K1042627" s="19"/>
      <c r="L1042627" s="19"/>
      <c r="M1042627" s="19"/>
      <c r="N1042627" s="19"/>
    </row>
    <row r="1042628" spans="1:14" s="83" customFormat="1" ht="12.75">
      <c r="A1042628" s="19"/>
      <c r="B1042628" s="19"/>
      <c r="C1042628" s="19"/>
      <c r="D1042628" s="19"/>
      <c r="E1042628" s="19"/>
      <c r="F1042628" s="19"/>
      <c r="G1042628" s="19"/>
      <c r="H1042628" s="19"/>
      <c r="I1042628" s="19"/>
      <c r="J1042628" s="19"/>
      <c r="K1042628" s="19"/>
      <c r="L1042628" s="19"/>
      <c r="M1042628" s="19"/>
      <c r="N1042628" s="19"/>
    </row>
    <row r="1042629" spans="1:14" s="83" customFormat="1" ht="12.75">
      <c r="A1042629" s="19"/>
      <c r="B1042629" s="19"/>
      <c r="C1042629" s="19"/>
      <c r="D1042629" s="19"/>
      <c r="E1042629" s="19"/>
      <c r="F1042629" s="19"/>
      <c r="G1042629" s="19"/>
      <c r="H1042629" s="19"/>
      <c r="I1042629" s="19"/>
      <c r="J1042629" s="19"/>
      <c r="K1042629" s="19"/>
      <c r="L1042629" s="19"/>
      <c r="M1042629" s="19"/>
      <c r="N1042629" s="19"/>
    </row>
    <row r="1042630" spans="1:14" s="83" customFormat="1" ht="12.75">
      <c r="A1042630" s="19"/>
      <c r="B1042630" s="19"/>
      <c r="C1042630" s="19"/>
      <c r="D1042630" s="19"/>
      <c r="E1042630" s="19"/>
      <c r="F1042630" s="19"/>
      <c r="G1042630" s="19"/>
      <c r="H1042630" s="19"/>
      <c r="I1042630" s="19"/>
      <c r="J1042630" s="19"/>
      <c r="K1042630" s="19"/>
      <c r="L1042630" s="19"/>
      <c r="M1042630" s="19"/>
      <c r="N1042630" s="19"/>
    </row>
    <row r="1042631" spans="1:14" s="83" customFormat="1" ht="12.75">
      <c r="A1042631" s="19"/>
      <c r="B1042631" s="19"/>
      <c r="C1042631" s="19"/>
      <c r="D1042631" s="19"/>
      <c r="E1042631" s="19"/>
      <c r="F1042631" s="19"/>
      <c r="G1042631" s="19"/>
      <c r="H1042631" s="19"/>
      <c r="I1042631" s="19"/>
      <c r="J1042631" s="19"/>
      <c r="K1042631" s="19"/>
      <c r="L1042631" s="19"/>
      <c r="M1042631" s="19"/>
      <c r="N1042631" s="19"/>
    </row>
    <row r="1042632" spans="1:14" s="83" customFormat="1" ht="12.75">
      <c r="A1042632" s="19"/>
      <c r="B1042632" s="19"/>
      <c r="C1042632" s="19"/>
      <c r="D1042632" s="19"/>
      <c r="E1042632" s="19"/>
      <c r="F1042632" s="19"/>
      <c r="G1042632" s="19"/>
      <c r="H1042632" s="19"/>
      <c r="I1042632" s="19"/>
      <c r="J1042632" s="19"/>
      <c r="K1042632" s="19"/>
      <c r="L1042632" s="19"/>
      <c r="M1042632" s="19"/>
      <c r="N1042632" s="19"/>
    </row>
    <row r="1042633" spans="1:14" s="83" customFormat="1" ht="12.75">
      <c r="A1042633" s="19"/>
      <c r="B1042633" s="19"/>
      <c r="C1042633" s="19"/>
      <c r="D1042633" s="19"/>
      <c r="E1042633" s="19"/>
      <c r="F1042633" s="19"/>
      <c r="G1042633" s="19"/>
      <c r="H1042633" s="19"/>
      <c r="I1042633" s="19"/>
      <c r="J1042633" s="19"/>
      <c r="K1042633" s="19"/>
      <c r="L1042633" s="19"/>
      <c r="M1042633" s="19"/>
      <c r="N1042633" s="19"/>
    </row>
    <row r="1042634" spans="1:14" s="83" customFormat="1" ht="12.75">
      <c r="A1042634" s="19"/>
      <c r="B1042634" s="19"/>
      <c r="C1042634" s="19"/>
      <c r="D1042634" s="19"/>
      <c r="E1042634" s="19"/>
      <c r="F1042634" s="19"/>
      <c r="G1042634" s="19"/>
      <c r="H1042634" s="19"/>
      <c r="I1042634" s="19"/>
      <c r="J1042634" s="19"/>
      <c r="K1042634" s="19"/>
      <c r="L1042634" s="19"/>
      <c r="M1042634" s="19"/>
      <c r="N1042634" s="19"/>
    </row>
    <row r="1042635" spans="1:14" s="83" customFormat="1" ht="12.75">
      <c r="A1042635" s="19"/>
      <c r="B1042635" s="19"/>
      <c r="C1042635" s="19"/>
      <c r="D1042635" s="19"/>
      <c r="E1042635" s="19"/>
      <c r="F1042635" s="19"/>
      <c r="G1042635" s="19"/>
      <c r="H1042635" s="19"/>
      <c r="I1042635" s="19"/>
      <c r="J1042635" s="19"/>
      <c r="K1042635" s="19"/>
      <c r="L1042635" s="19"/>
      <c r="M1042635" s="19"/>
      <c r="N1042635" s="19"/>
    </row>
    <row r="1042636" spans="1:14" s="83" customFormat="1" ht="12.75">
      <c r="A1042636" s="19"/>
      <c r="B1042636" s="19"/>
      <c r="C1042636" s="19"/>
      <c r="D1042636" s="19"/>
      <c r="E1042636" s="19"/>
      <c r="F1042636" s="19"/>
      <c r="G1042636" s="19"/>
      <c r="H1042636" s="19"/>
      <c r="I1042636" s="19"/>
      <c r="J1042636" s="19"/>
      <c r="K1042636" s="19"/>
      <c r="L1042636" s="19"/>
      <c r="M1042636" s="19"/>
      <c r="N1042636" s="19"/>
    </row>
    <row r="1042637" spans="1:14" s="83" customFormat="1" ht="12.75">
      <c r="A1042637" s="19"/>
      <c r="B1042637" s="19"/>
      <c r="C1042637" s="19"/>
      <c r="D1042637" s="19"/>
      <c r="E1042637" s="19"/>
      <c r="F1042637" s="19"/>
      <c r="G1042637" s="19"/>
      <c r="H1042637" s="19"/>
      <c r="I1042637" s="19"/>
      <c r="J1042637" s="19"/>
      <c r="K1042637" s="19"/>
      <c r="L1042637" s="19"/>
      <c r="M1042637" s="19"/>
      <c r="N1042637" s="19"/>
    </row>
    <row r="1042638" spans="1:14" s="83" customFormat="1" ht="12.75">
      <c r="A1042638" s="19"/>
      <c r="B1042638" s="19"/>
      <c r="C1042638" s="19"/>
      <c r="D1042638" s="19"/>
      <c r="E1042638" s="19"/>
      <c r="F1042638" s="19"/>
      <c r="G1042638" s="19"/>
      <c r="H1042638" s="19"/>
      <c r="I1042638" s="19"/>
      <c r="J1042638" s="19"/>
      <c r="K1042638" s="19"/>
      <c r="L1042638" s="19"/>
      <c r="M1042638" s="19"/>
      <c r="N1042638" s="19"/>
    </row>
    <row r="1042639" spans="1:14" s="83" customFormat="1" ht="12.75">
      <c r="A1042639" s="19"/>
      <c r="B1042639" s="19"/>
      <c r="C1042639" s="19"/>
      <c r="D1042639" s="19"/>
      <c r="E1042639" s="19"/>
      <c r="F1042639" s="19"/>
      <c r="G1042639" s="19"/>
      <c r="H1042639" s="19"/>
      <c r="I1042639" s="19"/>
      <c r="J1042639" s="19"/>
      <c r="K1042639" s="19"/>
      <c r="L1042639" s="19"/>
      <c r="M1042639" s="19"/>
      <c r="N1042639" s="19"/>
    </row>
    <row r="1042640" spans="1:14" s="83" customFormat="1" ht="12.75">
      <c r="A1042640" s="19"/>
      <c r="B1042640" s="19"/>
      <c r="C1042640" s="19"/>
      <c r="D1042640" s="19"/>
      <c r="E1042640" s="19"/>
      <c r="F1042640" s="19"/>
      <c r="G1042640" s="19"/>
      <c r="H1042640" s="19"/>
      <c r="I1042640" s="19"/>
      <c r="J1042640" s="19"/>
      <c r="K1042640" s="19"/>
      <c r="L1042640" s="19"/>
      <c r="M1042640" s="19"/>
      <c r="N1042640" s="19"/>
    </row>
    <row r="1042641" spans="1:14" s="83" customFormat="1" ht="12.75">
      <c r="A1042641" s="19"/>
      <c r="B1042641" s="19"/>
      <c r="C1042641" s="19"/>
      <c r="D1042641" s="19"/>
      <c r="E1042641" s="19"/>
      <c r="F1042641" s="19"/>
      <c r="G1042641" s="19"/>
      <c r="H1042641" s="19"/>
      <c r="I1042641" s="19"/>
      <c r="J1042641" s="19"/>
      <c r="K1042641" s="19"/>
      <c r="L1042641" s="19"/>
      <c r="M1042641" s="19"/>
      <c r="N1042641" s="19"/>
    </row>
    <row r="1042642" spans="1:14" s="83" customFormat="1" ht="12.75">
      <c r="A1042642" s="19"/>
      <c r="B1042642" s="19"/>
      <c r="C1042642" s="19"/>
      <c r="D1042642" s="19"/>
      <c r="E1042642" s="19"/>
      <c r="F1042642" s="19"/>
      <c r="G1042642" s="19"/>
      <c r="H1042642" s="19"/>
      <c r="I1042642" s="19"/>
      <c r="J1042642" s="19"/>
      <c r="K1042642" s="19"/>
      <c r="L1042642" s="19"/>
      <c r="M1042642" s="19"/>
      <c r="N1042642" s="19"/>
    </row>
    <row r="1042643" spans="1:14" s="83" customFormat="1" ht="12.75">
      <c r="A1042643" s="19"/>
      <c r="B1042643" s="19"/>
      <c r="C1042643" s="19"/>
      <c r="D1042643" s="19"/>
      <c r="E1042643" s="19"/>
      <c r="F1042643" s="19"/>
      <c r="G1042643" s="19"/>
      <c r="H1042643" s="19"/>
      <c r="I1042643" s="19"/>
      <c r="J1042643" s="19"/>
      <c r="K1042643" s="19"/>
      <c r="L1042643" s="19"/>
      <c r="M1042643" s="19"/>
      <c r="N1042643" s="19"/>
    </row>
    <row r="1042644" spans="1:14" s="83" customFormat="1" ht="12.75">
      <c r="A1042644" s="19"/>
      <c r="B1042644" s="19"/>
      <c r="C1042644" s="19"/>
      <c r="D1042644" s="19"/>
      <c r="E1042644" s="19"/>
      <c r="F1042644" s="19"/>
      <c r="G1042644" s="19"/>
      <c r="H1042644" s="19"/>
      <c r="I1042644" s="19"/>
      <c r="J1042644" s="19"/>
      <c r="K1042644" s="19"/>
      <c r="L1042644" s="19"/>
      <c r="M1042644" s="19"/>
      <c r="N1042644" s="19"/>
    </row>
    <row r="1042645" spans="1:14" s="83" customFormat="1" ht="12.75">
      <c r="A1042645" s="19"/>
      <c r="B1042645" s="19"/>
      <c r="C1042645" s="19"/>
      <c r="D1042645" s="19"/>
      <c r="E1042645" s="19"/>
      <c r="F1042645" s="19"/>
      <c r="G1042645" s="19"/>
      <c r="H1042645" s="19"/>
      <c r="I1042645" s="19"/>
      <c r="J1042645" s="19"/>
      <c r="K1042645" s="19"/>
      <c r="L1042645" s="19"/>
      <c r="M1042645" s="19"/>
      <c r="N1042645" s="19"/>
    </row>
    <row r="1042646" spans="1:14" s="83" customFormat="1" ht="12.75">
      <c r="A1042646" s="19"/>
      <c r="B1042646" s="19"/>
      <c r="C1042646" s="19"/>
      <c r="D1042646" s="19"/>
      <c r="E1042646" s="19"/>
      <c r="F1042646" s="19"/>
      <c r="G1042646" s="19"/>
      <c r="H1042646" s="19"/>
      <c r="I1042646" s="19"/>
      <c r="J1042646" s="19"/>
      <c r="K1042646" s="19"/>
      <c r="L1042646" s="19"/>
      <c r="M1042646" s="19"/>
      <c r="N1042646" s="19"/>
    </row>
    <row r="1042647" spans="1:14" s="83" customFormat="1" ht="12.75">
      <c r="A1042647" s="19"/>
      <c r="B1042647" s="19"/>
      <c r="C1042647" s="19"/>
      <c r="D1042647" s="19"/>
      <c r="E1042647" s="19"/>
      <c r="F1042647" s="19"/>
      <c r="G1042647" s="19"/>
      <c r="H1042647" s="19"/>
      <c r="I1042647" s="19"/>
      <c r="J1042647" s="19"/>
      <c r="K1042647" s="19"/>
      <c r="L1042647" s="19"/>
      <c r="M1042647" s="19"/>
      <c r="N1042647" s="19"/>
    </row>
    <row r="1042648" spans="1:14" s="83" customFormat="1" ht="12.75">
      <c r="A1042648" s="19"/>
      <c r="B1042648" s="19"/>
      <c r="C1042648" s="19"/>
      <c r="D1042648" s="19"/>
      <c r="E1042648" s="19"/>
      <c r="F1042648" s="19"/>
      <c r="G1042648" s="19"/>
      <c r="H1042648" s="19"/>
      <c r="I1042648" s="19"/>
      <c r="J1042648" s="19"/>
      <c r="K1042648" s="19"/>
      <c r="L1042648" s="19"/>
      <c r="M1042648" s="19"/>
      <c r="N1042648" s="19"/>
    </row>
    <row r="1042649" spans="1:14" s="83" customFormat="1" ht="12.75">
      <c r="A1042649" s="19"/>
      <c r="B1042649" s="19"/>
      <c r="C1042649" s="19"/>
      <c r="D1042649" s="19"/>
      <c r="E1042649" s="19"/>
      <c r="F1042649" s="19"/>
      <c r="G1042649" s="19"/>
      <c r="H1042649" s="19"/>
      <c r="I1042649" s="19"/>
      <c r="J1042649" s="19"/>
      <c r="K1042649" s="19"/>
      <c r="L1042649" s="19"/>
      <c r="M1042649" s="19"/>
      <c r="N1042649" s="19"/>
    </row>
    <row r="1042650" spans="1:14" s="83" customFormat="1" ht="12.75">
      <c r="A1042650" s="19"/>
      <c r="B1042650" s="19"/>
      <c r="C1042650" s="19"/>
      <c r="D1042650" s="19"/>
      <c r="E1042650" s="19"/>
      <c r="F1042650" s="19"/>
      <c r="G1042650" s="19"/>
      <c r="H1042650" s="19"/>
      <c r="I1042650" s="19"/>
      <c r="J1042650" s="19"/>
      <c r="K1042650" s="19"/>
      <c r="L1042650" s="19"/>
      <c r="M1042650" s="19"/>
      <c r="N1042650" s="19"/>
    </row>
    <row r="1042651" spans="1:14" s="83" customFormat="1" ht="12.75">
      <c r="A1042651" s="19"/>
      <c r="B1042651" s="19"/>
      <c r="C1042651" s="19"/>
      <c r="D1042651" s="19"/>
      <c r="E1042651" s="19"/>
      <c r="F1042651" s="19"/>
      <c r="G1042651" s="19"/>
      <c r="H1042651" s="19"/>
      <c r="I1042651" s="19"/>
      <c r="J1042651" s="19"/>
      <c r="K1042651" s="19"/>
      <c r="L1042651" s="19"/>
      <c r="M1042651" s="19"/>
      <c r="N1042651" s="19"/>
    </row>
    <row r="1042652" spans="1:14" s="83" customFormat="1" ht="12.75">
      <c r="A1042652" s="19"/>
      <c r="B1042652" s="19"/>
      <c r="C1042652" s="19"/>
      <c r="D1042652" s="19"/>
      <c r="E1042652" s="19"/>
      <c r="F1042652" s="19"/>
      <c r="G1042652" s="19"/>
      <c r="H1042652" s="19"/>
      <c r="I1042652" s="19"/>
      <c r="J1042652" s="19"/>
      <c r="K1042652" s="19"/>
      <c r="L1042652" s="19"/>
      <c r="M1042652" s="19"/>
      <c r="N1042652" s="19"/>
    </row>
    <row r="1042653" spans="1:14" s="83" customFormat="1" ht="12.75">
      <c r="A1042653" s="19"/>
      <c r="B1042653" s="19"/>
      <c r="C1042653" s="19"/>
      <c r="D1042653" s="19"/>
      <c r="E1042653" s="19"/>
      <c r="F1042653" s="19"/>
      <c r="G1042653" s="19"/>
      <c r="H1042653" s="19"/>
      <c r="I1042653" s="19"/>
      <c r="J1042653" s="19"/>
      <c r="K1042653" s="19"/>
      <c r="L1042653" s="19"/>
      <c r="M1042653" s="19"/>
      <c r="N1042653" s="19"/>
    </row>
    <row r="1042654" spans="1:14" s="83" customFormat="1" ht="12.75">
      <c r="A1042654" s="19"/>
      <c r="B1042654" s="19"/>
      <c r="C1042654" s="19"/>
      <c r="D1042654" s="19"/>
      <c r="E1042654" s="19"/>
      <c r="F1042654" s="19"/>
      <c r="G1042654" s="19"/>
      <c r="H1042654" s="19"/>
      <c r="I1042654" s="19"/>
      <c r="J1042654" s="19"/>
      <c r="K1042654" s="19"/>
      <c r="L1042654" s="19"/>
      <c r="M1042654" s="19"/>
      <c r="N1042654" s="19"/>
    </row>
    <row r="1042655" spans="1:14" s="83" customFormat="1" ht="12.75">
      <c r="A1042655" s="19"/>
      <c r="B1042655" s="19"/>
      <c r="C1042655" s="19"/>
      <c r="D1042655" s="19"/>
      <c r="E1042655" s="19"/>
      <c r="F1042655" s="19"/>
      <c r="G1042655" s="19"/>
      <c r="H1042655" s="19"/>
      <c r="I1042655" s="19"/>
      <c r="J1042655" s="19"/>
      <c r="K1042655" s="19"/>
      <c r="L1042655" s="19"/>
      <c r="M1042655" s="19"/>
      <c r="N1042655" s="19"/>
    </row>
    <row r="1042656" spans="1:14" s="83" customFormat="1" ht="12.75">
      <c r="A1042656" s="19"/>
      <c r="B1042656" s="19"/>
      <c r="C1042656" s="19"/>
      <c r="D1042656" s="19"/>
      <c r="E1042656" s="19"/>
      <c r="F1042656" s="19"/>
      <c r="G1042656" s="19"/>
      <c r="H1042656" s="19"/>
      <c r="I1042656" s="19"/>
      <c r="J1042656" s="19"/>
      <c r="K1042656" s="19"/>
      <c r="L1042656" s="19"/>
      <c r="M1042656" s="19"/>
      <c r="N1042656" s="19"/>
    </row>
    <row r="1042657" spans="1:14" s="83" customFormat="1" ht="12.75">
      <c r="A1042657" s="19"/>
      <c r="B1042657" s="19"/>
      <c r="C1042657" s="19"/>
      <c r="D1042657" s="19"/>
      <c r="E1042657" s="19"/>
      <c r="F1042657" s="19"/>
      <c r="G1042657" s="19"/>
      <c r="H1042657" s="19"/>
      <c r="I1042657" s="19"/>
      <c r="J1042657" s="19"/>
      <c r="K1042657" s="19"/>
      <c r="L1042657" s="19"/>
      <c r="M1042657" s="19"/>
      <c r="N1042657" s="19"/>
    </row>
    <row r="1042658" spans="1:14" s="83" customFormat="1" ht="12.75">
      <c r="A1042658" s="19"/>
      <c r="B1042658" s="19"/>
      <c r="C1042658" s="19"/>
      <c r="D1042658" s="19"/>
      <c r="E1042658" s="19"/>
      <c r="F1042658" s="19"/>
      <c r="G1042658" s="19"/>
      <c r="H1042658" s="19"/>
      <c r="I1042658" s="19"/>
      <c r="J1042658" s="19"/>
      <c r="K1042658" s="19"/>
      <c r="L1042658" s="19"/>
      <c r="M1042658" s="19"/>
      <c r="N1042658" s="19"/>
    </row>
    <row r="1042659" spans="1:14" s="83" customFormat="1" ht="12.75">
      <c r="A1042659" s="19"/>
      <c r="B1042659" s="19"/>
      <c r="C1042659" s="19"/>
      <c r="D1042659" s="19"/>
      <c r="E1042659" s="19"/>
      <c r="F1042659" s="19"/>
      <c r="G1042659" s="19"/>
      <c r="H1042659" s="19"/>
      <c r="I1042659" s="19"/>
      <c r="J1042659" s="19"/>
      <c r="K1042659" s="19"/>
      <c r="L1042659" s="19"/>
      <c r="M1042659" s="19"/>
      <c r="N1042659" s="19"/>
    </row>
    <row r="1042660" spans="1:14" s="83" customFormat="1" ht="12.75">
      <c r="A1042660" s="19"/>
      <c r="B1042660" s="19"/>
      <c r="C1042660" s="19"/>
      <c r="D1042660" s="19"/>
      <c r="E1042660" s="19"/>
      <c r="F1042660" s="19"/>
      <c r="G1042660" s="19"/>
      <c r="H1042660" s="19"/>
      <c r="I1042660" s="19"/>
      <c r="J1042660" s="19"/>
      <c r="K1042660" s="19"/>
      <c r="L1042660" s="19"/>
      <c r="M1042660" s="19"/>
      <c r="N1042660" s="19"/>
    </row>
    <row r="1042661" spans="1:14" s="83" customFormat="1" ht="12.75">
      <c r="A1042661" s="19"/>
      <c r="B1042661" s="19"/>
      <c r="C1042661" s="19"/>
      <c r="D1042661" s="19"/>
      <c r="E1042661" s="19"/>
      <c r="F1042661" s="19"/>
      <c r="G1042661" s="19"/>
      <c r="H1042661" s="19"/>
      <c r="I1042661" s="19"/>
      <c r="J1042661" s="19"/>
      <c r="K1042661" s="19"/>
      <c r="L1042661" s="19"/>
      <c r="M1042661" s="19"/>
      <c r="N1042661" s="19"/>
    </row>
    <row r="1042662" spans="1:14" s="83" customFormat="1" ht="12.75">
      <c r="A1042662" s="19"/>
      <c r="B1042662" s="19"/>
      <c r="C1042662" s="19"/>
      <c r="D1042662" s="19"/>
      <c r="E1042662" s="19"/>
      <c r="F1042662" s="19"/>
      <c r="G1042662" s="19"/>
      <c r="H1042662" s="19"/>
      <c r="I1042662" s="19"/>
      <c r="J1042662" s="19"/>
      <c r="K1042662" s="19"/>
      <c r="L1042662" s="19"/>
      <c r="M1042662" s="19"/>
      <c r="N1042662" s="19"/>
    </row>
    <row r="1042663" spans="1:14" s="83" customFormat="1" ht="12.75">
      <c r="A1042663" s="19"/>
      <c r="B1042663" s="19"/>
      <c r="C1042663" s="19"/>
      <c r="D1042663" s="19"/>
      <c r="E1042663" s="19"/>
      <c r="F1042663" s="19"/>
      <c r="G1042663" s="19"/>
      <c r="H1042663" s="19"/>
      <c r="I1042663" s="19"/>
      <c r="J1042663" s="19"/>
      <c r="K1042663" s="19"/>
      <c r="L1042663" s="19"/>
      <c r="M1042663" s="19"/>
      <c r="N1042663" s="19"/>
    </row>
    <row r="1042664" spans="1:14" s="83" customFormat="1" ht="12.75">
      <c r="A1042664" s="19"/>
      <c r="B1042664" s="19"/>
      <c r="C1042664" s="19"/>
      <c r="D1042664" s="19"/>
      <c r="E1042664" s="19"/>
      <c r="F1042664" s="19"/>
      <c r="G1042664" s="19"/>
      <c r="H1042664" s="19"/>
      <c r="I1042664" s="19"/>
      <c r="J1042664" s="19"/>
      <c r="K1042664" s="19"/>
      <c r="L1042664" s="19"/>
      <c r="M1042664" s="19"/>
      <c r="N1042664" s="19"/>
    </row>
    <row r="1042665" spans="1:14" s="83" customFormat="1" ht="12.75">
      <c r="A1042665" s="19"/>
      <c r="B1042665" s="19"/>
      <c r="C1042665" s="19"/>
      <c r="D1042665" s="19"/>
      <c r="E1042665" s="19"/>
      <c r="F1042665" s="19"/>
      <c r="G1042665" s="19"/>
      <c r="H1042665" s="19"/>
      <c r="I1042665" s="19"/>
      <c r="J1042665" s="19"/>
      <c r="K1042665" s="19"/>
      <c r="L1042665" s="19"/>
      <c r="M1042665" s="19"/>
      <c r="N1042665" s="19"/>
    </row>
    <row r="1042666" spans="1:14" s="83" customFormat="1" ht="12.75">
      <c r="A1042666" s="19"/>
      <c r="B1042666" s="19"/>
      <c r="C1042666" s="19"/>
      <c r="D1042666" s="19"/>
      <c r="E1042666" s="19"/>
      <c r="F1042666" s="19"/>
      <c r="G1042666" s="19"/>
      <c r="H1042666" s="19"/>
      <c r="I1042666" s="19"/>
      <c r="J1042666" s="19"/>
      <c r="K1042666" s="19"/>
      <c r="L1042666" s="19"/>
      <c r="M1042666" s="19"/>
      <c r="N1042666" s="19"/>
    </row>
    <row r="1042667" spans="1:14" s="83" customFormat="1" ht="12.75">
      <c r="A1042667" s="19"/>
      <c r="B1042667" s="19"/>
      <c r="C1042667" s="19"/>
      <c r="D1042667" s="19"/>
      <c r="E1042667" s="19"/>
      <c r="F1042667" s="19"/>
      <c r="G1042667" s="19"/>
      <c r="H1042667" s="19"/>
      <c r="I1042667" s="19"/>
      <c r="J1042667" s="19"/>
      <c r="K1042667" s="19"/>
      <c r="L1042667" s="19"/>
      <c r="M1042667" s="19"/>
      <c r="N1042667" s="19"/>
    </row>
    <row r="1042668" spans="1:14" s="83" customFormat="1" ht="12.75">
      <c r="A1042668" s="19"/>
      <c r="B1042668" s="19"/>
      <c r="C1042668" s="19"/>
      <c r="D1042668" s="19"/>
      <c r="E1042668" s="19"/>
      <c r="F1042668" s="19"/>
      <c r="G1042668" s="19"/>
      <c r="H1042668" s="19"/>
      <c r="I1042668" s="19"/>
      <c r="J1042668" s="19"/>
      <c r="K1042668" s="19"/>
      <c r="L1042668" s="19"/>
      <c r="M1042668" s="19"/>
      <c r="N1042668" s="19"/>
    </row>
    <row r="1042669" spans="1:14" s="83" customFormat="1" ht="12.75">
      <c r="A1042669" s="19"/>
      <c r="B1042669" s="19"/>
      <c r="C1042669" s="19"/>
      <c r="D1042669" s="19"/>
      <c r="E1042669" s="19"/>
      <c r="F1042669" s="19"/>
      <c r="G1042669" s="19"/>
      <c r="H1042669" s="19"/>
      <c r="I1042669" s="19"/>
      <c r="J1042669" s="19"/>
      <c r="K1042669" s="19"/>
      <c r="L1042669" s="19"/>
      <c r="M1042669" s="19"/>
      <c r="N1042669" s="19"/>
    </row>
    <row r="1042670" spans="1:14" s="83" customFormat="1" ht="12.75">
      <c r="A1042670" s="19"/>
      <c r="B1042670" s="19"/>
      <c r="C1042670" s="19"/>
      <c r="D1042670" s="19"/>
      <c r="E1042670" s="19"/>
      <c r="F1042670" s="19"/>
      <c r="G1042670" s="19"/>
      <c r="H1042670" s="19"/>
      <c r="I1042670" s="19"/>
      <c r="J1042670" s="19"/>
      <c r="K1042670" s="19"/>
      <c r="L1042670" s="19"/>
      <c r="M1042670" s="19"/>
      <c r="N1042670" s="19"/>
    </row>
    <row r="1042671" spans="1:14" s="83" customFormat="1" ht="12.75">
      <c r="A1042671" s="19"/>
      <c r="B1042671" s="19"/>
      <c r="C1042671" s="19"/>
      <c r="D1042671" s="19"/>
      <c r="E1042671" s="19"/>
      <c r="F1042671" s="19"/>
      <c r="G1042671" s="19"/>
      <c r="H1042671" s="19"/>
      <c r="I1042671" s="19"/>
      <c r="J1042671" s="19"/>
      <c r="K1042671" s="19"/>
      <c r="L1042671" s="19"/>
      <c r="M1042671" s="19"/>
      <c r="N1042671" s="19"/>
    </row>
    <row r="1042672" spans="1:14" s="83" customFormat="1" ht="12.75">
      <c r="A1042672" s="19"/>
      <c r="B1042672" s="19"/>
      <c r="C1042672" s="19"/>
      <c r="D1042672" s="19"/>
      <c r="E1042672" s="19"/>
      <c r="F1042672" s="19"/>
      <c r="G1042672" s="19"/>
      <c r="H1042672" s="19"/>
      <c r="I1042672" s="19"/>
      <c r="J1042672" s="19"/>
      <c r="K1042672" s="19"/>
      <c r="L1042672" s="19"/>
      <c r="M1042672" s="19"/>
      <c r="N1042672" s="19"/>
    </row>
    <row r="1042673" spans="1:14" s="83" customFormat="1" ht="12.75">
      <c r="A1042673" s="19"/>
      <c r="B1042673" s="19"/>
      <c r="C1042673" s="19"/>
      <c r="D1042673" s="19"/>
      <c r="E1042673" s="19"/>
      <c r="F1042673" s="19"/>
      <c r="G1042673" s="19"/>
      <c r="H1042673" s="19"/>
      <c r="I1042673" s="19"/>
      <c r="J1042673" s="19"/>
      <c r="K1042673" s="19"/>
      <c r="L1042673" s="19"/>
      <c r="M1042673" s="19"/>
      <c r="N1042673" s="19"/>
    </row>
    <row r="1042674" spans="1:14" s="83" customFormat="1" ht="12.75">
      <c r="A1042674" s="19"/>
      <c r="B1042674" s="19"/>
      <c r="C1042674" s="19"/>
      <c r="D1042674" s="19"/>
      <c r="E1042674" s="19"/>
      <c r="F1042674" s="19"/>
      <c r="G1042674" s="19"/>
      <c r="H1042674" s="19"/>
      <c r="I1042674" s="19"/>
      <c r="J1042674" s="19"/>
      <c r="K1042674" s="19"/>
      <c r="L1042674" s="19"/>
      <c r="M1042674" s="19"/>
      <c r="N1042674" s="19"/>
    </row>
    <row r="1042675" spans="1:14" s="83" customFormat="1" ht="12.75">
      <c r="A1042675" s="19"/>
      <c r="B1042675" s="19"/>
      <c r="C1042675" s="19"/>
      <c r="D1042675" s="19"/>
      <c r="E1042675" s="19"/>
      <c r="F1042675" s="19"/>
      <c r="G1042675" s="19"/>
      <c r="H1042675" s="19"/>
      <c r="I1042675" s="19"/>
      <c r="J1042675" s="19"/>
      <c r="K1042675" s="19"/>
      <c r="L1042675" s="19"/>
      <c r="M1042675" s="19"/>
      <c r="N1042675" s="19"/>
    </row>
    <row r="1042676" spans="1:14" s="83" customFormat="1" ht="12.75">
      <c r="A1042676" s="19"/>
      <c r="B1042676" s="19"/>
      <c r="C1042676" s="19"/>
      <c r="D1042676" s="19"/>
      <c r="E1042676" s="19"/>
      <c r="F1042676" s="19"/>
      <c r="G1042676" s="19"/>
      <c r="H1042676" s="19"/>
      <c r="I1042676" s="19"/>
      <c r="J1042676" s="19"/>
      <c r="K1042676" s="19"/>
      <c r="L1042676" s="19"/>
      <c r="M1042676" s="19"/>
      <c r="N1042676" s="19"/>
    </row>
    <row r="1042677" spans="1:14" s="83" customFormat="1" ht="12.75">
      <c r="A1042677" s="19"/>
      <c r="B1042677" s="19"/>
      <c r="C1042677" s="19"/>
      <c r="D1042677" s="19"/>
      <c r="E1042677" s="19"/>
      <c r="F1042677" s="19"/>
      <c r="G1042677" s="19"/>
      <c r="H1042677" s="19"/>
      <c r="I1042677" s="19"/>
      <c r="J1042677" s="19"/>
      <c r="K1042677" s="19"/>
      <c r="L1042677" s="19"/>
      <c r="M1042677" s="19"/>
      <c r="N1042677" s="19"/>
    </row>
    <row r="1042678" spans="1:14" s="83" customFormat="1" ht="12.75">
      <c r="A1042678" s="19"/>
      <c r="B1042678" s="19"/>
      <c r="C1042678" s="19"/>
      <c r="D1042678" s="19"/>
      <c r="E1042678" s="19"/>
      <c r="F1042678" s="19"/>
      <c r="G1042678" s="19"/>
      <c r="H1042678" s="19"/>
      <c r="I1042678" s="19"/>
      <c r="J1042678" s="19"/>
      <c r="K1042678" s="19"/>
      <c r="L1042678" s="19"/>
      <c r="M1042678" s="19"/>
      <c r="N1042678" s="19"/>
    </row>
    <row r="1042679" spans="1:14" s="83" customFormat="1" ht="12.75">
      <c r="A1042679" s="19"/>
      <c r="B1042679" s="19"/>
      <c r="C1042679" s="19"/>
      <c r="D1042679" s="19"/>
      <c r="E1042679" s="19"/>
      <c r="F1042679" s="19"/>
      <c r="G1042679" s="19"/>
      <c r="H1042679" s="19"/>
      <c r="I1042679" s="19"/>
      <c r="J1042679" s="19"/>
      <c r="K1042679" s="19"/>
      <c r="L1042679" s="19"/>
      <c r="M1042679" s="19"/>
      <c r="N1042679" s="19"/>
    </row>
    <row r="1042680" spans="1:14" s="83" customFormat="1" ht="12.75">
      <c r="A1042680" s="19"/>
      <c r="B1042680" s="19"/>
      <c r="C1042680" s="19"/>
      <c r="D1042680" s="19"/>
      <c r="E1042680" s="19"/>
      <c r="F1042680" s="19"/>
      <c r="G1042680" s="19"/>
      <c r="H1042680" s="19"/>
      <c r="I1042680" s="19"/>
      <c r="J1042680" s="19"/>
      <c r="K1042680" s="19"/>
      <c r="L1042680" s="19"/>
      <c r="M1042680" s="19"/>
      <c r="N1042680" s="19"/>
    </row>
    <row r="1042681" spans="1:14" s="83" customFormat="1" ht="12.75">
      <c r="A1042681" s="19"/>
      <c r="B1042681" s="19"/>
      <c r="C1042681" s="19"/>
      <c r="D1042681" s="19"/>
      <c r="E1042681" s="19"/>
      <c r="F1042681" s="19"/>
      <c r="G1042681" s="19"/>
      <c r="H1042681" s="19"/>
      <c r="I1042681" s="19"/>
      <c r="J1042681" s="19"/>
      <c r="K1042681" s="19"/>
      <c r="L1042681" s="19"/>
      <c r="M1042681" s="19"/>
      <c r="N1042681" s="19"/>
    </row>
    <row r="1042682" spans="1:14" s="83" customFormat="1" ht="12.75">
      <c r="A1042682" s="19"/>
      <c r="B1042682" s="19"/>
      <c r="C1042682" s="19"/>
      <c r="D1042682" s="19"/>
      <c r="E1042682" s="19"/>
      <c r="F1042682" s="19"/>
      <c r="G1042682" s="19"/>
      <c r="H1042682" s="19"/>
      <c r="I1042682" s="19"/>
      <c r="J1042682" s="19"/>
      <c r="K1042682" s="19"/>
      <c r="L1042682" s="19"/>
      <c r="M1042682" s="19"/>
      <c r="N1042682" s="19"/>
    </row>
    <row r="1042683" spans="1:14" s="83" customFormat="1" ht="12.75">
      <c r="A1042683" s="19"/>
      <c r="B1042683" s="19"/>
      <c r="C1042683" s="19"/>
      <c r="D1042683" s="19"/>
      <c r="E1042683" s="19"/>
      <c r="F1042683" s="19"/>
      <c r="G1042683" s="19"/>
      <c r="H1042683" s="19"/>
      <c r="I1042683" s="19"/>
      <c r="J1042683" s="19"/>
      <c r="K1042683" s="19"/>
      <c r="L1042683" s="19"/>
      <c r="M1042683" s="19"/>
      <c r="N1042683" s="19"/>
    </row>
    <row r="1042684" spans="1:14" s="83" customFormat="1" ht="12.75">
      <c r="A1042684" s="19"/>
      <c r="B1042684" s="19"/>
      <c r="C1042684" s="19"/>
      <c r="D1042684" s="19"/>
      <c r="E1042684" s="19"/>
      <c r="F1042684" s="19"/>
      <c r="G1042684" s="19"/>
      <c r="H1042684" s="19"/>
      <c r="I1042684" s="19"/>
      <c r="J1042684" s="19"/>
      <c r="K1042684" s="19"/>
      <c r="L1042684" s="19"/>
      <c r="M1042684" s="19"/>
      <c r="N1042684" s="19"/>
    </row>
    <row r="1042685" spans="1:14" s="83" customFormat="1" ht="12.75">
      <c r="A1042685" s="19"/>
      <c r="B1042685" s="19"/>
      <c r="C1042685" s="19"/>
      <c r="D1042685" s="19"/>
      <c r="E1042685" s="19"/>
      <c r="F1042685" s="19"/>
      <c r="G1042685" s="19"/>
      <c r="H1042685" s="19"/>
      <c r="I1042685" s="19"/>
      <c r="J1042685" s="19"/>
      <c r="K1042685" s="19"/>
      <c r="L1042685" s="19"/>
      <c r="M1042685" s="19"/>
      <c r="N1042685" s="19"/>
    </row>
    <row r="1042686" spans="1:14" s="83" customFormat="1" ht="12.75">
      <c r="A1042686" s="19"/>
      <c r="B1042686" s="19"/>
      <c r="C1042686" s="19"/>
      <c r="D1042686" s="19"/>
      <c r="E1042686" s="19"/>
      <c r="F1042686" s="19"/>
      <c r="G1042686" s="19"/>
      <c r="H1042686" s="19"/>
      <c r="I1042686" s="19"/>
      <c r="J1042686" s="19"/>
      <c r="K1042686" s="19"/>
      <c r="L1042686" s="19"/>
      <c r="M1042686" s="19"/>
      <c r="N1042686" s="19"/>
    </row>
    <row r="1042687" spans="1:14" s="83" customFormat="1" ht="12.75">
      <c r="A1042687" s="19"/>
      <c r="B1042687" s="19"/>
      <c r="C1042687" s="19"/>
      <c r="D1042687" s="19"/>
      <c r="E1042687" s="19"/>
      <c r="F1042687" s="19"/>
      <c r="G1042687" s="19"/>
      <c r="H1042687" s="19"/>
      <c r="I1042687" s="19"/>
      <c r="J1042687" s="19"/>
      <c r="K1042687" s="19"/>
      <c r="L1042687" s="19"/>
      <c r="M1042687" s="19"/>
      <c r="N1042687" s="19"/>
    </row>
    <row r="1042688" spans="1:14" s="83" customFormat="1" ht="12.75">
      <c r="A1042688" s="19"/>
      <c r="B1042688" s="19"/>
      <c r="C1042688" s="19"/>
      <c r="D1042688" s="19"/>
      <c r="E1042688" s="19"/>
      <c r="F1042688" s="19"/>
      <c r="G1042688" s="19"/>
      <c r="H1042688" s="19"/>
      <c r="I1042688" s="19"/>
      <c r="J1042688" s="19"/>
      <c r="K1042688" s="19"/>
      <c r="L1042688" s="19"/>
      <c r="M1042688" s="19"/>
      <c r="N1042688" s="19"/>
    </row>
    <row r="1042689" spans="1:14" s="83" customFormat="1" ht="12.75">
      <c r="A1042689" s="19"/>
      <c r="B1042689" s="19"/>
      <c r="C1042689" s="19"/>
      <c r="D1042689" s="19"/>
      <c r="E1042689" s="19"/>
      <c r="F1042689" s="19"/>
      <c r="G1042689" s="19"/>
      <c r="H1042689" s="19"/>
      <c r="I1042689" s="19"/>
      <c r="J1042689" s="19"/>
      <c r="K1042689" s="19"/>
      <c r="L1042689" s="19"/>
      <c r="M1042689" s="19"/>
      <c r="N1042689" s="19"/>
    </row>
    <row r="1042690" spans="1:14" s="83" customFormat="1" ht="12.75">
      <c r="A1042690" s="19"/>
      <c r="B1042690" s="19"/>
      <c r="C1042690" s="19"/>
      <c r="D1042690" s="19"/>
      <c r="E1042690" s="19"/>
      <c r="F1042690" s="19"/>
      <c r="G1042690" s="19"/>
      <c r="H1042690" s="19"/>
      <c r="I1042690" s="19"/>
      <c r="J1042690" s="19"/>
      <c r="K1042690" s="19"/>
      <c r="L1042690" s="19"/>
      <c r="M1042690" s="19"/>
      <c r="N1042690" s="19"/>
    </row>
    <row r="1042691" spans="1:14" s="83" customFormat="1" ht="12.75">
      <c r="A1042691" s="19"/>
      <c r="B1042691" s="19"/>
      <c r="C1042691" s="19"/>
      <c r="D1042691" s="19"/>
      <c r="E1042691" s="19"/>
      <c r="F1042691" s="19"/>
      <c r="G1042691" s="19"/>
      <c r="H1042691" s="19"/>
      <c r="I1042691" s="19"/>
      <c r="J1042691" s="19"/>
      <c r="K1042691" s="19"/>
      <c r="L1042691" s="19"/>
      <c r="M1042691" s="19"/>
      <c r="N1042691" s="19"/>
    </row>
    <row r="1042692" spans="1:14" s="83" customFormat="1" ht="12.75">
      <c r="A1042692" s="19"/>
      <c r="B1042692" s="19"/>
      <c r="C1042692" s="19"/>
      <c r="D1042692" s="19"/>
      <c r="E1042692" s="19"/>
      <c r="F1042692" s="19"/>
      <c r="G1042692" s="19"/>
      <c r="H1042692" s="19"/>
      <c r="I1042692" s="19"/>
      <c r="J1042692" s="19"/>
      <c r="K1042692" s="19"/>
      <c r="L1042692" s="19"/>
      <c r="M1042692" s="19"/>
      <c r="N1042692" s="19"/>
    </row>
    <row r="1042693" spans="1:14" s="83" customFormat="1" ht="12.75">
      <c r="A1042693" s="19"/>
      <c r="B1042693" s="19"/>
      <c r="C1042693" s="19"/>
      <c r="D1042693" s="19"/>
      <c r="E1042693" s="19"/>
      <c r="F1042693" s="19"/>
      <c r="G1042693" s="19"/>
      <c r="H1042693" s="19"/>
      <c r="I1042693" s="19"/>
      <c r="J1042693" s="19"/>
      <c r="K1042693" s="19"/>
      <c r="L1042693" s="19"/>
      <c r="M1042693" s="19"/>
      <c r="N1042693" s="19"/>
    </row>
    <row r="1042694" spans="1:14" s="83" customFormat="1" ht="12.75">
      <c r="A1042694" s="19"/>
      <c r="B1042694" s="19"/>
      <c r="C1042694" s="19"/>
      <c r="D1042694" s="19"/>
      <c r="E1042694" s="19"/>
      <c r="F1042694" s="19"/>
      <c r="G1042694" s="19"/>
      <c r="H1042694" s="19"/>
      <c r="I1042694" s="19"/>
      <c r="J1042694" s="19"/>
      <c r="K1042694" s="19"/>
      <c r="L1042694" s="19"/>
      <c r="M1042694" s="19"/>
      <c r="N1042694" s="19"/>
    </row>
    <row r="1042695" spans="1:14" s="83" customFormat="1" ht="12.75">
      <c r="A1042695" s="19"/>
      <c r="B1042695" s="19"/>
      <c r="C1042695" s="19"/>
      <c r="D1042695" s="19"/>
      <c r="E1042695" s="19"/>
      <c r="F1042695" s="19"/>
      <c r="G1042695" s="19"/>
      <c r="H1042695" s="19"/>
      <c r="I1042695" s="19"/>
      <c r="J1042695" s="19"/>
      <c r="K1042695" s="19"/>
      <c r="L1042695" s="19"/>
      <c r="M1042695" s="19"/>
      <c r="N1042695" s="19"/>
    </row>
    <row r="1042696" spans="1:14" s="83" customFormat="1" ht="12.75">
      <c r="A1042696" s="19"/>
      <c r="B1042696" s="19"/>
      <c r="C1042696" s="19"/>
      <c r="D1042696" s="19"/>
      <c r="E1042696" s="19"/>
      <c r="F1042696" s="19"/>
      <c r="G1042696" s="19"/>
      <c r="H1042696" s="19"/>
      <c r="I1042696" s="19"/>
      <c r="J1042696" s="19"/>
      <c r="K1042696" s="19"/>
      <c r="L1042696" s="19"/>
      <c r="M1042696" s="19"/>
      <c r="N1042696" s="19"/>
    </row>
    <row r="1042697" spans="1:14" s="83" customFormat="1" ht="12.75">
      <c r="A1042697" s="19"/>
      <c r="B1042697" s="19"/>
      <c r="C1042697" s="19"/>
      <c r="D1042697" s="19"/>
      <c r="E1042697" s="19"/>
      <c r="F1042697" s="19"/>
      <c r="G1042697" s="19"/>
      <c r="H1042697" s="19"/>
      <c r="I1042697" s="19"/>
      <c r="J1042697" s="19"/>
      <c r="K1042697" s="19"/>
      <c r="L1042697" s="19"/>
      <c r="M1042697" s="19"/>
      <c r="N1042697" s="19"/>
    </row>
    <row r="1042698" spans="1:14" s="83" customFormat="1" ht="12.75">
      <c r="A1042698" s="19"/>
      <c r="B1042698" s="19"/>
      <c r="C1042698" s="19"/>
      <c r="D1042698" s="19"/>
      <c r="E1042698" s="19"/>
      <c r="F1042698" s="19"/>
      <c r="G1042698" s="19"/>
      <c r="H1042698" s="19"/>
      <c r="I1042698" s="19"/>
      <c r="J1042698" s="19"/>
      <c r="K1042698" s="19"/>
      <c r="L1042698" s="19"/>
      <c r="M1042698" s="19"/>
      <c r="N1042698" s="19"/>
    </row>
    <row r="1042699" spans="1:14" s="83" customFormat="1" ht="12.75">
      <c r="A1042699" s="19"/>
      <c r="B1042699" s="19"/>
      <c r="C1042699" s="19"/>
      <c r="D1042699" s="19"/>
      <c r="E1042699" s="19"/>
      <c r="F1042699" s="19"/>
      <c r="G1042699" s="19"/>
      <c r="H1042699" s="19"/>
      <c r="I1042699" s="19"/>
      <c r="J1042699" s="19"/>
      <c r="K1042699" s="19"/>
      <c r="L1042699" s="19"/>
      <c r="M1042699" s="19"/>
      <c r="N1042699" s="19"/>
    </row>
    <row r="1042700" spans="1:14" s="83" customFormat="1" ht="12.75">
      <c r="A1042700" s="19"/>
      <c r="B1042700" s="19"/>
      <c r="C1042700" s="19"/>
      <c r="D1042700" s="19"/>
      <c r="E1042700" s="19"/>
      <c r="F1042700" s="19"/>
      <c r="G1042700" s="19"/>
      <c r="H1042700" s="19"/>
      <c r="I1042700" s="19"/>
      <c r="J1042700" s="19"/>
      <c r="K1042700" s="19"/>
      <c r="L1042700" s="19"/>
      <c r="M1042700" s="19"/>
      <c r="N1042700" s="19"/>
    </row>
    <row r="1042701" spans="1:14" s="83" customFormat="1" ht="12.75">
      <c r="A1042701" s="19"/>
      <c r="B1042701" s="19"/>
      <c r="C1042701" s="19"/>
      <c r="D1042701" s="19"/>
      <c r="E1042701" s="19"/>
      <c r="F1042701" s="19"/>
      <c r="G1042701" s="19"/>
      <c r="H1042701" s="19"/>
      <c r="I1042701" s="19"/>
      <c r="J1042701" s="19"/>
      <c r="K1042701" s="19"/>
      <c r="L1042701" s="19"/>
      <c r="M1042701" s="19"/>
      <c r="N1042701" s="19"/>
    </row>
    <row r="1042702" spans="1:14" s="83" customFormat="1" ht="12.75">
      <c r="A1042702" s="19"/>
      <c r="B1042702" s="19"/>
      <c r="C1042702" s="19"/>
      <c r="D1042702" s="19"/>
      <c r="E1042702" s="19"/>
      <c r="F1042702" s="19"/>
      <c r="G1042702" s="19"/>
      <c r="H1042702" s="19"/>
      <c r="I1042702" s="19"/>
      <c r="J1042702" s="19"/>
      <c r="K1042702" s="19"/>
      <c r="L1042702" s="19"/>
      <c r="M1042702" s="19"/>
      <c r="N1042702" s="19"/>
    </row>
    <row r="1042703" spans="1:14" s="83" customFormat="1" ht="12.75">
      <c r="A1042703" s="19"/>
      <c r="B1042703" s="19"/>
      <c r="C1042703" s="19"/>
      <c r="D1042703" s="19"/>
      <c r="E1042703" s="19"/>
      <c r="F1042703" s="19"/>
      <c r="G1042703" s="19"/>
      <c r="H1042703" s="19"/>
      <c r="I1042703" s="19"/>
      <c r="J1042703" s="19"/>
      <c r="K1042703" s="19"/>
      <c r="L1042703" s="19"/>
      <c r="M1042703" s="19"/>
      <c r="N1042703" s="19"/>
    </row>
    <row r="1042704" spans="1:14" s="83" customFormat="1" ht="12.75">
      <c r="A1042704" s="19"/>
      <c r="B1042704" s="19"/>
      <c r="C1042704" s="19"/>
      <c r="D1042704" s="19"/>
      <c r="E1042704" s="19"/>
      <c r="F1042704" s="19"/>
      <c r="G1042704" s="19"/>
      <c r="H1042704" s="19"/>
      <c r="I1042704" s="19"/>
      <c r="J1042704" s="19"/>
      <c r="K1042704" s="19"/>
      <c r="L1042704" s="19"/>
      <c r="M1042704" s="19"/>
      <c r="N1042704" s="19"/>
    </row>
    <row r="1042705" spans="1:14" s="83" customFormat="1" ht="12.75">
      <c r="A1042705" s="19"/>
      <c r="B1042705" s="19"/>
      <c r="C1042705" s="19"/>
      <c r="D1042705" s="19"/>
      <c r="E1042705" s="19"/>
      <c r="F1042705" s="19"/>
      <c r="G1042705" s="19"/>
      <c r="H1042705" s="19"/>
      <c r="I1042705" s="19"/>
      <c r="J1042705" s="19"/>
      <c r="K1042705" s="19"/>
      <c r="L1042705" s="19"/>
      <c r="M1042705" s="19"/>
      <c r="N1042705" s="19"/>
    </row>
    <row r="1042706" spans="1:14" s="83" customFormat="1" ht="12.75">
      <c r="A1042706" s="19"/>
      <c r="B1042706" s="19"/>
      <c r="C1042706" s="19"/>
      <c r="D1042706" s="19"/>
      <c r="E1042706" s="19"/>
      <c r="F1042706" s="19"/>
      <c r="G1042706" s="19"/>
      <c r="H1042706" s="19"/>
      <c r="I1042706" s="19"/>
      <c r="J1042706" s="19"/>
      <c r="K1042706" s="19"/>
      <c r="L1042706" s="19"/>
      <c r="M1042706" s="19"/>
      <c r="N1042706" s="19"/>
    </row>
    <row r="1042707" spans="1:14" s="83" customFormat="1" ht="12.75">
      <c r="A1042707" s="19"/>
      <c r="B1042707" s="19"/>
      <c r="C1042707" s="19"/>
      <c r="D1042707" s="19"/>
      <c r="E1042707" s="19"/>
      <c r="F1042707" s="19"/>
      <c r="G1042707" s="19"/>
      <c r="H1042707" s="19"/>
      <c r="I1042707" s="19"/>
      <c r="J1042707" s="19"/>
      <c r="K1042707" s="19"/>
      <c r="L1042707" s="19"/>
      <c r="M1042707" s="19"/>
      <c r="N1042707" s="19"/>
    </row>
    <row r="1042708" spans="1:14" s="83" customFormat="1" ht="12.75">
      <c r="A1042708" s="19"/>
      <c r="B1042708" s="19"/>
      <c r="C1042708" s="19"/>
      <c r="D1042708" s="19"/>
      <c r="E1042708" s="19"/>
      <c r="F1042708" s="19"/>
      <c r="G1042708" s="19"/>
      <c r="H1042708" s="19"/>
      <c r="I1042708" s="19"/>
      <c r="J1042708" s="19"/>
      <c r="K1042708" s="19"/>
      <c r="L1042708" s="19"/>
      <c r="M1042708" s="19"/>
      <c r="N1042708" s="19"/>
    </row>
    <row r="1042709" spans="1:14" s="83" customFormat="1" ht="12.75">
      <c r="A1042709" s="19"/>
      <c r="B1042709" s="19"/>
      <c r="C1042709" s="19"/>
      <c r="D1042709" s="19"/>
      <c r="E1042709" s="19"/>
      <c r="F1042709" s="19"/>
      <c r="G1042709" s="19"/>
      <c r="H1042709" s="19"/>
      <c r="I1042709" s="19"/>
      <c r="J1042709" s="19"/>
      <c r="K1042709" s="19"/>
      <c r="L1042709" s="19"/>
      <c r="M1042709" s="19"/>
      <c r="N1042709" s="19"/>
    </row>
    <row r="1042710" spans="1:14" s="83" customFormat="1" ht="12.75">
      <c r="A1042710" s="19"/>
      <c r="B1042710" s="19"/>
      <c r="C1042710" s="19"/>
      <c r="D1042710" s="19"/>
      <c r="E1042710" s="19"/>
      <c r="F1042710" s="19"/>
      <c r="G1042710" s="19"/>
      <c r="H1042710" s="19"/>
      <c r="I1042710" s="19"/>
      <c r="J1042710" s="19"/>
      <c r="K1042710" s="19"/>
      <c r="L1042710" s="19"/>
      <c r="M1042710" s="19"/>
      <c r="N1042710" s="19"/>
    </row>
    <row r="1042711" spans="1:14" s="83" customFormat="1" ht="12.75">
      <c r="A1042711" s="19"/>
      <c r="B1042711" s="19"/>
      <c r="C1042711" s="19"/>
      <c r="D1042711" s="19"/>
      <c r="E1042711" s="19"/>
      <c r="F1042711" s="19"/>
      <c r="G1042711" s="19"/>
      <c r="H1042711" s="19"/>
      <c r="I1042711" s="19"/>
      <c r="J1042711" s="19"/>
      <c r="K1042711" s="19"/>
      <c r="L1042711" s="19"/>
      <c r="M1042711" s="19"/>
      <c r="N1042711" s="19"/>
    </row>
    <row r="1042712" spans="1:14" s="83" customFormat="1" ht="12.75">
      <c r="A1042712" s="19"/>
      <c r="B1042712" s="19"/>
      <c r="C1042712" s="19"/>
      <c r="D1042712" s="19"/>
      <c r="E1042712" s="19"/>
      <c r="F1042712" s="19"/>
      <c r="G1042712" s="19"/>
      <c r="H1042712" s="19"/>
      <c r="I1042712" s="19"/>
      <c r="J1042712" s="19"/>
      <c r="K1042712" s="19"/>
      <c r="L1042712" s="19"/>
      <c r="M1042712" s="19"/>
      <c r="N1042712" s="19"/>
    </row>
    <row r="1042713" spans="1:14" s="83" customFormat="1" ht="12.75">
      <c r="A1042713" s="19"/>
      <c r="B1042713" s="19"/>
      <c r="C1042713" s="19"/>
      <c r="D1042713" s="19"/>
      <c r="E1042713" s="19"/>
      <c r="F1042713" s="19"/>
      <c r="G1042713" s="19"/>
      <c r="H1042713" s="19"/>
      <c r="I1042713" s="19"/>
      <c r="J1042713" s="19"/>
      <c r="K1042713" s="19"/>
      <c r="L1042713" s="19"/>
      <c r="M1042713" s="19"/>
      <c r="N1042713" s="19"/>
    </row>
    <row r="1042714" spans="1:14" s="83" customFormat="1" ht="12.75">
      <c r="A1042714" s="19"/>
      <c r="B1042714" s="19"/>
      <c r="C1042714" s="19"/>
      <c r="D1042714" s="19"/>
      <c r="E1042714" s="19"/>
      <c r="F1042714" s="19"/>
      <c r="G1042714" s="19"/>
      <c r="H1042714" s="19"/>
      <c r="I1042714" s="19"/>
      <c r="J1042714" s="19"/>
      <c r="K1042714" s="19"/>
      <c r="L1042714" s="19"/>
      <c r="M1042714" s="19"/>
      <c r="N1042714" s="19"/>
    </row>
    <row r="1042715" spans="1:14" s="83" customFormat="1" ht="12.75">
      <c r="A1042715" s="19"/>
      <c r="B1042715" s="19"/>
      <c r="C1042715" s="19"/>
      <c r="D1042715" s="19"/>
      <c r="E1042715" s="19"/>
      <c r="F1042715" s="19"/>
      <c r="G1042715" s="19"/>
      <c r="H1042715" s="19"/>
      <c r="I1042715" s="19"/>
      <c r="J1042715" s="19"/>
      <c r="K1042715" s="19"/>
      <c r="L1042715" s="19"/>
      <c r="M1042715" s="19"/>
      <c r="N1042715" s="19"/>
    </row>
    <row r="1042716" spans="1:14" s="83" customFormat="1" ht="12.75">
      <c r="A1042716" s="19"/>
      <c r="B1042716" s="19"/>
      <c r="C1042716" s="19"/>
      <c r="D1042716" s="19"/>
      <c r="E1042716" s="19"/>
      <c r="F1042716" s="19"/>
      <c r="G1042716" s="19"/>
      <c r="H1042716" s="19"/>
      <c r="I1042716" s="19"/>
      <c r="J1042716" s="19"/>
      <c r="K1042716" s="19"/>
      <c r="L1042716" s="19"/>
      <c r="M1042716" s="19"/>
      <c r="N1042716" s="19"/>
    </row>
    <row r="1042717" spans="1:14" s="83" customFormat="1" ht="12.75">
      <c r="A1042717" s="19"/>
      <c r="B1042717" s="19"/>
      <c r="C1042717" s="19"/>
      <c r="D1042717" s="19"/>
      <c r="E1042717" s="19"/>
      <c r="F1042717" s="19"/>
      <c r="G1042717" s="19"/>
      <c r="H1042717" s="19"/>
      <c r="I1042717" s="19"/>
      <c r="J1042717" s="19"/>
      <c r="K1042717" s="19"/>
      <c r="L1042717" s="19"/>
      <c r="M1042717" s="19"/>
      <c r="N1042717" s="19"/>
    </row>
    <row r="1042718" spans="1:14" s="83" customFormat="1" ht="12.75">
      <c r="A1042718" s="19"/>
      <c r="B1042718" s="19"/>
      <c r="C1042718" s="19"/>
      <c r="D1042718" s="19"/>
      <c r="E1042718" s="19"/>
      <c r="F1042718" s="19"/>
      <c r="G1042718" s="19"/>
      <c r="H1042718" s="19"/>
      <c r="I1042718" s="19"/>
      <c r="J1042718" s="19"/>
      <c r="K1042718" s="19"/>
      <c r="L1042718" s="19"/>
      <c r="M1042718" s="19"/>
      <c r="N1042718" s="19"/>
    </row>
    <row r="1042719" spans="1:14" s="83" customFormat="1" ht="12.75">
      <c r="A1042719" s="19"/>
      <c r="B1042719" s="19"/>
      <c r="C1042719" s="19"/>
      <c r="D1042719" s="19"/>
      <c r="E1042719" s="19"/>
      <c r="F1042719" s="19"/>
      <c r="G1042719" s="19"/>
      <c r="H1042719" s="19"/>
      <c r="I1042719" s="19"/>
      <c r="J1042719" s="19"/>
      <c r="K1042719" s="19"/>
      <c r="L1042719" s="19"/>
      <c r="M1042719" s="19"/>
      <c r="N1042719" s="19"/>
    </row>
    <row r="1042720" spans="1:14" s="83" customFormat="1" ht="12.75">
      <c r="A1042720" s="19"/>
      <c r="B1042720" s="19"/>
      <c r="C1042720" s="19"/>
      <c r="D1042720" s="19"/>
      <c r="E1042720" s="19"/>
      <c r="F1042720" s="19"/>
      <c r="G1042720" s="19"/>
      <c r="H1042720" s="19"/>
      <c r="I1042720" s="19"/>
      <c r="J1042720" s="19"/>
      <c r="K1042720" s="19"/>
      <c r="L1042720" s="19"/>
      <c r="M1042720" s="19"/>
      <c r="N1042720" s="19"/>
    </row>
    <row r="1042721" spans="1:14" s="83" customFormat="1" ht="12.75">
      <c r="A1042721" s="19"/>
      <c r="B1042721" s="19"/>
      <c r="C1042721" s="19"/>
      <c r="D1042721" s="19"/>
      <c r="E1042721" s="19"/>
      <c r="F1042721" s="19"/>
      <c r="G1042721" s="19"/>
      <c r="H1042721" s="19"/>
      <c r="I1042721" s="19"/>
      <c r="J1042721" s="19"/>
      <c r="K1042721" s="19"/>
      <c r="L1042721" s="19"/>
      <c r="M1042721" s="19"/>
      <c r="N1042721" s="19"/>
    </row>
    <row r="1042722" spans="1:14" s="83" customFormat="1" ht="12.75">
      <c r="A1042722" s="19"/>
      <c r="B1042722" s="19"/>
      <c r="C1042722" s="19"/>
      <c r="D1042722" s="19"/>
      <c r="E1042722" s="19"/>
      <c r="F1042722" s="19"/>
      <c r="G1042722" s="19"/>
      <c r="H1042722" s="19"/>
      <c r="I1042722" s="19"/>
      <c r="J1042722" s="19"/>
      <c r="K1042722" s="19"/>
      <c r="L1042722" s="19"/>
      <c r="M1042722" s="19"/>
      <c r="N1042722" s="19"/>
    </row>
    <row r="1042723" spans="1:14" s="83" customFormat="1" ht="12.75">
      <c r="A1042723" s="19"/>
      <c r="B1042723" s="19"/>
      <c r="C1042723" s="19"/>
      <c r="D1042723" s="19"/>
      <c r="E1042723" s="19"/>
      <c r="F1042723" s="19"/>
      <c r="G1042723" s="19"/>
      <c r="H1042723" s="19"/>
      <c r="I1042723" s="19"/>
      <c r="J1042723" s="19"/>
      <c r="K1042723" s="19"/>
      <c r="L1042723" s="19"/>
      <c r="M1042723" s="19"/>
      <c r="N1042723" s="19"/>
    </row>
    <row r="1042724" spans="1:14" s="83" customFormat="1" ht="12.75">
      <c r="A1042724" s="19"/>
      <c r="B1042724" s="19"/>
      <c r="C1042724" s="19"/>
      <c r="D1042724" s="19"/>
      <c r="E1042724" s="19"/>
      <c r="F1042724" s="19"/>
      <c r="G1042724" s="19"/>
      <c r="H1042724" s="19"/>
      <c r="I1042724" s="19"/>
      <c r="J1042724" s="19"/>
      <c r="K1042724" s="19"/>
      <c r="L1042724" s="19"/>
      <c r="M1042724" s="19"/>
      <c r="N1042724" s="19"/>
    </row>
    <row r="1042725" spans="1:14" s="83" customFormat="1" ht="12.75">
      <c r="A1042725" s="19"/>
      <c r="B1042725" s="19"/>
      <c r="C1042725" s="19"/>
      <c r="D1042725" s="19"/>
      <c r="E1042725" s="19"/>
      <c r="F1042725" s="19"/>
      <c r="G1042725" s="19"/>
      <c r="H1042725" s="19"/>
      <c r="I1042725" s="19"/>
      <c r="J1042725" s="19"/>
      <c r="K1042725" s="19"/>
      <c r="L1042725" s="19"/>
      <c r="M1042725" s="19"/>
      <c r="N1042725" s="19"/>
    </row>
    <row r="1042726" spans="1:14" s="83" customFormat="1" ht="12.75">
      <c r="A1042726" s="19"/>
      <c r="B1042726" s="19"/>
      <c r="C1042726" s="19"/>
      <c r="D1042726" s="19"/>
      <c r="E1042726" s="19"/>
      <c r="F1042726" s="19"/>
      <c r="G1042726" s="19"/>
      <c r="H1042726" s="19"/>
      <c r="I1042726" s="19"/>
      <c r="J1042726" s="19"/>
      <c r="K1042726" s="19"/>
      <c r="L1042726" s="19"/>
      <c r="M1042726" s="19"/>
      <c r="N1042726" s="19"/>
    </row>
    <row r="1042727" spans="1:14" s="83" customFormat="1" ht="12.75">
      <c r="A1042727" s="19"/>
      <c r="B1042727" s="19"/>
      <c r="C1042727" s="19"/>
      <c r="D1042727" s="19"/>
      <c r="E1042727" s="19"/>
      <c r="F1042727" s="19"/>
      <c r="G1042727" s="19"/>
      <c r="H1042727" s="19"/>
      <c r="I1042727" s="19"/>
      <c r="J1042727" s="19"/>
      <c r="K1042727" s="19"/>
      <c r="L1042727" s="19"/>
      <c r="M1042727" s="19"/>
      <c r="N1042727" s="19"/>
    </row>
    <row r="1042728" spans="1:14" s="83" customFormat="1" ht="12.75">
      <c r="A1042728" s="19"/>
      <c r="B1042728" s="19"/>
      <c r="C1042728" s="19"/>
      <c r="D1042728" s="19"/>
      <c r="E1042728" s="19"/>
      <c r="F1042728" s="19"/>
      <c r="G1042728" s="19"/>
      <c r="H1042728" s="19"/>
      <c r="I1042728" s="19"/>
      <c r="J1042728" s="19"/>
      <c r="K1042728" s="19"/>
      <c r="L1042728" s="19"/>
      <c r="M1042728" s="19"/>
      <c r="N1042728" s="19"/>
    </row>
    <row r="1042729" spans="1:14" s="83" customFormat="1" ht="12.75">
      <c r="A1042729" s="19"/>
      <c r="B1042729" s="19"/>
      <c r="C1042729" s="19"/>
      <c r="D1042729" s="19"/>
      <c r="E1042729" s="19"/>
      <c r="F1042729" s="19"/>
      <c r="G1042729" s="19"/>
      <c r="H1042729" s="19"/>
      <c r="I1042729" s="19"/>
      <c r="J1042729" s="19"/>
      <c r="K1042729" s="19"/>
      <c r="L1042729" s="19"/>
      <c r="M1042729" s="19"/>
      <c r="N1042729" s="19"/>
    </row>
    <row r="1042730" spans="1:14" s="83" customFormat="1" ht="12.75">
      <c r="A1042730" s="19"/>
      <c r="B1042730" s="19"/>
      <c r="C1042730" s="19"/>
      <c r="D1042730" s="19"/>
      <c r="E1042730" s="19"/>
      <c r="F1042730" s="19"/>
      <c r="G1042730" s="19"/>
      <c r="H1042730" s="19"/>
      <c r="I1042730" s="19"/>
      <c r="J1042730" s="19"/>
      <c r="K1042730" s="19"/>
      <c r="L1042730" s="19"/>
      <c r="M1042730" s="19"/>
      <c r="N1042730" s="19"/>
    </row>
    <row r="1042731" spans="1:14" s="83" customFormat="1" ht="12.75">
      <c r="A1042731" s="19"/>
      <c r="B1042731" s="19"/>
      <c r="C1042731" s="19"/>
      <c r="D1042731" s="19"/>
      <c r="E1042731" s="19"/>
      <c r="F1042731" s="19"/>
      <c r="G1042731" s="19"/>
      <c r="H1042731" s="19"/>
      <c r="I1042731" s="19"/>
      <c r="J1042731" s="19"/>
      <c r="K1042731" s="19"/>
      <c r="L1042731" s="19"/>
      <c r="M1042731" s="19"/>
      <c r="N1042731" s="19"/>
    </row>
    <row r="1042732" spans="1:14" s="83" customFormat="1" ht="12.75">
      <c r="A1042732" s="19"/>
      <c r="B1042732" s="19"/>
      <c r="C1042732" s="19"/>
      <c r="D1042732" s="19"/>
      <c r="E1042732" s="19"/>
      <c r="F1042732" s="19"/>
      <c r="G1042732" s="19"/>
      <c r="H1042732" s="19"/>
      <c r="I1042732" s="19"/>
      <c r="J1042732" s="19"/>
      <c r="K1042732" s="19"/>
      <c r="L1042732" s="19"/>
      <c r="M1042732" s="19"/>
      <c r="N1042732" s="19"/>
    </row>
    <row r="1042733" spans="1:14" s="83" customFormat="1" ht="12.75">
      <c r="A1042733" s="19"/>
      <c r="B1042733" s="19"/>
      <c r="C1042733" s="19"/>
      <c r="D1042733" s="19"/>
      <c r="E1042733" s="19"/>
      <c r="F1042733" s="19"/>
      <c r="G1042733" s="19"/>
      <c r="H1042733" s="19"/>
      <c r="I1042733" s="19"/>
      <c r="J1042733" s="19"/>
      <c r="K1042733" s="19"/>
      <c r="L1042733" s="19"/>
      <c r="M1042733" s="19"/>
      <c r="N1042733" s="19"/>
    </row>
    <row r="1042734" spans="1:14" s="83" customFormat="1" ht="12.75">
      <c r="A1042734" s="19"/>
      <c r="B1042734" s="19"/>
      <c r="C1042734" s="19"/>
      <c r="D1042734" s="19"/>
      <c r="E1042734" s="19"/>
      <c r="F1042734" s="19"/>
      <c r="G1042734" s="19"/>
      <c r="H1042734" s="19"/>
      <c r="I1042734" s="19"/>
      <c r="J1042734" s="19"/>
      <c r="K1042734" s="19"/>
      <c r="L1042734" s="19"/>
      <c r="M1042734" s="19"/>
      <c r="N1042734" s="19"/>
    </row>
    <row r="1042735" spans="1:14" s="83" customFormat="1" ht="12.75">
      <c r="A1042735" s="19"/>
      <c r="B1042735" s="19"/>
      <c r="C1042735" s="19"/>
      <c r="D1042735" s="19"/>
      <c r="E1042735" s="19"/>
      <c r="F1042735" s="19"/>
      <c r="G1042735" s="19"/>
      <c r="H1042735" s="19"/>
      <c r="I1042735" s="19"/>
      <c r="J1042735" s="19"/>
      <c r="K1042735" s="19"/>
      <c r="L1042735" s="19"/>
      <c r="M1042735" s="19"/>
      <c r="N1042735" s="19"/>
    </row>
    <row r="1042736" spans="1:14" s="83" customFormat="1" ht="12.75">
      <c r="A1042736" s="19"/>
      <c r="B1042736" s="19"/>
      <c r="C1042736" s="19"/>
      <c r="D1042736" s="19"/>
      <c r="E1042736" s="19"/>
      <c r="F1042736" s="19"/>
      <c r="G1042736" s="19"/>
      <c r="H1042736" s="19"/>
      <c r="I1042736" s="19"/>
      <c r="J1042736" s="19"/>
      <c r="K1042736" s="19"/>
      <c r="L1042736" s="19"/>
      <c r="M1042736" s="19"/>
      <c r="N1042736" s="19"/>
    </row>
    <row r="1042737" spans="1:14" s="83" customFormat="1" ht="12.75">
      <c r="A1042737" s="19"/>
      <c r="B1042737" s="19"/>
      <c r="C1042737" s="19"/>
      <c r="D1042737" s="19"/>
      <c r="E1042737" s="19"/>
      <c r="F1042737" s="19"/>
      <c r="G1042737" s="19"/>
      <c r="H1042737" s="19"/>
      <c r="I1042737" s="19"/>
      <c r="J1042737" s="19"/>
      <c r="K1042737" s="19"/>
      <c r="L1042737" s="19"/>
      <c r="M1042737" s="19"/>
      <c r="N1042737" s="19"/>
    </row>
    <row r="1042738" spans="1:14" s="83" customFormat="1" ht="12.75">
      <c r="A1042738" s="19"/>
      <c r="B1042738" s="19"/>
      <c r="C1042738" s="19"/>
      <c r="D1042738" s="19"/>
      <c r="E1042738" s="19"/>
      <c r="F1042738" s="19"/>
      <c r="G1042738" s="19"/>
      <c r="H1042738" s="19"/>
      <c r="I1042738" s="19"/>
      <c r="J1042738" s="19"/>
      <c r="K1042738" s="19"/>
      <c r="L1042738" s="19"/>
      <c r="M1042738" s="19"/>
      <c r="N1042738" s="19"/>
    </row>
    <row r="1042739" spans="1:14" s="83" customFormat="1" ht="12.75">
      <c r="A1042739" s="19"/>
      <c r="B1042739" s="19"/>
      <c r="C1042739" s="19"/>
      <c r="D1042739" s="19"/>
      <c r="E1042739" s="19"/>
      <c r="F1042739" s="19"/>
      <c r="G1042739" s="19"/>
      <c r="H1042739" s="19"/>
      <c r="I1042739" s="19"/>
      <c r="J1042739" s="19"/>
      <c r="K1042739" s="19"/>
      <c r="L1042739" s="19"/>
      <c r="M1042739" s="19"/>
      <c r="N1042739" s="19"/>
    </row>
    <row r="1042740" spans="1:14" s="83" customFormat="1" ht="12.75">
      <c r="A1042740" s="19"/>
      <c r="B1042740" s="19"/>
      <c r="C1042740" s="19"/>
      <c r="D1042740" s="19"/>
      <c r="E1042740" s="19"/>
      <c r="F1042740" s="19"/>
      <c r="G1042740" s="19"/>
      <c r="H1042740" s="19"/>
      <c r="I1042740" s="19"/>
      <c r="J1042740" s="19"/>
      <c r="K1042740" s="19"/>
      <c r="L1042740" s="19"/>
      <c r="M1042740" s="19"/>
      <c r="N1042740" s="19"/>
    </row>
    <row r="1042741" spans="1:14" s="83" customFormat="1" ht="12.75">
      <c r="A1042741" s="19"/>
      <c r="B1042741" s="19"/>
      <c r="C1042741" s="19"/>
      <c r="D1042741" s="19"/>
      <c r="E1042741" s="19"/>
      <c r="F1042741" s="19"/>
      <c r="G1042741" s="19"/>
      <c r="H1042741" s="19"/>
      <c r="I1042741" s="19"/>
      <c r="J1042741" s="19"/>
      <c r="K1042741" s="19"/>
      <c r="L1042741" s="19"/>
      <c r="M1042741" s="19"/>
      <c r="N1042741" s="19"/>
    </row>
    <row r="1042742" spans="1:14" s="83" customFormat="1" ht="12.75">
      <c r="A1042742" s="19"/>
      <c r="B1042742" s="19"/>
      <c r="C1042742" s="19"/>
      <c r="D1042742" s="19"/>
      <c r="E1042742" s="19"/>
      <c r="F1042742" s="19"/>
      <c r="G1042742" s="19"/>
      <c r="H1042742" s="19"/>
      <c r="I1042742" s="19"/>
      <c r="J1042742" s="19"/>
      <c r="K1042742" s="19"/>
      <c r="L1042742" s="19"/>
      <c r="M1042742" s="19"/>
      <c r="N1042742" s="19"/>
    </row>
    <row r="1042743" spans="1:14" s="83" customFormat="1" ht="12.75">
      <c r="A1042743" s="19"/>
      <c r="B1042743" s="19"/>
      <c r="C1042743" s="19"/>
      <c r="D1042743" s="19"/>
      <c r="E1042743" s="19"/>
      <c r="F1042743" s="19"/>
      <c r="G1042743" s="19"/>
      <c r="H1042743" s="19"/>
      <c r="I1042743" s="19"/>
      <c r="J1042743" s="19"/>
      <c r="K1042743" s="19"/>
      <c r="L1042743" s="19"/>
      <c r="M1042743" s="19"/>
      <c r="N1042743" s="19"/>
    </row>
    <row r="1042744" spans="1:14" s="83" customFormat="1" ht="12.75">
      <c r="A1042744" s="19"/>
      <c r="B1042744" s="19"/>
      <c r="C1042744" s="19"/>
      <c r="D1042744" s="19"/>
      <c r="E1042744" s="19"/>
      <c r="F1042744" s="19"/>
      <c r="G1042744" s="19"/>
      <c r="H1042744" s="19"/>
      <c r="I1042744" s="19"/>
      <c r="J1042744" s="19"/>
      <c r="K1042744" s="19"/>
      <c r="L1042744" s="19"/>
      <c r="M1042744" s="19"/>
      <c r="N1042744" s="19"/>
    </row>
    <row r="1042745" spans="1:14" s="83" customFormat="1" ht="12.75">
      <c r="A1042745" s="19"/>
      <c r="B1042745" s="19"/>
      <c r="C1042745" s="19"/>
      <c r="D1042745" s="19"/>
      <c r="E1042745" s="19"/>
      <c r="F1042745" s="19"/>
      <c r="G1042745" s="19"/>
      <c r="H1042745" s="19"/>
      <c r="I1042745" s="19"/>
      <c r="J1042745" s="19"/>
      <c r="K1042745" s="19"/>
      <c r="L1042745" s="19"/>
      <c r="M1042745" s="19"/>
      <c r="N1042745" s="19"/>
    </row>
    <row r="1042746" spans="1:14" s="83" customFormat="1" ht="12.75">
      <c r="A1042746" s="19"/>
      <c r="B1042746" s="19"/>
      <c r="C1042746" s="19"/>
      <c r="D1042746" s="19"/>
      <c r="E1042746" s="19"/>
      <c r="F1042746" s="19"/>
      <c r="G1042746" s="19"/>
      <c r="H1042746" s="19"/>
      <c r="I1042746" s="19"/>
      <c r="J1042746" s="19"/>
      <c r="K1042746" s="19"/>
      <c r="L1042746" s="19"/>
      <c r="M1042746" s="19"/>
      <c r="N1042746" s="19"/>
    </row>
    <row r="1042747" spans="1:14" s="83" customFormat="1" ht="12.75">
      <c r="A1042747" s="19"/>
      <c r="B1042747" s="19"/>
      <c r="C1042747" s="19"/>
      <c r="D1042747" s="19"/>
      <c r="E1042747" s="19"/>
      <c r="F1042747" s="19"/>
      <c r="G1042747" s="19"/>
      <c r="H1042747" s="19"/>
      <c r="I1042747" s="19"/>
      <c r="J1042747" s="19"/>
      <c r="K1042747" s="19"/>
      <c r="L1042747" s="19"/>
      <c r="M1042747" s="19"/>
      <c r="N1042747" s="19"/>
    </row>
    <row r="1042748" spans="1:14" s="83" customFormat="1" ht="12.75">
      <c r="A1042748" s="19"/>
      <c r="B1042748" s="19"/>
      <c r="C1042748" s="19"/>
      <c r="D1042748" s="19"/>
      <c r="E1042748" s="19"/>
      <c r="F1042748" s="19"/>
      <c r="G1042748" s="19"/>
      <c r="H1042748" s="19"/>
      <c r="I1042748" s="19"/>
      <c r="J1042748" s="19"/>
      <c r="K1042748" s="19"/>
      <c r="L1042748" s="19"/>
      <c r="M1042748" s="19"/>
      <c r="N1042748" s="19"/>
    </row>
    <row r="1042749" spans="1:14" s="83" customFormat="1" ht="12.75">
      <c r="A1042749" s="19"/>
      <c r="B1042749" s="19"/>
      <c r="C1042749" s="19"/>
      <c r="D1042749" s="19"/>
      <c r="E1042749" s="19"/>
      <c r="F1042749" s="19"/>
      <c r="G1042749" s="19"/>
      <c r="H1042749" s="19"/>
      <c r="I1042749" s="19"/>
      <c r="J1042749" s="19"/>
      <c r="K1042749" s="19"/>
      <c r="L1042749" s="19"/>
      <c r="M1042749" s="19"/>
      <c r="N1042749" s="19"/>
    </row>
    <row r="1042750" spans="1:14" s="83" customFormat="1" ht="12.75">
      <c r="A1042750" s="19"/>
      <c r="B1042750" s="19"/>
      <c r="C1042750" s="19"/>
      <c r="D1042750" s="19"/>
      <c r="E1042750" s="19"/>
      <c r="F1042750" s="19"/>
      <c r="G1042750" s="19"/>
      <c r="H1042750" s="19"/>
      <c r="I1042750" s="19"/>
      <c r="J1042750" s="19"/>
      <c r="K1042750" s="19"/>
      <c r="L1042750" s="19"/>
      <c r="M1042750" s="19"/>
      <c r="N1042750" s="19"/>
    </row>
    <row r="1042751" spans="1:14" s="83" customFormat="1" ht="12.75">
      <c r="A1042751" s="19"/>
      <c r="B1042751" s="19"/>
      <c r="C1042751" s="19"/>
      <c r="D1042751" s="19"/>
      <c r="E1042751" s="19"/>
      <c r="F1042751" s="19"/>
      <c r="G1042751" s="19"/>
      <c r="H1042751" s="19"/>
      <c r="I1042751" s="19"/>
      <c r="J1042751" s="19"/>
      <c r="K1042751" s="19"/>
      <c r="L1042751" s="19"/>
      <c r="M1042751" s="19"/>
      <c r="N1042751" s="19"/>
    </row>
    <row r="1042752" spans="1:14" s="83" customFormat="1" ht="12.75">
      <c r="A1042752" s="19"/>
      <c r="B1042752" s="19"/>
      <c r="C1042752" s="19"/>
      <c r="D1042752" s="19"/>
      <c r="E1042752" s="19"/>
      <c r="F1042752" s="19"/>
      <c r="G1042752" s="19"/>
      <c r="H1042752" s="19"/>
      <c r="I1042752" s="19"/>
      <c r="J1042752" s="19"/>
      <c r="K1042752" s="19"/>
      <c r="L1042752" s="19"/>
      <c r="M1042752" s="19"/>
      <c r="N1042752" s="19"/>
    </row>
    <row r="1042753" spans="1:14" s="83" customFormat="1" ht="12.75">
      <c r="A1042753" s="19"/>
      <c r="B1042753" s="19"/>
      <c r="C1042753" s="19"/>
      <c r="D1042753" s="19"/>
      <c r="E1042753" s="19"/>
      <c r="F1042753" s="19"/>
      <c r="G1042753" s="19"/>
      <c r="H1042753" s="19"/>
      <c r="I1042753" s="19"/>
      <c r="J1042753" s="19"/>
      <c r="K1042753" s="19"/>
      <c r="L1042753" s="19"/>
      <c r="M1042753" s="19"/>
      <c r="N1042753" s="19"/>
    </row>
    <row r="1042754" spans="1:14" s="83" customFormat="1" ht="12.75">
      <c r="A1042754" s="19"/>
      <c r="B1042754" s="19"/>
      <c r="C1042754" s="19"/>
      <c r="D1042754" s="19"/>
      <c r="E1042754" s="19"/>
      <c r="F1042754" s="19"/>
      <c r="G1042754" s="19"/>
      <c r="H1042754" s="19"/>
      <c r="I1042754" s="19"/>
      <c r="J1042754" s="19"/>
      <c r="K1042754" s="19"/>
      <c r="L1042754" s="19"/>
      <c r="M1042754" s="19"/>
      <c r="N1042754" s="19"/>
    </row>
    <row r="1042755" spans="1:14" s="83" customFormat="1" ht="12.75">
      <c r="A1042755" s="19"/>
      <c r="B1042755" s="19"/>
      <c r="C1042755" s="19"/>
      <c r="D1042755" s="19"/>
      <c r="E1042755" s="19"/>
      <c r="F1042755" s="19"/>
      <c r="G1042755" s="19"/>
      <c r="H1042755" s="19"/>
      <c r="I1042755" s="19"/>
      <c r="J1042755" s="19"/>
      <c r="K1042755" s="19"/>
      <c r="L1042755" s="19"/>
      <c r="M1042755" s="19"/>
      <c r="N1042755" s="19"/>
    </row>
    <row r="1042756" spans="1:14" s="83" customFormat="1" ht="12.75">
      <c r="A1042756" s="19"/>
      <c r="B1042756" s="19"/>
      <c r="C1042756" s="19"/>
      <c r="D1042756" s="19"/>
      <c r="E1042756" s="19"/>
      <c r="F1042756" s="19"/>
      <c r="G1042756" s="19"/>
      <c r="H1042756" s="19"/>
      <c r="I1042756" s="19"/>
      <c r="J1042756" s="19"/>
      <c r="K1042756" s="19"/>
      <c r="L1042756" s="19"/>
      <c r="M1042756" s="19"/>
      <c r="N1042756" s="19"/>
    </row>
    <row r="1042757" spans="1:14" s="83" customFormat="1" ht="12.75">
      <c r="A1042757" s="19"/>
      <c r="B1042757" s="19"/>
      <c r="C1042757" s="19"/>
      <c r="D1042757" s="19"/>
      <c r="E1042757" s="19"/>
      <c r="F1042757" s="19"/>
      <c r="G1042757" s="19"/>
      <c r="H1042757" s="19"/>
      <c r="I1042757" s="19"/>
      <c r="J1042757" s="19"/>
      <c r="K1042757" s="19"/>
      <c r="L1042757" s="19"/>
      <c r="M1042757" s="19"/>
      <c r="N1042757" s="19"/>
    </row>
    <row r="1042758" spans="1:14" s="83" customFormat="1" ht="12.75">
      <c r="A1042758" s="19"/>
      <c r="B1042758" s="19"/>
      <c r="C1042758" s="19"/>
      <c r="D1042758" s="19"/>
      <c r="E1042758" s="19"/>
      <c r="F1042758" s="19"/>
      <c r="G1042758" s="19"/>
      <c r="H1042758" s="19"/>
      <c r="I1042758" s="19"/>
      <c r="J1042758" s="19"/>
      <c r="K1042758" s="19"/>
      <c r="L1042758" s="19"/>
      <c r="M1042758" s="19"/>
      <c r="N1042758" s="19"/>
    </row>
    <row r="1042759" spans="1:14" s="83" customFormat="1" ht="12.75">
      <c r="A1042759" s="19"/>
      <c r="B1042759" s="19"/>
      <c r="C1042759" s="19"/>
      <c r="D1042759" s="19"/>
      <c r="E1042759" s="19"/>
      <c r="F1042759" s="19"/>
      <c r="G1042759" s="19"/>
      <c r="H1042759" s="19"/>
      <c r="I1042759" s="19"/>
      <c r="J1042759" s="19"/>
      <c r="K1042759" s="19"/>
      <c r="L1042759" s="19"/>
      <c r="M1042759" s="19"/>
      <c r="N1042759" s="19"/>
    </row>
    <row r="1042760" spans="1:14" s="83" customFormat="1" ht="12.75">
      <c r="A1042760" s="19"/>
      <c r="B1042760" s="19"/>
      <c r="C1042760" s="19"/>
      <c r="D1042760" s="19"/>
      <c r="E1042760" s="19"/>
      <c r="F1042760" s="19"/>
      <c r="G1042760" s="19"/>
      <c r="H1042760" s="19"/>
      <c r="I1042760" s="19"/>
      <c r="J1042760" s="19"/>
      <c r="K1042760" s="19"/>
      <c r="L1042760" s="19"/>
      <c r="M1042760" s="19"/>
      <c r="N1042760" s="19"/>
    </row>
    <row r="1042761" spans="1:14" s="83" customFormat="1" ht="12.75">
      <c r="A1042761" s="19"/>
      <c r="B1042761" s="19"/>
      <c r="C1042761" s="19"/>
      <c r="D1042761" s="19"/>
      <c r="E1042761" s="19"/>
      <c r="F1042761" s="19"/>
      <c r="G1042761" s="19"/>
      <c r="H1042761" s="19"/>
      <c r="I1042761" s="19"/>
      <c r="J1042761" s="19"/>
      <c r="K1042761" s="19"/>
      <c r="L1042761" s="19"/>
      <c r="M1042761" s="19"/>
      <c r="N1042761" s="19"/>
    </row>
    <row r="1042762" spans="1:14" s="83" customFormat="1" ht="12.75">
      <c r="A1042762" s="19"/>
      <c r="B1042762" s="19"/>
      <c r="C1042762" s="19"/>
      <c r="D1042762" s="19"/>
      <c r="E1042762" s="19"/>
      <c r="F1042762" s="19"/>
      <c r="G1042762" s="19"/>
      <c r="H1042762" s="19"/>
      <c r="I1042762" s="19"/>
      <c r="J1042762" s="19"/>
      <c r="K1042762" s="19"/>
      <c r="L1042762" s="19"/>
      <c r="M1042762" s="19"/>
      <c r="N1042762" s="19"/>
    </row>
    <row r="1042763" spans="1:14" s="83" customFormat="1" ht="12.75">
      <c r="A1042763" s="19"/>
      <c r="B1042763" s="19"/>
      <c r="C1042763" s="19"/>
      <c r="D1042763" s="19"/>
      <c r="E1042763" s="19"/>
      <c r="F1042763" s="19"/>
      <c r="G1042763" s="19"/>
      <c r="H1042763" s="19"/>
      <c r="I1042763" s="19"/>
      <c r="J1042763" s="19"/>
      <c r="K1042763" s="19"/>
      <c r="L1042763" s="19"/>
      <c r="M1042763" s="19"/>
      <c r="N1042763" s="19"/>
    </row>
    <row r="1042764" spans="1:14" s="83" customFormat="1" ht="12.75">
      <c r="A1042764" s="19"/>
      <c r="B1042764" s="19"/>
      <c r="C1042764" s="19"/>
      <c r="D1042764" s="19"/>
      <c r="E1042764" s="19"/>
      <c r="F1042764" s="19"/>
      <c r="G1042764" s="19"/>
      <c r="H1042764" s="19"/>
      <c r="I1042764" s="19"/>
      <c r="J1042764" s="19"/>
      <c r="K1042764" s="19"/>
      <c r="L1042764" s="19"/>
      <c r="M1042764" s="19"/>
      <c r="N1042764" s="19"/>
    </row>
    <row r="1042765" spans="1:14" s="83" customFormat="1" ht="12.75">
      <c r="A1042765" s="19"/>
      <c r="B1042765" s="19"/>
      <c r="C1042765" s="19"/>
      <c r="D1042765" s="19"/>
      <c r="E1042765" s="19"/>
      <c r="F1042765" s="19"/>
      <c r="G1042765" s="19"/>
      <c r="H1042765" s="19"/>
      <c r="I1042765" s="19"/>
      <c r="J1042765" s="19"/>
      <c r="K1042765" s="19"/>
      <c r="L1042765" s="19"/>
      <c r="M1042765" s="19"/>
      <c r="N1042765" s="19"/>
    </row>
    <row r="1042766" spans="1:14" s="83" customFormat="1" ht="12.75">
      <c r="A1042766" s="19"/>
      <c r="B1042766" s="19"/>
      <c r="C1042766" s="19"/>
      <c r="D1042766" s="19"/>
      <c r="E1042766" s="19"/>
      <c r="F1042766" s="19"/>
      <c r="G1042766" s="19"/>
      <c r="H1042766" s="19"/>
      <c r="I1042766" s="19"/>
      <c r="J1042766" s="19"/>
      <c r="K1042766" s="19"/>
      <c r="L1042766" s="19"/>
      <c r="M1042766" s="19"/>
      <c r="N1042766" s="19"/>
    </row>
    <row r="1042767" spans="1:14" s="83" customFormat="1" ht="12.75">
      <c r="A1042767" s="19"/>
      <c r="B1042767" s="19"/>
      <c r="C1042767" s="19"/>
      <c r="D1042767" s="19"/>
      <c r="E1042767" s="19"/>
      <c r="F1042767" s="19"/>
      <c r="G1042767" s="19"/>
      <c r="H1042767" s="19"/>
      <c r="I1042767" s="19"/>
      <c r="J1042767" s="19"/>
      <c r="K1042767" s="19"/>
      <c r="L1042767" s="19"/>
      <c r="M1042767" s="19"/>
      <c r="N1042767" s="19"/>
    </row>
    <row r="1042768" spans="1:14" s="83" customFormat="1" ht="12.75">
      <c r="A1042768" s="19"/>
      <c r="B1042768" s="19"/>
      <c r="C1042768" s="19"/>
      <c r="D1042768" s="19"/>
      <c r="E1042768" s="19"/>
      <c r="F1042768" s="19"/>
      <c r="G1042768" s="19"/>
      <c r="H1042768" s="19"/>
      <c r="I1042768" s="19"/>
      <c r="J1042768" s="19"/>
      <c r="K1042768" s="19"/>
      <c r="L1042768" s="19"/>
      <c r="M1042768" s="19"/>
      <c r="N1042768" s="19"/>
    </row>
    <row r="1042769" spans="1:14" s="83" customFormat="1" ht="12.75">
      <c r="A1042769" s="19"/>
      <c r="B1042769" s="19"/>
      <c r="C1042769" s="19"/>
      <c r="D1042769" s="19"/>
      <c r="E1042769" s="19"/>
      <c r="F1042769" s="19"/>
      <c r="G1042769" s="19"/>
      <c r="H1042769" s="19"/>
      <c r="I1042769" s="19"/>
      <c r="J1042769" s="19"/>
      <c r="K1042769" s="19"/>
      <c r="L1042769" s="19"/>
      <c r="M1042769" s="19"/>
      <c r="N1042769" s="19"/>
    </row>
    <row r="1042770" spans="1:14" s="83" customFormat="1" ht="12.75">
      <c r="A1042770" s="19"/>
      <c r="B1042770" s="19"/>
      <c r="C1042770" s="19"/>
      <c r="D1042770" s="19"/>
      <c r="E1042770" s="19"/>
      <c r="F1042770" s="19"/>
      <c r="G1042770" s="19"/>
      <c r="H1042770" s="19"/>
      <c r="I1042770" s="19"/>
      <c r="J1042770" s="19"/>
      <c r="K1042770" s="19"/>
      <c r="L1042770" s="19"/>
      <c r="M1042770" s="19"/>
      <c r="N1042770" s="19"/>
    </row>
    <row r="1042771" spans="1:14" s="83" customFormat="1" ht="12.75">
      <c r="A1042771" s="19"/>
      <c r="B1042771" s="19"/>
      <c r="C1042771" s="19"/>
      <c r="D1042771" s="19"/>
      <c r="E1042771" s="19"/>
      <c r="F1042771" s="19"/>
      <c r="G1042771" s="19"/>
      <c r="H1042771" s="19"/>
      <c r="I1042771" s="19"/>
      <c r="J1042771" s="19"/>
      <c r="K1042771" s="19"/>
      <c r="L1042771" s="19"/>
      <c r="M1042771" s="19"/>
      <c r="N1042771" s="19"/>
    </row>
    <row r="1042772" spans="1:14" s="83" customFormat="1" ht="12.75">
      <c r="A1042772" s="19"/>
      <c r="B1042772" s="19"/>
      <c r="C1042772" s="19"/>
      <c r="D1042772" s="19"/>
      <c r="E1042772" s="19"/>
      <c r="F1042772" s="19"/>
      <c r="G1042772" s="19"/>
      <c r="H1042772" s="19"/>
      <c r="I1042772" s="19"/>
      <c r="J1042772" s="19"/>
      <c r="K1042772" s="19"/>
      <c r="L1042772" s="19"/>
      <c r="M1042772" s="19"/>
      <c r="N1042772" s="19"/>
    </row>
    <row r="1042773" spans="1:14" s="83" customFormat="1" ht="12.75">
      <c r="A1042773" s="19"/>
      <c r="B1042773" s="19"/>
      <c r="C1042773" s="19"/>
      <c r="D1042773" s="19"/>
      <c r="E1042773" s="19"/>
      <c r="F1042773" s="19"/>
      <c r="G1042773" s="19"/>
      <c r="H1042773" s="19"/>
      <c r="I1042773" s="19"/>
      <c r="J1042773" s="19"/>
      <c r="K1042773" s="19"/>
      <c r="L1042773" s="19"/>
      <c r="M1042773" s="19"/>
      <c r="N1042773" s="19"/>
    </row>
    <row r="1042774" spans="1:14" s="83" customFormat="1" ht="12.75">
      <c r="A1042774" s="19"/>
      <c r="B1042774" s="19"/>
      <c r="C1042774" s="19"/>
      <c r="D1042774" s="19"/>
      <c r="E1042774" s="19"/>
      <c r="F1042774" s="19"/>
      <c r="G1042774" s="19"/>
      <c r="H1042774" s="19"/>
      <c r="I1042774" s="19"/>
      <c r="J1042774" s="19"/>
      <c r="K1042774" s="19"/>
      <c r="L1042774" s="19"/>
      <c r="M1042774" s="19"/>
      <c r="N1042774" s="19"/>
    </row>
    <row r="1042775" spans="1:14" s="83" customFormat="1" ht="12.75">
      <c r="A1042775" s="19"/>
      <c r="B1042775" s="19"/>
      <c r="C1042775" s="19"/>
      <c r="D1042775" s="19"/>
      <c r="E1042775" s="19"/>
      <c r="F1042775" s="19"/>
      <c r="G1042775" s="19"/>
      <c r="H1042775" s="19"/>
      <c r="I1042775" s="19"/>
      <c r="J1042775" s="19"/>
      <c r="K1042775" s="19"/>
      <c r="L1042775" s="19"/>
      <c r="M1042775" s="19"/>
      <c r="N1042775" s="19"/>
    </row>
    <row r="1042776" spans="1:14" s="83" customFormat="1" ht="12.75">
      <c r="A1042776" s="19"/>
      <c r="B1042776" s="19"/>
      <c r="C1042776" s="19"/>
      <c r="D1042776" s="19"/>
      <c r="E1042776" s="19"/>
      <c r="F1042776" s="19"/>
      <c r="G1042776" s="19"/>
      <c r="H1042776" s="19"/>
      <c r="I1042776" s="19"/>
      <c r="J1042776" s="19"/>
      <c r="K1042776" s="19"/>
      <c r="L1042776" s="19"/>
      <c r="M1042776" s="19"/>
      <c r="N1042776" s="19"/>
    </row>
    <row r="1042777" spans="1:14" s="83" customFormat="1" ht="12.75">
      <c r="A1042777" s="19"/>
      <c r="B1042777" s="19"/>
      <c r="C1042777" s="19"/>
      <c r="D1042777" s="19"/>
      <c r="E1042777" s="19"/>
      <c r="F1042777" s="19"/>
      <c r="G1042777" s="19"/>
      <c r="H1042777" s="19"/>
      <c r="I1042777" s="19"/>
      <c r="J1042777" s="19"/>
      <c r="K1042777" s="19"/>
      <c r="L1042777" s="19"/>
      <c r="M1042777" s="19"/>
      <c r="N1042777" s="19"/>
    </row>
    <row r="1042778" spans="1:14" s="83" customFormat="1" ht="12.75">
      <c r="A1042778" s="19"/>
      <c r="B1042778" s="19"/>
      <c r="C1042778" s="19"/>
      <c r="D1042778" s="19"/>
      <c r="E1042778" s="19"/>
      <c r="F1042778" s="19"/>
      <c r="G1042778" s="19"/>
      <c r="H1042778" s="19"/>
      <c r="I1042778" s="19"/>
      <c r="J1042778" s="19"/>
      <c r="K1042778" s="19"/>
      <c r="L1042778" s="19"/>
      <c r="M1042778" s="19"/>
      <c r="N1042778" s="19"/>
    </row>
    <row r="1042779" spans="1:14" s="83" customFormat="1" ht="12.75">
      <c r="A1042779" s="19"/>
      <c r="B1042779" s="19"/>
      <c r="C1042779" s="19"/>
      <c r="D1042779" s="19"/>
      <c r="E1042779" s="19"/>
      <c r="F1042779" s="19"/>
      <c r="G1042779" s="19"/>
      <c r="H1042779" s="19"/>
      <c r="I1042779" s="19"/>
      <c r="J1042779" s="19"/>
      <c r="K1042779" s="19"/>
      <c r="L1042779" s="19"/>
      <c r="M1042779" s="19"/>
      <c r="N1042779" s="19"/>
    </row>
    <row r="1042780" spans="1:14" s="83" customFormat="1" ht="12.75">
      <c r="A1042780" s="19"/>
      <c r="B1042780" s="19"/>
      <c r="C1042780" s="19"/>
      <c r="D1042780" s="19"/>
      <c r="E1042780" s="19"/>
      <c r="F1042780" s="19"/>
      <c r="G1042780" s="19"/>
      <c r="H1042780" s="19"/>
      <c r="I1042780" s="19"/>
      <c r="J1042780" s="19"/>
      <c r="K1042780" s="19"/>
      <c r="L1042780" s="19"/>
      <c r="M1042780" s="19"/>
      <c r="N1042780" s="19"/>
    </row>
    <row r="1042781" spans="1:14" s="83" customFormat="1" ht="12.75">
      <c r="A1042781" s="19"/>
      <c r="B1042781" s="19"/>
      <c r="C1042781" s="19"/>
      <c r="D1042781" s="19"/>
      <c r="E1042781" s="19"/>
      <c r="F1042781" s="19"/>
      <c r="G1042781" s="19"/>
      <c r="H1042781" s="19"/>
      <c r="I1042781" s="19"/>
      <c r="J1042781" s="19"/>
      <c r="K1042781" s="19"/>
      <c r="L1042781" s="19"/>
      <c r="M1042781" s="19"/>
      <c r="N1042781" s="19"/>
    </row>
    <row r="1042782" spans="1:14" s="83" customFormat="1" ht="12.75">
      <c r="A1042782" s="19"/>
      <c r="B1042782" s="19"/>
      <c r="C1042782" s="19"/>
      <c r="D1042782" s="19"/>
      <c r="E1042782" s="19"/>
      <c r="F1042782" s="19"/>
      <c r="G1042782" s="19"/>
      <c r="H1042782" s="19"/>
      <c r="I1042782" s="19"/>
      <c r="J1042782" s="19"/>
      <c r="K1042782" s="19"/>
      <c r="L1042782" s="19"/>
      <c r="M1042782" s="19"/>
      <c r="N1042782" s="19"/>
    </row>
    <row r="1042783" spans="1:14" s="83" customFormat="1" ht="12.75">
      <c r="A1042783" s="19"/>
      <c r="B1042783" s="19"/>
      <c r="C1042783" s="19"/>
      <c r="D1042783" s="19"/>
      <c r="E1042783" s="19"/>
      <c r="F1042783" s="19"/>
      <c r="G1042783" s="19"/>
      <c r="H1042783" s="19"/>
      <c r="I1042783" s="19"/>
      <c r="J1042783" s="19"/>
      <c r="K1042783" s="19"/>
      <c r="L1042783" s="19"/>
      <c r="M1042783" s="19"/>
      <c r="N1042783" s="19"/>
    </row>
    <row r="1042784" spans="1:14" s="83" customFormat="1" ht="12.75">
      <c r="A1042784" s="19"/>
      <c r="B1042784" s="19"/>
      <c r="C1042784" s="19"/>
      <c r="D1042784" s="19"/>
      <c r="E1042784" s="19"/>
      <c r="F1042784" s="19"/>
      <c r="G1042784" s="19"/>
      <c r="H1042784" s="19"/>
      <c r="I1042784" s="19"/>
      <c r="J1042784" s="19"/>
      <c r="K1042784" s="19"/>
      <c r="L1042784" s="19"/>
      <c r="M1042784" s="19"/>
      <c r="N1042784" s="19"/>
    </row>
    <row r="1042785" spans="1:14" s="83" customFormat="1" ht="12.75">
      <c r="A1042785" s="19"/>
      <c r="B1042785" s="19"/>
      <c r="C1042785" s="19"/>
      <c r="D1042785" s="19"/>
      <c r="E1042785" s="19"/>
      <c r="F1042785" s="19"/>
      <c r="G1042785" s="19"/>
      <c r="H1042785" s="19"/>
      <c r="I1042785" s="19"/>
      <c r="J1042785" s="19"/>
      <c r="K1042785" s="19"/>
      <c r="L1042785" s="19"/>
      <c r="M1042785" s="19"/>
      <c r="N1042785" s="19"/>
    </row>
    <row r="1042786" spans="1:14" s="83" customFormat="1" ht="12.75">
      <c r="A1042786" s="19"/>
      <c r="B1042786" s="19"/>
      <c r="C1042786" s="19"/>
      <c r="D1042786" s="19"/>
      <c r="E1042786" s="19"/>
      <c r="F1042786" s="19"/>
      <c r="G1042786" s="19"/>
      <c r="H1042786" s="19"/>
      <c r="I1042786" s="19"/>
      <c r="J1042786" s="19"/>
      <c r="K1042786" s="19"/>
      <c r="L1042786" s="19"/>
      <c r="M1042786" s="19"/>
      <c r="N1042786" s="19"/>
    </row>
    <row r="1042787" spans="1:14" s="83" customFormat="1" ht="12.75">
      <c r="A1042787" s="19"/>
      <c r="B1042787" s="19"/>
      <c r="C1042787" s="19"/>
      <c r="D1042787" s="19"/>
      <c r="E1042787" s="19"/>
      <c r="F1042787" s="19"/>
      <c r="G1042787" s="19"/>
      <c r="H1042787" s="19"/>
      <c r="I1042787" s="19"/>
      <c r="J1042787" s="19"/>
      <c r="K1042787" s="19"/>
      <c r="L1042787" s="19"/>
      <c r="M1042787" s="19"/>
      <c r="N1042787" s="19"/>
    </row>
    <row r="1042788" spans="1:14" s="83" customFormat="1" ht="12.75">
      <c r="A1042788" s="19"/>
      <c r="B1042788" s="19"/>
      <c r="C1042788" s="19"/>
      <c r="D1042788" s="19"/>
      <c r="E1042788" s="19"/>
      <c r="F1042788" s="19"/>
      <c r="G1042788" s="19"/>
      <c r="H1042788" s="19"/>
      <c r="I1042788" s="19"/>
      <c r="J1042788" s="19"/>
      <c r="K1042788" s="19"/>
      <c r="L1042788" s="19"/>
      <c r="M1042788" s="19"/>
      <c r="N1042788" s="19"/>
    </row>
    <row r="1042789" spans="1:14" s="83" customFormat="1" ht="12.75">
      <c r="A1042789" s="19"/>
      <c r="B1042789" s="19"/>
      <c r="C1042789" s="19"/>
      <c r="D1042789" s="19"/>
      <c r="E1042789" s="19"/>
      <c r="F1042789" s="19"/>
      <c r="G1042789" s="19"/>
      <c r="H1042789" s="19"/>
      <c r="I1042789" s="19"/>
      <c r="J1042789" s="19"/>
      <c r="K1042789" s="19"/>
      <c r="L1042789" s="19"/>
      <c r="M1042789" s="19"/>
      <c r="N1042789" s="19"/>
    </row>
    <row r="1042790" spans="1:14" s="83" customFormat="1" ht="12.75">
      <c r="A1042790" s="19"/>
      <c r="B1042790" s="19"/>
      <c r="C1042790" s="19"/>
      <c r="D1042790" s="19"/>
      <c r="E1042790" s="19"/>
      <c r="F1042790" s="19"/>
      <c r="G1042790" s="19"/>
      <c r="H1042790" s="19"/>
      <c r="I1042790" s="19"/>
      <c r="J1042790" s="19"/>
      <c r="K1042790" s="19"/>
      <c r="L1042790" s="19"/>
      <c r="M1042790" s="19"/>
      <c r="N1042790" s="19"/>
    </row>
    <row r="1042791" spans="1:14" s="83" customFormat="1" ht="12.75">
      <c r="A1042791" s="19"/>
      <c r="B1042791" s="19"/>
      <c r="C1042791" s="19"/>
      <c r="D1042791" s="19"/>
      <c r="E1042791" s="19"/>
      <c r="F1042791" s="19"/>
      <c r="G1042791" s="19"/>
      <c r="H1042791" s="19"/>
      <c r="I1042791" s="19"/>
      <c r="J1042791" s="19"/>
      <c r="K1042791" s="19"/>
      <c r="L1042791" s="19"/>
      <c r="M1042791" s="19"/>
      <c r="N1042791" s="19"/>
    </row>
    <row r="1042792" spans="1:14" s="83" customFormat="1" ht="12.75">
      <c r="A1042792" s="19"/>
      <c r="B1042792" s="19"/>
      <c r="C1042792" s="19"/>
      <c r="D1042792" s="19"/>
      <c r="E1042792" s="19"/>
      <c r="F1042792" s="19"/>
      <c r="G1042792" s="19"/>
      <c r="H1042792" s="19"/>
      <c r="I1042792" s="19"/>
      <c r="J1042792" s="19"/>
      <c r="K1042792" s="19"/>
      <c r="L1042792" s="19"/>
      <c r="M1042792" s="19"/>
      <c r="N1042792" s="19"/>
    </row>
    <row r="1042793" spans="1:14" s="83" customFormat="1" ht="12.75">
      <c r="A1042793" s="19"/>
      <c r="B1042793" s="19"/>
      <c r="C1042793" s="19"/>
      <c r="D1042793" s="19"/>
      <c r="E1042793" s="19"/>
      <c r="F1042793" s="19"/>
      <c r="G1042793" s="19"/>
      <c r="H1042793" s="19"/>
      <c r="I1042793" s="19"/>
      <c r="J1042793" s="19"/>
      <c r="K1042793" s="19"/>
      <c r="L1042793" s="19"/>
      <c r="M1042793" s="19"/>
      <c r="N1042793" s="19"/>
    </row>
    <row r="1042794" spans="1:14" s="83" customFormat="1" ht="12.75">
      <c r="A1042794" s="19"/>
      <c r="B1042794" s="19"/>
      <c r="C1042794" s="19"/>
      <c r="D1042794" s="19"/>
      <c r="E1042794" s="19"/>
      <c r="F1042794" s="19"/>
      <c r="G1042794" s="19"/>
      <c r="H1042794" s="19"/>
      <c r="I1042794" s="19"/>
      <c r="J1042794" s="19"/>
      <c r="K1042794" s="19"/>
      <c r="L1042794" s="19"/>
      <c r="M1042794" s="19"/>
      <c r="N1042794" s="19"/>
    </row>
    <row r="1042795" spans="1:14" s="83" customFormat="1" ht="12.75">
      <c r="A1042795" s="19"/>
      <c r="B1042795" s="19"/>
      <c r="C1042795" s="19"/>
      <c r="D1042795" s="19"/>
      <c r="E1042795" s="19"/>
      <c r="F1042795" s="19"/>
      <c r="G1042795" s="19"/>
      <c r="H1042795" s="19"/>
      <c r="I1042795" s="19"/>
      <c r="J1042795" s="19"/>
      <c r="K1042795" s="19"/>
      <c r="L1042795" s="19"/>
      <c r="M1042795" s="19"/>
      <c r="N1042795" s="19"/>
    </row>
    <row r="1042796" spans="1:14" s="83" customFormat="1" ht="12.75">
      <c r="A1042796" s="19"/>
      <c r="B1042796" s="19"/>
      <c r="C1042796" s="19"/>
      <c r="D1042796" s="19"/>
      <c r="E1042796" s="19"/>
      <c r="F1042796" s="19"/>
      <c r="G1042796" s="19"/>
      <c r="H1042796" s="19"/>
      <c r="I1042796" s="19"/>
      <c r="J1042796" s="19"/>
      <c r="K1042796" s="19"/>
      <c r="L1042796" s="19"/>
      <c r="M1042796" s="19"/>
      <c r="N1042796" s="19"/>
    </row>
    <row r="1042797" spans="1:14" s="83" customFormat="1" ht="12.75">
      <c r="A1042797" s="19"/>
      <c r="B1042797" s="19"/>
      <c r="C1042797" s="19"/>
      <c r="D1042797" s="19"/>
      <c r="E1042797" s="19"/>
      <c r="F1042797" s="19"/>
      <c r="G1042797" s="19"/>
      <c r="H1042797" s="19"/>
      <c r="I1042797" s="19"/>
      <c r="J1042797" s="19"/>
      <c r="K1042797" s="19"/>
      <c r="L1042797" s="19"/>
      <c r="M1042797" s="19"/>
      <c r="N1042797" s="19"/>
    </row>
    <row r="1042798" spans="1:14" s="83" customFormat="1" ht="12.75">
      <c r="A1042798" s="19"/>
      <c r="B1042798" s="19"/>
      <c r="C1042798" s="19"/>
      <c r="D1042798" s="19"/>
      <c r="E1042798" s="19"/>
      <c r="F1042798" s="19"/>
      <c r="G1042798" s="19"/>
      <c r="H1042798" s="19"/>
      <c r="I1042798" s="19"/>
      <c r="J1042798" s="19"/>
      <c r="K1042798" s="19"/>
      <c r="L1042798" s="19"/>
      <c r="M1042798" s="19"/>
      <c r="N1042798" s="19"/>
    </row>
    <row r="1042799" spans="1:14" s="83" customFormat="1" ht="12.75">
      <c r="A1042799" s="19"/>
      <c r="B1042799" s="19"/>
      <c r="C1042799" s="19"/>
      <c r="D1042799" s="19"/>
      <c r="E1042799" s="19"/>
      <c r="F1042799" s="19"/>
      <c r="G1042799" s="19"/>
      <c r="H1042799" s="19"/>
      <c r="I1042799" s="19"/>
      <c r="J1042799" s="19"/>
      <c r="K1042799" s="19"/>
      <c r="L1042799" s="19"/>
      <c r="M1042799" s="19"/>
      <c r="N1042799" s="19"/>
    </row>
    <row r="1042800" spans="1:14" s="83" customFormat="1" ht="12.75">
      <c r="A1042800" s="19"/>
      <c r="B1042800" s="19"/>
      <c r="C1042800" s="19"/>
      <c r="D1042800" s="19"/>
      <c r="E1042800" s="19"/>
      <c r="F1042800" s="19"/>
      <c r="G1042800" s="19"/>
      <c r="H1042800" s="19"/>
      <c r="I1042800" s="19"/>
      <c r="J1042800" s="19"/>
      <c r="K1042800" s="19"/>
      <c r="L1042800" s="19"/>
      <c r="M1042800" s="19"/>
      <c r="N1042800" s="19"/>
    </row>
    <row r="1042801" spans="1:14" s="83" customFormat="1" ht="12.75">
      <c r="A1042801" s="19"/>
      <c r="B1042801" s="19"/>
      <c r="C1042801" s="19"/>
      <c r="D1042801" s="19"/>
      <c r="E1042801" s="19"/>
      <c r="F1042801" s="19"/>
      <c r="G1042801" s="19"/>
      <c r="H1042801" s="19"/>
      <c r="I1042801" s="19"/>
      <c r="J1042801" s="19"/>
      <c r="K1042801" s="19"/>
      <c r="L1042801" s="19"/>
      <c r="M1042801" s="19"/>
      <c r="N1042801" s="19"/>
    </row>
    <row r="1042802" spans="1:14" s="83" customFormat="1" ht="12.75">
      <c r="A1042802" s="19"/>
      <c r="B1042802" s="19"/>
      <c r="C1042802" s="19"/>
      <c r="D1042802" s="19"/>
      <c r="E1042802" s="19"/>
      <c r="F1042802" s="19"/>
      <c r="G1042802" s="19"/>
      <c r="H1042802" s="19"/>
      <c r="I1042802" s="19"/>
      <c r="J1042802" s="19"/>
      <c r="K1042802" s="19"/>
      <c r="L1042802" s="19"/>
      <c r="M1042802" s="19"/>
      <c r="N1042802" s="19"/>
    </row>
    <row r="1042803" spans="1:14" s="83" customFormat="1" ht="12.75">
      <c r="A1042803" s="19"/>
      <c r="B1042803" s="19"/>
      <c r="C1042803" s="19"/>
      <c r="D1042803" s="19"/>
      <c r="E1042803" s="19"/>
      <c r="F1042803" s="19"/>
      <c r="G1042803" s="19"/>
      <c r="H1042803" s="19"/>
      <c r="I1042803" s="19"/>
      <c r="J1042803" s="19"/>
      <c r="K1042803" s="19"/>
      <c r="L1042803" s="19"/>
      <c r="M1042803" s="19"/>
      <c r="N1042803" s="19"/>
    </row>
    <row r="1042804" spans="1:14" s="83" customFormat="1" ht="12.75">
      <c r="A1042804" s="19"/>
      <c r="B1042804" s="19"/>
      <c r="C1042804" s="19"/>
      <c r="D1042804" s="19"/>
      <c r="E1042804" s="19"/>
      <c r="F1042804" s="19"/>
      <c r="G1042804" s="19"/>
      <c r="H1042804" s="19"/>
      <c r="I1042804" s="19"/>
      <c r="J1042804" s="19"/>
      <c r="K1042804" s="19"/>
      <c r="L1042804" s="19"/>
      <c r="M1042804" s="19"/>
      <c r="N1042804" s="19"/>
    </row>
    <row r="1042805" spans="1:14" s="83" customFormat="1" ht="12.75">
      <c r="A1042805" s="19"/>
      <c r="B1042805" s="19"/>
      <c r="C1042805" s="19"/>
      <c r="D1042805" s="19"/>
      <c r="E1042805" s="19"/>
      <c r="F1042805" s="19"/>
      <c r="G1042805" s="19"/>
      <c r="H1042805" s="19"/>
      <c r="I1042805" s="19"/>
      <c r="J1042805" s="19"/>
      <c r="K1042805" s="19"/>
      <c r="L1042805" s="19"/>
      <c r="M1042805" s="19"/>
      <c r="N1042805" s="19"/>
    </row>
    <row r="1042806" spans="1:14" s="83" customFormat="1" ht="12.75">
      <c r="A1042806" s="19"/>
      <c r="B1042806" s="19"/>
      <c r="C1042806" s="19"/>
      <c r="D1042806" s="19"/>
      <c r="E1042806" s="19"/>
      <c r="F1042806" s="19"/>
      <c r="G1042806" s="19"/>
      <c r="H1042806" s="19"/>
      <c r="I1042806" s="19"/>
      <c r="J1042806" s="19"/>
      <c r="K1042806" s="19"/>
      <c r="L1042806" s="19"/>
      <c r="M1042806" s="19"/>
      <c r="N1042806" s="19"/>
    </row>
    <row r="1042807" spans="1:14" s="83" customFormat="1" ht="12.75">
      <c r="A1042807" s="19"/>
      <c r="B1042807" s="19"/>
      <c r="C1042807" s="19"/>
      <c r="D1042807" s="19"/>
      <c r="E1042807" s="19"/>
      <c r="F1042807" s="19"/>
      <c r="G1042807" s="19"/>
      <c r="H1042807" s="19"/>
      <c r="I1042807" s="19"/>
      <c r="J1042807" s="19"/>
      <c r="K1042807" s="19"/>
      <c r="L1042807" s="19"/>
      <c r="M1042807" s="19"/>
      <c r="N1042807" s="19"/>
    </row>
    <row r="1042808" spans="1:14" s="83" customFormat="1" ht="12.75">
      <c r="A1042808" s="19"/>
      <c r="B1042808" s="19"/>
      <c r="C1042808" s="19"/>
      <c r="D1042808" s="19"/>
      <c r="E1042808" s="19"/>
      <c r="F1042808" s="19"/>
      <c r="G1042808" s="19"/>
      <c r="H1042808" s="19"/>
      <c r="I1042808" s="19"/>
      <c r="J1042808" s="19"/>
      <c r="K1042808" s="19"/>
      <c r="L1042808" s="19"/>
      <c r="M1042808" s="19"/>
      <c r="N1042808" s="19"/>
    </row>
    <row r="1042809" spans="1:14" s="83" customFormat="1" ht="12.75">
      <c r="A1042809" s="19"/>
      <c r="B1042809" s="19"/>
      <c r="C1042809" s="19"/>
      <c r="D1042809" s="19"/>
      <c r="E1042809" s="19"/>
      <c r="F1042809" s="19"/>
      <c r="G1042809" s="19"/>
      <c r="H1042809" s="19"/>
      <c r="I1042809" s="19"/>
      <c r="J1042809" s="19"/>
      <c r="K1042809" s="19"/>
      <c r="L1042809" s="19"/>
      <c r="M1042809" s="19"/>
      <c r="N1042809" s="19"/>
    </row>
    <row r="1042810" spans="1:14" s="83" customFormat="1" ht="12.75">
      <c r="A1042810" s="19"/>
      <c r="B1042810" s="19"/>
      <c r="C1042810" s="19"/>
      <c r="D1042810" s="19"/>
      <c r="E1042810" s="19"/>
      <c r="F1042810" s="19"/>
      <c r="G1042810" s="19"/>
      <c r="H1042810" s="19"/>
      <c r="I1042810" s="19"/>
      <c r="J1042810" s="19"/>
      <c r="K1042810" s="19"/>
      <c r="L1042810" s="19"/>
      <c r="M1042810" s="19"/>
      <c r="N1042810" s="19"/>
    </row>
    <row r="1042811" spans="1:14" s="83" customFormat="1" ht="12.75">
      <c r="A1042811" s="19"/>
      <c r="B1042811" s="19"/>
      <c r="C1042811" s="19"/>
      <c r="D1042811" s="19"/>
      <c r="E1042811" s="19"/>
      <c r="F1042811" s="19"/>
      <c r="G1042811" s="19"/>
      <c r="H1042811" s="19"/>
      <c r="I1042811" s="19"/>
      <c r="J1042811" s="19"/>
      <c r="K1042811" s="19"/>
      <c r="L1042811" s="19"/>
      <c r="M1042811" s="19"/>
      <c r="N1042811" s="19"/>
    </row>
    <row r="1042812" spans="1:14" s="83" customFormat="1" ht="12.75">
      <c r="A1042812" s="19"/>
      <c r="B1042812" s="19"/>
      <c r="C1042812" s="19"/>
      <c r="D1042812" s="19"/>
      <c r="E1042812" s="19"/>
      <c r="F1042812" s="19"/>
      <c r="G1042812" s="19"/>
      <c r="H1042812" s="19"/>
      <c r="I1042812" s="19"/>
      <c r="J1042812" s="19"/>
      <c r="K1042812" s="19"/>
      <c r="L1042812" s="19"/>
      <c r="M1042812" s="19"/>
      <c r="N1042812" s="19"/>
    </row>
    <row r="1042813" spans="1:14" s="83" customFormat="1" ht="12.75">
      <c r="A1042813" s="19"/>
      <c r="B1042813" s="19"/>
      <c r="C1042813" s="19"/>
      <c r="D1042813" s="19"/>
      <c r="E1042813" s="19"/>
      <c r="F1042813" s="19"/>
      <c r="G1042813" s="19"/>
      <c r="H1042813" s="19"/>
      <c r="I1042813" s="19"/>
      <c r="J1042813" s="19"/>
      <c r="K1042813" s="19"/>
      <c r="L1042813" s="19"/>
      <c r="M1042813" s="19"/>
      <c r="N1042813" s="19"/>
    </row>
    <row r="1042814" spans="1:14" s="83" customFormat="1" ht="12.75">
      <c r="A1042814" s="19"/>
      <c r="B1042814" s="19"/>
      <c r="C1042814" s="19"/>
      <c r="D1042814" s="19"/>
      <c r="E1042814" s="19"/>
      <c r="F1042814" s="19"/>
      <c r="G1042814" s="19"/>
      <c r="H1042814" s="19"/>
      <c r="I1042814" s="19"/>
      <c r="J1042814" s="19"/>
      <c r="K1042814" s="19"/>
      <c r="L1042814" s="19"/>
      <c r="M1042814" s="19"/>
      <c r="N1042814" s="19"/>
    </row>
    <row r="1042815" spans="1:14" s="83" customFormat="1" ht="12.75">
      <c r="A1042815" s="19"/>
      <c r="B1042815" s="19"/>
      <c r="C1042815" s="19"/>
      <c r="D1042815" s="19"/>
      <c r="E1042815" s="19"/>
      <c r="F1042815" s="19"/>
      <c r="G1042815" s="19"/>
      <c r="H1042815" s="19"/>
      <c r="I1042815" s="19"/>
      <c r="J1042815" s="19"/>
      <c r="K1042815" s="19"/>
      <c r="L1042815" s="19"/>
      <c r="M1042815" s="19"/>
      <c r="N1042815" s="19"/>
    </row>
    <row r="1042816" spans="1:14" s="83" customFormat="1" ht="12.75">
      <c r="A1042816" s="19"/>
      <c r="B1042816" s="19"/>
      <c r="C1042816" s="19"/>
      <c r="D1042816" s="19"/>
      <c r="E1042816" s="19"/>
      <c r="F1042816" s="19"/>
      <c r="G1042816" s="19"/>
      <c r="H1042816" s="19"/>
      <c r="I1042816" s="19"/>
      <c r="J1042816" s="19"/>
      <c r="K1042816" s="19"/>
      <c r="L1042816" s="19"/>
      <c r="M1042816" s="19"/>
      <c r="N1042816" s="19"/>
    </row>
    <row r="1042817" spans="1:14" s="83" customFormat="1" ht="12.75">
      <c r="A1042817" s="19"/>
      <c r="B1042817" s="19"/>
      <c r="C1042817" s="19"/>
      <c r="D1042817" s="19"/>
      <c r="E1042817" s="19"/>
      <c r="F1042817" s="19"/>
      <c r="G1042817" s="19"/>
      <c r="H1042817" s="19"/>
      <c r="I1042817" s="19"/>
      <c r="J1042817" s="19"/>
      <c r="K1042817" s="19"/>
      <c r="L1042817" s="19"/>
      <c r="M1042817" s="19"/>
      <c r="N1042817" s="19"/>
    </row>
    <row r="1042818" spans="1:14" s="83" customFormat="1" ht="12.75">
      <c r="A1042818" s="19"/>
      <c r="B1042818" s="19"/>
      <c r="C1042818" s="19"/>
      <c r="D1042818" s="19"/>
      <c r="E1042818" s="19"/>
      <c r="F1042818" s="19"/>
      <c r="G1042818" s="19"/>
      <c r="H1042818" s="19"/>
      <c r="I1042818" s="19"/>
      <c r="J1042818" s="19"/>
      <c r="K1042818" s="19"/>
      <c r="L1042818" s="19"/>
      <c r="M1042818" s="19"/>
      <c r="N1042818" s="19"/>
    </row>
    <row r="1042819" spans="1:14" s="83" customFormat="1" ht="12.75">
      <c r="A1042819" s="19"/>
      <c r="B1042819" s="19"/>
      <c r="C1042819" s="19"/>
      <c r="D1042819" s="19"/>
      <c r="E1042819" s="19"/>
      <c r="F1042819" s="19"/>
      <c r="G1042819" s="19"/>
      <c r="H1042819" s="19"/>
      <c r="I1042819" s="19"/>
      <c r="J1042819" s="19"/>
      <c r="K1042819" s="19"/>
      <c r="L1042819" s="19"/>
      <c r="M1042819" s="19"/>
      <c r="N1042819" s="19"/>
    </row>
    <row r="1042820" spans="1:14" s="83" customFormat="1" ht="12.75">
      <c r="A1042820" s="19"/>
      <c r="B1042820" s="19"/>
      <c r="C1042820" s="19"/>
      <c r="D1042820" s="19"/>
      <c r="E1042820" s="19"/>
      <c r="F1042820" s="19"/>
      <c r="G1042820" s="19"/>
      <c r="H1042820" s="19"/>
      <c r="I1042820" s="19"/>
      <c r="J1042820" s="19"/>
      <c r="K1042820" s="19"/>
      <c r="L1042820" s="19"/>
      <c r="M1042820" s="19"/>
      <c r="N1042820" s="19"/>
    </row>
    <row r="1042821" spans="1:14" s="83" customFormat="1" ht="12.75">
      <c r="A1042821" s="19"/>
      <c r="B1042821" s="19"/>
      <c r="C1042821" s="19"/>
      <c r="D1042821" s="19"/>
      <c r="E1042821" s="19"/>
      <c r="F1042821" s="19"/>
      <c r="G1042821" s="19"/>
      <c r="H1042821" s="19"/>
      <c r="I1042821" s="19"/>
      <c r="J1042821" s="19"/>
      <c r="K1042821" s="19"/>
      <c r="L1042821" s="19"/>
      <c r="M1042821" s="19"/>
      <c r="N1042821" s="19"/>
    </row>
    <row r="1042822" spans="1:14" s="83" customFormat="1" ht="12.75">
      <c r="A1042822" s="19"/>
      <c r="B1042822" s="19"/>
      <c r="C1042822" s="19"/>
      <c r="D1042822" s="19"/>
      <c r="E1042822" s="19"/>
      <c r="F1042822" s="19"/>
      <c r="G1042822" s="19"/>
      <c r="H1042822" s="19"/>
      <c r="I1042822" s="19"/>
      <c r="J1042822" s="19"/>
      <c r="K1042822" s="19"/>
      <c r="L1042822" s="19"/>
      <c r="M1042822" s="19"/>
      <c r="N1042822" s="19"/>
    </row>
    <row r="1042823" spans="1:14" s="83" customFormat="1" ht="12.75">
      <c r="A1042823" s="19"/>
      <c r="B1042823" s="19"/>
      <c r="C1042823" s="19"/>
      <c r="D1042823" s="19"/>
      <c r="E1042823" s="19"/>
      <c r="F1042823" s="19"/>
      <c r="G1042823" s="19"/>
      <c r="H1042823" s="19"/>
      <c r="I1042823" s="19"/>
      <c r="J1042823" s="19"/>
      <c r="K1042823" s="19"/>
      <c r="L1042823" s="19"/>
      <c r="M1042823" s="19"/>
      <c r="N1042823" s="19"/>
    </row>
    <row r="1042824" spans="1:14" s="83" customFormat="1" ht="12.75">
      <c r="A1042824" s="19"/>
      <c r="B1042824" s="19"/>
      <c r="C1042824" s="19"/>
      <c r="D1042824" s="19"/>
      <c r="E1042824" s="19"/>
      <c r="F1042824" s="19"/>
      <c r="G1042824" s="19"/>
      <c r="H1042824" s="19"/>
      <c r="I1042824" s="19"/>
      <c r="J1042824" s="19"/>
      <c r="K1042824" s="19"/>
      <c r="L1042824" s="19"/>
      <c r="M1042824" s="19"/>
      <c r="N1042824" s="19"/>
    </row>
    <row r="1042825" spans="1:14" s="83" customFormat="1" ht="12.75">
      <c r="A1042825" s="19"/>
      <c r="B1042825" s="19"/>
      <c r="C1042825" s="19"/>
      <c r="D1042825" s="19"/>
      <c r="E1042825" s="19"/>
      <c r="F1042825" s="19"/>
      <c r="G1042825" s="19"/>
      <c r="H1042825" s="19"/>
      <c r="I1042825" s="19"/>
      <c r="J1042825" s="19"/>
      <c r="K1042825" s="19"/>
      <c r="L1042825" s="19"/>
      <c r="M1042825" s="19"/>
      <c r="N1042825" s="19"/>
    </row>
    <row r="1042826" spans="1:14" s="83" customFormat="1" ht="12.75">
      <c r="A1042826" s="19"/>
      <c r="B1042826" s="19"/>
      <c r="C1042826" s="19"/>
      <c r="D1042826" s="19"/>
      <c r="E1042826" s="19"/>
      <c r="F1042826" s="19"/>
      <c r="G1042826" s="19"/>
      <c r="H1042826" s="19"/>
      <c r="I1042826" s="19"/>
      <c r="J1042826" s="19"/>
      <c r="K1042826" s="19"/>
      <c r="L1042826" s="19"/>
      <c r="M1042826" s="19"/>
      <c r="N1042826" s="19"/>
    </row>
    <row r="1042827" spans="1:14" s="83" customFormat="1" ht="12.75">
      <c r="A1042827" s="19"/>
      <c r="B1042827" s="19"/>
      <c r="C1042827" s="19"/>
      <c r="D1042827" s="19"/>
      <c r="E1042827" s="19"/>
      <c r="F1042827" s="19"/>
      <c r="G1042827" s="19"/>
      <c r="H1042827" s="19"/>
      <c r="I1042827" s="19"/>
      <c r="J1042827" s="19"/>
      <c r="K1042827" s="19"/>
      <c r="L1042827" s="19"/>
      <c r="M1042827" s="19"/>
      <c r="N1042827" s="19"/>
    </row>
    <row r="1042828" spans="1:14" s="83" customFormat="1" ht="12.75">
      <c r="A1042828" s="19"/>
      <c r="B1042828" s="19"/>
      <c r="C1042828" s="19"/>
      <c r="D1042828" s="19"/>
      <c r="E1042828" s="19"/>
      <c r="F1042828" s="19"/>
      <c r="G1042828" s="19"/>
      <c r="H1042828" s="19"/>
      <c r="I1042828" s="19"/>
      <c r="J1042828" s="19"/>
      <c r="K1042828" s="19"/>
      <c r="L1042828" s="19"/>
      <c r="M1042828" s="19"/>
      <c r="N1042828" s="19"/>
    </row>
    <row r="1042829" spans="1:14" s="83" customFormat="1" ht="12.75">
      <c r="A1042829" s="19"/>
      <c r="B1042829" s="19"/>
      <c r="C1042829" s="19"/>
      <c r="D1042829" s="19"/>
      <c r="E1042829" s="19"/>
      <c r="F1042829" s="19"/>
      <c r="G1042829" s="19"/>
      <c r="H1042829" s="19"/>
      <c r="I1042829" s="19"/>
      <c r="J1042829" s="19"/>
      <c r="K1042829" s="19"/>
      <c r="L1042829" s="19"/>
      <c r="M1042829" s="19"/>
      <c r="N1042829" s="19"/>
    </row>
    <row r="1042830" spans="1:14" s="83" customFormat="1" ht="12.75">
      <c r="A1042830" s="19"/>
      <c r="B1042830" s="19"/>
      <c r="C1042830" s="19"/>
      <c r="D1042830" s="19"/>
      <c r="E1042830" s="19"/>
      <c r="F1042830" s="19"/>
      <c r="G1042830" s="19"/>
      <c r="H1042830" s="19"/>
      <c r="I1042830" s="19"/>
      <c r="J1042830" s="19"/>
      <c r="K1042830" s="19"/>
      <c r="L1042830" s="19"/>
      <c r="M1042830" s="19"/>
      <c r="N1042830" s="19"/>
    </row>
    <row r="1042831" spans="1:14" s="83" customFormat="1" ht="12.75">
      <c r="A1042831" s="19"/>
      <c r="B1042831" s="19"/>
      <c r="C1042831" s="19"/>
      <c r="D1042831" s="19"/>
      <c r="E1042831" s="19"/>
      <c r="F1042831" s="19"/>
      <c r="G1042831" s="19"/>
      <c r="H1042831" s="19"/>
      <c r="I1042831" s="19"/>
      <c r="J1042831" s="19"/>
      <c r="K1042831" s="19"/>
      <c r="L1042831" s="19"/>
      <c r="M1042831" s="19"/>
      <c r="N1042831" s="19"/>
    </row>
    <row r="1042832" spans="1:14" s="83" customFormat="1" ht="12.75">
      <c r="A1042832" s="19"/>
      <c r="B1042832" s="19"/>
      <c r="C1042832" s="19"/>
      <c r="D1042832" s="19"/>
      <c r="E1042832" s="19"/>
      <c r="F1042832" s="19"/>
      <c r="G1042832" s="19"/>
      <c r="H1042832" s="19"/>
      <c r="I1042832" s="19"/>
      <c r="J1042832" s="19"/>
      <c r="K1042832" s="19"/>
      <c r="L1042832" s="19"/>
      <c r="M1042832" s="19"/>
      <c r="N1042832" s="19"/>
    </row>
    <row r="1042833" spans="1:14" s="83" customFormat="1" ht="12.75">
      <c r="A1042833" s="19"/>
      <c r="B1042833" s="19"/>
      <c r="C1042833" s="19"/>
      <c r="D1042833" s="19"/>
      <c r="E1042833" s="19"/>
      <c r="F1042833" s="19"/>
      <c r="G1042833" s="19"/>
      <c r="H1042833" s="19"/>
      <c r="I1042833" s="19"/>
      <c r="J1042833" s="19"/>
      <c r="K1042833" s="19"/>
      <c r="L1042833" s="19"/>
      <c r="M1042833" s="19"/>
      <c r="N1042833" s="19"/>
    </row>
    <row r="1042834" spans="1:14" s="83" customFormat="1" ht="12.75">
      <c r="A1042834" s="19"/>
      <c r="B1042834" s="19"/>
      <c r="C1042834" s="19"/>
      <c r="D1042834" s="19"/>
      <c r="E1042834" s="19"/>
      <c r="F1042834" s="19"/>
      <c r="G1042834" s="19"/>
      <c r="H1042834" s="19"/>
      <c r="I1042834" s="19"/>
      <c r="J1042834" s="19"/>
      <c r="K1042834" s="19"/>
      <c r="L1042834" s="19"/>
      <c r="M1042834" s="19"/>
      <c r="N1042834" s="19"/>
    </row>
    <row r="1042835" spans="1:14" s="83" customFormat="1" ht="12.75">
      <c r="A1042835" s="19"/>
      <c r="B1042835" s="19"/>
      <c r="C1042835" s="19"/>
      <c r="D1042835" s="19"/>
      <c r="E1042835" s="19"/>
      <c r="F1042835" s="19"/>
      <c r="G1042835" s="19"/>
      <c r="H1042835" s="19"/>
      <c r="I1042835" s="19"/>
      <c r="J1042835" s="19"/>
      <c r="K1042835" s="19"/>
      <c r="L1042835" s="19"/>
      <c r="M1042835" s="19"/>
      <c r="N1042835" s="19"/>
    </row>
    <row r="1042836" spans="1:14" s="83" customFormat="1" ht="12.75">
      <c r="A1042836" s="19"/>
      <c r="B1042836" s="19"/>
      <c r="C1042836" s="19"/>
      <c r="D1042836" s="19"/>
      <c r="E1042836" s="19"/>
      <c r="F1042836" s="19"/>
      <c r="G1042836" s="19"/>
      <c r="H1042836" s="19"/>
      <c r="I1042836" s="19"/>
      <c r="J1042836" s="19"/>
      <c r="K1042836" s="19"/>
      <c r="L1042836" s="19"/>
      <c r="M1042836" s="19"/>
      <c r="N1042836" s="19"/>
    </row>
    <row r="1042837" spans="1:14" s="83" customFormat="1" ht="12.75">
      <c r="A1042837" s="19"/>
      <c r="B1042837" s="19"/>
      <c r="C1042837" s="19"/>
      <c r="D1042837" s="19"/>
      <c r="E1042837" s="19"/>
      <c r="F1042837" s="19"/>
      <c r="G1042837" s="19"/>
      <c r="H1042837" s="19"/>
      <c r="I1042837" s="19"/>
      <c r="J1042837" s="19"/>
      <c r="K1042837" s="19"/>
      <c r="L1042837" s="19"/>
      <c r="M1042837" s="19"/>
      <c r="N1042837" s="19"/>
    </row>
    <row r="1042838" spans="1:14" s="83" customFormat="1" ht="12.75">
      <c r="A1042838" s="19"/>
      <c r="B1042838" s="19"/>
      <c r="C1042838" s="19"/>
      <c r="D1042838" s="19"/>
      <c r="E1042838" s="19"/>
      <c r="F1042838" s="19"/>
      <c r="G1042838" s="19"/>
      <c r="H1042838" s="19"/>
      <c r="I1042838" s="19"/>
      <c r="J1042838" s="19"/>
      <c r="K1042838" s="19"/>
      <c r="L1042838" s="19"/>
      <c r="M1042838" s="19"/>
      <c r="N1042838" s="19"/>
    </row>
    <row r="1042839" spans="1:14" s="83" customFormat="1" ht="12.75">
      <c r="A1042839" s="19"/>
      <c r="B1042839" s="19"/>
      <c r="C1042839" s="19"/>
      <c r="D1042839" s="19"/>
      <c r="E1042839" s="19"/>
      <c r="F1042839" s="19"/>
      <c r="G1042839" s="19"/>
      <c r="H1042839" s="19"/>
      <c r="I1042839" s="19"/>
      <c r="J1042839" s="19"/>
      <c r="K1042839" s="19"/>
      <c r="L1042839" s="19"/>
      <c r="M1042839" s="19"/>
      <c r="N1042839" s="19"/>
    </row>
    <row r="1042840" spans="1:14" s="83" customFormat="1" ht="12.75">
      <c r="A1042840" s="19"/>
      <c r="B1042840" s="19"/>
      <c r="C1042840" s="19"/>
      <c r="D1042840" s="19"/>
      <c r="E1042840" s="19"/>
      <c r="F1042840" s="19"/>
      <c r="G1042840" s="19"/>
      <c r="H1042840" s="19"/>
      <c r="I1042840" s="19"/>
      <c r="J1042840" s="19"/>
      <c r="K1042840" s="19"/>
      <c r="L1042840" s="19"/>
      <c r="M1042840" s="19"/>
      <c r="N1042840" s="19"/>
    </row>
    <row r="1042841" spans="1:14" s="83" customFormat="1" ht="12.75">
      <c r="A1042841" s="19"/>
      <c r="B1042841" s="19"/>
      <c r="C1042841" s="19"/>
      <c r="D1042841" s="19"/>
      <c r="E1042841" s="19"/>
      <c r="F1042841" s="19"/>
      <c r="G1042841" s="19"/>
      <c r="H1042841" s="19"/>
      <c r="I1042841" s="19"/>
      <c r="J1042841" s="19"/>
      <c r="K1042841" s="19"/>
      <c r="L1042841" s="19"/>
      <c r="M1042841" s="19"/>
      <c r="N1042841" s="19"/>
    </row>
    <row r="1042842" spans="1:14" s="83" customFormat="1" ht="12.75">
      <c r="A1042842" s="19"/>
      <c r="B1042842" s="19"/>
      <c r="C1042842" s="19"/>
      <c r="D1042842" s="19"/>
      <c r="E1042842" s="19"/>
      <c r="F1042842" s="19"/>
      <c r="G1042842" s="19"/>
      <c r="H1042842" s="19"/>
      <c r="I1042842" s="19"/>
      <c r="J1042842" s="19"/>
      <c r="K1042842" s="19"/>
      <c r="L1042842" s="19"/>
      <c r="M1042842" s="19"/>
      <c r="N1042842" s="19"/>
    </row>
    <row r="1042843" spans="1:14" s="83" customFormat="1" ht="12.75">
      <c r="A1042843" s="19"/>
      <c r="B1042843" s="19"/>
      <c r="C1042843" s="19"/>
      <c r="D1042843" s="19"/>
      <c r="E1042843" s="19"/>
      <c r="F1042843" s="19"/>
      <c r="G1042843" s="19"/>
      <c r="H1042843" s="19"/>
      <c r="I1042843" s="19"/>
      <c r="J1042843" s="19"/>
      <c r="K1042843" s="19"/>
      <c r="L1042843" s="19"/>
      <c r="M1042843" s="19"/>
      <c r="N1042843" s="19"/>
    </row>
    <row r="1042844" spans="1:14" s="83" customFormat="1" ht="12.75">
      <c r="A1042844" s="19"/>
      <c r="B1042844" s="19"/>
      <c r="C1042844" s="19"/>
      <c r="D1042844" s="19"/>
      <c r="E1042844" s="19"/>
      <c r="F1042844" s="19"/>
      <c r="G1042844" s="19"/>
      <c r="H1042844" s="19"/>
      <c r="I1042844" s="19"/>
      <c r="J1042844" s="19"/>
      <c r="K1042844" s="19"/>
      <c r="L1042844" s="19"/>
      <c r="M1042844" s="19"/>
      <c r="N1042844" s="19"/>
    </row>
    <row r="1042845" spans="1:14" s="83" customFormat="1" ht="12.75">
      <c r="A1042845" s="19"/>
      <c r="B1042845" s="19"/>
      <c r="C1042845" s="19"/>
      <c r="D1042845" s="19"/>
      <c r="E1042845" s="19"/>
      <c r="F1042845" s="19"/>
      <c r="G1042845" s="19"/>
      <c r="H1042845" s="19"/>
      <c r="I1042845" s="19"/>
      <c r="J1042845" s="19"/>
      <c r="K1042845" s="19"/>
      <c r="L1042845" s="19"/>
      <c r="M1042845" s="19"/>
      <c r="N1042845" s="19"/>
    </row>
    <row r="1042846" spans="1:14" s="83" customFormat="1" ht="12.75">
      <c r="A1042846" s="19"/>
      <c r="B1042846" s="19"/>
      <c r="C1042846" s="19"/>
      <c r="D1042846" s="19"/>
      <c r="E1042846" s="19"/>
      <c r="F1042846" s="19"/>
      <c r="G1042846" s="19"/>
      <c r="H1042846" s="19"/>
      <c r="I1042846" s="19"/>
      <c r="J1042846" s="19"/>
      <c r="K1042846" s="19"/>
      <c r="L1042846" s="19"/>
      <c r="M1042846" s="19"/>
      <c r="N1042846" s="19"/>
    </row>
    <row r="1042847" spans="1:14" s="83" customFormat="1" ht="12.75">
      <c r="A1042847" s="19"/>
      <c r="B1042847" s="19"/>
      <c r="C1042847" s="19"/>
      <c r="D1042847" s="19"/>
      <c r="E1042847" s="19"/>
      <c r="F1042847" s="19"/>
      <c r="G1042847" s="19"/>
      <c r="H1042847" s="19"/>
      <c r="I1042847" s="19"/>
      <c r="J1042847" s="19"/>
      <c r="K1042847" s="19"/>
      <c r="L1042847" s="19"/>
      <c r="M1042847" s="19"/>
      <c r="N1042847" s="19"/>
    </row>
    <row r="1042848" spans="1:14" s="83" customFormat="1" ht="12.75">
      <c r="A1042848" s="19"/>
      <c r="B1042848" s="19"/>
      <c r="C1042848" s="19"/>
      <c r="D1042848" s="19"/>
      <c r="E1042848" s="19"/>
      <c r="F1042848" s="19"/>
      <c r="G1042848" s="19"/>
      <c r="H1042848" s="19"/>
      <c r="I1042848" s="19"/>
      <c r="J1042848" s="19"/>
      <c r="K1042848" s="19"/>
      <c r="L1042848" s="19"/>
      <c r="M1042848" s="19"/>
      <c r="N1042848" s="19"/>
    </row>
    <row r="1042849" spans="1:14" s="83" customFormat="1" ht="12.75">
      <c r="A1042849" s="19"/>
      <c r="B1042849" s="19"/>
      <c r="C1042849" s="19"/>
      <c r="D1042849" s="19"/>
      <c r="E1042849" s="19"/>
      <c r="F1042849" s="19"/>
      <c r="G1042849" s="19"/>
      <c r="H1042849" s="19"/>
      <c r="I1042849" s="19"/>
      <c r="J1042849" s="19"/>
      <c r="K1042849" s="19"/>
      <c r="L1042849" s="19"/>
      <c r="M1042849" s="19"/>
      <c r="N1042849" s="19"/>
    </row>
    <row r="1042850" spans="1:14" s="83" customFormat="1" ht="12.75">
      <c r="A1042850" s="19"/>
      <c r="B1042850" s="19"/>
      <c r="C1042850" s="19"/>
      <c r="D1042850" s="19"/>
      <c r="E1042850" s="19"/>
      <c r="F1042850" s="19"/>
      <c r="G1042850" s="19"/>
      <c r="H1042850" s="19"/>
      <c r="I1042850" s="19"/>
      <c r="J1042850" s="19"/>
      <c r="K1042850" s="19"/>
      <c r="L1042850" s="19"/>
      <c r="M1042850" s="19"/>
      <c r="N1042850" s="19"/>
    </row>
    <row r="1042851" spans="1:14" s="83" customFormat="1" ht="12.75">
      <c r="A1042851" s="19"/>
      <c r="B1042851" s="19"/>
      <c r="C1042851" s="19"/>
      <c r="D1042851" s="19"/>
      <c r="E1042851" s="19"/>
      <c r="F1042851" s="19"/>
      <c r="G1042851" s="19"/>
      <c r="H1042851" s="19"/>
      <c r="I1042851" s="19"/>
      <c r="J1042851" s="19"/>
      <c r="K1042851" s="19"/>
      <c r="L1042851" s="19"/>
      <c r="M1042851" s="19"/>
      <c r="N1042851" s="19"/>
    </row>
    <row r="1042852" spans="1:14" s="83" customFormat="1" ht="12.75">
      <c r="A1042852" s="19"/>
      <c r="B1042852" s="19"/>
      <c r="C1042852" s="19"/>
      <c r="D1042852" s="19"/>
      <c r="E1042852" s="19"/>
      <c r="F1042852" s="19"/>
      <c r="G1042852" s="19"/>
      <c r="H1042852" s="19"/>
      <c r="I1042852" s="19"/>
      <c r="J1042852" s="19"/>
      <c r="K1042852" s="19"/>
      <c r="L1042852" s="19"/>
      <c r="M1042852" s="19"/>
      <c r="N1042852" s="19"/>
    </row>
    <row r="1042853" spans="1:14" s="83" customFormat="1" ht="12.75">
      <c r="A1042853" s="19"/>
      <c r="B1042853" s="19"/>
      <c r="C1042853" s="19"/>
      <c r="D1042853" s="19"/>
      <c r="E1042853" s="19"/>
      <c r="F1042853" s="19"/>
      <c r="G1042853" s="19"/>
      <c r="H1042853" s="19"/>
      <c r="I1042853" s="19"/>
      <c r="J1042853" s="19"/>
      <c r="K1042853" s="19"/>
      <c r="L1042853" s="19"/>
      <c r="M1042853" s="19"/>
      <c r="N1042853" s="19"/>
    </row>
    <row r="1042854" spans="1:14" s="83" customFormat="1" ht="12.75">
      <c r="A1042854" s="19"/>
      <c r="B1042854" s="19"/>
      <c r="C1042854" s="19"/>
      <c r="D1042854" s="19"/>
      <c r="E1042854" s="19"/>
      <c r="F1042854" s="19"/>
      <c r="G1042854" s="19"/>
      <c r="H1042854" s="19"/>
      <c r="I1042854" s="19"/>
      <c r="J1042854" s="19"/>
      <c r="K1042854" s="19"/>
      <c r="L1042854" s="19"/>
      <c r="M1042854" s="19"/>
      <c r="N1042854" s="19"/>
    </row>
    <row r="1042855" spans="1:14" s="83" customFormat="1" ht="12.75">
      <c r="A1042855" s="19"/>
      <c r="B1042855" s="19"/>
      <c r="C1042855" s="19"/>
      <c r="D1042855" s="19"/>
      <c r="E1042855" s="19"/>
      <c r="F1042855" s="19"/>
      <c r="G1042855" s="19"/>
      <c r="H1042855" s="19"/>
      <c r="I1042855" s="19"/>
      <c r="J1042855" s="19"/>
      <c r="K1042855" s="19"/>
      <c r="L1042855" s="19"/>
      <c r="M1042855" s="19"/>
      <c r="N1042855" s="19"/>
    </row>
    <row r="1042856" spans="1:14" s="83" customFormat="1" ht="12.75">
      <c r="A1042856" s="19"/>
      <c r="B1042856" s="19"/>
      <c r="C1042856" s="19"/>
      <c r="D1042856" s="19"/>
      <c r="E1042856" s="19"/>
      <c r="F1042856" s="19"/>
      <c r="G1042856" s="19"/>
      <c r="H1042856" s="19"/>
      <c r="I1042856" s="19"/>
      <c r="J1042856" s="19"/>
      <c r="K1042856" s="19"/>
      <c r="L1042856" s="19"/>
      <c r="M1042856" s="19"/>
      <c r="N1042856" s="19"/>
    </row>
    <row r="1042857" spans="1:14" s="83" customFormat="1" ht="12.75">
      <c r="A1042857" s="19"/>
      <c r="B1042857" s="19"/>
      <c r="C1042857" s="19"/>
      <c r="D1042857" s="19"/>
      <c r="E1042857" s="19"/>
      <c r="F1042857" s="19"/>
      <c r="G1042857" s="19"/>
      <c r="H1042857" s="19"/>
      <c r="I1042857" s="19"/>
      <c r="J1042857" s="19"/>
      <c r="K1042857" s="19"/>
      <c r="L1042857" s="19"/>
      <c r="M1042857" s="19"/>
      <c r="N1042857" s="19"/>
    </row>
    <row r="1042858" spans="1:14" s="83" customFormat="1" ht="12.75">
      <c r="A1042858" s="19"/>
      <c r="B1042858" s="19"/>
      <c r="C1042858" s="19"/>
      <c r="D1042858" s="19"/>
      <c r="E1042858" s="19"/>
      <c r="F1042858" s="19"/>
      <c r="G1042858" s="19"/>
      <c r="H1042858" s="19"/>
      <c r="I1042858" s="19"/>
      <c r="J1042858" s="19"/>
      <c r="K1042858" s="19"/>
      <c r="L1042858" s="19"/>
      <c r="M1042858" s="19"/>
      <c r="N1042858" s="19"/>
    </row>
    <row r="1042859" spans="1:14" s="83" customFormat="1" ht="12.75">
      <c r="A1042859" s="19"/>
      <c r="B1042859" s="19"/>
      <c r="C1042859" s="19"/>
      <c r="D1042859" s="19"/>
      <c r="E1042859" s="19"/>
      <c r="F1042859" s="19"/>
      <c r="G1042859" s="19"/>
      <c r="H1042859" s="19"/>
      <c r="I1042859" s="19"/>
      <c r="J1042859" s="19"/>
      <c r="K1042859" s="19"/>
      <c r="L1042859" s="19"/>
      <c r="M1042859" s="19"/>
      <c r="N1042859" s="19"/>
    </row>
    <row r="1042860" spans="1:14" s="83" customFormat="1" ht="12.75">
      <c r="A1042860" s="19"/>
      <c r="B1042860" s="19"/>
      <c r="C1042860" s="19"/>
      <c r="D1042860" s="19"/>
      <c r="E1042860" s="19"/>
      <c r="F1042860" s="19"/>
      <c r="G1042860" s="19"/>
      <c r="H1042860" s="19"/>
      <c r="I1042860" s="19"/>
      <c r="J1042860" s="19"/>
      <c r="K1042860" s="19"/>
      <c r="L1042860" s="19"/>
      <c r="M1042860" s="19"/>
      <c r="N1042860" s="19"/>
    </row>
    <row r="1042861" spans="1:14" s="83" customFormat="1" ht="12.75">
      <c r="A1042861" s="19"/>
      <c r="B1042861" s="19"/>
      <c r="C1042861" s="19"/>
      <c r="D1042861" s="19"/>
      <c r="E1042861" s="19"/>
      <c r="F1042861" s="19"/>
      <c r="G1042861" s="19"/>
      <c r="H1042861" s="19"/>
      <c r="I1042861" s="19"/>
      <c r="J1042861" s="19"/>
      <c r="K1042861" s="19"/>
      <c r="L1042861" s="19"/>
      <c r="M1042861" s="19"/>
      <c r="N1042861" s="19"/>
    </row>
    <row r="1042862" spans="1:14" s="83" customFormat="1" ht="12.75">
      <c r="A1042862" s="19"/>
      <c r="B1042862" s="19"/>
      <c r="C1042862" s="19"/>
      <c r="D1042862" s="19"/>
      <c r="E1042862" s="19"/>
      <c r="F1042862" s="19"/>
      <c r="G1042862" s="19"/>
      <c r="H1042862" s="19"/>
      <c r="I1042862" s="19"/>
      <c r="J1042862" s="19"/>
      <c r="K1042862" s="19"/>
      <c r="L1042862" s="19"/>
      <c r="M1042862" s="19"/>
      <c r="N1042862" s="19"/>
    </row>
    <row r="1042863" spans="1:14" s="83" customFormat="1" ht="12.75">
      <c r="A1042863" s="19"/>
      <c r="B1042863" s="19"/>
      <c r="C1042863" s="19"/>
      <c r="D1042863" s="19"/>
      <c r="E1042863" s="19"/>
      <c r="F1042863" s="19"/>
      <c r="G1042863" s="19"/>
      <c r="H1042863" s="19"/>
      <c r="I1042863" s="19"/>
      <c r="J1042863" s="19"/>
      <c r="K1042863" s="19"/>
      <c r="L1042863" s="19"/>
      <c r="M1042863" s="19"/>
      <c r="N1042863" s="19"/>
    </row>
    <row r="1042864" spans="1:14" s="83" customFormat="1" ht="12.75">
      <c r="A1042864" s="19"/>
      <c r="B1042864" s="19"/>
      <c r="C1042864" s="19"/>
      <c r="D1042864" s="19"/>
      <c r="E1042864" s="19"/>
      <c r="F1042864" s="19"/>
      <c r="G1042864" s="19"/>
      <c r="H1042864" s="19"/>
      <c r="I1042864" s="19"/>
      <c r="J1042864" s="19"/>
      <c r="K1042864" s="19"/>
      <c r="L1042864" s="19"/>
      <c r="M1042864" s="19"/>
      <c r="N1042864" s="19"/>
    </row>
    <row r="1042865" spans="1:14" s="83" customFormat="1" ht="12.75">
      <c r="A1042865" s="19"/>
      <c r="B1042865" s="19"/>
      <c r="C1042865" s="19"/>
      <c r="D1042865" s="19"/>
      <c r="E1042865" s="19"/>
      <c r="F1042865" s="19"/>
      <c r="G1042865" s="19"/>
      <c r="H1042865" s="19"/>
      <c r="I1042865" s="19"/>
      <c r="J1042865" s="19"/>
      <c r="K1042865" s="19"/>
      <c r="L1042865" s="19"/>
      <c r="M1042865" s="19"/>
      <c r="N1042865" s="19"/>
    </row>
    <row r="1042866" spans="1:14" s="83" customFormat="1" ht="12.75">
      <c r="A1042866" s="19"/>
      <c r="B1042866" s="19"/>
      <c r="C1042866" s="19"/>
      <c r="D1042866" s="19"/>
      <c r="E1042866" s="19"/>
      <c r="F1042866" s="19"/>
      <c r="G1042866" s="19"/>
      <c r="H1042866" s="19"/>
      <c r="I1042866" s="19"/>
      <c r="J1042866" s="19"/>
      <c r="K1042866" s="19"/>
      <c r="L1042866" s="19"/>
      <c r="M1042866" s="19"/>
      <c r="N1042866" s="19"/>
    </row>
    <row r="1042867" spans="1:14" s="83" customFormat="1" ht="12.75">
      <c r="A1042867" s="19"/>
      <c r="B1042867" s="19"/>
      <c r="C1042867" s="19"/>
      <c r="D1042867" s="19"/>
      <c r="E1042867" s="19"/>
      <c r="F1042867" s="19"/>
      <c r="G1042867" s="19"/>
      <c r="H1042867" s="19"/>
      <c r="I1042867" s="19"/>
      <c r="J1042867" s="19"/>
      <c r="K1042867" s="19"/>
      <c r="L1042867" s="19"/>
      <c r="M1042867" s="19"/>
      <c r="N1042867" s="19"/>
    </row>
    <row r="1042868" spans="1:14" s="83" customFormat="1" ht="12.75">
      <c r="A1042868" s="19"/>
      <c r="B1042868" s="19"/>
      <c r="C1042868" s="19"/>
      <c r="D1042868" s="19"/>
      <c r="E1042868" s="19"/>
      <c r="F1042868" s="19"/>
      <c r="G1042868" s="19"/>
      <c r="H1042868" s="19"/>
      <c r="I1042868" s="19"/>
      <c r="J1042868" s="19"/>
      <c r="K1042868" s="19"/>
      <c r="L1042868" s="19"/>
      <c r="M1042868" s="19"/>
      <c r="N1042868" s="19"/>
    </row>
    <row r="1042869" spans="1:14" s="83" customFormat="1" ht="12.75">
      <c r="A1042869" s="19"/>
      <c r="B1042869" s="19"/>
      <c r="C1042869" s="19"/>
      <c r="D1042869" s="19"/>
      <c r="E1042869" s="19"/>
      <c r="F1042869" s="19"/>
      <c r="G1042869" s="19"/>
      <c r="H1042869" s="19"/>
      <c r="I1042869" s="19"/>
      <c r="J1042869" s="19"/>
      <c r="K1042869" s="19"/>
      <c r="L1042869" s="19"/>
      <c r="M1042869" s="19"/>
      <c r="N1042869" s="19"/>
    </row>
    <row r="1042870" spans="1:14" s="83" customFormat="1" ht="12.75">
      <c r="A1042870" s="19"/>
      <c r="B1042870" s="19"/>
      <c r="C1042870" s="19"/>
      <c r="D1042870" s="19"/>
      <c r="E1042870" s="19"/>
      <c r="F1042870" s="19"/>
      <c r="G1042870" s="19"/>
      <c r="H1042870" s="19"/>
      <c r="I1042870" s="19"/>
      <c r="J1042870" s="19"/>
      <c r="K1042870" s="19"/>
      <c r="L1042870" s="19"/>
      <c r="M1042870" s="19"/>
      <c r="N1042870" s="19"/>
    </row>
    <row r="1042871" spans="1:14" s="83" customFormat="1" ht="12.75">
      <c r="A1042871" s="19"/>
      <c r="B1042871" s="19"/>
      <c r="C1042871" s="19"/>
      <c r="D1042871" s="19"/>
      <c r="E1042871" s="19"/>
      <c r="F1042871" s="19"/>
      <c r="G1042871" s="19"/>
      <c r="H1042871" s="19"/>
      <c r="I1042871" s="19"/>
      <c r="J1042871" s="19"/>
      <c r="K1042871" s="19"/>
      <c r="L1042871" s="19"/>
      <c r="M1042871" s="19"/>
      <c r="N1042871" s="19"/>
    </row>
    <row r="1042872" spans="1:14" s="83" customFormat="1" ht="12.75">
      <c r="A1042872" s="19"/>
      <c r="B1042872" s="19"/>
      <c r="C1042872" s="19"/>
      <c r="D1042872" s="19"/>
      <c r="E1042872" s="19"/>
      <c r="F1042872" s="19"/>
      <c r="G1042872" s="19"/>
      <c r="H1042872" s="19"/>
      <c r="I1042872" s="19"/>
      <c r="J1042872" s="19"/>
      <c r="K1042872" s="19"/>
      <c r="L1042872" s="19"/>
      <c r="M1042872" s="19"/>
      <c r="N1042872" s="19"/>
    </row>
    <row r="1042873" spans="1:14" s="83" customFormat="1" ht="12.75">
      <c r="A1042873" s="19"/>
      <c r="B1042873" s="19"/>
      <c r="C1042873" s="19"/>
      <c r="D1042873" s="19"/>
      <c r="E1042873" s="19"/>
      <c r="F1042873" s="19"/>
      <c r="G1042873" s="19"/>
      <c r="H1042873" s="19"/>
      <c r="I1042873" s="19"/>
      <c r="J1042873" s="19"/>
      <c r="K1042873" s="19"/>
      <c r="L1042873" s="19"/>
      <c r="M1042873" s="19"/>
      <c r="N1042873" s="19"/>
    </row>
    <row r="1042874" spans="1:14" s="83" customFormat="1" ht="12.75">
      <c r="A1042874" s="19"/>
      <c r="B1042874" s="19"/>
      <c r="C1042874" s="19"/>
      <c r="D1042874" s="19"/>
      <c r="E1042874" s="19"/>
      <c r="F1042874" s="19"/>
      <c r="G1042874" s="19"/>
      <c r="H1042874" s="19"/>
      <c r="I1042874" s="19"/>
      <c r="J1042874" s="19"/>
      <c r="K1042874" s="19"/>
      <c r="L1042874" s="19"/>
      <c r="M1042874" s="19"/>
      <c r="N1042874" s="19"/>
    </row>
    <row r="1042875" spans="1:14" s="83" customFormat="1" ht="12.75">
      <c r="A1042875" s="19"/>
      <c r="B1042875" s="19"/>
      <c r="C1042875" s="19"/>
      <c r="D1042875" s="19"/>
      <c r="E1042875" s="19"/>
      <c r="F1042875" s="19"/>
      <c r="G1042875" s="19"/>
      <c r="H1042875" s="19"/>
      <c r="I1042875" s="19"/>
      <c r="J1042875" s="19"/>
      <c r="K1042875" s="19"/>
      <c r="L1042875" s="19"/>
      <c r="M1042875" s="19"/>
      <c r="N1042875" s="19"/>
    </row>
    <row r="1042876" spans="1:14" s="83" customFormat="1" ht="12.75">
      <c r="A1042876" s="19"/>
      <c r="B1042876" s="19"/>
      <c r="C1042876" s="19"/>
      <c r="D1042876" s="19"/>
      <c r="E1042876" s="19"/>
      <c r="F1042876" s="19"/>
      <c r="G1042876" s="19"/>
      <c r="H1042876" s="19"/>
      <c r="I1042876" s="19"/>
      <c r="J1042876" s="19"/>
      <c r="K1042876" s="19"/>
      <c r="L1042876" s="19"/>
      <c r="M1042876" s="19"/>
      <c r="N1042876" s="19"/>
    </row>
    <row r="1042877" spans="1:14" s="83" customFormat="1" ht="12.75">
      <c r="A1042877" s="19"/>
      <c r="B1042877" s="19"/>
      <c r="C1042877" s="19"/>
      <c r="D1042877" s="19"/>
      <c r="E1042877" s="19"/>
      <c r="F1042877" s="19"/>
      <c r="G1042877" s="19"/>
      <c r="H1042877" s="19"/>
      <c r="I1042877" s="19"/>
      <c r="J1042877" s="19"/>
      <c r="K1042877" s="19"/>
      <c r="L1042877" s="19"/>
      <c r="M1042877" s="19"/>
      <c r="N1042877" s="19"/>
    </row>
    <row r="1042878" spans="1:14" s="83" customFormat="1" ht="12.75">
      <c r="A1042878" s="19"/>
      <c r="B1042878" s="19"/>
      <c r="C1042878" s="19"/>
      <c r="D1042878" s="19"/>
      <c r="E1042878" s="19"/>
      <c r="F1042878" s="19"/>
      <c r="G1042878" s="19"/>
      <c r="H1042878" s="19"/>
      <c r="I1042878" s="19"/>
      <c r="J1042878" s="19"/>
      <c r="K1042878" s="19"/>
      <c r="L1042878" s="19"/>
      <c r="M1042878" s="19"/>
      <c r="N1042878" s="19"/>
    </row>
    <row r="1042879" spans="1:14" s="83" customFormat="1" ht="12.75">
      <c r="A1042879" s="19"/>
      <c r="B1042879" s="19"/>
      <c r="C1042879" s="19"/>
      <c r="D1042879" s="19"/>
      <c r="E1042879" s="19"/>
      <c r="F1042879" s="19"/>
      <c r="G1042879" s="19"/>
      <c r="H1042879" s="19"/>
      <c r="I1042879" s="19"/>
      <c r="J1042879" s="19"/>
      <c r="K1042879" s="19"/>
      <c r="L1042879" s="19"/>
      <c r="M1042879" s="19"/>
      <c r="N1042879" s="19"/>
    </row>
    <row r="1042880" spans="1:14" s="83" customFormat="1" ht="12.75">
      <c r="A1042880" s="19"/>
      <c r="B1042880" s="19"/>
      <c r="C1042880" s="19"/>
      <c r="D1042880" s="19"/>
      <c r="E1042880" s="19"/>
      <c r="F1042880" s="19"/>
      <c r="G1042880" s="19"/>
      <c r="H1042880" s="19"/>
      <c r="I1042880" s="19"/>
      <c r="J1042880" s="19"/>
      <c r="K1042880" s="19"/>
      <c r="L1042880" s="19"/>
      <c r="M1042880" s="19"/>
      <c r="N1042880" s="19"/>
    </row>
    <row r="1042881" spans="1:14" s="83" customFormat="1" ht="12.75">
      <c r="A1042881" s="19"/>
      <c r="B1042881" s="19"/>
      <c r="C1042881" s="19"/>
      <c r="D1042881" s="19"/>
      <c r="E1042881" s="19"/>
      <c r="F1042881" s="19"/>
      <c r="G1042881" s="19"/>
      <c r="H1042881" s="19"/>
      <c r="I1042881" s="19"/>
      <c r="J1042881" s="19"/>
      <c r="K1042881" s="19"/>
      <c r="L1042881" s="19"/>
      <c r="M1042881" s="19"/>
      <c r="N1042881" s="19"/>
    </row>
    <row r="1042882" spans="1:14" s="83" customFormat="1" ht="12.75">
      <c r="A1042882" s="19"/>
      <c r="B1042882" s="19"/>
      <c r="C1042882" s="19"/>
      <c r="D1042882" s="19"/>
      <c r="E1042882" s="19"/>
      <c r="F1042882" s="19"/>
      <c r="G1042882" s="19"/>
      <c r="H1042882" s="19"/>
      <c r="I1042882" s="19"/>
      <c r="J1042882" s="19"/>
      <c r="K1042882" s="19"/>
      <c r="L1042882" s="19"/>
      <c r="M1042882" s="19"/>
      <c r="N1042882" s="19"/>
    </row>
    <row r="1042883" spans="1:14" s="83" customFormat="1" ht="12.75">
      <c r="A1042883" s="19"/>
      <c r="B1042883" s="19"/>
      <c r="C1042883" s="19"/>
      <c r="D1042883" s="19"/>
      <c r="E1042883" s="19"/>
      <c r="F1042883" s="19"/>
      <c r="G1042883" s="19"/>
      <c r="H1042883" s="19"/>
      <c r="I1042883" s="19"/>
      <c r="J1042883" s="19"/>
      <c r="K1042883" s="19"/>
      <c r="L1042883" s="19"/>
      <c r="M1042883" s="19"/>
      <c r="N1042883" s="19"/>
    </row>
    <row r="1042884" spans="1:14" s="83" customFormat="1" ht="12.75">
      <c r="A1042884" s="19"/>
      <c r="B1042884" s="19"/>
      <c r="C1042884" s="19"/>
      <c r="D1042884" s="19"/>
      <c r="E1042884" s="19"/>
      <c r="F1042884" s="19"/>
      <c r="G1042884" s="19"/>
      <c r="H1042884" s="19"/>
      <c r="I1042884" s="19"/>
      <c r="J1042884" s="19"/>
      <c r="K1042884" s="19"/>
      <c r="L1042884" s="19"/>
      <c r="M1042884" s="19"/>
      <c r="N1042884" s="19"/>
    </row>
    <row r="1042885" spans="1:14" s="83" customFormat="1" ht="12.75">
      <c r="A1042885" s="19"/>
      <c r="B1042885" s="19"/>
      <c r="C1042885" s="19"/>
      <c r="D1042885" s="19"/>
      <c r="E1042885" s="19"/>
      <c r="F1042885" s="19"/>
      <c r="G1042885" s="19"/>
      <c r="H1042885" s="19"/>
      <c r="I1042885" s="19"/>
      <c r="J1042885" s="19"/>
      <c r="K1042885" s="19"/>
      <c r="L1042885" s="19"/>
      <c r="M1042885" s="19"/>
      <c r="N1042885" s="19"/>
    </row>
    <row r="1042886" spans="1:14" s="83" customFormat="1" ht="12.75">
      <c r="A1042886" s="19"/>
      <c r="B1042886" s="19"/>
      <c r="C1042886" s="19"/>
      <c r="D1042886" s="19"/>
      <c r="E1042886" s="19"/>
      <c r="F1042886" s="19"/>
      <c r="G1042886" s="19"/>
      <c r="H1042886" s="19"/>
      <c r="I1042886" s="19"/>
      <c r="J1042886" s="19"/>
      <c r="K1042886" s="19"/>
      <c r="L1042886" s="19"/>
      <c r="M1042886" s="19"/>
      <c r="N1042886" s="19"/>
    </row>
    <row r="1042887" spans="1:14" s="83" customFormat="1" ht="12.75">
      <c r="A1042887" s="19"/>
      <c r="B1042887" s="19"/>
      <c r="C1042887" s="19"/>
      <c r="D1042887" s="19"/>
      <c r="E1042887" s="19"/>
      <c r="F1042887" s="19"/>
      <c r="G1042887" s="19"/>
      <c r="H1042887" s="19"/>
      <c r="I1042887" s="19"/>
      <c r="J1042887" s="19"/>
      <c r="K1042887" s="19"/>
      <c r="L1042887" s="19"/>
      <c r="M1042887" s="19"/>
      <c r="N1042887" s="19"/>
    </row>
    <row r="1042888" spans="1:14" s="83" customFormat="1" ht="12.75">
      <c r="A1042888" s="19"/>
      <c r="B1042888" s="19"/>
      <c r="C1042888" s="19"/>
      <c r="D1042888" s="19"/>
      <c r="E1042888" s="19"/>
      <c r="F1042888" s="19"/>
      <c r="G1042888" s="19"/>
      <c r="H1042888" s="19"/>
      <c r="I1042888" s="19"/>
      <c r="J1042888" s="19"/>
      <c r="K1042888" s="19"/>
      <c r="L1042888" s="19"/>
      <c r="M1042888" s="19"/>
      <c r="N1042888" s="19"/>
    </row>
    <row r="1042889" spans="1:14" s="83" customFormat="1" ht="12.75">
      <c r="A1042889" s="19"/>
      <c r="B1042889" s="19"/>
      <c r="C1042889" s="19"/>
      <c r="D1042889" s="19"/>
      <c r="E1042889" s="19"/>
      <c r="F1042889" s="19"/>
      <c r="G1042889" s="19"/>
      <c r="H1042889" s="19"/>
      <c r="I1042889" s="19"/>
      <c r="J1042889" s="19"/>
      <c r="K1042889" s="19"/>
      <c r="L1042889" s="19"/>
      <c r="M1042889" s="19"/>
      <c r="N1042889" s="19"/>
    </row>
    <row r="1042890" spans="1:14" s="83" customFormat="1" ht="12.75">
      <c r="A1042890" s="19"/>
      <c r="B1042890" s="19"/>
      <c r="C1042890" s="19"/>
      <c r="D1042890" s="19"/>
      <c r="E1042890" s="19"/>
      <c r="F1042890" s="19"/>
      <c r="G1042890" s="19"/>
      <c r="H1042890" s="19"/>
      <c r="I1042890" s="19"/>
      <c r="J1042890" s="19"/>
      <c r="K1042890" s="19"/>
      <c r="L1042890" s="19"/>
      <c r="M1042890" s="19"/>
      <c r="N1042890" s="19"/>
    </row>
    <row r="1042891" spans="1:14" s="83" customFormat="1" ht="12.75">
      <c r="A1042891" s="19"/>
      <c r="B1042891" s="19"/>
      <c r="C1042891" s="19"/>
      <c r="D1042891" s="19"/>
      <c r="E1042891" s="19"/>
      <c r="F1042891" s="19"/>
      <c r="G1042891" s="19"/>
      <c r="H1042891" s="19"/>
      <c r="I1042891" s="19"/>
      <c r="J1042891" s="19"/>
      <c r="K1042891" s="19"/>
      <c r="L1042891" s="19"/>
      <c r="M1042891" s="19"/>
      <c r="N1042891" s="19"/>
    </row>
    <row r="1042892" spans="1:14" s="83" customFormat="1" ht="12.75">
      <c r="A1042892" s="19"/>
      <c r="B1042892" s="19"/>
      <c r="C1042892" s="19"/>
      <c r="D1042892" s="19"/>
      <c r="E1042892" s="19"/>
      <c r="F1042892" s="19"/>
      <c r="G1042892" s="19"/>
      <c r="H1042892" s="19"/>
      <c r="I1042892" s="19"/>
      <c r="J1042892" s="19"/>
      <c r="K1042892" s="19"/>
      <c r="L1042892" s="19"/>
      <c r="M1042892" s="19"/>
      <c r="N1042892" s="19"/>
    </row>
    <row r="1042893" spans="1:14" s="83" customFormat="1" ht="12.75">
      <c r="A1042893" s="19"/>
      <c r="B1042893" s="19"/>
      <c r="C1042893" s="19"/>
      <c r="D1042893" s="19"/>
      <c r="E1042893" s="19"/>
      <c r="F1042893" s="19"/>
      <c r="G1042893" s="19"/>
      <c r="H1042893" s="19"/>
      <c r="I1042893" s="19"/>
      <c r="J1042893" s="19"/>
      <c r="K1042893" s="19"/>
      <c r="L1042893" s="19"/>
      <c r="M1042893" s="19"/>
      <c r="N1042893" s="19"/>
    </row>
    <row r="1042894" spans="1:14" s="83" customFormat="1" ht="12.75">
      <c r="A1042894" s="19"/>
      <c r="B1042894" s="19"/>
      <c r="C1042894" s="19"/>
      <c r="D1042894" s="19"/>
      <c r="E1042894" s="19"/>
      <c r="F1042894" s="19"/>
      <c r="G1042894" s="19"/>
      <c r="H1042894" s="19"/>
      <c r="I1042894" s="19"/>
      <c r="J1042894" s="19"/>
      <c r="K1042894" s="19"/>
      <c r="L1042894" s="19"/>
      <c r="M1042894" s="19"/>
      <c r="N1042894" s="19"/>
    </row>
    <row r="1042895" spans="1:14" s="83" customFormat="1" ht="12.75">
      <c r="A1042895" s="19"/>
      <c r="B1042895" s="19"/>
      <c r="C1042895" s="19"/>
      <c r="D1042895" s="19"/>
      <c r="E1042895" s="19"/>
      <c r="F1042895" s="19"/>
      <c r="G1042895" s="19"/>
      <c r="H1042895" s="19"/>
      <c r="I1042895" s="19"/>
      <c r="J1042895" s="19"/>
      <c r="K1042895" s="19"/>
      <c r="L1042895" s="19"/>
      <c r="M1042895" s="19"/>
      <c r="N1042895" s="19"/>
    </row>
    <row r="1042896" spans="1:14" s="83" customFormat="1" ht="12.75">
      <c r="A1042896" s="19"/>
      <c r="B1042896" s="19"/>
      <c r="C1042896" s="19"/>
      <c r="D1042896" s="19"/>
      <c r="E1042896" s="19"/>
      <c r="F1042896" s="19"/>
      <c r="G1042896" s="19"/>
      <c r="H1042896" s="19"/>
      <c r="I1042896" s="19"/>
      <c r="J1042896" s="19"/>
      <c r="K1042896" s="19"/>
      <c r="L1042896" s="19"/>
      <c r="M1042896" s="19"/>
      <c r="N1042896" s="19"/>
    </row>
    <row r="1042897" spans="1:14" s="83" customFormat="1" ht="12.75">
      <c r="A1042897" s="19"/>
      <c r="B1042897" s="19"/>
      <c r="C1042897" s="19"/>
      <c r="D1042897" s="19"/>
      <c r="E1042897" s="19"/>
      <c r="F1042897" s="19"/>
      <c r="G1042897" s="19"/>
      <c r="H1042897" s="19"/>
      <c r="I1042897" s="19"/>
      <c r="J1042897" s="19"/>
      <c r="K1042897" s="19"/>
      <c r="L1042897" s="19"/>
      <c r="M1042897" s="19"/>
      <c r="N1042897" s="19"/>
    </row>
    <row r="1042898" spans="1:14" s="83" customFormat="1" ht="12.75">
      <c r="A1042898" s="19"/>
      <c r="B1042898" s="19"/>
      <c r="C1042898" s="19"/>
      <c r="D1042898" s="19"/>
      <c r="E1042898" s="19"/>
      <c r="F1042898" s="19"/>
      <c r="G1042898" s="19"/>
      <c r="H1042898" s="19"/>
      <c r="I1042898" s="19"/>
      <c r="J1042898" s="19"/>
      <c r="K1042898" s="19"/>
      <c r="L1042898" s="19"/>
      <c r="M1042898" s="19"/>
      <c r="N1042898" s="19"/>
    </row>
    <row r="1042899" spans="1:14" s="83" customFormat="1" ht="12.75">
      <c r="A1042899" s="19"/>
      <c r="B1042899" s="19"/>
      <c r="C1042899" s="19"/>
      <c r="D1042899" s="19"/>
      <c r="E1042899" s="19"/>
      <c r="F1042899" s="19"/>
      <c r="G1042899" s="19"/>
      <c r="H1042899" s="19"/>
      <c r="I1042899" s="19"/>
      <c r="J1042899" s="19"/>
      <c r="K1042899" s="19"/>
      <c r="L1042899" s="19"/>
      <c r="M1042899" s="19"/>
      <c r="N1042899" s="19"/>
    </row>
    <row r="1042900" spans="1:14" s="83" customFormat="1" ht="12.75">
      <c r="A1042900" s="19"/>
      <c r="B1042900" s="19"/>
      <c r="C1042900" s="19"/>
      <c r="D1042900" s="19"/>
      <c r="E1042900" s="19"/>
      <c r="F1042900" s="19"/>
      <c r="G1042900" s="19"/>
      <c r="H1042900" s="19"/>
      <c r="I1042900" s="19"/>
      <c r="J1042900" s="19"/>
      <c r="K1042900" s="19"/>
      <c r="L1042900" s="19"/>
      <c r="M1042900" s="19"/>
      <c r="N1042900" s="19"/>
    </row>
    <row r="1042901" spans="1:14" s="83" customFormat="1" ht="12.75">
      <c r="A1042901" s="19"/>
      <c r="B1042901" s="19"/>
      <c r="C1042901" s="19"/>
      <c r="D1042901" s="19"/>
      <c r="E1042901" s="19"/>
      <c r="F1042901" s="19"/>
      <c r="G1042901" s="19"/>
      <c r="H1042901" s="19"/>
      <c r="I1042901" s="19"/>
      <c r="J1042901" s="19"/>
      <c r="K1042901" s="19"/>
      <c r="L1042901" s="19"/>
      <c r="M1042901" s="19"/>
      <c r="N1042901" s="19"/>
    </row>
    <row r="1042902" spans="1:14" s="83" customFormat="1" ht="12.75">
      <c r="A1042902" s="19"/>
      <c r="B1042902" s="19"/>
      <c r="C1042902" s="19"/>
      <c r="D1042902" s="19"/>
      <c r="E1042902" s="19"/>
      <c r="F1042902" s="19"/>
      <c r="G1042902" s="19"/>
      <c r="H1042902" s="19"/>
      <c r="I1042902" s="19"/>
      <c r="J1042902" s="19"/>
      <c r="K1042902" s="19"/>
      <c r="L1042902" s="19"/>
      <c r="M1042902" s="19"/>
      <c r="N1042902" s="19"/>
    </row>
    <row r="1042903" spans="1:14" s="83" customFormat="1" ht="12.75">
      <c r="A1042903" s="19"/>
      <c r="B1042903" s="19"/>
      <c r="C1042903" s="19"/>
      <c r="D1042903" s="19"/>
      <c r="E1042903" s="19"/>
      <c r="F1042903" s="19"/>
      <c r="G1042903" s="19"/>
      <c r="H1042903" s="19"/>
      <c r="I1042903" s="19"/>
      <c r="J1042903" s="19"/>
      <c r="K1042903" s="19"/>
      <c r="L1042903" s="19"/>
      <c r="M1042903" s="19"/>
      <c r="N1042903" s="19"/>
    </row>
    <row r="1042904" spans="1:14" s="83" customFormat="1" ht="12.75">
      <c r="A1042904" s="19"/>
      <c r="B1042904" s="19"/>
      <c r="C1042904" s="19"/>
      <c r="D1042904" s="19"/>
      <c r="E1042904" s="19"/>
      <c r="F1042904" s="19"/>
      <c r="G1042904" s="19"/>
      <c r="H1042904" s="19"/>
      <c r="I1042904" s="19"/>
      <c r="J1042904" s="19"/>
      <c r="K1042904" s="19"/>
      <c r="L1042904" s="19"/>
      <c r="M1042904" s="19"/>
      <c r="N1042904" s="19"/>
    </row>
    <row r="1042905" spans="1:14" s="83" customFormat="1" ht="12.75">
      <c r="A1042905" s="19"/>
      <c r="B1042905" s="19"/>
      <c r="C1042905" s="19"/>
      <c r="D1042905" s="19"/>
      <c r="E1042905" s="19"/>
      <c r="F1042905" s="19"/>
      <c r="G1042905" s="19"/>
      <c r="H1042905" s="19"/>
      <c r="I1042905" s="19"/>
      <c r="J1042905" s="19"/>
      <c r="K1042905" s="19"/>
      <c r="L1042905" s="19"/>
      <c r="M1042905" s="19"/>
      <c r="N1042905" s="19"/>
    </row>
    <row r="1042906" spans="1:14" s="83" customFormat="1" ht="12.75">
      <c r="A1042906" s="19"/>
      <c r="B1042906" s="19"/>
      <c r="C1042906" s="19"/>
      <c r="D1042906" s="19"/>
      <c r="E1042906" s="19"/>
      <c r="F1042906" s="19"/>
      <c r="G1042906" s="19"/>
      <c r="H1042906" s="19"/>
      <c r="I1042906" s="19"/>
      <c r="J1042906" s="19"/>
      <c r="K1042906" s="19"/>
      <c r="L1042906" s="19"/>
      <c r="M1042906" s="19"/>
      <c r="N1042906" s="19"/>
    </row>
    <row r="1042907" spans="1:14" s="83" customFormat="1" ht="12.75">
      <c r="A1042907" s="19"/>
      <c r="B1042907" s="19"/>
      <c r="C1042907" s="19"/>
      <c r="D1042907" s="19"/>
      <c r="E1042907" s="19"/>
      <c r="F1042907" s="19"/>
      <c r="G1042907" s="19"/>
      <c r="H1042907" s="19"/>
      <c r="I1042907" s="19"/>
      <c r="J1042907" s="19"/>
      <c r="K1042907" s="19"/>
      <c r="L1042907" s="19"/>
      <c r="M1042907" s="19"/>
      <c r="N1042907" s="19"/>
    </row>
    <row r="1042908" spans="1:14" s="83" customFormat="1" ht="12.75">
      <c r="A1042908" s="19"/>
      <c r="B1042908" s="19"/>
      <c r="C1042908" s="19"/>
      <c r="D1042908" s="19"/>
      <c r="E1042908" s="19"/>
      <c r="F1042908" s="19"/>
      <c r="G1042908" s="19"/>
      <c r="H1042908" s="19"/>
      <c r="I1042908" s="19"/>
      <c r="J1042908" s="19"/>
      <c r="K1042908" s="19"/>
      <c r="L1042908" s="19"/>
      <c r="M1042908" s="19"/>
      <c r="N1042908" s="19"/>
    </row>
    <row r="1042909" spans="1:14" s="83" customFormat="1" ht="12.75">
      <c r="A1042909" s="19"/>
      <c r="B1042909" s="19"/>
      <c r="C1042909" s="19"/>
      <c r="D1042909" s="19"/>
      <c r="E1042909" s="19"/>
      <c r="F1042909" s="19"/>
      <c r="G1042909" s="19"/>
      <c r="H1042909" s="19"/>
      <c r="I1042909" s="19"/>
      <c r="J1042909" s="19"/>
      <c r="K1042909" s="19"/>
      <c r="L1042909" s="19"/>
      <c r="M1042909" s="19"/>
      <c r="N1042909" s="19"/>
    </row>
    <row r="1042910" spans="1:14" s="83" customFormat="1" ht="12.75">
      <c r="A1042910" s="19"/>
      <c r="B1042910" s="19"/>
      <c r="C1042910" s="19"/>
      <c r="D1042910" s="19"/>
      <c r="E1042910" s="19"/>
      <c r="F1042910" s="19"/>
      <c r="G1042910" s="19"/>
      <c r="H1042910" s="19"/>
      <c r="I1042910" s="19"/>
      <c r="J1042910" s="19"/>
      <c r="K1042910" s="19"/>
      <c r="L1042910" s="19"/>
      <c r="M1042910" s="19"/>
      <c r="N1042910" s="19"/>
    </row>
    <row r="1042911" spans="1:14" s="83" customFormat="1" ht="12.75">
      <c r="A1042911" s="19"/>
      <c r="B1042911" s="19"/>
      <c r="C1042911" s="19"/>
      <c r="D1042911" s="19"/>
      <c r="E1042911" s="19"/>
      <c r="F1042911" s="19"/>
      <c r="G1042911" s="19"/>
      <c r="H1042911" s="19"/>
      <c r="I1042911" s="19"/>
      <c r="J1042911" s="19"/>
      <c r="K1042911" s="19"/>
      <c r="L1042911" s="19"/>
      <c r="M1042911" s="19"/>
      <c r="N1042911" s="19"/>
    </row>
    <row r="1042912" spans="1:14" s="83" customFormat="1" ht="12.75">
      <c r="A1042912" s="19"/>
      <c r="B1042912" s="19"/>
      <c r="C1042912" s="19"/>
      <c r="D1042912" s="19"/>
      <c r="E1042912" s="19"/>
      <c r="F1042912" s="19"/>
      <c r="G1042912" s="19"/>
      <c r="H1042912" s="19"/>
      <c r="I1042912" s="19"/>
      <c r="J1042912" s="19"/>
      <c r="K1042912" s="19"/>
      <c r="L1042912" s="19"/>
      <c r="M1042912" s="19"/>
      <c r="N1042912" s="19"/>
    </row>
    <row r="1042913" spans="1:14" s="83" customFormat="1" ht="12.75">
      <c r="A1042913" s="19"/>
      <c r="B1042913" s="19"/>
      <c r="C1042913" s="19"/>
      <c r="D1042913" s="19"/>
      <c r="E1042913" s="19"/>
      <c r="F1042913" s="19"/>
      <c r="G1042913" s="19"/>
      <c r="H1042913" s="19"/>
      <c r="I1042913" s="19"/>
      <c r="J1042913" s="19"/>
      <c r="K1042913" s="19"/>
      <c r="L1042913" s="19"/>
      <c r="M1042913" s="19"/>
      <c r="N1042913" s="19"/>
    </row>
    <row r="1042914" spans="1:14" s="83" customFormat="1" ht="12.75">
      <c r="A1042914" s="19"/>
      <c r="B1042914" s="19"/>
      <c r="C1042914" s="19"/>
      <c r="D1042914" s="19"/>
      <c r="E1042914" s="19"/>
      <c r="F1042914" s="19"/>
      <c r="G1042914" s="19"/>
      <c r="H1042914" s="19"/>
      <c r="I1042914" s="19"/>
      <c r="J1042914" s="19"/>
      <c r="K1042914" s="19"/>
      <c r="L1042914" s="19"/>
      <c r="M1042914" s="19"/>
      <c r="N1042914" s="19"/>
    </row>
    <row r="1042915" spans="1:14" s="83" customFormat="1" ht="12.75">
      <c r="A1042915" s="19"/>
      <c r="B1042915" s="19"/>
      <c r="C1042915" s="19"/>
      <c r="D1042915" s="19"/>
      <c r="E1042915" s="19"/>
      <c r="F1042915" s="19"/>
      <c r="G1042915" s="19"/>
      <c r="H1042915" s="19"/>
      <c r="I1042915" s="19"/>
      <c r="J1042915" s="19"/>
      <c r="K1042915" s="19"/>
      <c r="L1042915" s="19"/>
      <c r="M1042915" s="19"/>
      <c r="N1042915" s="19"/>
    </row>
    <row r="1042916" spans="1:14" s="83" customFormat="1" ht="12.75">
      <c r="A1042916" s="19"/>
      <c r="B1042916" s="19"/>
      <c r="C1042916" s="19"/>
      <c r="D1042916" s="19"/>
      <c r="E1042916" s="19"/>
      <c r="F1042916" s="19"/>
      <c r="G1042916" s="19"/>
      <c r="H1042916" s="19"/>
      <c r="I1042916" s="19"/>
      <c r="J1042916" s="19"/>
      <c r="K1042916" s="19"/>
      <c r="L1042916" s="19"/>
      <c r="M1042916" s="19"/>
      <c r="N1042916" s="19"/>
    </row>
    <row r="1042917" spans="1:14" s="83" customFormat="1" ht="12.75">
      <c r="A1042917" s="19"/>
      <c r="B1042917" s="19"/>
      <c r="C1042917" s="19"/>
      <c r="D1042917" s="19"/>
      <c r="E1042917" s="19"/>
      <c r="F1042917" s="19"/>
      <c r="G1042917" s="19"/>
      <c r="H1042917" s="19"/>
      <c r="I1042917" s="19"/>
      <c r="J1042917" s="19"/>
      <c r="K1042917" s="19"/>
      <c r="L1042917" s="19"/>
      <c r="M1042917" s="19"/>
      <c r="N1042917" s="19"/>
    </row>
    <row r="1042918" spans="1:14" s="83" customFormat="1" ht="12.75">
      <c r="A1042918" s="19"/>
      <c r="B1042918" s="19"/>
      <c r="C1042918" s="19"/>
      <c r="D1042918" s="19"/>
      <c r="E1042918" s="19"/>
      <c r="F1042918" s="19"/>
      <c r="G1042918" s="19"/>
      <c r="H1042918" s="19"/>
      <c r="I1042918" s="19"/>
      <c r="J1042918" s="19"/>
      <c r="K1042918" s="19"/>
      <c r="L1042918" s="19"/>
      <c r="M1042918" s="19"/>
      <c r="N1042918" s="19"/>
    </row>
    <row r="1042919" spans="1:14" s="83" customFormat="1" ht="12.75">
      <c r="A1042919" s="19"/>
      <c r="B1042919" s="19"/>
      <c r="C1042919" s="19"/>
      <c r="D1042919" s="19"/>
      <c r="E1042919" s="19"/>
      <c r="F1042919" s="19"/>
      <c r="G1042919" s="19"/>
      <c r="H1042919" s="19"/>
      <c r="I1042919" s="19"/>
      <c r="J1042919" s="19"/>
      <c r="K1042919" s="19"/>
      <c r="L1042919" s="19"/>
      <c r="M1042919" s="19"/>
      <c r="N1042919" s="19"/>
    </row>
    <row r="1042920" spans="1:14" s="83" customFormat="1" ht="12.75">
      <c r="A1042920" s="19"/>
      <c r="B1042920" s="19"/>
      <c r="C1042920" s="19"/>
      <c r="D1042920" s="19"/>
      <c r="E1042920" s="19"/>
      <c r="F1042920" s="19"/>
      <c r="G1042920" s="19"/>
      <c r="H1042920" s="19"/>
      <c r="I1042920" s="19"/>
      <c r="J1042920" s="19"/>
      <c r="K1042920" s="19"/>
      <c r="L1042920" s="19"/>
      <c r="M1042920" s="19"/>
      <c r="N1042920" s="19"/>
    </row>
    <row r="1042921" spans="1:14" s="83" customFormat="1" ht="12.75">
      <c r="A1042921" s="19"/>
      <c r="B1042921" s="19"/>
      <c r="C1042921" s="19"/>
      <c r="D1042921" s="19"/>
      <c r="E1042921" s="19"/>
      <c r="F1042921" s="19"/>
      <c r="G1042921" s="19"/>
      <c r="H1042921" s="19"/>
      <c r="I1042921" s="19"/>
      <c r="J1042921" s="19"/>
      <c r="K1042921" s="19"/>
      <c r="L1042921" s="19"/>
      <c r="M1042921" s="19"/>
      <c r="N1042921" s="19"/>
    </row>
    <row r="1042922" spans="1:14" s="83" customFormat="1" ht="12.75">
      <c r="A1042922" s="19"/>
      <c r="B1042922" s="19"/>
      <c r="C1042922" s="19"/>
      <c r="D1042922" s="19"/>
      <c r="E1042922" s="19"/>
      <c r="F1042922" s="19"/>
      <c r="G1042922" s="19"/>
      <c r="H1042922" s="19"/>
      <c r="I1042922" s="19"/>
      <c r="J1042922" s="19"/>
      <c r="K1042922" s="19"/>
      <c r="L1042922" s="19"/>
      <c r="M1042922" s="19"/>
      <c r="N1042922" s="19"/>
    </row>
    <row r="1042923" spans="1:14" s="83" customFormat="1" ht="12.75">
      <c r="A1042923" s="19"/>
      <c r="B1042923" s="19"/>
      <c r="C1042923" s="19"/>
      <c r="D1042923" s="19"/>
      <c r="E1042923" s="19"/>
      <c r="F1042923" s="19"/>
      <c r="G1042923" s="19"/>
      <c r="H1042923" s="19"/>
      <c r="I1042923" s="19"/>
      <c r="J1042923" s="19"/>
      <c r="K1042923" s="19"/>
      <c r="L1042923" s="19"/>
      <c r="M1042923" s="19"/>
      <c r="N1042923" s="19"/>
    </row>
    <row r="1042924" spans="1:14" s="83" customFormat="1" ht="12.75">
      <c r="A1042924" s="19"/>
      <c r="B1042924" s="19"/>
      <c r="C1042924" s="19"/>
      <c r="D1042924" s="19"/>
      <c r="E1042924" s="19"/>
      <c r="F1042924" s="19"/>
      <c r="G1042924" s="19"/>
      <c r="H1042924" s="19"/>
      <c r="I1042924" s="19"/>
      <c r="J1042924" s="19"/>
      <c r="K1042924" s="19"/>
      <c r="L1042924" s="19"/>
      <c r="M1042924" s="19"/>
      <c r="N1042924" s="19"/>
    </row>
    <row r="1042925" spans="1:14" s="83" customFormat="1" ht="12.75">
      <c r="A1042925" s="19"/>
      <c r="B1042925" s="19"/>
      <c r="C1042925" s="19"/>
      <c r="D1042925" s="19"/>
      <c r="E1042925" s="19"/>
      <c r="F1042925" s="19"/>
      <c r="G1042925" s="19"/>
      <c r="H1042925" s="19"/>
      <c r="I1042925" s="19"/>
      <c r="J1042925" s="19"/>
      <c r="K1042925" s="19"/>
      <c r="L1042925" s="19"/>
      <c r="M1042925" s="19"/>
      <c r="N1042925" s="19"/>
    </row>
    <row r="1042926" spans="1:14" s="83" customFormat="1" ht="12.75">
      <c r="A1042926" s="19"/>
      <c r="B1042926" s="19"/>
      <c r="C1042926" s="19"/>
      <c r="D1042926" s="19"/>
      <c r="E1042926" s="19"/>
      <c r="F1042926" s="19"/>
      <c r="G1042926" s="19"/>
      <c r="H1042926" s="19"/>
      <c r="I1042926" s="19"/>
      <c r="J1042926" s="19"/>
      <c r="K1042926" s="19"/>
      <c r="L1042926" s="19"/>
      <c r="M1042926" s="19"/>
      <c r="N1042926" s="19"/>
    </row>
    <row r="1042927" spans="1:14" s="83" customFormat="1" ht="12.75">
      <c r="A1042927" s="19"/>
      <c r="B1042927" s="19"/>
      <c r="C1042927" s="19"/>
      <c r="D1042927" s="19"/>
      <c r="E1042927" s="19"/>
      <c r="F1042927" s="19"/>
      <c r="G1042927" s="19"/>
      <c r="H1042927" s="19"/>
      <c r="I1042927" s="19"/>
      <c r="J1042927" s="19"/>
      <c r="K1042927" s="19"/>
      <c r="L1042927" s="19"/>
      <c r="M1042927" s="19"/>
      <c r="N1042927" s="19"/>
    </row>
    <row r="1042928" spans="1:14" s="83" customFormat="1" ht="12.75">
      <c r="A1042928" s="19"/>
      <c r="B1042928" s="19"/>
      <c r="C1042928" s="19"/>
      <c r="D1042928" s="19"/>
      <c r="E1042928" s="19"/>
      <c r="F1042928" s="19"/>
      <c r="G1042928" s="19"/>
      <c r="H1042928" s="19"/>
      <c r="I1042928" s="19"/>
      <c r="J1042928" s="19"/>
      <c r="K1042928" s="19"/>
      <c r="L1042928" s="19"/>
      <c r="M1042928" s="19"/>
      <c r="N1042928" s="19"/>
    </row>
    <row r="1042929" spans="1:14" s="83" customFormat="1" ht="12.75">
      <c r="A1042929" s="19"/>
      <c r="B1042929" s="19"/>
      <c r="C1042929" s="19"/>
      <c r="D1042929" s="19"/>
      <c r="E1042929" s="19"/>
      <c r="F1042929" s="19"/>
      <c r="G1042929" s="19"/>
      <c r="H1042929" s="19"/>
      <c r="I1042929" s="19"/>
      <c r="J1042929" s="19"/>
      <c r="K1042929" s="19"/>
      <c r="L1042929" s="19"/>
      <c r="M1042929" s="19"/>
      <c r="N1042929" s="19"/>
    </row>
    <row r="1042930" spans="1:14" s="83" customFormat="1" ht="12.75">
      <c r="A1042930" s="19"/>
      <c r="B1042930" s="19"/>
      <c r="C1042930" s="19"/>
      <c r="D1042930" s="19"/>
      <c r="E1042930" s="19"/>
      <c r="F1042930" s="19"/>
      <c r="G1042930" s="19"/>
      <c r="H1042930" s="19"/>
      <c r="I1042930" s="19"/>
      <c r="J1042930" s="19"/>
      <c r="K1042930" s="19"/>
      <c r="L1042930" s="19"/>
      <c r="M1042930" s="19"/>
      <c r="N1042930" s="19"/>
    </row>
    <row r="1042931" spans="1:14" s="83" customFormat="1" ht="12.75">
      <c r="A1042931" s="19"/>
      <c r="B1042931" s="19"/>
      <c r="C1042931" s="19"/>
      <c r="D1042931" s="19"/>
      <c r="E1042931" s="19"/>
      <c r="F1042931" s="19"/>
      <c r="G1042931" s="19"/>
      <c r="H1042931" s="19"/>
      <c r="I1042931" s="19"/>
      <c r="J1042931" s="19"/>
      <c r="K1042931" s="19"/>
      <c r="L1042931" s="19"/>
      <c r="M1042931" s="19"/>
      <c r="N1042931" s="19"/>
    </row>
    <row r="1042932" spans="1:14" s="83" customFormat="1" ht="12.75">
      <c r="A1042932" s="19"/>
      <c r="B1042932" s="19"/>
      <c r="C1042932" s="19"/>
      <c r="D1042932" s="19"/>
      <c r="E1042932" s="19"/>
      <c r="F1042932" s="19"/>
      <c r="G1042932" s="19"/>
      <c r="H1042932" s="19"/>
      <c r="I1042932" s="19"/>
      <c r="J1042932" s="19"/>
      <c r="K1042932" s="19"/>
      <c r="L1042932" s="19"/>
      <c r="M1042932" s="19"/>
      <c r="N1042932" s="19"/>
    </row>
    <row r="1042933" spans="1:14" s="83" customFormat="1" ht="12.75">
      <c r="A1042933" s="19"/>
      <c r="B1042933" s="19"/>
      <c r="C1042933" s="19"/>
      <c r="D1042933" s="19"/>
      <c r="E1042933" s="19"/>
      <c r="F1042933" s="19"/>
      <c r="G1042933" s="19"/>
      <c r="H1042933" s="19"/>
      <c r="I1042933" s="19"/>
      <c r="J1042933" s="19"/>
      <c r="K1042933" s="19"/>
      <c r="L1042933" s="19"/>
      <c r="M1042933" s="19"/>
      <c r="N1042933" s="19"/>
    </row>
    <row r="1042934" spans="1:14" s="83" customFormat="1" ht="12.75">
      <c r="A1042934" s="19"/>
      <c r="B1042934" s="19"/>
      <c r="C1042934" s="19"/>
      <c r="D1042934" s="19"/>
      <c r="E1042934" s="19"/>
      <c r="F1042934" s="19"/>
      <c r="G1042934" s="19"/>
      <c r="H1042934" s="19"/>
      <c r="I1042934" s="19"/>
      <c r="J1042934" s="19"/>
      <c r="K1042934" s="19"/>
      <c r="L1042934" s="19"/>
      <c r="M1042934" s="19"/>
      <c r="N1042934" s="19"/>
    </row>
    <row r="1042935" spans="1:14" s="83" customFormat="1" ht="12.75">
      <c r="A1042935" s="19"/>
      <c r="B1042935" s="19"/>
      <c r="C1042935" s="19"/>
      <c r="D1042935" s="19"/>
      <c r="E1042935" s="19"/>
      <c r="F1042935" s="19"/>
      <c r="G1042935" s="19"/>
      <c r="H1042935" s="19"/>
      <c r="I1042935" s="19"/>
      <c r="J1042935" s="19"/>
      <c r="K1042935" s="19"/>
      <c r="L1042935" s="19"/>
      <c r="M1042935" s="19"/>
      <c r="N1042935" s="19"/>
    </row>
    <row r="1042936" spans="1:14" s="83" customFormat="1" ht="12.75">
      <c r="A1042936" s="19"/>
      <c r="B1042936" s="19"/>
      <c r="C1042936" s="19"/>
      <c r="D1042936" s="19"/>
      <c r="E1042936" s="19"/>
      <c r="F1042936" s="19"/>
      <c r="G1042936" s="19"/>
      <c r="H1042936" s="19"/>
      <c r="I1042936" s="19"/>
      <c r="J1042936" s="19"/>
      <c r="K1042936" s="19"/>
      <c r="L1042936" s="19"/>
      <c r="M1042936" s="19"/>
      <c r="N1042936" s="19"/>
    </row>
    <row r="1042937" spans="1:14" s="83" customFormat="1" ht="12.75">
      <c r="A1042937" s="19"/>
      <c r="B1042937" s="19"/>
      <c r="C1042937" s="19"/>
      <c r="D1042937" s="19"/>
      <c r="E1042937" s="19"/>
      <c r="F1042937" s="19"/>
      <c r="G1042937" s="19"/>
      <c r="H1042937" s="19"/>
      <c r="I1042937" s="19"/>
      <c r="J1042937" s="19"/>
      <c r="K1042937" s="19"/>
      <c r="L1042937" s="19"/>
      <c r="M1042937" s="19"/>
      <c r="N1042937" s="19"/>
    </row>
    <row r="1042938" spans="1:14" s="83" customFormat="1" ht="12.75">
      <c r="A1042938" s="19"/>
      <c r="B1042938" s="19"/>
      <c r="C1042938" s="19"/>
      <c r="D1042938" s="19"/>
      <c r="E1042938" s="19"/>
      <c r="F1042938" s="19"/>
      <c r="G1042938" s="19"/>
      <c r="H1042938" s="19"/>
      <c r="I1042938" s="19"/>
      <c r="J1042938" s="19"/>
      <c r="K1042938" s="19"/>
      <c r="L1042938" s="19"/>
      <c r="M1042938" s="19"/>
      <c r="N1042938" s="19"/>
    </row>
    <row r="1042939" spans="1:14" s="83" customFormat="1" ht="12.75">
      <c r="A1042939" s="19"/>
      <c r="B1042939" s="19"/>
      <c r="C1042939" s="19"/>
      <c r="D1042939" s="19"/>
      <c r="E1042939" s="19"/>
      <c r="F1042939" s="19"/>
      <c r="G1042939" s="19"/>
      <c r="H1042939" s="19"/>
      <c r="I1042939" s="19"/>
      <c r="J1042939" s="19"/>
      <c r="K1042939" s="19"/>
      <c r="L1042939" s="19"/>
      <c r="M1042939" s="19"/>
      <c r="N1042939" s="19"/>
    </row>
    <row r="1042940" spans="1:14" s="83" customFormat="1" ht="12.75">
      <c r="A1042940" s="19"/>
      <c r="B1042940" s="19"/>
      <c r="C1042940" s="19"/>
      <c r="D1042940" s="19"/>
      <c r="E1042940" s="19"/>
      <c r="F1042940" s="19"/>
      <c r="G1042940" s="19"/>
      <c r="H1042940" s="19"/>
      <c r="I1042940" s="19"/>
      <c r="J1042940" s="19"/>
      <c r="K1042940" s="19"/>
      <c r="L1042940" s="19"/>
      <c r="M1042940" s="19"/>
      <c r="N1042940" s="19"/>
    </row>
    <row r="1042941" spans="1:14" s="83" customFormat="1" ht="12.75">
      <c r="A1042941" s="19"/>
      <c r="B1042941" s="19"/>
      <c r="C1042941" s="19"/>
      <c r="D1042941" s="19"/>
      <c r="E1042941" s="19"/>
      <c r="F1042941" s="19"/>
      <c r="G1042941" s="19"/>
      <c r="H1042941" s="19"/>
      <c r="I1042941" s="19"/>
      <c r="J1042941" s="19"/>
      <c r="K1042941" s="19"/>
      <c r="L1042941" s="19"/>
      <c r="M1042941" s="19"/>
      <c r="N1042941" s="19"/>
    </row>
    <row r="1042942" spans="1:14" s="83" customFormat="1" ht="12.75">
      <c r="A1042942" s="19"/>
      <c r="B1042942" s="19"/>
      <c r="C1042942" s="19"/>
      <c r="D1042942" s="19"/>
      <c r="E1042942" s="19"/>
      <c r="F1042942" s="19"/>
      <c r="G1042942" s="19"/>
      <c r="H1042942" s="19"/>
      <c r="I1042942" s="19"/>
      <c r="J1042942" s="19"/>
      <c r="K1042942" s="19"/>
      <c r="L1042942" s="19"/>
      <c r="M1042942" s="19"/>
      <c r="N1042942" s="19"/>
    </row>
    <row r="1042943" spans="1:14" s="83" customFormat="1" ht="12.75">
      <c r="A1042943" s="19"/>
      <c r="B1042943" s="19"/>
      <c r="C1042943" s="19"/>
      <c r="D1042943" s="19"/>
      <c r="E1042943" s="19"/>
      <c r="F1042943" s="19"/>
      <c r="G1042943" s="19"/>
      <c r="H1042943" s="19"/>
      <c r="I1042943" s="19"/>
      <c r="J1042943" s="19"/>
      <c r="K1042943" s="19"/>
      <c r="L1042943" s="19"/>
      <c r="M1042943" s="19"/>
      <c r="N1042943" s="19"/>
    </row>
    <row r="1042944" spans="1:14" s="83" customFormat="1" ht="12.75">
      <c r="A1042944" s="19"/>
      <c r="B1042944" s="19"/>
      <c r="C1042944" s="19"/>
      <c r="D1042944" s="19"/>
      <c r="E1042944" s="19"/>
      <c r="F1042944" s="19"/>
      <c r="G1042944" s="19"/>
      <c r="H1042944" s="19"/>
      <c r="I1042944" s="19"/>
      <c r="J1042944" s="19"/>
      <c r="K1042944" s="19"/>
      <c r="L1042944" s="19"/>
      <c r="M1042944" s="19"/>
      <c r="N1042944" s="19"/>
    </row>
    <row r="1042945" spans="1:14" s="83" customFormat="1" ht="12.75">
      <c r="A1042945" s="19"/>
      <c r="B1042945" s="19"/>
      <c r="C1042945" s="19"/>
      <c r="D1042945" s="19"/>
      <c r="E1042945" s="19"/>
      <c r="F1042945" s="19"/>
      <c r="G1042945" s="19"/>
      <c r="H1042945" s="19"/>
      <c r="I1042945" s="19"/>
      <c r="J1042945" s="19"/>
      <c r="K1042945" s="19"/>
      <c r="L1042945" s="19"/>
      <c r="M1042945" s="19"/>
      <c r="N1042945" s="19"/>
    </row>
    <row r="1042946" spans="1:14" s="83" customFormat="1" ht="12.75">
      <c r="A1042946" s="19"/>
      <c r="B1042946" s="19"/>
      <c r="C1042946" s="19"/>
      <c r="D1042946" s="19"/>
      <c r="E1042946" s="19"/>
      <c r="F1042946" s="19"/>
      <c r="G1042946" s="19"/>
      <c r="H1042946" s="19"/>
      <c r="I1042946" s="19"/>
      <c r="J1042946" s="19"/>
      <c r="K1042946" s="19"/>
      <c r="L1042946" s="19"/>
      <c r="M1042946" s="19"/>
      <c r="N1042946" s="19"/>
    </row>
    <row r="1042947" spans="1:14" s="83" customFormat="1" ht="12.75">
      <c r="A1042947" s="19"/>
      <c r="B1042947" s="19"/>
      <c r="C1042947" s="19"/>
      <c r="D1042947" s="19"/>
      <c r="E1042947" s="19"/>
      <c r="F1042947" s="19"/>
      <c r="G1042947" s="19"/>
      <c r="H1042947" s="19"/>
      <c r="I1042947" s="19"/>
      <c r="J1042947" s="19"/>
      <c r="K1042947" s="19"/>
      <c r="L1042947" s="19"/>
      <c r="M1042947" s="19"/>
      <c r="N1042947" s="19"/>
    </row>
    <row r="1042948" spans="1:14" s="83" customFormat="1" ht="12.75">
      <c r="A1042948" s="19"/>
      <c r="B1042948" s="19"/>
      <c r="C1042948" s="19"/>
      <c r="D1042948" s="19"/>
      <c r="E1042948" s="19"/>
      <c r="F1042948" s="19"/>
      <c r="G1042948" s="19"/>
      <c r="H1042948" s="19"/>
      <c r="I1042948" s="19"/>
      <c r="J1042948" s="19"/>
      <c r="K1042948" s="19"/>
      <c r="L1042948" s="19"/>
      <c r="M1042948" s="19"/>
      <c r="N1042948" s="19"/>
    </row>
    <row r="1042949" spans="1:14" s="83" customFormat="1" ht="12.75">
      <c r="A1042949" s="19"/>
      <c r="B1042949" s="19"/>
      <c r="C1042949" s="19"/>
      <c r="D1042949" s="19"/>
      <c r="E1042949" s="19"/>
      <c r="F1042949" s="19"/>
      <c r="G1042949" s="19"/>
      <c r="H1042949" s="19"/>
      <c r="I1042949" s="19"/>
      <c r="J1042949" s="19"/>
      <c r="K1042949" s="19"/>
      <c r="L1042949" s="19"/>
      <c r="M1042949" s="19"/>
      <c r="N1042949" s="19"/>
    </row>
    <row r="1042950" spans="1:14" s="83" customFormat="1" ht="12.75">
      <c r="A1042950" s="19"/>
      <c r="B1042950" s="19"/>
      <c r="C1042950" s="19"/>
      <c r="D1042950" s="19"/>
      <c r="E1042950" s="19"/>
      <c r="F1042950" s="19"/>
      <c r="G1042950" s="19"/>
      <c r="H1042950" s="19"/>
      <c r="I1042950" s="19"/>
      <c r="J1042950" s="19"/>
      <c r="K1042950" s="19"/>
      <c r="L1042950" s="19"/>
      <c r="M1042950" s="19"/>
      <c r="N1042950" s="19"/>
    </row>
    <row r="1042951" spans="1:14" s="83" customFormat="1" ht="12.75">
      <c r="A1042951" s="19"/>
      <c r="B1042951" s="19"/>
      <c r="C1042951" s="19"/>
      <c r="D1042951" s="19"/>
      <c r="E1042951" s="19"/>
      <c r="F1042951" s="19"/>
      <c r="G1042951" s="19"/>
      <c r="H1042951" s="19"/>
      <c r="I1042951" s="19"/>
      <c r="J1042951" s="19"/>
      <c r="K1042951" s="19"/>
      <c r="L1042951" s="19"/>
      <c r="M1042951" s="19"/>
      <c r="N1042951" s="19"/>
    </row>
    <row r="1042952" spans="1:14" s="83" customFormat="1" ht="12.75">
      <c r="A1042952" s="19"/>
      <c r="B1042952" s="19"/>
      <c r="C1042952" s="19"/>
      <c r="D1042952" s="19"/>
      <c r="E1042952" s="19"/>
      <c r="F1042952" s="19"/>
      <c r="G1042952" s="19"/>
      <c r="H1042952" s="19"/>
      <c r="I1042952" s="19"/>
      <c r="J1042952" s="19"/>
      <c r="K1042952" s="19"/>
      <c r="L1042952" s="19"/>
      <c r="M1042952" s="19"/>
      <c r="N1042952" s="19"/>
    </row>
    <row r="1042953" spans="1:14" s="83" customFormat="1" ht="12.75">
      <c r="A1042953" s="19"/>
      <c r="B1042953" s="19"/>
      <c r="C1042953" s="19"/>
      <c r="D1042953" s="19"/>
      <c r="E1042953" s="19"/>
      <c r="F1042953" s="19"/>
      <c r="G1042953" s="19"/>
      <c r="H1042953" s="19"/>
      <c r="I1042953" s="19"/>
      <c r="J1042953" s="19"/>
      <c r="K1042953" s="19"/>
      <c r="L1042953" s="19"/>
      <c r="M1042953" s="19"/>
      <c r="N1042953" s="19"/>
    </row>
    <row r="1042954" spans="1:14" s="83" customFormat="1" ht="12.75">
      <c r="A1042954" s="19"/>
      <c r="B1042954" s="19"/>
      <c r="C1042954" s="19"/>
      <c r="D1042954" s="19"/>
      <c r="E1042954" s="19"/>
      <c r="F1042954" s="19"/>
      <c r="G1042954" s="19"/>
      <c r="H1042954" s="19"/>
      <c r="I1042954" s="19"/>
      <c r="J1042954" s="19"/>
      <c r="K1042954" s="19"/>
      <c r="L1042954" s="19"/>
      <c r="M1042954" s="19"/>
      <c r="N1042954" s="19"/>
    </row>
    <row r="1042955" spans="1:14" s="83" customFormat="1" ht="12.75">
      <c r="A1042955" s="19"/>
      <c r="B1042955" s="19"/>
      <c r="C1042955" s="19"/>
      <c r="D1042955" s="19"/>
      <c r="E1042955" s="19"/>
      <c r="F1042955" s="19"/>
      <c r="G1042955" s="19"/>
      <c r="H1042955" s="19"/>
      <c r="I1042955" s="19"/>
      <c r="J1042955" s="19"/>
      <c r="K1042955" s="19"/>
      <c r="L1042955" s="19"/>
      <c r="M1042955" s="19"/>
      <c r="N1042955" s="19"/>
    </row>
    <row r="1042956" spans="1:14" s="83" customFormat="1" ht="12.75">
      <c r="A1042956" s="19"/>
      <c r="B1042956" s="19"/>
      <c r="C1042956" s="19"/>
      <c r="D1042956" s="19"/>
      <c r="E1042956" s="19"/>
      <c r="F1042956" s="19"/>
      <c r="G1042956" s="19"/>
      <c r="H1042956" s="19"/>
      <c r="I1042956" s="19"/>
      <c r="J1042956" s="19"/>
      <c r="K1042956" s="19"/>
      <c r="L1042956" s="19"/>
      <c r="M1042956" s="19"/>
      <c r="N1042956" s="19"/>
    </row>
    <row r="1042957" spans="1:14" s="83" customFormat="1" ht="12.75">
      <c r="A1042957" s="19"/>
      <c r="B1042957" s="19"/>
      <c r="C1042957" s="19"/>
      <c r="D1042957" s="19"/>
      <c r="E1042957" s="19"/>
      <c r="F1042957" s="19"/>
      <c r="G1042957" s="19"/>
      <c r="H1042957" s="19"/>
      <c r="I1042957" s="19"/>
      <c r="J1042957" s="19"/>
      <c r="K1042957" s="19"/>
      <c r="L1042957" s="19"/>
      <c r="M1042957" s="19"/>
      <c r="N1042957" s="19"/>
    </row>
    <row r="1042958" spans="1:14" s="83" customFormat="1" ht="12.75">
      <c r="A1042958" s="19"/>
      <c r="B1042958" s="19"/>
      <c r="C1042958" s="19"/>
      <c r="D1042958" s="19"/>
      <c r="E1042958" s="19"/>
      <c r="F1042958" s="19"/>
      <c r="G1042958" s="19"/>
      <c r="H1042958" s="19"/>
      <c r="I1042958" s="19"/>
      <c r="J1042958" s="19"/>
      <c r="K1042958" s="19"/>
      <c r="L1042958" s="19"/>
      <c r="M1042958" s="19"/>
      <c r="N1042958" s="19"/>
    </row>
    <row r="1042959" spans="1:14" s="83" customFormat="1" ht="12.75">
      <c r="A1042959" s="19"/>
      <c r="B1042959" s="19"/>
      <c r="C1042959" s="19"/>
      <c r="D1042959" s="19"/>
      <c r="E1042959" s="19"/>
      <c r="F1042959" s="19"/>
      <c r="G1042959" s="19"/>
      <c r="H1042959" s="19"/>
      <c r="I1042959" s="19"/>
      <c r="J1042959" s="19"/>
      <c r="K1042959" s="19"/>
      <c r="L1042959" s="19"/>
      <c r="M1042959" s="19"/>
      <c r="N1042959" s="19"/>
    </row>
    <row r="1042960" spans="1:14" s="83" customFormat="1" ht="12.75">
      <c r="A1042960" s="19"/>
      <c r="B1042960" s="19"/>
      <c r="C1042960" s="19"/>
      <c r="D1042960" s="19"/>
      <c r="E1042960" s="19"/>
      <c r="F1042960" s="19"/>
      <c r="G1042960" s="19"/>
      <c r="H1042960" s="19"/>
      <c r="I1042960" s="19"/>
      <c r="J1042960" s="19"/>
      <c r="K1042960" s="19"/>
      <c r="L1042960" s="19"/>
      <c r="M1042960" s="19"/>
      <c r="N1042960" s="19"/>
    </row>
    <row r="1042961" spans="1:14" s="83" customFormat="1" ht="12.75">
      <c r="A1042961" s="19"/>
      <c r="B1042961" s="19"/>
      <c r="C1042961" s="19"/>
      <c r="D1042961" s="19"/>
      <c r="E1042961" s="19"/>
      <c r="F1042961" s="19"/>
      <c r="G1042961" s="19"/>
      <c r="H1042961" s="19"/>
      <c r="I1042961" s="19"/>
      <c r="J1042961" s="19"/>
      <c r="K1042961" s="19"/>
      <c r="L1042961" s="19"/>
      <c r="M1042961" s="19"/>
      <c r="N1042961" s="19"/>
    </row>
    <row r="1042962" spans="1:14" s="83" customFormat="1" ht="12.75">
      <c r="A1042962" s="19"/>
      <c r="B1042962" s="19"/>
      <c r="C1042962" s="19"/>
      <c r="D1042962" s="19"/>
      <c r="E1042962" s="19"/>
      <c r="F1042962" s="19"/>
      <c r="G1042962" s="19"/>
      <c r="H1042962" s="19"/>
      <c r="I1042962" s="19"/>
      <c r="J1042962" s="19"/>
      <c r="K1042962" s="19"/>
      <c r="L1042962" s="19"/>
      <c r="M1042962" s="19"/>
      <c r="N1042962" s="19"/>
    </row>
    <row r="1042963" spans="1:14" s="83" customFormat="1" ht="12.75">
      <c r="A1042963" s="19"/>
      <c r="B1042963" s="19"/>
      <c r="C1042963" s="19"/>
      <c r="D1042963" s="19"/>
      <c r="E1042963" s="19"/>
      <c r="F1042963" s="19"/>
      <c r="G1042963" s="19"/>
      <c r="H1042963" s="19"/>
      <c r="I1042963" s="19"/>
      <c r="J1042963" s="19"/>
      <c r="K1042963" s="19"/>
      <c r="L1042963" s="19"/>
      <c r="M1042963" s="19"/>
      <c r="N1042963" s="19"/>
    </row>
    <row r="1042964" spans="1:14" s="83" customFormat="1" ht="12.75">
      <c r="A1042964" s="19"/>
      <c r="B1042964" s="19"/>
      <c r="C1042964" s="19"/>
      <c r="D1042964" s="19"/>
      <c r="E1042964" s="19"/>
      <c r="F1042964" s="19"/>
      <c r="G1042964" s="19"/>
      <c r="H1042964" s="19"/>
      <c r="I1042964" s="19"/>
      <c r="J1042964" s="19"/>
      <c r="K1042964" s="19"/>
      <c r="L1042964" s="19"/>
      <c r="M1042964" s="19"/>
      <c r="N1042964" s="19"/>
    </row>
    <row r="1042965" spans="1:14" s="83" customFormat="1" ht="12.75">
      <c r="A1042965" s="19"/>
      <c r="B1042965" s="19"/>
      <c r="C1042965" s="19"/>
      <c r="D1042965" s="19"/>
      <c r="E1042965" s="19"/>
      <c r="F1042965" s="19"/>
      <c r="G1042965" s="19"/>
      <c r="H1042965" s="19"/>
      <c r="I1042965" s="19"/>
      <c r="J1042965" s="19"/>
      <c r="K1042965" s="19"/>
      <c r="L1042965" s="19"/>
      <c r="M1042965" s="19"/>
      <c r="N1042965" s="19"/>
    </row>
    <row r="1042966" spans="1:14" s="83" customFormat="1" ht="12.75">
      <c r="A1042966" s="19"/>
      <c r="B1042966" s="19"/>
      <c r="C1042966" s="19"/>
      <c r="D1042966" s="19"/>
      <c r="E1042966" s="19"/>
      <c r="F1042966" s="19"/>
      <c r="G1042966" s="19"/>
      <c r="H1042966" s="19"/>
      <c r="I1042966" s="19"/>
      <c r="J1042966" s="19"/>
      <c r="K1042966" s="19"/>
      <c r="L1042966" s="19"/>
      <c r="M1042966" s="19"/>
      <c r="N1042966" s="19"/>
    </row>
    <row r="1042967" spans="1:14" s="83" customFormat="1" ht="12.75">
      <c r="A1042967" s="19"/>
      <c r="B1042967" s="19"/>
      <c r="C1042967" s="19"/>
      <c r="D1042967" s="19"/>
      <c r="E1042967" s="19"/>
      <c r="F1042967" s="19"/>
      <c r="G1042967" s="19"/>
      <c r="H1042967" s="19"/>
      <c r="I1042967" s="19"/>
      <c r="J1042967" s="19"/>
      <c r="K1042967" s="19"/>
      <c r="L1042967" s="19"/>
      <c r="M1042967" s="19"/>
      <c r="N1042967" s="19"/>
    </row>
    <row r="1042968" spans="1:14" s="83" customFormat="1" ht="12.75">
      <c r="A1042968" s="19"/>
      <c r="B1042968" s="19"/>
      <c r="C1042968" s="19"/>
      <c r="D1042968" s="19"/>
      <c r="E1042968" s="19"/>
      <c r="F1042968" s="19"/>
      <c r="G1042968" s="19"/>
      <c r="H1042968" s="19"/>
      <c r="I1042968" s="19"/>
      <c r="J1042968" s="19"/>
      <c r="K1042968" s="19"/>
      <c r="L1042968" s="19"/>
      <c r="M1042968" s="19"/>
      <c r="N1042968" s="19"/>
    </row>
    <row r="1042969" spans="1:14" s="83" customFormat="1" ht="12.75">
      <c r="A1042969" s="19"/>
      <c r="B1042969" s="19"/>
      <c r="C1042969" s="19"/>
      <c r="D1042969" s="19"/>
      <c r="E1042969" s="19"/>
      <c r="F1042969" s="19"/>
      <c r="G1042969" s="19"/>
      <c r="H1042969" s="19"/>
      <c r="I1042969" s="19"/>
      <c r="J1042969" s="19"/>
      <c r="K1042969" s="19"/>
      <c r="L1042969" s="19"/>
      <c r="M1042969" s="19"/>
      <c r="N1042969" s="19"/>
    </row>
    <row r="1042970" spans="1:14" s="83" customFormat="1" ht="12.75">
      <c r="A1042970" s="19"/>
      <c r="B1042970" s="19"/>
      <c r="C1042970" s="19"/>
      <c r="D1042970" s="19"/>
      <c r="E1042970" s="19"/>
      <c r="F1042970" s="19"/>
      <c r="G1042970" s="19"/>
      <c r="H1042970" s="19"/>
      <c r="I1042970" s="19"/>
      <c r="J1042970" s="19"/>
      <c r="K1042970" s="19"/>
      <c r="L1042970" s="19"/>
      <c r="M1042970" s="19"/>
      <c r="N1042970" s="19"/>
    </row>
    <row r="1042971" spans="1:14" s="83" customFormat="1" ht="12.75">
      <c r="A1042971" s="19"/>
      <c r="B1042971" s="19"/>
      <c r="C1042971" s="19"/>
      <c r="D1042971" s="19"/>
      <c r="E1042971" s="19"/>
      <c r="F1042971" s="19"/>
      <c r="G1042971" s="19"/>
      <c r="H1042971" s="19"/>
      <c r="I1042971" s="19"/>
      <c r="J1042971" s="19"/>
      <c r="K1042971" s="19"/>
      <c r="L1042971" s="19"/>
      <c r="M1042971" s="19"/>
      <c r="N1042971" s="19"/>
    </row>
    <row r="1042972" spans="1:14" s="83" customFormat="1" ht="12.75">
      <c r="A1042972" s="19"/>
      <c r="B1042972" s="19"/>
      <c r="C1042972" s="19"/>
      <c r="D1042972" s="19"/>
      <c r="E1042972" s="19"/>
      <c r="F1042972" s="19"/>
      <c r="G1042972" s="19"/>
      <c r="H1042972" s="19"/>
      <c r="I1042972" s="19"/>
      <c r="J1042972" s="19"/>
      <c r="K1042972" s="19"/>
      <c r="L1042972" s="19"/>
      <c r="M1042972" s="19"/>
      <c r="N1042972" s="19"/>
    </row>
    <row r="1042973" spans="1:14" s="83" customFormat="1" ht="12.75">
      <c r="A1042973" s="19"/>
      <c r="B1042973" s="19"/>
      <c r="C1042973" s="19"/>
      <c r="D1042973" s="19"/>
      <c r="E1042973" s="19"/>
      <c r="F1042973" s="19"/>
      <c r="G1042973" s="19"/>
      <c r="H1042973" s="19"/>
      <c r="I1042973" s="19"/>
      <c r="J1042973" s="19"/>
      <c r="K1042973" s="19"/>
      <c r="L1042973" s="19"/>
      <c r="M1042973" s="19"/>
      <c r="N1042973" s="19"/>
    </row>
    <row r="1042974" spans="1:14" s="83" customFormat="1" ht="12.75">
      <c r="A1042974" s="19"/>
      <c r="B1042974" s="19"/>
      <c r="C1042974" s="19"/>
      <c r="D1042974" s="19"/>
      <c r="E1042974" s="19"/>
      <c r="F1042974" s="19"/>
      <c r="G1042974" s="19"/>
      <c r="H1042974" s="19"/>
      <c r="I1042974" s="19"/>
      <c r="J1042974" s="19"/>
      <c r="K1042974" s="19"/>
      <c r="L1042974" s="19"/>
      <c r="M1042974" s="19"/>
      <c r="N1042974" s="19"/>
    </row>
    <row r="1042975" spans="1:14" s="83" customFormat="1" ht="12.75">
      <c r="A1042975" s="19"/>
      <c r="B1042975" s="19"/>
      <c r="C1042975" s="19"/>
      <c r="D1042975" s="19"/>
      <c r="E1042975" s="19"/>
      <c r="F1042975" s="19"/>
      <c r="G1042975" s="19"/>
      <c r="H1042975" s="19"/>
      <c r="I1042975" s="19"/>
      <c r="J1042975" s="19"/>
      <c r="K1042975" s="19"/>
      <c r="L1042975" s="19"/>
      <c r="M1042975" s="19"/>
      <c r="N1042975" s="19"/>
    </row>
    <row r="1042976" spans="1:14" s="83" customFormat="1" ht="12.75">
      <c r="A1042976" s="19"/>
      <c r="B1042976" s="19"/>
      <c r="C1042976" s="19"/>
      <c r="D1042976" s="19"/>
      <c r="E1042976" s="19"/>
      <c r="F1042976" s="19"/>
      <c r="G1042976" s="19"/>
      <c r="H1042976" s="19"/>
      <c r="I1042976" s="19"/>
      <c r="J1042976" s="19"/>
      <c r="K1042976" s="19"/>
      <c r="L1042976" s="19"/>
      <c r="M1042976" s="19"/>
      <c r="N1042976" s="19"/>
    </row>
    <row r="1042977" spans="1:14" s="83" customFormat="1" ht="12.75">
      <c r="A1042977" s="19"/>
      <c r="B1042977" s="19"/>
      <c r="C1042977" s="19"/>
      <c r="D1042977" s="19"/>
      <c r="E1042977" s="19"/>
      <c r="F1042977" s="19"/>
      <c r="G1042977" s="19"/>
      <c r="H1042977" s="19"/>
      <c r="I1042977" s="19"/>
      <c r="J1042977" s="19"/>
      <c r="K1042977" s="19"/>
      <c r="L1042977" s="19"/>
      <c r="M1042977" s="19"/>
      <c r="N1042977" s="19"/>
    </row>
    <row r="1042978" spans="1:14" s="83" customFormat="1" ht="12.75">
      <c r="A1042978" s="19"/>
      <c r="B1042978" s="19"/>
      <c r="C1042978" s="19"/>
      <c r="D1042978" s="19"/>
      <c r="E1042978" s="19"/>
      <c r="F1042978" s="19"/>
      <c r="G1042978" s="19"/>
      <c r="H1042978" s="19"/>
      <c r="I1042978" s="19"/>
      <c r="J1042978" s="19"/>
      <c r="K1042978" s="19"/>
      <c r="L1042978" s="19"/>
      <c r="M1042978" s="19"/>
      <c r="N1042978" s="19"/>
    </row>
    <row r="1042979" spans="1:14" s="83" customFormat="1" ht="12.75">
      <c r="A1042979" s="19"/>
      <c r="B1042979" s="19"/>
      <c r="C1042979" s="19"/>
      <c r="D1042979" s="19"/>
      <c r="E1042979" s="19"/>
      <c r="F1042979" s="19"/>
      <c r="G1042979" s="19"/>
      <c r="H1042979" s="19"/>
      <c r="I1042979" s="19"/>
      <c r="J1042979" s="19"/>
      <c r="K1042979" s="19"/>
      <c r="L1042979" s="19"/>
      <c r="M1042979" s="19"/>
      <c r="N1042979" s="19"/>
    </row>
    <row r="1042980" spans="1:14" s="83" customFormat="1" ht="12.75">
      <c r="A1042980" s="19"/>
      <c r="B1042980" s="19"/>
      <c r="C1042980" s="19"/>
      <c r="D1042980" s="19"/>
      <c r="E1042980" s="19"/>
      <c r="F1042980" s="19"/>
      <c r="G1042980" s="19"/>
      <c r="H1042980" s="19"/>
      <c r="I1042980" s="19"/>
      <c r="J1042980" s="19"/>
      <c r="K1042980" s="19"/>
      <c r="L1042980" s="19"/>
      <c r="M1042980" s="19"/>
      <c r="N1042980" s="19"/>
    </row>
    <row r="1042981" spans="1:14" s="83" customFormat="1" ht="12.75">
      <c r="A1042981" s="19"/>
      <c r="B1042981" s="19"/>
      <c r="C1042981" s="19"/>
      <c r="D1042981" s="19"/>
      <c r="E1042981" s="19"/>
      <c r="F1042981" s="19"/>
      <c r="G1042981" s="19"/>
      <c r="H1042981" s="19"/>
      <c r="I1042981" s="19"/>
      <c r="J1042981" s="19"/>
      <c r="K1042981" s="19"/>
      <c r="L1042981" s="19"/>
      <c r="M1042981" s="19"/>
      <c r="N1042981" s="19"/>
    </row>
    <row r="1042982" spans="1:14" s="83" customFormat="1" ht="12.75">
      <c r="A1042982" s="19"/>
      <c r="B1042982" s="19"/>
      <c r="C1042982" s="19"/>
      <c r="D1042982" s="19"/>
      <c r="E1042982" s="19"/>
      <c r="F1042982" s="19"/>
      <c r="G1042982" s="19"/>
      <c r="H1042982" s="19"/>
      <c r="I1042982" s="19"/>
      <c r="J1042982" s="19"/>
      <c r="K1042982" s="19"/>
      <c r="L1042982" s="19"/>
      <c r="M1042982" s="19"/>
      <c r="N1042982" s="19"/>
    </row>
    <row r="1042983" spans="1:14" s="83" customFormat="1" ht="12.75">
      <c r="A1042983" s="19"/>
      <c r="B1042983" s="19"/>
      <c r="C1042983" s="19"/>
      <c r="D1042983" s="19"/>
      <c r="E1042983" s="19"/>
      <c r="F1042983" s="19"/>
      <c r="G1042983" s="19"/>
      <c r="H1042983" s="19"/>
      <c r="I1042983" s="19"/>
      <c r="J1042983" s="19"/>
      <c r="K1042983" s="19"/>
      <c r="L1042983" s="19"/>
      <c r="M1042983" s="19"/>
      <c r="N1042983" s="19"/>
    </row>
    <row r="1042984" spans="1:14" s="83" customFormat="1" ht="12.75">
      <c r="A1042984" s="19"/>
      <c r="B1042984" s="19"/>
      <c r="C1042984" s="19"/>
      <c r="D1042984" s="19"/>
      <c r="E1042984" s="19"/>
      <c r="F1042984" s="19"/>
      <c r="G1042984" s="19"/>
      <c r="H1042984" s="19"/>
      <c r="I1042984" s="19"/>
      <c r="J1042984" s="19"/>
      <c r="K1042984" s="19"/>
      <c r="L1042984" s="19"/>
      <c r="M1042984" s="19"/>
      <c r="N1042984" s="19"/>
    </row>
    <row r="1042985" spans="1:14" s="83" customFormat="1" ht="12.75">
      <c r="A1042985" s="19"/>
      <c r="B1042985" s="19"/>
      <c r="C1042985" s="19"/>
      <c r="D1042985" s="19"/>
      <c r="E1042985" s="19"/>
      <c r="F1042985" s="19"/>
      <c r="G1042985" s="19"/>
      <c r="H1042985" s="19"/>
      <c r="I1042985" s="19"/>
      <c r="J1042985" s="19"/>
      <c r="K1042985" s="19"/>
      <c r="L1042985" s="19"/>
      <c r="M1042985" s="19"/>
      <c r="N1042985" s="19"/>
    </row>
    <row r="1042986" spans="1:14" s="83" customFormat="1" ht="12.75">
      <c r="A1042986" s="19"/>
      <c r="B1042986" s="19"/>
      <c r="C1042986" s="19"/>
      <c r="D1042986" s="19"/>
      <c r="E1042986" s="19"/>
      <c r="F1042986" s="19"/>
      <c r="G1042986" s="19"/>
      <c r="H1042986" s="19"/>
      <c r="I1042986" s="19"/>
      <c r="J1042986" s="19"/>
      <c r="K1042986" s="19"/>
      <c r="L1042986" s="19"/>
      <c r="M1042986" s="19"/>
      <c r="N1042986" s="19"/>
    </row>
    <row r="1042987" spans="1:14" s="83" customFormat="1" ht="12.75">
      <c r="A1042987" s="19"/>
      <c r="B1042987" s="19"/>
      <c r="C1042987" s="19"/>
      <c r="D1042987" s="19"/>
      <c r="E1042987" s="19"/>
      <c r="F1042987" s="19"/>
      <c r="G1042987" s="19"/>
      <c r="H1042987" s="19"/>
      <c r="I1042987" s="19"/>
      <c r="J1042987" s="19"/>
      <c r="K1042987" s="19"/>
      <c r="L1042987" s="19"/>
      <c r="M1042987" s="19"/>
      <c r="N1042987" s="19"/>
    </row>
    <row r="1042988" spans="1:14" s="83" customFormat="1" ht="12.75">
      <c r="A1042988" s="19"/>
      <c r="B1042988" s="19"/>
      <c r="C1042988" s="19"/>
      <c r="D1042988" s="19"/>
      <c r="E1042988" s="19"/>
      <c r="F1042988" s="19"/>
      <c r="G1042988" s="19"/>
      <c r="H1042988" s="19"/>
      <c r="I1042988" s="19"/>
      <c r="J1042988" s="19"/>
      <c r="K1042988" s="19"/>
      <c r="L1042988" s="19"/>
      <c r="M1042988" s="19"/>
      <c r="N1042988" s="19"/>
    </row>
    <row r="1042989" spans="1:14" s="83" customFormat="1" ht="12.75">
      <c r="A1042989" s="19"/>
      <c r="B1042989" s="19"/>
      <c r="C1042989" s="19"/>
      <c r="D1042989" s="19"/>
      <c r="E1042989" s="19"/>
      <c r="F1042989" s="19"/>
      <c r="G1042989" s="19"/>
      <c r="H1042989" s="19"/>
      <c r="I1042989" s="19"/>
      <c r="J1042989" s="19"/>
      <c r="K1042989" s="19"/>
      <c r="L1042989" s="19"/>
      <c r="M1042989" s="19"/>
      <c r="N1042989" s="19"/>
    </row>
    <row r="1042990" spans="1:14" s="83" customFormat="1" ht="12.75">
      <c r="A1042990" s="19"/>
      <c r="B1042990" s="19"/>
      <c r="C1042990" s="19"/>
      <c r="D1042990" s="19"/>
      <c r="E1042990" s="19"/>
      <c r="F1042990" s="19"/>
      <c r="G1042990" s="19"/>
      <c r="H1042990" s="19"/>
      <c r="I1042990" s="19"/>
      <c r="J1042990" s="19"/>
      <c r="K1042990" s="19"/>
      <c r="L1042990" s="19"/>
      <c r="M1042990" s="19"/>
      <c r="N1042990" s="19"/>
    </row>
    <row r="1042991" spans="1:14" s="83" customFormat="1" ht="12.75">
      <c r="A1042991" s="19"/>
      <c r="B1042991" s="19"/>
      <c r="C1042991" s="19"/>
      <c r="D1042991" s="19"/>
      <c r="E1042991" s="19"/>
      <c r="F1042991" s="19"/>
      <c r="G1042991" s="19"/>
      <c r="H1042991" s="19"/>
      <c r="I1042991" s="19"/>
      <c r="J1042991" s="19"/>
      <c r="K1042991" s="19"/>
      <c r="L1042991" s="19"/>
      <c r="M1042991" s="19"/>
      <c r="N1042991" s="19"/>
    </row>
    <row r="1042992" spans="1:14" s="83" customFormat="1" ht="12.75">
      <c r="A1042992" s="19"/>
      <c r="B1042992" s="19"/>
      <c r="C1042992" s="19"/>
      <c r="D1042992" s="19"/>
      <c r="E1042992" s="19"/>
      <c r="F1042992" s="19"/>
      <c r="G1042992" s="19"/>
      <c r="H1042992" s="19"/>
      <c r="I1042992" s="19"/>
      <c r="J1042992" s="19"/>
      <c r="K1042992" s="19"/>
      <c r="L1042992" s="19"/>
      <c r="M1042992" s="19"/>
      <c r="N1042992" s="19"/>
    </row>
    <row r="1042993" spans="1:14" s="83" customFormat="1" ht="12.75">
      <c r="A1042993" s="19"/>
      <c r="B1042993" s="19"/>
      <c r="C1042993" s="19"/>
      <c r="D1042993" s="19"/>
      <c r="E1042993" s="19"/>
      <c r="F1042993" s="19"/>
      <c r="G1042993" s="19"/>
      <c r="H1042993" s="19"/>
      <c r="I1042993" s="19"/>
      <c r="J1042993" s="19"/>
      <c r="K1042993" s="19"/>
      <c r="L1042993" s="19"/>
      <c r="M1042993" s="19"/>
      <c r="N1042993" s="19"/>
    </row>
    <row r="1042994" spans="1:14" s="83" customFormat="1" ht="12.75">
      <c r="A1042994" s="19"/>
      <c r="B1042994" s="19"/>
      <c r="C1042994" s="19"/>
      <c r="D1042994" s="19"/>
      <c r="E1042994" s="19"/>
      <c r="F1042994" s="19"/>
      <c r="G1042994" s="19"/>
      <c r="H1042994" s="19"/>
      <c r="I1042994" s="19"/>
      <c r="J1042994" s="19"/>
      <c r="K1042994" s="19"/>
      <c r="L1042994" s="19"/>
      <c r="M1042994" s="19"/>
      <c r="N1042994" s="19"/>
    </row>
    <row r="1042995" spans="1:14" s="83" customFormat="1" ht="12.75">
      <c r="A1042995" s="19"/>
      <c r="B1042995" s="19"/>
      <c r="C1042995" s="19"/>
      <c r="D1042995" s="19"/>
      <c r="E1042995" s="19"/>
      <c r="F1042995" s="19"/>
      <c r="G1042995" s="19"/>
      <c r="H1042995" s="19"/>
      <c r="I1042995" s="19"/>
      <c r="J1042995" s="19"/>
      <c r="K1042995" s="19"/>
      <c r="L1042995" s="19"/>
      <c r="M1042995" s="19"/>
      <c r="N1042995" s="19"/>
    </row>
    <row r="1042996" spans="1:14" s="83" customFormat="1" ht="12.75">
      <c r="A1042996" s="19"/>
      <c r="B1042996" s="19"/>
      <c r="C1042996" s="19"/>
      <c r="D1042996" s="19"/>
      <c r="E1042996" s="19"/>
      <c r="F1042996" s="19"/>
      <c r="G1042996" s="19"/>
      <c r="H1042996" s="19"/>
      <c r="I1042996" s="19"/>
      <c r="J1042996" s="19"/>
      <c r="K1042996" s="19"/>
      <c r="L1042996" s="19"/>
      <c r="M1042996" s="19"/>
      <c r="N1042996" s="19"/>
    </row>
    <row r="1042997" spans="1:14" s="83" customFormat="1" ht="12.75">
      <c r="A1042997" s="19"/>
      <c r="B1042997" s="19"/>
      <c r="C1042997" s="19"/>
      <c r="D1042997" s="19"/>
      <c r="E1042997" s="19"/>
      <c r="F1042997" s="19"/>
      <c r="G1042997" s="19"/>
      <c r="H1042997" s="19"/>
      <c r="I1042997" s="19"/>
      <c r="J1042997" s="19"/>
      <c r="K1042997" s="19"/>
      <c r="L1042997" s="19"/>
      <c r="M1042997" s="19"/>
      <c r="N1042997" s="19"/>
    </row>
    <row r="1042998" spans="1:14" s="83" customFormat="1" ht="12.75">
      <c r="A1042998" s="19"/>
      <c r="B1042998" s="19"/>
      <c r="C1042998" s="19"/>
      <c r="D1042998" s="19"/>
      <c r="E1042998" s="19"/>
      <c r="F1042998" s="19"/>
      <c r="G1042998" s="19"/>
      <c r="H1042998" s="19"/>
      <c r="I1042998" s="19"/>
      <c r="J1042998" s="19"/>
      <c r="K1042998" s="19"/>
      <c r="L1042998" s="19"/>
      <c r="M1042998" s="19"/>
      <c r="N1042998" s="19"/>
    </row>
    <row r="1042999" spans="1:14" s="83" customFormat="1" ht="12.75">
      <c r="A1042999" s="19"/>
      <c r="B1042999" s="19"/>
      <c r="C1042999" s="19"/>
      <c r="D1042999" s="19"/>
      <c r="E1042999" s="19"/>
      <c r="F1042999" s="19"/>
      <c r="G1042999" s="19"/>
      <c r="H1042999" s="19"/>
      <c r="I1042999" s="19"/>
      <c r="J1042999" s="19"/>
      <c r="K1042999" s="19"/>
      <c r="L1042999" s="19"/>
      <c r="M1042999" s="19"/>
      <c r="N1042999" s="19"/>
    </row>
    <row r="1043000" spans="1:14" s="83" customFormat="1" ht="12.75">
      <c r="A1043000" s="19"/>
      <c r="B1043000" s="19"/>
      <c r="C1043000" s="19"/>
      <c r="D1043000" s="19"/>
      <c r="E1043000" s="19"/>
      <c r="F1043000" s="19"/>
      <c r="G1043000" s="19"/>
      <c r="H1043000" s="19"/>
      <c r="I1043000" s="19"/>
      <c r="J1043000" s="19"/>
      <c r="K1043000" s="19"/>
      <c r="L1043000" s="19"/>
      <c r="M1043000" s="19"/>
      <c r="N1043000" s="19"/>
    </row>
    <row r="1043001" spans="1:14" s="83" customFormat="1" ht="12.75">
      <c r="A1043001" s="19"/>
      <c r="B1043001" s="19"/>
      <c r="C1043001" s="19"/>
      <c r="D1043001" s="19"/>
      <c r="E1043001" s="19"/>
      <c r="F1043001" s="19"/>
      <c r="G1043001" s="19"/>
      <c r="H1043001" s="19"/>
      <c r="I1043001" s="19"/>
      <c r="J1043001" s="19"/>
      <c r="K1043001" s="19"/>
      <c r="L1043001" s="19"/>
      <c r="M1043001" s="19"/>
      <c r="N1043001" s="19"/>
    </row>
    <row r="1043002" spans="1:14" s="83" customFormat="1" ht="12.75">
      <c r="A1043002" s="19"/>
      <c r="B1043002" s="19"/>
      <c r="C1043002" s="19"/>
      <c r="D1043002" s="19"/>
      <c r="E1043002" s="19"/>
      <c r="F1043002" s="19"/>
      <c r="G1043002" s="19"/>
      <c r="H1043002" s="19"/>
      <c r="I1043002" s="19"/>
      <c r="J1043002" s="19"/>
      <c r="K1043002" s="19"/>
      <c r="L1043002" s="19"/>
      <c r="M1043002" s="19"/>
      <c r="N1043002" s="19"/>
    </row>
    <row r="1043003" spans="1:14" s="83" customFormat="1" ht="12.75">
      <c r="A1043003" s="19"/>
      <c r="B1043003" s="19"/>
      <c r="C1043003" s="19"/>
      <c r="D1043003" s="19"/>
      <c r="E1043003" s="19"/>
      <c r="F1043003" s="19"/>
      <c r="G1043003" s="19"/>
      <c r="H1043003" s="19"/>
      <c r="I1043003" s="19"/>
      <c r="J1043003" s="19"/>
      <c r="K1043003" s="19"/>
      <c r="L1043003" s="19"/>
      <c r="M1043003" s="19"/>
      <c r="N1043003" s="19"/>
    </row>
    <row r="1043004" spans="1:14" s="83" customFormat="1" ht="12.75">
      <c r="A1043004" s="19"/>
      <c r="B1043004" s="19"/>
      <c r="C1043004" s="19"/>
      <c r="D1043004" s="19"/>
      <c r="E1043004" s="19"/>
      <c r="F1043004" s="19"/>
      <c r="G1043004" s="19"/>
      <c r="H1043004" s="19"/>
      <c r="I1043004" s="19"/>
      <c r="J1043004" s="19"/>
      <c r="K1043004" s="19"/>
      <c r="L1043004" s="19"/>
      <c r="M1043004" s="19"/>
      <c r="N1043004" s="19"/>
    </row>
    <row r="1043005" spans="1:14" s="83" customFormat="1" ht="12.75">
      <c r="A1043005" s="19"/>
      <c r="B1043005" s="19"/>
      <c r="C1043005" s="19"/>
      <c r="D1043005" s="19"/>
      <c r="E1043005" s="19"/>
      <c r="F1043005" s="19"/>
      <c r="G1043005" s="19"/>
      <c r="H1043005" s="19"/>
      <c r="I1043005" s="19"/>
      <c r="J1043005" s="19"/>
      <c r="K1043005" s="19"/>
      <c r="L1043005" s="19"/>
      <c r="M1043005" s="19"/>
      <c r="N1043005" s="19"/>
    </row>
    <row r="1043006" spans="1:14" s="83" customFormat="1" ht="12.75">
      <c r="A1043006" s="19"/>
      <c r="B1043006" s="19"/>
      <c r="C1043006" s="19"/>
      <c r="D1043006" s="19"/>
      <c r="E1043006" s="19"/>
      <c r="F1043006" s="19"/>
      <c r="G1043006" s="19"/>
      <c r="H1043006" s="19"/>
      <c r="I1043006" s="19"/>
      <c r="J1043006" s="19"/>
      <c r="K1043006" s="19"/>
      <c r="L1043006" s="19"/>
      <c r="M1043006" s="19"/>
      <c r="N1043006" s="19"/>
    </row>
    <row r="1043007" spans="1:14" s="83" customFormat="1" ht="12.75">
      <c r="A1043007" s="19"/>
      <c r="B1043007" s="19"/>
      <c r="C1043007" s="19"/>
      <c r="D1043007" s="19"/>
      <c r="E1043007" s="19"/>
      <c r="F1043007" s="19"/>
      <c r="G1043007" s="19"/>
      <c r="H1043007" s="19"/>
      <c r="I1043007" s="19"/>
      <c r="J1043007" s="19"/>
      <c r="K1043007" s="19"/>
      <c r="L1043007" s="19"/>
      <c r="M1043007" s="19"/>
      <c r="N1043007" s="19"/>
    </row>
    <row r="1043008" spans="1:14" s="83" customFormat="1" ht="12.75">
      <c r="A1043008" s="19"/>
      <c r="B1043008" s="19"/>
      <c r="C1043008" s="19"/>
      <c r="D1043008" s="19"/>
      <c r="E1043008" s="19"/>
      <c r="F1043008" s="19"/>
      <c r="G1043008" s="19"/>
      <c r="H1043008" s="19"/>
      <c r="I1043008" s="19"/>
      <c r="J1043008" s="19"/>
      <c r="K1043008" s="19"/>
      <c r="L1043008" s="19"/>
      <c r="M1043008" s="19"/>
      <c r="N1043008" s="19"/>
    </row>
    <row r="1043009" spans="1:14" s="83" customFormat="1" ht="12.75">
      <c r="A1043009" s="19"/>
      <c r="B1043009" s="19"/>
      <c r="C1043009" s="19"/>
      <c r="D1043009" s="19"/>
      <c r="E1043009" s="19"/>
      <c r="F1043009" s="19"/>
      <c r="G1043009" s="19"/>
      <c r="H1043009" s="19"/>
      <c r="I1043009" s="19"/>
      <c r="J1043009" s="19"/>
      <c r="K1043009" s="19"/>
      <c r="L1043009" s="19"/>
      <c r="M1043009" s="19"/>
      <c r="N1043009" s="19"/>
    </row>
    <row r="1043010" spans="1:14" s="83" customFormat="1" ht="12.75">
      <c r="A1043010" s="19"/>
      <c r="B1043010" s="19"/>
      <c r="C1043010" s="19"/>
      <c r="D1043010" s="19"/>
      <c r="E1043010" s="19"/>
      <c r="F1043010" s="19"/>
      <c r="G1043010" s="19"/>
      <c r="H1043010" s="19"/>
      <c r="I1043010" s="19"/>
      <c r="J1043010" s="19"/>
      <c r="K1043010" s="19"/>
      <c r="L1043010" s="19"/>
      <c r="M1043010" s="19"/>
      <c r="N1043010" s="19"/>
    </row>
    <row r="1043011" spans="1:14" s="83" customFormat="1" ht="12.75">
      <c r="A1043011" s="19"/>
      <c r="B1043011" s="19"/>
      <c r="C1043011" s="19"/>
      <c r="D1043011" s="19"/>
      <c r="E1043011" s="19"/>
      <c r="F1043011" s="19"/>
      <c r="G1043011" s="19"/>
      <c r="H1043011" s="19"/>
      <c r="I1043011" s="19"/>
      <c r="J1043011" s="19"/>
      <c r="K1043011" s="19"/>
      <c r="L1043011" s="19"/>
      <c r="M1043011" s="19"/>
      <c r="N1043011" s="19"/>
    </row>
    <row r="1043012" spans="1:14" s="83" customFormat="1" ht="12.75">
      <c r="A1043012" s="19"/>
      <c r="B1043012" s="19"/>
      <c r="C1043012" s="19"/>
      <c r="D1043012" s="19"/>
      <c r="E1043012" s="19"/>
      <c r="F1043012" s="19"/>
      <c r="G1043012" s="19"/>
      <c r="H1043012" s="19"/>
      <c r="I1043012" s="19"/>
      <c r="J1043012" s="19"/>
      <c r="K1043012" s="19"/>
      <c r="L1043012" s="19"/>
      <c r="M1043012" s="19"/>
      <c r="N1043012" s="19"/>
    </row>
    <row r="1043013" spans="1:14" s="83" customFormat="1" ht="12.75">
      <c r="A1043013" s="19"/>
      <c r="B1043013" s="19"/>
      <c r="C1043013" s="19"/>
      <c r="D1043013" s="19"/>
      <c r="E1043013" s="19"/>
      <c r="F1043013" s="19"/>
      <c r="G1043013" s="19"/>
      <c r="H1043013" s="19"/>
      <c r="I1043013" s="19"/>
      <c r="J1043013" s="19"/>
      <c r="K1043013" s="19"/>
      <c r="L1043013" s="19"/>
      <c r="M1043013" s="19"/>
      <c r="N1043013" s="19"/>
    </row>
    <row r="1043014" spans="1:14" s="83" customFormat="1" ht="12.75">
      <c r="A1043014" s="19"/>
      <c r="B1043014" s="19"/>
      <c r="C1043014" s="19"/>
      <c r="D1043014" s="19"/>
      <c r="E1043014" s="19"/>
      <c r="F1043014" s="19"/>
      <c r="G1043014" s="19"/>
      <c r="H1043014" s="19"/>
      <c r="I1043014" s="19"/>
      <c r="J1043014" s="19"/>
      <c r="K1043014" s="19"/>
      <c r="L1043014" s="19"/>
      <c r="M1043014" s="19"/>
      <c r="N1043014" s="19"/>
    </row>
    <row r="1043015" spans="1:14" s="83" customFormat="1" ht="12.75">
      <c r="A1043015" s="19"/>
      <c r="B1043015" s="19"/>
      <c r="C1043015" s="19"/>
      <c r="D1043015" s="19"/>
      <c r="E1043015" s="19"/>
      <c r="F1043015" s="19"/>
      <c r="G1043015" s="19"/>
      <c r="H1043015" s="19"/>
      <c r="I1043015" s="19"/>
      <c r="J1043015" s="19"/>
      <c r="K1043015" s="19"/>
      <c r="L1043015" s="19"/>
      <c r="M1043015" s="19"/>
      <c r="N1043015" s="19"/>
    </row>
    <row r="1043016" spans="1:14" s="83" customFormat="1" ht="12.75">
      <c r="A1043016" s="19"/>
      <c r="B1043016" s="19"/>
      <c r="C1043016" s="19"/>
      <c r="D1043016" s="19"/>
      <c r="E1043016" s="19"/>
      <c r="F1043016" s="19"/>
      <c r="G1043016" s="19"/>
      <c r="H1043016" s="19"/>
      <c r="I1043016" s="19"/>
      <c r="J1043016" s="19"/>
      <c r="K1043016" s="19"/>
      <c r="L1043016" s="19"/>
      <c r="M1043016" s="19"/>
      <c r="N1043016" s="19"/>
    </row>
    <row r="1043017" spans="1:14" s="83" customFormat="1" ht="12.75">
      <c r="A1043017" s="19"/>
      <c r="B1043017" s="19"/>
      <c r="C1043017" s="19"/>
      <c r="D1043017" s="19"/>
      <c r="E1043017" s="19"/>
      <c r="F1043017" s="19"/>
      <c r="G1043017" s="19"/>
      <c r="H1043017" s="19"/>
      <c r="I1043017" s="19"/>
      <c r="J1043017" s="19"/>
      <c r="K1043017" s="19"/>
      <c r="L1043017" s="19"/>
      <c r="M1043017" s="19"/>
      <c r="N1043017" s="19"/>
    </row>
    <row r="1043018" spans="1:14" s="83" customFormat="1" ht="12.75">
      <c r="A1043018" s="19"/>
      <c r="B1043018" s="19"/>
      <c r="C1043018" s="19"/>
      <c r="D1043018" s="19"/>
      <c r="E1043018" s="19"/>
      <c r="F1043018" s="19"/>
      <c r="G1043018" s="19"/>
      <c r="H1043018" s="19"/>
      <c r="I1043018" s="19"/>
      <c r="J1043018" s="19"/>
      <c r="K1043018" s="19"/>
      <c r="L1043018" s="19"/>
      <c r="M1043018" s="19"/>
      <c r="N1043018" s="19"/>
    </row>
    <row r="1043019" spans="1:14" s="83" customFormat="1" ht="12.75">
      <c r="A1043019" s="19"/>
      <c r="B1043019" s="19"/>
      <c r="C1043019" s="19"/>
      <c r="D1043019" s="19"/>
      <c r="E1043019" s="19"/>
      <c r="F1043019" s="19"/>
      <c r="G1043019" s="19"/>
      <c r="H1043019" s="19"/>
      <c r="I1043019" s="19"/>
      <c r="J1043019" s="19"/>
      <c r="K1043019" s="19"/>
      <c r="L1043019" s="19"/>
      <c r="M1043019" s="19"/>
      <c r="N1043019" s="19"/>
    </row>
    <row r="1043020" spans="1:14" s="83" customFormat="1" ht="12.75">
      <c r="A1043020" s="19"/>
      <c r="B1043020" s="19"/>
      <c r="C1043020" s="19"/>
      <c r="D1043020" s="19"/>
      <c r="E1043020" s="19"/>
      <c r="F1043020" s="19"/>
      <c r="G1043020" s="19"/>
      <c r="H1043020" s="19"/>
      <c r="I1043020" s="19"/>
      <c r="J1043020" s="19"/>
      <c r="K1043020" s="19"/>
      <c r="L1043020" s="19"/>
      <c r="M1043020" s="19"/>
      <c r="N1043020" s="19"/>
    </row>
    <row r="1043021" spans="1:14" s="83" customFormat="1" ht="12.75">
      <c r="A1043021" s="19"/>
      <c r="B1043021" s="19"/>
      <c r="C1043021" s="19"/>
      <c r="D1043021" s="19"/>
      <c r="E1043021" s="19"/>
      <c r="F1043021" s="19"/>
      <c r="G1043021" s="19"/>
      <c r="H1043021" s="19"/>
      <c r="I1043021" s="19"/>
      <c r="J1043021" s="19"/>
      <c r="K1043021" s="19"/>
      <c r="L1043021" s="19"/>
      <c r="M1043021" s="19"/>
      <c r="N1043021" s="19"/>
    </row>
    <row r="1043022" spans="1:14" s="83" customFormat="1" ht="12.75">
      <c r="A1043022" s="19"/>
      <c r="B1043022" s="19"/>
      <c r="C1043022" s="19"/>
      <c r="D1043022" s="19"/>
      <c r="E1043022" s="19"/>
      <c r="F1043022" s="19"/>
      <c r="G1043022" s="19"/>
      <c r="H1043022" s="19"/>
      <c r="I1043022" s="19"/>
      <c r="J1043022" s="19"/>
      <c r="K1043022" s="19"/>
      <c r="L1043022" s="19"/>
      <c r="M1043022" s="19"/>
      <c r="N1043022" s="19"/>
    </row>
    <row r="1043023" spans="1:14" s="83" customFormat="1" ht="12.75">
      <c r="A1043023" s="19"/>
      <c r="B1043023" s="19"/>
      <c r="C1043023" s="19"/>
      <c r="D1043023" s="19"/>
      <c r="E1043023" s="19"/>
      <c r="F1043023" s="19"/>
      <c r="G1043023" s="19"/>
      <c r="H1043023" s="19"/>
      <c r="I1043023" s="19"/>
      <c r="J1043023" s="19"/>
      <c r="K1043023" s="19"/>
      <c r="L1043023" s="19"/>
      <c r="M1043023" s="19"/>
      <c r="N1043023" s="19"/>
    </row>
    <row r="1043024" spans="1:14" s="83" customFormat="1" ht="12.75">
      <c r="A1043024" s="19"/>
      <c r="B1043024" s="19"/>
      <c r="C1043024" s="19"/>
      <c r="D1043024" s="19"/>
      <c r="E1043024" s="19"/>
      <c r="F1043024" s="19"/>
      <c r="G1043024" s="19"/>
      <c r="H1043024" s="19"/>
      <c r="I1043024" s="19"/>
      <c r="J1043024" s="19"/>
      <c r="K1043024" s="19"/>
      <c r="L1043024" s="19"/>
      <c r="M1043024" s="19"/>
      <c r="N1043024" s="19"/>
    </row>
    <row r="1043025" spans="1:14" s="83" customFormat="1" ht="12.75">
      <c r="A1043025" s="19"/>
      <c r="B1043025" s="19"/>
      <c r="C1043025" s="19"/>
      <c r="D1043025" s="19"/>
      <c r="E1043025" s="19"/>
      <c r="F1043025" s="19"/>
      <c r="G1043025" s="19"/>
      <c r="H1043025" s="19"/>
      <c r="I1043025" s="19"/>
      <c r="J1043025" s="19"/>
      <c r="K1043025" s="19"/>
      <c r="L1043025" s="19"/>
      <c r="M1043025" s="19"/>
      <c r="N1043025" s="19"/>
    </row>
    <row r="1043026" spans="1:14" s="83" customFormat="1" ht="12.75">
      <c r="A1043026" s="19"/>
      <c r="B1043026" s="19"/>
      <c r="C1043026" s="19"/>
      <c r="D1043026" s="19"/>
      <c r="E1043026" s="19"/>
      <c r="F1043026" s="19"/>
      <c r="G1043026" s="19"/>
      <c r="H1043026" s="19"/>
      <c r="I1043026" s="19"/>
      <c r="J1043026" s="19"/>
      <c r="K1043026" s="19"/>
      <c r="L1043026" s="19"/>
      <c r="M1043026" s="19"/>
      <c r="N1043026" s="19"/>
    </row>
    <row r="1043027" spans="1:14" s="83" customFormat="1" ht="12.75">
      <c r="A1043027" s="19"/>
      <c r="B1043027" s="19"/>
      <c r="C1043027" s="19"/>
      <c r="D1043027" s="19"/>
      <c r="E1043027" s="19"/>
      <c r="F1043027" s="19"/>
      <c r="G1043027" s="19"/>
      <c r="H1043027" s="19"/>
      <c r="I1043027" s="19"/>
      <c r="J1043027" s="19"/>
      <c r="K1043027" s="19"/>
      <c r="L1043027" s="19"/>
      <c r="M1043027" s="19"/>
      <c r="N1043027" s="19"/>
    </row>
    <row r="1043028" spans="1:14" s="83" customFormat="1" ht="12.75">
      <c r="A1043028" s="19"/>
      <c r="B1043028" s="19"/>
      <c r="C1043028" s="19"/>
      <c r="D1043028" s="19"/>
      <c r="E1043028" s="19"/>
      <c r="F1043028" s="19"/>
      <c r="G1043028" s="19"/>
      <c r="H1043028" s="19"/>
      <c r="I1043028" s="19"/>
      <c r="J1043028" s="19"/>
      <c r="K1043028" s="19"/>
      <c r="L1043028" s="19"/>
      <c r="M1043028" s="19"/>
      <c r="N1043028" s="19"/>
    </row>
    <row r="1043029" spans="1:14" s="83" customFormat="1" ht="12.75">
      <c r="A1043029" s="19"/>
      <c r="B1043029" s="19"/>
      <c r="C1043029" s="19"/>
      <c r="D1043029" s="19"/>
      <c r="E1043029" s="19"/>
      <c r="F1043029" s="19"/>
      <c r="G1043029" s="19"/>
      <c r="H1043029" s="19"/>
      <c r="I1043029" s="19"/>
      <c r="J1043029" s="19"/>
      <c r="K1043029" s="19"/>
      <c r="L1043029" s="19"/>
      <c r="M1043029" s="19"/>
      <c r="N1043029" s="19"/>
    </row>
    <row r="1043030" spans="1:14" s="83" customFormat="1" ht="12.75">
      <c r="A1043030" s="19"/>
      <c r="B1043030" s="19"/>
      <c r="C1043030" s="19"/>
      <c r="D1043030" s="19"/>
      <c r="E1043030" s="19"/>
      <c r="F1043030" s="19"/>
      <c r="G1043030" s="19"/>
      <c r="H1043030" s="19"/>
      <c r="I1043030" s="19"/>
      <c r="J1043030" s="19"/>
      <c r="K1043030" s="19"/>
      <c r="L1043030" s="19"/>
      <c r="M1043030" s="19"/>
      <c r="N1043030" s="19"/>
    </row>
    <row r="1043031" spans="1:14" s="83" customFormat="1" ht="12.75">
      <c r="A1043031" s="19"/>
      <c r="B1043031" s="19"/>
      <c r="C1043031" s="19"/>
      <c r="D1043031" s="19"/>
      <c r="E1043031" s="19"/>
      <c r="F1043031" s="19"/>
      <c r="G1043031" s="19"/>
      <c r="H1043031" s="19"/>
      <c r="I1043031" s="19"/>
      <c r="J1043031" s="19"/>
      <c r="K1043031" s="19"/>
      <c r="L1043031" s="19"/>
      <c r="M1043031" s="19"/>
      <c r="N1043031" s="19"/>
    </row>
    <row r="1043032" spans="1:14" s="83" customFormat="1" ht="12.75">
      <c r="A1043032" s="19"/>
      <c r="B1043032" s="19"/>
      <c r="C1043032" s="19"/>
      <c r="D1043032" s="19"/>
      <c r="E1043032" s="19"/>
      <c r="F1043032" s="19"/>
      <c r="G1043032" s="19"/>
      <c r="H1043032" s="19"/>
      <c r="I1043032" s="19"/>
      <c r="J1043032" s="19"/>
      <c r="K1043032" s="19"/>
      <c r="L1043032" s="19"/>
      <c r="M1043032" s="19"/>
      <c r="N1043032" s="19"/>
    </row>
    <row r="1043033" spans="1:14" s="83" customFormat="1" ht="12.75">
      <c r="A1043033" s="19"/>
      <c r="B1043033" s="19"/>
      <c r="C1043033" s="19"/>
      <c r="D1043033" s="19"/>
      <c r="E1043033" s="19"/>
      <c r="F1043033" s="19"/>
      <c r="G1043033" s="19"/>
      <c r="H1043033" s="19"/>
      <c r="I1043033" s="19"/>
      <c r="J1043033" s="19"/>
      <c r="K1043033" s="19"/>
      <c r="L1043033" s="19"/>
      <c r="M1043033" s="19"/>
      <c r="N1043033" s="19"/>
    </row>
    <row r="1043034" spans="1:14" s="83" customFormat="1" ht="12.75">
      <c r="A1043034" s="19"/>
      <c r="B1043034" s="19"/>
      <c r="C1043034" s="19"/>
      <c r="D1043034" s="19"/>
      <c r="E1043034" s="19"/>
      <c r="F1043034" s="19"/>
      <c r="G1043034" s="19"/>
      <c r="H1043034" s="19"/>
      <c r="I1043034" s="19"/>
      <c r="J1043034" s="19"/>
      <c r="K1043034" s="19"/>
      <c r="L1043034" s="19"/>
      <c r="M1043034" s="19"/>
      <c r="N1043034" s="19"/>
    </row>
    <row r="1043035" spans="1:14" s="83" customFormat="1" ht="12.75">
      <c r="A1043035" s="19"/>
      <c r="B1043035" s="19"/>
      <c r="C1043035" s="19"/>
      <c r="D1043035" s="19"/>
      <c r="E1043035" s="19"/>
      <c r="F1043035" s="19"/>
      <c r="G1043035" s="19"/>
      <c r="H1043035" s="19"/>
      <c r="I1043035" s="19"/>
      <c r="J1043035" s="19"/>
      <c r="K1043035" s="19"/>
      <c r="L1043035" s="19"/>
      <c r="M1043035" s="19"/>
      <c r="N1043035" s="19"/>
    </row>
    <row r="1043036" spans="1:14" s="83" customFormat="1" ht="12.75">
      <c r="A1043036" s="19"/>
      <c r="B1043036" s="19"/>
      <c r="C1043036" s="19"/>
      <c r="D1043036" s="19"/>
      <c r="E1043036" s="19"/>
      <c r="F1043036" s="19"/>
      <c r="G1043036" s="19"/>
      <c r="H1043036" s="19"/>
      <c r="I1043036" s="19"/>
      <c r="J1043036" s="19"/>
      <c r="K1043036" s="19"/>
      <c r="L1043036" s="19"/>
      <c r="M1043036" s="19"/>
      <c r="N1043036" s="19"/>
    </row>
    <row r="1043037" spans="1:14" s="83" customFormat="1" ht="12.75">
      <c r="A1043037" s="19"/>
      <c r="B1043037" s="19"/>
      <c r="C1043037" s="19"/>
      <c r="D1043037" s="19"/>
      <c r="E1043037" s="19"/>
      <c r="F1043037" s="19"/>
      <c r="G1043037" s="19"/>
      <c r="H1043037" s="19"/>
      <c r="I1043037" s="19"/>
      <c r="J1043037" s="19"/>
      <c r="K1043037" s="19"/>
      <c r="L1043037" s="19"/>
      <c r="M1043037" s="19"/>
      <c r="N1043037" s="19"/>
    </row>
    <row r="1043038" spans="1:14" s="83" customFormat="1" ht="12.75">
      <c r="A1043038" s="19"/>
      <c r="B1043038" s="19"/>
      <c r="C1043038" s="19"/>
      <c r="D1043038" s="19"/>
      <c r="E1043038" s="19"/>
      <c r="F1043038" s="19"/>
      <c r="G1043038" s="19"/>
      <c r="H1043038" s="19"/>
      <c r="I1043038" s="19"/>
      <c r="J1043038" s="19"/>
      <c r="K1043038" s="19"/>
      <c r="L1043038" s="19"/>
      <c r="M1043038" s="19"/>
      <c r="N1043038" s="19"/>
    </row>
    <row r="1043039" spans="1:14" s="83" customFormat="1" ht="12.75">
      <c r="A1043039" s="19"/>
      <c r="B1043039" s="19"/>
      <c r="C1043039" s="19"/>
      <c r="D1043039" s="19"/>
      <c r="E1043039" s="19"/>
      <c r="F1043039" s="19"/>
      <c r="G1043039" s="19"/>
      <c r="H1043039" s="19"/>
      <c r="I1043039" s="19"/>
      <c r="J1043039" s="19"/>
      <c r="K1043039" s="19"/>
      <c r="L1043039" s="19"/>
      <c r="M1043039" s="19"/>
      <c r="N1043039" s="19"/>
    </row>
    <row r="1043040" spans="1:14" s="83" customFormat="1" ht="12.75">
      <c r="A1043040" s="19"/>
      <c r="B1043040" s="19"/>
      <c r="C1043040" s="19"/>
      <c r="D1043040" s="19"/>
      <c r="E1043040" s="19"/>
      <c r="F1043040" s="19"/>
      <c r="G1043040" s="19"/>
      <c r="H1043040" s="19"/>
      <c r="I1043040" s="19"/>
      <c r="J1043040" s="19"/>
      <c r="K1043040" s="19"/>
      <c r="L1043040" s="19"/>
      <c r="M1043040" s="19"/>
      <c r="N1043040" s="19"/>
    </row>
    <row r="1043041" spans="1:14" s="83" customFormat="1" ht="12.75">
      <c r="A1043041" s="19"/>
      <c r="B1043041" s="19"/>
      <c r="C1043041" s="19"/>
      <c r="D1043041" s="19"/>
      <c r="E1043041" s="19"/>
      <c r="F1043041" s="19"/>
      <c r="G1043041" s="19"/>
      <c r="H1043041" s="19"/>
      <c r="I1043041" s="19"/>
      <c r="J1043041" s="19"/>
      <c r="K1043041" s="19"/>
      <c r="L1043041" s="19"/>
      <c r="M1043041" s="19"/>
      <c r="N1043041" s="19"/>
    </row>
    <row r="1043042" spans="1:14" s="83" customFormat="1" ht="12.75">
      <c r="A1043042" s="19"/>
      <c r="B1043042" s="19"/>
      <c r="C1043042" s="19"/>
      <c r="D1043042" s="19"/>
      <c r="E1043042" s="19"/>
      <c r="F1043042" s="19"/>
      <c r="G1043042" s="19"/>
      <c r="H1043042" s="19"/>
      <c r="I1043042" s="19"/>
      <c r="J1043042" s="19"/>
      <c r="K1043042" s="19"/>
      <c r="L1043042" s="19"/>
      <c r="M1043042" s="19"/>
      <c r="N1043042" s="19"/>
    </row>
    <row r="1043043" spans="1:14" s="83" customFormat="1" ht="12.75">
      <c r="A1043043" s="19"/>
      <c r="B1043043" s="19"/>
      <c r="C1043043" s="19"/>
      <c r="D1043043" s="19"/>
      <c r="E1043043" s="19"/>
      <c r="F1043043" s="19"/>
      <c r="G1043043" s="19"/>
      <c r="H1043043" s="19"/>
      <c r="I1043043" s="19"/>
      <c r="J1043043" s="19"/>
      <c r="K1043043" s="19"/>
      <c r="L1043043" s="19"/>
      <c r="M1043043" s="19"/>
      <c r="N1043043" s="19"/>
    </row>
    <row r="1043044" spans="1:14" s="83" customFormat="1" ht="12.75">
      <c r="A1043044" s="19"/>
      <c r="B1043044" s="19"/>
      <c r="C1043044" s="19"/>
      <c r="D1043044" s="19"/>
      <c r="E1043044" s="19"/>
      <c r="F1043044" s="19"/>
      <c r="G1043044" s="19"/>
      <c r="H1043044" s="19"/>
      <c r="I1043044" s="19"/>
      <c r="J1043044" s="19"/>
      <c r="K1043044" s="19"/>
      <c r="L1043044" s="19"/>
      <c r="M1043044" s="19"/>
      <c r="N1043044" s="19"/>
    </row>
    <row r="1043045" spans="1:14" s="83" customFormat="1" ht="12.75">
      <c r="A1043045" s="19"/>
      <c r="B1043045" s="19"/>
      <c r="C1043045" s="19"/>
      <c r="D1043045" s="19"/>
      <c r="E1043045" s="19"/>
      <c r="F1043045" s="19"/>
      <c r="G1043045" s="19"/>
      <c r="H1043045" s="19"/>
      <c r="I1043045" s="19"/>
      <c r="J1043045" s="19"/>
      <c r="K1043045" s="19"/>
      <c r="L1043045" s="19"/>
      <c r="M1043045" s="19"/>
      <c r="N1043045" s="19"/>
    </row>
    <row r="1043046" spans="1:14" s="83" customFormat="1" ht="12.75">
      <c r="A1043046" s="19"/>
      <c r="B1043046" s="19"/>
      <c r="C1043046" s="19"/>
      <c r="D1043046" s="19"/>
      <c r="E1043046" s="19"/>
      <c r="F1043046" s="19"/>
      <c r="G1043046" s="19"/>
      <c r="H1043046" s="19"/>
      <c r="I1043046" s="19"/>
      <c r="J1043046" s="19"/>
      <c r="K1043046" s="19"/>
      <c r="L1043046" s="19"/>
      <c r="M1043046" s="19"/>
      <c r="N1043046" s="19"/>
    </row>
    <row r="1043047" spans="1:14" s="83" customFormat="1" ht="12.75">
      <c r="A1043047" s="19"/>
      <c r="B1043047" s="19"/>
      <c r="C1043047" s="19"/>
      <c r="D1043047" s="19"/>
      <c r="E1043047" s="19"/>
      <c r="F1043047" s="19"/>
      <c r="G1043047" s="19"/>
      <c r="H1043047" s="19"/>
      <c r="I1043047" s="19"/>
      <c r="J1043047" s="19"/>
      <c r="K1043047" s="19"/>
      <c r="L1043047" s="19"/>
      <c r="M1043047" s="19"/>
      <c r="N1043047" s="19"/>
    </row>
    <row r="1043048" spans="1:14" s="83" customFormat="1" ht="12.75">
      <c r="A1043048" s="19"/>
      <c r="B1043048" s="19"/>
      <c r="C1043048" s="19"/>
      <c r="D1043048" s="19"/>
      <c r="E1043048" s="19"/>
      <c r="F1043048" s="19"/>
      <c r="G1043048" s="19"/>
      <c r="H1043048" s="19"/>
      <c r="I1043048" s="19"/>
      <c r="J1043048" s="19"/>
      <c r="K1043048" s="19"/>
      <c r="L1043048" s="19"/>
      <c r="M1043048" s="19"/>
      <c r="N1043048" s="19"/>
    </row>
    <row r="1043049" spans="1:14" s="83" customFormat="1" ht="12.75">
      <c r="A1043049" s="19"/>
      <c r="B1043049" s="19"/>
      <c r="C1043049" s="19"/>
      <c r="D1043049" s="19"/>
      <c r="E1043049" s="19"/>
      <c r="F1043049" s="19"/>
      <c r="G1043049" s="19"/>
      <c r="H1043049" s="19"/>
      <c r="I1043049" s="19"/>
      <c r="J1043049" s="19"/>
      <c r="K1043049" s="19"/>
      <c r="L1043049" s="19"/>
      <c r="M1043049" s="19"/>
      <c r="N1043049" s="19"/>
    </row>
    <row r="1043050" spans="1:14" s="83" customFormat="1" ht="12.75">
      <c r="A1043050" s="19"/>
      <c r="B1043050" s="19"/>
      <c r="C1043050" s="19"/>
      <c r="D1043050" s="19"/>
      <c r="E1043050" s="19"/>
      <c r="F1043050" s="19"/>
      <c r="G1043050" s="19"/>
      <c r="H1043050" s="19"/>
      <c r="I1043050" s="19"/>
      <c r="J1043050" s="19"/>
      <c r="K1043050" s="19"/>
      <c r="L1043050" s="19"/>
      <c r="M1043050" s="19"/>
      <c r="N1043050" s="19"/>
    </row>
    <row r="1043051" spans="1:14" s="83" customFormat="1" ht="12.75">
      <c r="A1043051" s="19"/>
      <c r="B1043051" s="19"/>
      <c r="C1043051" s="19"/>
      <c r="D1043051" s="19"/>
      <c r="E1043051" s="19"/>
      <c r="F1043051" s="19"/>
      <c r="G1043051" s="19"/>
      <c r="H1043051" s="19"/>
      <c r="I1043051" s="19"/>
      <c r="J1043051" s="19"/>
      <c r="K1043051" s="19"/>
      <c r="L1043051" s="19"/>
      <c r="M1043051" s="19"/>
      <c r="N1043051" s="19"/>
    </row>
    <row r="1043052" spans="1:14" s="83" customFormat="1" ht="12.75">
      <c r="A1043052" s="19"/>
      <c r="B1043052" s="19"/>
      <c r="C1043052" s="19"/>
      <c r="D1043052" s="19"/>
      <c r="E1043052" s="19"/>
      <c r="F1043052" s="19"/>
      <c r="G1043052" s="19"/>
      <c r="H1043052" s="19"/>
      <c r="I1043052" s="19"/>
      <c r="J1043052" s="19"/>
      <c r="K1043052" s="19"/>
      <c r="L1043052" s="19"/>
      <c r="M1043052" s="19"/>
      <c r="N1043052" s="19"/>
    </row>
    <row r="1043053" spans="1:14" s="83" customFormat="1" ht="12.75">
      <c r="A1043053" s="19"/>
      <c r="B1043053" s="19"/>
      <c r="C1043053" s="19"/>
      <c r="D1043053" s="19"/>
      <c r="E1043053" s="19"/>
      <c r="F1043053" s="19"/>
      <c r="G1043053" s="19"/>
      <c r="H1043053" s="19"/>
      <c r="I1043053" s="19"/>
      <c r="J1043053" s="19"/>
      <c r="K1043053" s="19"/>
      <c r="L1043053" s="19"/>
      <c r="M1043053" s="19"/>
      <c r="N1043053" s="19"/>
    </row>
    <row r="1043054" spans="1:14" s="83" customFormat="1" ht="12.75">
      <c r="A1043054" s="19"/>
      <c r="B1043054" s="19"/>
      <c r="C1043054" s="19"/>
      <c r="D1043054" s="19"/>
      <c r="E1043054" s="19"/>
      <c r="F1043054" s="19"/>
      <c r="G1043054" s="19"/>
      <c r="H1043054" s="19"/>
      <c r="I1043054" s="19"/>
      <c r="J1043054" s="19"/>
      <c r="K1043054" s="19"/>
      <c r="L1043054" s="19"/>
      <c r="M1043054" s="19"/>
      <c r="N1043054" s="19"/>
    </row>
    <row r="1043055" spans="1:14" s="83" customFormat="1" ht="12.75">
      <c r="A1043055" s="19"/>
      <c r="B1043055" s="19"/>
      <c r="C1043055" s="19"/>
      <c r="D1043055" s="19"/>
      <c r="E1043055" s="19"/>
      <c r="F1043055" s="19"/>
      <c r="G1043055" s="19"/>
      <c r="H1043055" s="19"/>
      <c r="I1043055" s="19"/>
      <c r="J1043055" s="19"/>
      <c r="K1043055" s="19"/>
      <c r="L1043055" s="19"/>
      <c r="M1043055" s="19"/>
      <c r="N1043055" s="19"/>
    </row>
    <row r="1043056" spans="1:14" s="83" customFormat="1" ht="12.75">
      <c r="A1043056" s="19"/>
      <c r="B1043056" s="19"/>
      <c r="C1043056" s="19"/>
      <c r="D1043056" s="19"/>
      <c r="E1043056" s="19"/>
      <c r="F1043056" s="19"/>
      <c r="G1043056" s="19"/>
      <c r="H1043056" s="19"/>
      <c r="I1043056" s="19"/>
      <c r="J1043056" s="19"/>
      <c r="K1043056" s="19"/>
      <c r="L1043056" s="19"/>
      <c r="M1043056" s="19"/>
      <c r="N1043056" s="19"/>
    </row>
    <row r="1043057" spans="1:14" s="83" customFormat="1" ht="12.75">
      <c r="A1043057" s="19"/>
      <c r="B1043057" s="19"/>
      <c r="C1043057" s="19"/>
      <c r="D1043057" s="19"/>
      <c r="E1043057" s="19"/>
      <c r="F1043057" s="19"/>
      <c r="G1043057" s="19"/>
      <c r="H1043057" s="19"/>
      <c r="I1043057" s="19"/>
      <c r="J1043057" s="19"/>
      <c r="K1043057" s="19"/>
      <c r="L1043057" s="19"/>
      <c r="M1043057" s="19"/>
      <c r="N1043057" s="19"/>
    </row>
    <row r="1043058" spans="1:14" s="83" customFormat="1" ht="12.75">
      <c r="A1043058" s="19"/>
      <c r="B1043058" s="19"/>
      <c r="C1043058" s="19"/>
      <c r="D1043058" s="19"/>
      <c r="E1043058" s="19"/>
      <c r="F1043058" s="19"/>
      <c r="G1043058" s="19"/>
      <c r="H1043058" s="19"/>
      <c r="I1043058" s="19"/>
      <c r="J1043058" s="19"/>
      <c r="K1043058" s="19"/>
      <c r="L1043058" s="19"/>
      <c r="M1043058" s="19"/>
      <c r="N1043058" s="19"/>
    </row>
    <row r="1043059" spans="1:14" s="83" customFormat="1" ht="12.75">
      <c r="A1043059" s="19"/>
      <c r="B1043059" s="19"/>
      <c r="C1043059" s="19"/>
      <c r="D1043059" s="19"/>
      <c r="E1043059" s="19"/>
      <c r="F1043059" s="19"/>
      <c r="G1043059" s="19"/>
      <c r="H1043059" s="19"/>
      <c r="I1043059" s="19"/>
      <c r="J1043059" s="19"/>
      <c r="K1043059" s="19"/>
      <c r="L1043059" s="19"/>
      <c r="M1043059" s="19"/>
      <c r="N1043059" s="19"/>
    </row>
    <row r="1043060" spans="1:14" s="83" customFormat="1" ht="12.75">
      <c r="A1043060" s="19"/>
      <c r="B1043060" s="19"/>
      <c r="C1043060" s="19"/>
      <c r="D1043060" s="19"/>
      <c r="E1043060" s="19"/>
      <c r="F1043060" s="19"/>
      <c r="G1043060" s="19"/>
      <c r="H1043060" s="19"/>
      <c r="I1043060" s="19"/>
      <c r="J1043060" s="19"/>
      <c r="K1043060" s="19"/>
      <c r="L1043060" s="19"/>
      <c r="M1043060" s="19"/>
      <c r="N1043060" s="19"/>
    </row>
    <row r="1043061" spans="1:14" s="83" customFormat="1" ht="12.75">
      <c r="A1043061" s="19"/>
      <c r="B1043061" s="19"/>
      <c r="C1043061" s="19"/>
      <c r="D1043061" s="19"/>
      <c r="E1043061" s="19"/>
      <c r="F1043061" s="19"/>
      <c r="G1043061" s="19"/>
      <c r="H1043061" s="19"/>
      <c r="I1043061" s="19"/>
      <c r="J1043061" s="19"/>
      <c r="K1043061" s="19"/>
      <c r="L1043061" s="19"/>
      <c r="M1043061" s="19"/>
      <c r="N1043061" s="19"/>
    </row>
    <row r="1043062" spans="1:14" s="83" customFormat="1" ht="12.75">
      <c r="A1043062" s="19"/>
      <c r="B1043062" s="19"/>
      <c r="C1043062" s="19"/>
      <c r="D1043062" s="19"/>
      <c r="E1043062" s="19"/>
      <c r="F1043062" s="19"/>
      <c r="G1043062" s="19"/>
      <c r="H1043062" s="19"/>
      <c r="I1043062" s="19"/>
      <c r="J1043062" s="19"/>
      <c r="K1043062" s="19"/>
      <c r="L1043062" s="19"/>
      <c r="M1043062" s="19"/>
      <c r="N1043062" s="19"/>
    </row>
    <row r="1043063" spans="1:14" s="83" customFormat="1" ht="12.75">
      <c r="A1043063" s="19"/>
      <c r="B1043063" s="19"/>
      <c r="C1043063" s="19"/>
      <c r="D1043063" s="19"/>
      <c r="E1043063" s="19"/>
      <c r="F1043063" s="19"/>
      <c r="G1043063" s="19"/>
      <c r="H1043063" s="19"/>
      <c r="I1043063" s="19"/>
      <c r="J1043063" s="19"/>
      <c r="K1043063" s="19"/>
      <c r="L1043063" s="19"/>
      <c r="M1043063" s="19"/>
      <c r="N1043063" s="19"/>
    </row>
    <row r="1043064" spans="1:14" s="83" customFormat="1" ht="12.75">
      <c r="A1043064" s="19"/>
      <c r="B1043064" s="19"/>
      <c r="C1043064" s="19"/>
      <c r="D1043064" s="19"/>
      <c r="E1043064" s="19"/>
      <c r="F1043064" s="19"/>
      <c r="G1043064" s="19"/>
      <c r="H1043064" s="19"/>
      <c r="I1043064" s="19"/>
      <c r="J1043064" s="19"/>
      <c r="K1043064" s="19"/>
      <c r="L1043064" s="19"/>
      <c r="M1043064" s="19"/>
      <c r="N1043064" s="19"/>
    </row>
    <row r="1043065" spans="1:14" s="83" customFormat="1" ht="12.75">
      <c r="A1043065" s="19"/>
      <c r="B1043065" s="19"/>
      <c r="C1043065" s="19"/>
      <c r="D1043065" s="19"/>
      <c r="E1043065" s="19"/>
      <c r="F1043065" s="19"/>
      <c r="G1043065" s="19"/>
      <c r="H1043065" s="19"/>
      <c r="I1043065" s="19"/>
      <c r="J1043065" s="19"/>
      <c r="K1043065" s="19"/>
      <c r="L1043065" s="19"/>
      <c r="M1043065" s="19"/>
      <c r="N1043065" s="19"/>
    </row>
    <row r="1043066" spans="1:14" s="83" customFormat="1" ht="12.75">
      <c r="A1043066" s="19"/>
      <c r="B1043066" s="19"/>
      <c r="C1043066" s="19"/>
      <c r="D1043066" s="19"/>
      <c r="E1043066" s="19"/>
      <c r="F1043066" s="19"/>
      <c r="G1043066" s="19"/>
      <c r="H1043066" s="19"/>
      <c r="I1043066" s="19"/>
      <c r="J1043066" s="19"/>
      <c r="K1043066" s="19"/>
      <c r="L1043066" s="19"/>
      <c r="M1043066" s="19"/>
      <c r="N1043066" s="19"/>
    </row>
    <row r="1043067" spans="1:14" s="83" customFormat="1" ht="12.75">
      <c r="A1043067" s="19"/>
      <c r="B1043067" s="19"/>
      <c r="C1043067" s="19"/>
      <c r="D1043067" s="19"/>
      <c r="E1043067" s="19"/>
      <c r="F1043067" s="19"/>
      <c r="G1043067" s="19"/>
      <c r="H1043067" s="19"/>
      <c r="I1043067" s="19"/>
      <c r="J1043067" s="19"/>
      <c r="K1043067" s="19"/>
      <c r="L1043067" s="19"/>
      <c r="M1043067" s="19"/>
      <c r="N1043067" s="19"/>
    </row>
    <row r="1043068" spans="1:14" s="83" customFormat="1" ht="12.75">
      <c r="A1043068" s="19"/>
      <c r="B1043068" s="19"/>
      <c r="C1043068" s="19"/>
      <c r="D1043068" s="19"/>
      <c r="E1043068" s="19"/>
      <c r="F1043068" s="19"/>
      <c r="G1043068" s="19"/>
      <c r="H1043068" s="19"/>
      <c r="I1043068" s="19"/>
      <c r="J1043068" s="19"/>
      <c r="K1043068" s="19"/>
      <c r="L1043068" s="19"/>
      <c r="M1043068" s="19"/>
      <c r="N1043068" s="19"/>
    </row>
    <row r="1043069" spans="1:14" s="83" customFormat="1" ht="12.75">
      <c r="A1043069" s="19"/>
      <c r="B1043069" s="19"/>
      <c r="C1043069" s="19"/>
      <c r="D1043069" s="19"/>
      <c r="E1043069" s="19"/>
      <c r="F1043069" s="19"/>
      <c r="G1043069" s="19"/>
      <c r="H1043069" s="19"/>
      <c r="I1043069" s="19"/>
      <c r="J1043069" s="19"/>
      <c r="K1043069" s="19"/>
      <c r="L1043069" s="19"/>
      <c r="M1043069" s="19"/>
      <c r="N1043069" s="19"/>
    </row>
    <row r="1043070" spans="1:14" s="83" customFormat="1" ht="12.75">
      <c r="A1043070" s="19"/>
      <c r="B1043070" s="19"/>
      <c r="C1043070" s="19"/>
      <c r="D1043070" s="19"/>
      <c r="E1043070" s="19"/>
      <c r="F1043070" s="19"/>
      <c r="G1043070" s="19"/>
      <c r="H1043070" s="19"/>
      <c r="I1043070" s="19"/>
      <c r="J1043070" s="19"/>
      <c r="K1043070" s="19"/>
      <c r="L1043070" s="19"/>
      <c r="M1043070" s="19"/>
      <c r="N1043070" s="19"/>
    </row>
    <row r="1043071" spans="1:14" s="83" customFormat="1" ht="12.75">
      <c r="A1043071" s="19"/>
      <c r="B1043071" s="19"/>
      <c r="C1043071" s="19"/>
      <c r="D1043071" s="19"/>
      <c r="E1043071" s="19"/>
      <c r="F1043071" s="19"/>
      <c r="G1043071" s="19"/>
      <c r="H1043071" s="19"/>
      <c r="I1043071" s="19"/>
      <c r="J1043071" s="19"/>
      <c r="K1043071" s="19"/>
      <c r="L1043071" s="19"/>
      <c r="M1043071" s="19"/>
      <c r="N1043071" s="19"/>
    </row>
    <row r="1043072" spans="1:14" s="83" customFormat="1" ht="12.75">
      <c r="A1043072" s="19"/>
      <c r="B1043072" s="19"/>
      <c r="C1043072" s="19"/>
      <c r="D1043072" s="19"/>
      <c r="E1043072" s="19"/>
      <c r="F1043072" s="19"/>
      <c r="G1043072" s="19"/>
      <c r="H1043072" s="19"/>
      <c r="I1043072" s="19"/>
      <c r="J1043072" s="19"/>
      <c r="K1043072" s="19"/>
      <c r="L1043072" s="19"/>
      <c r="M1043072" s="19"/>
      <c r="N1043072" s="19"/>
    </row>
    <row r="1043073" spans="1:14" s="83" customFormat="1" ht="12.75">
      <c r="A1043073" s="19"/>
      <c r="B1043073" s="19"/>
      <c r="C1043073" s="19"/>
      <c r="D1043073" s="19"/>
      <c r="E1043073" s="19"/>
      <c r="F1043073" s="19"/>
      <c r="G1043073" s="19"/>
      <c r="H1043073" s="19"/>
      <c r="I1043073" s="19"/>
      <c r="J1043073" s="19"/>
      <c r="K1043073" s="19"/>
      <c r="L1043073" s="19"/>
      <c r="M1043073" s="19"/>
      <c r="N1043073" s="19"/>
    </row>
    <row r="1043074" spans="1:14" s="83" customFormat="1" ht="12.75">
      <c r="A1043074" s="19"/>
      <c r="B1043074" s="19"/>
      <c r="C1043074" s="19"/>
      <c r="D1043074" s="19"/>
      <c r="E1043074" s="19"/>
      <c r="F1043074" s="19"/>
      <c r="G1043074" s="19"/>
      <c r="H1043074" s="19"/>
      <c r="I1043074" s="19"/>
      <c r="J1043074" s="19"/>
      <c r="K1043074" s="19"/>
      <c r="L1043074" s="19"/>
      <c r="M1043074" s="19"/>
      <c r="N1043074" s="19"/>
    </row>
    <row r="1043075" spans="1:14" s="83" customFormat="1" ht="12.75">
      <c r="A1043075" s="19"/>
      <c r="B1043075" s="19"/>
      <c r="C1043075" s="19"/>
      <c r="D1043075" s="19"/>
      <c r="E1043075" s="19"/>
      <c r="F1043075" s="19"/>
      <c r="G1043075" s="19"/>
      <c r="H1043075" s="19"/>
      <c r="I1043075" s="19"/>
      <c r="J1043075" s="19"/>
      <c r="K1043075" s="19"/>
      <c r="L1043075" s="19"/>
      <c r="M1043075" s="19"/>
      <c r="N1043075" s="19"/>
    </row>
    <row r="1043076" spans="1:14" s="83" customFormat="1" ht="12.75">
      <c r="A1043076" s="19"/>
      <c r="B1043076" s="19"/>
      <c r="C1043076" s="19"/>
      <c r="D1043076" s="19"/>
      <c r="E1043076" s="19"/>
      <c r="F1043076" s="19"/>
      <c r="G1043076" s="19"/>
      <c r="H1043076" s="19"/>
      <c r="I1043076" s="19"/>
      <c r="J1043076" s="19"/>
      <c r="K1043076" s="19"/>
      <c r="L1043076" s="19"/>
      <c r="M1043076" s="19"/>
      <c r="N1043076" s="19"/>
    </row>
    <row r="1043077" spans="1:14" s="83" customFormat="1" ht="12.75">
      <c r="A1043077" s="19"/>
      <c r="B1043077" s="19"/>
      <c r="C1043077" s="19"/>
      <c r="D1043077" s="19"/>
      <c r="E1043077" s="19"/>
      <c r="F1043077" s="19"/>
      <c r="G1043077" s="19"/>
      <c r="H1043077" s="19"/>
      <c r="I1043077" s="19"/>
      <c r="J1043077" s="19"/>
      <c r="K1043077" s="19"/>
      <c r="L1043077" s="19"/>
      <c r="M1043077" s="19"/>
      <c r="N1043077" s="19"/>
    </row>
    <row r="1043078" spans="1:14" s="83" customFormat="1" ht="12.75">
      <c r="A1043078" s="19"/>
      <c r="B1043078" s="19"/>
      <c r="C1043078" s="19"/>
      <c r="D1043078" s="19"/>
      <c r="E1043078" s="19"/>
      <c r="F1043078" s="19"/>
      <c r="G1043078" s="19"/>
      <c r="H1043078" s="19"/>
      <c r="I1043078" s="19"/>
      <c r="J1043078" s="19"/>
      <c r="K1043078" s="19"/>
      <c r="L1043078" s="19"/>
      <c r="M1043078" s="19"/>
      <c r="N1043078" s="19"/>
    </row>
    <row r="1043079" spans="1:14" s="83" customFormat="1" ht="12.75">
      <c r="A1043079" s="19"/>
      <c r="B1043079" s="19"/>
      <c r="C1043079" s="19"/>
      <c r="D1043079" s="19"/>
      <c r="E1043079" s="19"/>
      <c r="F1043079" s="19"/>
      <c r="G1043079" s="19"/>
      <c r="H1043079" s="19"/>
      <c r="I1043079" s="19"/>
      <c r="J1043079" s="19"/>
      <c r="K1043079" s="19"/>
      <c r="L1043079" s="19"/>
      <c r="M1043079" s="19"/>
      <c r="N1043079" s="19"/>
    </row>
    <row r="1043080" spans="1:14" s="83" customFormat="1" ht="12.75">
      <c r="A1043080" s="19"/>
      <c r="B1043080" s="19"/>
      <c r="C1043080" s="19"/>
      <c r="D1043080" s="19"/>
      <c r="E1043080" s="19"/>
      <c r="F1043080" s="19"/>
      <c r="G1043080" s="19"/>
      <c r="H1043080" s="19"/>
      <c r="I1043080" s="19"/>
      <c r="J1043080" s="19"/>
      <c r="K1043080" s="19"/>
      <c r="L1043080" s="19"/>
      <c r="M1043080" s="19"/>
      <c r="N1043080" s="19"/>
    </row>
    <row r="1043081" spans="1:14" s="83" customFormat="1" ht="12.75">
      <c r="A1043081" s="19"/>
      <c r="B1043081" s="19"/>
      <c r="C1043081" s="19"/>
      <c r="D1043081" s="19"/>
      <c r="E1043081" s="19"/>
      <c r="F1043081" s="19"/>
      <c r="G1043081" s="19"/>
      <c r="H1043081" s="19"/>
      <c r="I1043081" s="19"/>
      <c r="J1043081" s="19"/>
      <c r="K1043081" s="19"/>
      <c r="L1043081" s="19"/>
      <c r="M1043081" s="19"/>
      <c r="N1043081" s="19"/>
    </row>
    <row r="1043082" spans="1:14" s="83" customFormat="1" ht="12.75">
      <c r="A1043082" s="19"/>
      <c r="B1043082" s="19"/>
      <c r="C1043082" s="19"/>
      <c r="D1043082" s="19"/>
      <c r="E1043082" s="19"/>
      <c r="F1043082" s="19"/>
      <c r="G1043082" s="19"/>
      <c r="H1043082" s="19"/>
      <c r="I1043082" s="19"/>
      <c r="J1043082" s="19"/>
      <c r="K1043082" s="19"/>
      <c r="L1043082" s="19"/>
      <c r="M1043082" s="19"/>
      <c r="N1043082" s="19"/>
    </row>
    <row r="1043083" spans="1:14" s="83" customFormat="1" ht="12.75">
      <c r="A1043083" s="19"/>
      <c r="B1043083" s="19"/>
      <c r="C1043083" s="19"/>
      <c r="D1043083" s="19"/>
      <c r="E1043083" s="19"/>
      <c r="F1043083" s="19"/>
      <c r="G1043083" s="19"/>
      <c r="H1043083" s="19"/>
      <c r="I1043083" s="19"/>
      <c r="J1043083" s="19"/>
      <c r="K1043083" s="19"/>
      <c r="L1043083" s="19"/>
      <c r="M1043083" s="19"/>
      <c r="N1043083" s="19"/>
    </row>
    <row r="1043084" spans="1:14" s="83" customFormat="1" ht="12.75">
      <c r="A1043084" s="19"/>
      <c r="B1043084" s="19"/>
      <c r="C1043084" s="19"/>
      <c r="D1043084" s="19"/>
      <c r="E1043084" s="19"/>
      <c r="F1043084" s="19"/>
      <c r="G1043084" s="19"/>
      <c r="H1043084" s="19"/>
      <c r="I1043084" s="19"/>
      <c r="J1043084" s="19"/>
      <c r="K1043084" s="19"/>
      <c r="L1043084" s="19"/>
      <c r="M1043084" s="19"/>
      <c r="N1043084" s="19"/>
    </row>
    <row r="1043085" spans="1:14" s="83" customFormat="1" ht="12.75">
      <c r="A1043085" s="19"/>
      <c r="B1043085" s="19"/>
      <c r="C1043085" s="19"/>
      <c r="D1043085" s="19"/>
      <c r="E1043085" s="19"/>
      <c r="F1043085" s="19"/>
      <c r="G1043085" s="19"/>
      <c r="H1043085" s="19"/>
      <c r="I1043085" s="19"/>
      <c r="J1043085" s="19"/>
      <c r="K1043085" s="19"/>
      <c r="L1043085" s="19"/>
      <c r="M1043085" s="19"/>
      <c r="N1043085" s="19"/>
    </row>
    <row r="1043086" spans="1:14" s="83" customFormat="1" ht="12.75">
      <c r="A1043086" s="19"/>
      <c r="B1043086" s="19"/>
      <c r="C1043086" s="19"/>
      <c r="D1043086" s="19"/>
      <c r="E1043086" s="19"/>
      <c r="F1043086" s="19"/>
      <c r="G1043086" s="19"/>
      <c r="H1043086" s="19"/>
      <c r="I1043086" s="19"/>
      <c r="J1043086" s="19"/>
      <c r="K1043086" s="19"/>
      <c r="L1043086" s="19"/>
      <c r="M1043086" s="19"/>
      <c r="N1043086" s="19"/>
    </row>
    <row r="1043087" spans="1:14" s="83" customFormat="1" ht="12.75">
      <c r="A1043087" s="19"/>
      <c r="B1043087" s="19"/>
      <c r="C1043087" s="19"/>
      <c r="D1043087" s="19"/>
      <c r="E1043087" s="19"/>
      <c r="F1043087" s="19"/>
      <c r="G1043087" s="19"/>
      <c r="H1043087" s="19"/>
      <c r="I1043087" s="19"/>
      <c r="J1043087" s="19"/>
      <c r="K1043087" s="19"/>
      <c r="L1043087" s="19"/>
      <c r="M1043087" s="19"/>
      <c r="N1043087" s="19"/>
    </row>
    <row r="1043088" spans="1:14" s="83" customFormat="1" ht="12.75">
      <c r="A1043088" s="19"/>
      <c r="B1043088" s="19"/>
      <c r="C1043088" s="19"/>
      <c r="D1043088" s="19"/>
      <c r="E1043088" s="19"/>
      <c r="F1043088" s="19"/>
      <c r="G1043088" s="19"/>
      <c r="H1043088" s="19"/>
      <c r="I1043088" s="19"/>
      <c r="J1043088" s="19"/>
      <c r="K1043088" s="19"/>
      <c r="L1043088" s="19"/>
      <c r="M1043088" s="19"/>
      <c r="N1043088" s="19"/>
    </row>
    <row r="1043089" spans="1:14" s="83" customFormat="1" ht="12.75">
      <c r="A1043089" s="19"/>
      <c r="B1043089" s="19"/>
      <c r="C1043089" s="19"/>
      <c r="D1043089" s="19"/>
      <c r="E1043089" s="19"/>
      <c r="F1043089" s="19"/>
      <c r="G1043089" s="19"/>
      <c r="H1043089" s="19"/>
      <c r="I1043089" s="19"/>
      <c r="J1043089" s="19"/>
      <c r="K1043089" s="19"/>
      <c r="L1043089" s="19"/>
      <c r="M1043089" s="19"/>
      <c r="N1043089" s="19"/>
    </row>
    <row r="1043090" spans="1:14" s="83" customFormat="1" ht="12.75">
      <c r="A1043090" s="19"/>
      <c r="B1043090" s="19"/>
      <c r="C1043090" s="19"/>
      <c r="D1043090" s="19"/>
      <c r="E1043090" s="19"/>
      <c r="F1043090" s="19"/>
      <c r="G1043090" s="19"/>
      <c r="H1043090" s="19"/>
      <c r="I1043090" s="19"/>
      <c r="J1043090" s="19"/>
      <c r="K1043090" s="19"/>
      <c r="L1043090" s="19"/>
      <c r="M1043090" s="19"/>
      <c r="N1043090" s="19"/>
    </row>
    <row r="1043091" spans="1:14" s="83" customFormat="1" ht="12.75">
      <c r="A1043091" s="19"/>
      <c r="B1043091" s="19"/>
      <c r="C1043091" s="19"/>
      <c r="D1043091" s="19"/>
      <c r="E1043091" s="19"/>
      <c r="F1043091" s="19"/>
      <c r="G1043091" s="19"/>
      <c r="H1043091" s="19"/>
      <c r="I1043091" s="19"/>
      <c r="J1043091" s="19"/>
      <c r="K1043091" s="19"/>
      <c r="L1043091" s="19"/>
      <c r="M1043091" s="19"/>
      <c r="N1043091" s="19"/>
    </row>
    <row r="1043092" spans="1:14" s="83" customFormat="1" ht="12.75">
      <c r="A1043092" s="19"/>
      <c r="B1043092" s="19"/>
      <c r="C1043092" s="19"/>
      <c r="D1043092" s="19"/>
      <c r="E1043092" s="19"/>
      <c r="F1043092" s="19"/>
      <c r="G1043092" s="19"/>
      <c r="H1043092" s="19"/>
      <c r="I1043092" s="19"/>
      <c r="J1043092" s="19"/>
      <c r="K1043092" s="19"/>
      <c r="L1043092" s="19"/>
      <c r="M1043092" s="19"/>
      <c r="N1043092" s="19"/>
    </row>
    <row r="1043093" spans="1:14" s="83" customFormat="1" ht="12.75">
      <c r="A1043093" s="19"/>
      <c r="B1043093" s="19"/>
      <c r="C1043093" s="19"/>
      <c r="D1043093" s="19"/>
      <c r="E1043093" s="19"/>
      <c r="F1043093" s="19"/>
      <c r="G1043093" s="19"/>
      <c r="H1043093" s="19"/>
      <c r="I1043093" s="19"/>
      <c r="J1043093" s="19"/>
      <c r="K1043093" s="19"/>
      <c r="L1043093" s="19"/>
      <c r="M1043093" s="19"/>
      <c r="N1043093" s="19"/>
    </row>
    <row r="1043094" spans="1:14" s="83" customFormat="1" ht="12.75">
      <c r="A1043094" s="19"/>
      <c r="B1043094" s="19"/>
      <c r="C1043094" s="19"/>
      <c r="D1043094" s="19"/>
      <c r="E1043094" s="19"/>
      <c r="F1043094" s="19"/>
      <c r="G1043094" s="19"/>
      <c r="H1043094" s="19"/>
      <c r="I1043094" s="19"/>
      <c r="J1043094" s="19"/>
      <c r="K1043094" s="19"/>
      <c r="L1043094" s="19"/>
      <c r="M1043094" s="19"/>
      <c r="N1043094" s="19"/>
    </row>
    <row r="1043095" spans="1:14" s="83" customFormat="1" ht="12.75">
      <c r="A1043095" s="19"/>
      <c r="B1043095" s="19"/>
      <c r="C1043095" s="19"/>
      <c r="D1043095" s="19"/>
      <c r="E1043095" s="19"/>
      <c r="F1043095" s="19"/>
      <c r="G1043095" s="19"/>
      <c r="H1043095" s="19"/>
      <c r="I1043095" s="19"/>
      <c r="J1043095" s="19"/>
      <c r="K1043095" s="19"/>
      <c r="L1043095" s="19"/>
      <c r="M1043095" s="19"/>
      <c r="N1043095" s="19"/>
    </row>
    <row r="1043096" spans="1:14" s="83" customFormat="1" ht="12.75">
      <c r="A1043096" s="19"/>
      <c r="B1043096" s="19"/>
      <c r="C1043096" s="19"/>
      <c r="D1043096" s="19"/>
      <c r="E1043096" s="19"/>
      <c r="F1043096" s="19"/>
      <c r="G1043096" s="19"/>
      <c r="H1043096" s="19"/>
      <c r="I1043096" s="19"/>
      <c r="J1043096" s="19"/>
      <c r="K1043096" s="19"/>
      <c r="L1043096" s="19"/>
      <c r="M1043096" s="19"/>
      <c r="N1043096" s="19"/>
    </row>
    <row r="1043097" spans="1:14" s="83" customFormat="1" ht="12.75">
      <c r="A1043097" s="19"/>
      <c r="B1043097" s="19"/>
      <c r="C1043097" s="19"/>
      <c r="D1043097" s="19"/>
      <c r="E1043097" s="19"/>
      <c r="F1043097" s="19"/>
      <c r="G1043097" s="19"/>
      <c r="H1043097" s="19"/>
      <c r="I1043097" s="19"/>
      <c r="J1043097" s="19"/>
      <c r="K1043097" s="19"/>
      <c r="L1043097" s="19"/>
      <c r="M1043097" s="19"/>
      <c r="N1043097" s="19"/>
    </row>
    <row r="1043098" spans="1:14" s="83" customFormat="1" ht="12.75">
      <c r="A1043098" s="19"/>
      <c r="B1043098" s="19"/>
      <c r="C1043098" s="19"/>
      <c r="D1043098" s="19"/>
      <c r="E1043098" s="19"/>
      <c r="F1043098" s="19"/>
      <c r="G1043098" s="19"/>
      <c r="H1043098" s="19"/>
      <c r="I1043098" s="19"/>
      <c r="J1043098" s="19"/>
      <c r="K1043098" s="19"/>
      <c r="L1043098" s="19"/>
      <c r="M1043098" s="19"/>
      <c r="N1043098" s="19"/>
    </row>
    <row r="1043099" spans="1:14" s="83" customFormat="1" ht="12.75">
      <c r="A1043099" s="19"/>
      <c r="B1043099" s="19"/>
      <c r="C1043099" s="19"/>
      <c r="D1043099" s="19"/>
      <c r="E1043099" s="19"/>
      <c r="F1043099" s="19"/>
      <c r="G1043099" s="19"/>
      <c r="H1043099" s="19"/>
      <c r="I1043099" s="19"/>
      <c r="J1043099" s="19"/>
      <c r="K1043099" s="19"/>
      <c r="L1043099" s="19"/>
      <c r="M1043099" s="19"/>
      <c r="N1043099" s="19"/>
    </row>
    <row r="1043100" spans="1:14" s="83" customFormat="1" ht="12.75">
      <c r="A1043100" s="19"/>
      <c r="B1043100" s="19"/>
      <c r="C1043100" s="19"/>
      <c r="D1043100" s="19"/>
      <c r="E1043100" s="19"/>
      <c r="F1043100" s="19"/>
      <c r="G1043100" s="19"/>
      <c r="H1043100" s="19"/>
      <c r="I1043100" s="19"/>
      <c r="J1043100" s="19"/>
      <c r="K1043100" s="19"/>
      <c r="L1043100" s="19"/>
      <c r="M1043100" s="19"/>
      <c r="N1043100" s="19"/>
    </row>
    <row r="1043101" spans="1:14" s="83" customFormat="1" ht="12.75">
      <c r="A1043101" s="19"/>
      <c r="B1043101" s="19"/>
      <c r="C1043101" s="19"/>
      <c r="D1043101" s="19"/>
      <c r="E1043101" s="19"/>
      <c r="F1043101" s="19"/>
      <c r="G1043101" s="19"/>
      <c r="H1043101" s="19"/>
      <c r="I1043101" s="19"/>
      <c r="J1043101" s="19"/>
      <c r="K1043101" s="19"/>
      <c r="L1043101" s="19"/>
      <c r="M1043101" s="19"/>
      <c r="N1043101" s="19"/>
    </row>
    <row r="1043102" spans="1:14" s="83" customFormat="1" ht="12.75">
      <c r="A1043102" s="19"/>
      <c r="B1043102" s="19"/>
      <c r="C1043102" s="19"/>
      <c r="D1043102" s="19"/>
      <c r="E1043102" s="19"/>
      <c r="F1043102" s="19"/>
      <c r="G1043102" s="19"/>
      <c r="H1043102" s="19"/>
      <c r="I1043102" s="19"/>
      <c r="J1043102" s="19"/>
      <c r="K1043102" s="19"/>
      <c r="L1043102" s="19"/>
      <c r="M1043102" s="19"/>
      <c r="N1043102" s="19"/>
    </row>
    <row r="1043103" spans="1:14" s="83" customFormat="1" ht="12.75">
      <c r="A1043103" s="19"/>
      <c r="B1043103" s="19"/>
      <c r="C1043103" s="19"/>
      <c r="D1043103" s="19"/>
      <c r="E1043103" s="19"/>
      <c r="F1043103" s="19"/>
      <c r="G1043103" s="19"/>
      <c r="H1043103" s="19"/>
      <c r="I1043103" s="19"/>
      <c r="J1043103" s="19"/>
      <c r="K1043103" s="19"/>
      <c r="L1043103" s="19"/>
      <c r="M1043103" s="19"/>
      <c r="N1043103" s="19"/>
    </row>
    <row r="1043104" spans="1:14" s="83" customFormat="1" ht="12.75">
      <c r="A1043104" s="19"/>
      <c r="B1043104" s="19"/>
      <c r="C1043104" s="19"/>
      <c r="D1043104" s="19"/>
      <c r="E1043104" s="19"/>
      <c r="F1043104" s="19"/>
      <c r="G1043104" s="19"/>
      <c r="H1043104" s="19"/>
      <c r="I1043104" s="19"/>
      <c r="J1043104" s="19"/>
      <c r="K1043104" s="19"/>
      <c r="L1043104" s="19"/>
      <c r="M1043104" s="19"/>
      <c r="N1043104" s="19"/>
    </row>
    <row r="1043105" spans="1:14" s="83" customFormat="1" ht="12.75">
      <c r="A1043105" s="19"/>
      <c r="B1043105" s="19"/>
      <c r="C1043105" s="19"/>
      <c r="D1043105" s="19"/>
      <c r="E1043105" s="19"/>
      <c r="F1043105" s="19"/>
      <c r="G1043105" s="19"/>
      <c r="H1043105" s="19"/>
      <c r="I1043105" s="19"/>
      <c r="J1043105" s="19"/>
      <c r="K1043105" s="19"/>
      <c r="L1043105" s="19"/>
      <c r="M1043105" s="19"/>
      <c r="N1043105" s="19"/>
    </row>
    <row r="1043106" spans="1:14" s="83" customFormat="1" ht="12.75">
      <c r="A1043106" s="19"/>
      <c r="B1043106" s="19"/>
      <c r="C1043106" s="19"/>
      <c r="D1043106" s="19"/>
      <c r="E1043106" s="19"/>
      <c r="F1043106" s="19"/>
      <c r="G1043106" s="19"/>
      <c r="H1043106" s="19"/>
      <c r="I1043106" s="19"/>
      <c r="J1043106" s="19"/>
      <c r="K1043106" s="19"/>
      <c r="L1043106" s="19"/>
      <c r="M1043106" s="19"/>
      <c r="N1043106" s="19"/>
    </row>
    <row r="1043107" spans="1:14" s="83" customFormat="1" ht="12.75">
      <c r="A1043107" s="19"/>
      <c r="B1043107" s="19"/>
      <c r="C1043107" s="19"/>
      <c r="D1043107" s="19"/>
      <c r="E1043107" s="19"/>
      <c r="F1043107" s="19"/>
      <c r="G1043107" s="19"/>
      <c r="H1043107" s="19"/>
      <c r="I1043107" s="19"/>
      <c r="J1043107" s="19"/>
      <c r="K1043107" s="19"/>
      <c r="L1043107" s="19"/>
      <c r="M1043107" s="19"/>
      <c r="N1043107" s="19"/>
    </row>
    <row r="1043108" spans="1:14" s="83" customFormat="1" ht="12.75">
      <c r="A1043108" s="19"/>
      <c r="B1043108" s="19"/>
      <c r="C1043108" s="19"/>
      <c r="D1043108" s="19"/>
      <c r="E1043108" s="19"/>
      <c r="F1043108" s="19"/>
      <c r="G1043108" s="19"/>
      <c r="H1043108" s="19"/>
      <c r="I1043108" s="19"/>
      <c r="J1043108" s="19"/>
      <c r="K1043108" s="19"/>
      <c r="L1043108" s="19"/>
      <c r="M1043108" s="19"/>
      <c r="N1043108" s="19"/>
    </row>
    <row r="1043109" spans="1:14" s="83" customFormat="1" ht="12.75">
      <c r="A1043109" s="19"/>
      <c r="B1043109" s="19"/>
      <c r="C1043109" s="19"/>
      <c r="D1043109" s="19"/>
      <c r="E1043109" s="19"/>
      <c r="F1043109" s="19"/>
      <c r="G1043109" s="19"/>
      <c r="H1043109" s="19"/>
      <c r="I1043109" s="19"/>
      <c r="J1043109" s="19"/>
      <c r="K1043109" s="19"/>
      <c r="L1043109" s="19"/>
      <c r="M1043109" s="19"/>
      <c r="N1043109" s="19"/>
    </row>
    <row r="1043110" spans="1:14" s="83" customFormat="1" ht="12.75">
      <c r="A1043110" s="19"/>
      <c r="B1043110" s="19"/>
      <c r="C1043110" s="19"/>
      <c r="D1043110" s="19"/>
      <c r="E1043110" s="19"/>
      <c r="F1043110" s="19"/>
      <c r="G1043110" s="19"/>
      <c r="H1043110" s="19"/>
      <c r="I1043110" s="19"/>
      <c r="J1043110" s="19"/>
      <c r="K1043110" s="19"/>
      <c r="L1043110" s="19"/>
      <c r="M1043110" s="19"/>
      <c r="N1043110" s="19"/>
    </row>
    <row r="1043111" spans="1:14" s="83" customFormat="1" ht="12.75">
      <c r="A1043111" s="19"/>
      <c r="B1043111" s="19"/>
      <c r="C1043111" s="19"/>
      <c r="D1043111" s="19"/>
      <c r="E1043111" s="19"/>
      <c r="F1043111" s="19"/>
      <c r="G1043111" s="19"/>
      <c r="H1043111" s="19"/>
      <c r="I1043111" s="19"/>
      <c r="J1043111" s="19"/>
      <c r="K1043111" s="19"/>
      <c r="L1043111" s="19"/>
      <c r="M1043111" s="19"/>
      <c r="N1043111" s="19"/>
    </row>
    <row r="1043112" spans="1:14" s="83" customFormat="1" ht="12.75">
      <c r="A1043112" s="19"/>
      <c r="B1043112" s="19"/>
      <c r="C1043112" s="19"/>
      <c r="D1043112" s="19"/>
      <c r="E1043112" s="19"/>
      <c r="F1043112" s="19"/>
      <c r="G1043112" s="19"/>
      <c r="H1043112" s="19"/>
      <c r="I1043112" s="19"/>
      <c r="J1043112" s="19"/>
      <c r="K1043112" s="19"/>
      <c r="L1043112" s="19"/>
      <c r="M1043112" s="19"/>
      <c r="N1043112" s="19"/>
    </row>
    <row r="1043113" spans="1:14" s="83" customFormat="1" ht="12.75">
      <c r="A1043113" s="19"/>
      <c r="B1043113" s="19"/>
      <c r="C1043113" s="19"/>
      <c r="D1043113" s="19"/>
      <c r="E1043113" s="19"/>
      <c r="F1043113" s="19"/>
      <c r="G1043113" s="19"/>
      <c r="H1043113" s="19"/>
      <c r="I1043113" s="19"/>
      <c r="J1043113" s="19"/>
      <c r="K1043113" s="19"/>
      <c r="L1043113" s="19"/>
      <c r="M1043113" s="19"/>
      <c r="N1043113" s="19"/>
    </row>
    <row r="1043114" spans="1:14" s="83" customFormat="1" ht="12.75">
      <c r="A1043114" s="19"/>
      <c r="B1043114" s="19"/>
      <c r="C1043114" s="19"/>
      <c r="D1043114" s="19"/>
      <c r="E1043114" s="19"/>
      <c r="F1043114" s="19"/>
      <c r="G1043114" s="19"/>
      <c r="H1043114" s="19"/>
      <c r="I1043114" s="19"/>
      <c r="J1043114" s="19"/>
      <c r="K1043114" s="19"/>
      <c r="L1043114" s="19"/>
      <c r="M1043114" s="19"/>
      <c r="N1043114" s="19"/>
    </row>
    <row r="1043115" spans="1:14" s="83" customFormat="1" ht="12.75">
      <c r="A1043115" s="19"/>
      <c r="B1043115" s="19"/>
      <c r="C1043115" s="19"/>
      <c r="D1043115" s="19"/>
      <c r="E1043115" s="19"/>
      <c r="F1043115" s="19"/>
      <c r="G1043115" s="19"/>
      <c r="H1043115" s="19"/>
      <c r="I1043115" s="19"/>
      <c r="J1043115" s="19"/>
      <c r="K1043115" s="19"/>
      <c r="L1043115" s="19"/>
      <c r="M1043115" s="19"/>
      <c r="N1043115" s="19"/>
    </row>
    <row r="1043116" spans="1:14" s="83" customFormat="1" ht="12.75">
      <c r="A1043116" s="19"/>
      <c r="B1043116" s="19"/>
      <c r="C1043116" s="19"/>
      <c r="D1043116" s="19"/>
      <c r="E1043116" s="19"/>
      <c r="F1043116" s="19"/>
      <c r="G1043116" s="19"/>
      <c r="H1043116" s="19"/>
      <c r="I1043116" s="19"/>
      <c r="J1043116" s="19"/>
      <c r="K1043116" s="19"/>
      <c r="L1043116" s="19"/>
      <c r="M1043116" s="19"/>
      <c r="N1043116" s="19"/>
    </row>
    <row r="1043117" spans="1:14" s="83" customFormat="1" ht="12.75">
      <c r="A1043117" s="19"/>
      <c r="B1043117" s="19"/>
      <c r="C1043117" s="19"/>
      <c r="D1043117" s="19"/>
      <c r="E1043117" s="19"/>
      <c r="F1043117" s="19"/>
      <c r="G1043117" s="19"/>
      <c r="H1043117" s="19"/>
      <c r="I1043117" s="19"/>
      <c r="J1043117" s="19"/>
      <c r="K1043117" s="19"/>
      <c r="L1043117" s="19"/>
      <c r="M1043117" s="19"/>
      <c r="N1043117" s="19"/>
    </row>
    <row r="1043118" spans="1:14" s="83" customFormat="1" ht="12.75">
      <c r="A1043118" s="19"/>
      <c r="B1043118" s="19"/>
      <c r="C1043118" s="19"/>
      <c r="D1043118" s="19"/>
      <c r="E1043118" s="19"/>
      <c r="F1043118" s="19"/>
      <c r="G1043118" s="19"/>
      <c r="H1043118" s="19"/>
      <c r="I1043118" s="19"/>
      <c r="J1043118" s="19"/>
      <c r="K1043118" s="19"/>
      <c r="L1043118" s="19"/>
      <c r="M1043118" s="19"/>
      <c r="N1043118" s="19"/>
    </row>
    <row r="1043119" spans="1:14" s="83" customFormat="1" ht="12.75">
      <c r="A1043119" s="19"/>
      <c r="B1043119" s="19"/>
      <c r="C1043119" s="19"/>
      <c r="D1043119" s="19"/>
      <c r="E1043119" s="19"/>
      <c r="F1043119" s="19"/>
      <c r="G1043119" s="19"/>
      <c r="H1043119" s="19"/>
      <c r="I1043119" s="19"/>
      <c r="J1043119" s="19"/>
      <c r="K1043119" s="19"/>
      <c r="L1043119" s="19"/>
      <c r="M1043119" s="19"/>
      <c r="N1043119" s="19"/>
    </row>
    <row r="1043120" spans="1:14" s="83" customFormat="1" ht="12.75">
      <c r="A1043120" s="19"/>
      <c r="B1043120" s="19"/>
      <c r="C1043120" s="19"/>
      <c r="D1043120" s="19"/>
      <c r="E1043120" s="19"/>
      <c r="F1043120" s="19"/>
      <c r="G1043120" s="19"/>
      <c r="H1043120" s="19"/>
      <c r="I1043120" s="19"/>
      <c r="J1043120" s="19"/>
      <c r="K1043120" s="19"/>
      <c r="L1043120" s="19"/>
      <c r="M1043120" s="19"/>
      <c r="N1043120" s="19"/>
    </row>
    <row r="1043121" spans="1:14" s="83" customFormat="1" ht="12.75">
      <c r="A1043121" s="19"/>
      <c r="B1043121" s="19"/>
      <c r="C1043121" s="19"/>
      <c r="D1043121" s="19"/>
      <c r="E1043121" s="19"/>
      <c r="F1043121" s="19"/>
      <c r="G1043121" s="19"/>
      <c r="H1043121" s="19"/>
      <c r="I1043121" s="19"/>
      <c r="J1043121" s="19"/>
      <c r="K1043121" s="19"/>
      <c r="L1043121" s="19"/>
      <c r="M1043121" s="19"/>
      <c r="N1043121" s="19"/>
    </row>
    <row r="1043122" spans="1:14" s="83" customFormat="1" ht="12.75">
      <c r="A1043122" s="19"/>
      <c r="B1043122" s="19"/>
      <c r="C1043122" s="19"/>
      <c r="D1043122" s="19"/>
      <c r="E1043122" s="19"/>
      <c r="F1043122" s="19"/>
      <c r="G1043122" s="19"/>
      <c r="H1043122" s="19"/>
      <c r="I1043122" s="19"/>
      <c r="J1043122" s="19"/>
      <c r="K1043122" s="19"/>
      <c r="L1043122" s="19"/>
      <c r="M1043122" s="19"/>
      <c r="N1043122" s="19"/>
    </row>
    <row r="1043123" spans="1:14" s="83" customFormat="1" ht="12.75">
      <c r="A1043123" s="19"/>
      <c r="B1043123" s="19"/>
      <c r="C1043123" s="19"/>
      <c r="D1043123" s="19"/>
      <c r="E1043123" s="19"/>
      <c r="F1043123" s="19"/>
      <c r="G1043123" s="19"/>
      <c r="H1043123" s="19"/>
      <c r="I1043123" s="19"/>
      <c r="J1043123" s="19"/>
      <c r="K1043123" s="19"/>
      <c r="L1043123" s="19"/>
      <c r="M1043123" s="19"/>
      <c r="N1043123" s="19"/>
    </row>
    <row r="1043124" spans="1:14" s="83" customFormat="1" ht="12.75">
      <c r="A1043124" s="19"/>
      <c r="B1043124" s="19"/>
      <c r="C1043124" s="19"/>
      <c r="D1043124" s="19"/>
      <c r="E1043124" s="19"/>
      <c r="F1043124" s="19"/>
      <c r="G1043124" s="19"/>
      <c r="H1043124" s="19"/>
      <c r="I1043124" s="19"/>
      <c r="J1043124" s="19"/>
      <c r="K1043124" s="19"/>
      <c r="L1043124" s="19"/>
      <c r="M1043124" s="19"/>
      <c r="N1043124" s="19"/>
    </row>
    <row r="1043125" spans="1:14" s="83" customFormat="1" ht="12.75">
      <c r="A1043125" s="19"/>
      <c r="B1043125" s="19"/>
      <c r="C1043125" s="19"/>
      <c r="D1043125" s="19"/>
      <c r="E1043125" s="19"/>
      <c r="F1043125" s="19"/>
      <c r="G1043125" s="19"/>
      <c r="H1043125" s="19"/>
      <c r="I1043125" s="19"/>
      <c r="J1043125" s="19"/>
      <c r="K1043125" s="19"/>
      <c r="L1043125" s="19"/>
      <c r="M1043125" s="19"/>
      <c r="N1043125" s="19"/>
    </row>
    <row r="1043126" spans="1:14" s="83" customFormat="1" ht="12.75">
      <c r="A1043126" s="19"/>
      <c r="B1043126" s="19"/>
      <c r="C1043126" s="19"/>
      <c r="D1043126" s="19"/>
      <c r="E1043126" s="19"/>
      <c r="F1043126" s="19"/>
      <c r="G1043126" s="19"/>
      <c r="H1043126" s="19"/>
      <c r="I1043126" s="19"/>
      <c r="J1043126" s="19"/>
      <c r="K1043126" s="19"/>
      <c r="L1043126" s="19"/>
      <c r="M1043126" s="19"/>
      <c r="N1043126" s="19"/>
    </row>
    <row r="1043127" spans="1:14" s="83" customFormat="1" ht="12.75">
      <c r="A1043127" s="19"/>
      <c r="B1043127" s="19"/>
      <c r="C1043127" s="19"/>
      <c r="D1043127" s="19"/>
      <c r="E1043127" s="19"/>
      <c r="F1043127" s="19"/>
      <c r="G1043127" s="19"/>
      <c r="H1043127" s="19"/>
      <c r="I1043127" s="19"/>
      <c r="J1043127" s="19"/>
      <c r="K1043127" s="19"/>
      <c r="L1043127" s="19"/>
      <c r="M1043127" s="19"/>
      <c r="N1043127" s="19"/>
    </row>
    <row r="1043128" spans="1:14" s="83" customFormat="1" ht="12.75">
      <c r="A1043128" s="19"/>
      <c r="B1043128" s="19"/>
      <c r="C1043128" s="19"/>
      <c r="D1043128" s="19"/>
      <c r="E1043128" s="19"/>
      <c r="F1043128" s="19"/>
      <c r="G1043128" s="19"/>
      <c r="H1043128" s="19"/>
      <c r="I1043128" s="19"/>
      <c r="J1043128" s="19"/>
      <c r="K1043128" s="19"/>
      <c r="L1043128" s="19"/>
      <c r="M1043128" s="19"/>
      <c r="N1043128" s="19"/>
    </row>
    <row r="1043129" spans="1:14" s="83" customFormat="1" ht="12.75">
      <c r="A1043129" s="19"/>
      <c r="B1043129" s="19"/>
      <c r="C1043129" s="19"/>
      <c r="D1043129" s="19"/>
      <c r="E1043129" s="19"/>
      <c r="F1043129" s="19"/>
      <c r="G1043129" s="19"/>
      <c r="H1043129" s="19"/>
      <c r="I1043129" s="19"/>
      <c r="J1043129" s="19"/>
      <c r="K1043129" s="19"/>
      <c r="L1043129" s="19"/>
      <c r="M1043129" s="19"/>
      <c r="N1043129" s="19"/>
    </row>
    <row r="1043130" spans="1:14" s="83" customFormat="1" ht="12.75">
      <c r="A1043130" s="19"/>
      <c r="B1043130" s="19"/>
      <c r="C1043130" s="19"/>
      <c r="D1043130" s="19"/>
      <c r="E1043130" s="19"/>
      <c r="F1043130" s="19"/>
      <c r="G1043130" s="19"/>
      <c r="H1043130" s="19"/>
      <c r="I1043130" s="19"/>
      <c r="J1043130" s="19"/>
      <c r="K1043130" s="19"/>
      <c r="L1043130" s="19"/>
      <c r="M1043130" s="19"/>
      <c r="N1043130" s="19"/>
    </row>
    <row r="1043131" spans="1:14" s="83" customFormat="1" ht="12.75">
      <c r="A1043131" s="19"/>
      <c r="B1043131" s="19"/>
      <c r="C1043131" s="19"/>
      <c r="D1043131" s="19"/>
      <c r="E1043131" s="19"/>
      <c r="F1043131" s="19"/>
      <c r="G1043131" s="19"/>
      <c r="H1043131" s="19"/>
      <c r="I1043131" s="19"/>
      <c r="J1043131" s="19"/>
      <c r="K1043131" s="19"/>
      <c r="L1043131" s="19"/>
      <c r="M1043131" s="19"/>
      <c r="N1043131" s="19"/>
    </row>
    <row r="1043132" spans="1:14" s="83" customFormat="1" ht="12.75">
      <c r="A1043132" s="19"/>
      <c r="B1043132" s="19"/>
      <c r="C1043132" s="19"/>
      <c r="D1043132" s="19"/>
      <c r="E1043132" s="19"/>
      <c r="F1043132" s="19"/>
      <c r="G1043132" s="19"/>
      <c r="H1043132" s="19"/>
      <c r="I1043132" s="19"/>
      <c r="J1043132" s="19"/>
      <c r="K1043132" s="19"/>
      <c r="L1043132" s="19"/>
      <c r="M1043132" s="19"/>
      <c r="N1043132" s="19"/>
    </row>
    <row r="1043133" spans="1:14" s="83" customFormat="1" ht="12.75">
      <c r="A1043133" s="19"/>
      <c r="B1043133" s="19"/>
      <c r="C1043133" s="19"/>
      <c r="D1043133" s="19"/>
      <c r="E1043133" s="19"/>
      <c r="F1043133" s="19"/>
      <c r="G1043133" s="19"/>
      <c r="H1043133" s="19"/>
      <c r="I1043133" s="19"/>
      <c r="J1043133" s="19"/>
      <c r="K1043133" s="19"/>
      <c r="L1043133" s="19"/>
      <c r="M1043133" s="19"/>
      <c r="N1043133" s="19"/>
    </row>
    <row r="1043134" spans="1:14" s="83" customFormat="1" ht="12.75">
      <c r="A1043134" s="19"/>
      <c r="B1043134" s="19"/>
      <c r="C1043134" s="19"/>
      <c r="D1043134" s="19"/>
      <c r="E1043134" s="19"/>
      <c r="F1043134" s="19"/>
      <c r="G1043134" s="19"/>
      <c r="H1043134" s="19"/>
      <c r="I1043134" s="19"/>
      <c r="J1043134" s="19"/>
      <c r="K1043134" s="19"/>
      <c r="L1043134" s="19"/>
      <c r="M1043134" s="19"/>
      <c r="N1043134" s="19"/>
    </row>
    <row r="1043135" spans="1:14" s="83" customFormat="1" ht="12.75">
      <c r="A1043135" s="19"/>
      <c r="B1043135" s="19"/>
      <c r="C1043135" s="19"/>
      <c r="D1043135" s="19"/>
      <c r="E1043135" s="19"/>
      <c r="F1043135" s="19"/>
      <c r="G1043135" s="19"/>
      <c r="H1043135" s="19"/>
      <c r="I1043135" s="19"/>
      <c r="J1043135" s="19"/>
      <c r="K1043135" s="19"/>
      <c r="L1043135" s="19"/>
      <c r="M1043135" s="19"/>
      <c r="N1043135" s="19"/>
    </row>
    <row r="1043136" spans="1:14" s="83" customFormat="1" ht="12.75">
      <c r="A1043136" s="19"/>
      <c r="B1043136" s="19"/>
      <c r="C1043136" s="19"/>
      <c r="D1043136" s="19"/>
      <c r="E1043136" s="19"/>
      <c r="F1043136" s="19"/>
      <c r="G1043136" s="19"/>
      <c r="H1043136" s="19"/>
      <c r="I1043136" s="19"/>
      <c r="J1043136" s="19"/>
      <c r="K1043136" s="19"/>
      <c r="L1043136" s="19"/>
      <c r="M1043136" s="19"/>
      <c r="N1043136" s="19"/>
    </row>
    <row r="1043137" spans="1:14" s="83" customFormat="1" ht="12.75">
      <c r="A1043137" s="19"/>
      <c r="B1043137" s="19"/>
      <c r="C1043137" s="19"/>
      <c r="D1043137" s="19"/>
      <c r="E1043137" s="19"/>
      <c r="F1043137" s="19"/>
      <c r="G1043137" s="19"/>
      <c r="H1043137" s="19"/>
      <c r="I1043137" s="19"/>
      <c r="J1043137" s="19"/>
      <c r="K1043137" s="19"/>
      <c r="L1043137" s="19"/>
      <c r="M1043137" s="19"/>
      <c r="N1043137" s="19"/>
    </row>
    <row r="1043138" spans="1:14" s="83" customFormat="1" ht="12.75">
      <c r="A1043138" s="19"/>
      <c r="B1043138" s="19"/>
      <c r="C1043138" s="19"/>
      <c r="D1043138" s="19"/>
      <c r="E1043138" s="19"/>
      <c r="F1043138" s="19"/>
      <c r="G1043138" s="19"/>
      <c r="H1043138" s="19"/>
      <c r="I1043138" s="19"/>
      <c r="J1043138" s="19"/>
      <c r="K1043138" s="19"/>
      <c r="L1043138" s="19"/>
      <c r="M1043138" s="19"/>
      <c r="N1043138" s="19"/>
    </row>
    <row r="1043139" spans="1:14" s="83" customFormat="1" ht="12.75">
      <c r="A1043139" s="19"/>
      <c r="B1043139" s="19"/>
      <c r="C1043139" s="19"/>
      <c r="D1043139" s="19"/>
      <c r="E1043139" s="19"/>
      <c r="F1043139" s="19"/>
      <c r="G1043139" s="19"/>
      <c r="H1043139" s="19"/>
      <c r="I1043139" s="19"/>
      <c r="J1043139" s="19"/>
      <c r="K1043139" s="19"/>
      <c r="L1043139" s="19"/>
      <c r="M1043139" s="19"/>
      <c r="N1043139" s="19"/>
    </row>
    <row r="1043140" spans="1:14" s="83" customFormat="1" ht="12.75">
      <c r="A1043140" s="19"/>
      <c r="B1043140" s="19"/>
      <c r="C1043140" s="19"/>
      <c r="D1043140" s="19"/>
      <c r="E1043140" s="19"/>
      <c r="F1043140" s="19"/>
      <c r="G1043140" s="19"/>
      <c r="H1043140" s="19"/>
      <c r="I1043140" s="19"/>
      <c r="J1043140" s="19"/>
      <c r="K1043140" s="19"/>
      <c r="L1043140" s="19"/>
      <c r="M1043140" s="19"/>
      <c r="N1043140" s="19"/>
    </row>
    <row r="1043141" spans="1:14" s="83" customFormat="1" ht="12.75">
      <c r="A1043141" s="19"/>
      <c r="B1043141" s="19"/>
      <c r="C1043141" s="19"/>
      <c r="D1043141" s="19"/>
      <c r="E1043141" s="19"/>
      <c r="F1043141" s="19"/>
      <c r="G1043141" s="19"/>
      <c r="H1043141" s="19"/>
      <c r="I1043141" s="19"/>
      <c r="J1043141" s="19"/>
      <c r="K1043141" s="19"/>
      <c r="L1043141" s="19"/>
      <c r="M1043141" s="19"/>
      <c r="N1043141" s="19"/>
    </row>
    <row r="1043142" spans="1:14" s="83" customFormat="1" ht="12.75">
      <c r="A1043142" s="19"/>
      <c r="B1043142" s="19"/>
      <c r="C1043142" s="19"/>
      <c r="D1043142" s="19"/>
      <c r="E1043142" s="19"/>
      <c r="F1043142" s="19"/>
      <c r="G1043142" s="19"/>
      <c r="H1043142" s="19"/>
      <c r="I1043142" s="19"/>
      <c r="J1043142" s="19"/>
      <c r="K1043142" s="19"/>
      <c r="L1043142" s="19"/>
      <c r="M1043142" s="19"/>
      <c r="N1043142" s="19"/>
    </row>
    <row r="1043143" spans="1:14" s="83" customFormat="1" ht="12.75">
      <c r="A1043143" s="19"/>
      <c r="B1043143" s="19"/>
      <c r="C1043143" s="19"/>
      <c r="D1043143" s="19"/>
      <c r="E1043143" s="19"/>
      <c r="F1043143" s="19"/>
      <c r="G1043143" s="19"/>
      <c r="H1043143" s="19"/>
      <c r="I1043143" s="19"/>
      <c r="J1043143" s="19"/>
      <c r="K1043143" s="19"/>
      <c r="L1043143" s="19"/>
      <c r="M1043143" s="19"/>
      <c r="N1043143" s="19"/>
    </row>
    <row r="1043144" spans="1:14" s="83" customFormat="1" ht="12.75">
      <c r="A1043144" s="19"/>
      <c r="B1043144" s="19"/>
      <c r="C1043144" s="19"/>
      <c r="D1043144" s="19"/>
      <c r="E1043144" s="19"/>
      <c r="F1043144" s="19"/>
      <c r="G1043144" s="19"/>
      <c r="H1043144" s="19"/>
      <c r="I1043144" s="19"/>
      <c r="J1043144" s="19"/>
      <c r="K1043144" s="19"/>
      <c r="L1043144" s="19"/>
      <c r="M1043144" s="19"/>
      <c r="N1043144" s="19"/>
    </row>
    <row r="1043145" spans="1:14" s="83" customFormat="1" ht="12.75">
      <c r="A1043145" s="19"/>
      <c r="B1043145" s="19"/>
      <c r="C1043145" s="19"/>
      <c r="D1043145" s="19"/>
      <c r="E1043145" s="19"/>
      <c r="F1043145" s="19"/>
      <c r="G1043145" s="19"/>
      <c r="H1043145" s="19"/>
      <c r="I1043145" s="19"/>
      <c r="J1043145" s="19"/>
      <c r="K1043145" s="19"/>
      <c r="L1043145" s="19"/>
      <c r="M1043145" s="19"/>
      <c r="N1043145" s="19"/>
    </row>
    <row r="1043146" spans="1:14" s="83" customFormat="1" ht="12.75">
      <c r="A1043146" s="19"/>
      <c r="B1043146" s="19"/>
      <c r="C1043146" s="19"/>
      <c r="D1043146" s="19"/>
      <c r="E1043146" s="19"/>
      <c r="F1043146" s="19"/>
      <c r="G1043146" s="19"/>
      <c r="H1043146" s="19"/>
      <c r="I1043146" s="19"/>
      <c r="J1043146" s="19"/>
      <c r="K1043146" s="19"/>
      <c r="L1043146" s="19"/>
      <c r="M1043146" s="19"/>
      <c r="N1043146" s="19"/>
    </row>
    <row r="1043147" spans="1:14" s="83" customFormat="1" ht="12.75">
      <c r="A1043147" s="19"/>
      <c r="B1043147" s="19"/>
      <c r="C1043147" s="19"/>
      <c r="D1043147" s="19"/>
      <c r="E1043147" s="19"/>
      <c r="F1043147" s="19"/>
      <c r="G1043147" s="19"/>
      <c r="H1043147" s="19"/>
      <c r="I1043147" s="19"/>
      <c r="J1043147" s="19"/>
      <c r="K1043147" s="19"/>
      <c r="L1043147" s="19"/>
      <c r="M1043147" s="19"/>
      <c r="N1043147" s="19"/>
    </row>
    <row r="1043148" spans="1:14" s="83" customFormat="1" ht="12.75">
      <c r="A1043148" s="19"/>
      <c r="B1043148" s="19"/>
      <c r="C1043148" s="19"/>
      <c r="D1043148" s="19"/>
      <c r="E1043148" s="19"/>
      <c r="F1043148" s="19"/>
      <c r="G1043148" s="19"/>
      <c r="H1043148" s="19"/>
      <c r="I1043148" s="19"/>
      <c r="J1043148" s="19"/>
      <c r="K1043148" s="19"/>
      <c r="L1043148" s="19"/>
      <c r="M1043148" s="19"/>
      <c r="N1043148" s="19"/>
    </row>
    <row r="1043149" spans="1:14" s="83" customFormat="1" ht="12.75">
      <c r="A1043149" s="19"/>
      <c r="B1043149" s="19"/>
      <c r="C1043149" s="19"/>
      <c r="D1043149" s="19"/>
      <c r="E1043149" s="19"/>
      <c r="F1043149" s="19"/>
      <c r="G1043149" s="19"/>
      <c r="H1043149" s="19"/>
      <c r="I1043149" s="19"/>
      <c r="J1043149" s="19"/>
      <c r="K1043149" s="19"/>
      <c r="L1043149" s="19"/>
      <c r="M1043149" s="19"/>
      <c r="N1043149" s="19"/>
    </row>
    <row r="1043150" spans="1:14" s="83" customFormat="1" ht="12.75">
      <c r="A1043150" s="19"/>
      <c r="B1043150" s="19"/>
      <c r="C1043150" s="19"/>
      <c r="D1043150" s="19"/>
      <c r="E1043150" s="19"/>
      <c r="F1043150" s="19"/>
      <c r="G1043150" s="19"/>
      <c r="H1043150" s="19"/>
      <c r="I1043150" s="19"/>
      <c r="J1043150" s="19"/>
      <c r="K1043150" s="19"/>
      <c r="L1043150" s="19"/>
      <c r="M1043150" s="19"/>
      <c r="N1043150" s="19"/>
    </row>
    <row r="1043151" spans="1:14" s="83" customFormat="1" ht="12.75">
      <c r="A1043151" s="19"/>
      <c r="B1043151" s="19"/>
      <c r="C1043151" s="19"/>
      <c r="D1043151" s="19"/>
      <c r="E1043151" s="19"/>
      <c r="F1043151" s="19"/>
      <c r="G1043151" s="19"/>
      <c r="H1043151" s="19"/>
      <c r="I1043151" s="19"/>
      <c r="J1043151" s="19"/>
      <c r="K1043151" s="19"/>
      <c r="L1043151" s="19"/>
      <c r="M1043151" s="19"/>
      <c r="N1043151" s="19"/>
    </row>
    <row r="1043152" spans="1:14" s="83" customFormat="1" ht="12.75">
      <c r="A1043152" s="19"/>
      <c r="B1043152" s="19"/>
      <c r="C1043152" s="19"/>
      <c r="D1043152" s="19"/>
      <c r="E1043152" s="19"/>
      <c r="F1043152" s="19"/>
      <c r="G1043152" s="19"/>
      <c r="H1043152" s="19"/>
      <c r="I1043152" s="19"/>
      <c r="J1043152" s="19"/>
      <c r="K1043152" s="19"/>
      <c r="L1043152" s="19"/>
      <c r="M1043152" s="19"/>
      <c r="N1043152" s="19"/>
    </row>
    <row r="1043153" spans="1:14" s="83" customFormat="1" ht="12.75">
      <c r="A1043153" s="19"/>
      <c r="B1043153" s="19"/>
      <c r="C1043153" s="19"/>
      <c r="D1043153" s="19"/>
      <c r="E1043153" s="19"/>
      <c r="F1043153" s="19"/>
      <c r="G1043153" s="19"/>
      <c r="H1043153" s="19"/>
      <c r="I1043153" s="19"/>
      <c r="J1043153" s="19"/>
      <c r="K1043153" s="19"/>
      <c r="L1043153" s="19"/>
      <c r="M1043153" s="19"/>
      <c r="N1043153" s="19"/>
    </row>
    <row r="1043154" spans="1:14" s="83" customFormat="1" ht="12.75">
      <c r="A1043154" s="19"/>
      <c r="B1043154" s="19"/>
      <c r="C1043154" s="19"/>
      <c r="D1043154" s="19"/>
      <c r="E1043154" s="19"/>
      <c r="F1043154" s="19"/>
      <c r="G1043154" s="19"/>
      <c r="H1043154" s="19"/>
      <c r="I1043154" s="19"/>
      <c r="J1043154" s="19"/>
      <c r="K1043154" s="19"/>
      <c r="L1043154" s="19"/>
      <c r="M1043154" s="19"/>
      <c r="N1043154" s="19"/>
    </row>
    <row r="1043155" spans="1:14" s="83" customFormat="1" ht="12.75">
      <c r="A1043155" s="19"/>
      <c r="B1043155" s="19"/>
      <c r="C1043155" s="19"/>
      <c r="D1043155" s="19"/>
      <c r="E1043155" s="19"/>
      <c r="F1043155" s="19"/>
      <c r="G1043155" s="19"/>
      <c r="H1043155" s="19"/>
      <c r="I1043155" s="19"/>
      <c r="J1043155" s="19"/>
      <c r="K1043155" s="19"/>
      <c r="L1043155" s="19"/>
      <c r="M1043155" s="19"/>
      <c r="N1043155" s="19"/>
    </row>
    <row r="1043156" spans="1:14" s="83" customFormat="1" ht="12.75">
      <c r="A1043156" s="19"/>
      <c r="B1043156" s="19"/>
      <c r="C1043156" s="19"/>
      <c r="D1043156" s="19"/>
      <c r="E1043156" s="19"/>
      <c r="F1043156" s="19"/>
      <c r="G1043156" s="19"/>
      <c r="H1043156" s="19"/>
      <c r="I1043156" s="19"/>
      <c r="J1043156" s="19"/>
      <c r="K1043156" s="19"/>
      <c r="L1043156" s="19"/>
      <c r="M1043156" s="19"/>
      <c r="N1043156" s="19"/>
    </row>
    <row r="1043157" spans="1:14" s="83" customFormat="1" ht="12.75">
      <c r="A1043157" s="19"/>
      <c r="B1043157" s="19"/>
      <c r="C1043157" s="19"/>
      <c r="D1043157" s="19"/>
      <c r="E1043157" s="19"/>
      <c r="F1043157" s="19"/>
      <c r="G1043157" s="19"/>
      <c r="H1043157" s="19"/>
      <c r="I1043157" s="19"/>
      <c r="J1043157" s="19"/>
      <c r="K1043157" s="19"/>
      <c r="L1043157" s="19"/>
      <c r="M1043157" s="19"/>
      <c r="N1043157" s="19"/>
    </row>
    <row r="1043158" spans="1:14" s="83" customFormat="1" ht="12.75">
      <c r="A1043158" s="19"/>
      <c r="B1043158" s="19"/>
      <c r="C1043158" s="19"/>
      <c r="D1043158" s="19"/>
      <c r="E1043158" s="19"/>
      <c r="F1043158" s="19"/>
      <c r="G1043158" s="19"/>
      <c r="H1043158" s="19"/>
      <c r="I1043158" s="19"/>
      <c r="J1043158" s="19"/>
      <c r="K1043158" s="19"/>
      <c r="L1043158" s="19"/>
      <c r="M1043158" s="19"/>
      <c r="N1043158" s="19"/>
    </row>
    <row r="1043159" spans="1:14" s="83" customFormat="1" ht="12.75">
      <c r="A1043159" s="19"/>
      <c r="B1043159" s="19"/>
      <c r="C1043159" s="19"/>
      <c r="D1043159" s="19"/>
      <c r="E1043159" s="19"/>
      <c r="F1043159" s="19"/>
      <c r="G1043159" s="19"/>
      <c r="H1043159" s="19"/>
      <c r="I1043159" s="19"/>
      <c r="J1043159" s="19"/>
      <c r="K1043159" s="19"/>
      <c r="L1043159" s="19"/>
      <c r="M1043159" s="19"/>
      <c r="N1043159" s="19"/>
    </row>
    <row r="1043160" spans="1:14" s="83" customFormat="1" ht="12.75">
      <c r="A1043160" s="19"/>
      <c r="B1043160" s="19"/>
      <c r="C1043160" s="19"/>
      <c r="D1043160" s="19"/>
      <c r="E1043160" s="19"/>
      <c r="F1043160" s="19"/>
      <c r="G1043160" s="19"/>
      <c r="H1043160" s="19"/>
      <c r="I1043160" s="19"/>
      <c r="J1043160" s="19"/>
      <c r="K1043160" s="19"/>
      <c r="L1043160" s="19"/>
      <c r="M1043160" s="19"/>
      <c r="N1043160" s="19"/>
    </row>
    <row r="1043161" spans="1:14" s="83" customFormat="1" ht="12.75">
      <c r="A1043161" s="19"/>
      <c r="B1043161" s="19"/>
      <c r="C1043161" s="19"/>
      <c r="D1043161" s="19"/>
      <c r="E1043161" s="19"/>
      <c r="F1043161" s="19"/>
      <c r="G1043161" s="19"/>
      <c r="H1043161" s="19"/>
      <c r="I1043161" s="19"/>
      <c r="J1043161" s="19"/>
      <c r="K1043161" s="19"/>
      <c r="L1043161" s="19"/>
      <c r="M1043161" s="19"/>
      <c r="N1043161" s="19"/>
    </row>
    <row r="1043162" spans="1:14" s="83" customFormat="1" ht="12.75">
      <c r="A1043162" s="19"/>
      <c r="B1043162" s="19"/>
      <c r="C1043162" s="19"/>
      <c r="D1043162" s="19"/>
      <c r="E1043162" s="19"/>
      <c r="F1043162" s="19"/>
      <c r="G1043162" s="19"/>
      <c r="H1043162" s="19"/>
      <c r="I1043162" s="19"/>
      <c r="J1043162" s="19"/>
      <c r="K1043162" s="19"/>
      <c r="L1043162" s="19"/>
      <c r="M1043162" s="19"/>
      <c r="N1043162" s="19"/>
    </row>
    <row r="1043163" spans="1:14" s="83" customFormat="1" ht="12.75">
      <c r="A1043163" s="19"/>
      <c r="B1043163" s="19"/>
      <c r="C1043163" s="19"/>
      <c r="D1043163" s="19"/>
      <c r="E1043163" s="19"/>
      <c r="F1043163" s="19"/>
      <c r="G1043163" s="19"/>
      <c r="H1043163" s="19"/>
      <c r="I1043163" s="19"/>
      <c r="J1043163" s="19"/>
      <c r="K1043163" s="19"/>
      <c r="L1043163" s="19"/>
      <c r="M1043163" s="19"/>
      <c r="N1043163" s="19"/>
    </row>
    <row r="1043164" spans="1:14" s="83" customFormat="1" ht="12.75">
      <c r="A1043164" s="19"/>
      <c r="B1043164" s="19"/>
      <c r="C1043164" s="19"/>
      <c r="D1043164" s="19"/>
      <c r="E1043164" s="19"/>
      <c r="F1043164" s="19"/>
      <c r="G1043164" s="19"/>
      <c r="H1043164" s="19"/>
      <c r="I1043164" s="19"/>
      <c r="J1043164" s="19"/>
      <c r="K1043164" s="19"/>
      <c r="L1043164" s="19"/>
      <c r="M1043164" s="19"/>
      <c r="N1043164" s="19"/>
    </row>
    <row r="1043165" spans="1:14" s="83" customFormat="1" ht="12.75">
      <c r="A1043165" s="19"/>
      <c r="B1043165" s="19"/>
      <c r="C1043165" s="19"/>
      <c r="D1043165" s="19"/>
      <c r="E1043165" s="19"/>
      <c r="F1043165" s="19"/>
      <c r="G1043165" s="19"/>
      <c r="H1043165" s="19"/>
      <c r="I1043165" s="19"/>
      <c r="J1043165" s="19"/>
      <c r="K1043165" s="19"/>
      <c r="L1043165" s="19"/>
      <c r="M1043165" s="19"/>
      <c r="N1043165" s="19"/>
    </row>
    <row r="1043166" spans="1:14" s="83" customFormat="1" ht="12.75">
      <c r="A1043166" s="19"/>
      <c r="B1043166" s="19"/>
      <c r="C1043166" s="19"/>
      <c r="D1043166" s="19"/>
      <c r="E1043166" s="19"/>
      <c r="F1043166" s="19"/>
      <c r="G1043166" s="19"/>
      <c r="H1043166" s="19"/>
      <c r="I1043166" s="19"/>
      <c r="J1043166" s="19"/>
      <c r="K1043166" s="19"/>
      <c r="L1043166" s="19"/>
      <c r="M1043166" s="19"/>
      <c r="N1043166" s="19"/>
    </row>
    <row r="1043167" spans="1:14" s="83" customFormat="1" ht="12.75">
      <c r="A1043167" s="19"/>
      <c r="B1043167" s="19"/>
      <c r="C1043167" s="19"/>
      <c r="D1043167" s="19"/>
      <c r="E1043167" s="19"/>
      <c r="F1043167" s="19"/>
      <c r="G1043167" s="19"/>
      <c r="H1043167" s="19"/>
      <c r="I1043167" s="19"/>
      <c r="J1043167" s="19"/>
      <c r="K1043167" s="19"/>
      <c r="L1043167" s="19"/>
      <c r="M1043167" s="19"/>
      <c r="N1043167" s="19"/>
    </row>
    <row r="1043168" spans="1:14" s="83" customFormat="1" ht="12.75">
      <c r="A1043168" s="19"/>
      <c r="B1043168" s="19"/>
      <c r="C1043168" s="19"/>
      <c r="D1043168" s="19"/>
      <c r="E1043168" s="19"/>
      <c r="F1043168" s="19"/>
      <c r="G1043168" s="19"/>
      <c r="H1043168" s="19"/>
      <c r="I1043168" s="19"/>
      <c r="J1043168" s="19"/>
      <c r="K1043168" s="19"/>
      <c r="L1043168" s="19"/>
      <c r="M1043168" s="19"/>
      <c r="N1043168" s="19"/>
    </row>
    <row r="1043169" spans="1:14" s="83" customFormat="1" ht="12.75">
      <c r="A1043169" s="19"/>
      <c r="B1043169" s="19"/>
      <c r="C1043169" s="19"/>
      <c r="D1043169" s="19"/>
      <c r="E1043169" s="19"/>
      <c r="F1043169" s="19"/>
      <c r="G1043169" s="19"/>
      <c r="H1043169" s="19"/>
      <c r="I1043169" s="19"/>
      <c r="J1043169" s="19"/>
      <c r="K1043169" s="19"/>
      <c r="L1043169" s="19"/>
      <c r="M1043169" s="19"/>
      <c r="N1043169" s="19"/>
    </row>
    <row r="1043170" spans="1:14" s="83" customFormat="1" ht="12.75">
      <c r="A1043170" s="19"/>
      <c r="B1043170" s="19"/>
      <c r="C1043170" s="19"/>
      <c r="D1043170" s="19"/>
      <c r="E1043170" s="19"/>
      <c r="F1043170" s="19"/>
      <c r="G1043170" s="19"/>
      <c r="H1043170" s="19"/>
      <c r="I1043170" s="19"/>
      <c r="J1043170" s="19"/>
      <c r="K1043170" s="19"/>
      <c r="L1043170" s="19"/>
      <c r="M1043170" s="19"/>
      <c r="N1043170" s="19"/>
    </row>
    <row r="1043171" spans="1:14" s="83" customFormat="1" ht="12.75">
      <c r="A1043171" s="19"/>
      <c r="B1043171" s="19"/>
      <c r="C1043171" s="19"/>
      <c r="D1043171" s="19"/>
      <c r="E1043171" s="19"/>
      <c r="F1043171" s="19"/>
      <c r="G1043171" s="19"/>
      <c r="H1043171" s="19"/>
      <c r="I1043171" s="19"/>
      <c r="J1043171" s="19"/>
      <c r="K1043171" s="19"/>
      <c r="L1043171" s="19"/>
      <c r="M1043171" s="19"/>
      <c r="N1043171" s="19"/>
    </row>
    <row r="1043172" spans="1:14" s="83" customFormat="1" ht="12.75">
      <c r="A1043172" s="19"/>
      <c r="B1043172" s="19"/>
      <c r="C1043172" s="19"/>
      <c r="D1043172" s="19"/>
      <c r="E1043172" s="19"/>
      <c r="F1043172" s="19"/>
      <c r="G1043172" s="19"/>
      <c r="H1043172" s="19"/>
      <c r="I1043172" s="19"/>
      <c r="J1043172" s="19"/>
      <c r="K1043172" s="19"/>
      <c r="L1043172" s="19"/>
      <c r="M1043172" s="19"/>
      <c r="N1043172" s="19"/>
    </row>
    <row r="1043173" spans="1:14" s="83" customFormat="1" ht="12.75">
      <c r="A1043173" s="19"/>
      <c r="B1043173" s="19"/>
      <c r="C1043173" s="19"/>
      <c r="D1043173" s="19"/>
      <c r="E1043173" s="19"/>
      <c r="F1043173" s="19"/>
      <c r="G1043173" s="19"/>
      <c r="H1043173" s="19"/>
      <c r="I1043173" s="19"/>
      <c r="J1043173" s="19"/>
      <c r="K1043173" s="19"/>
      <c r="L1043173" s="19"/>
      <c r="M1043173" s="19"/>
      <c r="N1043173" s="19"/>
    </row>
    <row r="1043174" spans="1:14" s="83" customFormat="1" ht="12.75">
      <c r="A1043174" s="19"/>
      <c r="B1043174" s="19"/>
      <c r="C1043174" s="19"/>
      <c r="D1043174" s="19"/>
      <c r="E1043174" s="19"/>
      <c r="F1043174" s="19"/>
      <c r="G1043174" s="19"/>
      <c r="H1043174" s="19"/>
      <c r="I1043174" s="19"/>
      <c r="J1043174" s="19"/>
      <c r="K1043174" s="19"/>
      <c r="L1043174" s="19"/>
      <c r="M1043174" s="19"/>
      <c r="N1043174" s="19"/>
    </row>
    <row r="1043175" spans="1:14" s="83" customFormat="1" ht="12.75">
      <c r="A1043175" s="19"/>
      <c r="B1043175" s="19"/>
      <c r="C1043175" s="19"/>
      <c r="D1043175" s="19"/>
      <c r="E1043175" s="19"/>
      <c r="F1043175" s="19"/>
      <c r="G1043175" s="19"/>
      <c r="H1043175" s="19"/>
      <c r="I1043175" s="19"/>
      <c r="J1043175" s="19"/>
      <c r="K1043175" s="19"/>
      <c r="L1043175" s="19"/>
      <c r="M1043175" s="19"/>
      <c r="N1043175" s="19"/>
    </row>
    <row r="1043176" spans="1:14" s="83" customFormat="1" ht="12.75">
      <c r="A1043176" s="19"/>
      <c r="B1043176" s="19"/>
      <c r="C1043176" s="19"/>
      <c r="D1043176" s="19"/>
      <c r="E1043176" s="19"/>
      <c r="F1043176" s="19"/>
      <c r="G1043176" s="19"/>
      <c r="H1043176" s="19"/>
      <c r="I1043176" s="19"/>
      <c r="J1043176" s="19"/>
      <c r="K1043176" s="19"/>
      <c r="L1043176" s="19"/>
      <c r="M1043176" s="19"/>
      <c r="N1043176" s="19"/>
    </row>
    <row r="1043177" spans="1:14" s="83" customFormat="1" ht="12.75">
      <c r="A1043177" s="19"/>
      <c r="B1043177" s="19"/>
      <c r="C1043177" s="19"/>
      <c r="D1043177" s="19"/>
      <c r="E1043177" s="19"/>
      <c r="F1043177" s="19"/>
      <c r="G1043177" s="19"/>
      <c r="H1043177" s="19"/>
      <c r="I1043177" s="19"/>
      <c r="J1043177" s="19"/>
      <c r="K1043177" s="19"/>
      <c r="L1043177" s="19"/>
      <c r="M1043177" s="19"/>
      <c r="N1043177" s="19"/>
    </row>
    <row r="1043178" spans="1:14" s="83" customFormat="1" ht="12.75">
      <c r="A1043178" s="19"/>
      <c r="B1043178" s="19"/>
      <c r="C1043178" s="19"/>
      <c r="D1043178" s="19"/>
      <c r="E1043178" s="19"/>
      <c r="F1043178" s="19"/>
      <c r="G1043178" s="19"/>
      <c r="H1043178" s="19"/>
      <c r="I1043178" s="19"/>
      <c r="J1043178" s="19"/>
      <c r="K1043178" s="19"/>
      <c r="L1043178" s="19"/>
      <c r="M1043178" s="19"/>
      <c r="N1043178" s="19"/>
    </row>
    <row r="1043179" spans="1:14" s="83" customFormat="1" ht="12.75">
      <c r="A1043179" s="19"/>
      <c r="B1043179" s="19"/>
      <c r="C1043179" s="19"/>
      <c r="D1043179" s="19"/>
      <c r="E1043179" s="19"/>
      <c r="F1043179" s="19"/>
      <c r="G1043179" s="19"/>
      <c r="H1043179" s="19"/>
      <c r="I1043179" s="19"/>
      <c r="J1043179" s="19"/>
      <c r="K1043179" s="19"/>
      <c r="L1043179" s="19"/>
      <c r="M1043179" s="19"/>
      <c r="N1043179" s="19"/>
    </row>
    <row r="1043180" spans="1:14" s="83" customFormat="1" ht="12.75">
      <c r="A1043180" s="19"/>
      <c r="B1043180" s="19"/>
      <c r="C1043180" s="19"/>
      <c r="D1043180" s="19"/>
      <c r="E1043180" s="19"/>
      <c r="F1043180" s="19"/>
      <c r="G1043180" s="19"/>
      <c r="H1043180" s="19"/>
      <c r="I1043180" s="19"/>
      <c r="J1043180" s="19"/>
      <c r="K1043180" s="19"/>
      <c r="L1043180" s="19"/>
      <c r="M1043180" s="19"/>
      <c r="N1043180" s="19"/>
    </row>
    <row r="1043181" spans="1:14" s="83" customFormat="1" ht="12.75">
      <c r="A1043181" s="19"/>
      <c r="B1043181" s="19"/>
      <c r="C1043181" s="19"/>
      <c r="D1043181" s="19"/>
      <c r="E1043181" s="19"/>
      <c r="F1043181" s="19"/>
      <c r="G1043181" s="19"/>
      <c r="H1043181" s="19"/>
      <c r="I1043181" s="19"/>
      <c r="J1043181" s="19"/>
      <c r="K1043181" s="19"/>
      <c r="L1043181" s="19"/>
      <c r="M1043181" s="19"/>
      <c r="N1043181" s="19"/>
    </row>
    <row r="1043182" spans="1:14" s="83" customFormat="1" ht="12.75">
      <c r="A1043182" s="19"/>
      <c r="B1043182" s="19"/>
      <c r="C1043182" s="19"/>
      <c r="D1043182" s="19"/>
      <c r="E1043182" s="19"/>
      <c r="F1043182" s="19"/>
      <c r="G1043182" s="19"/>
      <c r="H1043182" s="19"/>
      <c r="I1043182" s="19"/>
      <c r="J1043182" s="19"/>
      <c r="K1043182" s="19"/>
      <c r="L1043182" s="19"/>
      <c r="M1043182" s="19"/>
      <c r="N1043182" s="19"/>
    </row>
    <row r="1043183" spans="1:14" s="83" customFormat="1" ht="12.75">
      <c r="A1043183" s="19"/>
      <c r="B1043183" s="19"/>
      <c r="C1043183" s="19"/>
      <c r="D1043183" s="19"/>
      <c r="E1043183" s="19"/>
      <c r="F1043183" s="19"/>
      <c r="G1043183" s="19"/>
      <c r="H1043183" s="19"/>
      <c r="I1043183" s="19"/>
      <c r="J1043183" s="19"/>
      <c r="K1043183" s="19"/>
      <c r="L1043183" s="19"/>
      <c r="M1043183" s="19"/>
      <c r="N1043183" s="19"/>
    </row>
    <row r="1043184" spans="1:14" s="83" customFormat="1" ht="12.75">
      <c r="A1043184" s="19"/>
      <c r="B1043184" s="19"/>
      <c r="C1043184" s="19"/>
      <c r="D1043184" s="19"/>
      <c r="E1043184" s="19"/>
      <c r="F1043184" s="19"/>
      <c r="G1043184" s="19"/>
      <c r="H1043184" s="19"/>
      <c r="I1043184" s="19"/>
      <c r="J1043184" s="19"/>
      <c r="K1043184" s="19"/>
      <c r="L1043184" s="19"/>
      <c r="M1043184" s="19"/>
      <c r="N1043184" s="19"/>
    </row>
    <row r="1043185" spans="1:14" s="83" customFormat="1" ht="12.75">
      <c r="A1043185" s="19"/>
      <c r="B1043185" s="19"/>
      <c r="C1043185" s="19"/>
      <c r="D1043185" s="19"/>
      <c r="E1043185" s="19"/>
      <c r="F1043185" s="19"/>
      <c r="G1043185" s="19"/>
      <c r="H1043185" s="19"/>
      <c r="I1043185" s="19"/>
      <c r="J1043185" s="19"/>
      <c r="K1043185" s="19"/>
      <c r="L1043185" s="19"/>
      <c r="M1043185" s="19"/>
      <c r="N1043185" s="19"/>
    </row>
    <row r="1043186" spans="1:14" s="83" customFormat="1" ht="12.75">
      <c r="A1043186" s="19"/>
      <c r="B1043186" s="19"/>
      <c r="C1043186" s="19"/>
      <c r="D1043186" s="19"/>
      <c r="E1043186" s="19"/>
      <c r="F1043186" s="19"/>
      <c r="G1043186" s="19"/>
      <c r="H1043186" s="19"/>
      <c r="I1043186" s="19"/>
      <c r="J1043186" s="19"/>
      <c r="K1043186" s="19"/>
      <c r="L1043186" s="19"/>
      <c r="M1043186" s="19"/>
      <c r="N1043186" s="19"/>
    </row>
    <row r="1043187" spans="1:14" s="83" customFormat="1" ht="12.75">
      <c r="A1043187" s="19"/>
      <c r="B1043187" s="19"/>
      <c r="C1043187" s="19"/>
      <c r="D1043187" s="19"/>
      <c r="E1043187" s="19"/>
      <c r="F1043187" s="19"/>
      <c r="G1043187" s="19"/>
      <c r="H1043187" s="19"/>
      <c r="I1043187" s="19"/>
      <c r="J1043187" s="19"/>
      <c r="K1043187" s="19"/>
      <c r="L1043187" s="19"/>
      <c r="M1043187" s="19"/>
      <c r="N1043187" s="19"/>
    </row>
    <row r="1043188" spans="1:14" s="83" customFormat="1" ht="12.75">
      <c r="A1043188" s="19"/>
      <c r="B1043188" s="19"/>
      <c r="C1043188" s="19"/>
      <c r="D1043188" s="19"/>
      <c r="E1043188" s="19"/>
      <c r="F1043188" s="19"/>
      <c r="G1043188" s="19"/>
      <c r="H1043188" s="19"/>
      <c r="I1043188" s="19"/>
      <c r="J1043188" s="19"/>
      <c r="K1043188" s="19"/>
      <c r="L1043188" s="19"/>
      <c r="M1043188" s="19"/>
      <c r="N1043188" s="19"/>
    </row>
    <row r="1043189" spans="1:14" s="83" customFormat="1" ht="12.75">
      <c r="A1043189" s="19"/>
      <c r="B1043189" s="19"/>
      <c r="C1043189" s="19"/>
      <c r="D1043189" s="19"/>
      <c r="E1043189" s="19"/>
      <c r="F1043189" s="19"/>
      <c r="G1043189" s="19"/>
      <c r="H1043189" s="19"/>
      <c r="I1043189" s="19"/>
      <c r="J1043189" s="19"/>
      <c r="K1043189" s="19"/>
      <c r="L1043189" s="19"/>
      <c r="M1043189" s="19"/>
      <c r="N1043189" s="19"/>
    </row>
    <row r="1043190" spans="1:14" s="83" customFormat="1" ht="12.75">
      <c r="A1043190" s="19"/>
      <c r="B1043190" s="19"/>
      <c r="C1043190" s="19"/>
      <c r="D1043190" s="19"/>
      <c r="E1043190" s="19"/>
      <c r="F1043190" s="19"/>
      <c r="G1043190" s="19"/>
      <c r="H1043190" s="19"/>
      <c r="I1043190" s="19"/>
      <c r="J1043190" s="19"/>
      <c r="K1043190" s="19"/>
      <c r="L1043190" s="19"/>
      <c r="M1043190" s="19"/>
      <c r="N1043190" s="19"/>
    </row>
    <row r="1043191" spans="1:14" s="83" customFormat="1" ht="12.75">
      <c r="A1043191" s="19"/>
      <c r="B1043191" s="19"/>
      <c r="C1043191" s="19"/>
      <c r="D1043191" s="19"/>
      <c r="E1043191" s="19"/>
      <c r="F1043191" s="19"/>
      <c r="G1043191" s="19"/>
      <c r="H1043191" s="19"/>
      <c r="I1043191" s="19"/>
      <c r="J1043191" s="19"/>
      <c r="K1043191" s="19"/>
      <c r="L1043191" s="19"/>
      <c r="M1043191" s="19"/>
      <c r="N1043191" s="19"/>
    </row>
    <row r="1043192" spans="1:14" s="83" customFormat="1" ht="12.75">
      <c r="A1043192" s="19"/>
      <c r="B1043192" s="19"/>
      <c r="C1043192" s="19"/>
      <c r="D1043192" s="19"/>
      <c r="E1043192" s="19"/>
      <c r="F1043192" s="19"/>
      <c r="G1043192" s="19"/>
      <c r="H1043192" s="19"/>
      <c r="I1043192" s="19"/>
      <c r="J1043192" s="19"/>
      <c r="K1043192" s="19"/>
      <c r="L1043192" s="19"/>
      <c r="M1043192" s="19"/>
      <c r="N1043192" s="19"/>
    </row>
    <row r="1043193" spans="1:14" s="83" customFormat="1" ht="12.75">
      <c r="A1043193" s="19"/>
      <c r="B1043193" s="19"/>
      <c r="C1043193" s="19"/>
      <c r="D1043193" s="19"/>
      <c r="E1043193" s="19"/>
      <c r="F1043193" s="19"/>
      <c r="G1043193" s="19"/>
      <c r="H1043193" s="19"/>
      <c r="I1043193" s="19"/>
      <c r="J1043193" s="19"/>
      <c r="K1043193" s="19"/>
      <c r="L1043193" s="19"/>
      <c r="M1043193" s="19"/>
      <c r="N1043193" s="19"/>
    </row>
    <row r="1043194" spans="1:14" s="83" customFormat="1" ht="12.75">
      <c r="A1043194" s="19"/>
      <c r="B1043194" s="19"/>
      <c r="C1043194" s="19"/>
      <c r="D1043194" s="19"/>
      <c r="E1043194" s="19"/>
      <c r="F1043194" s="19"/>
      <c r="G1043194" s="19"/>
      <c r="H1043194" s="19"/>
      <c r="I1043194" s="19"/>
      <c r="J1043194" s="19"/>
      <c r="K1043194" s="19"/>
      <c r="L1043194" s="19"/>
      <c r="M1043194" s="19"/>
      <c r="N1043194" s="19"/>
    </row>
    <row r="1043195" spans="1:14" s="83" customFormat="1" ht="12.75">
      <c r="A1043195" s="19"/>
      <c r="B1043195" s="19"/>
      <c r="C1043195" s="19"/>
      <c r="D1043195" s="19"/>
      <c r="E1043195" s="19"/>
      <c r="F1043195" s="19"/>
      <c r="G1043195" s="19"/>
      <c r="H1043195" s="19"/>
      <c r="I1043195" s="19"/>
      <c r="J1043195" s="19"/>
      <c r="K1043195" s="19"/>
      <c r="L1043195" s="19"/>
      <c r="M1043195" s="19"/>
      <c r="N1043195" s="19"/>
    </row>
    <row r="1043196" spans="1:14" s="83" customFormat="1" ht="12.75">
      <c r="A1043196" s="19"/>
      <c r="B1043196" s="19"/>
      <c r="C1043196" s="19"/>
      <c r="D1043196" s="19"/>
      <c r="E1043196" s="19"/>
      <c r="F1043196" s="19"/>
      <c r="G1043196" s="19"/>
      <c r="H1043196" s="19"/>
      <c r="I1043196" s="19"/>
      <c r="J1043196" s="19"/>
      <c r="K1043196" s="19"/>
      <c r="L1043196" s="19"/>
      <c r="M1043196" s="19"/>
      <c r="N1043196" s="19"/>
    </row>
    <row r="1043197" spans="1:14" s="83" customFormat="1" ht="12.75">
      <c r="A1043197" s="19"/>
      <c r="B1043197" s="19"/>
      <c r="C1043197" s="19"/>
      <c r="D1043197" s="19"/>
      <c r="E1043197" s="19"/>
      <c r="F1043197" s="19"/>
      <c r="G1043197" s="19"/>
      <c r="H1043197" s="19"/>
      <c r="I1043197" s="19"/>
      <c r="J1043197" s="19"/>
      <c r="K1043197" s="19"/>
      <c r="L1043197" s="19"/>
      <c r="M1043197" s="19"/>
      <c r="N1043197" s="19"/>
    </row>
    <row r="1043198" spans="1:14" s="83" customFormat="1" ht="12.75">
      <c r="A1043198" s="19"/>
      <c r="B1043198" s="19"/>
      <c r="C1043198" s="19"/>
      <c r="D1043198" s="19"/>
      <c r="E1043198" s="19"/>
      <c r="F1043198" s="19"/>
      <c r="G1043198" s="19"/>
      <c r="H1043198" s="19"/>
      <c r="I1043198" s="19"/>
      <c r="J1043198" s="19"/>
      <c r="K1043198" s="19"/>
      <c r="L1043198" s="19"/>
      <c r="M1043198" s="19"/>
      <c r="N1043198" s="19"/>
    </row>
    <row r="1043199" spans="1:14" s="83" customFormat="1" ht="12.75">
      <c r="A1043199" s="19"/>
      <c r="B1043199" s="19"/>
      <c r="C1043199" s="19"/>
      <c r="D1043199" s="19"/>
      <c r="E1043199" s="19"/>
      <c r="F1043199" s="19"/>
      <c r="G1043199" s="19"/>
      <c r="H1043199" s="19"/>
      <c r="I1043199" s="19"/>
      <c r="J1043199" s="19"/>
      <c r="K1043199" s="19"/>
      <c r="L1043199" s="19"/>
      <c r="M1043199" s="19"/>
      <c r="N1043199" s="19"/>
    </row>
    <row r="1043200" spans="1:14" s="83" customFormat="1" ht="12.75">
      <c r="A1043200" s="19"/>
      <c r="B1043200" s="19"/>
      <c r="C1043200" s="19"/>
      <c r="D1043200" s="19"/>
      <c r="E1043200" s="19"/>
      <c r="F1043200" s="19"/>
      <c r="G1043200" s="19"/>
      <c r="H1043200" s="19"/>
      <c r="I1043200" s="19"/>
      <c r="J1043200" s="19"/>
      <c r="K1043200" s="19"/>
      <c r="L1043200" s="19"/>
      <c r="M1043200" s="19"/>
      <c r="N1043200" s="19"/>
    </row>
    <row r="1043201" spans="1:14" s="83" customFormat="1" ht="12.75">
      <c r="A1043201" s="19"/>
      <c r="B1043201" s="19"/>
      <c r="C1043201" s="19"/>
      <c r="D1043201" s="19"/>
      <c r="E1043201" s="19"/>
      <c r="F1043201" s="19"/>
      <c r="G1043201" s="19"/>
      <c r="H1043201" s="19"/>
      <c r="I1043201" s="19"/>
      <c r="J1043201" s="19"/>
      <c r="K1043201" s="19"/>
      <c r="L1043201" s="19"/>
      <c r="M1043201" s="19"/>
      <c r="N1043201" s="19"/>
    </row>
    <row r="1043202" spans="1:14" s="83" customFormat="1" ht="12.75">
      <c r="A1043202" s="19"/>
      <c r="B1043202" s="19"/>
      <c r="C1043202" s="19"/>
      <c r="D1043202" s="19"/>
      <c r="E1043202" s="19"/>
      <c r="F1043202" s="19"/>
      <c r="G1043202" s="19"/>
      <c r="H1043202" s="19"/>
      <c r="I1043202" s="19"/>
      <c r="J1043202" s="19"/>
      <c r="K1043202" s="19"/>
      <c r="L1043202" s="19"/>
      <c r="M1043202" s="19"/>
      <c r="N1043202" s="19"/>
    </row>
    <row r="1043203" spans="1:14" s="83" customFormat="1" ht="12.75">
      <c r="A1043203" s="19"/>
      <c r="B1043203" s="19"/>
      <c r="C1043203" s="19"/>
      <c r="D1043203" s="19"/>
      <c r="E1043203" s="19"/>
      <c r="F1043203" s="19"/>
      <c r="G1043203" s="19"/>
      <c r="H1043203" s="19"/>
      <c r="I1043203" s="19"/>
      <c r="J1043203" s="19"/>
      <c r="K1043203" s="19"/>
      <c r="L1043203" s="19"/>
      <c r="M1043203" s="19"/>
      <c r="N1043203" s="19"/>
    </row>
    <row r="1043204" spans="1:14" s="83" customFormat="1" ht="12.75">
      <c r="A1043204" s="19"/>
      <c r="B1043204" s="19"/>
      <c r="C1043204" s="19"/>
      <c r="D1043204" s="19"/>
      <c r="E1043204" s="19"/>
      <c r="F1043204" s="19"/>
      <c r="G1043204" s="19"/>
      <c r="H1043204" s="19"/>
      <c r="I1043204" s="19"/>
      <c r="J1043204" s="19"/>
      <c r="K1043204" s="19"/>
      <c r="L1043204" s="19"/>
      <c r="M1043204" s="19"/>
      <c r="N1043204" s="19"/>
    </row>
    <row r="1043205" spans="1:14" s="83" customFormat="1" ht="12.75">
      <c r="A1043205" s="19"/>
      <c r="B1043205" s="19"/>
      <c r="C1043205" s="19"/>
      <c r="D1043205" s="19"/>
      <c r="E1043205" s="19"/>
      <c r="F1043205" s="19"/>
      <c r="G1043205" s="19"/>
      <c r="H1043205" s="19"/>
      <c r="I1043205" s="19"/>
      <c r="J1043205" s="19"/>
      <c r="K1043205" s="19"/>
      <c r="L1043205" s="19"/>
      <c r="M1043205" s="19"/>
      <c r="N1043205" s="19"/>
    </row>
    <row r="1043206" spans="1:14" s="83" customFormat="1" ht="12.75">
      <c r="A1043206" s="19"/>
      <c r="B1043206" s="19"/>
      <c r="C1043206" s="19"/>
      <c r="D1043206" s="19"/>
      <c r="E1043206" s="19"/>
      <c r="F1043206" s="19"/>
      <c r="G1043206" s="19"/>
      <c r="H1043206" s="19"/>
      <c r="I1043206" s="19"/>
      <c r="J1043206" s="19"/>
      <c r="K1043206" s="19"/>
      <c r="L1043206" s="19"/>
      <c r="M1043206" s="19"/>
      <c r="N1043206" s="19"/>
    </row>
    <row r="1043207" spans="1:14" s="83" customFormat="1" ht="12.75">
      <c r="A1043207" s="19"/>
      <c r="B1043207" s="19"/>
      <c r="C1043207" s="19"/>
      <c r="D1043207" s="19"/>
      <c r="E1043207" s="19"/>
      <c r="F1043207" s="19"/>
      <c r="G1043207" s="19"/>
      <c r="H1043207" s="19"/>
      <c r="I1043207" s="19"/>
      <c r="J1043207" s="19"/>
      <c r="K1043207" s="19"/>
      <c r="L1043207" s="19"/>
      <c r="M1043207" s="19"/>
      <c r="N1043207" s="19"/>
    </row>
    <row r="1043208" spans="1:14" s="83" customFormat="1" ht="12.75">
      <c r="A1043208" s="19"/>
      <c r="B1043208" s="19"/>
      <c r="C1043208" s="19"/>
      <c r="D1043208" s="19"/>
      <c r="E1043208" s="19"/>
      <c r="F1043208" s="19"/>
      <c r="G1043208" s="19"/>
      <c r="H1043208" s="19"/>
      <c r="I1043208" s="19"/>
      <c r="J1043208" s="19"/>
      <c r="K1043208" s="19"/>
      <c r="L1043208" s="19"/>
      <c r="M1043208" s="19"/>
      <c r="N1043208" s="19"/>
    </row>
    <row r="1043209" spans="1:14" s="83" customFormat="1" ht="12.75">
      <c r="A1043209" s="19"/>
      <c r="B1043209" s="19"/>
      <c r="C1043209" s="19"/>
      <c r="D1043209" s="19"/>
      <c r="E1043209" s="19"/>
      <c r="F1043209" s="19"/>
      <c r="G1043209" s="19"/>
      <c r="H1043209" s="19"/>
      <c r="I1043209" s="19"/>
      <c r="J1043209" s="19"/>
      <c r="K1043209" s="19"/>
      <c r="L1043209" s="19"/>
      <c r="M1043209" s="19"/>
      <c r="N1043209" s="19"/>
    </row>
    <row r="1043210" spans="1:14" s="83" customFormat="1" ht="12.75">
      <c r="A1043210" s="19"/>
      <c r="B1043210" s="19"/>
      <c r="C1043210" s="19"/>
      <c r="D1043210" s="19"/>
      <c r="E1043210" s="19"/>
      <c r="F1043210" s="19"/>
      <c r="G1043210" s="19"/>
      <c r="H1043210" s="19"/>
      <c r="I1043210" s="19"/>
      <c r="J1043210" s="19"/>
      <c r="K1043210" s="19"/>
      <c r="L1043210" s="19"/>
      <c r="M1043210" s="19"/>
      <c r="N1043210" s="19"/>
    </row>
    <row r="1043211" spans="1:14" s="83" customFormat="1" ht="12.75">
      <c r="A1043211" s="19"/>
      <c r="B1043211" s="19"/>
      <c r="C1043211" s="19"/>
      <c r="D1043211" s="19"/>
      <c r="E1043211" s="19"/>
      <c r="F1043211" s="19"/>
      <c r="G1043211" s="19"/>
      <c r="H1043211" s="19"/>
      <c r="I1043211" s="19"/>
      <c r="J1043211" s="19"/>
      <c r="K1043211" s="19"/>
      <c r="L1043211" s="19"/>
      <c r="M1043211" s="19"/>
      <c r="N1043211" s="19"/>
    </row>
    <row r="1043212" spans="1:14" s="83" customFormat="1" ht="12.75">
      <c r="A1043212" s="19"/>
      <c r="B1043212" s="19"/>
      <c r="C1043212" s="19"/>
      <c r="D1043212" s="19"/>
      <c r="E1043212" s="19"/>
      <c r="F1043212" s="19"/>
      <c r="G1043212" s="19"/>
      <c r="H1043212" s="19"/>
      <c r="I1043212" s="19"/>
      <c r="J1043212" s="19"/>
      <c r="K1043212" s="19"/>
      <c r="L1043212" s="19"/>
      <c r="M1043212" s="19"/>
      <c r="N1043212" s="19"/>
    </row>
    <row r="1043213" spans="1:14" s="83" customFormat="1" ht="12.75">
      <c r="A1043213" s="19"/>
      <c r="B1043213" s="19"/>
      <c r="C1043213" s="19"/>
      <c r="D1043213" s="19"/>
      <c r="E1043213" s="19"/>
      <c r="F1043213" s="19"/>
      <c r="G1043213" s="19"/>
      <c r="H1043213" s="19"/>
      <c r="I1043213" s="19"/>
      <c r="J1043213" s="19"/>
      <c r="K1043213" s="19"/>
      <c r="L1043213" s="19"/>
      <c r="M1043213" s="19"/>
      <c r="N1043213" s="19"/>
    </row>
    <row r="1043214" spans="1:14" s="83" customFormat="1" ht="12.75">
      <c r="A1043214" s="19"/>
      <c r="B1043214" s="19"/>
      <c r="C1043214" s="19"/>
      <c r="D1043214" s="19"/>
      <c r="E1043214" s="19"/>
      <c r="F1043214" s="19"/>
      <c r="G1043214" s="19"/>
      <c r="H1043214" s="19"/>
      <c r="I1043214" s="19"/>
      <c r="J1043214" s="19"/>
      <c r="K1043214" s="19"/>
      <c r="L1043214" s="19"/>
      <c r="M1043214" s="19"/>
      <c r="N1043214" s="19"/>
    </row>
    <row r="1043215" spans="1:14" s="83" customFormat="1" ht="12.75">
      <c r="A1043215" s="19"/>
      <c r="B1043215" s="19"/>
      <c r="C1043215" s="19"/>
      <c r="D1043215" s="19"/>
      <c r="E1043215" s="19"/>
      <c r="F1043215" s="19"/>
      <c r="G1043215" s="19"/>
      <c r="H1043215" s="19"/>
      <c r="I1043215" s="19"/>
      <c r="J1043215" s="19"/>
      <c r="K1043215" s="19"/>
      <c r="L1043215" s="19"/>
      <c r="M1043215" s="19"/>
      <c r="N1043215" s="19"/>
    </row>
    <row r="1043216" spans="1:14" s="83" customFormat="1" ht="12.75">
      <c r="A1043216" s="19"/>
      <c r="B1043216" s="19"/>
      <c r="C1043216" s="19"/>
      <c r="D1043216" s="19"/>
      <c r="E1043216" s="19"/>
      <c r="F1043216" s="19"/>
      <c r="G1043216" s="19"/>
      <c r="H1043216" s="19"/>
      <c r="I1043216" s="19"/>
      <c r="J1043216" s="19"/>
      <c r="K1043216" s="19"/>
      <c r="L1043216" s="19"/>
      <c r="M1043216" s="19"/>
      <c r="N1043216" s="19"/>
    </row>
    <row r="1043217" spans="1:14" s="83" customFormat="1" ht="12.75">
      <c r="A1043217" s="19"/>
      <c r="B1043217" s="19"/>
      <c r="C1043217" s="19"/>
      <c r="D1043217" s="19"/>
      <c r="E1043217" s="19"/>
      <c r="F1043217" s="19"/>
      <c r="G1043217" s="19"/>
      <c r="H1043217" s="19"/>
      <c r="I1043217" s="19"/>
      <c r="J1043217" s="19"/>
      <c r="K1043217" s="19"/>
      <c r="L1043217" s="19"/>
      <c r="M1043217" s="19"/>
      <c r="N1043217" s="19"/>
    </row>
    <row r="1043218" spans="1:14" s="83" customFormat="1" ht="12.75">
      <c r="A1043218" s="19"/>
      <c r="B1043218" s="19"/>
      <c r="C1043218" s="19"/>
      <c r="D1043218" s="19"/>
      <c r="E1043218" s="19"/>
      <c r="F1043218" s="19"/>
      <c r="G1043218" s="19"/>
      <c r="H1043218" s="19"/>
      <c r="I1043218" s="19"/>
      <c r="J1043218" s="19"/>
      <c r="K1043218" s="19"/>
      <c r="L1043218" s="19"/>
      <c r="M1043218" s="19"/>
      <c r="N1043218" s="19"/>
    </row>
    <row r="1043219" spans="1:14" s="83" customFormat="1" ht="12.75">
      <c r="A1043219" s="19"/>
      <c r="B1043219" s="19"/>
      <c r="C1043219" s="19"/>
      <c r="D1043219" s="19"/>
      <c r="E1043219" s="19"/>
      <c r="F1043219" s="19"/>
      <c r="G1043219" s="19"/>
      <c r="H1043219" s="19"/>
      <c r="I1043219" s="19"/>
      <c r="J1043219" s="19"/>
      <c r="K1043219" s="19"/>
      <c r="L1043219" s="19"/>
      <c r="M1043219" s="19"/>
      <c r="N1043219" s="19"/>
    </row>
    <row r="1043220" spans="1:14" s="83" customFormat="1" ht="12.75">
      <c r="A1043220" s="19"/>
      <c r="B1043220" s="19"/>
      <c r="C1043220" s="19"/>
      <c r="D1043220" s="19"/>
      <c r="E1043220" s="19"/>
      <c r="F1043220" s="19"/>
      <c r="G1043220" s="19"/>
      <c r="H1043220" s="19"/>
      <c r="I1043220" s="19"/>
      <c r="J1043220" s="19"/>
      <c r="K1043220" s="19"/>
      <c r="L1043220" s="19"/>
      <c r="M1043220" s="19"/>
      <c r="N1043220" s="19"/>
    </row>
    <row r="1043221" spans="1:14" s="83" customFormat="1" ht="12.75">
      <c r="A1043221" s="19"/>
      <c r="B1043221" s="19"/>
      <c r="C1043221" s="19"/>
      <c r="D1043221" s="19"/>
      <c r="E1043221" s="19"/>
      <c r="F1043221" s="19"/>
      <c r="G1043221" s="19"/>
      <c r="H1043221" s="19"/>
      <c r="I1043221" s="19"/>
      <c r="J1043221" s="19"/>
      <c r="K1043221" s="19"/>
      <c r="L1043221" s="19"/>
      <c r="M1043221" s="19"/>
      <c r="N1043221" s="19"/>
    </row>
    <row r="1043222" spans="1:14" s="83" customFormat="1" ht="12.75">
      <c r="A1043222" s="19"/>
      <c r="B1043222" s="19"/>
      <c r="C1043222" s="19"/>
      <c r="D1043222" s="19"/>
      <c r="E1043222" s="19"/>
      <c r="F1043222" s="19"/>
      <c r="G1043222" s="19"/>
      <c r="H1043222" s="19"/>
      <c r="I1043222" s="19"/>
      <c r="J1043222" s="19"/>
      <c r="K1043222" s="19"/>
      <c r="L1043222" s="19"/>
      <c r="M1043222" s="19"/>
      <c r="N1043222" s="19"/>
    </row>
    <row r="1043223" spans="1:14" s="83" customFormat="1" ht="12.75">
      <c r="A1043223" s="19"/>
      <c r="B1043223" s="19"/>
      <c r="C1043223" s="19"/>
      <c r="D1043223" s="19"/>
      <c r="E1043223" s="19"/>
      <c r="F1043223" s="19"/>
      <c r="G1043223" s="19"/>
      <c r="H1043223" s="19"/>
      <c r="I1043223" s="19"/>
      <c r="J1043223" s="19"/>
      <c r="K1043223" s="19"/>
      <c r="L1043223" s="19"/>
      <c r="M1043223" s="19"/>
      <c r="N1043223" s="19"/>
    </row>
    <row r="1043224" spans="1:14" s="83" customFormat="1" ht="12.75">
      <c r="A1043224" s="19"/>
      <c r="B1043224" s="19"/>
      <c r="C1043224" s="19"/>
      <c r="D1043224" s="19"/>
      <c r="E1043224" s="19"/>
      <c r="F1043224" s="19"/>
      <c r="G1043224" s="19"/>
      <c r="H1043224" s="19"/>
      <c r="I1043224" s="19"/>
      <c r="J1043224" s="19"/>
      <c r="K1043224" s="19"/>
      <c r="L1043224" s="19"/>
      <c r="M1043224" s="19"/>
      <c r="N1043224" s="19"/>
    </row>
    <row r="1043225" spans="1:14" s="83" customFormat="1" ht="12.75">
      <c r="A1043225" s="19"/>
      <c r="B1043225" s="19"/>
      <c r="C1043225" s="19"/>
      <c r="D1043225" s="19"/>
      <c r="E1043225" s="19"/>
      <c r="F1043225" s="19"/>
      <c r="G1043225" s="19"/>
      <c r="H1043225" s="19"/>
      <c r="I1043225" s="19"/>
      <c r="J1043225" s="19"/>
      <c r="K1043225" s="19"/>
      <c r="L1043225" s="19"/>
      <c r="M1043225" s="19"/>
      <c r="N1043225" s="19"/>
    </row>
    <row r="1043226" spans="1:14" s="83" customFormat="1" ht="12.75">
      <c r="A1043226" s="19"/>
      <c r="B1043226" s="19"/>
      <c r="C1043226" s="19"/>
      <c r="D1043226" s="19"/>
      <c r="E1043226" s="19"/>
      <c r="F1043226" s="19"/>
      <c r="G1043226" s="19"/>
      <c r="H1043226" s="19"/>
      <c r="I1043226" s="19"/>
      <c r="J1043226" s="19"/>
      <c r="K1043226" s="19"/>
      <c r="L1043226" s="19"/>
      <c r="M1043226" s="19"/>
      <c r="N1043226" s="19"/>
    </row>
    <row r="1043227" spans="1:14" s="83" customFormat="1" ht="12.75">
      <c r="A1043227" s="19"/>
      <c r="B1043227" s="19"/>
      <c r="C1043227" s="19"/>
      <c r="D1043227" s="19"/>
      <c r="E1043227" s="19"/>
      <c r="F1043227" s="19"/>
      <c r="G1043227" s="19"/>
      <c r="H1043227" s="19"/>
      <c r="I1043227" s="19"/>
      <c r="J1043227" s="19"/>
      <c r="K1043227" s="19"/>
      <c r="L1043227" s="19"/>
      <c r="M1043227" s="19"/>
      <c r="N1043227" s="19"/>
    </row>
    <row r="1043228" spans="1:14" s="83" customFormat="1" ht="12.75">
      <c r="A1043228" s="19"/>
      <c r="B1043228" s="19"/>
      <c r="C1043228" s="19"/>
      <c r="D1043228" s="19"/>
      <c r="E1043228" s="19"/>
      <c r="F1043228" s="19"/>
      <c r="G1043228" s="19"/>
      <c r="H1043228" s="19"/>
      <c r="I1043228" s="19"/>
      <c r="J1043228" s="19"/>
      <c r="K1043228" s="19"/>
      <c r="L1043228" s="19"/>
      <c r="M1043228" s="19"/>
      <c r="N1043228" s="19"/>
    </row>
    <row r="1043229" spans="1:14" s="83" customFormat="1" ht="12.75">
      <c r="A1043229" s="19"/>
      <c r="B1043229" s="19"/>
      <c r="C1043229" s="19"/>
      <c r="D1043229" s="19"/>
      <c r="E1043229" s="19"/>
      <c r="F1043229" s="19"/>
      <c r="G1043229" s="19"/>
      <c r="H1043229" s="19"/>
      <c r="I1043229" s="19"/>
      <c r="J1043229" s="19"/>
      <c r="K1043229" s="19"/>
      <c r="L1043229" s="19"/>
      <c r="M1043229" s="19"/>
      <c r="N1043229" s="19"/>
    </row>
    <row r="1043230" spans="1:14" s="83" customFormat="1" ht="12.75">
      <c r="A1043230" s="19"/>
      <c r="B1043230" s="19"/>
      <c r="C1043230" s="19"/>
      <c r="D1043230" s="19"/>
      <c r="E1043230" s="19"/>
      <c r="F1043230" s="19"/>
      <c r="G1043230" s="19"/>
      <c r="H1043230" s="19"/>
      <c r="I1043230" s="19"/>
      <c r="J1043230" s="19"/>
      <c r="K1043230" s="19"/>
      <c r="L1043230" s="19"/>
      <c r="M1043230" s="19"/>
      <c r="N1043230" s="19"/>
    </row>
    <row r="1043231" spans="1:14" s="83" customFormat="1" ht="12.75">
      <c r="A1043231" s="19"/>
      <c r="B1043231" s="19"/>
      <c r="C1043231" s="19"/>
      <c r="D1043231" s="19"/>
      <c r="E1043231" s="19"/>
      <c r="F1043231" s="19"/>
      <c r="G1043231" s="19"/>
      <c r="H1043231" s="19"/>
      <c r="I1043231" s="19"/>
      <c r="J1043231" s="19"/>
      <c r="K1043231" s="19"/>
      <c r="L1043231" s="19"/>
      <c r="M1043231" s="19"/>
      <c r="N1043231" s="19"/>
    </row>
    <row r="1043232" spans="1:14" s="83" customFormat="1" ht="12.75">
      <c r="A1043232" s="19"/>
      <c r="B1043232" s="19"/>
      <c r="C1043232" s="19"/>
      <c r="D1043232" s="19"/>
      <c r="E1043232" s="19"/>
      <c r="F1043232" s="19"/>
      <c r="G1043232" s="19"/>
      <c r="H1043232" s="19"/>
      <c r="I1043232" s="19"/>
      <c r="J1043232" s="19"/>
      <c r="K1043232" s="19"/>
      <c r="L1043232" s="19"/>
      <c r="M1043232" s="19"/>
      <c r="N1043232" s="19"/>
    </row>
    <row r="1043233" spans="1:14" s="83" customFormat="1" ht="12.75">
      <c r="A1043233" s="19"/>
      <c r="B1043233" s="19"/>
      <c r="C1043233" s="19"/>
      <c r="D1043233" s="19"/>
      <c r="E1043233" s="19"/>
      <c r="F1043233" s="19"/>
      <c r="G1043233" s="19"/>
      <c r="H1043233" s="19"/>
      <c r="I1043233" s="19"/>
      <c r="J1043233" s="19"/>
      <c r="K1043233" s="19"/>
      <c r="L1043233" s="19"/>
      <c r="M1043233" s="19"/>
      <c r="N1043233" s="19"/>
    </row>
    <row r="1043234" spans="1:14" s="83" customFormat="1" ht="12.75">
      <c r="A1043234" s="19"/>
      <c r="B1043234" s="19"/>
      <c r="C1043234" s="19"/>
      <c r="D1043234" s="19"/>
      <c r="E1043234" s="19"/>
      <c r="F1043234" s="19"/>
      <c r="G1043234" s="19"/>
      <c r="H1043234" s="19"/>
      <c r="I1043234" s="19"/>
      <c r="J1043234" s="19"/>
      <c r="K1043234" s="19"/>
      <c r="L1043234" s="19"/>
      <c r="M1043234" s="19"/>
      <c r="N1043234" s="19"/>
    </row>
    <row r="1043235" spans="1:14" s="83" customFormat="1" ht="12.75">
      <c r="A1043235" s="19"/>
      <c r="B1043235" s="19"/>
      <c r="C1043235" s="19"/>
      <c r="D1043235" s="19"/>
      <c r="E1043235" s="19"/>
      <c r="F1043235" s="19"/>
      <c r="G1043235" s="19"/>
      <c r="H1043235" s="19"/>
      <c r="I1043235" s="19"/>
      <c r="J1043235" s="19"/>
      <c r="K1043235" s="19"/>
      <c r="L1043235" s="19"/>
      <c r="M1043235" s="19"/>
      <c r="N1043235" s="19"/>
    </row>
    <row r="1043236" spans="1:14" s="83" customFormat="1" ht="12.75">
      <c r="A1043236" s="19"/>
      <c r="B1043236" s="19"/>
      <c r="C1043236" s="19"/>
      <c r="D1043236" s="19"/>
      <c r="E1043236" s="19"/>
      <c r="F1043236" s="19"/>
      <c r="G1043236" s="19"/>
      <c r="H1043236" s="19"/>
      <c r="I1043236" s="19"/>
      <c r="J1043236" s="19"/>
      <c r="K1043236" s="19"/>
      <c r="L1043236" s="19"/>
      <c r="M1043236" s="19"/>
      <c r="N1043236" s="19"/>
    </row>
    <row r="1043237" spans="1:14" s="83" customFormat="1" ht="12.75">
      <c r="A1043237" s="19"/>
      <c r="B1043237" s="19"/>
      <c r="C1043237" s="19"/>
      <c r="D1043237" s="19"/>
      <c r="E1043237" s="19"/>
      <c r="F1043237" s="19"/>
      <c r="G1043237" s="19"/>
      <c r="H1043237" s="19"/>
      <c r="I1043237" s="19"/>
      <c r="J1043237" s="19"/>
      <c r="K1043237" s="19"/>
      <c r="L1043237" s="19"/>
      <c r="M1043237" s="19"/>
      <c r="N1043237" s="19"/>
    </row>
    <row r="1043238" spans="1:14" s="83" customFormat="1" ht="12.75">
      <c r="A1043238" s="19"/>
      <c r="B1043238" s="19"/>
      <c r="C1043238" s="19"/>
      <c r="D1043238" s="19"/>
      <c r="E1043238" s="19"/>
      <c r="F1043238" s="19"/>
      <c r="G1043238" s="19"/>
      <c r="H1043238" s="19"/>
      <c r="I1043238" s="19"/>
      <c r="J1043238" s="19"/>
      <c r="K1043238" s="19"/>
      <c r="L1043238" s="19"/>
      <c r="M1043238" s="19"/>
      <c r="N1043238" s="19"/>
    </row>
    <row r="1043239" spans="1:14" s="83" customFormat="1" ht="12.75">
      <c r="A1043239" s="19"/>
      <c r="B1043239" s="19"/>
      <c r="C1043239" s="19"/>
      <c r="D1043239" s="19"/>
      <c r="E1043239" s="19"/>
      <c r="F1043239" s="19"/>
      <c r="G1043239" s="19"/>
      <c r="H1043239" s="19"/>
      <c r="I1043239" s="19"/>
      <c r="J1043239" s="19"/>
      <c r="K1043239" s="19"/>
      <c r="L1043239" s="19"/>
      <c r="M1043239" s="19"/>
      <c r="N1043239" s="19"/>
    </row>
    <row r="1043240" spans="1:14" s="83" customFormat="1" ht="12.75">
      <c r="A1043240" s="19"/>
      <c r="B1043240" s="19"/>
      <c r="C1043240" s="19"/>
      <c r="D1043240" s="19"/>
      <c r="E1043240" s="19"/>
      <c r="F1043240" s="19"/>
      <c r="G1043240" s="19"/>
      <c r="H1043240" s="19"/>
      <c r="I1043240" s="19"/>
      <c r="J1043240" s="19"/>
      <c r="K1043240" s="19"/>
      <c r="L1043240" s="19"/>
      <c r="M1043240" s="19"/>
      <c r="N1043240" s="19"/>
    </row>
    <row r="1043241" spans="1:14" s="83" customFormat="1" ht="12.75">
      <c r="A1043241" s="19"/>
      <c r="B1043241" s="19"/>
      <c r="C1043241" s="19"/>
      <c r="D1043241" s="19"/>
      <c r="E1043241" s="19"/>
      <c r="F1043241" s="19"/>
      <c r="G1043241" s="19"/>
      <c r="H1043241" s="19"/>
      <c r="I1043241" s="19"/>
      <c r="J1043241" s="19"/>
      <c r="K1043241" s="19"/>
      <c r="L1043241" s="19"/>
      <c r="M1043241" s="19"/>
      <c r="N1043241" s="19"/>
    </row>
    <row r="1043242" spans="1:14" s="83" customFormat="1" ht="12.75">
      <c r="A1043242" s="19"/>
      <c r="B1043242" s="19"/>
      <c r="C1043242" s="19"/>
      <c r="D1043242" s="19"/>
      <c r="E1043242" s="19"/>
      <c r="F1043242" s="19"/>
      <c r="G1043242" s="19"/>
      <c r="H1043242" s="19"/>
      <c r="I1043242" s="19"/>
      <c r="J1043242" s="19"/>
      <c r="K1043242" s="19"/>
      <c r="L1043242" s="19"/>
      <c r="M1043242" s="19"/>
      <c r="N1043242" s="19"/>
    </row>
    <row r="1043243" spans="1:14" s="83" customFormat="1" ht="12.75">
      <c r="A1043243" s="19"/>
      <c r="B1043243" s="19"/>
      <c r="C1043243" s="19"/>
      <c r="D1043243" s="19"/>
      <c r="E1043243" s="19"/>
      <c r="F1043243" s="19"/>
      <c r="G1043243" s="19"/>
      <c r="H1043243" s="19"/>
      <c r="I1043243" s="19"/>
      <c r="J1043243" s="19"/>
      <c r="K1043243" s="19"/>
      <c r="L1043243" s="19"/>
      <c r="M1043243" s="19"/>
      <c r="N1043243" s="19"/>
    </row>
    <row r="1043244" spans="1:14" s="83" customFormat="1" ht="12.75">
      <c r="A1043244" s="19"/>
      <c r="B1043244" s="19"/>
      <c r="C1043244" s="19"/>
      <c r="D1043244" s="19"/>
      <c r="E1043244" s="19"/>
      <c r="F1043244" s="19"/>
      <c r="G1043244" s="19"/>
      <c r="H1043244" s="19"/>
      <c r="I1043244" s="19"/>
      <c r="J1043244" s="19"/>
      <c r="K1043244" s="19"/>
      <c r="L1043244" s="19"/>
      <c r="M1043244" s="19"/>
      <c r="N1043244" s="19"/>
    </row>
    <row r="1043245" spans="1:14" s="83" customFormat="1" ht="12.75">
      <c r="A1043245" s="19"/>
      <c r="B1043245" s="19"/>
      <c r="C1043245" s="19"/>
      <c r="D1043245" s="19"/>
      <c r="E1043245" s="19"/>
      <c r="F1043245" s="19"/>
      <c r="G1043245" s="19"/>
      <c r="H1043245" s="19"/>
      <c r="I1043245" s="19"/>
      <c r="J1043245" s="19"/>
      <c r="K1043245" s="19"/>
      <c r="L1043245" s="19"/>
      <c r="M1043245" s="19"/>
      <c r="N1043245" s="19"/>
    </row>
    <row r="1043246" spans="1:14" s="83" customFormat="1" ht="12.75">
      <c r="A1043246" s="19"/>
      <c r="B1043246" s="19"/>
      <c r="C1043246" s="19"/>
      <c r="D1043246" s="19"/>
      <c r="E1043246" s="19"/>
      <c r="F1043246" s="19"/>
      <c r="G1043246" s="19"/>
      <c r="H1043246" s="19"/>
      <c r="I1043246" s="19"/>
      <c r="J1043246" s="19"/>
      <c r="K1043246" s="19"/>
      <c r="L1043246" s="19"/>
      <c r="M1043246" s="19"/>
      <c r="N1043246" s="19"/>
    </row>
    <row r="1043247" spans="1:14" s="83" customFormat="1" ht="12.75">
      <c r="A1043247" s="19"/>
      <c r="B1043247" s="19"/>
      <c r="C1043247" s="19"/>
      <c r="D1043247" s="19"/>
      <c r="E1043247" s="19"/>
      <c r="F1043247" s="19"/>
      <c r="G1043247" s="19"/>
      <c r="H1043247" s="19"/>
      <c r="I1043247" s="19"/>
      <c r="J1043247" s="19"/>
      <c r="K1043247" s="19"/>
      <c r="L1043247" s="19"/>
      <c r="M1043247" s="19"/>
      <c r="N1043247" s="19"/>
    </row>
    <row r="1043248" spans="1:14" s="83" customFormat="1" ht="12.75">
      <c r="A1043248" s="19"/>
      <c r="B1043248" s="19"/>
      <c r="C1043248" s="19"/>
      <c r="D1043248" s="19"/>
      <c r="E1043248" s="19"/>
      <c r="F1043248" s="19"/>
      <c r="G1043248" s="19"/>
      <c r="H1043248" s="19"/>
      <c r="I1043248" s="19"/>
      <c r="J1043248" s="19"/>
      <c r="K1043248" s="19"/>
      <c r="L1043248" s="19"/>
      <c r="M1043248" s="19"/>
      <c r="N1043248" s="19"/>
    </row>
    <row r="1043249" spans="1:14" s="83" customFormat="1" ht="12.75">
      <c r="A1043249" s="19"/>
      <c r="B1043249" s="19"/>
      <c r="C1043249" s="19"/>
      <c r="D1043249" s="19"/>
      <c r="E1043249" s="19"/>
      <c r="F1043249" s="19"/>
      <c r="G1043249" s="19"/>
      <c r="H1043249" s="19"/>
      <c r="I1043249" s="19"/>
      <c r="J1043249" s="19"/>
      <c r="K1043249" s="19"/>
      <c r="L1043249" s="19"/>
      <c r="M1043249" s="19"/>
      <c r="N1043249" s="19"/>
    </row>
    <row r="1043250" spans="1:14" s="83" customFormat="1" ht="12.75">
      <c r="A1043250" s="19"/>
      <c r="B1043250" s="19"/>
      <c r="C1043250" s="19"/>
      <c r="D1043250" s="19"/>
      <c r="E1043250" s="19"/>
      <c r="F1043250" s="19"/>
      <c r="G1043250" s="19"/>
      <c r="H1043250" s="19"/>
      <c r="I1043250" s="19"/>
      <c r="J1043250" s="19"/>
      <c r="K1043250" s="19"/>
      <c r="L1043250" s="19"/>
      <c r="M1043250" s="19"/>
      <c r="N1043250" s="19"/>
    </row>
    <row r="1043251" spans="1:14" s="83" customFormat="1" ht="12.75">
      <c r="A1043251" s="19"/>
      <c r="B1043251" s="19"/>
      <c r="C1043251" s="19"/>
      <c r="D1043251" s="19"/>
      <c r="E1043251" s="19"/>
      <c r="F1043251" s="19"/>
      <c r="G1043251" s="19"/>
      <c r="H1043251" s="19"/>
      <c r="I1043251" s="19"/>
      <c r="J1043251" s="19"/>
      <c r="K1043251" s="19"/>
      <c r="L1043251" s="19"/>
      <c r="M1043251" s="19"/>
      <c r="N1043251" s="19"/>
    </row>
    <row r="1043252" spans="1:14" s="83" customFormat="1" ht="12.75">
      <c r="A1043252" s="19"/>
      <c r="B1043252" s="19"/>
      <c r="C1043252" s="19"/>
      <c r="D1043252" s="19"/>
      <c r="E1043252" s="19"/>
      <c r="F1043252" s="19"/>
      <c r="G1043252" s="19"/>
      <c r="H1043252" s="19"/>
      <c r="I1043252" s="19"/>
      <c r="J1043252" s="19"/>
      <c r="K1043252" s="19"/>
      <c r="L1043252" s="19"/>
      <c r="M1043252" s="19"/>
      <c r="N1043252" s="19"/>
    </row>
    <row r="1043253" spans="1:14" s="83" customFormat="1" ht="12.75">
      <c r="A1043253" s="19"/>
      <c r="B1043253" s="19"/>
      <c r="C1043253" s="19"/>
      <c r="D1043253" s="19"/>
      <c r="E1043253" s="19"/>
      <c r="F1043253" s="19"/>
      <c r="G1043253" s="19"/>
      <c r="H1043253" s="19"/>
      <c r="I1043253" s="19"/>
      <c r="J1043253" s="19"/>
      <c r="K1043253" s="19"/>
      <c r="L1043253" s="19"/>
      <c r="M1043253" s="19"/>
      <c r="N1043253" s="19"/>
    </row>
    <row r="1043254" spans="1:14" s="83" customFormat="1" ht="12.75">
      <c r="A1043254" s="19"/>
      <c r="B1043254" s="19"/>
      <c r="C1043254" s="19"/>
      <c r="D1043254" s="19"/>
      <c r="E1043254" s="19"/>
      <c r="F1043254" s="19"/>
      <c r="G1043254" s="19"/>
      <c r="H1043254" s="19"/>
      <c r="I1043254" s="19"/>
      <c r="J1043254" s="19"/>
      <c r="K1043254" s="19"/>
      <c r="L1043254" s="19"/>
      <c r="M1043254" s="19"/>
      <c r="N1043254" s="19"/>
    </row>
    <row r="1043255" spans="1:14" s="83" customFormat="1" ht="12.75">
      <c r="A1043255" s="19"/>
      <c r="B1043255" s="19"/>
      <c r="C1043255" s="19"/>
      <c r="D1043255" s="19"/>
      <c r="E1043255" s="19"/>
      <c r="F1043255" s="19"/>
      <c r="G1043255" s="19"/>
      <c r="H1043255" s="19"/>
      <c r="I1043255" s="19"/>
      <c r="J1043255" s="19"/>
      <c r="K1043255" s="19"/>
      <c r="L1043255" s="19"/>
      <c r="M1043255" s="19"/>
      <c r="N1043255" s="19"/>
    </row>
    <row r="1043256" spans="1:14" s="83" customFormat="1" ht="12.75">
      <c r="A1043256" s="19"/>
      <c r="B1043256" s="19"/>
      <c r="C1043256" s="19"/>
      <c r="D1043256" s="19"/>
      <c r="E1043256" s="19"/>
      <c r="F1043256" s="19"/>
      <c r="G1043256" s="19"/>
      <c r="H1043256" s="19"/>
      <c r="I1043256" s="19"/>
      <c r="J1043256" s="19"/>
      <c r="K1043256" s="19"/>
      <c r="L1043256" s="19"/>
      <c r="M1043256" s="19"/>
      <c r="N1043256" s="19"/>
    </row>
    <row r="1043257" spans="1:14" s="83" customFormat="1" ht="12.75">
      <c r="A1043257" s="19"/>
      <c r="B1043257" s="19"/>
      <c r="C1043257" s="19"/>
      <c r="D1043257" s="19"/>
      <c r="E1043257" s="19"/>
      <c r="F1043257" s="19"/>
      <c r="G1043257" s="19"/>
      <c r="H1043257" s="19"/>
      <c r="I1043257" s="19"/>
      <c r="J1043257" s="19"/>
      <c r="K1043257" s="19"/>
      <c r="L1043257" s="19"/>
      <c r="M1043257" s="19"/>
      <c r="N1043257" s="19"/>
    </row>
    <row r="1043258" spans="1:14" s="83" customFormat="1" ht="12.75">
      <c r="A1043258" s="19"/>
      <c r="B1043258" s="19"/>
      <c r="C1043258" s="19"/>
      <c r="D1043258" s="19"/>
      <c r="E1043258" s="19"/>
      <c r="F1043258" s="19"/>
      <c r="G1043258" s="19"/>
      <c r="H1043258" s="19"/>
      <c r="I1043258" s="19"/>
      <c r="J1043258" s="19"/>
      <c r="K1043258" s="19"/>
      <c r="L1043258" s="19"/>
      <c r="M1043258" s="19"/>
      <c r="N1043258" s="19"/>
    </row>
    <row r="1043259" spans="1:14" s="83" customFormat="1" ht="12.75">
      <c r="A1043259" s="19"/>
      <c r="B1043259" s="19"/>
      <c r="C1043259" s="19"/>
      <c r="D1043259" s="19"/>
      <c r="E1043259" s="19"/>
      <c r="F1043259" s="19"/>
      <c r="G1043259" s="19"/>
      <c r="H1043259" s="19"/>
      <c r="I1043259" s="19"/>
      <c r="J1043259" s="19"/>
      <c r="K1043259" s="19"/>
      <c r="L1043259" s="19"/>
      <c r="M1043259" s="19"/>
      <c r="N1043259" s="19"/>
    </row>
    <row r="1043260" spans="1:14" s="83" customFormat="1" ht="12.75">
      <c r="A1043260" s="19"/>
      <c r="B1043260" s="19"/>
      <c r="C1043260" s="19"/>
      <c r="D1043260" s="19"/>
      <c r="E1043260" s="19"/>
      <c r="F1043260" s="19"/>
      <c r="G1043260" s="19"/>
      <c r="H1043260" s="19"/>
      <c r="I1043260" s="19"/>
      <c r="J1043260" s="19"/>
      <c r="K1043260" s="19"/>
      <c r="L1043260" s="19"/>
      <c r="M1043260" s="19"/>
      <c r="N1043260" s="19"/>
    </row>
    <row r="1043261" spans="1:14" s="83" customFormat="1" ht="12.75">
      <c r="A1043261" s="19"/>
      <c r="B1043261" s="19"/>
      <c r="C1043261" s="19"/>
      <c r="D1043261" s="19"/>
      <c r="E1043261" s="19"/>
      <c r="F1043261" s="19"/>
      <c r="G1043261" s="19"/>
      <c r="H1043261" s="19"/>
      <c r="I1043261" s="19"/>
      <c r="J1043261" s="19"/>
      <c r="K1043261" s="19"/>
      <c r="L1043261" s="19"/>
      <c r="M1043261" s="19"/>
      <c r="N1043261" s="19"/>
    </row>
    <row r="1043262" spans="1:14" s="83" customFormat="1" ht="12.75">
      <c r="A1043262" s="19"/>
      <c r="B1043262" s="19"/>
      <c r="C1043262" s="19"/>
      <c r="D1043262" s="19"/>
      <c r="E1043262" s="19"/>
      <c r="F1043262" s="19"/>
      <c r="G1043262" s="19"/>
      <c r="H1043262" s="19"/>
      <c r="I1043262" s="19"/>
      <c r="J1043262" s="19"/>
      <c r="K1043262" s="19"/>
      <c r="L1043262" s="19"/>
      <c r="M1043262" s="19"/>
      <c r="N1043262" s="19"/>
    </row>
    <row r="1043263" spans="1:14" s="83" customFormat="1" ht="12.75">
      <c r="A1043263" s="19"/>
      <c r="B1043263" s="19"/>
      <c r="C1043263" s="19"/>
      <c r="D1043263" s="19"/>
      <c r="E1043263" s="19"/>
      <c r="F1043263" s="19"/>
      <c r="G1043263" s="19"/>
      <c r="H1043263" s="19"/>
      <c r="I1043263" s="19"/>
      <c r="J1043263" s="19"/>
      <c r="K1043263" s="19"/>
      <c r="L1043263" s="19"/>
      <c r="M1043263" s="19"/>
      <c r="N1043263" s="19"/>
    </row>
    <row r="1043264" spans="1:14" s="83" customFormat="1" ht="12.75">
      <c r="A1043264" s="19"/>
      <c r="B1043264" s="19"/>
      <c r="C1043264" s="19"/>
      <c r="D1043264" s="19"/>
      <c r="E1043264" s="19"/>
      <c r="F1043264" s="19"/>
      <c r="G1043264" s="19"/>
      <c r="H1043264" s="19"/>
      <c r="I1043264" s="19"/>
      <c r="J1043264" s="19"/>
      <c r="K1043264" s="19"/>
      <c r="L1043264" s="19"/>
      <c r="M1043264" s="19"/>
      <c r="N1043264" s="19"/>
    </row>
    <row r="1043265" spans="1:14" s="83" customFormat="1" ht="12.75">
      <c r="A1043265" s="19"/>
      <c r="B1043265" s="19"/>
      <c r="C1043265" s="19"/>
      <c r="D1043265" s="19"/>
      <c r="E1043265" s="19"/>
      <c r="F1043265" s="19"/>
      <c r="G1043265" s="19"/>
      <c r="H1043265" s="19"/>
      <c r="I1043265" s="19"/>
      <c r="J1043265" s="19"/>
      <c r="K1043265" s="19"/>
      <c r="L1043265" s="19"/>
      <c r="M1043265" s="19"/>
      <c r="N1043265" s="19"/>
    </row>
    <row r="1043266" spans="1:14" s="83" customFormat="1" ht="12.75">
      <c r="A1043266" s="19"/>
      <c r="B1043266" s="19"/>
      <c r="C1043266" s="19"/>
      <c r="D1043266" s="19"/>
      <c r="E1043266" s="19"/>
      <c r="F1043266" s="19"/>
      <c r="G1043266" s="19"/>
      <c r="H1043266" s="19"/>
      <c r="I1043266" s="19"/>
      <c r="J1043266" s="19"/>
      <c r="K1043266" s="19"/>
      <c r="L1043266" s="19"/>
      <c r="M1043266" s="19"/>
      <c r="N1043266" s="19"/>
    </row>
    <row r="1043267" spans="1:14" s="83" customFormat="1" ht="12.75">
      <c r="A1043267" s="19"/>
      <c r="B1043267" s="19"/>
      <c r="C1043267" s="19"/>
      <c r="D1043267" s="19"/>
      <c r="E1043267" s="19"/>
      <c r="F1043267" s="19"/>
      <c r="G1043267" s="19"/>
      <c r="H1043267" s="19"/>
      <c r="I1043267" s="19"/>
      <c r="J1043267" s="19"/>
      <c r="K1043267" s="19"/>
      <c r="L1043267" s="19"/>
      <c r="M1043267" s="19"/>
      <c r="N1043267" s="19"/>
    </row>
    <row r="1043268" spans="1:14" s="83" customFormat="1" ht="12.75">
      <c r="A1043268" s="19"/>
      <c r="B1043268" s="19"/>
      <c r="C1043268" s="19"/>
      <c r="D1043268" s="19"/>
      <c r="E1043268" s="19"/>
      <c r="F1043268" s="19"/>
      <c r="G1043268" s="19"/>
      <c r="H1043268" s="19"/>
      <c r="I1043268" s="19"/>
      <c r="J1043268" s="19"/>
      <c r="K1043268" s="19"/>
      <c r="L1043268" s="19"/>
      <c r="M1043268" s="19"/>
      <c r="N1043268" s="19"/>
    </row>
    <row r="1043269" spans="1:14" s="83" customFormat="1" ht="12.75">
      <c r="A1043269" s="19"/>
      <c r="B1043269" s="19"/>
      <c r="C1043269" s="19"/>
      <c r="D1043269" s="19"/>
      <c r="E1043269" s="19"/>
      <c r="F1043269" s="19"/>
      <c r="G1043269" s="19"/>
      <c r="H1043269" s="19"/>
      <c r="I1043269" s="19"/>
      <c r="J1043269" s="19"/>
      <c r="K1043269" s="19"/>
      <c r="L1043269" s="19"/>
      <c r="M1043269" s="19"/>
      <c r="N1043269" s="19"/>
    </row>
    <row r="1043270" spans="1:14" s="83" customFormat="1" ht="12.75">
      <c r="A1043270" s="19"/>
      <c r="B1043270" s="19"/>
      <c r="C1043270" s="19"/>
      <c r="D1043270" s="19"/>
      <c r="E1043270" s="19"/>
      <c r="F1043270" s="19"/>
      <c r="G1043270" s="19"/>
      <c r="H1043270" s="19"/>
      <c r="I1043270" s="19"/>
      <c r="J1043270" s="19"/>
      <c r="K1043270" s="19"/>
      <c r="L1043270" s="19"/>
      <c r="M1043270" s="19"/>
      <c r="N1043270" s="19"/>
    </row>
    <row r="1043271" spans="1:14" s="83" customFormat="1" ht="12.75">
      <c r="A1043271" s="19"/>
      <c r="B1043271" s="19"/>
      <c r="C1043271" s="19"/>
      <c r="D1043271" s="19"/>
      <c r="E1043271" s="19"/>
      <c r="F1043271" s="19"/>
      <c r="G1043271" s="19"/>
      <c r="H1043271" s="19"/>
      <c r="I1043271" s="19"/>
      <c r="J1043271" s="19"/>
      <c r="K1043271" s="19"/>
      <c r="L1043271" s="19"/>
      <c r="M1043271" s="19"/>
      <c r="N1043271" s="19"/>
    </row>
    <row r="1043272" spans="1:14" s="83" customFormat="1" ht="12.75">
      <c r="A1043272" s="19"/>
      <c r="B1043272" s="19"/>
      <c r="C1043272" s="19"/>
      <c r="D1043272" s="19"/>
      <c r="E1043272" s="19"/>
      <c r="F1043272" s="19"/>
      <c r="G1043272" s="19"/>
      <c r="H1043272" s="19"/>
      <c r="I1043272" s="19"/>
      <c r="J1043272" s="19"/>
      <c r="K1043272" s="19"/>
      <c r="L1043272" s="19"/>
      <c r="M1043272" s="19"/>
      <c r="N1043272" s="19"/>
    </row>
    <row r="1043273" spans="1:14" s="83" customFormat="1" ht="12.75">
      <c r="A1043273" s="19"/>
      <c r="B1043273" s="19"/>
      <c r="C1043273" s="19"/>
      <c r="D1043273" s="19"/>
      <c r="E1043273" s="19"/>
      <c r="F1043273" s="19"/>
      <c r="G1043273" s="19"/>
      <c r="H1043273" s="19"/>
      <c r="I1043273" s="19"/>
      <c r="J1043273" s="19"/>
      <c r="K1043273" s="19"/>
      <c r="L1043273" s="19"/>
      <c r="M1043273" s="19"/>
      <c r="N1043273" s="19"/>
    </row>
    <row r="1043274" spans="1:14" s="83" customFormat="1" ht="12.75">
      <c r="A1043274" s="19"/>
      <c r="B1043274" s="19"/>
      <c r="C1043274" s="19"/>
      <c r="D1043274" s="19"/>
      <c r="E1043274" s="19"/>
      <c r="F1043274" s="19"/>
      <c r="G1043274" s="19"/>
      <c r="H1043274" s="19"/>
      <c r="I1043274" s="19"/>
      <c r="J1043274" s="19"/>
      <c r="K1043274" s="19"/>
      <c r="L1043274" s="19"/>
      <c r="M1043274" s="19"/>
      <c r="N1043274" s="19"/>
    </row>
    <row r="1043275" spans="1:14" s="83" customFormat="1" ht="12.75">
      <c r="A1043275" s="19"/>
      <c r="B1043275" s="19"/>
      <c r="C1043275" s="19"/>
      <c r="D1043275" s="19"/>
      <c r="E1043275" s="19"/>
      <c r="F1043275" s="19"/>
      <c r="G1043275" s="19"/>
      <c r="H1043275" s="19"/>
      <c r="I1043275" s="19"/>
      <c r="J1043275" s="19"/>
      <c r="K1043275" s="19"/>
      <c r="L1043275" s="19"/>
      <c r="M1043275" s="19"/>
      <c r="N1043275" s="19"/>
    </row>
    <row r="1043276" spans="1:14" s="83" customFormat="1" ht="12.75">
      <c r="A1043276" s="19"/>
      <c r="B1043276" s="19"/>
      <c r="C1043276" s="19"/>
      <c r="D1043276" s="19"/>
      <c r="E1043276" s="19"/>
      <c r="F1043276" s="19"/>
      <c r="G1043276" s="19"/>
      <c r="H1043276" s="19"/>
      <c r="I1043276" s="19"/>
      <c r="J1043276" s="19"/>
      <c r="K1043276" s="19"/>
      <c r="L1043276" s="19"/>
      <c r="M1043276" s="19"/>
      <c r="N1043276" s="19"/>
    </row>
    <row r="1043277" spans="1:14" s="83" customFormat="1" ht="12.75">
      <c r="A1043277" s="19"/>
      <c r="B1043277" s="19"/>
      <c r="C1043277" s="19"/>
      <c r="D1043277" s="19"/>
      <c r="E1043277" s="19"/>
      <c r="F1043277" s="19"/>
      <c r="G1043277" s="19"/>
      <c r="H1043277" s="19"/>
      <c r="I1043277" s="19"/>
      <c r="J1043277" s="19"/>
      <c r="K1043277" s="19"/>
      <c r="L1043277" s="19"/>
      <c r="M1043277" s="19"/>
      <c r="N1043277" s="19"/>
    </row>
    <row r="1043278" spans="1:14" s="83" customFormat="1" ht="12.75">
      <c r="A1043278" s="19"/>
      <c r="B1043278" s="19"/>
      <c r="C1043278" s="19"/>
      <c r="D1043278" s="19"/>
      <c r="E1043278" s="19"/>
      <c r="F1043278" s="19"/>
      <c r="G1043278" s="19"/>
      <c r="H1043278" s="19"/>
      <c r="I1043278" s="19"/>
      <c r="J1043278" s="19"/>
      <c r="K1043278" s="19"/>
      <c r="L1043278" s="19"/>
      <c r="M1043278" s="19"/>
      <c r="N1043278" s="19"/>
    </row>
    <row r="1043279" spans="1:14" s="83" customFormat="1" ht="12.75">
      <c r="A1043279" s="19"/>
      <c r="B1043279" s="19"/>
      <c r="C1043279" s="19"/>
      <c r="D1043279" s="19"/>
      <c r="E1043279" s="19"/>
      <c r="F1043279" s="19"/>
      <c r="G1043279" s="19"/>
      <c r="H1043279" s="19"/>
      <c r="I1043279" s="19"/>
      <c r="J1043279" s="19"/>
      <c r="K1043279" s="19"/>
      <c r="L1043279" s="19"/>
      <c r="M1043279" s="19"/>
      <c r="N1043279" s="19"/>
    </row>
    <row r="1043280" spans="1:14" s="83" customFormat="1" ht="12.75">
      <c r="A1043280" s="19"/>
      <c r="B1043280" s="19"/>
      <c r="C1043280" s="19"/>
      <c r="D1043280" s="19"/>
      <c r="E1043280" s="19"/>
      <c r="F1043280" s="19"/>
      <c r="G1043280" s="19"/>
      <c r="H1043280" s="19"/>
      <c r="I1043280" s="19"/>
      <c r="J1043280" s="19"/>
      <c r="K1043280" s="19"/>
      <c r="L1043280" s="19"/>
      <c r="M1043280" s="19"/>
      <c r="N1043280" s="19"/>
    </row>
    <row r="1043281" spans="1:14" s="83" customFormat="1" ht="12.75">
      <c r="A1043281" s="19"/>
      <c r="B1043281" s="19"/>
      <c r="C1043281" s="19"/>
      <c r="D1043281" s="19"/>
      <c r="E1043281" s="19"/>
      <c r="F1043281" s="19"/>
      <c r="G1043281" s="19"/>
      <c r="H1043281" s="19"/>
      <c r="I1043281" s="19"/>
      <c r="J1043281" s="19"/>
      <c r="K1043281" s="19"/>
      <c r="L1043281" s="19"/>
      <c r="M1043281" s="19"/>
      <c r="N1043281" s="19"/>
    </row>
    <row r="1043282" spans="1:14" s="83" customFormat="1" ht="12.75">
      <c r="A1043282" s="19"/>
      <c r="B1043282" s="19"/>
      <c r="C1043282" s="19"/>
      <c r="D1043282" s="19"/>
      <c r="E1043282" s="19"/>
      <c r="F1043282" s="19"/>
      <c r="G1043282" s="19"/>
      <c r="H1043282" s="19"/>
      <c r="I1043282" s="19"/>
      <c r="J1043282" s="19"/>
      <c r="K1043282" s="19"/>
      <c r="L1043282" s="19"/>
      <c r="M1043282" s="19"/>
      <c r="N1043282" s="19"/>
    </row>
    <row r="1043283" spans="1:14" s="83" customFormat="1" ht="12.75">
      <c r="A1043283" s="19"/>
      <c r="B1043283" s="19"/>
      <c r="C1043283" s="19"/>
      <c r="D1043283" s="19"/>
      <c r="E1043283" s="19"/>
      <c r="F1043283" s="19"/>
      <c r="G1043283" s="19"/>
      <c r="H1043283" s="19"/>
      <c r="I1043283" s="19"/>
      <c r="J1043283" s="19"/>
      <c r="K1043283" s="19"/>
      <c r="L1043283" s="19"/>
      <c r="M1043283" s="19"/>
      <c r="N1043283" s="19"/>
    </row>
    <row r="1043284" spans="1:14" s="83" customFormat="1" ht="12.75">
      <c r="A1043284" s="19"/>
      <c r="B1043284" s="19"/>
      <c r="C1043284" s="19"/>
      <c r="D1043284" s="19"/>
      <c r="E1043284" s="19"/>
      <c r="F1043284" s="19"/>
      <c r="G1043284" s="19"/>
      <c r="H1043284" s="19"/>
      <c r="I1043284" s="19"/>
      <c r="J1043284" s="19"/>
      <c r="K1043284" s="19"/>
      <c r="L1043284" s="19"/>
      <c r="M1043284" s="19"/>
      <c r="N1043284" s="19"/>
    </row>
    <row r="1043285" spans="1:14" s="83" customFormat="1" ht="12.75">
      <c r="A1043285" s="19"/>
      <c r="B1043285" s="19"/>
      <c r="C1043285" s="19"/>
      <c r="D1043285" s="19"/>
      <c r="E1043285" s="19"/>
      <c r="F1043285" s="19"/>
      <c r="G1043285" s="19"/>
      <c r="H1043285" s="19"/>
      <c r="I1043285" s="19"/>
      <c r="J1043285" s="19"/>
      <c r="K1043285" s="19"/>
      <c r="L1043285" s="19"/>
      <c r="M1043285" s="19"/>
      <c r="N1043285" s="19"/>
    </row>
    <row r="1043286" spans="1:14" s="83" customFormat="1" ht="12.75">
      <c r="A1043286" s="19"/>
      <c r="B1043286" s="19"/>
      <c r="C1043286" s="19"/>
      <c r="D1043286" s="19"/>
      <c r="E1043286" s="19"/>
      <c r="F1043286" s="19"/>
      <c r="G1043286" s="19"/>
      <c r="H1043286" s="19"/>
      <c r="I1043286" s="19"/>
      <c r="J1043286" s="19"/>
      <c r="K1043286" s="19"/>
      <c r="L1043286" s="19"/>
      <c r="M1043286" s="19"/>
      <c r="N1043286" s="19"/>
    </row>
    <row r="1043287" spans="1:14" s="83" customFormat="1" ht="12.75">
      <c r="A1043287" s="19"/>
      <c r="B1043287" s="19"/>
      <c r="C1043287" s="19"/>
      <c r="D1043287" s="19"/>
      <c r="E1043287" s="19"/>
      <c r="F1043287" s="19"/>
      <c r="G1043287" s="19"/>
      <c r="H1043287" s="19"/>
      <c r="I1043287" s="19"/>
      <c r="J1043287" s="19"/>
      <c r="K1043287" s="19"/>
      <c r="L1043287" s="19"/>
      <c r="M1043287" s="19"/>
      <c r="N1043287" s="19"/>
    </row>
    <row r="1043288" spans="1:14" s="83" customFormat="1" ht="12.75">
      <c r="A1043288" s="19"/>
      <c r="B1043288" s="19"/>
      <c r="C1043288" s="19"/>
      <c r="D1043288" s="19"/>
      <c r="E1043288" s="19"/>
      <c r="F1043288" s="19"/>
      <c r="G1043288" s="19"/>
      <c r="H1043288" s="19"/>
      <c r="I1043288" s="19"/>
      <c r="J1043288" s="19"/>
      <c r="K1043288" s="19"/>
      <c r="L1043288" s="19"/>
      <c r="M1043288" s="19"/>
      <c r="N1043288" s="19"/>
    </row>
    <row r="1043289" spans="1:14" s="83" customFormat="1" ht="12.75">
      <c r="A1043289" s="19"/>
      <c r="B1043289" s="19"/>
      <c r="C1043289" s="19"/>
      <c r="D1043289" s="19"/>
      <c r="E1043289" s="19"/>
      <c r="F1043289" s="19"/>
      <c r="G1043289" s="19"/>
      <c r="H1043289" s="19"/>
      <c r="I1043289" s="19"/>
      <c r="J1043289" s="19"/>
      <c r="K1043289" s="19"/>
      <c r="L1043289" s="19"/>
      <c r="M1043289" s="19"/>
      <c r="N1043289" s="19"/>
    </row>
    <row r="1043290" spans="1:14" s="83" customFormat="1" ht="12.75">
      <c r="A1043290" s="19"/>
      <c r="B1043290" s="19"/>
      <c r="C1043290" s="19"/>
      <c r="D1043290" s="19"/>
      <c r="E1043290" s="19"/>
      <c r="F1043290" s="19"/>
      <c r="G1043290" s="19"/>
      <c r="H1043290" s="19"/>
      <c r="I1043290" s="19"/>
      <c r="J1043290" s="19"/>
      <c r="K1043290" s="19"/>
      <c r="L1043290" s="19"/>
      <c r="M1043290" s="19"/>
      <c r="N1043290" s="19"/>
    </row>
    <row r="1043291" spans="1:14" s="83" customFormat="1" ht="12.75">
      <c r="A1043291" s="19"/>
      <c r="B1043291" s="19"/>
      <c r="C1043291" s="19"/>
      <c r="D1043291" s="19"/>
      <c r="E1043291" s="19"/>
      <c r="F1043291" s="19"/>
      <c r="G1043291" s="19"/>
      <c r="H1043291" s="19"/>
      <c r="I1043291" s="19"/>
      <c r="J1043291" s="19"/>
      <c r="K1043291" s="19"/>
      <c r="L1043291" s="19"/>
      <c r="M1043291" s="19"/>
      <c r="N1043291" s="19"/>
    </row>
    <row r="1043292" spans="1:14" s="83" customFormat="1" ht="12.75">
      <c r="A1043292" s="19"/>
      <c r="B1043292" s="19"/>
      <c r="C1043292" s="19"/>
      <c r="D1043292" s="19"/>
      <c r="E1043292" s="19"/>
      <c r="F1043292" s="19"/>
      <c r="G1043292" s="19"/>
      <c r="H1043292" s="19"/>
      <c r="I1043292" s="19"/>
      <c r="J1043292" s="19"/>
      <c r="K1043292" s="19"/>
      <c r="L1043292" s="19"/>
      <c r="M1043292" s="19"/>
      <c r="N1043292" s="19"/>
    </row>
    <row r="1043293" spans="1:14" s="83" customFormat="1" ht="12.75">
      <c r="A1043293" s="19"/>
      <c r="B1043293" s="19"/>
      <c r="C1043293" s="19"/>
      <c r="D1043293" s="19"/>
      <c r="E1043293" s="19"/>
      <c r="F1043293" s="19"/>
      <c r="G1043293" s="19"/>
      <c r="H1043293" s="19"/>
      <c r="I1043293" s="19"/>
      <c r="J1043293" s="19"/>
      <c r="K1043293" s="19"/>
      <c r="L1043293" s="19"/>
      <c r="M1043293" s="19"/>
      <c r="N1043293" s="19"/>
    </row>
    <row r="1043294" spans="1:14" s="83" customFormat="1" ht="12.75">
      <c r="A1043294" s="19"/>
      <c r="B1043294" s="19"/>
      <c r="C1043294" s="19"/>
      <c r="D1043294" s="19"/>
      <c r="E1043294" s="19"/>
      <c r="F1043294" s="19"/>
      <c r="G1043294" s="19"/>
      <c r="H1043294" s="19"/>
      <c r="I1043294" s="19"/>
      <c r="J1043294" s="19"/>
      <c r="K1043294" s="19"/>
      <c r="L1043294" s="19"/>
      <c r="M1043294" s="19"/>
      <c r="N1043294" s="19"/>
    </row>
    <row r="1043295" spans="1:14" s="83" customFormat="1" ht="12.75">
      <c r="A1043295" s="19"/>
      <c r="B1043295" s="19"/>
      <c r="C1043295" s="19"/>
      <c r="D1043295" s="19"/>
      <c r="E1043295" s="19"/>
      <c r="F1043295" s="19"/>
      <c r="G1043295" s="19"/>
      <c r="H1043295" s="19"/>
      <c r="I1043295" s="19"/>
      <c r="J1043295" s="19"/>
      <c r="K1043295" s="19"/>
      <c r="L1043295" s="19"/>
      <c r="M1043295" s="19"/>
      <c r="N1043295" s="19"/>
    </row>
    <row r="1043296" spans="1:14" s="83" customFormat="1" ht="12.75">
      <c r="A1043296" s="19"/>
      <c r="B1043296" s="19"/>
      <c r="C1043296" s="19"/>
      <c r="D1043296" s="19"/>
      <c r="E1043296" s="19"/>
      <c r="F1043296" s="19"/>
      <c r="G1043296" s="19"/>
      <c r="H1043296" s="19"/>
      <c r="I1043296" s="19"/>
      <c r="J1043296" s="19"/>
      <c r="K1043296" s="19"/>
      <c r="L1043296" s="19"/>
      <c r="M1043296" s="19"/>
      <c r="N1043296" s="19"/>
    </row>
    <row r="1043297" spans="1:14" s="83" customFormat="1" ht="12.75">
      <c r="A1043297" s="19"/>
      <c r="B1043297" s="19"/>
      <c r="C1043297" s="19"/>
      <c r="D1043297" s="19"/>
      <c r="E1043297" s="19"/>
      <c r="F1043297" s="19"/>
      <c r="G1043297" s="19"/>
      <c r="H1043297" s="19"/>
      <c r="I1043297" s="19"/>
      <c r="J1043297" s="19"/>
      <c r="K1043297" s="19"/>
      <c r="L1043297" s="19"/>
      <c r="M1043297" s="19"/>
      <c r="N1043297" s="19"/>
    </row>
    <row r="1043298" spans="1:14" s="83" customFormat="1" ht="12.75">
      <c r="A1043298" s="19"/>
      <c r="B1043298" s="19"/>
      <c r="C1043298" s="19"/>
      <c r="D1043298" s="19"/>
      <c r="E1043298" s="19"/>
      <c r="F1043298" s="19"/>
      <c r="G1043298" s="19"/>
      <c r="H1043298" s="19"/>
      <c r="I1043298" s="19"/>
      <c r="J1043298" s="19"/>
      <c r="K1043298" s="19"/>
      <c r="L1043298" s="19"/>
      <c r="M1043298" s="19"/>
      <c r="N1043298" s="19"/>
    </row>
    <row r="1043299" spans="1:14" s="83" customFormat="1" ht="12.75">
      <c r="A1043299" s="19"/>
      <c r="B1043299" s="19"/>
      <c r="C1043299" s="19"/>
      <c r="D1043299" s="19"/>
      <c r="E1043299" s="19"/>
      <c r="F1043299" s="19"/>
      <c r="G1043299" s="19"/>
      <c r="H1043299" s="19"/>
      <c r="I1043299" s="19"/>
      <c r="J1043299" s="19"/>
      <c r="K1043299" s="19"/>
      <c r="L1043299" s="19"/>
      <c r="M1043299" s="19"/>
      <c r="N1043299" s="19"/>
    </row>
    <row r="1043300" spans="1:14" s="83" customFormat="1" ht="12.75">
      <c r="A1043300" s="19"/>
      <c r="B1043300" s="19"/>
      <c r="C1043300" s="19"/>
      <c r="D1043300" s="19"/>
      <c r="E1043300" s="19"/>
      <c r="F1043300" s="19"/>
      <c r="G1043300" s="19"/>
      <c r="H1043300" s="19"/>
      <c r="I1043300" s="19"/>
      <c r="J1043300" s="19"/>
      <c r="K1043300" s="19"/>
      <c r="L1043300" s="19"/>
      <c r="M1043300" s="19"/>
      <c r="N1043300" s="19"/>
    </row>
    <row r="1043301" spans="1:14" s="83" customFormat="1" ht="12.75">
      <c r="A1043301" s="19"/>
      <c r="B1043301" s="19"/>
      <c r="C1043301" s="19"/>
      <c r="D1043301" s="19"/>
      <c r="E1043301" s="19"/>
      <c r="F1043301" s="19"/>
      <c r="G1043301" s="19"/>
      <c r="H1043301" s="19"/>
      <c r="I1043301" s="19"/>
      <c r="J1043301" s="19"/>
      <c r="K1043301" s="19"/>
      <c r="L1043301" s="19"/>
      <c r="M1043301" s="19"/>
      <c r="N1043301" s="19"/>
    </row>
    <row r="1043302" spans="1:14" s="83" customFormat="1" ht="12.75">
      <c r="A1043302" s="19"/>
      <c r="B1043302" s="19"/>
      <c r="C1043302" s="19"/>
      <c r="D1043302" s="19"/>
      <c r="E1043302" s="19"/>
      <c r="F1043302" s="19"/>
      <c r="G1043302" s="19"/>
      <c r="H1043302" s="19"/>
      <c r="I1043302" s="19"/>
      <c r="J1043302" s="19"/>
      <c r="K1043302" s="19"/>
      <c r="L1043302" s="19"/>
      <c r="M1043302" s="19"/>
      <c r="N1043302" s="19"/>
    </row>
    <row r="1043303" spans="1:14" s="83" customFormat="1" ht="12.75">
      <c r="A1043303" s="19"/>
      <c r="B1043303" s="19"/>
      <c r="C1043303" s="19"/>
      <c r="D1043303" s="19"/>
      <c r="E1043303" s="19"/>
      <c r="F1043303" s="19"/>
      <c r="G1043303" s="19"/>
      <c r="H1043303" s="19"/>
      <c r="I1043303" s="19"/>
      <c r="J1043303" s="19"/>
      <c r="K1043303" s="19"/>
      <c r="L1043303" s="19"/>
      <c r="M1043303" s="19"/>
      <c r="N1043303" s="19"/>
    </row>
    <row r="1043304" spans="1:14" s="83" customFormat="1" ht="12.75">
      <c r="A1043304" s="19"/>
      <c r="B1043304" s="19"/>
      <c r="C1043304" s="19"/>
      <c r="D1043304" s="19"/>
      <c r="E1043304" s="19"/>
      <c r="F1043304" s="19"/>
      <c r="G1043304" s="19"/>
      <c r="H1043304" s="19"/>
      <c r="I1043304" s="19"/>
      <c r="J1043304" s="19"/>
      <c r="K1043304" s="19"/>
      <c r="L1043304" s="19"/>
      <c r="M1043304" s="19"/>
      <c r="N1043304" s="19"/>
    </row>
    <row r="1043305" spans="1:14" s="83" customFormat="1" ht="12.75">
      <c r="A1043305" s="19"/>
      <c r="B1043305" s="19"/>
      <c r="C1043305" s="19"/>
      <c r="D1043305" s="19"/>
      <c r="E1043305" s="19"/>
      <c r="F1043305" s="19"/>
      <c r="G1043305" s="19"/>
      <c r="H1043305" s="19"/>
      <c r="I1043305" s="19"/>
      <c r="J1043305" s="19"/>
      <c r="K1043305" s="19"/>
      <c r="L1043305" s="19"/>
      <c r="M1043305" s="19"/>
      <c r="N1043305" s="19"/>
    </row>
    <row r="1043306" spans="1:14" s="83" customFormat="1" ht="12.75">
      <c r="A1043306" s="19"/>
      <c r="B1043306" s="19"/>
      <c r="C1043306" s="19"/>
      <c r="D1043306" s="19"/>
      <c r="E1043306" s="19"/>
      <c r="F1043306" s="19"/>
      <c r="G1043306" s="19"/>
      <c r="H1043306" s="19"/>
      <c r="I1043306" s="19"/>
      <c r="J1043306" s="19"/>
      <c r="K1043306" s="19"/>
      <c r="L1043306" s="19"/>
      <c r="M1043306" s="19"/>
      <c r="N1043306" s="19"/>
    </row>
    <row r="1043307" spans="1:14" s="83" customFormat="1" ht="12.75">
      <c r="A1043307" s="19"/>
      <c r="B1043307" s="19"/>
      <c r="C1043307" s="19"/>
      <c r="D1043307" s="19"/>
      <c r="E1043307" s="19"/>
      <c r="F1043307" s="19"/>
      <c r="G1043307" s="19"/>
      <c r="H1043307" s="19"/>
      <c r="I1043307" s="19"/>
      <c r="J1043307" s="19"/>
      <c r="K1043307" s="19"/>
      <c r="L1043307" s="19"/>
      <c r="M1043307" s="19"/>
      <c r="N1043307" s="19"/>
    </row>
    <row r="1043308" spans="1:14" s="83" customFormat="1" ht="12.75">
      <c r="A1043308" s="19"/>
      <c r="B1043308" s="19"/>
      <c r="C1043308" s="19"/>
      <c r="D1043308" s="19"/>
      <c r="E1043308" s="19"/>
      <c r="F1043308" s="19"/>
      <c r="G1043308" s="19"/>
      <c r="H1043308" s="19"/>
      <c r="I1043308" s="19"/>
      <c r="J1043308" s="19"/>
      <c r="K1043308" s="19"/>
      <c r="L1043308" s="19"/>
      <c r="M1043308" s="19"/>
      <c r="N1043308" s="19"/>
    </row>
    <row r="1043309" spans="1:14" s="83" customFormat="1" ht="12.75">
      <c r="A1043309" s="19"/>
      <c r="B1043309" s="19"/>
      <c r="C1043309" s="19"/>
      <c r="D1043309" s="19"/>
      <c r="E1043309" s="19"/>
      <c r="F1043309" s="19"/>
      <c r="G1043309" s="19"/>
      <c r="H1043309" s="19"/>
      <c r="I1043309" s="19"/>
      <c r="J1043309" s="19"/>
      <c r="K1043309" s="19"/>
      <c r="L1043309" s="19"/>
      <c r="M1043309" s="19"/>
      <c r="N1043309" s="19"/>
    </row>
    <row r="1043310" spans="1:14" s="83" customFormat="1" ht="12.75">
      <c r="A1043310" s="19"/>
      <c r="B1043310" s="19"/>
      <c r="C1043310" s="19"/>
      <c r="D1043310" s="19"/>
      <c r="E1043310" s="19"/>
      <c r="F1043310" s="19"/>
      <c r="G1043310" s="19"/>
      <c r="H1043310" s="19"/>
      <c r="I1043310" s="19"/>
      <c r="J1043310" s="19"/>
      <c r="K1043310" s="19"/>
      <c r="L1043310" s="19"/>
      <c r="M1043310" s="19"/>
      <c r="N1043310" s="19"/>
    </row>
    <row r="1043311" spans="1:14" s="83" customFormat="1" ht="12.75">
      <c r="A1043311" s="19"/>
      <c r="B1043311" s="19"/>
      <c r="C1043311" s="19"/>
      <c r="D1043311" s="19"/>
      <c r="E1043311" s="19"/>
      <c r="F1043311" s="19"/>
      <c r="G1043311" s="19"/>
      <c r="H1043311" s="19"/>
      <c r="I1043311" s="19"/>
      <c r="J1043311" s="19"/>
      <c r="K1043311" s="19"/>
      <c r="L1043311" s="19"/>
      <c r="M1043311" s="19"/>
      <c r="N1043311" s="19"/>
    </row>
    <row r="1043312" spans="1:14" s="83" customFormat="1" ht="12.75">
      <c r="A1043312" s="19"/>
      <c r="B1043312" s="19"/>
      <c r="C1043312" s="19"/>
      <c r="D1043312" s="19"/>
      <c r="E1043312" s="19"/>
      <c r="F1043312" s="19"/>
      <c r="G1043312" s="19"/>
      <c r="H1043312" s="19"/>
      <c r="I1043312" s="19"/>
      <c r="J1043312" s="19"/>
      <c r="K1043312" s="19"/>
      <c r="L1043312" s="19"/>
      <c r="M1043312" s="19"/>
      <c r="N1043312" s="19"/>
    </row>
    <row r="1043313" spans="1:14" s="83" customFormat="1" ht="12.75">
      <c r="A1043313" s="19"/>
      <c r="B1043313" s="19"/>
      <c r="C1043313" s="19"/>
      <c r="D1043313" s="19"/>
      <c r="E1043313" s="19"/>
      <c r="F1043313" s="19"/>
      <c r="G1043313" s="19"/>
      <c r="H1043313" s="19"/>
      <c r="I1043313" s="19"/>
      <c r="J1043313" s="19"/>
      <c r="K1043313" s="19"/>
      <c r="L1043313" s="19"/>
      <c r="M1043313" s="19"/>
      <c r="N1043313" s="19"/>
    </row>
    <row r="1043314" spans="1:14" s="83" customFormat="1" ht="12.75">
      <c r="A1043314" s="19"/>
      <c r="B1043314" s="19"/>
      <c r="C1043314" s="19"/>
      <c r="D1043314" s="19"/>
      <c r="E1043314" s="19"/>
      <c r="F1043314" s="19"/>
      <c r="G1043314" s="19"/>
      <c r="H1043314" s="19"/>
      <c r="I1043314" s="19"/>
      <c r="J1043314" s="19"/>
      <c r="K1043314" s="19"/>
      <c r="L1043314" s="19"/>
      <c r="M1043314" s="19"/>
      <c r="N1043314" s="19"/>
    </row>
    <row r="1043315" spans="1:14" s="83" customFormat="1" ht="12.75">
      <c r="A1043315" s="19"/>
      <c r="B1043315" s="19"/>
      <c r="C1043315" s="19"/>
      <c r="D1043315" s="19"/>
      <c r="E1043315" s="19"/>
      <c r="F1043315" s="19"/>
      <c r="G1043315" s="19"/>
      <c r="H1043315" s="19"/>
      <c r="I1043315" s="19"/>
      <c r="J1043315" s="19"/>
      <c r="K1043315" s="19"/>
      <c r="L1043315" s="19"/>
      <c r="M1043315" s="19"/>
      <c r="N1043315" s="19"/>
    </row>
    <row r="1043316" spans="1:14" s="83" customFormat="1" ht="12.75">
      <c r="A1043316" s="19"/>
      <c r="B1043316" s="19"/>
      <c r="C1043316" s="19"/>
      <c r="D1043316" s="19"/>
      <c r="E1043316" s="19"/>
      <c r="F1043316" s="19"/>
      <c r="G1043316" s="19"/>
      <c r="H1043316" s="19"/>
      <c r="I1043316" s="19"/>
      <c r="J1043316" s="19"/>
      <c r="K1043316" s="19"/>
      <c r="L1043316" s="19"/>
      <c r="M1043316" s="19"/>
      <c r="N1043316" s="19"/>
    </row>
    <row r="1043317" spans="1:14" s="83" customFormat="1" ht="12.75">
      <c r="A1043317" s="19"/>
      <c r="B1043317" s="19"/>
      <c r="C1043317" s="19"/>
      <c r="D1043317" s="19"/>
      <c r="E1043317" s="19"/>
      <c r="F1043317" s="19"/>
      <c r="G1043317" s="19"/>
      <c r="H1043317" s="19"/>
      <c r="I1043317" s="19"/>
      <c r="J1043317" s="19"/>
      <c r="K1043317" s="19"/>
      <c r="L1043317" s="19"/>
      <c r="M1043317" s="19"/>
      <c r="N1043317" s="19"/>
    </row>
    <row r="1043318" spans="1:14" s="83" customFormat="1" ht="12.75">
      <c r="A1043318" s="19"/>
      <c r="B1043318" s="19"/>
      <c r="C1043318" s="19"/>
      <c r="D1043318" s="19"/>
      <c r="E1043318" s="19"/>
      <c r="F1043318" s="19"/>
      <c r="G1043318" s="19"/>
      <c r="H1043318" s="19"/>
      <c r="I1043318" s="19"/>
      <c r="J1043318" s="19"/>
      <c r="K1043318" s="19"/>
      <c r="L1043318" s="19"/>
      <c r="M1043318" s="19"/>
      <c r="N1043318" s="19"/>
    </row>
    <row r="1043319" spans="1:14" s="83" customFormat="1" ht="12.75">
      <c r="A1043319" s="19"/>
      <c r="B1043319" s="19"/>
      <c r="C1043319" s="19"/>
      <c r="D1043319" s="19"/>
      <c r="E1043319" s="19"/>
      <c r="F1043319" s="19"/>
      <c r="G1043319" s="19"/>
      <c r="H1043319" s="19"/>
      <c r="I1043319" s="19"/>
      <c r="J1043319" s="19"/>
      <c r="K1043319" s="19"/>
      <c r="L1043319" s="19"/>
      <c r="M1043319" s="19"/>
      <c r="N1043319" s="19"/>
    </row>
    <row r="1043320" spans="1:14" s="83" customFormat="1" ht="12.75">
      <c r="A1043320" s="19"/>
      <c r="B1043320" s="19"/>
      <c r="C1043320" s="19"/>
      <c r="D1043320" s="19"/>
      <c r="E1043320" s="19"/>
      <c r="F1043320" s="19"/>
      <c r="G1043320" s="19"/>
      <c r="H1043320" s="19"/>
      <c r="I1043320" s="19"/>
      <c r="J1043320" s="19"/>
      <c r="K1043320" s="19"/>
      <c r="L1043320" s="19"/>
      <c r="M1043320" s="19"/>
      <c r="N1043320" s="19"/>
    </row>
    <row r="1043321" spans="1:14" s="83" customFormat="1" ht="12.75">
      <c r="A1043321" s="19"/>
      <c r="B1043321" s="19"/>
      <c r="C1043321" s="19"/>
      <c r="D1043321" s="19"/>
      <c r="E1043321" s="19"/>
      <c r="F1043321" s="19"/>
      <c r="G1043321" s="19"/>
      <c r="H1043321" s="19"/>
      <c r="I1043321" s="19"/>
      <c r="J1043321" s="19"/>
      <c r="K1043321" s="19"/>
      <c r="L1043321" s="19"/>
      <c r="M1043321" s="19"/>
      <c r="N1043321" s="19"/>
    </row>
    <row r="1043322" spans="1:14" s="83" customFormat="1" ht="12.75">
      <c r="A1043322" s="19"/>
      <c r="B1043322" s="19"/>
      <c r="C1043322" s="19"/>
      <c r="D1043322" s="19"/>
      <c r="E1043322" s="19"/>
      <c r="F1043322" s="19"/>
      <c r="G1043322" s="19"/>
      <c r="H1043322" s="19"/>
      <c r="I1043322" s="19"/>
      <c r="J1043322" s="19"/>
      <c r="K1043322" s="19"/>
      <c r="L1043322" s="19"/>
      <c r="M1043322" s="19"/>
      <c r="N1043322" s="19"/>
    </row>
    <row r="1043323" spans="1:14" s="83" customFormat="1" ht="12.75">
      <c r="A1043323" s="19"/>
      <c r="B1043323" s="19"/>
      <c r="C1043323" s="19"/>
      <c r="D1043323" s="19"/>
      <c r="E1043323" s="19"/>
      <c r="F1043323" s="19"/>
      <c r="G1043323" s="19"/>
      <c r="H1043323" s="19"/>
      <c r="I1043323" s="19"/>
      <c r="J1043323" s="19"/>
      <c r="K1043323" s="19"/>
      <c r="L1043323" s="19"/>
      <c r="M1043323" s="19"/>
      <c r="N1043323" s="19"/>
    </row>
    <row r="1043324" spans="1:14" s="83" customFormat="1" ht="12.75">
      <c r="A1043324" s="19"/>
      <c r="B1043324" s="19"/>
      <c r="C1043324" s="19"/>
      <c r="D1043324" s="19"/>
      <c r="E1043324" s="19"/>
      <c r="F1043324" s="19"/>
      <c r="G1043324" s="19"/>
      <c r="H1043324" s="19"/>
      <c r="I1043324" s="19"/>
      <c r="J1043324" s="19"/>
      <c r="K1043324" s="19"/>
      <c r="L1043324" s="19"/>
      <c r="M1043324" s="19"/>
      <c r="N1043324" s="19"/>
    </row>
    <row r="1043325" spans="1:14" s="83" customFormat="1" ht="12.75">
      <c r="A1043325" s="19"/>
      <c r="B1043325" s="19"/>
      <c r="C1043325" s="19"/>
      <c r="D1043325" s="19"/>
      <c r="E1043325" s="19"/>
      <c r="F1043325" s="19"/>
      <c r="G1043325" s="19"/>
      <c r="H1043325" s="19"/>
      <c r="I1043325" s="19"/>
      <c r="J1043325" s="19"/>
      <c r="K1043325" s="19"/>
      <c r="L1043325" s="19"/>
      <c r="M1043325" s="19"/>
      <c r="N1043325" s="19"/>
    </row>
    <row r="1043326" spans="1:14" s="83" customFormat="1" ht="12.75">
      <c r="A1043326" s="19"/>
      <c r="B1043326" s="19"/>
      <c r="C1043326" s="19"/>
      <c r="D1043326" s="19"/>
      <c r="E1043326" s="19"/>
      <c r="F1043326" s="19"/>
      <c r="G1043326" s="19"/>
      <c r="H1043326" s="19"/>
      <c r="I1043326" s="19"/>
      <c r="J1043326" s="19"/>
      <c r="K1043326" s="19"/>
      <c r="L1043326" s="19"/>
      <c r="M1043326" s="19"/>
      <c r="N1043326" s="19"/>
    </row>
    <row r="1043327" spans="1:14" s="83" customFormat="1" ht="12.75">
      <c r="A1043327" s="19"/>
      <c r="B1043327" s="19"/>
      <c r="C1043327" s="19"/>
      <c r="D1043327" s="19"/>
      <c r="E1043327" s="19"/>
      <c r="F1043327" s="19"/>
      <c r="G1043327" s="19"/>
      <c r="H1043327" s="19"/>
      <c r="I1043327" s="19"/>
      <c r="J1043327" s="19"/>
      <c r="K1043327" s="19"/>
      <c r="L1043327" s="19"/>
      <c r="M1043327" s="19"/>
      <c r="N1043327" s="19"/>
    </row>
    <row r="1043328" spans="1:14" s="83" customFormat="1" ht="12.75">
      <c r="A1043328" s="19"/>
      <c r="B1043328" s="19"/>
      <c r="C1043328" s="19"/>
      <c r="D1043328" s="19"/>
      <c r="E1043328" s="19"/>
      <c r="F1043328" s="19"/>
      <c r="G1043328" s="19"/>
      <c r="H1043328" s="19"/>
      <c r="I1043328" s="19"/>
      <c r="J1043328" s="19"/>
      <c r="K1043328" s="19"/>
      <c r="L1043328" s="19"/>
      <c r="M1043328" s="19"/>
      <c r="N1043328" s="19"/>
    </row>
    <row r="1043329" spans="1:14" s="83" customFormat="1" ht="12.75">
      <c r="A1043329" s="19"/>
      <c r="B1043329" s="19"/>
      <c r="C1043329" s="19"/>
      <c r="D1043329" s="19"/>
      <c r="E1043329" s="19"/>
      <c r="F1043329" s="19"/>
      <c r="G1043329" s="19"/>
      <c r="H1043329" s="19"/>
      <c r="I1043329" s="19"/>
      <c r="J1043329" s="19"/>
      <c r="K1043329" s="19"/>
      <c r="L1043329" s="19"/>
      <c r="M1043329" s="19"/>
      <c r="N1043329" s="19"/>
    </row>
    <row r="1043330" spans="1:14" s="83" customFormat="1" ht="12.75">
      <c r="A1043330" s="19"/>
      <c r="B1043330" s="19"/>
      <c r="C1043330" s="19"/>
      <c r="D1043330" s="19"/>
      <c r="E1043330" s="19"/>
      <c r="F1043330" s="19"/>
      <c r="G1043330" s="19"/>
      <c r="H1043330" s="19"/>
      <c r="I1043330" s="19"/>
      <c r="J1043330" s="19"/>
      <c r="K1043330" s="19"/>
      <c r="L1043330" s="19"/>
      <c r="M1043330" s="19"/>
      <c r="N1043330" s="19"/>
    </row>
    <row r="1043331" spans="1:14" s="83" customFormat="1" ht="12.75">
      <c r="A1043331" s="19"/>
      <c r="B1043331" s="19"/>
      <c r="C1043331" s="19"/>
      <c r="D1043331" s="19"/>
      <c r="E1043331" s="19"/>
      <c r="F1043331" s="19"/>
      <c r="G1043331" s="19"/>
      <c r="H1043331" s="19"/>
      <c r="I1043331" s="19"/>
      <c r="J1043331" s="19"/>
      <c r="K1043331" s="19"/>
      <c r="L1043331" s="19"/>
      <c r="M1043331" s="19"/>
      <c r="N1043331" s="19"/>
    </row>
    <row r="1043332" spans="1:14" s="83" customFormat="1" ht="12.75">
      <c r="A1043332" s="19"/>
      <c r="B1043332" s="19"/>
      <c r="C1043332" s="19"/>
      <c r="D1043332" s="19"/>
      <c r="E1043332" s="19"/>
      <c r="F1043332" s="19"/>
      <c r="G1043332" s="19"/>
      <c r="H1043332" s="19"/>
      <c r="I1043332" s="19"/>
      <c r="J1043332" s="19"/>
      <c r="K1043332" s="19"/>
      <c r="L1043332" s="19"/>
      <c r="M1043332" s="19"/>
      <c r="N1043332" s="19"/>
    </row>
    <row r="1043333" spans="1:14" s="83" customFormat="1" ht="12.75">
      <c r="A1043333" s="19"/>
      <c r="B1043333" s="19"/>
      <c r="C1043333" s="19"/>
      <c r="D1043333" s="19"/>
      <c r="E1043333" s="19"/>
      <c r="F1043333" s="19"/>
      <c r="G1043333" s="19"/>
      <c r="H1043333" s="19"/>
      <c r="I1043333" s="19"/>
      <c r="J1043333" s="19"/>
      <c r="K1043333" s="19"/>
      <c r="L1043333" s="19"/>
      <c r="M1043333" s="19"/>
      <c r="N1043333" s="19"/>
    </row>
    <row r="1043334" spans="1:14" s="83" customFormat="1" ht="12.75">
      <c r="A1043334" s="19"/>
      <c r="B1043334" s="19"/>
      <c r="C1043334" s="19"/>
      <c r="D1043334" s="19"/>
      <c r="E1043334" s="19"/>
      <c r="F1043334" s="19"/>
      <c r="G1043334" s="19"/>
      <c r="H1043334" s="19"/>
      <c r="I1043334" s="19"/>
      <c r="J1043334" s="19"/>
      <c r="K1043334" s="19"/>
      <c r="L1043334" s="19"/>
      <c r="M1043334" s="19"/>
      <c r="N1043334" s="19"/>
    </row>
    <row r="1043335" spans="1:14" s="83" customFormat="1" ht="12.75">
      <c r="A1043335" s="19"/>
      <c r="B1043335" s="19"/>
      <c r="C1043335" s="19"/>
      <c r="D1043335" s="19"/>
      <c r="E1043335" s="19"/>
      <c r="F1043335" s="19"/>
      <c r="G1043335" s="19"/>
      <c r="H1043335" s="19"/>
      <c r="I1043335" s="19"/>
      <c r="J1043335" s="19"/>
      <c r="K1043335" s="19"/>
      <c r="L1043335" s="19"/>
      <c r="M1043335" s="19"/>
      <c r="N1043335" s="19"/>
    </row>
    <row r="1043336" spans="1:14" s="83" customFormat="1" ht="12.75">
      <c r="A1043336" s="19"/>
      <c r="B1043336" s="19"/>
      <c r="C1043336" s="19"/>
      <c r="D1043336" s="19"/>
      <c r="E1043336" s="19"/>
      <c r="F1043336" s="19"/>
      <c r="G1043336" s="19"/>
      <c r="H1043336" s="19"/>
      <c r="I1043336" s="19"/>
      <c r="J1043336" s="19"/>
      <c r="K1043336" s="19"/>
      <c r="L1043336" s="19"/>
      <c r="M1043336" s="19"/>
      <c r="N1043336" s="19"/>
    </row>
    <row r="1043337" spans="1:14" s="83" customFormat="1" ht="12.75">
      <c r="A1043337" s="19"/>
      <c r="B1043337" s="19"/>
      <c r="C1043337" s="19"/>
      <c r="D1043337" s="19"/>
      <c r="E1043337" s="19"/>
      <c r="F1043337" s="19"/>
      <c r="G1043337" s="19"/>
      <c r="H1043337" s="19"/>
      <c r="I1043337" s="19"/>
      <c r="J1043337" s="19"/>
      <c r="K1043337" s="19"/>
      <c r="L1043337" s="19"/>
      <c r="M1043337" s="19"/>
      <c r="N1043337" s="19"/>
    </row>
    <row r="1043338" spans="1:14" s="83" customFormat="1" ht="12.75">
      <c r="A1043338" s="19"/>
      <c r="B1043338" s="19"/>
      <c r="C1043338" s="19"/>
      <c r="D1043338" s="19"/>
      <c r="E1043338" s="19"/>
      <c r="F1043338" s="19"/>
      <c r="G1043338" s="19"/>
      <c r="H1043338" s="19"/>
      <c r="I1043338" s="19"/>
      <c r="J1043338" s="19"/>
      <c r="K1043338" s="19"/>
      <c r="L1043338" s="19"/>
      <c r="M1043338" s="19"/>
      <c r="N1043338" s="19"/>
    </row>
    <row r="1043339" spans="1:14" s="83" customFormat="1" ht="12.75">
      <c r="A1043339" s="19"/>
      <c r="B1043339" s="19"/>
      <c r="C1043339" s="19"/>
      <c r="D1043339" s="19"/>
      <c r="E1043339" s="19"/>
      <c r="F1043339" s="19"/>
      <c r="G1043339" s="19"/>
      <c r="H1043339" s="19"/>
      <c r="I1043339" s="19"/>
      <c r="J1043339" s="19"/>
      <c r="K1043339" s="19"/>
      <c r="L1043339" s="19"/>
      <c r="M1043339" s="19"/>
      <c r="N1043339" s="19"/>
    </row>
    <row r="1043340" spans="1:14" s="83" customFormat="1" ht="12.75">
      <c r="A1043340" s="19"/>
      <c r="B1043340" s="19"/>
      <c r="C1043340" s="19"/>
      <c r="D1043340" s="19"/>
      <c r="E1043340" s="19"/>
      <c r="F1043340" s="19"/>
      <c r="G1043340" s="19"/>
      <c r="H1043340" s="19"/>
      <c r="I1043340" s="19"/>
      <c r="J1043340" s="19"/>
      <c r="K1043340" s="19"/>
      <c r="L1043340" s="19"/>
      <c r="M1043340" s="19"/>
      <c r="N1043340" s="19"/>
    </row>
    <row r="1043341" spans="1:14" s="83" customFormat="1" ht="12.75">
      <c r="A1043341" s="19"/>
      <c r="B1043341" s="19"/>
      <c r="C1043341" s="19"/>
      <c r="D1043341" s="19"/>
      <c r="E1043341" s="19"/>
      <c r="F1043341" s="19"/>
      <c r="G1043341" s="19"/>
      <c r="H1043341" s="19"/>
      <c r="I1043341" s="19"/>
      <c r="J1043341" s="19"/>
      <c r="K1043341" s="19"/>
      <c r="L1043341" s="19"/>
      <c r="M1043341" s="19"/>
      <c r="N1043341" s="19"/>
    </row>
    <row r="1043342" spans="1:14" s="83" customFormat="1" ht="12.75">
      <c r="A1043342" s="19"/>
      <c r="B1043342" s="19"/>
      <c r="C1043342" s="19"/>
      <c r="D1043342" s="19"/>
      <c r="E1043342" s="19"/>
      <c r="F1043342" s="19"/>
      <c r="G1043342" s="19"/>
      <c r="H1043342" s="19"/>
      <c r="I1043342" s="19"/>
      <c r="J1043342" s="19"/>
      <c r="K1043342" s="19"/>
      <c r="L1043342" s="19"/>
      <c r="M1043342" s="19"/>
      <c r="N1043342" s="19"/>
    </row>
    <row r="1043343" spans="1:14" s="83" customFormat="1" ht="12.75">
      <c r="A1043343" s="19"/>
      <c r="B1043343" s="19"/>
      <c r="C1043343" s="19"/>
      <c r="D1043343" s="19"/>
      <c r="E1043343" s="19"/>
      <c r="F1043343" s="19"/>
      <c r="G1043343" s="19"/>
      <c r="H1043343" s="19"/>
      <c r="I1043343" s="19"/>
      <c r="J1043343" s="19"/>
      <c r="K1043343" s="19"/>
      <c r="L1043343" s="19"/>
      <c r="M1043343" s="19"/>
      <c r="N1043343" s="19"/>
    </row>
    <row r="1043344" spans="1:14" s="83" customFormat="1" ht="12.75">
      <c r="A1043344" s="19"/>
      <c r="B1043344" s="19"/>
      <c r="C1043344" s="19"/>
      <c r="D1043344" s="19"/>
      <c r="E1043344" s="19"/>
      <c r="F1043344" s="19"/>
      <c r="G1043344" s="19"/>
      <c r="H1043344" s="19"/>
      <c r="I1043344" s="19"/>
      <c r="J1043344" s="19"/>
      <c r="K1043344" s="19"/>
      <c r="L1043344" s="19"/>
      <c r="M1043344" s="19"/>
      <c r="N1043344" s="19"/>
    </row>
    <row r="1043345" spans="1:14" s="83" customFormat="1" ht="12.75">
      <c r="A1043345" s="19"/>
      <c r="B1043345" s="19"/>
      <c r="C1043345" s="19"/>
      <c r="D1043345" s="19"/>
      <c r="E1043345" s="19"/>
      <c r="F1043345" s="19"/>
      <c r="G1043345" s="19"/>
      <c r="H1043345" s="19"/>
      <c r="I1043345" s="19"/>
      <c r="J1043345" s="19"/>
      <c r="K1043345" s="19"/>
      <c r="L1043345" s="19"/>
      <c r="M1043345" s="19"/>
      <c r="N1043345" s="19"/>
    </row>
    <row r="1043346" spans="1:14" s="83" customFormat="1" ht="12.75">
      <c r="A1043346" s="19"/>
      <c r="B1043346" s="19"/>
      <c r="C1043346" s="19"/>
      <c r="D1043346" s="19"/>
      <c r="E1043346" s="19"/>
      <c r="F1043346" s="19"/>
      <c r="G1043346" s="19"/>
      <c r="H1043346" s="19"/>
      <c r="I1043346" s="19"/>
      <c r="J1043346" s="19"/>
      <c r="K1043346" s="19"/>
      <c r="L1043346" s="19"/>
      <c r="M1043346" s="19"/>
      <c r="N1043346" s="19"/>
    </row>
    <row r="1043347" spans="1:14" s="83" customFormat="1" ht="12.75">
      <c r="A1043347" s="19"/>
      <c r="B1043347" s="19"/>
      <c r="C1043347" s="19"/>
      <c r="D1043347" s="19"/>
      <c r="E1043347" s="19"/>
      <c r="F1043347" s="19"/>
      <c r="G1043347" s="19"/>
      <c r="H1043347" s="19"/>
      <c r="I1043347" s="19"/>
      <c r="J1043347" s="19"/>
      <c r="K1043347" s="19"/>
      <c r="L1043347" s="19"/>
      <c r="M1043347" s="19"/>
      <c r="N1043347" s="19"/>
    </row>
    <row r="1043348" spans="1:14" s="83" customFormat="1" ht="12.75">
      <c r="A1043348" s="19"/>
      <c r="B1043348" s="19"/>
      <c r="C1043348" s="19"/>
      <c r="D1043348" s="19"/>
      <c r="E1043348" s="19"/>
      <c r="F1043348" s="19"/>
      <c r="G1043348" s="19"/>
      <c r="H1043348" s="19"/>
      <c r="I1043348" s="19"/>
      <c r="J1043348" s="19"/>
      <c r="K1043348" s="19"/>
      <c r="L1043348" s="19"/>
      <c r="M1043348" s="19"/>
      <c r="N1043348" s="19"/>
    </row>
    <row r="1043349" spans="1:14" s="83" customFormat="1" ht="12.75">
      <c r="A1043349" s="19"/>
      <c r="B1043349" s="19"/>
      <c r="C1043349" s="19"/>
      <c r="D1043349" s="19"/>
      <c r="E1043349" s="19"/>
      <c r="F1043349" s="19"/>
      <c r="G1043349" s="19"/>
      <c r="H1043349" s="19"/>
      <c r="I1043349" s="19"/>
      <c r="J1043349" s="19"/>
      <c r="K1043349" s="19"/>
      <c r="L1043349" s="19"/>
      <c r="M1043349" s="19"/>
      <c r="N1043349" s="19"/>
    </row>
    <row r="1043350" spans="1:14" s="83" customFormat="1" ht="12.75">
      <c r="A1043350" s="19"/>
      <c r="B1043350" s="19"/>
      <c r="C1043350" s="19"/>
      <c r="D1043350" s="19"/>
      <c r="E1043350" s="19"/>
      <c r="F1043350" s="19"/>
      <c r="G1043350" s="19"/>
      <c r="H1043350" s="19"/>
      <c r="I1043350" s="19"/>
      <c r="J1043350" s="19"/>
      <c r="K1043350" s="19"/>
      <c r="L1043350" s="19"/>
      <c r="M1043350" s="19"/>
      <c r="N1043350" s="19"/>
    </row>
    <row r="1043351" spans="1:14" s="83" customFormat="1" ht="12.75">
      <c r="A1043351" s="19"/>
      <c r="B1043351" s="19"/>
      <c r="C1043351" s="19"/>
      <c r="D1043351" s="19"/>
      <c r="E1043351" s="19"/>
      <c r="F1043351" s="19"/>
      <c r="G1043351" s="19"/>
      <c r="H1043351" s="19"/>
      <c r="I1043351" s="19"/>
      <c r="J1043351" s="19"/>
      <c r="K1043351" s="19"/>
      <c r="L1043351" s="19"/>
      <c r="M1043351" s="19"/>
      <c r="N1043351" s="19"/>
    </row>
    <row r="1043352" spans="1:14" s="83" customFormat="1" ht="12.75">
      <c r="A1043352" s="19"/>
      <c r="B1043352" s="19"/>
      <c r="C1043352" s="19"/>
      <c r="D1043352" s="19"/>
      <c r="E1043352" s="19"/>
      <c r="F1043352" s="19"/>
      <c r="G1043352" s="19"/>
      <c r="H1043352" s="19"/>
      <c r="I1043352" s="19"/>
      <c r="J1043352" s="19"/>
      <c r="K1043352" s="19"/>
      <c r="L1043352" s="19"/>
      <c r="M1043352" s="19"/>
      <c r="N1043352" s="19"/>
    </row>
    <row r="1043353" spans="1:14" s="83" customFormat="1" ht="12.75">
      <c r="A1043353" s="19"/>
      <c r="B1043353" s="19"/>
      <c r="C1043353" s="19"/>
      <c r="D1043353" s="19"/>
      <c r="E1043353" s="19"/>
      <c r="F1043353" s="19"/>
      <c r="G1043353" s="19"/>
      <c r="H1043353" s="19"/>
      <c r="I1043353" s="19"/>
      <c r="J1043353" s="19"/>
      <c r="K1043353" s="19"/>
      <c r="L1043353" s="19"/>
      <c r="M1043353" s="19"/>
      <c r="N1043353" s="19"/>
    </row>
    <row r="1043354" spans="1:14" s="83" customFormat="1" ht="12.75">
      <c r="A1043354" s="19"/>
      <c r="B1043354" s="19"/>
      <c r="C1043354" s="19"/>
      <c r="D1043354" s="19"/>
      <c r="E1043354" s="19"/>
      <c r="F1043354" s="19"/>
      <c r="G1043354" s="19"/>
      <c r="H1043354" s="19"/>
      <c r="I1043354" s="19"/>
      <c r="J1043354" s="19"/>
      <c r="K1043354" s="19"/>
      <c r="L1043354" s="19"/>
      <c r="M1043354" s="19"/>
      <c r="N1043354" s="19"/>
    </row>
    <row r="1043355" spans="1:14" s="83" customFormat="1" ht="12.75">
      <c r="A1043355" s="19"/>
      <c r="B1043355" s="19"/>
      <c r="C1043355" s="19"/>
      <c r="D1043355" s="19"/>
      <c r="E1043355" s="19"/>
      <c r="F1043355" s="19"/>
      <c r="G1043355" s="19"/>
      <c r="H1043355" s="19"/>
      <c r="I1043355" s="19"/>
      <c r="J1043355" s="19"/>
      <c r="K1043355" s="19"/>
      <c r="L1043355" s="19"/>
      <c r="M1043355" s="19"/>
      <c r="N1043355" s="19"/>
    </row>
    <row r="1043356" spans="1:14" s="83" customFormat="1" ht="12.75">
      <c r="A1043356" s="19"/>
      <c r="B1043356" s="19"/>
      <c r="C1043356" s="19"/>
      <c r="D1043356" s="19"/>
      <c r="E1043356" s="19"/>
      <c r="F1043356" s="19"/>
      <c r="G1043356" s="19"/>
      <c r="H1043356" s="19"/>
      <c r="I1043356" s="19"/>
      <c r="J1043356" s="19"/>
      <c r="K1043356" s="19"/>
      <c r="L1043356" s="19"/>
      <c r="M1043356" s="19"/>
      <c r="N1043356" s="19"/>
    </row>
    <row r="1043357" spans="1:14" s="83" customFormat="1" ht="12.75">
      <c r="A1043357" s="19"/>
      <c r="B1043357" s="19"/>
      <c r="C1043357" s="19"/>
      <c r="D1043357" s="19"/>
      <c r="E1043357" s="19"/>
      <c r="F1043357" s="19"/>
      <c r="G1043357" s="19"/>
      <c r="H1043357" s="19"/>
      <c r="I1043357" s="19"/>
      <c r="J1043357" s="19"/>
      <c r="K1043357" s="19"/>
      <c r="L1043357" s="19"/>
      <c r="M1043357" s="19"/>
      <c r="N1043357" s="19"/>
    </row>
    <row r="1043358" spans="1:14" s="83" customFormat="1" ht="12.75">
      <c r="A1043358" s="19"/>
      <c r="B1043358" s="19"/>
      <c r="C1043358" s="19"/>
      <c r="D1043358" s="19"/>
      <c r="E1043358" s="19"/>
      <c r="F1043358" s="19"/>
      <c r="G1043358" s="19"/>
      <c r="H1043358" s="19"/>
      <c r="I1043358" s="19"/>
      <c r="J1043358" s="19"/>
      <c r="K1043358" s="19"/>
      <c r="L1043358" s="19"/>
      <c r="M1043358" s="19"/>
      <c r="N1043358" s="19"/>
    </row>
    <row r="1043359" spans="1:14" s="83" customFormat="1" ht="12.75">
      <c r="A1043359" s="19"/>
      <c r="B1043359" s="19"/>
      <c r="C1043359" s="19"/>
      <c r="D1043359" s="19"/>
      <c r="E1043359" s="19"/>
      <c r="F1043359" s="19"/>
      <c r="G1043359" s="19"/>
      <c r="H1043359" s="19"/>
      <c r="I1043359" s="19"/>
      <c r="J1043359" s="19"/>
      <c r="K1043359" s="19"/>
      <c r="L1043359" s="19"/>
      <c r="M1043359" s="19"/>
      <c r="N1043359" s="19"/>
    </row>
    <row r="1043360" spans="1:14" s="83" customFormat="1" ht="12.75">
      <c r="A1043360" s="19"/>
      <c r="B1043360" s="19"/>
      <c r="C1043360" s="19"/>
      <c r="D1043360" s="19"/>
      <c r="E1043360" s="19"/>
      <c r="F1043360" s="19"/>
      <c r="G1043360" s="19"/>
      <c r="H1043360" s="19"/>
      <c r="I1043360" s="19"/>
      <c r="J1043360" s="19"/>
      <c r="K1043360" s="19"/>
      <c r="L1043360" s="19"/>
      <c r="M1043360" s="19"/>
      <c r="N1043360" s="19"/>
    </row>
    <row r="1043361" spans="1:14" s="83" customFormat="1" ht="12.75">
      <c r="A1043361" s="19"/>
      <c r="B1043361" s="19"/>
      <c r="C1043361" s="19"/>
      <c r="D1043361" s="19"/>
      <c r="E1043361" s="19"/>
      <c r="F1043361" s="19"/>
      <c r="G1043361" s="19"/>
      <c r="H1043361" s="19"/>
      <c r="I1043361" s="19"/>
      <c r="J1043361" s="19"/>
      <c r="K1043361" s="19"/>
      <c r="L1043361" s="19"/>
      <c r="M1043361" s="19"/>
      <c r="N1043361" s="19"/>
    </row>
    <row r="1043362" spans="1:14" s="83" customFormat="1" ht="12.75">
      <c r="A1043362" s="19"/>
      <c r="B1043362" s="19"/>
      <c r="C1043362" s="19"/>
      <c r="D1043362" s="19"/>
      <c r="E1043362" s="19"/>
      <c r="F1043362" s="19"/>
      <c r="G1043362" s="19"/>
      <c r="H1043362" s="19"/>
      <c r="I1043362" s="19"/>
      <c r="J1043362" s="19"/>
      <c r="K1043362" s="19"/>
      <c r="L1043362" s="19"/>
      <c r="M1043362" s="19"/>
      <c r="N1043362" s="19"/>
    </row>
    <row r="1043363" spans="1:14" s="83" customFormat="1" ht="12.75">
      <c r="A1043363" s="19"/>
      <c r="B1043363" s="19"/>
      <c r="C1043363" s="19"/>
      <c r="D1043363" s="19"/>
      <c r="E1043363" s="19"/>
      <c r="F1043363" s="19"/>
      <c r="G1043363" s="19"/>
      <c r="H1043363" s="19"/>
      <c r="I1043363" s="19"/>
      <c r="J1043363" s="19"/>
      <c r="K1043363" s="19"/>
      <c r="L1043363" s="19"/>
      <c r="M1043363" s="19"/>
      <c r="N1043363" s="19"/>
    </row>
    <row r="1043364" spans="1:14" s="83" customFormat="1" ht="12.75">
      <c r="A1043364" s="19"/>
      <c r="B1043364" s="19"/>
      <c r="C1043364" s="19"/>
      <c r="D1043364" s="19"/>
      <c r="E1043364" s="19"/>
      <c r="F1043364" s="19"/>
      <c r="G1043364" s="19"/>
      <c r="H1043364" s="19"/>
      <c r="I1043364" s="19"/>
      <c r="J1043364" s="19"/>
      <c r="K1043364" s="19"/>
      <c r="L1043364" s="19"/>
      <c r="M1043364" s="19"/>
      <c r="N1043364" s="19"/>
    </row>
    <row r="1043365" spans="1:14" s="83" customFormat="1" ht="12.75">
      <c r="A1043365" s="19"/>
      <c r="B1043365" s="19"/>
      <c r="C1043365" s="19"/>
      <c r="D1043365" s="19"/>
      <c r="E1043365" s="19"/>
      <c r="F1043365" s="19"/>
      <c r="G1043365" s="19"/>
      <c r="H1043365" s="19"/>
      <c r="I1043365" s="19"/>
      <c r="J1043365" s="19"/>
      <c r="K1043365" s="19"/>
      <c r="L1043365" s="19"/>
      <c r="M1043365" s="19"/>
      <c r="N1043365" s="19"/>
    </row>
    <row r="1043366" spans="1:14" s="83" customFormat="1" ht="12.75">
      <c r="A1043366" s="19"/>
      <c r="B1043366" s="19"/>
      <c r="C1043366" s="19"/>
      <c r="D1043366" s="19"/>
      <c r="E1043366" s="19"/>
      <c r="F1043366" s="19"/>
      <c r="G1043366" s="19"/>
      <c r="H1043366" s="19"/>
      <c r="I1043366" s="19"/>
      <c r="J1043366" s="19"/>
      <c r="K1043366" s="19"/>
      <c r="L1043366" s="19"/>
      <c r="M1043366" s="19"/>
      <c r="N1043366" s="19"/>
    </row>
    <row r="1043367" spans="1:14" s="83" customFormat="1" ht="12.75">
      <c r="A1043367" s="19"/>
      <c r="B1043367" s="19"/>
      <c r="C1043367" s="19"/>
      <c r="D1043367" s="19"/>
      <c r="E1043367" s="19"/>
      <c r="F1043367" s="19"/>
      <c r="G1043367" s="19"/>
      <c r="H1043367" s="19"/>
      <c r="I1043367" s="19"/>
      <c r="J1043367" s="19"/>
      <c r="K1043367" s="19"/>
      <c r="L1043367" s="19"/>
      <c r="M1043367" s="19"/>
      <c r="N1043367" s="19"/>
    </row>
    <row r="1043368" spans="1:14" s="83" customFormat="1" ht="12.75">
      <c r="A1043368" s="19"/>
      <c r="B1043368" s="19"/>
      <c r="C1043368" s="19"/>
      <c r="D1043368" s="19"/>
      <c r="E1043368" s="19"/>
      <c r="F1043368" s="19"/>
      <c r="G1043368" s="19"/>
      <c r="H1043368" s="19"/>
      <c r="I1043368" s="19"/>
      <c r="J1043368" s="19"/>
      <c r="K1043368" s="19"/>
      <c r="L1043368" s="19"/>
      <c r="M1043368" s="19"/>
      <c r="N1043368" s="19"/>
    </row>
    <row r="1043369" spans="1:14" s="83" customFormat="1" ht="12.75">
      <c r="A1043369" s="19"/>
      <c r="B1043369" s="19"/>
      <c r="C1043369" s="19"/>
      <c r="D1043369" s="19"/>
      <c r="E1043369" s="19"/>
      <c r="F1043369" s="19"/>
      <c r="G1043369" s="19"/>
      <c r="H1043369" s="19"/>
      <c r="I1043369" s="19"/>
      <c r="J1043369" s="19"/>
      <c r="K1043369" s="19"/>
      <c r="L1043369" s="19"/>
      <c r="M1043369" s="19"/>
      <c r="N1043369" s="19"/>
    </row>
    <row r="1043370" spans="1:14" s="83" customFormat="1" ht="12.75">
      <c r="A1043370" s="19"/>
      <c r="B1043370" s="19"/>
      <c r="C1043370" s="19"/>
      <c r="D1043370" s="19"/>
      <c r="E1043370" s="19"/>
      <c r="F1043370" s="19"/>
      <c r="G1043370" s="19"/>
      <c r="H1043370" s="19"/>
      <c r="I1043370" s="19"/>
      <c r="J1043370" s="19"/>
      <c r="K1043370" s="19"/>
      <c r="L1043370" s="19"/>
      <c r="M1043370" s="19"/>
      <c r="N1043370" s="19"/>
    </row>
    <row r="1043371" spans="1:14" s="83" customFormat="1" ht="12.75">
      <c r="A1043371" s="19"/>
      <c r="B1043371" s="19"/>
      <c r="C1043371" s="19"/>
      <c r="D1043371" s="19"/>
      <c r="E1043371" s="19"/>
      <c r="F1043371" s="19"/>
      <c r="G1043371" s="19"/>
      <c r="H1043371" s="19"/>
      <c r="I1043371" s="19"/>
      <c r="J1043371" s="19"/>
      <c r="K1043371" s="19"/>
      <c r="L1043371" s="19"/>
      <c r="M1043371" s="19"/>
      <c r="N1043371" s="19"/>
    </row>
    <row r="1043372" spans="1:14" s="83" customFormat="1" ht="12.75">
      <c r="A1043372" s="19"/>
      <c r="B1043372" s="19"/>
      <c r="C1043372" s="19"/>
      <c r="D1043372" s="19"/>
      <c r="E1043372" s="19"/>
      <c r="F1043372" s="19"/>
      <c r="G1043372" s="19"/>
      <c r="H1043372" s="19"/>
      <c r="I1043372" s="19"/>
      <c r="J1043372" s="19"/>
      <c r="K1043372" s="19"/>
      <c r="L1043372" s="19"/>
      <c r="M1043372" s="19"/>
      <c r="N1043372" s="19"/>
    </row>
    <row r="1043373" spans="1:14" s="83" customFormat="1" ht="12.75">
      <c r="A1043373" s="19"/>
      <c r="B1043373" s="19"/>
      <c r="C1043373" s="19"/>
      <c r="D1043373" s="19"/>
      <c r="E1043373" s="19"/>
      <c r="F1043373" s="19"/>
      <c r="G1043373" s="19"/>
      <c r="H1043373" s="19"/>
      <c r="I1043373" s="19"/>
      <c r="J1043373" s="19"/>
      <c r="K1043373" s="19"/>
      <c r="L1043373" s="19"/>
      <c r="M1043373" s="19"/>
      <c r="N1043373" s="19"/>
    </row>
    <row r="1043374" spans="1:14" s="83" customFormat="1" ht="12.75">
      <c r="A1043374" s="19"/>
      <c r="B1043374" s="19"/>
      <c r="C1043374" s="19"/>
      <c r="D1043374" s="19"/>
      <c r="E1043374" s="19"/>
      <c r="F1043374" s="19"/>
      <c r="G1043374" s="19"/>
      <c r="H1043374" s="19"/>
      <c r="I1043374" s="19"/>
      <c r="J1043374" s="19"/>
      <c r="K1043374" s="19"/>
      <c r="L1043374" s="19"/>
      <c r="M1043374" s="19"/>
      <c r="N1043374" s="19"/>
    </row>
    <row r="1043375" spans="1:14" s="83" customFormat="1" ht="12.75">
      <c r="A1043375" s="19"/>
      <c r="B1043375" s="19"/>
      <c r="C1043375" s="19"/>
      <c r="D1043375" s="19"/>
      <c r="E1043375" s="19"/>
      <c r="F1043375" s="19"/>
      <c r="G1043375" s="19"/>
      <c r="H1043375" s="19"/>
      <c r="I1043375" s="19"/>
      <c r="J1043375" s="19"/>
      <c r="K1043375" s="19"/>
      <c r="L1043375" s="19"/>
      <c r="M1043375" s="19"/>
      <c r="N1043375" s="19"/>
    </row>
    <row r="1043376" spans="1:14" s="83" customFormat="1" ht="12.75">
      <c r="A1043376" s="19"/>
      <c r="B1043376" s="19"/>
      <c r="C1043376" s="19"/>
      <c r="D1043376" s="19"/>
      <c r="E1043376" s="19"/>
      <c r="F1043376" s="19"/>
      <c r="G1043376" s="19"/>
      <c r="H1043376" s="19"/>
      <c r="I1043376" s="19"/>
      <c r="J1043376" s="19"/>
      <c r="K1043376" s="19"/>
      <c r="L1043376" s="19"/>
      <c r="M1043376" s="19"/>
      <c r="N1043376" s="19"/>
    </row>
    <row r="1043377" spans="1:14" s="83" customFormat="1" ht="12.75">
      <c r="A1043377" s="19"/>
      <c r="B1043377" s="19"/>
      <c r="C1043377" s="19"/>
      <c r="D1043377" s="19"/>
      <c r="E1043377" s="19"/>
      <c r="F1043377" s="19"/>
      <c r="G1043377" s="19"/>
      <c r="H1043377" s="19"/>
      <c r="I1043377" s="19"/>
      <c r="J1043377" s="19"/>
      <c r="K1043377" s="19"/>
      <c r="L1043377" s="19"/>
      <c r="M1043377" s="19"/>
      <c r="N1043377" s="19"/>
    </row>
    <row r="1043378" spans="1:14" s="83" customFormat="1" ht="12.75">
      <c r="A1043378" s="19"/>
      <c r="B1043378" s="19"/>
      <c r="C1043378" s="19"/>
      <c r="D1043378" s="19"/>
      <c r="E1043378" s="19"/>
      <c r="F1043378" s="19"/>
      <c r="G1043378" s="19"/>
      <c r="H1043378" s="19"/>
      <c r="I1043378" s="19"/>
      <c r="J1043378" s="19"/>
      <c r="K1043378" s="19"/>
      <c r="L1043378" s="19"/>
      <c r="M1043378" s="19"/>
      <c r="N1043378" s="19"/>
    </row>
    <row r="1043379" spans="1:14" s="83" customFormat="1" ht="12.75">
      <c r="A1043379" s="19"/>
      <c r="B1043379" s="19"/>
      <c r="C1043379" s="19"/>
      <c r="D1043379" s="19"/>
      <c r="E1043379" s="19"/>
      <c r="F1043379" s="19"/>
      <c r="G1043379" s="19"/>
      <c r="H1043379" s="19"/>
      <c r="I1043379" s="19"/>
      <c r="J1043379" s="19"/>
      <c r="K1043379" s="19"/>
      <c r="L1043379" s="19"/>
      <c r="M1043379" s="19"/>
      <c r="N1043379" s="19"/>
    </row>
    <row r="1043380" spans="1:14" s="83" customFormat="1" ht="12.75">
      <c r="A1043380" s="19"/>
      <c r="B1043380" s="19"/>
      <c r="C1043380" s="19"/>
      <c r="D1043380" s="19"/>
      <c r="E1043380" s="19"/>
      <c r="F1043380" s="19"/>
      <c r="G1043380" s="19"/>
      <c r="H1043380" s="19"/>
      <c r="I1043380" s="19"/>
      <c r="J1043380" s="19"/>
      <c r="K1043380" s="19"/>
      <c r="L1043380" s="19"/>
      <c r="M1043380" s="19"/>
      <c r="N1043380" s="19"/>
    </row>
    <row r="1043381" spans="1:14" s="83" customFormat="1" ht="12.75">
      <c r="A1043381" s="19"/>
      <c r="B1043381" s="19"/>
      <c r="C1043381" s="19"/>
      <c r="D1043381" s="19"/>
      <c r="E1043381" s="19"/>
      <c r="F1043381" s="19"/>
      <c r="G1043381" s="19"/>
      <c r="H1043381" s="19"/>
      <c r="I1043381" s="19"/>
      <c r="J1043381" s="19"/>
      <c r="K1043381" s="19"/>
      <c r="L1043381" s="19"/>
      <c r="M1043381" s="19"/>
      <c r="N1043381" s="19"/>
    </row>
    <row r="1043382" spans="1:14" s="83" customFormat="1" ht="12.75">
      <c r="A1043382" s="19"/>
      <c r="B1043382" s="19"/>
      <c r="C1043382" s="19"/>
      <c r="D1043382" s="19"/>
      <c r="E1043382" s="19"/>
      <c r="F1043382" s="19"/>
      <c r="G1043382" s="19"/>
      <c r="H1043382" s="19"/>
      <c r="I1043382" s="19"/>
      <c r="J1043382" s="19"/>
      <c r="K1043382" s="19"/>
      <c r="L1043382" s="19"/>
      <c r="M1043382" s="19"/>
      <c r="N1043382" s="19"/>
    </row>
    <row r="1043383" spans="1:14" s="83" customFormat="1" ht="12.75">
      <c r="A1043383" s="19"/>
      <c r="B1043383" s="19"/>
      <c r="C1043383" s="19"/>
      <c r="D1043383" s="19"/>
      <c r="E1043383" s="19"/>
      <c r="F1043383" s="19"/>
      <c r="G1043383" s="19"/>
      <c r="H1043383" s="19"/>
      <c r="I1043383" s="19"/>
      <c r="J1043383" s="19"/>
      <c r="K1043383" s="19"/>
      <c r="L1043383" s="19"/>
      <c r="M1043383" s="19"/>
      <c r="N1043383" s="19"/>
    </row>
    <row r="1043384" spans="1:14" s="83" customFormat="1" ht="12.75">
      <c r="A1043384" s="19"/>
      <c r="B1043384" s="19"/>
      <c r="C1043384" s="19"/>
      <c r="D1043384" s="19"/>
      <c r="E1043384" s="19"/>
      <c r="F1043384" s="19"/>
      <c r="G1043384" s="19"/>
      <c r="H1043384" s="19"/>
      <c r="I1043384" s="19"/>
      <c r="J1043384" s="19"/>
      <c r="K1043384" s="19"/>
      <c r="L1043384" s="19"/>
      <c r="M1043384" s="19"/>
      <c r="N1043384" s="19"/>
    </row>
    <row r="1043385" spans="1:14" s="83" customFormat="1" ht="12.75">
      <c r="A1043385" s="19"/>
      <c r="B1043385" s="19"/>
      <c r="C1043385" s="19"/>
      <c r="D1043385" s="19"/>
      <c r="E1043385" s="19"/>
      <c r="F1043385" s="19"/>
      <c r="G1043385" s="19"/>
      <c r="H1043385" s="19"/>
      <c r="I1043385" s="19"/>
      <c r="J1043385" s="19"/>
      <c r="K1043385" s="19"/>
      <c r="L1043385" s="19"/>
      <c r="M1043385" s="19"/>
      <c r="N1043385" s="19"/>
    </row>
    <row r="1043386" spans="1:14" s="83" customFormat="1" ht="12.75">
      <c r="A1043386" s="19"/>
      <c r="B1043386" s="19"/>
      <c r="C1043386" s="19"/>
      <c r="D1043386" s="19"/>
      <c r="E1043386" s="19"/>
      <c r="F1043386" s="19"/>
      <c r="G1043386" s="19"/>
      <c r="H1043386" s="19"/>
      <c r="I1043386" s="19"/>
      <c r="J1043386" s="19"/>
      <c r="K1043386" s="19"/>
      <c r="L1043386" s="19"/>
      <c r="M1043386" s="19"/>
      <c r="N1043386" s="19"/>
    </row>
    <row r="1043387" spans="1:14" s="83" customFormat="1" ht="12.75">
      <c r="A1043387" s="19"/>
      <c r="B1043387" s="19"/>
      <c r="C1043387" s="19"/>
      <c r="D1043387" s="19"/>
      <c r="E1043387" s="19"/>
      <c r="F1043387" s="19"/>
      <c r="G1043387" s="19"/>
      <c r="H1043387" s="19"/>
      <c r="I1043387" s="19"/>
      <c r="J1043387" s="19"/>
      <c r="K1043387" s="19"/>
      <c r="L1043387" s="19"/>
      <c r="M1043387" s="19"/>
      <c r="N1043387" s="19"/>
    </row>
    <row r="1043388" spans="1:14" s="83" customFormat="1" ht="12.75">
      <c r="A1043388" s="19"/>
      <c r="B1043388" s="19"/>
      <c r="C1043388" s="19"/>
      <c r="D1043388" s="19"/>
      <c r="E1043388" s="19"/>
      <c r="F1043388" s="19"/>
      <c r="G1043388" s="19"/>
      <c r="H1043388" s="19"/>
      <c r="I1043388" s="19"/>
      <c r="J1043388" s="19"/>
      <c r="K1043388" s="19"/>
      <c r="L1043388" s="19"/>
      <c r="M1043388" s="19"/>
      <c r="N1043388" s="19"/>
    </row>
    <row r="1043389" spans="1:14" s="83" customFormat="1" ht="12.75">
      <c r="A1043389" s="19"/>
      <c r="B1043389" s="19"/>
      <c r="C1043389" s="19"/>
      <c r="D1043389" s="19"/>
      <c r="E1043389" s="19"/>
      <c r="F1043389" s="19"/>
      <c r="G1043389" s="19"/>
      <c r="H1043389" s="19"/>
      <c r="I1043389" s="19"/>
      <c r="J1043389" s="19"/>
      <c r="K1043389" s="19"/>
      <c r="L1043389" s="19"/>
      <c r="M1043389" s="19"/>
      <c r="N1043389" s="19"/>
    </row>
    <row r="1043390" spans="1:14" s="83" customFormat="1" ht="12.75">
      <c r="A1043390" s="19"/>
      <c r="B1043390" s="19"/>
      <c r="C1043390" s="19"/>
      <c r="D1043390" s="19"/>
      <c r="E1043390" s="19"/>
      <c r="F1043390" s="19"/>
      <c r="G1043390" s="19"/>
      <c r="H1043390" s="19"/>
      <c r="I1043390" s="19"/>
      <c r="J1043390" s="19"/>
      <c r="K1043390" s="19"/>
      <c r="L1043390" s="19"/>
      <c r="M1043390" s="19"/>
      <c r="N1043390" s="19"/>
    </row>
    <row r="1043391" spans="1:14" s="83" customFormat="1" ht="12.75">
      <c r="A1043391" s="19"/>
      <c r="B1043391" s="19"/>
      <c r="C1043391" s="19"/>
      <c r="D1043391" s="19"/>
      <c r="E1043391" s="19"/>
      <c r="F1043391" s="19"/>
      <c r="G1043391" s="19"/>
      <c r="H1043391" s="19"/>
      <c r="I1043391" s="19"/>
      <c r="J1043391" s="19"/>
      <c r="K1043391" s="19"/>
      <c r="L1043391" s="19"/>
      <c r="M1043391" s="19"/>
      <c r="N1043391" s="19"/>
    </row>
    <row r="1043392" spans="1:14" s="83" customFormat="1" ht="12.75">
      <c r="A1043392" s="19"/>
      <c r="B1043392" s="19"/>
      <c r="C1043392" s="19"/>
      <c r="D1043392" s="19"/>
      <c r="E1043392" s="19"/>
      <c r="F1043392" s="19"/>
      <c r="G1043392" s="19"/>
      <c r="H1043392" s="19"/>
      <c r="I1043392" s="19"/>
      <c r="J1043392" s="19"/>
      <c r="K1043392" s="19"/>
      <c r="L1043392" s="19"/>
      <c r="M1043392" s="19"/>
      <c r="N1043392" s="19"/>
    </row>
    <row r="1043393" spans="1:14" s="83" customFormat="1" ht="12.75">
      <c r="A1043393" s="19"/>
      <c r="B1043393" s="19"/>
      <c r="C1043393" s="19"/>
      <c r="D1043393" s="19"/>
      <c r="E1043393" s="19"/>
      <c r="F1043393" s="19"/>
      <c r="G1043393" s="19"/>
      <c r="H1043393" s="19"/>
      <c r="I1043393" s="19"/>
      <c r="J1043393" s="19"/>
      <c r="K1043393" s="19"/>
      <c r="L1043393" s="19"/>
      <c r="M1043393" s="19"/>
      <c r="N1043393" s="19"/>
    </row>
    <row r="1043394" spans="1:14" s="83" customFormat="1" ht="12.75">
      <c r="A1043394" s="19"/>
      <c r="B1043394" s="19"/>
      <c r="C1043394" s="19"/>
      <c r="D1043394" s="19"/>
      <c r="E1043394" s="19"/>
      <c r="F1043394" s="19"/>
      <c r="G1043394" s="19"/>
      <c r="H1043394" s="19"/>
      <c r="I1043394" s="19"/>
      <c r="J1043394" s="19"/>
      <c r="K1043394" s="19"/>
      <c r="L1043394" s="19"/>
      <c r="M1043394" s="19"/>
      <c r="N1043394" s="19"/>
    </row>
    <row r="1043395" spans="1:14" s="83" customFormat="1" ht="12.75">
      <c r="A1043395" s="19"/>
      <c r="B1043395" s="19"/>
      <c r="C1043395" s="19"/>
      <c r="D1043395" s="19"/>
      <c r="E1043395" s="19"/>
      <c r="F1043395" s="19"/>
      <c r="G1043395" s="19"/>
      <c r="H1043395" s="19"/>
      <c r="I1043395" s="19"/>
      <c r="J1043395" s="19"/>
      <c r="K1043395" s="19"/>
      <c r="L1043395" s="19"/>
      <c r="M1043395" s="19"/>
      <c r="N1043395" s="19"/>
    </row>
    <row r="1043396" spans="1:14" s="83" customFormat="1" ht="12.75">
      <c r="A1043396" s="19"/>
      <c r="B1043396" s="19"/>
      <c r="C1043396" s="19"/>
      <c r="D1043396" s="19"/>
      <c r="E1043396" s="19"/>
      <c r="F1043396" s="19"/>
      <c r="G1043396" s="19"/>
      <c r="H1043396" s="19"/>
      <c r="I1043396" s="19"/>
      <c r="J1043396" s="19"/>
      <c r="K1043396" s="19"/>
      <c r="L1043396" s="19"/>
      <c r="M1043396" s="19"/>
      <c r="N1043396" s="19"/>
    </row>
    <row r="1043397" spans="1:14" s="83" customFormat="1" ht="12.75">
      <c r="A1043397" s="19"/>
      <c r="B1043397" s="19"/>
      <c r="C1043397" s="19"/>
      <c r="D1043397" s="19"/>
      <c r="E1043397" s="19"/>
      <c r="F1043397" s="19"/>
      <c r="G1043397" s="19"/>
      <c r="H1043397" s="19"/>
      <c r="I1043397" s="19"/>
      <c r="J1043397" s="19"/>
      <c r="K1043397" s="19"/>
      <c r="L1043397" s="19"/>
      <c r="M1043397" s="19"/>
      <c r="N1043397" s="19"/>
    </row>
    <row r="1043398" spans="1:14" s="83" customFormat="1" ht="12.75">
      <c r="A1043398" s="19"/>
      <c r="B1043398" s="19"/>
      <c r="C1043398" s="19"/>
      <c r="D1043398" s="19"/>
      <c r="E1043398" s="19"/>
      <c r="F1043398" s="19"/>
      <c r="G1043398" s="19"/>
      <c r="H1043398" s="19"/>
      <c r="I1043398" s="19"/>
      <c r="J1043398" s="19"/>
      <c r="K1043398" s="19"/>
      <c r="L1043398" s="19"/>
      <c r="M1043398" s="19"/>
      <c r="N1043398" s="19"/>
    </row>
    <row r="1043399" spans="1:14" s="83" customFormat="1" ht="12.75">
      <c r="A1043399" s="19"/>
      <c r="B1043399" s="19"/>
      <c r="C1043399" s="19"/>
      <c r="D1043399" s="19"/>
      <c r="E1043399" s="19"/>
      <c r="F1043399" s="19"/>
      <c r="G1043399" s="19"/>
      <c r="H1043399" s="19"/>
      <c r="I1043399" s="19"/>
      <c r="J1043399" s="19"/>
      <c r="K1043399" s="19"/>
      <c r="L1043399" s="19"/>
      <c r="M1043399" s="19"/>
      <c r="N1043399" s="19"/>
    </row>
    <row r="1043400" spans="1:14" s="83" customFormat="1" ht="12.75">
      <c r="A1043400" s="19"/>
      <c r="B1043400" s="19"/>
      <c r="C1043400" s="19"/>
      <c r="D1043400" s="19"/>
      <c r="E1043400" s="19"/>
      <c r="F1043400" s="19"/>
      <c r="G1043400" s="19"/>
      <c r="H1043400" s="19"/>
      <c r="I1043400" s="19"/>
      <c r="J1043400" s="19"/>
      <c r="K1043400" s="19"/>
      <c r="L1043400" s="19"/>
      <c r="M1043400" s="19"/>
      <c r="N1043400" s="19"/>
    </row>
    <row r="1043401" spans="1:14" s="83" customFormat="1" ht="12.75">
      <c r="A1043401" s="19"/>
      <c r="B1043401" s="19"/>
      <c r="C1043401" s="19"/>
      <c r="D1043401" s="19"/>
      <c r="E1043401" s="19"/>
      <c r="F1043401" s="19"/>
      <c r="G1043401" s="19"/>
      <c r="H1043401" s="19"/>
      <c r="I1043401" s="19"/>
      <c r="J1043401" s="19"/>
      <c r="K1043401" s="19"/>
      <c r="L1043401" s="19"/>
      <c r="M1043401" s="19"/>
      <c r="N1043401" s="19"/>
    </row>
    <row r="1043402" spans="1:14" s="83" customFormat="1" ht="12.75">
      <c r="A1043402" s="19"/>
      <c r="B1043402" s="19"/>
      <c r="C1043402" s="19"/>
      <c r="D1043402" s="19"/>
      <c r="E1043402" s="19"/>
      <c r="F1043402" s="19"/>
      <c r="G1043402" s="19"/>
      <c r="H1043402" s="19"/>
      <c r="I1043402" s="19"/>
      <c r="J1043402" s="19"/>
      <c r="K1043402" s="19"/>
      <c r="L1043402" s="19"/>
      <c r="M1043402" s="19"/>
      <c r="N1043402" s="19"/>
    </row>
    <row r="1043403" spans="1:14" s="83" customFormat="1" ht="12.75">
      <c r="A1043403" s="19"/>
      <c r="B1043403" s="19"/>
      <c r="C1043403" s="19"/>
      <c r="D1043403" s="19"/>
      <c r="E1043403" s="19"/>
      <c r="F1043403" s="19"/>
      <c r="G1043403" s="19"/>
      <c r="H1043403" s="19"/>
      <c r="I1043403" s="19"/>
      <c r="J1043403" s="19"/>
      <c r="K1043403" s="19"/>
      <c r="L1043403" s="19"/>
      <c r="M1043403" s="19"/>
      <c r="N1043403" s="19"/>
    </row>
    <row r="1043404" spans="1:14" s="83" customFormat="1" ht="12.75">
      <c r="A1043404" s="19"/>
      <c r="B1043404" s="19"/>
      <c r="C1043404" s="19"/>
      <c r="D1043404" s="19"/>
      <c r="E1043404" s="19"/>
      <c r="F1043404" s="19"/>
      <c r="G1043404" s="19"/>
      <c r="H1043404" s="19"/>
      <c r="I1043404" s="19"/>
      <c r="J1043404" s="19"/>
      <c r="K1043404" s="19"/>
      <c r="L1043404" s="19"/>
      <c r="M1043404" s="19"/>
      <c r="N1043404" s="19"/>
    </row>
    <row r="1043405" spans="1:14" s="83" customFormat="1" ht="12.75">
      <c r="A1043405" s="19"/>
      <c r="B1043405" s="19"/>
      <c r="C1043405" s="19"/>
      <c r="D1043405" s="19"/>
      <c r="E1043405" s="19"/>
      <c r="F1043405" s="19"/>
      <c r="G1043405" s="19"/>
      <c r="H1043405" s="19"/>
      <c r="I1043405" s="19"/>
      <c r="J1043405" s="19"/>
      <c r="K1043405" s="19"/>
      <c r="L1043405" s="19"/>
      <c r="M1043405" s="19"/>
      <c r="N1043405" s="19"/>
    </row>
    <row r="1043406" spans="1:14" s="83" customFormat="1" ht="12.75">
      <c r="A1043406" s="19"/>
      <c r="B1043406" s="19"/>
      <c r="C1043406" s="19"/>
      <c r="D1043406" s="19"/>
      <c r="E1043406" s="19"/>
      <c r="F1043406" s="19"/>
      <c r="G1043406" s="19"/>
      <c r="H1043406" s="19"/>
      <c r="I1043406" s="19"/>
      <c r="J1043406" s="19"/>
      <c r="K1043406" s="19"/>
      <c r="L1043406" s="19"/>
      <c r="M1043406" s="19"/>
      <c r="N1043406" s="19"/>
    </row>
    <row r="1043407" spans="1:14" s="83" customFormat="1" ht="12.75">
      <c r="A1043407" s="19"/>
      <c r="B1043407" s="19"/>
      <c r="C1043407" s="19"/>
      <c r="D1043407" s="19"/>
      <c r="E1043407" s="19"/>
      <c r="F1043407" s="19"/>
      <c r="G1043407" s="19"/>
      <c r="H1043407" s="19"/>
      <c r="I1043407" s="19"/>
      <c r="J1043407" s="19"/>
      <c r="K1043407" s="19"/>
      <c r="L1043407" s="19"/>
      <c r="M1043407" s="19"/>
      <c r="N1043407" s="19"/>
    </row>
    <row r="1043408" spans="1:14" s="83" customFormat="1" ht="12.75">
      <c r="A1043408" s="19"/>
      <c r="B1043408" s="19"/>
      <c r="C1043408" s="19"/>
      <c r="D1043408" s="19"/>
      <c r="E1043408" s="19"/>
      <c r="F1043408" s="19"/>
      <c r="G1043408" s="19"/>
      <c r="H1043408" s="19"/>
      <c r="I1043408" s="19"/>
      <c r="J1043408" s="19"/>
      <c r="K1043408" s="19"/>
      <c r="L1043408" s="19"/>
      <c r="M1043408" s="19"/>
      <c r="N1043408" s="19"/>
    </row>
    <row r="1043409" spans="1:14" s="83" customFormat="1" ht="12.75">
      <c r="A1043409" s="19"/>
      <c r="B1043409" s="19"/>
      <c r="C1043409" s="19"/>
      <c r="D1043409" s="19"/>
      <c r="E1043409" s="19"/>
      <c r="F1043409" s="19"/>
      <c r="G1043409" s="19"/>
      <c r="H1043409" s="19"/>
      <c r="I1043409" s="19"/>
      <c r="J1043409" s="19"/>
      <c r="K1043409" s="19"/>
      <c r="L1043409" s="19"/>
      <c r="M1043409" s="19"/>
      <c r="N1043409" s="19"/>
    </row>
    <row r="1043410" spans="1:14" s="83" customFormat="1" ht="12.75">
      <c r="A1043410" s="19"/>
      <c r="B1043410" s="19"/>
      <c r="C1043410" s="19"/>
      <c r="D1043410" s="19"/>
      <c r="E1043410" s="19"/>
      <c r="F1043410" s="19"/>
      <c r="G1043410" s="19"/>
      <c r="H1043410" s="19"/>
      <c r="I1043410" s="19"/>
      <c r="J1043410" s="19"/>
      <c r="K1043410" s="19"/>
      <c r="L1043410" s="19"/>
      <c r="M1043410" s="19"/>
      <c r="N1043410" s="19"/>
    </row>
    <row r="1043411" spans="1:14" s="83" customFormat="1" ht="12.75">
      <c r="A1043411" s="19"/>
      <c r="B1043411" s="19"/>
      <c r="C1043411" s="19"/>
      <c r="D1043411" s="19"/>
      <c r="E1043411" s="19"/>
      <c r="F1043411" s="19"/>
      <c r="G1043411" s="19"/>
      <c r="H1043411" s="19"/>
      <c r="I1043411" s="19"/>
      <c r="J1043411" s="19"/>
      <c r="K1043411" s="19"/>
      <c r="L1043411" s="19"/>
      <c r="M1043411" s="19"/>
      <c r="N1043411" s="19"/>
    </row>
    <row r="1043412" spans="1:14" s="83" customFormat="1" ht="12.75">
      <c r="A1043412" s="19"/>
      <c r="B1043412" s="19"/>
      <c r="C1043412" s="19"/>
      <c r="D1043412" s="19"/>
      <c r="E1043412" s="19"/>
      <c r="F1043412" s="19"/>
      <c r="G1043412" s="19"/>
      <c r="H1043412" s="19"/>
      <c r="I1043412" s="19"/>
      <c r="J1043412" s="19"/>
      <c r="K1043412" s="19"/>
      <c r="L1043412" s="19"/>
      <c r="M1043412" s="19"/>
      <c r="N1043412" s="19"/>
    </row>
    <row r="1043413" spans="1:14" s="83" customFormat="1" ht="12.75">
      <c r="A1043413" s="19"/>
      <c r="B1043413" s="19"/>
      <c r="C1043413" s="19"/>
      <c r="D1043413" s="19"/>
      <c r="E1043413" s="19"/>
      <c r="F1043413" s="19"/>
      <c r="G1043413" s="19"/>
      <c r="H1043413" s="19"/>
      <c r="I1043413" s="19"/>
      <c r="J1043413" s="19"/>
      <c r="K1043413" s="19"/>
      <c r="L1043413" s="19"/>
      <c r="M1043413" s="19"/>
      <c r="N1043413" s="19"/>
    </row>
    <row r="1043414" spans="1:14" s="83" customFormat="1" ht="12.75">
      <c r="A1043414" s="19"/>
      <c r="B1043414" s="19"/>
      <c r="C1043414" s="19"/>
      <c r="D1043414" s="19"/>
      <c r="E1043414" s="19"/>
      <c r="F1043414" s="19"/>
      <c r="G1043414" s="19"/>
      <c r="H1043414" s="19"/>
      <c r="I1043414" s="19"/>
      <c r="J1043414" s="19"/>
      <c r="K1043414" s="19"/>
      <c r="L1043414" s="19"/>
      <c r="M1043414" s="19"/>
      <c r="N1043414" s="19"/>
    </row>
    <row r="1043415" spans="1:14" s="83" customFormat="1" ht="12.75">
      <c r="A1043415" s="19"/>
      <c r="B1043415" s="19"/>
      <c r="C1043415" s="19"/>
      <c r="D1043415" s="19"/>
      <c r="E1043415" s="19"/>
      <c r="F1043415" s="19"/>
      <c r="G1043415" s="19"/>
      <c r="H1043415" s="19"/>
      <c r="I1043415" s="19"/>
      <c r="J1043415" s="19"/>
      <c r="K1043415" s="19"/>
      <c r="L1043415" s="19"/>
      <c r="M1043415" s="19"/>
      <c r="N1043415" s="19"/>
    </row>
    <row r="1043416" spans="1:14" s="83" customFormat="1" ht="12.75">
      <c r="A1043416" s="19"/>
      <c r="B1043416" s="19"/>
      <c r="C1043416" s="19"/>
      <c r="D1043416" s="19"/>
      <c r="E1043416" s="19"/>
      <c r="F1043416" s="19"/>
      <c r="G1043416" s="19"/>
      <c r="H1043416" s="19"/>
      <c r="I1043416" s="19"/>
      <c r="J1043416" s="19"/>
      <c r="K1043416" s="19"/>
      <c r="L1043416" s="19"/>
      <c r="M1043416" s="19"/>
      <c r="N1043416" s="19"/>
    </row>
    <row r="1043417" spans="1:14" s="83" customFormat="1" ht="12.75">
      <c r="A1043417" s="19"/>
      <c r="B1043417" s="19"/>
      <c r="C1043417" s="19"/>
      <c r="D1043417" s="19"/>
      <c r="E1043417" s="19"/>
      <c r="F1043417" s="19"/>
      <c r="G1043417" s="19"/>
      <c r="H1043417" s="19"/>
      <c r="I1043417" s="19"/>
      <c r="J1043417" s="19"/>
      <c r="K1043417" s="19"/>
      <c r="L1043417" s="19"/>
      <c r="M1043417" s="19"/>
      <c r="N1043417" s="19"/>
    </row>
    <row r="1043418" spans="1:14" s="83" customFormat="1" ht="12.75">
      <c r="A1043418" s="19"/>
      <c r="B1043418" s="19"/>
      <c r="C1043418" s="19"/>
      <c r="D1043418" s="19"/>
      <c r="E1043418" s="19"/>
      <c r="F1043418" s="19"/>
      <c r="G1043418" s="19"/>
      <c r="H1043418" s="19"/>
      <c r="I1043418" s="19"/>
      <c r="J1043418" s="19"/>
      <c r="K1043418" s="19"/>
      <c r="L1043418" s="19"/>
      <c r="M1043418" s="19"/>
      <c r="N1043418" s="19"/>
    </row>
    <row r="1043419" spans="1:14" s="83" customFormat="1" ht="12.75">
      <c r="A1043419" s="19"/>
      <c r="B1043419" s="19"/>
      <c r="C1043419" s="19"/>
      <c r="D1043419" s="19"/>
      <c r="E1043419" s="19"/>
      <c r="F1043419" s="19"/>
      <c r="G1043419" s="19"/>
      <c r="H1043419" s="19"/>
      <c r="I1043419" s="19"/>
      <c r="J1043419" s="19"/>
      <c r="K1043419" s="19"/>
      <c r="L1043419" s="19"/>
      <c r="M1043419" s="19"/>
      <c r="N1043419" s="19"/>
    </row>
    <row r="1043420" spans="1:14" s="83" customFormat="1" ht="12.75">
      <c r="A1043420" s="19"/>
      <c r="B1043420" s="19"/>
      <c r="C1043420" s="19"/>
      <c r="D1043420" s="19"/>
      <c r="E1043420" s="19"/>
      <c r="F1043420" s="19"/>
      <c r="G1043420" s="19"/>
      <c r="H1043420" s="19"/>
      <c r="I1043420" s="19"/>
      <c r="J1043420" s="19"/>
      <c r="K1043420" s="19"/>
      <c r="L1043420" s="19"/>
      <c r="M1043420" s="19"/>
      <c r="N1043420" s="19"/>
    </row>
    <row r="1043421" spans="1:14" s="83" customFormat="1" ht="12.75">
      <c r="A1043421" s="19"/>
      <c r="B1043421" s="19"/>
      <c r="C1043421" s="19"/>
      <c r="D1043421" s="19"/>
      <c r="E1043421" s="19"/>
      <c r="F1043421" s="19"/>
      <c r="G1043421" s="19"/>
      <c r="H1043421" s="19"/>
      <c r="I1043421" s="19"/>
      <c r="J1043421" s="19"/>
      <c r="K1043421" s="19"/>
      <c r="L1043421" s="19"/>
      <c r="M1043421" s="19"/>
      <c r="N1043421" s="19"/>
    </row>
    <row r="1043422" spans="1:14" s="83" customFormat="1" ht="12.75">
      <c r="A1043422" s="19"/>
      <c r="B1043422" s="19"/>
      <c r="C1043422" s="19"/>
      <c r="D1043422" s="19"/>
      <c r="E1043422" s="19"/>
      <c r="F1043422" s="19"/>
      <c r="G1043422" s="19"/>
      <c r="H1043422" s="19"/>
      <c r="I1043422" s="19"/>
      <c r="J1043422" s="19"/>
      <c r="K1043422" s="19"/>
      <c r="L1043422" s="19"/>
      <c r="M1043422" s="19"/>
      <c r="N1043422" s="19"/>
    </row>
    <row r="1043423" spans="1:14" s="83" customFormat="1" ht="12.75">
      <c r="A1043423" s="19"/>
      <c r="B1043423" s="19"/>
      <c r="C1043423" s="19"/>
      <c r="D1043423" s="19"/>
      <c r="E1043423" s="19"/>
      <c r="F1043423" s="19"/>
      <c r="G1043423" s="19"/>
      <c r="H1043423" s="19"/>
      <c r="I1043423" s="19"/>
      <c r="J1043423" s="19"/>
      <c r="K1043423" s="19"/>
      <c r="L1043423" s="19"/>
      <c r="M1043423" s="19"/>
      <c r="N1043423" s="19"/>
    </row>
    <row r="1043424" spans="1:14" s="83" customFormat="1" ht="12.75">
      <c r="A1043424" s="19"/>
      <c r="B1043424" s="19"/>
      <c r="C1043424" s="19"/>
      <c r="D1043424" s="19"/>
      <c r="E1043424" s="19"/>
      <c r="F1043424" s="19"/>
      <c r="G1043424" s="19"/>
      <c r="H1043424" s="19"/>
      <c r="I1043424" s="19"/>
      <c r="J1043424" s="19"/>
      <c r="K1043424" s="19"/>
      <c r="L1043424" s="19"/>
      <c r="M1043424" s="19"/>
      <c r="N1043424" s="19"/>
    </row>
    <row r="1043425" spans="1:14" s="83" customFormat="1" ht="12.75">
      <c r="A1043425" s="19"/>
      <c r="B1043425" s="19"/>
      <c r="C1043425" s="19"/>
      <c r="D1043425" s="19"/>
      <c r="E1043425" s="19"/>
      <c r="F1043425" s="19"/>
      <c r="G1043425" s="19"/>
      <c r="H1043425" s="19"/>
      <c r="I1043425" s="19"/>
      <c r="J1043425" s="19"/>
      <c r="K1043425" s="19"/>
      <c r="L1043425" s="19"/>
      <c r="M1043425" s="19"/>
      <c r="N1043425" s="19"/>
    </row>
    <row r="1043426" spans="1:14" s="83" customFormat="1" ht="12.75">
      <c r="A1043426" s="19"/>
      <c r="B1043426" s="19"/>
      <c r="C1043426" s="19"/>
      <c r="D1043426" s="19"/>
      <c r="E1043426" s="19"/>
      <c r="F1043426" s="19"/>
      <c r="G1043426" s="19"/>
      <c r="H1043426" s="19"/>
      <c r="I1043426" s="19"/>
      <c r="J1043426" s="19"/>
      <c r="K1043426" s="19"/>
      <c r="L1043426" s="19"/>
      <c r="M1043426" s="19"/>
      <c r="N1043426" s="19"/>
    </row>
    <row r="1043427" spans="1:14" s="83" customFormat="1" ht="12.75">
      <c r="A1043427" s="19"/>
      <c r="B1043427" s="19"/>
      <c r="C1043427" s="19"/>
      <c r="D1043427" s="19"/>
      <c r="E1043427" s="19"/>
      <c r="F1043427" s="19"/>
      <c r="G1043427" s="19"/>
      <c r="H1043427" s="19"/>
      <c r="I1043427" s="19"/>
      <c r="J1043427" s="19"/>
      <c r="K1043427" s="19"/>
      <c r="L1043427" s="19"/>
      <c r="M1043427" s="19"/>
      <c r="N1043427" s="19"/>
    </row>
    <row r="1043428" spans="1:14" s="83" customFormat="1" ht="12.75">
      <c r="A1043428" s="19"/>
      <c r="B1043428" s="19"/>
      <c r="C1043428" s="19"/>
      <c r="D1043428" s="19"/>
      <c r="E1043428" s="19"/>
      <c r="F1043428" s="19"/>
      <c r="G1043428" s="19"/>
      <c r="H1043428" s="19"/>
      <c r="I1043428" s="19"/>
      <c r="J1043428" s="19"/>
      <c r="K1043428" s="19"/>
      <c r="L1043428" s="19"/>
      <c r="M1043428" s="19"/>
      <c r="N1043428" s="19"/>
    </row>
    <row r="1043429" spans="1:14" s="83" customFormat="1" ht="12.75">
      <c r="A1043429" s="19"/>
      <c r="B1043429" s="19"/>
      <c r="C1043429" s="19"/>
      <c r="D1043429" s="19"/>
      <c r="E1043429" s="19"/>
      <c r="F1043429" s="19"/>
      <c r="G1043429" s="19"/>
      <c r="H1043429" s="19"/>
      <c r="I1043429" s="19"/>
      <c r="J1043429" s="19"/>
      <c r="K1043429" s="19"/>
      <c r="L1043429" s="19"/>
      <c r="M1043429" s="19"/>
      <c r="N1043429" s="19"/>
    </row>
    <row r="1043430" spans="1:14" s="83" customFormat="1" ht="12.75">
      <c r="A1043430" s="19"/>
      <c r="B1043430" s="19"/>
      <c r="C1043430" s="19"/>
      <c r="D1043430" s="19"/>
      <c r="E1043430" s="19"/>
      <c r="F1043430" s="19"/>
      <c r="G1043430" s="19"/>
      <c r="H1043430" s="19"/>
      <c r="I1043430" s="19"/>
      <c r="J1043430" s="19"/>
      <c r="K1043430" s="19"/>
      <c r="L1043430" s="19"/>
      <c r="M1043430" s="19"/>
      <c r="N1043430" s="19"/>
    </row>
    <row r="1043431" spans="1:14" s="83" customFormat="1" ht="12.75">
      <c r="A1043431" s="19"/>
      <c r="B1043431" s="19"/>
      <c r="C1043431" s="19"/>
      <c r="D1043431" s="19"/>
      <c r="E1043431" s="19"/>
      <c r="F1043431" s="19"/>
      <c r="G1043431" s="19"/>
      <c r="H1043431" s="19"/>
      <c r="I1043431" s="19"/>
      <c r="J1043431" s="19"/>
      <c r="K1043431" s="19"/>
      <c r="L1043431" s="19"/>
      <c r="M1043431" s="19"/>
      <c r="N1043431" s="19"/>
    </row>
    <row r="1043432" spans="1:14" s="83" customFormat="1" ht="12.75">
      <c r="A1043432" s="19"/>
      <c r="B1043432" s="19"/>
      <c r="C1043432" s="19"/>
      <c r="D1043432" s="19"/>
      <c r="E1043432" s="19"/>
      <c r="F1043432" s="19"/>
      <c r="G1043432" s="19"/>
      <c r="H1043432" s="19"/>
      <c r="I1043432" s="19"/>
      <c r="J1043432" s="19"/>
      <c r="K1043432" s="19"/>
      <c r="L1043432" s="19"/>
      <c r="M1043432" s="19"/>
      <c r="N1043432" s="19"/>
    </row>
    <row r="1043433" spans="1:14" s="83" customFormat="1" ht="12.75">
      <c r="A1043433" s="19"/>
      <c r="B1043433" s="19"/>
      <c r="C1043433" s="19"/>
      <c r="D1043433" s="19"/>
      <c r="E1043433" s="19"/>
      <c r="F1043433" s="19"/>
      <c r="G1043433" s="19"/>
      <c r="H1043433" s="19"/>
      <c r="I1043433" s="19"/>
      <c r="J1043433" s="19"/>
      <c r="K1043433" s="19"/>
      <c r="L1043433" s="19"/>
      <c r="M1043433" s="19"/>
      <c r="N1043433" s="19"/>
    </row>
    <row r="1043434" spans="1:14" s="83" customFormat="1" ht="12.75">
      <c r="A1043434" s="19"/>
      <c r="B1043434" s="19"/>
      <c r="C1043434" s="19"/>
      <c r="D1043434" s="19"/>
      <c r="E1043434" s="19"/>
      <c r="F1043434" s="19"/>
      <c r="G1043434" s="19"/>
      <c r="H1043434" s="19"/>
      <c r="I1043434" s="19"/>
      <c r="J1043434" s="19"/>
      <c r="K1043434" s="19"/>
      <c r="L1043434" s="19"/>
      <c r="M1043434" s="19"/>
      <c r="N1043434" s="19"/>
    </row>
    <row r="1043435" spans="1:14" s="83" customFormat="1" ht="12.75">
      <c r="A1043435" s="19"/>
      <c r="B1043435" s="19"/>
      <c r="C1043435" s="19"/>
      <c r="D1043435" s="19"/>
      <c r="E1043435" s="19"/>
      <c r="F1043435" s="19"/>
      <c r="G1043435" s="19"/>
      <c r="H1043435" s="19"/>
      <c r="I1043435" s="19"/>
      <c r="J1043435" s="19"/>
      <c r="K1043435" s="19"/>
      <c r="L1043435" s="19"/>
      <c r="M1043435" s="19"/>
      <c r="N1043435" s="19"/>
    </row>
    <row r="1043436" spans="1:14" s="83" customFormat="1" ht="12.75">
      <c r="A1043436" s="19"/>
      <c r="B1043436" s="19"/>
      <c r="C1043436" s="19"/>
      <c r="D1043436" s="19"/>
      <c r="E1043436" s="19"/>
      <c r="F1043436" s="19"/>
      <c r="G1043436" s="19"/>
      <c r="H1043436" s="19"/>
      <c r="I1043436" s="19"/>
      <c r="J1043436" s="19"/>
      <c r="K1043436" s="19"/>
      <c r="L1043436" s="19"/>
      <c r="M1043436" s="19"/>
      <c r="N1043436" s="19"/>
    </row>
    <row r="1043437" spans="1:14" s="83" customFormat="1" ht="12.75">
      <c r="A1043437" s="19"/>
      <c r="B1043437" s="19"/>
      <c r="C1043437" s="19"/>
      <c r="D1043437" s="19"/>
      <c r="E1043437" s="19"/>
      <c r="F1043437" s="19"/>
      <c r="G1043437" s="19"/>
      <c r="H1043437" s="19"/>
      <c r="I1043437" s="19"/>
      <c r="J1043437" s="19"/>
      <c r="K1043437" s="19"/>
      <c r="L1043437" s="19"/>
      <c r="M1043437" s="19"/>
      <c r="N1043437" s="19"/>
    </row>
    <row r="1043438" spans="1:14" s="83" customFormat="1" ht="12.75">
      <c r="A1043438" s="19"/>
      <c r="B1043438" s="19"/>
      <c r="C1043438" s="19"/>
      <c r="D1043438" s="19"/>
      <c r="E1043438" s="19"/>
      <c r="F1043438" s="19"/>
      <c r="G1043438" s="19"/>
      <c r="H1043438" s="19"/>
      <c r="I1043438" s="19"/>
      <c r="J1043438" s="19"/>
      <c r="K1043438" s="19"/>
      <c r="L1043438" s="19"/>
      <c r="M1043438" s="19"/>
      <c r="N1043438" s="19"/>
    </row>
    <row r="1043439" spans="1:14" s="83" customFormat="1" ht="12.75">
      <c r="A1043439" s="19"/>
      <c r="B1043439" s="19"/>
      <c r="C1043439" s="19"/>
      <c r="D1043439" s="19"/>
      <c r="E1043439" s="19"/>
      <c r="F1043439" s="19"/>
      <c r="G1043439" s="19"/>
      <c r="H1043439" s="19"/>
      <c r="I1043439" s="19"/>
      <c r="J1043439" s="19"/>
      <c r="K1043439" s="19"/>
      <c r="L1043439" s="19"/>
      <c r="M1043439" s="19"/>
      <c r="N1043439" s="19"/>
    </row>
    <row r="1043440" spans="1:14" s="83" customFormat="1" ht="12.75">
      <c r="A1043440" s="19"/>
      <c r="B1043440" s="19"/>
      <c r="C1043440" s="19"/>
      <c r="D1043440" s="19"/>
      <c r="E1043440" s="19"/>
      <c r="F1043440" s="19"/>
      <c r="G1043440" s="19"/>
      <c r="H1043440" s="19"/>
      <c r="I1043440" s="19"/>
      <c r="J1043440" s="19"/>
      <c r="K1043440" s="19"/>
      <c r="L1043440" s="19"/>
      <c r="M1043440" s="19"/>
      <c r="N1043440" s="19"/>
    </row>
    <row r="1043441" spans="1:14" s="83" customFormat="1" ht="12.75">
      <c r="A1043441" s="19"/>
      <c r="B1043441" s="19"/>
      <c r="C1043441" s="19"/>
      <c r="D1043441" s="19"/>
      <c r="E1043441" s="19"/>
      <c r="F1043441" s="19"/>
      <c r="G1043441" s="19"/>
      <c r="H1043441" s="19"/>
      <c r="I1043441" s="19"/>
      <c r="J1043441" s="19"/>
      <c r="K1043441" s="19"/>
      <c r="L1043441" s="19"/>
      <c r="M1043441" s="19"/>
      <c r="N1043441" s="19"/>
    </row>
    <row r="1043442" spans="1:14" s="83" customFormat="1" ht="12.75">
      <c r="A1043442" s="19"/>
      <c r="B1043442" s="19"/>
      <c r="C1043442" s="19"/>
      <c r="D1043442" s="19"/>
      <c r="E1043442" s="19"/>
      <c r="F1043442" s="19"/>
      <c r="G1043442" s="19"/>
      <c r="H1043442" s="19"/>
      <c r="I1043442" s="19"/>
      <c r="J1043442" s="19"/>
      <c r="K1043442" s="19"/>
      <c r="L1043442" s="19"/>
      <c r="M1043442" s="19"/>
      <c r="N1043442" s="19"/>
    </row>
    <row r="1043443" spans="1:14" s="83" customFormat="1" ht="12.75">
      <c r="A1043443" s="19"/>
      <c r="B1043443" s="19"/>
      <c r="C1043443" s="19"/>
      <c r="D1043443" s="19"/>
      <c r="E1043443" s="19"/>
      <c r="F1043443" s="19"/>
      <c r="G1043443" s="19"/>
      <c r="H1043443" s="19"/>
      <c r="I1043443" s="19"/>
      <c r="J1043443" s="19"/>
      <c r="K1043443" s="19"/>
      <c r="L1043443" s="19"/>
      <c r="M1043443" s="19"/>
      <c r="N1043443" s="19"/>
    </row>
    <row r="1043444" spans="1:14" s="83" customFormat="1" ht="12.75">
      <c r="A1043444" s="19"/>
      <c r="B1043444" s="19"/>
      <c r="C1043444" s="19"/>
      <c r="D1043444" s="19"/>
      <c r="E1043444" s="19"/>
      <c r="F1043444" s="19"/>
      <c r="G1043444" s="19"/>
      <c r="H1043444" s="19"/>
      <c r="I1043444" s="19"/>
      <c r="J1043444" s="19"/>
      <c r="K1043444" s="19"/>
      <c r="L1043444" s="19"/>
      <c r="M1043444" s="19"/>
      <c r="N1043444" s="19"/>
    </row>
    <row r="1043445" spans="1:14" s="83" customFormat="1" ht="12.75">
      <c r="A1043445" s="19"/>
      <c r="B1043445" s="19"/>
      <c r="C1043445" s="19"/>
      <c r="D1043445" s="19"/>
      <c r="E1043445" s="19"/>
      <c r="F1043445" s="19"/>
      <c r="G1043445" s="19"/>
      <c r="H1043445" s="19"/>
      <c r="I1043445" s="19"/>
      <c r="J1043445" s="19"/>
      <c r="K1043445" s="19"/>
      <c r="L1043445" s="19"/>
      <c r="M1043445" s="19"/>
      <c r="N1043445" s="19"/>
    </row>
    <row r="1043446" spans="1:14" s="83" customFormat="1" ht="12.75">
      <c r="A1043446" s="19"/>
      <c r="B1043446" s="19"/>
      <c r="C1043446" s="19"/>
      <c r="D1043446" s="19"/>
      <c r="E1043446" s="19"/>
      <c r="F1043446" s="19"/>
      <c r="G1043446" s="19"/>
      <c r="H1043446" s="19"/>
      <c r="I1043446" s="19"/>
      <c r="J1043446" s="19"/>
      <c r="K1043446" s="19"/>
      <c r="L1043446" s="19"/>
      <c r="M1043446" s="19"/>
      <c r="N1043446" s="19"/>
    </row>
    <row r="1043447" spans="1:14" s="83" customFormat="1" ht="12.75">
      <c r="A1043447" s="19"/>
      <c r="B1043447" s="19"/>
      <c r="C1043447" s="19"/>
      <c r="D1043447" s="19"/>
      <c r="E1043447" s="19"/>
      <c r="F1043447" s="19"/>
      <c r="G1043447" s="19"/>
      <c r="H1043447" s="19"/>
      <c r="I1043447" s="19"/>
      <c r="J1043447" s="19"/>
      <c r="K1043447" s="19"/>
      <c r="L1043447" s="19"/>
      <c r="M1043447" s="19"/>
      <c r="N1043447" s="19"/>
    </row>
    <row r="1043448" spans="1:14" s="83" customFormat="1" ht="12.75">
      <c r="A1043448" s="19"/>
      <c r="B1043448" s="19"/>
      <c r="C1043448" s="19"/>
      <c r="D1043448" s="19"/>
      <c r="E1043448" s="19"/>
      <c r="F1043448" s="19"/>
      <c r="G1043448" s="19"/>
      <c r="H1043448" s="19"/>
      <c r="I1043448" s="19"/>
      <c r="J1043448" s="19"/>
      <c r="K1043448" s="19"/>
      <c r="L1043448" s="19"/>
      <c r="M1043448" s="19"/>
      <c r="N1043448" s="19"/>
    </row>
    <row r="1043449" spans="1:14" s="83" customFormat="1" ht="12.75">
      <c r="A1043449" s="19"/>
      <c r="B1043449" s="19"/>
      <c r="C1043449" s="19"/>
      <c r="D1043449" s="19"/>
      <c r="E1043449" s="19"/>
      <c r="F1043449" s="19"/>
      <c r="G1043449" s="19"/>
      <c r="H1043449" s="19"/>
      <c r="I1043449" s="19"/>
      <c r="J1043449" s="19"/>
      <c r="K1043449" s="19"/>
      <c r="L1043449" s="19"/>
      <c r="M1043449" s="19"/>
      <c r="N1043449" s="19"/>
    </row>
    <row r="1043450" spans="1:14" s="83" customFormat="1" ht="12.75">
      <c r="A1043450" s="19"/>
      <c r="B1043450" s="19"/>
      <c r="C1043450" s="19"/>
      <c r="D1043450" s="19"/>
      <c r="E1043450" s="19"/>
      <c r="F1043450" s="19"/>
      <c r="G1043450" s="19"/>
      <c r="H1043450" s="19"/>
      <c r="I1043450" s="19"/>
      <c r="J1043450" s="19"/>
      <c r="K1043450" s="19"/>
      <c r="L1043450" s="19"/>
      <c r="M1043450" s="19"/>
      <c r="N1043450" s="19"/>
    </row>
    <row r="1043451" spans="1:14" s="83" customFormat="1" ht="12.75">
      <c r="A1043451" s="19"/>
      <c r="B1043451" s="19"/>
      <c r="C1043451" s="19"/>
      <c r="D1043451" s="19"/>
      <c r="E1043451" s="19"/>
      <c r="F1043451" s="19"/>
      <c r="G1043451" s="19"/>
      <c r="H1043451" s="19"/>
      <c r="I1043451" s="19"/>
      <c r="J1043451" s="19"/>
      <c r="K1043451" s="19"/>
      <c r="L1043451" s="19"/>
      <c r="M1043451" s="19"/>
      <c r="N1043451" s="19"/>
    </row>
    <row r="1043452" spans="1:14" s="83" customFormat="1" ht="12.75">
      <c r="A1043452" s="19"/>
      <c r="B1043452" s="19"/>
      <c r="C1043452" s="19"/>
      <c r="D1043452" s="19"/>
      <c r="E1043452" s="19"/>
      <c r="F1043452" s="19"/>
      <c r="G1043452" s="19"/>
      <c r="H1043452" s="19"/>
      <c r="I1043452" s="19"/>
      <c r="J1043452" s="19"/>
      <c r="K1043452" s="19"/>
      <c r="L1043452" s="19"/>
      <c r="M1043452" s="19"/>
      <c r="N1043452" s="19"/>
    </row>
    <row r="1043453" spans="1:14" s="83" customFormat="1" ht="12.75">
      <c r="A1043453" s="19"/>
      <c r="B1043453" s="19"/>
      <c r="C1043453" s="19"/>
      <c r="D1043453" s="19"/>
      <c r="E1043453" s="19"/>
      <c r="F1043453" s="19"/>
      <c r="G1043453" s="19"/>
      <c r="H1043453" s="19"/>
      <c r="I1043453" s="19"/>
      <c r="J1043453" s="19"/>
      <c r="K1043453" s="19"/>
      <c r="L1043453" s="19"/>
      <c r="M1043453" s="19"/>
      <c r="N1043453" s="19"/>
    </row>
    <row r="1043454" spans="1:14" s="83" customFormat="1" ht="12.75">
      <c r="A1043454" s="19"/>
      <c r="B1043454" s="19"/>
      <c r="C1043454" s="19"/>
      <c r="D1043454" s="19"/>
      <c r="E1043454" s="19"/>
      <c r="F1043454" s="19"/>
      <c r="G1043454" s="19"/>
      <c r="H1043454" s="19"/>
      <c r="I1043454" s="19"/>
      <c r="J1043454" s="19"/>
      <c r="K1043454" s="19"/>
      <c r="L1043454" s="19"/>
      <c r="M1043454" s="19"/>
      <c r="N1043454" s="19"/>
    </row>
    <row r="1043455" spans="1:14" s="83" customFormat="1" ht="12.75">
      <c r="A1043455" s="19"/>
      <c r="B1043455" s="19"/>
      <c r="C1043455" s="19"/>
      <c r="D1043455" s="19"/>
      <c r="E1043455" s="19"/>
      <c r="F1043455" s="19"/>
      <c r="G1043455" s="19"/>
      <c r="H1043455" s="19"/>
      <c r="I1043455" s="19"/>
      <c r="J1043455" s="19"/>
      <c r="K1043455" s="19"/>
      <c r="L1043455" s="19"/>
      <c r="M1043455" s="19"/>
      <c r="N1043455" s="19"/>
    </row>
    <row r="1043456" spans="1:14" s="83" customFormat="1" ht="12.75">
      <c r="A1043456" s="19"/>
      <c r="B1043456" s="19"/>
      <c r="C1043456" s="19"/>
      <c r="D1043456" s="19"/>
      <c r="E1043456" s="19"/>
      <c r="F1043456" s="19"/>
      <c r="G1043456" s="19"/>
      <c r="H1043456" s="19"/>
      <c r="I1043456" s="19"/>
      <c r="J1043456" s="19"/>
      <c r="K1043456" s="19"/>
      <c r="L1043456" s="19"/>
      <c r="M1043456" s="19"/>
      <c r="N1043456" s="19"/>
    </row>
    <row r="1043457" spans="1:14" s="83" customFormat="1" ht="12.75">
      <c r="A1043457" s="19"/>
      <c r="B1043457" s="19"/>
      <c r="C1043457" s="19"/>
      <c r="D1043457" s="19"/>
      <c r="E1043457" s="19"/>
      <c r="F1043457" s="19"/>
      <c r="G1043457" s="19"/>
      <c r="H1043457" s="19"/>
      <c r="I1043457" s="19"/>
      <c r="J1043457" s="19"/>
      <c r="K1043457" s="19"/>
      <c r="L1043457" s="19"/>
      <c r="M1043457" s="19"/>
      <c r="N1043457" s="19"/>
    </row>
    <row r="1043458" spans="1:14" s="83" customFormat="1" ht="12.75">
      <c r="A1043458" s="19"/>
      <c r="B1043458" s="19"/>
      <c r="C1043458" s="19"/>
      <c r="D1043458" s="19"/>
      <c r="E1043458" s="19"/>
      <c r="F1043458" s="19"/>
      <c r="G1043458" s="19"/>
      <c r="H1043458" s="19"/>
      <c r="I1043458" s="19"/>
      <c r="J1043458" s="19"/>
      <c r="K1043458" s="19"/>
      <c r="L1043458" s="19"/>
      <c r="M1043458" s="19"/>
      <c r="N1043458" s="19"/>
    </row>
    <row r="1043459" spans="1:14" s="83" customFormat="1" ht="12.75">
      <c r="A1043459" s="19"/>
      <c r="B1043459" s="19"/>
      <c r="C1043459" s="19"/>
      <c r="D1043459" s="19"/>
      <c r="E1043459" s="19"/>
      <c r="F1043459" s="19"/>
      <c r="G1043459" s="19"/>
      <c r="H1043459" s="19"/>
      <c r="I1043459" s="19"/>
      <c r="J1043459" s="19"/>
      <c r="K1043459" s="19"/>
      <c r="L1043459" s="19"/>
      <c r="M1043459" s="19"/>
      <c r="N1043459" s="19"/>
    </row>
    <row r="1043460" spans="1:14" s="83" customFormat="1" ht="12.75">
      <c r="A1043460" s="19"/>
      <c r="B1043460" s="19"/>
      <c r="C1043460" s="19"/>
      <c r="D1043460" s="19"/>
      <c r="E1043460" s="19"/>
      <c r="F1043460" s="19"/>
      <c r="G1043460" s="19"/>
      <c r="H1043460" s="19"/>
      <c r="I1043460" s="19"/>
      <c r="J1043460" s="19"/>
      <c r="K1043460" s="19"/>
      <c r="L1043460" s="19"/>
      <c r="M1043460" s="19"/>
      <c r="N1043460" s="19"/>
    </row>
    <row r="1043461" spans="1:14" s="83" customFormat="1" ht="12.75">
      <c r="A1043461" s="19"/>
      <c r="B1043461" s="19"/>
      <c r="C1043461" s="19"/>
      <c r="D1043461" s="19"/>
      <c r="E1043461" s="19"/>
      <c r="F1043461" s="19"/>
      <c r="G1043461" s="19"/>
      <c r="H1043461" s="19"/>
      <c r="I1043461" s="19"/>
      <c r="J1043461" s="19"/>
      <c r="K1043461" s="19"/>
      <c r="L1043461" s="19"/>
      <c r="M1043461" s="19"/>
      <c r="N1043461" s="19"/>
    </row>
    <row r="1043462" spans="1:14" s="83" customFormat="1" ht="12.75">
      <c r="A1043462" s="19"/>
      <c r="B1043462" s="19"/>
      <c r="C1043462" s="19"/>
      <c r="D1043462" s="19"/>
      <c r="E1043462" s="19"/>
      <c r="F1043462" s="19"/>
      <c r="G1043462" s="19"/>
      <c r="H1043462" s="19"/>
      <c r="I1043462" s="19"/>
      <c r="J1043462" s="19"/>
      <c r="K1043462" s="19"/>
      <c r="L1043462" s="19"/>
      <c r="M1043462" s="19"/>
      <c r="N1043462" s="19"/>
    </row>
    <row r="1043463" spans="1:14" s="83" customFormat="1" ht="12.75">
      <c r="A1043463" s="19"/>
      <c r="B1043463" s="19"/>
      <c r="C1043463" s="19"/>
      <c r="D1043463" s="19"/>
      <c r="E1043463" s="19"/>
      <c r="F1043463" s="19"/>
      <c r="G1043463" s="19"/>
      <c r="H1043463" s="19"/>
      <c r="I1043463" s="19"/>
      <c r="J1043463" s="19"/>
      <c r="K1043463" s="19"/>
      <c r="L1043463" s="19"/>
      <c r="M1043463" s="19"/>
      <c r="N1043463" s="19"/>
    </row>
    <row r="1043464" spans="1:14" s="83" customFormat="1" ht="12.75">
      <c r="A1043464" s="19"/>
      <c r="B1043464" s="19"/>
      <c r="C1043464" s="19"/>
      <c r="D1043464" s="19"/>
      <c r="E1043464" s="19"/>
      <c r="F1043464" s="19"/>
      <c r="G1043464" s="19"/>
      <c r="H1043464" s="19"/>
      <c r="I1043464" s="19"/>
      <c r="J1043464" s="19"/>
      <c r="K1043464" s="19"/>
      <c r="L1043464" s="19"/>
      <c r="M1043464" s="19"/>
      <c r="N1043464" s="19"/>
    </row>
    <row r="1043465" spans="1:14" s="83" customFormat="1" ht="12.75">
      <c r="A1043465" s="19"/>
      <c r="B1043465" s="19"/>
      <c r="C1043465" s="19"/>
      <c r="D1043465" s="19"/>
      <c r="E1043465" s="19"/>
      <c r="F1043465" s="19"/>
      <c r="G1043465" s="19"/>
      <c r="H1043465" s="19"/>
      <c r="I1043465" s="19"/>
      <c r="J1043465" s="19"/>
      <c r="K1043465" s="19"/>
      <c r="L1043465" s="19"/>
      <c r="M1043465" s="19"/>
      <c r="N1043465" s="19"/>
    </row>
    <row r="1043466" spans="1:14" s="83" customFormat="1" ht="12.75">
      <c r="A1043466" s="19"/>
      <c r="B1043466" s="19"/>
      <c r="C1043466" s="19"/>
      <c r="D1043466" s="19"/>
      <c r="E1043466" s="19"/>
      <c r="F1043466" s="19"/>
      <c r="G1043466" s="19"/>
      <c r="H1043466" s="19"/>
      <c r="I1043466" s="19"/>
      <c r="J1043466" s="19"/>
      <c r="K1043466" s="19"/>
      <c r="L1043466" s="19"/>
      <c r="M1043466" s="19"/>
      <c r="N1043466" s="19"/>
    </row>
    <row r="1043467" spans="1:14" s="83" customFormat="1" ht="12.75">
      <c r="A1043467" s="19"/>
      <c r="B1043467" s="19"/>
      <c r="C1043467" s="19"/>
      <c r="D1043467" s="19"/>
      <c r="E1043467" s="19"/>
      <c r="F1043467" s="19"/>
      <c r="G1043467" s="19"/>
      <c r="H1043467" s="19"/>
      <c r="I1043467" s="19"/>
      <c r="J1043467" s="19"/>
      <c r="K1043467" s="19"/>
      <c r="L1043467" s="19"/>
      <c r="M1043467" s="19"/>
      <c r="N1043467" s="19"/>
    </row>
    <row r="1043468" spans="1:14" s="83" customFormat="1" ht="12.75">
      <c r="A1043468" s="19"/>
      <c r="B1043468" s="19"/>
      <c r="C1043468" s="19"/>
      <c r="D1043468" s="19"/>
      <c r="E1043468" s="19"/>
      <c r="F1043468" s="19"/>
      <c r="G1043468" s="19"/>
      <c r="H1043468" s="19"/>
      <c r="I1043468" s="19"/>
      <c r="J1043468" s="19"/>
      <c r="K1043468" s="19"/>
      <c r="L1043468" s="19"/>
      <c r="M1043468" s="19"/>
      <c r="N1043468" s="19"/>
    </row>
    <row r="1043469" spans="1:14" s="83" customFormat="1" ht="12.75">
      <c r="A1043469" s="19"/>
      <c r="B1043469" s="19"/>
      <c r="C1043469" s="19"/>
      <c r="D1043469" s="19"/>
      <c r="E1043469" s="19"/>
      <c r="F1043469" s="19"/>
      <c r="G1043469" s="19"/>
      <c r="H1043469" s="19"/>
      <c r="I1043469" s="19"/>
      <c r="J1043469" s="19"/>
      <c r="K1043469" s="19"/>
      <c r="L1043469" s="19"/>
      <c r="M1043469" s="19"/>
      <c r="N1043469" s="19"/>
    </row>
    <row r="1043470" spans="1:14" s="83" customFormat="1" ht="12.75">
      <c r="A1043470" s="19"/>
      <c r="B1043470" s="19"/>
      <c r="C1043470" s="19"/>
      <c r="D1043470" s="19"/>
      <c r="E1043470" s="19"/>
      <c r="F1043470" s="19"/>
      <c r="G1043470" s="19"/>
      <c r="H1043470" s="19"/>
      <c r="I1043470" s="19"/>
      <c r="J1043470" s="19"/>
      <c r="K1043470" s="19"/>
      <c r="L1043470" s="19"/>
      <c r="M1043470" s="19"/>
      <c r="N1043470" s="19"/>
    </row>
    <row r="1043471" spans="1:14" s="83" customFormat="1" ht="12.75">
      <c r="A1043471" s="19"/>
      <c r="B1043471" s="19"/>
      <c r="C1043471" s="19"/>
      <c r="D1043471" s="19"/>
      <c r="E1043471" s="19"/>
      <c r="F1043471" s="19"/>
      <c r="G1043471" s="19"/>
      <c r="H1043471" s="19"/>
      <c r="I1043471" s="19"/>
      <c r="J1043471" s="19"/>
      <c r="K1043471" s="19"/>
      <c r="L1043471" s="19"/>
      <c r="M1043471" s="19"/>
      <c r="N1043471" s="19"/>
    </row>
    <row r="1043472" spans="1:14" s="83" customFormat="1" ht="12.75">
      <c r="A1043472" s="19"/>
      <c r="B1043472" s="19"/>
      <c r="C1043472" s="19"/>
      <c r="D1043472" s="19"/>
      <c r="E1043472" s="19"/>
      <c r="F1043472" s="19"/>
      <c r="G1043472" s="19"/>
      <c r="H1043472" s="19"/>
      <c r="I1043472" s="19"/>
      <c r="J1043472" s="19"/>
      <c r="K1043472" s="19"/>
      <c r="L1043472" s="19"/>
      <c r="M1043472" s="19"/>
      <c r="N1043472" s="19"/>
    </row>
    <row r="1043473" spans="1:14" s="83" customFormat="1" ht="12.75">
      <c r="A1043473" s="19"/>
      <c r="B1043473" s="19"/>
      <c r="C1043473" s="19"/>
      <c r="D1043473" s="19"/>
      <c r="E1043473" s="19"/>
      <c r="F1043473" s="19"/>
      <c r="G1043473" s="19"/>
      <c r="H1043473" s="19"/>
      <c r="I1043473" s="19"/>
      <c r="J1043473" s="19"/>
      <c r="K1043473" s="19"/>
      <c r="L1043473" s="19"/>
      <c r="M1043473" s="19"/>
      <c r="N1043473" s="19"/>
    </row>
    <row r="1043474" spans="1:14" s="83" customFormat="1" ht="12.75">
      <c r="A1043474" s="19"/>
      <c r="B1043474" s="19"/>
      <c r="C1043474" s="19"/>
      <c r="D1043474" s="19"/>
      <c r="E1043474" s="19"/>
      <c r="F1043474" s="19"/>
      <c r="G1043474" s="19"/>
      <c r="H1043474" s="19"/>
      <c r="I1043474" s="19"/>
      <c r="J1043474" s="19"/>
      <c r="K1043474" s="19"/>
      <c r="L1043474" s="19"/>
      <c r="M1043474" s="19"/>
      <c r="N1043474" s="19"/>
    </row>
    <row r="1043475" spans="1:14" s="83" customFormat="1" ht="12.75">
      <c r="A1043475" s="19"/>
      <c r="B1043475" s="19"/>
      <c r="C1043475" s="19"/>
      <c r="D1043475" s="19"/>
      <c r="E1043475" s="19"/>
      <c r="F1043475" s="19"/>
      <c r="G1043475" s="19"/>
      <c r="H1043475" s="19"/>
      <c r="I1043475" s="19"/>
      <c r="J1043475" s="19"/>
      <c r="K1043475" s="19"/>
      <c r="L1043475" s="19"/>
      <c r="M1043475" s="19"/>
      <c r="N1043475" s="19"/>
    </row>
    <row r="1043476" spans="1:14" s="83" customFormat="1" ht="12.75">
      <c r="A1043476" s="19"/>
      <c r="B1043476" s="19"/>
      <c r="C1043476" s="19"/>
      <c r="D1043476" s="19"/>
      <c r="E1043476" s="19"/>
      <c r="F1043476" s="19"/>
      <c r="G1043476" s="19"/>
      <c r="H1043476" s="19"/>
      <c r="I1043476" s="19"/>
      <c r="J1043476" s="19"/>
      <c r="K1043476" s="19"/>
      <c r="L1043476" s="19"/>
      <c r="M1043476" s="19"/>
      <c r="N1043476" s="19"/>
    </row>
    <row r="1043477" spans="1:14" s="83" customFormat="1" ht="12.75">
      <c r="A1043477" s="19"/>
      <c r="B1043477" s="19"/>
      <c r="C1043477" s="19"/>
      <c r="D1043477" s="19"/>
      <c r="E1043477" s="19"/>
      <c r="F1043477" s="19"/>
      <c r="G1043477" s="19"/>
      <c r="H1043477" s="19"/>
      <c r="I1043477" s="19"/>
      <c r="J1043477" s="19"/>
      <c r="K1043477" s="19"/>
      <c r="L1043477" s="19"/>
      <c r="M1043477" s="19"/>
      <c r="N1043477" s="19"/>
    </row>
    <row r="1043478" spans="1:14" s="83" customFormat="1" ht="12.75">
      <c r="A1043478" s="19"/>
      <c r="B1043478" s="19"/>
      <c r="C1043478" s="19"/>
      <c r="D1043478" s="19"/>
      <c r="E1043478" s="19"/>
      <c r="F1043478" s="19"/>
      <c r="G1043478" s="19"/>
      <c r="H1043478" s="19"/>
      <c r="I1043478" s="19"/>
      <c r="J1043478" s="19"/>
      <c r="K1043478" s="19"/>
      <c r="L1043478" s="19"/>
      <c r="M1043478" s="19"/>
      <c r="N1043478" s="19"/>
    </row>
    <row r="1043479" spans="1:14" s="83" customFormat="1" ht="12.75">
      <c r="A1043479" s="19"/>
      <c r="B1043479" s="19"/>
      <c r="C1043479" s="19"/>
      <c r="D1043479" s="19"/>
      <c r="E1043479" s="19"/>
      <c r="F1043479" s="19"/>
      <c r="G1043479" s="19"/>
      <c r="H1043479" s="19"/>
      <c r="I1043479" s="19"/>
      <c r="J1043479" s="19"/>
      <c r="K1043479" s="19"/>
      <c r="L1043479" s="19"/>
      <c r="M1043479" s="19"/>
      <c r="N1043479" s="19"/>
    </row>
    <row r="1043480" spans="1:14" s="83" customFormat="1" ht="12.75">
      <c r="A1043480" s="19"/>
      <c r="B1043480" s="19"/>
      <c r="C1043480" s="19"/>
      <c r="D1043480" s="19"/>
      <c r="E1043480" s="19"/>
      <c r="F1043480" s="19"/>
      <c r="G1043480" s="19"/>
      <c r="H1043480" s="19"/>
      <c r="I1043480" s="19"/>
      <c r="J1043480" s="19"/>
      <c r="K1043480" s="19"/>
      <c r="L1043480" s="19"/>
      <c r="M1043480" s="19"/>
      <c r="N1043480" s="19"/>
    </row>
    <row r="1043481" spans="1:14" s="83" customFormat="1" ht="12.75">
      <c r="A1043481" s="19"/>
      <c r="B1043481" s="19"/>
      <c r="C1043481" s="19"/>
      <c r="D1043481" s="19"/>
      <c r="E1043481" s="19"/>
      <c r="F1043481" s="19"/>
      <c r="G1043481" s="19"/>
      <c r="H1043481" s="19"/>
      <c r="I1043481" s="19"/>
      <c r="J1043481" s="19"/>
      <c r="K1043481" s="19"/>
      <c r="L1043481" s="19"/>
      <c r="M1043481" s="19"/>
      <c r="N1043481" s="19"/>
    </row>
    <row r="1043482" spans="1:14" s="83" customFormat="1" ht="12.75">
      <c r="A1043482" s="19"/>
      <c r="B1043482" s="19"/>
      <c r="C1043482" s="19"/>
      <c r="D1043482" s="19"/>
      <c r="E1043482" s="19"/>
      <c r="F1043482" s="19"/>
      <c r="G1043482" s="19"/>
      <c r="H1043482" s="19"/>
      <c r="I1043482" s="19"/>
      <c r="J1043482" s="19"/>
      <c r="K1043482" s="19"/>
      <c r="L1043482" s="19"/>
      <c r="M1043482" s="19"/>
      <c r="N1043482" s="19"/>
    </row>
    <row r="1043483" spans="1:14" s="83" customFormat="1" ht="12.75">
      <c r="A1043483" s="19"/>
      <c r="B1043483" s="19"/>
      <c r="C1043483" s="19"/>
      <c r="D1043483" s="19"/>
      <c r="E1043483" s="19"/>
      <c r="F1043483" s="19"/>
      <c r="G1043483" s="19"/>
      <c r="H1043483" s="19"/>
      <c r="I1043483" s="19"/>
      <c r="J1043483" s="19"/>
      <c r="K1043483" s="19"/>
      <c r="L1043483" s="19"/>
      <c r="M1043483" s="19"/>
      <c r="N1043483" s="19"/>
    </row>
    <row r="1043484" spans="1:14" s="83" customFormat="1" ht="12.75">
      <c r="A1043484" s="19"/>
      <c r="B1043484" s="19"/>
      <c r="C1043484" s="19"/>
      <c r="D1043484" s="19"/>
      <c r="E1043484" s="19"/>
      <c r="F1043484" s="19"/>
      <c r="G1043484" s="19"/>
      <c r="H1043484" s="19"/>
      <c r="I1043484" s="19"/>
      <c r="J1043484" s="19"/>
      <c r="K1043484" s="19"/>
      <c r="L1043484" s="19"/>
      <c r="M1043484" s="19"/>
      <c r="N1043484" s="19"/>
    </row>
    <row r="1043485" spans="1:14" s="83" customFormat="1" ht="12.75">
      <c r="A1043485" s="19"/>
      <c r="B1043485" s="19"/>
      <c r="C1043485" s="19"/>
      <c r="D1043485" s="19"/>
      <c r="E1043485" s="19"/>
      <c r="F1043485" s="19"/>
      <c r="G1043485" s="19"/>
      <c r="H1043485" s="19"/>
      <c r="I1043485" s="19"/>
      <c r="J1043485" s="19"/>
      <c r="K1043485" s="19"/>
      <c r="L1043485" s="19"/>
      <c r="M1043485" s="19"/>
      <c r="N1043485" s="19"/>
    </row>
    <row r="1043486" spans="1:14" s="83" customFormat="1" ht="12.75">
      <c r="A1043486" s="19"/>
      <c r="B1043486" s="19"/>
      <c r="C1043486" s="19"/>
      <c r="D1043486" s="19"/>
      <c r="E1043486" s="19"/>
      <c r="F1043486" s="19"/>
      <c r="G1043486" s="19"/>
      <c r="H1043486" s="19"/>
      <c r="I1043486" s="19"/>
      <c r="J1043486" s="19"/>
      <c r="K1043486" s="19"/>
      <c r="L1043486" s="19"/>
      <c r="M1043486" s="19"/>
      <c r="N1043486" s="19"/>
    </row>
    <row r="1043487" spans="1:14" s="83" customFormat="1" ht="12.75">
      <c r="A1043487" s="19"/>
      <c r="B1043487" s="19"/>
      <c r="C1043487" s="19"/>
      <c r="D1043487" s="19"/>
      <c r="E1043487" s="19"/>
      <c r="F1043487" s="19"/>
      <c r="G1043487" s="19"/>
      <c r="H1043487" s="19"/>
      <c r="I1043487" s="19"/>
      <c r="J1043487" s="19"/>
      <c r="K1043487" s="19"/>
      <c r="L1043487" s="19"/>
      <c r="M1043487" s="19"/>
      <c r="N1043487" s="19"/>
    </row>
    <row r="1043488" spans="1:14" s="83" customFormat="1" ht="12.75">
      <c r="A1043488" s="19"/>
      <c r="B1043488" s="19"/>
      <c r="C1043488" s="19"/>
      <c r="D1043488" s="19"/>
      <c r="E1043488" s="19"/>
      <c r="F1043488" s="19"/>
      <c r="G1043488" s="19"/>
      <c r="H1043488" s="19"/>
      <c r="I1043488" s="19"/>
      <c r="J1043488" s="19"/>
      <c r="K1043488" s="19"/>
      <c r="L1043488" s="19"/>
      <c r="M1043488" s="19"/>
      <c r="N1043488" s="19"/>
    </row>
    <row r="1043489" spans="1:14" s="83" customFormat="1" ht="12.75">
      <c r="A1043489" s="19"/>
      <c r="B1043489" s="19"/>
      <c r="C1043489" s="19"/>
      <c r="D1043489" s="19"/>
      <c r="E1043489" s="19"/>
      <c r="F1043489" s="19"/>
      <c r="G1043489" s="19"/>
      <c r="H1043489" s="19"/>
      <c r="I1043489" s="19"/>
      <c r="J1043489" s="19"/>
      <c r="K1043489" s="19"/>
      <c r="L1043489" s="19"/>
      <c r="M1043489" s="19"/>
      <c r="N1043489" s="19"/>
    </row>
    <row r="1043490" spans="1:14" s="83" customFormat="1" ht="12.75">
      <c r="A1043490" s="19"/>
      <c r="B1043490" s="19"/>
      <c r="C1043490" s="19"/>
      <c r="D1043490" s="19"/>
      <c r="E1043490" s="19"/>
      <c r="F1043490" s="19"/>
      <c r="G1043490" s="19"/>
      <c r="H1043490" s="19"/>
      <c r="I1043490" s="19"/>
      <c r="J1043490" s="19"/>
      <c r="K1043490" s="19"/>
      <c r="L1043490" s="19"/>
      <c r="M1043490" s="19"/>
      <c r="N1043490" s="19"/>
    </row>
    <row r="1043491" spans="1:14" s="83" customFormat="1" ht="12.75">
      <c r="A1043491" s="19"/>
      <c r="B1043491" s="19"/>
      <c r="C1043491" s="19"/>
      <c r="D1043491" s="19"/>
      <c r="E1043491" s="19"/>
      <c r="F1043491" s="19"/>
      <c r="G1043491" s="19"/>
      <c r="H1043491" s="19"/>
      <c r="I1043491" s="19"/>
      <c r="J1043491" s="19"/>
      <c r="K1043491" s="19"/>
      <c r="L1043491" s="19"/>
      <c r="M1043491" s="19"/>
      <c r="N1043491" s="19"/>
    </row>
    <row r="1043492" spans="1:14" s="83" customFormat="1" ht="12.75">
      <c r="A1043492" s="19"/>
      <c r="B1043492" s="19"/>
      <c r="C1043492" s="19"/>
      <c r="D1043492" s="19"/>
      <c r="E1043492" s="19"/>
      <c r="F1043492" s="19"/>
      <c r="G1043492" s="19"/>
      <c r="H1043492" s="19"/>
      <c r="I1043492" s="19"/>
      <c r="J1043492" s="19"/>
      <c r="K1043492" s="19"/>
      <c r="L1043492" s="19"/>
      <c r="M1043492" s="19"/>
      <c r="N1043492" s="19"/>
    </row>
    <row r="1043493" spans="1:14" s="83" customFormat="1" ht="12.75">
      <c r="A1043493" s="19"/>
      <c r="B1043493" s="19"/>
      <c r="C1043493" s="19"/>
      <c r="D1043493" s="19"/>
      <c r="E1043493" s="19"/>
      <c r="F1043493" s="19"/>
      <c r="G1043493" s="19"/>
      <c r="H1043493" s="19"/>
      <c r="I1043493" s="19"/>
      <c r="J1043493" s="19"/>
      <c r="K1043493" s="19"/>
      <c r="L1043493" s="19"/>
      <c r="M1043493" s="19"/>
      <c r="N1043493" s="19"/>
    </row>
    <row r="1043494" spans="1:14" s="83" customFormat="1" ht="12.75">
      <c r="A1043494" s="19"/>
      <c r="B1043494" s="19"/>
      <c r="C1043494" s="19"/>
      <c r="D1043494" s="19"/>
      <c r="E1043494" s="19"/>
      <c r="F1043494" s="19"/>
      <c r="G1043494" s="19"/>
      <c r="H1043494" s="19"/>
      <c r="I1043494" s="19"/>
      <c r="J1043494" s="19"/>
      <c r="K1043494" s="19"/>
      <c r="L1043494" s="19"/>
      <c r="M1043494" s="19"/>
      <c r="N1043494" s="19"/>
    </row>
    <row r="1043495" spans="1:14" s="83" customFormat="1" ht="12.75">
      <c r="A1043495" s="19"/>
      <c r="B1043495" s="19"/>
      <c r="C1043495" s="19"/>
      <c r="D1043495" s="19"/>
      <c r="E1043495" s="19"/>
      <c r="F1043495" s="19"/>
      <c r="G1043495" s="19"/>
      <c r="H1043495" s="19"/>
      <c r="I1043495" s="19"/>
      <c r="J1043495" s="19"/>
      <c r="K1043495" s="19"/>
      <c r="L1043495" s="19"/>
      <c r="M1043495" s="19"/>
      <c r="N1043495" s="19"/>
    </row>
    <row r="1043496" spans="1:14" s="83" customFormat="1" ht="12.75">
      <c r="A1043496" s="19"/>
      <c r="B1043496" s="19"/>
      <c r="C1043496" s="19"/>
      <c r="D1043496" s="19"/>
      <c r="E1043496" s="19"/>
      <c r="F1043496" s="19"/>
      <c r="G1043496" s="19"/>
      <c r="H1043496" s="19"/>
      <c r="I1043496" s="19"/>
      <c r="J1043496" s="19"/>
      <c r="K1043496" s="19"/>
      <c r="L1043496" s="19"/>
      <c r="M1043496" s="19"/>
      <c r="N1043496" s="19"/>
    </row>
    <row r="1043497" spans="1:14" s="83" customFormat="1" ht="12.75">
      <c r="A1043497" s="19"/>
      <c r="B1043497" s="19"/>
      <c r="C1043497" s="19"/>
      <c r="D1043497" s="19"/>
      <c r="E1043497" s="19"/>
      <c r="F1043497" s="19"/>
      <c r="G1043497" s="19"/>
      <c r="H1043497" s="19"/>
      <c r="I1043497" s="19"/>
      <c r="J1043497" s="19"/>
      <c r="K1043497" s="19"/>
      <c r="L1043497" s="19"/>
      <c r="M1043497" s="19"/>
      <c r="N1043497" s="19"/>
    </row>
    <row r="1043498" spans="1:14" s="83" customFormat="1" ht="12.75">
      <c r="A1043498" s="19"/>
      <c r="B1043498" s="19"/>
      <c r="C1043498" s="19"/>
      <c r="D1043498" s="19"/>
      <c r="E1043498" s="19"/>
      <c r="F1043498" s="19"/>
      <c r="G1043498" s="19"/>
      <c r="H1043498" s="19"/>
      <c r="I1043498" s="19"/>
      <c r="J1043498" s="19"/>
      <c r="K1043498" s="19"/>
      <c r="L1043498" s="19"/>
      <c r="M1043498" s="19"/>
      <c r="N1043498" s="19"/>
    </row>
    <row r="1043499" spans="1:14" s="83" customFormat="1" ht="12.75">
      <c r="A1043499" s="19"/>
      <c r="B1043499" s="19"/>
      <c r="C1043499" s="19"/>
      <c r="D1043499" s="19"/>
      <c r="E1043499" s="19"/>
      <c r="F1043499" s="19"/>
      <c r="G1043499" s="19"/>
      <c r="H1043499" s="19"/>
      <c r="I1043499" s="19"/>
      <c r="J1043499" s="19"/>
      <c r="K1043499" s="19"/>
      <c r="L1043499" s="19"/>
      <c r="M1043499" s="19"/>
      <c r="N1043499" s="19"/>
    </row>
    <row r="1043500" spans="1:14" s="83" customFormat="1" ht="12.75">
      <c r="A1043500" s="19"/>
      <c r="B1043500" s="19"/>
      <c r="C1043500" s="19"/>
      <c r="D1043500" s="19"/>
      <c r="E1043500" s="19"/>
      <c r="F1043500" s="19"/>
      <c r="G1043500" s="19"/>
      <c r="H1043500" s="19"/>
      <c r="I1043500" s="19"/>
      <c r="J1043500" s="19"/>
      <c r="K1043500" s="19"/>
      <c r="L1043500" s="19"/>
      <c r="M1043500" s="19"/>
      <c r="N1043500" s="19"/>
    </row>
    <row r="1043501" spans="1:14" s="83" customFormat="1" ht="12.75">
      <c r="A1043501" s="19"/>
      <c r="B1043501" s="19"/>
      <c r="C1043501" s="19"/>
      <c r="D1043501" s="19"/>
      <c r="E1043501" s="19"/>
      <c r="F1043501" s="19"/>
      <c r="G1043501" s="19"/>
      <c r="H1043501" s="19"/>
      <c r="I1043501" s="19"/>
      <c r="J1043501" s="19"/>
      <c r="K1043501" s="19"/>
      <c r="L1043501" s="19"/>
      <c r="M1043501" s="19"/>
      <c r="N1043501" s="19"/>
    </row>
    <row r="1043502" spans="1:14" s="83" customFormat="1" ht="12.75">
      <c r="A1043502" s="19"/>
      <c r="B1043502" s="19"/>
      <c r="C1043502" s="19"/>
      <c r="D1043502" s="19"/>
      <c r="E1043502" s="19"/>
      <c r="F1043502" s="19"/>
      <c r="G1043502" s="19"/>
      <c r="H1043502" s="19"/>
      <c r="I1043502" s="19"/>
      <c r="J1043502" s="19"/>
      <c r="K1043502" s="19"/>
      <c r="L1043502" s="19"/>
      <c r="M1043502" s="19"/>
      <c r="N1043502" s="19"/>
    </row>
    <row r="1043503" spans="1:14" s="83" customFormat="1" ht="12.75">
      <c r="A1043503" s="19"/>
      <c r="B1043503" s="19"/>
      <c r="C1043503" s="19"/>
      <c r="D1043503" s="19"/>
      <c r="E1043503" s="19"/>
      <c r="F1043503" s="19"/>
      <c r="G1043503" s="19"/>
      <c r="H1043503" s="19"/>
      <c r="I1043503" s="19"/>
      <c r="J1043503" s="19"/>
      <c r="K1043503" s="19"/>
      <c r="L1043503" s="19"/>
      <c r="M1043503" s="19"/>
      <c r="N1043503" s="19"/>
    </row>
    <row r="1043504" spans="1:14" s="83" customFormat="1" ht="12.75">
      <c r="A1043504" s="19"/>
      <c r="B1043504" s="19"/>
      <c r="C1043504" s="19"/>
      <c r="D1043504" s="19"/>
      <c r="E1043504" s="19"/>
      <c r="F1043504" s="19"/>
      <c r="G1043504" s="19"/>
      <c r="H1043504" s="19"/>
      <c r="I1043504" s="19"/>
      <c r="J1043504" s="19"/>
      <c r="K1043504" s="19"/>
      <c r="L1043504" s="19"/>
      <c r="M1043504" s="19"/>
      <c r="N1043504" s="19"/>
    </row>
    <row r="1043505" spans="1:14" s="83" customFormat="1" ht="12.75">
      <c r="A1043505" s="19"/>
      <c r="B1043505" s="19"/>
      <c r="C1043505" s="19"/>
      <c r="D1043505" s="19"/>
      <c r="E1043505" s="19"/>
      <c r="F1043505" s="19"/>
      <c r="G1043505" s="19"/>
      <c r="H1043505" s="19"/>
      <c r="I1043505" s="19"/>
      <c r="J1043505" s="19"/>
      <c r="K1043505" s="19"/>
      <c r="L1043505" s="19"/>
      <c r="M1043505" s="19"/>
      <c r="N1043505" s="19"/>
    </row>
    <row r="1043506" spans="1:14" s="83" customFormat="1" ht="12.75">
      <c r="A1043506" s="19"/>
      <c r="B1043506" s="19"/>
      <c r="C1043506" s="19"/>
      <c r="D1043506" s="19"/>
      <c r="E1043506" s="19"/>
      <c r="F1043506" s="19"/>
      <c r="G1043506" s="19"/>
      <c r="H1043506" s="19"/>
      <c r="I1043506" s="19"/>
      <c r="J1043506" s="19"/>
      <c r="K1043506" s="19"/>
      <c r="L1043506" s="19"/>
      <c r="M1043506" s="19"/>
      <c r="N1043506" s="19"/>
    </row>
    <row r="1043507" spans="1:14" s="83" customFormat="1" ht="12.75">
      <c r="A1043507" s="19"/>
      <c r="B1043507" s="19"/>
      <c r="C1043507" s="19"/>
      <c r="D1043507" s="19"/>
      <c r="E1043507" s="19"/>
      <c r="F1043507" s="19"/>
      <c r="G1043507" s="19"/>
      <c r="H1043507" s="19"/>
      <c r="I1043507" s="19"/>
      <c r="J1043507" s="19"/>
      <c r="K1043507" s="19"/>
      <c r="L1043507" s="19"/>
      <c r="M1043507" s="19"/>
      <c r="N1043507" s="19"/>
    </row>
    <row r="1043508" spans="1:14" s="83" customFormat="1" ht="12.75">
      <c r="A1043508" s="19"/>
      <c r="B1043508" s="19"/>
      <c r="C1043508" s="19"/>
      <c r="D1043508" s="19"/>
      <c r="E1043508" s="19"/>
      <c r="F1043508" s="19"/>
      <c r="G1043508" s="19"/>
      <c r="H1043508" s="19"/>
      <c r="I1043508" s="19"/>
      <c r="J1043508" s="19"/>
      <c r="K1043508" s="19"/>
      <c r="L1043508" s="19"/>
      <c r="M1043508" s="19"/>
      <c r="N1043508" s="19"/>
    </row>
    <row r="1043509" spans="1:14" s="83" customFormat="1" ht="12.75">
      <c r="A1043509" s="19"/>
      <c r="B1043509" s="19"/>
      <c r="C1043509" s="19"/>
      <c r="D1043509" s="19"/>
      <c r="E1043509" s="19"/>
      <c r="F1043509" s="19"/>
      <c r="G1043509" s="19"/>
      <c r="H1043509" s="19"/>
      <c r="I1043509" s="19"/>
      <c r="J1043509" s="19"/>
      <c r="K1043509" s="19"/>
      <c r="L1043509" s="19"/>
      <c r="M1043509" s="19"/>
      <c r="N1043509" s="19"/>
    </row>
    <row r="1043510" spans="1:14" s="83" customFormat="1" ht="12.75">
      <c r="A1043510" s="19"/>
      <c r="B1043510" s="19"/>
      <c r="C1043510" s="19"/>
      <c r="D1043510" s="19"/>
      <c r="E1043510" s="19"/>
      <c r="F1043510" s="19"/>
      <c r="G1043510" s="19"/>
      <c r="H1043510" s="19"/>
      <c r="I1043510" s="19"/>
      <c r="J1043510" s="19"/>
      <c r="K1043510" s="19"/>
      <c r="L1043510" s="19"/>
      <c r="M1043510" s="19"/>
      <c r="N1043510" s="19"/>
    </row>
    <row r="1043511" spans="1:14" s="83" customFormat="1" ht="12.75">
      <c r="A1043511" s="19"/>
      <c r="B1043511" s="19"/>
      <c r="C1043511" s="19"/>
      <c r="D1043511" s="19"/>
      <c r="E1043511" s="19"/>
      <c r="F1043511" s="19"/>
      <c r="G1043511" s="19"/>
      <c r="H1043511" s="19"/>
      <c r="I1043511" s="19"/>
      <c r="J1043511" s="19"/>
      <c r="K1043511" s="19"/>
      <c r="L1043511" s="19"/>
      <c r="M1043511" s="19"/>
      <c r="N1043511" s="19"/>
    </row>
    <row r="1043512" spans="1:14" s="83" customFormat="1" ht="12.75">
      <c r="A1043512" s="19"/>
      <c r="B1043512" s="19"/>
      <c r="C1043512" s="19"/>
      <c r="D1043512" s="19"/>
      <c r="E1043512" s="19"/>
      <c r="F1043512" s="19"/>
      <c r="G1043512" s="19"/>
      <c r="H1043512" s="19"/>
      <c r="I1043512" s="19"/>
      <c r="J1043512" s="19"/>
      <c r="K1043512" s="19"/>
      <c r="L1043512" s="19"/>
      <c r="M1043512" s="19"/>
      <c r="N1043512" s="19"/>
    </row>
    <row r="1043513" spans="1:14" s="83" customFormat="1" ht="12.75">
      <c r="A1043513" s="19"/>
      <c r="B1043513" s="19"/>
      <c r="C1043513" s="19"/>
      <c r="D1043513" s="19"/>
      <c r="E1043513" s="19"/>
      <c r="F1043513" s="19"/>
      <c r="G1043513" s="19"/>
      <c r="H1043513" s="19"/>
      <c r="I1043513" s="19"/>
      <c r="J1043513" s="19"/>
      <c r="K1043513" s="19"/>
      <c r="L1043513" s="19"/>
      <c r="M1043513" s="19"/>
      <c r="N1043513" s="19"/>
    </row>
    <row r="1043514" spans="1:14" s="83" customFormat="1" ht="12.75">
      <c r="A1043514" s="19"/>
      <c r="B1043514" s="19"/>
      <c r="C1043514" s="19"/>
      <c r="D1043514" s="19"/>
      <c r="E1043514" s="19"/>
      <c r="F1043514" s="19"/>
      <c r="G1043514" s="19"/>
      <c r="H1043514" s="19"/>
      <c r="I1043514" s="19"/>
      <c r="J1043514" s="19"/>
      <c r="K1043514" s="19"/>
      <c r="L1043514" s="19"/>
      <c r="M1043514" s="19"/>
      <c r="N1043514" s="19"/>
    </row>
    <row r="1043515" spans="1:14" s="83" customFormat="1" ht="12.75">
      <c r="A1043515" s="19"/>
      <c r="B1043515" s="19"/>
      <c r="C1043515" s="19"/>
      <c r="D1043515" s="19"/>
      <c r="E1043515" s="19"/>
      <c r="F1043515" s="19"/>
      <c r="G1043515" s="19"/>
      <c r="H1043515" s="19"/>
      <c r="I1043515" s="19"/>
      <c r="J1043515" s="19"/>
      <c r="K1043515" s="19"/>
      <c r="L1043515" s="19"/>
      <c r="M1043515" s="19"/>
      <c r="N1043515" s="19"/>
    </row>
    <row r="1043516" spans="1:14" s="83" customFormat="1" ht="12.75">
      <c r="A1043516" s="19"/>
      <c r="B1043516" s="19"/>
      <c r="C1043516" s="19"/>
      <c r="D1043516" s="19"/>
      <c r="E1043516" s="19"/>
      <c r="F1043516" s="19"/>
      <c r="G1043516" s="19"/>
      <c r="H1043516" s="19"/>
      <c r="I1043516" s="19"/>
      <c r="J1043516" s="19"/>
      <c r="K1043516" s="19"/>
      <c r="L1043516" s="19"/>
      <c r="M1043516" s="19"/>
      <c r="N1043516" s="19"/>
    </row>
    <row r="1043517" spans="1:14" s="83" customFormat="1" ht="12.75">
      <c r="A1043517" s="19"/>
      <c r="B1043517" s="19"/>
      <c r="C1043517" s="19"/>
      <c r="D1043517" s="19"/>
      <c r="E1043517" s="19"/>
      <c r="F1043517" s="19"/>
      <c r="G1043517" s="19"/>
      <c r="H1043517" s="19"/>
      <c r="I1043517" s="19"/>
      <c r="J1043517" s="19"/>
      <c r="K1043517" s="19"/>
      <c r="L1043517" s="19"/>
      <c r="M1043517" s="19"/>
      <c r="N1043517" s="19"/>
    </row>
    <row r="1043518" spans="1:14" s="83" customFormat="1" ht="12.75">
      <c r="A1043518" s="19"/>
      <c r="B1043518" s="19"/>
      <c r="C1043518" s="19"/>
      <c r="D1043518" s="19"/>
      <c r="E1043518" s="19"/>
      <c r="F1043518" s="19"/>
      <c r="G1043518" s="19"/>
      <c r="H1043518" s="19"/>
      <c r="I1043518" s="19"/>
      <c r="J1043518" s="19"/>
      <c r="K1043518" s="19"/>
      <c r="L1043518" s="19"/>
      <c r="M1043518" s="19"/>
      <c r="N1043518" s="19"/>
    </row>
    <row r="1043519" spans="1:14" s="83" customFormat="1" ht="12.75">
      <c r="A1043519" s="19"/>
      <c r="B1043519" s="19"/>
      <c r="C1043519" s="19"/>
      <c r="D1043519" s="19"/>
      <c r="E1043519" s="19"/>
      <c r="F1043519" s="19"/>
      <c r="G1043519" s="19"/>
      <c r="H1043519" s="19"/>
      <c r="I1043519" s="19"/>
      <c r="J1043519" s="19"/>
      <c r="K1043519" s="19"/>
      <c r="L1043519" s="19"/>
      <c r="M1043519" s="19"/>
      <c r="N1043519" s="19"/>
    </row>
    <row r="1043520" spans="1:14" s="83" customFormat="1" ht="12.75">
      <c r="A1043520" s="19"/>
      <c r="B1043520" s="19"/>
      <c r="C1043520" s="19"/>
      <c r="D1043520" s="19"/>
      <c r="E1043520" s="19"/>
      <c r="F1043520" s="19"/>
      <c r="G1043520" s="19"/>
      <c r="H1043520" s="19"/>
      <c r="I1043520" s="19"/>
      <c r="J1043520" s="19"/>
      <c r="K1043520" s="19"/>
      <c r="L1043520" s="19"/>
      <c r="M1043520" s="19"/>
      <c r="N1043520" s="19"/>
    </row>
    <row r="1043521" spans="1:14" s="83" customFormat="1" ht="12.75">
      <c r="A1043521" s="19"/>
      <c r="B1043521" s="19"/>
      <c r="C1043521" s="19"/>
      <c r="D1043521" s="19"/>
      <c r="E1043521" s="19"/>
      <c r="F1043521" s="19"/>
      <c r="G1043521" s="19"/>
      <c r="H1043521" s="19"/>
      <c r="I1043521" s="19"/>
      <c r="J1043521" s="19"/>
      <c r="K1043521" s="19"/>
      <c r="L1043521" s="19"/>
      <c r="M1043521" s="19"/>
      <c r="N1043521" s="19"/>
    </row>
    <row r="1043522" spans="1:14" s="83" customFormat="1" ht="12.75">
      <c r="A1043522" s="19"/>
      <c r="B1043522" s="19"/>
      <c r="C1043522" s="19"/>
      <c r="D1043522" s="19"/>
      <c r="E1043522" s="19"/>
      <c r="F1043522" s="19"/>
      <c r="G1043522" s="19"/>
      <c r="H1043522" s="19"/>
      <c r="I1043522" s="19"/>
      <c r="J1043522" s="19"/>
      <c r="K1043522" s="19"/>
      <c r="L1043522" s="19"/>
      <c r="M1043522" s="19"/>
      <c r="N1043522" s="19"/>
    </row>
    <row r="1043523" spans="1:14" s="83" customFormat="1" ht="12.75">
      <c r="A1043523" s="19"/>
      <c r="B1043523" s="19"/>
      <c r="C1043523" s="19"/>
      <c r="D1043523" s="19"/>
      <c r="E1043523" s="19"/>
      <c r="F1043523" s="19"/>
      <c r="G1043523" s="19"/>
      <c r="H1043523" s="19"/>
      <c r="I1043523" s="19"/>
      <c r="J1043523" s="19"/>
      <c r="K1043523" s="19"/>
      <c r="L1043523" s="19"/>
      <c r="M1043523" s="19"/>
      <c r="N1043523" s="19"/>
    </row>
    <row r="1043524" spans="1:14" s="83" customFormat="1" ht="12.75">
      <c r="A1043524" s="19"/>
      <c r="B1043524" s="19"/>
      <c r="C1043524" s="19"/>
      <c r="D1043524" s="19"/>
      <c r="E1043524" s="19"/>
      <c r="F1043524" s="19"/>
      <c r="G1043524" s="19"/>
      <c r="H1043524" s="19"/>
      <c r="I1043524" s="19"/>
      <c r="J1043524" s="19"/>
      <c r="K1043524" s="19"/>
      <c r="L1043524" s="19"/>
      <c r="M1043524" s="19"/>
      <c r="N1043524" s="19"/>
    </row>
    <row r="1043525" spans="1:14" s="83" customFormat="1" ht="12.75">
      <c r="A1043525" s="19"/>
      <c r="B1043525" s="19"/>
      <c r="C1043525" s="19"/>
      <c r="D1043525" s="19"/>
      <c r="E1043525" s="19"/>
      <c r="F1043525" s="19"/>
      <c r="G1043525" s="19"/>
      <c r="H1043525" s="19"/>
      <c r="I1043525" s="19"/>
      <c r="J1043525" s="19"/>
      <c r="K1043525" s="19"/>
      <c r="L1043525" s="19"/>
      <c r="M1043525" s="19"/>
      <c r="N1043525" s="19"/>
    </row>
    <row r="1043526" spans="1:14" s="83" customFormat="1" ht="12.75">
      <c r="A1043526" s="19"/>
      <c r="B1043526" s="19"/>
      <c r="C1043526" s="19"/>
      <c r="D1043526" s="19"/>
      <c r="E1043526" s="19"/>
      <c r="F1043526" s="19"/>
      <c r="G1043526" s="19"/>
      <c r="H1043526" s="19"/>
      <c r="I1043526" s="19"/>
      <c r="J1043526" s="19"/>
      <c r="K1043526" s="19"/>
      <c r="L1043526" s="19"/>
      <c r="M1043526" s="19"/>
      <c r="N1043526" s="19"/>
    </row>
    <row r="1043527" spans="1:14" s="83" customFormat="1" ht="12.75">
      <c r="A1043527" s="19"/>
      <c r="B1043527" s="19"/>
      <c r="C1043527" s="19"/>
      <c r="D1043527" s="19"/>
      <c r="E1043527" s="19"/>
      <c r="F1043527" s="19"/>
      <c r="G1043527" s="19"/>
      <c r="H1043527" s="19"/>
      <c r="I1043527" s="19"/>
      <c r="J1043527" s="19"/>
      <c r="K1043527" s="19"/>
      <c r="L1043527" s="19"/>
      <c r="M1043527" s="19"/>
      <c r="N1043527" s="19"/>
    </row>
    <row r="1043528" spans="1:14" s="83" customFormat="1" ht="12.75">
      <c r="A1043528" s="19"/>
      <c r="B1043528" s="19"/>
      <c r="C1043528" s="19"/>
      <c r="D1043528" s="19"/>
      <c r="E1043528" s="19"/>
      <c r="F1043528" s="19"/>
      <c r="G1043528" s="19"/>
      <c r="H1043528" s="19"/>
      <c r="I1043528" s="19"/>
      <c r="J1043528" s="19"/>
      <c r="K1043528" s="19"/>
      <c r="L1043528" s="19"/>
      <c r="M1043528" s="19"/>
      <c r="N1043528" s="19"/>
    </row>
    <row r="1043529" spans="1:14" s="83" customFormat="1" ht="12.75">
      <c r="A1043529" s="19"/>
      <c r="B1043529" s="19"/>
      <c r="C1043529" s="19"/>
      <c r="D1043529" s="19"/>
      <c r="E1043529" s="19"/>
      <c r="F1043529" s="19"/>
      <c r="G1043529" s="19"/>
      <c r="H1043529" s="19"/>
      <c r="I1043529" s="19"/>
      <c r="J1043529" s="19"/>
      <c r="K1043529" s="19"/>
      <c r="L1043529" s="19"/>
      <c r="M1043529" s="19"/>
      <c r="N1043529" s="19"/>
    </row>
    <row r="1043530" spans="1:14" s="83" customFormat="1" ht="12.75">
      <c r="A1043530" s="19"/>
      <c r="B1043530" s="19"/>
      <c r="C1043530" s="19"/>
      <c r="D1043530" s="19"/>
      <c r="E1043530" s="19"/>
      <c r="F1043530" s="19"/>
      <c r="G1043530" s="19"/>
      <c r="H1043530" s="19"/>
      <c r="I1043530" s="19"/>
      <c r="J1043530" s="19"/>
      <c r="K1043530" s="19"/>
      <c r="L1043530" s="19"/>
      <c r="M1043530" s="19"/>
      <c r="N1043530" s="19"/>
    </row>
    <row r="1043531" spans="1:14" s="83" customFormat="1" ht="12.75">
      <c r="A1043531" s="19"/>
      <c r="B1043531" s="19"/>
      <c r="C1043531" s="19"/>
      <c r="D1043531" s="19"/>
      <c r="E1043531" s="19"/>
      <c r="F1043531" s="19"/>
      <c r="G1043531" s="19"/>
      <c r="H1043531" s="19"/>
      <c r="I1043531" s="19"/>
      <c r="J1043531" s="19"/>
      <c r="K1043531" s="19"/>
      <c r="L1043531" s="19"/>
      <c r="M1043531" s="19"/>
      <c r="N1043531" s="19"/>
    </row>
    <row r="1043532" spans="1:14" s="83" customFormat="1" ht="12.75">
      <c r="A1043532" s="19"/>
      <c r="B1043532" s="19"/>
      <c r="C1043532" s="19"/>
      <c r="D1043532" s="19"/>
      <c r="E1043532" s="19"/>
      <c r="F1043532" s="19"/>
      <c r="G1043532" s="19"/>
      <c r="H1043532" s="19"/>
      <c r="I1043532" s="19"/>
      <c r="J1043532" s="19"/>
      <c r="K1043532" s="19"/>
      <c r="L1043532" s="19"/>
      <c r="M1043532" s="19"/>
      <c r="N1043532" s="19"/>
    </row>
    <row r="1043533" spans="1:14" s="83" customFormat="1" ht="12.75">
      <c r="A1043533" s="19"/>
      <c r="B1043533" s="19"/>
      <c r="C1043533" s="19"/>
      <c r="D1043533" s="19"/>
      <c r="E1043533" s="19"/>
      <c r="F1043533" s="19"/>
      <c r="G1043533" s="19"/>
      <c r="H1043533" s="19"/>
      <c r="I1043533" s="19"/>
      <c r="J1043533" s="19"/>
      <c r="K1043533" s="19"/>
      <c r="L1043533" s="19"/>
      <c r="M1043533" s="19"/>
      <c r="N1043533" s="19"/>
    </row>
    <row r="1043534" spans="1:14" s="83" customFormat="1" ht="12.75">
      <c r="A1043534" s="19"/>
      <c r="B1043534" s="19"/>
      <c r="C1043534" s="19"/>
      <c r="D1043534" s="19"/>
      <c r="E1043534" s="19"/>
      <c r="F1043534" s="19"/>
      <c r="G1043534" s="19"/>
      <c r="H1043534" s="19"/>
      <c r="I1043534" s="19"/>
      <c r="J1043534" s="19"/>
      <c r="K1043534" s="19"/>
      <c r="L1043534" s="19"/>
      <c r="M1043534" s="19"/>
      <c r="N1043534" s="19"/>
    </row>
    <row r="1043535" spans="1:14" s="83" customFormat="1" ht="12.75">
      <c r="A1043535" s="19"/>
      <c r="B1043535" s="19"/>
      <c r="C1043535" s="19"/>
      <c r="D1043535" s="19"/>
      <c r="E1043535" s="19"/>
      <c r="F1043535" s="19"/>
      <c r="G1043535" s="19"/>
      <c r="H1043535" s="19"/>
      <c r="I1043535" s="19"/>
      <c r="J1043535" s="19"/>
      <c r="K1043535" s="19"/>
      <c r="L1043535" s="19"/>
      <c r="M1043535" s="19"/>
      <c r="N1043535" s="19"/>
    </row>
    <row r="1043536" spans="1:14" s="83" customFormat="1" ht="12.75">
      <c r="A1043536" s="19"/>
      <c r="B1043536" s="19"/>
      <c r="C1043536" s="19"/>
      <c r="D1043536" s="19"/>
      <c r="E1043536" s="19"/>
      <c r="F1043536" s="19"/>
      <c r="G1043536" s="19"/>
      <c r="H1043536" s="19"/>
      <c r="I1043536" s="19"/>
      <c r="J1043536" s="19"/>
      <c r="K1043536" s="19"/>
      <c r="L1043536" s="19"/>
      <c r="M1043536" s="19"/>
      <c r="N1043536" s="19"/>
    </row>
    <row r="1043537" spans="1:14" s="83" customFormat="1" ht="12.75">
      <c r="A1043537" s="19"/>
      <c r="B1043537" s="19"/>
      <c r="C1043537" s="19"/>
      <c r="D1043537" s="19"/>
      <c r="E1043537" s="19"/>
      <c r="F1043537" s="19"/>
      <c r="G1043537" s="19"/>
      <c r="H1043537" s="19"/>
      <c r="I1043537" s="19"/>
      <c r="J1043537" s="19"/>
      <c r="K1043537" s="19"/>
      <c r="L1043537" s="19"/>
      <c r="M1043537" s="19"/>
      <c r="N1043537" s="19"/>
    </row>
    <row r="1043538" spans="1:14" s="83" customFormat="1" ht="12.75">
      <c r="A1043538" s="19"/>
      <c r="B1043538" s="19"/>
      <c r="C1043538" s="19"/>
      <c r="D1043538" s="19"/>
      <c r="E1043538" s="19"/>
      <c r="F1043538" s="19"/>
      <c r="G1043538" s="19"/>
      <c r="H1043538" s="19"/>
      <c r="I1043538" s="19"/>
      <c r="J1043538" s="19"/>
      <c r="K1043538" s="19"/>
      <c r="L1043538" s="19"/>
      <c r="M1043538" s="19"/>
      <c r="N1043538" s="19"/>
    </row>
    <row r="1043539" spans="1:14" s="83" customFormat="1" ht="12.75">
      <c r="A1043539" s="19"/>
      <c r="B1043539" s="19"/>
      <c r="C1043539" s="19"/>
      <c r="D1043539" s="19"/>
      <c r="E1043539" s="19"/>
      <c r="F1043539" s="19"/>
      <c r="G1043539" s="19"/>
      <c r="H1043539" s="19"/>
      <c r="I1043539" s="19"/>
      <c r="J1043539" s="19"/>
      <c r="K1043539" s="19"/>
      <c r="L1043539" s="19"/>
      <c r="M1043539" s="19"/>
      <c r="N1043539" s="19"/>
    </row>
    <row r="1043540" spans="1:14" s="83" customFormat="1" ht="12.75">
      <c r="A1043540" s="19"/>
      <c r="B1043540" s="19"/>
      <c r="C1043540" s="19"/>
      <c r="D1043540" s="19"/>
      <c r="E1043540" s="19"/>
      <c r="F1043540" s="19"/>
      <c r="G1043540" s="19"/>
      <c r="H1043540" s="19"/>
      <c r="I1043540" s="19"/>
      <c r="J1043540" s="19"/>
      <c r="K1043540" s="19"/>
      <c r="L1043540" s="19"/>
      <c r="M1043540" s="19"/>
      <c r="N1043540" s="19"/>
    </row>
    <row r="1043541" spans="1:14" s="83" customFormat="1" ht="12.75">
      <c r="A1043541" s="19"/>
      <c r="B1043541" s="19"/>
      <c r="C1043541" s="19"/>
      <c r="D1043541" s="19"/>
      <c r="E1043541" s="19"/>
      <c r="F1043541" s="19"/>
      <c r="G1043541" s="19"/>
      <c r="H1043541" s="19"/>
      <c r="I1043541" s="19"/>
      <c r="J1043541" s="19"/>
      <c r="K1043541" s="19"/>
      <c r="L1043541" s="19"/>
      <c r="M1043541" s="19"/>
      <c r="N1043541" s="19"/>
    </row>
    <row r="1043542" spans="1:14" s="83" customFormat="1" ht="12.75">
      <c r="A1043542" s="19"/>
      <c r="B1043542" s="19"/>
      <c r="C1043542" s="19"/>
      <c r="D1043542" s="19"/>
      <c r="E1043542" s="19"/>
      <c r="F1043542" s="19"/>
      <c r="G1043542" s="19"/>
      <c r="H1043542" s="19"/>
      <c r="I1043542" s="19"/>
      <c r="J1043542" s="19"/>
      <c r="K1043542" s="19"/>
      <c r="L1043542" s="19"/>
      <c r="M1043542" s="19"/>
      <c r="N1043542" s="19"/>
    </row>
    <row r="1043543" spans="1:14" s="83" customFormat="1" ht="12.75">
      <c r="A1043543" s="19"/>
      <c r="B1043543" s="19"/>
      <c r="C1043543" s="19"/>
      <c r="D1043543" s="19"/>
      <c r="E1043543" s="19"/>
      <c r="F1043543" s="19"/>
      <c r="G1043543" s="19"/>
      <c r="H1043543" s="19"/>
      <c r="I1043543" s="19"/>
      <c r="J1043543" s="19"/>
      <c r="K1043543" s="19"/>
      <c r="L1043543" s="19"/>
      <c r="M1043543" s="19"/>
      <c r="N1043543" s="19"/>
    </row>
    <row r="1043544" spans="1:14" s="83" customFormat="1" ht="12.75">
      <c r="A1043544" s="19"/>
      <c r="B1043544" s="19"/>
      <c r="C1043544" s="19"/>
      <c r="D1043544" s="19"/>
      <c r="E1043544" s="19"/>
      <c r="F1043544" s="19"/>
      <c r="G1043544" s="19"/>
      <c r="H1043544" s="19"/>
      <c r="I1043544" s="19"/>
      <c r="J1043544" s="19"/>
      <c r="K1043544" s="19"/>
      <c r="L1043544" s="19"/>
      <c r="M1043544" s="19"/>
      <c r="N1043544" s="19"/>
    </row>
    <row r="1043545" spans="1:14" s="83" customFormat="1" ht="12.75">
      <c r="A1043545" s="19"/>
      <c r="B1043545" s="19"/>
      <c r="C1043545" s="19"/>
      <c r="D1043545" s="19"/>
      <c r="E1043545" s="19"/>
      <c r="F1043545" s="19"/>
      <c r="G1043545" s="19"/>
      <c r="H1043545" s="19"/>
      <c r="I1043545" s="19"/>
      <c r="J1043545" s="19"/>
      <c r="K1043545" s="19"/>
      <c r="L1043545" s="19"/>
      <c r="M1043545" s="19"/>
      <c r="N1043545" s="19"/>
    </row>
    <row r="1043546" spans="1:14" s="83" customFormat="1" ht="12.75">
      <c r="A1043546" s="19"/>
      <c r="B1043546" s="19"/>
      <c r="C1043546" s="19"/>
      <c r="D1043546" s="19"/>
      <c r="E1043546" s="19"/>
      <c r="F1043546" s="19"/>
      <c r="G1043546" s="19"/>
      <c r="H1043546" s="19"/>
      <c r="I1043546" s="19"/>
      <c r="J1043546" s="19"/>
      <c r="K1043546" s="19"/>
      <c r="L1043546" s="19"/>
      <c r="M1043546" s="19"/>
      <c r="N1043546" s="19"/>
    </row>
    <row r="1043547" spans="1:14" s="83" customFormat="1" ht="12.75">
      <c r="A1043547" s="19"/>
      <c r="B1043547" s="19"/>
      <c r="C1043547" s="19"/>
      <c r="D1043547" s="19"/>
      <c r="E1043547" s="19"/>
      <c r="F1043547" s="19"/>
      <c r="G1043547" s="19"/>
      <c r="H1043547" s="19"/>
      <c r="I1043547" s="19"/>
      <c r="J1043547" s="19"/>
      <c r="K1043547" s="19"/>
      <c r="L1043547" s="19"/>
      <c r="M1043547" s="19"/>
      <c r="N1043547" s="19"/>
    </row>
    <row r="1043548" spans="1:14" s="83" customFormat="1" ht="12.75">
      <c r="A1043548" s="19"/>
      <c r="B1043548" s="19"/>
      <c r="C1043548" s="19"/>
      <c r="D1043548" s="19"/>
      <c r="E1043548" s="19"/>
      <c r="F1043548" s="19"/>
      <c r="G1043548" s="19"/>
      <c r="H1043548" s="19"/>
      <c r="I1043548" s="19"/>
      <c r="J1043548" s="19"/>
      <c r="K1043548" s="19"/>
      <c r="L1043548" s="19"/>
      <c r="M1043548" s="19"/>
      <c r="N1043548" s="19"/>
    </row>
    <row r="1043549" spans="1:14" s="83" customFormat="1" ht="12.75">
      <c r="A1043549" s="19"/>
      <c r="B1043549" s="19"/>
      <c r="C1043549" s="19"/>
      <c r="D1043549" s="19"/>
      <c r="E1043549" s="19"/>
      <c r="F1043549" s="19"/>
      <c r="G1043549" s="19"/>
      <c r="H1043549" s="19"/>
      <c r="I1043549" s="19"/>
      <c r="J1043549" s="19"/>
      <c r="K1043549" s="19"/>
      <c r="L1043549" s="19"/>
      <c r="M1043549" s="19"/>
      <c r="N1043549" s="19"/>
    </row>
    <row r="1043550" spans="1:14" s="83" customFormat="1" ht="12.75">
      <c r="A1043550" s="19"/>
      <c r="B1043550" s="19"/>
      <c r="C1043550" s="19"/>
      <c r="D1043550" s="19"/>
      <c r="E1043550" s="19"/>
      <c r="F1043550" s="19"/>
      <c r="G1043550" s="19"/>
      <c r="H1043550" s="19"/>
      <c r="I1043550" s="19"/>
      <c r="J1043550" s="19"/>
      <c r="K1043550" s="19"/>
      <c r="L1043550" s="19"/>
      <c r="M1043550" s="19"/>
      <c r="N1043550" s="19"/>
    </row>
    <row r="1043551" spans="1:14" s="83" customFormat="1" ht="12.75">
      <c r="A1043551" s="19"/>
      <c r="B1043551" s="19"/>
      <c r="C1043551" s="19"/>
      <c r="D1043551" s="19"/>
      <c r="E1043551" s="19"/>
      <c r="F1043551" s="19"/>
      <c r="G1043551" s="19"/>
      <c r="H1043551" s="19"/>
      <c r="I1043551" s="19"/>
      <c r="J1043551" s="19"/>
      <c r="K1043551" s="19"/>
      <c r="L1043551" s="19"/>
      <c r="M1043551" s="19"/>
      <c r="N1043551" s="19"/>
    </row>
    <row r="1043552" spans="1:14" s="83" customFormat="1" ht="12.75">
      <c r="A1043552" s="19"/>
      <c r="B1043552" s="19"/>
      <c r="C1043552" s="19"/>
      <c r="D1043552" s="19"/>
      <c r="E1043552" s="19"/>
      <c r="F1043552" s="19"/>
      <c r="G1043552" s="19"/>
      <c r="H1043552" s="19"/>
      <c r="I1043552" s="19"/>
      <c r="J1043552" s="19"/>
      <c r="K1043552" s="19"/>
      <c r="L1043552" s="19"/>
      <c r="M1043552" s="19"/>
      <c r="N1043552" s="19"/>
    </row>
    <row r="1043553" spans="1:14" s="83" customFormat="1" ht="12.75">
      <c r="A1043553" s="19"/>
      <c r="B1043553" s="19"/>
      <c r="C1043553" s="19"/>
      <c r="D1043553" s="19"/>
      <c r="E1043553" s="19"/>
      <c r="F1043553" s="19"/>
      <c r="G1043553" s="19"/>
      <c r="H1043553" s="19"/>
      <c r="I1043553" s="19"/>
      <c r="J1043553" s="19"/>
      <c r="K1043553" s="19"/>
      <c r="L1043553" s="19"/>
      <c r="M1043553" s="19"/>
      <c r="N1043553" s="19"/>
    </row>
    <row r="1043554" spans="1:14" s="83" customFormat="1" ht="12.75">
      <c r="A1043554" s="19"/>
      <c r="B1043554" s="19"/>
      <c r="C1043554" s="19"/>
      <c r="D1043554" s="19"/>
      <c r="E1043554" s="19"/>
      <c r="F1043554" s="19"/>
      <c r="G1043554" s="19"/>
      <c r="H1043554" s="19"/>
      <c r="I1043554" s="19"/>
      <c r="J1043554" s="19"/>
      <c r="K1043554" s="19"/>
      <c r="L1043554" s="19"/>
      <c r="M1043554" s="19"/>
      <c r="N1043554" s="19"/>
    </row>
    <row r="1043555" spans="1:14" s="83" customFormat="1" ht="12.75">
      <c r="A1043555" s="19"/>
      <c r="B1043555" s="19"/>
      <c r="C1043555" s="19"/>
      <c r="D1043555" s="19"/>
      <c r="E1043555" s="19"/>
      <c r="F1043555" s="19"/>
      <c r="G1043555" s="19"/>
      <c r="H1043555" s="19"/>
      <c r="I1043555" s="19"/>
      <c r="J1043555" s="19"/>
      <c r="K1043555" s="19"/>
      <c r="L1043555" s="19"/>
      <c r="M1043555" s="19"/>
      <c r="N1043555" s="19"/>
    </row>
    <row r="1043556" spans="1:14" s="83" customFormat="1" ht="12.75">
      <c r="A1043556" s="19"/>
      <c r="B1043556" s="19"/>
      <c r="C1043556" s="19"/>
      <c r="D1043556" s="19"/>
      <c r="E1043556" s="19"/>
      <c r="F1043556" s="19"/>
      <c r="G1043556" s="19"/>
      <c r="H1043556" s="19"/>
      <c r="I1043556" s="19"/>
      <c r="J1043556" s="19"/>
      <c r="K1043556" s="19"/>
      <c r="L1043556" s="19"/>
      <c r="M1043556" s="19"/>
      <c r="N1043556" s="19"/>
    </row>
    <row r="1043557" spans="1:14" s="83" customFormat="1" ht="12.75">
      <c r="A1043557" s="19"/>
      <c r="B1043557" s="19"/>
      <c r="C1043557" s="19"/>
      <c r="D1043557" s="19"/>
      <c r="E1043557" s="19"/>
      <c r="F1043557" s="19"/>
      <c r="G1043557" s="19"/>
      <c r="H1043557" s="19"/>
      <c r="I1043557" s="19"/>
      <c r="J1043557" s="19"/>
      <c r="K1043557" s="19"/>
      <c r="L1043557" s="19"/>
      <c r="M1043557" s="19"/>
      <c r="N1043557" s="19"/>
    </row>
    <row r="1043558" spans="1:14" s="83" customFormat="1" ht="12.75">
      <c r="A1043558" s="19"/>
      <c r="B1043558" s="19"/>
      <c r="C1043558" s="19"/>
      <c r="D1043558" s="19"/>
      <c r="E1043558" s="19"/>
      <c r="F1043558" s="19"/>
      <c r="G1043558" s="19"/>
      <c r="H1043558" s="19"/>
      <c r="I1043558" s="19"/>
      <c r="J1043558" s="19"/>
      <c r="K1043558" s="19"/>
      <c r="L1043558" s="19"/>
      <c r="M1043558" s="19"/>
      <c r="N1043558" s="19"/>
    </row>
    <row r="1043559" spans="1:14" s="83" customFormat="1" ht="12.75">
      <c r="A1043559" s="19"/>
      <c r="B1043559" s="19"/>
      <c r="C1043559" s="19"/>
      <c r="D1043559" s="19"/>
      <c r="E1043559" s="19"/>
      <c r="F1043559" s="19"/>
      <c r="G1043559" s="19"/>
      <c r="H1043559" s="19"/>
      <c r="I1043559" s="19"/>
      <c r="J1043559" s="19"/>
      <c r="K1043559" s="19"/>
      <c r="L1043559" s="19"/>
      <c r="M1043559" s="19"/>
      <c r="N1043559" s="19"/>
    </row>
    <row r="1043560" spans="1:14" s="83" customFormat="1" ht="12.75">
      <c r="A1043560" s="19"/>
      <c r="B1043560" s="19"/>
      <c r="C1043560" s="19"/>
      <c r="D1043560" s="19"/>
      <c r="E1043560" s="19"/>
      <c r="F1043560" s="19"/>
      <c r="G1043560" s="19"/>
      <c r="H1043560" s="19"/>
      <c r="I1043560" s="19"/>
      <c r="J1043560" s="19"/>
      <c r="K1043560" s="19"/>
      <c r="L1043560" s="19"/>
      <c r="M1043560" s="19"/>
      <c r="N1043560" s="19"/>
    </row>
    <row r="1043561" spans="1:14" s="83" customFormat="1" ht="12.75">
      <c r="A1043561" s="19"/>
      <c r="B1043561" s="19"/>
      <c r="C1043561" s="19"/>
      <c r="D1043561" s="19"/>
      <c r="E1043561" s="19"/>
      <c r="F1043561" s="19"/>
      <c r="G1043561" s="19"/>
      <c r="H1043561" s="19"/>
      <c r="I1043561" s="19"/>
      <c r="J1043561" s="19"/>
      <c r="K1043561" s="19"/>
      <c r="L1043561" s="19"/>
      <c r="M1043561" s="19"/>
      <c r="N1043561" s="19"/>
    </row>
    <row r="1043562" spans="1:14" s="83" customFormat="1" ht="12.75">
      <c r="A1043562" s="19"/>
      <c r="B1043562" s="19"/>
      <c r="C1043562" s="19"/>
      <c r="D1043562" s="19"/>
      <c r="E1043562" s="19"/>
      <c r="F1043562" s="19"/>
      <c r="G1043562" s="19"/>
      <c r="H1043562" s="19"/>
      <c r="I1043562" s="19"/>
      <c r="J1043562" s="19"/>
      <c r="K1043562" s="19"/>
      <c r="L1043562" s="19"/>
      <c r="M1043562" s="19"/>
      <c r="N1043562" s="19"/>
    </row>
    <row r="1043563" spans="1:14" s="83" customFormat="1" ht="12.75">
      <c r="A1043563" s="19"/>
      <c r="B1043563" s="19"/>
      <c r="C1043563" s="19"/>
      <c r="D1043563" s="19"/>
      <c r="E1043563" s="19"/>
      <c r="F1043563" s="19"/>
      <c r="G1043563" s="19"/>
      <c r="H1043563" s="19"/>
      <c r="I1043563" s="19"/>
      <c r="J1043563" s="19"/>
      <c r="K1043563" s="19"/>
      <c r="L1043563" s="19"/>
      <c r="M1043563" s="19"/>
      <c r="N1043563" s="19"/>
    </row>
    <row r="1043564" spans="1:14" s="83" customFormat="1" ht="12.75">
      <c r="A1043564" s="19"/>
      <c r="B1043564" s="19"/>
      <c r="C1043564" s="19"/>
      <c r="D1043564" s="19"/>
      <c r="E1043564" s="19"/>
      <c r="F1043564" s="19"/>
      <c r="G1043564" s="19"/>
      <c r="H1043564" s="19"/>
      <c r="I1043564" s="19"/>
      <c r="J1043564" s="19"/>
      <c r="K1043564" s="19"/>
      <c r="L1043564" s="19"/>
      <c r="M1043564" s="19"/>
      <c r="N1043564" s="19"/>
    </row>
    <row r="1043565" spans="1:14" s="83" customFormat="1" ht="12.75">
      <c r="A1043565" s="19"/>
      <c r="B1043565" s="19"/>
      <c r="C1043565" s="19"/>
      <c r="D1043565" s="19"/>
      <c r="E1043565" s="19"/>
      <c r="F1043565" s="19"/>
      <c r="G1043565" s="19"/>
      <c r="H1043565" s="19"/>
      <c r="I1043565" s="19"/>
      <c r="J1043565" s="19"/>
      <c r="K1043565" s="19"/>
      <c r="L1043565" s="19"/>
      <c r="M1043565" s="19"/>
      <c r="N1043565" s="19"/>
    </row>
    <row r="1043566" spans="1:14" s="83" customFormat="1" ht="12.75">
      <c r="A1043566" s="19"/>
      <c r="B1043566" s="19"/>
      <c r="C1043566" s="19"/>
      <c r="D1043566" s="19"/>
      <c r="E1043566" s="19"/>
      <c r="F1043566" s="19"/>
      <c r="G1043566" s="19"/>
      <c r="H1043566" s="19"/>
      <c r="I1043566" s="19"/>
      <c r="J1043566" s="19"/>
      <c r="K1043566" s="19"/>
      <c r="L1043566" s="19"/>
      <c r="M1043566" s="19"/>
      <c r="N1043566" s="19"/>
    </row>
    <row r="1043567" spans="1:14" s="83" customFormat="1" ht="12.75">
      <c r="A1043567" s="19"/>
      <c r="B1043567" s="19"/>
      <c r="C1043567" s="19"/>
      <c r="D1043567" s="19"/>
      <c r="E1043567" s="19"/>
      <c r="F1043567" s="19"/>
      <c r="G1043567" s="19"/>
      <c r="H1043567" s="19"/>
      <c r="I1043567" s="19"/>
      <c r="J1043567" s="19"/>
      <c r="K1043567" s="19"/>
      <c r="L1043567" s="19"/>
      <c r="M1043567" s="19"/>
      <c r="N1043567" s="19"/>
    </row>
    <row r="1043568" spans="1:14" s="83" customFormat="1" ht="12.75">
      <c r="A1043568" s="19"/>
      <c r="B1043568" s="19"/>
      <c r="C1043568" s="19"/>
      <c r="D1043568" s="19"/>
      <c r="E1043568" s="19"/>
      <c r="F1043568" s="19"/>
      <c r="G1043568" s="19"/>
      <c r="H1043568" s="19"/>
      <c r="I1043568" s="19"/>
      <c r="J1043568" s="19"/>
      <c r="K1043568" s="19"/>
      <c r="L1043568" s="19"/>
      <c r="M1043568" s="19"/>
      <c r="N1043568" s="19"/>
    </row>
    <row r="1043569" spans="1:14" s="83" customFormat="1" ht="12.75">
      <c r="A1043569" s="19"/>
      <c r="B1043569" s="19"/>
      <c r="C1043569" s="19"/>
      <c r="D1043569" s="19"/>
      <c r="E1043569" s="19"/>
      <c r="F1043569" s="19"/>
      <c r="G1043569" s="19"/>
      <c r="H1043569" s="19"/>
      <c r="I1043569" s="19"/>
      <c r="J1043569" s="19"/>
      <c r="K1043569" s="19"/>
      <c r="L1043569" s="19"/>
      <c r="M1043569" s="19"/>
      <c r="N1043569" s="19"/>
    </row>
    <row r="1043570" spans="1:14" s="83" customFormat="1" ht="12.75">
      <c r="A1043570" s="19"/>
      <c r="B1043570" s="19"/>
      <c r="C1043570" s="19"/>
      <c r="D1043570" s="19"/>
      <c r="E1043570" s="19"/>
      <c r="F1043570" s="19"/>
      <c r="G1043570" s="19"/>
      <c r="H1043570" s="19"/>
      <c r="I1043570" s="19"/>
      <c r="J1043570" s="19"/>
      <c r="K1043570" s="19"/>
      <c r="L1043570" s="19"/>
      <c r="M1043570" s="19"/>
      <c r="N1043570" s="19"/>
    </row>
    <row r="1043571" spans="1:14" s="83" customFormat="1" ht="12.75">
      <c r="A1043571" s="19"/>
      <c r="B1043571" s="19"/>
      <c r="C1043571" s="19"/>
      <c r="D1043571" s="19"/>
      <c r="E1043571" s="19"/>
      <c r="F1043571" s="19"/>
      <c r="G1043571" s="19"/>
      <c r="H1043571" s="19"/>
      <c r="I1043571" s="19"/>
      <c r="J1043571" s="19"/>
      <c r="K1043571" s="19"/>
      <c r="L1043571" s="19"/>
      <c r="M1043571" s="19"/>
      <c r="N1043571" s="19"/>
    </row>
    <row r="1043572" spans="1:14" s="83" customFormat="1" ht="12.75">
      <c r="A1043572" s="19"/>
      <c r="B1043572" s="19"/>
      <c r="C1043572" s="19"/>
      <c r="D1043572" s="19"/>
      <c r="E1043572" s="19"/>
      <c r="F1043572" s="19"/>
      <c r="G1043572" s="19"/>
      <c r="H1043572" s="19"/>
      <c r="I1043572" s="19"/>
      <c r="J1043572" s="19"/>
      <c r="K1043572" s="19"/>
      <c r="L1043572" s="19"/>
      <c r="M1043572" s="19"/>
      <c r="N1043572" s="19"/>
    </row>
    <row r="1043573" spans="1:14" s="83" customFormat="1" ht="12.75">
      <c r="A1043573" s="19"/>
      <c r="B1043573" s="19"/>
      <c r="C1043573" s="19"/>
      <c r="D1043573" s="19"/>
      <c r="E1043573" s="19"/>
      <c r="F1043573" s="19"/>
      <c r="G1043573" s="19"/>
      <c r="H1043573" s="19"/>
      <c r="I1043573" s="19"/>
      <c r="J1043573" s="19"/>
      <c r="K1043573" s="19"/>
      <c r="L1043573" s="19"/>
      <c r="M1043573" s="19"/>
      <c r="N1043573" s="19"/>
    </row>
    <row r="1043574" spans="1:14" s="83" customFormat="1" ht="12.75">
      <c r="A1043574" s="19"/>
      <c r="B1043574" s="19"/>
      <c r="C1043574" s="19"/>
      <c r="D1043574" s="19"/>
      <c r="E1043574" s="19"/>
      <c r="F1043574" s="19"/>
      <c r="G1043574" s="19"/>
      <c r="H1043574" s="19"/>
      <c r="I1043574" s="19"/>
      <c r="J1043574" s="19"/>
      <c r="K1043574" s="19"/>
      <c r="L1043574" s="19"/>
      <c r="M1043574" s="19"/>
      <c r="N1043574" s="19"/>
    </row>
    <row r="1043575" spans="1:14" s="83" customFormat="1" ht="12.75">
      <c r="A1043575" s="19"/>
      <c r="B1043575" s="19"/>
      <c r="C1043575" s="19"/>
      <c r="D1043575" s="19"/>
      <c r="E1043575" s="19"/>
      <c r="F1043575" s="19"/>
      <c r="G1043575" s="19"/>
      <c r="H1043575" s="19"/>
      <c r="I1043575" s="19"/>
      <c r="J1043575" s="19"/>
      <c r="K1043575" s="19"/>
      <c r="L1043575" s="19"/>
      <c r="M1043575" s="19"/>
      <c r="N1043575" s="19"/>
    </row>
    <row r="1043576" spans="1:14" s="83" customFormat="1" ht="12.75">
      <c r="A1043576" s="19"/>
      <c r="B1043576" s="19"/>
      <c r="C1043576" s="19"/>
      <c r="D1043576" s="19"/>
      <c r="E1043576" s="19"/>
      <c r="F1043576" s="19"/>
      <c r="G1043576" s="19"/>
      <c r="H1043576" s="19"/>
      <c r="I1043576" s="19"/>
      <c r="J1043576" s="19"/>
      <c r="K1043576" s="19"/>
      <c r="L1043576" s="19"/>
      <c r="M1043576" s="19"/>
      <c r="N1043576" s="19"/>
    </row>
    <row r="1043577" spans="1:14" s="83" customFormat="1" ht="12.75">
      <c r="A1043577" s="19"/>
      <c r="B1043577" s="19"/>
      <c r="C1043577" s="19"/>
      <c r="D1043577" s="19"/>
      <c r="E1043577" s="19"/>
      <c r="F1043577" s="19"/>
      <c r="G1043577" s="19"/>
      <c r="H1043577" s="19"/>
      <c r="I1043577" s="19"/>
      <c r="J1043577" s="19"/>
      <c r="K1043577" s="19"/>
      <c r="L1043577" s="19"/>
      <c r="M1043577" s="19"/>
      <c r="N1043577" s="19"/>
    </row>
    <row r="1043578" spans="1:14" s="83" customFormat="1" ht="12.75">
      <c r="A1043578" s="19"/>
      <c r="B1043578" s="19"/>
      <c r="C1043578" s="19"/>
      <c r="D1043578" s="19"/>
      <c r="E1043578" s="19"/>
      <c r="F1043578" s="19"/>
      <c r="G1043578" s="19"/>
      <c r="H1043578" s="19"/>
      <c r="I1043578" s="19"/>
      <c r="J1043578" s="19"/>
      <c r="K1043578" s="19"/>
      <c r="L1043578" s="19"/>
      <c r="M1043578" s="19"/>
      <c r="N1043578" s="19"/>
    </row>
    <row r="1043579" spans="1:14" s="83" customFormat="1" ht="12.75">
      <c r="A1043579" s="19"/>
      <c r="B1043579" s="19"/>
      <c r="C1043579" s="19"/>
      <c r="D1043579" s="19"/>
      <c r="E1043579" s="19"/>
      <c r="F1043579" s="19"/>
      <c r="G1043579" s="19"/>
      <c r="H1043579" s="19"/>
      <c r="I1043579" s="19"/>
      <c r="J1043579" s="19"/>
      <c r="K1043579" s="19"/>
      <c r="L1043579" s="19"/>
      <c r="M1043579" s="19"/>
      <c r="N1043579" s="19"/>
    </row>
    <row r="1043580" spans="1:14" s="83" customFormat="1" ht="12.75">
      <c r="A1043580" s="19"/>
      <c r="B1043580" s="19"/>
      <c r="C1043580" s="19"/>
      <c r="D1043580" s="19"/>
      <c r="E1043580" s="19"/>
      <c r="F1043580" s="19"/>
      <c r="G1043580" s="19"/>
      <c r="H1043580" s="19"/>
      <c r="I1043580" s="19"/>
      <c r="J1043580" s="19"/>
      <c r="K1043580" s="19"/>
      <c r="L1043580" s="19"/>
      <c r="M1043580" s="19"/>
      <c r="N1043580" s="19"/>
    </row>
    <row r="1043581" spans="1:14" s="83" customFormat="1" ht="12.75">
      <c r="A1043581" s="19"/>
      <c r="B1043581" s="19"/>
      <c r="C1043581" s="19"/>
      <c r="D1043581" s="19"/>
      <c r="E1043581" s="19"/>
      <c r="F1043581" s="19"/>
      <c r="G1043581" s="19"/>
      <c r="H1043581" s="19"/>
      <c r="I1043581" s="19"/>
      <c r="J1043581" s="19"/>
      <c r="K1043581" s="19"/>
      <c r="L1043581" s="19"/>
      <c r="M1043581" s="19"/>
      <c r="N1043581" s="19"/>
    </row>
    <row r="1043582" spans="1:14" s="83" customFormat="1" ht="12.75">
      <c r="A1043582" s="19"/>
      <c r="B1043582" s="19"/>
      <c r="C1043582" s="19"/>
      <c r="D1043582" s="19"/>
      <c r="E1043582" s="19"/>
      <c r="F1043582" s="19"/>
      <c r="G1043582" s="19"/>
      <c r="H1043582" s="19"/>
      <c r="I1043582" s="19"/>
      <c r="J1043582" s="19"/>
      <c r="K1043582" s="19"/>
      <c r="L1043582" s="19"/>
      <c r="M1043582" s="19"/>
      <c r="N1043582" s="19"/>
    </row>
    <row r="1043583" spans="1:14" s="83" customFormat="1" ht="12.75">
      <c r="A1043583" s="19"/>
      <c r="B1043583" s="19"/>
      <c r="C1043583" s="19"/>
      <c r="D1043583" s="19"/>
      <c r="E1043583" s="19"/>
      <c r="F1043583" s="19"/>
      <c r="G1043583" s="19"/>
      <c r="H1043583" s="19"/>
      <c r="I1043583" s="19"/>
      <c r="J1043583" s="19"/>
      <c r="K1043583" s="19"/>
      <c r="L1043583" s="19"/>
      <c r="M1043583" s="19"/>
      <c r="N1043583" s="19"/>
    </row>
    <row r="1043584" spans="1:14" s="83" customFormat="1" ht="12.75">
      <c r="A1043584" s="19"/>
      <c r="B1043584" s="19"/>
      <c r="C1043584" s="19"/>
      <c r="D1043584" s="19"/>
      <c r="E1043584" s="19"/>
      <c r="F1043584" s="19"/>
      <c r="G1043584" s="19"/>
      <c r="H1043584" s="19"/>
      <c r="I1043584" s="19"/>
      <c r="J1043584" s="19"/>
      <c r="K1043584" s="19"/>
      <c r="L1043584" s="19"/>
      <c r="M1043584" s="19"/>
      <c r="N1043584" s="19"/>
    </row>
    <row r="1043585" spans="1:14" s="83" customFormat="1" ht="12.75">
      <c r="A1043585" s="19"/>
      <c r="B1043585" s="19"/>
      <c r="C1043585" s="19"/>
      <c r="D1043585" s="19"/>
      <c r="E1043585" s="19"/>
      <c r="F1043585" s="19"/>
      <c r="G1043585" s="19"/>
      <c r="H1043585" s="19"/>
      <c r="I1043585" s="19"/>
      <c r="J1043585" s="19"/>
      <c r="K1043585" s="19"/>
      <c r="L1043585" s="19"/>
      <c r="M1043585" s="19"/>
      <c r="N1043585" s="19"/>
    </row>
    <row r="1043586" spans="1:14" s="83" customFormat="1" ht="12.75">
      <c r="A1043586" s="19"/>
      <c r="B1043586" s="19"/>
      <c r="C1043586" s="19"/>
      <c r="D1043586" s="19"/>
      <c r="E1043586" s="19"/>
      <c r="F1043586" s="19"/>
      <c r="G1043586" s="19"/>
      <c r="H1043586" s="19"/>
      <c r="I1043586" s="19"/>
      <c r="J1043586" s="19"/>
      <c r="K1043586" s="19"/>
      <c r="L1043586" s="19"/>
      <c r="M1043586" s="19"/>
      <c r="N1043586" s="19"/>
    </row>
    <row r="1043587" spans="1:14" s="83" customFormat="1" ht="12.75">
      <c r="A1043587" s="19"/>
      <c r="B1043587" s="19"/>
      <c r="C1043587" s="19"/>
      <c r="D1043587" s="19"/>
      <c r="E1043587" s="19"/>
      <c r="F1043587" s="19"/>
      <c r="G1043587" s="19"/>
      <c r="H1043587" s="19"/>
      <c r="I1043587" s="19"/>
      <c r="J1043587" s="19"/>
      <c r="K1043587" s="19"/>
      <c r="L1043587" s="19"/>
      <c r="M1043587" s="19"/>
      <c r="N1043587" s="19"/>
    </row>
    <row r="1043588" spans="1:14" s="83" customFormat="1" ht="12.75">
      <c r="A1043588" s="19"/>
      <c r="B1043588" s="19"/>
      <c r="C1043588" s="19"/>
      <c r="D1043588" s="19"/>
      <c r="E1043588" s="19"/>
      <c r="F1043588" s="19"/>
      <c r="G1043588" s="19"/>
      <c r="H1043588" s="19"/>
      <c r="I1043588" s="19"/>
      <c r="J1043588" s="19"/>
      <c r="K1043588" s="19"/>
      <c r="L1043588" s="19"/>
      <c r="M1043588" s="19"/>
      <c r="N1043588" s="19"/>
    </row>
    <row r="1043589" spans="1:14" s="83" customFormat="1" ht="12.75">
      <c r="A1043589" s="19"/>
      <c r="B1043589" s="19"/>
      <c r="C1043589" s="19"/>
      <c r="D1043589" s="19"/>
      <c r="E1043589" s="19"/>
      <c r="F1043589" s="19"/>
      <c r="G1043589" s="19"/>
      <c r="H1043589" s="19"/>
      <c r="I1043589" s="19"/>
      <c r="J1043589" s="19"/>
      <c r="K1043589" s="19"/>
      <c r="L1043589" s="19"/>
      <c r="M1043589" s="19"/>
      <c r="N1043589" s="19"/>
    </row>
    <row r="1043590" spans="1:14" s="83" customFormat="1" ht="12.75">
      <c r="A1043590" s="19"/>
      <c r="B1043590" s="19"/>
      <c r="C1043590" s="19"/>
      <c r="D1043590" s="19"/>
      <c r="E1043590" s="19"/>
      <c r="F1043590" s="19"/>
      <c r="G1043590" s="19"/>
      <c r="H1043590" s="19"/>
      <c r="I1043590" s="19"/>
      <c r="J1043590" s="19"/>
      <c r="K1043590" s="19"/>
      <c r="L1043590" s="19"/>
      <c r="M1043590" s="19"/>
      <c r="N1043590" s="19"/>
    </row>
    <row r="1043591" spans="1:14" s="83" customFormat="1" ht="12.75">
      <c r="A1043591" s="19"/>
      <c r="B1043591" s="19"/>
      <c r="C1043591" s="19"/>
      <c r="D1043591" s="19"/>
      <c r="E1043591" s="19"/>
      <c r="F1043591" s="19"/>
      <c r="G1043591" s="19"/>
      <c r="H1043591" s="19"/>
      <c r="I1043591" s="19"/>
      <c r="J1043591" s="19"/>
      <c r="K1043591" s="19"/>
      <c r="L1043591" s="19"/>
      <c r="M1043591" s="19"/>
      <c r="N1043591" s="19"/>
    </row>
    <row r="1043592" spans="1:14" s="83" customFormat="1" ht="12.75">
      <c r="A1043592" s="19"/>
      <c r="B1043592" s="19"/>
      <c r="C1043592" s="19"/>
      <c r="D1043592" s="19"/>
      <c r="E1043592" s="19"/>
      <c r="F1043592" s="19"/>
      <c r="G1043592" s="19"/>
      <c r="H1043592" s="19"/>
      <c r="I1043592" s="19"/>
      <c r="J1043592" s="19"/>
      <c r="K1043592" s="19"/>
      <c r="L1043592" s="19"/>
      <c r="M1043592" s="19"/>
      <c r="N1043592" s="19"/>
    </row>
    <row r="1043593" spans="1:14" s="83" customFormat="1" ht="12.75">
      <c r="A1043593" s="19"/>
      <c r="B1043593" s="19"/>
      <c r="C1043593" s="19"/>
      <c r="D1043593" s="19"/>
      <c r="E1043593" s="19"/>
      <c r="F1043593" s="19"/>
      <c r="G1043593" s="19"/>
      <c r="H1043593" s="19"/>
      <c r="I1043593" s="19"/>
      <c r="J1043593" s="19"/>
      <c r="K1043593" s="19"/>
      <c r="L1043593" s="19"/>
      <c r="M1043593" s="19"/>
      <c r="N1043593" s="19"/>
    </row>
    <row r="1043594" spans="1:14" s="83" customFormat="1" ht="12.75">
      <c r="A1043594" s="19"/>
      <c r="B1043594" s="19"/>
      <c r="C1043594" s="19"/>
      <c r="D1043594" s="19"/>
      <c r="E1043594" s="19"/>
      <c r="F1043594" s="19"/>
      <c r="G1043594" s="19"/>
      <c r="H1043594" s="19"/>
      <c r="I1043594" s="19"/>
      <c r="J1043594" s="19"/>
      <c r="K1043594" s="19"/>
      <c r="L1043594" s="19"/>
      <c r="M1043594" s="19"/>
      <c r="N1043594" s="19"/>
    </row>
    <row r="1043595" spans="1:14" s="83" customFormat="1" ht="12.75">
      <c r="A1043595" s="19"/>
      <c r="B1043595" s="19"/>
      <c r="C1043595" s="19"/>
      <c r="D1043595" s="19"/>
      <c r="E1043595" s="19"/>
      <c r="F1043595" s="19"/>
      <c r="G1043595" s="19"/>
      <c r="H1043595" s="19"/>
      <c r="I1043595" s="19"/>
      <c r="J1043595" s="19"/>
      <c r="K1043595" s="19"/>
      <c r="L1043595" s="19"/>
      <c r="M1043595" s="19"/>
      <c r="N1043595" s="19"/>
    </row>
    <row r="1043596" spans="1:14" s="83" customFormat="1" ht="12.75">
      <c r="A1043596" s="19"/>
      <c r="B1043596" s="19"/>
      <c r="C1043596" s="19"/>
      <c r="D1043596" s="19"/>
      <c r="E1043596" s="19"/>
      <c r="F1043596" s="19"/>
      <c r="G1043596" s="19"/>
      <c r="H1043596" s="19"/>
      <c r="I1043596" s="19"/>
      <c r="J1043596" s="19"/>
      <c r="K1043596" s="19"/>
      <c r="L1043596" s="19"/>
      <c r="M1043596" s="19"/>
      <c r="N1043596" s="19"/>
    </row>
    <row r="1043597" spans="1:14" s="83" customFormat="1" ht="12.75">
      <c r="A1043597" s="19"/>
      <c r="B1043597" s="19"/>
      <c r="C1043597" s="19"/>
      <c r="D1043597" s="19"/>
      <c r="E1043597" s="19"/>
      <c r="F1043597" s="19"/>
      <c r="G1043597" s="19"/>
      <c r="H1043597" s="19"/>
      <c r="I1043597" s="19"/>
      <c r="J1043597" s="19"/>
      <c r="K1043597" s="19"/>
      <c r="L1043597" s="19"/>
      <c r="M1043597" s="19"/>
      <c r="N1043597" s="19"/>
    </row>
    <row r="1043598" spans="1:14" s="83" customFormat="1" ht="12.75">
      <c r="A1043598" s="19"/>
      <c r="B1043598" s="19"/>
      <c r="C1043598" s="19"/>
      <c r="D1043598" s="19"/>
      <c r="E1043598" s="19"/>
      <c r="F1043598" s="19"/>
      <c r="G1043598" s="19"/>
      <c r="H1043598" s="19"/>
      <c r="I1043598" s="19"/>
      <c r="J1043598" s="19"/>
      <c r="K1043598" s="19"/>
      <c r="L1043598" s="19"/>
      <c r="M1043598" s="19"/>
      <c r="N1043598" s="19"/>
    </row>
    <row r="1043599" spans="1:14" s="83" customFormat="1" ht="12.75">
      <c r="A1043599" s="19"/>
      <c r="B1043599" s="19"/>
      <c r="C1043599" s="19"/>
      <c r="D1043599" s="19"/>
      <c r="E1043599" s="19"/>
      <c r="F1043599" s="19"/>
      <c r="G1043599" s="19"/>
      <c r="H1043599" s="19"/>
      <c r="I1043599" s="19"/>
      <c r="J1043599" s="19"/>
      <c r="K1043599" s="19"/>
      <c r="L1043599" s="19"/>
      <c r="M1043599" s="19"/>
      <c r="N1043599" s="19"/>
    </row>
    <row r="1043600" spans="1:14" s="83" customFormat="1" ht="12.75">
      <c r="A1043600" s="19"/>
      <c r="B1043600" s="19"/>
      <c r="C1043600" s="19"/>
      <c r="D1043600" s="19"/>
      <c r="E1043600" s="19"/>
      <c r="F1043600" s="19"/>
      <c r="G1043600" s="19"/>
      <c r="H1043600" s="19"/>
      <c r="I1043600" s="19"/>
      <c r="J1043600" s="19"/>
      <c r="K1043600" s="19"/>
      <c r="L1043600" s="19"/>
      <c r="M1043600" s="19"/>
      <c r="N1043600" s="19"/>
    </row>
    <row r="1043601" spans="1:14" s="83" customFormat="1" ht="12.75">
      <c r="A1043601" s="19"/>
      <c r="B1043601" s="19"/>
      <c r="C1043601" s="19"/>
      <c r="D1043601" s="19"/>
      <c r="E1043601" s="19"/>
      <c r="F1043601" s="19"/>
      <c r="G1043601" s="19"/>
      <c r="H1043601" s="19"/>
      <c r="I1043601" s="19"/>
      <c r="J1043601" s="19"/>
      <c r="K1043601" s="19"/>
      <c r="L1043601" s="19"/>
      <c r="M1043601" s="19"/>
      <c r="N1043601" s="19"/>
    </row>
    <row r="1043602" spans="1:14" s="83" customFormat="1" ht="12.75">
      <c r="A1043602" s="19"/>
      <c r="B1043602" s="19"/>
      <c r="C1043602" s="19"/>
      <c r="D1043602" s="19"/>
      <c r="E1043602" s="19"/>
      <c r="F1043602" s="19"/>
      <c r="G1043602" s="19"/>
      <c r="H1043602" s="19"/>
      <c r="I1043602" s="19"/>
      <c r="J1043602" s="19"/>
      <c r="K1043602" s="19"/>
      <c r="L1043602" s="19"/>
      <c r="M1043602" s="19"/>
      <c r="N1043602" s="19"/>
    </row>
    <row r="1043603" spans="1:14" s="83" customFormat="1" ht="12.75">
      <c r="A1043603" s="19"/>
      <c r="B1043603" s="19"/>
      <c r="C1043603" s="19"/>
      <c r="D1043603" s="19"/>
      <c r="E1043603" s="19"/>
      <c r="F1043603" s="19"/>
      <c r="G1043603" s="19"/>
      <c r="H1043603" s="19"/>
      <c r="I1043603" s="19"/>
      <c r="J1043603" s="19"/>
      <c r="K1043603" s="19"/>
      <c r="L1043603" s="19"/>
      <c r="M1043603" s="19"/>
      <c r="N1043603" s="19"/>
    </row>
    <row r="1043604" spans="1:14" s="83" customFormat="1" ht="12.75">
      <c r="A1043604" s="19"/>
      <c r="B1043604" s="19"/>
      <c r="C1043604" s="19"/>
      <c r="D1043604" s="19"/>
      <c r="E1043604" s="19"/>
      <c r="F1043604" s="19"/>
      <c r="G1043604" s="19"/>
      <c r="H1043604" s="19"/>
      <c r="I1043604" s="19"/>
      <c r="J1043604" s="19"/>
      <c r="K1043604" s="19"/>
      <c r="L1043604" s="19"/>
      <c r="M1043604" s="19"/>
      <c r="N1043604" s="19"/>
    </row>
    <row r="1043605" spans="1:14" s="83" customFormat="1" ht="12.75">
      <c r="A1043605" s="19"/>
      <c r="B1043605" s="19"/>
      <c r="C1043605" s="19"/>
      <c r="D1043605" s="19"/>
      <c r="E1043605" s="19"/>
      <c r="F1043605" s="19"/>
      <c r="G1043605" s="19"/>
      <c r="H1043605" s="19"/>
      <c r="I1043605" s="19"/>
      <c r="J1043605" s="19"/>
      <c r="K1043605" s="19"/>
      <c r="L1043605" s="19"/>
      <c r="M1043605" s="19"/>
      <c r="N1043605" s="19"/>
    </row>
    <row r="1043606" spans="1:14" s="83" customFormat="1" ht="12.75">
      <c r="A1043606" s="19"/>
      <c r="B1043606" s="19"/>
      <c r="C1043606" s="19"/>
      <c r="D1043606" s="19"/>
      <c r="E1043606" s="19"/>
      <c r="F1043606" s="19"/>
      <c r="G1043606" s="19"/>
      <c r="H1043606" s="19"/>
      <c r="I1043606" s="19"/>
      <c r="J1043606" s="19"/>
      <c r="K1043606" s="19"/>
      <c r="L1043606" s="19"/>
      <c r="M1043606" s="19"/>
      <c r="N1043606" s="19"/>
    </row>
    <row r="1043607" spans="1:14" s="83" customFormat="1" ht="12.75">
      <c r="A1043607" s="19"/>
      <c r="B1043607" s="19"/>
      <c r="C1043607" s="19"/>
      <c r="D1043607" s="19"/>
      <c r="E1043607" s="19"/>
      <c r="F1043607" s="19"/>
      <c r="G1043607" s="19"/>
      <c r="H1043607" s="19"/>
      <c r="I1043607" s="19"/>
      <c r="J1043607" s="19"/>
      <c r="K1043607" s="19"/>
      <c r="L1043607" s="19"/>
      <c r="M1043607" s="19"/>
      <c r="N1043607" s="19"/>
    </row>
    <row r="1043608" spans="1:14" s="83" customFormat="1" ht="12.75">
      <c r="A1043608" s="19"/>
      <c r="B1043608" s="19"/>
      <c r="C1043608" s="19"/>
      <c r="D1043608" s="19"/>
      <c r="E1043608" s="19"/>
      <c r="F1043608" s="19"/>
      <c r="G1043608" s="19"/>
      <c r="H1043608" s="19"/>
      <c r="I1043608" s="19"/>
      <c r="J1043608" s="19"/>
      <c r="K1043608" s="19"/>
      <c r="L1043608" s="19"/>
      <c r="M1043608" s="19"/>
      <c r="N1043608" s="19"/>
    </row>
    <row r="1043609" spans="1:14" s="83" customFormat="1" ht="12.75">
      <c r="A1043609" s="19"/>
      <c r="B1043609" s="19"/>
      <c r="C1043609" s="19"/>
      <c r="D1043609" s="19"/>
      <c r="E1043609" s="19"/>
      <c r="F1043609" s="19"/>
      <c r="G1043609" s="19"/>
      <c r="H1043609" s="19"/>
      <c r="I1043609" s="19"/>
      <c r="J1043609" s="19"/>
      <c r="K1043609" s="19"/>
      <c r="L1043609" s="19"/>
      <c r="M1043609" s="19"/>
      <c r="N1043609" s="19"/>
    </row>
    <row r="1043610" spans="1:14" s="83" customFormat="1" ht="12.75">
      <c r="A1043610" s="19"/>
      <c r="B1043610" s="19"/>
      <c r="C1043610" s="19"/>
      <c r="D1043610" s="19"/>
      <c r="E1043610" s="19"/>
      <c r="F1043610" s="19"/>
      <c r="G1043610" s="19"/>
      <c r="H1043610" s="19"/>
      <c r="I1043610" s="19"/>
      <c r="J1043610" s="19"/>
      <c r="K1043610" s="19"/>
      <c r="L1043610" s="19"/>
      <c r="M1043610" s="19"/>
      <c r="N1043610" s="19"/>
    </row>
    <row r="1043611" spans="1:14" s="83" customFormat="1" ht="12.75">
      <c r="A1043611" s="19"/>
      <c r="B1043611" s="19"/>
      <c r="C1043611" s="19"/>
      <c r="D1043611" s="19"/>
      <c r="E1043611" s="19"/>
      <c r="F1043611" s="19"/>
      <c r="G1043611" s="19"/>
      <c r="H1043611" s="19"/>
      <c r="I1043611" s="19"/>
      <c r="J1043611" s="19"/>
      <c r="K1043611" s="19"/>
      <c r="L1043611" s="19"/>
      <c r="M1043611" s="19"/>
      <c r="N1043611" s="19"/>
    </row>
    <row r="1043612" spans="1:14" s="83" customFormat="1" ht="12.75">
      <c r="A1043612" s="19"/>
      <c r="B1043612" s="19"/>
      <c r="C1043612" s="19"/>
      <c r="D1043612" s="19"/>
      <c r="E1043612" s="19"/>
      <c r="F1043612" s="19"/>
      <c r="G1043612" s="19"/>
      <c r="H1043612" s="19"/>
      <c r="I1043612" s="19"/>
      <c r="J1043612" s="19"/>
      <c r="K1043612" s="19"/>
      <c r="L1043612" s="19"/>
      <c r="M1043612" s="19"/>
      <c r="N1043612" s="19"/>
    </row>
    <row r="1043613" spans="1:14" s="83" customFormat="1" ht="12.75">
      <c r="A1043613" s="19"/>
      <c r="B1043613" s="19"/>
      <c r="C1043613" s="19"/>
      <c r="D1043613" s="19"/>
      <c r="E1043613" s="19"/>
      <c r="F1043613" s="19"/>
      <c r="G1043613" s="19"/>
      <c r="H1043613" s="19"/>
      <c r="I1043613" s="19"/>
      <c r="J1043613" s="19"/>
      <c r="K1043613" s="19"/>
      <c r="L1043613" s="19"/>
      <c r="M1043613" s="19"/>
      <c r="N1043613" s="19"/>
    </row>
    <row r="1043614" spans="1:14" s="83" customFormat="1" ht="12.75">
      <c r="A1043614" s="19"/>
      <c r="B1043614" s="19"/>
      <c r="C1043614" s="19"/>
      <c r="D1043614" s="19"/>
      <c r="E1043614" s="19"/>
      <c r="F1043614" s="19"/>
      <c r="G1043614" s="19"/>
      <c r="H1043614" s="19"/>
      <c r="I1043614" s="19"/>
      <c r="J1043614" s="19"/>
      <c r="K1043614" s="19"/>
      <c r="L1043614" s="19"/>
      <c r="M1043614" s="19"/>
      <c r="N1043614" s="19"/>
    </row>
    <row r="1043615" spans="1:14" s="83" customFormat="1" ht="12.75">
      <c r="A1043615" s="19"/>
      <c r="B1043615" s="19"/>
      <c r="C1043615" s="19"/>
      <c r="D1043615" s="19"/>
      <c r="E1043615" s="19"/>
      <c r="F1043615" s="19"/>
      <c r="G1043615" s="19"/>
      <c r="H1043615" s="19"/>
      <c r="I1043615" s="19"/>
      <c r="J1043615" s="19"/>
      <c r="K1043615" s="19"/>
      <c r="L1043615" s="19"/>
      <c r="M1043615" s="19"/>
      <c r="N1043615" s="19"/>
    </row>
    <row r="1043616" spans="1:14" s="83" customFormat="1" ht="12.75">
      <c r="A1043616" s="19"/>
      <c r="B1043616" s="19"/>
      <c r="C1043616" s="19"/>
      <c r="D1043616" s="19"/>
      <c r="E1043616" s="19"/>
      <c r="F1043616" s="19"/>
      <c r="G1043616" s="19"/>
      <c r="H1043616" s="19"/>
      <c r="I1043616" s="19"/>
      <c r="J1043616" s="19"/>
      <c r="K1043616" s="19"/>
      <c r="L1043616" s="19"/>
      <c r="M1043616" s="19"/>
      <c r="N1043616" s="19"/>
    </row>
    <row r="1043617" spans="1:14" s="83" customFormat="1" ht="12.75">
      <c r="A1043617" s="19"/>
      <c r="B1043617" s="19"/>
      <c r="C1043617" s="19"/>
      <c r="D1043617" s="19"/>
      <c r="E1043617" s="19"/>
      <c r="F1043617" s="19"/>
      <c r="G1043617" s="19"/>
      <c r="H1043617" s="19"/>
      <c r="I1043617" s="19"/>
      <c r="J1043617" s="19"/>
      <c r="K1043617" s="19"/>
      <c r="L1043617" s="19"/>
      <c r="M1043617" s="19"/>
      <c r="N1043617" s="19"/>
    </row>
    <row r="1043618" spans="1:14" s="83" customFormat="1" ht="12.75">
      <c r="A1043618" s="19"/>
      <c r="B1043618" s="19"/>
      <c r="C1043618" s="19"/>
      <c r="D1043618" s="19"/>
      <c r="E1043618" s="19"/>
      <c r="F1043618" s="19"/>
      <c r="G1043618" s="19"/>
      <c r="H1043618" s="19"/>
      <c r="I1043618" s="19"/>
      <c r="J1043618" s="19"/>
      <c r="K1043618" s="19"/>
      <c r="L1043618" s="19"/>
      <c r="M1043618" s="19"/>
      <c r="N1043618" s="19"/>
    </row>
    <row r="1043619" spans="1:14" s="83" customFormat="1" ht="12.75">
      <c r="A1043619" s="19"/>
      <c r="B1043619" s="19"/>
      <c r="C1043619" s="19"/>
      <c r="D1043619" s="19"/>
      <c r="E1043619" s="19"/>
      <c r="F1043619" s="19"/>
      <c r="G1043619" s="19"/>
      <c r="H1043619" s="19"/>
      <c r="I1043619" s="19"/>
      <c r="J1043619" s="19"/>
      <c r="K1043619" s="19"/>
      <c r="L1043619" s="19"/>
      <c r="M1043619" s="19"/>
      <c r="N1043619" s="19"/>
    </row>
    <row r="1043620" spans="1:14" s="83" customFormat="1" ht="12.75">
      <c r="A1043620" s="19"/>
      <c r="B1043620" s="19"/>
      <c r="C1043620" s="19"/>
      <c r="D1043620" s="19"/>
      <c r="E1043620" s="19"/>
      <c r="F1043620" s="19"/>
      <c r="G1043620" s="19"/>
      <c r="H1043620" s="19"/>
      <c r="I1043620" s="19"/>
      <c r="J1043620" s="19"/>
      <c r="K1043620" s="19"/>
      <c r="L1043620" s="19"/>
      <c r="M1043620" s="19"/>
      <c r="N1043620" s="19"/>
    </row>
    <row r="1043621" spans="1:14" s="83" customFormat="1" ht="12.75">
      <c r="A1043621" s="19"/>
      <c r="B1043621" s="19"/>
      <c r="C1043621" s="19"/>
      <c r="D1043621" s="19"/>
      <c r="E1043621" s="19"/>
      <c r="F1043621" s="19"/>
      <c r="G1043621" s="19"/>
      <c r="H1043621" s="19"/>
      <c r="I1043621" s="19"/>
      <c r="J1043621" s="19"/>
      <c r="K1043621" s="19"/>
      <c r="L1043621" s="19"/>
      <c r="M1043621" s="19"/>
      <c r="N1043621" s="19"/>
    </row>
    <row r="1043622" spans="1:14" s="83" customFormat="1" ht="12.75">
      <c r="A1043622" s="19"/>
      <c r="B1043622" s="19"/>
      <c r="C1043622" s="19"/>
      <c r="D1043622" s="19"/>
      <c r="E1043622" s="19"/>
      <c r="F1043622" s="19"/>
      <c r="G1043622" s="19"/>
      <c r="H1043622" s="19"/>
      <c r="I1043622" s="19"/>
      <c r="J1043622" s="19"/>
      <c r="K1043622" s="19"/>
      <c r="L1043622" s="19"/>
      <c r="M1043622" s="19"/>
      <c r="N1043622" s="19"/>
    </row>
    <row r="1043623" spans="1:14" s="83" customFormat="1" ht="12.75">
      <c r="A1043623" s="19"/>
      <c r="B1043623" s="19"/>
      <c r="C1043623" s="19"/>
      <c r="D1043623" s="19"/>
      <c r="E1043623" s="19"/>
      <c r="F1043623" s="19"/>
      <c r="G1043623" s="19"/>
      <c r="H1043623" s="19"/>
      <c r="I1043623" s="19"/>
      <c r="J1043623" s="19"/>
      <c r="K1043623" s="19"/>
      <c r="L1043623" s="19"/>
      <c r="M1043623" s="19"/>
      <c r="N1043623" s="19"/>
    </row>
    <row r="1043624" spans="1:14" s="83" customFormat="1" ht="12.75">
      <c r="A1043624" s="19"/>
      <c r="B1043624" s="19"/>
      <c r="C1043624" s="19"/>
      <c r="D1043624" s="19"/>
      <c r="E1043624" s="19"/>
      <c r="F1043624" s="19"/>
      <c r="G1043624" s="19"/>
      <c r="H1043624" s="19"/>
      <c r="I1043624" s="19"/>
      <c r="J1043624" s="19"/>
      <c r="K1043624" s="19"/>
      <c r="L1043624" s="19"/>
      <c r="M1043624" s="19"/>
      <c r="N1043624" s="19"/>
    </row>
    <row r="1043625" spans="1:14" s="83" customFormat="1" ht="12.75">
      <c r="A1043625" s="19"/>
      <c r="B1043625" s="19"/>
      <c r="C1043625" s="19"/>
      <c r="D1043625" s="19"/>
      <c r="E1043625" s="19"/>
      <c r="F1043625" s="19"/>
      <c r="G1043625" s="19"/>
      <c r="H1043625" s="19"/>
      <c r="I1043625" s="19"/>
      <c r="J1043625" s="19"/>
      <c r="K1043625" s="19"/>
      <c r="L1043625" s="19"/>
      <c r="M1043625" s="19"/>
      <c r="N1043625" s="19"/>
    </row>
    <row r="1043626" spans="1:14" s="83" customFormat="1" ht="12.75">
      <c r="A1043626" s="19"/>
      <c r="B1043626" s="19"/>
      <c r="C1043626" s="19"/>
      <c r="D1043626" s="19"/>
      <c r="E1043626" s="19"/>
      <c r="F1043626" s="19"/>
      <c r="G1043626" s="19"/>
      <c r="H1043626" s="19"/>
      <c r="I1043626" s="19"/>
      <c r="J1043626" s="19"/>
      <c r="K1043626" s="19"/>
      <c r="L1043626" s="19"/>
      <c r="M1043626" s="19"/>
      <c r="N1043626" s="19"/>
    </row>
    <row r="1043627" spans="1:14" s="83" customFormat="1" ht="12.75">
      <c r="A1043627" s="19"/>
      <c r="B1043627" s="19"/>
      <c r="C1043627" s="19"/>
      <c r="D1043627" s="19"/>
      <c r="E1043627" s="19"/>
      <c r="F1043627" s="19"/>
      <c r="G1043627" s="19"/>
      <c r="H1043627" s="19"/>
      <c r="I1043627" s="19"/>
      <c r="J1043627" s="19"/>
      <c r="K1043627" s="19"/>
      <c r="L1043627" s="19"/>
      <c r="M1043627" s="19"/>
      <c r="N1043627" s="19"/>
    </row>
    <row r="1043628" spans="1:14" s="83" customFormat="1" ht="12.75">
      <c r="A1043628" s="19"/>
      <c r="B1043628" s="19"/>
      <c r="C1043628" s="19"/>
      <c r="D1043628" s="19"/>
      <c r="E1043628" s="19"/>
      <c r="F1043628" s="19"/>
      <c r="G1043628" s="19"/>
      <c r="H1043628" s="19"/>
      <c r="I1043628" s="19"/>
      <c r="J1043628" s="19"/>
      <c r="K1043628" s="19"/>
      <c r="L1043628" s="19"/>
      <c r="M1043628" s="19"/>
      <c r="N1043628" s="19"/>
    </row>
    <row r="1043629" spans="1:14" s="83" customFormat="1" ht="12.75">
      <c r="A1043629" s="19"/>
      <c r="B1043629" s="19"/>
      <c r="C1043629" s="19"/>
      <c r="D1043629" s="19"/>
      <c r="E1043629" s="19"/>
      <c r="F1043629" s="19"/>
      <c r="G1043629" s="19"/>
      <c r="H1043629" s="19"/>
      <c r="I1043629" s="19"/>
      <c r="J1043629" s="19"/>
      <c r="K1043629" s="19"/>
      <c r="L1043629" s="19"/>
      <c r="M1043629" s="19"/>
      <c r="N1043629" s="19"/>
    </row>
    <row r="1043630" spans="1:14" s="83" customFormat="1" ht="12.75">
      <c r="A1043630" s="19"/>
      <c r="B1043630" s="19"/>
      <c r="C1043630" s="19"/>
      <c r="D1043630" s="19"/>
      <c r="E1043630" s="19"/>
      <c r="F1043630" s="19"/>
      <c r="G1043630" s="19"/>
      <c r="H1043630" s="19"/>
      <c r="I1043630" s="19"/>
      <c r="J1043630" s="19"/>
      <c r="K1043630" s="19"/>
      <c r="L1043630" s="19"/>
      <c r="M1043630" s="19"/>
      <c r="N1043630" s="19"/>
    </row>
    <row r="1043631" spans="1:14" s="83" customFormat="1" ht="12.75">
      <c r="A1043631" s="19"/>
      <c r="B1043631" s="19"/>
      <c r="C1043631" s="19"/>
      <c r="D1043631" s="19"/>
      <c r="E1043631" s="19"/>
      <c r="F1043631" s="19"/>
      <c r="G1043631" s="19"/>
      <c r="H1043631" s="19"/>
      <c r="I1043631" s="19"/>
      <c r="J1043631" s="19"/>
      <c r="K1043631" s="19"/>
      <c r="L1043631" s="19"/>
      <c r="M1043631" s="19"/>
      <c r="N1043631" s="19"/>
    </row>
    <row r="1043632" spans="1:14" s="83" customFormat="1" ht="12.75">
      <c r="A1043632" s="19"/>
      <c r="B1043632" s="19"/>
      <c r="C1043632" s="19"/>
      <c r="D1043632" s="19"/>
      <c r="E1043632" s="19"/>
      <c r="F1043632" s="19"/>
      <c r="G1043632" s="19"/>
      <c r="H1043632" s="19"/>
      <c r="I1043632" s="19"/>
      <c r="J1043632" s="19"/>
      <c r="K1043632" s="19"/>
      <c r="L1043632" s="19"/>
      <c r="M1043632" s="19"/>
      <c r="N1043632" s="19"/>
    </row>
    <row r="1043633" spans="1:14" s="83" customFormat="1" ht="12.75">
      <c r="A1043633" s="19"/>
      <c r="B1043633" s="19"/>
      <c r="C1043633" s="19"/>
      <c r="D1043633" s="19"/>
      <c r="E1043633" s="19"/>
      <c r="F1043633" s="19"/>
      <c r="G1043633" s="19"/>
      <c r="H1043633" s="19"/>
      <c r="I1043633" s="19"/>
      <c r="J1043633" s="19"/>
      <c r="K1043633" s="19"/>
      <c r="L1043633" s="19"/>
      <c r="M1043633" s="19"/>
      <c r="N1043633" s="19"/>
    </row>
    <row r="1043634" spans="1:14" s="83" customFormat="1" ht="12.75">
      <c r="A1043634" s="19"/>
      <c r="B1043634" s="19"/>
      <c r="C1043634" s="19"/>
      <c r="D1043634" s="19"/>
      <c r="E1043634" s="19"/>
      <c r="F1043634" s="19"/>
      <c r="G1043634" s="19"/>
      <c r="H1043634" s="19"/>
      <c r="I1043634" s="19"/>
      <c r="J1043634" s="19"/>
      <c r="K1043634" s="19"/>
      <c r="L1043634" s="19"/>
      <c r="M1043634" s="19"/>
      <c r="N1043634" s="19"/>
    </row>
    <row r="1043635" spans="1:14" s="83" customFormat="1" ht="12.75">
      <c r="A1043635" s="19"/>
      <c r="B1043635" s="19"/>
      <c r="C1043635" s="19"/>
      <c r="D1043635" s="19"/>
      <c r="E1043635" s="19"/>
      <c r="F1043635" s="19"/>
      <c r="G1043635" s="19"/>
      <c r="H1043635" s="19"/>
      <c r="I1043635" s="19"/>
      <c r="J1043635" s="19"/>
      <c r="K1043635" s="19"/>
      <c r="L1043635" s="19"/>
      <c r="M1043635" s="19"/>
      <c r="N1043635" s="19"/>
    </row>
    <row r="1043636" spans="1:14" s="83" customFormat="1" ht="12.75">
      <c r="A1043636" s="19"/>
      <c r="B1043636" s="19"/>
      <c r="C1043636" s="19"/>
      <c r="D1043636" s="19"/>
      <c r="E1043636" s="19"/>
      <c r="F1043636" s="19"/>
      <c r="G1043636" s="19"/>
      <c r="H1043636" s="19"/>
      <c r="I1043636" s="19"/>
      <c r="J1043636" s="19"/>
      <c r="K1043636" s="19"/>
      <c r="L1043636" s="19"/>
      <c r="M1043636" s="19"/>
      <c r="N1043636" s="19"/>
    </row>
    <row r="1043637" spans="1:14" s="83" customFormat="1" ht="12.75">
      <c r="A1043637" s="19"/>
      <c r="B1043637" s="19"/>
      <c r="C1043637" s="19"/>
      <c r="D1043637" s="19"/>
      <c r="E1043637" s="19"/>
      <c r="F1043637" s="19"/>
      <c r="G1043637" s="19"/>
      <c r="H1043637" s="19"/>
      <c r="I1043637" s="19"/>
      <c r="J1043637" s="19"/>
      <c r="K1043637" s="19"/>
      <c r="L1043637" s="19"/>
      <c r="M1043637" s="19"/>
      <c r="N1043637" s="19"/>
    </row>
    <row r="1043638" spans="1:14" s="83" customFormat="1" ht="12.75">
      <c r="A1043638" s="19"/>
      <c r="B1043638" s="19"/>
      <c r="C1043638" s="19"/>
      <c r="D1043638" s="19"/>
      <c r="E1043638" s="19"/>
      <c r="F1043638" s="19"/>
      <c r="G1043638" s="19"/>
      <c r="H1043638" s="19"/>
      <c r="I1043638" s="19"/>
      <c r="J1043638" s="19"/>
      <c r="K1043638" s="19"/>
      <c r="L1043638" s="19"/>
      <c r="M1043638" s="19"/>
      <c r="N1043638" s="19"/>
    </row>
    <row r="1043639" spans="1:14" s="83" customFormat="1" ht="12.75">
      <c r="A1043639" s="19"/>
      <c r="B1043639" s="19"/>
      <c r="C1043639" s="19"/>
      <c r="D1043639" s="19"/>
      <c r="E1043639" s="19"/>
      <c r="F1043639" s="19"/>
      <c r="G1043639" s="19"/>
      <c r="H1043639" s="19"/>
      <c r="I1043639" s="19"/>
      <c r="J1043639" s="19"/>
      <c r="K1043639" s="19"/>
      <c r="L1043639" s="19"/>
      <c r="M1043639" s="19"/>
      <c r="N1043639" s="19"/>
    </row>
    <row r="1043640" spans="1:14" s="83" customFormat="1" ht="12.75">
      <c r="A1043640" s="19"/>
      <c r="B1043640" s="19"/>
      <c r="C1043640" s="19"/>
      <c r="D1043640" s="19"/>
      <c r="E1043640" s="19"/>
      <c r="F1043640" s="19"/>
      <c r="G1043640" s="19"/>
      <c r="H1043640" s="19"/>
      <c r="I1043640" s="19"/>
      <c r="J1043640" s="19"/>
      <c r="K1043640" s="19"/>
      <c r="L1043640" s="19"/>
      <c r="M1043640" s="19"/>
      <c r="N1043640" s="19"/>
    </row>
    <row r="1043641" spans="1:14" s="83" customFormat="1" ht="12.75">
      <c r="A1043641" s="19"/>
      <c r="B1043641" s="19"/>
      <c r="C1043641" s="19"/>
      <c r="D1043641" s="19"/>
      <c r="E1043641" s="19"/>
      <c r="F1043641" s="19"/>
      <c r="G1043641" s="19"/>
      <c r="H1043641" s="19"/>
      <c r="I1043641" s="19"/>
      <c r="J1043641" s="19"/>
      <c r="K1043641" s="19"/>
      <c r="L1043641" s="19"/>
      <c r="M1043641" s="19"/>
      <c r="N1043641" s="19"/>
    </row>
    <row r="1043642" spans="1:14" s="83" customFormat="1" ht="12.75">
      <c r="A1043642" s="19"/>
      <c r="B1043642" s="19"/>
      <c r="C1043642" s="19"/>
      <c r="D1043642" s="19"/>
      <c r="E1043642" s="19"/>
      <c r="F1043642" s="19"/>
      <c r="G1043642" s="19"/>
      <c r="H1043642" s="19"/>
      <c r="I1043642" s="19"/>
      <c r="J1043642" s="19"/>
      <c r="K1043642" s="19"/>
      <c r="L1043642" s="19"/>
      <c r="M1043642" s="19"/>
      <c r="N1043642" s="19"/>
    </row>
    <row r="1043643" spans="1:14" s="83" customFormat="1" ht="12.75">
      <c r="A1043643" s="19"/>
      <c r="B1043643" s="19"/>
      <c r="C1043643" s="19"/>
      <c r="D1043643" s="19"/>
      <c r="E1043643" s="19"/>
      <c r="F1043643" s="19"/>
      <c r="G1043643" s="19"/>
      <c r="H1043643" s="19"/>
      <c r="I1043643" s="19"/>
      <c r="J1043643" s="19"/>
      <c r="K1043643" s="19"/>
      <c r="L1043643" s="19"/>
      <c r="M1043643" s="19"/>
      <c r="N1043643" s="19"/>
    </row>
    <row r="1043644" spans="1:14" s="83" customFormat="1" ht="12.75">
      <c r="A1043644" s="19"/>
      <c r="B1043644" s="19"/>
      <c r="C1043644" s="19"/>
      <c r="D1043644" s="19"/>
      <c r="E1043644" s="19"/>
      <c r="F1043644" s="19"/>
      <c r="G1043644" s="19"/>
      <c r="H1043644" s="19"/>
      <c r="I1043644" s="19"/>
      <c r="J1043644" s="19"/>
      <c r="K1043644" s="19"/>
      <c r="L1043644" s="19"/>
      <c r="M1043644" s="19"/>
      <c r="N1043644" s="19"/>
    </row>
    <row r="1043645" spans="1:14" s="83" customFormat="1" ht="12.75">
      <c r="A1043645" s="19"/>
      <c r="B1043645" s="19"/>
      <c r="C1043645" s="19"/>
      <c r="D1043645" s="19"/>
      <c r="E1043645" s="19"/>
      <c r="F1043645" s="19"/>
      <c r="G1043645" s="19"/>
      <c r="H1043645" s="19"/>
      <c r="I1043645" s="19"/>
      <c r="J1043645" s="19"/>
      <c r="K1043645" s="19"/>
      <c r="L1043645" s="19"/>
      <c r="M1043645" s="19"/>
      <c r="N1043645" s="19"/>
    </row>
    <row r="1043646" spans="1:14" s="83" customFormat="1" ht="12.75">
      <c r="A1043646" s="19"/>
      <c r="B1043646" s="19"/>
      <c r="C1043646" s="19"/>
      <c r="D1043646" s="19"/>
      <c r="E1043646" s="19"/>
      <c r="F1043646" s="19"/>
      <c r="G1043646" s="19"/>
      <c r="H1043646" s="19"/>
      <c r="I1043646" s="19"/>
      <c r="J1043646" s="19"/>
      <c r="K1043646" s="19"/>
      <c r="L1043646" s="19"/>
      <c r="M1043646" s="19"/>
      <c r="N1043646" s="19"/>
    </row>
    <row r="1043647" spans="1:14" s="83" customFormat="1" ht="12.75">
      <c r="A1043647" s="19"/>
      <c r="B1043647" s="19"/>
      <c r="C1043647" s="19"/>
      <c r="D1043647" s="19"/>
      <c r="E1043647" s="19"/>
      <c r="F1043647" s="19"/>
      <c r="G1043647" s="19"/>
      <c r="H1043647" s="19"/>
      <c r="I1043647" s="19"/>
      <c r="J1043647" s="19"/>
      <c r="K1043647" s="19"/>
      <c r="L1043647" s="19"/>
      <c r="M1043647" s="19"/>
      <c r="N1043647" s="19"/>
    </row>
    <row r="1043648" spans="1:14" s="83" customFormat="1" ht="12.75">
      <c r="A1043648" s="19"/>
      <c r="B1043648" s="19"/>
      <c r="C1043648" s="19"/>
      <c r="D1043648" s="19"/>
      <c r="E1043648" s="19"/>
      <c r="F1043648" s="19"/>
      <c r="G1043648" s="19"/>
      <c r="H1043648" s="19"/>
      <c r="I1043648" s="19"/>
      <c r="J1043648" s="19"/>
      <c r="K1043648" s="19"/>
      <c r="L1043648" s="19"/>
      <c r="M1043648" s="19"/>
      <c r="N1043648" s="19"/>
    </row>
    <row r="1043649" spans="1:14" s="83" customFormat="1" ht="12.75">
      <c r="A1043649" s="19"/>
      <c r="B1043649" s="19"/>
      <c r="C1043649" s="19"/>
      <c r="D1043649" s="19"/>
      <c r="E1043649" s="19"/>
      <c r="F1043649" s="19"/>
      <c r="G1043649" s="19"/>
      <c r="H1043649" s="19"/>
      <c r="I1043649" s="19"/>
      <c r="J1043649" s="19"/>
      <c r="K1043649" s="19"/>
      <c r="L1043649" s="19"/>
      <c r="M1043649" s="19"/>
      <c r="N1043649" s="19"/>
    </row>
    <row r="1043650" spans="1:14" s="83" customFormat="1" ht="12.75">
      <c r="A1043650" s="19"/>
      <c r="B1043650" s="19"/>
      <c r="C1043650" s="19"/>
      <c r="D1043650" s="19"/>
      <c r="E1043650" s="19"/>
      <c r="F1043650" s="19"/>
      <c r="G1043650" s="19"/>
      <c r="H1043650" s="19"/>
      <c r="I1043650" s="19"/>
      <c r="J1043650" s="19"/>
      <c r="K1043650" s="19"/>
      <c r="L1043650" s="19"/>
      <c r="M1043650" s="19"/>
      <c r="N1043650" s="19"/>
    </row>
    <row r="1043651" spans="1:14" s="83" customFormat="1" ht="12.75">
      <c r="A1043651" s="19"/>
      <c r="B1043651" s="19"/>
      <c r="C1043651" s="19"/>
      <c r="D1043651" s="19"/>
      <c r="E1043651" s="19"/>
      <c r="F1043651" s="19"/>
      <c r="G1043651" s="19"/>
      <c r="H1043651" s="19"/>
      <c r="I1043651" s="19"/>
      <c r="J1043651" s="19"/>
      <c r="K1043651" s="19"/>
      <c r="L1043651" s="19"/>
      <c r="M1043651" s="19"/>
      <c r="N1043651" s="19"/>
    </row>
    <row r="1043652" spans="1:14" s="83" customFormat="1" ht="12.75">
      <c r="A1043652" s="19"/>
      <c r="B1043652" s="19"/>
      <c r="C1043652" s="19"/>
      <c r="D1043652" s="19"/>
      <c r="E1043652" s="19"/>
      <c r="F1043652" s="19"/>
      <c r="G1043652" s="19"/>
      <c r="H1043652" s="19"/>
      <c r="I1043652" s="19"/>
      <c r="J1043652" s="19"/>
      <c r="K1043652" s="19"/>
      <c r="L1043652" s="19"/>
      <c r="M1043652" s="19"/>
      <c r="N1043652" s="19"/>
    </row>
    <row r="1043653" spans="1:14" s="83" customFormat="1" ht="12.75">
      <c r="A1043653" s="19"/>
      <c r="B1043653" s="19"/>
      <c r="C1043653" s="19"/>
      <c r="D1043653" s="19"/>
      <c r="E1043653" s="19"/>
      <c r="F1043653" s="19"/>
      <c r="G1043653" s="19"/>
      <c r="H1043653" s="19"/>
      <c r="I1043653" s="19"/>
      <c r="J1043653" s="19"/>
      <c r="K1043653" s="19"/>
      <c r="L1043653" s="19"/>
      <c r="M1043653" s="19"/>
      <c r="N1043653" s="19"/>
    </row>
    <row r="1043654" spans="1:14" s="83" customFormat="1" ht="12.75">
      <c r="A1043654" s="19"/>
      <c r="B1043654" s="19"/>
      <c r="C1043654" s="19"/>
      <c r="D1043654" s="19"/>
      <c r="E1043654" s="19"/>
      <c r="F1043654" s="19"/>
      <c r="G1043654" s="19"/>
      <c r="H1043654" s="19"/>
      <c r="I1043654" s="19"/>
      <c r="J1043654" s="19"/>
      <c r="K1043654" s="19"/>
      <c r="L1043654" s="19"/>
      <c r="M1043654" s="19"/>
      <c r="N1043654" s="19"/>
    </row>
    <row r="1043655" spans="1:14" s="83" customFormat="1" ht="12.75">
      <c r="A1043655" s="19"/>
      <c r="B1043655" s="19"/>
      <c r="C1043655" s="19"/>
      <c r="D1043655" s="19"/>
      <c r="E1043655" s="19"/>
      <c r="F1043655" s="19"/>
      <c r="G1043655" s="19"/>
      <c r="H1043655" s="19"/>
      <c r="I1043655" s="19"/>
      <c r="J1043655" s="19"/>
      <c r="K1043655" s="19"/>
      <c r="L1043655" s="19"/>
      <c r="M1043655" s="19"/>
      <c r="N1043655" s="19"/>
    </row>
    <row r="1043656" spans="1:14" s="83" customFormat="1" ht="12.75">
      <c r="A1043656" s="19"/>
      <c r="B1043656" s="19"/>
      <c r="C1043656" s="19"/>
      <c r="D1043656" s="19"/>
      <c r="E1043656" s="19"/>
      <c r="F1043656" s="19"/>
      <c r="G1043656" s="19"/>
      <c r="H1043656" s="19"/>
      <c r="I1043656" s="19"/>
      <c r="J1043656" s="19"/>
      <c r="K1043656" s="19"/>
      <c r="L1043656" s="19"/>
      <c r="M1043656" s="19"/>
      <c r="N1043656" s="19"/>
    </row>
    <row r="1043657" spans="1:14" s="83" customFormat="1" ht="12.75">
      <c r="A1043657" s="19"/>
      <c r="B1043657" s="19"/>
      <c r="C1043657" s="19"/>
      <c r="D1043657" s="19"/>
      <c r="E1043657" s="19"/>
      <c r="F1043657" s="19"/>
      <c r="G1043657" s="19"/>
      <c r="H1043657" s="19"/>
      <c r="I1043657" s="19"/>
      <c r="J1043657" s="19"/>
      <c r="K1043657" s="19"/>
      <c r="L1043657" s="19"/>
      <c r="M1043657" s="19"/>
      <c r="N1043657" s="19"/>
    </row>
    <row r="1043658" spans="1:14" s="83" customFormat="1" ht="12.75">
      <c r="A1043658" s="19"/>
      <c r="B1043658" s="19"/>
      <c r="C1043658" s="19"/>
      <c r="D1043658" s="19"/>
      <c r="E1043658" s="19"/>
      <c r="F1043658" s="19"/>
      <c r="G1043658" s="19"/>
      <c r="H1043658" s="19"/>
      <c r="I1043658" s="19"/>
      <c r="J1043658" s="19"/>
      <c r="K1043658" s="19"/>
      <c r="L1043658" s="19"/>
      <c r="M1043658" s="19"/>
      <c r="N1043658" s="19"/>
    </row>
    <row r="1043659" spans="1:14" s="83" customFormat="1" ht="12.75">
      <c r="A1043659" s="19"/>
      <c r="B1043659" s="19"/>
      <c r="C1043659" s="19"/>
      <c r="D1043659" s="19"/>
      <c r="E1043659" s="19"/>
      <c r="F1043659" s="19"/>
      <c r="G1043659" s="19"/>
      <c r="H1043659" s="19"/>
      <c r="I1043659" s="19"/>
      <c r="J1043659" s="19"/>
      <c r="K1043659" s="19"/>
      <c r="L1043659" s="19"/>
      <c r="M1043659" s="19"/>
      <c r="N1043659" s="19"/>
    </row>
    <row r="1043660" spans="1:14" s="83" customFormat="1" ht="12.75">
      <c r="A1043660" s="19"/>
      <c r="B1043660" s="19"/>
      <c r="C1043660" s="19"/>
      <c r="D1043660" s="19"/>
      <c r="E1043660" s="19"/>
      <c r="F1043660" s="19"/>
      <c r="G1043660" s="19"/>
      <c r="H1043660" s="19"/>
      <c r="I1043660" s="19"/>
      <c r="J1043660" s="19"/>
      <c r="K1043660" s="19"/>
      <c r="L1043660" s="19"/>
      <c r="M1043660" s="19"/>
      <c r="N1043660" s="19"/>
    </row>
    <row r="1043661" spans="1:14" s="83" customFormat="1" ht="12.75">
      <c r="A1043661" s="19"/>
      <c r="B1043661" s="19"/>
      <c r="C1043661" s="19"/>
      <c r="D1043661" s="19"/>
      <c r="E1043661" s="19"/>
      <c r="F1043661" s="19"/>
      <c r="G1043661" s="19"/>
      <c r="H1043661" s="19"/>
      <c r="I1043661" s="19"/>
      <c r="J1043661" s="19"/>
      <c r="K1043661" s="19"/>
      <c r="L1043661" s="19"/>
      <c r="M1043661" s="19"/>
      <c r="N1043661" s="19"/>
    </row>
    <row r="1043662" spans="1:14" s="83" customFormat="1" ht="12.75">
      <c r="A1043662" s="19"/>
      <c r="B1043662" s="19"/>
      <c r="C1043662" s="19"/>
      <c r="D1043662" s="19"/>
      <c r="E1043662" s="19"/>
      <c r="F1043662" s="19"/>
      <c r="G1043662" s="19"/>
      <c r="H1043662" s="19"/>
      <c r="I1043662" s="19"/>
      <c r="J1043662" s="19"/>
      <c r="K1043662" s="19"/>
      <c r="L1043662" s="19"/>
      <c r="M1043662" s="19"/>
      <c r="N1043662" s="19"/>
    </row>
    <row r="1043663" spans="1:14" s="83" customFormat="1" ht="12.75">
      <c r="A1043663" s="19"/>
      <c r="B1043663" s="19"/>
      <c r="C1043663" s="19"/>
      <c r="D1043663" s="19"/>
      <c r="E1043663" s="19"/>
      <c r="F1043663" s="19"/>
      <c r="G1043663" s="19"/>
      <c r="H1043663" s="19"/>
      <c r="I1043663" s="19"/>
      <c r="J1043663" s="19"/>
      <c r="K1043663" s="19"/>
      <c r="L1043663" s="19"/>
      <c r="M1043663" s="19"/>
      <c r="N1043663" s="19"/>
    </row>
    <row r="1043664" spans="1:14" s="83" customFormat="1" ht="12.75">
      <c r="A1043664" s="19"/>
      <c r="B1043664" s="19"/>
      <c r="C1043664" s="19"/>
      <c r="D1043664" s="19"/>
      <c r="E1043664" s="19"/>
      <c r="F1043664" s="19"/>
      <c r="G1043664" s="19"/>
      <c r="H1043664" s="19"/>
      <c r="I1043664" s="19"/>
      <c r="J1043664" s="19"/>
      <c r="K1043664" s="19"/>
      <c r="L1043664" s="19"/>
      <c r="M1043664" s="19"/>
      <c r="N1043664" s="19"/>
    </row>
    <row r="1043665" spans="1:14" s="83" customFormat="1" ht="12.75">
      <c r="A1043665" s="19"/>
      <c r="B1043665" s="19"/>
      <c r="C1043665" s="19"/>
      <c r="D1043665" s="19"/>
      <c r="E1043665" s="19"/>
      <c r="F1043665" s="19"/>
      <c r="G1043665" s="19"/>
      <c r="H1043665" s="19"/>
      <c r="I1043665" s="19"/>
      <c r="J1043665" s="19"/>
      <c r="K1043665" s="19"/>
      <c r="L1043665" s="19"/>
      <c r="M1043665" s="19"/>
      <c r="N1043665" s="19"/>
    </row>
    <row r="1043666" spans="1:14" s="83" customFormat="1" ht="12.75">
      <c r="A1043666" s="19"/>
      <c r="B1043666" s="19"/>
      <c r="C1043666" s="19"/>
      <c r="D1043666" s="19"/>
      <c r="E1043666" s="19"/>
      <c r="F1043666" s="19"/>
      <c r="G1043666" s="19"/>
      <c r="H1043666" s="19"/>
      <c r="I1043666" s="19"/>
      <c r="J1043666" s="19"/>
      <c r="K1043666" s="19"/>
      <c r="L1043666" s="19"/>
      <c r="M1043666" s="19"/>
      <c r="N1043666" s="19"/>
    </row>
    <row r="1043667" spans="1:14" s="83" customFormat="1" ht="12.75">
      <c r="A1043667" s="19"/>
      <c r="B1043667" s="19"/>
      <c r="C1043667" s="19"/>
      <c r="D1043667" s="19"/>
      <c r="E1043667" s="19"/>
      <c r="F1043667" s="19"/>
      <c r="G1043667" s="19"/>
      <c r="H1043667" s="19"/>
      <c r="I1043667" s="19"/>
      <c r="J1043667" s="19"/>
      <c r="K1043667" s="19"/>
      <c r="L1043667" s="19"/>
      <c r="M1043667" s="19"/>
      <c r="N1043667" s="19"/>
    </row>
    <row r="1043668" spans="1:14" s="83" customFormat="1" ht="12.75">
      <c r="A1043668" s="19"/>
      <c r="B1043668" s="19"/>
      <c r="C1043668" s="19"/>
      <c r="D1043668" s="19"/>
      <c r="E1043668" s="19"/>
      <c r="F1043668" s="19"/>
      <c r="G1043668" s="19"/>
      <c r="H1043668" s="19"/>
      <c r="I1043668" s="19"/>
      <c r="J1043668" s="19"/>
      <c r="K1043668" s="19"/>
      <c r="L1043668" s="19"/>
      <c r="M1043668" s="19"/>
      <c r="N1043668" s="19"/>
    </row>
    <row r="1043669" spans="1:14" s="83" customFormat="1" ht="12.75">
      <c r="A1043669" s="19"/>
      <c r="B1043669" s="19"/>
      <c r="C1043669" s="19"/>
      <c r="D1043669" s="19"/>
      <c r="E1043669" s="19"/>
      <c r="F1043669" s="19"/>
      <c r="G1043669" s="19"/>
      <c r="H1043669" s="19"/>
      <c r="I1043669" s="19"/>
      <c r="J1043669" s="19"/>
      <c r="K1043669" s="19"/>
      <c r="L1043669" s="19"/>
      <c r="M1043669" s="19"/>
      <c r="N1043669" s="19"/>
    </row>
    <row r="1043670" spans="1:14" s="83" customFormat="1" ht="12.75">
      <c r="A1043670" s="19"/>
      <c r="B1043670" s="19"/>
      <c r="C1043670" s="19"/>
      <c r="D1043670" s="19"/>
      <c r="E1043670" s="19"/>
      <c r="F1043670" s="19"/>
      <c r="G1043670" s="19"/>
      <c r="H1043670" s="19"/>
      <c r="I1043670" s="19"/>
      <c r="J1043670" s="19"/>
      <c r="K1043670" s="19"/>
      <c r="L1043670" s="19"/>
      <c r="M1043670" s="19"/>
      <c r="N1043670" s="19"/>
    </row>
    <row r="1043671" spans="1:14" s="83" customFormat="1" ht="12.75">
      <c r="A1043671" s="19"/>
      <c r="B1043671" s="19"/>
      <c r="C1043671" s="19"/>
      <c r="D1043671" s="19"/>
      <c r="E1043671" s="19"/>
      <c r="F1043671" s="19"/>
      <c r="G1043671" s="19"/>
      <c r="H1043671" s="19"/>
      <c r="I1043671" s="19"/>
      <c r="J1043671" s="19"/>
      <c r="K1043671" s="19"/>
      <c r="L1043671" s="19"/>
      <c r="M1043671" s="19"/>
      <c r="N1043671" s="19"/>
    </row>
    <row r="1043672" spans="1:14" s="83" customFormat="1" ht="12.75">
      <c r="A1043672" s="19"/>
      <c r="B1043672" s="19"/>
      <c r="C1043672" s="19"/>
      <c r="D1043672" s="19"/>
      <c r="E1043672" s="19"/>
      <c r="F1043672" s="19"/>
      <c r="G1043672" s="19"/>
      <c r="H1043672" s="19"/>
      <c r="I1043672" s="19"/>
      <c r="J1043672" s="19"/>
      <c r="K1043672" s="19"/>
      <c r="L1043672" s="19"/>
      <c r="M1043672" s="19"/>
      <c r="N1043672" s="19"/>
    </row>
    <row r="1043673" spans="1:14" s="83" customFormat="1" ht="12.75">
      <c r="A1043673" s="19"/>
      <c r="B1043673" s="19"/>
      <c r="C1043673" s="19"/>
      <c r="D1043673" s="19"/>
      <c r="E1043673" s="19"/>
      <c r="F1043673" s="19"/>
      <c r="G1043673" s="19"/>
      <c r="H1043673" s="19"/>
      <c r="I1043673" s="19"/>
      <c r="J1043673" s="19"/>
      <c r="K1043673" s="19"/>
      <c r="L1043673" s="19"/>
      <c r="M1043673" s="19"/>
      <c r="N1043673" s="19"/>
    </row>
    <row r="1043674" spans="1:14" s="83" customFormat="1" ht="12.75">
      <c r="A1043674" s="19"/>
      <c r="B1043674" s="19"/>
      <c r="C1043674" s="19"/>
      <c r="D1043674" s="19"/>
      <c r="E1043674" s="19"/>
      <c r="F1043674" s="19"/>
      <c r="G1043674" s="19"/>
      <c r="H1043674" s="19"/>
      <c r="I1043674" s="19"/>
      <c r="J1043674" s="19"/>
      <c r="K1043674" s="19"/>
      <c r="L1043674" s="19"/>
      <c r="M1043674" s="19"/>
      <c r="N1043674" s="19"/>
    </row>
    <row r="1043675" spans="1:14" s="83" customFormat="1" ht="12.75">
      <c r="A1043675" s="19"/>
      <c r="B1043675" s="19"/>
      <c r="C1043675" s="19"/>
      <c r="D1043675" s="19"/>
      <c r="E1043675" s="19"/>
      <c r="F1043675" s="19"/>
      <c r="G1043675" s="19"/>
      <c r="H1043675" s="19"/>
      <c r="I1043675" s="19"/>
      <c r="J1043675" s="19"/>
      <c r="K1043675" s="19"/>
      <c r="L1043675" s="19"/>
      <c r="M1043675" s="19"/>
      <c r="N1043675" s="19"/>
    </row>
    <row r="1043676" spans="1:14" s="83" customFormat="1" ht="12.75">
      <c r="A1043676" s="19"/>
      <c r="B1043676" s="19"/>
      <c r="C1043676" s="19"/>
      <c r="D1043676" s="19"/>
      <c r="E1043676" s="19"/>
      <c r="F1043676" s="19"/>
      <c r="G1043676" s="19"/>
      <c r="H1043676" s="19"/>
      <c r="I1043676" s="19"/>
      <c r="J1043676" s="19"/>
      <c r="K1043676" s="19"/>
      <c r="L1043676" s="19"/>
      <c r="M1043676" s="19"/>
      <c r="N1043676" s="19"/>
    </row>
    <row r="1043677" spans="1:14" s="83" customFormat="1" ht="12.75">
      <c r="A1043677" s="19"/>
      <c r="B1043677" s="19"/>
      <c r="C1043677" s="19"/>
      <c r="D1043677" s="19"/>
      <c r="E1043677" s="19"/>
      <c r="F1043677" s="19"/>
      <c r="G1043677" s="19"/>
      <c r="H1043677" s="19"/>
      <c r="I1043677" s="19"/>
      <c r="J1043677" s="19"/>
      <c r="K1043677" s="19"/>
      <c r="L1043677" s="19"/>
      <c r="M1043677" s="19"/>
      <c r="N1043677" s="19"/>
    </row>
    <row r="1043678" spans="1:14" s="83" customFormat="1" ht="12.75">
      <c r="A1043678" s="19"/>
      <c r="B1043678" s="19"/>
      <c r="C1043678" s="19"/>
      <c r="D1043678" s="19"/>
      <c r="E1043678" s="19"/>
      <c r="F1043678" s="19"/>
      <c r="G1043678" s="19"/>
      <c r="H1043678" s="19"/>
      <c r="I1043678" s="19"/>
      <c r="J1043678" s="19"/>
      <c r="K1043678" s="19"/>
      <c r="L1043678" s="19"/>
      <c r="M1043678" s="19"/>
      <c r="N1043678" s="19"/>
    </row>
    <row r="1043679" spans="1:14" s="83" customFormat="1" ht="12.75">
      <c r="A1043679" s="19"/>
      <c r="B1043679" s="19"/>
      <c r="C1043679" s="19"/>
      <c r="D1043679" s="19"/>
      <c r="E1043679" s="19"/>
      <c r="F1043679" s="19"/>
      <c r="G1043679" s="19"/>
      <c r="H1043679" s="19"/>
      <c r="I1043679" s="19"/>
      <c r="J1043679" s="19"/>
      <c r="K1043679" s="19"/>
      <c r="L1043679" s="19"/>
      <c r="M1043679" s="19"/>
      <c r="N1043679" s="19"/>
    </row>
    <row r="1043680" spans="1:14" s="83" customFormat="1" ht="12.75">
      <c r="A1043680" s="19"/>
      <c r="B1043680" s="19"/>
      <c r="C1043680" s="19"/>
      <c r="D1043680" s="19"/>
      <c r="E1043680" s="19"/>
      <c r="F1043680" s="19"/>
      <c r="G1043680" s="19"/>
      <c r="H1043680" s="19"/>
      <c r="I1043680" s="19"/>
      <c r="J1043680" s="19"/>
      <c r="K1043680" s="19"/>
      <c r="L1043680" s="19"/>
      <c r="M1043680" s="19"/>
      <c r="N1043680" s="19"/>
    </row>
    <row r="1043681" spans="1:14" s="83" customFormat="1" ht="12.75">
      <c r="A1043681" s="19"/>
      <c r="B1043681" s="19"/>
      <c r="C1043681" s="19"/>
      <c r="D1043681" s="19"/>
      <c r="E1043681" s="19"/>
      <c r="F1043681" s="19"/>
      <c r="G1043681" s="19"/>
      <c r="H1043681" s="19"/>
      <c r="I1043681" s="19"/>
      <c r="J1043681" s="19"/>
      <c r="K1043681" s="19"/>
      <c r="L1043681" s="19"/>
      <c r="M1043681" s="19"/>
      <c r="N1043681" s="19"/>
    </row>
    <row r="1043682" spans="1:14" s="83" customFormat="1" ht="12.75">
      <c r="A1043682" s="19"/>
      <c r="B1043682" s="19"/>
      <c r="C1043682" s="19"/>
      <c r="D1043682" s="19"/>
      <c r="E1043682" s="19"/>
      <c r="F1043682" s="19"/>
      <c r="G1043682" s="19"/>
      <c r="H1043682" s="19"/>
      <c r="I1043682" s="19"/>
      <c r="J1043682" s="19"/>
      <c r="K1043682" s="19"/>
      <c r="L1043682" s="19"/>
      <c r="M1043682" s="19"/>
      <c r="N1043682" s="19"/>
    </row>
    <row r="1043683" spans="1:14" s="83" customFormat="1" ht="12.75">
      <c r="A1043683" s="19"/>
      <c r="B1043683" s="19"/>
      <c r="C1043683" s="19"/>
      <c r="D1043683" s="19"/>
      <c r="E1043683" s="19"/>
      <c r="F1043683" s="19"/>
      <c r="G1043683" s="19"/>
      <c r="H1043683" s="19"/>
      <c r="I1043683" s="19"/>
      <c r="J1043683" s="19"/>
      <c r="K1043683" s="19"/>
      <c r="L1043683" s="19"/>
      <c r="M1043683" s="19"/>
      <c r="N1043683" s="19"/>
    </row>
    <row r="1043684" spans="1:14" s="83" customFormat="1" ht="12.75">
      <c r="A1043684" s="19"/>
      <c r="B1043684" s="19"/>
      <c r="C1043684" s="19"/>
      <c r="D1043684" s="19"/>
      <c r="E1043684" s="19"/>
      <c r="F1043684" s="19"/>
      <c r="G1043684" s="19"/>
      <c r="H1043684" s="19"/>
      <c r="I1043684" s="19"/>
      <c r="J1043684" s="19"/>
      <c r="K1043684" s="19"/>
      <c r="L1043684" s="19"/>
      <c r="M1043684" s="19"/>
      <c r="N1043684" s="19"/>
    </row>
    <row r="1043685" spans="1:14" s="83" customFormat="1" ht="12.75">
      <c r="A1043685" s="19"/>
      <c r="B1043685" s="19"/>
      <c r="C1043685" s="19"/>
      <c r="D1043685" s="19"/>
      <c r="E1043685" s="19"/>
      <c r="F1043685" s="19"/>
      <c r="G1043685" s="19"/>
      <c r="H1043685" s="19"/>
      <c r="I1043685" s="19"/>
      <c r="J1043685" s="19"/>
      <c r="K1043685" s="19"/>
      <c r="L1043685" s="19"/>
      <c r="M1043685" s="19"/>
      <c r="N1043685" s="19"/>
    </row>
    <row r="1043686" spans="1:14" s="83" customFormat="1" ht="12.75">
      <c r="A1043686" s="19"/>
      <c r="B1043686" s="19"/>
      <c r="C1043686" s="19"/>
      <c r="D1043686" s="19"/>
      <c r="E1043686" s="19"/>
      <c r="F1043686" s="19"/>
      <c r="G1043686" s="19"/>
      <c r="H1043686" s="19"/>
      <c r="I1043686" s="19"/>
      <c r="J1043686" s="19"/>
      <c r="K1043686" s="19"/>
      <c r="L1043686" s="19"/>
      <c r="M1043686" s="19"/>
      <c r="N1043686" s="19"/>
    </row>
    <row r="1043687" spans="1:14" s="83" customFormat="1" ht="12.75">
      <c r="A1043687" s="19"/>
      <c r="B1043687" s="19"/>
      <c r="C1043687" s="19"/>
      <c r="D1043687" s="19"/>
      <c r="E1043687" s="19"/>
      <c r="F1043687" s="19"/>
      <c r="G1043687" s="19"/>
      <c r="H1043687" s="19"/>
      <c r="I1043687" s="19"/>
      <c r="J1043687" s="19"/>
      <c r="K1043687" s="19"/>
      <c r="L1043687" s="19"/>
      <c r="M1043687" s="19"/>
      <c r="N1043687" s="19"/>
    </row>
    <row r="1043688" spans="1:14" s="83" customFormat="1" ht="12.75">
      <c r="A1043688" s="19"/>
      <c r="B1043688" s="19"/>
      <c r="C1043688" s="19"/>
      <c r="D1043688" s="19"/>
      <c r="E1043688" s="19"/>
      <c r="F1043688" s="19"/>
      <c r="G1043688" s="19"/>
      <c r="H1043688" s="19"/>
      <c r="I1043688" s="19"/>
      <c r="J1043688" s="19"/>
      <c r="K1043688" s="19"/>
      <c r="L1043688" s="19"/>
      <c r="M1043688" s="19"/>
      <c r="N1043688" s="19"/>
    </row>
    <row r="1043689" spans="1:14" s="83" customFormat="1" ht="12.75">
      <c r="A1043689" s="19"/>
      <c r="B1043689" s="19"/>
      <c r="C1043689" s="19"/>
      <c r="D1043689" s="19"/>
      <c r="E1043689" s="19"/>
      <c r="F1043689" s="19"/>
      <c r="G1043689" s="19"/>
      <c r="H1043689" s="19"/>
      <c r="I1043689" s="19"/>
      <c r="J1043689" s="19"/>
      <c r="K1043689" s="19"/>
      <c r="L1043689" s="19"/>
      <c r="M1043689" s="19"/>
      <c r="N1043689" s="19"/>
    </row>
    <row r="1043690" spans="1:14" s="83" customFormat="1" ht="12.75">
      <c r="A1043690" s="19"/>
      <c r="B1043690" s="19"/>
      <c r="C1043690" s="19"/>
      <c r="D1043690" s="19"/>
      <c r="E1043690" s="19"/>
      <c r="F1043690" s="19"/>
      <c r="G1043690" s="19"/>
      <c r="H1043690" s="19"/>
      <c r="I1043690" s="19"/>
      <c r="J1043690" s="19"/>
      <c r="K1043690" s="19"/>
      <c r="L1043690" s="19"/>
      <c r="M1043690" s="19"/>
      <c r="N1043690" s="19"/>
    </row>
    <row r="1043691" spans="1:14" s="83" customFormat="1" ht="12.75">
      <c r="A1043691" s="19"/>
      <c r="B1043691" s="19"/>
      <c r="C1043691" s="19"/>
      <c r="D1043691" s="19"/>
      <c r="E1043691" s="19"/>
      <c r="F1043691" s="19"/>
      <c r="G1043691" s="19"/>
      <c r="H1043691" s="19"/>
      <c r="I1043691" s="19"/>
      <c r="J1043691" s="19"/>
      <c r="K1043691" s="19"/>
      <c r="L1043691" s="19"/>
      <c r="M1043691" s="19"/>
      <c r="N1043691" s="19"/>
    </row>
    <row r="1043692" spans="1:14" s="83" customFormat="1" ht="12.75">
      <c r="A1043692" s="19"/>
      <c r="B1043692" s="19"/>
      <c r="C1043692" s="19"/>
      <c r="D1043692" s="19"/>
      <c r="E1043692" s="19"/>
      <c r="F1043692" s="19"/>
      <c r="G1043692" s="19"/>
      <c r="H1043692" s="19"/>
      <c r="I1043692" s="19"/>
      <c r="J1043692" s="19"/>
      <c r="K1043692" s="19"/>
      <c r="L1043692" s="19"/>
      <c r="M1043692" s="19"/>
      <c r="N1043692" s="19"/>
    </row>
    <row r="1043693" spans="1:14" s="83" customFormat="1" ht="12.75">
      <c r="A1043693" s="19"/>
      <c r="B1043693" s="19"/>
      <c r="C1043693" s="19"/>
      <c r="D1043693" s="19"/>
      <c r="E1043693" s="19"/>
      <c r="F1043693" s="19"/>
      <c r="G1043693" s="19"/>
      <c r="H1043693" s="19"/>
      <c r="I1043693" s="19"/>
      <c r="J1043693" s="19"/>
      <c r="K1043693" s="19"/>
      <c r="L1043693" s="19"/>
      <c r="M1043693" s="19"/>
      <c r="N1043693" s="19"/>
    </row>
    <row r="1043694" spans="1:14" s="83" customFormat="1" ht="12.75">
      <c r="A1043694" s="19"/>
      <c r="B1043694" s="19"/>
      <c r="C1043694" s="19"/>
      <c r="D1043694" s="19"/>
      <c r="E1043694" s="19"/>
      <c r="F1043694" s="19"/>
      <c r="G1043694" s="19"/>
      <c r="H1043694" s="19"/>
      <c r="I1043694" s="19"/>
      <c r="J1043694" s="19"/>
      <c r="K1043694" s="19"/>
      <c r="L1043694" s="19"/>
      <c r="M1043694" s="19"/>
      <c r="N1043694" s="19"/>
    </row>
    <row r="1043695" spans="1:14" s="83" customFormat="1" ht="12.75">
      <c r="A1043695" s="19"/>
      <c r="B1043695" s="19"/>
      <c r="C1043695" s="19"/>
      <c r="D1043695" s="19"/>
      <c r="E1043695" s="19"/>
      <c r="F1043695" s="19"/>
      <c r="G1043695" s="19"/>
      <c r="H1043695" s="19"/>
      <c r="I1043695" s="19"/>
      <c r="J1043695" s="19"/>
      <c r="K1043695" s="19"/>
      <c r="L1043695" s="19"/>
      <c r="M1043695" s="19"/>
      <c r="N1043695" s="19"/>
    </row>
    <row r="1043696" spans="1:14" s="83" customFormat="1" ht="12.75">
      <c r="A1043696" s="19"/>
      <c r="B1043696" s="19"/>
      <c r="C1043696" s="19"/>
      <c r="D1043696" s="19"/>
      <c r="E1043696" s="19"/>
      <c r="F1043696" s="19"/>
      <c r="G1043696" s="19"/>
      <c r="H1043696" s="19"/>
      <c r="I1043696" s="19"/>
      <c r="J1043696" s="19"/>
      <c r="K1043696" s="19"/>
      <c r="L1043696" s="19"/>
      <c r="M1043696" s="19"/>
      <c r="N1043696" s="19"/>
    </row>
    <row r="1043697" spans="1:14" s="83" customFormat="1" ht="12.75">
      <c r="A1043697" s="19"/>
      <c r="B1043697" s="19"/>
      <c r="C1043697" s="19"/>
      <c r="D1043697" s="19"/>
      <c r="E1043697" s="19"/>
      <c r="F1043697" s="19"/>
      <c r="G1043697" s="19"/>
      <c r="H1043697" s="19"/>
      <c r="I1043697" s="19"/>
      <c r="J1043697" s="19"/>
      <c r="K1043697" s="19"/>
      <c r="L1043697" s="19"/>
      <c r="M1043697" s="19"/>
      <c r="N1043697" s="19"/>
    </row>
    <row r="1043698" spans="1:14" s="83" customFormat="1" ht="12.75">
      <c r="A1043698" s="19"/>
      <c r="B1043698" s="19"/>
      <c r="C1043698" s="19"/>
      <c r="D1043698" s="19"/>
      <c r="E1043698" s="19"/>
      <c r="F1043698" s="19"/>
      <c r="G1043698" s="19"/>
      <c r="H1043698" s="19"/>
      <c r="I1043698" s="19"/>
      <c r="J1043698" s="19"/>
      <c r="K1043698" s="19"/>
      <c r="L1043698" s="19"/>
      <c r="M1043698" s="19"/>
      <c r="N1043698" s="19"/>
    </row>
    <row r="1043699" spans="1:14" s="83" customFormat="1" ht="12.75">
      <c r="A1043699" s="19"/>
      <c r="B1043699" s="19"/>
      <c r="C1043699" s="19"/>
      <c r="D1043699" s="19"/>
      <c r="E1043699" s="19"/>
      <c r="F1043699" s="19"/>
      <c r="G1043699" s="19"/>
      <c r="H1043699" s="19"/>
      <c r="I1043699" s="19"/>
      <c r="J1043699" s="19"/>
      <c r="K1043699" s="19"/>
      <c r="L1043699" s="19"/>
      <c r="M1043699" s="19"/>
      <c r="N1043699" s="19"/>
    </row>
    <row r="1043700" spans="1:14" s="83" customFormat="1" ht="12.75">
      <c r="A1043700" s="19"/>
      <c r="B1043700" s="19"/>
      <c r="C1043700" s="19"/>
      <c r="D1043700" s="19"/>
      <c r="E1043700" s="19"/>
      <c r="F1043700" s="19"/>
      <c r="G1043700" s="19"/>
      <c r="H1043700" s="19"/>
      <c r="I1043700" s="19"/>
      <c r="J1043700" s="19"/>
      <c r="K1043700" s="19"/>
      <c r="L1043700" s="19"/>
      <c r="M1043700" s="19"/>
      <c r="N1043700" s="19"/>
    </row>
    <row r="1043701" spans="1:14" s="83" customFormat="1" ht="12.75">
      <c r="A1043701" s="19"/>
      <c r="B1043701" s="19"/>
      <c r="C1043701" s="19"/>
      <c r="D1043701" s="19"/>
      <c r="E1043701" s="19"/>
      <c r="F1043701" s="19"/>
      <c r="G1043701" s="19"/>
      <c r="H1043701" s="19"/>
      <c r="I1043701" s="19"/>
      <c r="J1043701" s="19"/>
      <c r="K1043701" s="19"/>
      <c r="L1043701" s="19"/>
      <c r="M1043701" s="19"/>
      <c r="N1043701" s="19"/>
    </row>
    <row r="1043702" spans="1:14" s="83" customFormat="1" ht="12.75">
      <c r="A1043702" s="19"/>
      <c r="B1043702" s="19"/>
      <c r="C1043702" s="19"/>
      <c r="D1043702" s="19"/>
      <c r="E1043702" s="19"/>
      <c r="F1043702" s="19"/>
      <c r="G1043702" s="19"/>
      <c r="H1043702" s="19"/>
      <c r="I1043702" s="19"/>
      <c r="J1043702" s="19"/>
      <c r="K1043702" s="19"/>
      <c r="L1043702" s="19"/>
      <c r="M1043702" s="19"/>
      <c r="N1043702" s="19"/>
    </row>
    <row r="1043703" spans="1:14" s="83" customFormat="1" ht="12.75">
      <c r="A1043703" s="19"/>
      <c r="B1043703" s="19"/>
      <c r="C1043703" s="19"/>
      <c r="D1043703" s="19"/>
      <c r="E1043703" s="19"/>
      <c r="F1043703" s="19"/>
      <c r="G1043703" s="19"/>
      <c r="H1043703" s="19"/>
      <c r="I1043703" s="19"/>
      <c r="J1043703" s="19"/>
      <c r="K1043703" s="19"/>
      <c r="L1043703" s="19"/>
      <c r="M1043703" s="19"/>
      <c r="N1043703" s="19"/>
    </row>
    <row r="1043704" spans="1:14" s="83" customFormat="1" ht="12.75">
      <c r="A1043704" s="19"/>
      <c r="B1043704" s="19"/>
      <c r="C1043704" s="19"/>
      <c r="D1043704" s="19"/>
      <c r="E1043704" s="19"/>
      <c r="F1043704" s="19"/>
      <c r="G1043704" s="19"/>
      <c r="H1043704" s="19"/>
      <c r="I1043704" s="19"/>
      <c r="J1043704" s="19"/>
      <c r="K1043704" s="19"/>
      <c r="L1043704" s="19"/>
      <c r="M1043704" s="19"/>
      <c r="N1043704" s="19"/>
    </row>
    <row r="1043705" spans="1:14" s="83" customFormat="1" ht="12.75">
      <c r="A1043705" s="19"/>
      <c r="B1043705" s="19"/>
      <c r="C1043705" s="19"/>
      <c r="D1043705" s="19"/>
      <c r="E1043705" s="19"/>
      <c r="F1043705" s="19"/>
      <c r="G1043705" s="19"/>
      <c r="H1043705" s="19"/>
      <c r="I1043705" s="19"/>
      <c r="J1043705" s="19"/>
      <c r="K1043705" s="19"/>
      <c r="L1043705" s="19"/>
      <c r="M1043705" s="19"/>
      <c r="N1043705" s="19"/>
    </row>
    <row r="1043706" spans="1:14" s="83" customFormat="1" ht="12.75">
      <c r="A1043706" s="19"/>
      <c r="B1043706" s="19"/>
      <c r="C1043706" s="19"/>
      <c r="D1043706" s="19"/>
      <c r="E1043706" s="19"/>
      <c r="F1043706" s="19"/>
      <c r="G1043706" s="19"/>
      <c r="H1043706" s="19"/>
      <c r="I1043706" s="19"/>
      <c r="J1043706" s="19"/>
      <c r="K1043706" s="19"/>
      <c r="L1043706" s="19"/>
      <c r="M1043706" s="19"/>
      <c r="N1043706" s="19"/>
    </row>
    <row r="1043707" spans="1:14" s="83" customFormat="1" ht="12.75">
      <c r="A1043707" s="19"/>
      <c r="B1043707" s="19"/>
      <c r="C1043707" s="19"/>
      <c r="D1043707" s="19"/>
      <c r="E1043707" s="19"/>
      <c r="F1043707" s="19"/>
      <c r="G1043707" s="19"/>
      <c r="H1043707" s="19"/>
      <c r="I1043707" s="19"/>
      <c r="J1043707" s="19"/>
      <c r="K1043707" s="19"/>
      <c r="L1043707" s="19"/>
      <c r="M1043707" s="19"/>
      <c r="N1043707" s="19"/>
    </row>
    <row r="1043708" spans="1:14" s="83" customFormat="1" ht="12.75">
      <c r="A1043708" s="19"/>
      <c r="B1043708" s="19"/>
      <c r="C1043708" s="19"/>
      <c r="D1043708" s="19"/>
      <c r="E1043708" s="19"/>
      <c r="F1043708" s="19"/>
      <c r="G1043708" s="19"/>
      <c r="H1043708" s="19"/>
      <c r="I1043708" s="19"/>
      <c r="J1043708" s="19"/>
      <c r="K1043708" s="19"/>
      <c r="L1043708" s="19"/>
      <c r="M1043708" s="19"/>
      <c r="N1043708" s="19"/>
    </row>
    <row r="1043709" spans="1:14" s="83" customFormat="1" ht="12.75">
      <c r="A1043709" s="19"/>
      <c r="B1043709" s="19"/>
      <c r="C1043709" s="19"/>
      <c r="D1043709" s="19"/>
      <c r="E1043709" s="19"/>
      <c r="F1043709" s="19"/>
      <c r="G1043709" s="19"/>
      <c r="H1043709" s="19"/>
      <c r="I1043709" s="19"/>
      <c r="J1043709" s="19"/>
      <c r="K1043709" s="19"/>
      <c r="L1043709" s="19"/>
      <c r="M1043709" s="19"/>
      <c r="N1043709" s="19"/>
    </row>
    <row r="1043710" spans="1:14" s="83" customFormat="1" ht="12.75">
      <c r="A1043710" s="19"/>
      <c r="B1043710" s="19"/>
      <c r="C1043710" s="19"/>
      <c r="D1043710" s="19"/>
      <c r="E1043710" s="19"/>
      <c r="F1043710" s="19"/>
      <c r="G1043710" s="19"/>
      <c r="H1043710" s="19"/>
      <c r="I1043710" s="19"/>
      <c r="J1043710" s="19"/>
      <c r="K1043710" s="19"/>
      <c r="L1043710" s="19"/>
      <c r="M1043710" s="19"/>
      <c r="N1043710" s="19"/>
    </row>
    <row r="1043711" spans="1:14" s="83" customFormat="1" ht="12.75">
      <c r="A1043711" s="19"/>
      <c r="B1043711" s="19"/>
      <c r="C1043711" s="19"/>
      <c r="D1043711" s="19"/>
      <c r="E1043711" s="19"/>
      <c r="F1043711" s="19"/>
      <c r="G1043711" s="19"/>
      <c r="H1043711" s="19"/>
      <c r="I1043711" s="19"/>
      <c r="J1043711" s="19"/>
      <c r="K1043711" s="19"/>
      <c r="L1043711" s="19"/>
      <c r="M1043711" s="19"/>
      <c r="N1043711" s="19"/>
    </row>
    <row r="1043712" spans="1:14" s="83" customFormat="1" ht="12.75">
      <c r="A1043712" s="19"/>
      <c r="B1043712" s="19"/>
      <c r="C1043712" s="19"/>
      <c r="D1043712" s="19"/>
      <c r="E1043712" s="19"/>
      <c r="F1043712" s="19"/>
      <c r="G1043712" s="19"/>
      <c r="H1043712" s="19"/>
      <c r="I1043712" s="19"/>
      <c r="J1043712" s="19"/>
      <c r="K1043712" s="19"/>
      <c r="L1043712" s="19"/>
      <c r="M1043712" s="19"/>
      <c r="N1043712" s="19"/>
    </row>
    <row r="1043713" spans="1:14" s="83" customFormat="1" ht="12.75">
      <c r="A1043713" s="19"/>
      <c r="B1043713" s="19"/>
      <c r="C1043713" s="19"/>
      <c r="D1043713" s="19"/>
      <c r="E1043713" s="19"/>
      <c r="F1043713" s="19"/>
      <c r="G1043713" s="19"/>
      <c r="H1043713" s="19"/>
      <c r="I1043713" s="19"/>
      <c r="J1043713" s="19"/>
      <c r="K1043713" s="19"/>
      <c r="L1043713" s="19"/>
      <c r="M1043713" s="19"/>
      <c r="N1043713" s="19"/>
    </row>
    <row r="1043714" spans="1:14" s="83" customFormat="1" ht="12.75">
      <c r="A1043714" s="19"/>
      <c r="B1043714" s="19"/>
      <c r="C1043714" s="19"/>
      <c r="D1043714" s="19"/>
      <c r="E1043714" s="19"/>
      <c r="F1043714" s="19"/>
      <c r="G1043714" s="19"/>
      <c r="H1043714" s="19"/>
      <c r="I1043714" s="19"/>
      <c r="J1043714" s="19"/>
      <c r="K1043714" s="19"/>
      <c r="L1043714" s="19"/>
      <c r="M1043714" s="19"/>
      <c r="N1043714" s="19"/>
    </row>
    <row r="1043715" spans="1:14" s="83" customFormat="1" ht="12.75">
      <c r="A1043715" s="19"/>
      <c r="B1043715" s="19"/>
      <c r="C1043715" s="19"/>
      <c r="D1043715" s="19"/>
      <c r="E1043715" s="19"/>
      <c r="F1043715" s="19"/>
      <c r="G1043715" s="19"/>
      <c r="H1043715" s="19"/>
      <c r="I1043715" s="19"/>
      <c r="J1043715" s="19"/>
      <c r="K1043715" s="19"/>
      <c r="L1043715" s="19"/>
      <c r="M1043715" s="19"/>
      <c r="N1043715" s="19"/>
    </row>
    <row r="1043716" spans="1:14" s="83" customFormat="1" ht="12.75">
      <c r="A1043716" s="19"/>
      <c r="B1043716" s="19"/>
      <c r="C1043716" s="19"/>
      <c r="D1043716" s="19"/>
      <c r="E1043716" s="19"/>
      <c r="F1043716" s="19"/>
      <c r="G1043716" s="19"/>
      <c r="H1043716" s="19"/>
      <c r="I1043716" s="19"/>
      <c r="J1043716" s="19"/>
      <c r="K1043716" s="19"/>
      <c r="L1043716" s="19"/>
      <c r="M1043716" s="19"/>
      <c r="N1043716" s="19"/>
    </row>
    <row r="1043717" spans="1:14" s="83" customFormat="1" ht="12.75">
      <c r="A1043717" s="19"/>
      <c r="B1043717" s="19"/>
      <c r="C1043717" s="19"/>
      <c r="D1043717" s="19"/>
      <c r="E1043717" s="19"/>
      <c r="F1043717" s="19"/>
      <c r="G1043717" s="19"/>
      <c r="H1043717" s="19"/>
      <c r="I1043717" s="19"/>
      <c r="J1043717" s="19"/>
      <c r="K1043717" s="19"/>
      <c r="L1043717" s="19"/>
      <c r="M1043717" s="19"/>
      <c r="N1043717" s="19"/>
    </row>
    <row r="1043718" spans="1:14" s="83" customFormat="1" ht="12.75">
      <c r="A1043718" s="19"/>
      <c r="B1043718" s="19"/>
      <c r="C1043718" s="19"/>
      <c r="D1043718" s="19"/>
      <c r="E1043718" s="19"/>
      <c r="F1043718" s="19"/>
      <c r="G1043718" s="19"/>
      <c r="H1043718" s="19"/>
      <c r="I1043718" s="19"/>
      <c r="J1043718" s="19"/>
      <c r="K1043718" s="19"/>
      <c r="L1043718" s="19"/>
      <c r="M1043718" s="19"/>
      <c r="N1043718" s="19"/>
    </row>
    <row r="1043719" spans="1:14" s="83" customFormat="1" ht="12.75">
      <c r="A1043719" s="19"/>
      <c r="B1043719" s="19"/>
      <c r="C1043719" s="19"/>
      <c r="D1043719" s="19"/>
      <c r="E1043719" s="19"/>
      <c r="F1043719" s="19"/>
      <c r="G1043719" s="19"/>
      <c r="H1043719" s="19"/>
      <c r="I1043719" s="19"/>
      <c r="J1043719" s="19"/>
      <c r="K1043719" s="19"/>
      <c r="L1043719" s="19"/>
      <c r="M1043719" s="19"/>
      <c r="N1043719" s="19"/>
    </row>
    <row r="1043720" spans="1:14" s="83" customFormat="1" ht="12.75">
      <c r="A1043720" s="19"/>
      <c r="B1043720" s="19"/>
      <c r="C1043720" s="19"/>
      <c r="D1043720" s="19"/>
      <c r="E1043720" s="19"/>
      <c r="F1043720" s="19"/>
      <c r="G1043720" s="19"/>
      <c r="H1043720" s="19"/>
      <c r="I1043720" s="19"/>
      <c r="J1043720" s="19"/>
      <c r="K1043720" s="19"/>
      <c r="L1043720" s="19"/>
      <c r="M1043720" s="19"/>
      <c r="N1043720" s="19"/>
    </row>
    <row r="1043721" spans="1:14" s="83" customFormat="1" ht="12.75">
      <c r="A1043721" s="19"/>
      <c r="B1043721" s="19"/>
      <c r="C1043721" s="19"/>
      <c r="D1043721" s="19"/>
      <c r="E1043721" s="19"/>
      <c r="F1043721" s="19"/>
      <c r="G1043721" s="19"/>
      <c r="H1043721" s="19"/>
      <c r="I1043721" s="19"/>
      <c r="J1043721" s="19"/>
      <c r="K1043721" s="19"/>
      <c r="L1043721" s="19"/>
      <c r="M1043721" s="19"/>
      <c r="N1043721" s="19"/>
    </row>
    <row r="1043722" spans="1:14" s="83" customFormat="1" ht="12.75">
      <c r="A1043722" s="19"/>
      <c r="B1043722" s="19"/>
      <c r="C1043722" s="19"/>
      <c r="D1043722" s="19"/>
      <c r="E1043722" s="19"/>
      <c r="F1043722" s="19"/>
      <c r="G1043722" s="19"/>
      <c r="H1043722" s="19"/>
      <c r="I1043722" s="19"/>
      <c r="J1043722" s="19"/>
      <c r="K1043722" s="19"/>
      <c r="L1043722" s="19"/>
      <c r="M1043722" s="19"/>
      <c r="N1043722" s="19"/>
    </row>
    <row r="1043723" spans="1:14" s="83" customFormat="1" ht="12.75">
      <c r="A1043723" s="19"/>
      <c r="B1043723" s="19"/>
      <c r="C1043723" s="19"/>
      <c r="D1043723" s="19"/>
      <c r="E1043723" s="19"/>
      <c r="F1043723" s="19"/>
      <c r="G1043723" s="19"/>
      <c r="H1043723" s="19"/>
      <c r="I1043723" s="19"/>
      <c r="J1043723" s="19"/>
      <c r="K1043723" s="19"/>
      <c r="L1043723" s="19"/>
      <c r="M1043723" s="19"/>
      <c r="N1043723" s="19"/>
    </row>
    <row r="1043724" spans="1:14" s="83" customFormat="1" ht="12.75">
      <c r="A1043724" s="19"/>
      <c r="B1043724" s="19"/>
      <c r="C1043724" s="19"/>
      <c r="D1043724" s="19"/>
      <c r="E1043724" s="19"/>
      <c r="F1043724" s="19"/>
      <c r="G1043724" s="19"/>
      <c r="H1043724" s="19"/>
      <c r="I1043724" s="19"/>
      <c r="J1043724" s="19"/>
      <c r="K1043724" s="19"/>
      <c r="L1043724" s="19"/>
      <c r="M1043724" s="19"/>
      <c r="N1043724" s="19"/>
    </row>
    <row r="1043725" spans="1:14" s="83" customFormat="1" ht="12.75">
      <c r="A1043725" s="19"/>
      <c r="B1043725" s="19"/>
      <c r="C1043725" s="19"/>
      <c r="D1043725" s="19"/>
      <c r="E1043725" s="19"/>
      <c r="F1043725" s="19"/>
      <c r="G1043725" s="19"/>
      <c r="H1043725" s="19"/>
      <c r="I1043725" s="19"/>
      <c r="J1043725" s="19"/>
      <c r="K1043725" s="19"/>
      <c r="L1043725" s="19"/>
      <c r="M1043725" s="19"/>
      <c r="N1043725" s="19"/>
    </row>
    <row r="1043726" spans="1:14" s="83" customFormat="1" ht="12.75">
      <c r="A1043726" s="19"/>
      <c r="B1043726" s="19"/>
      <c r="C1043726" s="19"/>
      <c r="D1043726" s="19"/>
      <c r="E1043726" s="19"/>
      <c r="F1043726" s="19"/>
      <c r="G1043726" s="19"/>
      <c r="H1043726" s="19"/>
      <c r="I1043726" s="19"/>
      <c r="J1043726" s="19"/>
      <c r="K1043726" s="19"/>
      <c r="L1043726" s="19"/>
      <c r="M1043726" s="19"/>
      <c r="N1043726" s="19"/>
    </row>
    <row r="1043727" spans="1:14" s="83" customFormat="1" ht="12.75">
      <c r="A1043727" s="19"/>
      <c r="B1043727" s="19"/>
      <c r="C1043727" s="19"/>
      <c r="D1043727" s="19"/>
      <c r="E1043727" s="19"/>
      <c r="F1043727" s="19"/>
      <c r="G1043727" s="19"/>
      <c r="H1043727" s="19"/>
      <c r="I1043727" s="19"/>
      <c r="J1043727" s="19"/>
      <c r="K1043727" s="19"/>
      <c r="L1043727" s="19"/>
      <c r="M1043727" s="19"/>
      <c r="N1043727" s="19"/>
    </row>
    <row r="1043728" spans="1:14" s="83" customFormat="1" ht="12.75">
      <c r="A1043728" s="19"/>
      <c r="B1043728" s="19"/>
      <c r="C1043728" s="19"/>
      <c r="D1043728" s="19"/>
      <c r="E1043728" s="19"/>
      <c r="F1043728" s="19"/>
      <c r="G1043728" s="19"/>
      <c r="H1043728" s="19"/>
      <c r="I1043728" s="19"/>
      <c r="J1043728" s="19"/>
      <c r="K1043728" s="19"/>
      <c r="L1043728" s="19"/>
      <c r="M1043728" s="19"/>
      <c r="N1043728" s="19"/>
    </row>
    <row r="1043729" spans="1:14" s="83" customFormat="1" ht="12.75">
      <c r="A1043729" s="19"/>
      <c r="B1043729" s="19"/>
      <c r="C1043729" s="19"/>
      <c r="D1043729" s="19"/>
      <c r="E1043729" s="19"/>
      <c r="F1043729" s="19"/>
      <c r="G1043729" s="19"/>
      <c r="H1043729" s="19"/>
      <c r="I1043729" s="19"/>
      <c r="J1043729" s="19"/>
      <c r="K1043729" s="19"/>
      <c r="L1043729" s="19"/>
      <c r="M1043729" s="19"/>
      <c r="N1043729" s="19"/>
    </row>
    <row r="1043730" spans="1:14" s="83" customFormat="1" ht="12.75">
      <c r="A1043730" s="19"/>
      <c r="B1043730" s="19"/>
      <c r="C1043730" s="19"/>
      <c r="D1043730" s="19"/>
      <c r="E1043730" s="19"/>
      <c r="F1043730" s="19"/>
      <c r="G1043730" s="19"/>
      <c r="H1043730" s="19"/>
      <c r="I1043730" s="19"/>
      <c r="J1043730" s="19"/>
      <c r="K1043730" s="19"/>
      <c r="L1043730" s="19"/>
      <c r="M1043730" s="19"/>
      <c r="N1043730" s="19"/>
    </row>
    <row r="1043731" spans="1:14" s="83" customFormat="1" ht="12.75">
      <c r="A1043731" s="19"/>
      <c r="B1043731" s="19"/>
      <c r="C1043731" s="19"/>
      <c r="D1043731" s="19"/>
      <c r="E1043731" s="19"/>
      <c r="F1043731" s="19"/>
      <c r="G1043731" s="19"/>
      <c r="H1043731" s="19"/>
      <c r="I1043731" s="19"/>
      <c r="J1043731" s="19"/>
      <c r="K1043731" s="19"/>
      <c r="L1043731" s="19"/>
      <c r="M1043731" s="19"/>
      <c r="N1043731" s="19"/>
    </row>
    <row r="1043732" spans="1:14" s="83" customFormat="1" ht="12.75">
      <c r="A1043732" s="19"/>
      <c r="B1043732" s="19"/>
      <c r="C1043732" s="19"/>
      <c r="D1043732" s="19"/>
      <c r="E1043732" s="19"/>
      <c r="F1043732" s="19"/>
      <c r="G1043732" s="19"/>
      <c r="H1043732" s="19"/>
      <c r="I1043732" s="19"/>
      <c r="J1043732" s="19"/>
      <c r="K1043732" s="19"/>
      <c r="L1043732" s="19"/>
      <c r="M1043732" s="19"/>
      <c r="N1043732" s="19"/>
    </row>
    <row r="1043733" spans="1:14" s="83" customFormat="1" ht="12.75">
      <c r="A1043733" s="19"/>
      <c r="B1043733" s="19"/>
      <c r="C1043733" s="19"/>
      <c r="D1043733" s="19"/>
      <c r="E1043733" s="19"/>
      <c r="F1043733" s="19"/>
      <c r="G1043733" s="19"/>
      <c r="H1043733" s="19"/>
      <c r="I1043733" s="19"/>
      <c r="J1043733" s="19"/>
      <c r="K1043733" s="19"/>
      <c r="L1043733" s="19"/>
      <c r="M1043733" s="19"/>
      <c r="N1043733" s="19"/>
    </row>
    <row r="1043734" spans="1:14" s="83" customFormat="1" ht="12.75">
      <c r="A1043734" s="19"/>
      <c r="B1043734" s="19"/>
      <c r="C1043734" s="19"/>
      <c r="D1043734" s="19"/>
      <c r="E1043734" s="19"/>
      <c r="F1043734" s="19"/>
      <c r="G1043734" s="19"/>
      <c r="H1043734" s="19"/>
      <c r="I1043734" s="19"/>
      <c r="J1043734" s="19"/>
      <c r="K1043734" s="19"/>
      <c r="L1043734" s="19"/>
      <c r="M1043734" s="19"/>
      <c r="N1043734" s="19"/>
    </row>
    <row r="1043735" spans="1:14" s="83" customFormat="1" ht="12.75">
      <c r="A1043735" s="19"/>
      <c r="B1043735" s="19"/>
      <c r="C1043735" s="19"/>
      <c r="D1043735" s="19"/>
      <c r="E1043735" s="19"/>
      <c r="F1043735" s="19"/>
      <c r="G1043735" s="19"/>
      <c r="H1043735" s="19"/>
      <c r="I1043735" s="19"/>
      <c r="J1043735" s="19"/>
      <c r="K1043735" s="19"/>
      <c r="L1043735" s="19"/>
      <c r="M1043735" s="19"/>
      <c r="N1043735" s="19"/>
    </row>
    <row r="1043736" spans="1:14" s="83" customFormat="1" ht="12.75">
      <c r="A1043736" s="19"/>
      <c r="B1043736" s="19"/>
      <c r="C1043736" s="19"/>
      <c r="D1043736" s="19"/>
      <c r="E1043736" s="19"/>
      <c r="F1043736" s="19"/>
      <c r="G1043736" s="19"/>
      <c r="H1043736" s="19"/>
      <c r="I1043736" s="19"/>
      <c r="J1043736" s="19"/>
      <c r="K1043736" s="19"/>
      <c r="L1043736" s="19"/>
      <c r="M1043736" s="19"/>
      <c r="N1043736" s="19"/>
    </row>
    <row r="1043737" spans="1:14" s="83" customFormat="1" ht="12.75">
      <c r="A1043737" s="19"/>
      <c r="B1043737" s="19"/>
      <c r="C1043737" s="19"/>
      <c r="D1043737" s="19"/>
      <c r="E1043737" s="19"/>
      <c r="F1043737" s="19"/>
      <c r="G1043737" s="19"/>
      <c r="H1043737" s="19"/>
      <c r="I1043737" s="19"/>
      <c r="J1043737" s="19"/>
      <c r="K1043737" s="19"/>
      <c r="L1043737" s="19"/>
      <c r="M1043737" s="19"/>
      <c r="N1043737" s="19"/>
    </row>
    <row r="1043738" spans="1:14" s="83" customFormat="1" ht="12.75">
      <c r="A1043738" s="19"/>
      <c r="B1043738" s="19"/>
      <c r="C1043738" s="19"/>
      <c r="D1043738" s="19"/>
      <c r="E1043738" s="19"/>
      <c r="F1043738" s="19"/>
      <c r="G1043738" s="19"/>
      <c r="H1043738" s="19"/>
      <c r="I1043738" s="19"/>
      <c r="J1043738" s="19"/>
      <c r="K1043738" s="19"/>
      <c r="L1043738" s="19"/>
      <c r="M1043738" s="19"/>
      <c r="N1043738" s="19"/>
    </row>
    <row r="1043739" spans="1:14" s="83" customFormat="1" ht="12.75">
      <c r="A1043739" s="19"/>
      <c r="B1043739" s="19"/>
      <c r="C1043739" s="19"/>
      <c r="D1043739" s="19"/>
      <c r="E1043739" s="19"/>
      <c r="F1043739" s="19"/>
      <c r="G1043739" s="19"/>
      <c r="H1043739" s="19"/>
      <c r="I1043739" s="19"/>
      <c r="J1043739" s="19"/>
      <c r="K1043739" s="19"/>
      <c r="L1043739" s="19"/>
      <c r="M1043739" s="19"/>
      <c r="N1043739" s="19"/>
    </row>
    <row r="1043740" spans="1:14" s="83" customFormat="1" ht="12.75">
      <c r="A1043740" s="19"/>
      <c r="B1043740" s="19"/>
      <c r="C1043740" s="19"/>
      <c r="D1043740" s="19"/>
      <c r="E1043740" s="19"/>
      <c r="F1043740" s="19"/>
      <c r="G1043740" s="19"/>
      <c r="H1043740" s="19"/>
      <c r="I1043740" s="19"/>
      <c r="J1043740" s="19"/>
      <c r="K1043740" s="19"/>
      <c r="L1043740" s="19"/>
      <c r="M1043740" s="19"/>
      <c r="N1043740" s="19"/>
    </row>
    <row r="1043741" spans="1:14" s="83" customFormat="1" ht="12.75">
      <c r="A1043741" s="19"/>
      <c r="B1043741" s="19"/>
      <c r="C1043741" s="19"/>
      <c r="D1043741" s="19"/>
      <c r="E1043741" s="19"/>
      <c r="F1043741" s="19"/>
      <c r="G1043741" s="19"/>
      <c r="H1043741" s="19"/>
      <c r="I1043741" s="19"/>
      <c r="J1043741" s="19"/>
      <c r="K1043741" s="19"/>
      <c r="L1043741" s="19"/>
      <c r="M1043741" s="19"/>
      <c r="N1043741" s="19"/>
    </row>
    <row r="1043742" spans="1:14" s="83" customFormat="1" ht="12.75">
      <c r="A1043742" s="19"/>
      <c r="B1043742" s="19"/>
      <c r="C1043742" s="19"/>
      <c r="D1043742" s="19"/>
      <c r="E1043742" s="19"/>
      <c r="F1043742" s="19"/>
      <c r="G1043742" s="19"/>
      <c r="H1043742" s="19"/>
      <c r="I1043742" s="19"/>
      <c r="J1043742" s="19"/>
      <c r="K1043742" s="19"/>
      <c r="L1043742" s="19"/>
      <c r="M1043742" s="19"/>
      <c r="N1043742" s="19"/>
    </row>
    <row r="1043743" spans="1:14" s="83" customFormat="1" ht="12.75">
      <c r="A1043743" s="19"/>
      <c r="B1043743" s="19"/>
      <c r="C1043743" s="19"/>
      <c r="D1043743" s="19"/>
      <c r="E1043743" s="19"/>
      <c r="F1043743" s="19"/>
      <c r="G1043743" s="19"/>
      <c r="H1043743" s="19"/>
      <c r="I1043743" s="19"/>
      <c r="J1043743" s="19"/>
      <c r="K1043743" s="19"/>
      <c r="L1043743" s="19"/>
      <c r="M1043743" s="19"/>
      <c r="N1043743" s="19"/>
    </row>
    <row r="1043744" spans="1:14" s="83" customFormat="1" ht="12.75">
      <c r="A1043744" s="19"/>
      <c r="B1043744" s="19"/>
      <c r="C1043744" s="19"/>
      <c r="D1043744" s="19"/>
      <c r="E1043744" s="19"/>
      <c r="F1043744" s="19"/>
      <c r="G1043744" s="19"/>
      <c r="H1043744" s="19"/>
      <c r="I1043744" s="19"/>
      <c r="J1043744" s="19"/>
      <c r="K1043744" s="19"/>
      <c r="L1043744" s="19"/>
      <c r="M1043744" s="19"/>
      <c r="N1043744" s="19"/>
    </row>
    <row r="1043745" spans="1:14" s="83" customFormat="1" ht="12.75">
      <c r="A1043745" s="19"/>
      <c r="B1043745" s="19"/>
      <c r="C1043745" s="19"/>
      <c r="D1043745" s="19"/>
      <c r="E1043745" s="19"/>
      <c r="F1043745" s="19"/>
      <c r="G1043745" s="19"/>
      <c r="H1043745" s="19"/>
      <c r="I1043745" s="19"/>
      <c r="J1043745" s="19"/>
      <c r="K1043745" s="19"/>
      <c r="L1043745" s="19"/>
      <c r="M1043745" s="19"/>
      <c r="N1043745" s="19"/>
    </row>
    <row r="1043746" spans="1:14" s="83" customFormat="1" ht="12.75">
      <c r="A1043746" s="19"/>
      <c r="B1043746" s="19"/>
      <c r="C1043746" s="19"/>
      <c r="D1043746" s="19"/>
      <c r="E1043746" s="19"/>
      <c r="F1043746" s="19"/>
      <c r="G1043746" s="19"/>
      <c r="H1043746" s="19"/>
      <c r="I1043746" s="19"/>
      <c r="J1043746" s="19"/>
      <c r="K1043746" s="19"/>
      <c r="L1043746" s="19"/>
      <c r="M1043746" s="19"/>
      <c r="N1043746" s="19"/>
    </row>
    <row r="1043747" spans="1:14" s="83" customFormat="1" ht="12.75">
      <c r="A1043747" s="19"/>
      <c r="B1043747" s="19"/>
      <c r="C1043747" s="19"/>
      <c r="D1043747" s="19"/>
      <c r="E1043747" s="19"/>
      <c r="F1043747" s="19"/>
      <c r="G1043747" s="19"/>
      <c r="H1043747" s="19"/>
      <c r="I1043747" s="19"/>
      <c r="J1043747" s="19"/>
      <c r="K1043747" s="19"/>
      <c r="L1043747" s="19"/>
      <c r="M1043747" s="19"/>
      <c r="N1043747" s="19"/>
    </row>
    <row r="1043748" spans="1:14" s="83" customFormat="1" ht="12.75">
      <c r="A1043748" s="19"/>
      <c r="B1043748" s="19"/>
      <c r="C1043748" s="19"/>
      <c r="D1043748" s="19"/>
      <c r="E1043748" s="19"/>
      <c r="F1043748" s="19"/>
      <c r="G1043748" s="19"/>
      <c r="H1043748" s="19"/>
      <c r="I1043748" s="19"/>
      <c r="J1043748" s="19"/>
      <c r="K1043748" s="19"/>
      <c r="L1043748" s="19"/>
      <c r="M1043748" s="19"/>
      <c r="N1043748" s="19"/>
    </row>
    <row r="1043749" spans="1:14" s="83" customFormat="1" ht="12.75">
      <c r="A1043749" s="19"/>
      <c r="B1043749" s="19"/>
      <c r="C1043749" s="19"/>
      <c r="D1043749" s="19"/>
      <c r="E1043749" s="19"/>
      <c r="F1043749" s="19"/>
      <c r="G1043749" s="19"/>
      <c r="H1043749" s="19"/>
      <c r="I1043749" s="19"/>
      <c r="J1043749" s="19"/>
      <c r="K1043749" s="19"/>
      <c r="L1043749" s="19"/>
      <c r="M1043749" s="19"/>
      <c r="N1043749" s="19"/>
    </row>
    <row r="1043750" spans="1:14" s="83" customFormat="1" ht="12.75">
      <c r="A1043750" s="19"/>
      <c r="B1043750" s="19"/>
      <c r="C1043750" s="19"/>
      <c r="D1043750" s="19"/>
      <c r="E1043750" s="19"/>
      <c r="F1043750" s="19"/>
      <c r="G1043750" s="19"/>
      <c r="H1043750" s="19"/>
      <c r="I1043750" s="19"/>
      <c r="J1043750" s="19"/>
      <c r="K1043750" s="19"/>
      <c r="L1043750" s="19"/>
      <c r="M1043750" s="19"/>
      <c r="N1043750" s="19"/>
    </row>
    <row r="1043751" spans="1:14" s="83" customFormat="1" ht="12.75">
      <c r="A1043751" s="19"/>
      <c r="B1043751" s="19"/>
      <c r="C1043751" s="19"/>
      <c r="D1043751" s="19"/>
      <c r="E1043751" s="19"/>
      <c r="F1043751" s="19"/>
      <c r="G1043751" s="19"/>
      <c r="H1043751" s="19"/>
      <c r="I1043751" s="19"/>
      <c r="J1043751" s="19"/>
      <c r="K1043751" s="19"/>
      <c r="L1043751" s="19"/>
      <c r="M1043751" s="19"/>
      <c r="N1043751" s="19"/>
    </row>
    <row r="1043752" spans="1:14" s="83" customFormat="1" ht="12.75">
      <c r="A1043752" s="19"/>
      <c r="B1043752" s="19"/>
      <c r="C1043752" s="19"/>
      <c r="D1043752" s="19"/>
      <c r="E1043752" s="19"/>
      <c r="F1043752" s="19"/>
      <c r="G1043752" s="19"/>
      <c r="H1043752" s="19"/>
      <c r="I1043752" s="19"/>
      <c r="J1043752" s="19"/>
      <c r="K1043752" s="19"/>
      <c r="L1043752" s="19"/>
      <c r="M1043752" s="19"/>
      <c r="N1043752" s="19"/>
    </row>
    <row r="1043753" spans="1:14" s="83" customFormat="1" ht="12.75">
      <c r="A1043753" s="19"/>
      <c r="B1043753" s="19"/>
      <c r="C1043753" s="19"/>
      <c r="D1043753" s="19"/>
      <c r="E1043753" s="19"/>
      <c r="F1043753" s="19"/>
      <c r="G1043753" s="19"/>
      <c r="H1043753" s="19"/>
      <c r="I1043753" s="19"/>
      <c r="J1043753" s="19"/>
      <c r="K1043753" s="19"/>
      <c r="L1043753" s="19"/>
      <c r="M1043753" s="19"/>
      <c r="N1043753" s="19"/>
    </row>
    <row r="1043754" spans="1:14" s="83" customFormat="1" ht="12.75">
      <c r="A1043754" s="19"/>
      <c r="B1043754" s="19"/>
      <c r="C1043754" s="19"/>
      <c r="D1043754" s="19"/>
      <c r="E1043754" s="19"/>
      <c r="F1043754" s="19"/>
      <c r="G1043754" s="19"/>
      <c r="H1043754" s="19"/>
      <c r="I1043754" s="19"/>
      <c r="J1043754" s="19"/>
      <c r="K1043754" s="19"/>
      <c r="L1043754" s="19"/>
      <c r="M1043754" s="19"/>
      <c r="N1043754" s="19"/>
    </row>
    <row r="1043755" spans="1:14" s="83" customFormat="1" ht="12.75">
      <c r="A1043755" s="19"/>
      <c r="B1043755" s="19"/>
      <c r="C1043755" s="19"/>
      <c r="D1043755" s="19"/>
      <c r="E1043755" s="19"/>
      <c r="F1043755" s="19"/>
      <c r="G1043755" s="19"/>
      <c r="H1043755" s="19"/>
      <c r="I1043755" s="19"/>
      <c r="J1043755" s="19"/>
      <c r="K1043755" s="19"/>
      <c r="L1043755" s="19"/>
      <c r="M1043755" s="19"/>
      <c r="N1043755" s="19"/>
    </row>
    <row r="1043756" spans="1:14" s="83" customFormat="1" ht="12.75">
      <c r="A1043756" s="19"/>
      <c r="B1043756" s="19"/>
      <c r="C1043756" s="19"/>
      <c r="D1043756" s="19"/>
      <c r="E1043756" s="19"/>
      <c r="F1043756" s="19"/>
      <c r="G1043756" s="19"/>
      <c r="H1043756" s="19"/>
      <c r="I1043756" s="19"/>
      <c r="J1043756" s="19"/>
      <c r="K1043756" s="19"/>
      <c r="L1043756" s="19"/>
      <c r="M1043756" s="19"/>
      <c r="N1043756" s="19"/>
    </row>
    <row r="1043757" spans="1:14" s="83" customFormat="1" ht="12.75">
      <c r="A1043757" s="19"/>
      <c r="B1043757" s="19"/>
      <c r="C1043757" s="19"/>
      <c r="D1043757" s="19"/>
      <c r="E1043757" s="19"/>
      <c r="F1043757" s="19"/>
      <c r="G1043757" s="19"/>
      <c r="H1043757" s="19"/>
      <c r="I1043757" s="19"/>
      <c r="J1043757" s="19"/>
      <c r="K1043757" s="19"/>
      <c r="L1043757" s="19"/>
      <c r="M1043757" s="19"/>
      <c r="N1043757" s="19"/>
    </row>
    <row r="1043758" spans="1:14" s="83" customFormat="1" ht="12.75">
      <c r="A1043758" s="19"/>
      <c r="B1043758" s="19"/>
      <c r="C1043758" s="19"/>
      <c r="D1043758" s="19"/>
      <c r="E1043758" s="19"/>
      <c r="F1043758" s="19"/>
      <c r="G1043758" s="19"/>
      <c r="H1043758" s="19"/>
      <c r="I1043758" s="19"/>
      <c r="J1043758" s="19"/>
      <c r="K1043758" s="19"/>
      <c r="L1043758" s="19"/>
      <c r="M1043758" s="19"/>
      <c r="N1043758" s="19"/>
    </row>
    <row r="1043759" spans="1:14" s="83" customFormat="1" ht="12.75">
      <c r="A1043759" s="19"/>
      <c r="B1043759" s="19"/>
      <c r="C1043759" s="19"/>
      <c r="D1043759" s="19"/>
      <c r="E1043759" s="19"/>
      <c r="F1043759" s="19"/>
      <c r="G1043759" s="19"/>
      <c r="H1043759" s="19"/>
      <c r="I1043759" s="19"/>
      <c r="J1043759" s="19"/>
      <c r="K1043759" s="19"/>
      <c r="L1043759" s="19"/>
      <c r="M1043759" s="19"/>
      <c r="N1043759" s="19"/>
    </row>
    <row r="1043760" spans="1:14" s="83" customFormat="1" ht="12.75">
      <c r="A1043760" s="19"/>
      <c r="B1043760" s="19"/>
      <c r="C1043760" s="19"/>
      <c r="D1043760" s="19"/>
      <c r="E1043760" s="19"/>
      <c r="F1043760" s="19"/>
      <c r="G1043760" s="19"/>
      <c r="H1043760" s="19"/>
      <c r="I1043760" s="19"/>
      <c r="J1043760" s="19"/>
      <c r="K1043760" s="19"/>
      <c r="L1043760" s="19"/>
      <c r="M1043760" s="19"/>
      <c r="N1043760" s="19"/>
    </row>
    <row r="1043761" spans="1:14" s="83" customFormat="1" ht="12.75">
      <c r="A1043761" s="19"/>
      <c r="B1043761" s="19"/>
      <c r="C1043761" s="19"/>
      <c r="D1043761" s="19"/>
      <c r="E1043761" s="19"/>
      <c r="F1043761" s="19"/>
      <c r="G1043761" s="19"/>
      <c r="H1043761" s="19"/>
      <c r="I1043761" s="19"/>
      <c r="J1043761" s="19"/>
      <c r="K1043761" s="19"/>
      <c r="L1043761" s="19"/>
      <c r="M1043761" s="19"/>
      <c r="N1043761" s="19"/>
    </row>
    <row r="1043762" spans="1:14" s="83" customFormat="1" ht="12.75">
      <c r="A1043762" s="19"/>
      <c r="B1043762" s="19"/>
      <c r="C1043762" s="19"/>
      <c r="D1043762" s="19"/>
      <c r="E1043762" s="19"/>
      <c r="F1043762" s="19"/>
      <c r="G1043762" s="19"/>
      <c r="H1043762" s="19"/>
      <c r="I1043762" s="19"/>
      <c r="J1043762" s="19"/>
      <c r="K1043762" s="19"/>
      <c r="L1043762" s="19"/>
      <c r="M1043762" s="19"/>
      <c r="N1043762" s="19"/>
    </row>
    <row r="1043763" spans="1:14" s="83" customFormat="1" ht="12.75">
      <c r="A1043763" s="19"/>
      <c r="B1043763" s="19"/>
      <c r="C1043763" s="19"/>
      <c r="D1043763" s="19"/>
      <c r="E1043763" s="19"/>
      <c r="F1043763" s="19"/>
      <c r="G1043763" s="19"/>
      <c r="H1043763" s="19"/>
      <c r="I1043763" s="19"/>
      <c r="J1043763" s="19"/>
      <c r="K1043763" s="19"/>
      <c r="L1043763" s="19"/>
      <c r="M1043763" s="19"/>
      <c r="N1043763" s="19"/>
    </row>
    <row r="1043764" spans="1:14" s="83" customFormat="1" ht="12.75">
      <c r="A1043764" s="19"/>
      <c r="B1043764" s="19"/>
      <c r="C1043764" s="19"/>
      <c r="D1043764" s="19"/>
      <c r="E1043764" s="19"/>
      <c r="F1043764" s="19"/>
      <c r="G1043764" s="19"/>
      <c r="H1043764" s="19"/>
      <c r="I1043764" s="19"/>
      <c r="J1043764" s="19"/>
      <c r="K1043764" s="19"/>
      <c r="L1043764" s="19"/>
      <c r="M1043764" s="19"/>
      <c r="N1043764" s="19"/>
    </row>
    <row r="1043765" spans="1:14" s="83" customFormat="1" ht="12.75">
      <c r="A1043765" s="19"/>
      <c r="B1043765" s="19"/>
      <c r="C1043765" s="19"/>
      <c r="D1043765" s="19"/>
      <c r="E1043765" s="19"/>
      <c r="F1043765" s="19"/>
      <c r="G1043765" s="19"/>
      <c r="H1043765" s="19"/>
      <c r="I1043765" s="19"/>
      <c r="J1043765" s="19"/>
      <c r="K1043765" s="19"/>
      <c r="L1043765" s="19"/>
      <c r="M1043765" s="19"/>
      <c r="N1043765" s="19"/>
    </row>
    <row r="1043766" spans="1:14" s="83" customFormat="1" ht="12.75">
      <c r="A1043766" s="19"/>
      <c r="B1043766" s="19"/>
      <c r="C1043766" s="19"/>
      <c r="D1043766" s="19"/>
      <c r="E1043766" s="19"/>
      <c r="F1043766" s="19"/>
      <c r="G1043766" s="19"/>
      <c r="H1043766" s="19"/>
      <c r="I1043766" s="19"/>
      <c r="J1043766" s="19"/>
      <c r="K1043766" s="19"/>
      <c r="L1043766" s="19"/>
      <c r="M1043766" s="19"/>
      <c r="N1043766" s="19"/>
    </row>
    <row r="1043767" spans="1:14" s="83" customFormat="1" ht="12.75">
      <c r="A1043767" s="19"/>
      <c r="B1043767" s="19"/>
      <c r="C1043767" s="19"/>
      <c r="D1043767" s="19"/>
      <c r="E1043767" s="19"/>
      <c r="F1043767" s="19"/>
      <c r="G1043767" s="19"/>
      <c r="H1043767" s="19"/>
      <c r="I1043767" s="19"/>
      <c r="J1043767" s="19"/>
      <c r="K1043767" s="19"/>
      <c r="L1043767" s="19"/>
      <c r="M1043767" s="19"/>
      <c r="N1043767" s="19"/>
    </row>
    <row r="1043768" spans="1:14" s="83" customFormat="1" ht="12.75">
      <c r="A1043768" s="19"/>
      <c r="B1043768" s="19"/>
      <c r="C1043768" s="19"/>
      <c r="D1043768" s="19"/>
      <c r="E1043768" s="19"/>
      <c r="F1043768" s="19"/>
      <c r="G1043768" s="19"/>
      <c r="H1043768" s="19"/>
      <c r="I1043768" s="19"/>
      <c r="J1043768" s="19"/>
      <c r="K1043768" s="19"/>
      <c r="L1043768" s="19"/>
      <c r="M1043768" s="19"/>
      <c r="N1043768" s="19"/>
    </row>
    <row r="1043769" spans="1:14" s="83" customFormat="1" ht="12.75">
      <c r="A1043769" s="19"/>
      <c r="B1043769" s="19"/>
      <c r="C1043769" s="19"/>
      <c r="D1043769" s="19"/>
      <c r="E1043769" s="19"/>
      <c r="F1043769" s="19"/>
      <c r="G1043769" s="19"/>
      <c r="H1043769" s="19"/>
      <c r="I1043769" s="19"/>
      <c r="J1043769" s="19"/>
      <c r="K1043769" s="19"/>
      <c r="L1043769" s="19"/>
      <c r="M1043769" s="19"/>
      <c r="N1043769" s="19"/>
    </row>
    <row r="1043770" spans="1:14" s="83" customFormat="1" ht="12.75">
      <c r="A1043770" s="19"/>
      <c r="B1043770" s="19"/>
      <c r="C1043770" s="19"/>
      <c r="D1043770" s="19"/>
      <c r="E1043770" s="19"/>
      <c r="F1043770" s="19"/>
      <c r="G1043770" s="19"/>
      <c r="H1043770" s="19"/>
      <c r="I1043770" s="19"/>
      <c r="J1043770" s="19"/>
      <c r="K1043770" s="19"/>
      <c r="L1043770" s="19"/>
      <c r="M1043770" s="19"/>
      <c r="N1043770" s="19"/>
    </row>
    <row r="1043771" spans="1:14" s="83" customFormat="1" ht="12.75">
      <c r="A1043771" s="19"/>
      <c r="B1043771" s="19"/>
      <c r="C1043771" s="19"/>
      <c r="D1043771" s="19"/>
      <c r="E1043771" s="19"/>
      <c r="F1043771" s="19"/>
      <c r="G1043771" s="19"/>
      <c r="H1043771" s="19"/>
      <c r="I1043771" s="19"/>
      <c r="J1043771" s="19"/>
      <c r="K1043771" s="19"/>
      <c r="L1043771" s="19"/>
      <c r="M1043771" s="19"/>
      <c r="N1043771" s="19"/>
    </row>
    <row r="1043772" spans="1:14" s="83" customFormat="1" ht="12.75">
      <c r="A1043772" s="19"/>
      <c r="B1043772" s="19"/>
      <c r="C1043772" s="19"/>
      <c r="D1043772" s="19"/>
      <c r="E1043772" s="19"/>
      <c r="F1043772" s="19"/>
      <c r="G1043772" s="19"/>
      <c r="H1043772" s="19"/>
      <c r="I1043772" s="19"/>
      <c r="J1043772" s="19"/>
      <c r="K1043772" s="19"/>
      <c r="L1043772" s="19"/>
      <c r="M1043772" s="19"/>
      <c r="N1043772" s="19"/>
    </row>
    <row r="1043773" spans="1:14" s="83" customFormat="1" ht="12.75">
      <c r="A1043773" s="19"/>
      <c r="B1043773" s="19"/>
      <c r="C1043773" s="19"/>
      <c r="D1043773" s="19"/>
      <c r="E1043773" s="19"/>
      <c r="F1043773" s="19"/>
      <c r="G1043773" s="19"/>
      <c r="H1043773" s="19"/>
      <c r="I1043773" s="19"/>
      <c r="J1043773" s="19"/>
      <c r="K1043773" s="19"/>
      <c r="L1043773" s="19"/>
      <c r="M1043773" s="19"/>
      <c r="N1043773" s="19"/>
    </row>
    <row r="1043774" spans="1:14" s="83" customFormat="1" ht="12.75">
      <c r="A1043774" s="19"/>
      <c r="B1043774" s="19"/>
      <c r="C1043774" s="19"/>
      <c r="D1043774" s="19"/>
      <c r="E1043774" s="19"/>
      <c r="F1043774" s="19"/>
      <c r="G1043774" s="19"/>
      <c r="H1043774" s="19"/>
      <c r="I1043774" s="19"/>
      <c r="J1043774" s="19"/>
      <c r="K1043774" s="19"/>
      <c r="L1043774" s="19"/>
      <c r="M1043774" s="19"/>
      <c r="N1043774" s="19"/>
    </row>
    <row r="1043775" spans="1:14" s="83" customFormat="1" ht="12.75">
      <c r="A1043775" s="19"/>
      <c r="B1043775" s="19"/>
      <c r="C1043775" s="19"/>
      <c r="D1043775" s="19"/>
      <c r="E1043775" s="19"/>
      <c r="F1043775" s="19"/>
      <c r="G1043775" s="19"/>
      <c r="H1043775" s="19"/>
      <c r="I1043775" s="19"/>
      <c r="J1043775" s="19"/>
      <c r="K1043775" s="19"/>
      <c r="L1043775" s="19"/>
      <c r="M1043775" s="19"/>
      <c r="N1043775" s="19"/>
    </row>
    <row r="1043776" spans="1:14" s="83" customFormat="1" ht="12.75">
      <c r="A1043776" s="19"/>
      <c r="B1043776" s="19"/>
      <c r="C1043776" s="19"/>
      <c r="D1043776" s="19"/>
      <c r="E1043776" s="19"/>
      <c r="F1043776" s="19"/>
      <c r="G1043776" s="19"/>
      <c r="H1043776" s="19"/>
      <c r="I1043776" s="19"/>
      <c r="J1043776" s="19"/>
      <c r="K1043776" s="19"/>
      <c r="L1043776" s="19"/>
      <c r="M1043776" s="19"/>
      <c r="N1043776" s="19"/>
    </row>
    <row r="1043777" spans="1:14" s="83" customFormat="1" ht="12.75">
      <c r="A1043777" s="19"/>
      <c r="B1043777" s="19"/>
      <c r="C1043777" s="19"/>
      <c r="D1043777" s="19"/>
      <c r="E1043777" s="19"/>
      <c r="F1043777" s="19"/>
      <c r="G1043777" s="19"/>
      <c r="H1043777" s="19"/>
      <c r="I1043777" s="19"/>
      <c r="J1043777" s="19"/>
      <c r="K1043777" s="19"/>
      <c r="L1043777" s="19"/>
      <c r="M1043777" s="19"/>
      <c r="N1043777" s="19"/>
    </row>
    <row r="1043778" spans="1:14" s="83" customFormat="1" ht="12.75">
      <c r="A1043778" s="19"/>
      <c r="B1043778" s="19"/>
      <c r="C1043778" s="19"/>
      <c r="D1043778" s="19"/>
      <c r="E1043778" s="19"/>
      <c r="F1043778" s="19"/>
      <c r="G1043778" s="19"/>
      <c r="H1043778" s="19"/>
      <c r="I1043778" s="19"/>
      <c r="J1043778" s="19"/>
      <c r="K1043778" s="19"/>
      <c r="L1043778" s="19"/>
      <c r="M1043778" s="19"/>
      <c r="N1043778" s="19"/>
    </row>
    <row r="1043779" spans="1:14" s="83" customFormat="1" ht="12.75">
      <c r="A1043779" s="19"/>
      <c r="B1043779" s="19"/>
      <c r="C1043779" s="19"/>
      <c r="D1043779" s="19"/>
      <c r="E1043779" s="19"/>
      <c r="F1043779" s="19"/>
      <c r="G1043779" s="19"/>
      <c r="H1043779" s="19"/>
      <c r="I1043779" s="19"/>
      <c r="J1043779" s="19"/>
      <c r="K1043779" s="19"/>
      <c r="L1043779" s="19"/>
      <c r="M1043779" s="19"/>
      <c r="N1043779" s="19"/>
    </row>
    <row r="1043780" spans="1:14" s="83" customFormat="1" ht="12.75">
      <c r="A1043780" s="19"/>
      <c r="B1043780" s="19"/>
      <c r="C1043780" s="19"/>
      <c r="D1043780" s="19"/>
      <c r="E1043780" s="19"/>
      <c r="F1043780" s="19"/>
      <c r="G1043780" s="19"/>
      <c r="H1043780" s="19"/>
      <c r="I1043780" s="19"/>
      <c r="J1043780" s="19"/>
      <c r="K1043780" s="19"/>
      <c r="L1043780" s="19"/>
      <c r="M1043780" s="19"/>
      <c r="N1043780" s="19"/>
    </row>
    <row r="1043781" spans="1:14" s="83" customFormat="1" ht="12.75">
      <c r="A1043781" s="19"/>
      <c r="B1043781" s="19"/>
      <c r="C1043781" s="19"/>
      <c r="D1043781" s="19"/>
      <c r="E1043781" s="19"/>
      <c r="F1043781" s="19"/>
      <c r="G1043781" s="19"/>
      <c r="H1043781" s="19"/>
      <c r="I1043781" s="19"/>
      <c r="J1043781" s="19"/>
      <c r="K1043781" s="19"/>
      <c r="L1043781" s="19"/>
      <c r="M1043781" s="19"/>
      <c r="N1043781" s="19"/>
    </row>
    <row r="1043782" spans="1:14" s="83" customFormat="1" ht="12.75">
      <c r="A1043782" s="19"/>
      <c r="B1043782" s="19"/>
      <c r="C1043782" s="19"/>
      <c r="D1043782" s="19"/>
      <c r="E1043782" s="19"/>
      <c r="F1043782" s="19"/>
      <c r="G1043782" s="19"/>
      <c r="H1043782" s="19"/>
      <c r="I1043782" s="19"/>
      <c r="J1043782" s="19"/>
      <c r="K1043782" s="19"/>
      <c r="L1043782" s="19"/>
      <c r="M1043782" s="19"/>
      <c r="N1043782" s="19"/>
    </row>
    <row r="1043783" spans="1:14" s="83" customFormat="1" ht="12.75">
      <c r="A1043783" s="19"/>
      <c r="B1043783" s="19"/>
      <c r="C1043783" s="19"/>
      <c r="D1043783" s="19"/>
      <c r="E1043783" s="19"/>
      <c r="F1043783" s="19"/>
      <c r="G1043783" s="19"/>
      <c r="H1043783" s="19"/>
      <c r="I1043783" s="19"/>
      <c r="J1043783" s="19"/>
      <c r="K1043783" s="19"/>
      <c r="L1043783" s="19"/>
      <c r="M1043783" s="19"/>
      <c r="N1043783" s="19"/>
    </row>
    <row r="1043784" spans="1:14" s="83" customFormat="1" ht="12.75">
      <c r="A1043784" s="19"/>
      <c r="B1043784" s="19"/>
      <c r="C1043784" s="19"/>
      <c r="D1043784" s="19"/>
      <c r="E1043784" s="19"/>
      <c r="F1043784" s="19"/>
      <c r="G1043784" s="19"/>
      <c r="H1043784" s="19"/>
      <c r="I1043784" s="19"/>
      <c r="J1043784" s="19"/>
      <c r="K1043784" s="19"/>
      <c r="L1043784" s="19"/>
      <c r="M1043784" s="19"/>
      <c r="N1043784" s="19"/>
    </row>
    <row r="1043785" spans="1:14" s="83" customFormat="1" ht="12.75">
      <c r="A1043785" s="19"/>
      <c r="B1043785" s="19"/>
      <c r="C1043785" s="19"/>
      <c r="D1043785" s="19"/>
      <c r="E1043785" s="19"/>
      <c r="F1043785" s="19"/>
      <c r="G1043785" s="19"/>
      <c r="H1043785" s="19"/>
      <c r="I1043785" s="19"/>
      <c r="J1043785" s="19"/>
      <c r="K1043785" s="19"/>
      <c r="L1043785" s="19"/>
      <c r="M1043785" s="19"/>
      <c r="N1043785" s="19"/>
    </row>
    <row r="1043786" spans="1:14" s="83" customFormat="1" ht="12.75">
      <c r="A1043786" s="19"/>
      <c r="B1043786" s="19"/>
      <c r="C1043786" s="19"/>
      <c r="D1043786" s="19"/>
      <c r="E1043786" s="19"/>
      <c r="F1043786" s="19"/>
      <c r="G1043786" s="19"/>
      <c r="H1043786" s="19"/>
      <c r="I1043786" s="19"/>
      <c r="J1043786" s="19"/>
      <c r="K1043786" s="19"/>
      <c r="L1043786" s="19"/>
      <c r="M1043786" s="19"/>
      <c r="N1043786" s="19"/>
    </row>
    <row r="1043787" spans="1:14" s="83" customFormat="1" ht="12.75">
      <c r="A1043787" s="19"/>
      <c r="B1043787" s="19"/>
      <c r="C1043787" s="19"/>
      <c r="D1043787" s="19"/>
      <c r="E1043787" s="19"/>
      <c r="F1043787" s="19"/>
      <c r="G1043787" s="19"/>
      <c r="H1043787" s="19"/>
      <c r="I1043787" s="19"/>
      <c r="J1043787" s="19"/>
      <c r="K1043787" s="19"/>
      <c r="L1043787" s="19"/>
      <c r="M1043787" s="19"/>
      <c r="N1043787" s="19"/>
    </row>
    <row r="1043788" spans="1:14" s="83" customFormat="1" ht="12.75">
      <c r="A1043788" s="19"/>
      <c r="B1043788" s="19"/>
      <c r="C1043788" s="19"/>
      <c r="D1043788" s="19"/>
      <c r="E1043788" s="19"/>
      <c r="F1043788" s="19"/>
      <c r="G1043788" s="19"/>
      <c r="H1043788" s="19"/>
      <c r="I1043788" s="19"/>
      <c r="J1043788" s="19"/>
      <c r="K1043788" s="19"/>
      <c r="L1043788" s="19"/>
      <c r="M1043788" s="19"/>
      <c r="N1043788" s="19"/>
    </row>
    <row r="1043789" spans="1:14" s="83" customFormat="1" ht="12.75">
      <c r="A1043789" s="19"/>
      <c r="B1043789" s="19"/>
      <c r="C1043789" s="19"/>
      <c r="D1043789" s="19"/>
      <c r="E1043789" s="19"/>
      <c r="F1043789" s="19"/>
      <c r="G1043789" s="19"/>
      <c r="H1043789" s="19"/>
      <c r="I1043789" s="19"/>
      <c r="J1043789" s="19"/>
      <c r="K1043789" s="19"/>
      <c r="L1043789" s="19"/>
      <c r="M1043789" s="19"/>
      <c r="N1043789" s="19"/>
    </row>
    <row r="1043790" spans="1:14" s="83" customFormat="1" ht="12.75">
      <c r="A1043790" s="19"/>
      <c r="B1043790" s="19"/>
      <c r="C1043790" s="19"/>
      <c r="D1043790" s="19"/>
      <c r="E1043790" s="19"/>
      <c r="F1043790" s="19"/>
      <c r="G1043790" s="19"/>
      <c r="H1043790" s="19"/>
      <c r="I1043790" s="19"/>
      <c r="J1043790" s="19"/>
      <c r="K1043790" s="19"/>
      <c r="L1043790" s="19"/>
      <c r="M1043790" s="19"/>
      <c r="N1043790" s="19"/>
    </row>
    <row r="1043791" spans="1:14" s="83" customFormat="1" ht="12.75">
      <c r="A1043791" s="19"/>
      <c r="B1043791" s="19"/>
      <c r="C1043791" s="19"/>
      <c r="D1043791" s="19"/>
      <c r="E1043791" s="19"/>
      <c r="F1043791" s="19"/>
      <c r="G1043791" s="19"/>
      <c r="H1043791" s="19"/>
      <c r="I1043791" s="19"/>
      <c r="J1043791" s="19"/>
      <c r="K1043791" s="19"/>
      <c r="L1043791" s="19"/>
      <c r="M1043791" s="19"/>
      <c r="N1043791" s="19"/>
    </row>
    <row r="1043792" spans="1:14" s="83" customFormat="1" ht="12.75">
      <c r="A1043792" s="19"/>
      <c r="B1043792" s="19"/>
      <c r="C1043792" s="19"/>
      <c r="D1043792" s="19"/>
      <c r="E1043792" s="19"/>
      <c r="F1043792" s="19"/>
      <c r="G1043792" s="19"/>
      <c r="H1043792" s="19"/>
      <c r="I1043792" s="19"/>
      <c r="J1043792" s="19"/>
      <c r="K1043792" s="19"/>
      <c r="L1043792" s="19"/>
      <c r="M1043792" s="19"/>
      <c r="N1043792" s="19"/>
    </row>
    <row r="1043793" spans="1:14" s="83" customFormat="1" ht="12.75">
      <c r="A1043793" s="19"/>
      <c r="B1043793" s="19"/>
      <c r="C1043793" s="19"/>
      <c r="D1043793" s="19"/>
      <c r="E1043793" s="19"/>
      <c r="F1043793" s="19"/>
      <c r="G1043793" s="19"/>
      <c r="H1043793" s="19"/>
      <c r="I1043793" s="19"/>
      <c r="J1043793" s="19"/>
      <c r="K1043793" s="19"/>
      <c r="L1043793" s="19"/>
      <c r="M1043793" s="19"/>
      <c r="N1043793" s="19"/>
    </row>
    <row r="1043794" spans="1:14" s="83" customFormat="1" ht="12.75">
      <c r="A1043794" s="19"/>
      <c r="B1043794" s="19"/>
      <c r="C1043794" s="19"/>
      <c r="D1043794" s="19"/>
      <c r="E1043794" s="19"/>
      <c r="F1043794" s="19"/>
      <c r="G1043794" s="19"/>
      <c r="H1043794" s="19"/>
      <c r="I1043794" s="19"/>
      <c r="J1043794" s="19"/>
      <c r="K1043794" s="19"/>
      <c r="L1043794" s="19"/>
      <c r="M1043794" s="19"/>
      <c r="N1043794" s="19"/>
    </row>
    <row r="1043795" spans="1:14" s="83" customFormat="1" ht="12.75">
      <c r="A1043795" s="19"/>
      <c r="B1043795" s="19"/>
      <c r="C1043795" s="19"/>
      <c r="D1043795" s="19"/>
      <c r="E1043795" s="19"/>
      <c r="F1043795" s="19"/>
      <c r="G1043795" s="19"/>
      <c r="H1043795" s="19"/>
      <c r="I1043795" s="19"/>
      <c r="J1043795" s="19"/>
      <c r="K1043795" s="19"/>
      <c r="L1043795" s="19"/>
      <c r="M1043795" s="19"/>
      <c r="N1043795" s="19"/>
    </row>
    <row r="1043796" spans="1:14" s="83" customFormat="1" ht="12.75">
      <c r="A1043796" s="19"/>
      <c r="B1043796" s="19"/>
      <c r="C1043796" s="19"/>
      <c r="D1043796" s="19"/>
      <c r="E1043796" s="19"/>
      <c r="F1043796" s="19"/>
      <c r="G1043796" s="19"/>
      <c r="H1043796" s="19"/>
      <c r="I1043796" s="19"/>
      <c r="J1043796" s="19"/>
      <c r="K1043796" s="19"/>
      <c r="L1043796" s="19"/>
      <c r="M1043796" s="19"/>
      <c r="N1043796" s="19"/>
    </row>
    <row r="1043797" spans="1:14" s="83" customFormat="1" ht="12.75">
      <c r="A1043797" s="19"/>
      <c r="B1043797" s="19"/>
      <c r="C1043797" s="19"/>
      <c r="D1043797" s="19"/>
      <c r="E1043797" s="19"/>
      <c r="F1043797" s="19"/>
      <c r="G1043797" s="19"/>
      <c r="H1043797" s="19"/>
      <c r="I1043797" s="19"/>
      <c r="J1043797" s="19"/>
      <c r="K1043797" s="19"/>
      <c r="L1043797" s="19"/>
      <c r="M1043797" s="19"/>
      <c r="N1043797" s="19"/>
    </row>
    <row r="1043798" spans="1:14" s="83" customFormat="1" ht="12.75">
      <c r="A1043798" s="19"/>
      <c r="B1043798" s="19"/>
      <c r="C1043798" s="19"/>
      <c r="D1043798" s="19"/>
      <c r="E1043798" s="19"/>
      <c r="F1043798" s="19"/>
      <c r="G1043798" s="19"/>
      <c r="H1043798" s="19"/>
      <c r="I1043798" s="19"/>
      <c r="J1043798" s="19"/>
      <c r="K1043798" s="19"/>
      <c r="L1043798" s="19"/>
      <c r="M1043798" s="19"/>
      <c r="N1043798" s="19"/>
    </row>
    <row r="1043799" spans="1:14" s="83" customFormat="1" ht="12.75">
      <c r="A1043799" s="19"/>
      <c r="B1043799" s="19"/>
      <c r="C1043799" s="19"/>
      <c r="D1043799" s="19"/>
      <c r="E1043799" s="19"/>
      <c r="F1043799" s="19"/>
      <c r="G1043799" s="19"/>
      <c r="H1043799" s="19"/>
      <c r="I1043799" s="19"/>
      <c r="J1043799" s="19"/>
      <c r="K1043799" s="19"/>
      <c r="L1043799" s="19"/>
      <c r="M1043799" s="19"/>
      <c r="N1043799" s="19"/>
    </row>
    <row r="1043800" spans="1:14" s="83" customFormat="1" ht="12.75">
      <c r="A1043800" s="19"/>
      <c r="B1043800" s="19"/>
      <c r="C1043800" s="19"/>
      <c r="D1043800" s="19"/>
      <c r="E1043800" s="19"/>
      <c r="F1043800" s="19"/>
      <c r="G1043800" s="19"/>
      <c r="H1043800" s="19"/>
      <c r="I1043800" s="19"/>
      <c r="J1043800" s="19"/>
      <c r="K1043800" s="19"/>
      <c r="L1043800" s="19"/>
      <c r="M1043800" s="19"/>
      <c r="N1043800" s="19"/>
    </row>
    <row r="1043801" spans="1:14" s="83" customFormat="1" ht="12.75">
      <c r="A1043801" s="19"/>
      <c r="B1043801" s="19"/>
      <c r="C1043801" s="19"/>
      <c r="D1043801" s="19"/>
      <c r="E1043801" s="19"/>
      <c r="F1043801" s="19"/>
      <c r="G1043801" s="19"/>
      <c r="H1043801" s="19"/>
      <c r="I1043801" s="19"/>
      <c r="J1043801" s="19"/>
      <c r="K1043801" s="19"/>
      <c r="L1043801" s="19"/>
      <c r="M1043801" s="19"/>
      <c r="N1043801" s="19"/>
    </row>
    <row r="1043802" spans="1:14" s="83" customFormat="1" ht="12.75">
      <c r="A1043802" s="19"/>
      <c r="B1043802" s="19"/>
      <c r="C1043802" s="19"/>
      <c r="D1043802" s="19"/>
      <c r="E1043802" s="19"/>
      <c r="F1043802" s="19"/>
      <c r="G1043802" s="19"/>
      <c r="H1043802" s="19"/>
      <c r="I1043802" s="19"/>
      <c r="J1043802" s="19"/>
      <c r="K1043802" s="19"/>
      <c r="L1043802" s="19"/>
      <c r="M1043802" s="19"/>
      <c r="N1043802" s="19"/>
    </row>
    <row r="1043803" spans="1:14" s="83" customFormat="1" ht="12.75">
      <c r="A1043803" s="19"/>
      <c r="B1043803" s="19"/>
      <c r="C1043803" s="19"/>
      <c r="D1043803" s="19"/>
      <c r="E1043803" s="19"/>
      <c r="F1043803" s="19"/>
      <c r="G1043803" s="19"/>
      <c r="H1043803" s="19"/>
      <c r="I1043803" s="19"/>
      <c r="J1043803" s="19"/>
      <c r="K1043803" s="19"/>
      <c r="L1043803" s="19"/>
      <c r="M1043803" s="19"/>
      <c r="N1043803" s="19"/>
    </row>
    <row r="1043804" spans="1:14" s="83" customFormat="1" ht="12.75">
      <c r="A1043804" s="19"/>
      <c r="B1043804" s="19"/>
      <c r="C1043804" s="19"/>
      <c r="D1043804" s="19"/>
      <c r="E1043804" s="19"/>
      <c r="F1043804" s="19"/>
      <c r="G1043804" s="19"/>
      <c r="H1043804" s="19"/>
      <c r="I1043804" s="19"/>
      <c r="J1043804" s="19"/>
      <c r="K1043804" s="19"/>
      <c r="L1043804" s="19"/>
      <c r="M1043804" s="19"/>
      <c r="N1043804" s="19"/>
    </row>
    <row r="1043805" spans="1:14" s="83" customFormat="1" ht="12.75">
      <c r="A1043805" s="19"/>
      <c r="B1043805" s="19"/>
      <c r="C1043805" s="19"/>
      <c r="D1043805" s="19"/>
      <c r="E1043805" s="19"/>
      <c r="F1043805" s="19"/>
      <c r="G1043805" s="19"/>
      <c r="H1043805" s="19"/>
      <c r="I1043805" s="19"/>
      <c r="J1043805" s="19"/>
      <c r="K1043805" s="19"/>
      <c r="L1043805" s="19"/>
      <c r="M1043805" s="19"/>
      <c r="N1043805" s="19"/>
    </row>
    <row r="1043806" spans="1:14" s="83" customFormat="1" ht="12.75">
      <c r="A1043806" s="19"/>
      <c r="B1043806" s="19"/>
      <c r="C1043806" s="19"/>
      <c r="D1043806" s="19"/>
      <c r="E1043806" s="19"/>
      <c r="F1043806" s="19"/>
      <c r="G1043806" s="19"/>
      <c r="H1043806" s="19"/>
      <c r="I1043806" s="19"/>
      <c r="J1043806" s="19"/>
      <c r="K1043806" s="19"/>
      <c r="L1043806" s="19"/>
      <c r="M1043806" s="19"/>
      <c r="N1043806" s="19"/>
    </row>
    <row r="1043807" spans="1:14" s="83" customFormat="1" ht="12.75">
      <c r="A1043807" s="19"/>
      <c r="B1043807" s="19"/>
      <c r="C1043807" s="19"/>
      <c r="D1043807" s="19"/>
      <c r="E1043807" s="19"/>
      <c r="F1043807" s="19"/>
      <c r="G1043807" s="19"/>
      <c r="H1043807" s="19"/>
      <c r="I1043807" s="19"/>
      <c r="J1043807" s="19"/>
      <c r="K1043807" s="19"/>
      <c r="L1043807" s="19"/>
      <c r="M1043807" s="19"/>
      <c r="N1043807" s="19"/>
    </row>
    <row r="1043808" spans="1:14" s="83" customFormat="1" ht="12.75">
      <c r="A1043808" s="19"/>
      <c r="B1043808" s="19"/>
      <c r="C1043808" s="19"/>
      <c r="D1043808" s="19"/>
      <c r="E1043808" s="19"/>
      <c r="F1043808" s="19"/>
      <c r="G1043808" s="19"/>
      <c r="H1043808" s="19"/>
      <c r="I1043808" s="19"/>
      <c r="J1043808" s="19"/>
      <c r="K1043808" s="19"/>
      <c r="L1043808" s="19"/>
      <c r="M1043808" s="19"/>
      <c r="N1043808" s="19"/>
    </row>
    <row r="1043809" spans="1:14" s="83" customFormat="1" ht="12.75">
      <c r="A1043809" s="19"/>
      <c r="B1043809" s="19"/>
      <c r="C1043809" s="19"/>
      <c r="D1043809" s="19"/>
      <c r="E1043809" s="19"/>
      <c r="F1043809" s="19"/>
      <c r="G1043809" s="19"/>
      <c r="H1043809" s="19"/>
      <c r="I1043809" s="19"/>
      <c r="J1043809" s="19"/>
      <c r="K1043809" s="19"/>
      <c r="L1043809" s="19"/>
      <c r="M1043809" s="19"/>
      <c r="N1043809" s="19"/>
    </row>
    <row r="1043810" spans="1:14" s="83" customFormat="1" ht="12.75">
      <c r="A1043810" s="19"/>
      <c r="B1043810" s="19"/>
      <c r="C1043810" s="19"/>
      <c r="D1043810" s="19"/>
      <c r="E1043810" s="19"/>
      <c r="F1043810" s="19"/>
      <c r="G1043810" s="19"/>
      <c r="H1043810" s="19"/>
      <c r="I1043810" s="19"/>
      <c r="J1043810" s="19"/>
      <c r="K1043810" s="19"/>
      <c r="L1043810" s="19"/>
      <c r="M1043810" s="19"/>
      <c r="N1043810" s="19"/>
    </row>
    <row r="1043811" spans="1:14" s="83" customFormat="1" ht="12.75">
      <c r="A1043811" s="19"/>
      <c r="B1043811" s="19"/>
      <c r="C1043811" s="19"/>
      <c r="D1043811" s="19"/>
      <c r="E1043811" s="19"/>
      <c r="F1043811" s="19"/>
      <c r="G1043811" s="19"/>
      <c r="H1043811" s="19"/>
      <c r="I1043811" s="19"/>
      <c r="J1043811" s="19"/>
      <c r="K1043811" s="19"/>
      <c r="L1043811" s="19"/>
      <c r="M1043811" s="19"/>
      <c r="N1043811" s="19"/>
    </row>
    <row r="1043812" spans="1:14" s="83" customFormat="1" ht="12.75">
      <c r="A1043812" s="19"/>
      <c r="B1043812" s="19"/>
      <c r="C1043812" s="19"/>
      <c r="D1043812" s="19"/>
      <c r="E1043812" s="19"/>
      <c r="F1043812" s="19"/>
      <c r="G1043812" s="19"/>
      <c r="H1043812" s="19"/>
      <c r="I1043812" s="19"/>
      <c r="J1043812" s="19"/>
      <c r="K1043812" s="19"/>
      <c r="L1043812" s="19"/>
      <c r="M1043812" s="19"/>
      <c r="N1043812" s="19"/>
    </row>
    <row r="1043813" spans="1:14" s="83" customFormat="1" ht="12.75">
      <c r="A1043813" s="19"/>
      <c r="B1043813" s="19"/>
      <c r="C1043813" s="19"/>
      <c r="D1043813" s="19"/>
      <c r="E1043813" s="19"/>
      <c r="F1043813" s="19"/>
      <c r="G1043813" s="19"/>
      <c r="H1043813" s="19"/>
      <c r="I1043813" s="19"/>
      <c r="J1043813" s="19"/>
      <c r="K1043813" s="19"/>
      <c r="L1043813" s="19"/>
      <c r="M1043813" s="19"/>
      <c r="N1043813" s="19"/>
    </row>
    <row r="1043814" spans="1:14" s="83" customFormat="1" ht="12.75">
      <c r="A1043814" s="19"/>
      <c r="B1043814" s="19"/>
      <c r="C1043814" s="19"/>
      <c r="D1043814" s="19"/>
      <c r="E1043814" s="19"/>
      <c r="F1043814" s="19"/>
      <c r="G1043814" s="19"/>
      <c r="H1043814" s="19"/>
      <c r="I1043814" s="19"/>
      <c r="J1043814" s="19"/>
      <c r="K1043814" s="19"/>
      <c r="L1043814" s="19"/>
      <c r="M1043814" s="19"/>
      <c r="N1043814" s="19"/>
    </row>
    <row r="1043815" spans="1:14" s="83" customFormat="1" ht="12.75">
      <c r="A1043815" s="19"/>
      <c r="B1043815" s="19"/>
      <c r="C1043815" s="19"/>
      <c r="D1043815" s="19"/>
      <c r="E1043815" s="19"/>
      <c r="F1043815" s="19"/>
      <c r="G1043815" s="19"/>
      <c r="H1043815" s="19"/>
      <c r="I1043815" s="19"/>
      <c r="J1043815" s="19"/>
      <c r="K1043815" s="19"/>
      <c r="L1043815" s="19"/>
      <c r="M1043815" s="19"/>
      <c r="N1043815" s="19"/>
    </row>
    <row r="1043816" spans="1:14" s="83" customFormat="1" ht="12.75">
      <c r="A1043816" s="19"/>
      <c r="B1043816" s="19"/>
      <c r="C1043816" s="19"/>
      <c r="D1043816" s="19"/>
      <c r="E1043816" s="19"/>
      <c r="F1043816" s="19"/>
      <c r="G1043816" s="19"/>
      <c r="H1043816" s="19"/>
      <c r="I1043816" s="19"/>
      <c r="J1043816" s="19"/>
      <c r="K1043816" s="19"/>
      <c r="L1043816" s="19"/>
      <c r="M1043816" s="19"/>
      <c r="N1043816" s="19"/>
    </row>
    <row r="1043817" spans="1:14" s="83" customFormat="1" ht="12.75">
      <c r="A1043817" s="19"/>
      <c r="B1043817" s="19"/>
      <c r="C1043817" s="19"/>
      <c r="D1043817" s="19"/>
      <c r="E1043817" s="19"/>
      <c r="F1043817" s="19"/>
      <c r="G1043817" s="19"/>
      <c r="H1043817" s="19"/>
      <c r="I1043817" s="19"/>
      <c r="J1043817" s="19"/>
      <c r="K1043817" s="19"/>
      <c r="L1043817" s="19"/>
      <c r="M1043817" s="19"/>
      <c r="N1043817" s="19"/>
    </row>
    <row r="1043818" spans="1:14" s="83" customFormat="1" ht="12.75">
      <c r="A1043818" s="19"/>
      <c r="B1043818" s="19"/>
      <c r="C1043818" s="19"/>
      <c r="D1043818" s="19"/>
      <c r="E1043818" s="19"/>
      <c r="F1043818" s="19"/>
      <c r="G1043818" s="19"/>
      <c r="H1043818" s="19"/>
      <c r="I1043818" s="19"/>
      <c r="J1043818" s="19"/>
      <c r="K1043818" s="19"/>
      <c r="L1043818" s="19"/>
      <c r="M1043818" s="19"/>
      <c r="N1043818" s="19"/>
    </row>
    <row r="1043819" spans="1:14" s="83" customFormat="1" ht="12.75">
      <c r="A1043819" s="19"/>
      <c r="B1043819" s="19"/>
      <c r="C1043819" s="19"/>
      <c r="D1043819" s="19"/>
      <c r="E1043819" s="19"/>
      <c r="F1043819" s="19"/>
      <c r="G1043819" s="19"/>
      <c r="H1043819" s="19"/>
      <c r="I1043819" s="19"/>
      <c r="J1043819" s="19"/>
      <c r="K1043819" s="19"/>
      <c r="L1043819" s="19"/>
      <c r="M1043819" s="19"/>
      <c r="N1043819" s="19"/>
    </row>
    <row r="1043820" spans="1:14" s="83" customFormat="1" ht="12.75">
      <c r="A1043820" s="19"/>
      <c r="B1043820" s="19"/>
      <c r="C1043820" s="19"/>
      <c r="D1043820" s="19"/>
      <c r="E1043820" s="19"/>
      <c r="F1043820" s="19"/>
      <c r="G1043820" s="19"/>
      <c r="H1043820" s="19"/>
      <c r="I1043820" s="19"/>
      <c r="J1043820" s="19"/>
      <c r="K1043820" s="19"/>
      <c r="L1043820" s="19"/>
      <c r="M1043820" s="19"/>
      <c r="N1043820" s="19"/>
    </row>
    <row r="1043821" spans="1:14" s="83" customFormat="1" ht="12.75">
      <c r="A1043821" s="19"/>
      <c r="B1043821" s="19"/>
      <c r="C1043821" s="19"/>
      <c r="D1043821" s="19"/>
      <c r="E1043821" s="19"/>
      <c r="F1043821" s="19"/>
      <c r="G1043821" s="19"/>
      <c r="H1043821" s="19"/>
      <c r="I1043821" s="19"/>
      <c r="J1043821" s="19"/>
      <c r="K1043821" s="19"/>
      <c r="L1043821" s="19"/>
      <c r="M1043821" s="19"/>
      <c r="N1043821" s="19"/>
    </row>
    <row r="1043822" spans="1:14" s="83" customFormat="1" ht="12.75">
      <c r="A1043822" s="19"/>
      <c r="B1043822" s="19"/>
      <c r="C1043822" s="19"/>
      <c r="D1043822" s="19"/>
      <c r="E1043822" s="19"/>
      <c r="F1043822" s="19"/>
      <c r="G1043822" s="19"/>
      <c r="H1043822" s="19"/>
      <c r="I1043822" s="19"/>
      <c r="J1043822" s="19"/>
      <c r="K1043822" s="19"/>
      <c r="L1043822" s="19"/>
      <c r="M1043822" s="19"/>
      <c r="N1043822" s="19"/>
    </row>
    <row r="1043823" spans="1:14" s="83" customFormat="1" ht="12.75">
      <c r="A1043823" s="19"/>
      <c r="B1043823" s="19"/>
      <c r="C1043823" s="19"/>
      <c r="D1043823" s="19"/>
      <c r="E1043823" s="19"/>
      <c r="F1043823" s="19"/>
      <c r="G1043823" s="19"/>
      <c r="H1043823" s="19"/>
      <c r="I1043823" s="19"/>
      <c r="J1043823" s="19"/>
      <c r="K1043823" s="19"/>
      <c r="L1043823" s="19"/>
      <c r="M1043823" s="19"/>
      <c r="N1043823" s="19"/>
    </row>
    <row r="1043824" spans="1:14" s="83" customFormat="1" ht="12.75">
      <c r="A1043824" s="19"/>
      <c r="B1043824" s="19"/>
      <c r="C1043824" s="19"/>
      <c r="D1043824" s="19"/>
      <c r="E1043824" s="19"/>
      <c r="F1043824" s="19"/>
      <c r="G1043824" s="19"/>
      <c r="H1043824" s="19"/>
      <c r="I1043824" s="19"/>
      <c r="J1043824" s="19"/>
      <c r="K1043824" s="19"/>
      <c r="L1043824" s="19"/>
      <c r="M1043824" s="19"/>
      <c r="N1043824" s="19"/>
    </row>
    <row r="1043825" spans="1:14" s="83" customFormat="1" ht="12.75">
      <c r="A1043825" s="19"/>
      <c r="B1043825" s="19"/>
      <c r="C1043825" s="19"/>
      <c r="D1043825" s="19"/>
      <c r="E1043825" s="19"/>
      <c r="F1043825" s="19"/>
      <c r="G1043825" s="19"/>
      <c r="H1043825" s="19"/>
      <c r="I1043825" s="19"/>
      <c r="J1043825" s="19"/>
      <c r="K1043825" s="19"/>
      <c r="L1043825" s="19"/>
      <c r="M1043825" s="19"/>
      <c r="N1043825" s="19"/>
    </row>
    <row r="1043826" spans="1:14" s="83" customFormat="1" ht="12.75">
      <c r="A1043826" s="19"/>
      <c r="B1043826" s="19"/>
      <c r="C1043826" s="19"/>
      <c r="D1043826" s="19"/>
      <c r="E1043826" s="19"/>
      <c r="F1043826" s="19"/>
      <c r="G1043826" s="19"/>
      <c r="H1043826" s="19"/>
      <c r="I1043826" s="19"/>
      <c r="J1043826" s="19"/>
      <c r="K1043826" s="19"/>
      <c r="L1043826" s="19"/>
      <c r="M1043826" s="19"/>
      <c r="N1043826" s="19"/>
    </row>
    <row r="1043827" spans="1:14" s="83" customFormat="1" ht="12.75">
      <c r="A1043827" s="19"/>
      <c r="B1043827" s="19"/>
      <c r="C1043827" s="19"/>
      <c r="D1043827" s="19"/>
      <c r="E1043827" s="19"/>
      <c r="F1043827" s="19"/>
      <c r="G1043827" s="19"/>
      <c r="H1043827" s="19"/>
      <c r="I1043827" s="19"/>
      <c r="J1043827" s="19"/>
      <c r="K1043827" s="19"/>
      <c r="L1043827" s="19"/>
      <c r="M1043827" s="19"/>
      <c r="N1043827" s="19"/>
    </row>
    <row r="1043828" spans="1:14" s="83" customFormat="1" ht="12.75">
      <c r="A1043828" s="19"/>
      <c r="B1043828" s="19"/>
      <c r="C1043828" s="19"/>
      <c r="D1043828" s="19"/>
      <c r="E1043828" s="19"/>
      <c r="F1043828" s="19"/>
      <c r="G1043828" s="19"/>
      <c r="H1043828" s="19"/>
      <c r="I1043828" s="19"/>
      <c r="J1043828" s="19"/>
      <c r="K1043828" s="19"/>
      <c r="L1043828" s="19"/>
      <c r="M1043828" s="19"/>
      <c r="N1043828" s="19"/>
    </row>
    <row r="1043829" spans="1:14" s="83" customFormat="1" ht="12.75">
      <c r="A1043829" s="19"/>
      <c r="B1043829" s="19"/>
      <c r="C1043829" s="19"/>
      <c r="D1043829" s="19"/>
      <c r="E1043829" s="19"/>
      <c r="F1043829" s="19"/>
      <c r="G1043829" s="19"/>
      <c r="H1043829" s="19"/>
      <c r="I1043829" s="19"/>
      <c r="J1043829" s="19"/>
      <c r="K1043829" s="19"/>
      <c r="L1043829" s="19"/>
      <c r="M1043829" s="19"/>
      <c r="N1043829" s="19"/>
    </row>
    <row r="1043830" spans="1:14" s="83" customFormat="1" ht="12.75">
      <c r="A1043830" s="19"/>
      <c r="B1043830" s="19"/>
      <c r="C1043830" s="19"/>
      <c r="D1043830" s="19"/>
      <c r="E1043830" s="19"/>
      <c r="F1043830" s="19"/>
      <c r="G1043830" s="19"/>
      <c r="H1043830" s="19"/>
      <c r="I1043830" s="19"/>
      <c r="J1043830" s="19"/>
      <c r="K1043830" s="19"/>
      <c r="L1043830" s="19"/>
      <c r="M1043830" s="19"/>
      <c r="N1043830" s="19"/>
    </row>
    <row r="1043831" spans="1:14" s="83" customFormat="1" ht="12.75">
      <c r="A1043831" s="19"/>
      <c r="B1043831" s="19"/>
      <c r="C1043831" s="19"/>
      <c r="D1043831" s="19"/>
      <c r="E1043831" s="19"/>
      <c r="F1043831" s="19"/>
      <c r="G1043831" s="19"/>
      <c r="H1043831" s="19"/>
      <c r="I1043831" s="19"/>
      <c r="J1043831" s="19"/>
      <c r="K1043831" s="19"/>
      <c r="L1043831" s="19"/>
      <c r="M1043831" s="19"/>
      <c r="N1043831" s="19"/>
    </row>
    <row r="1043832" spans="1:14" s="83" customFormat="1" ht="12.75">
      <c r="A1043832" s="19"/>
      <c r="B1043832" s="19"/>
      <c r="C1043832" s="19"/>
      <c r="D1043832" s="19"/>
      <c r="E1043832" s="19"/>
      <c r="F1043832" s="19"/>
      <c r="G1043832" s="19"/>
      <c r="H1043832" s="19"/>
      <c r="I1043832" s="19"/>
      <c r="J1043832" s="19"/>
      <c r="K1043832" s="19"/>
      <c r="L1043832" s="19"/>
      <c r="M1043832" s="19"/>
      <c r="N1043832" s="19"/>
    </row>
    <row r="1043833" spans="1:14" s="83" customFormat="1" ht="12.75">
      <c r="A1043833" s="19"/>
      <c r="B1043833" s="19"/>
      <c r="C1043833" s="19"/>
      <c r="D1043833" s="19"/>
      <c r="E1043833" s="19"/>
      <c r="F1043833" s="19"/>
      <c r="G1043833" s="19"/>
      <c r="H1043833" s="19"/>
      <c r="I1043833" s="19"/>
      <c r="J1043833" s="19"/>
      <c r="K1043833" s="19"/>
      <c r="L1043833" s="19"/>
      <c r="M1043833" s="19"/>
      <c r="N1043833" s="19"/>
    </row>
    <row r="1043834" spans="1:14" s="83" customFormat="1" ht="12.75">
      <c r="A1043834" s="19"/>
      <c r="B1043834" s="19"/>
      <c r="C1043834" s="19"/>
      <c r="D1043834" s="19"/>
      <c r="E1043834" s="19"/>
      <c r="F1043834" s="19"/>
      <c r="G1043834" s="19"/>
      <c r="H1043834" s="19"/>
      <c r="I1043834" s="19"/>
      <c r="J1043834" s="19"/>
      <c r="K1043834" s="19"/>
      <c r="L1043834" s="19"/>
      <c r="M1043834" s="19"/>
      <c r="N1043834" s="19"/>
    </row>
    <row r="1043835" spans="1:14" s="83" customFormat="1" ht="12.75">
      <c r="A1043835" s="19"/>
      <c r="B1043835" s="19"/>
      <c r="C1043835" s="19"/>
      <c r="D1043835" s="19"/>
      <c r="E1043835" s="19"/>
      <c r="F1043835" s="19"/>
      <c r="G1043835" s="19"/>
      <c r="H1043835" s="19"/>
      <c r="I1043835" s="19"/>
      <c r="J1043835" s="19"/>
      <c r="K1043835" s="19"/>
      <c r="L1043835" s="19"/>
      <c r="M1043835" s="19"/>
      <c r="N1043835" s="19"/>
    </row>
    <row r="1043836" spans="1:14" s="83" customFormat="1" ht="12.75">
      <c r="A1043836" s="19"/>
      <c r="B1043836" s="19"/>
      <c r="C1043836" s="19"/>
      <c r="D1043836" s="19"/>
      <c r="E1043836" s="19"/>
      <c r="F1043836" s="19"/>
      <c r="G1043836" s="19"/>
      <c r="H1043836" s="19"/>
      <c r="I1043836" s="19"/>
      <c r="J1043836" s="19"/>
      <c r="K1043836" s="19"/>
      <c r="L1043836" s="19"/>
      <c r="M1043836" s="19"/>
      <c r="N1043836" s="19"/>
    </row>
    <row r="1043837" spans="1:14" s="83" customFormat="1" ht="12.75">
      <c r="A1043837" s="19"/>
      <c r="B1043837" s="19"/>
      <c r="C1043837" s="19"/>
      <c r="D1043837" s="19"/>
      <c r="E1043837" s="19"/>
      <c r="F1043837" s="19"/>
      <c r="G1043837" s="19"/>
      <c r="H1043837" s="19"/>
      <c r="I1043837" s="19"/>
      <c r="J1043837" s="19"/>
      <c r="K1043837" s="19"/>
      <c r="L1043837" s="19"/>
      <c r="M1043837" s="19"/>
      <c r="N1043837" s="19"/>
    </row>
    <row r="1043838" spans="1:14" s="83" customFormat="1" ht="12.75">
      <c r="A1043838" s="19"/>
      <c r="B1043838" s="19"/>
      <c r="C1043838" s="19"/>
      <c r="D1043838" s="19"/>
      <c r="E1043838" s="19"/>
      <c r="F1043838" s="19"/>
      <c r="G1043838" s="19"/>
      <c r="H1043838" s="19"/>
      <c r="I1043838" s="19"/>
      <c r="J1043838" s="19"/>
      <c r="K1043838" s="19"/>
      <c r="L1043838" s="19"/>
      <c r="M1043838" s="19"/>
      <c r="N1043838" s="19"/>
    </row>
    <row r="1043839" spans="1:14" s="83" customFormat="1" ht="12.75">
      <c r="A1043839" s="19"/>
      <c r="B1043839" s="19"/>
      <c r="C1043839" s="19"/>
      <c r="D1043839" s="19"/>
      <c r="E1043839" s="19"/>
      <c r="F1043839" s="19"/>
      <c r="G1043839" s="19"/>
      <c r="H1043839" s="19"/>
      <c r="I1043839" s="19"/>
      <c r="J1043839" s="19"/>
      <c r="K1043839" s="19"/>
      <c r="L1043839" s="19"/>
      <c r="M1043839" s="19"/>
      <c r="N1043839" s="19"/>
    </row>
    <row r="1043840" spans="1:14" s="83" customFormat="1" ht="12.75">
      <c r="A1043840" s="19"/>
      <c r="B1043840" s="19"/>
      <c r="C1043840" s="19"/>
      <c r="D1043840" s="19"/>
      <c r="E1043840" s="19"/>
      <c r="F1043840" s="19"/>
      <c r="G1043840" s="19"/>
      <c r="H1043840" s="19"/>
      <c r="I1043840" s="19"/>
      <c r="J1043840" s="19"/>
      <c r="K1043840" s="19"/>
      <c r="L1043840" s="19"/>
      <c r="M1043840" s="19"/>
      <c r="N1043840" s="19"/>
    </row>
    <row r="1043841" spans="1:14" s="83" customFormat="1" ht="12.75">
      <c r="A1043841" s="19"/>
      <c r="B1043841" s="19"/>
      <c r="C1043841" s="19"/>
      <c r="D1043841" s="19"/>
      <c r="E1043841" s="19"/>
      <c r="F1043841" s="19"/>
      <c r="G1043841" s="19"/>
      <c r="H1043841" s="19"/>
      <c r="I1043841" s="19"/>
      <c r="J1043841" s="19"/>
      <c r="K1043841" s="19"/>
      <c r="L1043841" s="19"/>
      <c r="M1043841" s="19"/>
      <c r="N1043841" s="19"/>
    </row>
    <row r="1043842" spans="1:14" s="83" customFormat="1" ht="12.75">
      <c r="A1043842" s="19"/>
      <c r="B1043842" s="19"/>
      <c r="C1043842" s="19"/>
      <c r="D1043842" s="19"/>
      <c r="E1043842" s="19"/>
      <c r="F1043842" s="19"/>
      <c r="G1043842" s="19"/>
      <c r="H1043842" s="19"/>
      <c r="I1043842" s="19"/>
      <c r="J1043842" s="19"/>
      <c r="K1043842" s="19"/>
      <c r="L1043842" s="19"/>
      <c r="M1043842" s="19"/>
      <c r="N1043842" s="19"/>
    </row>
    <row r="1043843" spans="1:14" s="83" customFormat="1" ht="12.75">
      <c r="A1043843" s="19"/>
      <c r="B1043843" s="19"/>
      <c r="C1043843" s="19"/>
      <c r="D1043843" s="19"/>
      <c r="E1043843" s="19"/>
      <c r="F1043843" s="19"/>
      <c r="G1043843" s="19"/>
      <c r="H1043843" s="19"/>
      <c r="I1043843" s="19"/>
      <c r="J1043843" s="19"/>
      <c r="K1043843" s="19"/>
      <c r="L1043843" s="19"/>
      <c r="M1043843" s="19"/>
      <c r="N1043843" s="19"/>
    </row>
    <row r="1043844" spans="1:14" s="83" customFormat="1" ht="12.75">
      <c r="A1043844" s="19"/>
      <c r="B1043844" s="19"/>
      <c r="C1043844" s="19"/>
      <c r="D1043844" s="19"/>
      <c r="E1043844" s="19"/>
      <c r="F1043844" s="19"/>
      <c r="G1043844" s="19"/>
      <c r="H1043844" s="19"/>
      <c r="I1043844" s="19"/>
      <c r="J1043844" s="19"/>
      <c r="K1043844" s="19"/>
      <c r="L1043844" s="19"/>
      <c r="M1043844" s="19"/>
      <c r="N1043844" s="19"/>
    </row>
    <row r="1043845" spans="1:14" s="83" customFormat="1" ht="12.75">
      <c r="A1043845" s="19"/>
      <c r="B1043845" s="19"/>
      <c r="C1043845" s="19"/>
      <c r="D1043845" s="19"/>
      <c r="E1043845" s="19"/>
      <c r="F1043845" s="19"/>
      <c r="G1043845" s="19"/>
      <c r="H1043845" s="19"/>
      <c r="I1043845" s="19"/>
      <c r="J1043845" s="19"/>
      <c r="K1043845" s="19"/>
      <c r="L1043845" s="19"/>
      <c r="M1043845" s="19"/>
      <c r="N1043845" s="19"/>
    </row>
    <row r="1043846" spans="1:14" s="83" customFormat="1" ht="12.75">
      <c r="A1043846" s="19"/>
      <c r="B1043846" s="19"/>
      <c r="C1043846" s="19"/>
      <c r="D1043846" s="19"/>
      <c r="E1043846" s="19"/>
      <c r="F1043846" s="19"/>
      <c r="G1043846" s="19"/>
      <c r="H1043846" s="19"/>
      <c r="I1043846" s="19"/>
      <c r="J1043846" s="19"/>
      <c r="K1043846" s="19"/>
      <c r="L1043846" s="19"/>
      <c r="M1043846" s="19"/>
      <c r="N1043846" s="19"/>
    </row>
    <row r="1043847" spans="1:14" s="83" customFormat="1" ht="12.75">
      <c r="A1043847" s="19"/>
      <c r="B1043847" s="19"/>
      <c r="C1043847" s="19"/>
      <c r="D1043847" s="19"/>
      <c r="E1043847" s="19"/>
      <c r="F1043847" s="19"/>
      <c r="G1043847" s="19"/>
      <c r="H1043847" s="19"/>
      <c r="I1043847" s="19"/>
      <c r="J1043847" s="19"/>
      <c r="K1043847" s="19"/>
      <c r="L1043847" s="19"/>
      <c r="M1043847" s="19"/>
      <c r="N1043847" s="19"/>
    </row>
    <row r="1043848" spans="1:14" s="83" customFormat="1" ht="12.75">
      <c r="A1043848" s="19"/>
      <c r="B1043848" s="19"/>
      <c r="C1043848" s="19"/>
      <c r="D1043848" s="19"/>
      <c r="E1043848" s="19"/>
      <c r="F1043848" s="19"/>
      <c r="G1043848" s="19"/>
      <c r="H1043848" s="19"/>
      <c r="I1043848" s="19"/>
      <c r="J1043848" s="19"/>
      <c r="K1043848" s="19"/>
      <c r="L1043848" s="19"/>
      <c r="M1043848" s="19"/>
      <c r="N1043848" s="19"/>
    </row>
    <row r="1043849" spans="1:14" s="83" customFormat="1" ht="12.75">
      <c r="A1043849" s="19"/>
      <c r="B1043849" s="19"/>
      <c r="C1043849" s="19"/>
      <c r="D1043849" s="19"/>
      <c r="E1043849" s="19"/>
      <c r="F1043849" s="19"/>
      <c r="G1043849" s="19"/>
      <c r="H1043849" s="19"/>
      <c r="I1043849" s="19"/>
      <c r="J1043849" s="19"/>
      <c r="K1043849" s="19"/>
      <c r="L1043849" s="19"/>
      <c r="M1043849" s="19"/>
      <c r="N1043849" s="19"/>
    </row>
    <row r="1043850" spans="1:14" s="83" customFormat="1" ht="12.75">
      <c r="A1043850" s="19"/>
      <c r="B1043850" s="19"/>
      <c r="C1043850" s="19"/>
      <c r="D1043850" s="19"/>
      <c r="E1043850" s="19"/>
      <c r="F1043850" s="19"/>
      <c r="G1043850" s="19"/>
      <c r="H1043850" s="19"/>
      <c r="I1043850" s="19"/>
      <c r="J1043850" s="19"/>
      <c r="K1043850" s="19"/>
      <c r="L1043850" s="19"/>
      <c r="M1043850" s="19"/>
      <c r="N1043850" s="19"/>
    </row>
    <row r="1043851" spans="1:14" s="83" customFormat="1" ht="12.75">
      <c r="A1043851" s="19"/>
      <c r="B1043851" s="19"/>
      <c r="C1043851" s="19"/>
      <c r="D1043851" s="19"/>
      <c r="E1043851" s="19"/>
      <c r="F1043851" s="19"/>
      <c r="G1043851" s="19"/>
      <c r="H1043851" s="19"/>
      <c r="I1043851" s="19"/>
      <c r="J1043851" s="19"/>
      <c r="K1043851" s="19"/>
      <c r="L1043851" s="19"/>
      <c r="M1043851" s="19"/>
      <c r="N1043851" s="19"/>
    </row>
    <row r="1043852" spans="1:14" s="83" customFormat="1" ht="12.75">
      <c r="A1043852" s="19"/>
      <c r="B1043852" s="19"/>
      <c r="C1043852" s="19"/>
      <c r="D1043852" s="19"/>
      <c r="E1043852" s="19"/>
      <c r="F1043852" s="19"/>
      <c r="G1043852" s="19"/>
      <c r="H1043852" s="19"/>
      <c r="I1043852" s="19"/>
      <c r="J1043852" s="19"/>
      <c r="K1043852" s="19"/>
      <c r="L1043852" s="19"/>
      <c r="M1043852" s="19"/>
      <c r="N1043852" s="19"/>
    </row>
    <row r="1043853" spans="1:14" s="83" customFormat="1" ht="12.75">
      <c r="A1043853" s="19"/>
      <c r="B1043853" s="19"/>
      <c r="C1043853" s="19"/>
      <c r="D1043853" s="19"/>
      <c r="E1043853" s="19"/>
      <c r="F1043853" s="19"/>
      <c r="G1043853" s="19"/>
      <c r="H1043853" s="19"/>
      <c r="I1043853" s="19"/>
      <c r="J1043853" s="19"/>
      <c r="K1043853" s="19"/>
      <c r="L1043853" s="19"/>
      <c r="M1043853" s="19"/>
      <c r="N1043853" s="19"/>
    </row>
    <row r="1043854" spans="1:14" s="83" customFormat="1" ht="12.75">
      <c r="A1043854" s="19"/>
      <c r="B1043854" s="19"/>
      <c r="C1043854" s="19"/>
      <c r="D1043854" s="19"/>
      <c r="E1043854" s="19"/>
      <c r="F1043854" s="19"/>
      <c r="G1043854" s="19"/>
      <c r="H1043854" s="19"/>
      <c r="I1043854" s="19"/>
      <c r="J1043854" s="19"/>
      <c r="K1043854" s="19"/>
      <c r="L1043854" s="19"/>
      <c r="M1043854" s="19"/>
      <c r="N1043854" s="19"/>
    </row>
    <row r="1043855" spans="1:14" s="83" customFormat="1" ht="12.75">
      <c r="A1043855" s="19"/>
      <c r="B1043855" s="19"/>
      <c r="C1043855" s="19"/>
      <c r="D1043855" s="19"/>
      <c r="E1043855" s="19"/>
      <c r="F1043855" s="19"/>
      <c r="G1043855" s="19"/>
      <c r="H1043855" s="19"/>
      <c r="I1043855" s="19"/>
      <c r="J1043855" s="19"/>
      <c r="K1043855" s="19"/>
      <c r="L1043855" s="19"/>
      <c r="M1043855" s="19"/>
      <c r="N1043855" s="19"/>
    </row>
    <row r="1043856" spans="1:14" s="83" customFormat="1" ht="12.75">
      <c r="A1043856" s="19"/>
      <c r="B1043856" s="19"/>
      <c r="C1043856" s="19"/>
      <c r="D1043856" s="19"/>
      <c r="E1043856" s="19"/>
      <c r="F1043856" s="19"/>
      <c r="G1043856" s="19"/>
      <c r="H1043856" s="19"/>
      <c r="I1043856" s="19"/>
      <c r="J1043856" s="19"/>
      <c r="K1043856" s="19"/>
      <c r="L1043856" s="19"/>
      <c r="M1043856" s="19"/>
      <c r="N1043856" s="19"/>
    </row>
    <row r="1043857" spans="1:14" s="83" customFormat="1" ht="12.75">
      <c r="A1043857" s="19"/>
      <c r="B1043857" s="19"/>
      <c r="C1043857" s="19"/>
      <c r="D1043857" s="19"/>
      <c r="E1043857" s="19"/>
      <c r="F1043857" s="19"/>
      <c r="G1043857" s="19"/>
      <c r="H1043857" s="19"/>
      <c r="I1043857" s="19"/>
      <c r="J1043857" s="19"/>
      <c r="K1043857" s="19"/>
      <c r="L1043857" s="19"/>
      <c r="M1043857" s="19"/>
      <c r="N1043857" s="19"/>
    </row>
    <row r="1043858" spans="1:14" s="83" customFormat="1" ht="12.75">
      <c r="A1043858" s="19"/>
      <c r="B1043858" s="19"/>
      <c r="C1043858" s="19"/>
      <c r="D1043858" s="19"/>
      <c r="E1043858" s="19"/>
      <c r="F1043858" s="19"/>
      <c r="G1043858" s="19"/>
      <c r="H1043858" s="19"/>
      <c r="I1043858" s="19"/>
      <c r="J1043858" s="19"/>
      <c r="K1043858" s="19"/>
      <c r="L1043858" s="19"/>
      <c r="M1043858" s="19"/>
      <c r="N1043858" s="19"/>
    </row>
    <row r="1043859" spans="1:14" s="83" customFormat="1" ht="12.75">
      <c r="A1043859" s="19"/>
      <c r="B1043859" s="19"/>
      <c r="C1043859" s="19"/>
      <c r="D1043859" s="19"/>
      <c r="E1043859" s="19"/>
      <c r="F1043859" s="19"/>
      <c r="G1043859" s="19"/>
      <c r="H1043859" s="19"/>
      <c r="I1043859" s="19"/>
      <c r="J1043859" s="19"/>
      <c r="K1043859" s="19"/>
      <c r="L1043859" s="19"/>
      <c r="M1043859" s="19"/>
      <c r="N1043859" s="19"/>
    </row>
    <row r="1043860" spans="1:14" s="83" customFormat="1" ht="12.75">
      <c r="A1043860" s="19"/>
      <c r="B1043860" s="19"/>
      <c r="C1043860" s="19"/>
      <c r="D1043860" s="19"/>
      <c r="E1043860" s="19"/>
      <c r="F1043860" s="19"/>
      <c r="G1043860" s="19"/>
      <c r="H1043860" s="19"/>
      <c r="I1043860" s="19"/>
      <c r="J1043860" s="19"/>
      <c r="K1043860" s="19"/>
      <c r="L1043860" s="19"/>
      <c r="M1043860" s="19"/>
      <c r="N1043860" s="19"/>
    </row>
    <row r="1043861" spans="1:14" s="83" customFormat="1" ht="12.75">
      <c r="A1043861" s="19"/>
      <c r="B1043861" s="19"/>
      <c r="C1043861" s="19"/>
      <c r="D1043861" s="19"/>
      <c r="E1043861" s="19"/>
      <c r="F1043861" s="19"/>
      <c r="G1043861" s="19"/>
      <c r="H1043861" s="19"/>
      <c r="I1043861" s="19"/>
      <c r="J1043861" s="19"/>
      <c r="K1043861" s="19"/>
      <c r="L1043861" s="19"/>
      <c r="M1043861" s="19"/>
      <c r="N1043861" s="19"/>
    </row>
    <row r="1043862" spans="1:14" s="83" customFormat="1" ht="12.75">
      <c r="A1043862" s="19"/>
      <c r="B1043862" s="19"/>
      <c r="C1043862" s="19"/>
      <c r="D1043862" s="19"/>
      <c r="E1043862" s="19"/>
      <c r="F1043862" s="19"/>
      <c r="G1043862" s="19"/>
      <c r="H1043862" s="19"/>
      <c r="I1043862" s="19"/>
      <c r="J1043862" s="19"/>
      <c r="K1043862" s="19"/>
      <c r="L1043862" s="19"/>
      <c r="M1043862" s="19"/>
      <c r="N1043862" s="19"/>
    </row>
    <row r="1043863" spans="1:14" s="83" customFormat="1" ht="12.75">
      <c r="A1043863" s="19"/>
      <c r="B1043863" s="19"/>
      <c r="C1043863" s="19"/>
      <c r="D1043863" s="19"/>
      <c r="E1043863" s="19"/>
      <c r="F1043863" s="19"/>
      <c r="G1043863" s="19"/>
      <c r="H1043863" s="19"/>
      <c r="I1043863" s="19"/>
      <c r="J1043863" s="19"/>
      <c r="K1043863" s="19"/>
      <c r="L1043863" s="19"/>
      <c r="M1043863" s="19"/>
      <c r="N1043863" s="19"/>
    </row>
    <row r="1043864" spans="1:14" s="83" customFormat="1" ht="12.75">
      <c r="A1043864" s="19"/>
      <c r="B1043864" s="19"/>
      <c r="C1043864" s="19"/>
      <c r="D1043864" s="19"/>
      <c r="E1043864" s="19"/>
      <c r="F1043864" s="19"/>
      <c r="G1043864" s="19"/>
      <c r="H1043864" s="19"/>
      <c r="I1043864" s="19"/>
      <c r="J1043864" s="19"/>
      <c r="K1043864" s="19"/>
      <c r="L1043864" s="19"/>
      <c r="M1043864" s="19"/>
      <c r="N1043864" s="19"/>
    </row>
    <row r="1043865" spans="1:14" s="83" customFormat="1" ht="12.75">
      <c r="A1043865" s="19"/>
      <c r="B1043865" s="19"/>
      <c r="C1043865" s="19"/>
      <c r="D1043865" s="19"/>
      <c r="E1043865" s="19"/>
      <c r="F1043865" s="19"/>
      <c r="G1043865" s="19"/>
      <c r="H1043865" s="19"/>
      <c r="I1043865" s="19"/>
      <c r="J1043865" s="19"/>
      <c r="K1043865" s="19"/>
      <c r="L1043865" s="19"/>
      <c r="M1043865" s="19"/>
      <c r="N1043865" s="19"/>
    </row>
    <row r="1043866" spans="1:14" s="83" customFormat="1" ht="12.75">
      <c r="A1043866" s="19"/>
      <c r="B1043866" s="19"/>
      <c r="C1043866" s="19"/>
      <c r="D1043866" s="19"/>
      <c r="E1043866" s="19"/>
      <c r="F1043866" s="19"/>
      <c r="G1043866" s="19"/>
      <c r="H1043866" s="19"/>
      <c r="I1043866" s="19"/>
      <c r="J1043866" s="19"/>
      <c r="K1043866" s="19"/>
      <c r="L1043866" s="19"/>
      <c r="M1043866" s="19"/>
      <c r="N1043866" s="19"/>
    </row>
    <row r="1043867" spans="1:14" s="83" customFormat="1" ht="12.75">
      <c r="A1043867" s="19"/>
      <c r="B1043867" s="19"/>
      <c r="C1043867" s="19"/>
      <c r="D1043867" s="19"/>
      <c r="E1043867" s="19"/>
      <c r="F1043867" s="19"/>
      <c r="G1043867" s="19"/>
      <c r="H1043867" s="19"/>
      <c r="I1043867" s="19"/>
      <c r="J1043867" s="19"/>
      <c r="K1043867" s="19"/>
      <c r="L1043867" s="19"/>
      <c r="M1043867" s="19"/>
      <c r="N1043867" s="19"/>
    </row>
    <row r="1043868" spans="1:14" s="83" customFormat="1" ht="12.75">
      <c r="A1043868" s="19"/>
      <c r="B1043868" s="19"/>
      <c r="C1043868" s="19"/>
      <c r="D1043868" s="19"/>
      <c r="E1043868" s="19"/>
      <c r="F1043868" s="19"/>
      <c r="G1043868" s="19"/>
      <c r="H1043868" s="19"/>
      <c r="I1043868" s="19"/>
      <c r="J1043868" s="19"/>
      <c r="K1043868" s="19"/>
      <c r="L1043868" s="19"/>
      <c r="M1043868" s="19"/>
      <c r="N1043868" s="19"/>
    </row>
    <row r="1043869" spans="1:14" s="83" customFormat="1" ht="12.75">
      <c r="A1043869" s="19"/>
      <c r="B1043869" s="19"/>
      <c r="C1043869" s="19"/>
      <c r="D1043869" s="19"/>
      <c r="E1043869" s="19"/>
      <c r="F1043869" s="19"/>
      <c r="G1043869" s="19"/>
      <c r="H1043869" s="19"/>
      <c r="I1043869" s="19"/>
      <c r="J1043869" s="19"/>
      <c r="K1043869" s="19"/>
      <c r="L1043869" s="19"/>
      <c r="M1043869" s="19"/>
      <c r="N1043869" s="19"/>
    </row>
    <row r="1043870" spans="1:14" s="83" customFormat="1" ht="12.75">
      <c r="A1043870" s="19"/>
      <c r="B1043870" s="19"/>
      <c r="C1043870" s="19"/>
      <c r="D1043870" s="19"/>
      <c r="E1043870" s="19"/>
      <c r="F1043870" s="19"/>
      <c r="G1043870" s="19"/>
      <c r="H1043870" s="19"/>
      <c r="I1043870" s="19"/>
      <c r="J1043870" s="19"/>
      <c r="K1043870" s="19"/>
      <c r="L1043870" s="19"/>
      <c r="M1043870" s="19"/>
      <c r="N1043870" s="19"/>
    </row>
    <row r="1043871" spans="1:14" s="83" customFormat="1" ht="12.75">
      <c r="A1043871" s="19"/>
      <c r="B1043871" s="19"/>
      <c r="C1043871" s="19"/>
      <c r="D1043871" s="19"/>
      <c r="E1043871" s="19"/>
      <c r="F1043871" s="19"/>
      <c r="G1043871" s="19"/>
      <c r="H1043871" s="19"/>
      <c r="I1043871" s="19"/>
      <c r="J1043871" s="19"/>
      <c r="K1043871" s="19"/>
      <c r="L1043871" s="19"/>
      <c r="M1043871" s="19"/>
      <c r="N1043871" s="19"/>
    </row>
    <row r="1043872" spans="1:14" s="83" customFormat="1" ht="12.75">
      <c r="A1043872" s="19"/>
      <c r="B1043872" s="19"/>
      <c r="C1043872" s="19"/>
      <c r="D1043872" s="19"/>
      <c r="E1043872" s="19"/>
      <c r="F1043872" s="19"/>
      <c r="G1043872" s="19"/>
      <c r="H1043872" s="19"/>
      <c r="I1043872" s="19"/>
      <c r="J1043872" s="19"/>
      <c r="K1043872" s="19"/>
      <c r="L1043872" s="19"/>
      <c r="M1043872" s="19"/>
      <c r="N1043872" s="19"/>
    </row>
    <row r="1043873" spans="1:14" s="83" customFormat="1" ht="12.75">
      <c r="A1043873" s="19"/>
      <c r="B1043873" s="19"/>
      <c r="C1043873" s="19"/>
      <c r="D1043873" s="19"/>
      <c r="E1043873" s="19"/>
      <c r="F1043873" s="19"/>
      <c r="G1043873" s="19"/>
      <c r="H1043873" s="19"/>
      <c r="I1043873" s="19"/>
      <c r="J1043873" s="19"/>
      <c r="K1043873" s="19"/>
      <c r="L1043873" s="19"/>
      <c r="M1043873" s="19"/>
      <c r="N1043873" s="19"/>
    </row>
    <row r="1043874" spans="1:14" s="83" customFormat="1" ht="12.75">
      <c r="A1043874" s="19"/>
      <c r="B1043874" s="19"/>
      <c r="C1043874" s="19"/>
      <c r="D1043874" s="19"/>
      <c r="E1043874" s="19"/>
      <c r="F1043874" s="19"/>
      <c r="G1043874" s="19"/>
      <c r="H1043874" s="19"/>
      <c r="I1043874" s="19"/>
      <c r="J1043874" s="19"/>
      <c r="K1043874" s="19"/>
      <c r="L1043874" s="19"/>
      <c r="M1043874" s="19"/>
      <c r="N1043874" s="19"/>
    </row>
    <row r="1043875" spans="1:14" s="83" customFormat="1" ht="12.75">
      <c r="A1043875" s="19"/>
      <c r="B1043875" s="19"/>
      <c r="C1043875" s="19"/>
      <c r="D1043875" s="19"/>
      <c r="E1043875" s="19"/>
      <c r="F1043875" s="19"/>
      <c r="G1043875" s="19"/>
      <c r="H1043875" s="19"/>
      <c r="I1043875" s="19"/>
      <c r="J1043875" s="19"/>
      <c r="K1043875" s="19"/>
      <c r="L1043875" s="19"/>
      <c r="M1043875" s="19"/>
      <c r="N1043875" s="19"/>
    </row>
    <row r="1043876" spans="1:14" s="83" customFormat="1" ht="12.75">
      <c r="A1043876" s="19"/>
      <c r="B1043876" s="19"/>
      <c r="C1043876" s="19"/>
      <c r="D1043876" s="19"/>
      <c r="E1043876" s="19"/>
      <c r="F1043876" s="19"/>
      <c r="G1043876" s="19"/>
      <c r="H1043876" s="19"/>
      <c r="I1043876" s="19"/>
      <c r="J1043876" s="19"/>
      <c r="K1043876" s="19"/>
      <c r="L1043876" s="19"/>
      <c r="M1043876" s="19"/>
      <c r="N1043876" s="19"/>
    </row>
    <row r="1043877" spans="1:14" s="83" customFormat="1" ht="12.75">
      <c r="A1043877" s="19"/>
      <c r="B1043877" s="19"/>
      <c r="C1043877" s="19"/>
      <c r="D1043877" s="19"/>
      <c r="E1043877" s="19"/>
      <c r="F1043877" s="19"/>
      <c r="G1043877" s="19"/>
      <c r="H1043877" s="19"/>
      <c r="I1043877" s="19"/>
      <c r="J1043877" s="19"/>
      <c r="K1043877" s="19"/>
      <c r="L1043877" s="19"/>
      <c r="M1043877" s="19"/>
      <c r="N1043877" s="19"/>
    </row>
    <row r="1043878" spans="1:14" s="83" customFormat="1" ht="12.75">
      <c r="A1043878" s="19"/>
      <c r="B1043878" s="19"/>
      <c r="C1043878" s="19"/>
      <c r="D1043878" s="19"/>
      <c r="E1043878" s="19"/>
      <c r="F1043878" s="19"/>
      <c r="G1043878" s="19"/>
      <c r="H1043878" s="19"/>
      <c r="I1043878" s="19"/>
      <c r="J1043878" s="19"/>
      <c r="K1043878" s="19"/>
      <c r="L1043878" s="19"/>
      <c r="M1043878" s="19"/>
      <c r="N1043878" s="19"/>
    </row>
    <row r="1043879" spans="1:14" s="83" customFormat="1" ht="12.75">
      <c r="A1043879" s="19"/>
      <c r="B1043879" s="19"/>
      <c r="C1043879" s="19"/>
      <c r="D1043879" s="19"/>
      <c r="E1043879" s="19"/>
      <c r="F1043879" s="19"/>
      <c r="G1043879" s="19"/>
      <c r="H1043879" s="19"/>
      <c r="I1043879" s="19"/>
      <c r="J1043879" s="19"/>
      <c r="K1043879" s="19"/>
      <c r="L1043879" s="19"/>
      <c r="M1043879" s="19"/>
      <c r="N1043879" s="19"/>
    </row>
    <row r="1043880" spans="1:14" s="83" customFormat="1" ht="12.75">
      <c r="A1043880" s="19"/>
      <c r="B1043880" s="19"/>
      <c r="C1043880" s="19"/>
      <c r="D1043880" s="19"/>
      <c r="E1043880" s="19"/>
      <c r="F1043880" s="19"/>
      <c r="G1043880" s="19"/>
      <c r="H1043880" s="19"/>
      <c r="I1043880" s="19"/>
      <c r="J1043880" s="19"/>
      <c r="K1043880" s="19"/>
      <c r="L1043880" s="19"/>
      <c r="M1043880" s="19"/>
      <c r="N1043880" s="19"/>
    </row>
    <row r="1043881" spans="1:14" s="83" customFormat="1" ht="12.75">
      <c r="A1043881" s="19"/>
      <c r="B1043881" s="19"/>
      <c r="C1043881" s="19"/>
      <c r="D1043881" s="19"/>
      <c r="E1043881" s="19"/>
      <c r="F1043881" s="19"/>
      <c r="G1043881" s="19"/>
      <c r="H1043881" s="19"/>
      <c r="I1043881" s="19"/>
      <c r="J1043881" s="19"/>
      <c r="K1043881" s="19"/>
      <c r="L1043881" s="19"/>
      <c r="M1043881" s="19"/>
      <c r="N1043881" s="19"/>
    </row>
    <row r="1043882" spans="1:14" s="83" customFormat="1" ht="12.75">
      <c r="A1043882" s="19"/>
      <c r="B1043882" s="19"/>
      <c r="C1043882" s="19"/>
      <c r="D1043882" s="19"/>
      <c r="E1043882" s="19"/>
      <c r="F1043882" s="19"/>
      <c r="G1043882" s="19"/>
      <c r="H1043882" s="19"/>
      <c r="I1043882" s="19"/>
      <c r="J1043882" s="19"/>
      <c r="K1043882" s="19"/>
      <c r="L1043882" s="19"/>
      <c r="M1043882" s="19"/>
      <c r="N1043882" s="19"/>
    </row>
    <row r="1043883" spans="1:14" s="83" customFormat="1" ht="12.75">
      <c r="A1043883" s="19"/>
      <c r="B1043883" s="19"/>
      <c r="C1043883" s="19"/>
      <c r="D1043883" s="19"/>
      <c r="E1043883" s="19"/>
      <c r="F1043883" s="19"/>
      <c r="G1043883" s="19"/>
      <c r="H1043883" s="19"/>
      <c r="I1043883" s="19"/>
      <c r="J1043883" s="19"/>
      <c r="K1043883" s="19"/>
      <c r="L1043883" s="19"/>
      <c r="M1043883" s="19"/>
      <c r="N1043883" s="19"/>
    </row>
    <row r="1043884" spans="1:14" s="83" customFormat="1" ht="12.75">
      <c r="A1043884" s="19"/>
      <c r="B1043884" s="19"/>
      <c r="C1043884" s="19"/>
      <c r="D1043884" s="19"/>
      <c r="E1043884" s="19"/>
      <c r="F1043884" s="19"/>
      <c r="G1043884" s="19"/>
      <c r="H1043884" s="19"/>
      <c r="I1043884" s="19"/>
      <c r="J1043884" s="19"/>
      <c r="K1043884" s="19"/>
      <c r="L1043884" s="19"/>
      <c r="M1043884" s="19"/>
      <c r="N1043884" s="19"/>
    </row>
    <row r="1043885" spans="1:14" s="83" customFormat="1" ht="12.75">
      <c r="A1043885" s="19"/>
      <c r="B1043885" s="19"/>
      <c r="C1043885" s="19"/>
      <c r="D1043885" s="19"/>
      <c r="E1043885" s="19"/>
      <c r="F1043885" s="19"/>
      <c r="G1043885" s="19"/>
      <c r="H1043885" s="19"/>
      <c r="I1043885" s="19"/>
      <c r="J1043885" s="19"/>
      <c r="K1043885" s="19"/>
      <c r="L1043885" s="19"/>
      <c r="M1043885" s="19"/>
      <c r="N1043885" s="19"/>
    </row>
    <row r="1043886" spans="1:14" s="83" customFormat="1" ht="12.75">
      <c r="A1043886" s="19"/>
      <c r="B1043886" s="19"/>
      <c r="C1043886" s="19"/>
      <c r="D1043886" s="19"/>
      <c r="E1043886" s="19"/>
      <c r="F1043886" s="19"/>
      <c r="G1043886" s="19"/>
      <c r="H1043886" s="19"/>
      <c r="I1043886" s="19"/>
      <c r="J1043886" s="19"/>
      <c r="K1043886" s="19"/>
      <c r="L1043886" s="19"/>
      <c r="M1043886" s="19"/>
      <c r="N1043886" s="19"/>
    </row>
    <row r="1043887" spans="1:14" s="83" customFormat="1" ht="12.75">
      <c r="A1043887" s="19"/>
      <c r="B1043887" s="19"/>
      <c r="C1043887" s="19"/>
      <c r="D1043887" s="19"/>
      <c r="E1043887" s="19"/>
      <c r="F1043887" s="19"/>
      <c r="G1043887" s="19"/>
      <c r="H1043887" s="19"/>
      <c r="I1043887" s="19"/>
      <c r="J1043887" s="19"/>
      <c r="K1043887" s="19"/>
      <c r="L1043887" s="19"/>
      <c r="M1043887" s="19"/>
      <c r="N1043887" s="19"/>
    </row>
    <row r="1043888" spans="1:14" s="83" customFormat="1" ht="12.75">
      <c r="A1043888" s="19"/>
      <c r="B1043888" s="19"/>
      <c r="C1043888" s="19"/>
      <c r="D1043888" s="19"/>
      <c r="E1043888" s="19"/>
      <c r="F1043888" s="19"/>
      <c r="G1043888" s="19"/>
      <c r="H1043888" s="19"/>
      <c r="I1043888" s="19"/>
      <c r="J1043888" s="19"/>
      <c r="K1043888" s="19"/>
      <c r="L1043888" s="19"/>
      <c r="M1043888" s="19"/>
      <c r="N1043888" s="19"/>
    </row>
    <row r="1043889" spans="1:14" s="83" customFormat="1" ht="12.75">
      <c r="A1043889" s="19"/>
      <c r="B1043889" s="19"/>
      <c r="C1043889" s="19"/>
      <c r="D1043889" s="19"/>
      <c r="E1043889" s="19"/>
      <c r="F1043889" s="19"/>
      <c r="G1043889" s="19"/>
      <c r="H1043889" s="19"/>
      <c r="I1043889" s="19"/>
      <c r="J1043889" s="19"/>
      <c r="K1043889" s="19"/>
      <c r="L1043889" s="19"/>
      <c r="M1043889" s="19"/>
      <c r="N1043889" s="19"/>
    </row>
    <row r="1043890" spans="1:14" s="83" customFormat="1" ht="12.75">
      <c r="A1043890" s="19"/>
      <c r="B1043890" s="19"/>
      <c r="C1043890" s="19"/>
      <c r="D1043890" s="19"/>
      <c r="E1043890" s="19"/>
      <c r="F1043890" s="19"/>
      <c r="G1043890" s="19"/>
      <c r="H1043890" s="19"/>
      <c r="I1043890" s="19"/>
      <c r="J1043890" s="19"/>
      <c r="K1043890" s="19"/>
      <c r="L1043890" s="19"/>
      <c r="M1043890" s="19"/>
      <c r="N1043890" s="19"/>
    </row>
    <row r="1043891" spans="1:14" s="83" customFormat="1" ht="12.75">
      <c r="A1043891" s="19"/>
      <c r="B1043891" s="19"/>
      <c r="C1043891" s="19"/>
      <c r="D1043891" s="19"/>
      <c r="E1043891" s="19"/>
      <c r="F1043891" s="19"/>
      <c r="G1043891" s="19"/>
      <c r="H1043891" s="19"/>
      <c r="I1043891" s="19"/>
      <c r="J1043891" s="19"/>
      <c r="K1043891" s="19"/>
      <c r="L1043891" s="19"/>
      <c r="M1043891" s="19"/>
      <c r="N1043891" s="19"/>
    </row>
    <row r="1043892" spans="1:14" s="83" customFormat="1" ht="12.75">
      <c r="A1043892" s="19"/>
      <c r="B1043892" s="19"/>
      <c r="C1043892" s="19"/>
      <c r="D1043892" s="19"/>
      <c r="E1043892" s="19"/>
      <c r="F1043892" s="19"/>
      <c r="G1043892" s="19"/>
      <c r="H1043892" s="19"/>
      <c r="I1043892" s="19"/>
      <c r="J1043892" s="19"/>
      <c r="K1043892" s="19"/>
      <c r="L1043892" s="19"/>
      <c r="M1043892" s="19"/>
      <c r="N1043892" s="19"/>
    </row>
    <row r="1043893" spans="1:14" s="83" customFormat="1" ht="12.75">
      <c r="A1043893" s="19"/>
      <c r="B1043893" s="19"/>
      <c r="C1043893" s="19"/>
      <c r="D1043893" s="19"/>
      <c r="E1043893" s="19"/>
      <c r="F1043893" s="19"/>
      <c r="G1043893" s="19"/>
      <c r="H1043893" s="19"/>
      <c r="I1043893" s="19"/>
      <c r="J1043893" s="19"/>
      <c r="K1043893" s="19"/>
      <c r="L1043893" s="19"/>
      <c r="M1043893" s="19"/>
      <c r="N1043893" s="19"/>
    </row>
    <row r="1043894" spans="1:14" s="83" customFormat="1" ht="12.75">
      <c r="A1043894" s="19"/>
      <c r="B1043894" s="19"/>
      <c r="C1043894" s="19"/>
      <c r="D1043894" s="19"/>
      <c r="E1043894" s="19"/>
      <c r="F1043894" s="19"/>
      <c r="G1043894" s="19"/>
      <c r="H1043894" s="19"/>
      <c r="I1043894" s="19"/>
      <c r="J1043894" s="19"/>
      <c r="K1043894" s="19"/>
      <c r="L1043894" s="19"/>
      <c r="M1043894" s="19"/>
      <c r="N1043894" s="19"/>
    </row>
    <row r="1043895" spans="1:14" s="83" customFormat="1" ht="12.75">
      <c r="A1043895" s="19"/>
      <c r="B1043895" s="19"/>
      <c r="C1043895" s="19"/>
      <c r="D1043895" s="19"/>
      <c r="E1043895" s="19"/>
      <c r="F1043895" s="19"/>
      <c r="G1043895" s="19"/>
      <c r="H1043895" s="19"/>
      <c r="I1043895" s="19"/>
      <c r="J1043895" s="19"/>
      <c r="K1043895" s="19"/>
      <c r="L1043895" s="19"/>
      <c r="M1043895" s="19"/>
      <c r="N1043895" s="19"/>
    </row>
    <row r="1043896" spans="1:14" s="83" customFormat="1" ht="12.75">
      <c r="A1043896" s="19"/>
      <c r="B1043896" s="19"/>
      <c r="C1043896" s="19"/>
      <c r="D1043896" s="19"/>
      <c r="E1043896" s="19"/>
      <c r="F1043896" s="19"/>
      <c r="G1043896" s="19"/>
      <c r="H1043896" s="19"/>
      <c r="I1043896" s="19"/>
      <c r="J1043896" s="19"/>
      <c r="K1043896" s="19"/>
      <c r="L1043896" s="19"/>
      <c r="M1043896" s="19"/>
      <c r="N1043896" s="19"/>
    </row>
    <row r="1043897" spans="1:14" s="83" customFormat="1" ht="12.75">
      <c r="A1043897" s="19"/>
      <c r="B1043897" s="19"/>
      <c r="C1043897" s="19"/>
      <c r="D1043897" s="19"/>
      <c r="E1043897" s="19"/>
      <c r="F1043897" s="19"/>
      <c r="G1043897" s="19"/>
      <c r="H1043897" s="19"/>
      <c r="I1043897" s="19"/>
      <c r="J1043897" s="19"/>
      <c r="K1043897" s="19"/>
      <c r="L1043897" s="19"/>
      <c r="M1043897" s="19"/>
      <c r="N1043897" s="19"/>
    </row>
    <row r="1043898" spans="1:14" s="83" customFormat="1" ht="12.75">
      <c r="A1043898" s="19"/>
      <c r="B1043898" s="19"/>
      <c r="C1043898" s="19"/>
      <c r="D1043898" s="19"/>
      <c r="E1043898" s="19"/>
      <c r="F1043898" s="19"/>
      <c r="G1043898" s="19"/>
      <c r="H1043898" s="19"/>
      <c r="I1043898" s="19"/>
      <c r="J1043898" s="19"/>
      <c r="K1043898" s="19"/>
      <c r="L1043898" s="19"/>
      <c r="M1043898" s="19"/>
      <c r="N1043898" s="19"/>
    </row>
    <row r="1043899" spans="1:14" s="83" customFormat="1" ht="12.75">
      <c r="A1043899" s="19"/>
      <c r="B1043899" s="19"/>
      <c r="C1043899" s="19"/>
      <c r="D1043899" s="19"/>
      <c r="E1043899" s="19"/>
      <c r="F1043899" s="19"/>
      <c r="G1043899" s="19"/>
      <c r="H1043899" s="19"/>
      <c r="I1043899" s="19"/>
      <c r="J1043899" s="19"/>
      <c r="K1043899" s="19"/>
      <c r="L1043899" s="19"/>
      <c r="M1043899" s="19"/>
      <c r="N1043899" s="19"/>
    </row>
    <row r="1043900" spans="1:14" s="83" customFormat="1" ht="12.75">
      <c r="A1043900" s="19"/>
      <c r="B1043900" s="19"/>
      <c r="C1043900" s="19"/>
      <c r="D1043900" s="19"/>
      <c r="E1043900" s="19"/>
      <c r="F1043900" s="19"/>
      <c r="G1043900" s="19"/>
      <c r="H1043900" s="19"/>
      <c r="I1043900" s="19"/>
      <c r="J1043900" s="19"/>
      <c r="K1043900" s="19"/>
      <c r="L1043900" s="19"/>
      <c r="M1043900" s="19"/>
      <c r="N1043900" s="19"/>
    </row>
    <row r="1043901" spans="1:14" s="83" customFormat="1" ht="12.75">
      <c r="A1043901" s="19"/>
      <c r="B1043901" s="19"/>
      <c r="C1043901" s="19"/>
      <c r="D1043901" s="19"/>
      <c r="E1043901" s="19"/>
      <c r="F1043901" s="19"/>
      <c r="G1043901" s="19"/>
      <c r="H1043901" s="19"/>
      <c r="I1043901" s="19"/>
      <c r="J1043901" s="19"/>
      <c r="K1043901" s="19"/>
      <c r="L1043901" s="19"/>
      <c r="M1043901" s="19"/>
      <c r="N1043901" s="19"/>
    </row>
    <row r="1043902" spans="1:14" s="83" customFormat="1" ht="12.75">
      <c r="A1043902" s="19"/>
      <c r="B1043902" s="19"/>
      <c r="C1043902" s="19"/>
      <c r="D1043902" s="19"/>
      <c r="E1043902" s="19"/>
      <c r="F1043902" s="19"/>
      <c r="G1043902" s="19"/>
      <c r="H1043902" s="19"/>
      <c r="I1043902" s="19"/>
      <c r="J1043902" s="19"/>
      <c r="K1043902" s="19"/>
      <c r="L1043902" s="19"/>
      <c r="M1043902" s="19"/>
      <c r="N1043902" s="19"/>
    </row>
    <row r="1043903" spans="1:14" s="83" customFormat="1" ht="12.75">
      <c r="A1043903" s="19"/>
      <c r="B1043903" s="19"/>
      <c r="C1043903" s="19"/>
      <c r="D1043903" s="19"/>
      <c r="E1043903" s="19"/>
      <c r="F1043903" s="19"/>
      <c r="G1043903" s="19"/>
      <c r="H1043903" s="19"/>
      <c r="I1043903" s="19"/>
      <c r="J1043903" s="19"/>
      <c r="K1043903" s="19"/>
      <c r="L1043903" s="19"/>
      <c r="M1043903" s="19"/>
      <c r="N1043903" s="19"/>
    </row>
    <row r="1043904" spans="1:14" s="83" customFormat="1" ht="12.75">
      <c r="A1043904" s="19"/>
      <c r="B1043904" s="19"/>
      <c r="C1043904" s="19"/>
      <c r="D1043904" s="19"/>
      <c r="E1043904" s="19"/>
      <c r="F1043904" s="19"/>
      <c r="G1043904" s="19"/>
      <c r="H1043904" s="19"/>
      <c r="I1043904" s="19"/>
      <c r="J1043904" s="19"/>
      <c r="K1043904" s="19"/>
      <c r="L1043904" s="19"/>
      <c r="M1043904" s="19"/>
      <c r="N1043904" s="19"/>
    </row>
    <row r="1043905" spans="1:14" s="83" customFormat="1" ht="12.75">
      <c r="A1043905" s="19"/>
      <c r="B1043905" s="19"/>
      <c r="C1043905" s="19"/>
      <c r="D1043905" s="19"/>
      <c r="E1043905" s="19"/>
      <c r="F1043905" s="19"/>
      <c r="G1043905" s="19"/>
      <c r="H1043905" s="19"/>
      <c r="I1043905" s="19"/>
      <c r="J1043905" s="19"/>
      <c r="K1043905" s="19"/>
      <c r="L1043905" s="19"/>
      <c r="M1043905" s="19"/>
      <c r="N1043905" s="19"/>
    </row>
    <row r="1043906" spans="1:14" s="83" customFormat="1" ht="12.75">
      <c r="A1043906" s="19"/>
      <c r="B1043906" s="19"/>
      <c r="C1043906" s="19"/>
      <c r="D1043906" s="19"/>
      <c r="E1043906" s="19"/>
      <c r="F1043906" s="19"/>
      <c r="G1043906" s="19"/>
      <c r="H1043906" s="19"/>
      <c r="I1043906" s="19"/>
      <c r="J1043906" s="19"/>
      <c r="K1043906" s="19"/>
      <c r="L1043906" s="19"/>
      <c r="M1043906" s="19"/>
      <c r="N1043906" s="19"/>
    </row>
    <row r="1043907" spans="1:14" s="83" customFormat="1" ht="12.75">
      <c r="A1043907" s="19"/>
      <c r="B1043907" s="19"/>
      <c r="C1043907" s="19"/>
      <c r="D1043907" s="19"/>
      <c r="E1043907" s="19"/>
      <c r="F1043907" s="19"/>
      <c r="G1043907" s="19"/>
      <c r="H1043907" s="19"/>
      <c r="I1043907" s="19"/>
      <c r="J1043907" s="19"/>
      <c r="K1043907" s="19"/>
      <c r="L1043907" s="19"/>
      <c r="M1043907" s="19"/>
      <c r="N1043907" s="19"/>
    </row>
    <row r="1043908" spans="1:14" s="83" customFormat="1" ht="12.75">
      <c r="A1043908" s="19"/>
      <c r="B1043908" s="19"/>
      <c r="C1043908" s="19"/>
      <c r="D1043908" s="19"/>
      <c r="E1043908" s="19"/>
      <c r="F1043908" s="19"/>
      <c r="G1043908" s="19"/>
      <c r="H1043908" s="19"/>
      <c r="I1043908" s="19"/>
      <c r="J1043908" s="19"/>
      <c r="K1043908" s="19"/>
      <c r="L1043908" s="19"/>
      <c r="M1043908" s="19"/>
      <c r="N1043908" s="19"/>
    </row>
    <row r="1043909" spans="1:14" s="83" customFormat="1" ht="12.75">
      <c r="A1043909" s="19"/>
      <c r="B1043909" s="19"/>
      <c r="C1043909" s="19"/>
      <c r="D1043909" s="19"/>
      <c r="E1043909" s="19"/>
      <c r="F1043909" s="19"/>
      <c r="G1043909" s="19"/>
      <c r="H1043909" s="19"/>
      <c r="I1043909" s="19"/>
      <c r="J1043909" s="19"/>
      <c r="K1043909" s="19"/>
      <c r="L1043909" s="19"/>
      <c r="M1043909" s="19"/>
      <c r="N1043909" s="19"/>
    </row>
    <row r="1043910" spans="1:14" s="83" customFormat="1" ht="12.75">
      <c r="A1043910" s="19"/>
      <c r="B1043910" s="19"/>
      <c r="C1043910" s="19"/>
      <c r="D1043910" s="19"/>
      <c r="E1043910" s="19"/>
      <c r="F1043910" s="19"/>
      <c r="G1043910" s="19"/>
      <c r="H1043910" s="19"/>
      <c r="I1043910" s="19"/>
      <c r="J1043910" s="19"/>
      <c r="K1043910" s="19"/>
      <c r="L1043910" s="19"/>
      <c r="M1043910" s="19"/>
      <c r="N1043910" s="19"/>
    </row>
    <row r="1043911" spans="1:14" s="83" customFormat="1" ht="12.75">
      <c r="A1043911" s="19"/>
      <c r="B1043911" s="19"/>
      <c r="C1043911" s="19"/>
      <c r="D1043911" s="19"/>
      <c r="E1043911" s="19"/>
      <c r="F1043911" s="19"/>
      <c r="G1043911" s="19"/>
      <c r="H1043911" s="19"/>
      <c r="I1043911" s="19"/>
      <c r="J1043911" s="19"/>
      <c r="K1043911" s="19"/>
      <c r="L1043911" s="19"/>
      <c r="M1043911" s="19"/>
      <c r="N1043911" s="19"/>
    </row>
    <row r="1043912" spans="1:14" s="83" customFormat="1" ht="12.75">
      <c r="A1043912" s="19"/>
      <c r="B1043912" s="19"/>
      <c r="C1043912" s="19"/>
      <c r="D1043912" s="19"/>
      <c r="E1043912" s="19"/>
      <c r="F1043912" s="19"/>
      <c r="G1043912" s="19"/>
      <c r="H1043912" s="19"/>
      <c r="I1043912" s="19"/>
      <c r="J1043912" s="19"/>
      <c r="K1043912" s="19"/>
      <c r="L1043912" s="19"/>
      <c r="M1043912" s="19"/>
      <c r="N1043912" s="19"/>
    </row>
    <row r="1043913" spans="1:14" s="83" customFormat="1" ht="12.75">
      <c r="A1043913" s="19"/>
      <c r="B1043913" s="19"/>
      <c r="C1043913" s="19"/>
      <c r="D1043913" s="19"/>
      <c r="E1043913" s="19"/>
      <c r="F1043913" s="19"/>
      <c r="G1043913" s="19"/>
      <c r="H1043913" s="19"/>
      <c r="I1043913" s="19"/>
      <c r="J1043913" s="19"/>
      <c r="K1043913" s="19"/>
      <c r="L1043913" s="19"/>
      <c r="M1043913" s="19"/>
      <c r="N1043913" s="19"/>
    </row>
    <row r="1043914" spans="1:14" s="83" customFormat="1" ht="12.75">
      <c r="A1043914" s="19"/>
      <c r="B1043914" s="19"/>
      <c r="C1043914" s="19"/>
      <c r="D1043914" s="19"/>
      <c r="E1043914" s="19"/>
      <c r="F1043914" s="19"/>
      <c r="G1043914" s="19"/>
      <c r="H1043914" s="19"/>
      <c r="I1043914" s="19"/>
      <c r="J1043914" s="19"/>
      <c r="K1043914" s="19"/>
      <c r="L1043914" s="19"/>
      <c r="M1043914" s="19"/>
      <c r="N1043914" s="19"/>
    </row>
    <row r="1043915" spans="1:14" s="83" customFormat="1" ht="12.75">
      <c r="A1043915" s="19"/>
      <c r="B1043915" s="19"/>
      <c r="C1043915" s="19"/>
      <c r="D1043915" s="19"/>
      <c r="E1043915" s="19"/>
      <c r="F1043915" s="19"/>
      <c r="G1043915" s="19"/>
      <c r="H1043915" s="19"/>
      <c r="I1043915" s="19"/>
      <c r="J1043915" s="19"/>
      <c r="K1043915" s="19"/>
      <c r="L1043915" s="19"/>
      <c r="M1043915" s="19"/>
      <c r="N1043915" s="19"/>
    </row>
    <row r="1043916" spans="1:14" s="83" customFormat="1" ht="12.75">
      <c r="A1043916" s="19"/>
      <c r="B1043916" s="19"/>
      <c r="C1043916" s="19"/>
      <c r="D1043916" s="19"/>
      <c r="E1043916" s="19"/>
      <c r="F1043916" s="19"/>
      <c r="G1043916" s="19"/>
      <c r="H1043916" s="19"/>
      <c r="I1043916" s="19"/>
      <c r="J1043916" s="19"/>
      <c r="K1043916" s="19"/>
      <c r="L1043916" s="19"/>
      <c r="M1043916" s="19"/>
      <c r="N1043916" s="19"/>
    </row>
    <row r="1043917" spans="1:14" s="83" customFormat="1" ht="12.75">
      <c r="A1043917" s="19"/>
      <c r="B1043917" s="19"/>
      <c r="C1043917" s="19"/>
      <c r="D1043917" s="19"/>
      <c r="E1043917" s="19"/>
      <c r="F1043917" s="19"/>
      <c r="G1043917" s="19"/>
      <c r="H1043917" s="19"/>
      <c r="I1043917" s="19"/>
      <c r="J1043917" s="19"/>
      <c r="K1043917" s="19"/>
      <c r="L1043917" s="19"/>
      <c r="M1043917" s="19"/>
      <c r="N1043917" s="19"/>
    </row>
    <row r="1043918" spans="1:14" s="83" customFormat="1" ht="12.75">
      <c r="A1043918" s="19"/>
      <c r="B1043918" s="19"/>
      <c r="C1043918" s="19"/>
      <c r="D1043918" s="19"/>
      <c r="E1043918" s="19"/>
      <c r="F1043918" s="19"/>
      <c r="G1043918" s="19"/>
      <c r="H1043918" s="19"/>
      <c r="I1043918" s="19"/>
      <c r="J1043918" s="19"/>
      <c r="K1043918" s="19"/>
      <c r="L1043918" s="19"/>
      <c r="M1043918" s="19"/>
      <c r="N1043918" s="19"/>
    </row>
    <row r="1043919" spans="1:14" s="83" customFormat="1" ht="12.75">
      <c r="A1043919" s="19"/>
      <c r="B1043919" s="19"/>
      <c r="C1043919" s="19"/>
      <c r="D1043919" s="19"/>
      <c r="E1043919" s="19"/>
      <c r="F1043919" s="19"/>
      <c r="G1043919" s="19"/>
      <c r="H1043919" s="19"/>
      <c r="I1043919" s="19"/>
      <c r="J1043919" s="19"/>
      <c r="K1043919" s="19"/>
      <c r="L1043919" s="19"/>
      <c r="M1043919" s="19"/>
      <c r="N1043919" s="19"/>
    </row>
    <row r="1043920" spans="1:14" s="83" customFormat="1" ht="12.75">
      <c r="A1043920" s="19"/>
      <c r="B1043920" s="19"/>
      <c r="C1043920" s="19"/>
      <c r="D1043920" s="19"/>
      <c r="E1043920" s="19"/>
      <c r="F1043920" s="19"/>
      <c r="G1043920" s="19"/>
      <c r="H1043920" s="19"/>
      <c r="I1043920" s="19"/>
      <c r="J1043920" s="19"/>
      <c r="K1043920" s="19"/>
      <c r="L1043920" s="19"/>
      <c r="M1043920" s="19"/>
      <c r="N1043920" s="19"/>
    </row>
    <row r="1043921" spans="1:14" s="83" customFormat="1" ht="12.75">
      <c r="A1043921" s="19"/>
      <c r="B1043921" s="19"/>
      <c r="C1043921" s="19"/>
      <c r="D1043921" s="19"/>
      <c r="E1043921" s="19"/>
      <c r="F1043921" s="19"/>
      <c r="G1043921" s="19"/>
      <c r="H1043921" s="19"/>
      <c r="I1043921" s="19"/>
      <c r="J1043921" s="19"/>
      <c r="K1043921" s="19"/>
      <c r="L1043921" s="19"/>
      <c r="M1043921" s="19"/>
      <c r="N1043921" s="19"/>
    </row>
    <row r="1043922" spans="1:14" s="83" customFormat="1" ht="12.75">
      <c r="A1043922" s="19"/>
      <c r="B1043922" s="19"/>
      <c r="C1043922" s="19"/>
      <c r="D1043922" s="19"/>
      <c r="E1043922" s="19"/>
      <c r="F1043922" s="19"/>
      <c r="G1043922" s="19"/>
      <c r="H1043922" s="19"/>
      <c r="I1043922" s="19"/>
      <c r="J1043922" s="19"/>
      <c r="K1043922" s="19"/>
      <c r="L1043922" s="19"/>
      <c r="M1043922" s="19"/>
      <c r="N1043922" s="19"/>
    </row>
    <row r="1043923" spans="1:14" s="83" customFormat="1" ht="12.75">
      <c r="A1043923" s="19"/>
      <c r="B1043923" s="19"/>
      <c r="C1043923" s="19"/>
      <c r="D1043923" s="19"/>
      <c r="E1043923" s="19"/>
      <c r="F1043923" s="19"/>
      <c r="G1043923" s="19"/>
      <c r="H1043923" s="19"/>
      <c r="I1043923" s="19"/>
      <c r="J1043923" s="19"/>
      <c r="K1043923" s="19"/>
      <c r="L1043923" s="19"/>
      <c r="M1043923" s="19"/>
      <c r="N1043923" s="19"/>
    </row>
    <row r="1043924" spans="1:14" s="83" customFormat="1" ht="12.75">
      <c r="A1043924" s="19"/>
      <c r="B1043924" s="19"/>
      <c r="C1043924" s="19"/>
      <c r="D1043924" s="19"/>
      <c r="E1043924" s="19"/>
      <c r="F1043924" s="19"/>
      <c r="G1043924" s="19"/>
      <c r="H1043924" s="19"/>
      <c r="I1043924" s="19"/>
      <c r="J1043924" s="19"/>
      <c r="K1043924" s="19"/>
      <c r="L1043924" s="19"/>
      <c r="M1043924" s="19"/>
      <c r="N1043924" s="19"/>
    </row>
    <row r="1043925" spans="1:14" s="83" customFormat="1" ht="12.75">
      <c r="A1043925" s="19"/>
      <c r="B1043925" s="19"/>
      <c r="C1043925" s="19"/>
      <c r="D1043925" s="19"/>
      <c r="E1043925" s="19"/>
      <c r="F1043925" s="19"/>
      <c r="G1043925" s="19"/>
      <c r="H1043925" s="19"/>
      <c r="I1043925" s="19"/>
      <c r="J1043925" s="19"/>
      <c r="K1043925" s="19"/>
      <c r="L1043925" s="19"/>
      <c r="M1043925" s="19"/>
      <c r="N1043925" s="19"/>
    </row>
    <row r="1043926" spans="1:14" s="83" customFormat="1" ht="12.75">
      <c r="A1043926" s="19"/>
      <c r="B1043926" s="19"/>
      <c r="C1043926" s="19"/>
      <c r="D1043926" s="19"/>
      <c r="E1043926" s="19"/>
      <c r="F1043926" s="19"/>
      <c r="G1043926" s="19"/>
      <c r="H1043926" s="19"/>
      <c r="I1043926" s="19"/>
      <c r="J1043926" s="19"/>
      <c r="K1043926" s="19"/>
      <c r="L1043926" s="19"/>
      <c r="M1043926" s="19"/>
      <c r="N1043926" s="19"/>
    </row>
    <row r="1043927" spans="1:14" s="83" customFormat="1" ht="12.75">
      <c r="A1043927" s="19"/>
      <c r="B1043927" s="19"/>
      <c r="C1043927" s="19"/>
      <c r="D1043927" s="19"/>
      <c r="E1043927" s="19"/>
      <c r="F1043927" s="19"/>
      <c r="G1043927" s="19"/>
      <c r="H1043927" s="19"/>
      <c r="I1043927" s="19"/>
      <c r="J1043927" s="19"/>
      <c r="K1043927" s="19"/>
      <c r="L1043927" s="19"/>
      <c r="M1043927" s="19"/>
      <c r="N1043927" s="19"/>
    </row>
    <row r="1043928" spans="1:14" s="83" customFormat="1" ht="12.75">
      <c r="A1043928" s="19"/>
      <c r="B1043928" s="19"/>
      <c r="C1043928" s="19"/>
      <c r="D1043928" s="19"/>
      <c r="E1043928" s="19"/>
      <c r="F1043928" s="19"/>
      <c r="G1043928" s="19"/>
      <c r="H1043928" s="19"/>
      <c r="I1043928" s="19"/>
      <c r="J1043928" s="19"/>
      <c r="K1043928" s="19"/>
      <c r="L1043928" s="19"/>
      <c r="M1043928" s="19"/>
      <c r="N1043928" s="19"/>
    </row>
    <row r="1043929" spans="1:14" s="83" customFormat="1" ht="12.75">
      <c r="A1043929" s="19"/>
      <c r="B1043929" s="19"/>
      <c r="C1043929" s="19"/>
      <c r="D1043929" s="19"/>
      <c r="E1043929" s="19"/>
      <c r="F1043929" s="19"/>
      <c r="G1043929" s="19"/>
      <c r="H1043929" s="19"/>
      <c r="I1043929" s="19"/>
      <c r="J1043929" s="19"/>
      <c r="K1043929" s="19"/>
      <c r="L1043929" s="19"/>
      <c r="M1043929" s="19"/>
      <c r="N1043929" s="19"/>
    </row>
    <row r="1043930" spans="1:14" s="83" customFormat="1" ht="12.75">
      <c r="A1043930" s="19"/>
      <c r="B1043930" s="19"/>
      <c r="C1043930" s="19"/>
      <c r="D1043930" s="19"/>
      <c r="E1043930" s="19"/>
      <c r="F1043930" s="19"/>
      <c r="G1043930" s="19"/>
      <c r="H1043930" s="19"/>
      <c r="I1043930" s="19"/>
      <c r="J1043930" s="19"/>
      <c r="K1043930" s="19"/>
      <c r="L1043930" s="19"/>
      <c r="M1043930" s="19"/>
      <c r="N1043930" s="19"/>
    </row>
    <row r="1043931" spans="1:14" s="83" customFormat="1" ht="12.75">
      <c r="A1043931" s="19"/>
      <c r="B1043931" s="19"/>
      <c r="C1043931" s="19"/>
      <c r="D1043931" s="19"/>
      <c r="E1043931" s="19"/>
      <c r="F1043931" s="19"/>
      <c r="G1043931" s="19"/>
      <c r="H1043931" s="19"/>
      <c r="I1043931" s="19"/>
      <c r="J1043931" s="19"/>
      <c r="K1043931" s="19"/>
      <c r="L1043931" s="19"/>
      <c r="M1043931" s="19"/>
      <c r="N1043931" s="19"/>
    </row>
    <row r="1043932" spans="1:14" s="83" customFormat="1" ht="12.75">
      <c r="A1043932" s="19"/>
      <c r="B1043932" s="19"/>
      <c r="C1043932" s="19"/>
      <c r="D1043932" s="19"/>
      <c r="E1043932" s="19"/>
      <c r="F1043932" s="19"/>
      <c r="G1043932" s="19"/>
      <c r="H1043932" s="19"/>
      <c r="I1043932" s="19"/>
      <c r="J1043932" s="19"/>
      <c r="K1043932" s="19"/>
      <c r="L1043932" s="19"/>
      <c r="M1043932" s="19"/>
      <c r="N1043932" s="19"/>
    </row>
    <row r="1043933" spans="1:14" s="83" customFormat="1" ht="12.75">
      <c r="A1043933" s="19"/>
      <c r="B1043933" s="19"/>
      <c r="C1043933" s="19"/>
      <c r="D1043933" s="19"/>
      <c r="E1043933" s="19"/>
      <c r="F1043933" s="19"/>
      <c r="G1043933" s="19"/>
      <c r="H1043933" s="19"/>
      <c r="I1043933" s="19"/>
      <c r="J1043933" s="19"/>
      <c r="K1043933" s="19"/>
      <c r="L1043933" s="19"/>
      <c r="M1043933" s="19"/>
      <c r="N1043933" s="19"/>
    </row>
    <row r="1043934" spans="1:14" s="83" customFormat="1" ht="12.75">
      <c r="A1043934" s="19"/>
      <c r="B1043934" s="19"/>
      <c r="C1043934" s="19"/>
      <c r="D1043934" s="19"/>
      <c r="E1043934" s="19"/>
      <c r="F1043934" s="19"/>
      <c r="G1043934" s="19"/>
      <c r="H1043934" s="19"/>
      <c r="I1043934" s="19"/>
      <c r="J1043934" s="19"/>
      <c r="K1043934" s="19"/>
      <c r="L1043934" s="19"/>
      <c r="M1043934" s="19"/>
      <c r="N1043934" s="19"/>
    </row>
    <row r="1043935" spans="1:14" s="83" customFormat="1" ht="12.75">
      <c r="A1043935" s="19"/>
      <c r="B1043935" s="19"/>
      <c r="C1043935" s="19"/>
      <c r="D1043935" s="19"/>
      <c r="E1043935" s="19"/>
      <c r="F1043935" s="19"/>
      <c r="G1043935" s="19"/>
      <c r="H1043935" s="19"/>
      <c r="I1043935" s="19"/>
      <c r="J1043935" s="19"/>
      <c r="K1043935" s="19"/>
      <c r="L1043935" s="19"/>
      <c r="M1043935" s="19"/>
      <c r="N1043935" s="19"/>
    </row>
    <row r="1043936" spans="1:14" s="83" customFormat="1" ht="12.75">
      <c r="A1043936" s="19"/>
      <c r="B1043936" s="19"/>
      <c r="C1043936" s="19"/>
      <c r="D1043936" s="19"/>
      <c r="E1043936" s="19"/>
      <c r="F1043936" s="19"/>
      <c r="G1043936" s="19"/>
      <c r="H1043936" s="19"/>
      <c r="I1043936" s="19"/>
      <c r="J1043936" s="19"/>
      <c r="K1043936" s="19"/>
      <c r="L1043936" s="19"/>
      <c r="M1043936" s="19"/>
      <c r="N1043936" s="19"/>
    </row>
    <row r="1043937" spans="1:14" s="83" customFormat="1" ht="12.75">
      <c r="A1043937" s="19"/>
      <c r="B1043937" s="19"/>
      <c r="C1043937" s="19"/>
      <c r="D1043937" s="19"/>
      <c r="E1043937" s="19"/>
      <c r="F1043937" s="19"/>
      <c r="G1043937" s="19"/>
      <c r="H1043937" s="19"/>
      <c r="I1043937" s="19"/>
      <c r="J1043937" s="19"/>
      <c r="K1043937" s="19"/>
      <c r="L1043937" s="19"/>
      <c r="M1043937" s="19"/>
      <c r="N1043937" s="19"/>
    </row>
    <row r="1043938" spans="1:14" s="83" customFormat="1" ht="12.75">
      <c r="A1043938" s="19"/>
      <c r="B1043938" s="19"/>
      <c r="C1043938" s="19"/>
      <c r="D1043938" s="19"/>
      <c r="E1043938" s="19"/>
      <c r="F1043938" s="19"/>
      <c r="G1043938" s="19"/>
      <c r="H1043938" s="19"/>
      <c r="I1043938" s="19"/>
      <c r="J1043938" s="19"/>
      <c r="K1043938" s="19"/>
      <c r="L1043938" s="19"/>
      <c r="M1043938" s="19"/>
      <c r="N1043938" s="19"/>
    </row>
    <row r="1043939" spans="1:14" s="83" customFormat="1" ht="12.75">
      <c r="A1043939" s="19"/>
      <c r="B1043939" s="19"/>
      <c r="C1043939" s="19"/>
      <c r="D1043939" s="19"/>
      <c r="E1043939" s="19"/>
      <c r="F1043939" s="19"/>
      <c r="G1043939" s="19"/>
      <c r="H1043939" s="19"/>
      <c r="I1043939" s="19"/>
      <c r="J1043939" s="19"/>
      <c r="K1043939" s="19"/>
      <c r="L1043939" s="19"/>
      <c r="M1043939" s="19"/>
      <c r="N1043939" s="19"/>
    </row>
    <row r="1043940" spans="1:14" s="83" customFormat="1" ht="12.75">
      <c r="A1043940" s="19"/>
      <c r="B1043940" s="19"/>
      <c r="C1043940" s="19"/>
      <c r="D1043940" s="19"/>
      <c r="E1043940" s="19"/>
      <c r="F1043940" s="19"/>
      <c r="G1043940" s="19"/>
      <c r="H1043940" s="19"/>
      <c r="I1043940" s="19"/>
      <c r="J1043940" s="19"/>
      <c r="K1043940" s="19"/>
      <c r="L1043940" s="19"/>
      <c r="M1043940" s="19"/>
      <c r="N1043940" s="19"/>
    </row>
    <row r="1043941" spans="1:14" s="83" customFormat="1" ht="12.75">
      <c r="A1043941" s="19"/>
      <c r="B1043941" s="19"/>
      <c r="C1043941" s="19"/>
      <c r="D1043941" s="19"/>
      <c r="E1043941" s="19"/>
      <c r="F1043941" s="19"/>
      <c r="G1043941" s="19"/>
      <c r="H1043941" s="19"/>
      <c r="I1043941" s="19"/>
      <c r="J1043941" s="19"/>
      <c r="K1043941" s="19"/>
      <c r="L1043941" s="19"/>
      <c r="M1043941" s="19"/>
      <c r="N1043941" s="19"/>
    </row>
    <row r="1043942" spans="1:14" s="83" customFormat="1" ht="12.75">
      <c r="A1043942" s="19"/>
      <c r="B1043942" s="19"/>
      <c r="C1043942" s="19"/>
      <c r="D1043942" s="19"/>
      <c r="E1043942" s="19"/>
      <c r="F1043942" s="19"/>
      <c r="G1043942" s="19"/>
      <c r="H1043942" s="19"/>
      <c r="I1043942" s="19"/>
      <c r="J1043942" s="19"/>
      <c r="K1043942" s="19"/>
      <c r="L1043942" s="19"/>
      <c r="M1043942" s="19"/>
      <c r="N1043942" s="19"/>
    </row>
    <row r="1043943" spans="1:14" s="83" customFormat="1" ht="12.75">
      <c r="A1043943" s="19"/>
      <c r="B1043943" s="19"/>
      <c r="C1043943" s="19"/>
      <c r="D1043943" s="19"/>
      <c r="E1043943" s="19"/>
      <c r="F1043943" s="19"/>
      <c r="G1043943" s="19"/>
      <c r="H1043943" s="19"/>
      <c r="I1043943" s="19"/>
      <c r="J1043943" s="19"/>
      <c r="K1043943" s="19"/>
      <c r="L1043943" s="19"/>
      <c r="M1043943" s="19"/>
      <c r="N1043943" s="19"/>
    </row>
    <row r="1043944" spans="1:14" s="83" customFormat="1" ht="12.75">
      <c r="A1043944" s="19"/>
      <c r="B1043944" s="19"/>
      <c r="C1043944" s="19"/>
      <c r="D1043944" s="19"/>
      <c r="E1043944" s="19"/>
      <c r="F1043944" s="19"/>
      <c r="G1043944" s="19"/>
      <c r="H1043944" s="19"/>
      <c r="I1043944" s="19"/>
      <c r="J1043944" s="19"/>
      <c r="K1043944" s="19"/>
      <c r="L1043944" s="19"/>
      <c r="M1043944" s="19"/>
      <c r="N1043944" s="19"/>
    </row>
    <row r="1043945" spans="1:14" s="83" customFormat="1" ht="12.75">
      <c r="A1043945" s="19"/>
      <c r="B1043945" s="19"/>
      <c r="C1043945" s="19"/>
      <c r="D1043945" s="19"/>
      <c r="E1043945" s="19"/>
      <c r="F1043945" s="19"/>
      <c r="G1043945" s="19"/>
      <c r="H1043945" s="19"/>
      <c r="I1043945" s="19"/>
      <c r="J1043945" s="19"/>
      <c r="K1043945" s="19"/>
      <c r="L1043945" s="19"/>
      <c r="M1043945" s="19"/>
      <c r="N1043945" s="19"/>
    </row>
    <row r="1043946" spans="1:14" s="83" customFormat="1" ht="12.75">
      <c r="A1043946" s="19"/>
      <c r="B1043946" s="19"/>
      <c r="C1043946" s="19"/>
      <c r="D1043946" s="19"/>
      <c r="E1043946" s="19"/>
      <c r="F1043946" s="19"/>
      <c r="G1043946" s="19"/>
      <c r="H1043946" s="19"/>
      <c r="I1043946" s="19"/>
      <c r="J1043946" s="19"/>
      <c r="K1043946" s="19"/>
      <c r="L1043946" s="19"/>
      <c r="M1043946" s="19"/>
      <c r="N1043946" s="19"/>
    </row>
    <row r="1043947" spans="1:14" s="83" customFormat="1" ht="12.75">
      <c r="A1043947" s="19"/>
      <c r="B1043947" s="19"/>
      <c r="C1043947" s="19"/>
      <c r="D1043947" s="19"/>
      <c r="E1043947" s="19"/>
      <c r="F1043947" s="19"/>
      <c r="G1043947" s="19"/>
      <c r="H1043947" s="19"/>
      <c r="I1043947" s="19"/>
      <c r="J1043947" s="19"/>
      <c r="K1043947" s="19"/>
      <c r="L1043947" s="19"/>
      <c r="M1043947" s="19"/>
      <c r="N1043947" s="19"/>
    </row>
    <row r="1043948" spans="1:14" s="83" customFormat="1" ht="12.75">
      <c r="A1043948" s="19"/>
      <c r="B1043948" s="19"/>
      <c r="C1043948" s="19"/>
      <c r="D1043948" s="19"/>
      <c r="E1043948" s="19"/>
      <c r="F1043948" s="19"/>
      <c r="G1043948" s="19"/>
      <c r="H1043948" s="19"/>
      <c r="I1043948" s="19"/>
      <c r="J1043948" s="19"/>
      <c r="K1043948" s="19"/>
      <c r="L1043948" s="19"/>
      <c r="M1043948" s="19"/>
      <c r="N1043948" s="19"/>
    </row>
    <row r="1043949" spans="1:14" s="83" customFormat="1" ht="12.75">
      <c r="A1043949" s="19"/>
      <c r="B1043949" s="19"/>
      <c r="C1043949" s="19"/>
      <c r="D1043949" s="19"/>
      <c r="E1043949" s="19"/>
      <c r="F1043949" s="19"/>
      <c r="G1043949" s="19"/>
      <c r="H1043949" s="19"/>
      <c r="I1043949" s="19"/>
      <c r="J1043949" s="19"/>
      <c r="K1043949" s="19"/>
      <c r="L1043949" s="19"/>
      <c r="M1043949" s="19"/>
      <c r="N1043949" s="19"/>
    </row>
    <row r="1043950" spans="1:14" s="83" customFormat="1" ht="12.75">
      <c r="A1043950" s="19"/>
      <c r="B1043950" s="19"/>
      <c r="C1043950" s="19"/>
      <c r="D1043950" s="19"/>
      <c r="E1043950" s="19"/>
      <c r="F1043950" s="19"/>
      <c r="G1043950" s="19"/>
      <c r="H1043950" s="19"/>
      <c r="I1043950" s="19"/>
      <c r="J1043950" s="19"/>
      <c r="K1043950" s="19"/>
      <c r="L1043950" s="19"/>
      <c r="M1043950" s="19"/>
      <c r="N1043950" s="19"/>
    </row>
    <row r="1043951" spans="1:14" s="83" customFormat="1" ht="12.75">
      <c r="A1043951" s="19"/>
      <c r="B1043951" s="19"/>
      <c r="C1043951" s="19"/>
      <c r="D1043951" s="19"/>
      <c r="E1043951" s="19"/>
      <c r="F1043951" s="19"/>
      <c r="G1043951" s="19"/>
      <c r="H1043951" s="19"/>
      <c r="I1043951" s="19"/>
      <c r="J1043951" s="19"/>
      <c r="K1043951" s="19"/>
      <c r="L1043951" s="19"/>
      <c r="M1043951" s="19"/>
      <c r="N1043951" s="19"/>
    </row>
    <row r="1043952" spans="1:14" s="83" customFormat="1" ht="12.75">
      <c r="A1043952" s="19"/>
      <c r="B1043952" s="19"/>
      <c r="C1043952" s="19"/>
      <c r="D1043952" s="19"/>
      <c r="E1043952" s="19"/>
      <c r="F1043952" s="19"/>
      <c r="G1043952" s="19"/>
      <c r="H1043952" s="19"/>
      <c r="I1043952" s="19"/>
      <c r="J1043952" s="19"/>
      <c r="K1043952" s="19"/>
      <c r="L1043952" s="19"/>
      <c r="M1043952" s="19"/>
      <c r="N1043952" s="19"/>
    </row>
    <row r="1043953" spans="1:14" s="83" customFormat="1" ht="12.75">
      <c r="A1043953" s="19"/>
      <c r="B1043953" s="19"/>
      <c r="C1043953" s="19"/>
      <c r="D1043953" s="19"/>
      <c r="E1043953" s="19"/>
      <c r="F1043953" s="19"/>
      <c r="G1043953" s="19"/>
      <c r="H1043953" s="19"/>
      <c r="I1043953" s="19"/>
      <c r="J1043953" s="19"/>
      <c r="K1043953" s="19"/>
      <c r="L1043953" s="19"/>
      <c r="M1043953" s="19"/>
      <c r="N1043953" s="19"/>
    </row>
    <row r="1043954" spans="1:14" s="83" customFormat="1" ht="12.75">
      <c r="A1043954" s="19"/>
      <c r="B1043954" s="19"/>
      <c r="C1043954" s="19"/>
      <c r="D1043954" s="19"/>
      <c r="E1043954" s="19"/>
      <c r="F1043954" s="19"/>
      <c r="G1043954" s="19"/>
      <c r="H1043954" s="19"/>
      <c r="I1043954" s="19"/>
      <c r="J1043954" s="19"/>
      <c r="K1043954" s="19"/>
      <c r="L1043954" s="19"/>
      <c r="M1043954" s="19"/>
      <c r="N1043954" s="19"/>
    </row>
    <row r="1043955" spans="1:14" s="83" customFormat="1" ht="12.75">
      <c r="A1043955" s="19"/>
      <c r="B1043955" s="19"/>
      <c r="C1043955" s="19"/>
      <c r="D1043955" s="19"/>
      <c r="E1043955" s="19"/>
      <c r="F1043955" s="19"/>
      <c r="G1043955" s="19"/>
      <c r="H1043955" s="19"/>
      <c r="I1043955" s="19"/>
      <c r="J1043955" s="19"/>
      <c r="K1043955" s="19"/>
      <c r="L1043955" s="19"/>
      <c r="M1043955" s="19"/>
      <c r="N1043955" s="19"/>
    </row>
    <row r="1043956" spans="1:14" s="83" customFormat="1" ht="12.75">
      <c r="A1043956" s="19"/>
      <c r="B1043956" s="19"/>
      <c r="C1043956" s="19"/>
      <c r="D1043956" s="19"/>
      <c r="E1043956" s="19"/>
      <c r="F1043956" s="19"/>
      <c r="G1043956" s="19"/>
      <c r="H1043956" s="19"/>
      <c r="I1043956" s="19"/>
      <c r="J1043956" s="19"/>
      <c r="K1043956" s="19"/>
      <c r="L1043956" s="19"/>
      <c r="M1043956" s="19"/>
      <c r="N1043956" s="19"/>
    </row>
    <row r="1043957" spans="1:14" s="83" customFormat="1" ht="12.75">
      <c r="A1043957" s="19"/>
      <c r="B1043957" s="19"/>
      <c r="C1043957" s="19"/>
      <c r="D1043957" s="19"/>
      <c r="E1043957" s="19"/>
      <c r="F1043957" s="19"/>
      <c r="G1043957" s="19"/>
      <c r="H1043957" s="19"/>
      <c r="I1043957" s="19"/>
      <c r="J1043957" s="19"/>
      <c r="K1043957" s="19"/>
      <c r="L1043957" s="19"/>
      <c r="M1043957" s="19"/>
      <c r="N1043957" s="19"/>
    </row>
    <row r="1043958" spans="1:14" s="83" customFormat="1" ht="12.75">
      <c r="A1043958" s="19"/>
      <c r="B1043958" s="19"/>
      <c r="C1043958" s="19"/>
      <c r="D1043958" s="19"/>
      <c r="E1043958" s="19"/>
      <c r="F1043958" s="19"/>
      <c r="G1043958" s="19"/>
      <c r="H1043958" s="19"/>
      <c r="I1043958" s="19"/>
      <c r="J1043958" s="19"/>
      <c r="K1043958" s="19"/>
      <c r="L1043958" s="19"/>
      <c r="M1043958" s="19"/>
      <c r="N1043958" s="19"/>
    </row>
    <row r="1043959" spans="1:14" s="83" customFormat="1" ht="12.75">
      <c r="A1043959" s="19"/>
      <c r="B1043959" s="19"/>
      <c r="C1043959" s="19"/>
      <c r="D1043959" s="19"/>
      <c r="E1043959" s="19"/>
      <c r="F1043959" s="19"/>
      <c r="G1043959" s="19"/>
      <c r="H1043959" s="19"/>
      <c r="I1043959" s="19"/>
      <c r="J1043959" s="19"/>
      <c r="K1043959" s="19"/>
      <c r="L1043959" s="19"/>
      <c r="M1043959" s="19"/>
      <c r="N1043959" s="19"/>
    </row>
    <row r="1043960" spans="1:14" s="83" customFormat="1" ht="12.75">
      <c r="A1043960" s="19"/>
      <c r="B1043960" s="19"/>
      <c r="C1043960" s="19"/>
      <c r="D1043960" s="19"/>
      <c r="E1043960" s="19"/>
      <c r="F1043960" s="19"/>
      <c r="G1043960" s="19"/>
      <c r="H1043960" s="19"/>
      <c r="I1043960" s="19"/>
      <c r="J1043960" s="19"/>
      <c r="K1043960" s="19"/>
      <c r="L1043960" s="19"/>
      <c r="M1043960" s="19"/>
      <c r="N1043960" s="19"/>
    </row>
    <row r="1043961" spans="1:14" s="83" customFormat="1" ht="12.75">
      <c r="A1043961" s="19"/>
      <c r="B1043961" s="19"/>
      <c r="C1043961" s="19"/>
      <c r="D1043961" s="19"/>
      <c r="E1043961" s="19"/>
      <c r="F1043961" s="19"/>
      <c r="G1043961" s="19"/>
      <c r="H1043961" s="19"/>
      <c r="I1043961" s="19"/>
      <c r="J1043961" s="19"/>
      <c r="K1043961" s="19"/>
      <c r="L1043961" s="19"/>
      <c r="M1043961" s="19"/>
      <c r="N1043961" s="19"/>
    </row>
    <row r="1043962" spans="1:14" s="83" customFormat="1" ht="12.75">
      <c r="A1043962" s="19"/>
      <c r="B1043962" s="19"/>
      <c r="C1043962" s="19"/>
      <c r="D1043962" s="19"/>
      <c r="E1043962" s="19"/>
      <c r="F1043962" s="19"/>
      <c r="G1043962" s="19"/>
      <c r="H1043962" s="19"/>
      <c r="I1043962" s="19"/>
      <c r="J1043962" s="19"/>
      <c r="K1043962" s="19"/>
      <c r="L1043962" s="19"/>
      <c r="M1043962" s="19"/>
      <c r="N1043962" s="19"/>
    </row>
    <row r="1043963" spans="1:14" s="83" customFormat="1" ht="12.75">
      <c r="A1043963" s="19"/>
      <c r="B1043963" s="19"/>
      <c r="C1043963" s="19"/>
      <c r="D1043963" s="19"/>
      <c r="E1043963" s="19"/>
      <c r="F1043963" s="19"/>
      <c r="G1043963" s="19"/>
      <c r="H1043963" s="19"/>
      <c r="I1043963" s="19"/>
      <c r="J1043963" s="19"/>
      <c r="K1043963" s="19"/>
      <c r="L1043963" s="19"/>
      <c r="M1043963" s="19"/>
      <c r="N1043963" s="19"/>
    </row>
    <row r="1043964" spans="1:14" s="83" customFormat="1" ht="12.75">
      <c r="A1043964" s="19"/>
      <c r="B1043964" s="19"/>
      <c r="C1043964" s="19"/>
      <c r="D1043964" s="19"/>
      <c r="E1043964" s="19"/>
      <c r="F1043964" s="19"/>
      <c r="G1043964" s="19"/>
      <c r="H1043964" s="19"/>
      <c r="I1043964" s="19"/>
      <c r="J1043964" s="19"/>
      <c r="K1043964" s="19"/>
      <c r="L1043964" s="19"/>
      <c r="M1043964" s="19"/>
      <c r="N1043964" s="19"/>
    </row>
    <row r="1043965" spans="1:14" s="83" customFormat="1" ht="12.75">
      <c r="A1043965" s="19"/>
      <c r="B1043965" s="19"/>
      <c r="C1043965" s="19"/>
      <c r="D1043965" s="19"/>
      <c r="E1043965" s="19"/>
      <c r="F1043965" s="19"/>
      <c r="G1043965" s="19"/>
      <c r="H1043965" s="19"/>
      <c r="I1043965" s="19"/>
      <c r="J1043965" s="19"/>
      <c r="K1043965" s="19"/>
      <c r="L1043965" s="19"/>
      <c r="M1043965" s="19"/>
      <c r="N1043965" s="19"/>
    </row>
    <row r="1043966" spans="1:14" s="83" customFormat="1" ht="12.75">
      <c r="A1043966" s="19"/>
      <c r="B1043966" s="19"/>
      <c r="C1043966" s="19"/>
      <c r="D1043966" s="19"/>
      <c r="E1043966" s="19"/>
      <c r="F1043966" s="19"/>
      <c r="G1043966" s="19"/>
      <c r="H1043966" s="19"/>
      <c r="I1043966" s="19"/>
      <c r="J1043966" s="19"/>
      <c r="K1043966" s="19"/>
      <c r="L1043966" s="19"/>
      <c r="M1043966" s="19"/>
      <c r="N1043966" s="19"/>
    </row>
    <row r="1043967" spans="1:14" s="83" customFormat="1" ht="12.75">
      <c r="A1043967" s="19"/>
      <c r="B1043967" s="19"/>
      <c r="C1043967" s="19"/>
      <c r="D1043967" s="19"/>
      <c r="E1043967" s="19"/>
      <c r="F1043967" s="19"/>
      <c r="G1043967" s="19"/>
      <c r="H1043967" s="19"/>
      <c r="I1043967" s="19"/>
      <c r="J1043967" s="19"/>
      <c r="K1043967" s="19"/>
      <c r="L1043967" s="19"/>
      <c r="M1043967" s="19"/>
      <c r="N1043967" s="19"/>
    </row>
    <row r="1043968" spans="1:14" s="83" customFormat="1" ht="12.75">
      <c r="A1043968" s="19"/>
      <c r="B1043968" s="19"/>
      <c r="C1043968" s="19"/>
      <c r="D1043968" s="19"/>
      <c r="E1043968" s="19"/>
      <c r="F1043968" s="19"/>
      <c r="G1043968" s="19"/>
      <c r="H1043968" s="19"/>
      <c r="I1043968" s="19"/>
      <c r="J1043968" s="19"/>
      <c r="K1043968" s="19"/>
      <c r="L1043968" s="19"/>
      <c r="M1043968" s="19"/>
      <c r="N1043968" s="19"/>
    </row>
    <row r="1043969" spans="1:14" s="83" customFormat="1" ht="12.75">
      <c r="A1043969" s="19"/>
      <c r="B1043969" s="19"/>
      <c r="C1043969" s="19"/>
      <c r="D1043969" s="19"/>
      <c r="E1043969" s="19"/>
      <c r="F1043969" s="19"/>
      <c r="G1043969" s="19"/>
      <c r="H1043969" s="19"/>
      <c r="I1043969" s="19"/>
      <c r="J1043969" s="19"/>
      <c r="K1043969" s="19"/>
      <c r="L1043969" s="19"/>
      <c r="M1043969" s="19"/>
      <c r="N1043969" s="19"/>
    </row>
    <row r="1043970" spans="1:14" s="83" customFormat="1" ht="12.75">
      <c r="A1043970" s="19"/>
      <c r="B1043970" s="19"/>
      <c r="C1043970" s="19"/>
      <c r="D1043970" s="19"/>
      <c r="E1043970" s="19"/>
      <c r="F1043970" s="19"/>
      <c r="G1043970" s="19"/>
      <c r="H1043970" s="19"/>
      <c r="I1043970" s="19"/>
      <c r="J1043970" s="19"/>
      <c r="K1043970" s="19"/>
      <c r="L1043970" s="19"/>
      <c r="M1043970" s="19"/>
      <c r="N1043970" s="19"/>
    </row>
    <row r="1043971" spans="1:14" s="83" customFormat="1" ht="12.75">
      <c r="A1043971" s="19"/>
      <c r="B1043971" s="19"/>
      <c r="C1043971" s="19"/>
      <c r="D1043971" s="19"/>
      <c r="E1043971" s="19"/>
      <c r="F1043971" s="19"/>
      <c r="G1043971" s="19"/>
      <c r="H1043971" s="19"/>
      <c r="I1043971" s="19"/>
      <c r="J1043971" s="19"/>
      <c r="K1043971" s="19"/>
      <c r="L1043971" s="19"/>
      <c r="M1043971" s="19"/>
      <c r="N1043971" s="19"/>
    </row>
    <row r="1043972" spans="1:14" s="83" customFormat="1" ht="12.75">
      <c r="A1043972" s="19"/>
      <c r="B1043972" s="19"/>
      <c r="C1043972" s="19"/>
      <c r="D1043972" s="19"/>
      <c r="E1043972" s="19"/>
      <c r="F1043972" s="19"/>
      <c r="G1043972" s="19"/>
      <c r="H1043972" s="19"/>
      <c r="I1043972" s="19"/>
      <c r="J1043972" s="19"/>
      <c r="K1043972" s="19"/>
      <c r="L1043972" s="19"/>
      <c r="M1043972" s="19"/>
      <c r="N1043972" s="19"/>
    </row>
    <row r="1043973" spans="1:14" s="83" customFormat="1" ht="12.75">
      <c r="A1043973" s="19"/>
      <c r="B1043973" s="19"/>
      <c r="C1043973" s="19"/>
      <c r="D1043973" s="19"/>
      <c r="E1043973" s="19"/>
      <c r="F1043973" s="19"/>
      <c r="G1043973" s="19"/>
      <c r="H1043973" s="19"/>
      <c r="I1043973" s="19"/>
      <c r="J1043973" s="19"/>
      <c r="K1043973" s="19"/>
      <c r="L1043973" s="19"/>
      <c r="M1043973" s="19"/>
      <c r="N1043973" s="19"/>
    </row>
    <row r="1043974" spans="1:14" s="83" customFormat="1" ht="12.75">
      <c r="A1043974" s="19"/>
      <c r="B1043974" s="19"/>
      <c r="C1043974" s="19"/>
      <c r="D1043974" s="19"/>
      <c r="E1043974" s="19"/>
      <c r="F1043974" s="19"/>
      <c r="G1043974" s="19"/>
      <c r="H1043974" s="19"/>
      <c r="I1043974" s="19"/>
      <c r="J1043974" s="19"/>
      <c r="K1043974" s="19"/>
      <c r="L1043974" s="19"/>
      <c r="M1043974" s="19"/>
      <c r="N1043974" s="19"/>
    </row>
    <row r="1043975" spans="1:14" s="83" customFormat="1" ht="12.75">
      <c r="A1043975" s="19"/>
      <c r="B1043975" s="19"/>
      <c r="C1043975" s="19"/>
      <c r="D1043975" s="19"/>
      <c r="E1043975" s="19"/>
      <c r="F1043975" s="19"/>
      <c r="G1043975" s="19"/>
      <c r="H1043975" s="19"/>
      <c r="I1043975" s="19"/>
      <c r="J1043975" s="19"/>
      <c r="K1043975" s="19"/>
      <c r="L1043975" s="19"/>
      <c r="M1043975" s="19"/>
      <c r="N1043975" s="19"/>
    </row>
    <row r="1043976" spans="1:14" s="83" customFormat="1" ht="12.75">
      <c r="A1043976" s="19"/>
      <c r="B1043976" s="19"/>
      <c r="C1043976" s="19"/>
      <c r="D1043976" s="19"/>
      <c r="E1043976" s="19"/>
      <c r="F1043976" s="19"/>
      <c r="G1043976" s="19"/>
      <c r="H1043976" s="19"/>
      <c r="I1043976" s="19"/>
      <c r="J1043976" s="19"/>
      <c r="K1043976" s="19"/>
      <c r="L1043976" s="19"/>
      <c r="M1043976" s="19"/>
      <c r="N1043976" s="19"/>
    </row>
    <row r="1043977" spans="1:14" s="83" customFormat="1" ht="12.75">
      <c r="A1043977" s="19"/>
      <c r="B1043977" s="19"/>
      <c r="C1043977" s="19"/>
      <c r="D1043977" s="19"/>
      <c r="E1043977" s="19"/>
      <c r="F1043977" s="19"/>
      <c r="G1043977" s="19"/>
      <c r="H1043977" s="19"/>
      <c r="I1043977" s="19"/>
      <c r="J1043977" s="19"/>
      <c r="K1043977" s="19"/>
      <c r="L1043977" s="19"/>
      <c r="M1043977" s="19"/>
      <c r="N1043977" s="19"/>
    </row>
    <row r="1043978" spans="1:14" s="83" customFormat="1" ht="12.75">
      <c r="A1043978" s="19"/>
      <c r="B1043978" s="19"/>
      <c r="C1043978" s="19"/>
      <c r="D1043978" s="19"/>
      <c r="E1043978" s="19"/>
      <c r="F1043978" s="19"/>
      <c r="G1043978" s="19"/>
      <c r="H1043978" s="19"/>
      <c r="I1043978" s="19"/>
      <c r="J1043978" s="19"/>
      <c r="K1043978" s="19"/>
      <c r="L1043978" s="19"/>
      <c r="M1043978" s="19"/>
      <c r="N1043978" s="19"/>
    </row>
    <row r="1043979" spans="1:14" s="83" customFormat="1" ht="12.75">
      <c r="A1043979" s="19"/>
      <c r="B1043979" s="19"/>
      <c r="C1043979" s="19"/>
      <c r="D1043979" s="19"/>
      <c r="E1043979" s="19"/>
      <c r="F1043979" s="19"/>
      <c r="G1043979" s="19"/>
      <c r="H1043979" s="19"/>
      <c r="I1043979" s="19"/>
      <c r="J1043979" s="19"/>
      <c r="K1043979" s="19"/>
      <c r="L1043979" s="19"/>
      <c r="M1043979" s="19"/>
      <c r="N1043979" s="19"/>
    </row>
    <row r="1043980" spans="1:14" s="83" customFormat="1" ht="12.75">
      <c r="A1043980" s="19"/>
      <c r="B1043980" s="19"/>
      <c r="C1043980" s="19"/>
      <c r="D1043980" s="19"/>
      <c r="E1043980" s="19"/>
      <c r="F1043980" s="19"/>
      <c r="G1043980" s="19"/>
      <c r="H1043980" s="19"/>
      <c r="I1043980" s="19"/>
      <c r="J1043980" s="19"/>
      <c r="K1043980" s="19"/>
      <c r="L1043980" s="19"/>
      <c r="M1043980" s="19"/>
      <c r="N1043980" s="19"/>
    </row>
    <row r="1043981" spans="1:14" s="83" customFormat="1" ht="12.75">
      <c r="A1043981" s="19"/>
      <c r="B1043981" s="19"/>
      <c r="C1043981" s="19"/>
      <c r="D1043981" s="19"/>
      <c r="E1043981" s="19"/>
      <c r="F1043981" s="19"/>
      <c r="G1043981" s="19"/>
      <c r="H1043981" s="19"/>
      <c r="I1043981" s="19"/>
      <c r="J1043981" s="19"/>
      <c r="K1043981" s="19"/>
      <c r="L1043981" s="19"/>
      <c r="M1043981" s="19"/>
      <c r="N1043981" s="19"/>
    </row>
    <row r="1043982" spans="1:14" s="83" customFormat="1" ht="12.75">
      <c r="A1043982" s="19"/>
      <c r="B1043982" s="19"/>
      <c r="C1043982" s="19"/>
      <c r="D1043982" s="19"/>
      <c r="E1043982" s="19"/>
      <c r="F1043982" s="19"/>
      <c r="G1043982" s="19"/>
      <c r="H1043982" s="19"/>
      <c r="I1043982" s="19"/>
      <c r="J1043982" s="19"/>
      <c r="K1043982" s="19"/>
      <c r="L1043982" s="19"/>
      <c r="M1043982" s="19"/>
      <c r="N1043982" s="19"/>
    </row>
    <row r="1043983" spans="1:14" s="83" customFormat="1" ht="12.75">
      <c r="A1043983" s="19"/>
      <c r="B1043983" s="19"/>
      <c r="C1043983" s="19"/>
      <c r="D1043983" s="19"/>
      <c r="E1043983" s="19"/>
      <c r="F1043983" s="19"/>
      <c r="G1043983" s="19"/>
      <c r="H1043983" s="19"/>
      <c r="I1043983" s="19"/>
      <c r="J1043983" s="19"/>
      <c r="K1043983" s="19"/>
      <c r="L1043983" s="19"/>
      <c r="M1043983" s="19"/>
      <c r="N1043983" s="19"/>
    </row>
    <row r="1043984" spans="1:14" s="83" customFormat="1" ht="12.75">
      <c r="A1043984" s="19"/>
      <c r="B1043984" s="19"/>
      <c r="C1043984" s="19"/>
      <c r="D1043984" s="19"/>
      <c r="E1043984" s="19"/>
      <c r="F1043984" s="19"/>
      <c r="G1043984" s="19"/>
      <c r="H1043984" s="19"/>
      <c r="I1043984" s="19"/>
      <c r="J1043984" s="19"/>
      <c r="K1043984" s="19"/>
      <c r="L1043984" s="19"/>
      <c r="M1043984" s="19"/>
      <c r="N1043984" s="19"/>
    </row>
    <row r="1043985" spans="1:14" s="83" customFormat="1" ht="12.75">
      <c r="A1043985" s="19"/>
      <c r="B1043985" s="19"/>
      <c r="C1043985" s="19"/>
      <c r="D1043985" s="19"/>
      <c r="E1043985" s="19"/>
      <c r="F1043985" s="19"/>
      <c r="G1043985" s="19"/>
      <c r="H1043985" s="19"/>
      <c r="I1043985" s="19"/>
      <c r="J1043985" s="19"/>
      <c r="K1043985" s="19"/>
      <c r="L1043985" s="19"/>
      <c r="M1043985" s="19"/>
      <c r="N1043985" s="19"/>
    </row>
    <row r="1043986" spans="1:14" s="83" customFormat="1" ht="12.75">
      <c r="A1043986" s="19"/>
      <c r="B1043986" s="19"/>
      <c r="C1043986" s="19"/>
      <c r="D1043986" s="19"/>
      <c r="E1043986" s="19"/>
      <c r="F1043986" s="19"/>
      <c r="G1043986" s="19"/>
      <c r="H1043986" s="19"/>
      <c r="I1043986" s="19"/>
      <c r="J1043986" s="19"/>
      <c r="K1043986" s="19"/>
      <c r="L1043986" s="19"/>
      <c r="M1043986" s="19"/>
      <c r="N1043986" s="19"/>
    </row>
    <row r="1043987" spans="1:14" s="83" customFormat="1" ht="12.75">
      <c r="A1043987" s="19"/>
      <c r="B1043987" s="19"/>
      <c r="C1043987" s="19"/>
      <c r="D1043987" s="19"/>
      <c r="E1043987" s="19"/>
      <c r="F1043987" s="19"/>
      <c r="G1043987" s="19"/>
      <c r="H1043987" s="19"/>
      <c r="I1043987" s="19"/>
      <c r="J1043987" s="19"/>
      <c r="K1043987" s="19"/>
      <c r="L1043987" s="19"/>
      <c r="M1043987" s="19"/>
      <c r="N1043987" s="19"/>
    </row>
    <row r="1043988" spans="1:14" s="83" customFormat="1" ht="12.75">
      <c r="A1043988" s="19"/>
      <c r="B1043988" s="19"/>
      <c r="C1043988" s="19"/>
      <c r="D1043988" s="19"/>
      <c r="E1043988" s="19"/>
      <c r="F1043988" s="19"/>
      <c r="G1043988" s="19"/>
      <c r="H1043988" s="19"/>
      <c r="I1043988" s="19"/>
      <c r="J1043988" s="19"/>
      <c r="K1043988" s="19"/>
      <c r="L1043988" s="19"/>
      <c r="M1043988" s="19"/>
      <c r="N1043988" s="19"/>
    </row>
    <row r="1043989" spans="1:14" s="83" customFormat="1" ht="12.75">
      <c r="A1043989" s="19"/>
      <c r="B1043989" s="19"/>
      <c r="C1043989" s="19"/>
      <c r="D1043989" s="19"/>
      <c r="E1043989" s="19"/>
      <c r="F1043989" s="19"/>
      <c r="G1043989" s="19"/>
      <c r="H1043989" s="19"/>
      <c r="I1043989" s="19"/>
      <c r="J1043989" s="19"/>
      <c r="K1043989" s="19"/>
      <c r="L1043989" s="19"/>
      <c r="M1043989" s="19"/>
      <c r="N1043989" s="19"/>
    </row>
    <row r="1043990" spans="1:14" s="83" customFormat="1" ht="12.75">
      <c r="A1043990" s="19"/>
      <c r="B1043990" s="19"/>
      <c r="C1043990" s="19"/>
      <c r="D1043990" s="19"/>
      <c r="E1043990" s="19"/>
      <c r="F1043990" s="19"/>
      <c r="G1043990" s="19"/>
      <c r="H1043990" s="19"/>
      <c r="I1043990" s="19"/>
      <c r="J1043990" s="19"/>
      <c r="K1043990" s="19"/>
      <c r="L1043990" s="19"/>
      <c r="M1043990" s="19"/>
      <c r="N1043990" s="19"/>
    </row>
    <row r="1043991" spans="1:14" s="83" customFormat="1" ht="12.75">
      <c r="A1043991" s="19"/>
      <c r="B1043991" s="19"/>
      <c r="C1043991" s="19"/>
      <c r="D1043991" s="19"/>
      <c r="E1043991" s="19"/>
      <c r="F1043991" s="19"/>
      <c r="G1043991" s="19"/>
      <c r="H1043991" s="19"/>
      <c r="I1043991" s="19"/>
      <c r="J1043991" s="19"/>
      <c r="K1043991" s="19"/>
      <c r="L1043991" s="19"/>
      <c r="M1043991" s="19"/>
      <c r="N1043991" s="19"/>
    </row>
    <row r="1043992" spans="1:14" s="83" customFormat="1" ht="12.75">
      <c r="A1043992" s="19"/>
      <c r="B1043992" s="19"/>
      <c r="C1043992" s="19"/>
      <c r="D1043992" s="19"/>
      <c r="E1043992" s="19"/>
      <c r="F1043992" s="19"/>
      <c r="G1043992" s="19"/>
      <c r="H1043992" s="19"/>
      <c r="I1043992" s="19"/>
      <c r="J1043992" s="19"/>
      <c r="K1043992" s="19"/>
      <c r="L1043992" s="19"/>
      <c r="M1043992" s="19"/>
      <c r="N1043992" s="19"/>
    </row>
    <row r="1043993" spans="1:14" s="83" customFormat="1" ht="12.75">
      <c r="A1043993" s="19"/>
      <c r="B1043993" s="19"/>
      <c r="C1043993" s="19"/>
      <c r="D1043993" s="19"/>
      <c r="E1043993" s="19"/>
      <c r="F1043993" s="19"/>
      <c r="G1043993" s="19"/>
      <c r="H1043993" s="19"/>
      <c r="I1043993" s="19"/>
      <c r="J1043993" s="19"/>
      <c r="K1043993" s="19"/>
      <c r="L1043993" s="19"/>
      <c r="M1043993" s="19"/>
      <c r="N1043993" s="19"/>
    </row>
    <row r="1043994" spans="1:14" s="83" customFormat="1" ht="12.75">
      <c r="A1043994" s="19"/>
      <c r="B1043994" s="19"/>
      <c r="C1043994" s="19"/>
      <c r="D1043994" s="19"/>
      <c r="E1043994" s="19"/>
      <c r="F1043994" s="19"/>
      <c r="G1043994" s="19"/>
      <c r="H1043994" s="19"/>
      <c r="I1043994" s="19"/>
      <c r="J1043994" s="19"/>
      <c r="K1043994" s="19"/>
      <c r="L1043994" s="19"/>
      <c r="M1043994" s="19"/>
      <c r="N1043994" s="19"/>
    </row>
    <row r="1043995" spans="1:14" s="83" customFormat="1" ht="12.75">
      <c r="A1043995" s="19"/>
      <c r="B1043995" s="19"/>
      <c r="C1043995" s="19"/>
      <c r="D1043995" s="19"/>
      <c r="E1043995" s="19"/>
      <c r="F1043995" s="19"/>
      <c r="G1043995" s="19"/>
      <c r="H1043995" s="19"/>
      <c r="I1043995" s="19"/>
      <c r="J1043995" s="19"/>
      <c r="K1043995" s="19"/>
      <c r="L1043995" s="19"/>
      <c r="M1043995" s="19"/>
      <c r="N1043995" s="19"/>
    </row>
    <row r="1043996" spans="1:14" s="83" customFormat="1" ht="12.75">
      <c r="A1043996" s="19"/>
      <c r="B1043996" s="19"/>
      <c r="C1043996" s="19"/>
      <c r="D1043996" s="19"/>
      <c r="E1043996" s="19"/>
      <c r="F1043996" s="19"/>
      <c r="G1043996" s="19"/>
      <c r="H1043996" s="19"/>
      <c r="I1043996" s="19"/>
      <c r="J1043996" s="19"/>
      <c r="K1043996" s="19"/>
      <c r="L1043996" s="19"/>
      <c r="M1043996" s="19"/>
      <c r="N1043996" s="19"/>
    </row>
    <row r="1043997" spans="1:14" s="83" customFormat="1" ht="12.75">
      <c r="A1043997" s="19"/>
      <c r="B1043997" s="19"/>
      <c r="C1043997" s="19"/>
      <c r="D1043997" s="19"/>
      <c r="E1043997" s="19"/>
      <c r="F1043997" s="19"/>
      <c r="G1043997" s="19"/>
      <c r="H1043997" s="19"/>
      <c r="I1043997" s="19"/>
      <c r="J1043997" s="19"/>
      <c r="K1043997" s="19"/>
      <c r="L1043997" s="19"/>
      <c r="M1043997" s="19"/>
      <c r="N1043997" s="19"/>
    </row>
    <row r="1043998" spans="1:14" s="83" customFormat="1" ht="12.75">
      <c r="A1043998" s="19"/>
      <c r="B1043998" s="19"/>
      <c r="C1043998" s="19"/>
      <c r="D1043998" s="19"/>
      <c r="E1043998" s="19"/>
      <c r="F1043998" s="19"/>
      <c r="G1043998" s="19"/>
      <c r="H1043998" s="19"/>
      <c r="I1043998" s="19"/>
      <c r="J1043998" s="19"/>
      <c r="K1043998" s="19"/>
      <c r="L1043998" s="19"/>
      <c r="M1043998" s="19"/>
      <c r="N1043998" s="19"/>
    </row>
    <row r="1043999" spans="1:14" s="83" customFormat="1" ht="12.75">
      <c r="A1043999" s="19"/>
      <c r="B1043999" s="19"/>
      <c r="C1043999" s="19"/>
      <c r="D1043999" s="19"/>
      <c r="E1043999" s="19"/>
      <c r="F1043999" s="19"/>
      <c r="G1043999" s="19"/>
      <c r="H1043999" s="19"/>
      <c r="I1043999" s="19"/>
      <c r="J1043999" s="19"/>
      <c r="K1043999" s="19"/>
      <c r="L1043999" s="19"/>
      <c r="M1043999" s="19"/>
      <c r="N1043999" s="19"/>
    </row>
    <row r="1044000" spans="1:14" s="83" customFormat="1" ht="12.75">
      <c r="A1044000" s="19"/>
      <c r="B1044000" s="19"/>
      <c r="C1044000" s="19"/>
      <c r="D1044000" s="19"/>
      <c r="E1044000" s="19"/>
      <c r="F1044000" s="19"/>
      <c r="G1044000" s="19"/>
      <c r="H1044000" s="19"/>
      <c r="I1044000" s="19"/>
      <c r="J1044000" s="19"/>
      <c r="K1044000" s="19"/>
      <c r="L1044000" s="19"/>
      <c r="M1044000" s="19"/>
      <c r="N1044000" s="19"/>
    </row>
    <row r="1044001" spans="1:14" s="83" customFormat="1" ht="12.75">
      <c r="A1044001" s="19"/>
      <c r="B1044001" s="19"/>
      <c r="C1044001" s="19"/>
      <c r="D1044001" s="19"/>
      <c r="E1044001" s="19"/>
      <c r="F1044001" s="19"/>
      <c r="G1044001" s="19"/>
      <c r="H1044001" s="19"/>
      <c r="I1044001" s="19"/>
      <c r="J1044001" s="19"/>
      <c r="K1044001" s="19"/>
      <c r="L1044001" s="19"/>
      <c r="M1044001" s="19"/>
      <c r="N1044001" s="19"/>
    </row>
    <row r="1044002" spans="1:14" s="83" customFormat="1" ht="12.75">
      <c r="A1044002" s="19"/>
      <c r="B1044002" s="19"/>
      <c r="C1044002" s="19"/>
      <c r="D1044002" s="19"/>
      <c r="E1044002" s="19"/>
      <c r="F1044002" s="19"/>
      <c r="G1044002" s="19"/>
      <c r="H1044002" s="19"/>
      <c r="I1044002" s="19"/>
      <c r="J1044002" s="19"/>
      <c r="K1044002" s="19"/>
      <c r="L1044002" s="19"/>
      <c r="M1044002" s="19"/>
      <c r="N1044002" s="19"/>
    </row>
    <row r="1044003" spans="1:14" s="83" customFormat="1" ht="12.75">
      <c r="A1044003" s="19"/>
      <c r="B1044003" s="19"/>
      <c r="C1044003" s="19"/>
      <c r="D1044003" s="19"/>
      <c r="E1044003" s="19"/>
      <c r="F1044003" s="19"/>
      <c r="G1044003" s="19"/>
      <c r="H1044003" s="19"/>
      <c r="I1044003" s="19"/>
      <c r="J1044003" s="19"/>
      <c r="K1044003" s="19"/>
      <c r="L1044003" s="19"/>
      <c r="M1044003" s="19"/>
      <c r="N1044003" s="19"/>
    </row>
    <row r="1044004" spans="1:14" s="83" customFormat="1" ht="12.75">
      <c r="A1044004" s="19"/>
      <c r="B1044004" s="19"/>
      <c r="C1044004" s="19"/>
      <c r="D1044004" s="19"/>
      <c r="E1044004" s="19"/>
      <c r="F1044004" s="19"/>
      <c r="G1044004" s="19"/>
      <c r="H1044004" s="19"/>
      <c r="I1044004" s="19"/>
      <c r="J1044004" s="19"/>
      <c r="K1044004" s="19"/>
      <c r="L1044004" s="19"/>
      <c r="M1044004" s="19"/>
      <c r="N1044004" s="19"/>
    </row>
    <row r="1044005" spans="1:14" s="83" customFormat="1" ht="12.75">
      <c r="A1044005" s="19"/>
      <c r="B1044005" s="19"/>
      <c r="C1044005" s="19"/>
      <c r="D1044005" s="19"/>
      <c r="E1044005" s="19"/>
      <c r="F1044005" s="19"/>
      <c r="G1044005" s="19"/>
      <c r="H1044005" s="19"/>
      <c r="I1044005" s="19"/>
      <c r="J1044005" s="19"/>
      <c r="K1044005" s="19"/>
      <c r="L1044005" s="19"/>
      <c r="M1044005" s="19"/>
      <c r="N1044005" s="19"/>
    </row>
    <row r="1044006" spans="1:14" s="83" customFormat="1" ht="12.75">
      <c r="A1044006" s="19"/>
      <c r="B1044006" s="19"/>
      <c r="C1044006" s="19"/>
      <c r="D1044006" s="19"/>
      <c r="E1044006" s="19"/>
      <c r="F1044006" s="19"/>
      <c r="G1044006" s="19"/>
      <c r="H1044006" s="19"/>
      <c r="I1044006" s="19"/>
      <c r="J1044006" s="19"/>
      <c r="K1044006" s="19"/>
      <c r="L1044006" s="19"/>
      <c r="M1044006" s="19"/>
      <c r="N1044006" s="19"/>
    </row>
    <row r="1044007" spans="1:14" s="83" customFormat="1" ht="12.75">
      <c r="A1044007" s="19"/>
      <c r="B1044007" s="19"/>
      <c r="C1044007" s="19"/>
      <c r="D1044007" s="19"/>
      <c r="E1044007" s="19"/>
      <c r="F1044007" s="19"/>
      <c r="G1044007" s="19"/>
      <c r="H1044007" s="19"/>
      <c r="I1044007" s="19"/>
      <c r="J1044007" s="19"/>
      <c r="K1044007" s="19"/>
      <c r="L1044007" s="19"/>
      <c r="M1044007" s="19"/>
      <c r="N1044007" s="19"/>
    </row>
    <row r="1044008" spans="1:14" s="83" customFormat="1" ht="12.75">
      <c r="A1044008" s="19"/>
      <c r="B1044008" s="19"/>
      <c r="C1044008" s="19"/>
      <c r="D1044008" s="19"/>
      <c r="E1044008" s="19"/>
      <c r="F1044008" s="19"/>
      <c r="G1044008" s="19"/>
      <c r="H1044008" s="19"/>
      <c r="I1044008" s="19"/>
      <c r="J1044008" s="19"/>
      <c r="K1044008" s="19"/>
      <c r="L1044008" s="19"/>
      <c r="M1044008" s="19"/>
      <c r="N1044008" s="19"/>
    </row>
    <row r="1044009" spans="1:14" s="83" customFormat="1" ht="12.75">
      <c r="A1044009" s="19"/>
      <c r="B1044009" s="19"/>
      <c r="C1044009" s="19"/>
      <c r="D1044009" s="19"/>
      <c r="E1044009" s="19"/>
      <c r="F1044009" s="19"/>
      <c r="G1044009" s="19"/>
      <c r="H1044009" s="19"/>
      <c r="I1044009" s="19"/>
      <c r="J1044009" s="19"/>
      <c r="K1044009" s="19"/>
      <c r="L1044009" s="19"/>
      <c r="M1044009" s="19"/>
      <c r="N1044009" s="19"/>
    </row>
    <row r="1044010" spans="1:14" s="83" customFormat="1" ht="12.75">
      <c r="A1044010" s="19"/>
      <c r="B1044010" s="19"/>
      <c r="C1044010" s="19"/>
      <c r="D1044010" s="19"/>
      <c r="E1044010" s="19"/>
      <c r="F1044010" s="19"/>
      <c r="G1044010" s="19"/>
      <c r="H1044010" s="19"/>
      <c r="I1044010" s="19"/>
      <c r="J1044010" s="19"/>
      <c r="K1044010" s="19"/>
      <c r="L1044010" s="19"/>
      <c r="M1044010" s="19"/>
      <c r="N1044010" s="19"/>
    </row>
    <row r="1044011" spans="1:14" s="83" customFormat="1" ht="12.75">
      <c r="A1044011" s="19"/>
      <c r="B1044011" s="19"/>
      <c r="C1044011" s="19"/>
      <c r="D1044011" s="19"/>
      <c r="E1044011" s="19"/>
      <c r="F1044011" s="19"/>
      <c r="G1044011" s="19"/>
      <c r="H1044011" s="19"/>
      <c r="I1044011" s="19"/>
      <c r="J1044011" s="19"/>
      <c r="K1044011" s="19"/>
      <c r="L1044011" s="19"/>
      <c r="M1044011" s="19"/>
      <c r="N1044011" s="19"/>
    </row>
    <row r="1044012" spans="1:14" s="83" customFormat="1" ht="12.75">
      <c r="A1044012" s="19"/>
      <c r="B1044012" s="19"/>
      <c r="C1044012" s="19"/>
      <c r="D1044012" s="19"/>
      <c r="E1044012" s="19"/>
      <c r="F1044012" s="19"/>
      <c r="G1044012" s="19"/>
      <c r="H1044012" s="19"/>
      <c r="I1044012" s="19"/>
      <c r="J1044012" s="19"/>
      <c r="K1044012" s="19"/>
      <c r="L1044012" s="19"/>
      <c r="M1044012" s="19"/>
      <c r="N1044012" s="19"/>
    </row>
    <row r="1044013" spans="1:14" s="83" customFormat="1" ht="12.75">
      <c r="A1044013" s="19"/>
      <c r="B1044013" s="19"/>
      <c r="C1044013" s="19"/>
      <c r="D1044013" s="19"/>
      <c r="E1044013" s="19"/>
      <c r="F1044013" s="19"/>
      <c r="G1044013" s="19"/>
      <c r="H1044013" s="19"/>
      <c r="I1044013" s="19"/>
      <c r="J1044013" s="19"/>
      <c r="K1044013" s="19"/>
      <c r="L1044013" s="19"/>
      <c r="M1044013" s="19"/>
      <c r="N1044013" s="19"/>
    </row>
    <row r="1044014" spans="1:14" s="83" customFormat="1" ht="12.75">
      <c r="A1044014" s="19"/>
      <c r="B1044014" s="19"/>
      <c r="C1044014" s="19"/>
      <c r="D1044014" s="19"/>
      <c r="E1044014" s="19"/>
      <c r="F1044014" s="19"/>
      <c r="G1044014" s="19"/>
      <c r="H1044014" s="19"/>
      <c r="I1044014" s="19"/>
      <c r="J1044014" s="19"/>
      <c r="K1044014" s="19"/>
      <c r="L1044014" s="19"/>
      <c r="M1044014" s="19"/>
      <c r="N1044014" s="19"/>
    </row>
    <row r="1044015" spans="1:14" s="83" customFormat="1" ht="12.75">
      <c r="A1044015" s="19"/>
      <c r="B1044015" s="19"/>
      <c r="C1044015" s="19"/>
      <c r="D1044015" s="19"/>
      <c r="E1044015" s="19"/>
      <c r="F1044015" s="19"/>
      <c r="G1044015" s="19"/>
      <c r="H1044015" s="19"/>
      <c r="I1044015" s="19"/>
      <c r="J1044015" s="19"/>
      <c r="K1044015" s="19"/>
      <c r="L1044015" s="19"/>
      <c r="M1044015" s="19"/>
      <c r="N1044015" s="19"/>
    </row>
    <row r="1044016" spans="1:14" s="83" customFormat="1" ht="12.75">
      <c r="A1044016" s="19"/>
      <c r="B1044016" s="19"/>
      <c r="C1044016" s="19"/>
      <c r="D1044016" s="19"/>
      <c r="E1044016" s="19"/>
      <c r="F1044016" s="19"/>
      <c r="G1044016" s="19"/>
      <c r="H1044016" s="19"/>
      <c r="I1044016" s="19"/>
      <c r="J1044016" s="19"/>
      <c r="K1044016" s="19"/>
      <c r="L1044016" s="19"/>
      <c r="M1044016" s="19"/>
      <c r="N1044016" s="19"/>
    </row>
    <row r="1044017" spans="1:14" s="83" customFormat="1" ht="12.75">
      <c r="A1044017" s="19"/>
      <c r="B1044017" s="19"/>
      <c r="C1044017" s="19"/>
      <c r="D1044017" s="19"/>
      <c r="E1044017" s="19"/>
      <c r="F1044017" s="19"/>
      <c r="G1044017" s="19"/>
      <c r="H1044017" s="19"/>
      <c r="I1044017" s="19"/>
      <c r="J1044017" s="19"/>
      <c r="K1044017" s="19"/>
      <c r="L1044017" s="19"/>
      <c r="M1044017" s="19"/>
      <c r="N1044017" s="19"/>
    </row>
    <row r="1044018" spans="1:14" s="83" customFormat="1" ht="12.75">
      <c r="A1044018" s="19"/>
      <c r="B1044018" s="19"/>
      <c r="C1044018" s="19"/>
      <c r="D1044018" s="19"/>
      <c r="E1044018" s="19"/>
      <c r="F1044018" s="19"/>
      <c r="G1044018" s="19"/>
      <c r="H1044018" s="19"/>
      <c r="I1044018" s="19"/>
      <c r="J1044018" s="19"/>
      <c r="K1044018" s="19"/>
      <c r="L1044018" s="19"/>
      <c r="M1044018" s="19"/>
      <c r="N1044018" s="19"/>
    </row>
    <row r="1044019" spans="1:14" s="83" customFormat="1" ht="12.75">
      <c r="A1044019" s="19"/>
      <c r="B1044019" s="19"/>
      <c r="C1044019" s="19"/>
      <c r="D1044019" s="19"/>
      <c r="E1044019" s="19"/>
      <c r="F1044019" s="19"/>
      <c r="G1044019" s="19"/>
      <c r="H1044019" s="19"/>
      <c r="I1044019" s="19"/>
      <c r="J1044019" s="19"/>
      <c r="K1044019" s="19"/>
      <c r="L1044019" s="19"/>
      <c r="M1044019" s="19"/>
      <c r="N1044019" s="19"/>
    </row>
    <row r="1044020" spans="1:14" s="83" customFormat="1" ht="12.75">
      <c r="A1044020" s="19"/>
      <c r="B1044020" s="19"/>
      <c r="C1044020" s="19"/>
      <c r="D1044020" s="19"/>
      <c r="E1044020" s="19"/>
      <c r="F1044020" s="19"/>
      <c r="G1044020" s="19"/>
      <c r="H1044020" s="19"/>
      <c r="I1044020" s="19"/>
      <c r="J1044020" s="19"/>
      <c r="K1044020" s="19"/>
      <c r="L1044020" s="19"/>
      <c r="M1044020" s="19"/>
      <c r="N1044020" s="19"/>
    </row>
    <row r="1044021" spans="1:14" s="83" customFormat="1" ht="12.75">
      <c r="A1044021" s="19"/>
      <c r="B1044021" s="19"/>
      <c r="C1044021" s="19"/>
      <c r="D1044021" s="19"/>
      <c r="E1044021" s="19"/>
      <c r="F1044021" s="19"/>
      <c r="G1044021" s="19"/>
      <c r="H1044021" s="19"/>
      <c r="I1044021" s="19"/>
      <c r="J1044021" s="19"/>
      <c r="K1044021" s="19"/>
      <c r="L1044021" s="19"/>
      <c r="M1044021" s="19"/>
      <c r="N1044021" s="19"/>
    </row>
    <row r="1044022" spans="1:14" s="83" customFormat="1" ht="12.75">
      <c r="A1044022" s="19"/>
      <c r="B1044022" s="19"/>
      <c r="C1044022" s="19"/>
      <c r="D1044022" s="19"/>
      <c r="E1044022" s="19"/>
      <c r="F1044022" s="19"/>
      <c r="G1044022" s="19"/>
      <c r="H1044022" s="19"/>
      <c r="I1044022" s="19"/>
      <c r="J1044022" s="19"/>
      <c r="K1044022" s="19"/>
      <c r="L1044022" s="19"/>
      <c r="M1044022" s="19"/>
      <c r="N1044022" s="19"/>
    </row>
    <row r="1044023" spans="1:14" s="83" customFormat="1" ht="12.75">
      <c r="A1044023" s="19"/>
      <c r="B1044023" s="19"/>
      <c r="C1044023" s="19"/>
      <c r="D1044023" s="19"/>
      <c r="E1044023" s="19"/>
      <c r="F1044023" s="19"/>
      <c r="G1044023" s="19"/>
      <c r="H1044023" s="19"/>
      <c r="I1044023" s="19"/>
      <c r="J1044023" s="19"/>
      <c r="K1044023" s="19"/>
      <c r="L1044023" s="19"/>
      <c r="M1044023" s="19"/>
      <c r="N1044023" s="19"/>
    </row>
    <row r="1044024" spans="1:14" s="83" customFormat="1" ht="12.75">
      <c r="A1044024" s="19"/>
      <c r="B1044024" s="19"/>
      <c r="C1044024" s="19"/>
      <c r="D1044024" s="19"/>
      <c r="E1044024" s="19"/>
      <c r="F1044024" s="19"/>
      <c r="G1044024" s="19"/>
      <c r="H1044024" s="19"/>
      <c r="I1044024" s="19"/>
      <c r="J1044024" s="19"/>
      <c r="K1044024" s="19"/>
      <c r="L1044024" s="19"/>
      <c r="M1044024" s="19"/>
      <c r="N1044024" s="19"/>
    </row>
    <row r="1044025" spans="1:14" s="83" customFormat="1" ht="12.75">
      <c r="A1044025" s="19"/>
      <c r="B1044025" s="19"/>
      <c r="C1044025" s="19"/>
      <c r="D1044025" s="19"/>
      <c r="E1044025" s="19"/>
      <c r="F1044025" s="19"/>
      <c r="G1044025" s="19"/>
      <c r="H1044025" s="19"/>
      <c r="I1044025" s="19"/>
      <c r="J1044025" s="19"/>
      <c r="K1044025" s="19"/>
      <c r="L1044025" s="19"/>
      <c r="M1044025" s="19"/>
      <c r="N1044025" s="19"/>
    </row>
    <row r="1044026" spans="1:14" s="83" customFormat="1" ht="12.75">
      <c r="A1044026" s="19"/>
      <c r="B1044026" s="19"/>
      <c r="C1044026" s="19"/>
      <c r="D1044026" s="19"/>
      <c r="E1044026" s="19"/>
      <c r="F1044026" s="19"/>
      <c r="G1044026" s="19"/>
      <c r="H1044026" s="19"/>
      <c r="I1044026" s="19"/>
      <c r="J1044026" s="19"/>
      <c r="K1044026" s="19"/>
      <c r="L1044026" s="19"/>
      <c r="M1044026" s="19"/>
      <c r="N1044026" s="19"/>
    </row>
    <row r="1044027" spans="1:14" s="83" customFormat="1" ht="12.75">
      <c r="A1044027" s="19"/>
      <c r="B1044027" s="19"/>
      <c r="C1044027" s="19"/>
      <c r="D1044027" s="19"/>
      <c r="E1044027" s="19"/>
      <c r="F1044027" s="19"/>
      <c r="G1044027" s="19"/>
      <c r="H1044027" s="19"/>
      <c r="I1044027" s="19"/>
      <c r="J1044027" s="19"/>
      <c r="K1044027" s="19"/>
      <c r="L1044027" s="19"/>
      <c r="M1044027" s="19"/>
      <c r="N1044027" s="19"/>
    </row>
    <row r="1044028" spans="1:14" s="83" customFormat="1" ht="12.75">
      <c r="A1044028" s="19"/>
      <c r="B1044028" s="19"/>
      <c r="C1044028" s="19"/>
      <c r="D1044028" s="19"/>
      <c r="E1044028" s="19"/>
      <c r="F1044028" s="19"/>
      <c r="G1044028" s="19"/>
      <c r="H1044028" s="19"/>
      <c r="I1044028" s="19"/>
      <c r="J1044028" s="19"/>
      <c r="K1044028" s="19"/>
      <c r="L1044028" s="19"/>
      <c r="M1044028" s="19"/>
      <c r="N1044028" s="19"/>
    </row>
    <row r="1044029" spans="1:14" s="83" customFormat="1" ht="12.75">
      <c r="A1044029" s="19"/>
      <c r="B1044029" s="19"/>
      <c r="C1044029" s="19"/>
      <c r="D1044029" s="19"/>
      <c r="E1044029" s="19"/>
      <c r="F1044029" s="19"/>
      <c r="G1044029" s="19"/>
      <c r="H1044029" s="19"/>
      <c r="I1044029" s="19"/>
      <c r="J1044029" s="19"/>
      <c r="K1044029" s="19"/>
      <c r="L1044029" s="19"/>
      <c r="M1044029" s="19"/>
      <c r="N1044029" s="19"/>
    </row>
    <row r="1044030" spans="1:14" s="83" customFormat="1" ht="12.75">
      <c r="A1044030" s="19"/>
      <c r="B1044030" s="19"/>
      <c r="C1044030" s="19"/>
      <c r="D1044030" s="19"/>
      <c r="E1044030" s="19"/>
      <c r="F1044030" s="19"/>
      <c r="G1044030" s="19"/>
      <c r="H1044030" s="19"/>
      <c r="I1044030" s="19"/>
      <c r="J1044030" s="19"/>
      <c r="K1044030" s="19"/>
      <c r="L1044030" s="19"/>
      <c r="M1044030" s="19"/>
      <c r="N1044030" s="19"/>
    </row>
    <row r="1044031" spans="1:14" s="83" customFormat="1" ht="12.75">
      <c r="A1044031" s="19"/>
      <c r="B1044031" s="19"/>
      <c r="C1044031" s="19"/>
      <c r="D1044031" s="19"/>
      <c r="E1044031" s="19"/>
      <c r="F1044031" s="19"/>
      <c r="G1044031" s="19"/>
      <c r="H1044031" s="19"/>
      <c r="I1044031" s="19"/>
      <c r="J1044031" s="19"/>
      <c r="K1044031" s="19"/>
      <c r="L1044031" s="19"/>
      <c r="M1044031" s="19"/>
      <c r="N1044031" s="19"/>
    </row>
    <row r="1044032" spans="1:14" s="83" customFormat="1" ht="12.75">
      <c r="A1044032" s="19"/>
      <c r="B1044032" s="19"/>
      <c r="C1044032" s="19"/>
      <c r="D1044032" s="19"/>
      <c r="E1044032" s="19"/>
      <c r="F1044032" s="19"/>
      <c r="G1044032" s="19"/>
      <c r="H1044032" s="19"/>
      <c r="I1044032" s="19"/>
      <c r="J1044032" s="19"/>
      <c r="K1044032" s="19"/>
      <c r="L1044032" s="19"/>
      <c r="M1044032" s="19"/>
      <c r="N1044032" s="19"/>
    </row>
    <row r="1044033" spans="1:14" s="83" customFormat="1" ht="12.75">
      <c r="A1044033" s="19"/>
      <c r="B1044033" s="19"/>
      <c r="C1044033" s="19"/>
      <c r="D1044033" s="19"/>
      <c r="E1044033" s="19"/>
      <c r="F1044033" s="19"/>
      <c r="G1044033" s="19"/>
      <c r="H1044033" s="19"/>
      <c r="I1044033" s="19"/>
      <c r="J1044033" s="19"/>
      <c r="K1044033" s="19"/>
      <c r="L1044033" s="19"/>
      <c r="M1044033" s="19"/>
      <c r="N1044033" s="19"/>
    </row>
    <row r="1044034" spans="1:14" s="83" customFormat="1" ht="12.75">
      <c r="A1044034" s="19"/>
      <c r="B1044034" s="19"/>
      <c r="C1044034" s="19"/>
      <c r="D1044034" s="19"/>
      <c r="E1044034" s="19"/>
      <c r="F1044034" s="19"/>
      <c r="G1044034" s="19"/>
      <c r="H1044034" s="19"/>
      <c r="I1044034" s="19"/>
      <c r="J1044034" s="19"/>
      <c r="K1044034" s="19"/>
      <c r="L1044034" s="19"/>
      <c r="M1044034" s="19"/>
      <c r="N1044034" s="19"/>
    </row>
    <row r="1044035" spans="1:14" s="83" customFormat="1" ht="12.75">
      <c r="A1044035" s="19"/>
      <c r="B1044035" s="19"/>
      <c r="C1044035" s="19"/>
      <c r="D1044035" s="19"/>
      <c r="E1044035" s="19"/>
      <c r="F1044035" s="19"/>
      <c r="G1044035" s="19"/>
      <c r="H1044035" s="19"/>
      <c r="I1044035" s="19"/>
      <c r="J1044035" s="19"/>
      <c r="K1044035" s="19"/>
      <c r="L1044035" s="19"/>
      <c r="M1044035" s="19"/>
      <c r="N1044035" s="19"/>
    </row>
    <row r="1044036" spans="1:14" s="83" customFormat="1" ht="12.75">
      <c r="A1044036" s="19"/>
      <c r="B1044036" s="19"/>
      <c r="C1044036" s="19"/>
      <c r="D1044036" s="19"/>
      <c r="E1044036" s="19"/>
      <c r="F1044036" s="19"/>
      <c r="G1044036" s="19"/>
      <c r="H1044036" s="19"/>
      <c r="I1044036" s="19"/>
      <c r="J1044036" s="19"/>
      <c r="K1044036" s="19"/>
      <c r="L1044036" s="19"/>
      <c r="M1044036" s="19"/>
      <c r="N1044036" s="19"/>
    </row>
    <row r="1044037" spans="1:14" s="83" customFormat="1" ht="12.75">
      <c r="A1044037" s="19"/>
      <c r="B1044037" s="19"/>
      <c r="C1044037" s="19"/>
      <c r="D1044037" s="19"/>
      <c r="E1044037" s="19"/>
      <c r="F1044037" s="19"/>
      <c r="G1044037" s="19"/>
      <c r="H1044037" s="19"/>
      <c r="I1044037" s="19"/>
      <c r="J1044037" s="19"/>
      <c r="K1044037" s="19"/>
      <c r="L1044037" s="19"/>
      <c r="M1044037" s="19"/>
      <c r="N1044037" s="19"/>
    </row>
    <row r="1044038" spans="1:14" s="83" customFormat="1" ht="12.75">
      <c r="A1044038" s="19"/>
      <c r="B1044038" s="19"/>
      <c r="C1044038" s="19"/>
      <c r="D1044038" s="19"/>
      <c r="E1044038" s="19"/>
      <c r="F1044038" s="19"/>
      <c r="G1044038" s="19"/>
      <c r="H1044038" s="19"/>
      <c r="I1044038" s="19"/>
      <c r="J1044038" s="19"/>
      <c r="K1044038" s="19"/>
      <c r="L1044038" s="19"/>
      <c r="M1044038" s="19"/>
      <c r="N1044038" s="19"/>
    </row>
    <row r="1044039" spans="1:14" s="83" customFormat="1" ht="12.75">
      <c r="A1044039" s="19"/>
      <c r="B1044039" s="19"/>
      <c r="C1044039" s="19"/>
      <c r="D1044039" s="19"/>
      <c r="E1044039" s="19"/>
      <c r="F1044039" s="19"/>
      <c r="G1044039" s="19"/>
      <c r="H1044039" s="19"/>
      <c r="I1044039" s="19"/>
      <c r="J1044039" s="19"/>
      <c r="K1044039" s="19"/>
      <c r="L1044039" s="19"/>
      <c r="M1044039" s="19"/>
      <c r="N1044039" s="19"/>
    </row>
    <row r="1044040" spans="1:14" s="83" customFormat="1" ht="12.75">
      <c r="A1044040" s="19"/>
      <c r="B1044040" s="19"/>
      <c r="C1044040" s="19"/>
      <c r="D1044040" s="19"/>
      <c r="E1044040" s="19"/>
      <c r="F1044040" s="19"/>
      <c r="G1044040" s="19"/>
      <c r="H1044040" s="19"/>
      <c r="I1044040" s="19"/>
      <c r="J1044040" s="19"/>
      <c r="K1044040" s="19"/>
      <c r="L1044040" s="19"/>
      <c r="M1044040" s="19"/>
      <c r="N1044040" s="19"/>
    </row>
    <row r="1044041" spans="1:14" s="83" customFormat="1" ht="12.75">
      <c r="A1044041" s="19"/>
      <c r="B1044041" s="19"/>
      <c r="C1044041" s="19"/>
      <c r="D1044041" s="19"/>
      <c r="E1044041" s="19"/>
      <c r="F1044041" s="19"/>
      <c r="G1044041" s="19"/>
      <c r="H1044041" s="19"/>
      <c r="I1044041" s="19"/>
      <c r="J1044041" s="19"/>
      <c r="K1044041" s="19"/>
      <c r="L1044041" s="19"/>
      <c r="M1044041" s="19"/>
      <c r="N1044041" s="19"/>
    </row>
    <row r="1044042" spans="1:14" s="83" customFormat="1" ht="12.75">
      <c r="A1044042" s="19"/>
      <c r="B1044042" s="19"/>
      <c r="C1044042" s="19"/>
      <c r="D1044042" s="19"/>
      <c r="E1044042" s="19"/>
      <c r="F1044042" s="19"/>
      <c r="G1044042" s="19"/>
      <c r="H1044042" s="19"/>
      <c r="I1044042" s="19"/>
      <c r="J1044042" s="19"/>
      <c r="K1044042" s="19"/>
      <c r="L1044042" s="19"/>
      <c r="M1044042" s="19"/>
      <c r="N1044042" s="19"/>
    </row>
    <row r="1044043" spans="1:14" s="83" customFormat="1" ht="12.75">
      <c r="A1044043" s="19"/>
      <c r="B1044043" s="19"/>
      <c r="C1044043" s="19"/>
      <c r="D1044043" s="19"/>
      <c r="E1044043" s="19"/>
      <c r="F1044043" s="19"/>
      <c r="G1044043" s="19"/>
      <c r="H1044043" s="19"/>
      <c r="I1044043" s="19"/>
      <c r="J1044043" s="19"/>
      <c r="K1044043" s="19"/>
      <c r="L1044043" s="19"/>
      <c r="M1044043" s="19"/>
      <c r="N1044043" s="19"/>
    </row>
    <row r="1044044" spans="1:14" s="83" customFormat="1" ht="12.75">
      <c r="A1044044" s="19"/>
      <c r="B1044044" s="19"/>
      <c r="C1044044" s="19"/>
      <c r="D1044044" s="19"/>
      <c r="E1044044" s="19"/>
      <c r="F1044044" s="19"/>
      <c r="G1044044" s="19"/>
      <c r="H1044044" s="19"/>
      <c r="I1044044" s="19"/>
      <c r="J1044044" s="19"/>
      <c r="K1044044" s="19"/>
      <c r="L1044044" s="19"/>
      <c r="M1044044" s="19"/>
      <c r="N1044044" s="19"/>
    </row>
    <row r="1044045" spans="1:14" s="83" customFormat="1" ht="12.75">
      <c r="A1044045" s="19"/>
      <c r="B1044045" s="19"/>
      <c r="C1044045" s="19"/>
      <c r="D1044045" s="19"/>
      <c r="E1044045" s="19"/>
      <c r="F1044045" s="19"/>
      <c r="G1044045" s="19"/>
      <c r="H1044045" s="19"/>
      <c r="I1044045" s="19"/>
      <c r="J1044045" s="19"/>
      <c r="K1044045" s="19"/>
      <c r="L1044045" s="19"/>
      <c r="M1044045" s="19"/>
      <c r="N1044045" s="19"/>
    </row>
    <row r="1044046" spans="1:14" s="83" customFormat="1" ht="12.75">
      <c r="A1044046" s="19"/>
      <c r="B1044046" s="19"/>
      <c r="C1044046" s="19"/>
      <c r="D1044046" s="19"/>
      <c r="E1044046" s="19"/>
      <c r="F1044046" s="19"/>
      <c r="G1044046" s="19"/>
      <c r="H1044046" s="19"/>
      <c r="I1044046" s="19"/>
      <c r="J1044046" s="19"/>
      <c r="K1044046" s="19"/>
      <c r="L1044046" s="19"/>
      <c r="M1044046" s="19"/>
      <c r="N1044046" s="19"/>
    </row>
    <row r="1044047" spans="1:14" s="83" customFormat="1" ht="12.75">
      <c r="A1044047" s="19"/>
      <c r="B1044047" s="19"/>
      <c r="C1044047" s="19"/>
      <c r="D1044047" s="19"/>
      <c r="E1044047" s="19"/>
      <c r="F1044047" s="19"/>
      <c r="G1044047" s="19"/>
      <c r="H1044047" s="19"/>
      <c r="I1044047" s="19"/>
      <c r="J1044047" s="19"/>
      <c r="K1044047" s="19"/>
      <c r="L1044047" s="19"/>
      <c r="M1044047" s="19"/>
      <c r="N1044047" s="19"/>
    </row>
    <row r="1044048" spans="1:14" s="83" customFormat="1" ht="12.75">
      <c r="A1044048" s="19"/>
      <c r="B1044048" s="19"/>
      <c r="C1044048" s="19"/>
      <c r="D1044048" s="19"/>
      <c r="E1044048" s="19"/>
      <c r="F1044048" s="19"/>
      <c r="G1044048" s="19"/>
      <c r="H1044048" s="19"/>
      <c r="I1044048" s="19"/>
      <c r="J1044048" s="19"/>
      <c r="K1044048" s="19"/>
      <c r="L1044048" s="19"/>
      <c r="M1044048" s="19"/>
      <c r="N1044048" s="19"/>
    </row>
    <row r="1044049" spans="1:14" s="83" customFormat="1" ht="12.75">
      <c r="A1044049" s="19"/>
      <c r="B1044049" s="19"/>
      <c r="C1044049" s="19"/>
      <c r="D1044049" s="19"/>
      <c r="E1044049" s="19"/>
      <c r="F1044049" s="19"/>
      <c r="G1044049" s="19"/>
      <c r="H1044049" s="19"/>
      <c r="I1044049" s="19"/>
      <c r="J1044049" s="19"/>
      <c r="K1044049" s="19"/>
      <c r="L1044049" s="19"/>
      <c r="M1044049" s="19"/>
      <c r="N1044049" s="19"/>
    </row>
    <row r="1044050" spans="1:14" s="83" customFormat="1" ht="12.75">
      <c r="A1044050" s="19"/>
      <c r="B1044050" s="19"/>
      <c r="C1044050" s="19"/>
      <c r="D1044050" s="19"/>
      <c r="E1044050" s="19"/>
      <c r="F1044050" s="19"/>
      <c r="G1044050" s="19"/>
      <c r="H1044050" s="19"/>
      <c r="I1044050" s="19"/>
      <c r="J1044050" s="19"/>
      <c r="K1044050" s="19"/>
      <c r="L1044050" s="19"/>
      <c r="M1044050" s="19"/>
      <c r="N1044050" s="19"/>
    </row>
    <row r="1044051" spans="1:14" s="83" customFormat="1" ht="12.75">
      <c r="A1044051" s="19"/>
      <c r="B1044051" s="19"/>
      <c r="C1044051" s="19"/>
      <c r="D1044051" s="19"/>
      <c r="E1044051" s="19"/>
      <c r="F1044051" s="19"/>
      <c r="G1044051" s="19"/>
      <c r="H1044051" s="19"/>
      <c r="I1044051" s="19"/>
      <c r="J1044051" s="19"/>
      <c r="K1044051" s="19"/>
      <c r="L1044051" s="19"/>
      <c r="M1044051" s="19"/>
      <c r="N1044051" s="19"/>
    </row>
    <row r="1044052" spans="1:14" s="83" customFormat="1" ht="12.75">
      <c r="A1044052" s="19"/>
      <c r="B1044052" s="19"/>
      <c r="C1044052" s="19"/>
      <c r="D1044052" s="19"/>
      <c r="E1044052" s="19"/>
      <c r="F1044052" s="19"/>
      <c r="G1044052" s="19"/>
      <c r="H1044052" s="19"/>
      <c r="I1044052" s="19"/>
      <c r="J1044052" s="19"/>
      <c r="K1044052" s="19"/>
      <c r="L1044052" s="19"/>
      <c r="M1044052" s="19"/>
      <c r="N1044052" s="19"/>
    </row>
    <row r="1044053" spans="1:14" s="83" customFormat="1" ht="12.75">
      <c r="A1044053" s="19"/>
      <c r="B1044053" s="19"/>
      <c r="C1044053" s="19"/>
      <c r="D1044053" s="19"/>
      <c r="E1044053" s="19"/>
      <c r="F1044053" s="19"/>
      <c r="G1044053" s="19"/>
      <c r="H1044053" s="19"/>
      <c r="I1044053" s="19"/>
      <c r="J1044053" s="19"/>
      <c r="K1044053" s="19"/>
      <c r="L1044053" s="19"/>
      <c r="M1044053" s="19"/>
      <c r="N1044053" s="19"/>
    </row>
    <row r="1044054" spans="1:14" s="83" customFormat="1" ht="12.75">
      <c r="A1044054" s="19"/>
      <c r="B1044054" s="19"/>
      <c r="C1044054" s="19"/>
      <c r="D1044054" s="19"/>
      <c r="E1044054" s="19"/>
      <c r="F1044054" s="19"/>
      <c r="G1044054" s="19"/>
      <c r="H1044054" s="19"/>
      <c r="I1044054" s="19"/>
      <c r="J1044054" s="19"/>
      <c r="K1044054" s="19"/>
      <c r="L1044054" s="19"/>
      <c r="M1044054" s="19"/>
      <c r="N1044054" s="19"/>
    </row>
    <row r="1044055" spans="1:14" s="83" customFormat="1" ht="12.75">
      <c r="A1044055" s="19"/>
      <c r="B1044055" s="19"/>
      <c r="C1044055" s="19"/>
      <c r="D1044055" s="19"/>
      <c r="E1044055" s="19"/>
      <c r="F1044055" s="19"/>
      <c r="G1044055" s="19"/>
      <c r="H1044055" s="19"/>
      <c r="I1044055" s="19"/>
      <c r="J1044055" s="19"/>
      <c r="K1044055" s="19"/>
      <c r="L1044055" s="19"/>
      <c r="M1044055" s="19"/>
      <c r="N1044055" s="19"/>
    </row>
    <row r="1044056" spans="1:14" s="83" customFormat="1" ht="12.75">
      <c r="A1044056" s="19"/>
      <c r="B1044056" s="19"/>
      <c r="C1044056" s="19"/>
      <c r="D1044056" s="19"/>
      <c r="E1044056" s="19"/>
      <c r="F1044056" s="19"/>
      <c r="G1044056" s="19"/>
      <c r="H1044056" s="19"/>
      <c r="I1044056" s="19"/>
      <c r="J1044056" s="19"/>
      <c r="K1044056" s="19"/>
      <c r="L1044056" s="19"/>
      <c r="M1044056" s="19"/>
      <c r="N1044056" s="19"/>
    </row>
    <row r="1044057" spans="1:14" s="83" customFormat="1" ht="12.75">
      <c r="A1044057" s="19"/>
      <c r="B1044057" s="19"/>
      <c r="C1044057" s="19"/>
      <c r="D1044057" s="19"/>
      <c r="E1044057" s="19"/>
      <c r="F1044057" s="19"/>
      <c r="G1044057" s="19"/>
      <c r="H1044057" s="19"/>
      <c r="I1044057" s="19"/>
      <c r="J1044057" s="19"/>
      <c r="K1044057" s="19"/>
      <c r="L1044057" s="19"/>
      <c r="M1044057" s="19"/>
      <c r="N1044057" s="19"/>
    </row>
    <row r="1044058" spans="1:14" s="83" customFormat="1" ht="12.75">
      <c r="A1044058" s="19"/>
      <c r="B1044058" s="19"/>
      <c r="C1044058" s="19"/>
      <c r="D1044058" s="19"/>
      <c r="E1044058" s="19"/>
      <c r="F1044058" s="19"/>
      <c r="G1044058" s="19"/>
      <c r="H1044058" s="19"/>
      <c r="I1044058" s="19"/>
      <c r="J1044058" s="19"/>
      <c r="K1044058" s="19"/>
      <c r="L1044058" s="19"/>
      <c r="M1044058" s="19"/>
      <c r="N1044058" s="19"/>
    </row>
    <row r="1044059" spans="1:14" s="83" customFormat="1" ht="12.75">
      <c r="A1044059" s="19"/>
      <c r="B1044059" s="19"/>
      <c r="C1044059" s="19"/>
      <c r="D1044059" s="19"/>
      <c r="E1044059" s="19"/>
      <c r="F1044059" s="19"/>
      <c r="G1044059" s="19"/>
      <c r="H1044059" s="19"/>
      <c r="I1044059" s="19"/>
      <c r="J1044059" s="19"/>
      <c r="K1044059" s="19"/>
      <c r="L1044059" s="19"/>
      <c r="M1044059" s="19"/>
      <c r="N1044059" s="19"/>
    </row>
    <row r="1044060" spans="1:14" s="83" customFormat="1" ht="12.75">
      <c r="A1044060" s="19"/>
      <c r="B1044060" s="19"/>
      <c r="C1044060" s="19"/>
      <c r="D1044060" s="19"/>
      <c r="E1044060" s="19"/>
      <c r="F1044060" s="19"/>
      <c r="G1044060" s="19"/>
      <c r="H1044060" s="19"/>
      <c r="I1044060" s="19"/>
      <c r="J1044060" s="19"/>
      <c r="K1044060" s="19"/>
      <c r="L1044060" s="19"/>
      <c r="M1044060" s="19"/>
      <c r="N1044060" s="19"/>
    </row>
    <row r="1044061" spans="1:14" s="83" customFormat="1" ht="12.75">
      <c r="A1044061" s="19"/>
      <c r="B1044061" s="19"/>
      <c r="C1044061" s="19"/>
      <c r="D1044061" s="19"/>
      <c r="E1044061" s="19"/>
      <c r="F1044061" s="19"/>
      <c r="G1044061" s="19"/>
      <c r="H1044061" s="19"/>
      <c r="I1044061" s="19"/>
      <c r="J1044061" s="19"/>
      <c r="K1044061" s="19"/>
      <c r="L1044061" s="19"/>
      <c r="M1044061" s="19"/>
      <c r="N1044061" s="19"/>
    </row>
    <row r="1044062" spans="1:14" s="83" customFormat="1" ht="12.75">
      <c r="A1044062" s="19"/>
      <c r="B1044062" s="19"/>
      <c r="C1044062" s="19"/>
      <c r="D1044062" s="19"/>
      <c r="E1044062" s="19"/>
      <c r="F1044062" s="19"/>
      <c r="G1044062" s="19"/>
      <c r="H1044062" s="19"/>
      <c r="I1044062" s="19"/>
      <c r="J1044062" s="19"/>
      <c r="K1044062" s="19"/>
      <c r="L1044062" s="19"/>
      <c r="M1044062" s="19"/>
      <c r="N1044062" s="19"/>
    </row>
    <row r="1044063" spans="1:14" s="83" customFormat="1" ht="12.75">
      <c r="A1044063" s="19"/>
      <c r="B1044063" s="19"/>
      <c r="C1044063" s="19"/>
      <c r="D1044063" s="19"/>
      <c r="E1044063" s="19"/>
      <c r="F1044063" s="19"/>
      <c r="G1044063" s="19"/>
      <c r="H1044063" s="19"/>
      <c r="I1044063" s="19"/>
      <c r="J1044063" s="19"/>
      <c r="K1044063" s="19"/>
      <c r="L1044063" s="19"/>
      <c r="M1044063" s="19"/>
      <c r="N1044063" s="19"/>
    </row>
    <row r="1044064" spans="1:14" s="83" customFormat="1" ht="12.75">
      <c r="A1044064" s="19"/>
      <c r="B1044064" s="19"/>
      <c r="C1044064" s="19"/>
      <c r="D1044064" s="19"/>
      <c r="E1044064" s="19"/>
      <c r="F1044064" s="19"/>
      <c r="G1044064" s="19"/>
      <c r="H1044064" s="19"/>
      <c r="I1044064" s="19"/>
      <c r="J1044064" s="19"/>
      <c r="K1044064" s="19"/>
      <c r="L1044064" s="19"/>
      <c r="M1044064" s="19"/>
      <c r="N1044064" s="19"/>
    </row>
    <row r="1044065" spans="1:14" s="83" customFormat="1" ht="12.75">
      <c r="A1044065" s="19"/>
      <c r="B1044065" s="19"/>
      <c r="C1044065" s="19"/>
      <c r="D1044065" s="19"/>
      <c r="E1044065" s="19"/>
      <c r="F1044065" s="19"/>
      <c r="G1044065" s="19"/>
      <c r="H1044065" s="19"/>
      <c r="I1044065" s="19"/>
      <c r="J1044065" s="19"/>
      <c r="K1044065" s="19"/>
      <c r="L1044065" s="19"/>
      <c r="M1044065" s="19"/>
      <c r="N1044065" s="19"/>
    </row>
    <row r="1044066" spans="1:14" s="83" customFormat="1" ht="12.75">
      <c r="A1044066" s="19"/>
      <c r="B1044066" s="19"/>
      <c r="C1044066" s="19"/>
      <c r="D1044066" s="19"/>
      <c r="E1044066" s="19"/>
      <c r="F1044066" s="19"/>
      <c r="G1044066" s="19"/>
      <c r="H1044066" s="19"/>
      <c r="I1044066" s="19"/>
      <c r="J1044066" s="19"/>
      <c r="K1044066" s="19"/>
      <c r="L1044066" s="19"/>
      <c r="M1044066" s="19"/>
      <c r="N1044066" s="19"/>
    </row>
    <row r="1044067" spans="1:14" s="83" customFormat="1" ht="12.75">
      <c r="A1044067" s="19"/>
      <c r="B1044067" s="19"/>
      <c r="C1044067" s="19"/>
      <c r="D1044067" s="19"/>
      <c r="E1044067" s="19"/>
      <c r="F1044067" s="19"/>
      <c r="G1044067" s="19"/>
      <c r="H1044067" s="19"/>
      <c r="I1044067" s="19"/>
      <c r="J1044067" s="19"/>
      <c r="K1044067" s="19"/>
      <c r="L1044067" s="19"/>
      <c r="M1044067" s="19"/>
      <c r="N1044067" s="19"/>
    </row>
    <row r="1044068" spans="1:14" s="83" customFormat="1" ht="12.75">
      <c r="A1044068" s="19"/>
      <c r="B1044068" s="19"/>
      <c r="C1044068" s="19"/>
      <c r="D1044068" s="19"/>
      <c r="E1044068" s="19"/>
      <c r="F1044068" s="19"/>
      <c r="G1044068" s="19"/>
      <c r="H1044068" s="19"/>
      <c r="I1044068" s="19"/>
      <c r="J1044068" s="19"/>
      <c r="K1044068" s="19"/>
      <c r="L1044068" s="19"/>
      <c r="M1044068" s="19"/>
      <c r="N1044068" s="19"/>
    </row>
    <row r="1044069" spans="1:14" s="83" customFormat="1" ht="12.75">
      <c r="A1044069" s="19"/>
      <c r="B1044069" s="19"/>
      <c r="C1044069" s="19"/>
      <c r="D1044069" s="19"/>
      <c r="E1044069" s="19"/>
      <c r="F1044069" s="19"/>
      <c r="G1044069" s="19"/>
      <c r="H1044069" s="19"/>
      <c r="I1044069" s="19"/>
      <c r="J1044069" s="19"/>
      <c r="K1044069" s="19"/>
      <c r="L1044069" s="19"/>
      <c r="M1044069" s="19"/>
      <c r="N1044069" s="19"/>
    </row>
    <row r="1044070" spans="1:14" s="83" customFormat="1" ht="12.75">
      <c r="A1044070" s="19"/>
      <c r="B1044070" s="19"/>
      <c r="C1044070" s="19"/>
      <c r="D1044070" s="19"/>
      <c r="E1044070" s="19"/>
      <c r="F1044070" s="19"/>
      <c r="G1044070" s="19"/>
      <c r="H1044070" s="19"/>
      <c r="I1044070" s="19"/>
      <c r="J1044070" s="19"/>
      <c r="K1044070" s="19"/>
      <c r="L1044070" s="19"/>
      <c r="M1044070" s="19"/>
      <c r="N1044070" s="19"/>
    </row>
    <row r="1044071" spans="1:14" s="83" customFormat="1" ht="12.75">
      <c r="A1044071" s="19"/>
      <c r="B1044071" s="19"/>
      <c r="C1044071" s="19"/>
      <c r="D1044071" s="19"/>
      <c r="E1044071" s="19"/>
      <c r="F1044071" s="19"/>
      <c r="G1044071" s="19"/>
      <c r="H1044071" s="19"/>
      <c r="I1044071" s="19"/>
      <c r="J1044071" s="19"/>
      <c r="K1044071" s="19"/>
      <c r="L1044071" s="19"/>
      <c r="M1044071" s="19"/>
      <c r="N1044071" s="19"/>
    </row>
    <row r="1044072" spans="1:14" s="83" customFormat="1" ht="12.75">
      <c r="A1044072" s="19"/>
      <c r="B1044072" s="19"/>
      <c r="C1044072" s="19"/>
      <c r="D1044072" s="19"/>
      <c r="E1044072" s="19"/>
      <c r="F1044072" s="19"/>
      <c r="G1044072" s="19"/>
      <c r="H1044072" s="19"/>
      <c r="I1044072" s="19"/>
      <c r="J1044072" s="19"/>
      <c r="K1044072" s="19"/>
      <c r="L1044072" s="19"/>
      <c r="M1044072" s="19"/>
      <c r="N1044072" s="19"/>
    </row>
    <row r="1044073" spans="1:14" s="83" customFormat="1" ht="12.75">
      <c r="A1044073" s="19"/>
      <c r="B1044073" s="19"/>
      <c r="C1044073" s="19"/>
      <c r="D1044073" s="19"/>
      <c r="E1044073" s="19"/>
      <c r="F1044073" s="19"/>
      <c r="G1044073" s="19"/>
      <c r="H1044073" s="19"/>
      <c r="I1044073" s="19"/>
      <c r="J1044073" s="19"/>
      <c r="K1044073" s="19"/>
      <c r="L1044073" s="19"/>
      <c r="M1044073" s="19"/>
      <c r="N1044073" s="19"/>
    </row>
    <row r="1044074" spans="1:14" s="83" customFormat="1" ht="12.75">
      <c r="A1044074" s="19"/>
      <c r="B1044074" s="19"/>
      <c r="C1044074" s="19"/>
      <c r="D1044074" s="19"/>
      <c r="E1044074" s="19"/>
      <c r="F1044074" s="19"/>
      <c r="G1044074" s="19"/>
      <c r="H1044074" s="19"/>
      <c r="I1044074" s="19"/>
      <c r="J1044074" s="19"/>
      <c r="K1044074" s="19"/>
      <c r="L1044074" s="19"/>
      <c r="M1044074" s="19"/>
      <c r="N1044074" s="19"/>
    </row>
    <row r="1044075" spans="1:14" s="83" customFormat="1" ht="12.75">
      <c r="A1044075" s="19"/>
      <c r="B1044075" s="19"/>
      <c r="C1044075" s="19"/>
      <c r="D1044075" s="19"/>
      <c r="E1044075" s="19"/>
      <c r="F1044075" s="19"/>
      <c r="G1044075" s="19"/>
      <c r="H1044075" s="19"/>
      <c r="I1044075" s="19"/>
      <c r="J1044075" s="19"/>
      <c r="K1044075" s="19"/>
      <c r="L1044075" s="19"/>
      <c r="M1044075" s="19"/>
      <c r="N1044075" s="19"/>
    </row>
    <row r="1044076" spans="1:14" s="83" customFormat="1" ht="12.75">
      <c r="A1044076" s="19"/>
      <c r="B1044076" s="19"/>
      <c r="C1044076" s="19"/>
      <c r="D1044076" s="19"/>
      <c r="E1044076" s="19"/>
      <c r="F1044076" s="19"/>
      <c r="G1044076" s="19"/>
      <c r="H1044076" s="19"/>
      <c r="I1044076" s="19"/>
      <c r="J1044076" s="19"/>
      <c r="K1044076" s="19"/>
      <c r="L1044076" s="19"/>
      <c r="M1044076" s="19"/>
      <c r="N1044076" s="19"/>
    </row>
    <row r="1044077" spans="1:14" s="83" customFormat="1" ht="12.75">
      <c r="A1044077" s="19"/>
      <c r="B1044077" s="19"/>
      <c r="C1044077" s="19"/>
      <c r="D1044077" s="19"/>
      <c r="E1044077" s="19"/>
      <c r="F1044077" s="19"/>
      <c r="G1044077" s="19"/>
      <c r="H1044077" s="19"/>
      <c r="I1044077" s="19"/>
      <c r="J1044077" s="19"/>
      <c r="K1044077" s="19"/>
      <c r="L1044077" s="19"/>
      <c r="M1044077" s="19"/>
      <c r="N1044077" s="19"/>
    </row>
    <row r="1044078" spans="1:14" s="83" customFormat="1" ht="12.75">
      <c r="A1044078" s="19"/>
      <c r="B1044078" s="19"/>
      <c r="C1044078" s="19"/>
      <c r="D1044078" s="19"/>
      <c r="E1044078" s="19"/>
      <c r="F1044078" s="19"/>
      <c r="G1044078" s="19"/>
      <c r="H1044078" s="19"/>
      <c r="I1044078" s="19"/>
      <c r="J1044078" s="19"/>
      <c r="K1044078" s="19"/>
      <c r="L1044078" s="19"/>
      <c r="M1044078" s="19"/>
      <c r="N1044078" s="19"/>
    </row>
    <row r="1044079" spans="1:14" s="83" customFormat="1" ht="12.75">
      <c r="A1044079" s="19"/>
      <c r="B1044079" s="19"/>
      <c r="C1044079" s="19"/>
      <c r="D1044079" s="19"/>
      <c r="E1044079" s="19"/>
      <c r="F1044079" s="19"/>
      <c r="G1044079" s="19"/>
      <c r="H1044079" s="19"/>
      <c r="I1044079" s="19"/>
      <c r="J1044079" s="19"/>
      <c r="K1044079" s="19"/>
      <c r="L1044079" s="19"/>
      <c r="M1044079" s="19"/>
      <c r="N1044079" s="19"/>
    </row>
    <row r="1044080" spans="1:14" s="83" customFormat="1" ht="12.75">
      <c r="A1044080" s="19"/>
      <c r="B1044080" s="19"/>
      <c r="C1044080" s="19"/>
      <c r="D1044080" s="19"/>
      <c r="E1044080" s="19"/>
      <c r="F1044080" s="19"/>
      <c r="G1044080" s="19"/>
      <c r="H1044080" s="19"/>
      <c r="I1044080" s="19"/>
      <c r="J1044080" s="19"/>
      <c r="K1044080" s="19"/>
      <c r="L1044080" s="19"/>
      <c r="M1044080" s="19"/>
      <c r="N1044080" s="19"/>
    </row>
    <row r="1044081" spans="1:14" s="83" customFormat="1" ht="12.75">
      <c r="A1044081" s="19"/>
      <c r="B1044081" s="19"/>
      <c r="C1044081" s="19"/>
      <c r="D1044081" s="19"/>
      <c r="E1044081" s="19"/>
      <c r="F1044081" s="19"/>
      <c r="G1044081" s="19"/>
      <c r="H1044081" s="19"/>
      <c r="I1044081" s="19"/>
      <c r="J1044081" s="19"/>
      <c r="K1044081" s="19"/>
      <c r="L1044081" s="19"/>
      <c r="M1044081" s="19"/>
      <c r="N1044081" s="19"/>
    </row>
    <row r="1044082" spans="1:14" s="83" customFormat="1" ht="12.75">
      <c r="A1044082" s="19"/>
      <c r="B1044082" s="19"/>
      <c r="C1044082" s="19"/>
      <c r="D1044082" s="19"/>
      <c r="E1044082" s="19"/>
      <c r="F1044082" s="19"/>
      <c r="G1044082" s="19"/>
      <c r="H1044082" s="19"/>
      <c r="I1044082" s="19"/>
      <c r="J1044082" s="19"/>
      <c r="K1044082" s="19"/>
      <c r="L1044082" s="19"/>
      <c r="M1044082" s="19"/>
      <c r="N1044082" s="19"/>
    </row>
    <row r="1044083" spans="1:14" s="83" customFormat="1" ht="12.75">
      <c r="A1044083" s="19"/>
      <c r="B1044083" s="19"/>
      <c r="C1044083" s="19"/>
      <c r="D1044083" s="19"/>
      <c r="E1044083" s="19"/>
      <c r="F1044083" s="19"/>
      <c r="G1044083" s="19"/>
      <c r="H1044083" s="19"/>
      <c r="I1044083" s="19"/>
      <c r="J1044083" s="19"/>
      <c r="K1044083" s="19"/>
      <c r="L1044083" s="19"/>
      <c r="M1044083" s="19"/>
      <c r="N1044083" s="19"/>
    </row>
    <row r="1044084" spans="1:14" s="83" customFormat="1" ht="12.75">
      <c r="A1044084" s="19"/>
      <c r="B1044084" s="19"/>
      <c r="C1044084" s="19"/>
      <c r="D1044084" s="19"/>
      <c r="E1044084" s="19"/>
      <c r="F1044084" s="19"/>
      <c r="G1044084" s="19"/>
      <c r="H1044084" s="19"/>
      <c r="I1044084" s="19"/>
      <c r="J1044084" s="19"/>
      <c r="K1044084" s="19"/>
      <c r="L1044084" s="19"/>
      <c r="M1044084" s="19"/>
      <c r="N1044084" s="19"/>
    </row>
    <row r="1044085" spans="1:14" s="83" customFormat="1" ht="12.75">
      <c r="A1044085" s="19"/>
      <c r="B1044085" s="19"/>
      <c r="C1044085" s="19"/>
      <c r="D1044085" s="19"/>
      <c r="E1044085" s="19"/>
      <c r="F1044085" s="19"/>
      <c r="G1044085" s="19"/>
      <c r="H1044085" s="19"/>
      <c r="I1044085" s="19"/>
      <c r="J1044085" s="19"/>
      <c r="K1044085" s="19"/>
      <c r="L1044085" s="19"/>
      <c r="M1044085" s="19"/>
      <c r="N1044085" s="19"/>
    </row>
    <row r="1044086" spans="1:14" s="83" customFormat="1" ht="12.75">
      <c r="A1044086" s="19"/>
      <c r="B1044086" s="19"/>
      <c r="C1044086" s="19"/>
      <c r="D1044086" s="19"/>
      <c r="E1044086" s="19"/>
      <c r="F1044086" s="19"/>
      <c r="G1044086" s="19"/>
      <c r="H1044086" s="19"/>
      <c r="I1044086" s="19"/>
      <c r="J1044086" s="19"/>
      <c r="K1044086" s="19"/>
      <c r="L1044086" s="19"/>
      <c r="M1044086" s="19"/>
      <c r="N1044086" s="19"/>
    </row>
    <row r="1044087" spans="1:14" s="83" customFormat="1" ht="12.75">
      <c r="A1044087" s="19"/>
      <c r="B1044087" s="19"/>
      <c r="C1044087" s="19"/>
      <c r="D1044087" s="19"/>
      <c r="E1044087" s="19"/>
      <c r="F1044087" s="19"/>
      <c r="G1044087" s="19"/>
      <c r="H1044087" s="19"/>
      <c r="I1044087" s="19"/>
      <c r="J1044087" s="19"/>
      <c r="K1044087" s="19"/>
      <c r="L1044087" s="19"/>
      <c r="M1044087" s="19"/>
      <c r="N1044087" s="19"/>
    </row>
    <row r="1044088" spans="1:14" s="83" customFormat="1" ht="12.75">
      <c r="A1044088" s="19"/>
      <c r="B1044088" s="19"/>
      <c r="C1044088" s="19"/>
      <c r="D1044088" s="19"/>
      <c r="E1044088" s="19"/>
      <c r="F1044088" s="19"/>
      <c r="G1044088" s="19"/>
      <c r="H1044088" s="19"/>
      <c r="I1044088" s="19"/>
      <c r="J1044088" s="19"/>
      <c r="K1044088" s="19"/>
      <c r="L1044088" s="19"/>
      <c r="M1044088" s="19"/>
      <c r="N1044088" s="19"/>
    </row>
    <row r="1044089" spans="1:14" s="83" customFormat="1" ht="12.75">
      <c r="A1044089" s="19"/>
      <c r="B1044089" s="19"/>
      <c r="C1044089" s="19"/>
      <c r="D1044089" s="19"/>
      <c r="E1044089" s="19"/>
      <c r="F1044089" s="19"/>
      <c r="G1044089" s="19"/>
      <c r="H1044089" s="19"/>
      <c r="I1044089" s="19"/>
      <c r="J1044089" s="19"/>
      <c r="K1044089" s="19"/>
      <c r="L1044089" s="19"/>
      <c r="M1044089" s="19"/>
      <c r="N1044089" s="19"/>
    </row>
    <row r="1044090" spans="1:14" s="83" customFormat="1" ht="12.75">
      <c r="A1044090" s="19"/>
      <c r="B1044090" s="19"/>
      <c r="C1044090" s="19"/>
      <c r="D1044090" s="19"/>
      <c r="E1044090" s="19"/>
      <c r="F1044090" s="19"/>
      <c r="G1044090" s="19"/>
      <c r="H1044090" s="19"/>
      <c r="I1044090" s="19"/>
      <c r="J1044090" s="19"/>
      <c r="K1044090" s="19"/>
      <c r="L1044090" s="19"/>
      <c r="M1044090" s="19"/>
      <c r="N1044090" s="19"/>
    </row>
    <row r="1044091" spans="1:14" s="83" customFormat="1" ht="12.75">
      <c r="A1044091" s="19"/>
      <c r="B1044091" s="19"/>
      <c r="C1044091" s="19"/>
      <c r="D1044091" s="19"/>
      <c r="E1044091" s="19"/>
      <c r="F1044091" s="19"/>
      <c r="G1044091" s="19"/>
      <c r="H1044091" s="19"/>
      <c r="I1044091" s="19"/>
      <c r="J1044091" s="19"/>
      <c r="K1044091" s="19"/>
      <c r="L1044091" s="19"/>
      <c r="M1044091" s="19"/>
      <c r="N1044091" s="19"/>
    </row>
    <row r="1044092" spans="1:14" s="83" customFormat="1" ht="12.75">
      <c r="A1044092" s="19"/>
      <c r="B1044092" s="19"/>
      <c r="C1044092" s="19"/>
      <c r="D1044092" s="19"/>
      <c r="E1044092" s="19"/>
      <c r="F1044092" s="19"/>
      <c r="G1044092" s="19"/>
      <c r="H1044092" s="19"/>
      <c r="I1044092" s="19"/>
      <c r="J1044092" s="19"/>
      <c r="K1044092" s="19"/>
      <c r="L1044092" s="19"/>
      <c r="M1044092" s="19"/>
      <c r="N1044092" s="19"/>
    </row>
    <row r="1044093" spans="1:14" s="83" customFormat="1" ht="12.75">
      <c r="A1044093" s="19"/>
      <c r="B1044093" s="19"/>
      <c r="C1044093" s="19"/>
      <c r="D1044093" s="19"/>
      <c r="E1044093" s="19"/>
      <c r="F1044093" s="19"/>
      <c r="G1044093" s="19"/>
      <c r="H1044093" s="19"/>
      <c r="I1044093" s="19"/>
      <c r="J1044093" s="19"/>
      <c r="K1044093" s="19"/>
      <c r="L1044093" s="19"/>
      <c r="M1044093" s="19"/>
      <c r="N1044093" s="19"/>
    </row>
    <row r="1044094" spans="1:14" s="83" customFormat="1" ht="12.75">
      <c r="A1044094" s="19"/>
      <c r="B1044094" s="19"/>
      <c r="C1044094" s="19"/>
      <c r="D1044094" s="19"/>
      <c r="E1044094" s="19"/>
      <c r="F1044094" s="19"/>
      <c r="G1044094" s="19"/>
      <c r="H1044094" s="19"/>
      <c r="I1044094" s="19"/>
      <c r="J1044094" s="19"/>
      <c r="K1044094" s="19"/>
      <c r="L1044094" s="19"/>
      <c r="M1044094" s="19"/>
      <c r="N1044094" s="19"/>
    </row>
    <row r="1044095" spans="1:14" s="83" customFormat="1" ht="12.75">
      <c r="A1044095" s="19"/>
      <c r="B1044095" s="19"/>
      <c r="C1044095" s="19"/>
      <c r="D1044095" s="19"/>
      <c r="E1044095" s="19"/>
      <c r="F1044095" s="19"/>
      <c r="G1044095" s="19"/>
      <c r="H1044095" s="19"/>
      <c r="I1044095" s="19"/>
      <c r="J1044095" s="19"/>
      <c r="K1044095" s="19"/>
      <c r="L1044095" s="19"/>
      <c r="M1044095" s="19"/>
      <c r="N1044095" s="19"/>
    </row>
    <row r="1044096" spans="1:14" s="83" customFormat="1" ht="12.75">
      <c r="A1044096" s="19"/>
      <c r="B1044096" s="19"/>
      <c r="C1044096" s="19"/>
      <c r="D1044096" s="19"/>
      <c r="E1044096" s="19"/>
      <c r="F1044096" s="19"/>
      <c r="G1044096" s="19"/>
      <c r="H1044096" s="19"/>
      <c r="I1044096" s="19"/>
      <c r="J1044096" s="19"/>
      <c r="K1044096" s="19"/>
      <c r="L1044096" s="19"/>
      <c r="M1044096" s="19"/>
      <c r="N1044096" s="19"/>
    </row>
    <row r="1044097" spans="1:14" s="83" customFormat="1" ht="12.75">
      <c r="A1044097" s="19"/>
      <c r="B1044097" s="19"/>
      <c r="C1044097" s="19"/>
      <c r="D1044097" s="19"/>
      <c r="E1044097" s="19"/>
      <c r="F1044097" s="19"/>
      <c r="G1044097" s="19"/>
      <c r="H1044097" s="19"/>
      <c r="I1044097" s="19"/>
      <c r="J1044097" s="19"/>
      <c r="K1044097" s="19"/>
      <c r="L1044097" s="19"/>
      <c r="M1044097" s="19"/>
      <c r="N1044097" s="19"/>
    </row>
    <row r="1044098" spans="1:14" s="83" customFormat="1" ht="12.75">
      <c r="A1044098" s="19"/>
      <c r="B1044098" s="19"/>
      <c r="C1044098" s="19"/>
      <c r="D1044098" s="19"/>
      <c r="E1044098" s="19"/>
      <c r="F1044098" s="19"/>
      <c r="G1044098" s="19"/>
      <c r="H1044098" s="19"/>
      <c r="I1044098" s="19"/>
      <c r="J1044098" s="19"/>
      <c r="K1044098" s="19"/>
      <c r="L1044098" s="19"/>
      <c r="M1044098" s="19"/>
      <c r="N1044098" s="19"/>
    </row>
    <row r="1044099" spans="1:14" s="83" customFormat="1" ht="12.75">
      <c r="A1044099" s="19"/>
      <c r="B1044099" s="19"/>
      <c r="C1044099" s="19"/>
      <c r="D1044099" s="19"/>
      <c r="E1044099" s="19"/>
      <c r="F1044099" s="19"/>
      <c r="G1044099" s="19"/>
      <c r="H1044099" s="19"/>
      <c r="I1044099" s="19"/>
      <c r="J1044099" s="19"/>
      <c r="K1044099" s="19"/>
      <c r="L1044099" s="19"/>
      <c r="M1044099" s="19"/>
      <c r="N1044099" s="19"/>
    </row>
    <row r="1044100" spans="1:14" s="83" customFormat="1" ht="12.75">
      <c r="A1044100" s="19"/>
      <c r="B1044100" s="19"/>
      <c r="C1044100" s="19"/>
      <c r="D1044100" s="19"/>
      <c r="E1044100" s="19"/>
      <c r="F1044100" s="19"/>
      <c r="G1044100" s="19"/>
      <c r="H1044100" s="19"/>
      <c r="I1044100" s="19"/>
      <c r="J1044100" s="19"/>
      <c r="K1044100" s="19"/>
      <c r="L1044100" s="19"/>
      <c r="M1044100" s="19"/>
      <c r="N1044100" s="19"/>
    </row>
    <row r="1044101" spans="1:14" s="83" customFormat="1" ht="12.75">
      <c r="A1044101" s="19"/>
      <c r="B1044101" s="19"/>
      <c r="C1044101" s="19"/>
      <c r="D1044101" s="19"/>
      <c r="E1044101" s="19"/>
      <c r="F1044101" s="19"/>
      <c r="G1044101" s="19"/>
      <c r="H1044101" s="19"/>
      <c r="I1044101" s="19"/>
      <c r="J1044101" s="19"/>
      <c r="K1044101" s="19"/>
      <c r="L1044101" s="19"/>
      <c r="M1044101" s="19"/>
      <c r="N1044101" s="19"/>
    </row>
    <row r="1044102" spans="1:14" s="83" customFormat="1" ht="12.75">
      <c r="A1044102" s="19"/>
      <c r="B1044102" s="19"/>
      <c r="C1044102" s="19"/>
      <c r="D1044102" s="19"/>
      <c r="E1044102" s="19"/>
      <c r="F1044102" s="19"/>
      <c r="G1044102" s="19"/>
      <c r="H1044102" s="19"/>
      <c r="I1044102" s="19"/>
      <c r="J1044102" s="19"/>
      <c r="K1044102" s="19"/>
      <c r="L1044102" s="19"/>
      <c r="M1044102" s="19"/>
      <c r="N1044102" s="19"/>
    </row>
    <row r="1044103" spans="1:14" s="83" customFormat="1" ht="12.75">
      <c r="A1044103" s="19"/>
      <c r="B1044103" s="19"/>
      <c r="C1044103" s="19"/>
      <c r="D1044103" s="19"/>
      <c r="E1044103" s="19"/>
      <c r="F1044103" s="19"/>
      <c r="G1044103" s="19"/>
      <c r="H1044103" s="19"/>
      <c r="I1044103" s="19"/>
      <c r="J1044103" s="19"/>
      <c r="K1044103" s="19"/>
      <c r="L1044103" s="19"/>
      <c r="M1044103" s="19"/>
      <c r="N1044103" s="19"/>
    </row>
    <row r="1044104" spans="1:14" s="83" customFormat="1" ht="12.75">
      <c r="A1044104" s="19"/>
      <c r="B1044104" s="19"/>
      <c r="C1044104" s="19"/>
      <c r="D1044104" s="19"/>
      <c r="E1044104" s="19"/>
      <c r="F1044104" s="19"/>
      <c r="G1044104" s="19"/>
      <c r="H1044104" s="19"/>
      <c r="I1044104" s="19"/>
      <c r="J1044104" s="19"/>
      <c r="K1044104" s="19"/>
      <c r="L1044104" s="19"/>
      <c r="M1044104" s="19"/>
      <c r="N1044104" s="19"/>
    </row>
    <row r="1044105" spans="1:14" s="83" customFormat="1" ht="12.75">
      <c r="A1044105" s="19"/>
      <c r="B1044105" s="19"/>
      <c r="C1044105" s="19"/>
      <c r="D1044105" s="19"/>
      <c r="E1044105" s="19"/>
      <c r="F1044105" s="19"/>
      <c r="G1044105" s="19"/>
      <c r="H1044105" s="19"/>
      <c r="I1044105" s="19"/>
      <c r="J1044105" s="19"/>
      <c r="K1044105" s="19"/>
      <c r="L1044105" s="19"/>
      <c r="M1044105" s="19"/>
      <c r="N1044105" s="19"/>
    </row>
    <row r="1044106" spans="1:14" s="83" customFormat="1" ht="12.75">
      <c r="A1044106" s="19"/>
      <c r="B1044106" s="19"/>
      <c r="C1044106" s="19"/>
      <c r="D1044106" s="19"/>
      <c r="E1044106" s="19"/>
      <c r="F1044106" s="19"/>
      <c r="G1044106" s="19"/>
      <c r="H1044106" s="19"/>
      <c r="I1044106" s="19"/>
      <c r="J1044106" s="19"/>
      <c r="K1044106" s="19"/>
      <c r="L1044106" s="19"/>
      <c r="M1044106" s="19"/>
      <c r="N1044106" s="19"/>
    </row>
    <row r="1044107" spans="1:14" s="83" customFormat="1" ht="12.75">
      <c r="A1044107" s="19"/>
      <c r="B1044107" s="19"/>
      <c r="C1044107" s="19"/>
      <c r="D1044107" s="19"/>
      <c r="E1044107" s="19"/>
      <c r="F1044107" s="19"/>
      <c r="G1044107" s="19"/>
      <c r="H1044107" s="19"/>
      <c r="I1044107" s="19"/>
      <c r="J1044107" s="19"/>
      <c r="K1044107" s="19"/>
      <c r="L1044107" s="19"/>
      <c r="M1044107" s="19"/>
      <c r="N1044107" s="19"/>
    </row>
    <row r="1044108" spans="1:14" s="83" customFormat="1" ht="12.75">
      <c r="A1044108" s="19"/>
      <c r="B1044108" s="19"/>
      <c r="C1044108" s="19"/>
      <c r="D1044108" s="19"/>
      <c r="E1044108" s="19"/>
      <c r="F1044108" s="19"/>
      <c r="G1044108" s="19"/>
      <c r="H1044108" s="19"/>
      <c r="I1044108" s="19"/>
      <c r="J1044108" s="19"/>
      <c r="K1044108" s="19"/>
      <c r="L1044108" s="19"/>
      <c r="M1044108" s="19"/>
      <c r="N1044108" s="19"/>
    </row>
    <row r="1044109" spans="1:14" s="83" customFormat="1" ht="12.75">
      <c r="A1044109" s="19"/>
      <c r="B1044109" s="19"/>
      <c r="C1044109" s="19"/>
      <c r="D1044109" s="19"/>
      <c r="E1044109" s="19"/>
      <c r="F1044109" s="19"/>
      <c r="G1044109" s="19"/>
      <c r="H1044109" s="19"/>
      <c r="I1044109" s="19"/>
      <c r="J1044109" s="19"/>
      <c r="K1044109" s="19"/>
      <c r="L1044109" s="19"/>
      <c r="M1044109" s="19"/>
      <c r="N1044109" s="19"/>
    </row>
    <row r="1044110" spans="1:14" s="83" customFormat="1" ht="12.75">
      <c r="A1044110" s="19"/>
      <c r="B1044110" s="19"/>
      <c r="C1044110" s="19"/>
      <c r="D1044110" s="19"/>
      <c r="E1044110" s="19"/>
      <c r="F1044110" s="19"/>
      <c r="G1044110" s="19"/>
      <c r="H1044110" s="19"/>
      <c r="I1044110" s="19"/>
      <c r="J1044110" s="19"/>
      <c r="K1044110" s="19"/>
      <c r="L1044110" s="19"/>
      <c r="M1044110" s="19"/>
      <c r="N1044110" s="19"/>
    </row>
    <row r="1044111" spans="1:14" s="83" customFormat="1" ht="12.75">
      <c r="A1044111" s="19"/>
      <c r="B1044111" s="19"/>
      <c r="C1044111" s="19"/>
      <c r="D1044111" s="19"/>
      <c r="E1044111" s="19"/>
      <c r="F1044111" s="19"/>
      <c r="G1044111" s="19"/>
      <c r="H1044111" s="19"/>
      <c r="I1044111" s="19"/>
      <c r="J1044111" s="19"/>
      <c r="K1044111" s="19"/>
      <c r="L1044111" s="19"/>
      <c r="M1044111" s="19"/>
      <c r="N1044111" s="19"/>
    </row>
    <row r="1044112" spans="1:14" s="83" customFormat="1" ht="12.75">
      <c r="A1044112" s="19"/>
      <c r="B1044112" s="19"/>
      <c r="C1044112" s="19"/>
      <c r="D1044112" s="19"/>
      <c r="E1044112" s="19"/>
      <c r="F1044112" s="19"/>
      <c r="G1044112" s="19"/>
      <c r="H1044112" s="19"/>
      <c r="I1044112" s="19"/>
      <c r="J1044112" s="19"/>
      <c r="K1044112" s="19"/>
      <c r="L1044112" s="19"/>
      <c r="M1044112" s="19"/>
      <c r="N1044112" s="19"/>
    </row>
    <row r="1044113" spans="1:14" s="83" customFormat="1" ht="12.75">
      <c r="A1044113" s="19"/>
      <c r="B1044113" s="19"/>
      <c r="C1044113" s="19"/>
      <c r="D1044113" s="19"/>
      <c r="E1044113" s="19"/>
      <c r="F1044113" s="19"/>
      <c r="G1044113" s="19"/>
      <c r="H1044113" s="19"/>
      <c r="I1044113" s="19"/>
      <c r="J1044113" s="19"/>
      <c r="K1044113" s="19"/>
      <c r="L1044113" s="19"/>
      <c r="M1044113" s="19"/>
      <c r="N1044113" s="19"/>
    </row>
    <row r="1044114" spans="1:14" s="83" customFormat="1" ht="12.75">
      <c r="A1044114" s="19"/>
      <c r="B1044114" s="19"/>
      <c r="C1044114" s="19"/>
      <c r="D1044114" s="19"/>
      <c r="E1044114" s="19"/>
      <c r="F1044114" s="19"/>
      <c r="G1044114" s="19"/>
      <c r="H1044114" s="19"/>
      <c r="I1044114" s="19"/>
      <c r="J1044114" s="19"/>
      <c r="K1044114" s="19"/>
      <c r="L1044114" s="19"/>
      <c r="M1044114" s="19"/>
      <c r="N1044114" s="19"/>
    </row>
    <row r="1044115" spans="1:14" s="83" customFormat="1" ht="12.75">
      <c r="A1044115" s="19"/>
      <c r="B1044115" s="19"/>
      <c r="C1044115" s="19"/>
      <c r="D1044115" s="19"/>
      <c r="E1044115" s="19"/>
      <c r="F1044115" s="19"/>
      <c r="G1044115" s="19"/>
      <c r="H1044115" s="19"/>
      <c r="I1044115" s="19"/>
      <c r="J1044115" s="19"/>
      <c r="K1044115" s="19"/>
      <c r="L1044115" s="19"/>
      <c r="M1044115" s="19"/>
      <c r="N1044115" s="19"/>
    </row>
    <row r="1044116" spans="1:14" s="83" customFormat="1" ht="12.75">
      <c r="A1044116" s="19"/>
      <c r="B1044116" s="19"/>
      <c r="C1044116" s="19"/>
      <c r="D1044116" s="19"/>
      <c r="E1044116" s="19"/>
      <c r="F1044116" s="19"/>
      <c r="G1044116" s="19"/>
      <c r="H1044116" s="19"/>
      <c r="I1044116" s="19"/>
      <c r="J1044116" s="19"/>
      <c r="K1044116" s="19"/>
      <c r="L1044116" s="19"/>
      <c r="M1044116" s="19"/>
      <c r="N1044116" s="19"/>
    </row>
    <row r="1044117" spans="1:14" s="83" customFormat="1" ht="12.75">
      <c r="A1044117" s="19"/>
      <c r="B1044117" s="19"/>
      <c r="C1044117" s="19"/>
      <c r="D1044117" s="19"/>
      <c r="E1044117" s="19"/>
      <c r="F1044117" s="19"/>
      <c r="G1044117" s="19"/>
      <c r="H1044117" s="19"/>
      <c r="I1044117" s="19"/>
      <c r="J1044117" s="19"/>
      <c r="K1044117" s="19"/>
      <c r="L1044117" s="19"/>
      <c r="M1044117" s="19"/>
      <c r="N1044117" s="19"/>
    </row>
    <row r="1044118" spans="1:14" s="83" customFormat="1" ht="12.75">
      <c r="A1044118" s="19"/>
      <c r="B1044118" s="19"/>
      <c r="C1044118" s="19"/>
      <c r="D1044118" s="19"/>
      <c r="E1044118" s="19"/>
      <c r="F1044118" s="19"/>
      <c r="G1044118" s="19"/>
      <c r="H1044118" s="19"/>
      <c r="I1044118" s="19"/>
      <c r="J1044118" s="19"/>
      <c r="K1044118" s="19"/>
      <c r="L1044118" s="19"/>
      <c r="M1044118" s="19"/>
      <c r="N1044118" s="19"/>
    </row>
    <row r="1044119" spans="1:14" s="83" customFormat="1" ht="12.75">
      <c r="A1044119" s="19"/>
      <c r="B1044119" s="19"/>
      <c r="C1044119" s="19"/>
      <c r="D1044119" s="19"/>
      <c r="E1044119" s="19"/>
      <c r="F1044119" s="19"/>
      <c r="G1044119" s="19"/>
      <c r="H1044119" s="19"/>
      <c r="I1044119" s="19"/>
      <c r="J1044119" s="19"/>
      <c r="K1044119" s="19"/>
      <c r="L1044119" s="19"/>
      <c r="M1044119" s="19"/>
      <c r="N1044119" s="19"/>
    </row>
    <row r="1044120" spans="1:14" s="83" customFormat="1" ht="12.75">
      <c r="A1044120" s="19"/>
      <c r="B1044120" s="19"/>
      <c r="C1044120" s="19"/>
      <c r="D1044120" s="19"/>
      <c r="E1044120" s="19"/>
      <c r="F1044120" s="19"/>
      <c r="G1044120" s="19"/>
      <c r="H1044120" s="19"/>
      <c r="I1044120" s="19"/>
      <c r="J1044120" s="19"/>
      <c r="K1044120" s="19"/>
      <c r="L1044120" s="19"/>
      <c r="M1044120" s="19"/>
      <c r="N1044120" s="19"/>
    </row>
    <row r="1044121" spans="1:14" s="83" customFormat="1" ht="12.75">
      <c r="A1044121" s="19"/>
      <c r="B1044121" s="19"/>
      <c r="C1044121" s="19"/>
      <c r="D1044121" s="19"/>
      <c r="E1044121" s="19"/>
      <c r="F1044121" s="19"/>
      <c r="G1044121" s="19"/>
      <c r="H1044121" s="19"/>
      <c r="I1044121" s="19"/>
      <c r="J1044121" s="19"/>
      <c r="K1044121" s="19"/>
      <c r="L1044121" s="19"/>
      <c r="M1044121" s="19"/>
      <c r="N1044121" s="19"/>
    </row>
    <row r="1044122" spans="1:14" s="83" customFormat="1" ht="12.75">
      <c r="A1044122" s="19"/>
      <c r="B1044122" s="19"/>
      <c r="C1044122" s="19"/>
      <c r="D1044122" s="19"/>
      <c r="E1044122" s="19"/>
      <c r="F1044122" s="19"/>
      <c r="G1044122" s="19"/>
      <c r="H1044122" s="19"/>
      <c r="I1044122" s="19"/>
      <c r="J1044122" s="19"/>
      <c r="K1044122" s="19"/>
      <c r="L1044122" s="19"/>
      <c r="M1044122" s="19"/>
      <c r="N1044122" s="19"/>
    </row>
    <row r="1044123" spans="1:14" s="83" customFormat="1" ht="12.75">
      <c r="A1044123" s="19"/>
      <c r="B1044123" s="19"/>
      <c r="C1044123" s="19"/>
      <c r="D1044123" s="19"/>
      <c r="E1044123" s="19"/>
      <c r="F1044123" s="19"/>
      <c r="G1044123" s="19"/>
      <c r="H1044123" s="19"/>
      <c r="I1044123" s="19"/>
      <c r="J1044123" s="19"/>
      <c r="K1044123" s="19"/>
      <c r="L1044123" s="19"/>
      <c r="M1044123" s="19"/>
      <c r="N1044123" s="19"/>
    </row>
    <row r="1044124" spans="1:14" s="83" customFormat="1" ht="12.75">
      <c r="A1044124" s="19"/>
      <c r="B1044124" s="19"/>
      <c r="C1044124" s="19"/>
      <c r="D1044124" s="19"/>
      <c r="E1044124" s="19"/>
      <c r="F1044124" s="19"/>
      <c r="G1044124" s="19"/>
      <c r="H1044124" s="19"/>
      <c r="I1044124" s="19"/>
      <c r="J1044124" s="19"/>
      <c r="K1044124" s="19"/>
      <c r="L1044124" s="19"/>
      <c r="M1044124" s="19"/>
      <c r="N1044124" s="19"/>
    </row>
    <row r="1044125" spans="1:14" s="83" customFormat="1" ht="12.75">
      <c r="A1044125" s="19"/>
      <c r="B1044125" s="19"/>
      <c r="C1044125" s="19"/>
      <c r="D1044125" s="19"/>
      <c r="E1044125" s="19"/>
      <c r="F1044125" s="19"/>
      <c r="G1044125" s="19"/>
      <c r="H1044125" s="19"/>
      <c r="I1044125" s="19"/>
      <c r="J1044125" s="19"/>
      <c r="K1044125" s="19"/>
      <c r="L1044125" s="19"/>
      <c r="M1044125" s="19"/>
      <c r="N1044125" s="19"/>
    </row>
    <row r="1044126" spans="1:14" s="83" customFormat="1" ht="12.75">
      <c r="A1044126" s="19"/>
      <c r="B1044126" s="19"/>
      <c r="C1044126" s="19"/>
      <c r="D1044126" s="19"/>
      <c r="E1044126" s="19"/>
      <c r="F1044126" s="19"/>
      <c r="G1044126" s="19"/>
      <c r="H1044126" s="19"/>
      <c r="I1044126" s="19"/>
      <c r="J1044126" s="19"/>
      <c r="K1044126" s="19"/>
      <c r="L1044126" s="19"/>
      <c r="M1044126" s="19"/>
      <c r="N1044126" s="19"/>
    </row>
    <row r="1044127" spans="1:14" s="83" customFormat="1" ht="12.75">
      <c r="A1044127" s="19"/>
      <c r="B1044127" s="19"/>
      <c r="C1044127" s="19"/>
      <c r="D1044127" s="19"/>
      <c r="E1044127" s="19"/>
      <c r="F1044127" s="19"/>
      <c r="G1044127" s="19"/>
      <c r="H1044127" s="19"/>
      <c r="I1044127" s="19"/>
      <c r="J1044127" s="19"/>
      <c r="K1044127" s="19"/>
      <c r="L1044127" s="19"/>
      <c r="M1044127" s="19"/>
      <c r="N1044127" s="19"/>
    </row>
    <row r="1044128" spans="1:14" s="83" customFormat="1" ht="12.75">
      <c r="A1044128" s="19"/>
      <c r="B1044128" s="19"/>
      <c r="C1044128" s="19"/>
      <c r="D1044128" s="19"/>
      <c r="E1044128" s="19"/>
      <c r="F1044128" s="19"/>
      <c r="G1044128" s="19"/>
      <c r="H1044128" s="19"/>
      <c r="I1044128" s="19"/>
      <c r="J1044128" s="19"/>
      <c r="K1044128" s="19"/>
      <c r="L1044128" s="19"/>
      <c r="M1044128" s="19"/>
      <c r="N1044128" s="19"/>
    </row>
    <row r="1044129" spans="1:14" s="83" customFormat="1" ht="12.75">
      <c r="A1044129" s="19"/>
      <c r="B1044129" s="19"/>
      <c r="C1044129" s="19"/>
      <c r="D1044129" s="19"/>
      <c r="E1044129" s="19"/>
      <c r="F1044129" s="19"/>
      <c r="G1044129" s="19"/>
      <c r="H1044129" s="19"/>
      <c r="I1044129" s="19"/>
      <c r="J1044129" s="19"/>
      <c r="K1044129" s="19"/>
      <c r="L1044129" s="19"/>
      <c r="M1044129" s="19"/>
      <c r="N1044129" s="19"/>
    </row>
    <row r="1044130" spans="1:14" s="83" customFormat="1" ht="12.75">
      <c r="A1044130" s="19"/>
      <c r="B1044130" s="19"/>
      <c r="C1044130" s="19"/>
      <c r="D1044130" s="19"/>
      <c r="E1044130" s="19"/>
      <c r="F1044130" s="19"/>
      <c r="G1044130" s="19"/>
      <c r="H1044130" s="19"/>
      <c r="I1044130" s="19"/>
      <c r="J1044130" s="19"/>
      <c r="K1044130" s="19"/>
      <c r="L1044130" s="19"/>
      <c r="M1044130" s="19"/>
      <c r="N1044130" s="19"/>
    </row>
    <row r="1044131" spans="1:14" s="83" customFormat="1" ht="12.75">
      <c r="A1044131" s="19"/>
      <c r="B1044131" s="19"/>
      <c r="C1044131" s="19"/>
      <c r="D1044131" s="19"/>
      <c r="E1044131" s="19"/>
      <c r="F1044131" s="19"/>
      <c r="G1044131" s="19"/>
      <c r="H1044131" s="19"/>
      <c r="I1044131" s="19"/>
      <c r="J1044131" s="19"/>
      <c r="K1044131" s="19"/>
      <c r="L1044131" s="19"/>
      <c r="M1044131" s="19"/>
      <c r="N1044131" s="19"/>
    </row>
    <row r="1044132" spans="1:14" s="83" customFormat="1" ht="12.75">
      <c r="A1044132" s="19"/>
      <c r="B1044132" s="19"/>
      <c r="C1044132" s="19"/>
      <c r="D1044132" s="19"/>
      <c r="E1044132" s="19"/>
      <c r="F1044132" s="19"/>
      <c r="G1044132" s="19"/>
      <c r="H1044132" s="19"/>
      <c r="I1044132" s="19"/>
      <c r="J1044132" s="19"/>
      <c r="K1044132" s="19"/>
      <c r="L1044132" s="19"/>
      <c r="M1044132" s="19"/>
      <c r="N1044132" s="19"/>
    </row>
    <row r="1044133" spans="1:14" s="83" customFormat="1" ht="12.75">
      <c r="A1044133" s="19"/>
      <c r="B1044133" s="19"/>
      <c r="C1044133" s="19"/>
      <c r="D1044133" s="19"/>
      <c r="E1044133" s="19"/>
      <c r="F1044133" s="19"/>
      <c r="G1044133" s="19"/>
      <c r="H1044133" s="19"/>
      <c r="I1044133" s="19"/>
      <c r="J1044133" s="19"/>
      <c r="K1044133" s="19"/>
      <c r="L1044133" s="19"/>
      <c r="M1044133" s="19"/>
      <c r="N1044133" s="19"/>
    </row>
    <row r="1044134" spans="1:14" s="83" customFormat="1" ht="12.75">
      <c r="A1044134" s="19"/>
      <c r="B1044134" s="19"/>
      <c r="C1044134" s="19"/>
      <c r="D1044134" s="19"/>
      <c r="E1044134" s="19"/>
      <c r="F1044134" s="19"/>
      <c r="G1044134" s="19"/>
      <c r="H1044134" s="19"/>
      <c r="I1044134" s="19"/>
      <c r="J1044134" s="19"/>
      <c r="K1044134" s="19"/>
      <c r="L1044134" s="19"/>
      <c r="M1044134" s="19"/>
      <c r="N1044134" s="19"/>
    </row>
    <row r="1044135" spans="1:14" s="83" customFormat="1" ht="12.75">
      <c r="A1044135" s="19"/>
      <c r="B1044135" s="19"/>
      <c r="C1044135" s="19"/>
      <c r="D1044135" s="19"/>
      <c r="E1044135" s="19"/>
      <c r="F1044135" s="19"/>
      <c r="G1044135" s="19"/>
      <c r="H1044135" s="19"/>
      <c r="I1044135" s="19"/>
      <c r="J1044135" s="19"/>
      <c r="K1044135" s="19"/>
      <c r="L1044135" s="19"/>
      <c r="M1044135" s="19"/>
      <c r="N1044135" s="19"/>
    </row>
    <row r="1044136" spans="1:14" s="83" customFormat="1" ht="12.75">
      <c r="A1044136" s="19"/>
      <c r="B1044136" s="19"/>
      <c r="C1044136" s="19"/>
      <c r="D1044136" s="19"/>
      <c r="E1044136" s="19"/>
      <c r="F1044136" s="19"/>
      <c r="G1044136" s="19"/>
      <c r="H1044136" s="19"/>
      <c r="I1044136" s="19"/>
      <c r="J1044136" s="19"/>
      <c r="K1044136" s="19"/>
      <c r="L1044136" s="19"/>
      <c r="M1044136" s="19"/>
      <c r="N1044136" s="19"/>
    </row>
    <row r="1044137" spans="1:14" s="83" customFormat="1" ht="12.75">
      <c r="A1044137" s="19"/>
      <c r="B1044137" s="19"/>
      <c r="C1044137" s="19"/>
      <c r="D1044137" s="19"/>
      <c r="E1044137" s="19"/>
      <c r="F1044137" s="19"/>
      <c r="G1044137" s="19"/>
      <c r="H1044137" s="19"/>
      <c r="I1044137" s="19"/>
      <c r="J1044137" s="19"/>
      <c r="K1044137" s="19"/>
      <c r="L1044137" s="19"/>
      <c r="M1044137" s="19"/>
      <c r="N1044137" s="19"/>
    </row>
    <row r="1044138" spans="1:14" s="83" customFormat="1" ht="12.75">
      <c r="A1044138" s="19"/>
      <c r="B1044138" s="19"/>
      <c r="C1044138" s="19"/>
      <c r="D1044138" s="19"/>
      <c r="E1044138" s="19"/>
      <c r="F1044138" s="19"/>
      <c r="G1044138" s="19"/>
      <c r="H1044138" s="19"/>
      <c r="I1044138" s="19"/>
      <c r="J1044138" s="19"/>
      <c r="K1044138" s="19"/>
      <c r="L1044138" s="19"/>
      <c r="M1044138" s="19"/>
      <c r="N1044138" s="19"/>
    </row>
    <row r="1044139" spans="1:14" s="83" customFormat="1" ht="12.75">
      <c r="A1044139" s="19"/>
      <c r="B1044139" s="19"/>
      <c r="C1044139" s="19"/>
      <c r="D1044139" s="19"/>
      <c r="E1044139" s="19"/>
      <c r="F1044139" s="19"/>
      <c r="G1044139" s="19"/>
      <c r="H1044139" s="19"/>
      <c r="I1044139" s="19"/>
      <c r="J1044139" s="19"/>
      <c r="K1044139" s="19"/>
      <c r="L1044139" s="19"/>
      <c r="M1044139" s="19"/>
      <c r="N1044139" s="19"/>
    </row>
    <row r="1044140" spans="1:14" s="83" customFormat="1" ht="12.75">
      <c r="A1044140" s="19"/>
      <c r="B1044140" s="19"/>
      <c r="C1044140" s="19"/>
      <c r="D1044140" s="19"/>
      <c r="E1044140" s="19"/>
      <c r="F1044140" s="19"/>
      <c r="G1044140" s="19"/>
      <c r="H1044140" s="19"/>
      <c r="I1044140" s="19"/>
      <c r="J1044140" s="19"/>
      <c r="K1044140" s="19"/>
      <c r="L1044140" s="19"/>
      <c r="M1044140" s="19"/>
      <c r="N1044140" s="19"/>
    </row>
    <row r="1044141" spans="1:14" s="83" customFormat="1" ht="12.75">
      <c r="A1044141" s="19"/>
      <c r="B1044141" s="19"/>
      <c r="C1044141" s="19"/>
      <c r="D1044141" s="19"/>
      <c r="E1044141" s="19"/>
      <c r="F1044141" s="19"/>
      <c r="G1044141" s="19"/>
      <c r="H1044141" s="19"/>
      <c r="I1044141" s="19"/>
      <c r="J1044141" s="19"/>
      <c r="K1044141" s="19"/>
      <c r="L1044141" s="19"/>
      <c r="M1044141" s="19"/>
      <c r="N1044141" s="19"/>
    </row>
    <row r="1044142" spans="1:14" s="83" customFormat="1" ht="12.75">
      <c r="A1044142" s="19"/>
      <c r="B1044142" s="19"/>
      <c r="C1044142" s="19"/>
      <c r="D1044142" s="19"/>
      <c r="E1044142" s="19"/>
      <c r="F1044142" s="19"/>
      <c r="G1044142" s="19"/>
      <c r="H1044142" s="19"/>
      <c r="I1044142" s="19"/>
      <c r="J1044142" s="19"/>
      <c r="K1044142" s="19"/>
      <c r="L1044142" s="19"/>
      <c r="M1044142" s="19"/>
      <c r="N1044142" s="19"/>
    </row>
    <row r="1044143" spans="1:14" s="83" customFormat="1" ht="12.75">
      <c r="A1044143" s="19"/>
      <c r="B1044143" s="19"/>
      <c r="C1044143" s="19"/>
      <c r="D1044143" s="19"/>
      <c r="E1044143" s="19"/>
      <c r="F1044143" s="19"/>
      <c r="G1044143" s="19"/>
      <c r="H1044143" s="19"/>
      <c r="I1044143" s="19"/>
      <c r="J1044143" s="19"/>
      <c r="K1044143" s="19"/>
      <c r="L1044143" s="19"/>
      <c r="M1044143" s="19"/>
      <c r="N1044143" s="19"/>
    </row>
    <row r="1044144" spans="1:14" s="83" customFormat="1" ht="12.75">
      <c r="A1044144" s="19"/>
      <c r="B1044144" s="19"/>
      <c r="C1044144" s="19"/>
      <c r="D1044144" s="19"/>
      <c r="E1044144" s="19"/>
      <c r="F1044144" s="19"/>
      <c r="G1044144" s="19"/>
      <c r="H1044144" s="19"/>
      <c r="I1044144" s="19"/>
      <c r="J1044144" s="19"/>
      <c r="K1044144" s="19"/>
      <c r="L1044144" s="19"/>
      <c r="M1044144" s="19"/>
      <c r="N1044144" s="19"/>
    </row>
    <row r="1044145" spans="1:14" s="83" customFormat="1" ht="12.75">
      <c r="A1044145" s="19"/>
      <c r="B1044145" s="19"/>
      <c r="C1044145" s="19"/>
      <c r="D1044145" s="19"/>
      <c r="E1044145" s="19"/>
      <c r="F1044145" s="19"/>
      <c r="G1044145" s="19"/>
      <c r="H1044145" s="19"/>
      <c r="I1044145" s="19"/>
      <c r="J1044145" s="19"/>
      <c r="K1044145" s="19"/>
      <c r="L1044145" s="19"/>
      <c r="M1044145" s="19"/>
      <c r="N1044145" s="19"/>
    </row>
    <row r="1044146" spans="1:14" s="83" customFormat="1" ht="12.75">
      <c r="A1044146" s="19"/>
      <c r="B1044146" s="19"/>
      <c r="C1044146" s="19"/>
      <c r="D1044146" s="19"/>
      <c r="E1044146" s="19"/>
      <c r="F1044146" s="19"/>
      <c r="G1044146" s="19"/>
      <c r="H1044146" s="19"/>
      <c r="I1044146" s="19"/>
      <c r="J1044146" s="19"/>
      <c r="K1044146" s="19"/>
      <c r="L1044146" s="19"/>
      <c r="M1044146" s="19"/>
      <c r="N1044146" s="19"/>
    </row>
    <row r="1044147" spans="1:14" s="83" customFormat="1" ht="12.75">
      <c r="A1044147" s="19"/>
      <c r="B1044147" s="19"/>
      <c r="C1044147" s="19"/>
      <c r="D1044147" s="19"/>
      <c r="E1044147" s="19"/>
      <c r="F1044147" s="19"/>
      <c r="G1044147" s="19"/>
      <c r="H1044147" s="19"/>
      <c r="I1044147" s="19"/>
      <c r="J1044147" s="19"/>
      <c r="K1044147" s="19"/>
      <c r="L1044147" s="19"/>
      <c r="M1044147" s="19"/>
      <c r="N1044147" s="19"/>
    </row>
    <row r="1044148" spans="1:14" s="83" customFormat="1" ht="12.75">
      <c r="A1044148" s="19"/>
      <c r="B1044148" s="19"/>
      <c r="C1044148" s="19"/>
      <c r="D1044148" s="19"/>
      <c r="E1044148" s="19"/>
      <c r="F1044148" s="19"/>
      <c r="G1044148" s="19"/>
      <c r="H1044148" s="19"/>
      <c r="I1044148" s="19"/>
      <c r="J1044148" s="19"/>
      <c r="K1044148" s="19"/>
      <c r="L1044148" s="19"/>
      <c r="M1044148" s="19"/>
      <c r="N1044148" s="19"/>
    </row>
    <row r="1044149" spans="1:14" s="83" customFormat="1" ht="12.75">
      <c r="A1044149" s="19"/>
      <c r="B1044149" s="19"/>
      <c r="C1044149" s="19"/>
      <c r="D1044149" s="19"/>
      <c r="E1044149" s="19"/>
      <c r="F1044149" s="19"/>
      <c r="G1044149" s="19"/>
      <c r="H1044149" s="19"/>
      <c r="I1044149" s="19"/>
      <c r="J1044149" s="19"/>
      <c r="K1044149" s="19"/>
      <c r="L1044149" s="19"/>
      <c r="M1044149" s="19"/>
      <c r="N1044149" s="19"/>
    </row>
    <row r="1044150" spans="1:14" s="83" customFormat="1" ht="12.75">
      <c r="A1044150" s="19"/>
      <c r="B1044150" s="19"/>
      <c r="C1044150" s="19"/>
      <c r="D1044150" s="19"/>
      <c r="E1044150" s="19"/>
      <c r="F1044150" s="19"/>
      <c r="G1044150" s="19"/>
      <c r="H1044150" s="19"/>
      <c r="I1044150" s="19"/>
      <c r="J1044150" s="19"/>
      <c r="K1044150" s="19"/>
      <c r="L1044150" s="19"/>
      <c r="M1044150" s="19"/>
      <c r="N1044150" s="19"/>
    </row>
    <row r="1044151" spans="1:14" s="83" customFormat="1" ht="12.75">
      <c r="A1044151" s="19"/>
      <c r="B1044151" s="19"/>
      <c r="C1044151" s="19"/>
      <c r="D1044151" s="19"/>
      <c r="E1044151" s="19"/>
      <c r="F1044151" s="19"/>
      <c r="G1044151" s="19"/>
      <c r="H1044151" s="19"/>
      <c r="I1044151" s="19"/>
      <c r="J1044151" s="19"/>
      <c r="K1044151" s="19"/>
      <c r="L1044151" s="19"/>
      <c r="M1044151" s="19"/>
      <c r="N1044151" s="19"/>
    </row>
    <row r="1044152" spans="1:14" s="83" customFormat="1" ht="12.75">
      <c r="A1044152" s="19"/>
      <c r="B1044152" s="19"/>
      <c r="C1044152" s="19"/>
      <c r="D1044152" s="19"/>
      <c r="E1044152" s="19"/>
      <c r="F1044152" s="19"/>
      <c r="G1044152" s="19"/>
      <c r="H1044152" s="19"/>
      <c r="I1044152" s="19"/>
      <c r="J1044152" s="19"/>
      <c r="K1044152" s="19"/>
      <c r="L1044152" s="19"/>
      <c r="M1044152" s="19"/>
      <c r="N1044152" s="19"/>
    </row>
    <row r="1044153" spans="1:14" s="83" customFormat="1" ht="12.75">
      <c r="A1044153" s="19"/>
      <c r="B1044153" s="19"/>
      <c r="C1044153" s="19"/>
      <c r="D1044153" s="19"/>
      <c r="E1044153" s="19"/>
      <c r="F1044153" s="19"/>
      <c r="G1044153" s="19"/>
      <c r="H1044153" s="19"/>
      <c r="I1044153" s="19"/>
      <c r="J1044153" s="19"/>
      <c r="K1044153" s="19"/>
      <c r="L1044153" s="19"/>
      <c r="M1044153" s="19"/>
      <c r="N1044153" s="19"/>
    </row>
    <row r="1044154" spans="1:14" s="83" customFormat="1" ht="12.75">
      <c r="A1044154" s="19"/>
      <c r="B1044154" s="19"/>
      <c r="C1044154" s="19"/>
      <c r="D1044154" s="19"/>
      <c r="E1044154" s="19"/>
      <c r="F1044154" s="19"/>
      <c r="G1044154" s="19"/>
      <c r="H1044154" s="19"/>
      <c r="I1044154" s="19"/>
      <c r="J1044154" s="19"/>
      <c r="K1044154" s="19"/>
      <c r="L1044154" s="19"/>
      <c r="M1044154" s="19"/>
      <c r="N1044154" s="19"/>
    </row>
    <row r="1044155" spans="1:14" s="83" customFormat="1" ht="12.75">
      <c r="A1044155" s="19"/>
      <c r="B1044155" s="19"/>
      <c r="C1044155" s="19"/>
      <c r="D1044155" s="19"/>
      <c r="E1044155" s="19"/>
      <c r="F1044155" s="19"/>
      <c r="G1044155" s="19"/>
      <c r="H1044155" s="19"/>
      <c r="I1044155" s="19"/>
      <c r="J1044155" s="19"/>
      <c r="K1044155" s="19"/>
      <c r="L1044155" s="19"/>
      <c r="M1044155" s="19"/>
      <c r="N1044155" s="19"/>
    </row>
    <row r="1044156" spans="1:14" s="83" customFormat="1" ht="12.75">
      <c r="A1044156" s="19"/>
      <c r="B1044156" s="19"/>
      <c r="C1044156" s="19"/>
      <c r="D1044156" s="19"/>
      <c r="E1044156" s="19"/>
      <c r="F1044156" s="19"/>
      <c r="G1044156" s="19"/>
      <c r="H1044156" s="19"/>
      <c r="I1044156" s="19"/>
      <c r="J1044156" s="19"/>
      <c r="K1044156" s="19"/>
      <c r="L1044156" s="19"/>
      <c r="M1044156" s="19"/>
      <c r="N1044156" s="19"/>
    </row>
    <row r="1044157" spans="1:14" s="83" customFormat="1" ht="12.75">
      <c r="A1044157" s="19"/>
      <c r="B1044157" s="19"/>
      <c r="C1044157" s="19"/>
      <c r="D1044157" s="19"/>
      <c r="E1044157" s="19"/>
      <c r="F1044157" s="19"/>
      <c r="G1044157" s="19"/>
      <c r="H1044157" s="19"/>
      <c r="I1044157" s="19"/>
      <c r="J1044157" s="19"/>
      <c r="K1044157" s="19"/>
      <c r="L1044157" s="19"/>
      <c r="M1044157" s="19"/>
      <c r="N1044157" s="19"/>
    </row>
    <row r="1044158" spans="1:14" s="83" customFormat="1" ht="12.75">
      <c r="A1044158" s="19"/>
      <c r="B1044158" s="19"/>
      <c r="C1044158" s="19"/>
      <c r="D1044158" s="19"/>
      <c r="E1044158" s="19"/>
      <c r="F1044158" s="19"/>
      <c r="G1044158" s="19"/>
      <c r="H1044158" s="19"/>
      <c r="I1044158" s="19"/>
      <c r="J1044158" s="19"/>
      <c r="K1044158" s="19"/>
      <c r="L1044158" s="19"/>
      <c r="M1044158" s="19"/>
      <c r="N1044158" s="19"/>
    </row>
    <row r="1044159" spans="1:14" s="83" customFormat="1" ht="12.75">
      <c r="A1044159" s="19"/>
      <c r="B1044159" s="19"/>
      <c r="C1044159" s="19"/>
      <c r="D1044159" s="19"/>
      <c r="E1044159" s="19"/>
      <c r="F1044159" s="19"/>
      <c r="G1044159" s="19"/>
      <c r="H1044159" s="19"/>
      <c r="I1044159" s="19"/>
      <c r="J1044159" s="19"/>
      <c r="K1044159" s="19"/>
      <c r="L1044159" s="19"/>
      <c r="M1044159" s="19"/>
      <c r="N1044159" s="19"/>
    </row>
    <row r="1044160" spans="1:14" s="83" customFormat="1" ht="12.75">
      <c r="A1044160" s="19"/>
      <c r="B1044160" s="19"/>
      <c r="C1044160" s="19"/>
      <c r="D1044160" s="19"/>
      <c r="E1044160" s="19"/>
      <c r="F1044160" s="19"/>
      <c r="G1044160" s="19"/>
      <c r="H1044160" s="19"/>
      <c r="I1044160" s="19"/>
      <c r="J1044160" s="19"/>
      <c r="K1044160" s="19"/>
      <c r="L1044160" s="19"/>
      <c r="M1044160" s="19"/>
      <c r="N1044160" s="19"/>
    </row>
    <row r="1044161" spans="1:14" s="83" customFormat="1" ht="12.75">
      <c r="A1044161" s="19"/>
      <c r="B1044161" s="19"/>
      <c r="C1044161" s="19"/>
      <c r="D1044161" s="19"/>
      <c r="E1044161" s="19"/>
      <c r="F1044161" s="19"/>
      <c r="G1044161" s="19"/>
      <c r="H1044161" s="19"/>
      <c r="I1044161" s="19"/>
      <c r="J1044161" s="19"/>
      <c r="K1044161" s="19"/>
      <c r="L1044161" s="19"/>
      <c r="M1044161" s="19"/>
      <c r="N1044161" s="19"/>
    </row>
    <row r="1044162" spans="1:14" s="83" customFormat="1" ht="12.75">
      <c r="A1044162" s="19"/>
      <c r="B1044162" s="19"/>
      <c r="C1044162" s="19"/>
      <c r="D1044162" s="19"/>
      <c r="E1044162" s="19"/>
      <c r="F1044162" s="19"/>
      <c r="G1044162" s="19"/>
      <c r="H1044162" s="19"/>
      <c r="I1044162" s="19"/>
      <c r="J1044162" s="19"/>
      <c r="K1044162" s="19"/>
      <c r="L1044162" s="19"/>
      <c r="M1044162" s="19"/>
      <c r="N1044162" s="19"/>
    </row>
    <row r="1044163" spans="1:14" s="83" customFormat="1" ht="12.75">
      <c r="A1044163" s="19"/>
      <c r="B1044163" s="19"/>
      <c r="C1044163" s="19"/>
      <c r="D1044163" s="19"/>
      <c r="E1044163" s="19"/>
      <c r="F1044163" s="19"/>
      <c r="G1044163" s="19"/>
      <c r="H1044163" s="19"/>
      <c r="I1044163" s="19"/>
      <c r="J1044163" s="19"/>
      <c r="K1044163" s="19"/>
      <c r="L1044163" s="19"/>
      <c r="M1044163" s="19"/>
      <c r="N1044163" s="19"/>
    </row>
    <row r="1044164" spans="1:14" s="83" customFormat="1" ht="12.75">
      <c r="A1044164" s="19"/>
      <c r="B1044164" s="19"/>
      <c r="C1044164" s="19"/>
      <c r="D1044164" s="19"/>
      <c r="E1044164" s="19"/>
      <c r="F1044164" s="19"/>
      <c r="G1044164" s="19"/>
      <c r="H1044164" s="19"/>
      <c r="I1044164" s="19"/>
      <c r="J1044164" s="19"/>
      <c r="K1044164" s="19"/>
      <c r="L1044164" s="19"/>
      <c r="M1044164" s="19"/>
      <c r="N1044164" s="19"/>
    </row>
    <row r="1044165" spans="1:14" s="83" customFormat="1" ht="12.75">
      <c r="A1044165" s="19"/>
      <c r="B1044165" s="19"/>
      <c r="C1044165" s="19"/>
      <c r="D1044165" s="19"/>
      <c r="E1044165" s="19"/>
      <c r="F1044165" s="19"/>
      <c r="G1044165" s="19"/>
      <c r="H1044165" s="19"/>
      <c r="I1044165" s="19"/>
      <c r="J1044165" s="19"/>
      <c r="K1044165" s="19"/>
      <c r="L1044165" s="19"/>
      <c r="M1044165" s="19"/>
      <c r="N1044165" s="19"/>
    </row>
    <row r="1044166" spans="1:14" s="83" customFormat="1" ht="12.75">
      <c r="A1044166" s="19"/>
      <c r="B1044166" s="19"/>
      <c r="C1044166" s="19"/>
      <c r="D1044166" s="19"/>
      <c r="E1044166" s="19"/>
      <c r="F1044166" s="19"/>
      <c r="G1044166" s="19"/>
      <c r="H1044166" s="19"/>
      <c r="I1044166" s="19"/>
      <c r="J1044166" s="19"/>
      <c r="K1044166" s="19"/>
      <c r="L1044166" s="19"/>
      <c r="M1044166" s="19"/>
      <c r="N1044166" s="19"/>
    </row>
    <row r="1044167" spans="1:14" s="83" customFormat="1" ht="12.75">
      <c r="A1044167" s="19"/>
      <c r="B1044167" s="19"/>
      <c r="C1044167" s="19"/>
      <c r="D1044167" s="19"/>
      <c r="E1044167" s="19"/>
      <c r="F1044167" s="19"/>
      <c r="G1044167" s="19"/>
      <c r="H1044167" s="19"/>
      <c r="I1044167" s="19"/>
      <c r="J1044167" s="19"/>
      <c r="K1044167" s="19"/>
      <c r="L1044167" s="19"/>
      <c r="M1044167" s="19"/>
      <c r="N1044167" s="19"/>
    </row>
    <row r="1044168" spans="1:14" s="83" customFormat="1" ht="12.75">
      <c r="A1044168" s="19"/>
      <c r="B1044168" s="19"/>
      <c r="C1044168" s="19"/>
      <c r="D1044168" s="19"/>
      <c r="E1044168" s="19"/>
      <c r="F1044168" s="19"/>
      <c r="G1044168" s="19"/>
      <c r="H1044168" s="19"/>
      <c r="I1044168" s="19"/>
      <c r="J1044168" s="19"/>
      <c r="K1044168" s="19"/>
      <c r="L1044168" s="19"/>
      <c r="M1044168" s="19"/>
      <c r="N1044168" s="19"/>
    </row>
    <row r="1044169" spans="1:14" s="83" customFormat="1" ht="12.75">
      <c r="A1044169" s="19"/>
      <c r="B1044169" s="19"/>
      <c r="C1044169" s="19"/>
      <c r="D1044169" s="19"/>
      <c r="E1044169" s="19"/>
      <c r="F1044169" s="19"/>
      <c r="G1044169" s="19"/>
      <c r="H1044169" s="19"/>
      <c r="I1044169" s="19"/>
      <c r="J1044169" s="19"/>
      <c r="K1044169" s="19"/>
      <c r="L1044169" s="19"/>
      <c r="M1044169" s="19"/>
      <c r="N1044169" s="19"/>
    </row>
    <row r="1044170" spans="1:14" s="83" customFormat="1" ht="12.75">
      <c r="A1044170" s="19"/>
      <c r="B1044170" s="19"/>
      <c r="C1044170" s="19"/>
      <c r="D1044170" s="19"/>
      <c r="E1044170" s="19"/>
      <c r="F1044170" s="19"/>
      <c r="G1044170" s="19"/>
      <c r="H1044170" s="19"/>
      <c r="I1044170" s="19"/>
      <c r="J1044170" s="19"/>
      <c r="K1044170" s="19"/>
      <c r="L1044170" s="19"/>
      <c r="M1044170" s="19"/>
      <c r="N1044170" s="19"/>
    </row>
    <row r="1044171" spans="1:14" s="83" customFormat="1" ht="12.75">
      <c r="A1044171" s="19"/>
      <c r="B1044171" s="19"/>
      <c r="C1044171" s="19"/>
      <c r="D1044171" s="19"/>
      <c r="E1044171" s="19"/>
      <c r="F1044171" s="19"/>
      <c r="G1044171" s="19"/>
      <c r="H1044171" s="19"/>
      <c r="I1044171" s="19"/>
      <c r="J1044171" s="19"/>
      <c r="K1044171" s="19"/>
      <c r="L1044171" s="19"/>
      <c r="M1044171" s="19"/>
      <c r="N1044171" s="19"/>
    </row>
    <row r="1044172" spans="1:14" s="83" customFormat="1" ht="12.75">
      <c r="A1044172" s="19"/>
      <c r="B1044172" s="19"/>
      <c r="C1044172" s="19"/>
      <c r="D1044172" s="19"/>
      <c r="E1044172" s="19"/>
      <c r="F1044172" s="19"/>
      <c r="G1044172" s="19"/>
      <c r="H1044172" s="19"/>
      <c r="I1044172" s="19"/>
      <c r="J1044172" s="19"/>
      <c r="K1044172" s="19"/>
      <c r="L1044172" s="19"/>
      <c r="M1044172" s="19"/>
      <c r="N1044172" s="19"/>
    </row>
    <row r="1044173" spans="1:14" s="83" customFormat="1" ht="12.75">
      <c r="A1044173" s="19"/>
      <c r="B1044173" s="19"/>
      <c r="C1044173" s="19"/>
      <c r="D1044173" s="19"/>
      <c r="E1044173" s="19"/>
      <c r="F1044173" s="19"/>
      <c r="G1044173" s="19"/>
      <c r="H1044173" s="19"/>
      <c r="I1044173" s="19"/>
      <c r="J1044173" s="19"/>
      <c r="K1044173" s="19"/>
      <c r="L1044173" s="19"/>
      <c r="M1044173" s="19"/>
      <c r="N1044173" s="19"/>
    </row>
    <row r="1044174" spans="1:14" s="83" customFormat="1" ht="12.75">
      <c r="A1044174" s="19"/>
      <c r="B1044174" s="19"/>
      <c r="C1044174" s="19"/>
      <c r="D1044174" s="19"/>
      <c r="E1044174" s="19"/>
      <c r="F1044174" s="19"/>
      <c r="G1044174" s="19"/>
      <c r="H1044174" s="19"/>
      <c r="I1044174" s="19"/>
      <c r="J1044174" s="19"/>
      <c r="K1044174" s="19"/>
      <c r="L1044174" s="19"/>
      <c r="M1044174" s="19"/>
      <c r="N1044174" s="19"/>
    </row>
    <row r="1044175" spans="1:14" s="83" customFormat="1" ht="12.75">
      <c r="A1044175" s="19"/>
      <c r="B1044175" s="19"/>
      <c r="C1044175" s="19"/>
      <c r="D1044175" s="19"/>
      <c r="E1044175" s="19"/>
      <c r="F1044175" s="19"/>
      <c r="G1044175" s="19"/>
      <c r="H1044175" s="19"/>
      <c r="I1044175" s="19"/>
      <c r="J1044175" s="19"/>
      <c r="K1044175" s="19"/>
      <c r="L1044175" s="19"/>
      <c r="M1044175" s="19"/>
      <c r="N1044175" s="19"/>
    </row>
    <row r="1044176" spans="1:14" s="83" customFormat="1" ht="12.75">
      <c r="A1044176" s="19"/>
      <c r="B1044176" s="19"/>
      <c r="C1044176" s="19"/>
      <c r="D1044176" s="19"/>
      <c r="E1044176" s="19"/>
      <c r="F1044176" s="19"/>
      <c r="G1044176" s="19"/>
      <c r="H1044176" s="19"/>
      <c r="I1044176" s="19"/>
      <c r="J1044176" s="19"/>
      <c r="K1044176" s="19"/>
      <c r="L1044176" s="19"/>
      <c r="M1044176" s="19"/>
      <c r="N1044176" s="19"/>
    </row>
    <row r="1044177" spans="1:14" s="83" customFormat="1" ht="12.75">
      <c r="A1044177" s="19"/>
      <c r="B1044177" s="19"/>
      <c r="C1044177" s="19"/>
      <c r="D1044177" s="19"/>
      <c r="E1044177" s="19"/>
      <c r="F1044177" s="19"/>
      <c r="G1044177" s="19"/>
      <c r="H1044177" s="19"/>
      <c r="I1044177" s="19"/>
      <c r="J1044177" s="19"/>
      <c r="K1044177" s="19"/>
      <c r="L1044177" s="19"/>
      <c r="M1044177" s="19"/>
      <c r="N1044177" s="19"/>
    </row>
    <row r="1044178" spans="1:14" s="83" customFormat="1" ht="12.75">
      <c r="A1044178" s="19"/>
      <c r="B1044178" s="19"/>
      <c r="C1044178" s="19"/>
      <c r="D1044178" s="19"/>
      <c r="E1044178" s="19"/>
      <c r="F1044178" s="19"/>
      <c r="G1044178" s="19"/>
      <c r="H1044178" s="19"/>
      <c r="I1044178" s="19"/>
      <c r="J1044178" s="19"/>
      <c r="K1044178" s="19"/>
      <c r="L1044178" s="19"/>
      <c r="M1044178" s="19"/>
      <c r="N1044178" s="19"/>
    </row>
    <row r="1044179" spans="1:14" s="83" customFormat="1" ht="12.75">
      <c r="A1044179" s="19"/>
      <c r="B1044179" s="19"/>
      <c r="C1044179" s="19"/>
      <c r="D1044179" s="19"/>
      <c r="E1044179" s="19"/>
      <c r="F1044179" s="19"/>
      <c r="G1044179" s="19"/>
      <c r="H1044179" s="19"/>
      <c r="I1044179" s="19"/>
      <c r="J1044179" s="19"/>
      <c r="K1044179" s="19"/>
      <c r="L1044179" s="19"/>
      <c r="M1044179" s="19"/>
      <c r="N1044179" s="19"/>
    </row>
    <row r="1044180" spans="1:14" s="83" customFormat="1" ht="12.75">
      <c r="A1044180" s="19"/>
      <c r="B1044180" s="19"/>
      <c r="C1044180" s="19"/>
      <c r="D1044180" s="19"/>
      <c r="E1044180" s="19"/>
      <c r="F1044180" s="19"/>
      <c r="G1044180" s="19"/>
      <c r="H1044180" s="19"/>
      <c r="I1044180" s="19"/>
      <c r="J1044180" s="19"/>
      <c r="K1044180" s="19"/>
      <c r="L1044180" s="19"/>
      <c r="M1044180" s="19"/>
      <c r="N1044180" s="19"/>
    </row>
    <row r="1044181" spans="1:14" s="83" customFormat="1" ht="12.75">
      <c r="A1044181" s="19"/>
      <c r="B1044181" s="19"/>
      <c r="C1044181" s="19"/>
      <c r="D1044181" s="19"/>
      <c r="E1044181" s="19"/>
      <c r="F1044181" s="19"/>
      <c r="G1044181" s="19"/>
      <c r="H1044181" s="19"/>
      <c r="I1044181" s="19"/>
      <c r="J1044181" s="19"/>
      <c r="K1044181" s="19"/>
      <c r="L1044181" s="19"/>
      <c r="M1044181" s="19"/>
      <c r="N1044181" s="19"/>
    </row>
    <row r="1044182" spans="1:14" s="83" customFormat="1" ht="12.75">
      <c r="A1044182" s="19"/>
      <c r="B1044182" s="19"/>
      <c r="C1044182" s="19"/>
      <c r="D1044182" s="19"/>
      <c r="E1044182" s="19"/>
      <c r="F1044182" s="19"/>
      <c r="G1044182" s="19"/>
      <c r="H1044182" s="19"/>
      <c r="I1044182" s="19"/>
      <c r="J1044182" s="19"/>
      <c r="K1044182" s="19"/>
      <c r="L1044182" s="19"/>
      <c r="M1044182" s="19"/>
      <c r="N1044182" s="19"/>
    </row>
    <row r="1044183" spans="1:14" s="83" customFormat="1" ht="12.75">
      <c r="A1044183" s="19"/>
      <c r="B1044183" s="19"/>
      <c r="C1044183" s="19"/>
      <c r="D1044183" s="19"/>
      <c r="E1044183" s="19"/>
      <c r="F1044183" s="19"/>
      <c r="G1044183" s="19"/>
      <c r="H1044183" s="19"/>
      <c r="I1044183" s="19"/>
      <c r="J1044183" s="19"/>
      <c r="K1044183" s="19"/>
      <c r="L1044183" s="19"/>
      <c r="M1044183" s="19"/>
      <c r="N1044183" s="19"/>
    </row>
    <row r="1044184" spans="1:14" s="83" customFormat="1" ht="12.75">
      <c r="A1044184" s="19"/>
      <c r="B1044184" s="19"/>
      <c r="C1044184" s="19"/>
      <c r="D1044184" s="19"/>
      <c r="E1044184" s="19"/>
      <c r="F1044184" s="19"/>
      <c r="G1044184" s="19"/>
      <c r="H1044184" s="19"/>
      <c r="I1044184" s="19"/>
      <c r="J1044184" s="19"/>
      <c r="K1044184" s="19"/>
      <c r="L1044184" s="19"/>
      <c r="M1044184" s="19"/>
      <c r="N1044184" s="19"/>
    </row>
    <row r="1044185" spans="1:14" s="83" customFormat="1" ht="12.75">
      <c r="A1044185" s="19"/>
      <c r="B1044185" s="19"/>
      <c r="C1044185" s="19"/>
      <c r="D1044185" s="19"/>
      <c r="E1044185" s="19"/>
      <c r="F1044185" s="19"/>
      <c r="G1044185" s="19"/>
      <c r="H1044185" s="19"/>
      <c r="I1044185" s="19"/>
      <c r="J1044185" s="19"/>
      <c r="K1044185" s="19"/>
      <c r="L1044185" s="19"/>
      <c r="M1044185" s="19"/>
      <c r="N1044185" s="19"/>
    </row>
    <row r="1044186" spans="1:14" s="83" customFormat="1" ht="12.75">
      <c r="A1044186" s="19"/>
      <c r="B1044186" s="19"/>
      <c r="C1044186" s="19"/>
      <c r="D1044186" s="19"/>
      <c r="E1044186" s="19"/>
      <c r="F1044186" s="19"/>
      <c r="G1044186" s="19"/>
      <c r="H1044186" s="19"/>
      <c r="I1044186" s="19"/>
      <c r="J1044186" s="19"/>
      <c r="K1044186" s="19"/>
      <c r="L1044186" s="19"/>
      <c r="M1044186" s="19"/>
      <c r="N1044186" s="19"/>
    </row>
    <row r="1044187" spans="1:14" s="83" customFormat="1" ht="12.75">
      <c r="A1044187" s="19"/>
      <c r="B1044187" s="19"/>
      <c r="C1044187" s="19"/>
      <c r="D1044187" s="19"/>
      <c r="E1044187" s="19"/>
      <c r="F1044187" s="19"/>
      <c r="G1044187" s="19"/>
      <c r="H1044187" s="19"/>
      <c r="I1044187" s="19"/>
      <c r="J1044187" s="19"/>
      <c r="K1044187" s="19"/>
      <c r="L1044187" s="19"/>
      <c r="M1044187" s="19"/>
      <c r="N1044187" s="19"/>
    </row>
    <row r="1044188" spans="1:14" s="83" customFormat="1" ht="12.75">
      <c r="A1044188" s="19"/>
      <c r="B1044188" s="19"/>
      <c r="C1044188" s="19"/>
      <c r="D1044188" s="19"/>
      <c r="E1044188" s="19"/>
      <c r="F1044188" s="19"/>
      <c r="G1044188" s="19"/>
      <c r="H1044188" s="19"/>
      <c r="I1044188" s="19"/>
      <c r="J1044188" s="19"/>
      <c r="K1044188" s="19"/>
      <c r="L1044188" s="19"/>
      <c r="M1044188" s="19"/>
      <c r="N1044188" s="19"/>
    </row>
    <row r="1044189" spans="1:14" s="83" customFormat="1" ht="12.75">
      <c r="A1044189" s="19"/>
      <c r="B1044189" s="19"/>
      <c r="C1044189" s="19"/>
      <c r="D1044189" s="19"/>
      <c r="E1044189" s="19"/>
      <c r="F1044189" s="19"/>
      <c r="G1044189" s="19"/>
      <c r="H1044189" s="19"/>
      <c r="I1044189" s="19"/>
      <c r="J1044189" s="19"/>
      <c r="K1044189" s="19"/>
      <c r="L1044189" s="19"/>
      <c r="M1044189" s="19"/>
      <c r="N1044189" s="19"/>
    </row>
    <row r="1044190" spans="1:14" s="83" customFormat="1" ht="12.75">
      <c r="A1044190" s="19"/>
      <c r="B1044190" s="19"/>
      <c r="C1044190" s="19"/>
      <c r="D1044190" s="19"/>
      <c r="E1044190" s="19"/>
      <c r="F1044190" s="19"/>
      <c r="G1044190" s="19"/>
      <c r="H1044190" s="19"/>
      <c r="I1044190" s="19"/>
      <c r="J1044190" s="19"/>
      <c r="K1044190" s="19"/>
      <c r="L1044190" s="19"/>
      <c r="M1044190" s="19"/>
      <c r="N1044190" s="19"/>
    </row>
    <row r="1044191" spans="1:14" s="83" customFormat="1" ht="12.75">
      <c r="A1044191" s="19"/>
      <c r="B1044191" s="19"/>
      <c r="C1044191" s="19"/>
      <c r="D1044191" s="19"/>
      <c r="E1044191" s="19"/>
      <c r="F1044191" s="19"/>
      <c r="G1044191" s="19"/>
      <c r="H1044191" s="19"/>
      <c r="I1044191" s="19"/>
      <c r="J1044191" s="19"/>
      <c r="K1044191" s="19"/>
      <c r="L1044191" s="19"/>
      <c r="M1044191" s="19"/>
      <c r="N1044191" s="19"/>
    </row>
    <row r="1044192" spans="1:14" s="83" customFormat="1" ht="12.75">
      <c r="A1044192" s="19"/>
      <c r="B1044192" s="19"/>
      <c r="C1044192" s="19"/>
      <c r="D1044192" s="19"/>
      <c r="E1044192" s="19"/>
      <c r="F1044192" s="19"/>
      <c r="G1044192" s="19"/>
      <c r="H1044192" s="19"/>
      <c r="I1044192" s="19"/>
      <c r="J1044192" s="19"/>
      <c r="K1044192" s="19"/>
      <c r="L1044192" s="19"/>
      <c r="M1044192" s="19"/>
      <c r="N1044192" s="19"/>
    </row>
    <row r="1044193" spans="1:14" s="83" customFormat="1" ht="12.75">
      <c r="A1044193" s="19"/>
      <c r="B1044193" s="19"/>
      <c r="C1044193" s="19"/>
      <c r="D1044193" s="19"/>
      <c r="E1044193" s="19"/>
      <c r="F1044193" s="19"/>
      <c r="G1044193" s="19"/>
      <c r="H1044193" s="19"/>
      <c r="I1044193" s="19"/>
      <c r="J1044193" s="19"/>
      <c r="K1044193" s="19"/>
      <c r="L1044193" s="19"/>
      <c r="M1044193" s="19"/>
      <c r="N1044193" s="19"/>
    </row>
    <row r="1044194" spans="1:14" s="83" customFormat="1" ht="12.75">
      <c r="A1044194" s="19"/>
      <c r="B1044194" s="19"/>
      <c r="C1044194" s="19"/>
      <c r="D1044194" s="19"/>
      <c r="E1044194" s="19"/>
      <c r="F1044194" s="19"/>
      <c r="G1044194" s="19"/>
      <c r="H1044194" s="19"/>
      <c r="I1044194" s="19"/>
      <c r="J1044194" s="19"/>
      <c r="K1044194" s="19"/>
      <c r="L1044194" s="19"/>
      <c r="M1044194" s="19"/>
      <c r="N1044194" s="19"/>
    </row>
    <row r="1044195" spans="1:14" s="83" customFormat="1" ht="12.75">
      <c r="A1044195" s="19"/>
      <c r="B1044195" s="19"/>
      <c r="C1044195" s="19"/>
      <c r="D1044195" s="19"/>
      <c r="E1044195" s="19"/>
      <c r="F1044195" s="19"/>
      <c r="G1044195" s="19"/>
      <c r="H1044195" s="19"/>
      <c r="I1044195" s="19"/>
      <c r="J1044195" s="19"/>
      <c r="K1044195" s="19"/>
      <c r="L1044195" s="19"/>
      <c r="M1044195" s="19"/>
      <c r="N1044195" s="19"/>
    </row>
    <row r="1044196" spans="1:14" s="83" customFormat="1" ht="12.75">
      <c r="A1044196" s="19"/>
      <c r="B1044196" s="19"/>
      <c r="C1044196" s="19"/>
      <c r="D1044196" s="19"/>
      <c r="E1044196" s="19"/>
      <c r="F1044196" s="19"/>
      <c r="G1044196" s="19"/>
      <c r="H1044196" s="19"/>
      <c r="I1044196" s="19"/>
      <c r="J1044196" s="19"/>
      <c r="K1044196" s="19"/>
      <c r="L1044196" s="19"/>
      <c r="M1044196" s="19"/>
      <c r="N1044196" s="19"/>
    </row>
    <row r="1044197" spans="1:14" s="83" customFormat="1" ht="12.75">
      <c r="A1044197" s="19"/>
      <c r="B1044197" s="19"/>
      <c r="C1044197" s="19"/>
      <c r="D1044197" s="19"/>
      <c r="E1044197" s="19"/>
      <c r="F1044197" s="19"/>
      <c r="G1044197" s="19"/>
      <c r="H1044197" s="19"/>
      <c r="I1044197" s="19"/>
      <c r="J1044197" s="19"/>
      <c r="K1044197" s="19"/>
      <c r="L1044197" s="19"/>
      <c r="M1044197" s="19"/>
      <c r="N1044197" s="19"/>
    </row>
    <row r="1044198" spans="1:14" s="83" customFormat="1" ht="12.75">
      <c r="A1044198" s="19"/>
      <c r="B1044198" s="19"/>
      <c r="C1044198" s="19"/>
      <c r="D1044198" s="19"/>
      <c r="E1044198" s="19"/>
      <c r="F1044198" s="19"/>
      <c r="G1044198" s="19"/>
      <c r="H1044198" s="19"/>
      <c r="I1044198" s="19"/>
      <c r="J1044198" s="19"/>
      <c r="K1044198" s="19"/>
      <c r="L1044198" s="19"/>
      <c r="M1044198" s="19"/>
      <c r="N1044198" s="19"/>
    </row>
    <row r="1044199" spans="1:14" s="83" customFormat="1" ht="12.75">
      <c r="A1044199" s="19"/>
      <c r="B1044199" s="19"/>
      <c r="C1044199" s="19"/>
      <c r="D1044199" s="19"/>
      <c r="E1044199" s="19"/>
      <c r="F1044199" s="19"/>
      <c r="G1044199" s="19"/>
      <c r="H1044199" s="19"/>
      <c r="I1044199" s="19"/>
      <c r="J1044199" s="19"/>
      <c r="K1044199" s="19"/>
      <c r="L1044199" s="19"/>
      <c r="M1044199" s="19"/>
      <c r="N1044199" s="19"/>
    </row>
    <row r="1044200" spans="1:14" s="83" customFormat="1" ht="12.75">
      <c r="A1044200" s="19"/>
      <c r="B1044200" s="19"/>
      <c r="C1044200" s="19"/>
      <c r="D1044200" s="19"/>
      <c r="E1044200" s="19"/>
      <c r="F1044200" s="19"/>
      <c r="G1044200" s="19"/>
      <c r="H1044200" s="19"/>
      <c r="I1044200" s="19"/>
      <c r="J1044200" s="19"/>
      <c r="K1044200" s="19"/>
      <c r="L1044200" s="19"/>
      <c r="M1044200" s="19"/>
      <c r="N1044200" s="19"/>
    </row>
    <row r="1044201" spans="1:14" s="83" customFormat="1" ht="12.75">
      <c r="A1044201" s="19"/>
      <c r="B1044201" s="19"/>
      <c r="C1044201" s="19"/>
      <c r="D1044201" s="19"/>
      <c r="E1044201" s="19"/>
      <c r="F1044201" s="19"/>
      <c r="G1044201" s="19"/>
      <c r="H1044201" s="19"/>
      <c r="I1044201" s="19"/>
      <c r="J1044201" s="19"/>
      <c r="K1044201" s="19"/>
      <c r="L1044201" s="19"/>
      <c r="M1044201" s="19"/>
      <c r="N1044201" s="19"/>
    </row>
    <row r="1044202" spans="1:14" s="83" customFormat="1" ht="12.75">
      <c r="A1044202" s="19"/>
      <c r="B1044202" s="19"/>
      <c r="C1044202" s="19"/>
      <c r="D1044202" s="19"/>
      <c r="E1044202" s="19"/>
      <c r="F1044202" s="19"/>
      <c r="G1044202" s="19"/>
      <c r="H1044202" s="19"/>
      <c r="I1044202" s="19"/>
      <c r="J1044202" s="19"/>
      <c r="K1044202" s="19"/>
      <c r="L1044202" s="19"/>
      <c r="M1044202" s="19"/>
      <c r="N1044202" s="19"/>
    </row>
    <row r="1044203" spans="1:14" s="83" customFormat="1" ht="12.75">
      <c r="A1044203" s="19"/>
      <c r="B1044203" s="19"/>
      <c r="C1044203" s="19"/>
      <c r="D1044203" s="19"/>
      <c r="E1044203" s="19"/>
      <c r="F1044203" s="19"/>
      <c r="G1044203" s="19"/>
      <c r="H1044203" s="19"/>
      <c r="I1044203" s="19"/>
      <c r="J1044203" s="19"/>
      <c r="K1044203" s="19"/>
      <c r="L1044203" s="19"/>
      <c r="M1044203" s="19"/>
      <c r="N1044203" s="19"/>
    </row>
    <row r="1044204" spans="1:14" s="83" customFormat="1" ht="12.75">
      <c r="A1044204" s="19"/>
      <c r="B1044204" s="19"/>
      <c r="C1044204" s="19"/>
      <c r="D1044204" s="19"/>
      <c r="E1044204" s="19"/>
      <c r="F1044204" s="19"/>
      <c r="G1044204" s="19"/>
      <c r="H1044204" s="19"/>
      <c r="I1044204" s="19"/>
      <c r="J1044204" s="19"/>
      <c r="K1044204" s="19"/>
      <c r="L1044204" s="19"/>
      <c r="M1044204" s="19"/>
      <c r="N1044204" s="19"/>
    </row>
    <row r="1044205" spans="1:14" s="83" customFormat="1" ht="12.75">
      <c r="A1044205" s="19"/>
      <c r="B1044205" s="19"/>
      <c r="C1044205" s="19"/>
      <c r="D1044205" s="19"/>
      <c r="E1044205" s="19"/>
      <c r="F1044205" s="19"/>
      <c r="G1044205" s="19"/>
      <c r="H1044205" s="19"/>
      <c r="I1044205" s="19"/>
      <c r="J1044205" s="19"/>
      <c r="K1044205" s="19"/>
      <c r="L1044205" s="19"/>
      <c r="M1044205" s="19"/>
      <c r="N1044205" s="19"/>
    </row>
    <row r="1044206" spans="1:14" s="83" customFormat="1" ht="12.75">
      <c r="A1044206" s="19"/>
      <c r="B1044206" s="19"/>
      <c r="C1044206" s="19"/>
      <c r="D1044206" s="19"/>
      <c r="E1044206" s="19"/>
      <c r="F1044206" s="19"/>
      <c r="G1044206" s="19"/>
      <c r="H1044206" s="19"/>
      <c r="I1044206" s="19"/>
      <c r="J1044206" s="19"/>
      <c r="K1044206" s="19"/>
      <c r="L1044206" s="19"/>
      <c r="M1044206" s="19"/>
      <c r="N1044206" s="19"/>
    </row>
    <row r="1044207" spans="1:14" s="83" customFormat="1" ht="12.75">
      <c r="A1044207" s="19"/>
      <c r="B1044207" s="19"/>
      <c r="C1044207" s="19"/>
      <c r="D1044207" s="19"/>
      <c r="E1044207" s="19"/>
      <c r="F1044207" s="19"/>
      <c r="G1044207" s="19"/>
      <c r="H1044207" s="19"/>
      <c r="I1044207" s="19"/>
      <c r="J1044207" s="19"/>
      <c r="K1044207" s="19"/>
      <c r="L1044207" s="19"/>
      <c r="M1044207" s="19"/>
      <c r="N1044207" s="19"/>
    </row>
    <row r="1044208" spans="1:14" s="83" customFormat="1" ht="12.75">
      <c r="A1044208" s="19"/>
      <c r="B1044208" s="19"/>
      <c r="C1044208" s="19"/>
      <c r="D1044208" s="19"/>
      <c r="E1044208" s="19"/>
      <c r="F1044208" s="19"/>
      <c r="G1044208" s="19"/>
      <c r="H1044208" s="19"/>
      <c r="I1044208" s="19"/>
      <c r="J1044208" s="19"/>
      <c r="K1044208" s="19"/>
      <c r="L1044208" s="19"/>
      <c r="M1044208" s="19"/>
      <c r="N1044208" s="19"/>
    </row>
    <row r="1044209" spans="1:14" s="83" customFormat="1" ht="12.75">
      <c r="A1044209" s="19"/>
      <c r="B1044209" s="19"/>
      <c r="C1044209" s="19"/>
      <c r="D1044209" s="19"/>
      <c r="E1044209" s="19"/>
      <c r="F1044209" s="19"/>
      <c r="G1044209" s="19"/>
      <c r="H1044209" s="19"/>
      <c r="I1044209" s="19"/>
      <c r="J1044209" s="19"/>
      <c r="K1044209" s="19"/>
      <c r="L1044209" s="19"/>
      <c r="M1044209" s="19"/>
      <c r="N1044209" s="19"/>
    </row>
    <row r="1044210" spans="1:14" s="83" customFormat="1" ht="12.75">
      <c r="A1044210" s="19"/>
      <c r="B1044210" s="19"/>
      <c r="C1044210" s="19"/>
      <c r="D1044210" s="19"/>
      <c r="E1044210" s="19"/>
      <c r="F1044210" s="19"/>
      <c r="G1044210" s="19"/>
      <c r="H1044210" s="19"/>
      <c r="I1044210" s="19"/>
      <c r="J1044210" s="19"/>
      <c r="K1044210" s="19"/>
      <c r="L1044210" s="19"/>
      <c r="M1044210" s="19"/>
      <c r="N1044210" s="19"/>
    </row>
    <row r="1044211" spans="1:14" s="83" customFormat="1" ht="12.75">
      <c r="A1044211" s="19"/>
      <c r="B1044211" s="19"/>
      <c r="C1044211" s="19"/>
      <c r="D1044211" s="19"/>
      <c r="E1044211" s="19"/>
      <c r="F1044211" s="19"/>
      <c r="G1044211" s="19"/>
      <c r="H1044211" s="19"/>
      <c r="I1044211" s="19"/>
      <c r="J1044211" s="19"/>
      <c r="K1044211" s="19"/>
      <c r="L1044211" s="19"/>
      <c r="M1044211" s="19"/>
      <c r="N1044211" s="19"/>
    </row>
    <row r="1044212" spans="1:14" s="83" customFormat="1" ht="12.75">
      <c r="A1044212" s="19"/>
      <c r="B1044212" s="19"/>
      <c r="C1044212" s="19"/>
      <c r="D1044212" s="19"/>
      <c r="E1044212" s="19"/>
      <c r="F1044212" s="19"/>
      <c r="G1044212" s="19"/>
      <c r="H1044212" s="19"/>
      <c r="I1044212" s="19"/>
      <c r="J1044212" s="19"/>
      <c r="K1044212" s="19"/>
      <c r="L1044212" s="19"/>
      <c r="M1044212" s="19"/>
      <c r="N1044212" s="19"/>
    </row>
    <row r="1044213" spans="1:14" s="83" customFormat="1" ht="12.75">
      <c r="A1044213" s="19"/>
      <c r="B1044213" s="19"/>
      <c r="C1044213" s="19"/>
      <c r="D1044213" s="19"/>
      <c r="E1044213" s="19"/>
      <c r="F1044213" s="19"/>
      <c r="G1044213" s="19"/>
      <c r="H1044213" s="19"/>
      <c r="I1044213" s="19"/>
      <c r="J1044213" s="19"/>
      <c r="K1044213" s="19"/>
      <c r="L1044213" s="19"/>
      <c r="M1044213" s="19"/>
      <c r="N1044213" s="19"/>
    </row>
    <row r="1044214" spans="1:14" s="83" customFormat="1" ht="12.75">
      <c r="A1044214" s="19"/>
      <c r="B1044214" s="19"/>
      <c r="C1044214" s="19"/>
      <c r="D1044214" s="19"/>
      <c r="E1044214" s="19"/>
      <c r="F1044214" s="19"/>
      <c r="G1044214" s="19"/>
      <c r="H1044214" s="19"/>
      <c r="I1044214" s="19"/>
      <c r="J1044214" s="19"/>
      <c r="K1044214" s="19"/>
      <c r="L1044214" s="19"/>
      <c r="M1044214" s="19"/>
      <c r="N1044214" s="19"/>
    </row>
    <row r="1044215" spans="1:14" s="83" customFormat="1" ht="12.75">
      <c r="A1044215" s="19"/>
      <c r="B1044215" s="19"/>
      <c r="C1044215" s="19"/>
      <c r="D1044215" s="19"/>
      <c r="E1044215" s="19"/>
      <c r="F1044215" s="19"/>
      <c r="G1044215" s="19"/>
      <c r="H1044215" s="19"/>
      <c r="I1044215" s="19"/>
      <c r="J1044215" s="19"/>
      <c r="K1044215" s="19"/>
      <c r="L1044215" s="19"/>
      <c r="M1044215" s="19"/>
      <c r="N1044215" s="19"/>
    </row>
    <row r="1044216" spans="1:14" s="83" customFormat="1" ht="12.75">
      <c r="A1044216" s="19"/>
      <c r="B1044216" s="19"/>
      <c r="C1044216" s="19"/>
      <c r="D1044216" s="19"/>
      <c r="E1044216" s="19"/>
      <c r="F1044216" s="19"/>
      <c r="G1044216" s="19"/>
      <c r="H1044216" s="19"/>
      <c r="I1044216" s="19"/>
      <c r="J1044216" s="19"/>
      <c r="K1044216" s="19"/>
      <c r="L1044216" s="19"/>
      <c r="M1044216" s="19"/>
      <c r="N1044216" s="19"/>
    </row>
    <row r="1044217" spans="1:14" s="83" customFormat="1" ht="12.75">
      <c r="A1044217" s="19"/>
      <c r="B1044217" s="19"/>
      <c r="C1044217" s="19"/>
      <c r="D1044217" s="19"/>
      <c r="E1044217" s="19"/>
      <c r="F1044217" s="19"/>
      <c r="G1044217" s="19"/>
      <c r="H1044217" s="19"/>
      <c r="I1044217" s="19"/>
      <c r="J1044217" s="19"/>
      <c r="K1044217" s="19"/>
      <c r="L1044217" s="19"/>
      <c r="M1044217" s="19"/>
      <c r="N1044217" s="19"/>
    </row>
    <row r="1044218" spans="1:14" s="83" customFormat="1" ht="12.75">
      <c r="A1044218" s="19"/>
      <c r="B1044218" s="19"/>
      <c r="C1044218" s="19"/>
      <c r="D1044218" s="19"/>
      <c r="E1044218" s="19"/>
      <c r="F1044218" s="19"/>
      <c r="G1044218" s="19"/>
      <c r="H1044218" s="19"/>
      <c r="I1044218" s="19"/>
      <c r="J1044218" s="19"/>
      <c r="K1044218" s="19"/>
      <c r="L1044218" s="19"/>
      <c r="M1044218" s="19"/>
      <c r="N1044218" s="19"/>
    </row>
    <row r="1044219" spans="1:14" s="83" customFormat="1" ht="12.75">
      <c r="A1044219" s="19"/>
      <c r="B1044219" s="19"/>
      <c r="C1044219" s="19"/>
      <c r="D1044219" s="19"/>
      <c r="E1044219" s="19"/>
      <c r="F1044219" s="19"/>
      <c r="G1044219" s="19"/>
      <c r="H1044219" s="19"/>
      <c r="I1044219" s="19"/>
      <c r="J1044219" s="19"/>
      <c r="K1044219" s="19"/>
      <c r="L1044219" s="19"/>
      <c r="M1044219" s="19"/>
      <c r="N1044219" s="19"/>
    </row>
    <row r="1044220" spans="1:14" s="83" customFormat="1" ht="12.75">
      <c r="A1044220" s="19"/>
      <c r="B1044220" s="19"/>
      <c r="C1044220" s="19"/>
      <c r="D1044220" s="19"/>
      <c r="E1044220" s="19"/>
      <c r="F1044220" s="19"/>
      <c r="G1044220" s="19"/>
      <c r="H1044220" s="19"/>
      <c r="I1044220" s="19"/>
      <c r="J1044220" s="19"/>
      <c r="K1044220" s="19"/>
      <c r="L1044220" s="19"/>
      <c r="M1044220" s="19"/>
      <c r="N1044220" s="19"/>
    </row>
    <row r="1044221" spans="1:14" s="83" customFormat="1" ht="12.75">
      <c r="A1044221" s="19"/>
      <c r="B1044221" s="19"/>
      <c r="C1044221" s="19"/>
      <c r="D1044221" s="19"/>
      <c r="E1044221" s="19"/>
      <c r="F1044221" s="19"/>
      <c r="G1044221" s="19"/>
      <c r="H1044221" s="19"/>
      <c r="I1044221" s="19"/>
      <c r="J1044221" s="19"/>
      <c r="K1044221" s="19"/>
      <c r="L1044221" s="19"/>
      <c r="M1044221" s="19"/>
      <c r="N1044221" s="19"/>
    </row>
    <row r="1044222" spans="1:14" s="83" customFormat="1" ht="12.75">
      <c r="A1044222" s="19"/>
      <c r="B1044222" s="19"/>
      <c r="C1044222" s="19"/>
      <c r="D1044222" s="19"/>
      <c r="E1044222" s="19"/>
      <c r="F1044222" s="19"/>
      <c r="G1044222" s="19"/>
      <c r="H1044222" s="19"/>
      <c r="I1044222" s="19"/>
      <c r="J1044222" s="19"/>
      <c r="K1044222" s="19"/>
      <c r="L1044222" s="19"/>
      <c r="M1044222" s="19"/>
      <c r="N1044222" s="19"/>
    </row>
    <row r="1044223" spans="1:14" s="83" customFormat="1" ht="12.75">
      <c r="A1044223" s="19"/>
      <c r="B1044223" s="19"/>
      <c r="C1044223" s="19"/>
      <c r="D1044223" s="19"/>
      <c r="E1044223" s="19"/>
      <c r="F1044223" s="19"/>
      <c r="G1044223" s="19"/>
      <c r="H1044223" s="19"/>
      <c r="I1044223" s="19"/>
      <c r="J1044223" s="19"/>
      <c r="K1044223" s="19"/>
      <c r="L1044223" s="19"/>
      <c r="M1044223" s="19"/>
      <c r="N1044223" s="19"/>
    </row>
    <row r="1044224" spans="1:14" s="83" customFormat="1" ht="12.75">
      <c r="A1044224" s="19"/>
      <c r="B1044224" s="19"/>
      <c r="C1044224" s="19"/>
      <c r="D1044224" s="19"/>
      <c r="E1044224" s="19"/>
      <c r="F1044224" s="19"/>
      <c r="G1044224" s="19"/>
      <c r="H1044224" s="19"/>
      <c r="I1044224" s="19"/>
      <c r="J1044224" s="19"/>
      <c r="K1044224" s="19"/>
      <c r="L1044224" s="19"/>
      <c r="M1044224" s="19"/>
      <c r="N1044224" s="19"/>
    </row>
    <row r="1044225" spans="1:14" s="83" customFormat="1" ht="12.75">
      <c r="A1044225" s="19"/>
      <c r="B1044225" s="19"/>
      <c r="C1044225" s="19"/>
      <c r="D1044225" s="19"/>
      <c r="E1044225" s="19"/>
      <c r="F1044225" s="19"/>
      <c r="G1044225" s="19"/>
      <c r="H1044225" s="19"/>
      <c r="I1044225" s="19"/>
      <c r="J1044225" s="19"/>
      <c r="K1044225" s="19"/>
      <c r="L1044225" s="19"/>
      <c r="M1044225" s="19"/>
      <c r="N1044225" s="19"/>
    </row>
    <row r="1044226" spans="1:14" s="83" customFormat="1" ht="12.75">
      <c r="A1044226" s="19"/>
      <c r="B1044226" s="19"/>
      <c r="C1044226" s="19"/>
      <c r="D1044226" s="19"/>
      <c r="E1044226" s="19"/>
      <c r="F1044226" s="19"/>
      <c r="G1044226" s="19"/>
      <c r="H1044226" s="19"/>
      <c r="I1044226" s="19"/>
      <c r="J1044226" s="19"/>
      <c r="K1044226" s="19"/>
      <c r="L1044226" s="19"/>
      <c r="M1044226" s="19"/>
      <c r="N1044226" s="19"/>
    </row>
    <row r="1044227" spans="1:14" s="83" customFormat="1" ht="12.75">
      <c r="A1044227" s="19"/>
      <c r="B1044227" s="19"/>
      <c r="C1044227" s="19"/>
      <c r="D1044227" s="19"/>
      <c r="E1044227" s="19"/>
      <c r="F1044227" s="19"/>
      <c r="G1044227" s="19"/>
      <c r="H1044227" s="19"/>
      <c r="I1044227" s="19"/>
      <c r="J1044227" s="19"/>
      <c r="K1044227" s="19"/>
      <c r="L1044227" s="19"/>
      <c r="M1044227" s="19"/>
      <c r="N1044227" s="19"/>
    </row>
    <row r="1044228" spans="1:14" s="83" customFormat="1" ht="12.75">
      <c r="A1044228" s="19"/>
      <c r="B1044228" s="19"/>
      <c r="C1044228" s="19"/>
      <c r="D1044228" s="19"/>
      <c r="E1044228" s="19"/>
      <c r="F1044228" s="19"/>
      <c r="G1044228" s="19"/>
      <c r="H1044228" s="19"/>
      <c r="I1044228" s="19"/>
      <c r="J1044228" s="19"/>
      <c r="K1044228" s="19"/>
      <c r="L1044228" s="19"/>
      <c r="M1044228" s="19"/>
      <c r="N1044228" s="19"/>
    </row>
    <row r="1044229" spans="1:14" s="83" customFormat="1" ht="12.75">
      <c r="A1044229" s="19"/>
      <c r="B1044229" s="19"/>
      <c r="C1044229" s="19"/>
      <c r="D1044229" s="19"/>
      <c r="E1044229" s="19"/>
      <c r="F1044229" s="19"/>
      <c r="G1044229" s="19"/>
      <c r="H1044229" s="19"/>
      <c r="I1044229" s="19"/>
      <c r="J1044229" s="19"/>
      <c r="K1044229" s="19"/>
      <c r="L1044229" s="19"/>
      <c r="M1044229" s="19"/>
      <c r="N1044229" s="19"/>
    </row>
    <row r="1044230" spans="1:14" s="83" customFormat="1" ht="12.75">
      <c r="A1044230" s="19"/>
      <c r="B1044230" s="19"/>
      <c r="C1044230" s="19"/>
      <c r="D1044230" s="19"/>
      <c r="E1044230" s="19"/>
      <c r="F1044230" s="19"/>
      <c r="G1044230" s="19"/>
      <c r="H1044230" s="19"/>
      <c r="I1044230" s="19"/>
      <c r="J1044230" s="19"/>
      <c r="K1044230" s="19"/>
      <c r="L1044230" s="19"/>
      <c r="M1044230" s="19"/>
      <c r="N1044230" s="19"/>
    </row>
    <row r="1044231" spans="1:14" s="83" customFormat="1" ht="12.75">
      <c r="A1044231" s="19"/>
      <c r="B1044231" s="19"/>
      <c r="C1044231" s="19"/>
      <c r="D1044231" s="19"/>
      <c r="E1044231" s="19"/>
      <c r="F1044231" s="19"/>
      <c r="G1044231" s="19"/>
      <c r="H1044231" s="19"/>
      <c r="I1044231" s="19"/>
      <c r="J1044231" s="19"/>
      <c r="K1044231" s="19"/>
      <c r="L1044231" s="19"/>
      <c r="M1044231" s="19"/>
      <c r="N1044231" s="19"/>
    </row>
    <row r="1044232" spans="1:14" s="83" customFormat="1" ht="12.75">
      <c r="A1044232" s="19"/>
      <c r="B1044232" s="19"/>
      <c r="C1044232" s="19"/>
      <c r="D1044232" s="19"/>
      <c r="E1044232" s="19"/>
      <c r="F1044232" s="19"/>
      <c r="G1044232" s="19"/>
      <c r="H1044232" s="19"/>
      <c r="I1044232" s="19"/>
      <c r="J1044232" s="19"/>
      <c r="K1044232" s="19"/>
      <c r="L1044232" s="19"/>
      <c r="M1044232" s="19"/>
      <c r="N1044232" s="19"/>
    </row>
    <row r="1044233" spans="1:14" s="83" customFormat="1" ht="12.75">
      <c r="A1044233" s="19"/>
      <c r="B1044233" s="19"/>
      <c r="C1044233" s="19"/>
      <c r="D1044233" s="19"/>
      <c r="E1044233" s="19"/>
      <c r="F1044233" s="19"/>
      <c r="G1044233" s="19"/>
      <c r="H1044233" s="19"/>
      <c r="I1044233" s="19"/>
      <c r="J1044233" s="19"/>
      <c r="K1044233" s="19"/>
      <c r="L1044233" s="19"/>
      <c r="M1044233" s="19"/>
      <c r="N1044233" s="19"/>
    </row>
    <row r="1044234" spans="1:14" s="83" customFormat="1" ht="12.75">
      <c r="A1044234" s="19"/>
      <c r="B1044234" s="19"/>
      <c r="C1044234" s="19"/>
      <c r="D1044234" s="19"/>
      <c r="E1044234" s="19"/>
      <c r="F1044234" s="19"/>
      <c r="G1044234" s="19"/>
      <c r="H1044234" s="19"/>
      <c r="I1044234" s="19"/>
      <c r="J1044234" s="19"/>
      <c r="K1044234" s="19"/>
      <c r="L1044234" s="19"/>
      <c r="M1044234" s="19"/>
      <c r="N1044234" s="19"/>
    </row>
    <row r="1044235" spans="1:14" s="83" customFormat="1" ht="12.75">
      <c r="A1044235" s="19"/>
      <c r="B1044235" s="19"/>
      <c r="C1044235" s="19"/>
      <c r="D1044235" s="19"/>
      <c r="E1044235" s="19"/>
      <c r="F1044235" s="19"/>
      <c r="G1044235" s="19"/>
      <c r="H1044235" s="19"/>
      <c r="I1044235" s="19"/>
      <c r="J1044235" s="19"/>
      <c r="K1044235" s="19"/>
      <c r="L1044235" s="19"/>
      <c r="M1044235" s="19"/>
      <c r="N1044235" s="19"/>
    </row>
    <row r="1044236" spans="1:14" s="83" customFormat="1" ht="12.75">
      <c r="A1044236" s="19"/>
      <c r="B1044236" s="19"/>
      <c r="C1044236" s="19"/>
      <c r="D1044236" s="19"/>
      <c r="E1044236" s="19"/>
      <c r="F1044236" s="19"/>
      <c r="G1044236" s="19"/>
      <c r="H1044236" s="19"/>
      <c r="I1044236" s="19"/>
      <c r="J1044236" s="19"/>
      <c r="K1044236" s="19"/>
      <c r="L1044236" s="19"/>
      <c r="M1044236" s="19"/>
      <c r="N1044236" s="19"/>
    </row>
    <row r="1044237" spans="1:14" s="83" customFormat="1" ht="12.75">
      <c r="A1044237" s="19"/>
      <c r="B1044237" s="19"/>
      <c r="C1044237" s="19"/>
      <c r="D1044237" s="19"/>
      <c r="E1044237" s="19"/>
      <c r="F1044237" s="19"/>
      <c r="G1044237" s="19"/>
      <c r="H1044237" s="19"/>
      <c r="I1044237" s="19"/>
      <c r="J1044237" s="19"/>
      <c r="K1044237" s="19"/>
      <c r="L1044237" s="19"/>
      <c r="M1044237" s="19"/>
      <c r="N1044237" s="19"/>
    </row>
    <row r="1044238" spans="1:14" s="83" customFormat="1" ht="12.75">
      <c r="A1044238" s="19"/>
      <c r="B1044238" s="19"/>
      <c r="C1044238" s="19"/>
      <c r="D1044238" s="19"/>
      <c r="E1044238" s="19"/>
      <c r="F1044238" s="19"/>
      <c r="G1044238" s="19"/>
      <c r="H1044238" s="19"/>
      <c r="I1044238" s="19"/>
      <c r="J1044238" s="19"/>
      <c r="K1044238" s="19"/>
      <c r="L1044238" s="19"/>
      <c r="M1044238" s="19"/>
      <c r="N1044238" s="19"/>
    </row>
    <row r="1044239" spans="1:14" s="83" customFormat="1" ht="12.75">
      <c r="A1044239" s="19"/>
      <c r="B1044239" s="19"/>
      <c r="C1044239" s="19"/>
      <c r="D1044239" s="19"/>
      <c r="E1044239" s="19"/>
      <c r="F1044239" s="19"/>
      <c r="G1044239" s="19"/>
      <c r="H1044239" s="19"/>
      <c r="I1044239" s="19"/>
      <c r="J1044239" s="19"/>
      <c r="K1044239" s="19"/>
      <c r="L1044239" s="19"/>
      <c r="M1044239" s="19"/>
      <c r="N1044239" s="19"/>
    </row>
    <row r="1044240" spans="1:14" s="83" customFormat="1" ht="12.75">
      <c r="A1044240" s="19"/>
      <c r="B1044240" s="19"/>
      <c r="C1044240" s="19"/>
      <c r="D1044240" s="19"/>
      <c r="E1044240" s="19"/>
      <c r="F1044240" s="19"/>
      <c r="G1044240" s="19"/>
      <c r="H1044240" s="19"/>
      <c r="I1044240" s="19"/>
      <c r="J1044240" s="19"/>
      <c r="K1044240" s="19"/>
      <c r="L1044240" s="19"/>
      <c r="M1044240" s="19"/>
      <c r="N1044240" s="19"/>
    </row>
    <row r="1044241" spans="1:14" s="83" customFormat="1" ht="12.75">
      <c r="A1044241" s="19"/>
      <c r="B1044241" s="19"/>
      <c r="C1044241" s="19"/>
      <c r="D1044241" s="19"/>
      <c r="E1044241" s="19"/>
      <c r="F1044241" s="19"/>
      <c r="G1044241" s="19"/>
      <c r="H1044241" s="19"/>
      <c r="I1044241" s="19"/>
      <c r="J1044241" s="19"/>
      <c r="K1044241" s="19"/>
      <c r="L1044241" s="19"/>
      <c r="M1044241" s="19"/>
      <c r="N1044241" s="19"/>
    </row>
    <row r="1044242" spans="1:14" s="83" customFormat="1" ht="12.75">
      <c r="A1044242" s="19"/>
      <c r="B1044242" s="19"/>
      <c r="C1044242" s="19"/>
      <c r="D1044242" s="19"/>
      <c r="E1044242" s="19"/>
      <c r="F1044242" s="19"/>
      <c r="G1044242" s="19"/>
      <c r="H1044242" s="19"/>
      <c r="I1044242" s="19"/>
      <c r="J1044242" s="19"/>
      <c r="K1044242" s="19"/>
      <c r="L1044242" s="19"/>
      <c r="M1044242" s="19"/>
      <c r="N1044242" s="19"/>
    </row>
    <row r="1044243" spans="1:14" s="83" customFormat="1" ht="12.75">
      <c r="A1044243" s="19"/>
      <c r="B1044243" s="19"/>
      <c r="C1044243" s="19"/>
      <c r="D1044243" s="19"/>
      <c r="E1044243" s="19"/>
      <c r="F1044243" s="19"/>
      <c r="G1044243" s="19"/>
      <c r="H1044243" s="19"/>
      <c r="I1044243" s="19"/>
      <c r="J1044243" s="19"/>
      <c r="K1044243" s="19"/>
      <c r="L1044243" s="19"/>
      <c r="M1044243" s="19"/>
      <c r="N1044243" s="19"/>
    </row>
    <row r="1044244" spans="1:14" s="83" customFormat="1" ht="12.75">
      <c r="A1044244" s="19"/>
      <c r="B1044244" s="19"/>
      <c r="C1044244" s="19"/>
      <c r="D1044244" s="19"/>
      <c r="E1044244" s="19"/>
      <c r="F1044244" s="19"/>
      <c r="G1044244" s="19"/>
      <c r="H1044244" s="19"/>
      <c r="I1044244" s="19"/>
      <c r="J1044244" s="19"/>
      <c r="K1044244" s="19"/>
      <c r="L1044244" s="19"/>
      <c r="M1044244" s="19"/>
      <c r="N1044244" s="19"/>
    </row>
    <row r="1044245" spans="1:14" s="83" customFormat="1" ht="12.75">
      <c r="A1044245" s="19"/>
      <c r="B1044245" s="19"/>
      <c r="C1044245" s="19"/>
      <c r="D1044245" s="19"/>
      <c r="E1044245" s="19"/>
      <c r="F1044245" s="19"/>
      <c r="G1044245" s="19"/>
      <c r="H1044245" s="19"/>
      <c r="I1044245" s="19"/>
      <c r="J1044245" s="19"/>
      <c r="K1044245" s="19"/>
      <c r="L1044245" s="19"/>
      <c r="M1044245" s="19"/>
      <c r="N1044245" s="19"/>
    </row>
    <row r="1044246" spans="1:14" s="83" customFormat="1" ht="12.75">
      <c r="A1044246" s="19"/>
      <c r="B1044246" s="19"/>
      <c r="C1044246" s="19"/>
      <c r="D1044246" s="19"/>
      <c r="E1044246" s="19"/>
      <c r="F1044246" s="19"/>
      <c r="G1044246" s="19"/>
      <c r="H1044246" s="19"/>
      <c r="I1044246" s="19"/>
      <c r="J1044246" s="19"/>
      <c r="K1044246" s="19"/>
      <c r="L1044246" s="19"/>
      <c r="M1044246" s="19"/>
      <c r="N1044246" s="19"/>
    </row>
    <row r="1044247" spans="1:14" s="83" customFormat="1" ht="12.75">
      <c r="A1044247" s="19"/>
      <c r="B1044247" s="19"/>
      <c r="C1044247" s="19"/>
      <c r="D1044247" s="19"/>
      <c r="E1044247" s="19"/>
      <c r="F1044247" s="19"/>
      <c r="G1044247" s="19"/>
      <c r="H1044247" s="19"/>
      <c r="I1044247" s="19"/>
      <c r="J1044247" s="19"/>
      <c r="K1044247" s="19"/>
      <c r="L1044247" s="19"/>
      <c r="M1044247" s="19"/>
      <c r="N1044247" s="19"/>
    </row>
    <row r="1044248" spans="1:14" s="83" customFormat="1" ht="12.75">
      <c r="A1044248" s="19"/>
      <c r="B1044248" s="19"/>
      <c r="C1044248" s="19"/>
      <c r="D1044248" s="19"/>
      <c r="E1044248" s="19"/>
      <c r="F1044248" s="19"/>
      <c r="G1044248" s="19"/>
      <c r="H1044248" s="19"/>
      <c r="I1044248" s="19"/>
      <c r="J1044248" s="19"/>
      <c r="K1044248" s="19"/>
      <c r="L1044248" s="19"/>
      <c r="M1044248" s="19"/>
      <c r="N1044248" s="19"/>
    </row>
    <row r="1044249" spans="1:14" s="83" customFormat="1" ht="12.75">
      <c r="A1044249" s="19"/>
      <c r="B1044249" s="19"/>
      <c r="C1044249" s="19"/>
      <c r="D1044249" s="19"/>
      <c r="E1044249" s="19"/>
      <c r="F1044249" s="19"/>
      <c r="G1044249" s="19"/>
      <c r="H1044249" s="19"/>
      <c r="I1044249" s="19"/>
      <c r="J1044249" s="19"/>
      <c r="K1044249" s="19"/>
      <c r="L1044249" s="19"/>
      <c r="M1044249" s="19"/>
      <c r="N1044249" s="19"/>
    </row>
    <row r="1044250" spans="1:14" s="83" customFormat="1" ht="12.75">
      <c r="A1044250" s="19"/>
      <c r="B1044250" s="19"/>
      <c r="C1044250" s="19"/>
      <c r="D1044250" s="19"/>
      <c r="E1044250" s="19"/>
      <c r="F1044250" s="19"/>
      <c r="G1044250" s="19"/>
      <c r="H1044250" s="19"/>
      <c r="I1044250" s="19"/>
      <c r="J1044250" s="19"/>
      <c r="K1044250" s="19"/>
      <c r="L1044250" s="19"/>
      <c r="M1044250" s="19"/>
      <c r="N1044250" s="19"/>
    </row>
    <row r="1044251" spans="1:14" s="83" customFormat="1" ht="12.75">
      <c r="A1044251" s="19"/>
      <c r="B1044251" s="19"/>
      <c r="C1044251" s="19"/>
      <c r="D1044251" s="19"/>
      <c r="E1044251" s="19"/>
      <c r="F1044251" s="19"/>
      <c r="G1044251" s="19"/>
      <c r="H1044251" s="19"/>
      <c r="I1044251" s="19"/>
      <c r="J1044251" s="19"/>
      <c r="K1044251" s="19"/>
      <c r="L1044251" s="19"/>
      <c r="M1044251" s="19"/>
      <c r="N1044251" s="19"/>
    </row>
    <row r="1044252" spans="1:14" s="83" customFormat="1" ht="12.75">
      <c r="A1044252" s="19"/>
      <c r="B1044252" s="19"/>
      <c r="C1044252" s="19"/>
      <c r="D1044252" s="19"/>
      <c r="E1044252" s="19"/>
      <c r="F1044252" s="19"/>
      <c r="G1044252" s="19"/>
      <c r="H1044252" s="19"/>
      <c r="I1044252" s="19"/>
      <c r="J1044252" s="19"/>
      <c r="K1044252" s="19"/>
      <c r="L1044252" s="19"/>
      <c r="M1044252" s="19"/>
      <c r="N1044252" s="19"/>
    </row>
    <row r="1044253" spans="1:14" s="83" customFormat="1" ht="12.75">
      <c r="A1044253" s="19"/>
      <c r="B1044253" s="19"/>
      <c r="C1044253" s="19"/>
      <c r="D1044253" s="19"/>
      <c r="E1044253" s="19"/>
      <c r="F1044253" s="19"/>
      <c r="G1044253" s="19"/>
      <c r="H1044253" s="19"/>
      <c r="I1044253" s="19"/>
      <c r="J1044253" s="19"/>
      <c r="K1044253" s="19"/>
      <c r="L1044253" s="19"/>
      <c r="M1044253" s="19"/>
      <c r="N1044253" s="19"/>
    </row>
    <row r="1044254" spans="1:14" s="83" customFormat="1" ht="12.75">
      <c r="A1044254" s="19"/>
      <c r="B1044254" s="19"/>
      <c r="C1044254" s="19"/>
      <c r="D1044254" s="19"/>
      <c r="E1044254" s="19"/>
      <c r="F1044254" s="19"/>
      <c r="G1044254" s="19"/>
      <c r="H1044254" s="19"/>
      <c r="I1044254" s="19"/>
      <c r="J1044254" s="19"/>
      <c r="K1044254" s="19"/>
      <c r="L1044254" s="19"/>
      <c r="M1044254" s="19"/>
      <c r="N1044254" s="19"/>
    </row>
    <row r="1044255" spans="1:14" s="83" customFormat="1" ht="12.75">
      <c r="A1044255" s="19"/>
      <c r="B1044255" s="19"/>
      <c r="C1044255" s="19"/>
      <c r="D1044255" s="19"/>
      <c r="E1044255" s="19"/>
      <c r="F1044255" s="19"/>
      <c r="G1044255" s="19"/>
      <c r="H1044255" s="19"/>
      <c r="I1044255" s="19"/>
      <c r="J1044255" s="19"/>
      <c r="K1044255" s="19"/>
      <c r="L1044255" s="19"/>
      <c r="M1044255" s="19"/>
      <c r="N1044255" s="19"/>
    </row>
    <row r="1044256" spans="1:14" s="83" customFormat="1" ht="12.75">
      <c r="A1044256" s="19"/>
      <c r="B1044256" s="19"/>
      <c r="C1044256" s="19"/>
      <c r="D1044256" s="19"/>
      <c r="E1044256" s="19"/>
      <c r="F1044256" s="19"/>
      <c r="G1044256" s="19"/>
      <c r="H1044256" s="19"/>
      <c r="I1044256" s="19"/>
      <c r="J1044256" s="19"/>
      <c r="K1044256" s="19"/>
      <c r="L1044256" s="19"/>
      <c r="M1044256" s="19"/>
      <c r="N1044256" s="19"/>
    </row>
    <row r="1044257" spans="1:14" s="83" customFormat="1" ht="12.75">
      <c r="A1044257" s="19"/>
      <c r="B1044257" s="19"/>
      <c r="C1044257" s="19"/>
      <c r="D1044257" s="19"/>
      <c r="E1044257" s="19"/>
      <c r="F1044257" s="19"/>
      <c r="G1044257" s="19"/>
      <c r="H1044257" s="19"/>
      <c r="I1044257" s="19"/>
      <c r="J1044257" s="19"/>
      <c r="K1044257" s="19"/>
      <c r="L1044257" s="19"/>
      <c r="M1044257" s="19"/>
      <c r="N1044257" s="19"/>
    </row>
    <row r="1044258" spans="1:14" s="83" customFormat="1" ht="12.75">
      <c r="A1044258" s="19"/>
      <c r="B1044258" s="19"/>
      <c r="C1044258" s="19"/>
      <c r="D1044258" s="19"/>
      <c r="E1044258" s="19"/>
      <c r="F1044258" s="19"/>
      <c r="G1044258" s="19"/>
      <c r="H1044258" s="19"/>
      <c r="I1044258" s="19"/>
      <c r="J1044258" s="19"/>
      <c r="K1044258" s="19"/>
      <c r="L1044258" s="19"/>
      <c r="M1044258" s="19"/>
      <c r="N1044258" s="19"/>
    </row>
    <row r="1044259" spans="1:14" s="83" customFormat="1" ht="12.75">
      <c r="A1044259" s="19"/>
      <c r="B1044259" s="19"/>
      <c r="C1044259" s="19"/>
      <c r="D1044259" s="19"/>
      <c r="E1044259" s="19"/>
      <c r="F1044259" s="19"/>
      <c r="G1044259" s="19"/>
      <c r="H1044259" s="19"/>
      <c r="I1044259" s="19"/>
      <c r="J1044259" s="19"/>
      <c r="K1044259" s="19"/>
      <c r="L1044259" s="19"/>
      <c r="M1044259" s="19"/>
      <c r="N1044259" s="19"/>
    </row>
    <row r="1044260" spans="1:14" s="83" customFormat="1" ht="12.75">
      <c r="A1044260" s="19"/>
      <c r="B1044260" s="19"/>
      <c r="C1044260" s="19"/>
      <c r="D1044260" s="19"/>
      <c r="E1044260" s="19"/>
      <c r="F1044260" s="19"/>
      <c r="G1044260" s="19"/>
      <c r="H1044260" s="19"/>
      <c r="I1044260" s="19"/>
      <c r="J1044260" s="19"/>
      <c r="K1044260" s="19"/>
      <c r="L1044260" s="19"/>
      <c r="M1044260" s="19"/>
      <c r="N1044260" s="19"/>
    </row>
    <row r="1044261" spans="1:14" s="83" customFormat="1" ht="12.75">
      <c r="A1044261" s="19"/>
      <c r="B1044261" s="19"/>
      <c r="C1044261" s="19"/>
      <c r="D1044261" s="19"/>
      <c r="E1044261" s="19"/>
      <c r="F1044261" s="19"/>
      <c r="G1044261" s="19"/>
      <c r="H1044261" s="19"/>
      <c r="I1044261" s="19"/>
      <c r="J1044261" s="19"/>
      <c r="K1044261" s="19"/>
      <c r="L1044261" s="19"/>
      <c r="M1044261" s="19"/>
      <c r="N1044261" s="19"/>
    </row>
    <row r="1044262" spans="1:14" s="83" customFormat="1" ht="12.75">
      <c r="A1044262" s="19"/>
      <c r="B1044262" s="19"/>
      <c r="C1044262" s="19"/>
      <c r="D1044262" s="19"/>
      <c r="E1044262" s="19"/>
      <c r="F1044262" s="19"/>
      <c r="G1044262" s="19"/>
      <c r="H1044262" s="19"/>
      <c r="I1044262" s="19"/>
      <c r="J1044262" s="19"/>
      <c r="K1044262" s="19"/>
      <c r="L1044262" s="19"/>
      <c r="M1044262" s="19"/>
      <c r="N1044262" s="19"/>
    </row>
    <row r="1044263" spans="1:14" s="83" customFormat="1" ht="12.75">
      <c r="A1044263" s="19"/>
      <c r="B1044263" s="19"/>
      <c r="C1044263" s="19"/>
      <c r="D1044263" s="19"/>
      <c r="E1044263" s="19"/>
      <c r="F1044263" s="19"/>
      <c r="G1044263" s="19"/>
      <c r="H1044263" s="19"/>
      <c r="I1044263" s="19"/>
      <c r="J1044263" s="19"/>
      <c r="K1044263" s="19"/>
      <c r="L1044263" s="19"/>
      <c r="M1044263" s="19"/>
      <c r="N1044263" s="19"/>
    </row>
    <row r="1044264" spans="1:14" s="83" customFormat="1" ht="12.75">
      <c r="A1044264" s="19"/>
      <c r="B1044264" s="19"/>
      <c r="C1044264" s="19"/>
      <c r="D1044264" s="19"/>
      <c r="E1044264" s="19"/>
      <c r="F1044264" s="19"/>
      <c r="G1044264" s="19"/>
      <c r="H1044264" s="19"/>
      <c r="I1044264" s="19"/>
      <c r="J1044264" s="19"/>
      <c r="K1044264" s="19"/>
      <c r="L1044264" s="19"/>
      <c r="M1044264" s="19"/>
      <c r="N1044264" s="19"/>
    </row>
    <row r="1044265" spans="1:14" s="83" customFormat="1" ht="12.75">
      <c r="A1044265" s="19"/>
      <c r="B1044265" s="19"/>
      <c r="C1044265" s="19"/>
      <c r="D1044265" s="19"/>
      <c r="E1044265" s="19"/>
      <c r="F1044265" s="19"/>
      <c r="G1044265" s="19"/>
      <c r="H1044265" s="19"/>
      <c r="I1044265" s="19"/>
      <c r="J1044265" s="19"/>
      <c r="K1044265" s="19"/>
      <c r="L1044265" s="19"/>
      <c r="M1044265" s="19"/>
      <c r="N1044265" s="19"/>
    </row>
    <row r="1044266" spans="1:14" s="83" customFormat="1" ht="12.75">
      <c r="A1044266" s="19"/>
      <c r="B1044266" s="19"/>
      <c r="C1044266" s="19"/>
      <c r="D1044266" s="19"/>
      <c r="E1044266" s="19"/>
      <c r="F1044266" s="19"/>
      <c r="G1044266" s="19"/>
      <c r="H1044266" s="19"/>
      <c r="I1044266" s="19"/>
      <c r="J1044266" s="19"/>
      <c r="K1044266" s="19"/>
      <c r="L1044266" s="19"/>
      <c r="M1044266" s="19"/>
      <c r="N1044266" s="19"/>
    </row>
    <row r="1044267" spans="1:14" s="83" customFormat="1" ht="12.75">
      <c r="A1044267" s="19"/>
      <c r="B1044267" s="19"/>
      <c r="C1044267" s="19"/>
      <c r="D1044267" s="19"/>
      <c r="E1044267" s="19"/>
      <c r="F1044267" s="19"/>
      <c r="G1044267" s="19"/>
      <c r="H1044267" s="19"/>
      <c r="I1044267" s="19"/>
      <c r="J1044267" s="19"/>
      <c r="K1044267" s="19"/>
      <c r="L1044267" s="19"/>
      <c r="M1044267" s="19"/>
      <c r="N1044267" s="19"/>
    </row>
    <row r="1044268" spans="1:14" s="83" customFormat="1" ht="12.75">
      <c r="A1044268" s="19"/>
      <c r="B1044268" s="19"/>
      <c r="C1044268" s="19"/>
      <c r="D1044268" s="19"/>
      <c r="E1044268" s="19"/>
      <c r="F1044268" s="19"/>
      <c r="G1044268" s="19"/>
      <c r="H1044268" s="19"/>
      <c r="I1044268" s="19"/>
      <c r="J1044268" s="19"/>
      <c r="K1044268" s="19"/>
      <c r="L1044268" s="19"/>
      <c r="M1044268" s="19"/>
      <c r="N1044268" s="19"/>
    </row>
    <row r="1044269" spans="1:14" s="83" customFormat="1" ht="12.75">
      <c r="A1044269" s="19"/>
      <c r="B1044269" s="19"/>
      <c r="C1044269" s="19"/>
      <c r="D1044269" s="19"/>
      <c r="E1044269" s="19"/>
      <c r="F1044269" s="19"/>
      <c r="G1044269" s="19"/>
      <c r="H1044269" s="19"/>
      <c r="I1044269" s="19"/>
      <c r="J1044269" s="19"/>
      <c r="K1044269" s="19"/>
      <c r="L1044269" s="19"/>
      <c r="M1044269" s="19"/>
      <c r="N1044269" s="19"/>
    </row>
    <row r="1044270" spans="1:14" s="83" customFormat="1" ht="12.75">
      <c r="A1044270" s="19"/>
      <c r="B1044270" s="19"/>
      <c r="C1044270" s="19"/>
      <c r="D1044270" s="19"/>
      <c r="E1044270" s="19"/>
      <c r="F1044270" s="19"/>
      <c r="G1044270" s="19"/>
      <c r="H1044270" s="19"/>
      <c r="I1044270" s="19"/>
      <c r="J1044270" s="19"/>
      <c r="K1044270" s="19"/>
      <c r="L1044270" s="19"/>
      <c r="M1044270" s="19"/>
      <c r="N1044270" s="19"/>
    </row>
    <row r="1044271" spans="1:14" s="83" customFormat="1" ht="12.75">
      <c r="A1044271" s="19"/>
      <c r="B1044271" s="19"/>
      <c r="C1044271" s="19"/>
      <c r="D1044271" s="19"/>
      <c r="E1044271" s="19"/>
      <c r="F1044271" s="19"/>
      <c r="G1044271" s="19"/>
      <c r="H1044271" s="19"/>
      <c r="I1044271" s="19"/>
      <c r="J1044271" s="19"/>
      <c r="K1044271" s="19"/>
      <c r="L1044271" s="19"/>
      <c r="M1044271" s="19"/>
      <c r="N1044271" s="19"/>
    </row>
    <row r="1044272" spans="1:14" s="83" customFormat="1" ht="12.75">
      <c r="A1044272" s="19"/>
      <c r="B1044272" s="19"/>
      <c r="C1044272" s="19"/>
      <c r="D1044272" s="19"/>
      <c r="E1044272" s="19"/>
      <c r="F1044272" s="19"/>
      <c r="G1044272" s="19"/>
      <c r="H1044272" s="19"/>
      <c r="I1044272" s="19"/>
      <c r="J1044272" s="19"/>
      <c r="K1044272" s="19"/>
      <c r="L1044272" s="19"/>
      <c r="M1044272" s="19"/>
      <c r="N1044272" s="19"/>
    </row>
    <row r="1044273" spans="1:14" s="83" customFormat="1" ht="12.75">
      <c r="A1044273" s="19"/>
      <c r="B1044273" s="19"/>
      <c r="C1044273" s="19"/>
      <c r="D1044273" s="19"/>
      <c r="E1044273" s="19"/>
      <c r="F1044273" s="19"/>
      <c r="G1044273" s="19"/>
      <c r="H1044273" s="19"/>
      <c r="I1044273" s="19"/>
      <c r="J1044273" s="19"/>
      <c r="K1044273" s="19"/>
      <c r="L1044273" s="19"/>
      <c r="M1044273" s="19"/>
      <c r="N1044273" s="19"/>
    </row>
    <row r="1044274" spans="1:14" s="83" customFormat="1" ht="12.75">
      <c r="A1044274" s="19"/>
      <c r="B1044274" s="19"/>
      <c r="C1044274" s="19"/>
      <c r="D1044274" s="19"/>
      <c r="E1044274" s="19"/>
      <c r="F1044274" s="19"/>
      <c r="G1044274" s="19"/>
      <c r="H1044274" s="19"/>
      <c r="I1044274" s="19"/>
      <c r="J1044274" s="19"/>
      <c r="K1044274" s="19"/>
      <c r="L1044274" s="19"/>
      <c r="M1044274" s="19"/>
      <c r="N1044274" s="19"/>
    </row>
    <row r="1044275" spans="1:14" s="83" customFormat="1" ht="12.75">
      <c r="A1044275" s="19"/>
      <c r="B1044275" s="19"/>
      <c r="C1044275" s="19"/>
      <c r="D1044275" s="19"/>
      <c r="E1044275" s="19"/>
      <c r="F1044275" s="19"/>
      <c r="G1044275" s="19"/>
      <c r="H1044275" s="19"/>
      <c r="I1044275" s="19"/>
      <c r="J1044275" s="19"/>
      <c r="K1044275" s="19"/>
      <c r="L1044275" s="19"/>
      <c r="M1044275" s="19"/>
      <c r="N1044275" s="19"/>
    </row>
    <row r="1044276" spans="1:14" s="83" customFormat="1" ht="12.75">
      <c r="A1044276" s="19"/>
      <c r="B1044276" s="19"/>
      <c r="C1044276" s="19"/>
      <c r="D1044276" s="19"/>
      <c r="E1044276" s="19"/>
      <c r="F1044276" s="19"/>
      <c r="G1044276" s="19"/>
      <c r="H1044276" s="19"/>
      <c r="I1044276" s="19"/>
      <c r="J1044276" s="19"/>
      <c r="K1044276" s="19"/>
      <c r="L1044276" s="19"/>
      <c r="M1044276" s="19"/>
      <c r="N1044276" s="19"/>
    </row>
    <row r="1044277" spans="1:14" s="83" customFormat="1" ht="12.75">
      <c r="A1044277" s="19"/>
      <c r="B1044277" s="19"/>
      <c r="C1044277" s="19"/>
      <c r="D1044277" s="19"/>
      <c r="E1044277" s="19"/>
      <c r="F1044277" s="19"/>
      <c r="G1044277" s="19"/>
      <c r="H1044277" s="19"/>
      <c r="I1044277" s="19"/>
      <c r="J1044277" s="19"/>
      <c r="K1044277" s="19"/>
      <c r="L1044277" s="19"/>
      <c r="M1044277" s="19"/>
      <c r="N1044277" s="19"/>
    </row>
    <row r="1044278" spans="1:14" s="83" customFormat="1" ht="12.75">
      <c r="A1044278" s="19"/>
      <c r="B1044278" s="19"/>
      <c r="C1044278" s="19"/>
      <c r="D1044278" s="19"/>
      <c r="E1044278" s="19"/>
      <c r="F1044278" s="19"/>
      <c r="G1044278" s="19"/>
      <c r="H1044278" s="19"/>
      <c r="I1044278" s="19"/>
      <c r="J1044278" s="19"/>
      <c r="K1044278" s="19"/>
      <c r="L1044278" s="19"/>
      <c r="M1044278" s="19"/>
      <c r="N1044278" s="19"/>
    </row>
    <row r="1044279" spans="1:14" s="83" customFormat="1" ht="12.75">
      <c r="A1044279" s="19"/>
      <c r="B1044279" s="19"/>
      <c r="C1044279" s="19"/>
      <c r="D1044279" s="19"/>
      <c r="E1044279" s="19"/>
      <c r="F1044279" s="19"/>
      <c r="G1044279" s="19"/>
      <c r="H1044279" s="19"/>
      <c r="I1044279" s="19"/>
      <c r="J1044279" s="19"/>
      <c r="K1044279" s="19"/>
      <c r="L1044279" s="19"/>
      <c r="M1044279" s="19"/>
      <c r="N1044279" s="19"/>
    </row>
    <row r="1044280" spans="1:14" s="83" customFormat="1" ht="12.75">
      <c r="A1044280" s="19"/>
      <c r="B1044280" s="19"/>
      <c r="C1044280" s="19"/>
      <c r="D1044280" s="19"/>
      <c r="E1044280" s="19"/>
      <c r="F1044280" s="19"/>
      <c r="G1044280" s="19"/>
      <c r="H1044280" s="19"/>
      <c r="I1044280" s="19"/>
      <c r="J1044280" s="19"/>
      <c r="K1044280" s="19"/>
      <c r="L1044280" s="19"/>
      <c r="M1044280" s="19"/>
      <c r="N1044280" s="19"/>
    </row>
    <row r="1044281" spans="1:14" s="83" customFormat="1" ht="12.75">
      <c r="A1044281" s="19"/>
      <c r="B1044281" s="19"/>
      <c r="C1044281" s="19"/>
      <c r="D1044281" s="19"/>
      <c r="E1044281" s="19"/>
      <c r="F1044281" s="19"/>
      <c r="G1044281" s="19"/>
      <c r="H1044281" s="19"/>
      <c r="I1044281" s="19"/>
      <c r="J1044281" s="19"/>
      <c r="K1044281" s="19"/>
      <c r="L1044281" s="19"/>
      <c r="M1044281" s="19"/>
      <c r="N1044281" s="19"/>
    </row>
    <row r="1044282" spans="1:14" s="83" customFormat="1" ht="12.75">
      <c r="A1044282" s="19"/>
      <c r="B1044282" s="19"/>
      <c r="C1044282" s="19"/>
      <c r="D1044282" s="19"/>
      <c r="E1044282" s="19"/>
      <c r="F1044282" s="19"/>
      <c r="G1044282" s="19"/>
      <c r="H1044282" s="19"/>
      <c r="I1044282" s="19"/>
      <c r="J1044282" s="19"/>
      <c r="K1044282" s="19"/>
      <c r="L1044282" s="19"/>
      <c r="M1044282" s="19"/>
      <c r="N1044282" s="19"/>
    </row>
    <row r="1044283" spans="1:14" s="83" customFormat="1" ht="12.75">
      <c r="A1044283" s="19"/>
      <c r="B1044283" s="19"/>
      <c r="C1044283" s="19"/>
      <c r="D1044283" s="19"/>
      <c r="E1044283" s="19"/>
      <c r="F1044283" s="19"/>
      <c r="G1044283" s="19"/>
      <c r="H1044283" s="19"/>
      <c r="I1044283" s="19"/>
      <c r="J1044283" s="19"/>
      <c r="K1044283" s="19"/>
      <c r="L1044283" s="19"/>
      <c r="M1044283" s="19"/>
      <c r="N1044283" s="19"/>
    </row>
    <row r="1044284" spans="1:14" s="83" customFormat="1" ht="12.75">
      <c r="A1044284" s="19"/>
      <c r="B1044284" s="19"/>
      <c r="C1044284" s="19"/>
      <c r="D1044284" s="19"/>
      <c r="E1044284" s="19"/>
      <c r="F1044284" s="19"/>
      <c r="G1044284" s="19"/>
      <c r="H1044284" s="19"/>
      <c r="I1044284" s="19"/>
      <c r="J1044284" s="19"/>
      <c r="K1044284" s="19"/>
      <c r="L1044284" s="19"/>
      <c r="M1044284" s="19"/>
      <c r="N1044284" s="19"/>
    </row>
    <row r="1044285" spans="1:14" s="83" customFormat="1" ht="12.75">
      <c r="A1044285" s="19"/>
      <c r="B1044285" s="19"/>
      <c r="C1044285" s="19"/>
      <c r="D1044285" s="19"/>
      <c r="E1044285" s="19"/>
      <c r="F1044285" s="19"/>
      <c r="G1044285" s="19"/>
      <c r="H1044285" s="19"/>
      <c r="I1044285" s="19"/>
      <c r="J1044285" s="19"/>
      <c r="K1044285" s="19"/>
      <c r="L1044285" s="19"/>
      <c r="M1044285" s="19"/>
      <c r="N1044285" s="19"/>
    </row>
    <row r="1044286" spans="1:14" s="83" customFormat="1" ht="12.75">
      <c r="A1044286" s="19"/>
      <c r="B1044286" s="19"/>
      <c r="C1044286" s="19"/>
      <c r="D1044286" s="19"/>
      <c r="E1044286" s="19"/>
      <c r="F1044286" s="19"/>
      <c r="G1044286" s="19"/>
      <c r="H1044286" s="19"/>
      <c r="I1044286" s="19"/>
      <c r="J1044286" s="19"/>
      <c r="K1044286" s="19"/>
      <c r="L1044286" s="19"/>
      <c r="M1044286" s="19"/>
      <c r="N1044286" s="19"/>
    </row>
    <row r="1044287" spans="1:14" s="83" customFormat="1" ht="12.75">
      <c r="A1044287" s="19"/>
      <c r="B1044287" s="19"/>
      <c r="C1044287" s="19"/>
      <c r="D1044287" s="19"/>
      <c r="E1044287" s="19"/>
      <c r="F1044287" s="19"/>
      <c r="G1044287" s="19"/>
      <c r="H1044287" s="19"/>
      <c r="I1044287" s="19"/>
      <c r="J1044287" s="19"/>
      <c r="K1044287" s="19"/>
      <c r="L1044287" s="19"/>
      <c r="M1044287" s="19"/>
      <c r="N1044287" s="19"/>
    </row>
    <row r="1044288" spans="1:14" s="83" customFormat="1" ht="12.75">
      <c r="A1044288" s="19"/>
      <c r="B1044288" s="19"/>
      <c r="C1044288" s="19"/>
      <c r="D1044288" s="19"/>
      <c r="E1044288" s="19"/>
      <c r="F1044288" s="19"/>
      <c r="G1044288" s="19"/>
      <c r="H1044288" s="19"/>
      <c r="I1044288" s="19"/>
      <c r="J1044288" s="19"/>
      <c r="K1044288" s="19"/>
      <c r="L1044288" s="19"/>
      <c r="M1044288" s="19"/>
      <c r="N1044288" s="19"/>
    </row>
    <row r="1044289" spans="1:14" s="83" customFormat="1" ht="12.75">
      <c r="A1044289" s="19"/>
      <c r="B1044289" s="19"/>
      <c r="C1044289" s="19"/>
      <c r="D1044289" s="19"/>
      <c r="E1044289" s="19"/>
      <c r="F1044289" s="19"/>
      <c r="G1044289" s="19"/>
      <c r="H1044289" s="19"/>
      <c r="I1044289" s="19"/>
      <c r="J1044289" s="19"/>
      <c r="K1044289" s="19"/>
      <c r="L1044289" s="19"/>
      <c r="M1044289" s="19"/>
      <c r="N1044289" s="19"/>
    </row>
    <row r="1044290" spans="1:14" s="83" customFormat="1" ht="12.75">
      <c r="A1044290" s="19"/>
      <c r="B1044290" s="19"/>
      <c r="C1044290" s="19"/>
      <c r="D1044290" s="19"/>
      <c r="E1044290" s="19"/>
      <c r="F1044290" s="19"/>
      <c r="G1044290" s="19"/>
      <c r="H1044290" s="19"/>
      <c r="I1044290" s="19"/>
      <c r="J1044290" s="19"/>
      <c r="K1044290" s="19"/>
      <c r="L1044290" s="19"/>
      <c r="M1044290" s="19"/>
      <c r="N1044290" s="19"/>
    </row>
    <row r="1044291" spans="1:14" s="83" customFormat="1" ht="12.75">
      <c r="A1044291" s="19"/>
      <c r="B1044291" s="19"/>
      <c r="C1044291" s="19"/>
      <c r="D1044291" s="19"/>
      <c r="E1044291" s="19"/>
      <c r="F1044291" s="19"/>
      <c r="G1044291" s="19"/>
      <c r="H1044291" s="19"/>
      <c r="I1044291" s="19"/>
      <c r="J1044291" s="19"/>
      <c r="K1044291" s="19"/>
      <c r="L1044291" s="19"/>
      <c r="M1044291" s="19"/>
      <c r="N1044291" s="19"/>
    </row>
    <row r="1044292" spans="1:14" s="83" customFormat="1" ht="12.75">
      <c r="A1044292" s="19"/>
      <c r="B1044292" s="19"/>
      <c r="C1044292" s="19"/>
      <c r="D1044292" s="19"/>
      <c r="E1044292" s="19"/>
      <c r="F1044292" s="19"/>
      <c r="G1044292" s="19"/>
      <c r="H1044292" s="19"/>
      <c r="I1044292" s="19"/>
      <c r="J1044292" s="19"/>
      <c r="K1044292" s="19"/>
      <c r="L1044292" s="19"/>
      <c r="M1044292" s="19"/>
      <c r="N1044292" s="19"/>
    </row>
    <row r="1044293" spans="1:14" s="83" customFormat="1" ht="12.75">
      <c r="A1044293" s="19"/>
      <c r="B1044293" s="19"/>
      <c r="C1044293" s="19"/>
      <c r="D1044293" s="19"/>
      <c r="E1044293" s="19"/>
      <c r="F1044293" s="19"/>
      <c r="G1044293" s="19"/>
      <c r="H1044293" s="19"/>
      <c r="I1044293" s="19"/>
      <c r="J1044293" s="19"/>
      <c r="K1044293" s="19"/>
      <c r="L1044293" s="19"/>
      <c r="M1044293" s="19"/>
      <c r="N1044293" s="19"/>
    </row>
    <row r="1044294" spans="1:14" s="83" customFormat="1" ht="12.75">
      <c r="A1044294" s="19"/>
      <c r="B1044294" s="19"/>
      <c r="C1044294" s="19"/>
      <c r="D1044294" s="19"/>
      <c r="E1044294" s="19"/>
      <c r="F1044294" s="19"/>
      <c r="G1044294" s="19"/>
      <c r="H1044294" s="19"/>
      <c r="I1044294" s="19"/>
      <c r="J1044294" s="19"/>
      <c r="K1044294" s="19"/>
      <c r="L1044294" s="19"/>
      <c r="M1044294" s="19"/>
      <c r="N1044294" s="19"/>
    </row>
    <row r="1044295" spans="1:14" s="83" customFormat="1" ht="12.75">
      <c r="A1044295" s="19"/>
      <c r="B1044295" s="19"/>
      <c r="C1044295" s="19"/>
      <c r="D1044295" s="19"/>
      <c r="E1044295" s="19"/>
      <c r="F1044295" s="19"/>
      <c r="G1044295" s="19"/>
      <c r="H1044295" s="19"/>
      <c r="I1044295" s="19"/>
      <c r="J1044295" s="19"/>
      <c r="K1044295" s="19"/>
      <c r="L1044295" s="19"/>
      <c r="M1044295" s="19"/>
      <c r="N1044295" s="19"/>
    </row>
    <row r="1044296" spans="1:14" s="83" customFormat="1" ht="12.75">
      <c r="A1044296" s="19"/>
      <c r="B1044296" s="19"/>
      <c r="C1044296" s="19"/>
      <c r="D1044296" s="19"/>
      <c r="E1044296" s="19"/>
      <c r="F1044296" s="19"/>
      <c r="G1044296" s="19"/>
      <c r="H1044296" s="19"/>
      <c r="I1044296" s="19"/>
      <c r="J1044296" s="19"/>
      <c r="K1044296" s="19"/>
      <c r="L1044296" s="19"/>
      <c r="M1044296" s="19"/>
      <c r="N1044296" s="19"/>
    </row>
    <row r="1044297" spans="1:14" s="83" customFormat="1" ht="12.75">
      <c r="A1044297" s="19"/>
      <c r="B1044297" s="19"/>
      <c r="C1044297" s="19"/>
      <c r="D1044297" s="19"/>
      <c r="E1044297" s="19"/>
      <c r="F1044297" s="19"/>
      <c r="G1044297" s="19"/>
      <c r="H1044297" s="19"/>
      <c r="I1044297" s="19"/>
      <c r="J1044297" s="19"/>
      <c r="K1044297" s="19"/>
      <c r="L1044297" s="19"/>
      <c r="M1044297" s="19"/>
      <c r="N1044297" s="19"/>
    </row>
    <row r="1044298" spans="1:14" s="83" customFormat="1" ht="12.75">
      <c r="A1044298" s="19"/>
      <c r="B1044298" s="19"/>
      <c r="C1044298" s="19"/>
      <c r="D1044298" s="19"/>
      <c r="E1044298" s="19"/>
      <c r="F1044298" s="19"/>
      <c r="G1044298" s="19"/>
      <c r="H1044298" s="19"/>
      <c r="I1044298" s="19"/>
      <c r="J1044298" s="19"/>
      <c r="K1044298" s="19"/>
      <c r="L1044298" s="19"/>
      <c r="M1044298" s="19"/>
      <c r="N1044298" s="19"/>
    </row>
    <row r="1044299" spans="1:14" s="83" customFormat="1" ht="12.75">
      <c r="A1044299" s="19"/>
      <c r="B1044299" s="19"/>
      <c r="C1044299" s="19"/>
      <c r="D1044299" s="19"/>
      <c r="E1044299" s="19"/>
      <c r="F1044299" s="19"/>
      <c r="G1044299" s="19"/>
      <c r="H1044299" s="19"/>
      <c r="I1044299" s="19"/>
      <c r="J1044299" s="19"/>
      <c r="K1044299" s="19"/>
      <c r="L1044299" s="19"/>
      <c r="M1044299" s="19"/>
      <c r="N1044299" s="19"/>
    </row>
    <row r="1044300" spans="1:14" s="83" customFormat="1" ht="12.75">
      <c r="A1044300" s="19"/>
      <c r="B1044300" s="19"/>
      <c r="C1044300" s="19"/>
      <c r="D1044300" s="19"/>
      <c r="E1044300" s="19"/>
      <c r="F1044300" s="19"/>
      <c r="G1044300" s="19"/>
      <c r="H1044300" s="19"/>
      <c r="I1044300" s="19"/>
      <c r="J1044300" s="19"/>
      <c r="K1044300" s="19"/>
      <c r="L1044300" s="19"/>
      <c r="M1044300" s="19"/>
      <c r="N1044300" s="19"/>
    </row>
    <row r="1044301" spans="1:14" s="83" customFormat="1" ht="12.75">
      <c r="A1044301" s="19"/>
      <c r="B1044301" s="19"/>
      <c r="C1044301" s="19"/>
      <c r="D1044301" s="19"/>
      <c r="E1044301" s="19"/>
      <c r="F1044301" s="19"/>
      <c r="G1044301" s="19"/>
      <c r="H1044301" s="19"/>
      <c r="I1044301" s="19"/>
      <c r="J1044301" s="19"/>
      <c r="K1044301" s="19"/>
      <c r="L1044301" s="19"/>
      <c r="M1044301" s="19"/>
      <c r="N1044301" s="19"/>
    </row>
    <row r="1044302" spans="1:14" s="83" customFormat="1" ht="12.75">
      <c r="A1044302" s="19"/>
      <c r="B1044302" s="19"/>
      <c r="C1044302" s="19"/>
      <c r="D1044302" s="19"/>
      <c r="E1044302" s="19"/>
      <c r="F1044302" s="19"/>
      <c r="G1044302" s="19"/>
      <c r="H1044302" s="19"/>
      <c r="I1044302" s="19"/>
      <c r="J1044302" s="19"/>
      <c r="K1044302" s="19"/>
      <c r="L1044302" s="19"/>
      <c r="M1044302" s="19"/>
      <c r="N1044302" s="19"/>
    </row>
    <row r="1044303" spans="1:14" s="83" customFormat="1" ht="12.75">
      <c r="A1044303" s="19"/>
      <c r="B1044303" s="19"/>
      <c r="C1044303" s="19"/>
      <c r="D1044303" s="19"/>
      <c r="E1044303" s="19"/>
      <c r="F1044303" s="19"/>
      <c r="G1044303" s="19"/>
      <c r="H1044303" s="19"/>
      <c r="I1044303" s="19"/>
      <c r="J1044303" s="19"/>
      <c r="K1044303" s="19"/>
      <c r="L1044303" s="19"/>
      <c r="M1044303" s="19"/>
      <c r="N1044303" s="19"/>
    </row>
    <row r="1044304" spans="1:14" s="83" customFormat="1" ht="12.75">
      <c r="A1044304" s="19"/>
      <c r="B1044304" s="19"/>
      <c r="C1044304" s="19"/>
      <c r="D1044304" s="19"/>
      <c r="E1044304" s="19"/>
      <c r="F1044304" s="19"/>
      <c r="G1044304" s="19"/>
      <c r="H1044304" s="19"/>
      <c r="I1044304" s="19"/>
      <c r="J1044304" s="19"/>
      <c r="K1044304" s="19"/>
      <c r="L1044304" s="19"/>
      <c r="M1044304" s="19"/>
      <c r="N1044304" s="19"/>
    </row>
    <row r="1044305" spans="1:14" s="83" customFormat="1" ht="12.75">
      <c r="A1044305" s="19"/>
      <c r="B1044305" s="19"/>
      <c r="C1044305" s="19"/>
      <c r="D1044305" s="19"/>
      <c r="E1044305" s="19"/>
      <c r="F1044305" s="19"/>
      <c r="G1044305" s="19"/>
      <c r="H1044305" s="19"/>
      <c r="I1044305" s="19"/>
      <c r="J1044305" s="19"/>
      <c r="K1044305" s="19"/>
      <c r="L1044305" s="19"/>
      <c r="M1044305" s="19"/>
      <c r="N1044305" s="19"/>
    </row>
    <row r="1044306" spans="1:14" s="83" customFormat="1" ht="12.75">
      <c r="A1044306" s="19"/>
      <c r="B1044306" s="19"/>
      <c r="C1044306" s="19"/>
      <c r="D1044306" s="19"/>
      <c r="E1044306" s="19"/>
      <c r="F1044306" s="19"/>
      <c r="G1044306" s="19"/>
      <c r="H1044306" s="19"/>
      <c r="I1044306" s="19"/>
      <c r="J1044306" s="19"/>
      <c r="K1044306" s="19"/>
      <c r="L1044306" s="19"/>
      <c r="M1044306" s="19"/>
      <c r="N1044306" s="19"/>
    </row>
    <row r="1044307" spans="1:14" s="83" customFormat="1" ht="12.75">
      <c r="A1044307" s="19"/>
      <c r="B1044307" s="19"/>
      <c r="C1044307" s="19"/>
      <c r="D1044307" s="19"/>
      <c r="E1044307" s="19"/>
      <c r="F1044307" s="19"/>
      <c r="G1044307" s="19"/>
      <c r="H1044307" s="19"/>
      <c r="I1044307" s="19"/>
      <c r="J1044307" s="19"/>
      <c r="K1044307" s="19"/>
      <c r="L1044307" s="19"/>
      <c r="M1044307" s="19"/>
      <c r="N1044307" s="19"/>
    </row>
    <row r="1044308" spans="1:14" s="83" customFormat="1" ht="12.75">
      <c r="A1044308" s="19"/>
      <c r="B1044308" s="19"/>
      <c r="C1044308" s="19"/>
      <c r="D1044308" s="19"/>
      <c r="E1044308" s="19"/>
      <c r="F1044308" s="19"/>
      <c r="G1044308" s="19"/>
      <c r="H1044308" s="19"/>
      <c r="I1044308" s="19"/>
      <c r="J1044308" s="19"/>
      <c r="K1044308" s="19"/>
      <c r="L1044308" s="19"/>
      <c r="M1044308" s="19"/>
      <c r="N1044308" s="19"/>
    </row>
    <row r="1044309" spans="1:14" s="83" customFormat="1" ht="12.75">
      <c r="A1044309" s="19"/>
      <c r="B1044309" s="19"/>
      <c r="C1044309" s="19"/>
      <c r="D1044309" s="19"/>
      <c r="E1044309" s="19"/>
      <c r="F1044309" s="19"/>
      <c r="G1044309" s="19"/>
      <c r="H1044309" s="19"/>
      <c r="I1044309" s="19"/>
      <c r="J1044309" s="19"/>
      <c r="K1044309" s="19"/>
      <c r="L1044309" s="19"/>
      <c r="M1044309" s="19"/>
      <c r="N1044309" s="19"/>
    </row>
    <row r="1044310" spans="1:14" s="83" customFormat="1" ht="12.75">
      <c r="A1044310" s="19"/>
      <c r="B1044310" s="19"/>
      <c r="C1044310" s="19"/>
      <c r="D1044310" s="19"/>
      <c r="E1044310" s="19"/>
      <c r="F1044310" s="19"/>
      <c r="G1044310" s="19"/>
      <c r="H1044310" s="19"/>
      <c r="I1044310" s="19"/>
      <c r="J1044310" s="19"/>
      <c r="K1044310" s="19"/>
      <c r="L1044310" s="19"/>
      <c r="M1044310" s="19"/>
      <c r="N1044310" s="19"/>
    </row>
    <row r="1044311" spans="1:14" s="83" customFormat="1" ht="12.75">
      <c r="A1044311" s="19"/>
      <c r="B1044311" s="19"/>
      <c r="C1044311" s="19"/>
      <c r="D1044311" s="19"/>
      <c r="E1044311" s="19"/>
      <c r="F1044311" s="19"/>
      <c r="G1044311" s="19"/>
      <c r="H1044311" s="19"/>
      <c r="I1044311" s="19"/>
      <c r="J1044311" s="19"/>
      <c r="K1044311" s="19"/>
      <c r="L1044311" s="19"/>
      <c r="M1044311" s="19"/>
      <c r="N1044311" s="19"/>
    </row>
    <row r="1044312" spans="1:14" s="83" customFormat="1" ht="12.75">
      <c r="A1044312" s="19"/>
      <c r="B1044312" s="19"/>
      <c r="C1044312" s="19"/>
      <c r="D1044312" s="19"/>
      <c r="E1044312" s="19"/>
      <c r="F1044312" s="19"/>
      <c r="G1044312" s="19"/>
      <c r="H1044312" s="19"/>
      <c r="I1044312" s="19"/>
      <c r="J1044312" s="19"/>
      <c r="K1044312" s="19"/>
      <c r="L1044312" s="19"/>
      <c r="M1044312" s="19"/>
      <c r="N1044312" s="19"/>
    </row>
    <row r="1044313" spans="1:14" s="83" customFormat="1" ht="12.75">
      <c r="A1044313" s="19"/>
      <c r="B1044313" s="19"/>
      <c r="C1044313" s="19"/>
      <c r="D1044313" s="19"/>
      <c r="E1044313" s="19"/>
      <c r="F1044313" s="19"/>
      <c r="G1044313" s="19"/>
      <c r="H1044313" s="19"/>
      <c r="I1044313" s="19"/>
      <c r="J1044313" s="19"/>
      <c r="K1044313" s="19"/>
      <c r="L1044313" s="19"/>
      <c r="M1044313" s="19"/>
      <c r="N1044313" s="19"/>
    </row>
    <row r="1044314" spans="1:14" s="83" customFormat="1" ht="12.75">
      <c r="A1044314" s="19"/>
      <c r="B1044314" s="19"/>
      <c r="C1044314" s="19"/>
      <c r="D1044314" s="19"/>
      <c r="E1044314" s="19"/>
      <c r="F1044314" s="19"/>
      <c r="G1044314" s="19"/>
      <c r="H1044314" s="19"/>
      <c r="I1044314" s="19"/>
      <c r="J1044314" s="19"/>
      <c r="K1044314" s="19"/>
      <c r="L1044314" s="19"/>
      <c r="M1044314" s="19"/>
      <c r="N1044314" s="19"/>
    </row>
    <row r="1044315" spans="1:14" s="83" customFormat="1" ht="12.75">
      <c r="A1044315" s="19"/>
      <c r="B1044315" s="19"/>
      <c r="C1044315" s="19"/>
      <c r="D1044315" s="19"/>
      <c r="E1044315" s="19"/>
      <c r="F1044315" s="19"/>
      <c r="G1044315" s="19"/>
      <c r="H1044315" s="19"/>
      <c r="I1044315" s="19"/>
      <c r="J1044315" s="19"/>
      <c r="K1044315" s="19"/>
      <c r="L1044315" s="19"/>
      <c r="M1044315" s="19"/>
      <c r="N1044315" s="19"/>
    </row>
    <row r="1044316" spans="1:14" s="83" customFormat="1" ht="12.75">
      <c r="A1044316" s="19"/>
      <c r="B1044316" s="19"/>
      <c r="C1044316" s="19"/>
      <c r="D1044316" s="19"/>
      <c r="E1044316" s="19"/>
      <c r="F1044316" s="19"/>
      <c r="G1044316" s="19"/>
      <c r="H1044316" s="19"/>
      <c r="I1044316" s="19"/>
      <c r="J1044316" s="19"/>
      <c r="K1044316" s="19"/>
      <c r="L1044316" s="19"/>
      <c r="M1044316" s="19"/>
      <c r="N1044316" s="19"/>
    </row>
    <row r="1044317" spans="1:14" s="83" customFormat="1" ht="12.75">
      <c r="A1044317" s="19"/>
      <c r="B1044317" s="19"/>
      <c r="C1044317" s="19"/>
      <c r="D1044317" s="19"/>
      <c r="E1044317" s="19"/>
      <c r="F1044317" s="19"/>
      <c r="G1044317" s="19"/>
      <c r="H1044317" s="19"/>
      <c r="I1044317" s="19"/>
      <c r="J1044317" s="19"/>
      <c r="K1044317" s="19"/>
      <c r="L1044317" s="19"/>
      <c r="M1044317" s="19"/>
      <c r="N1044317" s="19"/>
    </row>
    <row r="1044318" spans="1:14" s="83" customFormat="1" ht="12.75">
      <c r="A1044318" s="19"/>
      <c r="B1044318" s="19"/>
      <c r="C1044318" s="19"/>
      <c r="D1044318" s="19"/>
      <c r="E1044318" s="19"/>
      <c r="F1044318" s="19"/>
      <c r="G1044318" s="19"/>
      <c r="H1044318" s="19"/>
      <c r="I1044318" s="19"/>
      <c r="J1044318" s="19"/>
      <c r="K1044318" s="19"/>
      <c r="L1044318" s="19"/>
      <c r="M1044318" s="19"/>
      <c r="N1044318" s="19"/>
    </row>
    <row r="1044319" spans="1:14" s="83" customFormat="1" ht="12.75">
      <c r="A1044319" s="19"/>
      <c r="B1044319" s="19"/>
      <c r="C1044319" s="19"/>
      <c r="D1044319" s="19"/>
      <c r="E1044319" s="19"/>
      <c r="F1044319" s="19"/>
      <c r="G1044319" s="19"/>
      <c r="H1044319" s="19"/>
      <c r="I1044319" s="19"/>
      <c r="J1044319" s="19"/>
      <c r="K1044319" s="19"/>
      <c r="L1044319" s="19"/>
      <c r="M1044319" s="19"/>
      <c r="N1044319" s="19"/>
    </row>
    <row r="1044320" spans="1:14" s="83" customFormat="1" ht="12.75">
      <c r="A1044320" s="19"/>
      <c r="B1044320" s="19"/>
      <c r="C1044320" s="19"/>
      <c r="D1044320" s="19"/>
      <c r="E1044320" s="19"/>
      <c r="F1044320" s="19"/>
      <c r="G1044320" s="19"/>
      <c r="H1044320" s="19"/>
      <c r="I1044320" s="19"/>
      <c r="J1044320" s="19"/>
      <c r="K1044320" s="19"/>
      <c r="L1044320" s="19"/>
      <c r="M1044320" s="19"/>
      <c r="N1044320" s="19"/>
    </row>
    <row r="1044321" spans="1:14" s="83" customFormat="1" ht="12.75">
      <c r="A1044321" s="19"/>
      <c r="B1044321" s="19"/>
      <c r="C1044321" s="19"/>
      <c r="D1044321" s="19"/>
      <c r="E1044321" s="19"/>
      <c r="F1044321" s="19"/>
      <c r="G1044321" s="19"/>
      <c r="H1044321" s="19"/>
      <c r="I1044321" s="19"/>
      <c r="J1044321" s="19"/>
      <c r="K1044321" s="19"/>
      <c r="L1044321" s="19"/>
      <c r="M1044321" s="19"/>
      <c r="N1044321" s="19"/>
    </row>
    <row r="1044322" spans="1:14" s="83" customFormat="1" ht="12.75">
      <c r="A1044322" s="19"/>
      <c r="B1044322" s="19"/>
      <c r="C1044322" s="19"/>
      <c r="D1044322" s="19"/>
      <c r="E1044322" s="19"/>
      <c r="F1044322" s="19"/>
      <c r="G1044322" s="19"/>
      <c r="H1044322" s="19"/>
      <c r="I1044322" s="19"/>
      <c r="J1044322" s="19"/>
      <c r="K1044322" s="19"/>
      <c r="L1044322" s="19"/>
      <c r="M1044322" s="19"/>
      <c r="N1044322" s="19"/>
    </row>
    <row r="1044323" spans="1:14" s="83" customFormat="1" ht="12.75">
      <c r="A1044323" s="19"/>
      <c r="B1044323" s="19"/>
      <c r="C1044323" s="19"/>
      <c r="D1044323" s="19"/>
      <c r="E1044323" s="19"/>
      <c r="F1044323" s="19"/>
      <c r="G1044323" s="19"/>
      <c r="H1044323" s="19"/>
      <c r="I1044323" s="19"/>
      <c r="J1044323" s="19"/>
      <c r="K1044323" s="19"/>
      <c r="L1044323" s="19"/>
      <c r="M1044323" s="19"/>
      <c r="N1044323" s="19"/>
    </row>
    <row r="1044324" spans="1:14" s="83" customFormat="1" ht="12.75">
      <c r="A1044324" s="19"/>
      <c r="B1044324" s="19"/>
      <c r="C1044324" s="19"/>
      <c r="D1044324" s="19"/>
      <c r="E1044324" s="19"/>
      <c r="F1044324" s="19"/>
      <c r="G1044324" s="19"/>
      <c r="H1044324" s="19"/>
      <c r="I1044324" s="19"/>
      <c r="J1044324" s="19"/>
      <c r="K1044324" s="19"/>
      <c r="L1044324" s="19"/>
      <c r="M1044324" s="19"/>
      <c r="N1044324" s="19"/>
    </row>
    <row r="1044325" spans="1:14" s="83" customFormat="1" ht="12.75">
      <c r="A1044325" s="19"/>
      <c r="B1044325" s="19"/>
      <c r="C1044325" s="19"/>
      <c r="D1044325" s="19"/>
      <c r="E1044325" s="19"/>
      <c r="F1044325" s="19"/>
      <c r="G1044325" s="19"/>
      <c r="H1044325" s="19"/>
      <c r="I1044325" s="19"/>
      <c r="J1044325" s="19"/>
      <c r="K1044325" s="19"/>
      <c r="L1044325" s="19"/>
      <c r="M1044325" s="19"/>
      <c r="N1044325" s="19"/>
    </row>
    <row r="1044326" spans="1:14" s="83" customFormat="1" ht="12.75">
      <c r="A1044326" s="19"/>
      <c r="B1044326" s="19"/>
      <c r="C1044326" s="19"/>
      <c r="D1044326" s="19"/>
      <c r="E1044326" s="19"/>
      <c r="F1044326" s="19"/>
      <c r="G1044326" s="19"/>
      <c r="H1044326" s="19"/>
      <c r="I1044326" s="19"/>
      <c r="J1044326" s="19"/>
      <c r="K1044326" s="19"/>
      <c r="L1044326" s="19"/>
      <c r="M1044326" s="19"/>
      <c r="N1044326" s="19"/>
    </row>
    <row r="1044327" spans="1:14" s="83" customFormat="1" ht="12.75">
      <c r="A1044327" s="19"/>
      <c r="B1044327" s="19"/>
      <c r="C1044327" s="19"/>
      <c r="D1044327" s="19"/>
      <c r="E1044327" s="19"/>
      <c r="F1044327" s="19"/>
      <c r="G1044327" s="19"/>
      <c r="H1044327" s="19"/>
      <c r="I1044327" s="19"/>
      <c r="J1044327" s="19"/>
      <c r="K1044327" s="19"/>
      <c r="L1044327" s="19"/>
      <c r="M1044327" s="19"/>
      <c r="N1044327" s="19"/>
    </row>
    <row r="1044328" spans="1:14" s="83" customFormat="1" ht="12.75">
      <c r="A1044328" s="19"/>
      <c r="B1044328" s="19"/>
      <c r="C1044328" s="19"/>
      <c r="D1044328" s="19"/>
      <c r="E1044328" s="19"/>
      <c r="F1044328" s="19"/>
      <c r="G1044328" s="19"/>
      <c r="H1044328" s="19"/>
      <c r="I1044328" s="19"/>
      <c r="J1044328" s="19"/>
      <c r="K1044328" s="19"/>
      <c r="L1044328" s="19"/>
      <c r="M1044328" s="19"/>
      <c r="N1044328" s="19"/>
    </row>
    <row r="1044329" spans="1:14" s="83" customFormat="1" ht="12.75">
      <c r="A1044329" s="19"/>
      <c r="B1044329" s="19"/>
      <c r="C1044329" s="19"/>
      <c r="D1044329" s="19"/>
      <c r="E1044329" s="19"/>
      <c r="F1044329" s="19"/>
      <c r="G1044329" s="19"/>
      <c r="H1044329" s="19"/>
      <c r="I1044329" s="19"/>
      <c r="J1044329" s="19"/>
      <c r="K1044329" s="19"/>
      <c r="L1044329" s="19"/>
      <c r="M1044329" s="19"/>
      <c r="N1044329" s="19"/>
    </row>
    <row r="1044330" spans="1:14" s="83" customFormat="1" ht="12.75">
      <c r="A1044330" s="19"/>
      <c r="B1044330" s="19"/>
      <c r="C1044330" s="19"/>
      <c r="D1044330" s="19"/>
      <c r="E1044330" s="19"/>
      <c r="F1044330" s="19"/>
      <c r="G1044330" s="19"/>
      <c r="H1044330" s="19"/>
      <c r="I1044330" s="19"/>
      <c r="J1044330" s="19"/>
      <c r="K1044330" s="19"/>
      <c r="L1044330" s="19"/>
      <c r="M1044330" s="19"/>
      <c r="N1044330" s="19"/>
    </row>
    <row r="1044331" spans="1:14" s="83" customFormat="1" ht="12.75">
      <c r="A1044331" s="19"/>
      <c r="B1044331" s="19"/>
      <c r="C1044331" s="19"/>
      <c r="D1044331" s="19"/>
      <c r="E1044331" s="19"/>
      <c r="F1044331" s="19"/>
      <c r="G1044331" s="19"/>
      <c r="H1044331" s="19"/>
      <c r="I1044331" s="19"/>
      <c r="J1044331" s="19"/>
      <c r="K1044331" s="19"/>
      <c r="L1044331" s="19"/>
      <c r="M1044331" s="19"/>
      <c r="N1044331" s="19"/>
    </row>
    <row r="1044332" spans="1:14" s="83" customFormat="1" ht="12.75">
      <c r="A1044332" s="19"/>
      <c r="B1044332" s="19"/>
      <c r="C1044332" s="19"/>
      <c r="D1044332" s="19"/>
      <c r="E1044332" s="19"/>
      <c r="F1044332" s="19"/>
      <c r="G1044332" s="19"/>
      <c r="H1044332" s="19"/>
      <c r="I1044332" s="19"/>
      <c r="J1044332" s="19"/>
      <c r="K1044332" s="19"/>
      <c r="L1044332" s="19"/>
      <c r="M1044332" s="19"/>
      <c r="N1044332" s="19"/>
    </row>
    <row r="1044333" spans="1:14" s="83" customFormat="1" ht="12.75">
      <c r="A1044333" s="19"/>
      <c r="B1044333" s="19"/>
      <c r="C1044333" s="19"/>
      <c r="D1044333" s="19"/>
      <c r="E1044333" s="19"/>
      <c r="F1044333" s="19"/>
      <c r="G1044333" s="19"/>
      <c r="H1044333" s="19"/>
      <c r="I1044333" s="19"/>
      <c r="J1044333" s="19"/>
      <c r="K1044333" s="19"/>
      <c r="L1044333" s="19"/>
      <c r="M1044333" s="19"/>
      <c r="N1044333" s="19"/>
    </row>
    <row r="1044334" spans="1:14" s="83" customFormat="1" ht="12.75">
      <c r="A1044334" s="19"/>
      <c r="B1044334" s="19"/>
      <c r="C1044334" s="19"/>
      <c r="D1044334" s="19"/>
      <c r="E1044334" s="19"/>
      <c r="F1044334" s="19"/>
      <c r="G1044334" s="19"/>
      <c r="H1044334" s="19"/>
      <c r="I1044334" s="19"/>
      <c r="J1044334" s="19"/>
      <c r="K1044334" s="19"/>
      <c r="L1044334" s="19"/>
      <c r="M1044334" s="19"/>
      <c r="N1044334" s="19"/>
    </row>
    <row r="1044335" spans="1:14" s="83" customFormat="1" ht="12.75">
      <c r="A1044335" s="19"/>
      <c r="B1044335" s="19"/>
      <c r="C1044335" s="19"/>
      <c r="D1044335" s="19"/>
      <c r="E1044335" s="19"/>
      <c r="F1044335" s="19"/>
      <c r="G1044335" s="19"/>
      <c r="H1044335" s="19"/>
      <c r="I1044335" s="19"/>
      <c r="J1044335" s="19"/>
      <c r="K1044335" s="19"/>
      <c r="L1044335" s="19"/>
      <c r="M1044335" s="19"/>
      <c r="N1044335" s="19"/>
    </row>
    <row r="1044336" spans="1:14" s="83" customFormat="1" ht="12.75">
      <c r="A1044336" s="19"/>
      <c r="B1044336" s="19"/>
      <c r="C1044336" s="19"/>
      <c r="D1044336" s="19"/>
      <c r="E1044336" s="19"/>
      <c r="F1044336" s="19"/>
      <c r="G1044336" s="19"/>
      <c r="H1044336" s="19"/>
      <c r="I1044336" s="19"/>
      <c r="J1044336" s="19"/>
      <c r="K1044336" s="19"/>
      <c r="L1044336" s="19"/>
      <c r="M1044336" s="19"/>
      <c r="N1044336" s="19"/>
    </row>
    <row r="1044337" spans="1:14" s="83" customFormat="1" ht="12.75">
      <c r="A1044337" s="19"/>
      <c r="B1044337" s="19"/>
      <c r="C1044337" s="19"/>
      <c r="D1044337" s="19"/>
      <c r="E1044337" s="19"/>
      <c r="F1044337" s="19"/>
      <c r="G1044337" s="19"/>
      <c r="H1044337" s="19"/>
      <c r="I1044337" s="19"/>
      <c r="J1044337" s="19"/>
      <c r="K1044337" s="19"/>
      <c r="L1044337" s="19"/>
      <c r="M1044337" s="19"/>
      <c r="N1044337" s="19"/>
    </row>
    <row r="1044338" spans="1:14" s="83" customFormat="1" ht="12.75">
      <c r="A1044338" s="19"/>
      <c r="B1044338" s="19"/>
      <c r="C1044338" s="19"/>
      <c r="D1044338" s="19"/>
      <c r="E1044338" s="19"/>
      <c r="F1044338" s="19"/>
      <c r="G1044338" s="19"/>
      <c r="H1044338" s="19"/>
      <c r="I1044338" s="19"/>
      <c r="J1044338" s="19"/>
      <c r="K1044338" s="19"/>
      <c r="L1044338" s="19"/>
      <c r="M1044338" s="19"/>
      <c r="N1044338" s="19"/>
    </row>
    <row r="1044339" spans="1:14" s="83" customFormat="1" ht="12.75">
      <c r="A1044339" s="19"/>
      <c r="B1044339" s="19"/>
      <c r="C1044339" s="19"/>
      <c r="D1044339" s="19"/>
      <c r="E1044339" s="19"/>
      <c r="F1044339" s="19"/>
      <c r="G1044339" s="19"/>
      <c r="H1044339" s="19"/>
      <c r="I1044339" s="19"/>
      <c r="J1044339" s="19"/>
      <c r="K1044339" s="19"/>
      <c r="L1044339" s="19"/>
      <c r="M1044339" s="19"/>
      <c r="N1044339" s="19"/>
    </row>
    <row r="1044340" spans="1:14" s="83" customFormat="1" ht="12.75">
      <c r="A1044340" s="19"/>
      <c r="B1044340" s="19"/>
      <c r="C1044340" s="19"/>
      <c r="D1044340" s="19"/>
      <c r="E1044340" s="19"/>
      <c r="F1044340" s="19"/>
      <c r="G1044340" s="19"/>
      <c r="H1044340" s="19"/>
      <c r="I1044340" s="19"/>
      <c r="J1044340" s="19"/>
      <c r="K1044340" s="19"/>
      <c r="L1044340" s="19"/>
      <c r="M1044340" s="19"/>
      <c r="N1044340" s="19"/>
    </row>
    <row r="1044341" spans="1:14" s="83" customFormat="1" ht="12.75">
      <c r="A1044341" s="19"/>
      <c r="B1044341" s="19"/>
      <c r="C1044341" s="19"/>
      <c r="D1044341" s="19"/>
      <c r="E1044341" s="19"/>
      <c r="F1044341" s="19"/>
      <c r="G1044341" s="19"/>
      <c r="H1044341" s="19"/>
      <c r="I1044341" s="19"/>
      <c r="J1044341" s="19"/>
      <c r="K1044341" s="19"/>
      <c r="L1044341" s="19"/>
      <c r="M1044341" s="19"/>
      <c r="N1044341" s="19"/>
    </row>
    <row r="1044342" spans="1:14" s="83" customFormat="1" ht="12.75">
      <c r="A1044342" s="19"/>
      <c r="B1044342" s="19"/>
      <c r="C1044342" s="19"/>
      <c r="D1044342" s="19"/>
      <c r="E1044342" s="19"/>
      <c r="F1044342" s="19"/>
      <c r="G1044342" s="19"/>
      <c r="H1044342" s="19"/>
      <c r="I1044342" s="19"/>
      <c r="J1044342" s="19"/>
      <c r="K1044342" s="19"/>
      <c r="L1044342" s="19"/>
      <c r="M1044342" s="19"/>
      <c r="N1044342" s="19"/>
    </row>
    <row r="1044343" spans="1:14" s="83" customFormat="1" ht="12.75">
      <c r="A1044343" s="19"/>
      <c r="B1044343" s="19"/>
      <c r="C1044343" s="19"/>
      <c r="D1044343" s="19"/>
      <c r="E1044343" s="19"/>
      <c r="F1044343" s="19"/>
      <c r="G1044343" s="19"/>
      <c r="H1044343" s="19"/>
      <c r="I1044343" s="19"/>
      <c r="J1044343" s="19"/>
      <c r="K1044343" s="19"/>
      <c r="L1044343" s="19"/>
      <c r="M1044343" s="19"/>
      <c r="N1044343" s="19"/>
    </row>
    <row r="1044344" spans="1:14" s="83" customFormat="1" ht="12.75">
      <c r="A1044344" s="19"/>
      <c r="B1044344" s="19"/>
      <c r="C1044344" s="19"/>
      <c r="D1044344" s="19"/>
      <c r="E1044344" s="19"/>
      <c r="F1044344" s="19"/>
      <c r="G1044344" s="19"/>
      <c r="H1044344" s="19"/>
      <c r="I1044344" s="19"/>
      <c r="J1044344" s="19"/>
      <c r="K1044344" s="19"/>
      <c r="L1044344" s="19"/>
      <c r="M1044344" s="19"/>
      <c r="N1044344" s="19"/>
    </row>
    <row r="1044345" spans="1:14" s="83" customFormat="1" ht="12.75">
      <c r="A1044345" s="19"/>
      <c r="B1044345" s="19"/>
      <c r="C1044345" s="19"/>
      <c r="D1044345" s="19"/>
      <c r="E1044345" s="19"/>
      <c r="F1044345" s="19"/>
      <c r="G1044345" s="19"/>
      <c r="H1044345" s="19"/>
      <c r="I1044345" s="19"/>
      <c r="J1044345" s="19"/>
      <c r="K1044345" s="19"/>
      <c r="L1044345" s="19"/>
      <c r="M1044345" s="19"/>
      <c r="N1044345" s="19"/>
    </row>
    <row r="1044346" spans="1:14" s="83" customFormat="1" ht="12.75">
      <c r="A1044346" s="19"/>
      <c r="B1044346" s="19"/>
      <c r="C1044346" s="19"/>
      <c r="D1044346" s="19"/>
      <c r="E1044346" s="19"/>
      <c r="F1044346" s="19"/>
      <c r="G1044346" s="19"/>
      <c r="H1044346" s="19"/>
      <c r="I1044346" s="19"/>
      <c r="J1044346" s="19"/>
      <c r="K1044346" s="19"/>
      <c r="L1044346" s="19"/>
      <c r="M1044346" s="19"/>
      <c r="N1044346" s="19"/>
    </row>
    <row r="1044347" spans="1:14" s="83" customFormat="1" ht="12.75">
      <c r="A1044347" s="19"/>
      <c r="B1044347" s="19"/>
      <c r="C1044347" s="19"/>
      <c r="D1044347" s="19"/>
      <c r="E1044347" s="19"/>
      <c r="F1044347" s="19"/>
      <c r="G1044347" s="19"/>
      <c r="H1044347" s="19"/>
      <c r="I1044347" s="19"/>
      <c r="J1044347" s="19"/>
      <c r="K1044347" s="19"/>
      <c r="L1044347" s="19"/>
      <c r="M1044347" s="19"/>
      <c r="N1044347" s="19"/>
    </row>
    <row r="1044348" spans="1:14" s="83" customFormat="1" ht="12.75">
      <c r="A1044348" s="19"/>
      <c r="B1044348" s="19"/>
      <c r="C1044348" s="19"/>
      <c r="D1044348" s="19"/>
      <c r="E1044348" s="19"/>
      <c r="F1044348" s="19"/>
      <c r="G1044348" s="19"/>
      <c r="H1044348" s="19"/>
      <c r="I1044348" s="19"/>
      <c r="J1044348" s="19"/>
      <c r="K1044348" s="19"/>
      <c r="L1044348" s="19"/>
      <c r="M1044348" s="19"/>
      <c r="N1044348" s="19"/>
    </row>
    <row r="1044349" spans="1:14" s="83" customFormat="1" ht="12.75">
      <c r="A1044349" s="19"/>
      <c r="B1044349" s="19"/>
      <c r="C1044349" s="19"/>
      <c r="D1044349" s="19"/>
      <c r="E1044349" s="19"/>
      <c r="F1044349" s="19"/>
      <c r="G1044349" s="19"/>
      <c r="H1044349" s="19"/>
      <c r="I1044349" s="19"/>
      <c r="J1044349" s="19"/>
      <c r="K1044349" s="19"/>
      <c r="L1044349" s="19"/>
      <c r="M1044349" s="19"/>
      <c r="N1044349" s="19"/>
    </row>
    <row r="1044350" spans="1:14" s="83" customFormat="1" ht="12.75">
      <c r="A1044350" s="19"/>
      <c r="B1044350" s="19"/>
      <c r="C1044350" s="19"/>
      <c r="D1044350" s="19"/>
      <c r="E1044350" s="19"/>
      <c r="F1044350" s="19"/>
      <c r="G1044350" s="19"/>
      <c r="H1044350" s="19"/>
      <c r="I1044350" s="19"/>
      <c r="J1044350" s="19"/>
      <c r="K1044350" s="19"/>
      <c r="L1044350" s="19"/>
      <c r="M1044350" s="19"/>
      <c r="N1044350" s="19"/>
    </row>
    <row r="1044351" spans="1:14" s="83" customFormat="1" ht="12.75">
      <c r="A1044351" s="19"/>
      <c r="B1044351" s="19"/>
      <c r="C1044351" s="19"/>
      <c r="D1044351" s="19"/>
      <c r="E1044351" s="19"/>
      <c r="F1044351" s="19"/>
      <c r="G1044351" s="19"/>
      <c r="H1044351" s="19"/>
      <c r="I1044351" s="19"/>
      <c r="J1044351" s="19"/>
      <c r="K1044351" s="19"/>
      <c r="L1044351" s="19"/>
      <c r="M1044351" s="19"/>
      <c r="N1044351" s="19"/>
    </row>
    <row r="1044352" spans="1:14" s="83" customFormat="1" ht="12.75">
      <c r="A1044352" s="19"/>
      <c r="B1044352" s="19"/>
      <c r="C1044352" s="19"/>
      <c r="D1044352" s="19"/>
      <c r="E1044352" s="19"/>
      <c r="F1044352" s="19"/>
      <c r="G1044352" s="19"/>
      <c r="H1044352" s="19"/>
      <c r="I1044352" s="19"/>
      <c r="J1044352" s="19"/>
      <c r="K1044352" s="19"/>
      <c r="L1044352" s="19"/>
      <c r="M1044352" s="19"/>
      <c r="N1044352" s="19"/>
    </row>
    <row r="1044353" spans="1:14" s="83" customFormat="1" ht="12.75">
      <c r="A1044353" s="19"/>
      <c r="B1044353" s="19"/>
      <c r="C1044353" s="19"/>
      <c r="D1044353" s="19"/>
      <c r="E1044353" s="19"/>
      <c r="F1044353" s="19"/>
      <c r="G1044353" s="19"/>
      <c r="H1044353" s="19"/>
      <c r="I1044353" s="19"/>
      <c r="J1044353" s="19"/>
      <c r="K1044353" s="19"/>
      <c r="L1044353" s="19"/>
      <c r="M1044353" s="19"/>
      <c r="N1044353" s="19"/>
    </row>
    <row r="1044354" spans="1:14" s="83" customFormat="1" ht="12.75">
      <c r="A1044354" s="19"/>
      <c r="B1044354" s="19"/>
      <c r="C1044354" s="19"/>
      <c r="D1044354" s="19"/>
      <c r="E1044354" s="19"/>
      <c r="F1044354" s="19"/>
      <c r="G1044354" s="19"/>
      <c r="H1044354" s="19"/>
      <c r="I1044354" s="19"/>
      <c r="J1044354" s="19"/>
      <c r="K1044354" s="19"/>
      <c r="L1044354" s="19"/>
      <c r="M1044354" s="19"/>
      <c r="N1044354" s="19"/>
    </row>
    <row r="1044355" spans="1:14" s="83" customFormat="1" ht="12.75">
      <c r="A1044355" s="19"/>
      <c r="B1044355" s="19"/>
      <c r="C1044355" s="19"/>
      <c r="D1044355" s="19"/>
      <c r="E1044355" s="19"/>
      <c r="F1044355" s="19"/>
      <c r="G1044355" s="19"/>
      <c r="H1044355" s="19"/>
      <c r="I1044355" s="19"/>
      <c r="J1044355" s="19"/>
      <c r="K1044355" s="19"/>
      <c r="L1044355" s="19"/>
      <c r="M1044355" s="19"/>
      <c r="N1044355" s="19"/>
    </row>
    <row r="1044356" spans="1:14" s="83" customFormat="1" ht="12.75">
      <c r="A1044356" s="19"/>
      <c r="B1044356" s="19"/>
      <c r="C1044356" s="19"/>
      <c r="D1044356" s="19"/>
      <c r="E1044356" s="19"/>
      <c r="F1044356" s="19"/>
      <c r="G1044356" s="19"/>
      <c r="H1044356" s="19"/>
      <c r="I1044356" s="19"/>
      <c r="J1044356" s="19"/>
      <c r="K1044356" s="19"/>
      <c r="L1044356" s="19"/>
      <c r="M1044356" s="19"/>
      <c r="N1044356" s="19"/>
    </row>
    <row r="1044357" spans="1:14" s="83" customFormat="1" ht="12.75">
      <c r="A1044357" s="19"/>
      <c r="B1044357" s="19"/>
      <c r="C1044357" s="19"/>
      <c r="D1044357" s="19"/>
      <c r="E1044357" s="19"/>
      <c r="F1044357" s="19"/>
      <c r="G1044357" s="19"/>
      <c r="H1044357" s="19"/>
      <c r="I1044357" s="19"/>
      <c r="J1044357" s="19"/>
      <c r="K1044357" s="19"/>
      <c r="L1044357" s="19"/>
      <c r="M1044357" s="19"/>
      <c r="N1044357" s="19"/>
    </row>
    <row r="1044358" spans="1:14" s="83" customFormat="1" ht="12.75">
      <c r="A1044358" s="19"/>
      <c r="B1044358" s="19"/>
      <c r="C1044358" s="19"/>
      <c r="D1044358" s="19"/>
      <c r="E1044358" s="19"/>
      <c r="F1044358" s="19"/>
      <c r="G1044358" s="19"/>
      <c r="H1044358" s="19"/>
      <c r="I1044358" s="19"/>
      <c r="J1044358" s="19"/>
      <c r="K1044358" s="19"/>
      <c r="L1044358" s="19"/>
      <c r="M1044358" s="19"/>
      <c r="N1044358" s="19"/>
    </row>
    <row r="1044359" spans="1:14" s="83" customFormat="1" ht="12.75">
      <c r="A1044359" s="19"/>
      <c r="B1044359" s="19"/>
      <c r="C1044359" s="19"/>
      <c r="D1044359" s="19"/>
      <c r="E1044359" s="19"/>
      <c r="F1044359" s="19"/>
      <c r="G1044359" s="19"/>
      <c r="H1044359" s="19"/>
      <c r="I1044359" s="19"/>
      <c r="J1044359" s="19"/>
      <c r="K1044359" s="19"/>
      <c r="L1044359" s="19"/>
      <c r="M1044359" s="19"/>
      <c r="N1044359" s="19"/>
    </row>
    <row r="1044360" spans="1:14" s="83" customFormat="1" ht="12.75">
      <c r="A1044360" s="19"/>
      <c r="B1044360" s="19"/>
      <c r="C1044360" s="19"/>
      <c r="D1044360" s="19"/>
      <c r="E1044360" s="19"/>
      <c r="F1044360" s="19"/>
      <c r="G1044360" s="19"/>
      <c r="H1044360" s="19"/>
      <c r="I1044360" s="19"/>
      <c r="J1044360" s="19"/>
      <c r="K1044360" s="19"/>
      <c r="L1044360" s="19"/>
      <c r="M1044360" s="19"/>
      <c r="N1044360" s="19"/>
    </row>
    <row r="1044361" spans="1:14" s="83" customFormat="1" ht="12.75">
      <c r="A1044361" s="19"/>
      <c r="B1044361" s="19"/>
      <c r="C1044361" s="19"/>
      <c r="D1044361" s="19"/>
      <c r="E1044361" s="19"/>
      <c r="F1044361" s="19"/>
      <c r="G1044361" s="19"/>
      <c r="H1044361" s="19"/>
      <c r="I1044361" s="19"/>
      <c r="J1044361" s="19"/>
      <c r="K1044361" s="19"/>
      <c r="L1044361" s="19"/>
      <c r="M1044361" s="19"/>
      <c r="N1044361" s="19"/>
    </row>
    <row r="1044362" spans="1:14" s="83" customFormat="1" ht="12.75">
      <c r="A1044362" s="19"/>
      <c r="B1044362" s="19"/>
      <c r="C1044362" s="19"/>
      <c r="D1044362" s="19"/>
      <c r="E1044362" s="19"/>
      <c r="F1044362" s="19"/>
      <c r="G1044362" s="19"/>
      <c r="H1044362" s="19"/>
      <c r="I1044362" s="19"/>
      <c r="J1044362" s="19"/>
      <c r="K1044362" s="19"/>
      <c r="L1044362" s="19"/>
      <c r="M1044362" s="19"/>
      <c r="N1044362" s="19"/>
    </row>
    <row r="1044363" spans="1:14" s="83" customFormat="1" ht="12.75">
      <c r="A1044363" s="19"/>
      <c r="B1044363" s="19"/>
      <c r="C1044363" s="19"/>
      <c r="D1044363" s="19"/>
      <c r="E1044363" s="19"/>
      <c r="F1044363" s="19"/>
      <c r="G1044363" s="19"/>
      <c r="H1044363" s="19"/>
      <c r="I1044363" s="19"/>
      <c r="J1044363" s="19"/>
      <c r="K1044363" s="19"/>
      <c r="L1044363" s="19"/>
      <c r="M1044363" s="19"/>
      <c r="N1044363" s="19"/>
    </row>
    <row r="1044364" spans="1:14" s="83" customFormat="1" ht="12.75">
      <c r="A1044364" s="19"/>
      <c r="B1044364" s="19"/>
      <c r="C1044364" s="19"/>
      <c r="D1044364" s="19"/>
      <c r="E1044364" s="19"/>
      <c r="F1044364" s="19"/>
      <c r="G1044364" s="19"/>
      <c r="H1044364" s="19"/>
      <c r="I1044364" s="19"/>
      <c r="J1044364" s="19"/>
      <c r="K1044364" s="19"/>
      <c r="L1044364" s="19"/>
      <c r="M1044364" s="19"/>
      <c r="N1044364" s="19"/>
    </row>
    <row r="1044365" spans="1:14" s="83" customFormat="1" ht="12.75">
      <c r="A1044365" s="19"/>
      <c r="B1044365" s="19"/>
      <c r="C1044365" s="19"/>
      <c r="D1044365" s="19"/>
      <c r="E1044365" s="19"/>
      <c r="F1044365" s="19"/>
      <c r="G1044365" s="19"/>
      <c r="H1044365" s="19"/>
      <c r="I1044365" s="19"/>
      <c r="J1044365" s="19"/>
      <c r="K1044365" s="19"/>
      <c r="L1044365" s="19"/>
      <c r="M1044365" s="19"/>
      <c r="N1044365" s="19"/>
    </row>
    <row r="1044366" spans="1:14" s="83" customFormat="1" ht="12.75">
      <c r="A1044366" s="19"/>
      <c r="B1044366" s="19"/>
      <c r="C1044366" s="19"/>
      <c r="D1044366" s="19"/>
      <c r="E1044366" s="19"/>
      <c r="F1044366" s="19"/>
      <c r="G1044366" s="19"/>
      <c r="H1044366" s="19"/>
      <c r="I1044366" s="19"/>
      <c r="J1044366" s="19"/>
      <c r="K1044366" s="19"/>
      <c r="L1044366" s="19"/>
      <c r="M1044366" s="19"/>
      <c r="N1044366" s="19"/>
    </row>
    <row r="1044367" spans="1:14" s="83" customFormat="1" ht="12.75">
      <c r="A1044367" s="19"/>
      <c r="B1044367" s="19"/>
      <c r="C1044367" s="19"/>
      <c r="D1044367" s="19"/>
      <c r="E1044367" s="19"/>
      <c r="F1044367" s="19"/>
      <c r="G1044367" s="19"/>
      <c r="H1044367" s="19"/>
      <c r="I1044367" s="19"/>
      <c r="J1044367" s="19"/>
      <c r="K1044367" s="19"/>
      <c r="L1044367" s="19"/>
      <c r="M1044367" s="19"/>
      <c r="N1044367" s="19"/>
    </row>
    <row r="1044368" spans="1:14" s="83" customFormat="1" ht="12.75">
      <c r="A1044368" s="19"/>
      <c r="B1044368" s="19"/>
      <c r="C1044368" s="19"/>
      <c r="D1044368" s="19"/>
      <c r="E1044368" s="19"/>
      <c r="F1044368" s="19"/>
      <c r="G1044368" s="19"/>
      <c r="H1044368" s="19"/>
      <c r="I1044368" s="19"/>
      <c r="J1044368" s="19"/>
      <c r="K1044368" s="19"/>
      <c r="L1044368" s="19"/>
      <c r="M1044368" s="19"/>
      <c r="N1044368" s="19"/>
    </row>
    <row r="1044369" spans="1:14" s="83" customFormat="1" ht="12.75">
      <c r="A1044369" s="19"/>
      <c r="B1044369" s="19"/>
      <c r="C1044369" s="19"/>
      <c r="D1044369" s="19"/>
      <c r="E1044369" s="19"/>
      <c r="F1044369" s="19"/>
      <c r="G1044369" s="19"/>
      <c r="H1044369" s="19"/>
      <c r="I1044369" s="19"/>
      <c r="J1044369" s="19"/>
      <c r="K1044369" s="19"/>
      <c r="L1044369" s="19"/>
      <c r="M1044369" s="19"/>
      <c r="N1044369" s="19"/>
    </row>
    <row r="1044370" spans="1:14" s="83" customFormat="1" ht="12.75">
      <c r="A1044370" s="19"/>
      <c r="B1044370" s="19"/>
      <c r="C1044370" s="19"/>
      <c r="D1044370" s="19"/>
      <c r="E1044370" s="19"/>
      <c r="F1044370" s="19"/>
      <c r="G1044370" s="19"/>
      <c r="H1044370" s="19"/>
      <c r="I1044370" s="19"/>
      <c r="J1044370" s="19"/>
      <c r="K1044370" s="19"/>
      <c r="L1044370" s="19"/>
      <c r="M1044370" s="19"/>
      <c r="N1044370" s="19"/>
    </row>
    <row r="1044371" spans="1:14" s="83" customFormat="1" ht="12.75">
      <c r="A1044371" s="19"/>
      <c r="B1044371" s="19"/>
      <c r="C1044371" s="19"/>
      <c r="D1044371" s="19"/>
      <c r="E1044371" s="19"/>
      <c r="F1044371" s="19"/>
      <c r="G1044371" s="19"/>
      <c r="H1044371" s="19"/>
      <c r="I1044371" s="19"/>
      <c r="J1044371" s="19"/>
      <c r="K1044371" s="19"/>
      <c r="L1044371" s="19"/>
      <c r="M1044371" s="19"/>
      <c r="N1044371" s="19"/>
    </row>
    <row r="1044372" spans="1:14" s="83" customFormat="1" ht="12.75">
      <c r="A1044372" s="19"/>
      <c r="B1044372" s="19"/>
      <c r="C1044372" s="19"/>
      <c r="D1044372" s="19"/>
      <c r="E1044372" s="19"/>
      <c r="F1044372" s="19"/>
      <c r="G1044372" s="19"/>
      <c r="H1044372" s="19"/>
      <c r="I1044372" s="19"/>
      <c r="J1044372" s="19"/>
      <c r="K1044372" s="19"/>
      <c r="L1044372" s="19"/>
      <c r="M1044372" s="19"/>
      <c r="N1044372" s="19"/>
    </row>
    <row r="1044373" spans="1:14" s="83" customFormat="1" ht="12.75">
      <c r="A1044373" s="19"/>
      <c r="B1044373" s="19"/>
      <c r="C1044373" s="19"/>
      <c r="D1044373" s="19"/>
      <c r="E1044373" s="19"/>
      <c r="F1044373" s="19"/>
      <c r="G1044373" s="19"/>
      <c r="H1044373" s="19"/>
      <c r="I1044373" s="19"/>
      <c r="J1044373" s="19"/>
      <c r="K1044373" s="19"/>
      <c r="L1044373" s="19"/>
      <c r="M1044373" s="19"/>
      <c r="N1044373" s="19"/>
    </row>
    <row r="1044374" spans="1:14" s="83" customFormat="1" ht="12.75">
      <c r="A1044374" s="19"/>
      <c r="B1044374" s="19"/>
      <c r="C1044374" s="19"/>
      <c r="D1044374" s="19"/>
      <c r="E1044374" s="19"/>
      <c r="F1044374" s="19"/>
      <c r="G1044374" s="19"/>
      <c r="H1044374" s="19"/>
      <c r="I1044374" s="19"/>
      <c r="J1044374" s="19"/>
      <c r="K1044374" s="19"/>
      <c r="L1044374" s="19"/>
      <c r="M1044374" s="19"/>
      <c r="N1044374" s="19"/>
    </row>
    <row r="1044375" spans="1:14" s="83" customFormat="1" ht="12.75">
      <c r="A1044375" s="19"/>
      <c r="B1044375" s="19"/>
      <c r="C1044375" s="19"/>
      <c r="D1044375" s="19"/>
      <c r="E1044375" s="19"/>
      <c r="F1044375" s="19"/>
      <c r="G1044375" s="19"/>
      <c r="H1044375" s="19"/>
      <c r="I1044375" s="19"/>
      <c r="J1044375" s="19"/>
      <c r="K1044375" s="19"/>
      <c r="L1044375" s="19"/>
      <c r="M1044375" s="19"/>
      <c r="N1044375" s="19"/>
    </row>
    <row r="1044376" spans="1:14" s="83" customFormat="1" ht="12.75">
      <c r="A1044376" s="19"/>
      <c r="B1044376" s="19"/>
      <c r="C1044376" s="19"/>
      <c r="D1044376" s="19"/>
      <c r="E1044376" s="19"/>
      <c r="F1044376" s="19"/>
      <c r="G1044376" s="19"/>
      <c r="H1044376" s="19"/>
      <c r="I1044376" s="19"/>
      <c r="J1044376" s="19"/>
      <c r="K1044376" s="19"/>
      <c r="L1044376" s="19"/>
      <c r="M1044376" s="19"/>
      <c r="N1044376" s="19"/>
    </row>
    <row r="1044377" spans="1:14" s="83" customFormat="1" ht="12.75">
      <c r="A1044377" s="19"/>
      <c r="B1044377" s="19"/>
      <c r="C1044377" s="19"/>
      <c r="D1044377" s="19"/>
      <c r="E1044377" s="19"/>
      <c r="F1044377" s="19"/>
      <c r="G1044377" s="19"/>
      <c r="H1044377" s="19"/>
      <c r="I1044377" s="19"/>
      <c r="J1044377" s="19"/>
      <c r="K1044377" s="19"/>
      <c r="L1044377" s="19"/>
      <c r="M1044377" s="19"/>
      <c r="N1044377" s="19"/>
    </row>
    <row r="1044378" spans="1:14" s="83" customFormat="1" ht="12.75">
      <c r="A1044378" s="19"/>
      <c r="B1044378" s="19"/>
      <c r="C1044378" s="19"/>
      <c r="D1044378" s="19"/>
      <c r="E1044378" s="19"/>
      <c r="F1044378" s="19"/>
      <c r="G1044378" s="19"/>
      <c r="H1044378" s="19"/>
      <c r="I1044378" s="19"/>
      <c r="J1044378" s="19"/>
      <c r="K1044378" s="19"/>
      <c r="L1044378" s="19"/>
      <c r="M1044378" s="19"/>
      <c r="N1044378" s="19"/>
    </row>
    <row r="1044379" spans="1:14" s="83" customFormat="1" ht="12.75">
      <c r="A1044379" s="19"/>
      <c r="B1044379" s="19"/>
      <c r="C1044379" s="19"/>
      <c r="D1044379" s="19"/>
      <c r="E1044379" s="19"/>
      <c r="F1044379" s="19"/>
      <c r="G1044379" s="19"/>
      <c r="H1044379" s="19"/>
      <c r="I1044379" s="19"/>
      <c r="J1044379" s="19"/>
      <c r="K1044379" s="19"/>
      <c r="L1044379" s="19"/>
      <c r="M1044379" s="19"/>
      <c r="N1044379" s="19"/>
    </row>
    <row r="1044380" spans="1:14" s="83" customFormat="1" ht="12.75">
      <c r="A1044380" s="19"/>
      <c r="B1044380" s="19"/>
      <c r="C1044380" s="19"/>
      <c r="D1044380" s="19"/>
      <c r="E1044380" s="19"/>
      <c r="F1044380" s="19"/>
      <c r="G1044380" s="19"/>
      <c r="H1044380" s="19"/>
      <c r="I1044380" s="19"/>
      <c r="J1044380" s="19"/>
      <c r="K1044380" s="19"/>
      <c r="L1044380" s="19"/>
      <c r="M1044380" s="19"/>
      <c r="N1044380" s="19"/>
    </row>
    <row r="1044381" spans="1:14" s="83" customFormat="1" ht="12.75">
      <c r="A1044381" s="19"/>
      <c r="B1044381" s="19"/>
      <c r="C1044381" s="19"/>
      <c r="D1044381" s="19"/>
      <c r="E1044381" s="19"/>
      <c r="F1044381" s="19"/>
      <c r="G1044381" s="19"/>
      <c r="H1044381" s="19"/>
      <c r="I1044381" s="19"/>
      <c r="J1044381" s="19"/>
      <c r="K1044381" s="19"/>
      <c r="L1044381" s="19"/>
      <c r="M1044381" s="19"/>
      <c r="N1044381" s="19"/>
    </row>
    <row r="1044382" spans="1:14" s="83" customFormat="1" ht="12.75">
      <c r="A1044382" s="19"/>
      <c r="B1044382" s="19"/>
      <c r="C1044382" s="19"/>
      <c r="D1044382" s="19"/>
      <c r="E1044382" s="19"/>
      <c r="F1044382" s="19"/>
      <c r="G1044382" s="19"/>
      <c r="H1044382" s="19"/>
      <c r="I1044382" s="19"/>
      <c r="J1044382" s="19"/>
      <c r="K1044382" s="19"/>
      <c r="L1044382" s="19"/>
      <c r="M1044382" s="19"/>
      <c r="N1044382" s="19"/>
    </row>
    <row r="1044383" spans="1:14" s="83" customFormat="1" ht="12.75">
      <c r="A1044383" s="19"/>
      <c r="B1044383" s="19"/>
      <c r="C1044383" s="19"/>
      <c r="D1044383" s="19"/>
      <c r="E1044383" s="19"/>
      <c r="F1044383" s="19"/>
      <c r="G1044383" s="19"/>
      <c r="H1044383" s="19"/>
      <c r="I1044383" s="19"/>
      <c r="J1044383" s="19"/>
      <c r="K1044383" s="19"/>
      <c r="L1044383" s="19"/>
      <c r="M1044383" s="19"/>
      <c r="N1044383" s="19"/>
    </row>
    <row r="1044384" spans="1:14" s="83" customFormat="1" ht="12.75">
      <c r="A1044384" s="19"/>
      <c r="B1044384" s="19"/>
      <c r="C1044384" s="19"/>
      <c r="D1044384" s="19"/>
      <c r="E1044384" s="19"/>
      <c r="F1044384" s="19"/>
      <c r="G1044384" s="19"/>
      <c r="H1044384" s="19"/>
      <c r="I1044384" s="19"/>
      <c r="J1044384" s="19"/>
      <c r="K1044384" s="19"/>
      <c r="L1044384" s="19"/>
      <c r="M1044384" s="19"/>
      <c r="N1044384" s="19"/>
    </row>
    <row r="1044385" spans="1:14" s="83" customFormat="1" ht="12.75">
      <c r="A1044385" s="19"/>
      <c r="B1044385" s="19"/>
      <c r="C1044385" s="19"/>
      <c r="D1044385" s="19"/>
      <c r="E1044385" s="19"/>
      <c r="F1044385" s="19"/>
      <c r="G1044385" s="19"/>
      <c r="H1044385" s="19"/>
      <c r="I1044385" s="19"/>
      <c r="J1044385" s="19"/>
      <c r="K1044385" s="19"/>
      <c r="L1044385" s="19"/>
      <c r="M1044385" s="19"/>
      <c r="N1044385" s="19"/>
    </row>
    <row r="1044386" spans="1:14" s="83" customFormat="1" ht="12.75">
      <c r="A1044386" s="19"/>
      <c r="B1044386" s="19"/>
      <c r="C1044386" s="19"/>
      <c r="D1044386" s="19"/>
      <c r="E1044386" s="19"/>
      <c r="F1044386" s="19"/>
      <c r="G1044386" s="19"/>
      <c r="H1044386" s="19"/>
      <c r="I1044386" s="19"/>
      <c r="J1044386" s="19"/>
      <c r="K1044386" s="19"/>
      <c r="L1044386" s="19"/>
      <c r="M1044386" s="19"/>
      <c r="N1044386" s="19"/>
    </row>
    <row r="1044387" spans="1:14" s="83" customFormat="1" ht="12.75">
      <c r="A1044387" s="19"/>
      <c r="B1044387" s="19"/>
      <c r="C1044387" s="19"/>
      <c r="D1044387" s="19"/>
      <c r="E1044387" s="19"/>
      <c r="F1044387" s="19"/>
      <c r="G1044387" s="19"/>
      <c r="H1044387" s="19"/>
      <c r="I1044387" s="19"/>
      <c r="J1044387" s="19"/>
      <c r="K1044387" s="19"/>
      <c r="L1044387" s="19"/>
      <c r="M1044387" s="19"/>
      <c r="N1044387" s="19"/>
    </row>
    <row r="1044388" spans="1:14" s="83" customFormat="1" ht="12.75">
      <c r="A1044388" s="19"/>
      <c r="B1044388" s="19"/>
      <c r="C1044388" s="19"/>
      <c r="D1044388" s="19"/>
      <c r="E1044388" s="19"/>
      <c r="F1044388" s="19"/>
      <c r="G1044388" s="19"/>
      <c r="H1044388" s="19"/>
      <c r="I1044388" s="19"/>
      <c r="J1044388" s="19"/>
      <c r="K1044388" s="19"/>
      <c r="L1044388" s="19"/>
      <c r="M1044388" s="19"/>
      <c r="N1044388" s="19"/>
    </row>
    <row r="1044389" spans="1:14" s="83" customFormat="1" ht="12.75">
      <c r="A1044389" s="19"/>
      <c r="B1044389" s="19"/>
      <c r="C1044389" s="19"/>
      <c r="D1044389" s="19"/>
      <c r="E1044389" s="19"/>
      <c r="F1044389" s="19"/>
      <c r="G1044389" s="19"/>
      <c r="H1044389" s="19"/>
      <c r="I1044389" s="19"/>
      <c r="J1044389" s="19"/>
      <c r="K1044389" s="19"/>
      <c r="L1044389" s="19"/>
      <c r="M1044389" s="19"/>
      <c r="N1044389" s="19"/>
    </row>
    <row r="1044390" spans="1:14" s="83" customFormat="1" ht="12.75">
      <c r="A1044390" s="19"/>
      <c r="B1044390" s="19"/>
      <c r="C1044390" s="19"/>
      <c r="D1044390" s="19"/>
      <c r="E1044390" s="19"/>
      <c r="F1044390" s="19"/>
      <c r="G1044390" s="19"/>
      <c r="H1044390" s="19"/>
      <c r="I1044390" s="19"/>
      <c r="J1044390" s="19"/>
      <c r="K1044390" s="19"/>
      <c r="L1044390" s="19"/>
      <c r="M1044390" s="19"/>
      <c r="N1044390" s="19"/>
    </row>
    <row r="1044391" spans="1:14" s="83" customFormat="1" ht="12.75">
      <c r="A1044391" s="19"/>
      <c r="B1044391" s="19"/>
      <c r="C1044391" s="19"/>
      <c r="D1044391" s="19"/>
      <c r="E1044391" s="19"/>
      <c r="F1044391" s="19"/>
      <c r="G1044391" s="19"/>
      <c r="H1044391" s="19"/>
      <c r="I1044391" s="19"/>
      <c r="J1044391" s="19"/>
      <c r="K1044391" s="19"/>
      <c r="L1044391" s="19"/>
      <c r="M1044391" s="19"/>
      <c r="N1044391" s="19"/>
    </row>
    <row r="1044392" spans="1:14" s="83" customFormat="1" ht="12.75">
      <c r="A1044392" s="19"/>
      <c r="B1044392" s="19"/>
      <c r="C1044392" s="19"/>
      <c r="D1044392" s="19"/>
      <c r="E1044392" s="19"/>
      <c r="F1044392" s="19"/>
      <c r="G1044392" s="19"/>
      <c r="H1044392" s="19"/>
      <c r="I1044392" s="19"/>
      <c r="J1044392" s="19"/>
      <c r="K1044392" s="19"/>
      <c r="L1044392" s="19"/>
      <c r="M1044392" s="19"/>
      <c r="N1044392" s="19"/>
    </row>
    <row r="1044393" spans="1:14" s="83" customFormat="1" ht="12.75">
      <c r="A1044393" s="19"/>
      <c r="B1044393" s="19"/>
      <c r="C1044393" s="19"/>
      <c r="D1044393" s="19"/>
      <c r="E1044393" s="19"/>
      <c r="F1044393" s="19"/>
      <c r="G1044393" s="19"/>
      <c r="H1044393" s="19"/>
      <c r="I1044393" s="19"/>
      <c r="J1044393" s="19"/>
      <c r="K1044393" s="19"/>
      <c r="L1044393" s="19"/>
      <c r="M1044393" s="19"/>
      <c r="N1044393" s="19"/>
    </row>
    <row r="1044394" spans="1:14" s="83" customFormat="1" ht="12.75">
      <c r="A1044394" s="19"/>
      <c r="B1044394" s="19"/>
      <c r="C1044394" s="19"/>
      <c r="D1044394" s="19"/>
      <c r="E1044394" s="19"/>
      <c r="F1044394" s="19"/>
      <c r="G1044394" s="19"/>
      <c r="H1044394" s="19"/>
      <c r="I1044394" s="19"/>
      <c r="J1044394" s="19"/>
      <c r="K1044394" s="19"/>
      <c r="L1044394" s="19"/>
      <c r="M1044394" s="19"/>
      <c r="N1044394" s="19"/>
    </row>
    <row r="1044395" spans="1:14" s="83" customFormat="1" ht="12.75">
      <c r="A1044395" s="19"/>
      <c r="B1044395" s="19"/>
      <c r="C1044395" s="19"/>
      <c r="D1044395" s="19"/>
      <c r="E1044395" s="19"/>
      <c r="F1044395" s="19"/>
      <c r="G1044395" s="19"/>
      <c r="H1044395" s="19"/>
      <c r="I1044395" s="19"/>
      <c r="J1044395" s="19"/>
      <c r="K1044395" s="19"/>
      <c r="L1044395" s="19"/>
      <c r="M1044395" s="19"/>
      <c r="N1044395" s="19"/>
    </row>
    <row r="1044396" spans="1:14" s="83" customFormat="1" ht="12.75">
      <c r="A1044396" s="19"/>
      <c r="B1044396" s="19"/>
      <c r="C1044396" s="19"/>
      <c r="D1044396" s="19"/>
      <c r="E1044396" s="19"/>
      <c r="F1044396" s="19"/>
      <c r="G1044396" s="19"/>
      <c r="H1044396" s="19"/>
      <c r="I1044396" s="19"/>
      <c r="J1044396" s="19"/>
      <c r="K1044396" s="19"/>
      <c r="L1044396" s="19"/>
      <c r="M1044396" s="19"/>
      <c r="N1044396" s="19"/>
    </row>
    <row r="1044397" spans="1:14" s="83" customFormat="1" ht="12.75">
      <c r="A1044397" s="19"/>
      <c r="B1044397" s="19"/>
      <c r="C1044397" s="19"/>
      <c r="D1044397" s="19"/>
      <c r="E1044397" s="19"/>
      <c r="F1044397" s="19"/>
      <c r="G1044397" s="19"/>
      <c r="H1044397" s="19"/>
      <c r="I1044397" s="19"/>
      <c r="J1044397" s="19"/>
      <c r="K1044397" s="19"/>
      <c r="L1044397" s="19"/>
      <c r="M1044397" s="19"/>
      <c r="N1044397" s="19"/>
    </row>
    <row r="1044398" spans="1:14" s="83" customFormat="1" ht="12.75">
      <c r="A1044398" s="19"/>
      <c r="B1044398" s="19"/>
      <c r="C1044398" s="19"/>
      <c r="D1044398" s="19"/>
      <c r="E1044398" s="19"/>
      <c r="F1044398" s="19"/>
      <c r="G1044398" s="19"/>
      <c r="H1044398" s="19"/>
      <c r="I1044398" s="19"/>
      <c r="J1044398" s="19"/>
      <c r="K1044398" s="19"/>
      <c r="L1044398" s="19"/>
      <c r="M1044398" s="19"/>
      <c r="N1044398" s="19"/>
    </row>
    <row r="1044399" spans="1:14" s="83" customFormat="1" ht="12.75">
      <c r="A1044399" s="19"/>
      <c r="B1044399" s="19"/>
      <c r="C1044399" s="19"/>
      <c r="D1044399" s="19"/>
      <c r="E1044399" s="19"/>
      <c r="F1044399" s="19"/>
      <c r="G1044399" s="19"/>
      <c r="H1044399" s="19"/>
      <c r="I1044399" s="19"/>
      <c r="J1044399" s="19"/>
      <c r="K1044399" s="19"/>
      <c r="L1044399" s="19"/>
      <c r="M1044399" s="19"/>
      <c r="N1044399" s="19"/>
    </row>
    <row r="1044400" spans="1:14" s="83" customFormat="1" ht="12.75">
      <c r="A1044400" s="19"/>
      <c r="B1044400" s="19"/>
      <c r="C1044400" s="19"/>
      <c r="D1044400" s="19"/>
      <c r="E1044400" s="19"/>
      <c r="F1044400" s="19"/>
      <c r="G1044400" s="19"/>
      <c r="H1044400" s="19"/>
      <c r="I1044400" s="19"/>
      <c r="J1044400" s="19"/>
      <c r="K1044400" s="19"/>
      <c r="L1044400" s="19"/>
      <c r="M1044400" s="19"/>
      <c r="N1044400" s="19"/>
    </row>
    <row r="1044401" spans="1:14" s="83" customFormat="1" ht="12.75">
      <c r="A1044401" s="19"/>
      <c r="B1044401" s="19"/>
      <c r="C1044401" s="19"/>
      <c r="D1044401" s="19"/>
      <c r="E1044401" s="19"/>
      <c r="F1044401" s="19"/>
      <c r="G1044401" s="19"/>
      <c r="H1044401" s="19"/>
      <c r="I1044401" s="19"/>
      <c r="J1044401" s="19"/>
      <c r="K1044401" s="19"/>
      <c r="L1044401" s="19"/>
      <c r="M1044401" s="19"/>
      <c r="N1044401" s="19"/>
    </row>
    <row r="1044402" spans="1:14" s="83" customFormat="1" ht="12.75">
      <c r="A1044402" s="19"/>
      <c r="B1044402" s="19"/>
      <c r="C1044402" s="19"/>
      <c r="D1044402" s="19"/>
      <c r="E1044402" s="19"/>
      <c r="F1044402" s="19"/>
      <c r="G1044402" s="19"/>
      <c r="H1044402" s="19"/>
      <c r="I1044402" s="19"/>
      <c r="J1044402" s="19"/>
      <c r="K1044402" s="19"/>
      <c r="L1044402" s="19"/>
      <c r="M1044402" s="19"/>
      <c r="N1044402" s="19"/>
    </row>
    <row r="1044403" spans="1:14" s="83" customFormat="1" ht="12.75">
      <c r="A1044403" s="19"/>
      <c r="B1044403" s="19"/>
      <c r="C1044403" s="19"/>
      <c r="D1044403" s="19"/>
      <c r="E1044403" s="19"/>
      <c r="F1044403" s="19"/>
      <c r="G1044403" s="19"/>
      <c r="H1044403" s="19"/>
      <c r="I1044403" s="19"/>
      <c r="J1044403" s="19"/>
      <c r="K1044403" s="19"/>
      <c r="L1044403" s="19"/>
      <c r="M1044403" s="19"/>
      <c r="N1044403" s="19"/>
    </row>
    <row r="1044404" spans="1:14" s="83" customFormat="1" ht="12.75">
      <c r="A1044404" s="19"/>
      <c r="B1044404" s="19"/>
      <c r="C1044404" s="19"/>
      <c r="D1044404" s="19"/>
      <c r="E1044404" s="19"/>
      <c r="F1044404" s="19"/>
      <c r="G1044404" s="19"/>
      <c r="H1044404" s="19"/>
      <c r="I1044404" s="19"/>
      <c r="J1044404" s="19"/>
      <c r="K1044404" s="19"/>
      <c r="L1044404" s="19"/>
      <c r="M1044404" s="19"/>
      <c r="N1044404" s="19"/>
    </row>
    <row r="1044405" spans="1:14" s="83" customFormat="1" ht="12.75">
      <c r="A1044405" s="19"/>
      <c r="B1044405" s="19"/>
      <c r="C1044405" s="19"/>
      <c r="D1044405" s="19"/>
      <c r="E1044405" s="19"/>
      <c r="F1044405" s="19"/>
      <c r="G1044405" s="19"/>
      <c r="H1044405" s="19"/>
      <c r="I1044405" s="19"/>
      <c r="J1044405" s="19"/>
      <c r="K1044405" s="19"/>
      <c r="L1044405" s="19"/>
      <c r="M1044405" s="19"/>
      <c r="N1044405" s="19"/>
    </row>
    <row r="1044406" spans="1:14" s="83" customFormat="1" ht="12.75">
      <c r="A1044406" s="19"/>
      <c r="B1044406" s="19"/>
      <c r="C1044406" s="19"/>
      <c r="D1044406" s="19"/>
      <c r="E1044406" s="19"/>
      <c r="F1044406" s="19"/>
      <c r="G1044406" s="19"/>
      <c r="H1044406" s="19"/>
      <c r="I1044406" s="19"/>
      <c r="J1044406" s="19"/>
      <c r="K1044406" s="19"/>
      <c r="L1044406" s="19"/>
      <c r="M1044406" s="19"/>
      <c r="N1044406" s="19"/>
    </row>
    <row r="1044407" spans="1:14" s="83" customFormat="1" ht="12.75">
      <c r="A1044407" s="19"/>
      <c r="B1044407" s="19"/>
      <c r="C1044407" s="19"/>
      <c r="D1044407" s="19"/>
      <c r="E1044407" s="19"/>
      <c r="F1044407" s="19"/>
      <c r="G1044407" s="19"/>
      <c r="H1044407" s="19"/>
      <c r="I1044407" s="19"/>
      <c r="J1044407" s="19"/>
      <c r="K1044407" s="19"/>
      <c r="L1044407" s="19"/>
      <c r="M1044407" s="19"/>
      <c r="N1044407" s="19"/>
    </row>
    <row r="1044408" spans="1:14" s="83" customFormat="1" ht="12.75">
      <c r="A1044408" s="19"/>
      <c r="B1044408" s="19"/>
      <c r="C1044408" s="19"/>
      <c r="D1044408" s="19"/>
      <c r="E1044408" s="19"/>
      <c r="F1044408" s="19"/>
      <c r="G1044408" s="19"/>
      <c r="H1044408" s="19"/>
      <c r="I1044408" s="19"/>
      <c r="J1044408" s="19"/>
      <c r="K1044408" s="19"/>
      <c r="L1044408" s="19"/>
      <c r="M1044408" s="19"/>
      <c r="N1044408" s="19"/>
    </row>
    <row r="1044409" spans="1:14" s="83" customFormat="1" ht="12.75">
      <c r="A1044409" s="19"/>
      <c r="B1044409" s="19"/>
      <c r="C1044409" s="19"/>
      <c r="D1044409" s="19"/>
      <c r="E1044409" s="19"/>
      <c r="F1044409" s="19"/>
      <c r="G1044409" s="19"/>
      <c r="H1044409" s="19"/>
      <c r="I1044409" s="19"/>
      <c r="J1044409" s="19"/>
      <c r="K1044409" s="19"/>
      <c r="L1044409" s="19"/>
      <c r="M1044409" s="19"/>
      <c r="N1044409" s="19"/>
    </row>
    <row r="1044410" spans="1:14" s="83" customFormat="1" ht="12.75">
      <c r="A1044410" s="19"/>
      <c r="B1044410" s="19"/>
      <c r="C1044410" s="19"/>
      <c r="D1044410" s="19"/>
      <c r="E1044410" s="19"/>
      <c r="F1044410" s="19"/>
      <c r="G1044410" s="19"/>
      <c r="H1044410" s="19"/>
      <c r="I1044410" s="19"/>
      <c r="J1044410" s="19"/>
      <c r="K1044410" s="19"/>
      <c r="L1044410" s="19"/>
      <c r="M1044410" s="19"/>
      <c r="N1044410" s="19"/>
    </row>
    <row r="1044411" spans="1:14" s="83" customFormat="1" ht="12.75">
      <c r="A1044411" s="19"/>
      <c r="B1044411" s="19"/>
      <c r="C1044411" s="19"/>
      <c r="D1044411" s="19"/>
      <c r="E1044411" s="19"/>
      <c r="F1044411" s="19"/>
      <c r="G1044411" s="19"/>
      <c r="H1044411" s="19"/>
      <c r="I1044411" s="19"/>
      <c r="J1044411" s="19"/>
      <c r="K1044411" s="19"/>
      <c r="L1044411" s="19"/>
      <c r="M1044411" s="19"/>
      <c r="N1044411" s="19"/>
    </row>
    <row r="1044412" spans="1:14" s="83" customFormat="1" ht="12.75">
      <c r="A1044412" s="19"/>
      <c r="B1044412" s="19"/>
      <c r="C1044412" s="19"/>
      <c r="D1044412" s="19"/>
      <c r="E1044412" s="19"/>
      <c r="F1044412" s="19"/>
      <c r="G1044412" s="19"/>
      <c r="H1044412" s="19"/>
      <c r="I1044412" s="19"/>
      <c r="J1044412" s="19"/>
      <c r="K1044412" s="19"/>
      <c r="L1044412" s="19"/>
      <c r="M1044412" s="19"/>
      <c r="N1044412" s="19"/>
    </row>
    <row r="1044413" spans="1:14" s="83" customFormat="1" ht="12.75">
      <c r="A1044413" s="19"/>
      <c r="B1044413" s="19"/>
      <c r="C1044413" s="19"/>
      <c r="D1044413" s="19"/>
      <c r="E1044413" s="19"/>
      <c r="F1044413" s="19"/>
      <c r="G1044413" s="19"/>
      <c r="H1044413" s="19"/>
      <c r="I1044413" s="19"/>
      <c r="J1044413" s="19"/>
      <c r="K1044413" s="19"/>
      <c r="L1044413" s="19"/>
      <c r="M1044413" s="19"/>
      <c r="N1044413" s="19"/>
    </row>
    <row r="1044414" spans="1:14" s="83" customFormat="1" ht="12.75">
      <c r="A1044414" s="19"/>
      <c r="B1044414" s="19"/>
      <c r="C1044414" s="19"/>
      <c r="D1044414" s="19"/>
      <c r="E1044414" s="19"/>
      <c r="F1044414" s="19"/>
      <c r="G1044414" s="19"/>
      <c r="H1044414" s="19"/>
      <c r="I1044414" s="19"/>
      <c r="J1044414" s="19"/>
      <c r="K1044414" s="19"/>
      <c r="L1044414" s="19"/>
      <c r="M1044414" s="19"/>
      <c r="N1044414" s="19"/>
    </row>
    <row r="1044415" spans="1:14" s="83" customFormat="1" ht="12.75">
      <c r="A1044415" s="19"/>
      <c r="B1044415" s="19"/>
      <c r="C1044415" s="19"/>
      <c r="D1044415" s="19"/>
      <c r="E1044415" s="19"/>
      <c r="F1044415" s="19"/>
      <c r="G1044415" s="19"/>
      <c r="H1044415" s="19"/>
      <c r="I1044415" s="19"/>
      <c r="J1044415" s="19"/>
      <c r="K1044415" s="19"/>
      <c r="L1044415" s="19"/>
      <c r="M1044415" s="19"/>
      <c r="N1044415" s="19"/>
    </row>
    <row r="1044416" spans="1:14" s="83" customFormat="1" ht="12.75">
      <c r="A1044416" s="19"/>
      <c r="B1044416" s="19"/>
      <c r="C1044416" s="19"/>
      <c r="D1044416" s="19"/>
      <c r="E1044416" s="19"/>
      <c r="F1044416" s="19"/>
      <c r="G1044416" s="19"/>
      <c r="H1044416" s="19"/>
      <c r="I1044416" s="19"/>
      <c r="J1044416" s="19"/>
      <c r="K1044416" s="19"/>
      <c r="L1044416" s="19"/>
      <c r="M1044416" s="19"/>
      <c r="N1044416" s="19"/>
    </row>
    <row r="1044417" spans="1:14" s="83" customFormat="1" ht="12.75">
      <c r="A1044417" s="19"/>
      <c r="B1044417" s="19"/>
      <c r="C1044417" s="19"/>
      <c r="D1044417" s="19"/>
      <c r="E1044417" s="19"/>
      <c r="F1044417" s="19"/>
      <c r="G1044417" s="19"/>
      <c r="H1044417" s="19"/>
      <c r="I1044417" s="19"/>
      <c r="J1044417" s="19"/>
      <c r="K1044417" s="19"/>
      <c r="L1044417" s="19"/>
      <c r="M1044417" s="19"/>
      <c r="N1044417" s="19"/>
    </row>
    <row r="1044418" spans="1:14" s="83" customFormat="1" ht="12.75">
      <c r="A1044418" s="19"/>
      <c r="B1044418" s="19"/>
      <c r="C1044418" s="19"/>
      <c r="D1044418" s="19"/>
      <c r="E1044418" s="19"/>
      <c r="F1044418" s="19"/>
      <c r="G1044418" s="19"/>
      <c r="H1044418" s="19"/>
      <c r="I1044418" s="19"/>
      <c r="J1044418" s="19"/>
      <c r="K1044418" s="19"/>
      <c r="L1044418" s="19"/>
      <c r="M1044418" s="19"/>
      <c r="N1044418" s="19"/>
    </row>
    <row r="1044419" spans="1:14" s="83" customFormat="1" ht="12.75">
      <c r="A1044419" s="19"/>
      <c r="B1044419" s="19"/>
      <c r="C1044419" s="19"/>
      <c r="D1044419" s="19"/>
      <c r="E1044419" s="19"/>
      <c r="F1044419" s="19"/>
      <c r="G1044419" s="19"/>
      <c r="H1044419" s="19"/>
      <c r="I1044419" s="19"/>
      <c r="J1044419" s="19"/>
      <c r="K1044419" s="19"/>
      <c r="L1044419" s="19"/>
      <c r="M1044419" s="19"/>
      <c r="N1044419" s="19"/>
    </row>
    <row r="1044420" spans="1:14" s="83" customFormat="1" ht="12.75">
      <c r="A1044420" s="19"/>
      <c r="B1044420" s="19"/>
      <c r="C1044420" s="19"/>
      <c r="D1044420" s="19"/>
      <c r="E1044420" s="19"/>
      <c r="F1044420" s="19"/>
      <c r="G1044420" s="19"/>
      <c r="H1044420" s="19"/>
      <c r="I1044420" s="19"/>
      <c r="J1044420" s="19"/>
      <c r="K1044420" s="19"/>
      <c r="L1044420" s="19"/>
      <c r="M1044420" s="19"/>
      <c r="N1044420" s="19"/>
    </row>
    <row r="1044421" spans="1:14" s="83" customFormat="1" ht="12.75">
      <c r="A1044421" s="19"/>
      <c r="B1044421" s="19"/>
      <c r="C1044421" s="19"/>
      <c r="D1044421" s="19"/>
      <c r="E1044421" s="19"/>
      <c r="F1044421" s="19"/>
      <c r="G1044421" s="19"/>
      <c r="H1044421" s="19"/>
      <c r="I1044421" s="19"/>
      <c r="J1044421" s="19"/>
      <c r="K1044421" s="19"/>
      <c r="L1044421" s="19"/>
      <c r="M1044421" s="19"/>
      <c r="N1044421" s="19"/>
    </row>
    <row r="1044422" spans="1:14" s="83" customFormat="1" ht="12.75">
      <c r="A1044422" s="19"/>
      <c r="B1044422" s="19"/>
      <c r="C1044422" s="19"/>
      <c r="D1044422" s="19"/>
      <c r="E1044422" s="19"/>
      <c r="F1044422" s="19"/>
      <c r="G1044422" s="19"/>
      <c r="H1044422" s="19"/>
      <c r="I1044422" s="19"/>
      <c r="J1044422" s="19"/>
      <c r="K1044422" s="19"/>
      <c r="L1044422" s="19"/>
      <c r="M1044422" s="19"/>
      <c r="N1044422" s="19"/>
    </row>
    <row r="1044423" spans="1:14" s="83" customFormat="1" ht="12.75">
      <c r="A1044423" s="19"/>
      <c r="B1044423" s="19"/>
      <c r="C1044423" s="19"/>
      <c r="D1044423" s="19"/>
      <c r="E1044423" s="19"/>
      <c r="F1044423" s="19"/>
      <c r="G1044423" s="19"/>
      <c r="H1044423" s="19"/>
      <c r="I1044423" s="19"/>
      <c r="J1044423" s="19"/>
      <c r="K1044423" s="19"/>
      <c r="L1044423" s="19"/>
      <c r="M1044423" s="19"/>
      <c r="N1044423" s="19"/>
    </row>
    <row r="1044424" spans="1:14" s="83" customFormat="1" ht="12.75">
      <c r="A1044424" s="19"/>
      <c r="B1044424" s="19"/>
      <c r="C1044424" s="19"/>
      <c r="D1044424" s="19"/>
      <c r="E1044424" s="19"/>
      <c r="F1044424" s="19"/>
      <c r="G1044424" s="19"/>
      <c r="H1044424" s="19"/>
      <c r="I1044424" s="19"/>
      <c r="J1044424" s="19"/>
      <c r="K1044424" s="19"/>
      <c r="L1044424" s="19"/>
      <c r="M1044424" s="19"/>
      <c r="N1044424" s="19"/>
    </row>
    <row r="1044425" spans="1:14" s="83" customFormat="1" ht="12.75">
      <c r="A1044425" s="19"/>
      <c r="B1044425" s="19"/>
      <c r="C1044425" s="19"/>
      <c r="D1044425" s="19"/>
      <c r="E1044425" s="19"/>
      <c r="F1044425" s="19"/>
      <c r="G1044425" s="19"/>
      <c r="H1044425" s="19"/>
      <c r="I1044425" s="19"/>
      <c r="J1044425" s="19"/>
      <c r="K1044425" s="19"/>
      <c r="L1044425" s="19"/>
      <c r="M1044425" s="19"/>
      <c r="N1044425" s="19"/>
    </row>
    <row r="1044426" spans="1:14" s="83" customFormat="1" ht="12.75">
      <c r="A1044426" s="19"/>
      <c r="B1044426" s="19"/>
      <c r="C1044426" s="19"/>
      <c r="D1044426" s="19"/>
      <c r="E1044426" s="19"/>
      <c r="F1044426" s="19"/>
      <c r="G1044426" s="19"/>
      <c r="H1044426" s="19"/>
      <c r="I1044426" s="19"/>
      <c r="J1044426" s="19"/>
      <c r="K1044426" s="19"/>
      <c r="L1044426" s="19"/>
      <c r="M1044426" s="19"/>
      <c r="N1044426" s="19"/>
    </row>
    <row r="1044427" spans="1:14" s="83" customFormat="1" ht="12.75">
      <c r="A1044427" s="19"/>
      <c r="B1044427" s="19"/>
      <c r="C1044427" s="19"/>
      <c r="D1044427" s="19"/>
      <c r="E1044427" s="19"/>
      <c r="F1044427" s="19"/>
      <c r="G1044427" s="19"/>
      <c r="H1044427" s="19"/>
      <c r="I1044427" s="19"/>
      <c r="J1044427" s="19"/>
      <c r="K1044427" s="19"/>
      <c r="L1044427" s="19"/>
      <c r="M1044427" s="19"/>
      <c r="N1044427" s="19"/>
    </row>
    <row r="1044428" spans="1:14" s="83" customFormat="1" ht="12.75">
      <c r="A1044428" s="19"/>
      <c r="B1044428" s="19"/>
      <c r="C1044428" s="19"/>
      <c r="D1044428" s="19"/>
      <c r="E1044428" s="19"/>
      <c r="F1044428" s="19"/>
      <c r="G1044428" s="19"/>
      <c r="H1044428" s="19"/>
      <c r="I1044428" s="19"/>
      <c r="J1044428" s="19"/>
      <c r="K1044428" s="19"/>
      <c r="L1044428" s="19"/>
      <c r="M1044428" s="19"/>
      <c r="N1044428" s="19"/>
    </row>
    <row r="1044429" spans="1:14" s="83" customFormat="1" ht="12.75">
      <c r="A1044429" s="19"/>
      <c r="B1044429" s="19"/>
      <c r="C1044429" s="19"/>
      <c r="D1044429" s="19"/>
      <c r="E1044429" s="19"/>
      <c r="F1044429" s="19"/>
      <c r="G1044429" s="19"/>
      <c r="H1044429" s="19"/>
      <c r="I1044429" s="19"/>
      <c r="J1044429" s="19"/>
      <c r="K1044429" s="19"/>
      <c r="L1044429" s="19"/>
      <c r="M1044429" s="19"/>
      <c r="N1044429" s="19"/>
    </row>
    <row r="1044430" spans="1:14" s="83" customFormat="1" ht="12.75">
      <c r="A1044430" s="19"/>
      <c r="B1044430" s="19"/>
      <c r="C1044430" s="19"/>
      <c r="D1044430" s="19"/>
      <c r="E1044430" s="19"/>
      <c r="F1044430" s="19"/>
      <c r="G1044430" s="19"/>
      <c r="H1044430" s="19"/>
      <c r="I1044430" s="19"/>
      <c r="J1044430" s="19"/>
      <c r="K1044430" s="19"/>
      <c r="L1044430" s="19"/>
      <c r="M1044430" s="19"/>
      <c r="N1044430" s="19"/>
    </row>
    <row r="1044431" spans="1:14" s="83" customFormat="1" ht="12.75">
      <c r="A1044431" s="19"/>
      <c r="B1044431" s="19"/>
      <c r="C1044431" s="19"/>
      <c r="D1044431" s="19"/>
      <c r="E1044431" s="19"/>
      <c r="F1044431" s="19"/>
      <c r="G1044431" s="19"/>
      <c r="H1044431" s="19"/>
      <c r="I1044431" s="19"/>
      <c r="J1044431" s="19"/>
      <c r="K1044431" s="19"/>
      <c r="L1044431" s="19"/>
      <c r="M1044431" s="19"/>
      <c r="N1044431" s="19"/>
    </row>
    <row r="1044432" spans="1:14" s="83" customFormat="1" ht="12.75">
      <c r="A1044432" s="19"/>
      <c r="B1044432" s="19"/>
      <c r="C1044432" s="19"/>
      <c r="D1044432" s="19"/>
      <c r="E1044432" s="19"/>
      <c r="F1044432" s="19"/>
      <c r="G1044432" s="19"/>
      <c r="H1044432" s="19"/>
      <c r="I1044432" s="19"/>
      <c r="J1044432" s="19"/>
      <c r="K1044432" s="19"/>
      <c r="L1044432" s="19"/>
      <c r="M1044432" s="19"/>
      <c r="N1044432" s="19"/>
    </row>
    <row r="1044433" spans="1:14" s="83" customFormat="1" ht="12.75">
      <c r="A1044433" s="19"/>
      <c r="B1044433" s="19"/>
      <c r="C1044433" s="19"/>
      <c r="D1044433" s="19"/>
      <c r="E1044433" s="19"/>
      <c r="F1044433" s="19"/>
      <c r="G1044433" s="19"/>
      <c r="H1044433" s="19"/>
      <c r="I1044433" s="19"/>
      <c r="J1044433" s="19"/>
      <c r="K1044433" s="19"/>
      <c r="L1044433" s="19"/>
      <c r="M1044433" s="19"/>
      <c r="N1044433" s="19"/>
    </row>
    <row r="1044434" spans="1:14" s="83" customFormat="1" ht="12.75">
      <c r="A1044434" s="19"/>
      <c r="B1044434" s="19"/>
      <c r="C1044434" s="19"/>
      <c r="D1044434" s="19"/>
      <c r="E1044434" s="19"/>
      <c r="F1044434" s="19"/>
      <c r="G1044434" s="19"/>
      <c r="H1044434" s="19"/>
      <c r="I1044434" s="19"/>
      <c r="J1044434" s="19"/>
      <c r="K1044434" s="19"/>
      <c r="L1044434" s="19"/>
      <c r="M1044434" s="19"/>
      <c r="N1044434" s="19"/>
    </row>
    <row r="1044435" spans="1:14" s="83" customFormat="1" ht="12.75">
      <c r="A1044435" s="19"/>
      <c r="B1044435" s="19"/>
      <c r="C1044435" s="19"/>
      <c r="D1044435" s="19"/>
      <c r="E1044435" s="19"/>
      <c r="F1044435" s="19"/>
      <c r="G1044435" s="19"/>
      <c r="H1044435" s="19"/>
      <c r="I1044435" s="19"/>
      <c r="J1044435" s="19"/>
      <c r="K1044435" s="19"/>
      <c r="L1044435" s="19"/>
      <c r="M1044435" s="19"/>
      <c r="N1044435" s="19"/>
    </row>
    <row r="1044436" spans="1:14" s="83" customFormat="1" ht="12.75">
      <c r="A1044436" s="19"/>
      <c r="B1044436" s="19"/>
      <c r="C1044436" s="19"/>
      <c r="D1044436" s="19"/>
      <c r="E1044436" s="19"/>
      <c r="F1044436" s="19"/>
      <c r="G1044436" s="19"/>
      <c r="H1044436" s="19"/>
      <c r="I1044436" s="19"/>
      <c r="J1044436" s="19"/>
      <c r="K1044436" s="19"/>
      <c r="L1044436" s="19"/>
      <c r="M1044436" s="19"/>
      <c r="N1044436" s="19"/>
    </row>
    <row r="1044437" spans="1:14" s="83" customFormat="1" ht="12.75">
      <c r="A1044437" s="19"/>
      <c r="B1044437" s="19"/>
      <c r="C1044437" s="19"/>
      <c r="D1044437" s="19"/>
      <c r="E1044437" s="19"/>
      <c r="F1044437" s="19"/>
      <c r="G1044437" s="19"/>
      <c r="H1044437" s="19"/>
      <c r="I1044437" s="19"/>
      <c r="J1044437" s="19"/>
      <c r="K1044437" s="19"/>
      <c r="L1044437" s="19"/>
      <c r="M1044437" s="19"/>
      <c r="N1044437" s="19"/>
    </row>
    <row r="1044438" spans="1:14" s="83" customFormat="1" ht="12.75">
      <c r="A1044438" s="19"/>
      <c r="B1044438" s="19"/>
      <c r="C1044438" s="19"/>
      <c r="D1044438" s="19"/>
      <c r="E1044438" s="19"/>
      <c r="F1044438" s="19"/>
      <c r="G1044438" s="19"/>
      <c r="H1044438" s="19"/>
      <c r="I1044438" s="19"/>
      <c r="J1044438" s="19"/>
      <c r="K1044438" s="19"/>
      <c r="L1044438" s="19"/>
      <c r="M1044438" s="19"/>
      <c r="N1044438" s="19"/>
    </row>
    <row r="1044439" spans="1:14" s="83" customFormat="1" ht="12.75">
      <c r="A1044439" s="19"/>
      <c r="B1044439" s="19"/>
      <c r="C1044439" s="19"/>
      <c r="D1044439" s="19"/>
      <c r="E1044439" s="19"/>
      <c r="F1044439" s="19"/>
      <c r="G1044439" s="19"/>
      <c r="H1044439" s="19"/>
      <c r="I1044439" s="19"/>
      <c r="J1044439" s="19"/>
      <c r="K1044439" s="19"/>
      <c r="L1044439" s="19"/>
      <c r="M1044439" s="19"/>
      <c r="N1044439" s="19"/>
    </row>
    <row r="1044440" spans="1:14" s="83" customFormat="1" ht="12.75">
      <c r="A1044440" s="19"/>
      <c r="B1044440" s="19"/>
      <c r="C1044440" s="19"/>
      <c r="D1044440" s="19"/>
      <c r="E1044440" s="19"/>
      <c r="F1044440" s="19"/>
      <c r="G1044440" s="19"/>
      <c r="H1044440" s="19"/>
      <c r="I1044440" s="19"/>
      <c r="J1044440" s="19"/>
      <c r="K1044440" s="19"/>
      <c r="L1044440" s="19"/>
      <c r="M1044440" s="19"/>
      <c r="N1044440" s="19"/>
    </row>
    <row r="1044441" spans="1:14" s="83" customFormat="1" ht="12.75">
      <c r="A1044441" s="19"/>
      <c r="B1044441" s="19"/>
      <c r="C1044441" s="19"/>
      <c r="D1044441" s="19"/>
      <c r="E1044441" s="19"/>
      <c r="F1044441" s="19"/>
      <c r="G1044441" s="19"/>
      <c r="H1044441" s="19"/>
      <c r="I1044441" s="19"/>
      <c r="J1044441" s="19"/>
      <c r="K1044441" s="19"/>
      <c r="L1044441" s="19"/>
      <c r="M1044441" s="19"/>
      <c r="N1044441" s="19"/>
    </row>
    <row r="1044442" spans="1:14" s="83" customFormat="1" ht="12.75">
      <c r="A1044442" s="19"/>
      <c r="B1044442" s="19"/>
      <c r="C1044442" s="19"/>
      <c r="D1044442" s="19"/>
      <c r="E1044442" s="19"/>
      <c r="F1044442" s="19"/>
      <c r="G1044442" s="19"/>
      <c r="H1044442" s="19"/>
      <c r="I1044442" s="19"/>
      <c r="J1044442" s="19"/>
      <c r="K1044442" s="19"/>
      <c r="L1044442" s="19"/>
      <c r="M1044442" s="19"/>
      <c r="N1044442" s="19"/>
    </row>
    <row r="1044443" spans="1:14" s="83" customFormat="1" ht="12.75">
      <c r="A1044443" s="19"/>
      <c r="B1044443" s="19"/>
      <c r="C1044443" s="19"/>
      <c r="D1044443" s="19"/>
      <c r="E1044443" s="19"/>
      <c r="F1044443" s="19"/>
      <c r="G1044443" s="19"/>
      <c r="H1044443" s="19"/>
      <c r="I1044443" s="19"/>
      <c r="J1044443" s="19"/>
      <c r="K1044443" s="19"/>
      <c r="L1044443" s="19"/>
      <c r="M1044443" s="19"/>
      <c r="N1044443" s="19"/>
    </row>
    <row r="1044444" spans="1:14" s="83" customFormat="1" ht="12.75">
      <c r="A1044444" s="19"/>
      <c r="B1044444" s="19"/>
      <c r="C1044444" s="19"/>
      <c r="D1044444" s="19"/>
      <c r="E1044444" s="19"/>
      <c r="F1044444" s="19"/>
      <c r="G1044444" s="19"/>
      <c r="H1044444" s="19"/>
      <c r="I1044444" s="19"/>
      <c r="J1044444" s="19"/>
      <c r="K1044444" s="19"/>
      <c r="L1044444" s="19"/>
      <c r="M1044444" s="19"/>
      <c r="N1044444" s="19"/>
    </row>
    <row r="1044445" spans="1:14" s="83" customFormat="1" ht="12.75">
      <c r="A1044445" s="19"/>
      <c r="B1044445" s="19"/>
      <c r="C1044445" s="19"/>
      <c r="D1044445" s="19"/>
      <c r="E1044445" s="19"/>
      <c r="F1044445" s="19"/>
      <c r="G1044445" s="19"/>
      <c r="H1044445" s="19"/>
      <c r="I1044445" s="19"/>
      <c r="J1044445" s="19"/>
      <c r="K1044445" s="19"/>
      <c r="L1044445" s="19"/>
      <c r="M1044445" s="19"/>
      <c r="N1044445" s="19"/>
    </row>
    <row r="1044446" spans="1:14" s="83" customFormat="1" ht="12.75">
      <c r="A1044446" s="19"/>
      <c r="B1044446" s="19"/>
      <c r="C1044446" s="19"/>
      <c r="D1044446" s="19"/>
      <c r="E1044446" s="19"/>
      <c r="F1044446" s="19"/>
      <c r="G1044446" s="19"/>
      <c r="H1044446" s="19"/>
      <c r="I1044446" s="19"/>
      <c r="J1044446" s="19"/>
      <c r="K1044446" s="19"/>
      <c r="L1044446" s="19"/>
      <c r="M1044446" s="19"/>
      <c r="N1044446" s="19"/>
    </row>
    <row r="1044447" spans="1:14" s="83" customFormat="1" ht="12.75">
      <c r="A1044447" s="19"/>
      <c r="B1044447" s="19"/>
      <c r="C1044447" s="19"/>
      <c r="D1044447" s="19"/>
      <c r="E1044447" s="19"/>
      <c r="F1044447" s="19"/>
      <c r="G1044447" s="19"/>
      <c r="H1044447" s="19"/>
      <c r="I1044447" s="19"/>
      <c r="J1044447" s="19"/>
      <c r="K1044447" s="19"/>
      <c r="L1044447" s="19"/>
      <c r="M1044447" s="19"/>
      <c r="N1044447" s="19"/>
    </row>
    <row r="1044448" spans="1:14" s="83" customFormat="1" ht="12.75">
      <c r="A1044448" s="19"/>
      <c r="B1044448" s="19"/>
      <c r="C1044448" s="19"/>
      <c r="D1044448" s="19"/>
      <c r="E1044448" s="19"/>
      <c r="F1044448" s="19"/>
      <c r="G1044448" s="19"/>
      <c r="H1044448" s="19"/>
      <c r="I1044448" s="19"/>
      <c r="J1044448" s="19"/>
      <c r="K1044448" s="19"/>
      <c r="L1044448" s="19"/>
      <c r="M1044448" s="19"/>
      <c r="N1044448" s="19"/>
    </row>
    <row r="1044449" spans="1:14" s="83" customFormat="1" ht="12.75">
      <c r="A1044449" s="19"/>
      <c r="B1044449" s="19"/>
      <c r="C1044449" s="19"/>
      <c r="D1044449" s="19"/>
      <c r="E1044449" s="19"/>
      <c r="F1044449" s="19"/>
      <c r="G1044449" s="19"/>
      <c r="H1044449" s="19"/>
      <c r="I1044449" s="19"/>
      <c r="J1044449" s="19"/>
      <c r="K1044449" s="19"/>
      <c r="L1044449" s="19"/>
      <c r="M1044449" s="19"/>
      <c r="N1044449" s="19"/>
    </row>
    <row r="1044450" spans="1:14" s="83" customFormat="1" ht="12.75">
      <c r="A1044450" s="19"/>
      <c r="B1044450" s="19"/>
      <c r="C1044450" s="19"/>
      <c r="D1044450" s="19"/>
      <c r="E1044450" s="19"/>
      <c r="F1044450" s="19"/>
      <c r="G1044450" s="19"/>
      <c r="H1044450" s="19"/>
      <c r="I1044450" s="19"/>
      <c r="J1044450" s="19"/>
      <c r="K1044450" s="19"/>
      <c r="L1044450" s="19"/>
      <c r="M1044450" s="19"/>
      <c r="N1044450" s="19"/>
    </row>
    <row r="1044451" spans="1:14" s="83" customFormat="1" ht="12.75">
      <c r="A1044451" s="19"/>
      <c r="B1044451" s="19"/>
      <c r="C1044451" s="19"/>
      <c r="D1044451" s="19"/>
      <c r="E1044451" s="19"/>
      <c r="F1044451" s="19"/>
      <c r="G1044451" s="19"/>
      <c r="H1044451" s="19"/>
      <c r="I1044451" s="19"/>
      <c r="J1044451" s="19"/>
      <c r="K1044451" s="19"/>
      <c r="L1044451" s="19"/>
      <c r="M1044451" s="19"/>
      <c r="N1044451" s="19"/>
    </row>
    <row r="1044452" spans="1:14" s="83" customFormat="1" ht="12.75">
      <c r="A1044452" s="19"/>
      <c r="B1044452" s="19"/>
      <c r="C1044452" s="19"/>
      <c r="D1044452" s="19"/>
      <c r="E1044452" s="19"/>
      <c r="F1044452" s="19"/>
      <c r="G1044452" s="19"/>
      <c r="H1044452" s="19"/>
      <c r="I1044452" s="19"/>
      <c r="J1044452" s="19"/>
      <c r="K1044452" s="19"/>
      <c r="L1044452" s="19"/>
      <c r="M1044452" s="19"/>
      <c r="N1044452" s="19"/>
    </row>
    <row r="1044453" spans="1:14" s="83" customFormat="1" ht="12.75">
      <c r="A1044453" s="19"/>
      <c r="B1044453" s="19"/>
      <c r="C1044453" s="19"/>
      <c r="D1044453" s="19"/>
      <c r="E1044453" s="19"/>
      <c r="F1044453" s="19"/>
      <c r="G1044453" s="19"/>
      <c r="H1044453" s="19"/>
      <c r="I1044453" s="19"/>
      <c r="J1044453" s="19"/>
      <c r="K1044453" s="19"/>
      <c r="L1044453" s="19"/>
      <c r="M1044453" s="19"/>
      <c r="N1044453" s="19"/>
    </row>
    <row r="1044454" spans="1:14" s="83" customFormat="1" ht="12.75">
      <c r="A1044454" s="19"/>
      <c r="B1044454" s="19"/>
      <c r="C1044454" s="19"/>
      <c r="D1044454" s="19"/>
      <c r="E1044454" s="19"/>
      <c r="F1044454" s="19"/>
      <c r="G1044454" s="19"/>
      <c r="H1044454" s="19"/>
      <c r="I1044454" s="19"/>
      <c r="J1044454" s="19"/>
      <c r="K1044454" s="19"/>
      <c r="L1044454" s="19"/>
      <c r="M1044454" s="19"/>
      <c r="N1044454" s="19"/>
    </row>
    <row r="1044455" spans="1:14" s="83" customFormat="1" ht="12.75">
      <c r="A1044455" s="19"/>
      <c r="B1044455" s="19"/>
      <c r="C1044455" s="19"/>
      <c r="D1044455" s="19"/>
      <c r="E1044455" s="19"/>
      <c r="F1044455" s="19"/>
      <c r="G1044455" s="19"/>
      <c r="H1044455" s="19"/>
      <c r="I1044455" s="19"/>
      <c r="J1044455" s="19"/>
      <c r="K1044455" s="19"/>
      <c r="L1044455" s="19"/>
      <c r="M1044455" s="19"/>
      <c r="N1044455" s="19"/>
    </row>
    <row r="1044456" spans="1:14" s="83" customFormat="1" ht="12.75">
      <c r="A1044456" s="19"/>
      <c r="B1044456" s="19"/>
      <c r="C1044456" s="19"/>
      <c r="D1044456" s="19"/>
      <c r="E1044456" s="19"/>
      <c r="F1044456" s="19"/>
      <c r="G1044456" s="19"/>
      <c r="H1044456" s="19"/>
      <c r="I1044456" s="19"/>
      <c r="J1044456" s="19"/>
      <c r="K1044456" s="19"/>
      <c r="L1044456" s="19"/>
      <c r="M1044456" s="19"/>
      <c r="N1044456" s="19"/>
    </row>
    <row r="1044457" spans="1:14" s="83" customFormat="1" ht="12.75">
      <c r="A1044457" s="19"/>
      <c r="B1044457" s="19"/>
      <c r="C1044457" s="19"/>
      <c r="D1044457" s="19"/>
      <c r="E1044457" s="19"/>
      <c r="F1044457" s="19"/>
      <c r="G1044457" s="19"/>
      <c r="H1044457" s="19"/>
      <c r="I1044457" s="19"/>
      <c r="J1044457" s="19"/>
      <c r="K1044457" s="19"/>
      <c r="L1044457" s="19"/>
      <c r="M1044457" s="19"/>
      <c r="N1044457" s="19"/>
    </row>
    <row r="1044458" spans="1:14" s="83" customFormat="1" ht="12.75">
      <c r="A1044458" s="19"/>
      <c r="B1044458" s="19"/>
      <c r="C1044458" s="19"/>
      <c r="D1044458" s="19"/>
      <c r="E1044458" s="19"/>
      <c r="F1044458" s="19"/>
      <c r="G1044458" s="19"/>
      <c r="H1044458" s="19"/>
      <c r="I1044458" s="19"/>
      <c r="J1044458" s="19"/>
      <c r="K1044458" s="19"/>
      <c r="L1044458" s="19"/>
      <c r="M1044458" s="19"/>
      <c r="N1044458" s="19"/>
    </row>
    <row r="1044459" spans="1:14" s="83" customFormat="1" ht="12.75">
      <c r="A1044459" s="19"/>
      <c r="B1044459" s="19"/>
      <c r="C1044459" s="19"/>
      <c r="D1044459" s="19"/>
      <c r="E1044459" s="19"/>
      <c r="F1044459" s="19"/>
      <c r="G1044459" s="19"/>
      <c r="H1044459" s="19"/>
      <c r="I1044459" s="19"/>
      <c r="J1044459" s="19"/>
      <c r="K1044459" s="19"/>
      <c r="L1044459" s="19"/>
      <c r="M1044459" s="19"/>
      <c r="N1044459" s="19"/>
    </row>
    <row r="1044460" spans="1:14" s="83" customFormat="1" ht="12.75">
      <c r="A1044460" s="19"/>
      <c r="B1044460" s="19"/>
      <c r="C1044460" s="19"/>
      <c r="D1044460" s="19"/>
      <c r="E1044460" s="19"/>
      <c r="F1044460" s="19"/>
      <c r="G1044460" s="19"/>
      <c r="H1044460" s="19"/>
      <c r="I1044460" s="19"/>
      <c r="J1044460" s="19"/>
      <c r="K1044460" s="19"/>
      <c r="L1044460" s="19"/>
      <c r="M1044460" s="19"/>
      <c r="N1044460" s="19"/>
    </row>
    <row r="1044461" spans="1:14" s="83" customFormat="1" ht="12.75">
      <c r="A1044461" s="19"/>
      <c r="B1044461" s="19"/>
      <c r="C1044461" s="19"/>
      <c r="D1044461" s="19"/>
      <c r="E1044461" s="19"/>
      <c r="F1044461" s="19"/>
      <c r="G1044461" s="19"/>
      <c r="H1044461" s="19"/>
      <c r="I1044461" s="19"/>
      <c r="J1044461" s="19"/>
      <c r="K1044461" s="19"/>
      <c r="L1044461" s="19"/>
      <c r="M1044461" s="19"/>
      <c r="N1044461" s="19"/>
    </row>
    <row r="1044462" spans="1:14" s="83" customFormat="1" ht="12.75">
      <c r="A1044462" s="19"/>
      <c r="B1044462" s="19"/>
      <c r="C1044462" s="19"/>
      <c r="D1044462" s="19"/>
      <c r="E1044462" s="19"/>
      <c r="F1044462" s="19"/>
      <c r="G1044462" s="19"/>
      <c r="H1044462" s="19"/>
      <c r="I1044462" s="19"/>
      <c r="J1044462" s="19"/>
      <c r="K1044462" s="19"/>
      <c r="L1044462" s="19"/>
      <c r="M1044462" s="19"/>
      <c r="N1044462" s="19"/>
    </row>
    <row r="1044463" spans="1:14" s="83" customFormat="1" ht="12.75">
      <c r="A1044463" s="19"/>
      <c r="B1044463" s="19"/>
      <c r="C1044463" s="19"/>
      <c r="D1044463" s="19"/>
      <c r="E1044463" s="19"/>
      <c r="F1044463" s="19"/>
      <c r="G1044463" s="19"/>
      <c r="H1044463" s="19"/>
      <c r="I1044463" s="19"/>
      <c r="J1044463" s="19"/>
      <c r="K1044463" s="19"/>
      <c r="L1044463" s="19"/>
      <c r="M1044463" s="19"/>
      <c r="N1044463" s="19"/>
    </row>
    <row r="1044464" spans="1:14" s="83" customFormat="1" ht="12.75">
      <c r="A1044464" s="19"/>
      <c r="B1044464" s="19"/>
      <c r="C1044464" s="19"/>
      <c r="D1044464" s="19"/>
      <c r="E1044464" s="19"/>
      <c r="F1044464" s="19"/>
      <c r="G1044464" s="19"/>
      <c r="H1044464" s="19"/>
      <c r="I1044464" s="19"/>
      <c r="J1044464" s="19"/>
      <c r="K1044464" s="19"/>
      <c r="L1044464" s="19"/>
      <c r="M1044464" s="19"/>
      <c r="N1044464" s="19"/>
    </row>
    <row r="1044465" spans="1:14" s="83" customFormat="1" ht="12.75">
      <c r="A1044465" s="19"/>
      <c r="B1044465" s="19"/>
      <c r="C1044465" s="19"/>
      <c r="D1044465" s="19"/>
      <c r="E1044465" s="19"/>
      <c r="F1044465" s="19"/>
      <c r="G1044465" s="19"/>
      <c r="H1044465" s="19"/>
      <c r="I1044465" s="19"/>
      <c r="J1044465" s="19"/>
      <c r="K1044465" s="19"/>
      <c r="L1044465" s="19"/>
      <c r="M1044465" s="19"/>
      <c r="N1044465" s="19"/>
    </row>
    <row r="1044466" spans="1:14" s="83" customFormat="1" ht="12.75">
      <c r="A1044466" s="19"/>
      <c r="B1044466" s="19"/>
      <c r="C1044466" s="19"/>
      <c r="D1044466" s="19"/>
      <c r="E1044466" s="19"/>
      <c r="F1044466" s="19"/>
      <c r="G1044466" s="19"/>
      <c r="H1044466" s="19"/>
      <c r="I1044466" s="19"/>
      <c r="J1044466" s="19"/>
      <c r="K1044466" s="19"/>
      <c r="L1044466" s="19"/>
      <c r="M1044466" s="19"/>
      <c r="N1044466" s="19"/>
    </row>
    <row r="1044467" spans="1:14" s="83" customFormat="1" ht="12.75">
      <c r="A1044467" s="19"/>
      <c r="B1044467" s="19"/>
      <c r="C1044467" s="19"/>
      <c r="D1044467" s="19"/>
      <c r="E1044467" s="19"/>
      <c r="F1044467" s="19"/>
      <c r="G1044467" s="19"/>
      <c r="H1044467" s="19"/>
      <c r="I1044467" s="19"/>
      <c r="J1044467" s="19"/>
      <c r="K1044467" s="19"/>
      <c r="L1044467" s="19"/>
      <c r="M1044467" s="19"/>
      <c r="N1044467" s="19"/>
    </row>
    <row r="1044468" spans="1:14" s="83" customFormat="1" ht="12.75">
      <c r="A1044468" s="19"/>
      <c r="B1044468" s="19"/>
      <c r="C1044468" s="19"/>
      <c r="D1044468" s="19"/>
      <c r="E1044468" s="19"/>
      <c r="F1044468" s="19"/>
      <c r="G1044468" s="19"/>
      <c r="H1044468" s="19"/>
      <c r="I1044468" s="19"/>
      <c r="J1044468" s="19"/>
      <c r="K1044468" s="19"/>
      <c r="L1044468" s="19"/>
      <c r="M1044468" s="19"/>
      <c r="N1044468" s="19"/>
    </row>
    <row r="1044469" spans="1:14" s="83" customFormat="1" ht="12.75">
      <c r="A1044469" s="19"/>
      <c r="B1044469" s="19"/>
      <c r="C1044469" s="19"/>
      <c r="D1044469" s="19"/>
      <c r="E1044469" s="19"/>
      <c r="F1044469" s="19"/>
      <c r="G1044469" s="19"/>
      <c r="H1044469" s="19"/>
      <c r="I1044469" s="19"/>
      <c r="J1044469" s="19"/>
      <c r="K1044469" s="19"/>
      <c r="L1044469" s="19"/>
      <c r="M1044469" s="19"/>
      <c r="N1044469" s="19"/>
    </row>
    <row r="1044470" spans="1:14" s="83" customFormat="1" ht="12.75">
      <c r="A1044470" s="19"/>
      <c r="B1044470" s="19"/>
      <c r="C1044470" s="19"/>
      <c r="D1044470" s="19"/>
      <c r="E1044470" s="19"/>
      <c r="F1044470" s="19"/>
      <c r="G1044470" s="19"/>
      <c r="H1044470" s="19"/>
      <c r="I1044470" s="19"/>
      <c r="J1044470" s="19"/>
      <c r="K1044470" s="19"/>
      <c r="L1044470" s="19"/>
      <c r="M1044470" s="19"/>
      <c r="N1044470" s="19"/>
    </row>
    <row r="1044471" spans="1:14" s="83" customFormat="1" ht="12.75">
      <c r="A1044471" s="19"/>
      <c r="B1044471" s="19"/>
      <c r="C1044471" s="19"/>
      <c r="D1044471" s="19"/>
      <c r="E1044471" s="19"/>
      <c r="F1044471" s="19"/>
      <c r="G1044471" s="19"/>
      <c r="H1044471" s="19"/>
      <c r="I1044471" s="19"/>
      <c r="J1044471" s="19"/>
      <c r="K1044471" s="19"/>
      <c r="L1044471" s="19"/>
      <c r="M1044471" s="19"/>
      <c r="N1044471" s="19"/>
    </row>
    <row r="1044472" spans="1:14" s="83" customFormat="1" ht="12.75">
      <c r="A1044472" s="19"/>
      <c r="B1044472" s="19"/>
      <c r="C1044472" s="19"/>
      <c r="D1044472" s="19"/>
      <c r="E1044472" s="19"/>
      <c r="F1044472" s="19"/>
      <c r="G1044472" s="19"/>
      <c r="H1044472" s="19"/>
      <c r="I1044472" s="19"/>
      <c r="J1044472" s="19"/>
      <c r="K1044472" s="19"/>
      <c r="L1044472" s="19"/>
      <c r="M1044472" s="19"/>
      <c r="N1044472" s="19"/>
    </row>
    <row r="1044473" spans="1:14" s="83" customFormat="1" ht="12.75">
      <c r="A1044473" s="19"/>
      <c r="B1044473" s="19"/>
      <c r="C1044473" s="19"/>
      <c r="D1044473" s="19"/>
      <c r="E1044473" s="19"/>
      <c r="F1044473" s="19"/>
      <c r="G1044473" s="19"/>
      <c r="H1044473" s="19"/>
      <c r="I1044473" s="19"/>
      <c r="J1044473" s="19"/>
      <c r="K1044473" s="19"/>
      <c r="L1044473" s="19"/>
      <c r="M1044473" s="19"/>
      <c r="N1044473" s="19"/>
    </row>
    <row r="1044474" spans="1:14" s="83" customFormat="1" ht="12.75">
      <c r="A1044474" s="19"/>
      <c r="B1044474" s="19"/>
      <c r="C1044474" s="19"/>
      <c r="D1044474" s="19"/>
      <c r="E1044474" s="19"/>
      <c r="F1044474" s="19"/>
      <c r="G1044474" s="19"/>
      <c r="H1044474" s="19"/>
      <c r="I1044474" s="19"/>
      <c r="J1044474" s="19"/>
      <c r="K1044474" s="19"/>
      <c r="L1044474" s="19"/>
      <c r="M1044474" s="19"/>
      <c r="N1044474" s="19"/>
    </row>
    <row r="1044475" spans="1:14" s="83" customFormat="1" ht="12.75">
      <c r="A1044475" s="19"/>
      <c r="B1044475" s="19"/>
      <c r="C1044475" s="19"/>
      <c r="D1044475" s="19"/>
      <c r="E1044475" s="19"/>
      <c r="F1044475" s="19"/>
      <c r="G1044475" s="19"/>
      <c r="H1044475" s="19"/>
      <c r="I1044475" s="19"/>
      <c r="J1044475" s="19"/>
      <c r="K1044475" s="19"/>
      <c r="L1044475" s="19"/>
      <c r="M1044475" s="19"/>
      <c r="N1044475" s="19"/>
    </row>
    <row r="1044476" spans="1:14" s="83" customFormat="1" ht="12.75">
      <c r="A1044476" s="19"/>
      <c r="B1044476" s="19"/>
      <c r="C1044476" s="19"/>
      <c r="D1044476" s="19"/>
      <c r="E1044476" s="19"/>
      <c r="F1044476" s="19"/>
      <c r="G1044476" s="19"/>
      <c r="H1044476" s="19"/>
      <c r="I1044476" s="19"/>
      <c r="J1044476" s="19"/>
      <c r="K1044476" s="19"/>
      <c r="L1044476" s="19"/>
      <c r="M1044476" s="19"/>
      <c r="N1044476" s="19"/>
    </row>
    <row r="1044477" spans="1:14" s="83" customFormat="1" ht="12.75">
      <c r="A1044477" s="19"/>
      <c r="B1044477" s="19"/>
      <c r="C1044477" s="19"/>
      <c r="D1044477" s="19"/>
      <c r="E1044477" s="19"/>
      <c r="F1044477" s="19"/>
      <c r="G1044477" s="19"/>
      <c r="H1044477" s="19"/>
      <c r="I1044477" s="19"/>
      <c r="J1044477" s="19"/>
      <c r="K1044477" s="19"/>
      <c r="L1044477" s="19"/>
      <c r="M1044477" s="19"/>
      <c r="N1044477" s="19"/>
    </row>
    <row r="1044478" spans="1:14" s="83" customFormat="1" ht="12.75">
      <c r="A1044478" s="19"/>
      <c r="B1044478" s="19"/>
      <c r="C1044478" s="19"/>
      <c r="D1044478" s="19"/>
      <c r="E1044478" s="19"/>
      <c r="F1044478" s="19"/>
      <c r="G1044478" s="19"/>
      <c r="H1044478" s="19"/>
      <c r="I1044478" s="19"/>
      <c r="J1044478" s="19"/>
      <c r="K1044478" s="19"/>
      <c r="L1044478" s="19"/>
      <c r="M1044478" s="19"/>
      <c r="N1044478" s="19"/>
    </row>
    <row r="1044479" spans="1:14" s="83" customFormat="1" ht="12.75">
      <c r="A1044479" s="19"/>
      <c r="B1044479" s="19"/>
      <c r="C1044479" s="19"/>
      <c r="D1044479" s="19"/>
      <c r="E1044479" s="19"/>
      <c r="F1044479" s="19"/>
      <c r="G1044479" s="19"/>
      <c r="H1044479" s="19"/>
      <c r="I1044479" s="19"/>
      <c r="J1044479" s="19"/>
      <c r="K1044479" s="19"/>
      <c r="L1044479" s="19"/>
      <c r="M1044479" s="19"/>
      <c r="N1044479" s="19"/>
    </row>
    <row r="1044480" spans="1:14" s="83" customFormat="1" ht="12.75">
      <c r="A1044480" s="19"/>
      <c r="B1044480" s="19"/>
      <c r="C1044480" s="19"/>
      <c r="D1044480" s="19"/>
      <c r="E1044480" s="19"/>
      <c r="F1044480" s="19"/>
      <c r="G1044480" s="19"/>
      <c r="H1044480" s="19"/>
      <c r="I1044480" s="19"/>
      <c r="J1044480" s="19"/>
      <c r="K1044480" s="19"/>
      <c r="L1044480" s="19"/>
      <c r="M1044480" s="19"/>
      <c r="N1044480" s="19"/>
    </row>
    <row r="1044481" spans="1:14" s="83" customFormat="1" ht="12.75">
      <c r="A1044481" s="19"/>
      <c r="B1044481" s="19"/>
      <c r="C1044481" s="19"/>
      <c r="D1044481" s="19"/>
      <c r="E1044481" s="19"/>
      <c r="F1044481" s="19"/>
      <c r="G1044481" s="19"/>
      <c r="H1044481" s="19"/>
      <c r="I1044481" s="19"/>
      <c r="J1044481" s="19"/>
      <c r="K1044481" s="19"/>
      <c r="L1044481" s="19"/>
      <c r="M1044481" s="19"/>
      <c r="N1044481" s="19"/>
    </row>
    <row r="1044482" spans="1:14" s="83" customFormat="1" ht="12.75">
      <c r="A1044482" s="19"/>
      <c r="B1044482" s="19"/>
      <c r="C1044482" s="19"/>
      <c r="D1044482" s="19"/>
      <c r="E1044482" s="19"/>
      <c r="F1044482" s="19"/>
      <c r="G1044482" s="19"/>
      <c r="H1044482" s="19"/>
      <c r="I1044482" s="19"/>
      <c r="J1044482" s="19"/>
      <c r="K1044482" s="19"/>
      <c r="L1044482" s="19"/>
      <c r="M1044482" s="19"/>
      <c r="N1044482" s="19"/>
    </row>
    <row r="1044483" spans="1:14" s="83" customFormat="1" ht="12.75">
      <c r="A1044483" s="19"/>
      <c r="B1044483" s="19"/>
      <c r="C1044483" s="19"/>
      <c r="D1044483" s="19"/>
      <c r="E1044483" s="19"/>
      <c r="F1044483" s="19"/>
      <c r="G1044483" s="19"/>
      <c r="H1044483" s="19"/>
      <c r="I1044483" s="19"/>
      <c r="J1044483" s="19"/>
      <c r="K1044483" s="19"/>
      <c r="L1044483" s="19"/>
      <c r="M1044483" s="19"/>
      <c r="N1044483" s="19"/>
    </row>
    <row r="1044484" spans="1:14" s="83" customFormat="1" ht="12.75">
      <c r="A1044484" s="19"/>
      <c r="B1044484" s="19"/>
      <c r="C1044484" s="19"/>
      <c r="D1044484" s="19"/>
      <c r="E1044484" s="19"/>
      <c r="F1044484" s="19"/>
      <c r="G1044484" s="19"/>
      <c r="H1044484" s="19"/>
      <c r="I1044484" s="19"/>
      <c r="J1044484" s="19"/>
      <c r="K1044484" s="19"/>
      <c r="L1044484" s="19"/>
      <c r="M1044484" s="19"/>
      <c r="N1044484" s="19"/>
    </row>
    <row r="1044485" spans="1:14" s="83" customFormat="1" ht="12.75">
      <c r="A1044485" s="19"/>
      <c r="B1044485" s="19"/>
      <c r="C1044485" s="19"/>
      <c r="D1044485" s="19"/>
      <c r="E1044485" s="19"/>
      <c r="F1044485" s="19"/>
      <c r="G1044485" s="19"/>
      <c r="H1044485" s="19"/>
      <c r="I1044485" s="19"/>
      <c r="J1044485" s="19"/>
      <c r="K1044485" s="19"/>
      <c r="L1044485" s="19"/>
      <c r="M1044485" s="19"/>
      <c r="N1044485" s="19"/>
    </row>
    <row r="1044486" spans="1:14" s="83" customFormat="1" ht="12.75">
      <c r="A1044486" s="19"/>
      <c r="B1044486" s="19"/>
      <c r="C1044486" s="19"/>
      <c r="D1044486" s="19"/>
      <c r="E1044486" s="19"/>
      <c r="F1044486" s="19"/>
      <c r="G1044486" s="19"/>
      <c r="H1044486" s="19"/>
      <c r="I1044486" s="19"/>
      <c r="J1044486" s="19"/>
      <c r="K1044486" s="19"/>
      <c r="L1044486" s="19"/>
      <c r="M1044486" s="19"/>
      <c r="N1044486" s="19"/>
    </row>
    <row r="1044487" spans="1:14" s="83" customFormat="1" ht="12.75">
      <c r="A1044487" s="19"/>
      <c r="B1044487" s="19"/>
      <c r="C1044487" s="19"/>
      <c r="D1044487" s="19"/>
      <c r="E1044487" s="19"/>
      <c r="F1044487" s="19"/>
      <c r="G1044487" s="19"/>
      <c r="H1044487" s="19"/>
      <c r="I1044487" s="19"/>
      <c r="J1044487" s="19"/>
      <c r="K1044487" s="19"/>
      <c r="L1044487" s="19"/>
      <c r="M1044487" s="19"/>
      <c r="N1044487" s="19"/>
    </row>
    <row r="1044488" spans="1:14" s="83" customFormat="1" ht="12.75">
      <c r="A1044488" s="19"/>
      <c r="B1044488" s="19"/>
      <c r="C1044488" s="19"/>
      <c r="D1044488" s="19"/>
      <c r="E1044488" s="19"/>
      <c r="F1044488" s="19"/>
      <c r="G1044488" s="19"/>
      <c r="H1044488" s="19"/>
      <c r="I1044488" s="19"/>
      <c r="J1044488" s="19"/>
      <c r="K1044488" s="19"/>
      <c r="L1044488" s="19"/>
      <c r="M1044488" s="19"/>
      <c r="N1044488" s="19"/>
    </row>
    <row r="1044489" spans="1:14" s="83" customFormat="1" ht="12.75">
      <c r="A1044489" s="19"/>
      <c r="B1044489" s="19"/>
      <c r="C1044489" s="19"/>
      <c r="D1044489" s="19"/>
      <c r="E1044489" s="19"/>
      <c r="F1044489" s="19"/>
      <c r="G1044489" s="19"/>
      <c r="H1044489" s="19"/>
      <c r="I1044489" s="19"/>
      <c r="J1044489" s="19"/>
      <c r="K1044489" s="19"/>
      <c r="L1044489" s="19"/>
      <c r="M1044489" s="19"/>
      <c r="N1044489" s="19"/>
    </row>
    <row r="1044490" spans="1:14" s="83" customFormat="1" ht="12.75">
      <c r="A1044490" s="19"/>
      <c r="B1044490" s="19"/>
      <c r="C1044490" s="19"/>
      <c r="D1044490" s="19"/>
      <c r="E1044490" s="19"/>
      <c r="F1044490" s="19"/>
      <c r="G1044490" s="19"/>
      <c r="H1044490" s="19"/>
      <c r="I1044490" s="19"/>
      <c r="J1044490" s="19"/>
      <c r="K1044490" s="19"/>
      <c r="L1044490" s="19"/>
      <c r="M1044490" s="19"/>
      <c r="N1044490" s="19"/>
    </row>
    <row r="1044491" spans="1:14" s="83" customFormat="1" ht="12.75">
      <c r="A1044491" s="19"/>
      <c r="B1044491" s="19"/>
      <c r="C1044491" s="19"/>
      <c r="D1044491" s="19"/>
      <c r="E1044491" s="19"/>
      <c r="F1044491" s="19"/>
      <c r="G1044491" s="19"/>
      <c r="H1044491" s="19"/>
      <c r="I1044491" s="19"/>
      <c r="J1044491" s="19"/>
      <c r="K1044491" s="19"/>
      <c r="L1044491" s="19"/>
      <c r="M1044491" s="19"/>
      <c r="N1044491" s="19"/>
    </row>
    <row r="1044492" spans="1:14" s="83" customFormat="1" ht="12.75">
      <c r="A1044492" s="19"/>
      <c r="B1044492" s="19"/>
      <c r="C1044492" s="19"/>
      <c r="D1044492" s="19"/>
      <c r="E1044492" s="19"/>
      <c r="F1044492" s="19"/>
      <c r="G1044492" s="19"/>
      <c r="H1044492" s="19"/>
      <c r="I1044492" s="19"/>
      <c r="J1044492" s="19"/>
      <c r="K1044492" s="19"/>
      <c r="L1044492" s="19"/>
      <c r="M1044492" s="19"/>
      <c r="N1044492" s="19"/>
    </row>
    <row r="1044493" spans="1:14" s="83" customFormat="1" ht="12.75">
      <c r="A1044493" s="19"/>
      <c r="B1044493" s="19"/>
      <c r="C1044493" s="19"/>
      <c r="D1044493" s="19"/>
      <c r="E1044493" s="19"/>
      <c r="F1044493" s="19"/>
      <c r="G1044493" s="19"/>
      <c r="H1044493" s="19"/>
      <c r="I1044493" s="19"/>
      <c r="J1044493" s="19"/>
      <c r="K1044493" s="19"/>
      <c r="L1044493" s="19"/>
      <c r="M1044493" s="19"/>
      <c r="N1044493" s="19"/>
    </row>
    <row r="1044494" spans="1:14" s="83" customFormat="1" ht="12.75">
      <c r="A1044494" s="19"/>
      <c r="B1044494" s="19"/>
      <c r="C1044494" s="19"/>
      <c r="D1044494" s="19"/>
      <c r="E1044494" s="19"/>
      <c r="F1044494" s="19"/>
      <c r="G1044494" s="19"/>
      <c r="H1044494" s="19"/>
      <c r="I1044494" s="19"/>
      <c r="J1044494" s="19"/>
      <c r="K1044494" s="19"/>
      <c r="L1044494" s="19"/>
      <c r="M1044494" s="19"/>
      <c r="N1044494" s="19"/>
    </row>
    <row r="1044495" spans="1:14" s="83" customFormat="1" ht="12.75">
      <c r="A1044495" s="19"/>
      <c r="B1044495" s="19"/>
      <c r="C1044495" s="19"/>
      <c r="D1044495" s="19"/>
      <c r="E1044495" s="19"/>
      <c r="F1044495" s="19"/>
      <c r="G1044495" s="19"/>
      <c r="H1044495" s="19"/>
      <c r="I1044495" s="19"/>
      <c r="J1044495" s="19"/>
      <c r="K1044495" s="19"/>
      <c r="L1044495" s="19"/>
      <c r="M1044495" s="19"/>
      <c r="N1044495" s="19"/>
    </row>
    <row r="1044496" spans="1:14" s="83" customFormat="1" ht="12.75">
      <c r="A1044496" s="19"/>
      <c r="B1044496" s="19"/>
      <c r="C1044496" s="19"/>
      <c r="D1044496" s="19"/>
      <c r="E1044496" s="19"/>
      <c r="F1044496" s="19"/>
      <c r="G1044496" s="19"/>
      <c r="H1044496" s="19"/>
      <c r="I1044496" s="19"/>
      <c r="J1044496" s="19"/>
      <c r="K1044496" s="19"/>
      <c r="L1044496" s="19"/>
      <c r="M1044496" s="19"/>
      <c r="N1044496" s="19"/>
    </row>
    <row r="1044497" spans="1:14" s="83" customFormat="1" ht="12.75">
      <c r="A1044497" s="19"/>
      <c r="B1044497" s="19"/>
      <c r="C1044497" s="19"/>
      <c r="D1044497" s="19"/>
      <c r="E1044497" s="19"/>
      <c r="F1044497" s="19"/>
      <c r="G1044497" s="19"/>
      <c r="H1044497" s="19"/>
      <c r="I1044497" s="19"/>
      <c r="J1044497" s="19"/>
      <c r="K1044497" s="19"/>
      <c r="L1044497" s="19"/>
      <c r="M1044497" s="19"/>
      <c r="N1044497" s="19"/>
    </row>
    <row r="1044498" spans="1:14" s="83" customFormat="1" ht="12.75">
      <c r="A1044498" s="19"/>
      <c r="B1044498" s="19"/>
      <c r="C1044498" s="19"/>
      <c r="D1044498" s="19"/>
      <c r="E1044498" s="19"/>
      <c r="F1044498" s="19"/>
      <c r="G1044498" s="19"/>
      <c r="H1044498" s="19"/>
      <c r="I1044498" s="19"/>
      <c r="J1044498" s="19"/>
      <c r="K1044498" s="19"/>
      <c r="L1044498" s="19"/>
      <c r="M1044498" s="19"/>
      <c r="N1044498" s="19"/>
    </row>
    <row r="1044499" spans="1:14" s="83" customFormat="1" ht="12.75">
      <c r="A1044499" s="19"/>
      <c r="B1044499" s="19"/>
      <c r="C1044499" s="19"/>
      <c r="D1044499" s="19"/>
      <c r="E1044499" s="19"/>
      <c r="F1044499" s="19"/>
      <c r="G1044499" s="19"/>
      <c r="H1044499" s="19"/>
      <c r="I1044499" s="19"/>
      <c r="J1044499" s="19"/>
      <c r="K1044499" s="19"/>
      <c r="L1044499" s="19"/>
      <c r="M1044499" s="19"/>
      <c r="N1044499" s="19"/>
    </row>
    <row r="1044500" spans="1:14" s="83" customFormat="1" ht="12.75">
      <c r="A1044500" s="19"/>
      <c r="B1044500" s="19"/>
      <c r="C1044500" s="19"/>
      <c r="D1044500" s="19"/>
      <c r="E1044500" s="19"/>
      <c r="F1044500" s="19"/>
      <c r="G1044500" s="19"/>
      <c r="H1044500" s="19"/>
      <c r="I1044500" s="19"/>
      <c r="J1044500" s="19"/>
      <c r="K1044500" s="19"/>
      <c r="L1044500" s="19"/>
      <c r="M1044500" s="19"/>
      <c r="N1044500" s="19"/>
    </row>
    <row r="1044501" spans="1:14" s="83" customFormat="1" ht="12.75">
      <c r="A1044501" s="19"/>
      <c r="B1044501" s="19"/>
      <c r="C1044501" s="19"/>
      <c r="D1044501" s="19"/>
      <c r="E1044501" s="19"/>
      <c r="F1044501" s="19"/>
      <c r="G1044501" s="19"/>
      <c r="H1044501" s="19"/>
      <c r="I1044501" s="19"/>
      <c r="J1044501" s="19"/>
      <c r="K1044501" s="19"/>
      <c r="L1044501" s="19"/>
      <c r="M1044501" s="19"/>
      <c r="N1044501" s="19"/>
    </row>
    <row r="1044502" spans="1:14" s="83" customFormat="1" ht="12.75">
      <c r="A1044502" s="19"/>
      <c r="B1044502" s="19"/>
      <c r="C1044502" s="19"/>
      <c r="D1044502" s="19"/>
      <c r="E1044502" s="19"/>
      <c r="F1044502" s="19"/>
      <c r="G1044502" s="19"/>
      <c r="H1044502" s="19"/>
      <c r="I1044502" s="19"/>
      <c r="J1044502" s="19"/>
      <c r="K1044502" s="19"/>
      <c r="L1044502" s="19"/>
      <c r="M1044502" s="19"/>
      <c r="N1044502" s="19"/>
    </row>
    <row r="1044503" spans="1:14" s="83" customFormat="1" ht="12.75">
      <c r="A1044503" s="19"/>
      <c r="B1044503" s="19"/>
      <c r="C1044503" s="19"/>
      <c r="D1044503" s="19"/>
      <c r="E1044503" s="19"/>
      <c r="F1044503" s="19"/>
      <c r="G1044503" s="19"/>
      <c r="H1044503" s="19"/>
      <c r="I1044503" s="19"/>
      <c r="J1044503" s="19"/>
      <c r="K1044503" s="19"/>
      <c r="L1044503" s="19"/>
      <c r="M1044503" s="19"/>
      <c r="N1044503" s="19"/>
    </row>
    <row r="1044504" spans="1:14" s="83" customFormat="1" ht="12.75">
      <c r="A1044504" s="19"/>
      <c r="B1044504" s="19"/>
      <c r="C1044504" s="19"/>
      <c r="D1044504" s="19"/>
      <c r="E1044504" s="19"/>
      <c r="F1044504" s="19"/>
      <c r="G1044504" s="19"/>
      <c r="H1044504" s="19"/>
      <c r="I1044504" s="19"/>
      <c r="J1044504" s="19"/>
      <c r="K1044504" s="19"/>
      <c r="L1044504" s="19"/>
      <c r="M1044504" s="19"/>
      <c r="N1044504" s="19"/>
    </row>
    <row r="1044505" spans="1:14" s="83" customFormat="1" ht="12.75">
      <c r="A1044505" s="19"/>
      <c r="B1044505" s="19"/>
      <c r="C1044505" s="19"/>
      <c r="D1044505" s="19"/>
      <c r="E1044505" s="19"/>
      <c r="F1044505" s="19"/>
      <c r="G1044505" s="19"/>
      <c r="H1044505" s="19"/>
      <c r="I1044505" s="19"/>
      <c r="J1044505" s="19"/>
      <c r="K1044505" s="19"/>
      <c r="L1044505" s="19"/>
      <c r="M1044505" s="19"/>
      <c r="N1044505" s="19"/>
    </row>
    <row r="1044506" spans="1:14" s="83" customFormat="1" ht="12.75">
      <c r="A1044506" s="19"/>
      <c r="B1044506" s="19"/>
      <c r="C1044506" s="19"/>
      <c r="D1044506" s="19"/>
      <c r="E1044506" s="19"/>
      <c r="F1044506" s="19"/>
      <c r="G1044506" s="19"/>
      <c r="H1044506" s="19"/>
      <c r="I1044506" s="19"/>
      <c r="J1044506" s="19"/>
      <c r="K1044506" s="19"/>
      <c r="L1044506" s="19"/>
      <c r="M1044506" s="19"/>
      <c r="N1044506" s="19"/>
    </row>
    <row r="1044507" spans="1:14" s="83" customFormat="1" ht="12.75">
      <c r="A1044507" s="19"/>
      <c r="B1044507" s="19"/>
      <c r="C1044507" s="19"/>
      <c r="D1044507" s="19"/>
      <c r="E1044507" s="19"/>
      <c r="F1044507" s="19"/>
      <c r="G1044507" s="19"/>
      <c r="H1044507" s="19"/>
      <c r="I1044507" s="19"/>
      <c r="J1044507" s="19"/>
      <c r="K1044507" s="19"/>
      <c r="L1044507" s="19"/>
      <c r="M1044507" s="19"/>
      <c r="N1044507" s="19"/>
    </row>
    <row r="1044508" spans="1:14" s="83" customFormat="1" ht="12.75">
      <c r="A1044508" s="19"/>
      <c r="B1044508" s="19"/>
      <c r="C1044508" s="19"/>
      <c r="D1044508" s="19"/>
      <c r="E1044508" s="19"/>
      <c r="F1044508" s="19"/>
      <c r="G1044508" s="19"/>
      <c r="H1044508" s="19"/>
      <c r="I1044508" s="19"/>
      <c r="J1044508" s="19"/>
      <c r="K1044508" s="19"/>
      <c r="L1044508" s="19"/>
      <c r="M1044508" s="19"/>
      <c r="N1044508" s="19"/>
    </row>
    <row r="1044509" spans="1:14" s="83" customFormat="1" ht="12.75">
      <c r="A1044509" s="19"/>
      <c r="B1044509" s="19"/>
      <c r="C1044509" s="19"/>
      <c r="D1044509" s="19"/>
      <c r="E1044509" s="19"/>
      <c r="F1044509" s="19"/>
      <c r="G1044509" s="19"/>
      <c r="H1044509" s="19"/>
      <c r="I1044509" s="19"/>
      <c r="J1044509" s="19"/>
      <c r="K1044509" s="19"/>
      <c r="L1044509" s="19"/>
      <c r="M1044509" s="19"/>
      <c r="N1044509" s="19"/>
    </row>
    <row r="1044510" spans="1:14" s="83" customFormat="1" ht="12.75">
      <c r="A1044510" s="19"/>
      <c r="B1044510" s="19"/>
      <c r="C1044510" s="19"/>
      <c r="D1044510" s="19"/>
      <c r="E1044510" s="19"/>
      <c r="F1044510" s="19"/>
      <c r="G1044510" s="19"/>
      <c r="H1044510" s="19"/>
      <c r="I1044510" s="19"/>
      <c r="J1044510" s="19"/>
      <c r="K1044510" s="19"/>
      <c r="L1044510" s="19"/>
      <c r="M1044510" s="19"/>
      <c r="N1044510" s="19"/>
    </row>
    <row r="1044511" spans="1:14" s="83" customFormat="1" ht="12.75">
      <c r="A1044511" s="19"/>
      <c r="B1044511" s="19"/>
      <c r="C1044511" s="19"/>
      <c r="D1044511" s="19"/>
      <c r="E1044511" s="19"/>
      <c r="F1044511" s="19"/>
      <c r="G1044511" s="19"/>
      <c r="H1044511" s="19"/>
      <c r="I1044511" s="19"/>
      <c r="J1044511" s="19"/>
      <c r="K1044511" s="19"/>
      <c r="L1044511" s="19"/>
      <c r="M1044511" s="19"/>
      <c r="N1044511" s="19"/>
    </row>
    <row r="1044512" spans="1:14" s="83" customFormat="1" ht="12.75">
      <c r="A1044512" s="19"/>
      <c r="B1044512" s="19"/>
      <c r="C1044512" s="19"/>
      <c r="D1044512" s="19"/>
      <c r="E1044512" s="19"/>
      <c r="F1044512" s="19"/>
      <c r="G1044512" s="19"/>
      <c r="H1044512" s="19"/>
      <c r="I1044512" s="19"/>
      <c r="J1044512" s="19"/>
      <c r="K1044512" s="19"/>
      <c r="L1044512" s="19"/>
      <c r="M1044512" s="19"/>
      <c r="N1044512" s="19"/>
    </row>
    <row r="1044513" spans="1:14" s="83" customFormat="1" ht="12.75">
      <c r="A1044513" s="19"/>
      <c r="B1044513" s="19"/>
      <c r="C1044513" s="19"/>
      <c r="D1044513" s="19"/>
      <c r="E1044513" s="19"/>
      <c r="F1044513" s="19"/>
      <c r="G1044513" s="19"/>
      <c r="H1044513" s="19"/>
      <c r="I1044513" s="19"/>
      <c r="J1044513" s="19"/>
      <c r="K1044513" s="19"/>
      <c r="L1044513" s="19"/>
      <c r="M1044513" s="19"/>
      <c r="N1044513" s="19"/>
    </row>
    <row r="1044514" spans="1:14" s="83" customFormat="1" ht="12.75">
      <c r="A1044514" s="19"/>
      <c r="B1044514" s="19"/>
      <c r="C1044514" s="19"/>
      <c r="D1044514" s="19"/>
      <c r="E1044514" s="19"/>
      <c r="F1044514" s="19"/>
      <c r="G1044514" s="19"/>
      <c r="H1044514" s="19"/>
      <c r="I1044514" s="19"/>
      <c r="J1044514" s="19"/>
      <c r="K1044514" s="19"/>
      <c r="L1044514" s="19"/>
      <c r="M1044514" s="19"/>
      <c r="N1044514" s="19"/>
    </row>
    <row r="1044515" spans="1:14" s="83" customFormat="1" ht="12.75">
      <c r="A1044515" s="19"/>
      <c r="B1044515" s="19"/>
      <c r="C1044515" s="19"/>
      <c r="D1044515" s="19"/>
      <c r="E1044515" s="19"/>
      <c r="F1044515" s="19"/>
      <c r="G1044515" s="19"/>
      <c r="H1044515" s="19"/>
      <c r="I1044515" s="19"/>
      <c r="J1044515" s="19"/>
      <c r="K1044515" s="19"/>
      <c r="L1044515" s="19"/>
      <c r="M1044515" s="19"/>
      <c r="N1044515" s="19"/>
    </row>
    <row r="1044516" spans="1:14" s="83" customFormat="1" ht="12.75">
      <c r="A1044516" s="19"/>
      <c r="B1044516" s="19"/>
      <c r="C1044516" s="19"/>
      <c r="D1044516" s="19"/>
      <c r="E1044516" s="19"/>
      <c r="F1044516" s="19"/>
      <c r="G1044516" s="19"/>
      <c r="H1044516" s="19"/>
      <c r="I1044516" s="19"/>
      <c r="J1044516" s="19"/>
      <c r="K1044516" s="19"/>
      <c r="L1044516" s="19"/>
      <c r="M1044516" s="19"/>
      <c r="N1044516" s="19"/>
    </row>
    <row r="1044517" spans="1:14" s="83" customFormat="1" ht="12.75">
      <c r="A1044517" s="19"/>
      <c r="B1044517" s="19"/>
      <c r="C1044517" s="19"/>
      <c r="D1044517" s="19"/>
      <c r="E1044517" s="19"/>
      <c r="F1044517" s="19"/>
      <c r="G1044517" s="19"/>
      <c r="H1044517" s="19"/>
      <c r="I1044517" s="19"/>
      <c r="J1044517" s="19"/>
      <c r="K1044517" s="19"/>
      <c r="L1044517" s="19"/>
      <c r="M1044517" s="19"/>
      <c r="N1044517" s="19"/>
    </row>
    <row r="1044518" spans="1:14" s="83" customFormat="1" ht="12.75">
      <c r="A1044518" s="19"/>
      <c r="B1044518" s="19"/>
      <c r="C1044518" s="19"/>
      <c r="D1044518" s="19"/>
      <c r="E1044518" s="19"/>
      <c r="F1044518" s="19"/>
      <c r="G1044518" s="19"/>
      <c r="H1044518" s="19"/>
      <c r="I1044518" s="19"/>
      <c r="J1044518" s="19"/>
      <c r="K1044518" s="19"/>
      <c r="L1044518" s="19"/>
      <c r="M1044518" s="19"/>
      <c r="N1044518" s="19"/>
    </row>
    <row r="1044519" spans="1:14" s="83" customFormat="1" ht="12.75">
      <c r="A1044519" s="19"/>
      <c r="B1044519" s="19"/>
      <c r="C1044519" s="19"/>
      <c r="D1044519" s="19"/>
      <c r="E1044519" s="19"/>
      <c r="F1044519" s="19"/>
      <c r="G1044519" s="19"/>
      <c r="H1044519" s="19"/>
      <c r="I1044519" s="19"/>
      <c r="J1044519" s="19"/>
      <c r="K1044519" s="19"/>
      <c r="L1044519" s="19"/>
      <c r="M1044519" s="19"/>
      <c r="N1044519" s="19"/>
    </row>
    <row r="1044520" spans="1:14" s="83" customFormat="1" ht="12.75">
      <c r="A1044520" s="19"/>
      <c r="B1044520" s="19"/>
      <c r="C1044520" s="19"/>
      <c r="D1044520" s="19"/>
      <c r="E1044520" s="19"/>
      <c r="F1044520" s="19"/>
      <c r="G1044520" s="19"/>
      <c r="H1044520" s="19"/>
      <c r="I1044520" s="19"/>
      <c r="J1044520" s="19"/>
      <c r="K1044520" s="19"/>
      <c r="L1044520" s="19"/>
      <c r="M1044520" s="19"/>
      <c r="N1044520" s="19"/>
    </row>
    <row r="1044521" spans="1:14" s="83" customFormat="1" ht="12.75">
      <c r="A1044521" s="19"/>
      <c r="B1044521" s="19"/>
      <c r="C1044521" s="19"/>
      <c r="D1044521" s="19"/>
      <c r="E1044521" s="19"/>
      <c r="F1044521" s="19"/>
      <c r="G1044521" s="19"/>
      <c r="H1044521" s="19"/>
      <c r="I1044521" s="19"/>
      <c r="J1044521" s="19"/>
      <c r="K1044521" s="19"/>
      <c r="L1044521" s="19"/>
      <c r="M1044521" s="19"/>
      <c r="N1044521" s="19"/>
    </row>
    <row r="1044522" spans="1:14" s="83" customFormat="1" ht="12.75">
      <c r="A1044522" s="19"/>
      <c r="B1044522" s="19"/>
      <c r="C1044522" s="19"/>
      <c r="D1044522" s="19"/>
      <c r="E1044522" s="19"/>
      <c r="F1044522" s="19"/>
      <c r="G1044522" s="19"/>
      <c r="H1044522" s="19"/>
      <c r="I1044522" s="19"/>
      <c r="J1044522" s="19"/>
      <c r="K1044522" s="19"/>
      <c r="L1044522" s="19"/>
      <c r="M1044522" s="19"/>
      <c r="N1044522" s="19"/>
    </row>
    <row r="1044523" spans="1:14" s="83" customFormat="1" ht="12.75">
      <c r="A1044523" s="19"/>
      <c r="B1044523" s="19"/>
      <c r="C1044523" s="19"/>
      <c r="D1044523" s="19"/>
      <c r="E1044523" s="19"/>
      <c r="F1044523" s="19"/>
      <c r="G1044523" s="19"/>
      <c r="H1044523" s="19"/>
      <c r="I1044523" s="19"/>
      <c r="J1044523" s="19"/>
      <c r="K1044523" s="19"/>
      <c r="L1044523" s="19"/>
      <c r="M1044523" s="19"/>
      <c r="N1044523" s="19"/>
    </row>
    <row r="1044524" spans="1:14" s="83" customFormat="1" ht="12.75">
      <c r="A1044524" s="19"/>
      <c r="B1044524" s="19"/>
      <c r="C1044524" s="19"/>
      <c r="D1044524" s="19"/>
      <c r="E1044524" s="19"/>
      <c r="F1044524" s="19"/>
      <c r="G1044524" s="19"/>
      <c r="H1044524" s="19"/>
      <c r="I1044524" s="19"/>
      <c r="J1044524" s="19"/>
      <c r="K1044524" s="19"/>
      <c r="L1044524" s="19"/>
      <c r="M1044524" s="19"/>
      <c r="N1044524" s="19"/>
    </row>
    <row r="1044525" spans="1:14" s="83" customFormat="1" ht="12.75">
      <c r="A1044525" s="19"/>
      <c r="B1044525" s="19"/>
      <c r="C1044525" s="19"/>
      <c r="D1044525" s="19"/>
      <c r="E1044525" s="19"/>
      <c r="F1044525" s="19"/>
      <c r="G1044525" s="19"/>
      <c r="H1044525" s="19"/>
      <c r="I1044525" s="19"/>
      <c r="J1044525" s="19"/>
      <c r="K1044525" s="19"/>
      <c r="L1044525" s="19"/>
      <c r="M1044525" s="19"/>
      <c r="N1044525" s="19"/>
    </row>
    <row r="1044526" spans="1:14" s="83" customFormat="1" ht="12.75">
      <c r="A1044526" s="19"/>
      <c r="B1044526" s="19"/>
      <c r="C1044526" s="19"/>
      <c r="D1044526" s="19"/>
      <c r="E1044526" s="19"/>
      <c r="F1044526" s="19"/>
      <c r="G1044526" s="19"/>
      <c r="H1044526" s="19"/>
      <c r="I1044526" s="19"/>
      <c r="J1044526" s="19"/>
      <c r="K1044526" s="19"/>
      <c r="L1044526" s="19"/>
      <c r="M1044526" s="19"/>
      <c r="N1044526" s="19"/>
    </row>
    <row r="1044527" spans="1:14" s="83" customFormat="1" ht="12.75">
      <c r="A1044527" s="19"/>
      <c r="B1044527" s="19"/>
      <c r="C1044527" s="19"/>
      <c r="D1044527" s="19"/>
      <c r="E1044527" s="19"/>
      <c r="F1044527" s="19"/>
      <c r="G1044527" s="19"/>
      <c r="H1044527" s="19"/>
      <c r="I1044527" s="19"/>
      <c r="J1044527" s="19"/>
      <c r="K1044527" s="19"/>
      <c r="L1044527" s="19"/>
      <c r="M1044527" s="19"/>
      <c r="N1044527" s="19"/>
    </row>
    <row r="1044528" spans="1:14" s="83" customFormat="1" ht="12.75">
      <c r="A1044528" s="19"/>
      <c r="B1044528" s="19"/>
      <c r="C1044528" s="19"/>
      <c r="D1044528" s="19"/>
      <c r="E1044528" s="19"/>
      <c r="F1044528" s="19"/>
      <c r="G1044528" s="19"/>
      <c r="H1044528" s="19"/>
      <c r="I1044528" s="19"/>
      <c r="J1044528" s="19"/>
      <c r="K1044528" s="19"/>
      <c r="L1044528" s="19"/>
      <c r="M1044528" s="19"/>
      <c r="N1044528" s="19"/>
    </row>
    <row r="1044529" spans="1:14" s="83" customFormat="1" ht="12.75">
      <c r="A1044529" s="19"/>
      <c r="B1044529" s="19"/>
      <c r="C1044529" s="19"/>
      <c r="D1044529" s="19"/>
      <c r="E1044529" s="19"/>
      <c r="F1044529" s="19"/>
      <c r="G1044529" s="19"/>
      <c r="H1044529" s="19"/>
      <c r="I1044529" s="19"/>
      <c r="J1044529" s="19"/>
      <c r="K1044529" s="19"/>
      <c r="L1044529" s="19"/>
      <c r="M1044529" s="19"/>
      <c r="N1044529" s="19"/>
    </row>
    <row r="1044530" spans="1:14" s="83" customFormat="1" ht="12.75">
      <c r="A1044530" s="19"/>
      <c r="B1044530" s="19"/>
      <c r="C1044530" s="19"/>
      <c r="D1044530" s="19"/>
      <c r="E1044530" s="19"/>
      <c r="F1044530" s="19"/>
      <c r="G1044530" s="19"/>
      <c r="H1044530" s="19"/>
      <c r="I1044530" s="19"/>
      <c r="J1044530" s="19"/>
      <c r="K1044530" s="19"/>
      <c r="L1044530" s="19"/>
      <c r="M1044530" s="19"/>
      <c r="N1044530" s="19"/>
    </row>
    <row r="1044531" spans="1:14" s="83" customFormat="1" ht="12.75">
      <c r="A1044531" s="19"/>
      <c r="B1044531" s="19"/>
      <c r="C1044531" s="19"/>
      <c r="D1044531" s="19"/>
      <c r="E1044531" s="19"/>
      <c r="F1044531" s="19"/>
      <c r="G1044531" s="19"/>
      <c r="H1044531" s="19"/>
      <c r="I1044531" s="19"/>
      <c r="J1044531" s="19"/>
      <c r="K1044531" s="19"/>
      <c r="L1044531" s="19"/>
      <c r="M1044531" s="19"/>
      <c r="N1044531" s="19"/>
    </row>
    <row r="1044532" spans="1:14" s="83" customFormat="1" ht="12.75">
      <c r="A1044532" s="19"/>
      <c r="B1044532" s="19"/>
      <c r="C1044532" s="19"/>
      <c r="D1044532" s="19"/>
      <c r="E1044532" s="19"/>
      <c r="F1044532" s="19"/>
      <c r="G1044532" s="19"/>
      <c r="H1044532" s="19"/>
      <c r="I1044532" s="19"/>
      <c r="J1044532" s="19"/>
      <c r="K1044532" s="19"/>
      <c r="L1044532" s="19"/>
      <c r="M1044532" s="19"/>
      <c r="N1044532" s="19"/>
    </row>
    <row r="1044533" spans="1:14" s="83" customFormat="1" ht="12.75">
      <c r="A1044533" s="19"/>
      <c r="B1044533" s="19"/>
      <c r="C1044533" s="19"/>
      <c r="D1044533" s="19"/>
      <c r="E1044533" s="19"/>
      <c r="F1044533" s="19"/>
      <c r="G1044533" s="19"/>
      <c r="H1044533" s="19"/>
      <c r="I1044533" s="19"/>
      <c r="J1044533" s="19"/>
      <c r="K1044533" s="19"/>
      <c r="L1044533" s="19"/>
      <c r="M1044533" s="19"/>
      <c r="N1044533" s="19"/>
    </row>
    <row r="1044534" spans="1:14" s="83" customFormat="1" ht="12.75">
      <c r="A1044534" s="19"/>
      <c r="B1044534" s="19"/>
      <c r="C1044534" s="19"/>
      <c r="D1044534" s="19"/>
      <c r="E1044534" s="19"/>
      <c r="F1044534" s="19"/>
      <c r="G1044534" s="19"/>
      <c r="H1044534" s="19"/>
      <c r="I1044534" s="19"/>
      <c r="J1044534" s="19"/>
      <c r="K1044534" s="19"/>
      <c r="L1044534" s="19"/>
      <c r="M1044534" s="19"/>
      <c r="N1044534" s="19"/>
    </row>
    <row r="1044535" spans="1:14" s="83" customFormat="1" ht="12.75">
      <c r="A1044535" s="19"/>
      <c r="B1044535" s="19"/>
      <c r="C1044535" s="19"/>
      <c r="D1044535" s="19"/>
      <c r="E1044535" s="19"/>
      <c r="F1044535" s="19"/>
      <c r="G1044535" s="19"/>
      <c r="H1044535" s="19"/>
      <c r="I1044535" s="19"/>
      <c r="J1044535" s="19"/>
      <c r="K1044535" s="19"/>
      <c r="L1044535" s="19"/>
      <c r="M1044535" s="19"/>
      <c r="N1044535" s="19"/>
    </row>
    <row r="1044536" spans="1:14" s="83" customFormat="1" ht="12.75">
      <c r="A1044536" s="19"/>
      <c r="B1044536" s="19"/>
      <c r="C1044536" s="19"/>
      <c r="D1044536" s="19"/>
      <c r="E1044536" s="19"/>
      <c r="F1044536" s="19"/>
      <c r="G1044536" s="19"/>
      <c r="H1044536" s="19"/>
      <c r="I1044536" s="19"/>
      <c r="J1044536" s="19"/>
      <c r="K1044536" s="19"/>
      <c r="L1044536" s="19"/>
      <c r="M1044536" s="19"/>
      <c r="N1044536" s="19"/>
    </row>
    <row r="1044537" spans="1:14" s="83" customFormat="1" ht="12.75">
      <c r="A1044537" s="19"/>
      <c r="B1044537" s="19"/>
      <c r="C1044537" s="19"/>
      <c r="D1044537" s="19"/>
      <c r="E1044537" s="19"/>
      <c r="F1044537" s="19"/>
      <c r="G1044537" s="19"/>
      <c r="H1044537" s="19"/>
      <c r="I1044537" s="19"/>
      <c r="J1044537" s="19"/>
      <c r="K1044537" s="19"/>
      <c r="L1044537" s="19"/>
      <c r="M1044537" s="19"/>
      <c r="N1044537" s="19"/>
    </row>
    <row r="1044538" spans="1:14" s="83" customFormat="1" ht="12.75">
      <c r="A1044538" s="19"/>
      <c r="B1044538" s="19"/>
      <c r="C1044538" s="19"/>
      <c r="D1044538" s="19"/>
      <c r="E1044538" s="19"/>
      <c r="F1044538" s="19"/>
      <c r="G1044538" s="19"/>
      <c r="H1044538" s="19"/>
      <c r="I1044538" s="19"/>
      <c r="J1044538" s="19"/>
      <c r="K1044538" s="19"/>
      <c r="L1044538" s="19"/>
      <c r="M1044538" s="19"/>
      <c r="N1044538" s="19"/>
    </row>
    <row r="1044539" spans="1:14" s="83" customFormat="1" ht="12.75">
      <c r="A1044539" s="19"/>
      <c r="B1044539" s="19"/>
      <c r="C1044539" s="19"/>
      <c r="D1044539" s="19"/>
      <c r="E1044539" s="19"/>
      <c r="F1044539" s="19"/>
      <c r="G1044539" s="19"/>
      <c r="H1044539" s="19"/>
      <c r="I1044539" s="19"/>
      <c r="J1044539" s="19"/>
      <c r="K1044539" s="19"/>
      <c r="L1044539" s="19"/>
      <c r="M1044539" s="19"/>
      <c r="N1044539" s="19"/>
    </row>
    <row r="1044540" spans="1:14" s="83" customFormat="1" ht="12.75">
      <c r="A1044540" s="19"/>
      <c r="B1044540" s="19"/>
      <c r="C1044540" s="19"/>
      <c r="D1044540" s="19"/>
      <c r="E1044540" s="19"/>
      <c r="F1044540" s="19"/>
      <c r="G1044540" s="19"/>
      <c r="H1044540" s="19"/>
      <c r="I1044540" s="19"/>
      <c r="J1044540" s="19"/>
      <c r="K1044540" s="19"/>
      <c r="L1044540" s="19"/>
      <c r="M1044540" s="19"/>
      <c r="N1044540" s="19"/>
    </row>
    <row r="1044541" spans="1:14" s="83" customFormat="1" ht="12.75">
      <c r="A1044541" s="19"/>
      <c r="B1044541" s="19"/>
      <c r="C1044541" s="19"/>
      <c r="D1044541" s="19"/>
      <c r="E1044541" s="19"/>
      <c r="F1044541" s="19"/>
      <c r="G1044541" s="19"/>
      <c r="H1044541" s="19"/>
      <c r="I1044541" s="19"/>
      <c r="J1044541" s="19"/>
      <c r="K1044541" s="19"/>
      <c r="L1044541" s="19"/>
      <c r="M1044541" s="19"/>
      <c r="N1044541" s="19"/>
    </row>
    <row r="1044542" spans="1:14" s="83" customFormat="1" ht="12.75">
      <c r="A1044542" s="19"/>
      <c r="B1044542" s="19"/>
      <c r="C1044542" s="19"/>
      <c r="D1044542" s="19"/>
      <c r="E1044542" s="19"/>
      <c r="F1044542" s="19"/>
      <c r="G1044542" s="19"/>
      <c r="H1044542" s="19"/>
      <c r="I1044542" s="19"/>
      <c r="J1044542" s="19"/>
      <c r="K1044542" s="19"/>
      <c r="L1044542" s="19"/>
      <c r="M1044542" s="19"/>
      <c r="N1044542" s="19"/>
    </row>
    <row r="1044543" spans="1:14" s="83" customFormat="1" ht="12.75">
      <c r="A1044543" s="19"/>
      <c r="B1044543" s="19"/>
      <c r="C1044543" s="19"/>
      <c r="D1044543" s="19"/>
      <c r="E1044543" s="19"/>
      <c r="F1044543" s="19"/>
      <c r="G1044543" s="19"/>
      <c r="H1044543" s="19"/>
      <c r="I1044543" s="19"/>
      <c r="J1044543" s="19"/>
      <c r="K1044543" s="19"/>
      <c r="L1044543" s="19"/>
      <c r="M1044543" s="19"/>
      <c r="N1044543" s="19"/>
    </row>
    <row r="1044544" spans="1:14" s="83" customFormat="1" ht="12.75">
      <c r="A1044544" s="19"/>
      <c r="B1044544" s="19"/>
      <c r="C1044544" s="19"/>
      <c r="D1044544" s="19"/>
      <c r="E1044544" s="19"/>
      <c r="F1044544" s="19"/>
      <c r="G1044544" s="19"/>
      <c r="H1044544" s="19"/>
      <c r="I1044544" s="19"/>
      <c r="J1044544" s="19"/>
      <c r="K1044544" s="19"/>
      <c r="L1044544" s="19"/>
      <c r="M1044544" s="19"/>
      <c r="N1044544" s="19"/>
    </row>
    <row r="1044545" spans="1:14" s="83" customFormat="1" ht="12.75">
      <c r="A1044545" s="19"/>
      <c r="B1044545" s="19"/>
      <c r="C1044545" s="19"/>
      <c r="D1044545" s="19"/>
      <c r="E1044545" s="19"/>
      <c r="F1044545" s="19"/>
      <c r="G1044545" s="19"/>
      <c r="H1044545" s="19"/>
      <c r="I1044545" s="19"/>
      <c r="J1044545" s="19"/>
      <c r="K1044545" s="19"/>
      <c r="L1044545" s="19"/>
      <c r="M1044545" s="19"/>
      <c r="N1044545" s="19"/>
    </row>
    <row r="1044546" spans="1:14" s="83" customFormat="1" ht="12.75">
      <c r="A1044546" s="19"/>
      <c r="B1044546" s="19"/>
      <c r="C1044546" s="19"/>
      <c r="D1044546" s="19"/>
      <c r="E1044546" s="19"/>
      <c r="F1044546" s="19"/>
      <c r="G1044546" s="19"/>
      <c r="H1044546" s="19"/>
      <c r="I1044546" s="19"/>
      <c r="J1044546" s="19"/>
      <c r="K1044546" s="19"/>
      <c r="L1044546" s="19"/>
      <c r="M1044546" s="19"/>
      <c r="N1044546" s="19"/>
    </row>
    <row r="1044547" spans="1:14" s="83" customFormat="1" ht="12.75">
      <c r="A1044547" s="19"/>
      <c r="B1044547" s="19"/>
      <c r="C1044547" s="19"/>
      <c r="D1044547" s="19"/>
      <c r="E1044547" s="19"/>
      <c r="F1044547" s="19"/>
      <c r="G1044547" s="19"/>
      <c r="H1044547" s="19"/>
      <c r="I1044547" s="19"/>
      <c r="J1044547" s="19"/>
      <c r="K1044547" s="19"/>
      <c r="L1044547" s="19"/>
      <c r="M1044547" s="19"/>
      <c r="N1044547" s="19"/>
    </row>
    <row r="1044548" spans="1:14" s="83" customFormat="1" ht="12.75">
      <c r="A1044548" s="19"/>
      <c r="B1044548" s="19"/>
      <c r="C1044548" s="19"/>
      <c r="D1044548" s="19"/>
      <c r="E1044548" s="19"/>
      <c r="F1044548" s="19"/>
      <c r="G1044548" s="19"/>
      <c r="H1044548" s="19"/>
      <c r="I1044548" s="19"/>
      <c r="J1044548" s="19"/>
      <c r="K1044548" s="19"/>
      <c r="L1044548" s="19"/>
      <c r="M1044548" s="19"/>
      <c r="N1044548" s="19"/>
    </row>
    <row r="1044549" spans="1:14" s="83" customFormat="1" ht="12.75">
      <c r="A1044549" s="19"/>
      <c r="B1044549" s="19"/>
      <c r="C1044549" s="19"/>
      <c r="D1044549" s="19"/>
      <c r="E1044549" s="19"/>
      <c r="F1044549" s="19"/>
      <c r="G1044549" s="19"/>
      <c r="H1044549" s="19"/>
      <c r="I1044549" s="19"/>
      <c r="J1044549" s="19"/>
      <c r="K1044549" s="19"/>
      <c r="L1044549" s="19"/>
      <c r="M1044549" s="19"/>
      <c r="N1044549" s="19"/>
    </row>
    <row r="1044550" spans="1:14" s="83" customFormat="1" ht="12.75">
      <c r="A1044550" s="19"/>
      <c r="B1044550" s="19"/>
      <c r="C1044550" s="19"/>
      <c r="D1044550" s="19"/>
      <c r="E1044550" s="19"/>
      <c r="F1044550" s="19"/>
      <c r="G1044550" s="19"/>
      <c r="H1044550" s="19"/>
      <c r="I1044550" s="19"/>
      <c r="J1044550" s="19"/>
      <c r="K1044550" s="19"/>
      <c r="L1044550" s="19"/>
      <c r="M1044550" s="19"/>
      <c r="N1044550" s="19"/>
    </row>
    <row r="1044551" spans="1:14" s="83" customFormat="1" ht="12.75">
      <c r="A1044551" s="19"/>
      <c r="B1044551" s="19"/>
      <c r="C1044551" s="19"/>
      <c r="D1044551" s="19"/>
      <c r="E1044551" s="19"/>
      <c r="F1044551" s="19"/>
      <c r="G1044551" s="19"/>
      <c r="H1044551" s="19"/>
      <c r="I1044551" s="19"/>
      <c r="J1044551" s="19"/>
      <c r="K1044551" s="19"/>
      <c r="L1044551" s="19"/>
      <c r="M1044551" s="19"/>
      <c r="N1044551" s="19"/>
    </row>
    <row r="1044552" spans="1:14" s="83" customFormat="1" ht="12.75">
      <c r="A1044552" s="19"/>
      <c r="B1044552" s="19"/>
      <c r="C1044552" s="19"/>
      <c r="D1044552" s="19"/>
      <c r="E1044552" s="19"/>
      <c r="F1044552" s="19"/>
      <c r="G1044552" s="19"/>
      <c r="H1044552" s="19"/>
      <c r="I1044552" s="19"/>
      <c r="J1044552" s="19"/>
      <c r="K1044552" s="19"/>
      <c r="L1044552" s="19"/>
      <c r="M1044552" s="19"/>
      <c r="N1044552" s="19"/>
    </row>
    <row r="1044553" spans="1:14" s="83" customFormat="1" ht="12.75">
      <c r="A1044553" s="19"/>
      <c r="B1044553" s="19"/>
      <c r="C1044553" s="19"/>
      <c r="D1044553" s="19"/>
      <c r="E1044553" s="19"/>
      <c r="F1044553" s="19"/>
      <c r="G1044553" s="19"/>
      <c r="H1044553" s="19"/>
      <c r="I1044553" s="19"/>
      <c r="J1044553" s="19"/>
      <c r="K1044553" s="19"/>
      <c r="L1044553" s="19"/>
      <c r="M1044553" s="19"/>
      <c r="N1044553" s="19"/>
    </row>
    <row r="1044554" spans="1:14" s="83" customFormat="1" ht="12.75">
      <c r="A1044554" s="19"/>
      <c r="B1044554" s="19"/>
      <c r="C1044554" s="19"/>
      <c r="D1044554" s="19"/>
      <c r="E1044554" s="19"/>
      <c r="F1044554" s="19"/>
      <c r="G1044554" s="19"/>
      <c r="H1044554" s="19"/>
      <c r="I1044554" s="19"/>
      <c r="J1044554" s="19"/>
      <c r="K1044554" s="19"/>
      <c r="L1044554" s="19"/>
      <c r="M1044554" s="19"/>
      <c r="N1044554" s="19"/>
    </row>
    <row r="1044555" spans="1:14" s="83" customFormat="1" ht="12.75">
      <c r="A1044555" s="19"/>
      <c r="B1044555" s="19"/>
      <c r="C1044555" s="19"/>
      <c r="D1044555" s="19"/>
      <c r="E1044555" s="19"/>
      <c r="F1044555" s="19"/>
      <c r="G1044555" s="19"/>
      <c r="H1044555" s="19"/>
      <c r="I1044555" s="19"/>
      <c r="J1044555" s="19"/>
      <c r="K1044555" s="19"/>
      <c r="L1044555" s="19"/>
      <c r="M1044555" s="19"/>
      <c r="N1044555" s="19"/>
    </row>
    <row r="1044556" spans="1:14" s="83" customFormat="1" ht="12.75">
      <c r="A1044556" s="19"/>
      <c r="B1044556" s="19"/>
      <c r="C1044556" s="19"/>
      <c r="D1044556" s="19"/>
      <c r="E1044556" s="19"/>
      <c r="F1044556" s="19"/>
      <c r="G1044556" s="19"/>
      <c r="H1044556" s="19"/>
      <c r="I1044556" s="19"/>
      <c r="J1044556" s="19"/>
      <c r="K1044556" s="19"/>
      <c r="L1044556" s="19"/>
      <c r="M1044556" s="19"/>
      <c r="N1044556" s="19"/>
    </row>
    <row r="1044557" spans="1:14" s="83" customFormat="1" ht="12.75">
      <c r="A1044557" s="19"/>
      <c r="B1044557" s="19"/>
      <c r="C1044557" s="19"/>
      <c r="D1044557" s="19"/>
      <c r="E1044557" s="19"/>
      <c r="F1044557" s="19"/>
      <c r="G1044557" s="19"/>
      <c r="H1044557" s="19"/>
      <c r="I1044557" s="19"/>
      <c r="J1044557" s="19"/>
      <c r="K1044557" s="19"/>
      <c r="L1044557" s="19"/>
      <c r="M1044557" s="19"/>
      <c r="N1044557" s="19"/>
    </row>
    <row r="1044558" spans="1:14" s="83" customFormat="1" ht="12.75">
      <c r="A1044558" s="19"/>
      <c r="B1044558" s="19"/>
      <c r="C1044558" s="19"/>
      <c r="D1044558" s="19"/>
      <c r="E1044558" s="19"/>
      <c r="F1044558" s="19"/>
      <c r="G1044558" s="19"/>
      <c r="H1044558" s="19"/>
      <c r="I1044558" s="19"/>
      <c r="J1044558" s="19"/>
      <c r="K1044558" s="19"/>
      <c r="L1044558" s="19"/>
      <c r="M1044558" s="19"/>
      <c r="N1044558" s="19"/>
    </row>
    <row r="1044559" spans="1:14" s="83" customFormat="1" ht="12.75">
      <c r="A1044559" s="19"/>
      <c r="B1044559" s="19"/>
      <c r="C1044559" s="19"/>
      <c r="D1044559" s="19"/>
      <c r="E1044559" s="19"/>
      <c r="F1044559" s="19"/>
      <c r="G1044559" s="19"/>
      <c r="H1044559" s="19"/>
      <c r="I1044559" s="19"/>
      <c r="J1044559" s="19"/>
      <c r="K1044559" s="19"/>
      <c r="L1044559" s="19"/>
      <c r="M1044559" s="19"/>
      <c r="N1044559" s="19"/>
    </row>
    <row r="1044560" spans="1:14" s="83" customFormat="1" ht="12.75">
      <c r="A1044560" s="19"/>
      <c r="B1044560" s="19"/>
      <c r="C1044560" s="19"/>
      <c r="D1044560" s="19"/>
      <c r="E1044560" s="19"/>
      <c r="F1044560" s="19"/>
      <c r="G1044560" s="19"/>
      <c r="H1044560" s="19"/>
      <c r="I1044560" s="19"/>
      <c r="J1044560" s="19"/>
      <c r="K1044560" s="19"/>
      <c r="L1044560" s="19"/>
      <c r="M1044560" s="19"/>
      <c r="N1044560" s="19"/>
    </row>
    <row r="1044561" spans="1:14" s="83" customFormat="1" ht="12.75">
      <c r="A1044561" s="19"/>
      <c r="B1044561" s="19"/>
      <c r="C1044561" s="19"/>
      <c r="D1044561" s="19"/>
      <c r="E1044561" s="19"/>
      <c r="F1044561" s="19"/>
      <c r="G1044561" s="19"/>
      <c r="H1044561" s="19"/>
      <c r="I1044561" s="19"/>
      <c r="J1044561" s="19"/>
      <c r="K1044561" s="19"/>
      <c r="L1044561" s="19"/>
      <c r="M1044561" s="19"/>
      <c r="N1044561" s="19"/>
    </row>
    <row r="1044562" spans="1:14" s="83" customFormat="1" ht="12.75">
      <c r="A1044562" s="19"/>
      <c r="B1044562" s="19"/>
      <c r="C1044562" s="19"/>
      <c r="D1044562" s="19"/>
      <c r="E1044562" s="19"/>
      <c r="F1044562" s="19"/>
      <c r="G1044562" s="19"/>
      <c r="H1044562" s="19"/>
      <c r="I1044562" s="19"/>
      <c r="J1044562" s="19"/>
      <c r="K1044562" s="19"/>
      <c r="L1044562" s="19"/>
      <c r="M1044562" s="19"/>
      <c r="N1044562" s="19"/>
    </row>
    <row r="1044563" spans="1:14" s="83" customFormat="1" ht="12.75">
      <c r="A1044563" s="19"/>
      <c r="B1044563" s="19"/>
      <c r="C1044563" s="19"/>
      <c r="D1044563" s="19"/>
      <c r="E1044563" s="19"/>
      <c r="F1044563" s="19"/>
      <c r="G1044563" s="19"/>
      <c r="H1044563" s="19"/>
      <c r="I1044563" s="19"/>
      <c r="J1044563" s="19"/>
      <c r="K1044563" s="19"/>
      <c r="L1044563" s="19"/>
      <c r="M1044563" s="19"/>
      <c r="N1044563" s="19"/>
    </row>
    <row r="1044564" spans="1:14" s="83" customFormat="1" ht="12.75">
      <c r="A1044564" s="19"/>
      <c r="B1044564" s="19"/>
      <c r="C1044564" s="19"/>
      <c r="D1044564" s="19"/>
      <c r="E1044564" s="19"/>
      <c r="F1044564" s="19"/>
      <c r="G1044564" s="19"/>
      <c r="H1044564" s="19"/>
      <c r="I1044564" s="19"/>
      <c r="J1044564" s="19"/>
      <c r="K1044564" s="19"/>
      <c r="L1044564" s="19"/>
      <c r="M1044564" s="19"/>
      <c r="N1044564" s="19"/>
    </row>
    <row r="1044565" spans="1:14" s="83" customFormat="1" ht="12.75">
      <c r="A1044565" s="19"/>
      <c r="B1044565" s="19"/>
      <c r="C1044565" s="19"/>
      <c r="D1044565" s="19"/>
      <c r="E1044565" s="19"/>
      <c r="F1044565" s="19"/>
      <c r="G1044565" s="19"/>
      <c r="H1044565" s="19"/>
      <c r="I1044565" s="19"/>
      <c r="J1044565" s="19"/>
      <c r="K1044565" s="19"/>
      <c r="L1044565" s="19"/>
      <c r="M1044565" s="19"/>
      <c r="N1044565" s="19"/>
    </row>
    <row r="1044566" spans="1:14" s="83" customFormat="1" ht="12.75">
      <c r="A1044566" s="19"/>
      <c r="B1044566" s="19"/>
      <c r="C1044566" s="19"/>
      <c r="D1044566" s="19"/>
      <c r="E1044566" s="19"/>
      <c r="F1044566" s="19"/>
      <c r="G1044566" s="19"/>
      <c r="H1044566" s="19"/>
      <c r="I1044566" s="19"/>
      <c r="J1044566" s="19"/>
      <c r="K1044566" s="19"/>
      <c r="L1044566" s="19"/>
      <c r="M1044566" s="19"/>
      <c r="N1044566" s="19"/>
    </row>
    <row r="1044567" spans="1:14" s="83" customFormat="1" ht="12.75">
      <c r="A1044567" s="19"/>
      <c r="B1044567" s="19"/>
      <c r="C1044567" s="19"/>
      <c r="D1044567" s="19"/>
      <c r="E1044567" s="19"/>
      <c r="F1044567" s="19"/>
      <c r="G1044567" s="19"/>
      <c r="H1044567" s="19"/>
      <c r="I1044567" s="19"/>
      <c r="J1044567" s="19"/>
      <c r="K1044567" s="19"/>
      <c r="L1044567" s="19"/>
      <c r="M1044567" s="19"/>
      <c r="N1044567" s="19"/>
    </row>
    <row r="1044568" spans="1:14" s="83" customFormat="1" ht="12.75">
      <c r="A1044568" s="19"/>
      <c r="B1044568" s="19"/>
      <c r="C1044568" s="19"/>
      <c r="D1044568" s="19"/>
      <c r="E1044568" s="19"/>
      <c r="F1044568" s="19"/>
      <c r="G1044568" s="19"/>
      <c r="H1044568" s="19"/>
      <c r="I1044568" s="19"/>
      <c r="J1044568" s="19"/>
      <c r="K1044568" s="19"/>
      <c r="L1044568" s="19"/>
      <c r="M1044568" s="19"/>
      <c r="N1044568" s="19"/>
    </row>
    <row r="1044569" spans="1:14" s="83" customFormat="1" ht="12.75">
      <c r="A1044569" s="19"/>
      <c r="B1044569" s="19"/>
      <c r="C1044569" s="19"/>
      <c r="D1044569" s="19"/>
      <c r="E1044569" s="19"/>
      <c r="F1044569" s="19"/>
      <c r="G1044569" s="19"/>
      <c r="H1044569" s="19"/>
      <c r="I1044569" s="19"/>
      <c r="J1044569" s="19"/>
      <c r="K1044569" s="19"/>
      <c r="L1044569" s="19"/>
      <c r="M1044569" s="19"/>
      <c r="N1044569" s="19"/>
    </row>
    <row r="1044570" spans="1:14" s="83" customFormat="1" ht="12.75">
      <c r="A1044570" s="19"/>
      <c r="B1044570" s="19"/>
      <c r="C1044570" s="19"/>
      <c r="D1044570" s="19"/>
      <c r="E1044570" s="19"/>
      <c r="F1044570" s="19"/>
      <c r="G1044570" s="19"/>
      <c r="H1044570" s="19"/>
      <c r="I1044570" s="19"/>
      <c r="J1044570" s="19"/>
      <c r="K1044570" s="19"/>
      <c r="L1044570" s="19"/>
      <c r="M1044570" s="19"/>
      <c r="N1044570" s="19"/>
    </row>
    <row r="1044571" spans="1:14" s="83" customFormat="1" ht="12.75">
      <c r="A1044571" s="19"/>
      <c r="B1044571" s="19"/>
      <c r="C1044571" s="19"/>
      <c r="D1044571" s="19"/>
      <c r="E1044571" s="19"/>
      <c r="F1044571" s="19"/>
      <c r="G1044571" s="19"/>
      <c r="H1044571" s="19"/>
      <c r="I1044571" s="19"/>
      <c r="J1044571" s="19"/>
      <c r="K1044571" s="19"/>
      <c r="L1044571" s="19"/>
      <c r="M1044571" s="19"/>
      <c r="N1044571" s="19"/>
    </row>
    <row r="1044572" spans="1:14" s="83" customFormat="1" ht="12.75">
      <c r="A1044572" s="19"/>
      <c r="B1044572" s="19"/>
      <c r="C1044572" s="19"/>
      <c r="D1044572" s="19"/>
      <c r="E1044572" s="19"/>
      <c r="F1044572" s="19"/>
      <c r="G1044572" s="19"/>
      <c r="H1044572" s="19"/>
      <c r="I1044572" s="19"/>
      <c r="J1044572" s="19"/>
      <c r="K1044572" s="19"/>
      <c r="L1044572" s="19"/>
      <c r="M1044572" s="19"/>
      <c r="N1044572" s="19"/>
    </row>
    <row r="1044573" spans="1:14" s="83" customFormat="1" ht="12.75">
      <c r="A1044573" s="19"/>
      <c r="B1044573" s="19"/>
      <c r="C1044573" s="19"/>
      <c r="D1044573" s="19"/>
      <c r="E1044573" s="19"/>
      <c r="F1044573" s="19"/>
      <c r="G1044573" s="19"/>
      <c r="H1044573" s="19"/>
      <c r="I1044573" s="19"/>
      <c r="J1044573" s="19"/>
      <c r="K1044573" s="19"/>
      <c r="L1044573" s="19"/>
      <c r="M1044573" s="19"/>
      <c r="N1044573" s="19"/>
    </row>
    <row r="1044574" spans="1:14" s="83" customFormat="1" ht="12.75">
      <c r="A1044574" s="19"/>
      <c r="B1044574" s="19"/>
      <c r="C1044574" s="19"/>
      <c r="D1044574" s="19"/>
      <c r="E1044574" s="19"/>
      <c r="F1044574" s="19"/>
      <c r="G1044574" s="19"/>
      <c r="H1044574" s="19"/>
      <c r="I1044574" s="19"/>
      <c r="J1044574" s="19"/>
      <c r="K1044574" s="19"/>
      <c r="L1044574" s="19"/>
      <c r="M1044574" s="19"/>
      <c r="N1044574" s="19"/>
    </row>
    <row r="1044575" spans="1:14" s="83" customFormat="1" ht="12.75">
      <c r="A1044575" s="19"/>
      <c r="B1044575" s="19"/>
      <c r="C1044575" s="19"/>
      <c r="D1044575" s="19"/>
      <c r="E1044575" s="19"/>
      <c r="F1044575" s="19"/>
      <c r="G1044575" s="19"/>
      <c r="H1044575" s="19"/>
      <c r="I1044575" s="19"/>
      <c r="J1044575" s="19"/>
      <c r="K1044575" s="19"/>
      <c r="L1044575" s="19"/>
      <c r="M1044575" s="19"/>
      <c r="N1044575" s="19"/>
    </row>
    <row r="1044576" spans="1:14" s="83" customFormat="1" ht="12.75">
      <c r="A1044576" s="19"/>
      <c r="B1044576" s="19"/>
      <c r="C1044576" s="19"/>
      <c r="D1044576" s="19"/>
      <c r="E1044576" s="19"/>
      <c r="F1044576" s="19"/>
      <c r="G1044576" s="19"/>
      <c r="H1044576" s="19"/>
      <c r="I1044576" s="19"/>
      <c r="J1044576" s="19"/>
      <c r="K1044576" s="19"/>
      <c r="L1044576" s="19"/>
      <c r="M1044576" s="19"/>
      <c r="N1044576" s="19"/>
    </row>
    <row r="1044577" spans="1:14" s="83" customFormat="1" ht="12.75">
      <c r="A1044577" s="19"/>
      <c r="B1044577" s="19"/>
      <c r="C1044577" s="19"/>
      <c r="D1044577" s="19"/>
      <c r="E1044577" s="19"/>
      <c r="F1044577" s="19"/>
      <c r="G1044577" s="19"/>
      <c r="H1044577" s="19"/>
      <c r="I1044577" s="19"/>
      <c r="J1044577" s="19"/>
      <c r="K1044577" s="19"/>
      <c r="L1044577" s="19"/>
      <c r="M1044577" s="19"/>
      <c r="N1044577" s="19"/>
    </row>
    <row r="1044578" spans="1:14" s="83" customFormat="1" ht="12.75">
      <c r="A1044578" s="19"/>
      <c r="B1044578" s="19"/>
      <c r="C1044578" s="19"/>
      <c r="D1044578" s="19"/>
      <c r="E1044578" s="19"/>
      <c r="F1044578" s="19"/>
      <c r="G1044578" s="19"/>
      <c r="H1044578" s="19"/>
      <c r="I1044578" s="19"/>
      <c r="J1044578" s="19"/>
      <c r="K1044578" s="19"/>
      <c r="L1044578" s="19"/>
      <c r="M1044578" s="19"/>
      <c r="N1044578" s="19"/>
    </row>
    <row r="1044579" spans="1:14" s="83" customFormat="1" ht="12.75">
      <c r="A1044579" s="19"/>
      <c r="B1044579" s="19"/>
      <c r="C1044579" s="19"/>
      <c r="D1044579" s="19"/>
      <c r="E1044579" s="19"/>
      <c r="F1044579" s="19"/>
      <c r="G1044579" s="19"/>
      <c r="H1044579" s="19"/>
      <c r="I1044579" s="19"/>
      <c r="J1044579" s="19"/>
      <c r="K1044579" s="19"/>
      <c r="L1044579" s="19"/>
      <c r="M1044579" s="19"/>
      <c r="N1044579" s="19"/>
    </row>
    <row r="1044580" spans="1:14" s="83" customFormat="1" ht="12.75">
      <c r="A1044580" s="19"/>
      <c r="B1044580" s="19"/>
      <c r="C1044580" s="19"/>
      <c r="D1044580" s="19"/>
      <c r="E1044580" s="19"/>
      <c r="F1044580" s="19"/>
      <c r="G1044580" s="19"/>
      <c r="H1044580" s="19"/>
      <c r="I1044580" s="19"/>
      <c r="J1044580" s="19"/>
      <c r="K1044580" s="19"/>
      <c r="L1044580" s="19"/>
      <c r="M1044580" s="19"/>
      <c r="N1044580" s="19"/>
    </row>
    <row r="1044581" spans="1:14" s="83" customFormat="1" ht="12.75">
      <c r="A1044581" s="19"/>
      <c r="B1044581" s="19"/>
      <c r="C1044581" s="19"/>
      <c r="D1044581" s="19"/>
      <c r="E1044581" s="19"/>
      <c r="F1044581" s="19"/>
      <c r="G1044581" s="19"/>
      <c r="H1044581" s="19"/>
      <c r="I1044581" s="19"/>
      <c r="J1044581" s="19"/>
      <c r="K1044581" s="19"/>
      <c r="L1044581" s="19"/>
      <c r="M1044581" s="19"/>
      <c r="N1044581" s="19"/>
    </row>
    <row r="1044582" spans="1:14" s="83" customFormat="1" ht="12.75">
      <c r="A1044582" s="19"/>
      <c r="B1044582" s="19"/>
      <c r="C1044582" s="19"/>
      <c r="D1044582" s="19"/>
      <c r="E1044582" s="19"/>
      <c r="F1044582" s="19"/>
      <c r="G1044582" s="19"/>
      <c r="H1044582" s="19"/>
      <c r="I1044582" s="19"/>
      <c r="J1044582" s="19"/>
      <c r="K1044582" s="19"/>
      <c r="L1044582" s="19"/>
      <c r="M1044582" s="19"/>
      <c r="N1044582" s="19"/>
    </row>
    <row r="1044583" spans="1:14" s="83" customFormat="1" ht="12.75">
      <c r="A1044583" s="19"/>
      <c r="B1044583" s="19"/>
      <c r="C1044583" s="19"/>
      <c r="D1044583" s="19"/>
      <c r="E1044583" s="19"/>
      <c r="F1044583" s="19"/>
      <c r="G1044583" s="19"/>
      <c r="H1044583" s="19"/>
      <c r="I1044583" s="19"/>
      <c r="J1044583" s="19"/>
      <c r="K1044583" s="19"/>
      <c r="L1044583" s="19"/>
      <c r="M1044583" s="19"/>
      <c r="N1044583" s="19"/>
    </row>
    <row r="1044584" spans="1:14" s="83" customFormat="1" ht="12.75">
      <c r="A1044584" s="19"/>
      <c r="B1044584" s="19"/>
      <c r="C1044584" s="19"/>
      <c r="D1044584" s="19"/>
      <c r="E1044584" s="19"/>
      <c r="F1044584" s="19"/>
      <c r="G1044584" s="19"/>
      <c r="H1044584" s="19"/>
      <c r="I1044584" s="19"/>
      <c r="J1044584" s="19"/>
      <c r="K1044584" s="19"/>
      <c r="L1044584" s="19"/>
      <c r="M1044584" s="19"/>
      <c r="N1044584" s="19"/>
    </row>
    <row r="1044585" spans="1:14" s="83" customFormat="1" ht="12.75">
      <c r="A1044585" s="19"/>
      <c r="B1044585" s="19"/>
      <c r="C1044585" s="19"/>
      <c r="D1044585" s="19"/>
      <c r="E1044585" s="19"/>
      <c r="F1044585" s="19"/>
      <c r="G1044585" s="19"/>
      <c r="H1044585" s="19"/>
      <c r="I1044585" s="19"/>
      <c r="J1044585" s="19"/>
      <c r="K1044585" s="19"/>
      <c r="L1044585" s="19"/>
      <c r="M1044585" s="19"/>
      <c r="N1044585" s="19"/>
    </row>
    <row r="1044586" spans="1:14" s="83" customFormat="1" ht="12.75">
      <c r="A1044586" s="19"/>
      <c r="B1044586" s="19"/>
      <c r="C1044586" s="19"/>
      <c r="D1044586" s="19"/>
      <c r="E1044586" s="19"/>
      <c r="F1044586" s="19"/>
      <c r="G1044586" s="19"/>
      <c r="H1044586" s="19"/>
      <c r="I1044586" s="19"/>
      <c r="J1044586" s="19"/>
      <c r="K1044586" s="19"/>
      <c r="L1044586" s="19"/>
      <c r="M1044586" s="19"/>
      <c r="N1044586" s="19"/>
    </row>
    <row r="1044587" spans="1:14" s="83" customFormat="1" ht="12.75">
      <c r="A1044587" s="19"/>
      <c r="B1044587" s="19"/>
      <c r="C1044587" s="19"/>
      <c r="D1044587" s="19"/>
      <c r="E1044587" s="19"/>
      <c r="F1044587" s="19"/>
      <c r="G1044587" s="19"/>
      <c r="H1044587" s="19"/>
      <c r="I1044587" s="19"/>
      <c r="J1044587" s="19"/>
      <c r="K1044587" s="19"/>
      <c r="L1044587" s="19"/>
      <c r="M1044587" s="19"/>
      <c r="N1044587" s="19"/>
    </row>
    <row r="1044588" spans="1:14" s="83" customFormat="1" ht="12.75">
      <c r="A1044588" s="19"/>
      <c r="B1044588" s="19"/>
      <c r="C1044588" s="19"/>
      <c r="D1044588" s="19"/>
      <c r="E1044588" s="19"/>
      <c r="F1044588" s="19"/>
      <c r="G1044588" s="19"/>
      <c r="H1044588" s="19"/>
      <c r="I1044588" s="19"/>
      <c r="J1044588" s="19"/>
      <c r="K1044588" s="19"/>
      <c r="L1044588" s="19"/>
      <c r="M1044588" s="19"/>
      <c r="N1044588" s="19"/>
    </row>
    <row r="1044589" spans="1:14" s="83" customFormat="1" ht="12.75">
      <c r="A1044589" s="19"/>
      <c r="B1044589" s="19"/>
      <c r="C1044589" s="19"/>
      <c r="D1044589" s="19"/>
      <c r="E1044589" s="19"/>
      <c r="F1044589" s="19"/>
      <c r="G1044589" s="19"/>
      <c r="H1044589" s="19"/>
      <c r="I1044589" s="19"/>
      <c r="J1044589" s="19"/>
      <c r="K1044589" s="19"/>
      <c r="L1044589" s="19"/>
      <c r="M1044589" s="19"/>
      <c r="N1044589" s="19"/>
    </row>
    <row r="1044590" spans="1:14" s="83" customFormat="1" ht="12.75">
      <c r="A1044590" s="19"/>
      <c r="B1044590" s="19"/>
      <c r="C1044590" s="19"/>
      <c r="D1044590" s="19"/>
      <c r="E1044590" s="19"/>
      <c r="F1044590" s="19"/>
      <c r="G1044590" s="19"/>
      <c r="H1044590" s="19"/>
      <c r="I1044590" s="19"/>
      <c r="J1044590" s="19"/>
      <c r="K1044590" s="19"/>
      <c r="L1044590" s="19"/>
      <c r="M1044590" s="19"/>
      <c r="N1044590" s="19"/>
    </row>
    <row r="1044591" spans="1:14" s="83" customFormat="1" ht="12.75">
      <c r="A1044591" s="19"/>
      <c r="B1044591" s="19"/>
      <c r="C1044591" s="19"/>
      <c r="D1044591" s="19"/>
      <c r="E1044591" s="19"/>
      <c r="F1044591" s="19"/>
      <c r="G1044591" s="19"/>
      <c r="H1044591" s="19"/>
      <c r="I1044591" s="19"/>
      <c r="J1044591" s="19"/>
      <c r="K1044591" s="19"/>
      <c r="L1044591" s="19"/>
      <c r="M1044591" s="19"/>
      <c r="N1044591" s="19"/>
    </row>
    <row r="1044592" spans="1:14" s="83" customFormat="1" ht="12.75">
      <c r="A1044592" s="19"/>
      <c r="B1044592" s="19"/>
      <c r="C1044592" s="19"/>
      <c r="D1044592" s="19"/>
      <c r="E1044592" s="19"/>
      <c r="F1044592" s="19"/>
      <c r="G1044592" s="19"/>
      <c r="H1044592" s="19"/>
      <c r="I1044592" s="19"/>
      <c r="J1044592" s="19"/>
      <c r="K1044592" s="19"/>
      <c r="L1044592" s="19"/>
      <c r="M1044592" s="19"/>
      <c r="N1044592" s="19"/>
    </row>
    <row r="1044593" spans="1:14" s="83" customFormat="1" ht="12.75">
      <c r="A1044593" s="19"/>
      <c r="B1044593" s="19"/>
      <c r="C1044593" s="19"/>
      <c r="D1044593" s="19"/>
      <c r="E1044593" s="19"/>
      <c r="F1044593" s="19"/>
      <c r="G1044593" s="19"/>
      <c r="H1044593" s="19"/>
      <c r="I1044593" s="19"/>
      <c r="J1044593" s="19"/>
      <c r="K1044593" s="19"/>
      <c r="L1044593" s="19"/>
      <c r="M1044593" s="19"/>
      <c r="N1044593" s="19"/>
    </row>
    <row r="1044594" spans="1:14" s="83" customFormat="1" ht="12.75">
      <c r="A1044594" s="19"/>
      <c r="B1044594" s="19"/>
      <c r="C1044594" s="19"/>
      <c r="D1044594" s="19"/>
      <c r="E1044594" s="19"/>
      <c r="F1044594" s="19"/>
      <c r="G1044594" s="19"/>
      <c r="H1044594" s="19"/>
      <c r="I1044594" s="19"/>
      <c r="J1044594" s="19"/>
      <c r="K1044594" s="19"/>
      <c r="L1044594" s="19"/>
      <c r="M1044594" s="19"/>
      <c r="N1044594" s="19"/>
    </row>
    <row r="1044595" spans="1:14" s="83" customFormat="1" ht="12.75">
      <c r="A1044595" s="19"/>
      <c r="B1044595" s="19"/>
      <c r="C1044595" s="19"/>
      <c r="D1044595" s="19"/>
      <c r="E1044595" s="19"/>
      <c r="F1044595" s="19"/>
      <c r="G1044595" s="19"/>
      <c r="H1044595" s="19"/>
      <c r="I1044595" s="19"/>
      <c r="J1044595" s="19"/>
      <c r="K1044595" s="19"/>
      <c r="L1044595" s="19"/>
      <c r="M1044595" s="19"/>
      <c r="N1044595" s="19"/>
    </row>
    <row r="1044596" spans="1:14" s="83" customFormat="1" ht="12.75">
      <c r="A1044596" s="19"/>
      <c r="B1044596" s="19"/>
      <c r="C1044596" s="19"/>
      <c r="D1044596" s="19"/>
      <c r="E1044596" s="19"/>
      <c r="F1044596" s="19"/>
      <c r="G1044596" s="19"/>
      <c r="H1044596" s="19"/>
      <c r="I1044596" s="19"/>
      <c r="J1044596" s="19"/>
      <c r="K1044596" s="19"/>
      <c r="L1044596" s="19"/>
      <c r="M1044596" s="19"/>
      <c r="N1044596" s="19"/>
    </row>
    <row r="1044597" spans="1:14" s="83" customFormat="1" ht="12.75">
      <c r="A1044597" s="19"/>
      <c r="B1044597" s="19"/>
      <c r="C1044597" s="19"/>
      <c r="D1044597" s="19"/>
      <c r="E1044597" s="19"/>
      <c r="F1044597" s="19"/>
      <c r="G1044597" s="19"/>
      <c r="H1044597" s="19"/>
      <c r="I1044597" s="19"/>
      <c r="J1044597" s="19"/>
      <c r="K1044597" s="19"/>
      <c r="L1044597" s="19"/>
      <c r="M1044597" s="19"/>
      <c r="N1044597" s="19"/>
    </row>
    <row r="1044598" spans="1:14" s="83" customFormat="1" ht="12.75">
      <c r="A1044598" s="19"/>
      <c r="B1044598" s="19"/>
      <c r="C1044598" s="19"/>
      <c r="D1044598" s="19"/>
      <c r="E1044598" s="19"/>
      <c r="F1044598" s="19"/>
      <c r="G1044598" s="19"/>
      <c r="H1044598" s="19"/>
      <c r="I1044598" s="19"/>
      <c r="J1044598" s="19"/>
      <c r="K1044598" s="19"/>
      <c r="L1044598" s="19"/>
      <c r="M1044598" s="19"/>
      <c r="N1044598" s="19"/>
    </row>
    <row r="1044599" spans="1:14" s="83" customFormat="1" ht="12.75">
      <c r="A1044599" s="19"/>
      <c r="B1044599" s="19"/>
      <c r="C1044599" s="19"/>
      <c r="D1044599" s="19"/>
      <c r="E1044599" s="19"/>
      <c r="F1044599" s="19"/>
      <c r="G1044599" s="19"/>
      <c r="H1044599" s="19"/>
      <c r="I1044599" s="19"/>
      <c r="J1044599" s="19"/>
      <c r="K1044599" s="19"/>
      <c r="L1044599" s="19"/>
      <c r="M1044599" s="19"/>
      <c r="N1044599" s="19"/>
    </row>
    <row r="1044600" spans="1:14" s="83" customFormat="1" ht="12.75">
      <c r="A1044600" s="19"/>
      <c r="B1044600" s="19"/>
      <c r="C1044600" s="19"/>
      <c r="D1044600" s="19"/>
      <c r="E1044600" s="19"/>
      <c r="F1044600" s="19"/>
      <c r="G1044600" s="19"/>
      <c r="H1044600" s="19"/>
      <c r="I1044600" s="19"/>
      <c r="J1044600" s="19"/>
      <c r="K1044600" s="19"/>
      <c r="L1044600" s="19"/>
      <c r="M1044600" s="19"/>
      <c r="N1044600" s="19"/>
    </row>
    <row r="1044601" spans="1:14" s="83" customFormat="1" ht="12.75">
      <c r="A1044601" s="19"/>
      <c r="B1044601" s="19"/>
      <c r="C1044601" s="19"/>
      <c r="D1044601" s="19"/>
      <c r="E1044601" s="19"/>
      <c r="F1044601" s="19"/>
      <c r="G1044601" s="19"/>
      <c r="H1044601" s="19"/>
      <c r="I1044601" s="19"/>
      <c r="J1044601" s="19"/>
      <c r="K1044601" s="19"/>
      <c r="L1044601" s="19"/>
      <c r="M1044601" s="19"/>
      <c r="N1044601" s="19"/>
    </row>
    <row r="1044602" spans="1:14" s="83" customFormat="1" ht="12.75">
      <c r="A1044602" s="19"/>
      <c r="B1044602" s="19"/>
      <c r="C1044602" s="19"/>
      <c r="D1044602" s="19"/>
      <c r="E1044602" s="19"/>
      <c r="F1044602" s="19"/>
      <c r="G1044602" s="19"/>
      <c r="H1044602" s="19"/>
      <c r="I1044602" s="19"/>
      <c r="J1044602" s="19"/>
      <c r="K1044602" s="19"/>
      <c r="L1044602" s="19"/>
      <c r="M1044602" s="19"/>
      <c r="N1044602" s="19"/>
    </row>
    <row r="1044603" spans="1:14" s="83" customFormat="1" ht="12.75">
      <c r="A1044603" s="19"/>
      <c r="B1044603" s="19"/>
      <c r="C1044603" s="19"/>
      <c r="D1044603" s="19"/>
      <c r="E1044603" s="19"/>
      <c r="F1044603" s="19"/>
      <c r="G1044603" s="19"/>
      <c r="H1044603" s="19"/>
      <c r="I1044603" s="19"/>
      <c r="J1044603" s="19"/>
      <c r="K1044603" s="19"/>
      <c r="L1044603" s="19"/>
      <c r="M1044603" s="19"/>
      <c r="N1044603" s="19"/>
    </row>
    <row r="1044604" spans="1:14" s="83" customFormat="1" ht="12.75">
      <c r="A1044604" s="19"/>
      <c r="B1044604" s="19"/>
      <c r="C1044604" s="19"/>
      <c r="D1044604" s="19"/>
      <c r="E1044604" s="19"/>
      <c r="F1044604" s="19"/>
      <c r="G1044604" s="19"/>
      <c r="H1044604" s="19"/>
      <c r="I1044604" s="19"/>
      <c r="J1044604" s="19"/>
      <c r="K1044604" s="19"/>
      <c r="L1044604" s="19"/>
      <c r="M1044604" s="19"/>
      <c r="N1044604" s="19"/>
    </row>
    <row r="1044605" spans="1:14" s="83" customFormat="1" ht="12.75">
      <c r="A1044605" s="19"/>
      <c r="B1044605" s="19"/>
      <c r="C1044605" s="19"/>
      <c r="D1044605" s="19"/>
      <c r="E1044605" s="19"/>
      <c r="F1044605" s="19"/>
      <c r="G1044605" s="19"/>
      <c r="H1044605" s="19"/>
      <c r="I1044605" s="19"/>
      <c r="J1044605" s="19"/>
      <c r="K1044605" s="19"/>
      <c r="L1044605" s="19"/>
      <c r="M1044605" s="19"/>
      <c r="N1044605" s="19"/>
    </row>
    <row r="1044606" spans="1:14" s="83" customFormat="1" ht="12.75">
      <c r="A1044606" s="19"/>
      <c r="B1044606" s="19"/>
      <c r="C1044606" s="19"/>
      <c r="D1044606" s="19"/>
      <c r="E1044606" s="19"/>
      <c r="F1044606" s="19"/>
      <c r="G1044606" s="19"/>
      <c r="H1044606" s="19"/>
      <c r="I1044606" s="19"/>
      <c r="J1044606" s="19"/>
      <c r="K1044606" s="19"/>
      <c r="L1044606" s="19"/>
      <c r="M1044606" s="19"/>
      <c r="N1044606" s="19"/>
    </row>
    <row r="1044607" spans="1:14" s="83" customFormat="1" ht="12.75">
      <c r="A1044607" s="19"/>
      <c r="B1044607" s="19"/>
      <c r="C1044607" s="19"/>
      <c r="D1044607" s="19"/>
      <c r="E1044607" s="19"/>
      <c r="F1044607" s="19"/>
      <c r="G1044607" s="19"/>
      <c r="H1044607" s="19"/>
      <c r="I1044607" s="19"/>
      <c r="J1044607" s="19"/>
      <c r="K1044607" s="19"/>
      <c r="L1044607" s="19"/>
      <c r="M1044607" s="19"/>
      <c r="N1044607" s="19"/>
    </row>
    <row r="1044608" spans="1:14" s="83" customFormat="1" ht="12.75">
      <c r="A1044608" s="19"/>
      <c r="B1044608" s="19"/>
      <c r="C1044608" s="19"/>
      <c r="D1044608" s="19"/>
      <c r="E1044608" s="19"/>
      <c r="F1044608" s="19"/>
      <c r="G1044608" s="19"/>
      <c r="H1044608" s="19"/>
      <c r="I1044608" s="19"/>
      <c r="J1044608" s="19"/>
      <c r="K1044608" s="19"/>
      <c r="L1044608" s="19"/>
      <c r="M1044608" s="19"/>
      <c r="N1044608" s="19"/>
    </row>
    <row r="1044609" spans="1:14" s="83" customFormat="1" ht="12.75">
      <c r="A1044609" s="19"/>
      <c r="B1044609" s="19"/>
      <c r="C1044609" s="19"/>
      <c r="D1044609" s="19"/>
      <c r="E1044609" s="19"/>
      <c r="F1044609" s="19"/>
      <c r="G1044609" s="19"/>
      <c r="H1044609" s="19"/>
      <c r="I1044609" s="19"/>
      <c r="J1044609" s="19"/>
      <c r="K1044609" s="19"/>
      <c r="L1044609" s="19"/>
      <c r="M1044609" s="19"/>
      <c r="N1044609" s="19"/>
    </row>
    <row r="1044610" spans="1:14" s="83" customFormat="1" ht="12.75">
      <c r="A1044610" s="19"/>
      <c r="B1044610" s="19"/>
      <c r="C1044610" s="19"/>
      <c r="D1044610" s="19"/>
      <c r="E1044610" s="19"/>
      <c r="F1044610" s="19"/>
      <c r="G1044610" s="19"/>
      <c r="H1044610" s="19"/>
      <c r="I1044610" s="19"/>
      <c r="J1044610" s="19"/>
      <c r="K1044610" s="19"/>
      <c r="L1044610" s="19"/>
      <c r="M1044610" s="19"/>
      <c r="N1044610" s="19"/>
    </row>
    <row r="1044611" spans="1:14" s="83" customFormat="1" ht="12.75">
      <c r="A1044611" s="19"/>
      <c r="B1044611" s="19"/>
      <c r="C1044611" s="19"/>
      <c r="D1044611" s="19"/>
      <c r="E1044611" s="19"/>
      <c r="F1044611" s="19"/>
      <c r="G1044611" s="19"/>
      <c r="H1044611" s="19"/>
      <c r="I1044611" s="19"/>
      <c r="J1044611" s="19"/>
      <c r="K1044611" s="19"/>
      <c r="L1044611" s="19"/>
      <c r="M1044611" s="19"/>
      <c r="N1044611" s="19"/>
    </row>
    <row r="1044612" spans="1:14" s="83" customFormat="1" ht="12.75">
      <c r="A1044612" s="19"/>
      <c r="B1044612" s="19"/>
      <c r="C1044612" s="19"/>
      <c r="D1044612" s="19"/>
      <c r="E1044612" s="19"/>
      <c r="F1044612" s="19"/>
      <c r="G1044612" s="19"/>
      <c r="H1044612" s="19"/>
      <c r="I1044612" s="19"/>
      <c r="J1044612" s="19"/>
      <c r="K1044612" s="19"/>
      <c r="L1044612" s="19"/>
      <c r="M1044612" s="19"/>
      <c r="N1044612" s="19"/>
    </row>
    <row r="1044613" spans="1:14" s="83" customFormat="1" ht="12.75">
      <c r="A1044613" s="19"/>
      <c r="B1044613" s="19"/>
      <c r="C1044613" s="19"/>
      <c r="D1044613" s="19"/>
      <c r="E1044613" s="19"/>
      <c r="F1044613" s="19"/>
      <c r="G1044613" s="19"/>
      <c r="H1044613" s="19"/>
      <c r="I1044613" s="19"/>
      <c r="J1044613" s="19"/>
      <c r="K1044613" s="19"/>
      <c r="L1044613" s="19"/>
      <c r="M1044613" s="19"/>
      <c r="N1044613" s="19"/>
    </row>
    <row r="1044614" spans="1:14" s="83" customFormat="1" ht="12.75">
      <c r="A1044614" s="19"/>
      <c r="B1044614" s="19"/>
      <c r="C1044614" s="19"/>
      <c r="D1044614" s="19"/>
      <c r="E1044614" s="19"/>
      <c r="F1044614" s="19"/>
      <c r="G1044614" s="19"/>
      <c r="H1044614" s="19"/>
      <c r="I1044614" s="19"/>
      <c r="J1044614" s="19"/>
      <c r="K1044614" s="19"/>
      <c r="L1044614" s="19"/>
      <c r="M1044614" s="19"/>
      <c r="N1044614" s="19"/>
    </row>
    <row r="1044615" spans="1:14" s="83" customFormat="1" ht="12.75">
      <c r="A1044615" s="19"/>
      <c r="B1044615" s="19"/>
      <c r="C1044615" s="19"/>
      <c r="D1044615" s="19"/>
      <c r="E1044615" s="19"/>
      <c r="F1044615" s="19"/>
      <c r="G1044615" s="19"/>
      <c r="H1044615" s="19"/>
      <c r="I1044615" s="19"/>
      <c r="J1044615" s="19"/>
      <c r="K1044615" s="19"/>
      <c r="L1044615" s="19"/>
      <c r="M1044615" s="19"/>
      <c r="N1044615" s="19"/>
    </row>
    <row r="1044616" spans="1:14" s="83" customFormat="1" ht="12.75">
      <c r="A1044616" s="19"/>
      <c r="B1044616" s="19"/>
      <c r="C1044616" s="19"/>
      <c r="D1044616" s="19"/>
      <c r="E1044616" s="19"/>
      <c r="F1044616" s="19"/>
      <c r="G1044616" s="19"/>
      <c r="H1044616" s="19"/>
      <c r="I1044616" s="19"/>
      <c r="J1044616" s="19"/>
      <c r="K1044616" s="19"/>
      <c r="L1044616" s="19"/>
      <c r="M1044616" s="19"/>
      <c r="N1044616" s="19"/>
    </row>
    <row r="1044617" spans="1:14" s="83" customFormat="1" ht="12.75">
      <c r="A1044617" s="19"/>
      <c r="B1044617" s="19"/>
      <c r="C1044617" s="19"/>
      <c r="D1044617" s="19"/>
      <c r="E1044617" s="19"/>
      <c r="F1044617" s="19"/>
      <c r="G1044617" s="19"/>
      <c r="H1044617" s="19"/>
      <c r="I1044617" s="19"/>
      <c r="J1044617" s="19"/>
      <c r="K1044617" s="19"/>
      <c r="L1044617" s="19"/>
      <c r="M1044617" s="19"/>
      <c r="N1044617" s="19"/>
    </row>
    <row r="1044618" spans="1:14" s="83" customFormat="1" ht="12.75">
      <c r="A1044618" s="19"/>
      <c r="B1044618" s="19"/>
      <c r="C1044618" s="19"/>
      <c r="D1044618" s="19"/>
      <c r="E1044618" s="19"/>
      <c r="F1044618" s="19"/>
      <c r="G1044618" s="19"/>
      <c r="H1044618" s="19"/>
      <c r="I1044618" s="19"/>
      <c r="J1044618" s="19"/>
      <c r="K1044618" s="19"/>
      <c r="L1044618" s="19"/>
      <c r="M1044618" s="19"/>
      <c r="N1044618" s="19"/>
    </row>
    <row r="1044619" spans="1:14" s="83" customFormat="1" ht="12.75">
      <c r="A1044619" s="19"/>
      <c r="B1044619" s="19"/>
      <c r="C1044619" s="19"/>
      <c r="D1044619" s="19"/>
      <c r="E1044619" s="19"/>
      <c r="F1044619" s="19"/>
      <c r="G1044619" s="19"/>
      <c r="H1044619" s="19"/>
      <c r="I1044619" s="19"/>
      <c r="J1044619" s="19"/>
      <c r="K1044619" s="19"/>
      <c r="L1044619" s="19"/>
      <c r="M1044619" s="19"/>
      <c r="N1044619" s="19"/>
    </row>
    <row r="1044620" spans="1:14" s="83" customFormat="1" ht="12.75">
      <c r="A1044620" s="19"/>
      <c r="B1044620" s="19"/>
      <c r="C1044620" s="19"/>
      <c r="D1044620" s="19"/>
      <c r="E1044620" s="19"/>
      <c r="F1044620" s="19"/>
      <c r="G1044620" s="19"/>
      <c r="H1044620" s="19"/>
      <c r="I1044620" s="19"/>
      <c r="J1044620" s="19"/>
      <c r="K1044620" s="19"/>
      <c r="L1044620" s="19"/>
      <c r="M1044620" s="19"/>
      <c r="N1044620" s="19"/>
    </row>
    <row r="1044621" spans="1:14" s="83" customFormat="1" ht="12.75">
      <c r="A1044621" s="19"/>
      <c r="B1044621" s="19"/>
      <c r="C1044621" s="19"/>
      <c r="D1044621" s="19"/>
      <c r="E1044621" s="19"/>
      <c r="F1044621" s="19"/>
      <c r="G1044621" s="19"/>
      <c r="H1044621" s="19"/>
      <c r="I1044621" s="19"/>
      <c r="J1044621" s="19"/>
      <c r="K1044621" s="19"/>
      <c r="L1044621" s="19"/>
      <c r="M1044621" s="19"/>
      <c r="N1044621" s="19"/>
    </row>
    <row r="1044622" spans="1:14" s="83" customFormat="1" ht="12.75">
      <c r="A1044622" s="19"/>
      <c r="B1044622" s="19"/>
      <c r="C1044622" s="19"/>
      <c r="D1044622" s="19"/>
      <c r="E1044622" s="19"/>
      <c r="F1044622" s="19"/>
      <c r="G1044622" s="19"/>
      <c r="H1044622" s="19"/>
      <c r="I1044622" s="19"/>
      <c r="J1044622" s="19"/>
      <c r="K1044622" s="19"/>
      <c r="L1044622" s="19"/>
      <c r="M1044622" s="19"/>
      <c r="N1044622" s="19"/>
    </row>
    <row r="1044623" spans="1:14" s="83" customFormat="1" ht="12.75">
      <c r="A1044623" s="19"/>
      <c r="B1044623" s="19"/>
      <c r="C1044623" s="19"/>
      <c r="D1044623" s="19"/>
      <c r="E1044623" s="19"/>
      <c r="F1044623" s="19"/>
      <c r="G1044623" s="19"/>
      <c r="H1044623" s="19"/>
      <c r="I1044623" s="19"/>
      <c r="J1044623" s="19"/>
      <c r="K1044623" s="19"/>
      <c r="L1044623" s="19"/>
      <c r="M1044623" s="19"/>
      <c r="N1044623" s="19"/>
    </row>
    <row r="1044624" spans="1:14" s="83" customFormat="1" ht="12.75">
      <c r="A1044624" s="19"/>
      <c r="B1044624" s="19"/>
      <c r="C1044624" s="19"/>
      <c r="D1044624" s="19"/>
      <c r="E1044624" s="19"/>
      <c r="F1044624" s="19"/>
      <c r="G1044624" s="19"/>
      <c r="H1044624" s="19"/>
      <c r="I1044624" s="19"/>
      <c r="J1044624" s="19"/>
      <c r="K1044624" s="19"/>
      <c r="L1044624" s="19"/>
      <c r="M1044624" s="19"/>
      <c r="N1044624" s="19"/>
    </row>
    <row r="1044625" spans="1:14" s="83" customFormat="1" ht="12.75">
      <c r="A1044625" s="19"/>
      <c r="B1044625" s="19"/>
      <c r="C1044625" s="19"/>
      <c r="D1044625" s="19"/>
      <c r="E1044625" s="19"/>
      <c r="F1044625" s="19"/>
      <c r="G1044625" s="19"/>
      <c r="H1044625" s="19"/>
      <c r="I1044625" s="19"/>
      <c r="J1044625" s="19"/>
      <c r="K1044625" s="19"/>
      <c r="L1044625" s="19"/>
      <c r="M1044625" s="19"/>
      <c r="N1044625" s="19"/>
    </row>
    <row r="1044626" spans="1:14" s="83" customFormat="1" ht="12.75">
      <c r="A1044626" s="19"/>
      <c r="B1044626" s="19"/>
      <c r="C1044626" s="19"/>
      <c r="D1044626" s="19"/>
      <c r="E1044626" s="19"/>
      <c r="F1044626" s="19"/>
      <c r="G1044626" s="19"/>
      <c r="H1044626" s="19"/>
      <c r="I1044626" s="19"/>
      <c r="J1044626" s="19"/>
      <c r="K1044626" s="19"/>
      <c r="L1044626" s="19"/>
      <c r="M1044626" s="19"/>
      <c r="N1044626" s="19"/>
    </row>
    <row r="1044627" spans="1:14" s="83" customFormat="1" ht="12.75">
      <c r="A1044627" s="19"/>
      <c r="B1044627" s="19"/>
      <c r="C1044627" s="19"/>
      <c r="D1044627" s="19"/>
      <c r="E1044627" s="19"/>
      <c r="F1044627" s="19"/>
      <c r="G1044627" s="19"/>
      <c r="H1044627" s="19"/>
      <c r="I1044627" s="19"/>
      <c r="J1044627" s="19"/>
      <c r="K1044627" s="19"/>
      <c r="L1044627" s="19"/>
      <c r="M1044627" s="19"/>
      <c r="N1044627" s="19"/>
    </row>
    <row r="1044628" spans="1:14" s="83" customFormat="1" ht="12.75">
      <c r="A1044628" s="19"/>
      <c r="B1044628" s="19"/>
      <c r="C1044628" s="19"/>
      <c r="D1044628" s="19"/>
      <c r="E1044628" s="19"/>
      <c r="F1044628" s="19"/>
      <c r="G1044628" s="19"/>
      <c r="H1044628" s="19"/>
      <c r="I1044628" s="19"/>
      <c r="J1044628" s="19"/>
      <c r="K1044628" s="19"/>
      <c r="L1044628" s="19"/>
      <c r="M1044628" s="19"/>
      <c r="N1044628" s="19"/>
    </row>
    <row r="1044629" spans="1:14" s="83" customFormat="1" ht="12.75">
      <c r="A1044629" s="19"/>
      <c r="B1044629" s="19"/>
      <c r="C1044629" s="19"/>
      <c r="D1044629" s="19"/>
      <c r="E1044629" s="19"/>
      <c r="F1044629" s="19"/>
      <c r="G1044629" s="19"/>
      <c r="H1044629" s="19"/>
      <c r="I1044629" s="19"/>
      <c r="J1044629" s="19"/>
      <c r="K1044629" s="19"/>
      <c r="L1044629" s="19"/>
      <c r="M1044629" s="19"/>
      <c r="N1044629" s="19"/>
    </row>
    <row r="1044630" spans="1:14" s="83" customFormat="1" ht="12.75">
      <c r="A1044630" s="19"/>
      <c r="B1044630" s="19"/>
      <c r="C1044630" s="19"/>
      <c r="D1044630" s="19"/>
      <c r="E1044630" s="19"/>
      <c r="F1044630" s="19"/>
      <c r="G1044630" s="19"/>
      <c r="H1044630" s="19"/>
      <c r="I1044630" s="19"/>
      <c r="J1044630" s="19"/>
      <c r="K1044630" s="19"/>
      <c r="L1044630" s="19"/>
      <c r="M1044630" s="19"/>
      <c r="N1044630" s="19"/>
    </row>
    <row r="1044631" spans="1:14" s="83" customFormat="1" ht="12.75">
      <c r="A1044631" s="19"/>
      <c r="B1044631" s="19"/>
      <c r="C1044631" s="19"/>
      <c r="D1044631" s="19"/>
      <c r="E1044631" s="19"/>
      <c r="F1044631" s="19"/>
      <c r="G1044631" s="19"/>
      <c r="H1044631" s="19"/>
      <c r="I1044631" s="19"/>
      <c r="J1044631" s="19"/>
      <c r="K1044631" s="19"/>
      <c r="L1044631" s="19"/>
      <c r="M1044631" s="19"/>
      <c r="N1044631" s="19"/>
    </row>
    <row r="1044632" spans="1:14" s="83" customFormat="1" ht="12.75">
      <c r="A1044632" s="19"/>
      <c r="B1044632" s="19"/>
      <c r="C1044632" s="19"/>
      <c r="D1044632" s="19"/>
      <c r="E1044632" s="19"/>
      <c r="F1044632" s="19"/>
      <c r="G1044632" s="19"/>
      <c r="H1044632" s="19"/>
      <c r="I1044632" s="19"/>
      <c r="J1044632" s="19"/>
      <c r="K1044632" s="19"/>
      <c r="L1044632" s="19"/>
      <c r="M1044632" s="19"/>
      <c r="N1044632" s="19"/>
    </row>
    <row r="1044633" spans="1:14" s="83" customFormat="1" ht="12.75">
      <c r="A1044633" s="19"/>
      <c r="B1044633" s="19"/>
      <c r="C1044633" s="19"/>
      <c r="D1044633" s="19"/>
      <c r="E1044633" s="19"/>
      <c r="F1044633" s="19"/>
      <c r="G1044633" s="19"/>
      <c r="H1044633" s="19"/>
      <c r="I1044633" s="19"/>
      <c r="J1044633" s="19"/>
      <c r="K1044633" s="19"/>
      <c r="L1044633" s="19"/>
      <c r="M1044633" s="19"/>
      <c r="N1044633" s="19"/>
    </row>
    <row r="1044634" spans="1:14" s="83" customFormat="1" ht="12.75">
      <c r="A1044634" s="19"/>
      <c r="B1044634" s="19"/>
      <c r="C1044634" s="19"/>
      <c r="D1044634" s="19"/>
      <c r="E1044634" s="19"/>
      <c r="F1044634" s="19"/>
      <c r="G1044634" s="19"/>
      <c r="H1044634" s="19"/>
      <c r="I1044634" s="19"/>
      <c r="J1044634" s="19"/>
      <c r="K1044634" s="19"/>
      <c r="L1044634" s="19"/>
      <c r="M1044634" s="19"/>
      <c r="N1044634" s="19"/>
    </row>
    <row r="1044635" spans="1:14" s="83" customFormat="1" ht="12.75">
      <c r="A1044635" s="19"/>
      <c r="B1044635" s="19"/>
      <c r="C1044635" s="19"/>
      <c r="D1044635" s="19"/>
      <c r="E1044635" s="19"/>
      <c r="F1044635" s="19"/>
      <c r="G1044635" s="19"/>
      <c r="H1044635" s="19"/>
      <c r="I1044635" s="19"/>
      <c r="J1044635" s="19"/>
      <c r="K1044635" s="19"/>
      <c r="L1044635" s="19"/>
      <c r="M1044635" s="19"/>
      <c r="N1044635" s="19"/>
    </row>
    <row r="1044636" spans="1:14" s="83" customFormat="1" ht="12.75">
      <c r="A1044636" s="19"/>
      <c r="B1044636" s="19"/>
      <c r="C1044636" s="19"/>
      <c r="D1044636" s="19"/>
      <c r="E1044636" s="19"/>
      <c r="F1044636" s="19"/>
      <c r="G1044636" s="19"/>
      <c r="H1044636" s="19"/>
      <c r="I1044636" s="19"/>
      <c r="J1044636" s="19"/>
      <c r="K1044636" s="19"/>
      <c r="L1044636" s="19"/>
      <c r="M1044636" s="19"/>
      <c r="N1044636" s="19"/>
    </row>
    <row r="1044637" spans="1:14" s="83" customFormat="1" ht="12.75">
      <c r="A1044637" s="19"/>
      <c r="B1044637" s="19"/>
      <c r="C1044637" s="19"/>
      <c r="D1044637" s="19"/>
      <c r="E1044637" s="19"/>
      <c r="F1044637" s="19"/>
      <c r="G1044637" s="19"/>
      <c r="H1044637" s="19"/>
      <c r="I1044637" s="19"/>
      <c r="J1044637" s="19"/>
      <c r="K1044637" s="19"/>
      <c r="L1044637" s="19"/>
      <c r="M1044637" s="19"/>
      <c r="N1044637" s="19"/>
    </row>
    <row r="1044638" spans="1:14" s="83" customFormat="1" ht="12.75">
      <c r="A1044638" s="19"/>
      <c r="B1044638" s="19"/>
      <c r="C1044638" s="19"/>
      <c r="D1044638" s="19"/>
      <c r="E1044638" s="19"/>
      <c r="F1044638" s="19"/>
      <c r="G1044638" s="19"/>
      <c r="H1044638" s="19"/>
      <c r="I1044638" s="19"/>
      <c r="J1044638" s="19"/>
      <c r="K1044638" s="19"/>
      <c r="L1044638" s="19"/>
      <c r="M1044638" s="19"/>
      <c r="N1044638" s="19"/>
    </row>
    <row r="1044639" spans="1:14" s="83" customFormat="1" ht="12.75">
      <c r="A1044639" s="19"/>
      <c r="B1044639" s="19"/>
      <c r="C1044639" s="19"/>
      <c r="D1044639" s="19"/>
      <c r="E1044639" s="19"/>
      <c r="F1044639" s="19"/>
      <c r="G1044639" s="19"/>
      <c r="H1044639" s="19"/>
      <c r="I1044639" s="19"/>
      <c r="J1044639" s="19"/>
      <c r="K1044639" s="19"/>
      <c r="L1044639" s="19"/>
      <c r="M1044639" s="19"/>
      <c r="N1044639" s="19"/>
    </row>
    <row r="1044640" spans="1:14" s="83" customFormat="1" ht="12.75">
      <c r="A1044640" s="19"/>
      <c r="B1044640" s="19"/>
      <c r="C1044640" s="19"/>
      <c r="D1044640" s="19"/>
      <c r="E1044640" s="19"/>
      <c r="F1044640" s="19"/>
      <c r="G1044640" s="19"/>
      <c r="H1044640" s="19"/>
      <c r="I1044640" s="19"/>
      <c r="J1044640" s="19"/>
      <c r="K1044640" s="19"/>
      <c r="L1044640" s="19"/>
      <c r="M1044640" s="19"/>
      <c r="N1044640" s="19"/>
    </row>
    <row r="1044641" spans="1:14" s="83" customFormat="1" ht="12.75">
      <c r="A1044641" s="19"/>
      <c r="B1044641" s="19"/>
      <c r="C1044641" s="19"/>
      <c r="D1044641" s="19"/>
      <c r="E1044641" s="19"/>
      <c r="F1044641" s="19"/>
      <c r="G1044641" s="19"/>
      <c r="H1044641" s="19"/>
      <c r="I1044641" s="19"/>
      <c r="J1044641" s="19"/>
      <c r="K1044641" s="19"/>
      <c r="L1044641" s="19"/>
      <c r="M1044641" s="19"/>
      <c r="N1044641" s="19"/>
    </row>
    <row r="1044642" spans="1:14" s="83" customFormat="1" ht="12.75">
      <c r="A1044642" s="19"/>
      <c r="B1044642" s="19"/>
      <c r="C1044642" s="19"/>
      <c r="D1044642" s="19"/>
      <c r="E1044642" s="19"/>
      <c r="F1044642" s="19"/>
      <c r="G1044642" s="19"/>
      <c r="H1044642" s="19"/>
      <c r="I1044642" s="19"/>
      <c r="J1044642" s="19"/>
      <c r="K1044642" s="19"/>
      <c r="L1044642" s="19"/>
      <c r="M1044642" s="19"/>
      <c r="N1044642" s="19"/>
    </row>
    <row r="1044643" spans="1:14" s="83" customFormat="1" ht="12.75">
      <c r="A1044643" s="19"/>
      <c r="B1044643" s="19"/>
      <c r="C1044643" s="19"/>
      <c r="D1044643" s="19"/>
      <c r="E1044643" s="19"/>
      <c r="F1044643" s="19"/>
      <c r="G1044643" s="19"/>
      <c r="H1044643" s="19"/>
      <c r="I1044643" s="19"/>
      <c r="J1044643" s="19"/>
      <c r="K1044643" s="19"/>
      <c r="L1044643" s="19"/>
      <c r="M1044643" s="19"/>
      <c r="N1044643" s="19"/>
    </row>
    <row r="1044644" spans="1:14" s="83" customFormat="1" ht="12.75">
      <c r="A1044644" s="19"/>
      <c r="B1044644" s="19"/>
      <c r="C1044644" s="19"/>
      <c r="D1044644" s="19"/>
      <c r="E1044644" s="19"/>
      <c r="F1044644" s="19"/>
      <c r="G1044644" s="19"/>
      <c r="H1044644" s="19"/>
      <c r="I1044644" s="19"/>
      <c r="J1044644" s="19"/>
      <c r="K1044644" s="19"/>
      <c r="L1044644" s="19"/>
      <c r="M1044644" s="19"/>
      <c r="N1044644" s="19"/>
    </row>
    <row r="1044645" spans="1:14" s="83" customFormat="1" ht="12.75">
      <c r="A1044645" s="19"/>
      <c r="B1044645" s="19"/>
      <c r="C1044645" s="19"/>
      <c r="D1044645" s="19"/>
      <c r="E1044645" s="19"/>
      <c r="F1044645" s="19"/>
      <c r="G1044645" s="19"/>
      <c r="H1044645" s="19"/>
      <c r="I1044645" s="19"/>
      <c r="J1044645" s="19"/>
      <c r="K1044645" s="19"/>
      <c r="L1044645" s="19"/>
      <c r="M1044645" s="19"/>
      <c r="N1044645" s="19"/>
    </row>
    <row r="1044646" spans="1:14" s="83" customFormat="1" ht="12.75">
      <c r="A1044646" s="19"/>
      <c r="B1044646" s="19"/>
      <c r="C1044646" s="19"/>
      <c r="D1044646" s="19"/>
      <c r="E1044646" s="19"/>
      <c r="F1044646" s="19"/>
      <c r="G1044646" s="19"/>
      <c r="H1044646" s="19"/>
      <c r="I1044646" s="19"/>
      <c r="J1044646" s="19"/>
      <c r="K1044646" s="19"/>
      <c r="L1044646" s="19"/>
      <c r="M1044646" s="19"/>
      <c r="N1044646" s="19"/>
    </row>
    <row r="1044647" spans="1:14" s="83" customFormat="1" ht="12.75">
      <c r="A1044647" s="19"/>
      <c r="B1044647" s="19"/>
      <c r="C1044647" s="19"/>
      <c r="D1044647" s="19"/>
      <c r="E1044647" s="19"/>
      <c r="F1044647" s="19"/>
      <c r="G1044647" s="19"/>
      <c r="H1044647" s="19"/>
      <c r="I1044647" s="19"/>
      <c r="J1044647" s="19"/>
      <c r="K1044647" s="19"/>
      <c r="L1044647" s="19"/>
      <c r="M1044647" s="19"/>
      <c r="N1044647" s="19"/>
    </row>
    <row r="1044648" spans="1:14" s="83" customFormat="1" ht="12.75">
      <c r="A1044648" s="19"/>
      <c r="B1044648" s="19"/>
      <c r="C1044648" s="19"/>
      <c r="D1044648" s="19"/>
      <c r="E1044648" s="19"/>
      <c r="F1044648" s="19"/>
      <c r="G1044648" s="19"/>
      <c r="H1044648" s="19"/>
      <c r="I1044648" s="19"/>
      <c r="J1044648" s="19"/>
      <c r="K1044648" s="19"/>
      <c r="L1044648" s="19"/>
      <c r="M1044648" s="19"/>
      <c r="N1044648" s="19"/>
    </row>
    <row r="1044649" spans="1:14" s="83" customFormat="1" ht="12.75">
      <c r="A1044649" s="19"/>
      <c r="B1044649" s="19"/>
      <c r="C1044649" s="19"/>
      <c r="D1044649" s="19"/>
      <c r="E1044649" s="19"/>
      <c r="F1044649" s="19"/>
      <c r="G1044649" s="19"/>
      <c r="H1044649" s="19"/>
      <c r="I1044649" s="19"/>
      <c r="J1044649" s="19"/>
      <c r="K1044649" s="19"/>
      <c r="L1044649" s="19"/>
      <c r="M1044649" s="19"/>
      <c r="N1044649" s="19"/>
    </row>
    <row r="1044650" spans="1:14" s="83" customFormat="1" ht="12.75">
      <c r="A1044650" s="19"/>
      <c r="B1044650" s="19"/>
      <c r="C1044650" s="19"/>
      <c r="D1044650" s="19"/>
      <c r="E1044650" s="19"/>
      <c r="F1044650" s="19"/>
      <c r="G1044650" s="19"/>
      <c r="H1044650" s="19"/>
      <c r="I1044650" s="19"/>
      <c r="J1044650" s="19"/>
      <c r="K1044650" s="19"/>
      <c r="L1044650" s="19"/>
      <c r="M1044650" s="19"/>
      <c r="N1044650" s="19"/>
    </row>
    <row r="1044651" spans="1:14" s="83" customFormat="1" ht="12.75">
      <c r="A1044651" s="19"/>
      <c r="B1044651" s="19"/>
      <c r="C1044651" s="19"/>
      <c r="D1044651" s="19"/>
      <c r="E1044651" s="19"/>
      <c r="F1044651" s="19"/>
      <c r="G1044651" s="19"/>
      <c r="H1044651" s="19"/>
      <c r="I1044651" s="19"/>
      <c r="J1044651" s="19"/>
      <c r="K1044651" s="19"/>
      <c r="L1044651" s="19"/>
      <c r="M1044651" s="19"/>
      <c r="N1044651" s="19"/>
    </row>
    <row r="1044652" spans="1:14" s="83" customFormat="1" ht="12.75">
      <c r="A1044652" s="19"/>
      <c r="B1044652" s="19"/>
      <c r="C1044652" s="19"/>
      <c r="D1044652" s="19"/>
      <c r="E1044652" s="19"/>
      <c r="F1044652" s="19"/>
      <c r="G1044652" s="19"/>
      <c r="H1044652" s="19"/>
      <c r="I1044652" s="19"/>
      <c r="J1044652" s="19"/>
      <c r="K1044652" s="19"/>
      <c r="L1044652" s="19"/>
      <c r="M1044652" s="19"/>
      <c r="N1044652" s="19"/>
    </row>
    <row r="1044653" spans="1:14" s="83" customFormat="1" ht="12.75">
      <c r="A1044653" s="19"/>
      <c r="B1044653" s="19"/>
      <c r="C1044653" s="19"/>
      <c r="D1044653" s="19"/>
      <c r="E1044653" s="19"/>
      <c r="F1044653" s="19"/>
      <c r="G1044653" s="19"/>
      <c r="H1044653" s="19"/>
      <c r="I1044653" s="19"/>
      <c r="J1044653" s="19"/>
      <c r="K1044653" s="19"/>
      <c r="L1044653" s="19"/>
      <c r="M1044653" s="19"/>
      <c r="N1044653" s="19"/>
    </row>
    <row r="1044654" spans="1:14" s="83" customFormat="1" ht="12.75">
      <c r="A1044654" s="19"/>
      <c r="B1044654" s="19"/>
      <c r="C1044654" s="19"/>
      <c r="D1044654" s="19"/>
      <c r="E1044654" s="19"/>
      <c r="F1044654" s="19"/>
      <c r="G1044654" s="19"/>
      <c r="H1044654" s="19"/>
      <c r="I1044654" s="19"/>
      <c r="J1044654" s="19"/>
      <c r="K1044654" s="19"/>
      <c r="L1044654" s="19"/>
      <c r="M1044654" s="19"/>
      <c r="N1044654" s="19"/>
    </row>
    <row r="1044655" spans="1:14" s="83" customFormat="1" ht="12.75">
      <c r="A1044655" s="19"/>
      <c r="B1044655" s="19"/>
      <c r="C1044655" s="19"/>
      <c r="D1044655" s="19"/>
      <c r="E1044655" s="19"/>
      <c r="F1044655" s="19"/>
      <c r="G1044655" s="19"/>
      <c r="H1044655" s="19"/>
      <c r="I1044655" s="19"/>
      <c r="J1044655" s="19"/>
      <c r="K1044655" s="19"/>
      <c r="L1044655" s="19"/>
      <c r="M1044655" s="19"/>
      <c r="N1044655" s="19"/>
    </row>
    <row r="1044656" spans="1:14" s="83" customFormat="1" ht="12.75">
      <c r="A1044656" s="19"/>
      <c r="B1044656" s="19"/>
      <c r="C1044656" s="19"/>
      <c r="D1044656" s="19"/>
      <c r="E1044656" s="19"/>
      <c r="F1044656" s="19"/>
      <c r="G1044656" s="19"/>
      <c r="H1044656" s="19"/>
      <c r="I1044656" s="19"/>
      <c r="J1044656" s="19"/>
      <c r="K1044656" s="19"/>
      <c r="L1044656" s="19"/>
      <c r="M1044656" s="19"/>
      <c r="N1044656" s="19"/>
    </row>
    <row r="1044657" spans="1:14" s="83" customFormat="1" ht="12.75">
      <c r="A1044657" s="19"/>
      <c r="B1044657" s="19"/>
      <c r="C1044657" s="19"/>
      <c r="D1044657" s="19"/>
      <c r="E1044657" s="19"/>
      <c r="F1044657" s="19"/>
      <c r="G1044657" s="19"/>
      <c r="H1044657" s="19"/>
      <c r="I1044657" s="19"/>
      <c r="J1044657" s="19"/>
      <c r="K1044657" s="19"/>
      <c r="L1044657" s="19"/>
      <c r="M1044657" s="19"/>
      <c r="N1044657" s="19"/>
    </row>
    <row r="1044658" spans="1:14" s="83" customFormat="1" ht="12.75">
      <c r="A1044658" s="19"/>
      <c r="B1044658" s="19"/>
      <c r="C1044658" s="19"/>
      <c r="D1044658" s="19"/>
      <c r="E1044658" s="19"/>
      <c r="F1044658" s="19"/>
      <c r="G1044658" s="19"/>
      <c r="H1044658" s="19"/>
      <c r="I1044658" s="19"/>
      <c r="J1044658" s="19"/>
      <c r="K1044658" s="19"/>
      <c r="L1044658" s="19"/>
      <c r="M1044658" s="19"/>
      <c r="N1044658" s="19"/>
    </row>
    <row r="1044659" spans="1:14" s="83" customFormat="1" ht="12.75">
      <c r="A1044659" s="19"/>
      <c r="B1044659" s="19"/>
      <c r="C1044659" s="19"/>
      <c r="D1044659" s="19"/>
      <c r="E1044659" s="19"/>
      <c r="F1044659" s="19"/>
      <c r="G1044659" s="19"/>
      <c r="H1044659" s="19"/>
      <c r="I1044659" s="19"/>
      <c r="J1044659" s="19"/>
      <c r="K1044659" s="19"/>
      <c r="L1044659" s="19"/>
      <c r="M1044659" s="19"/>
      <c r="N1044659" s="19"/>
    </row>
    <row r="1044660" spans="1:14" s="83" customFormat="1" ht="12.75">
      <c r="A1044660" s="19"/>
      <c r="B1044660" s="19"/>
      <c r="C1044660" s="19"/>
      <c r="D1044660" s="19"/>
      <c r="E1044660" s="19"/>
      <c r="F1044660" s="19"/>
      <c r="G1044660" s="19"/>
      <c r="H1044660" s="19"/>
      <c r="I1044660" s="19"/>
      <c r="J1044660" s="19"/>
      <c r="K1044660" s="19"/>
      <c r="L1044660" s="19"/>
      <c r="M1044660" s="19"/>
      <c r="N1044660" s="19"/>
    </row>
    <row r="1044661" spans="1:14" s="83" customFormat="1" ht="12.75">
      <c r="A1044661" s="19"/>
      <c r="B1044661" s="19"/>
      <c r="C1044661" s="19"/>
      <c r="D1044661" s="19"/>
      <c r="E1044661" s="19"/>
      <c r="F1044661" s="19"/>
      <c r="G1044661" s="19"/>
      <c r="H1044661" s="19"/>
      <c r="I1044661" s="19"/>
      <c r="J1044661" s="19"/>
      <c r="K1044661" s="19"/>
      <c r="L1044661" s="19"/>
      <c r="M1044661" s="19"/>
      <c r="N1044661" s="19"/>
    </row>
    <row r="1044662" spans="1:14" s="83" customFormat="1" ht="12.75">
      <c r="A1044662" s="19"/>
      <c r="B1044662" s="19"/>
      <c r="C1044662" s="19"/>
      <c r="D1044662" s="19"/>
      <c r="E1044662" s="19"/>
      <c r="F1044662" s="19"/>
      <c r="G1044662" s="19"/>
      <c r="H1044662" s="19"/>
      <c r="I1044662" s="19"/>
      <c r="J1044662" s="19"/>
      <c r="K1044662" s="19"/>
      <c r="L1044662" s="19"/>
      <c r="M1044662" s="19"/>
      <c r="N1044662" s="19"/>
    </row>
    <row r="1044663" spans="1:14" s="83" customFormat="1" ht="12.75">
      <c r="A1044663" s="19"/>
      <c r="B1044663" s="19"/>
      <c r="C1044663" s="19"/>
      <c r="D1044663" s="19"/>
      <c r="E1044663" s="19"/>
      <c r="F1044663" s="19"/>
      <c r="G1044663" s="19"/>
      <c r="H1044663" s="19"/>
      <c r="I1044663" s="19"/>
      <c r="J1044663" s="19"/>
      <c r="K1044663" s="19"/>
      <c r="L1044663" s="19"/>
      <c r="M1044663" s="19"/>
      <c r="N1044663" s="19"/>
    </row>
    <row r="1044664" spans="1:14" s="83" customFormat="1" ht="12.75">
      <c r="A1044664" s="19"/>
      <c r="B1044664" s="19"/>
      <c r="C1044664" s="19"/>
      <c r="D1044664" s="19"/>
      <c r="E1044664" s="19"/>
      <c r="F1044664" s="19"/>
      <c r="G1044664" s="19"/>
      <c r="H1044664" s="19"/>
      <c r="I1044664" s="19"/>
      <c r="J1044664" s="19"/>
      <c r="K1044664" s="19"/>
      <c r="L1044664" s="19"/>
      <c r="M1044664" s="19"/>
      <c r="N1044664" s="19"/>
    </row>
    <row r="1044665" spans="1:14" s="83" customFormat="1" ht="12.75">
      <c r="A1044665" s="19"/>
      <c r="B1044665" s="19"/>
      <c r="C1044665" s="19"/>
      <c r="D1044665" s="19"/>
      <c r="E1044665" s="19"/>
      <c r="F1044665" s="19"/>
      <c r="G1044665" s="19"/>
      <c r="H1044665" s="19"/>
      <c r="I1044665" s="19"/>
      <c r="J1044665" s="19"/>
      <c r="K1044665" s="19"/>
      <c r="L1044665" s="19"/>
      <c r="M1044665" s="19"/>
      <c r="N1044665" s="19"/>
    </row>
    <row r="1044666" spans="1:14" s="83" customFormat="1" ht="12.75">
      <c r="A1044666" s="19"/>
      <c r="B1044666" s="19"/>
      <c r="C1044666" s="19"/>
      <c r="D1044666" s="19"/>
      <c r="E1044666" s="19"/>
      <c r="F1044666" s="19"/>
      <c r="G1044666" s="19"/>
      <c r="H1044666" s="19"/>
      <c r="I1044666" s="19"/>
      <c r="J1044666" s="19"/>
      <c r="K1044666" s="19"/>
      <c r="L1044666" s="19"/>
      <c r="M1044666" s="19"/>
      <c r="N1044666" s="19"/>
    </row>
    <row r="1044667" spans="1:14" s="83" customFormat="1" ht="12.75">
      <c r="A1044667" s="19"/>
      <c r="B1044667" s="19"/>
      <c r="C1044667" s="19"/>
      <c r="D1044667" s="19"/>
      <c r="E1044667" s="19"/>
      <c r="F1044667" s="19"/>
      <c r="G1044667" s="19"/>
      <c r="H1044667" s="19"/>
      <c r="I1044667" s="19"/>
      <c r="J1044667" s="19"/>
      <c r="K1044667" s="19"/>
      <c r="L1044667" s="19"/>
      <c r="M1044667" s="19"/>
      <c r="N1044667" s="19"/>
    </row>
    <row r="1044668" spans="1:14" s="83" customFormat="1" ht="12.75">
      <c r="A1044668" s="19"/>
      <c r="B1044668" s="19"/>
      <c r="C1044668" s="19"/>
      <c r="D1044668" s="19"/>
      <c r="E1044668" s="19"/>
      <c r="F1044668" s="19"/>
      <c r="G1044668" s="19"/>
      <c r="H1044668" s="19"/>
      <c r="I1044668" s="19"/>
      <c r="J1044668" s="19"/>
      <c r="K1044668" s="19"/>
      <c r="L1044668" s="19"/>
      <c r="M1044668" s="19"/>
      <c r="N1044668" s="19"/>
    </row>
    <row r="1044669" spans="1:14" s="83" customFormat="1" ht="12.75">
      <c r="A1044669" s="19"/>
      <c r="B1044669" s="19"/>
      <c r="C1044669" s="19"/>
      <c r="D1044669" s="19"/>
      <c r="E1044669" s="19"/>
      <c r="F1044669" s="19"/>
      <c r="G1044669" s="19"/>
      <c r="H1044669" s="19"/>
      <c r="I1044669" s="19"/>
      <c r="J1044669" s="19"/>
      <c r="K1044669" s="19"/>
      <c r="L1044669" s="19"/>
      <c r="M1044669" s="19"/>
      <c r="N1044669" s="19"/>
    </row>
    <row r="1044670" spans="1:14" s="83" customFormat="1" ht="12.75">
      <c r="A1044670" s="19"/>
      <c r="B1044670" s="19"/>
      <c r="C1044670" s="19"/>
      <c r="D1044670" s="19"/>
      <c r="E1044670" s="19"/>
      <c r="F1044670" s="19"/>
      <c r="G1044670" s="19"/>
      <c r="H1044670" s="19"/>
      <c r="I1044670" s="19"/>
      <c r="J1044670" s="19"/>
      <c r="K1044670" s="19"/>
      <c r="L1044670" s="19"/>
      <c r="M1044670" s="19"/>
      <c r="N1044670" s="19"/>
    </row>
    <row r="1044671" spans="1:14" s="83" customFormat="1" ht="12.75">
      <c r="A1044671" s="19"/>
      <c r="B1044671" s="19"/>
      <c r="C1044671" s="19"/>
      <c r="D1044671" s="19"/>
      <c r="E1044671" s="19"/>
      <c r="F1044671" s="19"/>
      <c r="G1044671" s="19"/>
      <c r="H1044671" s="19"/>
      <c r="I1044671" s="19"/>
      <c r="J1044671" s="19"/>
      <c r="K1044671" s="19"/>
      <c r="L1044671" s="19"/>
      <c r="M1044671" s="19"/>
      <c r="N1044671" s="19"/>
    </row>
    <row r="1044672" spans="1:14" s="83" customFormat="1" ht="12.75">
      <c r="A1044672" s="19"/>
      <c r="B1044672" s="19"/>
      <c r="C1044672" s="19"/>
      <c r="D1044672" s="19"/>
      <c r="E1044672" s="19"/>
      <c r="F1044672" s="19"/>
      <c r="G1044672" s="19"/>
      <c r="H1044672" s="19"/>
      <c r="I1044672" s="19"/>
      <c r="J1044672" s="19"/>
      <c r="K1044672" s="19"/>
      <c r="L1044672" s="19"/>
      <c r="M1044672" s="19"/>
      <c r="N1044672" s="19"/>
    </row>
    <row r="1044673" spans="1:14" s="83" customFormat="1" ht="12.75">
      <c r="A1044673" s="19"/>
      <c r="B1044673" s="19"/>
      <c r="C1044673" s="19"/>
      <c r="D1044673" s="19"/>
      <c r="E1044673" s="19"/>
      <c r="F1044673" s="19"/>
      <c r="G1044673" s="19"/>
      <c r="H1044673" s="19"/>
      <c r="I1044673" s="19"/>
      <c r="J1044673" s="19"/>
      <c r="K1044673" s="19"/>
      <c r="L1044673" s="19"/>
      <c r="M1044673" s="19"/>
      <c r="N1044673" s="19"/>
    </row>
    <row r="1044674" spans="1:14" s="83" customFormat="1" ht="12.75">
      <c r="A1044674" s="19"/>
      <c r="B1044674" s="19"/>
      <c r="C1044674" s="19"/>
      <c r="D1044674" s="19"/>
      <c r="E1044674" s="19"/>
      <c r="F1044674" s="19"/>
      <c r="G1044674" s="19"/>
      <c r="H1044674" s="19"/>
      <c r="I1044674" s="19"/>
      <c r="J1044674" s="19"/>
      <c r="K1044674" s="19"/>
      <c r="L1044674" s="19"/>
      <c r="M1044674" s="19"/>
      <c r="N1044674" s="19"/>
    </row>
    <row r="1044675" spans="1:14" s="83" customFormat="1" ht="12.75">
      <c r="A1044675" s="19"/>
      <c r="B1044675" s="19"/>
      <c r="C1044675" s="19"/>
      <c r="D1044675" s="19"/>
      <c r="E1044675" s="19"/>
      <c r="F1044675" s="19"/>
      <c r="G1044675" s="19"/>
      <c r="H1044675" s="19"/>
      <c r="I1044675" s="19"/>
      <c r="J1044675" s="19"/>
      <c r="K1044675" s="19"/>
      <c r="L1044675" s="19"/>
      <c r="M1044675" s="19"/>
      <c r="N1044675" s="19"/>
    </row>
    <row r="1044676" spans="1:14" s="83" customFormat="1" ht="12.75">
      <c r="A1044676" s="19"/>
      <c r="B1044676" s="19"/>
      <c r="C1044676" s="19"/>
      <c r="D1044676" s="19"/>
      <c r="E1044676" s="19"/>
      <c r="F1044676" s="19"/>
      <c r="G1044676" s="19"/>
      <c r="H1044676" s="19"/>
      <c r="I1044676" s="19"/>
      <c r="J1044676" s="19"/>
      <c r="K1044676" s="19"/>
      <c r="L1044676" s="19"/>
      <c r="M1044676" s="19"/>
      <c r="N1044676" s="19"/>
    </row>
    <row r="1044677" spans="1:14" s="83" customFormat="1" ht="12.75">
      <c r="A1044677" s="19"/>
      <c r="B1044677" s="19"/>
      <c r="C1044677" s="19"/>
      <c r="D1044677" s="19"/>
      <c r="E1044677" s="19"/>
      <c r="F1044677" s="19"/>
      <c r="G1044677" s="19"/>
      <c r="H1044677" s="19"/>
      <c r="I1044677" s="19"/>
      <c r="J1044677" s="19"/>
      <c r="K1044677" s="19"/>
      <c r="L1044677" s="19"/>
      <c r="M1044677" s="19"/>
      <c r="N1044677" s="19"/>
    </row>
    <row r="1044678" spans="1:14" s="83" customFormat="1" ht="12.75">
      <c r="A1044678" s="19"/>
      <c r="B1044678" s="19"/>
      <c r="C1044678" s="19"/>
      <c r="D1044678" s="19"/>
      <c r="E1044678" s="19"/>
      <c r="F1044678" s="19"/>
      <c r="G1044678" s="19"/>
      <c r="H1044678" s="19"/>
      <c r="I1044678" s="19"/>
      <c r="J1044678" s="19"/>
      <c r="K1044678" s="19"/>
      <c r="L1044678" s="19"/>
      <c r="M1044678" s="19"/>
      <c r="N1044678" s="19"/>
    </row>
    <row r="1044679" spans="1:14" s="83" customFormat="1" ht="12.75">
      <c r="A1044679" s="19"/>
      <c r="B1044679" s="19"/>
      <c r="C1044679" s="19"/>
      <c r="D1044679" s="19"/>
      <c r="E1044679" s="19"/>
      <c r="F1044679" s="19"/>
      <c r="G1044679" s="19"/>
      <c r="H1044679" s="19"/>
      <c r="I1044679" s="19"/>
      <c r="J1044679" s="19"/>
      <c r="K1044679" s="19"/>
      <c r="L1044679" s="19"/>
      <c r="M1044679" s="19"/>
      <c r="N1044679" s="19"/>
    </row>
    <row r="1044680" spans="1:14" s="83" customFormat="1" ht="12.75">
      <c r="A1044680" s="19"/>
      <c r="B1044680" s="19"/>
      <c r="C1044680" s="19"/>
      <c r="D1044680" s="19"/>
      <c r="E1044680" s="19"/>
      <c r="F1044680" s="19"/>
      <c r="G1044680" s="19"/>
      <c r="H1044680" s="19"/>
      <c r="I1044680" s="19"/>
      <c r="J1044680" s="19"/>
      <c r="K1044680" s="19"/>
      <c r="L1044680" s="19"/>
      <c r="M1044680" s="19"/>
      <c r="N1044680" s="19"/>
    </row>
    <row r="1044681" spans="1:14" s="83" customFormat="1" ht="12.75">
      <c r="A1044681" s="19"/>
      <c r="B1044681" s="19"/>
      <c r="C1044681" s="19"/>
      <c r="D1044681" s="19"/>
      <c r="E1044681" s="19"/>
      <c r="F1044681" s="19"/>
      <c r="G1044681" s="19"/>
      <c r="H1044681" s="19"/>
      <c r="I1044681" s="19"/>
      <c r="J1044681" s="19"/>
      <c r="K1044681" s="19"/>
      <c r="L1044681" s="19"/>
      <c r="M1044681" s="19"/>
      <c r="N1044681" s="19"/>
    </row>
    <row r="1044682" spans="1:14" s="83" customFormat="1" ht="12.75">
      <c r="A1044682" s="19"/>
      <c r="B1044682" s="19"/>
      <c r="C1044682" s="19"/>
      <c r="D1044682" s="19"/>
      <c r="E1044682" s="19"/>
      <c r="F1044682" s="19"/>
      <c r="G1044682" s="19"/>
      <c r="H1044682" s="19"/>
      <c r="I1044682" s="19"/>
      <c r="J1044682" s="19"/>
      <c r="K1044682" s="19"/>
      <c r="L1044682" s="19"/>
      <c r="M1044682" s="19"/>
      <c r="N1044682" s="19"/>
    </row>
    <row r="1044683" spans="1:14" s="83" customFormat="1" ht="12.75">
      <c r="A1044683" s="19"/>
      <c r="B1044683" s="19"/>
      <c r="C1044683" s="19"/>
      <c r="D1044683" s="19"/>
      <c r="E1044683" s="19"/>
      <c r="F1044683" s="19"/>
      <c r="G1044683" s="19"/>
      <c r="H1044683" s="19"/>
      <c r="I1044683" s="19"/>
      <c r="J1044683" s="19"/>
      <c r="K1044683" s="19"/>
      <c r="L1044683" s="19"/>
      <c r="M1044683" s="19"/>
      <c r="N1044683" s="19"/>
    </row>
    <row r="1044684" spans="1:14" s="83" customFormat="1" ht="12.75">
      <c r="A1044684" s="19"/>
      <c r="B1044684" s="19"/>
      <c r="C1044684" s="19"/>
      <c r="D1044684" s="19"/>
      <c r="E1044684" s="19"/>
      <c r="F1044684" s="19"/>
      <c r="G1044684" s="19"/>
      <c r="H1044684" s="19"/>
      <c r="I1044684" s="19"/>
      <c r="J1044684" s="19"/>
      <c r="K1044684" s="19"/>
      <c r="L1044684" s="19"/>
      <c r="M1044684" s="19"/>
      <c r="N1044684" s="19"/>
    </row>
    <row r="1044685" spans="1:14" s="83" customFormat="1" ht="12.75">
      <c r="A1044685" s="19"/>
      <c r="B1044685" s="19"/>
      <c r="C1044685" s="19"/>
      <c r="D1044685" s="19"/>
      <c r="E1044685" s="19"/>
      <c r="F1044685" s="19"/>
      <c r="G1044685" s="19"/>
      <c r="H1044685" s="19"/>
      <c r="I1044685" s="19"/>
      <c r="J1044685" s="19"/>
      <c r="K1044685" s="19"/>
      <c r="L1044685" s="19"/>
      <c r="M1044685" s="19"/>
      <c r="N1044685" s="19"/>
    </row>
    <row r="1044686" spans="1:14" s="83" customFormat="1" ht="12.75">
      <c r="A1044686" s="19"/>
      <c r="B1044686" s="19"/>
      <c r="C1044686" s="19"/>
      <c r="D1044686" s="19"/>
      <c r="E1044686" s="19"/>
      <c r="F1044686" s="19"/>
      <c r="G1044686" s="19"/>
      <c r="H1044686" s="19"/>
      <c r="I1044686" s="19"/>
      <c r="J1044686" s="19"/>
      <c r="K1044686" s="19"/>
      <c r="L1044686" s="19"/>
      <c r="M1044686" s="19"/>
      <c r="N1044686" s="19"/>
    </row>
    <row r="1044687" spans="1:14" s="83" customFormat="1" ht="12.75">
      <c r="A1044687" s="19"/>
      <c r="B1044687" s="19"/>
      <c r="C1044687" s="19"/>
      <c r="D1044687" s="19"/>
      <c r="E1044687" s="19"/>
      <c r="F1044687" s="19"/>
      <c r="G1044687" s="19"/>
      <c r="H1044687" s="19"/>
      <c r="I1044687" s="19"/>
      <c r="J1044687" s="19"/>
      <c r="K1044687" s="19"/>
      <c r="L1044687" s="19"/>
      <c r="M1044687" s="19"/>
      <c r="N1044687" s="19"/>
    </row>
    <row r="1044688" spans="1:14" s="83" customFormat="1" ht="12.75">
      <c r="A1044688" s="19"/>
      <c r="B1044688" s="19"/>
      <c r="C1044688" s="19"/>
      <c r="D1044688" s="19"/>
      <c r="E1044688" s="19"/>
      <c r="F1044688" s="19"/>
      <c r="G1044688" s="19"/>
      <c r="H1044688" s="19"/>
      <c r="I1044688" s="19"/>
      <c r="J1044688" s="19"/>
      <c r="K1044688" s="19"/>
      <c r="L1044688" s="19"/>
      <c r="M1044688" s="19"/>
      <c r="N1044688" s="19"/>
    </row>
    <row r="1044689" spans="1:14" s="83" customFormat="1" ht="12.75">
      <c r="A1044689" s="19"/>
      <c r="B1044689" s="19"/>
      <c r="C1044689" s="19"/>
      <c r="D1044689" s="19"/>
      <c r="E1044689" s="19"/>
      <c r="F1044689" s="19"/>
      <c r="G1044689" s="19"/>
      <c r="H1044689" s="19"/>
      <c r="I1044689" s="19"/>
      <c r="J1044689" s="19"/>
      <c r="K1044689" s="19"/>
      <c r="L1044689" s="19"/>
      <c r="M1044689" s="19"/>
      <c r="N1044689" s="19"/>
    </row>
    <row r="1044690" spans="1:14" s="83" customFormat="1" ht="12.75">
      <c r="A1044690" s="19"/>
      <c r="B1044690" s="19"/>
      <c r="C1044690" s="19"/>
      <c r="D1044690" s="19"/>
      <c r="E1044690" s="19"/>
      <c r="F1044690" s="19"/>
      <c r="G1044690" s="19"/>
      <c r="H1044690" s="19"/>
      <c r="I1044690" s="19"/>
      <c r="J1044690" s="19"/>
      <c r="K1044690" s="19"/>
      <c r="L1044690" s="19"/>
      <c r="M1044690" s="19"/>
      <c r="N1044690" s="19"/>
    </row>
    <row r="1044691" spans="1:14" s="83" customFormat="1" ht="12.75">
      <c r="A1044691" s="19"/>
      <c r="B1044691" s="19"/>
      <c r="C1044691" s="19"/>
      <c r="D1044691" s="19"/>
      <c r="E1044691" s="19"/>
      <c r="F1044691" s="19"/>
      <c r="G1044691" s="19"/>
      <c r="H1044691" s="19"/>
      <c r="I1044691" s="19"/>
      <c r="J1044691" s="19"/>
      <c r="K1044691" s="19"/>
      <c r="L1044691" s="19"/>
      <c r="M1044691" s="19"/>
      <c r="N1044691" s="19"/>
    </row>
    <row r="1044692" spans="1:14" s="83" customFormat="1" ht="12.75">
      <c r="A1044692" s="19"/>
      <c r="B1044692" s="19"/>
      <c r="C1044692" s="19"/>
      <c r="D1044692" s="19"/>
      <c r="E1044692" s="19"/>
      <c r="F1044692" s="19"/>
      <c r="G1044692" s="19"/>
      <c r="H1044692" s="19"/>
      <c r="I1044692" s="19"/>
      <c r="J1044692" s="19"/>
      <c r="K1044692" s="19"/>
      <c r="L1044692" s="19"/>
      <c r="M1044692" s="19"/>
      <c r="N1044692" s="19"/>
    </row>
    <row r="1044693" spans="1:14" s="83" customFormat="1" ht="12.75">
      <c r="A1044693" s="19"/>
      <c r="B1044693" s="19"/>
      <c r="C1044693" s="19"/>
      <c r="D1044693" s="19"/>
      <c r="E1044693" s="19"/>
      <c r="F1044693" s="19"/>
      <c r="G1044693" s="19"/>
      <c r="H1044693" s="19"/>
      <c r="I1044693" s="19"/>
      <c r="J1044693" s="19"/>
      <c r="K1044693" s="19"/>
      <c r="L1044693" s="19"/>
      <c r="M1044693" s="19"/>
      <c r="N1044693" s="19"/>
    </row>
    <row r="1044694" spans="1:14" s="83" customFormat="1" ht="12.75">
      <c r="A1044694" s="19"/>
      <c r="B1044694" s="19"/>
      <c r="C1044694" s="19"/>
      <c r="D1044694" s="19"/>
      <c r="E1044694" s="19"/>
      <c r="F1044694" s="19"/>
      <c r="G1044694" s="19"/>
      <c r="H1044694" s="19"/>
      <c r="I1044694" s="19"/>
      <c r="J1044694" s="19"/>
      <c r="K1044694" s="19"/>
      <c r="L1044694" s="19"/>
      <c r="M1044694" s="19"/>
      <c r="N1044694" s="19"/>
    </row>
    <row r="1044695" spans="1:14" s="83" customFormat="1" ht="12.75">
      <c r="A1044695" s="19"/>
      <c r="B1044695" s="19"/>
      <c r="C1044695" s="19"/>
      <c r="D1044695" s="19"/>
      <c r="E1044695" s="19"/>
      <c r="F1044695" s="19"/>
      <c r="G1044695" s="19"/>
      <c r="H1044695" s="19"/>
      <c r="I1044695" s="19"/>
      <c r="J1044695" s="19"/>
      <c r="K1044695" s="19"/>
      <c r="L1044695" s="19"/>
      <c r="M1044695" s="19"/>
      <c r="N1044695" s="19"/>
    </row>
    <row r="1044696" spans="1:14" s="83" customFormat="1" ht="12.75">
      <c r="A1044696" s="19"/>
      <c r="B1044696" s="19"/>
      <c r="C1044696" s="19"/>
      <c r="D1044696" s="19"/>
      <c r="E1044696" s="19"/>
      <c r="F1044696" s="19"/>
      <c r="G1044696" s="19"/>
      <c r="H1044696" s="19"/>
      <c r="I1044696" s="19"/>
      <c r="J1044696" s="19"/>
      <c r="K1044696" s="19"/>
      <c r="L1044696" s="19"/>
      <c r="M1044696" s="19"/>
      <c r="N1044696" s="19"/>
    </row>
    <row r="1044697" spans="1:14" s="83" customFormat="1" ht="12.75">
      <c r="A1044697" s="19"/>
      <c r="B1044697" s="19"/>
      <c r="C1044697" s="19"/>
      <c r="D1044697" s="19"/>
      <c r="E1044697" s="19"/>
      <c r="F1044697" s="19"/>
      <c r="G1044697" s="19"/>
      <c r="H1044697" s="19"/>
      <c r="I1044697" s="19"/>
      <c r="J1044697" s="19"/>
      <c r="K1044697" s="19"/>
      <c r="L1044697" s="19"/>
      <c r="M1044697" s="19"/>
      <c r="N1044697" s="19"/>
    </row>
    <row r="1044698" spans="1:14" s="83" customFormat="1" ht="12.75">
      <c r="A1044698" s="19"/>
      <c r="B1044698" s="19"/>
      <c r="C1044698" s="19"/>
      <c r="D1044698" s="19"/>
      <c r="E1044698" s="19"/>
      <c r="F1044698" s="19"/>
      <c r="G1044698" s="19"/>
      <c r="H1044698" s="19"/>
      <c r="I1044698" s="19"/>
      <c r="J1044698" s="19"/>
      <c r="K1044698" s="19"/>
      <c r="L1044698" s="19"/>
      <c r="M1044698" s="19"/>
      <c r="N1044698" s="19"/>
    </row>
    <row r="1044699" spans="1:14" s="83" customFormat="1" ht="12.75">
      <c r="A1044699" s="19"/>
      <c r="B1044699" s="19"/>
      <c r="C1044699" s="19"/>
      <c r="D1044699" s="19"/>
      <c r="E1044699" s="19"/>
      <c r="F1044699" s="19"/>
      <c r="G1044699" s="19"/>
      <c r="H1044699" s="19"/>
      <c r="I1044699" s="19"/>
      <c r="J1044699" s="19"/>
      <c r="K1044699" s="19"/>
      <c r="L1044699" s="19"/>
      <c r="M1044699" s="19"/>
      <c r="N1044699" s="19"/>
    </row>
    <row r="1044700" spans="1:14" s="83" customFormat="1" ht="12.75">
      <c r="A1044700" s="19"/>
      <c r="B1044700" s="19"/>
      <c r="C1044700" s="19"/>
      <c r="D1044700" s="19"/>
      <c r="E1044700" s="19"/>
      <c r="F1044700" s="19"/>
      <c r="G1044700" s="19"/>
      <c r="H1044700" s="19"/>
      <c r="I1044700" s="19"/>
      <c r="J1044700" s="19"/>
      <c r="K1044700" s="19"/>
      <c r="L1044700" s="19"/>
      <c r="M1044700" s="19"/>
      <c r="N1044700" s="19"/>
    </row>
    <row r="1044701" spans="1:14" s="83" customFormat="1" ht="12.75">
      <c r="A1044701" s="19"/>
      <c r="B1044701" s="19"/>
      <c r="C1044701" s="19"/>
      <c r="D1044701" s="19"/>
      <c r="E1044701" s="19"/>
      <c r="F1044701" s="19"/>
      <c r="G1044701" s="19"/>
      <c r="H1044701" s="19"/>
      <c r="I1044701" s="19"/>
      <c r="J1044701" s="19"/>
      <c r="K1044701" s="19"/>
      <c r="L1044701" s="19"/>
      <c r="M1044701" s="19"/>
      <c r="N1044701" s="19"/>
    </row>
    <row r="1044702" spans="1:14" s="83" customFormat="1" ht="12.75">
      <c r="A1044702" s="19"/>
      <c r="B1044702" s="19"/>
      <c r="C1044702" s="19"/>
      <c r="D1044702" s="19"/>
      <c r="E1044702" s="19"/>
      <c r="F1044702" s="19"/>
      <c r="G1044702" s="19"/>
      <c r="H1044702" s="19"/>
      <c r="I1044702" s="19"/>
      <c r="J1044702" s="19"/>
      <c r="K1044702" s="19"/>
      <c r="L1044702" s="19"/>
      <c r="M1044702" s="19"/>
      <c r="N1044702" s="19"/>
    </row>
    <row r="1044703" spans="1:14" s="83" customFormat="1" ht="12.75">
      <c r="A1044703" s="19"/>
      <c r="B1044703" s="19"/>
      <c r="C1044703" s="19"/>
      <c r="D1044703" s="19"/>
      <c r="E1044703" s="19"/>
      <c r="F1044703" s="19"/>
      <c r="G1044703" s="19"/>
      <c r="H1044703" s="19"/>
      <c r="I1044703" s="19"/>
      <c r="J1044703" s="19"/>
      <c r="K1044703" s="19"/>
      <c r="L1044703" s="19"/>
      <c r="M1044703" s="19"/>
      <c r="N1044703" s="19"/>
    </row>
    <row r="1044704" spans="1:14" s="83" customFormat="1" ht="12.75">
      <c r="A1044704" s="19"/>
      <c r="B1044704" s="19"/>
      <c r="C1044704" s="19"/>
      <c r="D1044704" s="19"/>
      <c r="E1044704" s="19"/>
      <c r="F1044704" s="19"/>
      <c r="G1044704" s="19"/>
      <c r="H1044704" s="19"/>
      <c r="I1044704" s="19"/>
      <c r="J1044704" s="19"/>
      <c r="K1044704" s="19"/>
      <c r="L1044704" s="19"/>
      <c r="M1044704" s="19"/>
      <c r="N1044704" s="19"/>
    </row>
    <row r="1044705" spans="1:14" s="83" customFormat="1" ht="12.75">
      <c r="A1044705" s="19"/>
      <c r="B1044705" s="19"/>
      <c r="C1044705" s="19"/>
      <c r="D1044705" s="19"/>
      <c r="E1044705" s="19"/>
      <c r="F1044705" s="19"/>
      <c r="G1044705" s="19"/>
      <c r="H1044705" s="19"/>
      <c r="I1044705" s="19"/>
      <c r="J1044705" s="19"/>
      <c r="K1044705" s="19"/>
      <c r="L1044705" s="19"/>
      <c r="M1044705" s="19"/>
      <c r="N1044705" s="19"/>
    </row>
    <row r="1044706" spans="1:14" s="83" customFormat="1" ht="12.75">
      <c r="A1044706" s="19"/>
      <c r="B1044706" s="19"/>
      <c r="C1044706" s="19"/>
      <c r="D1044706" s="19"/>
      <c r="E1044706" s="19"/>
      <c r="F1044706" s="19"/>
      <c r="G1044706" s="19"/>
      <c r="H1044706" s="19"/>
      <c r="I1044706" s="19"/>
      <c r="J1044706" s="19"/>
      <c r="K1044706" s="19"/>
      <c r="L1044706" s="19"/>
      <c r="M1044706" s="19"/>
      <c r="N1044706" s="19"/>
    </row>
    <row r="1044707" spans="1:14" s="83" customFormat="1" ht="12.75">
      <c r="A1044707" s="19"/>
      <c r="B1044707" s="19"/>
      <c r="C1044707" s="19"/>
      <c r="D1044707" s="19"/>
      <c r="E1044707" s="19"/>
      <c r="F1044707" s="19"/>
      <c r="G1044707" s="19"/>
      <c r="H1044707" s="19"/>
      <c r="I1044707" s="19"/>
      <c r="J1044707" s="19"/>
      <c r="K1044707" s="19"/>
      <c r="L1044707" s="19"/>
      <c r="M1044707" s="19"/>
      <c r="N1044707" s="19"/>
    </row>
    <row r="1044708" spans="1:14" s="83" customFormat="1" ht="12.75">
      <c r="A1044708" s="19"/>
      <c r="B1044708" s="19"/>
      <c r="C1044708" s="19"/>
      <c r="D1044708" s="19"/>
      <c r="E1044708" s="19"/>
      <c r="F1044708" s="19"/>
      <c r="G1044708" s="19"/>
      <c r="H1044708" s="19"/>
      <c r="I1044708" s="19"/>
      <c r="J1044708" s="19"/>
      <c r="K1044708" s="19"/>
      <c r="L1044708" s="19"/>
      <c r="M1044708" s="19"/>
      <c r="N1044708" s="19"/>
    </row>
    <row r="1044709" spans="1:14" s="83" customFormat="1" ht="12.75">
      <c r="A1044709" s="19"/>
      <c r="B1044709" s="19"/>
      <c r="C1044709" s="19"/>
      <c r="D1044709" s="19"/>
      <c r="E1044709" s="19"/>
      <c r="F1044709" s="19"/>
      <c r="G1044709" s="19"/>
      <c r="H1044709" s="19"/>
      <c r="I1044709" s="19"/>
      <c r="J1044709" s="19"/>
      <c r="K1044709" s="19"/>
      <c r="L1044709" s="19"/>
      <c r="M1044709" s="19"/>
      <c r="N1044709" s="19"/>
    </row>
    <row r="1044710" spans="1:14" s="83" customFormat="1" ht="12.75">
      <c r="A1044710" s="19"/>
      <c r="B1044710" s="19"/>
      <c r="C1044710" s="19"/>
      <c r="D1044710" s="19"/>
      <c r="E1044710" s="19"/>
      <c r="F1044710" s="19"/>
      <c r="G1044710" s="19"/>
      <c r="H1044710" s="19"/>
      <c r="I1044710" s="19"/>
      <c r="J1044710" s="19"/>
      <c r="K1044710" s="19"/>
      <c r="L1044710" s="19"/>
      <c r="M1044710" s="19"/>
      <c r="N1044710" s="19"/>
    </row>
    <row r="1044711" spans="1:14" s="83" customFormat="1" ht="12.75">
      <c r="A1044711" s="19"/>
      <c r="B1044711" s="19"/>
      <c r="C1044711" s="19"/>
      <c r="D1044711" s="19"/>
      <c r="E1044711" s="19"/>
      <c r="F1044711" s="19"/>
      <c r="G1044711" s="19"/>
      <c r="H1044711" s="19"/>
      <c r="I1044711" s="19"/>
      <c r="J1044711" s="19"/>
      <c r="K1044711" s="19"/>
      <c r="L1044711" s="19"/>
      <c r="M1044711" s="19"/>
      <c r="N1044711" s="19"/>
    </row>
    <row r="1044712" spans="1:14" s="83" customFormat="1" ht="12.75">
      <c r="A1044712" s="19"/>
      <c r="B1044712" s="19"/>
      <c r="C1044712" s="19"/>
      <c r="D1044712" s="19"/>
      <c r="E1044712" s="19"/>
      <c r="F1044712" s="19"/>
      <c r="G1044712" s="19"/>
      <c r="H1044712" s="19"/>
      <c r="I1044712" s="19"/>
      <c r="J1044712" s="19"/>
      <c r="K1044712" s="19"/>
      <c r="L1044712" s="19"/>
      <c r="M1044712" s="19"/>
      <c r="N1044712" s="19"/>
    </row>
    <row r="1044713" spans="1:14" s="83" customFormat="1" ht="12.75">
      <c r="A1044713" s="19"/>
      <c r="B1044713" s="19"/>
      <c r="C1044713" s="19"/>
      <c r="D1044713" s="19"/>
      <c r="E1044713" s="19"/>
      <c r="F1044713" s="19"/>
      <c r="G1044713" s="19"/>
      <c r="H1044713" s="19"/>
      <c r="I1044713" s="19"/>
      <c r="J1044713" s="19"/>
      <c r="K1044713" s="19"/>
      <c r="L1044713" s="19"/>
      <c r="M1044713" s="19"/>
      <c r="N1044713" s="19"/>
    </row>
    <row r="1044714" spans="1:14" s="83" customFormat="1" ht="12.75">
      <c r="A1044714" s="19"/>
      <c r="B1044714" s="19"/>
      <c r="C1044714" s="19"/>
      <c r="D1044714" s="19"/>
      <c r="E1044714" s="19"/>
      <c r="F1044714" s="19"/>
      <c r="G1044714" s="19"/>
      <c r="H1044714" s="19"/>
      <c r="I1044714" s="19"/>
      <c r="J1044714" s="19"/>
      <c r="K1044714" s="19"/>
      <c r="L1044714" s="19"/>
      <c r="M1044714" s="19"/>
      <c r="N1044714" s="19"/>
    </row>
    <row r="1044715" spans="1:14" s="83" customFormat="1" ht="12.75">
      <c r="A1044715" s="19"/>
      <c r="B1044715" s="19"/>
      <c r="C1044715" s="19"/>
      <c r="D1044715" s="19"/>
      <c r="E1044715" s="19"/>
      <c r="F1044715" s="19"/>
      <c r="G1044715" s="19"/>
      <c r="H1044715" s="19"/>
      <c r="I1044715" s="19"/>
      <c r="J1044715" s="19"/>
      <c r="K1044715" s="19"/>
      <c r="L1044715" s="19"/>
      <c r="M1044715" s="19"/>
      <c r="N1044715" s="19"/>
    </row>
    <row r="1044716" spans="1:14" s="83" customFormat="1" ht="12.75">
      <c r="A1044716" s="19"/>
      <c r="B1044716" s="19"/>
      <c r="C1044716" s="19"/>
      <c r="D1044716" s="19"/>
      <c r="E1044716" s="19"/>
      <c r="F1044716" s="19"/>
      <c r="G1044716" s="19"/>
      <c r="H1044716" s="19"/>
      <c r="I1044716" s="19"/>
      <c r="J1044716" s="19"/>
      <c r="K1044716" s="19"/>
      <c r="L1044716" s="19"/>
      <c r="M1044716" s="19"/>
      <c r="N1044716" s="19"/>
    </row>
    <row r="1044717" spans="1:14" s="83" customFormat="1" ht="12.75">
      <c r="A1044717" s="19"/>
      <c r="B1044717" s="19"/>
      <c r="C1044717" s="19"/>
      <c r="D1044717" s="19"/>
      <c r="E1044717" s="19"/>
      <c r="F1044717" s="19"/>
      <c r="G1044717" s="19"/>
      <c r="H1044717" s="19"/>
      <c r="I1044717" s="19"/>
      <c r="J1044717" s="19"/>
      <c r="K1044717" s="19"/>
      <c r="L1044717" s="19"/>
      <c r="M1044717" s="19"/>
      <c r="N1044717" s="19"/>
    </row>
    <row r="1044718" spans="1:14" s="83" customFormat="1" ht="12.75">
      <c r="A1044718" s="19"/>
      <c r="B1044718" s="19"/>
      <c r="C1044718" s="19"/>
      <c r="D1044718" s="19"/>
      <c r="E1044718" s="19"/>
      <c r="F1044718" s="19"/>
      <c r="G1044718" s="19"/>
      <c r="H1044718" s="19"/>
      <c r="I1044718" s="19"/>
      <c r="J1044718" s="19"/>
      <c r="K1044718" s="19"/>
      <c r="L1044718" s="19"/>
      <c r="M1044718" s="19"/>
      <c r="N1044718" s="19"/>
    </row>
    <row r="1044719" spans="1:14" s="83" customFormat="1" ht="12.75">
      <c r="A1044719" s="19"/>
      <c r="B1044719" s="19"/>
      <c r="C1044719" s="19"/>
      <c r="D1044719" s="19"/>
      <c r="E1044719" s="19"/>
      <c r="F1044719" s="19"/>
      <c r="G1044719" s="19"/>
      <c r="H1044719" s="19"/>
      <c r="I1044719" s="19"/>
      <c r="J1044719" s="19"/>
      <c r="K1044719" s="19"/>
      <c r="L1044719" s="19"/>
      <c r="M1044719" s="19"/>
      <c r="N1044719" s="19"/>
    </row>
    <row r="1044720" spans="1:14" s="83" customFormat="1" ht="12.75">
      <c r="A1044720" s="19"/>
      <c r="B1044720" s="19"/>
      <c r="C1044720" s="19"/>
      <c r="D1044720" s="19"/>
      <c r="E1044720" s="19"/>
      <c r="F1044720" s="19"/>
      <c r="G1044720" s="19"/>
      <c r="H1044720" s="19"/>
      <c r="I1044720" s="19"/>
      <c r="J1044720" s="19"/>
      <c r="K1044720" s="19"/>
      <c r="L1044720" s="19"/>
      <c r="M1044720" s="19"/>
      <c r="N1044720" s="19"/>
    </row>
    <row r="1044721" spans="1:14" s="83" customFormat="1" ht="12.75">
      <c r="A1044721" s="19"/>
      <c r="B1044721" s="19"/>
      <c r="C1044721" s="19"/>
      <c r="D1044721" s="19"/>
      <c r="E1044721" s="19"/>
      <c r="F1044721" s="19"/>
      <c r="G1044721" s="19"/>
      <c r="H1044721" s="19"/>
      <c r="I1044721" s="19"/>
      <c r="J1044721" s="19"/>
      <c r="K1044721" s="19"/>
      <c r="L1044721" s="19"/>
      <c r="M1044721" s="19"/>
      <c r="N1044721" s="19"/>
    </row>
    <row r="1044722" spans="1:14" s="83" customFormat="1" ht="12.75">
      <c r="A1044722" s="19"/>
      <c r="B1044722" s="19"/>
      <c r="C1044722" s="19"/>
      <c r="D1044722" s="19"/>
      <c r="E1044722" s="19"/>
      <c r="F1044722" s="19"/>
      <c r="G1044722" s="19"/>
      <c r="H1044722" s="19"/>
      <c r="I1044722" s="19"/>
      <c r="J1044722" s="19"/>
      <c r="K1044722" s="19"/>
      <c r="L1044722" s="19"/>
      <c r="M1044722" s="19"/>
      <c r="N1044722" s="19"/>
    </row>
    <row r="1044723" spans="1:14" s="83" customFormat="1" ht="12.75">
      <c r="A1044723" s="19"/>
      <c r="B1044723" s="19"/>
      <c r="C1044723" s="19"/>
      <c r="D1044723" s="19"/>
      <c r="E1044723" s="19"/>
      <c r="F1044723" s="19"/>
      <c r="G1044723" s="19"/>
      <c r="H1044723" s="19"/>
      <c r="I1044723" s="19"/>
      <c r="J1044723" s="19"/>
      <c r="K1044723" s="19"/>
      <c r="L1044723" s="19"/>
      <c r="M1044723" s="19"/>
      <c r="N1044723" s="19"/>
    </row>
    <row r="1044724" spans="1:14" s="83" customFormat="1" ht="12.75">
      <c r="A1044724" s="19"/>
      <c r="B1044724" s="19"/>
      <c r="C1044724" s="19"/>
      <c r="D1044724" s="19"/>
      <c r="E1044724" s="19"/>
      <c r="F1044724" s="19"/>
      <c r="G1044724" s="19"/>
      <c r="H1044724" s="19"/>
      <c r="I1044724" s="19"/>
      <c r="J1044724" s="19"/>
      <c r="K1044724" s="19"/>
      <c r="L1044724" s="19"/>
      <c r="M1044724" s="19"/>
      <c r="N1044724" s="19"/>
    </row>
    <row r="1044725" spans="1:14" s="83" customFormat="1" ht="12.75">
      <c r="A1044725" s="19"/>
      <c r="B1044725" s="19"/>
      <c r="C1044725" s="19"/>
      <c r="D1044725" s="19"/>
      <c r="E1044725" s="19"/>
      <c r="F1044725" s="19"/>
      <c r="G1044725" s="19"/>
      <c r="H1044725" s="19"/>
      <c r="I1044725" s="19"/>
      <c r="J1044725" s="19"/>
      <c r="K1044725" s="19"/>
      <c r="L1044725" s="19"/>
      <c r="M1044725" s="19"/>
      <c r="N1044725" s="19"/>
    </row>
    <row r="1044726" spans="1:14" s="83" customFormat="1" ht="12.75">
      <c r="A1044726" s="19"/>
      <c r="B1044726" s="19"/>
      <c r="C1044726" s="19"/>
      <c r="D1044726" s="19"/>
      <c r="E1044726" s="19"/>
      <c r="F1044726" s="19"/>
      <c r="G1044726" s="19"/>
      <c r="H1044726" s="19"/>
      <c r="I1044726" s="19"/>
      <c r="J1044726" s="19"/>
      <c r="K1044726" s="19"/>
      <c r="L1044726" s="19"/>
      <c r="M1044726" s="19"/>
      <c r="N1044726" s="19"/>
    </row>
    <row r="1044727" spans="1:14" s="83" customFormat="1" ht="12.75">
      <c r="A1044727" s="19"/>
      <c r="B1044727" s="19"/>
      <c r="C1044727" s="19"/>
      <c r="D1044727" s="19"/>
      <c r="E1044727" s="19"/>
      <c r="F1044727" s="19"/>
      <c r="G1044727" s="19"/>
      <c r="H1044727" s="19"/>
      <c r="I1044727" s="19"/>
      <c r="J1044727" s="19"/>
      <c r="K1044727" s="19"/>
      <c r="L1044727" s="19"/>
      <c r="M1044727" s="19"/>
      <c r="N1044727" s="19"/>
    </row>
    <row r="1044728" spans="1:14" s="83" customFormat="1" ht="12.75">
      <c r="A1044728" s="19"/>
      <c r="B1044728" s="19"/>
      <c r="C1044728" s="19"/>
      <c r="D1044728" s="19"/>
      <c r="E1044728" s="19"/>
      <c r="F1044728" s="19"/>
      <c r="G1044728" s="19"/>
      <c r="H1044728" s="19"/>
      <c r="I1044728" s="19"/>
      <c r="J1044728" s="19"/>
      <c r="K1044728" s="19"/>
      <c r="L1044728" s="19"/>
      <c r="M1044728" s="19"/>
      <c r="N1044728" s="19"/>
    </row>
    <row r="1044729" spans="1:14" s="83" customFormat="1" ht="12.75">
      <c r="A1044729" s="19"/>
      <c r="B1044729" s="19"/>
      <c r="C1044729" s="19"/>
      <c r="D1044729" s="19"/>
      <c r="E1044729" s="19"/>
      <c r="F1044729" s="19"/>
      <c r="G1044729" s="19"/>
      <c r="H1044729" s="19"/>
      <c r="I1044729" s="19"/>
      <c r="J1044729" s="19"/>
      <c r="K1044729" s="19"/>
      <c r="L1044729" s="19"/>
      <c r="M1044729" s="19"/>
      <c r="N1044729" s="19"/>
    </row>
    <row r="1044730" spans="1:14" s="83" customFormat="1" ht="12.75">
      <c r="A1044730" s="19"/>
      <c r="B1044730" s="19"/>
      <c r="C1044730" s="19"/>
      <c r="D1044730" s="19"/>
      <c r="E1044730" s="19"/>
      <c r="F1044730" s="19"/>
      <c r="G1044730" s="19"/>
      <c r="H1044730" s="19"/>
      <c r="I1044730" s="19"/>
      <c r="J1044730" s="19"/>
      <c r="K1044730" s="19"/>
      <c r="L1044730" s="19"/>
      <c r="M1044730" s="19"/>
      <c r="N1044730" s="19"/>
    </row>
    <row r="1044731" spans="1:14" s="83" customFormat="1" ht="12.75">
      <c r="A1044731" s="19"/>
      <c r="B1044731" s="19"/>
      <c r="C1044731" s="19"/>
      <c r="D1044731" s="19"/>
      <c r="E1044731" s="19"/>
      <c r="F1044731" s="19"/>
      <c r="G1044731" s="19"/>
      <c r="H1044731" s="19"/>
      <c r="I1044731" s="19"/>
      <c r="J1044731" s="19"/>
      <c r="K1044731" s="19"/>
      <c r="L1044731" s="19"/>
      <c r="M1044731" s="19"/>
      <c r="N1044731" s="19"/>
    </row>
    <row r="1044732" spans="1:14" s="83" customFormat="1" ht="12.75">
      <c r="A1044732" s="19"/>
      <c r="B1044732" s="19"/>
      <c r="C1044732" s="19"/>
      <c r="D1044732" s="19"/>
      <c r="E1044732" s="19"/>
      <c r="F1044732" s="19"/>
      <c r="G1044732" s="19"/>
      <c r="H1044732" s="19"/>
      <c r="I1044732" s="19"/>
      <c r="J1044732" s="19"/>
      <c r="K1044732" s="19"/>
      <c r="L1044732" s="19"/>
      <c r="M1044732" s="19"/>
      <c r="N1044732" s="19"/>
    </row>
    <row r="1044733" spans="1:14" s="83" customFormat="1" ht="12.75">
      <c r="A1044733" s="19"/>
      <c r="B1044733" s="19"/>
      <c r="C1044733" s="19"/>
      <c r="D1044733" s="19"/>
      <c r="E1044733" s="19"/>
      <c r="F1044733" s="19"/>
      <c r="G1044733" s="19"/>
      <c r="H1044733" s="19"/>
      <c r="I1044733" s="19"/>
      <c r="J1044733" s="19"/>
      <c r="K1044733" s="19"/>
      <c r="L1044733" s="19"/>
      <c r="M1044733" s="19"/>
      <c r="N1044733" s="19"/>
    </row>
    <row r="1044734" spans="1:14" s="83" customFormat="1" ht="12.75">
      <c r="A1044734" s="19"/>
      <c r="B1044734" s="19"/>
      <c r="C1044734" s="19"/>
      <c r="D1044734" s="19"/>
      <c r="E1044734" s="19"/>
      <c r="F1044734" s="19"/>
      <c r="G1044734" s="19"/>
      <c r="H1044734" s="19"/>
      <c r="I1044734" s="19"/>
      <c r="J1044734" s="19"/>
      <c r="K1044734" s="19"/>
      <c r="L1044734" s="19"/>
      <c r="M1044734" s="19"/>
      <c r="N1044734" s="19"/>
    </row>
    <row r="1044735" spans="1:14" s="83" customFormat="1" ht="12.75">
      <c r="A1044735" s="19"/>
      <c r="B1044735" s="19"/>
      <c r="C1044735" s="19"/>
      <c r="D1044735" s="19"/>
      <c r="E1044735" s="19"/>
      <c r="F1044735" s="19"/>
      <c r="G1044735" s="19"/>
      <c r="H1044735" s="19"/>
      <c r="I1044735" s="19"/>
      <c r="J1044735" s="19"/>
      <c r="K1044735" s="19"/>
      <c r="L1044735" s="19"/>
      <c r="M1044735" s="19"/>
      <c r="N1044735" s="19"/>
    </row>
    <row r="1044736" spans="1:14" s="83" customFormat="1" ht="12.75">
      <c r="A1044736" s="19"/>
      <c r="B1044736" s="19"/>
      <c r="C1044736" s="19"/>
      <c r="D1044736" s="19"/>
      <c r="E1044736" s="19"/>
      <c r="F1044736" s="19"/>
      <c r="G1044736" s="19"/>
      <c r="H1044736" s="19"/>
      <c r="I1044736" s="19"/>
      <c r="J1044736" s="19"/>
      <c r="K1044736" s="19"/>
      <c r="L1044736" s="19"/>
      <c r="M1044736" s="19"/>
      <c r="N1044736" s="19"/>
    </row>
    <row r="1044737" spans="1:14" s="83" customFormat="1" ht="12.75">
      <c r="A1044737" s="19"/>
      <c r="B1044737" s="19"/>
      <c r="C1044737" s="19"/>
      <c r="D1044737" s="19"/>
      <c r="E1044737" s="19"/>
      <c r="F1044737" s="19"/>
      <c r="G1044737" s="19"/>
      <c r="H1044737" s="19"/>
      <c r="I1044737" s="19"/>
      <c r="J1044737" s="19"/>
      <c r="K1044737" s="19"/>
      <c r="L1044737" s="19"/>
      <c r="M1044737" s="19"/>
      <c r="N1044737" s="19"/>
    </row>
    <row r="1044738" spans="1:14" s="83" customFormat="1" ht="12.75">
      <c r="A1044738" s="19"/>
      <c r="B1044738" s="19"/>
      <c r="C1044738" s="19"/>
      <c r="D1044738" s="19"/>
      <c r="E1044738" s="19"/>
      <c r="F1044738" s="19"/>
      <c r="G1044738" s="19"/>
      <c r="H1044738" s="19"/>
      <c r="I1044738" s="19"/>
      <c r="J1044738" s="19"/>
      <c r="K1044738" s="19"/>
      <c r="L1044738" s="19"/>
      <c r="M1044738" s="19"/>
      <c r="N1044738" s="19"/>
    </row>
    <row r="1044739" spans="1:14" s="83" customFormat="1" ht="12.75">
      <c r="A1044739" s="19"/>
      <c r="B1044739" s="19"/>
      <c r="C1044739" s="19"/>
      <c r="D1044739" s="19"/>
      <c r="E1044739" s="19"/>
      <c r="F1044739" s="19"/>
      <c r="G1044739" s="19"/>
      <c r="H1044739" s="19"/>
      <c r="I1044739" s="19"/>
      <c r="J1044739" s="19"/>
      <c r="K1044739" s="19"/>
      <c r="L1044739" s="19"/>
      <c r="M1044739" s="19"/>
      <c r="N1044739" s="19"/>
    </row>
    <row r="1044740" spans="1:14" s="83" customFormat="1" ht="12.75">
      <c r="A1044740" s="19"/>
      <c r="B1044740" s="19"/>
      <c r="C1044740" s="19"/>
      <c r="D1044740" s="19"/>
      <c r="E1044740" s="19"/>
      <c r="F1044740" s="19"/>
      <c r="G1044740" s="19"/>
      <c r="H1044740" s="19"/>
      <c r="I1044740" s="19"/>
      <c r="J1044740" s="19"/>
      <c r="K1044740" s="19"/>
      <c r="L1044740" s="19"/>
      <c r="M1044740" s="19"/>
      <c r="N1044740" s="19"/>
    </row>
    <row r="1044741" spans="1:14" s="83" customFormat="1" ht="12.75">
      <c r="A1044741" s="19"/>
      <c r="B1044741" s="19"/>
      <c r="C1044741" s="19"/>
      <c r="D1044741" s="19"/>
      <c r="E1044741" s="19"/>
      <c r="F1044741" s="19"/>
      <c r="G1044741" s="19"/>
      <c r="H1044741" s="19"/>
      <c r="I1044741" s="19"/>
      <c r="J1044741" s="19"/>
      <c r="K1044741" s="19"/>
      <c r="L1044741" s="19"/>
      <c r="M1044741" s="19"/>
      <c r="N1044741" s="19"/>
    </row>
    <row r="1044742" spans="1:14" s="83" customFormat="1" ht="12.75">
      <c r="A1044742" s="19"/>
      <c r="B1044742" s="19"/>
      <c r="C1044742" s="19"/>
      <c r="D1044742" s="19"/>
      <c r="E1044742" s="19"/>
      <c r="F1044742" s="19"/>
      <c r="G1044742" s="19"/>
      <c r="H1044742" s="19"/>
      <c r="I1044742" s="19"/>
      <c r="J1044742" s="19"/>
      <c r="K1044742" s="19"/>
      <c r="L1044742" s="19"/>
      <c r="M1044742" s="19"/>
      <c r="N1044742" s="19"/>
    </row>
    <row r="1044743" spans="1:14" s="83" customFormat="1" ht="12.75">
      <c r="A1044743" s="19"/>
      <c r="B1044743" s="19"/>
      <c r="C1044743" s="19"/>
      <c r="D1044743" s="19"/>
      <c r="E1044743" s="19"/>
      <c r="F1044743" s="19"/>
      <c r="G1044743" s="19"/>
      <c r="H1044743" s="19"/>
      <c r="I1044743" s="19"/>
      <c r="J1044743" s="19"/>
      <c r="K1044743" s="19"/>
      <c r="L1044743" s="19"/>
      <c r="M1044743" s="19"/>
      <c r="N1044743" s="19"/>
    </row>
    <row r="1044744" spans="1:14" s="83" customFormat="1" ht="12.75">
      <c r="A1044744" s="19"/>
      <c r="B1044744" s="19"/>
      <c r="C1044744" s="19"/>
      <c r="D1044744" s="19"/>
      <c r="E1044744" s="19"/>
      <c r="F1044744" s="19"/>
      <c r="G1044744" s="19"/>
      <c r="H1044744" s="19"/>
      <c r="I1044744" s="19"/>
      <c r="J1044744" s="19"/>
      <c r="K1044744" s="19"/>
      <c r="L1044744" s="19"/>
      <c r="M1044744" s="19"/>
      <c r="N1044744" s="19"/>
    </row>
    <row r="1044745" spans="1:14" s="83" customFormat="1" ht="12.75">
      <c r="A1044745" s="19"/>
      <c r="B1044745" s="19"/>
      <c r="C1044745" s="19"/>
      <c r="D1044745" s="19"/>
      <c r="E1044745" s="19"/>
      <c r="F1044745" s="19"/>
      <c r="G1044745" s="19"/>
      <c r="H1044745" s="19"/>
      <c r="I1044745" s="19"/>
      <c r="J1044745" s="19"/>
      <c r="K1044745" s="19"/>
      <c r="L1044745" s="19"/>
      <c r="M1044745" s="19"/>
      <c r="N1044745" s="19"/>
    </row>
    <row r="1044746" spans="1:14" s="83" customFormat="1" ht="12.75">
      <c r="A1044746" s="19"/>
      <c r="B1044746" s="19"/>
      <c r="C1044746" s="19"/>
      <c r="D1044746" s="19"/>
      <c r="E1044746" s="19"/>
      <c r="F1044746" s="19"/>
      <c r="G1044746" s="19"/>
      <c r="H1044746" s="19"/>
      <c r="I1044746" s="19"/>
      <c r="J1044746" s="19"/>
      <c r="K1044746" s="19"/>
      <c r="L1044746" s="19"/>
      <c r="M1044746" s="19"/>
      <c r="N1044746" s="19"/>
    </row>
    <row r="1044747" spans="1:14" s="83" customFormat="1" ht="12.75">
      <c r="A1044747" s="19"/>
      <c r="B1044747" s="19"/>
      <c r="C1044747" s="19"/>
      <c r="D1044747" s="19"/>
      <c r="E1044747" s="19"/>
      <c r="F1044747" s="19"/>
      <c r="G1044747" s="19"/>
      <c r="H1044747" s="19"/>
      <c r="I1044747" s="19"/>
      <c r="J1044747" s="19"/>
      <c r="K1044747" s="19"/>
      <c r="L1044747" s="19"/>
      <c r="M1044747" s="19"/>
      <c r="N1044747" s="19"/>
    </row>
    <row r="1044748" spans="1:14" s="83" customFormat="1" ht="12.75">
      <c r="A1044748" s="19"/>
      <c r="B1044748" s="19"/>
      <c r="C1044748" s="19"/>
      <c r="D1044748" s="19"/>
      <c r="E1044748" s="19"/>
      <c r="F1044748" s="19"/>
      <c r="G1044748" s="19"/>
      <c r="H1044748" s="19"/>
      <c r="I1044748" s="19"/>
      <c r="J1044748" s="19"/>
      <c r="K1044748" s="19"/>
      <c r="L1044748" s="19"/>
      <c r="M1044748" s="19"/>
      <c r="N1044748" s="19"/>
    </row>
    <row r="1044749" spans="1:14" s="83" customFormat="1" ht="12.75">
      <c r="A1044749" s="19"/>
      <c r="B1044749" s="19"/>
      <c r="C1044749" s="19"/>
      <c r="D1044749" s="19"/>
      <c r="E1044749" s="19"/>
      <c r="F1044749" s="19"/>
      <c r="G1044749" s="19"/>
      <c r="H1044749" s="19"/>
      <c r="I1044749" s="19"/>
      <c r="J1044749" s="19"/>
      <c r="K1044749" s="19"/>
      <c r="L1044749" s="19"/>
      <c r="M1044749" s="19"/>
      <c r="N1044749" s="19"/>
    </row>
    <row r="1044750" spans="1:14" s="83" customFormat="1" ht="12.75">
      <c r="A1044750" s="19"/>
      <c r="B1044750" s="19"/>
      <c r="C1044750" s="19"/>
      <c r="D1044750" s="19"/>
      <c r="E1044750" s="19"/>
      <c r="F1044750" s="19"/>
      <c r="G1044750" s="19"/>
      <c r="H1044750" s="19"/>
      <c r="I1044750" s="19"/>
      <c r="J1044750" s="19"/>
      <c r="K1044750" s="19"/>
      <c r="L1044750" s="19"/>
      <c r="M1044750" s="19"/>
      <c r="N1044750" s="19"/>
    </row>
    <row r="1044751" spans="1:14" s="83" customFormat="1" ht="12.75">
      <c r="A1044751" s="19"/>
      <c r="B1044751" s="19"/>
      <c r="C1044751" s="19"/>
      <c r="D1044751" s="19"/>
      <c r="E1044751" s="19"/>
      <c r="F1044751" s="19"/>
      <c r="G1044751" s="19"/>
      <c r="H1044751" s="19"/>
      <c r="I1044751" s="19"/>
      <c r="J1044751" s="19"/>
      <c r="K1044751" s="19"/>
      <c r="L1044751" s="19"/>
      <c r="M1044751" s="19"/>
      <c r="N1044751" s="19"/>
    </row>
    <row r="1044752" spans="1:14" s="83" customFormat="1" ht="12.75">
      <c r="A1044752" s="19"/>
      <c r="B1044752" s="19"/>
      <c r="C1044752" s="19"/>
      <c r="D1044752" s="19"/>
      <c r="E1044752" s="19"/>
      <c r="F1044752" s="19"/>
      <c r="G1044752" s="19"/>
      <c r="H1044752" s="19"/>
      <c r="I1044752" s="19"/>
      <c r="J1044752" s="19"/>
      <c r="K1044752" s="19"/>
      <c r="L1044752" s="19"/>
      <c r="M1044752" s="19"/>
      <c r="N1044752" s="19"/>
    </row>
    <row r="1044753" spans="1:14" s="83" customFormat="1" ht="12.75">
      <c r="A1044753" s="19"/>
      <c r="B1044753" s="19"/>
      <c r="C1044753" s="19"/>
      <c r="D1044753" s="19"/>
      <c r="E1044753" s="19"/>
      <c r="F1044753" s="19"/>
      <c r="G1044753" s="19"/>
      <c r="H1044753" s="19"/>
      <c r="I1044753" s="19"/>
      <c r="J1044753" s="19"/>
      <c r="K1044753" s="19"/>
      <c r="L1044753" s="19"/>
      <c r="M1044753" s="19"/>
      <c r="N1044753" s="19"/>
    </row>
    <row r="1044754" spans="1:14" s="83" customFormat="1" ht="12.75">
      <c r="A1044754" s="19"/>
      <c r="B1044754" s="19"/>
      <c r="C1044754" s="19"/>
      <c r="D1044754" s="19"/>
      <c r="E1044754" s="19"/>
      <c r="F1044754" s="19"/>
      <c r="G1044754" s="19"/>
      <c r="H1044754" s="19"/>
      <c r="I1044754" s="19"/>
      <c r="J1044754" s="19"/>
      <c r="K1044754" s="19"/>
      <c r="L1044754" s="19"/>
      <c r="M1044754" s="19"/>
      <c r="N1044754" s="19"/>
    </row>
    <row r="1044755" spans="1:14" s="83" customFormat="1" ht="12.75">
      <c r="A1044755" s="19"/>
      <c r="B1044755" s="19"/>
      <c r="C1044755" s="19"/>
      <c r="D1044755" s="19"/>
      <c r="E1044755" s="19"/>
      <c r="F1044755" s="19"/>
      <c r="G1044755" s="19"/>
      <c r="H1044755" s="19"/>
      <c r="I1044755" s="19"/>
      <c r="J1044755" s="19"/>
      <c r="K1044755" s="19"/>
      <c r="L1044755" s="19"/>
      <c r="M1044755" s="19"/>
      <c r="N1044755" s="19"/>
    </row>
    <row r="1044756" spans="1:14" s="83" customFormat="1" ht="12.75">
      <c r="A1044756" s="19"/>
      <c r="B1044756" s="19"/>
      <c r="C1044756" s="19"/>
      <c r="D1044756" s="19"/>
      <c r="E1044756" s="19"/>
      <c r="F1044756" s="19"/>
      <c r="G1044756" s="19"/>
      <c r="H1044756" s="19"/>
      <c r="I1044756" s="19"/>
      <c r="J1044756" s="19"/>
      <c r="K1044756" s="19"/>
      <c r="L1044756" s="19"/>
      <c r="M1044756" s="19"/>
      <c r="N1044756" s="19"/>
    </row>
    <row r="1044757" spans="1:14" s="83" customFormat="1" ht="12.75">
      <c r="A1044757" s="19"/>
      <c r="B1044757" s="19"/>
      <c r="C1044757" s="19"/>
      <c r="D1044757" s="19"/>
      <c r="E1044757" s="19"/>
      <c r="F1044757" s="19"/>
      <c r="G1044757" s="19"/>
      <c r="H1044757" s="19"/>
      <c r="I1044757" s="19"/>
      <c r="J1044757" s="19"/>
      <c r="K1044757" s="19"/>
      <c r="L1044757" s="19"/>
      <c r="M1044757" s="19"/>
      <c r="N1044757" s="19"/>
    </row>
    <row r="1044758" spans="1:14" s="83" customFormat="1" ht="12.75">
      <c r="A1044758" s="19"/>
      <c r="B1044758" s="19"/>
      <c r="C1044758" s="19"/>
      <c r="D1044758" s="19"/>
      <c r="E1044758" s="19"/>
      <c r="F1044758" s="19"/>
      <c r="G1044758" s="19"/>
      <c r="H1044758" s="19"/>
      <c r="I1044758" s="19"/>
      <c r="J1044758" s="19"/>
      <c r="K1044758" s="19"/>
      <c r="L1044758" s="19"/>
      <c r="M1044758" s="19"/>
      <c r="N1044758" s="19"/>
    </row>
    <row r="1044759" spans="1:14" s="83" customFormat="1" ht="12.75">
      <c r="A1044759" s="19"/>
      <c r="B1044759" s="19"/>
      <c r="C1044759" s="19"/>
      <c r="D1044759" s="19"/>
      <c r="E1044759" s="19"/>
      <c r="F1044759" s="19"/>
      <c r="G1044759" s="19"/>
      <c r="H1044759" s="19"/>
      <c r="I1044759" s="19"/>
      <c r="J1044759" s="19"/>
      <c r="K1044759" s="19"/>
      <c r="L1044759" s="19"/>
      <c r="M1044759" s="19"/>
      <c r="N1044759" s="19"/>
    </row>
    <row r="1044760" spans="1:14" s="83" customFormat="1" ht="12.75">
      <c r="A1044760" s="19"/>
      <c r="B1044760" s="19"/>
      <c r="C1044760" s="19"/>
      <c r="D1044760" s="19"/>
      <c r="E1044760" s="19"/>
      <c r="F1044760" s="19"/>
      <c r="G1044760" s="19"/>
      <c r="H1044760" s="19"/>
      <c r="I1044760" s="19"/>
      <c r="J1044760" s="19"/>
      <c r="K1044760" s="19"/>
      <c r="L1044760" s="19"/>
      <c r="M1044760" s="19"/>
      <c r="N1044760" s="19"/>
    </row>
    <row r="1044761" spans="1:14" s="83" customFormat="1" ht="12.75">
      <c r="A1044761" s="19"/>
      <c r="B1044761" s="19"/>
      <c r="C1044761" s="19"/>
      <c r="D1044761" s="19"/>
      <c r="E1044761" s="19"/>
      <c r="F1044761" s="19"/>
      <c r="G1044761" s="19"/>
      <c r="H1044761" s="19"/>
      <c r="I1044761" s="19"/>
      <c r="J1044761" s="19"/>
      <c r="K1044761" s="19"/>
      <c r="L1044761" s="19"/>
      <c r="M1044761" s="19"/>
      <c r="N1044761" s="19"/>
    </row>
    <row r="1044762" spans="1:14" s="83" customFormat="1" ht="12.75">
      <c r="A1044762" s="19"/>
      <c r="B1044762" s="19"/>
      <c r="C1044762" s="19"/>
      <c r="D1044762" s="19"/>
      <c r="E1044762" s="19"/>
      <c r="F1044762" s="19"/>
      <c r="G1044762" s="19"/>
      <c r="H1044762" s="19"/>
      <c r="I1044762" s="19"/>
      <c r="J1044762" s="19"/>
      <c r="K1044762" s="19"/>
      <c r="L1044762" s="19"/>
      <c r="M1044762" s="19"/>
      <c r="N1044762" s="19"/>
    </row>
    <row r="1044763" spans="1:14" s="83" customFormat="1" ht="12.75">
      <c r="A1044763" s="19"/>
      <c r="B1044763" s="19"/>
      <c r="C1044763" s="19"/>
      <c r="D1044763" s="19"/>
      <c r="E1044763" s="19"/>
      <c r="F1044763" s="19"/>
      <c r="G1044763" s="19"/>
      <c r="H1044763" s="19"/>
      <c r="I1044763" s="19"/>
      <c r="J1044763" s="19"/>
      <c r="K1044763" s="19"/>
      <c r="L1044763" s="19"/>
      <c r="M1044763" s="19"/>
      <c r="N1044763" s="19"/>
    </row>
    <row r="1044764" spans="1:14" s="83" customFormat="1" ht="12.75">
      <c r="A1044764" s="19"/>
      <c r="B1044764" s="19"/>
      <c r="C1044764" s="19"/>
      <c r="D1044764" s="19"/>
      <c r="E1044764" s="19"/>
      <c r="F1044764" s="19"/>
      <c r="G1044764" s="19"/>
      <c r="H1044764" s="19"/>
      <c r="I1044764" s="19"/>
      <c r="J1044764" s="19"/>
      <c r="K1044764" s="19"/>
      <c r="L1044764" s="19"/>
      <c r="M1044764" s="19"/>
      <c r="N1044764" s="19"/>
    </row>
    <row r="1044765" spans="1:14" s="83" customFormat="1" ht="12.75">
      <c r="A1044765" s="19"/>
      <c r="B1044765" s="19"/>
      <c r="C1044765" s="19"/>
      <c r="D1044765" s="19"/>
      <c r="E1044765" s="19"/>
      <c r="F1044765" s="19"/>
      <c r="G1044765" s="19"/>
      <c r="H1044765" s="19"/>
      <c r="I1044765" s="19"/>
      <c r="J1044765" s="19"/>
      <c r="K1044765" s="19"/>
      <c r="L1044765" s="19"/>
      <c r="M1044765" s="19"/>
      <c r="N1044765" s="19"/>
    </row>
    <row r="1044766" spans="1:14" s="83" customFormat="1" ht="12.75">
      <c r="A1044766" s="19"/>
      <c r="B1044766" s="19"/>
      <c r="C1044766" s="19"/>
      <c r="D1044766" s="19"/>
      <c r="E1044766" s="19"/>
      <c r="F1044766" s="19"/>
      <c r="G1044766" s="19"/>
      <c r="H1044766" s="19"/>
      <c r="I1044766" s="19"/>
      <c r="J1044766" s="19"/>
      <c r="K1044766" s="19"/>
      <c r="L1044766" s="19"/>
      <c r="M1044766" s="19"/>
      <c r="N1044766" s="19"/>
    </row>
    <row r="1044767" spans="1:14" s="83" customFormat="1" ht="12.75">
      <c r="A1044767" s="19"/>
      <c r="B1044767" s="19"/>
      <c r="C1044767" s="19"/>
      <c r="D1044767" s="19"/>
      <c r="E1044767" s="19"/>
      <c r="F1044767" s="19"/>
      <c r="G1044767" s="19"/>
      <c r="H1044767" s="19"/>
      <c r="I1044767" s="19"/>
      <c r="J1044767" s="19"/>
      <c r="K1044767" s="19"/>
      <c r="L1044767" s="19"/>
      <c r="M1044767" s="19"/>
      <c r="N1044767" s="19"/>
    </row>
    <row r="1044768" spans="1:14" s="83" customFormat="1" ht="12.75">
      <c r="A1044768" s="19"/>
      <c r="B1044768" s="19"/>
      <c r="C1044768" s="19"/>
      <c r="D1044768" s="19"/>
      <c r="E1044768" s="19"/>
      <c r="F1044768" s="19"/>
      <c r="G1044768" s="19"/>
      <c r="H1044768" s="19"/>
      <c r="I1044768" s="19"/>
      <c r="J1044768" s="19"/>
      <c r="K1044768" s="19"/>
      <c r="L1044768" s="19"/>
      <c r="M1044768" s="19"/>
      <c r="N1044768" s="19"/>
    </row>
    <row r="1044769" spans="1:14" s="83" customFormat="1" ht="12.75">
      <c r="A1044769" s="19"/>
      <c r="B1044769" s="19"/>
      <c r="C1044769" s="19"/>
      <c r="D1044769" s="19"/>
      <c r="E1044769" s="19"/>
      <c r="F1044769" s="19"/>
      <c r="G1044769" s="19"/>
      <c r="H1044769" s="19"/>
      <c r="I1044769" s="19"/>
      <c r="J1044769" s="19"/>
      <c r="K1044769" s="19"/>
      <c r="L1044769" s="19"/>
      <c r="M1044769" s="19"/>
      <c r="N1044769" s="19"/>
    </row>
    <row r="1044770" spans="1:14" s="83" customFormat="1" ht="12.75">
      <c r="A1044770" s="19"/>
      <c r="B1044770" s="19"/>
      <c r="C1044770" s="19"/>
      <c r="D1044770" s="19"/>
      <c r="E1044770" s="19"/>
      <c r="F1044770" s="19"/>
      <c r="G1044770" s="19"/>
      <c r="H1044770" s="19"/>
      <c r="I1044770" s="19"/>
      <c r="J1044770" s="19"/>
      <c r="K1044770" s="19"/>
      <c r="L1044770" s="19"/>
      <c r="M1044770" s="19"/>
      <c r="N1044770" s="19"/>
    </row>
    <row r="1044771" spans="1:14" s="83" customFormat="1" ht="12.75">
      <c r="A1044771" s="19"/>
      <c r="B1044771" s="19"/>
      <c r="C1044771" s="19"/>
      <c r="D1044771" s="19"/>
      <c r="E1044771" s="19"/>
      <c r="F1044771" s="19"/>
      <c r="G1044771" s="19"/>
      <c r="H1044771" s="19"/>
      <c r="I1044771" s="19"/>
      <c r="J1044771" s="19"/>
      <c r="K1044771" s="19"/>
      <c r="L1044771" s="19"/>
      <c r="M1044771" s="19"/>
      <c r="N1044771" s="19"/>
    </row>
    <row r="1044772" spans="1:14" s="83" customFormat="1" ht="12.75">
      <c r="A1044772" s="19"/>
      <c r="B1044772" s="19"/>
      <c r="C1044772" s="19"/>
      <c r="D1044772" s="19"/>
      <c r="E1044772" s="19"/>
      <c r="F1044772" s="19"/>
      <c r="G1044772" s="19"/>
      <c r="H1044772" s="19"/>
      <c r="I1044772" s="19"/>
      <c r="J1044772" s="19"/>
      <c r="K1044772" s="19"/>
      <c r="L1044772" s="19"/>
      <c r="M1044772" s="19"/>
      <c r="N1044772" s="19"/>
    </row>
    <row r="1044773" spans="1:14" s="83" customFormat="1" ht="12.75">
      <c r="A1044773" s="19"/>
      <c r="B1044773" s="19"/>
      <c r="C1044773" s="19"/>
      <c r="D1044773" s="19"/>
      <c r="E1044773" s="19"/>
      <c r="F1044773" s="19"/>
      <c r="G1044773" s="19"/>
      <c r="H1044773" s="19"/>
      <c r="I1044773" s="19"/>
      <c r="J1044773" s="19"/>
      <c r="K1044773" s="19"/>
      <c r="L1044773" s="19"/>
      <c r="M1044773" s="19"/>
      <c r="N1044773" s="19"/>
    </row>
    <row r="1044774" spans="1:14" s="83" customFormat="1" ht="12.75">
      <c r="A1044774" s="19"/>
      <c r="B1044774" s="19"/>
      <c r="C1044774" s="19"/>
      <c r="D1044774" s="19"/>
      <c r="E1044774" s="19"/>
      <c r="F1044774" s="19"/>
      <c r="G1044774" s="19"/>
      <c r="H1044774" s="19"/>
      <c r="I1044774" s="19"/>
      <c r="J1044774" s="19"/>
      <c r="K1044774" s="19"/>
      <c r="L1044774" s="19"/>
      <c r="M1044774" s="19"/>
      <c r="N1044774" s="19"/>
    </row>
    <row r="1044775" spans="1:14" s="83" customFormat="1" ht="12.75">
      <c r="A1044775" s="19"/>
      <c r="B1044775" s="19"/>
      <c r="C1044775" s="19"/>
      <c r="D1044775" s="19"/>
      <c r="E1044775" s="19"/>
      <c r="F1044775" s="19"/>
      <c r="G1044775" s="19"/>
      <c r="H1044775" s="19"/>
      <c r="I1044775" s="19"/>
      <c r="J1044775" s="19"/>
      <c r="K1044775" s="19"/>
      <c r="L1044775" s="19"/>
      <c r="M1044775" s="19"/>
      <c r="N1044775" s="19"/>
    </row>
    <row r="1044776" spans="1:14" s="83" customFormat="1" ht="12.75">
      <c r="A1044776" s="19"/>
      <c r="B1044776" s="19"/>
      <c r="C1044776" s="19"/>
      <c r="D1044776" s="19"/>
      <c r="E1044776" s="19"/>
      <c r="F1044776" s="19"/>
      <c r="G1044776" s="19"/>
      <c r="H1044776" s="19"/>
      <c r="I1044776" s="19"/>
      <c r="J1044776" s="19"/>
      <c r="K1044776" s="19"/>
      <c r="L1044776" s="19"/>
      <c r="M1044776" s="19"/>
      <c r="N1044776" s="19"/>
    </row>
    <row r="1044777" spans="1:14" s="83" customFormat="1" ht="12.75">
      <c r="A1044777" s="19"/>
      <c r="B1044777" s="19"/>
      <c r="C1044777" s="19"/>
      <c r="D1044777" s="19"/>
      <c r="E1044777" s="19"/>
      <c r="F1044777" s="19"/>
      <c r="G1044777" s="19"/>
      <c r="H1044777" s="19"/>
      <c r="I1044777" s="19"/>
      <c r="J1044777" s="19"/>
      <c r="K1044777" s="19"/>
      <c r="L1044777" s="19"/>
      <c r="M1044777" s="19"/>
      <c r="N1044777" s="19"/>
    </row>
    <row r="1044778" spans="1:14" s="83" customFormat="1" ht="12.75">
      <c r="A1044778" s="19"/>
      <c r="B1044778" s="19"/>
      <c r="C1044778" s="19"/>
      <c r="D1044778" s="19"/>
      <c r="E1044778" s="19"/>
      <c r="F1044778" s="19"/>
      <c r="G1044778" s="19"/>
      <c r="H1044778" s="19"/>
      <c r="I1044778" s="19"/>
      <c r="J1044778" s="19"/>
      <c r="K1044778" s="19"/>
      <c r="L1044778" s="19"/>
      <c r="M1044778" s="19"/>
      <c r="N1044778" s="19"/>
    </row>
    <row r="1044779" spans="1:14" s="83" customFormat="1" ht="12.75">
      <c r="A1044779" s="19"/>
      <c r="B1044779" s="19"/>
      <c r="C1044779" s="19"/>
      <c r="D1044779" s="19"/>
      <c r="E1044779" s="19"/>
      <c r="F1044779" s="19"/>
      <c r="G1044779" s="19"/>
      <c r="H1044779" s="19"/>
      <c r="I1044779" s="19"/>
      <c r="J1044779" s="19"/>
      <c r="K1044779" s="19"/>
      <c r="L1044779" s="19"/>
      <c r="M1044779" s="19"/>
      <c r="N1044779" s="19"/>
    </row>
    <row r="1044780" spans="1:14" s="83" customFormat="1" ht="12.75">
      <c r="A1044780" s="19"/>
      <c r="B1044780" s="19"/>
      <c r="C1044780" s="19"/>
      <c r="D1044780" s="19"/>
      <c r="E1044780" s="19"/>
      <c r="F1044780" s="19"/>
      <c r="G1044780" s="19"/>
      <c r="H1044780" s="19"/>
      <c r="I1044780" s="19"/>
      <c r="J1044780" s="19"/>
      <c r="K1044780" s="19"/>
      <c r="L1044780" s="19"/>
      <c r="M1044780" s="19"/>
      <c r="N1044780" s="19"/>
    </row>
    <row r="1044781" spans="1:14" s="83" customFormat="1" ht="12.75">
      <c r="A1044781" s="19"/>
      <c r="B1044781" s="19"/>
      <c r="C1044781" s="19"/>
      <c r="D1044781" s="19"/>
      <c r="E1044781" s="19"/>
      <c r="F1044781" s="19"/>
      <c r="G1044781" s="19"/>
      <c r="H1044781" s="19"/>
      <c r="I1044781" s="19"/>
      <c r="J1044781" s="19"/>
      <c r="K1044781" s="19"/>
      <c r="L1044781" s="19"/>
      <c r="M1044781" s="19"/>
      <c r="N1044781" s="19"/>
    </row>
    <row r="1044782" spans="1:14" s="83" customFormat="1" ht="12.75">
      <c r="A1044782" s="19"/>
      <c r="B1044782" s="19"/>
      <c r="C1044782" s="19"/>
      <c r="D1044782" s="19"/>
      <c r="E1044782" s="19"/>
      <c r="F1044782" s="19"/>
      <c r="G1044782" s="19"/>
      <c r="H1044782" s="19"/>
      <c r="I1044782" s="19"/>
      <c r="J1044782" s="19"/>
      <c r="K1044782" s="19"/>
      <c r="L1044782" s="19"/>
      <c r="M1044782" s="19"/>
      <c r="N1044782" s="19"/>
    </row>
    <row r="1044783" spans="1:14" s="83" customFormat="1" ht="12.75">
      <c r="A1044783" s="19"/>
      <c r="B1044783" s="19"/>
      <c r="C1044783" s="19"/>
      <c r="D1044783" s="19"/>
      <c r="E1044783" s="19"/>
      <c r="F1044783" s="19"/>
      <c r="G1044783" s="19"/>
      <c r="H1044783" s="19"/>
      <c r="I1044783" s="19"/>
      <c r="J1044783" s="19"/>
      <c r="K1044783" s="19"/>
      <c r="L1044783" s="19"/>
      <c r="M1044783" s="19"/>
      <c r="N1044783" s="19"/>
    </row>
    <row r="1044784" spans="1:14" s="83" customFormat="1" ht="12.75">
      <c r="A1044784" s="19"/>
      <c r="B1044784" s="19"/>
      <c r="C1044784" s="19"/>
      <c r="D1044784" s="19"/>
      <c r="E1044784" s="19"/>
      <c r="F1044784" s="19"/>
      <c r="G1044784" s="19"/>
      <c r="H1044784" s="19"/>
      <c r="I1044784" s="19"/>
      <c r="J1044784" s="19"/>
      <c r="K1044784" s="19"/>
      <c r="L1044784" s="19"/>
      <c r="M1044784" s="19"/>
      <c r="N1044784" s="19"/>
    </row>
    <row r="1044785" spans="1:14" s="83" customFormat="1" ht="12.75">
      <c r="A1044785" s="19"/>
      <c r="B1044785" s="19"/>
      <c r="C1044785" s="19"/>
      <c r="D1044785" s="19"/>
      <c r="E1044785" s="19"/>
      <c r="F1044785" s="19"/>
      <c r="G1044785" s="19"/>
      <c r="H1044785" s="19"/>
      <c r="I1044785" s="19"/>
      <c r="J1044785" s="19"/>
      <c r="K1044785" s="19"/>
      <c r="L1044785" s="19"/>
      <c r="M1044785" s="19"/>
      <c r="N1044785" s="19"/>
    </row>
    <row r="1044786" spans="1:14" s="83" customFormat="1" ht="12.75">
      <c r="A1044786" s="19"/>
      <c r="B1044786" s="19"/>
      <c r="C1044786" s="19"/>
      <c r="D1044786" s="19"/>
      <c r="E1044786" s="19"/>
      <c r="F1044786" s="19"/>
      <c r="G1044786" s="19"/>
      <c r="H1044786" s="19"/>
      <c r="I1044786" s="19"/>
      <c r="J1044786" s="19"/>
      <c r="K1044786" s="19"/>
      <c r="L1044786" s="19"/>
      <c r="M1044786" s="19"/>
      <c r="N1044786" s="19"/>
    </row>
    <row r="1044787" spans="1:14" s="83" customFormat="1" ht="12.75">
      <c r="A1044787" s="19"/>
      <c r="B1044787" s="19"/>
      <c r="C1044787" s="19"/>
      <c r="D1044787" s="19"/>
      <c r="E1044787" s="19"/>
      <c r="F1044787" s="19"/>
      <c r="G1044787" s="19"/>
      <c r="H1044787" s="19"/>
      <c r="I1044787" s="19"/>
      <c r="J1044787" s="19"/>
      <c r="K1044787" s="19"/>
      <c r="L1044787" s="19"/>
      <c r="M1044787" s="19"/>
      <c r="N1044787" s="19"/>
    </row>
    <row r="1044788" spans="1:14" s="83" customFormat="1" ht="12.75">
      <c r="A1044788" s="19"/>
      <c r="B1044788" s="19"/>
      <c r="C1044788" s="19"/>
      <c r="D1044788" s="19"/>
      <c r="E1044788" s="19"/>
      <c r="F1044788" s="19"/>
      <c r="G1044788" s="19"/>
      <c r="H1044788" s="19"/>
      <c r="I1044788" s="19"/>
      <c r="J1044788" s="19"/>
      <c r="K1044788" s="19"/>
      <c r="L1044788" s="19"/>
      <c r="M1044788" s="19"/>
      <c r="N1044788" s="19"/>
    </row>
    <row r="1044789" spans="1:14" s="83" customFormat="1" ht="12.75">
      <c r="A1044789" s="19"/>
      <c r="B1044789" s="19"/>
      <c r="C1044789" s="19"/>
      <c r="D1044789" s="19"/>
      <c r="E1044789" s="19"/>
      <c r="F1044789" s="19"/>
      <c r="G1044789" s="19"/>
      <c r="H1044789" s="19"/>
      <c r="I1044789" s="19"/>
      <c r="J1044789" s="19"/>
      <c r="K1044789" s="19"/>
      <c r="L1044789" s="19"/>
      <c r="M1044789" s="19"/>
      <c r="N1044789" s="19"/>
    </row>
    <row r="1044790" spans="1:14" s="83" customFormat="1" ht="12.75">
      <c r="A1044790" s="19"/>
      <c r="B1044790" s="19"/>
      <c r="C1044790" s="19"/>
      <c r="D1044790" s="19"/>
      <c r="E1044790" s="19"/>
      <c r="F1044790" s="19"/>
      <c r="G1044790" s="19"/>
      <c r="H1044790" s="19"/>
      <c r="I1044790" s="19"/>
      <c r="J1044790" s="19"/>
      <c r="K1044790" s="19"/>
      <c r="L1044790" s="19"/>
      <c r="M1044790" s="19"/>
      <c r="N1044790" s="19"/>
    </row>
    <row r="1044791" spans="1:14" s="83" customFormat="1" ht="12.75">
      <c r="A1044791" s="19"/>
      <c r="B1044791" s="19"/>
      <c r="C1044791" s="19"/>
      <c r="D1044791" s="19"/>
      <c r="E1044791" s="19"/>
      <c r="F1044791" s="19"/>
      <c r="G1044791" s="19"/>
      <c r="H1044791" s="19"/>
      <c r="I1044791" s="19"/>
      <c r="J1044791" s="19"/>
      <c r="K1044791" s="19"/>
      <c r="L1044791" s="19"/>
      <c r="M1044791" s="19"/>
      <c r="N1044791" s="19"/>
    </row>
    <row r="1044792" spans="1:14" s="83" customFormat="1" ht="12.75">
      <c r="A1044792" s="19"/>
      <c r="B1044792" s="19"/>
      <c r="C1044792" s="19"/>
      <c r="D1044792" s="19"/>
      <c r="E1044792" s="19"/>
      <c r="F1044792" s="19"/>
      <c r="G1044792" s="19"/>
      <c r="H1044792" s="19"/>
      <c r="I1044792" s="19"/>
      <c r="J1044792" s="19"/>
      <c r="K1044792" s="19"/>
      <c r="L1044792" s="19"/>
      <c r="M1044792" s="19"/>
      <c r="N1044792" s="19"/>
    </row>
    <row r="1044793" spans="1:14" s="83" customFormat="1" ht="12.75">
      <c r="A1044793" s="19"/>
      <c r="B1044793" s="19"/>
      <c r="C1044793" s="19"/>
      <c r="D1044793" s="19"/>
      <c r="E1044793" s="19"/>
      <c r="F1044793" s="19"/>
      <c r="G1044793" s="19"/>
      <c r="H1044793" s="19"/>
      <c r="I1044793" s="19"/>
      <c r="J1044793" s="19"/>
      <c r="K1044793" s="19"/>
      <c r="L1044793" s="19"/>
      <c r="M1044793" s="19"/>
      <c r="N1044793" s="19"/>
    </row>
    <row r="1044794" spans="1:14" s="83" customFormat="1" ht="12.75">
      <c r="A1044794" s="19"/>
      <c r="B1044794" s="19"/>
      <c r="C1044794" s="19"/>
      <c r="D1044794" s="19"/>
      <c r="E1044794" s="19"/>
      <c r="F1044794" s="19"/>
      <c r="G1044794" s="19"/>
      <c r="H1044794" s="19"/>
      <c r="I1044794" s="19"/>
      <c r="J1044794" s="19"/>
      <c r="K1044794" s="19"/>
      <c r="L1044794" s="19"/>
      <c r="M1044794" s="19"/>
      <c r="N1044794" s="19"/>
    </row>
    <row r="1044795" spans="1:14" s="83" customFormat="1" ht="12.75">
      <c r="A1044795" s="19"/>
      <c r="B1044795" s="19"/>
      <c r="C1044795" s="19"/>
      <c r="D1044795" s="19"/>
      <c r="E1044795" s="19"/>
      <c r="F1044795" s="19"/>
      <c r="G1044795" s="19"/>
      <c r="H1044795" s="19"/>
      <c r="I1044795" s="19"/>
      <c r="J1044795" s="19"/>
      <c r="K1044795" s="19"/>
      <c r="L1044795" s="19"/>
      <c r="M1044795" s="19"/>
      <c r="N1044795" s="19"/>
    </row>
    <row r="1044796" spans="1:14" s="83" customFormat="1" ht="12.75">
      <c r="A1044796" s="19"/>
      <c r="B1044796" s="19"/>
      <c r="C1044796" s="19"/>
      <c r="D1044796" s="19"/>
      <c r="E1044796" s="19"/>
      <c r="F1044796" s="19"/>
      <c r="G1044796" s="19"/>
      <c r="H1044796" s="19"/>
      <c r="I1044796" s="19"/>
      <c r="J1044796" s="19"/>
      <c r="K1044796" s="19"/>
      <c r="L1044796" s="19"/>
      <c r="M1044796" s="19"/>
      <c r="N1044796" s="19"/>
    </row>
    <row r="1044797" spans="1:14" s="83" customFormat="1" ht="12.75">
      <c r="A1044797" s="19"/>
      <c r="B1044797" s="19"/>
      <c r="C1044797" s="19"/>
      <c r="D1044797" s="19"/>
      <c r="E1044797" s="19"/>
      <c r="F1044797" s="19"/>
      <c r="G1044797" s="19"/>
      <c r="H1044797" s="19"/>
      <c r="I1044797" s="19"/>
      <c r="J1044797" s="19"/>
      <c r="K1044797" s="19"/>
      <c r="L1044797" s="19"/>
      <c r="M1044797" s="19"/>
      <c r="N1044797" s="19"/>
    </row>
    <row r="1044798" spans="1:14" s="83" customFormat="1" ht="12.75">
      <c r="A1044798" s="19"/>
      <c r="B1044798" s="19"/>
      <c r="C1044798" s="19"/>
      <c r="D1044798" s="19"/>
      <c r="E1044798" s="19"/>
      <c r="F1044798" s="19"/>
      <c r="G1044798" s="19"/>
      <c r="H1044798" s="19"/>
      <c r="I1044798" s="19"/>
      <c r="J1044798" s="19"/>
      <c r="K1044798" s="19"/>
      <c r="L1044798" s="19"/>
      <c r="M1044798" s="19"/>
      <c r="N1044798" s="19"/>
    </row>
    <row r="1044799" spans="1:14" s="83" customFormat="1" ht="12.75">
      <c r="A1044799" s="19"/>
      <c r="B1044799" s="19"/>
      <c r="C1044799" s="19"/>
      <c r="D1044799" s="19"/>
      <c r="E1044799" s="19"/>
      <c r="F1044799" s="19"/>
      <c r="G1044799" s="19"/>
      <c r="H1044799" s="19"/>
      <c r="I1044799" s="19"/>
      <c r="J1044799" s="19"/>
      <c r="K1044799" s="19"/>
      <c r="L1044799" s="19"/>
      <c r="M1044799" s="19"/>
      <c r="N1044799" s="19"/>
    </row>
    <row r="1044800" spans="1:14" s="83" customFormat="1" ht="12.75">
      <c r="A1044800" s="19"/>
      <c r="B1044800" s="19"/>
      <c r="C1044800" s="19"/>
      <c r="D1044800" s="19"/>
      <c r="E1044800" s="19"/>
      <c r="F1044800" s="19"/>
      <c r="G1044800" s="19"/>
      <c r="H1044800" s="19"/>
      <c r="I1044800" s="19"/>
      <c r="J1044800" s="19"/>
      <c r="K1044800" s="19"/>
      <c r="L1044800" s="19"/>
      <c r="M1044800" s="19"/>
      <c r="N1044800" s="19"/>
    </row>
    <row r="1044801" spans="1:14" s="83" customFormat="1" ht="12.75">
      <c r="A1044801" s="19"/>
      <c r="B1044801" s="19"/>
      <c r="C1044801" s="19"/>
      <c r="D1044801" s="19"/>
      <c r="E1044801" s="19"/>
      <c r="F1044801" s="19"/>
      <c r="G1044801" s="19"/>
      <c r="H1044801" s="19"/>
      <c r="I1044801" s="19"/>
      <c r="J1044801" s="19"/>
      <c r="K1044801" s="19"/>
      <c r="L1044801" s="19"/>
      <c r="M1044801" s="19"/>
      <c r="N1044801" s="19"/>
    </row>
    <row r="1044802" spans="1:14" s="83" customFormat="1" ht="12.75">
      <c r="A1044802" s="19"/>
      <c r="B1044802" s="19"/>
      <c r="C1044802" s="19"/>
      <c r="D1044802" s="19"/>
      <c r="E1044802" s="19"/>
      <c r="F1044802" s="19"/>
      <c r="G1044802" s="19"/>
      <c r="H1044802" s="19"/>
      <c r="I1044802" s="19"/>
      <c r="J1044802" s="19"/>
      <c r="K1044802" s="19"/>
      <c r="L1044802" s="19"/>
      <c r="M1044802" s="19"/>
      <c r="N1044802" s="19"/>
    </row>
    <row r="1044803" spans="1:14" s="83" customFormat="1" ht="12.75">
      <c r="A1044803" s="19"/>
      <c r="B1044803" s="19"/>
      <c r="C1044803" s="19"/>
      <c r="D1044803" s="19"/>
      <c r="E1044803" s="19"/>
      <c r="F1044803" s="19"/>
      <c r="G1044803" s="19"/>
      <c r="H1044803" s="19"/>
      <c r="I1044803" s="19"/>
      <c r="J1044803" s="19"/>
      <c r="K1044803" s="19"/>
      <c r="L1044803" s="19"/>
      <c r="M1044803" s="19"/>
      <c r="N1044803" s="19"/>
    </row>
    <row r="1044804" spans="1:14" s="83" customFormat="1" ht="12.75">
      <c r="A1044804" s="19"/>
      <c r="B1044804" s="19"/>
      <c r="C1044804" s="19"/>
      <c r="D1044804" s="19"/>
      <c r="E1044804" s="19"/>
      <c r="F1044804" s="19"/>
      <c r="G1044804" s="19"/>
      <c r="H1044804" s="19"/>
      <c r="I1044804" s="19"/>
      <c r="J1044804" s="19"/>
      <c r="K1044804" s="19"/>
      <c r="L1044804" s="19"/>
      <c r="M1044804" s="19"/>
      <c r="N1044804" s="19"/>
    </row>
    <row r="1044805" spans="1:14" s="83" customFormat="1" ht="12.75">
      <c r="A1044805" s="19"/>
      <c r="B1044805" s="19"/>
      <c r="C1044805" s="19"/>
      <c r="D1044805" s="19"/>
      <c r="E1044805" s="19"/>
      <c r="F1044805" s="19"/>
      <c r="G1044805" s="19"/>
      <c r="H1044805" s="19"/>
      <c r="I1044805" s="19"/>
      <c r="J1044805" s="19"/>
      <c r="K1044805" s="19"/>
      <c r="L1044805" s="19"/>
      <c r="M1044805" s="19"/>
      <c r="N1044805" s="19"/>
    </row>
    <row r="1044806" spans="1:14" s="83" customFormat="1" ht="12.75">
      <c r="A1044806" s="19"/>
      <c r="B1044806" s="19"/>
      <c r="C1044806" s="19"/>
      <c r="D1044806" s="19"/>
      <c r="E1044806" s="19"/>
      <c r="F1044806" s="19"/>
      <c r="G1044806" s="19"/>
      <c r="H1044806" s="19"/>
      <c r="I1044806" s="19"/>
      <c r="J1044806" s="19"/>
      <c r="K1044806" s="19"/>
      <c r="L1044806" s="19"/>
      <c r="M1044806" s="19"/>
      <c r="N1044806" s="19"/>
    </row>
    <row r="1044807" spans="1:14" s="83" customFormat="1" ht="12.75">
      <c r="A1044807" s="19"/>
      <c r="B1044807" s="19"/>
      <c r="C1044807" s="19"/>
      <c r="D1044807" s="19"/>
      <c r="E1044807" s="19"/>
      <c r="F1044807" s="19"/>
      <c r="G1044807" s="19"/>
      <c r="H1044807" s="19"/>
      <c r="I1044807" s="19"/>
      <c r="J1044807" s="19"/>
      <c r="K1044807" s="19"/>
      <c r="L1044807" s="19"/>
      <c r="M1044807" s="19"/>
      <c r="N1044807" s="19"/>
    </row>
    <row r="1044808" spans="1:14" s="83" customFormat="1" ht="12.75">
      <c r="A1044808" s="19"/>
      <c r="B1044808" s="19"/>
      <c r="C1044808" s="19"/>
      <c r="D1044808" s="19"/>
      <c r="E1044808" s="19"/>
      <c r="F1044808" s="19"/>
      <c r="G1044808" s="19"/>
      <c r="H1044808" s="19"/>
      <c r="I1044808" s="19"/>
      <c r="J1044808" s="19"/>
      <c r="K1044808" s="19"/>
      <c r="L1044808" s="19"/>
      <c r="M1044808" s="19"/>
      <c r="N1044808" s="19"/>
    </row>
    <row r="1044809" spans="1:14" s="83" customFormat="1" ht="12.75">
      <c r="A1044809" s="19"/>
      <c r="B1044809" s="19"/>
      <c r="C1044809" s="19"/>
      <c r="D1044809" s="19"/>
      <c r="E1044809" s="19"/>
      <c r="F1044809" s="19"/>
      <c r="G1044809" s="19"/>
      <c r="H1044809" s="19"/>
      <c r="I1044809" s="19"/>
      <c r="J1044809" s="19"/>
      <c r="K1044809" s="19"/>
      <c r="L1044809" s="19"/>
      <c r="M1044809" s="19"/>
      <c r="N1044809" s="19"/>
    </row>
    <row r="1044810" spans="1:14" s="83" customFormat="1" ht="12.75">
      <c r="A1044810" s="19"/>
      <c r="B1044810" s="19"/>
      <c r="C1044810" s="19"/>
      <c r="D1044810" s="19"/>
      <c r="E1044810" s="19"/>
      <c r="F1044810" s="19"/>
      <c r="G1044810" s="19"/>
      <c r="H1044810" s="19"/>
      <c r="I1044810" s="19"/>
      <c r="J1044810" s="19"/>
      <c r="K1044810" s="19"/>
      <c r="L1044810" s="19"/>
      <c r="M1044810" s="19"/>
      <c r="N1044810" s="19"/>
    </row>
    <row r="1044811" spans="1:14" s="83" customFormat="1" ht="12.75">
      <c r="A1044811" s="19"/>
      <c r="B1044811" s="19"/>
      <c r="C1044811" s="19"/>
      <c r="D1044811" s="19"/>
      <c r="E1044811" s="19"/>
      <c r="F1044811" s="19"/>
      <c r="G1044811" s="19"/>
      <c r="H1044811" s="19"/>
      <c r="I1044811" s="19"/>
      <c r="J1044811" s="19"/>
      <c r="K1044811" s="19"/>
      <c r="L1044811" s="19"/>
      <c r="M1044811" s="19"/>
      <c r="N1044811" s="19"/>
    </row>
    <row r="1044812" spans="1:14" s="83" customFormat="1" ht="12.75">
      <c r="A1044812" s="19"/>
      <c r="B1044812" s="19"/>
      <c r="C1044812" s="19"/>
      <c r="D1044812" s="19"/>
      <c r="E1044812" s="19"/>
      <c r="F1044812" s="19"/>
      <c r="G1044812" s="19"/>
      <c r="H1044812" s="19"/>
      <c r="I1044812" s="19"/>
      <c r="J1044812" s="19"/>
      <c r="K1044812" s="19"/>
      <c r="L1044812" s="19"/>
      <c r="M1044812" s="19"/>
      <c r="N1044812" s="19"/>
    </row>
    <row r="1044813" spans="1:14" s="83" customFormat="1" ht="12.75">
      <c r="A1044813" s="19"/>
      <c r="B1044813" s="19"/>
      <c r="C1044813" s="19"/>
      <c r="D1044813" s="19"/>
      <c r="E1044813" s="19"/>
      <c r="F1044813" s="19"/>
      <c r="G1044813" s="19"/>
      <c r="H1044813" s="19"/>
      <c r="I1044813" s="19"/>
      <c r="J1044813" s="19"/>
      <c r="K1044813" s="19"/>
      <c r="L1044813" s="19"/>
      <c r="M1044813" s="19"/>
      <c r="N1044813" s="19"/>
    </row>
    <row r="1044814" spans="1:14" s="83" customFormat="1" ht="12.75">
      <c r="A1044814" s="19"/>
      <c r="B1044814" s="19"/>
      <c r="C1044814" s="19"/>
      <c r="D1044814" s="19"/>
      <c r="E1044814" s="19"/>
      <c r="F1044814" s="19"/>
      <c r="G1044814" s="19"/>
      <c r="H1044814" s="19"/>
      <c r="I1044814" s="19"/>
      <c r="J1044814" s="19"/>
      <c r="K1044814" s="19"/>
      <c r="L1044814" s="19"/>
      <c r="M1044814" s="19"/>
      <c r="N1044814" s="19"/>
    </row>
    <row r="1044815" spans="1:14" s="83" customFormat="1" ht="12.75">
      <c r="A1044815" s="19"/>
      <c r="B1044815" s="19"/>
      <c r="C1044815" s="19"/>
      <c r="D1044815" s="19"/>
      <c r="E1044815" s="19"/>
      <c r="F1044815" s="19"/>
      <c r="G1044815" s="19"/>
      <c r="H1044815" s="19"/>
      <c r="I1044815" s="19"/>
      <c r="J1044815" s="19"/>
      <c r="K1044815" s="19"/>
      <c r="L1044815" s="19"/>
      <c r="M1044815" s="19"/>
      <c r="N1044815" s="19"/>
    </row>
    <row r="1044816" spans="1:14" s="83" customFormat="1" ht="12.75">
      <c r="A1044816" s="19"/>
      <c r="B1044816" s="19"/>
      <c r="C1044816" s="19"/>
      <c r="D1044816" s="19"/>
      <c r="E1044816" s="19"/>
      <c r="F1044816" s="19"/>
      <c r="G1044816" s="19"/>
      <c r="H1044816" s="19"/>
      <c r="I1044816" s="19"/>
      <c r="J1044816" s="19"/>
      <c r="K1044816" s="19"/>
      <c r="L1044816" s="19"/>
      <c r="M1044816" s="19"/>
      <c r="N1044816" s="19"/>
    </row>
    <row r="1044817" spans="1:14" s="83" customFormat="1" ht="12.75">
      <c r="A1044817" s="19"/>
      <c r="B1044817" s="19"/>
      <c r="C1044817" s="19"/>
      <c r="D1044817" s="19"/>
      <c r="E1044817" s="19"/>
      <c r="F1044817" s="19"/>
      <c r="G1044817" s="19"/>
      <c r="H1044817" s="19"/>
      <c r="I1044817" s="19"/>
      <c r="J1044817" s="19"/>
      <c r="K1044817" s="19"/>
      <c r="L1044817" s="19"/>
      <c r="M1044817" s="19"/>
      <c r="N1044817" s="19"/>
    </row>
    <row r="1044818" spans="1:14" s="83" customFormat="1" ht="12.75">
      <c r="A1044818" s="19"/>
      <c r="B1044818" s="19"/>
      <c r="C1044818" s="19"/>
      <c r="D1044818" s="19"/>
      <c r="E1044818" s="19"/>
      <c r="F1044818" s="19"/>
      <c r="G1044818" s="19"/>
      <c r="H1044818" s="19"/>
      <c r="I1044818" s="19"/>
      <c r="J1044818" s="19"/>
      <c r="K1044818" s="19"/>
      <c r="L1044818" s="19"/>
      <c r="M1044818" s="19"/>
      <c r="N1044818" s="19"/>
    </row>
    <row r="1044819" spans="1:14" s="83" customFormat="1" ht="12.75">
      <c r="A1044819" s="19"/>
      <c r="B1044819" s="19"/>
      <c r="C1044819" s="19"/>
      <c r="D1044819" s="19"/>
      <c r="E1044819" s="19"/>
      <c r="F1044819" s="19"/>
      <c r="G1044819" s="19"/>
      <c r="H1044819" s="19"/>
      <c r="I1044819" s="19"/>
      <c r="J1044819" s="19"/>
      <c r="K1044819" s="19"/>
      <c r="L1044819" s="19"/>
      <c r="M1044819" s="19"/>
      <c r="N1044819" s="19"/>
    </row>
    <row r="1044820" spans="1:14" s="83" customFormat="1" ht="12.75">
      <c r="A1044820" s="19"/>
      <c r="B1044820" s="19"/>
      <c r="C1044820" s="19"/>
      <c r="D1044820" s="19"/>
      <c r="E1044820" s="19"/>
      <c r="F1044820" s="19"/>
      <c r="G1044820" s="19"/>
      <c r="H1044820" s="19"/>
      <c r="I1044820" s="19"/>
      <c r="J1044820" s="19"/>
      <c r="K1044820" s="19"/>
      <c r="L1044820" s="19"/>
      <c r="M1044820" s="19"/>
      <c r="N1044820" s="19"/>
    </row>
    <row r="1044821" spans="1:14" s="83" customFormat="1" ht="12.75">
      <c r="A1044821" s="19"/>
      <c r="B1044821" s="19"/>
      <c r="C1044821" s="19"/>
      <c r="D1044821" s="19"/>
      <c r="E1044821" s="19"/>
      <c r="F1044821" s="19"/>
      <c r="G1044821" s="19"/>
      <c r="H1044821" s="19"/>
      <c r="I1044821" s="19"/>
      <c r="J1044821" s="19"/>
      <c r="K1044821" s="19"/>
      <c r="L1044821" s="19"/>
      <c r="M1044821" s="19"/>
      <c r="N1044821" s="19"/>
    </row>
    <row r="1044822" spans="1:14" s="83" customFormat="1" ht="12.75">
      <c r="A1044822" s="19"/>
      <c r="B1044822" s="19"/>
      <c r="C1044822" s="19"/>
      <c r="D1044822" s="19"/>
      <c r="E1044822" s="19"/>
      <c r="F1044822" s="19"/>
      <c r="G1044822" s="19"/>
      <c r="H1044822" s="19"/>
      <c r="I1044822" s="19"/>
      <c r="J1044822" s="19"/>
      <c r="K1044822" s="19"/>
      <c r="L1044822" s="19"/>
      <c r="M1044822" s="19"/>
      <c r="N1044822" s="19"/>
    </row>
    <row r="1044823" spans="1:14" s="83" customFormat="1" ht="12.75">
      <c r="A1044823" s="19"/>
      <c r="B1044823" s="19"/>
      <c r="C1044823" s="19"/>
      <c r="D1044823" s="19"/>
      <c r="E1044823" s="19"/>
      <c r="F1044823" s="19"/>
      <c r="G1044823" s="19"/>
      <c r="H1044823" s="19"/>
      <c r="I1044823" s="19"/>
      <c r="J1044823" s="19"/>
      <c r="K1044823" s="19"/>
      <c r="L1044823" s="19"/>
      <c r="M1044823" s="19"/>
      <c r="N1044823" s="19"/>
    </row>
    <row r="1044824" spans="1:14" s="83" customFormat="1" ht="12.75">
      <c r="A1044824" s="19"/>
      <c r="B1044824" s="19"/>
      <c r="C1044824" s="19"/>
      <c r="D1044824" s="19"/>
      <c r="E1044824" s="19"/>
      <c r="F1044824" s="19"/>
      <c r="G1044824" s="19"/>
      <c r="H1044824" s="19"/>
      <c r="I1044824" s="19"/>
      <c r="J1044824" s="19"/>
      <c r="K1044824" s="19"/>
      <c r="L1044824" s="19"/>
      <c r="M1044824" s="19"/>
      <c r="N1044824" s="19"/>
    </row>
    <row r="1044825" spans="1:14" s="83" customFormat="1" ht="12.75">
      <c r="A1044825" s="19"/>
      <c r="B1044825" s="19"/>
      <c r="C1044825" s="19"/>
      <c r="D1044825" s="19"/>
      <c r="E1044825" s="19"/>
      <c r="F1044825" s="19"/>
      <c r="G1044825" s="19"/>
      <c r="H1044825" s="19"/>
      <c r="I1044825" s="19"/>
      <c r="J1044825" s="19"/>
      <c r="K1044825" s="19"/>
      <c r="L1044825" s="19"/>
      <c r="M1044825" s="19"/>
      <c r="N1044825" s="19"/>
    </row>
    <row r="1044826" spans="1:14" s="83" customFormat="1" ht="12.75">
      <c r="A1044826" s="19"/>
      <c r="B1044826" s="19"/>
      <c r="C1044826" s="19"/>
      <c r="D1044826" s="19"/>
      <c r="E1044826" s="19"/>
      <c r="F1044826" s="19"/>
      <c r="G1044826" s="19"/>
      <c r="H1044826" s="19"/>
      <c r="I1044826" s="19"/>
      <c r="J1044826" s="19"/>
      <c r="K1044826" s="19"/>
      <c r="L1044826" s="19"/>
      <c r="M1044826" s="19"/>
      <c r="N1044826" s="19"/>
    </row>
    <row r="1044827" spans="1:14" s="83" customFormat="1" ht="12.75">
      <c r="A1044827" s="19"/>
      <c r="B1044827" s="19"/>
      <c r="C1044827" s="19"/>
      <c r="D1044827" s="19"/>
      <c r="E1044827" s="19"/>
      <c r="F1044827" s="19"/>
      <c r="G1044827" s="19"/>
      <c r="H1044827" s="19"/>
      <c r="I1044827" s="19"/>
      <c r="J1044827" s="19"/>
      <c r="K1044827" s="19"/>
      <c r="L1044827" s="19"/>
      <c r="M1044827" s="19"/>
      <c r="N1044827" s="19"/>
    </row>
    <row r="1044828" spans="1:14" s="83" customFormat="1" ht="12.75">
      <c r="A1044828" s="19"/>
      <c r="B1044828" s="19"/>
      <c r="C1044828" s="19"/>
      <c r="D1044828" s="19"/>
      <c r="E1044828" s="19"/>
      <c r="F1044828" s="19"/>
      <c r="G1044828" s="19"/>
      <c r="H1044828" s="19"/>
      <c r="I1044828" s="19"/>
      <c r="J1044828" s="19"/>
      <c r="K1044828" s="19"/>
      <c r="L1044828" s="19"/>
      <c r="M1044828" s="19"/>
      <c r="N1044828" s="19"/>
    </row>
    <row r="1044829" spans="1:14" s="83" customFormat="1" ht="12.75">
      <c r="A1044829" s="19"/>
      <c r="B1044829" s="19"/>
      <c r="C1044829" s="19"/>
      <c r="D1044829" s="19"/>
      <c r="E1044829" s="19"/>
      <c r="F1044829" s="19"/>
      <c r="G1044829" s="19"/>
      <c r="H1044829" s="19"/>
      <c r="I1044829" s="19"/>
      <c r="J1044829" s="19"/>
      <c r="K1044829" s="19"/>
      <c r="L1044829" s="19"/>
      <c r="M1044829" s="19"/>
      <c r="N1044829" s="19"/>
    </row>
    <row r="1044830" spans="1:14" s="83" customFormat="1" ht="12.75">
      <c r="A1044830" s="19"/>
      <c r="B1044830" s="19"/>
      <c r="C1044830" s="19"/>
      <c r="D1044830" s="19"/>
      <c r="E1044830" s="19"/>
      <c r="F1044830" s="19"/>
      <c r="G1044830" s="19"/>
      <c r="H1044830" s="19"/>
      <c r="I1044830" s="19"/>
      <c r="J1044830" s="19"/>
      <c r="K1044830" s="19"/>
      <c r="L1044830" s="19"/>
      <c r="M1044830" s="19"/>
      <c r="N1044830" s="19"/>
    </row>
    <row r="1044831" spans="1:14" s="83" customFormat="1" ht="12.75">
      <c r="A1044831" s="19"/>
      <c r="B1044831" s="19"/>
      <c r="C1044831" s="19"/>
      <c r="D1044831" s="19"/>
      <c r="E1044831" s="19"/>
      <c r="F1044831" s="19"/>
      <c r="G1044831" s="19"/>
      <c r="H1044831" s="19"/>
      <c r="I1044831" s="19"/>
      <c r="J1044831" s="19"/>
      <c r="K1044831" s="19"/>
      <c r="L1044831" s="19"/>
      <c r="M1044831" s="19"/>
      <c r="N1044831" s="19"/>
    </row>
    <row r="1044832" spans="1:14" s="83" customFormat="1" ht="12.75">
      <c r="A1044832" s="19"/>
      <c r="B1044832" s="19"/>
      <c r="C1044832" s="19"/>
      <c r="D1044832" s="19"/>
      <c r="E1044832" s="19"/>
      <c r="F1044832" s="19"/>
      <c r="G1044832" s="19"/>
      <c r="H1044832" s="19"/>
      <c r="I1044832" s="19"/>
      <c r="J1044832" s="19"/>
      <c r="K1044832" s="19"/>
      <c r="L1044832" s="19"/>
      <c r="M1044832" s="19"/>
      <c r="N1044832" s="19"/>
    </row>
    <row r="1044833" spans="1:14" s="83" customFormat="1" ht="12.75">
      <c r="A1044833" s="19"/>
      <c r="B1044833" s="19"/>
      <c r="C1044833" s="19"/>
      <c r="D1044833" s="19"/>
      <c r="E1044833" s="19"/>
      <c r="F1044833" s="19"/>
      <c r="G1044833" s="19"/>
      <c r="H1044833" s="19"/>
      <c r="I1044833" s="19"/>
      <c r="J1044833" s="19"/>
      <c r="K1044833" s="19"/>
      <c r="L1044833" s="19"/>
      <c r="M1044833" s="19"/>
      <c r="N1044833" s="19"/>
    </row>
    <row r="1044834" spans="1:14" s="83" customFormat="1" ht="12.75">
      <c r="A1044834" s="19"/>
      <c r="B1044834" s="19"/>
      <c r="C1044834" s="19"/>
      <c r="D1044834" s="19"/>
      <c r="E1044834" s="19"/>
      <c r="F1044834" s="19"/>
      <c r="G1044834" s="19"/>
      <c r="H1044834" s="19"/>
      <c r="I1044834" s="19"/>
      <c r="J1044834" s="19"/>
      <c r="K1044834" s="19"/>
      <c r="L1044834" s="19"/>
      <c r="M1044834" s="19"/>
      <c r="N1044834" s="19"/>
    </row>
    <row r="1044835" spans="1:14" s="83" customFormat="1" ht="12.75">
      <c r="A1044835" s="19"/>
      <c r="B1044835" s="19"/>
      <c r="C1044835" s="19"/>
      <c r="D1044835" s="19"/>
      <c r="E1044835" s="19"/>
      <c r="F1044835" s="19"/>
      <c r="G1044835" s="19"/>
      <c r="H1044835" s="19"/>
      <c r="I1044835" s="19"/>
      <c r="J1044835" s="19"/>
      <c r="K1044835" s="19"/>
      <c r="L1044835" s="19"/>
      <c r="M1044835" s="19"/>
      <c r="N1044835" s="19"/>
    </row>
    <row r="1044836" spans="1:14" s="83" customFormat="1" ht="12.75">
      <c r="A1044836" s="19"/>
      <c r="B1044836" s="19"/>
      <c r="C1044836" s="19"/>
      <c r="D1044836" s="19"/>
      <c r="E1044836" s="19"/>
      <c r="F1044836" s="19"/>
      <c r="G1044836" s="19"/>
      <c r="H1044836" s="19"/>
      <c r="I1044836" s="19"/>
      <c r="J1044836" s="19"/>
      <c r="K1044836" s="19"/>
      <c r="L1044836" s="19"/>
      <c r="M1044836" s="19"/>
      <c r="N1044836" s="19"/>
    </row>
    <row r="1044837" spans="1:14" s="83" customFormat="1" ht="12.75">
      <c r="A1044837" s="19"/>
      <c r="B1044837" s="19"/>
      <c r="C1044837" s="19"/>
      <c r="D1044837" s="19"/>
      <c r="E1044837" s="19"/>
      <c r="F1044837" s="19"/>
      <c r="G1044837" s="19"/>
      <c r="H1044837" s="19"/>
      <c r="I1044837" s="19"/>
      <c r="J1044837" s="19"/>
      <c r="K1044837" s="19"/>
      <c r="L1044837" s="19"/>
      <c r="M1044837" s="19"/>
      <c r="N1044837" s="19"/>
    </row>
    <row r="1044838" spans="1:14" s="83" customFormat="1" ht="12.75">
      <c r="A1044838" s="19"/>
      <c r="B1044838" s="19"/>
      <c r="C1044838" s="19"/>
      <c r="D1044838" s="19"/>
      <c r="E1044838" s="19"/>
      <c r="F1044838" s="19"/>
      <c r="G1044838" s="19"/>
      <c r="H1044838" s="19"/>
      <c r="I1044838" s="19"/>
      <c r="J1044838" s="19"/>
      <c r="K1044838" s="19"/>
      <c r="L1044838" s="19"/>
      <c r="M1044838" s="19"/>
      <c r="N1044838" s="19"/>
    </row>
    <row r="1044839" spans="1:14" s="83" customFormat="1" ht="12.75">
      <c r="A1044839" s="19"/>
      <c r="B1044839" s="19"/>
      <c r="C1044839" s="19"/>
      <c r="D1044839" s="19"/>
      <c r="E1044839" s="19"/>
      <c r="F1044839" s="19"/>
      <c r="G1044839" s="19"/>
      <c r="H1044839" s="19"/>
      <c r="I1044839" s="19"/>
      <c r="J1044839" s="19"/>
      <c r="K1044839" s="19"/>
      <c r="L1044839" s="19"/>
      <c r="M1044839" s="19"/>
      <c r="N1044839" s="19"/>
    </row>
    <row r="1044840" spans="1:14" s="83" customFormat="1" ht="12.75">
      <c r="A1044840" s="19"/>
      <c r="B1044840" s="19"/>
      <c r="C1044840" s="19"/>
      <c r="D1044840" s="19"/>
      <c r="E1044840" s="19"/>
      <c r="F1044840" s="19"/>
      <c r="G1044840" s="19"/>
      <c r="H1044840" s="19"/>
      <c r="I1044840" s="19"/>
      <c r="J1044840" s="19"/>
      <c r="K1044840" s="19"/>
      <c r="L1044840" s="19"/>
      <c r="M1044840" s="19"/>
      <c r="N1044840" s="19"/>
    </row>
    <row r="1044841" spans="1:14" s="83" customFormat="1" ht="12.75">
      <c r="A1044841" s="19"/>
      <c r="B1044841" s="19"/>
      <c r="C1044841" s="19"/>
      <c r="D1044841" s="19"/>
      <c r="E1044841" s="19"/>
      <c r="F1044841" s="19"/>
      <c r="G1044841" s="19"/>
      <c r="H1044841" s="19"/>
      <c r="I1044841" s="19"/>
      <c r="J1044841" s="19"/>
      <c r="K1044841" s="19"/>
      <c r="L1044841" s="19"/>
      <c r="M1044841" s="19"/>
      <c r="N1044841" s="19"/>
    </row>
    <row r="1044842" spans="1:14" s="83" customFormat="1" ht="12.75">
      <c r="A1044842" s="19"/>
      <c r="B1044842" s="19"/>
      <c r="C1044842" s="19"/>
      <c r="D1044842" s="19"/>
      <c r="E1044842" s="19"/>
      <c r="F1044842" s="19"/>
      <c r="G1044842" s="19"/>
      <c r="H1044842" s="19"/>
      <c r="I1044842" s="19"/>
      <c r="J1044842" s="19"/>
      <c r="K1044842" s="19"/>
      <c r="L1044842" s="19"/>
      <c r="M1044842" s="19"/>
      <c r="N1044842" s="19"/>
    </row>
    <row r="1044843" spans="1:14" s="83" customFormat="1" ht="12.75">
      <c r="A1044843" s="19"/>
      <c r="B1044843" s="19"/>
      <c r="C1044843" s="19"/>
      <c r="D1044843" s="19"/>
      <c r="E1044843" s="19"/>
      <c r="F1044843" s="19"/>
      <c r="G1044843" s="19"/>
      <c r="H1044843" s="19"/>
      <c r="I1044843" s="19"/>
      <c r="J1044843" s="19"/>
      <c r="K1044843" s="19"/>
      <c r="L1044843" s="19"/>
      <c r="M1044843" s="19"/>
      <c r="N1044843" s="19"/>
    </row>
    <row r="1044844" spans="1:14" s="83" customFormat="1" ht="12.75">
      <c r="A1044844" s="19"/>
      <c r="B1044844" s="19"/>
      <c r="C1044844" s="19"/>
      <c r="D1044844" s="19"/>
      <c r="E1044844" s="19"/>
      <c r="F1044844" s="19"/>
      <c r="G1044844" s="19"/>
      <c r="H1044844" s="19"/>
      <c r="I1044844" s="19"/>
      <c r="J1044844" s="19"/>
      <c r="K1044844" s="19"/>
      <c r="L1044844" s="19"/>
      <c r="M1044844" s="19"/>
      <c r="N1044844" s="19"/>
    </row>
    <row r="1044845" spans="1:14" s="83" customFormat="1" ht="12.75">
      <c r="A1044845" s="19"/>
      <c r="B1044845" s="19"/>
      <c r="C1044845" s="19"/>
      <c r="D1044845" s="19"/>
      <c r="E1044845" s="19"/>
      <c r="F1044845" s="19"/>
      <c r="G1044845" s="19"/>
      <c r="H1044845" s="19"/>
      <c r="I1044845" s="19"/>
      <c r="J1044845" s="19"/>
      <c r="K1044845" s="19"/>
      <c r="L1044845" s="19"/>
      <c r="M1044845" s="19"/>
      <c r="N1044845" s="19"/>
    </row>
    <row r="1044846" spans="1:14" s="83" customFormat="1" ht="12.75">
      <c r="A1044846" s="19"/>
      <c r="B1044846" s="19"/>
      <c r="C1044846" s="19"/>
      <c r="D1044846" s="19"/>
      <c r="E1044846" s="19"/>
      <c r="F1044846" s="19"/>
      <c r="G1044846" s="19"/>
      <c r="H1044846" s="19"/>
      <c r="I1044846" s="19"/>
      <c r="J1044846" s="19"/>
      <c r="K1044846" s="19"/>
      <c r="L1044846" s="19"/>
      <c r="M1044846" s="19"/>
      <c r="N1044846" s="19"/>
    </row>
    <row r="1044847" spans="1:14" s="83" customFormat="1" ht="12.75">
      <c r="A1044847" s="19"/>
      <c r="B1044847" s="19"/>
      <c r="C1044847" s="19"/>
      <c r="D1044847" s="19"/>
      <c r="E1044847" s="19"/>
      <c r="F1044847" s="19"/>
      <c r="G1044847" s="19"/>
      <c r="H1044847" s="19"/>
      <c r="I1044847" s="19"/>
      <c r="J1044847" s="19"/>
      <c r="K1044847" s="19"/>
      <c r="L1044847" s="19"/>
      <c r="M1044847" s="19"/>
      <c r="N1044847" s="19"/>
    </row>
    <row r="1044848" spans="1:14" s="83" customFormat="1" ht="12.75">
      <c r="A1044848" s="19"/>
      <c r="B1044848" s="19"/>
      <c r="C1044848" s="19"/>
      <c r="D1044848" s="19"/>
      <c r="E1044848" s="19"/>
      <c r="F1044848" s="19"/>
      <c r="G1044848" s="19"/>
      <c r="H1044848" s="19"/>
      <c r="I1044848" s="19"/>
      <c r="J1044848" s="19"/>
      <c r="K1044848" s="19"/>
      <c r="L1044848" s="19"/>
      <c r="M1044848" s="19"/>
      <c r="N1044848" s="19"/>
    </row>
    <row r="1044849" spans="1:14" s="83" customFormat="1" ht="12.75">
      <c r="A1044849" s="19"/>
      <c r="B1044849" s="19"/>
      <c r="C1044849" s="19"/>
      <c r="D1044849" s="19"/>
      <c r="E1044849" s="19"/>
      <c r="F1044849" s="19"/>
      <c r="G1044849" s="19"/>
      <c r="H1044849" s="19"/>
      <c r="I1044849" s="19"/>
      <c r="J1044849" s="19"/>
      <c r="K1044849" s="19"/>
      <c r="L1044849" s="19"/>
      <c r="M1044849" s="19"/>
      <c r="N1044849" s="19"/>
    </row>
    <row r="1044850" spans="1:14" s="83" customFormat="1" ht="12.75">
      <c r="A1044850" s="19"/>
      <c r="B1044850" s="19"/>
      <c r="C1044850" s="19"/>
      <c r="D1044850" s="19"/>
      <c r="E1044850" s="19"/>
      <c r="F1044850" s="19"/>
      <c r="G1044850" s="19"/>
      <c r="H1044850" s="19"/>
      <c r="I1044850" s="19"/>
      <c r="J1044850" s="19"/>
      <c r="K1044850" s="19"/>
      <c r="L1044850" s="19"/>
      <c r="M1044850" s="19"/>
      <c r="N1044850" s="19"/>
    </row>
    <row r="1044851" spans="1:14" s="83" customFormat="1" ht="12.75">
      <c r="A1044851" s="19"/>
      <c r="B1044851" s="19"/>
      <c r="C1044851" s="19"/>
      <c r="D1044851" s="19"/>
      <c r="E1044851" s="19"/>
      <c r="F1044851" s="19"/>
      <c r="G1044851" s="19"/>
      <c r="H1044851" s="19"/>
      <c r="I1044851" s="19"/>
      <c r="J1044851" s="19"/>
      <c r="K1044851" s="19"/>
      <c r="L1044851" s="19"/>
      <c r="M1044851" s="19"/>
      <c r="N1044851" s="19"/>
    </row>
    <row r="1044852" spans="1:14" s="83" customFormat="1" ht="12.75">
      <c r="A1044852" s="19"/>
      <c r="B1044852" s="19"/>
      <c r="C1044852" s="19"/>
      <c r="D1044852" s="19"/>
      <c r="E1044852" s="19"/>
      <c r="F1044852" s="19"/>
      <c r="G1044852" s="19"/>
      <c r="H1044852" s="19"/>
      <c r="I1044852" s="19"/>
      <c r="J1044852" s="19"/>
      <c r="K1044852" s="19"/>
      <c r="L1044852" s="19"/>
      <c r="M1044852" s="19"/>
      <c r="N1044852" s="19"/>
    </row>
    <row r="1044853" spans="1:14" s="83" customFormat="1" ht="12.75">
      <c r="A1044853" s="19"/>
      <c r="B1044853" s="19"/>
      <c r="C1044853" s="19"/>
      <c r="D1044853" s="19"/>
      <c r="E1044853" s="19"/>
      <c r="F1044853" s="19"/>
      <c r="G1044853" s="19"/>
      <c r="H1044853" s="19"/>
      <c r="I1044853" s="19"/>
      <c r="J1044853" s="19"/>
      <c r="K1044853" s="19"/>
      <c r="L1044853" s="19"/>
      <c r="M1044853" s="19"/>
      <c r="N1044853" s="19"/>
    </row>
    <row r="1044854" spans="1:14" s="83" customFormat="1" ht="12.75">
      <c r="A1044854" s="19"/>
      <c r="B1044854" s="19"/>
      <c r="C1044854" s="19"/>
      <c r="D1044854" s="19"/>
      <c r="E1044854" s="19"/>
      <c r="F1044854" s="19"/>
      <c r="G1044854" s="19"/>
      <c r="H1044854" s="19"/>
      <c r="I1044854" s="19"/>
      <c r="J1044854" s="19"/>
      <c r="K1044854" s="19"/>
      <c r="L1044854" s="19"/>
      <c r="M1044854" s="19"/>
      <c r="N1044854" s="19"/>
    </row>
    <row r="1044855" spans="1:14" s="83" customFormat="1" ht="12.75">
      <c r="A1044855" s="19"/>
      <c r="B1044855" s="19"/>
      <c r="C1044855" s="19"/>
      <c r="D1044855" s="19"/>
      <c r="E1044855" s="19"/>
      <c r="F1044855" s="19"/>
      <c r="G1044855" s="19"/>
      <c r="H1044855" s="19"/>
      <c r="I1044855" s="19"/>
      <c r="J1044855" s="19"/>
      <c r="K1044855" s="19"/>
      <c r="L1044855" s="19"/>
      <c r="M1044855" s="19"/>
      <c r="N1044855" s="19"/>
    </row>
    <row r="1044856" spans="1:14" s="83" customFormat="1" ht="12.75">
      <c r="A1044856" s="19"/>
      <c r="B1044856" s="19"/>
      <c r="C1044856" s="19"/>
      <c r="D1044856" s="19"/>
      <c r="E1044856" s="19"/>
      <c r="F1044856" s="19"/>
      <c r="G1044856" s="19"/>
      <c r="H1044856" s="19"/>
      <c r="I1044856" s="19"/>
      <c r="J1044856" s="19"/>
      <c r="K1044856" s="19"/>
      <c r="L1044856" s="19"/>
      <c r="M1044856" s="19"/>
      <c r="N1044856" s="19"/>
    </row>
    <row r="1044857" spans="1:14" s="83" customFormat="1" ht="12.75">
      <c r="A1044857" s="19"/>
      <c r="B1044857" s="19"/>
      <c r="C1044857" s="19"/>
      <c r="D1044857" s="19"/>
      <c r="E1044857" s="19"/>
      <c r="F1044857" s="19"/>
      <c r="G1044857" s="19"/>
      <c r="H1044857" s="19"/>
      <c r="I1044857" s="19"/>
      <c r="J1044857" s="19"/>
      <c r="K1044857" s="19"/>
      <c r="L1044857" s="19"/>
      <c r="M1044857" s="19"/>
      <c r="N1044857" s="19"/>
    </row>
    <row r="1044858" spans="1:14" s="83" customFormat="1" ht="12.75">
      <c r="A1044858" s="19"/>
      <c r="B1044858" s="19"/>
      <c r="C1044858" s="19"/>
      <c r="D1044858" s="19"/>
      <c r="E1044858" s="19"/>
      <c r="F1044858" s="19"/>
      <c r="G1044858" s="19"/>
      <c r="H1044858" s="19"/>
      <c r="I1044858" s="19"/>
      <c r="J1044858" s="19"/>
      <c r="K1044858" s="19"/>
      <c r="L1044858" s="19"/>
      <c r="M1044858" s="19"/>
      <c r="N1044858" s="19"/>
    </row>
    <row r="1044859" spans="1:14" s="83" customFormat="1" ht="12.75">
      <c r="A1044859" s="19"/>
      <c r="B1044859" s="19"/>
      <c r="C1044859" s="19"/>
      <c r="D1044859" s="19"/>
      <c r="E1044859" s="19"/>
      <c r="F1044859" s="19"/>
      <c r="G1044859" s="19"/>
      <c r="H1044859" s="19"/>
      <c r="I1044859" s="19"/>
      <c r="J1044859" s="19"/>
      <c r="K1044859" s="19"/>
      <c r="L1044859" s="19"/>
      <c r="M1044859" s="19"/>
      <c r="N1044859" s="19"/>
    </row>
    <row r="1044860" spans="1:14" s="83" customFormat="1" ht="12.75">
      <c r="A1044860" s="19"/>
      <c r="B1044860" s="19"/>
      <c r="C1044860" s="19"/>
      <c r="D1044860" s="19"/>
      <c r="E1044860" s="19"/>
      <c r="F1044860" s="19"/>
      <c r="G1044860" s="19"/>
      <c r="H1044860" s="19"/>
      <c r="I1044860" s="19"/>
      <c r="J1044860" s="19"/>
      <c r="K1044860" s="19"/>
      <c r="L1044860" s="19"/>
      <c r="M1044860" s="19"/>
      <c r="N1044860" s="19"/>
    </row>
    <row r="1044861" spans="1:14" s="83" customFormat="1" ht="12.75">
      <c r="A1044861" s="19"/>
      <c r="B1044861" s="19"/>
      <c r="C1044861" s="19"/>
      <c r="D1044861" s="19"/>
      <c r="E1044861" s="19"/>
      <c r="F1044861" s="19"/>
      <c r="G1044861" s="19"/>
      <c r="H1044861" s="19"/>
      <c r="I1044861" s="19"/>
      <c r="J1044861" s="19"/>
      <c r="K1044861" s="19"/>
      <c r="L1044861" s="19"/>
      <c r="M1044861" s="19"/>
      <c r="N1044861" s="19"/>
    </row>
    <row r="1044862" spans="1:14" s="83" customFormat="1" ht="12.75">
      <c r="A1044862" s="19"/>
      <c r="B1044862" s="19"/>
      <c r="C1044862" s="19"/>
      <c r="D1044862" s="19"/>
      <c r="E1044862" s="19"/>
      <c r="F1044862" s="19"/>
      <c r="G1044862" s="19"/>
      <c r="H1044862" s="19"/>
      <c r="I1044862" s="19"/>
      <c r="J1044862" s="19"/>
      <c r="K1044862" s="19"/>
      <c r="L1044862" s="19"/>
      <c r="M1044862" s="19"/>
      <c r="N1044862" s="19"/>
    </row>
    <row r="1044863" spans="1:14" s="83" customFormat="1" ht="12.75">
      <c r="A1044863" s="19"/>
      <c r="B1044863" s="19"/>
      <c r="C1044863" s="19"/>
      <c r="D1044863" s="19"/>
      <c r="E1044863" s="19"/>
      <c r="F1044863" s="19"/>
      <c r="G1044863" s="19"/>
      <c r="H1044863" s="19"/>
      <c r="I1044863" s="19"/>
      <c r="J1044863" s="19"/>
      <c r="K1044863" s="19"/>
      <c r="L1044863" s="19"/>
      <c r="M1044863" s="19"/>
      <c r="N1044863" s="19"/>
    </row>
    <row r="1044864" spans="1:14" s="83" customFormat="1" ht="12.75">
      <c r="A1044864" s="19"/>
      <c r="B1044864" s="19"/>
      <c r="C1044864" s="19"/>
      <c r="D1044864" s="19"/>
      <c r="E1044864" s="19"/>
      <c r="F1044864" s="19"/>
      <c r="G1044864" s="19"/>
      <c r="H1044864" s="19"/>
      <c r="I1044864" s="19"/>
      <c r="J1044864" s="19"/>
      <c r="K1044864" s="19"/>
      <c r="L1044864" s="19"/>
      <c r="M1044864" s="19"/>
      <c r="N1044864" s="19"/>
    </row>
    <row r="1044865" spans="1:14" s="83" customFormat="1" ht="12.75">
      <c r="A1044865" s="19"/>
      <c r="B1044865" s="19"/>
      <c r="C1044865" s="19"/>
      <c r="D1044865" s="19"/>
      <c r="E1044865" s="19"/>
      <c r="F1044865" s="19"/>
      <c r="G1044865" s="19"/>
      <c r="H1044865" s="19"/>
      <c r="I1044865" s="19"/>
      <c r="J1044865" s="19"/>
      <c r="K1044865" s="19"/>
      <c r="L1044865" s="19"/>
      <c r="M1044865" s="19"/>
      <c r="N1044865" s="19"/>
    </row>
    <row r="1044866" spans="1:14" s="83" customFormat="1" ht="12.75">
      <c r="A1044866" s="19"/>
      <c r="B1044866" s="19"/>
      <c r="C1044866" s="19"/>
      <c r="D1044866" s="19"/>
      <c r="E1044866" s="19"/>
      <c r="F1044866" s="19"/>
      <c r="G1044866" s="19"/>
      <c r="H1044866" s="19"/>
      <c r="I1044866" s="19"/>
      <c r="J1044866" s="19"/>
      <c r="K1044866" s="19"/>
      <c r="L1044866" s="19"/>
      <c r="M1044866" s="19"/>
      <c r="N1044866" s="19"/>
    </row>
    <row r="1044867" spans="1:14" s="83" customFormat="1" ht="12.75">
      <c r="A1044867" s="19"/>
      <c r="B1044867" s="19"/>
      <c r="C1044867" s="19"/>
      <c r="D1044867" s="19"/>
      <c r="E1044867" s="19"/>
      <c r="F1044867" s="19"/>
      <c r="G1044867" s="19"/>
      <c r="H1044867" s="19"/>
      <c r="I1044867" s="19"/>
      <c r="J1044867" s="19"/>
      <c r="K1044867" s="19"/>
      <c r="L1044867" s="19"/>
      <c r="M1044867" s="19"/>
      <c r="N1044867" s="19"/>
    </row>
    <row r="1044868" spans="1:14" s="83" customFormat="1" ht="12.75">
      <c r="A1044868" s="19"/>
      <c r="B1044868" s="19"/>
      <c r="C1044868" s="19"/>
      <c r="D1044868" s="19"/>
      <c r="E1044868" s="19"/>
      <c r="F1044868" s="19"/>
      <c r="G1044868" s="19"/>
      <c r="H1044868" s="19"/>
      <c r="I1044868" s="19"/>
      <c r="J1044868" s="19"/>
      <c r="K1044868" s="19"/>
      <c r="L1044868" s="19"/>
      <c r="M1044868" s="19"/>
      <c r="N1044868" s="19"/>
    </row>
    <row r="1044869" spans="1:14" s="83" customFormat="1" ht="12.75">
      <c r="A1044869" s="19"/>
      <c r="B1044869" s="19"/>
      <c r="C1044869" s="19"/>
      <c r="D1044869" s="19"/>
      <c r="E1044869" s="19"/>
      <c r="F1044869" s="19"/>
      <c r="G1044869" s="19"/>
      <c r="H1044869" s="19"/>
      <c r="I1044869" s="19"/>
      <c r="J1044869" s="19"/>
      <c r="K1044869" s="19"/>
      <c r="L1044869" s="19"/>
      <c r="M1044869" s="19"/>
      <c r="N1044869" s="19"/>
    </row>
    <row r="1044870" spans="1:14" s="83" customFormat="1" ht="12.75">
      <c r="A1044870" s="19"/>
      <c r="B1044870" s="19"/>
      <c r="C1044870" s="19"/>
      <c r="D1044870" s="19"/>
      <c r="E1044870" s="19"/>
      <c r="F1044870" s="19"/>
      <c r="G1044870" s="19"/>
      <c r="H1044870" s="19"/>
      <c r="I1044870" s="19"/>
      <c r="J1044870" s="19"/>
      <c r="K1044870" s="19"/>
      <c r="L1044870" s="19"/>
      <c r="M1044870" s="19"/>
      <c r="N1044870" s="19"/>
    </row>
    <row r="1044871" spans="1:14" s="83" customFormat="1" ht="12.75">
      <c r="A1044871" s="19"/>
      <c r="B1044871" s="19"/>
      <c r="C1044871" s="19"/>
      <c r="D1044871" s="19"/>
      <c r="E1044871" s="19"/>
      <c r="F1044871" s="19"/>
      <c r="G1044871" s="19"/>
      <c r="H1044871" s="19"/>
      <c r="I1044871" s="19"/>
      <c r="J1044871" s="19"/>
      <c r="K1044871" s="19"/>
      <c r="L1044871" s="19"/>
      <c r="M1044871" s="19"/>
      <c r="N1044871" s="19"/>
    </row>
    <row r="1044872" spans="1:14" s="83" customFormat="1" ht="12.75">
      <c r="A1044872" s="19"/>
      <c r="B1044872" s="19"/>
      <c r="C1044872" s="19"/>
      <c r="D1044872" s="19"/>
      <c r="E1044872" s="19"/>
      <c r="F1044872" s="19"/>
      <c r="G1044872" s="19"/>
      <c r="H1044872" s="19"/>
      <c r="I1044872" s="19"/>
      <c r="J1044872" s="19"/>
      <c r="K1044872" s="19"/>
      <c r="L1044872" s="19"/>
      <c r="M1044872" s="19"/>
      <c r="N1044872" s="19"/>
    </row>
    <row r="1044873" spans="1:14" s="83" customFormat="1" ht="12.75">
      <c r="A1044873" s="19"/>
      <c r="B1044873" s="19"/>
      <c r="C1044873" s="19"/>
      <c r="D1044873" s="19"/>
      <c r="E1044873" s="19"/>
      <c r="F1044873" s="19"/>
      <c r="G1044873" s="19"/>
      <c r="H1044873" s="19"/>
      <c r="I1044873" s="19"/>
      <c r="J1044873" s="19"/>
      <c r="K1044873" s="19"/>
      <c r="L1044873" s="19"/>
      <c r="M1044873" s="19"/>
      <c r="N1044873" s="19"/>
    </row>
    <row r="1044874" spans="1:14" s="83" customFormat="1" ht="12.75">
      <c r="A1044874" s="19"/>
      <c r="B1044874" s="19"/>
      <c r="C1044874" s="19"/>
      <c r="D1044874" s="19"/>
      <c r="E1044874" s="19"/>
      <c r="F1044874" s="19"/>
      <c r="G1044874" s="19"/>
      <c r="H1044874" s="19"/>
      <c r="I1044874" s="19"/>
      <c r="J1044874" s="19"/>
      <c r="K1044874" s="19"/>
      <c r="L1044874" s="19"/>
      <c r="M1044874" s="19"/>
      <c r="N1044874" s="19"/>
    </row>
    <row r="1044875" spans="1:14" s="83" customFormat="1" ht="12.75">
      <c r="A1044875" s="19"/>
      <c r="B1044875" s="19"/>
      <c r="C1044875" s="19"/>
      <c r="D1044875" s="19"/>
      <c r="E1044875" s="19"/>
      <c r="F1044875" s="19"/>
      <c r="G1044875" s="19"/>
      <c r="H1044875" s="19"/>
      <c r="I1044875" s="19"/>
      <c r="J1044875" s="19"/>
      <c r="K1044875" s="19"/>
      <c r="L1044875" s="19"/>
      <c r="M1044875" s="19"/>
      <c r="N1044875" s="19"/>
    </row>
    <row r="1044876" spans="1:14" s="83" customFormat="1" ht="12.75">
      <c r="A1044876" s="19"/>
      <c r="B1044876" s="19"/>
      <c r="C1044876" s="19"/>
      <c r="D1044876" s="19"/>
      <c r="E1044876" s="19"/>
      <c r="F1044876" s="19"/>
      <c r="G1044876" s="19"/>
      <c r="H1044876" s="19"/>
      <c r="I1044876" s="19"/>
      <c r="J1044876" s="19"/>
      <c r="K1044876" s="19"/>
      <c r="L1044876" s="19"/>
      <c r="M1044876" s="19"/>
      <c r="N1044876" s="19"/>
    </row>
    <row r="1044877" spans="1:14" s="83" customFormat="1" ht="12.75">
      <c r="A1044877" s="19"/>
      <c r="B1044877" s="19"/>
      <c r="C1044877" s="19"/>
      <c r="D1044877" s="19"/>
      <c r="E1044877" s="19"/>
      <c r="F1044877" s="19"/>
      <c r="G1044877" s="19"/>
      <c r="H1044877" s="19"/>
      <c r="I1044877" s="19"/>
      <c r="J1044877" s="19"/>
      <c r="K1044877" s="19"/>
      <c r="L1044877" s="19"/>
      <c r="M1044877" s="19"/>
      <c r="N1044877" s="19"/>
    </row>
    <row r="1044878" spans="1:14" s="83" customFormat="1" ht="12.75">
      <c r="A1044878" s="19"/>
      <c r="B1044878" s="19"/>
      <c r="C1044878" s="19"/>
      <c r="D1044878" s="19"/>
      <c r="E1044878" s="19"/>
      <c r="F1044878" s="19"/>
      <c r="G1044878" s="19"/>
      <c r="H1044878" s="19"/>
      <c r="I1044878" s="19"/>
      <c r="J1044878" s="19"/>
      <c r="K1044878" s="19"/>
      <c r="L1044878" s="19"/>
      <c r="M1044878" s="19"/>
      <c r="N1044878" s="19"/>
    </row>
    <row r="1044879" spans="1:14" s="83" customFormat="1" ht="12.75">
      <c r="A1044879" s="19"/>
      <c r="B1044879" s="19"/>
      <c r="C1044879" s="19"/>
      <c r="D1044879" s="19"/>
      <c r="E1044879" s="19"/>
      <c r="F1044879" s="19"/>
      <c r="G1044879" s="19"/>
      <c r="H1044879" s="19"/>
      <c r="I1044879" s="19"/>
      <c r="J1044879" s="19"/>
      <c r="K1044879" s="19"/>
      <c r="L1044879" s="19"/>
      <c r="M1044879" s="19"/>
      <c r="N1044879" s="19"/>
    </row>
    <row r="1044880" spans="1:14" s="83" customFormat="1" ht="12.75">
      <c r="A1044880" s="19"/>
      <c r="B1044880" s="19"/>
      <c r="C1044880" s="19"/>
      <c r="D1044880" s="19"/>
      <c r="E1044880" s="19"/>
      <c r="F1044880" s="19"/>
      <c r="G1044880" s="19"/>
      <c r="H1044880" s="19"/>
      <c r="I1044880" s="19"/>
      <c r="J1044880" s="19"/>
      <c r="K1044880" s="19"/>
      <c r="L1044880" s="19"/>
      <c r="M1044880" s="19"/>
      <c r="N1044880" s="19"/>
    </row>
    <row r="1044881" spans="1:14" s="83" customFormat="1" ht="12.75">
      <c r="A1044881" s="19"/>
      <c r="B1044881" s="19"/>
      <c r="C1044881" s="19"/>
      <c r="D1044881" s="19"/>
      <c r="E1044881" s="19"/>
      <c r="F1044881" s="19"/>
      <c r="G1044881" s="19"/>
      <c r="H1044881" s="19"/>
      <c r="I1044881" s="19"/>
      <c r="J1044881" s="19"/>
      <c r="K1044881" s="19"/>
      <c r="L1044881" s="19"/>
      <c r="M1044881" s="19"/>
      <c r="N1044881" s="19"/>
    </row>
    <row r="1044882" spans="1:14" s="83" customFormat="1" ht="12.75">
      <c r="A1044882" s="19"/>
      <c r="B1044882" s="19"/>
      <c r="C1044882" s="19"/>
      <c r="D1044882" s="19"/>
      <c r="E1044882" s="19"/>
      <c r="F1044882" s="19"/>
      <c r="G1044882" s="19"/>
      <c r="H1044882" s="19"/>
      <c r="I1044882" s="19"/>
      <c r="J1044882" s="19"/>
      <c r="K1044882" s="19"/>
      <c r="L1044882" s="19"/>
      <c r="M1044882" s="19"/>
      <c r="N1044882" s="19"/>
    </row>
    <row r="1044883" spans="1:14" s="83" customFormat="1" ht="12.75">
      <c r="A1044883" s="19"/>
      <c r="B1044883" s="19"/>
      <c r="C1044883" s="19"/>
      <c r="D1044883" s="19"/>
      <c r="E1044883" s="19"/>
      <c r="F1044883" s="19"/>
      <c r="G1044883" s="19"/>
      <c r="H1044883" s="19"/>
      <c r="I1044883" s="19"/>
      <c r="J1044883" s="19"/>
      <c r="K1044883" s="19"/>
      <c r="L1044883" s="19"/>
      <c r="M1044883" s="19"/>
      <c r="N1044883" s="19"/>
    </row>
    <row r="1044884" spans="1:14" s="83" customFormat="1" ht="12.75">
      <c r="A1044884" s="19"/>
      <c r="B1044884" s="19"/>
      <c r="C1044884" s="19"/>
      <c r="D1044884" s="19"/>
      <c r="E1044884" s="19"/>
      <c r="F1044884" s="19"/>
      <c r="G1044884" s="19"/>
      <c r="H1044884" s="19"/>
      <c r="I1044884" s="19"/>
      <c r="J1044884" s="19"/>
      <c r="K1044884" s="19"/>
      <c r="L1044884" s="19"/>
      <c r="M1044884" s="19"/>
      <c r="N1044884" s="19"/>
    </row>
    <row r="1044885" spans="1:14" s="83" customFormat="1" ht="12.75">
      <c r="A1044885" s="19"/>
      <c r="B1044885" s="19"/>
      <c r="C1044885" s="19"/>
      <c r="D1044885" s="19"/>
      <c r="E1044885" s="19"/>
      <c r="F1044885" s="19"/>
      <c r="G1044885" s="19"/>
      <c r="H1044885" s="19"/>
      <c r="I1044885" s="19"/>
      <c r="J1044885" s="19"/>
      <c r="K1044885" s="19"/>
      <c r="L1044885" s="19"/>
      <c r="M1044885" s="19"/>
      <c r="N1044885" s="19"/>
    </row>
    <row r="1044886" spans="1:14" s="83" customFormat="1" ht="12.75">
      <c r="A1044886" s="19"/>
      <c r="B1044886" s="19"/>
      <c r="C1044886" s="19"/>
      <c r="D1044886" s="19"/>
      <c r="E1044886" s="19"/>
      <c r="F1044886" s="19"/>
      <c r="G1044886" s="19"/>
      <c r="H1044886" s="19"/>
      <c r="I1044886" s="19"/>
      <c r="J1044886" s="19"/>
      <c r="K1044886" s="19"/>
      <c r="L1044886" s="19"/>
      <c r="M1044886" s="19"/>
      <c r="N1044886" s="19"/>
    </row>
    <row r="1044887" spans="1:14" s="83" customFormat="1" ht="12.75">
      <c r="A1044887" s="19"/>
      <c r="B1044887" s="19"/>
      <c r="C1044887" s="19"/>
      <c r="D1044887" s="19"/>
      <c r="E1044887" s="19"/>
      <c r="F1044887" s="19"/>
      <c r="G1044887" s="19"/>
      <c r="H1044887" s="19"/>
      <c r="I1044887" s="19"/>
      <c r="J1044887" s="19"/>
      <c r="K1044887" s="19"/>
      <c r="L1044887" s="19"/>
      <c r="M1044887" s="19"/>
      <c r="N1044887" s="19"/>
    </row>
    <row r="1044888" spans="1:14" s="83" customFormat="1" ht="12.75">
      <c r="A1044888" s="19"/>
      <c r="B1044888" s="19"/>
      <c r="C1044888" s="19"/>
      <c r="D1044888" s="19"/>
      <c r="E1044888" s="19"/>
      <c r="F1044888" s="19"/>
      <c r="G1044888" s="19"/>
      <c r="H1044888" s="19"/>
      <c r="I1044888" s="19"/>
      <c r="J1044888" s="19"/>
      <c r="K1044888" s="19"/>
      <c r="L1044888" s="19"/>
      <c r="M1044888" s="19"/>
      <c r="N1044888" s="19"/>
    </row>
    <row r="1044889" spans="1:14" s="83" customFormat="1" ht="12.75">
      <c r="A1044889" s="19"/>
      <c r="B1044889" s="19"/>
      <c r="C1044889" s="19"/>
      <c r="D1044889" s="19"/>
      <c r="E1044889" s="19"/>
      <c r="F1044889" s="19"/>
      <c r="G1044889" s="19"/>
      <c r="H1044889" s="19"/>
      <c r="I1044889" s="19"/>
      <c r="J1044889" s="19"/>
      <c r="K1044889" s="19"/>
      <c r="L1044889" s="19"/>
      <c r="M1044889" s="19"/>
      <c r="N1044889" s="19"/>
    </row>
    <row r="1044890" spans="1:14" s="83" customFormat="1" ht="12.75">
      <c r="A1044890" s="19"/>
      <c r="B1044890" s="19"/>
      <c r="C1044890" s="19"/>
      <c r="D1044890" s="19"/>
      <c r="E1044890" s="19"/>
      <c r="F1044890" s="19"/>
      <c r="G1044890" s="19"/>
      <c r="H1044890" s="19"/>
      <c r="I1044890" s="19"/>
      <c r="J1044890" s="19"/>
      <c r="K1044890" s="19"/>
      <c r="L1044890" s="19"/>
      <c r="M1044890" s="19"/>
      <c r="N1044890" s="19"/>
    </row>
    <row r="1044891" spans="1:14" s="83" customFormat="1" ht="12.75">
      <c r="A1044891" s="19"/>
      <c r="B1044891" s="19"/>
      <c r="C1044891" s="19"/>
      <c r="D1044891" s="19"/>
      <c r="E1044891" s="19"/>
      <c r="F1044891" s="19"/>
      <c r="G1044891" s="19"/>
      <c r="H1044891" s="19"/>
      <c r="I1044891" s="19"/>
      <c r="J1044891" s="19"/>
      <c r="K1044891" s="19"/>
      <c r="L1044891" s="19"/>
      <c r="M1044891" s="19"/>
      <c r="N1044891" s="19"/>
    </row>
    <row r="1044892" spans="1:14" s="83" customFormat="1" ht="12.75">
      <c r="A1044892" s="19"/>
      <c r="B1044892" s="19"/>
      <c r="C1044892" s="19"/>
      <c r="D1044892" s="19"/>
      <c r="E1044892" s="19"/>
      <c r="F1044892" s="19"/>
      <c r="G1044892" s="19"/>
      <c r="H1044892" s="19"/>
      <c r="I1044892" s="19"/>
      <c r="J1044892" s="19"/>
      <c r="K1044892" s="19"/>
      <c r="L1044892" s="19"/>
      <c r="M1044892" s="19"/>
      <c r="N1044892" s="19"/>
    </row>
    <row r="1044893" spans="1:14" s="83" customFormat="1" ht="12.75">
      <c r="A1044893" s="19"/>
      <c r="B1044893" s="19"/>
      <c r="C1044893" s="19"/>
      <c r="D1044893" s="19"/>
      <c r="E1044893" s="19"/>
      <c r="F1044893" s="19"/>
      <c r="G1044893" s="19"/>
      <c r="H1044893" s="19"/>
      <c r="I1044893" s="19"/>
      <c r="J1044893" s="19"/>
      <c r="K1044893" s="19"/>
      <c r="L1044893" s="19"/>
      <c r="M1044893" s="19"/>
      <c r="N1044893" s="19"/>
    </row>
    <row r="1044894" spans="1:14" s="83" customFormat="1" ht="12.75">
      <c r="A1044894" s="19"/>
      <c r="B1044894" s="19"/>
      <c r="C1044894" s="19"/>
      <c r="D1044894" s="19"/>
      <c r="E1044894" s="19"/>
      <c r="F1044894" s="19"/>
      <c r="G1044894" s="19"/>
      <c r="H1044894" s="19"/>
      <c r="I1044894" s="19"/>
      <c r="J1044894" s="19"/>
      <c r="K1044894" s="19"/>
      <c r="L1044894" s="19"/>
      <c r="M1044894" s="19"/>
      <c r="N1044894" s="19"/>
    </row>
    <row r="1044895" spans="1:14" s="83" customFormat="1" ht="12.75">
      <c r="A1044895" s="19"/>
      <c r="B1044895" s="19"/>
      <c r="C1044895" s="19"/>
      <c r="D1044895" s="19"/>
      <c r="E1044895" s="19"/>
      <c r="F1044895" s="19"/>
      <c r="G1044895" s="19"/>
      <c r="H1044895" s="19"/>
      <c r="I1044895" s="19"/>
      <c r="J1044895" s="19"/>
      <c r="K1044895" s="19"/>
      <c r="L1044895" s="19"/>
      <c r="M1044895" s="19"/>
      <c r="N1044895" s="19"/>
    </row>
    <row r="1044896" spans="1:14" s="83" customFormat="1" ht="12.75">
      <c r="A1044896" s="19"/>
      <c r="B1044896" s="19"/>
      <c r="C1044896" s="19"/>
      <c r="D1044896" s="19"/>
      <c r="E1044896" s="19"/>
      <c r="F1044896" s="19"/>
      <c r="G1044896" s="19"/>
      <c r="H1044896" s="19"/>
      <c r="I1044896" s="19"/>
      <c r="J1044896" s="19"/>
      <c r="K1044896" s="19"/>
      <c r="L1044896" s="19"/>
      <c r="M1044896" s="19"/>
      <c r="N1044896" s="19"/>
    </row>
    <row r="1044897" spans="1:14" s="83" customFormat="1" ht="12.75">
      <c r="A1044897" s="19"/>
      <c r="B1044897" s="19"/>
      <c r="C1044897" s="19"/>
      <c r="D1044897" s="19"/>
      <c r="E1044897" s="19"/>
      <c r="F1044897" s="19"/>
      <c r="G1044897" s="19"/>
      <c r="H1044897" s="19"/>
      <c r="I1044897" s="19"/>
      <c r="J1044897" s="19"/>
      <c r="K1044897" s="19"/>
      <c r="L1044897" s="19"/>
      <c r="M1044897" s="19"/>
      <c r="N1044897" s="19"/>
    </row>
    <row r="1044898" spans="1:14" s="83" customFormat="1" ht="12.75">
      <c r="A1044898" s="19"/>
      <c r="B1044898" s="19"/>
      <c r="C1044898" s="19"/>
      <c r="D1044898" s="19"/>
      <c r="E1044898" s="19"/>
      <c r="F1044898" s="19"/>
      <c r="G1044898" s="19"/>
      <c r="H1044898" s="19"/>
      <c r="I1044898" s="19"/>
      <c r="J1044898" s="19"/>
      <c r="K1044898" s="19"/>
      <c r="L1044898" s="19"/>
      <c r="M1044898" s="19"/>
      <c r="N1044898" s="19"/>
    </row>
    <row r="1044899" spans="1:14" s="83" customFormat="1" ht="12.75">
      <c r="A1044899" s="19"/>
      <c r="B1044899" s="19"/>
      <c r="C1044899" s="19"/>
      <c r="D1044899" s="19"/>
      <c r="E1044899" s="19"/>
      <c r="F1044899" s="19"/>
      <c r="G1044899" s="19"/>
      <c r="H1044899" s="19"/>
      <c r="I1044899" s="19"/>
      <c r="J1044899" s="19"/>
      <c r="K1044899" s="19"/>
      <c r="L1044899" s="19"/>
      <c r="M1044899" s="19"/>
      <c r="N1044899" s="19"/>
    </row>
    <row r="1044900" spans="1:14" s="83" customFormat="1" ht="12.75">
      <c r="A1044900" s="19"/>
      <c r="B1044900" s="19"/>
      <c r="C1044900" s="19"/>
      <c r="D1044900" s="19"/>
      <c r="E1044900" s="19"/>
      <c r="F1044900" s="19"/>
      <c r="G1044900" s="19"/>
      <c r="H1044900" s="19"/>
      <c r="I1044900" s="19"/>
      <c r="J1044900" s="19"/>
      <c r="K1044900" s="19"/>
      <c r="L1044900" s="19"/>
      <c r="M1044900" s="19"/>
      <c r="N1044900" s="19"/>
    </row>
    <row r="1044901" spans="1:14" s="83" customFormat="1" ht="12.75">
      <c r="A1044901" s="19"/>
      <c r="B1044901" s="19"/>
      <c r="C1044901" s="19"/>
      <c r="D1044901" s="19"/>
      <c r="E1044901" s="19"/>
      <c r="F1044901" s="19"/>
      <c r="G1044901" s="19"/>
      <c r="H1044901" s="19"/>
      <c r="I1044901" s="19"/>
      <c r="J1044901" s="19"/>
      <c r="K1044901" s="19"/>
      <c r="L1044901" s="19"/>
      <c r="M1044901" s="19"/>
      <c r="N1044901" s="19"/>
    </row>
    <row r="1044902" spans="1:14" s="83" customFormat="1" ht="12.75">
      <c r="A1044902" s="19"/>
      <c r="B1044902" s="19"/>
      <c r="C1044902" s="19"/>
      <c r="D1044902" s="19"/>
      <c r="E1044902" s="19"/>
      <c r="F1044902" s="19"/>
      <c r="G1044902" s="19"/>
      <c r="H1044902" s="19"/>
      <c r="I1044902" s="19"/>
      <c r="J1044902" s="19"/>
      <c r="K1044902" s="19"/>
      <c r="L1044902" s="19"/>
      <c r="M1044902" s="19"/>
      <c r="N1044902" s="19"/>
    </row>
    <row r="1044903" spans="1:14" s="83" customFormat="1" ht="12.75">
      <c r="A1044903" s="19"/>
      <c r="B1044903" s="19"/>
      <c r="C1044903" s="19"/>
      <c r="D1044903" s="19"/>
      <c r="E1044903" s="19"/>
      <c r="F1044903" s="19"/>
      <c r="G1044903" s="19"/>
      <c r="H1044903" s="19"/>
      <c r="I1044903" s="19"/>
      <c r="J1044903" s="19"/>
      <c r="K1044903" s="19"/>
      <c r="L1044903" s="19"/>
      <c r="M1044903" s="19"/>
      <c r="N1044903" s="19"/>
    </row>
    <row r="1044904" spans="1:14" s="83" customFormat="1" ht="12.75">
      <c r="A1044904" s="19"/>
      <c r="B1044904" s="19"/>
      <c r="C1044904" s="19"/>
      <c r="D1044904" s="19"/>
      <c r="E1044904" s="19"/>
      <c r="F1044904" s="19"/>
      <c r="G1044904" s="19"/>
      <c r="H1044904" s="19"/>
      <c r="I1044904" s="19"/>
      <c r="J1044904" s="19"/>
      <c r="K1044904" s="19"/>
      <c r="L1044904" s="19"/>
      <c r="M1044904" s="19"/>
      <c r="N1044904" s="19"/>
    </row>
    <row r="1044905" spans="1:14" s="83" customFormat="1" ht="12.75">
      <c r="A1044905" s="19"/>
      <c r="B1044905" s="19"/>
      <c r="C1044905" s="19"/>
      <c r="D1044905" s="19"/>
      <c r="E1044905" s="19"/>
      <c r="F1044905" s="19"/>
      <c r="G1044905" s="19"/>
      <c r="H1044905" s="19"/>
      <c r="I1044905" s="19"/>
      <c r="J1044905" s="19"/>
      <c r="K1044905" s="19"/>
      <c r="L1044905" s="19"/>
      <c r="M1044905" s="19"/>
      <c r="N1044905" s="19"/>
    </row>
    <row r="1044906" spans="1:14" s="83" customFormat="1" ht="12.75">
      <c r="A1044906" s="19"/>
      <c r="B1044906" s="19"/>
      <c r="C1044906" s="19"/>
      <c r="D1044906" s="19"/>
      <c r="E1044906" s="19"/>
      <c r="F1044906" s="19"/>
      <c r="G1044906" s="19"/>
      <c r="H1044906" s="19"/>
      <c r="I1044906" s="19"/>
      <c r="J1044906" s="19"/>
      <c r="K1044906" s="19"/>
      <c r="L1044906" s="19"/>
      <c r="M1044906" s="19"/>
      <c r="N1044906" s="19"/>
    </row>
    <row r="1044907" spans="1:14" s="83" customFormat="1" ht="12.75">
      <c r="A1044907" s="19"/>
      <c r="B1044907" s="19"/>
      <c r="C1044907" s="19"/>
      <c r="D1044907" s="19"/>
      <c r="E1044907" s="19"/>
      <c r="F1044907" s="19"/>
      <c r="G1044907" s="19"/>
      <c r="H1044907" s="19"/>
      <c r="I1044907" s="19"/>
      <c r="J1044907" s="19"/>
      <c r="K1044907" s="19"/>
      <c r="L1044907" s="19"/>
      <c r="M1044907" s="19"/>
      <c r="N1044907" s="19"/>
    </row>
    <row r="1044908" spans="1:14" s="83" customFormat="1" ht="12.75">
      <c r="A1044908" s="19"/>
      <c r="B1044908" s="19"/>
      <c r="C1044908" s="19"/>
      <c r="D1044908" s="19"/>
      <c r="E1044908" s="19"/>
      <c r="F1044908" s="19"/>
      <c r="G1044908" s="19"/>
      <c r="H1044908" s="19"/>
      <c r="I1044908" s="19"/>
      <c r="J1044908" s="19"/>
      <c r="K1044908" s="19"/>
      <c r="L1044908" s="19"/>
      <c r="M1044908" s="19"/>
      <c r="N1044908" s="19"/>
    </row>
    <row r="1044909" spans="1:14" s="83" customFormat="1" ht="12.75">
      <c r="A1044909" s="19"/>
      <c r="B1044909" s="19"/>
      <c r="C1044909" s="19"/>
      <c r="D1044909" s="19"/>
      <c r="E1044909" s="19"/>
      <c r="F1044909" s="19"/>
      <c r="G1044909" s="19"/>
      <c r="H1044909" s="19"/>
      <c r="I1044909" s="19"/>
      <c r="J1044909" s="19"/>
      <c r="K1044909" s="19"/>
      <c r="L1044909" s="19"/>
      <c r="M1044909" s="19"/>
      <c r="N1044909" s="19"/>
    </row>
    <row r="1044910" spans="1:14" s="83" customFormat="1" ht="12.75">
      <c r="A1044910" s="19"/>
      <c r="B1044910" s="19"/>
      <c r="C1044910" s="19"/>
      <c r="D1044910" s="19"/>
      <c r="E1044910" s="19"/>
      <c r="F1044910" s="19"/>
      <c r="G1044910" s="19"/>
      <c r="H1044910" s="19"/>
      <c r="I1044910" s="19"/>
      <c r="J1044910" s="19"/>
      <c r="K1044910" s="19"/>
      <c r="L1044910" s="19"/>
      <c r="M1044910" s="19"/>
      <c r="N1044910" s="19"/>
    </row>
    <row r="1044911" spans="1:14" s="83" customFormat="1" ht="12.75">
      <c r="A1044911" s="19"/>
      <c r="B1044911" s="19"/>
      <c r="C1044911" s="19"/>
      <c r="D1044911" s="19"/>
      <c r="E1044911" s="19"/>
      <c r="F1044911" s="19"/>
      <c r="G1044911" s="19"/>
      <c r="H1044911" s="19"/>
      <c r="I1044911" s="19"/>
      <c r="J1044911" s="19"/>
      <c r="K1044911" s="19"/>
      <c r="L1044911" s="19"/>
      <c r="M1044911" s="19"/>
      <c r="N1044911" s="19"/>
    </row>
    <row r="1044912" spans="1:14" s="83" customFormat="1" ht="12.75">
      <c r="A1044912" s="19"/>
      <c r="B1044912" s="19"/>
      <c r="C1044912" s="19"/>
      <c r="D1044912" s="19"/>
      <c r="E1044912" s="19"/>
      <c r="F1044912" s="19"/>
      <c r="G1044912" s="19"/>
      <c r="H1044912" s="19"/>
      <c r="I1044912" s="19"/>
      <c r="J1044912" s="19"/>
      <c r="K1044912" s="19"/>
      <c r="L1044912" s="19"/>
      <c r="M1044912" s="19"/>
      <c r="N1044912" s="19"/>
    </row>
    <row r="1044913" spans="1:14" s="83" customFormat="1" ht="12.75">
      <c r="A1044913" s="19"/>
      <c r="B1044913" s="19"/>
      <c r="C1044913" s="19"/>
      <c r="D1044913" s="19"/>
      <c r="E1044913" s="19"/>
      <c r="F1044913" s="19"/>
      <c r="G1044913" s="19"/>
      <c r="H1044913" s="19"/>
      <c r="I1044913" s="19"/>
      <c r="J1044913" s="19"/>
      <c r="K1044913" s="19"/>
      <c r="L1044913" s="19"/>
      <c r="M1044913" s="19"/>
      <c r="N1044913" s="19"/>
    </row>
    <row r="1044914" spans="1:14" s="83" customFormat="1" ht="12.75">
      <c r="A1044914" s="19"/>
      <c r="B1044914" s="19"/>
      <c r="C1044914" s="19"/>
      <c r="D1044914" s="19"/>
      <c r="E1044914" s="19"/>
      <c r="F1044914" s="19"/>
      <c r="G1044914" s="19"/>
      <c r="H1044914" s="19"/>
      <c r="I1044914" s="19"/>
      <c r="J1044914" s="19"/>
      <c r="K1044914" s="19"/>
      <c r="L1044914" s="19"/>
      <c r="M1044914" s="19"/>
      <c r="N1044914" s="19"/>
    </row>
    <row r="1044915" spans="1:14" s="83" customFormat="1" ht="12.75">
      <c r="A1044915" s="19"/>
      <c r="B1044915" s="19"/>
      <c r="C1044915" s="19"/>
      <c r="D1044915" s="19"/>
      <c r="E1044915" s="19"/>
      <c r="F1044915" s="19"/>
      <c r="G1044915" s="19"/>
      <c r="H1044915" s="19"/>
      <c r="I1044915" s="19"/>
      <c r="J1044915" s="19"/>
      <c r="K1044915" s="19"/>
      <c r="L1044915" s="19"/>
      <c r="M1044915" s="19"/>
      <c r="N1044915" s="19"/>
    </row>
    <row r="1044916" spans="1:14" s="83" customFormat="1" ht="12.75">
      <c r="A1044916" s="19"/>
      <c r="B1044916" s="19"/>
      <c r="C1044916" s="19"/>
      <c r="D1044916" s="19"/>
      <c r="E1044916" s="19"/>
      <c r="F1044916" s="19"/>
      <c r="G1044916" s="19"/>
      <c r="H1044916" s="19"/>
      <c r="I1044916" s="19"/>
      <c r="J1044916" s="19"/>
      <c r="K1044916" s="19"/>
      <c r="L1044916" s="19"/>
      <c r="M1044916" s="19"/>
      <c r="N1044916" s="19"/>
    </row>
    <row r="1044917" spans="1:14" s="83" customFormat="1" ht="12.75">
      <c r="A1044917" s="19"/>
      <c r="B1044917" s="19"/>
      <c r="C1044917" s="19"/>
      <c r="D1044917" s="19"/>
      <c r="E1044917" s="19"/>
      <c r="F1044917" s="19"/>
      <c r="G1044917" s="19"/>
      <c r="H1044917" s="19"/>
      <c r="I1044917" s="19"/>
      <c r="J1044917" s="19"/>
      <c r="K1044917" s="19"/>
      <c r="L1044917" s="19"/>
      <c r="M1044917" s="19"/>
      <c r="N1044917" s="19"/>
    </row>
    <row r="1044918" spans="1:14" s="83" customFormat="1" ht="12.75">
      <c r="A1044918" s="19"/>
      <c r="B1044918" s="19"/>
      <c r="C1044918" s="19"/>
      <c r="D1044918" s="19"/>
      <c r="E1044918" s="19"/>
      <c r="F1044918" s="19"/>
      <c r="G1044918" s="19"/>
      <c r="H1044918" s="19"/>
      <c r="I1044918" s="19"/>
      <c r="J1044918" s="19"/>
      <c r="K1044918" s="19"/>
      <c r="L1044918" s="19"/>
      <c r="M1044918" s="19"/>
      <c r="N1044918" s="19"/>
    </row>
    <row r="1044919" spans="1:14" s="83" customFormat="1" ht="12.75">
      <c r="A1044919" s="19"/>
      <c r="B1044919" s="19"/>
      <c r="C1044919" s="19"/>
      <c r="D1044919" s="19"/>
      <c r="E1044919" s="19"/>
      <c r="F1044919" s="19"/>
      <c r="G1044919" s="19"/>
      <c r="H1044919" s="19"/>
      <c r="I1044919" s="19"/>
      <c r="J1044919" s="19"/>
      <c r="K1044919" s="19"/>
      <c r="L1044919" s="19"/>
      <c r="M1044919" s="19"/>
      <c r="N1044919" s="19"/>
    </row>
    <row r="1044920" spans="1:14" s="83" customFormat="1" ht="12.75">
      <c r="A1044920" s="19"/>
      <c r="B1044920" s="19"/>
      <c r="C1044920" s="19"/>
      <c r="D1044920" s="19"/>
      <c r="E1044920" s="19"/>
      <c r="F1044920" s="19"/>
      <c r="G1044920" s="19"/>
      <c r="H1044920" s="19"/>
      <c r="I1044920" s="19"/>
      <c r="J1044920" s="19"/>
      <c r="K1044920" s="19"/>
      <c r="L1044920" s="19"/>
      <c r="M1044920" s="19"/>
      <c r="N1044920" s="19"/>
    </row>
    <row r="1044921" spans="1:14" s="83" customFormat="1" ht="12.75">
      <c r="A1044921" s="19"/>
      <c r="B1044921" s="19"/>
      <c r="C1044921" s="19"/>
      <c r="D1044921" s="19"/>
      <c r="E1044921" s="19"/>
      <c r="F1044921" s="19"/>
      <c r="G1044921" s="19"/>
      <c r="H1044921" s="19"/>
      <c r="I1044921" s="19"/>
      <c r="J1044921" s="19"/>
      <c r="K1044921" s="19"/>
      <c r="L1044921" s="19"/>
      <c r="M1044921" s="19"/>
      <c r="N1044921" s="19"/>
    </row>
    <row r="1044922" spans="1:14" s="83" customFormat="1" ht="12.75">
      <c r="A1044922" s="19"/>
      <c r="B1044922" s="19"/>
      <c r="C1044922" s="19"/>
      <c r="D1044922" s="19"/>
      <c r="E1044922" s="19"/>
      <c r="F1044922" s="19"/>
      <c r="G1044922" s="19"/>
      <c r="H1044922" s="19"/>
      <c r="I1044922" s="19"/>
      <c r="J1044922" s="19"/>
      <c r="K1044922" s="19"/>
      <c r="L1044922" s="19"/>
      <c r="M1044922" s="19"/>
      <c r="N1044922" s="19"/>
    </row>
    <row r="1044923" spans="1:14" s="83" customFormat="1" ht="12.75">
      <c r="A1044923" s="19"/>
      <c r="B1044923" s="19"/>
      <c r="C1044923" s="19"/>
      <c r="D1044923" s="19"/>
      <c r="E1044923" s="19"/>
      <c r="F1044923" s="19"/>
      <c r="G1044923" s="19"/>
      <c r="H1044923" s="19"/>
      <c r="I1044923" s="19"/>
      <c r="J1044923" s="19"/>
      <c r="K1044923" s="19"/>
      <c r="L1044923" s="19"/>
      <c r="M1044923" s="19"/>
      <c r="N1044923" s="19"/>
    </row>
    <row r="1044924" spans="1:14" s="83" customFormat="1" ht="12.75">
      <c r="A1044924" s="19"/>
      <c r="B1044924" s="19"/>
      <c r="C1044924" s="19"/>
      <c r="D1044924" s="19"/>
      <c r="E1044924" s="19"/>
      <c r="F1044924" s="19"/>
      <c r="G1044924" s="19"/>
      <c r="H1044924" s="19"/>
      <c r="I1044924" s="19"/>
      <c r="J1044924" s="19"/>
      <c r="K1044924" s="19"/>
      <c r="L1044924" s="19"/>
      <c r="M1044924" s="19"/>
      <c r="N1044924" s="19"/>
    </row>
    <row r="1044925" spans="1:14" s="83" customFormat="1" ht="12.75">
      <c r="A1044925" s="19"/>
      <c r="B1044925" s="19"/>
      <c r="C1044925" s="19"/>
      <c r="D1044925" s="19"/>
      <c r="E1044925" s="19"/>
      <c r="F1044925" s="19"/>
      <c r="G1044925" s="19"/>
      <c r="H1044925" s="19"/>
      <c r="I1044925" s="19"/>
      <c r="J1044925" s="19"/>
      <c r="K1044925" s="19"/>
      <c r="L1044925" s="19"/>
      <c r="M1044925" s="19"/>
      <c r="N1044925" s="19"/>
    </row>
    <row r="1044926" spans="1:14" s="83" customFormat="1" ht="12.75">
      <c r="A1044926" s="19"/>
      <c r="B1044926" s="19"/>
      <c r="C1044926" s="19"/>
      <c r="D1044926" s="19"/>
      <c r="E1044926" s="19"/>
      <c r="F1044926" s="19"/>
      <c r="G1044926" s="19"/>
      <c r="H1044926" s="19"/>
      <c r="I1044926" s="19"/>
      <c r="J1044926" s="19"/>
      <c r="K1044926" s="19"/>
      <c r="L1044926" s="19"/>
      <c r="M1044926" s="19"/>
      <c r="N1044926" s="19"/>
    </row>
    <row r="1044927" spans="1:14" s="83" customFormat="1" ht="12.75">
      <c r="A1044927" s="19"/>
      <c r="B1044927" s="19"/>
      <c r="C1044927" s="19"/>
      <c r="D1044927" s="19"/>
      <c r="E1044927" s="19"/>
      <c r="F1044927" s="19"/>
      <c r="G1044927" s="19"/>
      <c r="H1044927" s="19"/>
      <c r="I1044927" s="19"/>
      <c r="J1044927" s="19"/>
      <c r="K1044927" s="19"/>
      <c r="L1044927" s="19"/>
      <c r="M1044927" s="19"/>
      <c r="N1044927" s="19"/>
    </row>
    <row r="1044928" spans="1:14" s="83" customFormat="1" ht="12.75">
      <c r="A1044928" s="19"/>
      <c r="B1044928" s="19"/>
      <c r="C1044928" s="19"/>
      <c r="D1044928" s="19"/>
      <c r="E1044928" s="19"/>
      <c r="F1044928" s="19"/>
      <c r="G1044928" s="19"/>
      <c r="H1044928" s="19"/>
      <c r="I1044928" s="19"/>
      <c r="J1044928" s="19"/>
      <c r="K1044928" s="19"/>
      <c r="L1044928" s="19"/>
      <c r="M1044928" s="19"/>
      <c r="N1044928" s="19"/>
    </row>
    <row r="1044929" spans="1:14" s="83" customFormat="1" ht="12.75">
      <c r="A1044929" s="19"/>
      <c r="B1044929" s="19"/>
      <c r="C1044929" s="19"/>
      <c r="D1044929" s="19"/>
      <c r="E1044929" s="19"/>
      <c r="F1044929" s="19"/>
      <c r="G1044929" s="19"/>
      <c r="H1044929" s="19"/>
      <c r="I1044929" s="19"/>
      <c r="J1044929" s="19"/>
      <c r="K1044929" s="19"/>
      <c r="L1044929" s="19"/>
      <c r="M1044929" s="19"/>
      <c r="N1044929" s="19"/>
    </row>
    <row r="1044930" spans="1:14" s="83" customFormat="1" ht="12.75">
      <c r="A1044930" s="19"/>
      <c r="B1044930" s="19"/>
      <c r="C1044930" s="19"/>
      <c r="D1044930" s="19"/>
      <c r="E1044930" s="19"/>
      <c r="F1044930" s="19"/>
      <c r="G1044930" s="19"/>
      <c r="H1044930" s="19"/>
      <c r="I1044930" s="19"/>
      <c r="J1044930" s="19"/>
      <c r="K1044930" s="19"/>
      <c r="L1044930" s="19"/>
      <c r="M1044930" s="19"/>
      <c r="N1044930" s="19"/>
    </row>
    <row r="1044931" spans="1:14" s="83" customFormat="1" ht="12.75">
      <c r="A1044931" s="19"/>
      <c r="B1044931" s="19"/>
      <c r="C1044931" s="19"/>
      <c r="D1044931" s="19"/>
      <c r="E1044931" s="19"/>
      <c r="F1044931" s="19"/>
      <c r="G1044931" s="19"/>
      <c r="H1044931" s="19"/>
      <c r="I1044931" s="19"/>
      <c r="J1044931" s="19"/>
      <c r="K1044931" s="19"/>
      <c r="L1044931" s="19"/>
      <c r="M1044931" s="19"/>
      <c r="N1044931" s="19"/>
    </row>
    <row r="1044932" spans="1:14" s="83" customFormat="1" ht="12.75">
      <c r="A1044932" s="19"/>
      <c r="B1044932" s="19"/>
      <c r="C1044932" s="19"/>
      <c r="D1044932" s="19"/>
      <c r="E1044932" s="19"/>
      <c r="F1044932" s="19"/>
      <c r="G1044932" s="19"/>
      <c r="H1044932" s="19"/>
      <c r="I1044932" s="19"/>
      <c r="J1044932" s="19"/>
      <c r="K1044932" s="19"/>
      <c r="L1044932" s="19"/>
      <c r="M1044932" s="19"/>
      <c r="N1044932" s="19"/>
    </row>
    <row r="1044933" spans="1:14" s="83" customFormat="1" ht="12.75">
      <c r="A1044933" s="19"/>
      <c r="B1044933" s="19"/>
      <c r="C1044933" s="19"/>
      <c r="D1044933" s="19"/>
      <c r="E1044933" s="19"/>
      <c r="F1044933" s="19"/>
      <c r="G1044933" s="19"/>
      <c r="H1044933" s="19"/>
      <c r="I1044933" s="19"/>
      <c r="J1044933" s="19"/>
      <c r="K1044933" s="19"/>
      <c r="L1044933" s="19"/>
      <c r="M1044933" s="19"/>
      <c r="N1044933" s="19"/>
    </row>
    <row r="1044934" spans="1:14" s="83" customFormat="1" ht="12.75">
      <c r="A1044934" s="19"/>
      <c r="B1044934" s="19"/>
      <c r="C1044934" s="19"/>
      <c r="D1044934" s="19"/>
      <c r="E1044934" s="19"/>
      <c r="F1044934" s="19"/>
      <c r="G1044934" s="19"/>
      <c r="H1044934" s="19"/>
      <c r="I1044934" s="19"/>
      <c r="J1044934" s="19"/>
      <c r="K1044934" s="19"/>
      <c r="L1044934" s="19"/>
      <c r="M1044934" s="19"/>
      <c r="N1044934" s="19"/>
    </row>
    <row r="1044935" spans="1:14" s="83" customFormat="1" ht="12.75">
      <c r="A1044935" s="19"/>
      <c r="B1044935" s="19"/>
      <c r="C1044935" s="19"/>
      <c r="D1044935" s="19"/>
      <c r="E1044935" s="19"/>
      <c r="F1044935" s="19"/>
      <c r="G1044935" s="19"/>
      <c r="H1044935" s="19"/>
      <c r="I1044935" s="19"/>
      <c r="J1044935" s="19"/>
      <c r="K1044935" s="19"/>
      <c r="L1044935" s="19"/>
      <c r="M1044935" s="19"/>
      <c r="N1044935" s="19"/>
    </row>
    <row r="1044936" spans="1:14" s="83" customFormat="1" ht="12.75">
      <c r="A1044936" s="19"/>
      <c r="B1044936" s="19"/>
      <c r="C1044936" s="19"/>
      <c r="D1044936" s="19"/>
      <c r="E1044936" s="19"/>
      <c r="F1044936" s="19"/>
      <c r="G1044936" s="19"/>
      <c r="H1044936" s="19"/>
      <c r="I1044936" s="19"/>
      <c r="J1044936" s="19"/>
      <c r="K1044936" s="19"/>
      <c r="L1044936" s="19"/>
      <c r="M1044936" s="19"/>
      <c r="N1044936" s="19"/>
    </row>
    <row r="1044937" spans="1:14" s="83" customFormat="1" ht="12.75">
      <c r="A1044937" s="19"/>
      <c r="B1044937" s="19"/>
      <c r="C1044937" s="19"/>
      <c r="D1044937" s="19"/>
      <c r="E1044937" s="19"/>
      <c r="F1044937" s="19"/>
      <c r="G1044937" s="19"/>
      <c r="H1044937" s="19"/>
      <c r="I1044937" s="19"/>
      <c r="J1044937" s="19"/>
      <c r="K1044937" s="19"/>
      <c r="L1044937" s="19"/>
      <c r="M1044937" s="19"/>
      <c r="N1044937" s="19"/>
    </row>
    <row r="1044938" spans="1:14" s="83" customFormat="1" ht="12.75">
      <c r="A1044938" s="19"/>
      <c r="B1044938" s="19"/>
      <c r="C1044938" s="19"/>
      <c r="D1044938" s="19"/>
      <c r="E1044938" s="19"/>
      <c r="F1044938" s="19"/>
      <c r="G1044938" s="19"/>
      <c r="H1044938" s="19"/>
      <c r="I1044938" s="19"/>
      <c r="J1044938" s="19"/>
      <c r="K1044938" s="19"/>
      <c r="L1044938" s="19"/>
      <c r="M1044938" s="19"/>
      <c r="N1044938" s="19"/>
    </row>
    <row r="1044939" spans="1:14" s="83" customFormat="1" ht="12.75">
      <c r="A1044939" s="19"/>
      <c r="B1044939" s="19"/>
      <c r="C1044939" s="19"/>
      <c r="D1044939" s="19"/>
      <c r="E1044939" s="19"/>
      <c r="F1044939" s="19"/>
      <c r="G1044939" s="19"/>
      <c r="H1044939" s="19"/>
      <c r="I1044939" s="19"/>
      <c r="J1044939" s="19"/>
      <c r="K1044939" s="19"/>
      <c r="L1044939" s="19"/>
      <c r="M1044939" s="19"/>
      <c r="N1044939" s="19"/>
    </row>
    <row r="1044940" spans="1:14" s="83" customFormat="1" ht="12.75">
      <c r="A1044940" s="19"/>
      <c r="B1044940" s="19"/>
      <c r="C1044940" s="19"/>
      <c r="D1044940" s="19"/>
      <c r="E1044940" s="19"/>
      <c r="F1044940" s="19"/>
      <c r="G1044940" s="19"/>
      <c r="H1044940" s="19"/>
      <c r="I1044940" s="19"/>
      <c r="J1044940" s="19"/>
      <c r="K1044940" s="19"/>
      <c r="L1044940" s="19"/>
      <c r="M1044940" s="19"/>
      <c r="N1044940" s="19"/>
    </row>
    <row r="1044941" spans="1:14" s="83" customFormat="1" ht="12.75">
      <c r="A1044941" s="19"/>
      <c r="B1044941" s="19"/>
      <c r="C1044941" s="19"/>
      <c r="D1044941" s="19"/>
      <c r="E1044941" s="19"/>
      <c r="F1044941" s="19"/>
      <c r="G1044941" s="19"/>
      <c r="H1044941" s="19"/>
      <c r="I1044941" s="19"/>
      <c r="J1044941" s="19"/>
      <c r="K1044941" s="19"/>
      <c r="L1044941" s="19"/>
      <c r="M1044941" s="19"/>
      <c r="N1044941" s="19"/>
    </row>
    <row r="1044942" spans="1:14" s="83" customFormat="1" ht="12.75">
      <c r="A1044942" s="19"/>
      <c r="B1044942" s="19"/>
      <c r="C1044942" s="19"/>
      <c r="D1044942" s="19"/>
      <c r="E1044942" s="19"/>
      <c r="F1044942" s="19"/>
      <c r="G1044942" s="19"/>
      <c r="H1044942" s="19"/>
      <c r="I1044942" s="19"/>
      <c r="J1044942" s="19"/>
      <c r="K1044942" s="19"/>
      <c r="L1044942" s="19"/>
      <c r="M1044942" s="19"/>
      <c r="N1044942" s="19"/>
    </row>
    <row r="1044943" spans="1:14" s="83" customFormat="1" ht="12.75">
      <c r="A1044943" s="19"/>
      <c r="B1044943" s="19"/>
      <c r="C1044943" s="19"/>
      <c r="D1044943" s="19"/>
      <c r="E1044943" s="19"/>
      <c r="F1044943" s="19"/>
      <c r="G1044943" s="19"/>
      <c r="H1044943" s="19"/>
      <c r="I1044943" s="19"/>
      <c r="J1044943" s="19"/>
      <c r="K1044943" s="19"/>
      <c r="L1044943" s="19"/>
      <c r="M1044943" s="19"/>
      <c r="N1044943" s="19"/>
    </row>
    <row r="1044944" spans="1:14" s="83" customFormat="1" ht="12.75">
      <c r="A1044944" s="19"/>
      <c r="B1044944" s="19"/>
      <c r="C1044944" s="19"/>
      <c r="D1044944" s="19"/>
      <c r="E1044944" s="19"/>
      <c r="F1044944" s="19"/>
      <c r="G1044944" s="19"/>
      <c r="H1044944" s="19"/>
      <c r="I1044944" s="19"/>
      <c r="J1044944" s="19"/>
      <c r="K1044944" s="19"/>
      <c r="L1044944" s="19"/>
      <c r="M1044944" s="19"/>
      <c r="N1044944" s="19"/>
    </row>
    <row r="1044945" spans="1:14" s="83" customFormat="1" ht="12.75">
      <c r="A1044945" s="19"/>
      <c r="B1044945" s="19"/>
      <c r="C1044945" s="19"/>
      <c r="D1044945" s="19"/>
      <c r="E1044945" s="19"/>
      <c r="F1044945" s="19"/>
      <c r="G1044945" s="19"/>
      <c r="H1044945" s="19"/>
      <c r="I1044945" s="19"/>
      <c r="J1044945" s="19"/>
      <c r="K1044945" s="19"/>
      <c r="L1044945" s="19"/>
      <c r="M1044945" s="19"/>
      <c r="N1044945" s="19"/>
    </row>
    <row r="1044946" spans="1:14" s="83" customFormat="1" ht="12.75">
      <c r="A1044946" s="19"/>
      <c r="B1044946" s="19"/>
      <c r="C1044946" s="19"/>
      <c r="D1044946" s="19"/>
      <c r="E1044946" s="19"/>
      <c r="F1044946" s="19"/>
      <c r="G1044946" s="19"/>
      <c r="H1044946" s="19"/>
      <c r="I1044946" s="19"/>
      <c r="J1044946" s="19"/>
      <c r="K1044946" s="19"/>
      <c r="L1044946" s="19"/>
      <c r="M1044946" s="19"/>
      <c r="N1044946" s="19"/>
    </row>
    <row r="1044947" spans="1:14" s="83" customFormat="1" ht="12.75">
      <c r="A1044947" s="19"/>
      <c r="B1044947" s="19"/>
      <c r="C1044947" s="19"/>
      <c r="D1044947" s="19"/>
      <c r="E1044947" s="19"/>
      <c r="F1044947" s="19"/>
      <c r="G1044947" s="19"/>
      <c r="H1044947" s="19"/>
      <c r="I1044947" s="19"/>
      <c r="J1044947" s="19"/>
      <c r="K1044947" s="19"/>
      <c r="L1044947" s="19"/>
      <c r="M1044947" s="19"/>
      <c r="N1044947" s="19"/>
    </row>
    <row r="1044948" spans="1:14" s="83" customFormat="1" ht="12.75">
      <c r="A1044948" s="19"/>
      <c r="B1044948" s="19"/>
      <c r="C1044948" s="19"/>
      <c r="D1044948" s="19"/>
      <c r="E1044948" s="19"/>
      <c r="F1044948" s="19"/>
      <c r="G1044948" s="19"/>
      <c r="H1044948" s="19"/>
      <c r="I1044948" s="19"/>
      <c r="J1044948" s="19"/>
      <c r="K1044948" s="19"/>
      <c r="L1044948" s="19"/>
      <c r="M1044948" s="19"/>
      <c r="N1044948" s="19"/>
    </row>
    <row r="1044949" spans="1:14" s="83" customFormat="1" ht="12.75">
      <c r="A1044949" s="19"/>
      <c r="B1044949" s="19"/>
      <c r="C1044949" s="19"/>
      <c r="D1044949" s="19"/>
      <c r="E1044949" s="19"/>
      <c r="F1044949" s="19"/>
      <c r="G1044949" s="19"/>
      <c r="H1044949" s="19"/>
      <c r="I1044949" s="19"/>
      <c r="J1044949" s="19"/>
      <c r="K1044949" s="19"/>
      <c r="L1044949" s="19"/>
      <c r="M1044949" s="19"/>
      <c r="N1044949" s="19"/>
    </row>
    <row r="1044950" spans="1:14" s="83" customFormat="1" ht="12.75">
      <c r="A1044950" s="19"/>
      <c r="B1044950" s="19"/>
      <c r="C1044950" s="19"/>
      <c r="D1044950" s="19"/>
      <c r="E1044950" s="19"/>
      <c r="F1044950" s="19"/>
      <c r="G1044950" s="19"/>
      <c r="H1044950" s="19"/>
      <c r="I1044950" s="19"/>
      <c r="J1044950" s="19"/>
      <c r="K1044950" s="19"/>
      <c r="L1044950" s="19"/>
      <c r="M1044950" s="19"/>
      <c r="N1044950" s="19"/>
    </row>
    <row r="1044951" spans="1:14" s="83" customFormat="1" ht="12.75">
      <c r="A1044951" s="19"/>
      <c r="B1044951" s="19"/>
      <c r="C1044951" s="19"/>
      <c r="D1044951" s="19"/>
      <c r="E1044951" s="19"/>
      <c r="F1044951" s="19"/>
      <c r="G1044951" s="19"/>
      <c r="H1044951" s="19"/>
      <c r="I1044951" s="19"/>
      <c r="J1044951" s="19"/>
      <c r="K1044951" s="19"/>
      <c r="L1044951" s="19"/>
      <c r="M1044951" s="19"/>
      <c r="N1044951" s="19"/>
    </row>
    <row r="1044952" spans="1:14" s="83" customFormat="1" ht="12.75">
      <c r="A1044952" s="19"/>
      <c r="B1044952" s="19"/>
      <c r="C1044952" s="19"/>
      <c r="D1044952" s="19"/>
      <c r="E1044952" s="19"/>
      <c r="F1044952" s="19"/>
      <c r="G1044952" s="19"/>
      <c r="H1044952" s="19"/>
      <c r="I1044952" s="19"/>
      <c r="J1044952" s="19"/>
      <c r="K1044952" s="19"/>
      <c r="L1044952" s="19"/>
      <c r="M1044952" s="19"/>
      <c r="N1044952" s="19"/>
    </row>
    <row r="1044953" spans="1:14" s="83" customFormat="1" ht="12.75">
      <c r="A1044953" s="19"/>
      <c r="B1044953" s="19"/>
      <c r="C1044953" s="19"/>
      <c r="D1044953" s="19"/>
      <c r="E1044953" s="19"/>
      <c r="F1044953" s="19"/>
      <c r="G1044953" s="19"/>
      <c r="H1044953" s="19"/>
      <c r="I1044953" s="19"/>
      <c r="J1044953" s="19"/>
      <c r="K1044953" s="19"/>
      <c r="L1044953" s="19"/>
      <c r="M1044953" s="19"/>
      <c r="N1044953" s="19"/>
    </row>
    <row r="1044954" spans="1:14" s="83" customFormat="1" ht="12.75">
      <c r="A1044954" s="19"/>
      <c r="B1044954" s="19"/>
      <c r="C1044954" s="19"/>
      <c r="D1044954" s="19"/>
      <c r="E1044954" s="19"/>
      <c r="F1044954" s="19"/>
      <c r="G1044954" s="19"/>
      <c r="H1044954" s="19"/>
      <c r="I1044954" s="19"/>
      <c r="J1044954" s="19"/>
      <c r="K1044954" s="19"/>
      <c r="L1044954" s="19"/>
      <c r="M1044954" s="19"/>
      <c r="N1044954" s="19"/>
    </row>
    <row r="1044955" spans="1:14" s="83" customFormat="1" ht="12.75">
      <c r="A1044955" s="19"/>
      <c r="B1044955" s="19"/>
      <c r="C1044955" s="19"/>
      <c r="D1044955" s="19"/>
      <c r="E1044955" s="19"/>
      <c r="F1044955" s="19"/>
      <c r="G1044955" s="19"/>
      <c r="H1044955" s="19"/>
      <c r="I1044955" s="19"/>
      <c r="J1044955" s="19"/>
      <c r="K1044955" s="19"/>
      <c r="L1044955" s="19"/>
      <c r="M1044955" s="19"/>
      <c r="N1044955" s="19"/>
    </row>
    <row r="1044956" spans="1:14" s="83" customFormat="1" ht="12.75">
      <c r="A1044956" s="19"/>
      <c r="B1044956" s="19"/>
      <c r="C1044956" s="19"/>
      <c r="D1044956" s="19"/>
      <c r="E1044956" s="19"/>
      <c r="F1044956" s="19"/>
      <c r="G1044956" s="19"/>
      <c r="H1044956" s="19"/>
      <c r="I1044956" s="19"/>
      <c r="J1044956" s="19"/>
      <c r="K1044956" s="19"/>
      <c r="L1044956" s="19"/>
      <c r="M1044956" s="19"/>
      <c r="N1044956" s="19"/>
    </row>
    <row r="1044957" spans="1:14" s="83" customFormat="1" ht="12.75">
      <c r="A1044957" s="19"/>
      <c r="B1044957" s="19"/>
      <c r="C1044957" s="19"/>
      <c r="D1044957" s="19"/>
      <c r="E1044957" s="19"/>
      <c r="F1044957" s="19"/>
      <c r="G1044957" s="19"/>
      <c r="H1044957" s="19"/>
      <c r="I1044957" s="19"/>
      <c r="J1044957" s="19"/>
      <c r="K1044957" s="19"/>
      <c r="L1044957" s="19"/>
      <c r="M1044957" s="19"/>
      <c r="N1044957" s="19"/>
    </row>
    <row r="1044958" spans="1:14" s="83" customFormat="1" ht="12.75">
      <c r="A1044958" s="19"/>
      <c r="B1044958" s="19"/>
      <c r="C1044958" s="19"/>
      <c r="D1044958" s="19"/>
      <c r="E1044958" s="19"/>
      <c r="F1044958" s="19"/>
      <c r="G1044958" s="19"/>
      <c r="H1044958" s="19"/>
      <c r="I1044958" s="19"/>
      <c r="J1044958" s="19"/>
      <c r="K1044958" s="19"/>
      <c r="L1044958" s="19"/>
      <c r="M1044958" s="19"/>
      <c r="N1044958" s="19"/>
    </row>
    <row r="1044959" spans="1:14" s="83" customFormat="1" ht="12.75">
      <c r="A1044959" s="19"/>
      <c r="B1044959" s="19"/>
      <c r="C1044959" s="19"/>
      <c r="D1044959" s="19"/>
      <c r="E1044959" s="19"/>
      <c r="F1044959" s="19"/>
      <c r="G1044959" s="19"/>
      <c r="H1044959" s="19"/>
      <c r="I1044959" s="19"/>
      <c r="J1044959" s="19"/>
      <c r="K1044959" s="19"/>
      <c r="L1044959" s="19"/>
      <c r="M1044959" s="19"/>
      <c r="N1044959" s="19"/>
    </row>
    <row r="1044960" spans="1:14" s="83" customFormat="1" ht="12.75">
      <c r="A1044960" s="19"/>
      <c r="B1044960" s="19"/>
      <c r="C1044960" s="19"/>
      <c r="D1044960" s="19"/>
      <c r="E1044960" s="19"/>
      <c r="F1044960" s="19"/>
      <c r="G1044960" s="19"/>
      <c r="H1044960" s="19"/>
      <c r="I1044960" s="19"/>
      <c r="J1044960" s="19"/>
      <c r="K1044960" s="19"/>
      <c r="L1044960" s="19"/>
      <c r="M1044960" s="19"/>
      <c r="N1044960" s="19"/>
    </row>
    <row r="1044961" spans="1:14" s="83" customFormat="1" ht="12.75">
      <c r="A1044961" s="19"/>
      <c r="B1044961" s="19"/>
      <c r="C1044961" s="19"/>
      <c r="D1044961" s="19"/>
      <c r="E1044961" s="19"/>
      <c r="F1044961" s="19"/>
      <c r="G1044961" s="19"/>
      <c r="H1044961" s="19"/>
      <c r="I1044961" s="19"/>
      <c r="J1044961" s="19"/>
      <c r="K1044961" s="19"/>
      <c r="L1044961" s="19"/>
      <c r="M1044961" s="19"/>
      <c r="N1044961" s="19"/>
    </row>
    <row r="1044962" spans="1:14" s="83" customFormat="1" ht="12.75">
      <c r="A1044962" s="19"/>
      <c r="B1044962" s="19"/>
      <c r="C1044962" s="19"/>
      <c r="D1044962" s="19"/>
      <c r="E1044962" s="19"/>
      <c r="F1044962" s="19"/>
      <c r="G1044962" s="19"/>
      <c r="H1044962" s="19"/>
      <c r="I1044962" s="19"/>
      <c r="J1044962" s="19"/>
      <c r="K1044962" s="19"/>
      <c r="L1044962" s="19"/>
      <c r="M1044962" s="19"/>
      <c r="N1044962" s="19"/>
    </row>
    <row r="1044963" spans="1:14" s="83" customFormat="1" ht="12.75">
      <c r="A1044963" s="19"/>
      <c r="B1044963" s="19"/>
      <c r="C1044963" s="19"/>
      <c r="D1044963" s="19"/>
      <c r="E1044963" s="19"/>
      <c r="F1044963" s="19"/>
      <c r="G1044963" s="19"/>
      <c r="H1044963" s="19"/>
      <c r="I1044963" s="19"/>
      <c r="J1044963" s="19"/>
      <c r="K1044963" s="19"/>
      <c r="L1044963" s="19"/>
      <c r="M1044963" s="19"/>
      <c r="N1044963" s="19"/>
    </row>
    <row r="1044964" spans="1:14" s="83" customFormat="1" ht="12.75">
      <c r="A1044964" s="19"/>
      <c r="B1044964" s="19"/>
      <c r="C1044964" s="19"/>
      <c r="D1044964" s="19"/>
      <c r="E1044964" s="19"/>
      <c r="F1044964" s="19"/>
      <c r="G1044964" s="19"/>
      <c r="H1044964" s="19"/>
      <c r="I1044964" s="19"/>
      <c r="J1044964" s="19"/>
      <c r="K1044964" s="19"/>
      <c r="L1044964" s="19"/>
      <c r="M1044964" s="19"/>
      <c r="N1044964" s="19"/>
    </row>
    <row r="1044965" spans="1:14" s="83" customFormat="1" ht="12.75">
      <c r="A1044965" s="19"/>
      <c r="B1044965" s="19"/>
      <c r="C1044965" s="19"/>
      <c r="D1044965" s="19"/>
      <c r="E1044965" s="19"/>
      <c r="F1044965" s="19"/>
      <c r="G1044965" s="19"/>
      <c r="H1044965" s="19"/>
      <c r="I1044965" s="19"/>
      <c r="J1044965" s="19"/>
      <c r="K1044965" s="19"/>
      <c r="L1044965" s="19"/>
      <c r="M1044965" s="19"/>
      <c r="N1044965" s="19"/>
    </row>
    <row r="1044966" spans="1:14" s="83" customFormat="1" ht="12.75">
      <c r="A1044966" s="19"/>
      <c r="B1044966" s="19"/>
      <c r="C1044966" s="19"/>
      <c r="D1044966" s="19"/>
      <c r="E1044966" s="19"/>
      <c r="F1044966" s="19"/>
      <c r="G1044966" s="19"/>
      <c r="H1044966" s="19"/>
      <c r="I1044966" s="19"/>
      <c r="J1044966" s="19"/>
      <c r="K1044966" s="19"/>
      <c r="L1044966" s="19"/>
      <c r="M1044966" s="19"/>
      <c r="N1044966" s="19"/>
    </row>
    <row r="1044967" spans="1:14" s="83" customFormat="1" ht="12.75">
      <c r="A1044967" s="19"/>
      <c r="B1044967" s="19"/>
      <c r="C1044967" s="19"/>
      <c r="D1044967" s="19"/>
      <c r="E1044967" s="19"/>
      <c r="F1044967" s="19"/>
      <c r="G1044967" s="19"/>
      <c r="H1044967" s="19"/>
      <c r="I1044967" s="19"/>
      <c r="J1044967" s="19"/>
      <c r="K1044967" s="19"/>
      <c r="L1044967" s="19"/>
      <c r="M1044967" s="19"/>
      <c r="N1044967" s="19"/>
    </row>
    <row r="1044968" spans="1:14" s="83" customFormat="1" ht="12.75">
      <c r="A1044968" s="19"/>
      <c r="B1044968" s="19"/>
      <c r="C1044968" s="19"/>
      <c r="D1044968" s="19"/>
      <c r="E1044968" s="19"/>
      <c r="F1044968" s="19"/>
      <c r="G1044968" s="19"/>
      <c r="H1044968" s="19"/>
      <c r="I1044968" s="19"/>
      <c r="J1044968" s="19"/>
      <c r="K1044968" s="19"/>
      <c r="L1044968" s="19"/>
      <c r="M1044968" s="19"/>
      <c r="N1044968" s="19"/>
    </row>
    <row r="1044969" spans="1:14" s="83" customFormat="1" ht="12.75">
      <c r="A1044969" s="19"/>
      <c r="B1044969" s="19"/>
      <c r="C1044969" s="19"/>
      <c r="D1044969" s="19"/>
      <c r="E1044969" s="19"/>
      <c r="F1044969" s="19"/>
      <c r="G1044969" s="19"/>
      <c r="H1044969" s="19"/>
      <c r="I1044969" s="19"/>
      <c r="J1044969" s="19"/>
      <c r="K1044969" s="19"/>
      <c r="L1044969" s="19"/>
      <c r="M1044969" s="19"/>
      <c r="N1044969" s="19"/>
    </row>
    <row r="1044970" spans="1:14" s="83" customFormat="1" ht="12.75">
      <c r="A1044970" s="19"/>
      <c r="B1044970" s="19"/>
      <c r="C1044970" s="19"/>
      <c r="D1044970" s="19"/>
      <c r="E1044970" s="19"/>
      <c r="F1044970" s="19"/>
      <c r="G1044970" s="19"/>
      <c r="H1044970" s="19"/>
      <c r="I1044970" s="19"/>
      <c r="J1044970" s="19"/>
      <c r="K1044970" s="19"/>
      <c r="L1044970" s="19"/>
      <c r="M1044970" s="19"/>
      <c r="N1044970" s="19"/>
    </row>
    <row r="1044971" spans="1:14" s="83" customFormat="1" ht="12.75">
      <c r="A1044971" s="19"/>
      <c r="B1044971" s="19"/>
      <c r="C1044971" s="19"/>
      <c r="D1044971" s="19"/>
      <c r="E1044971" s="19"/>
      <c r="F1044971" s="19"/>
      <c r="G1044971" s="19"/>
      <c r="H1044971" s="19"/>
      <c r="I1044971" s="19"/>
      <c r="J1044971" s="19"/>
      <c r="K1044971" s="19"/>
      <c r="L1044971" s="19"/>
      <c r="M1044971" s="19"/>
      <c r="N1044971" s="19"/>
    </row>
    <row r="1044972" spans="1:14" s="83" customFormat="1" ht="12.75">
      <c r="A1044972" s="19"/>
      <c r="B1044972" s="19"/>
      <c r="C1044972" s="19"/>
      <c r="D1044972" s="19"/>
      <c r="E1044972" s="19"/>
      <c r="F1044972" s="19"/>
      <c r="G1044972" s="19"/>
      <c r="H1044972" s="19"/>
      <c r="I1044972" s="19"/>
      <c r="J1044972" s="19"/>
      <c r="K1044972" s="19"/>
      <c r="L1044972" s="19"/>
      <c r="M1044972" s="19"/>
      <c r="N1044972" s="19"/>
    </row>
    <row r="1044973" spans="1:14" s="83" customFormat="1" ht="12.75">
      <c r="A1044973" s="19"/>
      <c r="B1044973" s="19"/>
      <c r="C1044973" s="19"/>
      <c r="D1044973" s="19"/>
      <c r="E1044973" s="19"/>
      <c r="F1044973" s="19"/>
      <c r="G1044973" s="19"/>
      <c r="H1044973" s="19"/>
      <c r="I1044973" s="19"/>
      <c r="J1044973" s="19"/>
      <c r="K1044973" s="19"/>
      <c r="L1044973" s="19"/>
      <c r="M1044973" s="19"/>
      <c r="N1044973" s="19"/>
    </row>
    <row r="1044974" spans="1:14" s="83" customFormat="1" ht="12.75">
      <c r="A1044974" s="19"/>
      <c r="B1044974" s="19"/>
      <c r="C1044974" s="19"/>
      <c r="D1044974" s="19"/>
      <c r="E1044974" s="19"/>
      <c r="F1044974" s="19"/>
      <c r="G1044974" s="19"/>
      <c r="H1044974" s="19"/>
      <c r="I1044974" s="19"/>
      <c r="J1044974" s="19"/>
      <c r="K1044974" s="19"/>
      <c r="L1044974" s="19"/>
      <c r="M1044974" s="19"/>
      <c r="N1044974" s="19"/>
    </row>
    <row r="1044975" spans="1:14" s="83" customFormat="1" ht="12.75">
      <c r="A1044975" s="19"/>
      <c r="B1044975" s="19"/>
      <c r="C1044975" s="19"/>
      <c r="D1044975" s="19"/>
      <c r="E1044975" s="19"/>
      <c r="F1044975" s="19"/>
      <c r="G1044975" s="19"/>
      <c r="H1044975" s="19"/>
      <c r="I1044975" s="19"/>
      <c r="J1044975" s="19"/>
      <c r="K1044975" s="19"/>
      <c r="L1044975" s="19"/>
      <c r="M1044975" s="19"/>
      <c r="N1044975" s="19"/>
    </row>
    <row r="1044976" spans="1:14" s="83" customFormat="1" ht="12.75">
      <c r="A1044976" s="19"/>
      <c r="B1044976" s="19"/>
      <c r="C1044976" s="19"/>
      <c r="D1044976" s="19"/>
      <c r="E1044976" s="19"/>
      <c r="F1044976" s="19"/>
      <c r="G1044976" s="19"/>
      <c r="H1044976" s="19"/>
      <c r="I1044976" s="19"/>
      <c r="J1044976" s="19"/>
      <c r="K1044976" s="19"/>
      <c r="L1044976" s="19"/>
      <c r="M1044976" s="19"/>
      <c r="N1044976" s="19"/>
    </row>
    <row r="1044977" spans="1:14" s="83" customFormat="1" ht="12.75">
      <c r="A1044977" s="19"/>
      <c r="B1044977" s="19"/>
      <c r="C1044977" s="19"/>
      <c r="D1044977" s="19"/>
      <c r="E1044977" s="19"/>
      <c r="F1044977" s="19"/>
      <c r="G1044977" s="19"/>
      <c r="H1044977" s="19"/>
      <c r="I1044977" s="19"/>
      <c r="J1044977" s="19"/>
      <c r="K1044977" s="19"/>
      <c r="L1044977" s="19"/>
      <c r="M1044977" s="19"/>
      <c r="N1044977" s="19"/>
    </row>
    <row r="1044978" spans="1:14" s="83" customFormat="1" ht="12.75">
      <c r="A1044978" s="19"/>
      <c r="B1044978" s="19"/>
      <c r="C1044978" s="19"/>
      <c r="D1044978" s="19"/>
      <c r="E1044978" s="19"/>
      <c r="F1044978" s="19"/>
      <c r="G1044978" s="19"/>
      <c r="H1044978" s="19"/>
      <c r="I1044978" s="19"/>
      <c r="J1044978" s="19"/>
      <c r="K1044978" s="19"/>
      <c r="L1044978" s="19"/>
      <c r="M1044978" s="19"/>
      <c r="N1044978" s="19"/>
    </row>
    <row r="1044979" spans="1:14" s="83" customFormat="1" ht="12.75">
      <c r="A1044979" s="19"/>
      <c r="B1044979" s="19"/>
      <c r="C1044979" s="19"/>
      <c r="D1044979" s="19"/>
      <c r="E1044979" s="19"/>
      <c r="F1044979" s="19"/>
      <c r="G1044979" s="19"/>
      <c r="H1044979" s="19"/>
      <c r="I1044979" s="19"/>
      <c r="J1044979" s="19"/>
      <c r="K1044979" s="19"/>
      <c r="L1044979" s="19"/>
      <c r="M1044979" s="19"/>
      <c r="N1044979" s="19"/>
    </row>
    <row r="1044980" spans="1:14" s="83" customFormat="1" ht="12.75">
      <c r="A1044980" s="19"/>
      <c r="B1044980" s="19"/>
      <c r="C1044980" s="19"/>
      <c r="D1044980" s="19"/>
      <c r="E1044980" s="19"/>
      <c r="F1044980" s="19"/>
      <c r="G1044980" s="19"/>
      <c r="H1044980" s="19"/>
      <c r="I1044980" s="19"/>
      <c r="J1044980" s="19"/>
      <c r="K1044980" s="19"/>
      <c r="L1044980" s="19"/>
      <c r="M1044980" s="19"/>
      <c r="N1044980" s="19"/>
    </row>
    <row r="1044981" spans="1:14" s="83" customFormat="1" ht="12.75">
      <c r="A1044981" s="19"/>
      <c r="B1044981" s="19"/>
      <c r="C1044981" s="19"/>
      <c r="D1044981" s="19"/>
      <c r="E1044981" s="19"/>
      <c r="F1044981" s="19"/>
      <c r="G1044981" s="19"/>
      <c r="H1044981" s="19"/>
      <c r="I1044981" s="19"/>
      <c r="J1044981" s="19"/>
      <c r="K1044981" s="19"/>
      <c r="L1044981" s="19"/>
      <c r="M1044981" s="19"/>
      <c r="N1044981" s="19"/>
    </row>
    <row r="1044982" spans="1:14" s="83" customFormat="1" ht="12.75">
      <c r="A1044982" s="19"/>
      <c r="B1044982" s="19"/>
      <c r="C1044982" s="19"/>
      <c r="D1044982" s="19"/>
      <c r="E1044982" s="19"/>
      <c r="F1044982" s="19"/>
      <c r="G1044982" s="19"/>
      <c r="H1044982" s="19"/>
      <c r="I1044982" s="19"/>
      <c r="J1044982" s="19"/>
      <c r="K1044982" s="19"/>
      <c r="L1044982" s="19"/>
      <c r="M1044982" s="19"/>
      <c r="N1044982" s="19"/>
    </row>
    <row r="1044983" spans="1:14" s="83" customFormat="1" ht="12.75">
      <c r="A1044983" s="19"/>
      <c r="B1044983" s="19"/>
      <c r="C1044983" s="19"/>
      <c r="D1044983" s="19"/>
      <c r="E1044983" s="19"/>
      <c r="F1044983" s="19"/>
      <c r="G1044983" s="19"/>
      <c r="H1044983" s="19"/>
      <c r="I1044983" s="19"/>
      <c r="J1044983" s="19"/>
      <c r="K1044983" s="19"/>
      <c r="L1044983" s="19"/>
      <c r="M1044983" s="19"/>
      <c r="N1044983" s="19"/>
    </row>
    <row r="1044984" spans="1:14" s="83" customFormat="1" ht="12.75">
      <c r="A1044984" s="19"/>
      <c r="B1044984" s="19"/>
      <c r="C1044984" s="19"/>
      <c r="D1044984" s="19"/>
      <c r="E1044984" s="19"/>
      <c r="F1044984" s="19"/>
      <c r="G1044984" s="19"/>
      <c r="H1044984" s="19"/>
      <c r="I1044984" s="19"/>
      <c r="J1044984" s="19"/>
      <c r="K1044984" s="19"/>
      <c r="L1044984" s="19"/>
      <c r="M1044984" s="19"/>
      <c r="N1044984" s="19"/>
    </row>
    <row r="1044985" spans="1:14" s="83" customFormat="1" ht="12.75">
      <c r="A1044985" s="19"/>
      <c r="B1044985" s="19"/>
      <c r="C1044985" s="19"/>
      <c r="D1044985" s="19"/>
      <c r="E1044985" s="19"/>
      <c r="F1044985" s="19"/>
      <c r="G1044985" s="19"/>
      <c r="H1044985" s="19"/>
      <c r="I1044985" s="19"/>
      <c r="J1044985" s="19"/>
      <c r="K1044985" s="19"/>
      <c r="L1044985" s="19"/>
      <c r="M1044985" s="19"/>
      <c r="N1044985" s="19"/>
    </row>
    <row r="1044986" spans="1:14" s="83" customFormat="1" ht="12.75">
      <c r="A1044986" s="19"/>
      <c r="B1044986" s="19"/>
      <c r="C1044986" s="19"/>
      <c r="D1044986" s="19"/>
      <c r="E1044986" s="19"/>
      <c r="F1044986" s="19"/>
      <c r="G1044986" s="19"/>
      <c r="H1044986" s="19"/>
      <c r="I1044986" s="19"/>
      <c r="J1044986" s="19"/>
      <c r="K1044986" s="19"/>
      <c r="L1044986" s="19"/>
      <c r="M1044986" s="19"/>
      <c r="N1044986" s="19"/>
    </row>
    <row r="1044987" spans="1:14" s="83" customFormat="1" ht="12.75">
      <c r="A1044987" s="19"/>
      <c r="B1044987" s="19"/>
      <c r="C1044987" s="19"/>
      <c r="D1044987" s="19"/>
      <c r="E1044987" s="19"/>
      <c r="F1044987" s="19"/>
      <c r="G1044987" s="19"/>
      <c r="H1044987" s="19"/>
      <c r="I1044987" s="19"/>
      <c r="J1044987" s="19"/>
      <c r="K1044987" s="19"/>
      <c r="L1044987" s="19"/>
      <c r="M1044987" s="19"/>
      <c r="N1044987" s="19"/>
    </row>
    <row r="1044988" spans="1:14" s="83" customFormat="1" ht="12.75">
      <c r="A1044988" s="19"/>
      <c r="B1044988" s="19"/>
      <c r="C1044988" s="19"/>
      <c r="D1044988" s="19"/>
      <c r="E1044988" s="19"/>
      <c r="F1044988" s="19"/>
      <c r="G1044988" s="19"/>
      <c r="H1044988" s="19"/>
      <c r="I1044988" s="19"/>
      <c r="J1044988" s="19"/>
      <c r="K1044988" s="19"/>
      <c r="L1044988" s="19"/>
      <c r="M1044988" s="19"/>
      <c r="N1044988" s="19"/>
    </row>
    <row r="1044989" spans="1:14" s="83" customFormat="1" ht="12.75">
      <c r="A1044989" s="19"/>
      <c r="B1044989" s="19"/>
      <c r="C1044989" s="19"/>
      <c r="D1044989" s="19"/>
      <c r="E1044989" s="19"/>
      <c r="F1044989" s="19"/>
      <c r="G1044989" s="19"/>
      <c r="H1044989" s="19"/>
      <c r="I1044989" s="19"/>
      <c r="J1044989" s="19"/>
      <c r="K1044989" s="19"/>
      <c r="L1044989" s="19"/>
      <c r="M1044989" s="19"/>
      <c r="N1044989" s="19"/>
    </row>
    <row r="1044990" spans="1:14" s="83" customFormat="1" ht="12.75">
      <c r="A1044990" s="19"/>
      <c r="B1044990" s="19"/>
      <c r="C1044990" s="19"/>
      <c r="D1044990" s="19"/>
      <c r="E1044990" s="19"/>
      <c r="F1044990" s="19"/>
      <c r="G1044990" s="19"/>
      <c r="H1044990" s="19"/>
      <c r="I1044990" s="19"/>
      <c r="J1044990" s="19"/>
      <c r="K1044990" s="19"/>
      <c r="L1044990" s="19"/>
      <c r="M1044990" s="19"/>
      <c r="N1044990" s="19"/>
    </row>
    <row r="1044991" spans="1:14" s="83" customFormat="1" ht="12.75">
      <c r="A1044991" s="19"/>
      <c r="B1044991" s="19"/>
      <c r="C1044991" s="19"/>
      <c r="D1044991" s="19"/>
      <c r="E1044991" s="19"/>
      <c r="F1044991" s="19"/>
      <c r="G1044991" s="19"/>
      <c r="H1044991" s="19"/>
      <c r="I1044991" s="19"/>
      <c r="J1044991" s="19"/>
      <c r="K1044991" s="19"/>
      <c r="L1044991" s="19"/>
      <c r="M1044991" s="19"/>
      <c r="N1044991" s="19"/>
    </row>
    <row r="1044992" spans="1:14" s="83" customFormat="1" ht="12.75">
      <c r="A1044992" s="19"/>
      <c r="B1044992" s="19"/>
      <c r="C1044992" s="19"/>
      <c r="D1044992" s="19"/>
      <c r="E1044992" s="19"/>
      <c r="F1044992" s="19"/>
      <c r="G1044992" s="19"/>
      <c r="H1044992" s="19"/>
      <c r="I1044992" s="19"/>
      <c r="J1044992" s="19"/>
      <c r="K1044992" s="19"/>
      <c r="L1044992" s="19"/>
      <c r="M1044992" s="19"/>
      <c r="N1044992" s="19"/>
    </row>
    <row r="1044993" spans="1:14" s="83" customFormat="1" ht="12.75">
      <c r="A1044993" s="19"/>
      <c r="B1044993" s="19"/>
      <c r="C1044993" s="19"/>
      <c r="D1044993" s="19"/>
      <c r="E1044993" s="19"/>
      <c r="F1044993" s="19"/>
      <c r="G1044993" s="19"/>
      <c r="H1044993" s="19"/>
      <c r="I1044993" s="19"/>
      <c r="J1044993" s="19"/>
      <c r="K1044993" s="19"/>
      <c r="L1044993" s="19"/>
      <c r="M1044993" s="19"/>
      <c r="N1044993" s="19"/>
    </row>
    <row r="1044994" spans="1:14" s="83" customFormat="1" ht="12.75">
      <c r="A1044994" s="19"/>
      <c r="B1044994" s="19"/>
      <c r="C1044994" s="19"/>
      <c r="D1044994" s="19"/>
      <c r="E1044994" s="19"/>
      <c r="F1044994" s="19"/>
      <c r="G1044994" s="19"/>
      <c r="H1044994" s="19"/>
      <c r="I1044994" s="19"/>
      <c r="J1044994" s="19"/>
      <c r="K1044994" s="19"/>
      <c r="L1044994" s="19"/>
      <c r="M1044994" s="19"/>
      <c r="N1044994" s="19"/>
    </row>
    <row r="1044995" spans="1:14" s="83" customFormat="1" ht="12.75">
      <c r="A1044995" s="19"/>
      <c r="B1044995" s="19"/>
      <c r="C1044995" s="19"/>
      <c r="D1044995" s="19"/>
      <c r="E1044995" s="19"/>
      <c r="F1044995" s="19"/>
      <c r="G1044995" s="19"/>
      <c r="H1044995" s="19"/>
      <c r="I1044995" s="19"/>
      <c r="J1044995" s="19"/>
      <c r="K1044995" s="19"/>
      <c r="L1044995" s="19"/>
      <c r="M1044995" s="19"/>
      <c r="N1044995" s="19"/>
    </row>
    <row r="1044996" spans="1:14" s="83" customFormat="1" ht="12.75">
      <c r="A1044996" s="19"/>
      <c r="B1044996" s="19"/>
      <c r="C1044996" s="19"/>
      <c r="D1044996" s="19"/>
      <c r="E1044996" s="19"/>
      <c r="F1044996" s="19"/>
      <c r="G1044996" s="19"/>
      <c r="H1044996" s="19"/>
      <c r="I1044996" s="19"/>
      <c r="J1044996" s="19"/>
      <c r="K1044996" s="19"/>
      <c r="L1044996" s="19"/>
      <c r="M1044996" s="19"/>
      <c r="N1044996" s="19"/>
    </row>
    <row r="1044997" spans="1:14" s="83" customFormat="1" ht="12.75">
      <c r="A1044997" s="19"/>
      <c r="B1044997" s="19"/>
      <c r="C1044997" s="19"/>
      <c r="D1044997" s="19"/>
      <c r="E1044997" s="19"/>
      <c r="F1044997" s="19"/>
      <c r="G1044997" s="19"/>
      <c r="H1044997" s="19"/>
      <c r="I1044997" s="19"/>
      <c r="J1044997" s="19"/>
      <c r="K1044997" s="19"/>
      <c r="L1044997" s="19"/>
      <c r="M1044997" s="19"/>
      <c r="N1044997" s="19"/>
    </row>
    <row r="1044998" spans="1:14" s="83" customFormat="1" ht="12.75">
      <c r="A1044998" s="19"/>
      <c r="B1044998" s="19"/>
      <c r="C1044998" s="19"/>
      <c r="D1044998" s="19"/>
      <c r="E1044998" s="19"/>
      <c r="F1044998" s="19"/>
      <c r="G1044998" s="19"/>
      <c r="H1044998" s="19"/>
      <c r="I1044998" s="19"/>
      <c r="J1044998" s="19"/>
      <c r="K1044998" s="19"/>
      <c r="L1044998" s="19"/>
      <c r="M1044998" s="19"/>
      <c r="N1044998" s="19"/>
    </row>
    <row r="1044999" spans="1:14" s="83" customFormat="1" ht="12.75">
      <c r="A1044999" s="19"/>
      <c r="B1044999" s="19"/>
      <c r="C1044999" s="19"/>
      <c r="D1044999" s="19"/>
      <c r="E1044999" s="19"/>
      <c r="F1044999" s="19"/>
      <c r="G1044999" s="19"/>
      <c r="H1044999" s="19"/>
      <c r="I1044999" s="19"/>
      <c r="J1044999" s="19"/>
      <c r="K1044999" s="19"/>
      <c r="L1044999" s="19"/>
      <c r="M1044999" s="19"/>
      <c r="N1044999" s="19"/>
    </row>
    <row r="1045000" spans="1:14" s="83" customFormat="1" ht="12.75">
      <c r="A1045000" s="19"/>
      <c r="B1045000" s="19"/>
      <c r="C1045000" s="19"/>
      <c r="D1045000" s="19"/>
      <c r="E1045000" s="19"/>
      <c r="F1045000" s="19"/>
      <c r="G1045000" s="19"/>
      <c r="H1045000" s="19"/>
      <c r="I1045000" s="19"/>
      <c r="J1045000" s="19"/>
      <c r="K1045000" s="19"/>
      <c r="L1045000" s="19"/>
      <c r="M1045000" s="19"/>
      <c r="N1045000" s="19"/>
    </row>
    <row r="1045001" spans="1:14" s="83" customFormat="1" ht="12.75">
      <c r="A1045001" s="19"/>
      <c r="B1045001" s="19"/>
      <c r="C1045001" s="19"/>
      <c r="D1045001" s="19"/>
      <c r="E1045001" s="19"/>
      <c r="F1045001" s="19"/>
      <c r="G1045001" s="19"/>
      <c r="H1045001" s="19"/>
      <c r="I1045001" s="19"/>
      <c r="J1045001" s="19"/>
      <c r="K1045001" s="19"/>
      <c r="L1045001" s="19"/>
      <c r="M1045001" s="19"/>
      <c r="N1045001" s="19"/>
    </row>
    <row r="1045002" spans="1:14" s="83" customFormat="1" ht="12.75">
      <c r="A1045002" s="19"/>
      <c r="B1045002" s="19"/>
      <c r="C1045002" s="19"/>
      <c r="D1045002" s="19"/>
      <c r="E1045002" s="19"/>
      <c r="F1045002" s="19"/>
      <c r="G1045002" s="19"/>
      <c r="H1045002" s="19"/>
      <c r="I1045002" s="19"/>
      <c r="J1045002" s="19"/>
      <c r="K1045002" s="19"/>
      <c r="L1045002" s="19"/>
      <c r="M1045002" s="19"/>
      <c r="N1045002" s="19"/>
    </row>
    <row r="1045003" spans="1:14" s="83" customFormat="1" ht="12.75">
      <c r="A1045003" s="19"/>
      <c r="B1045003" s="19"/>
      <c r="C1045003" s="19"/>
      <c r="D1045003" s="19"/>
      <c r="E1045003" s="19"/>
      <c r="F1045003" s="19"/>
      <c r="G1045003" s="19"/>
      <c r="H1045003" s="19"/>
      <c r="I1045003" s="19"/>
      <c r="J1045003" s="19"/>
      <c r="K1045003" s="19"/>
      <c r="L1045003" s="19"/>
      <c r="M1045003" s="19"/>
      <c r="N1045003" s="19"/>
    </row>
    <row r="1045004" spans="1:14" s="83" customFormat="1" ht="12.75">
      <c r="A1045004" s="19"/>
      <c r="B1045004" s="19"/>
      <c r="C1045004" s="19"/>
      <c r="D1045004" s="19"/>
      <c r="E1045004" s="19"/>
      <c r="F1045004" s="19"/>
      <c r="G1045004" s="19"/>
      <c r="H1045004" s="19"/>
      <c r="I1045004" s="19"/>
      <c r="J1045004" s="19"/>
      <c r="K1045004" s="19"/>
      <c r="L1045004" s="19"/>
      <c r="M1045004" s="19"/>
      <c r="N1045004" s="19"/>
    </row>
    <row r="1045005" spans="1:14" s="83" customFormat="1" ht="12.75">
      <c r="A1045005" s="19"/>
      <c r="B1045005" s="19"/>
      <c r="C1045005" s="19"/>
      <c r="D1045005" s="19"/>
      <c r="E1045005" s="19"/>
      <c r="F1045005" s="19"/>
      <c r="G1045005" s="19"/>
      <c r="H1045005" s="19"/>
      <c r="I1045005" s="19"/>
      <c r="J1045005" s="19"/>
      <c r="K1045005" s="19"/>
      <c r="L1045005" s="19"/>
      <c r="M1045005" s="19"/>
      <c r="N1045005" s="19"/>
    </row>
    <row r="1045006" spans="1:14" s="83" customFormat="1" ht="12.75">
      <c r="A1045006" s="19"/>
      <c r="B1045006" s="19"/>
      <c r="C1045006" s="19"/>
      <c r="D1045006" s="19"/>
      <c r="E1045006" s="19"/>
      <c r="F1045006" s="19"/>
      <c r="G1045006" s="19"/>
      <c r="H1045006" s="19"/>
      <c r="I1045006" s="19"/>
      <c r="J1045006" s="19"/>
      <c r="K1045006" s="19"/>
      <c r="L1045006" s="19"/>
      <c r="M1045006" s="19"/>
      <c r="N1045006" s="19"/>
    </row>
    <row r="1045007" spans="1:14" s="83" customFormat="1" ht="12.75">
      <c r="A1045007" s="19"/>
      <c r="B1045007" s="19"/>
      <c r="C1045007" s="19"/>
      <c r="D1045007" s="19"/>
      <c r="E1045007" s="19"/>
      <c r="F1045007" s="19"/>
      <c r="G1045007" s="19"/>
      <c r="H1045007" s="19"/>
      <c r="I1045007" s="19"/>
      <c r="J1045007" s="19"/>
      <c r="K1045007" s="19"/>
      <c r="L1045007" s="19"/>
      <c r="M1045007" s="19"/>
      <c r="N1045007" s="19"/>
    </row>
    <row r="1045008" spans="1:14" s="83" customFormat="1" ht="12.75">
      <c r="A1045008" s="19"/>
      <c r="B1045008" s="19"/>
      <c r="C1045008" s="19"/>
      <c r="D1045008" s="19"/>
      <c r="E1045008" s="19"/>
      <c r="F1045008" s="19"/>
      <c r="G1045008" s="19"/>
      <c r="H1045008" s="19"/>
      <c r="I1045008" s="19"/>
      <c r="J1045008" s="19"/>
      <c r="K1045008" s="19"/>
      <c r="L1045008" s="19"/>
      <c r="M1045008" s="19"/>
      <c r="N1045008" s="19"/>
    </row>
    <row r="1045009" spans="1:14" s="83" customFormat="1" ht="12.75">
      <c r="A1045009" s="19"/>
      <c r="B1045009" s="19"/>
      <c r="C1045009" s="19"/>
      <c r="D1045009" s="19"/>
      <c r="E1045009" s="19"/>
      <c r="F1045009" s="19"/>
      <c r="G1045009" s="19"/>
      <c r="H1045009" s="19"/>
      <c r="I1045009" s="19"/>
      <c r="J1045009" s="19"/>
      <c r="K1045009" s="19"/>
      <c r="L1045009" s="19"/>
      <c r="M1045009" s="19"/>
      <c r="N1045009" s="19"/>
    </row>
    <row r="1045010" spans="1:14" s="83" customFormat="1" ht="12.75">
      <c r="A1045010" s="19"/>
      <c r="B1045010" s="19"/>
      <c r="C1045010" s="19"/>
      <c r="D1045010" s="19"/>
      <c r="E1045010" s="19"/>
      <c r="F1045010" s="19"/>
      <c r="G1045010" s="19"/>
      <c r="H1045010" s="19"/>
      <c r="I1045010" s="19"/>
      <c r="J1045010" s="19"/>
      <c r="K1045010" s="19"/>
      <c r="L1045010" s="19"/>
      <c r="M1045010" s="19"/>
      <c r="N1045010" s="19"/>
    </row>
    <row r="1045011" spans="1:14" s="83" customFormat="1" ht="12.75">
      <c r="A1045011" s="19"/>
      <c r="B1045011" s="19"/>
      <c r="C1045011" s="19"/>
      <c r="D1045011" s="19"/>
      <c r="E1045011" s="19"/>
      <c r="F1045011" s="19"/>
      <c r="G1045011" s="19"/>
      <c r="H1045011" s="19"/>
      <c r="I1045011" s="19"/>
      <c r="J1045011" s="19"/>
      <c r="K1045011" s="19"/>
      <c r="L1045011" s="19"/>
      <c r="M1045011" s="19"/>
      <c r="N1045011" s="19"/>
    </row>
    <row r="1045012" spans="1:14" s="83" customFormat="1" ht="12.75">
      <c r="A1045012" s="19"/>
      <c r="B1045012" s="19"/>
      <c r="C1045012" s="19"/>
      <c r="D1045012" s="19"/>
      <c r="E1045012" s="19"/>
      <c r="F1045012" s="19"/>
      <c r="G1045012" s="19"/>
      <c r="H1045012" s="19"/>
      <c r="I1045012" s="19"/>
      <c r="J1045012" s="19"/>
      <c r="K1045012" s="19"/>
      <c r="L1045012" s="19"/>
      <c r="M1045012" s="19"/>
      <c r="N1045012" s="19"/>
    </row>
    <row r="1045013" spans="1:14" s="83" customFormat="1" ht="12.75">
      <c r="A1045013" s="19"/>
      <c r="B1045013" s="19"/>
      <c r="C1045013" s="19"/>
      <c r="D1045013" s="19"/>
      <c r="E1045013" s="19"/>
      <c r="F1045013" s="19"/>
      <c r="G1045013" s="19"/>
      <c r="H1045013" s="19"/>
      <c r="I1045013" s="19"/>
      <c r="J1045013" s="19"/>
      <c r="K1045013" s="19"/>
      <c r="L1045013" s="19"/>
      <c r="M1045013" s="19"/>
      <c r="N1045013" s="19"/>
    </row>
    <row r="1045014" spans="1:14" s="83" customFormat="1" ht="12.75">
      <c r="A1045014" s="19"/>
      <c r="B1045014" s="19"/>
      <c r="C1045014" s="19"/>
      <c r="D1045014" s="19"/>
      <c r="E1045014" s="19"/>
      <c r="F1045014" s="19"/>
      <c r="G1045014" s="19"/>
      <c r="H1045014" s="19"/>
      <c r="I1045014" s="19"/>
      <c r="J1045014" s="19"/>
      <c r="K1045014" s="19"/>
      <c r="L1045014" s="19"/>
      <c r="M1045014" s="19"/>
      <c r="N1045014" s="19"/>
    </row>
    <row r="1045015" spans="1:14" s="83" customFormat="1" ht="12.75">
      <c r="A1045015" s="19"/>
      <c r="B1045015" s="19"/>
      <c r="C1045015" s="19"/>
      <c r="D1045015" s="19"/>
      <c r="E1045015" s="19"/>
      <c r="F1045015" s="19"/>
      <c r="G1045015" s="19"/>
      <c r="H1045015" s="19"/>
      <c r="I1045015" s="19"/>
      <c r="J1045015" s="19"/>
      <c r="K1045015" s="19"/>
      <c r="L1045015" s="19"/>
      <c r="M1045015" s="19"/>
      <c r="N1045015" s="19"/>
    </row>
    <row r="1045016" spans="1:14" s="83" customFormat="1" ht="12.75">
      <c r="A1045016" s="19"/>
      <c r="B1045016" s="19"/>
      <c r="C1045016" s="19"/>
      <c r="D1045016" s="19"/>
      <c r="E1045016" s="19"/>
      <c r="F1045016" s="19"/>
      <c r="G1045016" s="19"/>
      <c r="H1045016" s="19"/>
      <c r="I1045016" s="19"/>
      <c r="J1045016" s="19"/>
      <c r="K1045016" s="19"/>
      <c r="L1045016" s="19"/>
      <c r="M1045016" s="19"/>
      <c r="N1045016" s="19"/>
    </row>
    <row r="1045017" spans="1:14" s="83" customFormat="1" ht="12.75">
      <c r="A1045017" s="19"/>
      <c r="B1045017" s="19"/>
      <c r="C1045017" s="19"/>
      <c r="D1045017" s="19"/>
      <c r="E1045017" s="19"/>
      <c r="F1045017" s="19"/>
      <c r="G1045017" s="19"/>
      <c r="H1045017" s="19"/>
      <c r="I1045017" s="19"/>
      <c r="J1045017" s="19"/>
      <c r="K1045017" s="19"/>
      <c r="L1045017" s="19"/>
      <c r="M1045017" s="19"/>
      <c r="N1045017" s="19"/>
    </row>
    <row r="1045018" spans="1:14" s="83" customFormat="1" ht="12.75">
      <c r="A1045018" s="19"/>
      <c r="B1045018" s="19"/>
      <c r="C1045018" s="19"/>
      <c r="D1045018" s="19"/>
      <c r="E1045018" s="19"/>
      <c r="F1045018" s="19"/>
      <c r="G1045018" s="19"/>
      <c r="H1045018" s="19"/>
      <c r="I1045018" s="19"/>
      <c r="J1045018" s="19"/>
      <c r="K1045018" s="19"/>
      <c r="L1045018" s="19"/>
      <c r="M1045018" s="19"/>
      <c r="N1045018" s="19"/>
    </row>
    <row r="1045019" spans="1:14" s="83" customFormat="1" ht="12.75">
      <c r="A1045019" s="19"/>
      <c r="B1045019" s="19"/>
      <c r="C1045019" s="19"/>
      <c r="D1045019" s="19"/>
      <c r="E1045019" s="19"/>
      <c r="F1045019" s="19"/>
      <c r="G1045019" s="19"/>
      <c r="H1045019" s="19"/>
      <c r="I1045019" s="19"/>
      <c r="J1045019" s="19"/>
      <c r="K1045019" s="19"/>
      <c r="L1045019" s="19"/>
      <c r="M1045019" s="19"/>
      <c r="N1045019" s="19"/>
    </row>
    <row r="1045020" spans="1:14" s="83" customFormat="1" ht="12.75">
      <c r="A1045020" s="19"/>
      <c r="B1045020" s="19"/>
      <c r="C1045020" s="19"/>
      <c r="D1045020" s="19"/>
      <c r="E1045020" s="19"/>
      <c r="F1045020" s="19"/>
      <c r="G1045020" s="19"/>
      <c r="H1045020" s="19"/>
      <c r="I1045020" s="19"/>
      <c r="J1045020" s="19"/>
      <c r="K1045020" s="19"/>
      <c r="L1045020" s="19"/>
      <c r="M1045020" s="19"/>
      <c r="N1045020" s="19"/>
    </row>
    <row r="1045021" spans="1:14" s="83" customFormat="1" ht="12.75">
      <c r="A1045021" s="19"/>
      <c r="B1045021" s="19"/>
      <c r="C1045021" s="19"/>
      <c r="D1045021" s="19"/>
      <c r="E1045021" s="19"/>
      <c r="F1045021" s="19"/>
      <c r="G1045021" s="19"/>
      <c r="H1045021" s="19"/>
      <c r="I1045021" s="19"/>
      <c r="J1045021" s="19"/>
      <c r="K1045021" s="19"/>
      <c r="L1045021" s="19"/>
      <c r="M1045021" s="19"/>
      <c r="N1045021" s="19"/>
    </row>
    <row r="1045022" spans="1:14" s="83" customFormat="1" ht="12.75">
      <c r="A1045022" s="19"/>
      <c r="B1045022" s="19"/>
      <c r="C1045022" s="19"/>
      <c r="D1045022" s="19"/>
      <c r="E1045022" s="19"/>
      <c r="F1045022" s="19"/>
      <c r="G1045022" s="19"/>
      <c r="H1045022" s="19"/>
      <c r="I1045022" s="19"/>
      <c r="J1045022" s="19"/>
      <c r="K1045022" s="19"/>
      <c r="L1045022" s="19"/>
      <c r="M1045022" s="19"/>
      <c r="N1045022" s="19"/>
    </row>
    <row r="1045023" spans="1:14" s="83" customFormat="1" ht="12.75">
      <c r="A1045023" s="19"/>
      <c r="B1045023" s="19"/>
      <c r="C1045023" s="19"/>
      <c r="D1045023" s="19"/>
      <c r="E1045023" s="19"/>
      <c r="F1045023" s="19"/>
      <c r="G1045023" s="19"/>
      <c r="H1045023" s="19"/>
      <c r="I1045023" s="19"/>
      <c r="J1045023" s="19"/>
      <c r="K1045023" s="19"/>
      <c r="L1045023" s="19"/>
      <c r="M1045023" s="19"/>
      <c r="N1045023" s="19"/>
    </row>
    <row r="1045024" spans="1:14" s="83" customFormat="1" ht="12.75">
      <c r="A1045024" s="19"/>
      <c r="B1045024" s="19"/>
      <c r="C1045024" s="19"/>
      <c r="D1045024" s="19"/>
      <c r="E1045024" s="19"/>
      <c r="F1045024" s="19"/>
      <c r="G1045024" s="19"/>
      <c r="H1045024" s="19"/>
      <c r="I1045024" s="19"/>
      <c r="J1045024" s="19"/>
      <c r="K1045024" s="19"/>
      <c r="L1045024" s="19"/>
      <c r="M1045024" s="19"/>
      <c r="N1045024" s="19"/>
    </row>
    <row r="1045025" spans="1:14" s="83" customFormat="1" ht="12.75">
      <c r="A1045025" s="19"/>
      <c r="B1045025" s="19"/>
      <c r="C1045025" s="19"/>
      <c r="D1045025" s="19"/>
      <c r="E1045025" s="19"/>
      <c r="F1045025" s="19"/>
      <c r="G1045025" s="19"/>
      <c r="H1045025" s="19"/>
      <c r="I1045025" s="19"/>
      <c r="J1045025" s="19"/>
      <c r="K1045025" s="19"/>
      <c r="L1045025" s="19"/>
      <c r="M1045025" s="19"/>
      <c r="N1045025" s="19"/>
    </row>
    <row r="1045026" spans="1:14" s="83" customFormat="1" ht="12.75">
      <c r="A1045026" s="19"/>
      <c r="B1045026" s="19"/>
      <c r="C1045026" s="19"/>
      <c r="D1045026" s="19"/>
      <c r="E1045026" s="19"/>
      <c r="F1045026" s="19"/>
      <c r="G1045026" s="19"/>
      <c r="H1045026" s="19"/>
      <c r="I1045026" s="19"/>
      <c r="J1045026" s="19"/>
      <c r="K1045026" s="19"/>
      <c r="L1045026" s="19"/>
      <c r="M1045026" s="19"/>
      <c r="N1045026" s="19"/>
    </row>
    <row r="1045027" spans="1:14" s="83" customFormat="1" ht="12.75">
      <c r="A1045027" s="19"/>
      <c r="B1045027" s="19"/>
      <c r="C1045027" s="19"/>
      <c r="D1045027" s="19"/>
      <c r="E1045027" s="19"/>
      <c r="F1045027" s="19"/>
      <c r="G1045027" s="19"/>
      <c r="H1045027" s="19"/>
      <c r="I1045027" s="19"/>
      <c r="J1045027" s="19"/>
      <c r="K1045027" s="19"/>
      <c r="L1045027" s="19"/>
      <c r="M1045027" s="19"/>
      <c r="N1045027" s="19"/>
    </row>
    <row r="1045028" spans="1:14" s="83" customFormat="1" ht="12.75">
      <c r="A1045028" s="19"/>
      <c r="B1045028" s="19"/>
      <c r="C1045028" s="19"/>
      <c r="D1045028" s="19"/>
      <c r="E1045028" s="19"/>
      <c r="F1045028" s="19"/>
      <c r="G1045028" s="19"/>
      <c r="H1045028" s="19"/>
      <c r="I1045028" s="19"/>
      <c r="J1045028" s="19"/>
      <c r="K1045028" s="19"/>
      <c r="L1045028" s="19"/>
      <c r="M1045028" s="19"/>
      <c r="N1045028" s="19"/>
    </row>
    <row r="1045029" spans="1:14" s="83" customFormat="1" ht="12.75">
      <c r="A1045029" s="19"/>
      <c r="B1045029" s="19"/>
      <c r="C1045029" s="19"/>
      <c r="D1045029" s="19"/>
      <c r="E1045029" s="19"/>
      <c r="F1045029" s="19"/>
      <c r="G1045029" s="19"/>
      <c r="H1045029" s="19"/>
      <c r="I1045029" s="19"/>
      <c r="J1045029" s="19"/>
      <c r="K1045029" s="19"/>
      <c r="L1045029" s="19"/>
      <c r="M1045029" s="19"/>
      <c r="N1045029" s="19"/>
    </row>
    <row r="1045030" spans="1:14" s="83" customFormat="1" ht="12.75">
      <c r="A1045030" s="19"/>
      <c r="B1045030" s="19"/>
      <c r="C1045030" s="19"/>
      <c r="D1045030" s="19"/>
      <c r="E1045030" s="19"/>
      <c r="F1045030" s="19"/>
      <c r="G1045030" s="19"/>
      <c r="H1045030" s="19"/>
      <c r="I1045030" s="19"/>
      <c r="J1045030" s="19"/>
      <c r="K1045030" s="19"/>
      <c r="L1045030" s="19"/>
      <c r="M1045030" s="19"/>
      <c r="N1045030" s="19"/>
    </row>
    <row r="1045031" spans="1:14" s="83" customFormat="1" ht="12.75">
      <c r="A1045031" s="19"/>
      <c r="B1045031" s="19"/>
      <c r="C1045031" s="19"/>
      <c r="D1045031" s="19"/>
      <c r="E1045031" s="19"/>
      <c r="F1045031" s="19"/>
      <c r="G1045031" s="19"/>
      <c r="H1045031" s="19"/>
      <c r="I1045031" s="19"/>
      <c r="J1045031" s="19"/>
      <c r="K1045031" s="19"/>
      <c r="L1045031" s="19"/>
      <c r="M1045031" s="19"/>
      <c r="N1045031" s="19"/>
    </row>
    <row r="1045032" spans="1:14" s="83" customFormat="1" ht="12.75">
      <c r="A1045032" s="19"/>
      <c r="B1045032" s="19"/>
      <c r="C1045032" s="19"/>
      <c r="D1045032" s="19"/>
      <c r="E1045032" s="19"/>
      <c r="F1045032" s="19"/>
      <c r="G1045032" s="19"/>
      <c r="H1045032" s="19"/>
      <c r="I1045032" s="19"/>
      <c r="J1045032" s="19"/>
      <c r="K1045032" s="19"/>
      <c r="L1045032" s="19"/>
      <c r="M1045032" s="19"/>
      <c r="N1045032" s="19"/>
    </row>
    <row r="1045033" spans="1:14" s="83" customFormat="1" ht="12.75">
      <c r="A1045033" s="19"/>
      <c r="B1045033" s="19"/>
      <c r="C1045033" s="19"/>
      <c r="D1045033" s="19"/>
      <c r="E1045033" s="19"/>
      <c r="F1045033" s="19"/>
      <c r="G1045033" s="19"/>
      <c r="H1045033" s="19"/>
      <c r="I1045033" s="19"/>
      <c r="J1045033" s="19"/>
      <c r="K1045033" s="19"/>
      <c r="L1045033" s="19"/>
      <c r="M1045033" s="19"/>
      <c r="N1045033" s="19"/>
    </row>
    <row r="1045034" spans="1:14" s="83" customFormat="1" ht="12.75">
      <c r="A1045034" s="19"/>
      <c r="B1045034" s="19"/>
      <c r="C1045034" s="19"/>
      <c r="D1045034" s="19"/>
      <c r="E1045034" s="19"/>
      <c r="F1045034" s="19"/>
      <c r="G1045034" s="19"/>
      <c r="H1045034" s="19"/>
      <c r="I1045034" s="19"/>
      <c r="J1045034" s="19"/>
      <c r="K1045034" s="19"/>
      <c r="L1045034" s="19"/>
      <c r="M1045034" s="19"/>
      <c r="N1045034" s="19"/>
    </row>
    <row r="1045035" spans="1:14" s="83" customFormat="1" ht="12.75">
      <c r="A1045035" s="19"/>
      <c r="B1045035" s="19"/>
      <c r="C1045035" s="19"/>
      <c r="D1045035" s="19"/>
      <c r="E1045035" s="19"/>
      <c r="F1045035" s="19"/>
      <c r="G1045035" s="19"/>
      <c r="H1045035" s="19"/>
      <c r="I1045035" s="19"/>
      <c r="J1045035" s="19"/>
      <c r="K1045035" s="19"/>
      <c r="L1045035" s="19"/>
      <c r="M1045035" s="19"/>
      <c r="N1045035" s="19"/>
    </row>
    <row r="1045036" spans="1:14" s="83" customFormat="1" ht="12.75">
      <c r="A1045036" s="19"/>
      <c r="B1045036" s="19"/>
      <c r="C1045036" s="19"/>
      <c r="D1045036" s="19"/>
      <c r="E1045036" s="19"/>
      <c r="F1045036" s="19"/>
      <c r="G1045036" s="19"/>
      <c r="H1045036" s="19"/>
      <c r="I1045036" s="19"/>
      <c r="J1045036" s="19"/>
      <c r="K1045036" s="19"/>
      <c r="L1045036" s="19"/>
      <c r="M1045036" s="19"/>
      <c r="N1045036" s="19"/>
    </row>
    <row r="1045037" spans="1:14" s="83" customFormat="1" ht="12.75">
      <c r="A1045037" s="19"/>
      <c r="B1045037" s="19"/>
      <c r="C1045037" s="19"/>
      <c r="D1045037" s="19"/>
      <c r="E1045037" s="19"/>
      <c r="F1045037" s="19"/>
      <c r="G1045037" s="19"/>
      <c r="H1045037" s="19"/>
      <c r="I1045037" s="19"/>
      <c r="J1045037" s="19"/>
      <c r="K1045037" s="19"/>
      <c r="L1045037" s="19"/>
      <c r="M1045037" s="19"/>
      <c r="N1045037" s="19"/>
    </row>
    <row r="1045038" spans="1:14" s="83" customFormat="1" ht="12.75">
      <c r="A1045038" s="19"/>
      <c r="B1045038" s="19"/>
      <c r="C1045038" s="19"/>
      <c r="D1045038" s="19"/>
      <c r="E1045038" s="19"/>
      <c r="F1045038" s="19"/>
      <c r="G1045038" s="19"/>
      <c r="H1045038" s="19"/>
      <c r="I1045038" s="19"/>
      <c r="J1045038" s="19"/>
      <c r="K1045038" s="19"/>
      <c r="L1045038" s="19"/>
      <c r="M1045038" s="19"/>
      <c r="N1045038" s="19"/>
    </row>
    <row r="1045039" spans="1:14" s="83" customFormat="1" ht="12.75">
      <c r="A1045039" s="19"/>
      <c r="B1045039" s="19"/>
      <c r="C1045039" s="19"/>
      <c r="D1045039" s="19"/>
      <c r="E1045039" s="19"/>
      <c r="F1045039" s="19"/>
      <c r="G1045039" s="19"/>
      <c r="H1045039" s="19"/>
      <c r="I1045039" s="19"/>
      <c r="J1045039" s="19"/>
      <c r="K1045039" s="19"/>
      <c r="L1045039" s="19"/>
      <c r="M1045039" s="19"/>
      <c r="N1045039" s="19"/>
    </row>
    <row r="1045040" spans="1:14" s="83" customFormat="1" ht="12.75">
      <c r="A1045040" s="19"/>
      <c r="B1045040" s="19"/>
      <c r="C1045040" s="19"/>
      <c r="D1045040" s="19"/>
      <c r="E1045040" s="19"/>
      <c r="F1045040" s="19"/>
      <c r="G1045040" s="19"/>
      <c r="H1045040" s="19"/>
      <c r="I1045040" s="19"/>
      <c r="J1045040" s="19"/>
      <c r="K1045040" s="19"/>
      <c r="L1045040" s="19"/>
      <c r="M1045040" s="19"/>
      <c r="N1045040" s="19"/>
    </row>
    <row r="1045041" spans="1:14" s="83" customFormat="1" ht="12.75">
      <c r="A1045041" s="19"/>
      <c r="B1045041" s="19"/>
      <c r="C1045041" s="19"/>
      <c r="D1045041" s="19"/>
      <c r="E1045041" s="19"/>
      <c r="F1045041" s="19"/>
      <c r="G1045041" s="19"/>
      <c r="H1045041" s="19"/>
      <c r="I1045041" s="19"/>
      <c r="J1045041" s="19"/>
      <c r="K1045041" s="19"/>
      <c r="L1045041" s="19"/>
      <c r="M1045041" s="19"/>
      <c r="N1045041" s="19"/>
    </row>
    <row r="1045042" spans="1:14" s="83" customFormat="1" ht="12.75">
      <c r="A1045042" s="19"/>
      <c r="B1045042" s="19"/>
      <c r="C1045042" s="19"/>
      <c r="D1045042" s="19"/>
      <c r="E1045042" s="19"/>
      <c r="F1045042" s="19"/>
      <c r="G1045042" s="19"/>
      <c r="H1045042" s="19"/>
      <c r="I1045042" s="19"/>
      <c r="J1045042" s="19"/>
      <c r="K1045042" s="19"/>
      <c r="L1045042" s="19"/>
      <c r="M1045042" s="19"/>
      <c r="N1045042" s="19"/>
    </row>
    <row r="1045043" spans="1:14" s="83" customFormat="1" ht="12.75">
      <c r="A1045043" s="19"/>
      <c r="B1045043" s="19"/>
      <c r="C1045043" s="19"/>
      <c r="D1045043" s="19"/>
      <c r="E1045043" s="19"/>
      <c r="F1045043" s="19"/>
      <c r="G1045043" s="19"/>
      <c r="H1045043" s="19"/>
      <c r="I1045043" s="19"/>
      <c r="J1045043" s="19"/>
      <c r="K1045043" s="19"/>
      <c r="L1045043" s="19"/>
      <c r="M1045043" s="19"/>
      <c r="N1045043" s="19"/>
    </row>
    <row r="1045044" spans="1:14" s="83" customFormat="1" ht="12.75">
      <c r="A1045044" s="19"/>
      <c r="B1045044" s="19"/>
      <c r="C1045044" s="19"/>
      <c r="D1045044" s="19"/>
      <c r="E1045044" s="19"/>
      <c r="F1045044" s="19"/>
      <c r="G1045044" s="19"/>
      <c r="H1045044" s="19"/>
      <c r="I1045044" s="19"/>
      <c r="J1045044" s="19"/>
      <c r="K1045044" s="19"/>
      <c r="L1045044" s="19"/>
      <c r="M1045044" s="19"/>
      <c r="N1045044" s="19"/>
    </row>
    <row r="1045045" spans="1:14" s="83" customFormat="1" ht="12.75">
      <c r="A1045045" s="19"/>
      <c r="B1045045" s="19"/>
      <c r="C1045045" s="19"/>
      <c r="D1045045" s="19"/>
      <c r="E1045045" s="19"/>
      <c r="F1045045" s="19"/>
      <c r="G1045045" s="19"/>
      <c r="H1045045" s="19"/>
      <c r="I1045045" s="19"/>
      <c r="J1045045" s="19"/>
      <c r="K1045045" s="19"/>
      <c r="L1045045" s="19"/>
      <c r="M1045045" s="19"/>
      <c r="N1045045" s="19"/>
    </row>
    <row r="1045046" spans="1:14" s="83" customFormat="1" ht="12.75">
      <c r="A1045046" s="19"/>
      <c r="B1045046" s="19"/>
      <c r="C1045046" s="19"/>
      <c r="D1045046" s="19"/>
      <c r="E1045046" s="19"/>
      <c r="F1045046" s="19"/>
      <c r="G1045046" s="19"/>
      <c r="H1045046" s="19"/>
      <c r="I1045046" s="19"/>
      <c r="J1045046" s="19"/>
      <c r="K1045046" s="19"/>
      <c r="L1045046" s="19"/>
      <c r="M1045046" s="19"/>
      <c r="N1045046" s="19"/>
    </row>
    <row r="1045047" spans="1:14" s="83" customFormat="1" ht="12.75">
      <c r="A1045047" s="19"/>
      <c r="B1045047" s="19"/>
      <c r="C1045047" s="19"/>
      <c r="D1045047" s="19"/>
      <c r="E1045047" s="19"/>
      <c r="F1045047" s="19"/>
      <c r="G1045047" s="19"/>
      <c r="H1045047" s="19"/>
      <c r="I1045047" s="19"/>
      <c r="J1045047" s="19"/>
      <c r="K1045047" s="19"/>
      <c r="L1045047" s="19"/>
      <c r="M1045047" s="19"/>
      <c r="N1045047" s="19"/>
    </row>
    <row r="1045048" spans="1:14" s="83" customFormat="1" ht="12.75">
      <c r="A1045048" s="19"/>
      <c r="B1045048" s="19"/>
      <c r="C1045048" s="19"/>
      <c r="D1045048" s="19"/>
      <c r="E1045048" s="19"/>
      <c r="F1045048" s="19"/>
      <c r="G1045048" s="19"/>
      <c r="H1045048" s="19"/>
      <c r="I1045048" s="19"/>
      <c r="J1045048" s="19"/>
      <c r="K1045048" s="19"/>
      <c r="L1045048" s="19"/>
      <c r="M1045048" s="19"/>
      <c r="N1045048" s="19"/>
    </row>
    <row r="1045049" spans="1:14" s="83" customFormat="1" ht="12.75">
      <c r="A1045049" s="19"/>
      <c r="B1045049" s="19"/>
      <c r="C1045049" s="19"/>
      <c r="D1045049" s="19"/>
      <c r="E1045049" s="19"/>
      <c r="F1045049" s="19"/>
      <c r="G1045049" s="19"/>
      <c r="H1045049" s="19"/>
      <c r="I1045049" s="19"/>
      <c r="J1045049" s="19"/>
      <c r="K1045049" s="19"/>
      <c r="L1045049" s="19"/>
      <c r="M1045049" s="19"/>
      <c r="N1045049" s="19"/>
    </row>
    <row r="1045050" spans="1:14" s="83" customFormat="1" ht="12.75">
      <c r="A1045050" s="19"/>
      <c r="B1045050" s="19"/>
      <c r="C1045050" s="19"/>
      <c r="D1045050" s="19"/>
      <c r="E1045050" s="19"/>
      <c r="F1045050" s="19"/>
      <c r="G1045050" s="19"/>
      <c r="H1045050" s="19"/>
      <c r="I1045050" s="19"/>
      <c r="J1045050" s="19"/>
      <c r="K1045050" s="19"/>
      <c r="L1045050" s="19"/>
      <c r="M1045050" s="19"/>
      <c r="N1045050" s="19"/>
    </row>
    <row r="1045051" spans="1:14" s="83" customFormat="1" ht="12.75">
      <c r="A1045051" s="19"/>
      <c r="B1045051" s="19"/>
      <c r="C1045051" s="19"/>
      <c r="D1045051" s="19"/>
      <c r="E1045051" s="19"/>
      <c r="F1045051" s="19"/>
      <c r="G1045051" s="19"/>
      <c r="H1045051" s="19"/>
      <c r="I1045051" s="19"/>
      <c r="J1045051" s="19"/>
      <c r="K1045051" s="19"/>
      <c r="L1045051" s="19"/>
      <c r="M1045051" s="19"/>
      <c r="N1045051" s="19"/>
    </row>
    <row r="1045052" spans="1:14" s="83" customFormat="1" ht="12.75">
      <c r="A1045052" s="19"/>
      <c r="B1045052" s="19"/>
      <c r="C1045052" s="19"/>
      <c r="D1045052" s="19"/>
      <c r="E1045052" s="19"/>
      <c r="F1045052" s="19"/>
      <c r="G1045052" s="19"/>
      <c r="H1045052" s="19"/>
      <c r="I1045052" s="19"/>
      <c r="J1045052" s="19"/>
      <c r="K1045052" s="19"/>
      <c r="L1045052" s="19"/>
      <c r="M1045052" s="19"/>
      <c r="N1045052" s="19"/>
    </row>
    <row r="1045053" spans="1:14" s="83" customFormat="1" ht="12.75">
      <c r="A1045053" s="19"/>
      <c r="B1045053" s="19"/>
      <c r="C1045053" s="19"/>
      <c r="D1045053" s="19"/>
      <c r="E1045053" s="19"/>
      <c r="F1045053" s="19"/>
      <c r="G1045053" s="19"/>
      <c r="H1045053" s="19"/>
      <c r="I1045053" s="19"/>
      <c r="J1045053" s="19"/>
      <c r="K1045053" s="19"/>
      <c r="L1045053" s="19"/>
      <c r="M1045053" s="19"/>
      <c r="N1045053" s="19"/>
    </row>
    <row r="1045054" spans="1:14" s="83" customFormat="1" ht="12.75">
      <c r="A1045054" s="19"/>
      <c r="B1045054" s="19"/>
      <c r="C1045054" s="19"/>
      <c r="D1045054" s="19"/>
      <c r="E1045054" s="19"/>
      <c r="F1045054" s="19"/>
      <c r="G1045054" s="19"/>
      <c r="H1045054" s="19"/>
      <c r="I1045054" s="19"/>
      <c r="J1045054" s="19"/>
      <c r="K1045054" s="19"/>
      <c r="L1045054" s="19"/>
      <c r="M1045054" s="19"/>
      <c r="N1045054" s="19"/>
    </row>
    <row r="1045055" spans="1:14" s="83" customFormat="1" ht="12.75">
      <c r="A1045055" s="19"/>
      <c r="B1045055" s="19"/>
      <c r="C1045055" s="19"/>
      <c r="D1045055" s="19"/>
      <c r="E1045055" s="19"/>
      <c r="F1045055" s="19"/>
      <c r="G1045055" s="19"/>
      <c r="H1045055" s="19"/>
      <c r="I1045055" s="19"/>
      <c r="J1045055" s="19"/>
      <c r="K1045055" s="19"/>
      <c r="L1045055" s="19"/>
      <c r="M1045055" s="19"/>
      <c r="N1045055" s="19"/>
    </row>
    <row r="1045056" spans="1:14" s="83" customFormat="1" ht="12.75">
      <c r="A1045056" s="19"/>
      <c r="B1045056" s="19"/>
      <c r="C1045056" s="19"/>
      <c r="D1045056" s="19"/>
      <c r="E1045056" s="19"/>
      <c r="F1045056" s="19"/>
      <c r="G1045056" s="19"/>
      <c r="H1045056" s="19"/>
      <c r="I1045056" s="19"/>
      <c r="J1045056" s="19"/>
      <c r="K1045056" s="19"/>
      <c r="L1045056" s="19"/>
      <c r="M1045056" s="19"/>
      <c r="N1045056" s="19"/>
    </row>
    <row r="1045057" spans="1:14" s="83" customFormat="1" ht="12.75">
      <c r="A1045057" s="19"/>
      <c r="B1045057" s="19"/>
      <c r="C1045057" s="19"/>
      <c r="D1045057" s="19"/>
      <c r="E1045057" s="19"/>
      <c r="F1045057" s="19"/>
      <c r="G1045057" s="19"/>
      <c r="H1045057" s="19"/>
      <c r="I1045057" s="19"/>
      <c r="J1045057" s="19"/>
      <c r="K1045057" s="19"/>
      <c r="L1045057" s="19"/>
      <c r="M1045057" s="19"/>
      <c r="N1045057" s="19"/>
    </row>
    <row r="1045058" spans="1:14" s="83" customFormat="1" ht="12.75">
      <c r="A1045058" s="19"/>
      <c r="B1045058" s="19"/>
      <c r="C1045058" s="19"/>
      <c r="D1045058" s="19"/>
      <c r="E1045058" s="19"/>
      <c r="F1045058" s="19"/>
      <c r="G1045058" s="19"/>
      <c r="H1045058" s="19"/>
      <c r="I1045058" s="19"/>
      <c r="J1045058" s="19"/>
      <c r="K1045058" s="19"/>
      <c r="L1045058" s="19"/>
      <c r="M1045058" s="19"/>
      <c r="N1045058" s="19"/>
    </row>
    <row r="1045059" spans="1:14" s="83" customFormat="1" ht="12.75">
      <c r="A1045059" s="19"/>
      <c r="B1045059" s="19"/>
      <c r="C1045059" s="19"/>
      <c r="D1045059" s="19"/>
      <c r="E1045059" s="19"/>
      <c r="F1045059" s="19"/>
      <c r="G1045059" s="19"/>
      <c r="H1045059" s="19"/>
      <c r="I1045059" s="19"/>
      <c r="J1045059" s="19"/>
      <c r="K1045059" s="19"/>
      <c r="L1045059" s="19"/>
      <c r="M1045059" s="19"/>
      <c r="N1045059" s="19"/>
    </row>
    <row r="1045060" spans="1:14" s="83" customFormat="1" ht="12.75">
      <c r="A1045060" s="19"/>
      <c r="B1045060" s="19"/>
      <c r="C1045060" s="19"/>
      <c r="D1045060" s="19"/>
      <c r="E1045060" s="19"/>
      <c r="F1045060" s="19"/>
      <c r="G1045060" s="19"/>
      <c r="H1045060" s="19"/>
      <c r="I1045060" s="19"/>
      <c r="J1045060" s="19"/>
      <c r="K1045060" s="19"/>
      <c r="L1045060" s="19"/>
      <c r="M1045060" s="19"/>
      <c r="N1045060" s="19"/>
    </row>
    <row r="1045061" spans="1:14" s="83" customFormat="1" ht="12.75">
      <c r="A1045061" s="19"/>
      <c r="B1045061" s="19"/>
      <c r="C1045061" s="19"/>
      <c r="D1045061" s="19"/>
      <c r="E1045061" s="19"/>
      <c r="F1045061" s="19"/>
      <c r="G1045061" s="19"/>
      <c r="H1045061" s="19"/>
      <c r="I1045061" s="19"/>
      <c r="J1045061" s="19"/>
      <c r="K1045061" s="19"/>
      <c r="L1045061" s="19"/>
      <c r="M1045061" s="19"/>
      <c r="N1045061" s="19"/>
    </row>
    <row r="1045062" spans="1:14" s="83" customFormat="1" ht="12.75">
      <c r="A1045062" s="19"/>
      <c r="B1045062" s="19"/>
      <c r="C1045062" s="19"/>
      <c r="D1045062" s="19"/>
      <c r="E1045062" s="19"/>
      <c r="F1045062" s="19"/>
      <c r="G1045062" s="19"/>
      <c r="H1045062" s="19"/>
      <c r="I1045062" s="19"/>
      <c r="J1045062" s="19"/>
      <c r="K1045062" s="19"/>
      <c r="L1045062" s="19"/>
      <c r="M1045062" s="19"/>
      <c r="N1045062" s="19"/>
    </row>
    <row r="1045063" spans="1:14" s="83" customFormat="1" ht="12.75">
      <c r="A1045063" s="19"/>
      <c r="B1045063" s="19"/>
      <c r="C1045063" s="19"/>
      <c r="D1045063" s="19"/>
      <c r="E1045063" s="19"/>
      <c r="F1045063" s="19"/>
      <c r="G1045063" s="19"/>
      <c r="H1045063" s="19"/>
      <c r="I1045063" s="19"/>
      <c r="J1045063" s="19"/>
      <c r="K1045063" s="19"/>
      <c r="L1045063" s="19"/>
      <c r="M1045063" s="19"/>
      <c r="N1045063" s="19"/>
    </row>
    <row r="1045064" spans="1:14" s="83" customFormat="1" ht="12.75">
      <c r="A1045064" s="19"/>
      <c r="B1045064" s="19"/>
      <c r="C1045064" s="19"/>
      <c r="D1045064" s="19"/>
      <c r="E1045064" s="19"/>
      <c r="F1045064" s="19"/>
      <c r="G1045064" s="19"/>
      <c r="H1045064" s="19"/>
      <c r="I1045064" s="19"/>
      <c r="J1045064" s="19"/>
      <c r="K1045064" s="19"/>
      <c r="L1045064" s="19"/>
      <c r="M1045064" s="19"/>
      <c r="N1045064" s="19"/>
    </row>
    <row r="1045065" spans="1:14" s="83" customFormat="1" ht="12.75">
      <c r="A1045065" s="19"/>
      <c r="B1045065" s="19"/>
      <c r="C1045065" s="19"/>
      <c r="D1045065" s="19"/>
      <c r="E1045065" s="19"/>
      <c r="F1045065" s="19"/>
      <c r="G1045065" s="19"/>
      <c r="H1045065" s="19"/>
      <c r="I1045065" s="19"/>
      <c r="J1045065" s="19"/>
      <c r="K1045065" s="19"/>
      <c r="L1045065" s="19"/>
      <c r="M1045065" s="19"/>
      <c r="N1045065" s="19"/>
    </row>
    <row r="1045066" spans="1:14" s="83" customFormat="1" ht="12.75">
      <c r="A1045066" s="19"/>
      <c r="B1045066" s="19"/>
      <c r="C1045066" s="19"/>
      <c r="D1045066" s="19"/>
      <c r="E1045066" s="19"/>
      <c r="F1045066" s="19"/>
      <c r="G1045066" s="19"/>
      <c r="H1045066" s="19"/>
      <c r="I1045066" s="19"/>
      <c r="J1045066" s="19"/>
      <c r="K1045066" s="19"/>
      <c r="L1045066" s="19"/>
      <c r="M1045066" s="19"/>
      <c r="N1045066" s="19"/>
    </row>
    <row r="1045067" spans="1:14" s="83" customFormat="1" ht="12.75">
      <c r="A1045067" s="19"/>
      <c r="B1045067" s="19"/>
      <c r="C1045067" s="19"/>
      <c r="D1045067" s="19"/>
      <c r="E1045067" s="19"/>
      <c r="F1045067" s="19"/>
      <c r="G1045067" s="19"/>
      <c r="H1045067" s="19"/>
      <c r="I1045067" s="19"/>
      <c r="J1045067" s="19"/>
      <c r="K1045067" s="19"/>
      <c r="L1045067" s="19"/>
      <c r="M1045067" s="19"/>
      <c r="N1045067" s="19"/>
    </row>
    <row r="1045068" spans="1:14" s="83" customFormat="1" ht="12.75">
      <c r="A1045068" s="19"/>
      <c r="B1045068" s="19"/>
      <c r="C1045068" s="19"/>
      <c r="D1045068" s="19"/>
      <c r="E1045068" s="19"/>
      <c r="F1045068" s="19"/>
      <c r="G1045068" s="19"/>
      <c r="H1045068" s="19"/>
      <c r="I1045068" s="19"/>
      <c r="J1045068" s="19"/>
      <c r="K1045068" s="19"/>
      <c r="L1045068" s="19"/>
      <c r="M1045068" s="19"/>
      <c r="N1045068" s="19"/>
    </row>
    <row r="1045069" spans="1:14" s="83" customFormat="1" ht="12.75">
      <c r="A1045069" s="19"/>
      <c r="B1045069" s="19"/>
      <c r="C1045069" s="19"/>
      <c r="D1045069" s="19"/>
      <c r="E1045069" s="19"/>
      <c r="F1045069" s="19"/>
      <c r="G1045069" s="19"/>
      <c r="H1045069" s="19"/>
      <c r="I1045069" s="19"/>
      <c r="J1045069" s="19"/>
      <c r="K1045069" s="19"/>
      <c r="L1045069" s="19"/>
      <c r="M1045069" s="19"/>
      <c r="N1045069" s="19"/>
    </row>
    <row r="1045070" spans="1:14" s="83" customFormat="1" ht="12.75">
      <c r="A1045070" s="19"/>
      <c r="B1045070" s="19"/>
      <c r="C1045070" s="19"/>
      <c r="D1045070" s="19"/>
      <c r="E1045070" s="19"/>
      <c r="F1045070" s="19"/>
      <c r="G1045070" s="19"/>
      <c r="H1045070" s="19"/>
      <c r="I1045070" s="19"/>
      <c r="J1045070" s="19"/>
      <c r="K1045070" s="19"/>
      <c r="L1045070" s="19"/>
      <c r="M1045070" s="19"/>
      <c r="N1045070" s="19"/>
    </row>
    <row r="1045071" spans="1:14" s="83" customFormat="1" ht="12.75">
      <c r="A1045071" s="19"/>
      <c r="B1045071" s="19"/>
      <c r="C1045071" s="19"/>
      <c r="D1045071" s="19"/>
      <c r="E1045071" s="19"/>
      <c r="F1045071" s="19"/>
      <c r="G1045071" s="19"/>
      <c r="H1045071" s="19"/>
      <c r="I1045071" s="19"/>
      <c r="J1045071" s="19"/>
      <c r="K1045071" s="19"/>
      <c r="L1045071" s="19"/>
      <c r="M1045071" s="19"/>
      <c r="N1045071" s="19"/>
    </row>
    <row r="1045072" spans="1:14" s="83" customFormat="1" ht="12.75">
      <c r="A1045072" s="19"/>
      <c r="B1045072" s="19"/>
      <c r="C1045072" s="19"/>
      <c r="D1045072" s="19"/>
      <c r="E1045072" s="19"/>
      <c r="F1045072" s="19"/>
      <c r="G1045072" s="19"/>
      <c r="H1045072" s="19"/>
      <c r="I1045072" s="19"/>
      <c r="J1045072" s="19"/>
      <c r="K1045072" s="19"/>
      <c r="L1045072" s="19"/>
      <c r="M1045072" s="19"/>
      <c r="N1045072" s="19"/>
    </row>
    <row r="1045073" spans="1:14" s="83" customFormat="1" ht="12.75">
      <c r="A1045073" s="19"/>
      <c r="B1045073" s="19"/>
      <c r="C1045073" s="19"/>
      <c r="D1045073" s="19"/>
      <c r="E1045073" s="19"/>
      <c r="F1045073" s="19"/>
      <c r="G1045073" s="19"/>
      <c r="H1045073" s="19"/>
      <c r="I1045073" s="19"/>
      <c r="J1045073" s="19"/>
      <c r="K1045073" s="19"/>
      <c r="L1045073" s="19"/>
      <c r="M1045073" s="19"/>
      <c r="N1045073" s="19"/>
    </row>
    <row r="1045074" spans="1:14" s="83" customFormat="1" ht="12.75">
      <c r="A1045074" s="19"/>
      <c r="B1045074" s="19"/>
      <c r="C1045074" s="19"/>
      <c r="D1045074" s="19"/>
      <c r="E1045074" s="19"/>
      <c r="F1045074" s="19"/>
      <c r="G1045074" s="19"/>
      <c r="H1045074" s="19"/>
      <c r="I1045074" s="19"/>
      <c r="J1045074" s="19"/>
      <c r="K1045074" s="19"/>
      <c r="L1045074" s="19"/>
      <c r="M1045074" s="19"/>
      <c r="N1045074" s="19"/>
    </row>
    <row r="1045075" spans="1:14" s="83" customFormat="1" ht="12.75">
      <c r="A1045075" s="19"/>
      <c r="B1045075" s="19"/>
      <c r="C1045075" s="19"/>
      <c r="D1045075" s="19"/>
      <c r="E1045075" s="19"/>
      <c r="F1045075" s="19"/>
      <c r="G1045075" s="19"/>
      <c r="H1045075" s="19"/>
      <c r="I1045075" s="19"/>
      <c r="J1045075" s="19"/>
      <c r="K1045075" s="19"/>
      <c r="L1045075" s="19"/>
      <c r="M1045075" s="19"/>
      <c r="N1045075" s="19"/>
    </row>
    <row r="1045076" spans="1:14" s="83" customFormat="1" ht="12.75">
      <c r="A1045076" s="19"/>
      <c r="B1045076" s="19"/>
      <c r="C1045076" s="19"/>
      <c r="D1045076" s="19"/>
      <c r="E1045076" s="19"/>
      <c r="F1045076" s="19"/>
      <c r="G1045076" s="19"/>
      <c r="H1045076" s="19"/>
      <c r="I1045076" s="19"/>
      <c r="J1045076" s="19"/>
      <c r="K1045076" s="19"/>
      <c r="L1045076" s="19"/>
      <c r="M1045076" s="19"/>
      <c r="N1045076" s="19"/>
    </row>
    <row r="1045077" spans="1:14" s="83" customFormat="1" ht="12.75">
      <c r="A1045077" s="19"/>
      <c r="B1045077" s="19"/>
      <c r="C1045077" s="19"/>
      <c r="D1045077" s="19"/>
      <c r="E1045077" s="19"/>
      <c r="F1045077" s="19"/>
      <c r="G1045077" s="19"/>
      <c r="H1045077" s="19"/>
      <c r="I1045077" s="19"/>
      <c r="J1045077" s="19"/>
      <c r="K1045077" s="19"/>
      <c r="L1045077" s="19"/>
      <c r="M1045077" s="19"/>
      <c r="N1045077" s="19"/>
    </row>
    <row r="1045078" spans="1:14" s="83" customFormat="1" ht="12.75">
      <c r="A1045078" s="19"/>
      <c r="B1045078" s="19"/>
      <c r="C1045078" s="19"/>
      <c r="D1045078" s="19"/>
      <c r="E1045078" s="19"/>
      <c r="F1045078" s="19"/>
      <c r="G1045078" s="19"/>
      <c r="H1045078" s="19"/>
      <c r="I1045078" s="19"/>
      <c r="J1045078" s="19"/>
      <c r="K1045078" s="19"/>
      <c r="L1045078" s="19"/>
      <c r="M1045078" s="19"/>
      <c r="N1045078" s="19"/>
    </row>
    <row r="1045079" spans="1:14" s="83" customFormat="1" ht="12.75">
      <c r="A1045079" s="19"/>
      <c r="B1045079" s="19"/>
      <c r="C1045079" s="19"/>
      <c r="D1045079" s="19"/>
      <c r="E1045079" s="19"/>
      <c r="F1045079" s="19"/>
      <c r="G1045079" s="19"/>
      <c r="H1045079" s="19"/>
      <c r="I1045079" s="19"/>
      <c r="J1045079" s="19"/>
      <c r="K1045079" s="19"/>
      <c r="L1045079" s="19"/>
      <c r="M1045079" s="19"/>
      <c r="N1045079" s="19"/>
    </row>
    <row r="1045080" spans="1:14" s="83" customFormat="1" ht="12.75">
      <c r="A1045080" s="19"/>
      <c r="B1045080" s="19"/>
      <c r="C1045080" s="19"/>
      <c r="D1045080" s="19"/>
      <c r="E1045080" s="19"/>
      <c r="F1045080" s="19"/>
      <c r="G1045080" s="19"/>
      <c r="H1045080" s="19"/>
      <c r="I1045080" s="19"/>
      <c r="J1045080" s="19"/>
      <c r="K1045080" s="19"/>
      <c r="L1045080" s="19"/>
      <c r="M1045080" s="19"/>
      <c r="N1045080" s="19"/>
    </row>
    <row r="1045081" spans="1:14" s="83" customFormat="1" ht="12.75">
      <c r="A1045081" s="19"/>
      <c r="B1045081" s="19"/>
      <c r="C1045081" s="19"/>
      <c r="D1045081" s="19"/>
      <c r="E1045081" s="19"/>
      <c r="F1045081" s="19"/>
      <c r="G1045081" s="19"/>
      <c r="H1045081" s="19"/>
      <c r="I1045081" s="19"/>
      <c r="J1045081" s="19"/>
      <c r="K1045081" s="19"/>
      <c r="L1045081" s="19"/>
      <c r="M1045081" s="19"/>
      <c r="N1045081" s="19"/>
    </row>
    <row r="1045082" spans="1:14" s="83" customFormat="1" ht="12.75">
      <c r="A1045082" s="19"/>
      <c r="B1045082" s="19"/>
      <c r="C1045082" s="19"/>
      <c r="D1045082" s="19"/>
      <c r="E1045082" s="19"/>
      <c r="F1045082" s="19"/>
      <c r="G1045082" s="19"/>
      <c r="H1045082" s="19"/>
      <c r="I1045082" s="19"/>
      <c r="J1045082" s="19"/>
      <c r="K1045082" s="19"/>
      <c r="L1045082" s="19"/>
      <c r="M1045082" s="19"/>
      <c r="N1045082" s="19"/>
    </row>
    <row r="1045083" spans="1:14" s="83" customFormat="1" ht="12.75">
      <c r="A1045083" s="19"/>
      <c r="B1045083" s="19"/>
      <c r="C1045083" s="19"/>
      <c r="D1045083" s="19"/>
      <c r="E1045083" s="19"/>
      <c r="F1045083" s="19"/>
      <c r="G1045083" s="19"/>
      <c r="H1045083" s="19"/>
      <c r="I1045083" s="19"/>
      <c r="J1045083" s="19"/>
      <c r="K1045083" s="19"/>
      <c r="L1045083" s="19"/>
      <c r="M1045083" s="19"/>
      <c r="N1045083" s="19"/>
    </row>
    <row r="1045084" spans="1:14" s="83" customFormat="1" ht="12.75">
      <c r="A1045084" s="19"/>
      <c r="B1045084" s="19"/>
      <c r="C1045084" s="19"/>
      <c r="D1045084" s="19"/>
      <c r="E1045084" s="19"/>
      <c r="F1045084" s="19"/>
      <c r="G1045084" s="19"/>
      <c r="H1045084" s="19"/>
      <c r="I1045084" s="19"/>
      <c r="J1045084" s="19"/>
      <c r="K1045084" s="19"/>
      <c r="L1045084" s="19"/>
      <c r="M1045084" s="19"/>
      <c r="N1045084" s="19"/>
    </row>
    <row r="1045085" spans="1:14" s="83" customFormat="1" ht="12.75">
      <c r="A1045085" s="19"/>
      <c r="B1045085" s="19"/>
      <c r="C1045085" s="19"/>
      <c r="D1045085" s="19"/>
      <c r="E1045085" s="19"/>
      <c r="F1045085" s="19"/>
      <c r="G1045085" s="19"/>
      <c r="H1045085" s="19"/>
      <c r="I1045085" s="19"/>
      <c r="J1045085" s="19"/>
      <c r="K1045085" s="19"/>
      <c r="L1045085" s="19"/>
      <c r="M1045085" s="19"/>
      <c r="N1045085" s="19"/>
    </row>
    <row r="1045086" spans="1:14" s="83" customFormat="1" ht="12.75">
      <c r="A1045086" s="19"/>
      <c r="B1045086" s="19"/>
      <c r="C1045086" s="19"/>
      <c r="D1045086" s="19"/>
      <c r="E1045086" s="19"/>
      <c r="F1045086" s="19"/>
      <c r="G1045086" s="19"/>
      <c r="H1045086" s="19"/>
      <c r="I1045086" s="19"/>
      <c r="J1045086" s="19"/>
      <c r="K1045086" s="19"/>
      <c r="L1045086" s="19"/>
      <c r="M1045086" s="19"/>
      <c r="N1045086" s="19"/>
    </row>
    <row r="1045087" spans="1:14" s="83" customFormat="1" ht="12.75">
      <c r="A1045087" s="19"/>
      <c r="B1045087" s="19"/>
      <c r="C1045087" s="19"/>
      <c r="D1045087" s="19"/>
      <c r="E1045087" s="19"/>
      <c r="F1045087" s="19"/>
      <c r="G1045087" s="19"/>
      <c r="H1045087" s="19"/>
      <c r="I1045087" s="19"/>
      <c r="J1045087" s="19"/>
      <c r="K1045087" s="19"/>
      <c r="L1045087" s="19"/>
      <c r="M1045087" s="19"/>
      <c r="N1045087" s="19"/>
    </row>
    <row r="1045088" spans="1:14" s="83" customFormat="1" ht="12.75">
      <c r="A1045088" s="19"/>
      <c r="B1045088" s="19"/>
      <c r="C1045088" s="19"/>
      <c r="D1045088" s="19"/>
      <c r="E1045088" s="19"/>
      <c r="F1045088" s="19"/>
      <c r="G1045088" s="19"/>
      <c r="H1045088" s="19"/>
      <c r="I1045088" s="19"/>
      <c r="J1045088" s="19"/>
      <c r="K1045088" s="19"/>
      <c r="L1045088" s="19"/>
      <c r="M1045088" s="19"/>
      <c r="N1045088" s="19"/>
    </row>
    <row r="1045089" spans="1:14" s="83" customFormat="1" ht="12.75">
      <c r="A1045089" s="19"/>
      <c r="B1045089" s="19"/>
      <c r="C1045089" s="19"/>
      <c r="D1045089" s="19"/>
      <c r="E1045089" s="19"/>
      <c r="F1045089" s="19"/>
      <c r="G1045089" s="19"/>
      <c r="H1045089" s="19"/>
      <c r="I1045089" s="19"/>
      <c r="J1045089" s="19"/>
      <c r="K1045089" s="19"/>
      <c r="L1045089" s="19"/>
      <c r="M1045089" s="19"/>
      <c r="N1045089" s="19"/>
    </row>
    <row r="1045090" spans="1:14" s="83" customFormat="1" ht="12.75">
      <c r="A1045090" s="19"/>
      <c r="B1045090" s="19"/>
      <c r="C1045090" s="19"/>
      <c r="D1045090" s="19"/>
      <c r="E1045090" s="19"/>
      <c r="F1045090" s="19"/>
      <c r="G1045090" s="19"/>
      <c r="H1045090" s="19"/>
      <c r="I1045090" s="19"/>
      <c r="J1045090" s="19"/>
      <c r="K1045090" s="19"/>
      <c r="L1045090" s="19"/>
      <c r="M1045090" s="19"/>
      <c r="N1045090" s="19"/>
    </row>
    <row r="1045091" spans="1:14" s="83" customFormat="1" ht="12.75">
      <c r="A1045091" s="19"/>
      <c r="B1045091" s="19"/>
      <c r="C1045091" s="19"/>
      <c r="D1045091" s="19"/>
      <c r="E1045091" s="19"/>
      <c r="F1045091" s="19"/>
      <c r="G1045091" s="19"/>
      <c r="H1045091" s="19"/>
      <c r="I1045091" s="19"/>
      <c r="J1045091" s="19"/>
      <c r="K1045091" s="19"/>
      <c r="L1045091" s="19"/>
      <c r="M1045091" s="19"/>
      <c r="N1045091" s="19"/>
    </row>
    <row r="1045092" spans="1:14" s="83" customFormat="1" ht="12.75">
      <c r="A1045092" s="19"/>
      <c r="B1045092" s="19"/>
      <c r="C1045092" s="19"/>
      <c r="D1045092" s="19"/>
      <c r="E1045092" s="19"/>
      <c r="F1045092" s="19"/>
      <c r="G1045092" s="19"/>
      <c r="H1045092" s="19"/>
      <c r="I1045092" s="19"/>
      <c r="J1045092" s="19"/>
      <c r="K1045092" s="19"/>
      <c r="L1045092" s="19"/>
      <c r="M1045092" s="19"/>
      <c r="N1045092" s="19"/>
    </row>
    <row r="1045093" spans="1:14" s="83" customFormat="1" ht="12.75">
      <c r="A1045093" s="19"/>
      <c r="B1045093" s="19"/>
      <c r="C1045093" s="19"/>
      <c r="D1045093" s="19"/>
      <c r="E1045093" s="19"/>
      <c r="F1045093" s="19"/>
      <c r="G1045093" s="19"/>
      <c r="H1045093" s="19"/>
      <c r="I1045093" s="19"/>
      <c r="J1045093" s="19"/>
      <c r="K1045093" s="19"/>
      <c r="L1045093" s="19"/>
      <c r="M1045093" s="19"/>
      <c r="N1045093" s="19"/>
    </row>
    <row r="1045094" spans="1:14" s="83" customFormat="1" ht="12.75">
      <c r="A1045094" s="19"/>
      <c r="B1045094" s="19"/>
      <c r="C1045094" s="19"/>
      <c r="D1045094" s="19"/>
      <c r="E1045094" s="19"/>
      <c r="F1045094" s="19"/>
      <c r="G1045094" s="19"/>
      <c r="H1045094" s="19"/>
      <c r="I1045094" s="19"/>
      <c r="J1045094" s="19"/>
      <c r="K1045094" s="19"/>
      <c r="L1045094" s="19"/>
      <c r="M1045094" s="19"/>
      <c r="N1045094" s="19"/>
    </row>
    <row r="1045095" spans="1:14" s="83" customFormat="1" ht="12.75">
      <c r="A1045095" s="19"/>
      <c r="B1045095" s="19"/>
      <c r="C1045095" s="19"/>
      <c r="D1045095" s="19"/>
      <c r="E1045095" s="19"/>
      <c r="F1045095" s="19"/>
      <c r="G1045095" s="19"/>
      <c r="H1045095" s="19"/>
      <c r="I1045095" s="19"/>
      <c r="J1045095" s="19"/>
      <c r="K1045095" s="19"/>
      <c r="L1045095" s="19"/>
      <c r="M1045095" s="19"/>
      <c r="N1045095" s="19"/>
    </row>
    <row r="1045096" spans="1:14" s="83" customFormat="1" ht="12.75">
      <c r="A1045096" s="19"/>
      <c r="B1045096" s="19"/>
      <c r="C1045096" s="19"/>
      <c r="D1045096" s="19"/>
      <c r="E1045096" s="19"/>
      <c r="F1045096" s="19"/>
      <c r="G1045096" s="19"/>
      <c r="H1045096" s="19"/>
      <c r="I1045096" s="19"/>
      <c r="J1045096" s="19"/>
      <c r="K1045096" s="19"/>
      <c r="L1045096" s="19"/>
      <c r="M1045096" s="19"/>
      <c r="N1045096" s="19"/>
    </row>
    <row r="1045097" spans="1:14" s="83" customFormat="1" ht="12.75">
      <c r="A1045097" s="19"/>
      <c r="B1045097" s="19"/>
      <c r="C1045097" s="19"/>
      <c r="D1045097" s="19"/>
      <c r="E1045097" s="19"/>
      <c r="F1045097" s="19"/>
      <c r="G1045097" s="19"/>
      <c r="H1045097" s="19"/>
      <c r="I1045097" s="19"/>
      <c r="J1045097" s="19"/>
      <c r="K1045097" s="19"/>
      <c r="L1045097" s="19"/>
      <c r="M1045097" s="19"/>
      <c r="N1045097" s="19"/>
    </row>
    <row r="1045098" spans="1:14" s="83" customFormat="1" ht="12.75">
      <c r="A1045098" s="19"/>
      <c r="B1045098" s="19"/>
      <c r="C1045098" s="19"/>
      <c r="D1045098" s="19"/>
      <c r="E1045098" s="19"/>
      <c r="F1045098" s="19"/>
      <c r="G1045098" s="19"/>
      <c r="H1045098" s="19"/>
      <c r="I1045098" s="19"/>
      <c r="J1045098" s="19"/>
      <c r="K1045098" s="19"/>
      <c r="L1045098" s="19"/>
      <c r="M1045098" s="19"/>
      <c r="N1045098" s="19"/>
    </row>
    <row r="1045099" spans="1:14" s="83" customFormat="1" ht="12.75">
      <c r="A1045099" s="19"/>
      <c r="B1045099" s="19"/>
      <c r="C1045099" s="19"/>
      <c r="D1045099" s="19"/>
      <c r="E1045099" s="19"/>
      <c r="F1045099" s="19"/>
      <c r="G1045099" s="19"/>
      <c r="H1045099" s="19"/>
      <c r="I1045099" s="19"/>
      <c r="J1045099" s="19"/>
      <c r="K1045099" s="19"/>
      <c r="L1045099" s="19"/>
      <c r="M1045099" s="19"/>
      <c r="N1045099" s="19"/>
    </row>
    <row r="1045100" spans="1:14" s="83" customFormat="1" ht="12.75">
      <c r="A1045100" s="19"/>
      <c r="B1045100" s="19"/>
      <c r="C1045100" s="19"/>
      <c r="D1045100" s="19"/>
      <c r="E1045100" s="19"/>
      <c r="F1045100" s="19"/>
      <c r="G1045100" s="19"/>
      <c r="H1045100" s="19"/>
      <c r="I1045100" s="19"/>
      <c r="J1045100" s="19"/>
      <c r="K1045100" s="19"/>
      <c r="L1045100" s="19"/>
      <c r="M1045100" s="19"/>
      <c r="N1045100" s="19"/>
    </row>
    <row r="1045101" spans="1:14" s="83" customFormat="1" ht="12.75">
      <c r="A1045101" s="19"/>
      <c r="B1045101" s="19"/>
      <c r="C1045101" s="19"/>
      <c r="D1045101" s="19"/>
      <c r="E1045101" s="19"/>
      <c r="F1045101" s="19"/>
      <c r="G1045101" s="19"/>
      <c r="H1045101" s="19"/>
      <c r="I1045101" s="19"/>
      <c r="J1045101" s="19"/>
      <c r="K1045101" s="19"/>
      <c r="L1045101" s="19"/>
      <c r="M1045101" s="19"/>
      <c r="N1045101" s="19"/>
    </row>
    <row r="1045102" spans="1:14" s="83" customFormat="1" ht="12.75">
      <c r="A1045102" s="19"/>
      <c r="B1045102" s="19"/>
      <c r="C1045102" s="19"/>
      <c r="D1045102" s="19"/>
      <c r="E1045102" s="19"/>
      <c r="F1045102" s="19"/>
      <c r="G1045102" s="19"/>
      <c r="H1045102" s="19"/>
      <c r="I1045102" s="19"/>
      <c r="J1045102" s="19"/>
      <c r="K1045102" s="19"/>
      <c r="L1045102" s="19"/>
      <c r="M1045102" s="19"/>
      <c r="N1045102" s="19"/>
    </row>
    <row r="1045103" spans="1:14" s="83" customFormat="1" ht="12.75">
      <c r="A1045103" s="19"/>
      <c r="B1045103" s="19"/>
      <c r="C1045103" s="19"/>
      <c r="D1045103" s="19"/>
      <c r="E1045103" s="19"/>
      <c r="F1045103" s="19"/>
      <c r="G1045103" s="19"/>
      <c r="H1045103" s="19"/>
      <c r="I1045103" s="19"/>
      <c r="J1045103" s="19"/>
      <c r="K1045103" s="19"/>
      <c r="L1045103" s="19"/>
      <c r="M1045103" s="19"/>
      <c r="N1045103" s="19"/>
    </row>
    <row r="1045104" spans="1:14" s="83" customFormat="1" ht="12.75">
      <c r="A1045104" s="19"/>
      <c r="B1045104" s="19"/>
      <c r="C1045104" s="19"/>
      <c r="D1045104" s="19"/>
      <c r="E1045104" s="19"/>
      <c r="F1045104" s="19"/>
      <c r="G1045104" s="19"/>
      <c r="H1045104" s="19"/>
      <c r="I1045104" s="19"/>
      <c r="J1045104" s="19"/>
      <c r="K1045104" s="19"/>
      <c r="L1045104" s="19"/>
      <c r="M1045104" s="19"/>
      <c r="N1045104" s="19"/>
    </row>
    <row r="1045105" spans="1:14" s="83" customFormat="1" ht="12.75">
      <c r="A1045105" s="19"/>
      <c r="B1045105" s="19"/>
      <c r="C1045105" s="19"/>
      <c r="D1045105" s="19"/>
      <c r="E1045105" s="19"/>
      <c r="F1045105" s="19"/>
      <c r="G1045105" s="19"/>
      <c r="H1045105" s="19"/>
      <c r="I1045105" s="19"/>
      <c r="J1045105" s="19"/>
      <c r="K1045105" s="19"/>
      <c r="L1045105" s="19"/>
      <c r="M1045105" s="19"/>
      <c r="N1045105" s="19"/>
    </row>
    <row r="1045106" spans="1:14" s="83" customFormat="1" ht="12.75">
      <c r="A1045106" s="19"/>
      <c r="B1045106" s="19"/>
      <c r="C1045106" s="19"/>
      <c r="D1045106" s="19"/>
      <c r="E1045106" s="19"/>
      <c r="F1045106" s="19"/>
      <c r="G1045106" s="19"/>
      <c r="H1045106" s="19"/>
      <c r="I1045106" s="19"/>
      <c r="J1045106" s="19"/>
      <c r="K1045106" s="19"/>
      <c r="L1045106" s="19"/>
      <c r="M1045106" s="19"/>
      <c r="N1045106" s="19"/>
    </row>
    <row r="1045107" spans="1:14" s="83" customFormat="1" ht="12.75">
      <c r="A1045107" s="19"/>
      <c r="B1045107" s="19"/>
      <c r="C1045107" s="19"/>
      <c r="D1045107" s="19"/>
      <c r="E1045107" s="19"/>
      <c r="F1045107" s="19"/>
      <c r="G1045107" s="19"/>
      <c r="H1045107" s="19"/>
      <c r="I1045107" s="19"/>
      <c r="J1045107" s="19"/>
      <c r="K1045107" s="19"/>
      <c r="L1045107" s="19"/>
      <c r="M1045107" s="19"/>
      <c r="N1045107" s="19"/>
    </row>
    <row r="1045108" spans="1:14" s="83" customFormat="1" ht="12.75">
      <c r="A1045108" s="19"/>
      <c r="B1045108" s="19"/>
      <c r="C1045108" s="19"/>
      <c r="D1045108" s="19"/>
      <c r="E1045108" s="19"/>
      <c r="F1045108" s="19"/>
      <c r="G1045108" s="19"/>
      <c r="H1045108" s="19"/>
      <c r="I1045108" s="19"/>
      <c r="J1045108" s="19"/>
      <c r="K1045108" s="19"/>
      <c r="L1045108" s="19"/>
      <c r="M1045108" s="19"/>
      <c r="N1045108" s="19"/>
    </row>
    <row r="1045109" spans="1:14" s="83" customFormat="1" ht="12.75">
      <c r="A1045109" s="19"/>
      <c r="B1045109" s="19"/>
      <c r="C1045109" s="19"/>
      <c r="D1045109" s="19"/>
      <c r="E1045109" s="19"/>
      <c r="F1045109" s="19"/>
      <c r="G1045109" s="19"/>
      <c r="H1045109" s="19"/>
      <c r="I1045109" s="19"/>
      <c r="J1045109" s="19"/>
      <c r="K1045109" s="19"/>
      <c r="L1045109" s="19"/>
      <c r="M1045109" s="19"/>
      <c r="N1045109" s="19"/>
    </row>
    <row r="1045110" spans="1:14" s="83" customFormat="1" ht="12.75">
      <c r="A1045110" s="19"/>
      <c r="B1045110" s="19"/>
      <c r="C1045110" s="19"/>
      <c r="D1045110" s="19"/>
      <c r="E1045110" s="19"/>
      <c r="F1045110" s="19"/>
      <c r="G1045110" s="19"/>
      <c r="H1045110" s="19"/>
      <c r="I1045110" s="19"/>
      <c r="J1045110" s="19"/>
      <c r="K1045110" s="19"/>
      <c r="L1045110" s="19"/>
      <c r="M1045110" s="19"/>
      <c r="N1045110" s="19"/>
    </row>
    <row r="1045111" spans="1:14" s="83" customFormat="1" ht="12.75">
      <c r="A1045111" s="19"/>
      <c r="B1045111" s="19"/>
      <c r="C1045111" s="19"/>
      <c r="D1045111" s="19"/>
      <c r="E1045111" s="19"/>
      <c r="F1045111" s="19"/>
      <c r="G1045111" s="19"/>
      <c r="H1045111" s="19"/>
      <c r="I1045111" s="19"/>
      <c r="J1045111" s="19"/>
      <c r="K1045111" s="19"/>
      <c r="L1045111" s="19"/>
      <c r="M1045111" s="19"/>
      <c r="N1045111" s="19"/>
    </row>
    <row r="1045112" spans="1:14" s="83" customFormat="1" ht="12.75">
      <c r="A1045112" s="19"/>
      <c r="B1045112" s="19"/>
      <c r="C1045112" s="19"/>
      <c r="D1045112" s="19"/>
      <c r="E1045112" s="19"/>
      <c r="F1045112" s="19"/>
      <c r="G1045112" s="19"/>
      <c r="H1045112" s="19"/>
      <c r="I1045112" s="19"/>
      <c r="J1045112" s="19"/>
      <c r="K1045112" s="19"/>
      <c r="L1045112" s="19"/>
      <c r="M1045112" s="19"/>
      <c r="N1045112" s="19"/>
    </row>
    <row r="1045113" spans="1:14" s="83" customFormat="1" ht="12.75">
      <c r="A1045113" s="19"/>
      <c r="B1045113" s="19"/>
      <c r="C1045113" s="19"/>
      <c r="D1045113" s="19"/>
      <c r="E1045113" s="19"/>
      <c r="F1045113" s="19"/>
      <c r="G1045113" s="19"/>
      <c r="H1045113" s="19"/>
      <c r="I1045113" s="19"/>
      <c r="J1045113" s="19"/>
      <c r="K1045113" s="19"/>
      <c r="L1045113" s="19"/>
      <c r="M1045113" s="19"/>
      <c r="N1045113" s="19"/>
    </row>
    <row r="1045114" spans="1:14" s="83" customFormat="1" ht="12.75">
      <c r="A1045114" s="19"/>
      <c r="B1045114" s="19"/>
      <c r="C1045114" s="19"/>
      <c r="D1045114" s="19"/>
      <c r="E1045114" s="19"/>
      <c r="F1045114" s="19"/>
      <c r="G1045114" s="19"/>
      <c r="H1045114" s="19"/>
      <c r="I1045114" s="19"/>
      <c r="J1045114" s="19"/>
      <c r="K1045114" s="19"/>
      <c r="L1045114" s="19"/>
      <c r="M1045114" s="19"/>
      <c r="N1045114" s="19"/>
    </row>
    <row r="1045115" spans="1:14" s="83" customFormat="1" ht="12.75">
      <c r="A1045115" s="19"/>
      <c r="B1045115" s="19"/>
      <c r="C1045115" s="19"/>
      <c r="D1045115" s="19"/>
      <c r="E1045115" s="19"/>
      <c r="F1045115" s="19"/>
      <c r="G1045115" s="19"/>
      <c r="H1045115" s="19"/>
      <c r="I1045115" s="19"/>
      <c r="J1045115" s="19"/>
      <c r="K1045115" s="19"/>
      <c r="L1045115" s="19"/>
      <c r="M1045115" s="19"/>
      <c r="N1045115" s="19"/>
    </row>
    <row r="1045116" spans="1:14" s="83" customFormat="1" ht="12.75">
      <c r="A1045116" s="19"/>
      <c r="B1045116" s="19"/>
      <c r="C1045116" s="19"/>
      <c r="D1045116" s="19"/>
      <c r="E1045116" s="19"/>
      <c r="F1045116" s="19"/>
      <c r="G1045116" s="19"/>
      <c r="H1045116" s="19"/>
      <c r="I1045116" s="19"/>
      <c r="J1045116" s="19"/>
      <c r="K1045116" s="19"/>
      <c r="L1045116" s="19"/>
      <c r="M1045116" s="19"/>
      <c r="N1045116" s="19"/>
    </row>
    <row r="1045117" spans="1:14" s="83" customFormat="1" ht="12.75">
      <c r="A1045117" s="19"/>
      <c r="B1045117" s="19"/>
      <c r="C1045117" s="19"/>
      <c r="D1045117" s="19"/>
      <c r="E1045117" s="19"/>
      <c r="F1045117" s="19"/>
      <c r="G1045117" s="19"/>
      <c r="H1045117" s="19"/>
      <c r="I1045117" s="19"/>
      <c r="J1045117" s="19"/>
      <c r="K1045117" s="19"/>
      <c r="L1045117" s="19"/>
      <c r="M1045117" s="19"/>
      <c r="N1045117" s="19"/>
    </row>
    <row r="1045118" spans="1:14" s="83" customFormat="1" ht="12.75">
      <c r="A1045118" s="19"/>
      <c r="B1045118" s="19"/>
      <c r="C1045118" s="19"/>
      <c r="D1045118" s="19"/>
      <c r="E1045118" s="19"/>
      <c r="F1045118" s="19"/>
      <c r="G1045118" s="19"/>
      <c r="H1045118" s="19"/>
      <c r="I1045118" s="19"/>
      <c r="J1045118" s="19"/>
      <c r="K1045118" s="19"/>
      <c r="L1045118" s="19"/>
      <c r="M1045118" s="19"/>
      <c r="N1045118" s="19"/>
    </row>
    <row r="1045119" spans="1:14" s="83" customFormat="1" ht="12.75">
      <c r="A1045119" s="19"/>
      <c r="B1045119" s="19"/>
      <c r="C1045119" s="19"/>
      <c r="D1045119" s="19"/>
      <c r="E1045119" s="19"/>
      <c r="F1045119" s="19"/>
      <c r="G1045119" s="19"/>
      <c r="H1045119" s="19"/>
      <c r="I1045119" s="19"/>
      <c r="J1045119" s="19"/>
      <c r="K1045119" s="19"/>
      <c r="L1045119" s="19"/>
      <c r="M1045119" s="19"/>
      <c r="N1045119" s="19"/>
    </row>
    <row r="1045120" spans="1:14" s="83" customFormat="1" ht="12.75">
      <c r="A1045120" s="19"/>
      <c r="B1045120" s="19"/>
      <c r="C1045120" s="19"/>
      <c r="D1045120" s="19"/>
      <c r="E1045120" s="19"/>
      <c r="F1045120" s="19"/>
      <c r="G1045120" s="19"/>
      <c r="H1045120" s="19"/>
      <c r="I1045120" s="19"/>
      <c r="J1045120" s="19"/>
      <c r="K1045120" s="19"/>
      <c r="L1045120" s="19"/>
      <c r="M1045120" s="19"/>
      <c r="N1045120" s="19"/>
    </row>
    <row r="1045121" spans="1:14" s="83" customFormat="1" ht="12.75">
      <c r="A1045121" s="19"/>
      <c r="B1045121" s="19"/>
      <c r="C1045121" s="19"/>
      <c r="D1045121" s="19"/>
      <c r="E1045121" s="19"/>
      <c r="F1045121" s="19"/>
      <c r="G1045121" s="19"/>
      <c r="H1045121" s="19"/>
      <c r="I1045121" s="19"/>
      <c r="J1045121" s="19"/>
      <c r="K1045121" s="19"/>
      <c r="L1045121" s="19"/>
      <c r="M1045121" s="19"/>
      <c r="N1045121" s="19"/>
    </row>
    <row r="1045122" spans="1:14" s="83" customFormat="1" ht="12.75">
      <c r="A1045122" s="19"/>
      <c r="B1045122" s="19"/>
      <c r="C1045122" s="19"/>
      <c r="D1045122" s="19"/>
      <c r="E1045122" s="19"/>
      <c r="F1045122" s="19"/>
      <c r="G1045122" s="19"/>
      <c r="H1045122" s="19"/>
      <c r="I1045122" s="19"/>
      <c r="J1045122" s="19"/>
      <c r="K1045122" s="19"/>
      <c r="L1045122" s="19"/>
      <c r="M1045122" s="19"/>
      <c r="N1045122" s="19"/>
    </row>
    <row r="1045123" spans="1:14" s="83" customFormat="1" ht="12.75">
      <c r="A1045123" s="19"/>
      <c r="B1045123" s="19"/>
      <c r="C1045123" s="19"/>
      <c r="D1045123" s="19"/>
      <c r="E1045123" s="19"/>
      <c r="F1045123" s="19"/>
      <c r="G1045123" s="19"/>
      <c r="H1045123" s="19"/>
      <c r="I1045123" s="19"/>
      <c r="J1045123" s="19"/>
      <c r="K1045123" s="19"/>
      <c r="L1045123" s="19"/>
      <c r="M1045123" s="19"/>
      <c r="N1045123" s="19"/>
    </row>
    <row r="1045124" spans="1:14" s="83" customFormat="1" ht="12.75">
      <c r="A1045124" s="19"/>
      <c r="B1045124" s="19"/>
      <c r="C1045124" s="19"/>
      <c r="D1045124" s="19"/>
      <c r="E1045124" s="19"/>
      <c r="F1045124" s="19"/>
      <c r="G1045124" s="19"/>
      <c r="H1045124" s="19"/>
      <c r="I1045124" s="19"/>
      <c r="J1045124" s="19"/>
      <c r="K1045124" s="19"/>
      <c r="L1045124" s="19"/>
      <c r="M1045124" s="19"/>
      <c r="N1045124" s="19"/>
    </row>
    <row r="1045125" spans="1:14" s="83" customFormat="1" ht="12.75">
      <c r="A1045125" s="19"/>
      <c r="B1045125" s="19"/>
      <c r="C1045125" s="19"/>
      <c r="D1045125" s="19"/>
      <c r="E1045125" s="19"/>
      <c r="F1045125" s="19"/>
      <c r="G1045125" s="19"/>
      <c r="H1045125" s="19"/>
      <c r="I1045125" s="19"/>
      <c r="J1045125" s="19"/>
      <c r="K1045125" s="19"/>
      <c r="L1045125" s="19"/>
      <c r="M1045125" s="19"/>
      <c r="N1045125" s="19"/>
    </row>
    <row r="1045126" spans="1:14" s="83" customFormat="1" ht="12.75">
      <c r="A1045126" s="19"/>
      <c r="B1045126" s="19"/>
      <c r="C1045126" s="19"/>
      <c r="D1045126" s="19"/>
      <c r="E1045126" s="19"/>
      <c r="F1045126" s="19"/>
      <c r="G1045126" s="19"/>
      <c r="H1045126" s="19"/>
      <c r="I1045126" s="19"/>
      <c r="J1045126" s="19"/>
      <c r="K1045126" s="19"/>
      <c r="L1045126" s="19"/>
      <c r="M1045126" s="19"/>
      <c r="N1045126" s="19"/>
    </row>
    <row r="1045127" spans="1:14" s="83" customFormat="1" ht="12.75">
      <c r="A1045127" s="19"/>
      <c r="B1045127" s="19"/>
      <c r="C1045127" s="19"/>
      <c r="D1045127" s="19"/>
      <c r="E1045127" s="19"/>
      <c r="F1045127" s="19"/>
      <c r="G1045127" s="19"/>
      <c r="H1045127" s="19"/>
      <c r="I1045127" s="19"/>
      <c r="J1045127" s="19"/>
      <c r="K1045127" s="19"/>
      <c r="L1045127" s="19"/>
      <c r="M1045127" s="19"/>
      <c r="N1045127" s="19"/>
    </row>
    <row r="1045128" spans="1:14" s="83" customFormat="1" ht="12.75">
      <c r="A1045128" s="19"/>
      <c r="B1045128" s="19"/>
      <c r="C1045128" s="19"/>
      <c r="D1045128" s="19"/>
      <c r="E1045128" s="19"/>
      <c r="F1045128" s="19"/>
      <c r="G1045128" s="19"/>
      <c r="H1045128" s="19"/>
      <c r="I1045128" s="19"/>
      <c r="J1045128" s="19"/>
      <c r="K1045128" s="19"/>
      <c r="L1045128" s="19"/>
      <c r="M1045128" s="19"/>
      <c r="N1045128" s="19"/>
    </row>
    <row r="1045129" spans="1:14" s="83" customFormat="1" ht="12.75">
      <c r="A1045129" s="19"/>
      <c r="B1045129" s="19"/>
      <c r="C1045129" s="19"/>
      <c r="D1045129" s="19"/>
      <c r="E1045129" s="19"/>
      <c r="F1045129" s="19"/>
      <c r="G1045129" s="19"/>
      <c r="H1045129" s="19"/>
      <c r="I1045129" s="19"/>
      <c r="J1045129" s="19"/>
      <c r="K1045129" s="19"/>
      <c r="L1045129" s="19"/>
      <c r="M1045129" s="19"/>
      <c r="N1045129" s="19"/>
    </row>
    <row r="1045130" spans="1:14" s="83" customFormat="1" ht="12.75">
      <c r="A1045130" s="19"/>
      <c r="B1045130" s="19"/>
      <c r="C1045130" s="19"/>
      <c r="D1045130" s="19"/>
      <c r="E1045130" s="19"/>
      <c r="F1045130" s="19"/>
      <c r="G1045130" s="19"/>
      <c r="H1045130" s="19"/>
      <c r="I1045130" s="19"/>
      <c r="J1045130" s="19"/>
      <c r="K1045130" s="19"/>
      <c r="L1045130" s="19"/>
      <c r="M1045130" s="19"/>
      <c r="N1045130" s="19"/>
    </row>
    <row r="1045131" spans="1:14" s="83" customFormat="1" ht="12.75">
      <c r="A1045131" s="19"/>
      <c r="B1045131" s="19"/>
      <c r="C1045131" s="19"/>
      <c r="D1045131" s="19"/>
      <c r="E1045131" s="19"/>
      <c r="F1045131" s="19"/>
      <c r="G1045131" s="19"/>
      <c r="H1045131" s="19"/>
      <c r="I1045131" s="19"/>
      <c r="J1045131" s="19"/>
      <c r="K1045131" s="19"/>
      <c r="L1045131" s="19"/>
      <c r="M1045131" s="19"/>
      <c r="N1045131" s="19"/>
    </row>
    <row r="1045132" spans="1:14" s="83" customFormat="1" ht="12.75">
      <c r="A1045132" s="19"/>
      <c r="B1045132" s="19"/>
      <c r="C1045132" s="19"/>
      <c r="D1045132" s="19"/>
      <c r="E1045132" s="19"/>
      <c r="F1045132" s="19"/>
      <c r="G1045132" s="19"/>
      <c r="H1045132" s="19"/>
      <c r="I1045132" s="19"/>
      <c r="J1045132" s="19"/>
      <c r="K1045132" s="19"/>
      <c r="L1045132" s="19"/>
      <c r="M1045132" s="19"/>
      <c r="N1045132" s="19"/>
    </row>
    <row r="1045133" spans="1:14" s="83" customFormat="1" ht="12.75">
      <c r="A1045133" s="19"/>
      <c r="B1045133" s="19"/>
      <c r="C1045133" s="19"/>
      <c r="D1045133" s="19"/>
      <c r="E1045133" s="19"/>
      <c r="F1045133" s="19"/>
      <c r="G1045133" s="19"/>
      <c r="H1045133" s="19"/>
      <c r="I1045133" s="19"/>
      <c r="J1045133" s="19"/>
      <c r="K1045133" s="19"/>
      <c r="L1045133" s="19"/>
      <c r="M1045133" s="19"/>
      <c r="N1045133" s="19"/>
    </row>
    <row r="1045134" spans="1:14" s="83" customFormat="1" ht="12.75">
      <c r="A1045134" s="19"/>
      <c r="B1045134" s="19"/>
      <c r="C1045134" s="19"/>
      <c r="D1045134" s="19"/>
      <c r="E1045134" s="19"/>
      <c r="F1045134" s="19"/>
      <c r="G1045134" s="19"/>
      <c r="H1045134" s="19"/>
      <c r="I1045134" s="19"/>
      <c r="J1045134" s="19"/>
      <c r="K1045134" s="19"/>
      <c r="L1045134" s="19"/>
      <c r="M1045134" s="19"/>
      <c r="N1045134" s="19"/>
    </row>
    <row r="1045135" spans="1:14" s="83" customFormat="1" ht="12.75">
      <c r="A1045135" s="19"/>
      <c r="B1045135" s="19"/>
      <c r="C1045135" s="19"/>
      <c r="D1045135" s="19"/>
      <c r="E1045135" s="19"/>
      <c r="F1045135" s="19"/>
      <c r="G1045135" s="19"/>
      <c r="H1045135" s="19"/>
      <c r="I1045135" s="19"/>
      <c r="J1045135" s="19"/>
      <c r="K1045135" s="19"/>
      <c r="L1045135" s="19"/>
      <c r="M1045135" s="19"/>
      <c r="N1045135" s="19"/>
    </row>
    <row r="1045136" spans="1:14" s="83" customFormat="1" ht="12.75">
      <c r="A1045136" s="19"/>
      <c r="B1045136" s="19"/>
      <c r="C1045136" s="19"/>
      <c r="D1045136" s="19"/>
      <c r="E1045136" s="19"/>
      <c r="F1045136" s="19"/>
      <c r="G1045136" s="19"/>
      <c r="H1045136" s="19"/>
      <c r="I1045136" s="19"/>
      <c r="J1045136" s="19"/>
      <c r="K1045136" s="19"/>
      <c r="L1045136" s="19"/>
      <c r="M1045136" s="19"/>
      <c r="N1045136" s="19"/>
    </row>
    <row r="1045137" spans="1:14" s="83" customFormat="1" ht="12.75">
      <c r="A1045137" s="19"/>
      <c r="B1045137" s="19"/>
      <c r="C1045137" s="19"/>
      <c r="D1045137" s="19"/>
      <c r="E1045137" s="19"/>
      <c r="F1045137" s="19"/>
      <c r="G1045137" s="19"/>
      <c r="H1045137" s="19"/>
      <c r="I1045137" s="19"/>
      <c r="J1045137" s="19"/>
      <c r="K1045137" s="19"/>
      <c r="L1045137" s="19"/>
      <c r="M1045137" s="19"/>
      <c r="N1045137" s="19"/>
    </row>
    <row r="1045138" spans="1:14" s="83" customFormat="1" ht="12.75">
      <c r="A1045138" s="19"/>
      <c r="B1045138" s="19"/>
      <c r="C1045138" s="19"/>
      <c r="D1045138" s="19"/>
      <c r="E1045138" s="19"/>
      <c r="F1045138" s="19"/>
      <c r="G1045138" s="19"/>
      <c r="H1045138" s="19"/>
      <c r="I1045138" s="19"/>
      <c r="J1045138" s="19"/>
      <c r="K1045138" s="19"/>
      <c r="L1045138" s="19"/>
      <c r="M1045138" s="19"/>
      <c r="N1045138" s="19"/>
    </row>
    <row r="1045139" spans="1:14" s="83" customFormat="1" ht="12.75">
      <c r="A1045139" s="19"/>
      <c r="B1045139" s="19"/>
      <c r="C1045139" s="19"/>
      <c r="D1045139" s="19"/>
      <c r="E1045139" s="19"/>
      <c r="F1045139" s="19"/>
      <c r="G1045139" s="19"/>
      <c r="H1045139" s="19"/>
      <c r="I1045139" s="19"/>
      <c r="J1045139" s="19"/>
      <c r="K1045139" s="19"/>
      <c r="L1045139" s="19"/>
      <c r="M1045139" s="19"/>
      <c r="N1045139" s="19"/>
    </row>
    <row r="1045140" spans="1:14" s="83" customFormat="1" ht="12.75">
      <c r="A1045140" s="19"/>
      <c r="B1045140" s="19"/>
      <c r="C1045140" s="19"/>
      <c r="D1045140" s="19"/>
      <c r="E1045140" s="19"/>
      <c r="F1045140" s="19"/>
      <c r="G1045140" s="19"/>
      <c r="H1045140" s="19"/>
      <c r="I1045140" s="19"/>
      <c r="J1045140" s="19"/>
      <c r="K1045140" s="19"/>
      <c r="L1045140" s="19"/>
      <c r="M1045140" s="19"/>
      <c r="N1045140" s="19"/>
    </row>
    <row r="1045141" spans="1:14" s="83" customFormat="1" ht="12.75">
      <c r="A1045141" s="19"/>
      <c r="B1045141" s="19"/>
      <c r="C1045141" s="19"/>
      <c r="D1045141" s="19"/>
      <c r="E1045141" s="19"/>
      <c r="F1045141" s="19"/>
      <c r="G1045141" s="19"/>
      <c r="H1045141" s="19"/>
      <c r="I1045141" s="19"/>
      <c r="J1045141" s="19"/>
      <c r="K1045141" s="19"/>
      <c r="L1045141" s="19"/>
      <c r="M1045141" s="19"/>
      <c r="N1045141" s="19"/>
    </row>
    <row r="1045142" spans="1:14" s="83" customFormat="1" ht="12.75">
      <c r="A1045142" s="19"/>
      <c r="B1045142" s="19"/>
      <c r="C1045142" s="19"/>
      <c r="D1045142" s="19"/>
      <c r="E1045142" s="19"/>
      <c r="F1045142" s="19"/>
      <c r="G1045142" s="19"/>
      <c r="H1045142" s="19"/>
      <c r="I1045142" s="19"/>
      <c r="J1045142" s="19"/>
      <c r="K1045142" s="19"/>
      <c r="L1045142" s="19"/>
      <c r="M1045142" s="19"/>
      <c r="N1045142" s="19"/>
    </row>
    <row r="1045143" spans="1:14" s="83" customFormat="1" ht="12.75">
      <c r="A1045143" s="19"/>
      <c r="B1045143" s="19"/>
      <c r="C1045143" s="19"/>
      <c r="D1045143" s="19"/>
      <c r="E1045143" s="19"/>
      <c r="F1045143" s="19"/>
      <c r="G1045143" s="19"/>
      <c r="H1045143" s="19"/>
      <c r="I1045143" s="19"/>
      <c r="J1045143" s="19"/>
      <c r="K1045143" s="19"/>
      <c r="L1045143" s="19"/>
      <c r="M1045143" s="19"/>
      <c r="N1045143" s="19"/>
    </row>
    <row r="1045144" spans="1:14" s="83" customFormat="1" ht="12.75">
      <c r="A1045144" s="19"/>
      <c r="B1045144" s="19"/>
      <c r="C1045144" s="19"/>
      <c r="D1045144" s="19"/>
      <c r="E1045144" s="19"/>
      <c r="F1045144" s="19"/>
      <c r="G1045144" s="19"/>
      <c r="H1045144" s="19"/>
      <c r="I1045144" s="19"/>
      <c r="J1045144" s="19"/>
      <c r="K1045144" s="19"/>
      <c r="L1045144" s="19"/>
      <c r="M1045144" s="19"/>
      <c r="N1045144" s="19"/>
    </row>
    <row r="1045145" spans="1:14" s="83" customFormat="1" ht="12.75">
      <c r="A1045145" s="19"/>
      <c r="B1045145" s="19"/>
      <c r="C1045145" s="19"/>
      <c r="D1045145" s="19"/>
      <c r="E1045145" s="19"/>
      <c r="F1045145" s="19"/>
      <c r="G1045145" s="19"/>
      <c r="H1045145" s="19"/>
      <c r="I1045145" s="19"/>
      <c r="J1045145" s="19"/>
      <c r="K1045145" s="19"/>
      <c r="L1045145" s="19"/>
      <c r="M1045145" s="19"/>
      <c r="N1045145" s="19"/>
    </row>
    <row r="1045146" spans="1:14" s="83" customFormat="1" ht="12.75">
      <c r="A1045146" s="19"/>
      <c r="B1045146" s="19"/>
      <c r="C1045146" s="19"/>
      <c r="D1045146" s="19"/>
      <c r="E1045146" s="19"/>
      <c r="F1045146" s="19"/>
      <c r="G1045146" s="19"/>
      <c r="H1045146" s="19"/>
      <c r="I1045146" s="19"/>
      <c r="J1045146" s="19"/>
      <c r="K1045146" s="19"/>
      <c r="L1045146" s="19"/>
      <c r="M1045146" s="19"/>
      <c r="N1045146" s="19"/>
    </row>
    <row r="1045147" spans="1:14" s="83" customFormat="1" ht="12.75">
      <c r="A1045147" s="19"/>
      <c r="B1045147" s="19"/>
      <c r="C1045147" s="19"/>
      <c r="D1045147" s="19"/>
      <c r="E1045147" s="19"/>
      <c r="F1045147" s="19"/>
      <c r="G1045147" s="19"/>
      <c r="H1045147" s="19"/>
      <c r="I1045147" s="19"/>
      <c r="J1045147" s="19"/>
      <c r="K1045147" s="19"/>
      <c r="L1045147" s="19"/>
      <c r="M1045147" s="19"/>
      <c r="N1045147" s="19"/>
    </row>
    <row r="1045148" spans="1:14" s="83" customFormat="1" ht="12.75">
      <c r="A1045148" s="19"/>
      <c r="B1045148" s="19"/>
      <c r="C1045148" s="19"/>
      <c r="D1045148" s="19"/>
      <c r="E1045148" s="19"/>
      <c r="F1045148" s="19"/>
      <c r="G1045148" s="19"/>
      <c r="H1045148" s="19"/>
      <c r="I1045148" s="19"/>
      <c r="J1045148" s="19"/>
      <c r="K1045148" s="19"/>
      <c r="L1045148" s="19"/>
      <c r="M1045148" s="19"/>
      <c r="N1045148" s="19"/>
    </row>
    <row r="1045149" spans="1:14" s="83" customFormat="1" ht="12.75">
      <c r="A1045149" s="19"/>
      <c r="B1045149" s="19"/>
      <c r="C1045149" s="19"/>
      <c r="D1045149" s="19"/>
      <c r="E1045149" s="19"/>
      <c r="F1045149" s="19"/>
      <c r="G1045149" s="19"/>
      <c r="H1045149" s="19"/>
      <c r="I1045149" s="19"/>
      <c r="J1045149" s="19"/>
      <c r="K1045149" s="19"/>
      <c r="L1045149" s="19"/>
      <c r="M1045149" s="19"/>
      <c r="N1045149" s="19"/>
    </row>
    <row r="1045150" spans="1:14" s="83" customFormat="1" ht="12.75">
      <c r="A1045150" s="19"/>
      <c r="B1045150" s="19"/>
      <c r="C1045150" s="19"/>
      <c r="D1045150" s="19"/>
      <c r="E1045150" s="19"/>
      <c r="F1045150" s="19"/>
      <c r="G1045150" s="19"/>
      <c r="H1045150" s="19"/>
      <c r="I1045150" s="19"/>
      <c r="J1045150" s="19"/>
      <c r="K1045150" s="19"/>
      <c r="L1045150" s="19"/>
      <c r="M1045150" s="19"/>
      <c r="N1045150" s="19"/>
    </row>
    <row r="1045151" spans="1:14" s="83" customFormat="1" ht="12.75">
      <c r="A1045151" s="19"/>
      <c r="B1045151" s="19"/>
      <c r="C1045151" s="19"/>
      <c r="D1045151" s="19"/>
      <c r="E1045151" s="19"/>
      <c r="F1045151" s="19"/>
      <c r="G1045151" s="19"/>
      <c r="H1045151" s="19"/>
      <c r="I1045151" s="19"/>
      <c r="J1045151" s="19"/>
      <c r="K1045151" s="19"/>
      <c r="L1045151" s="19"/>
      <c r="M1045151" s="19"/>
      <c r="N1045151" s="19"/>
    </row>
    <row r="1045152" spans="1:14" s="83" customFormat="1" ht="12.75">
      <c r="A1045152" s="19"/>
      <c r="B1045152" s="19"/>
      <c r="C1045152" s="19"/>
      <c r="D1045152" s="19"/>
      <c r="E1045152" s="19"/>
      <c r="F1045152" s="19"/>
      <c r="G1045152" s="19"/>
      <c r="H1045152" s="19"/>
      <c r="I1045152" s="19"/>
      <c r="J1045152" s="19"/>
      <c r="K1045152" s="19"/>
      <c r="L1045152" s="19"/>
      <c r="M1045152" s="19"/>
      <c r="N1045152" s="19"/>
    </row>
    <row r="1045153" spans="1:14" s="83" customFormat="1" ht="12.75">
      <c r="A1045153" s="19"/>
      <c r="B1045153" s="19"/>
      <c r="C1045153" s="19"/>
      <c r="D1045153" s="19"/>
      <c r="E1045153" s="19"/>
      <c r="F1045153" s="19"/>
      <c r="G1045153" s="19"/>
      <c r="H1045153" s="19"/>
      <c r="I1045153" s="19"/>
      <c r="J1045153" s="19"/>
      <c r="K1045153" s="19"/>
      <c r="L1045153" s="19"/>
      <c r="M1045153" s="19"/>
      <c r="N1045153" s="19"/>
    </row>
    <row r="1045154" spans="1:14" s="83" customFormat="1" ht="12.75">
      <c r="A1045154" s="19"/>
      <c r="B1045154" s="19"/>
      <c r="C1045154" s="19"/>
      <c r="D1045154" s="19"/>
      <c r="E1045154" s="19"/>
      <c r="F1045154" s="19"/>
      <c r="G1045154" s="19"/>
      <c r="H1045154" s="19"/>
      <c r="I1045154" s="19"/>
      <c r="J1045154" s="19"/>
      <c r="K1045154" s="19"/>
      <c r="L1045154" s="19"/>
      <c r="M1045154" s="19"/>
      <c r="N1045154" s="19"/>
    </row>
    <row r="1045155" spans="1:14" s="83" customFormat="1" ht="12.75">
      <c r="A1045155" s="19"/>
      <c r="B1045155" s="19"/>
      <c r="C1045155" s="19"/>
      <c r="D1045155" s="19"/>
      <c r="E1045155" s="19"/>
      <c r="F1045155" s="19"/>
      <c r="G1045155" s="19"/>
      <c r="H1045155" s="19"/>
      <c r="I1045155" s="19"/>
      <c r="J1045155" s="19"/>
      <c r="K1045155" s="19"/>
      <c r="L1045155" s="19"/>
      <c r="M1045155" s="19"/>
      <c r="N1045155" s="19"/>
    </row>
    <row r="1045156" spans="1:14" s="83" customFormat="1" ht="12.75">
      <c r="A1045156" s="19"/>
      <c r="B1045156" s="19"/>
      <c r="C1045156" s="19"/>
      <c r="D1045156" s="19"/>
      <c r="E1045156" s="19"/>
      <c r="F1045156" s="19"/>
      <c r="G1045156" s="19"/>
      <c r="H1045156" s="19"/>
      <c r="I1045156" s="19"/>
      <c r="J1045156" s="19"/>
      <c r="K1045156" s="19"/>
      <c r="L1045156" s="19"/>
      <c r="M1045156" s="19"/>
      <c r="N1045156" s="19"/>
    </row>
    <row r="1045157" spans="1:14" s="83" customFormat="1" ht="12.75">
      <c r="A1045157" s="19"/>
      <c r="B1045157" s="19"/>
      <c r="C1045157" s="19"/>
      <c r="D1045157" s="19"/>
      <c r="E1045157" s="19"/>
      <c r="F1045157" s="19"/>
      <c r="G1045157" s="19"/>
      <c r="H1045157" s="19"/>
      <c r="I1045157" s="19"/>
      <c r="J1045157" s="19"/>
      <c r="K1045157" s="19"/>
      <c r="L1045157" s="19"/>
      <c r="M1045157" s="19"/>
      <c r="N1045157" s="19"/>
    </row>
    <row r="1045158" spans="1:14" s="83" customFormat="1" ht="12.75">
      <c r="A1045158" s="19"/>
      <c r="B1045158" s="19"/>
      <c r="C1045158" s="19"/>
      <c r="D1045158" s="19"/>
      <c r="E1045158" s="19"/>
      <c r="F1045158" s="19"/>
      <c r="G1045158" s="19"/>
      <c r="H1045158" s="19"/>
      <c r="I1045158" s="19"/>
      <c r="J1045158" s="19"/>
      <c r="K1045158" s="19"/>
      <c r="L1045158" s="19"/>
      <c r="M1045158" s="19"/>
      <c r="N1045158" s="19"/>
    </row>
    <row r="1045159" spans="1:14" s="83" customFormat="1" ht="12.75">
      <c r="A1045159" s="19"/>
      <c r="B1045159" s="19"/>
      <c r="C1045159" s="19"/>
      <c r="D1045159" s="19"/>
      <c r="E1045159" s="19"/>
      <c r="F1045159" s="19"/>
      <c r="G1045159" s="19"/>
      <c r="H1045159" s="19"/>
      <c r="I1045159" s="19"/>
      <c r="J1045159" s="19"/>
      <c r="K1045159" s="19"/>
      <c r="L1045159" s="19"/>
      <c r="M1045159" s="19"/>
      <c r="N1045159" s="19"/>
    </row>
    <row r="1045160" spans="1:14" s="83" customFormat="1" ht="12.75">
      <c r="A1045160" s="19"/>
      <c r="B1045160" s="19"/>
      <c r="C1045160" s="19"/>
      <c r="D1045160" s="19"/>
      <c r="E1045160" s="19"/>
      <c r="F1045160" s="19"/>
      <c r="G1045160" s="19"/>
      <c r="H1045160" s="19"/>
      <c r="I1045160" s="19"/>
      <c r="J1045160" s="19"/>
      <c r="K1045160" s="19"/>
      <c r="L1045160" s="19"/>
      <c r="M1045160" s="19"/>
      <c r="N1045160" s="19"/>
    </row>
    <row r="1045161" spans="1:14" s="83" customFormat="1" ht="12.75">
      <c r="A1045161" s="19"/>
      <c r="B1045161" s="19"/>
      <c r="C1045161" s="19"/>
      <c r="D1045161" s="19"/>
      <c r="E1045161" s="19"/>
      <c r="F1045161" s="19"/>
      <c r="G1045161" s="19"/>
      <c r="H1045161" s="19"/>
      <c r="I1045161" s="19"/>
      <c r="J1045161" s="19"/>
      <c r="K1045161" s="19"/>
      <c r="L1045161" s="19"/>
      <c r="M1045161" s="19"/>
      <c r="N1045161" s="19"/>
    </row>
    <row r="1045162" spans="1:14" s="83" customFormat="1" ht="12.75">
      <c r="A1045162" s="19"/>
      <c r="B1045162" s="19"/>
      <c r="C1045162" s="19"/>
      <c r="D1045162" s="19"/>
      <c r="E1045162" s="19"/>
      <c r="F1045162" s="19"/>
      <c r="G1045162" s="19"/>
      <c r="H1045162" s="19"/>
      <c r="I1045162" s="19"/>
      <c r="J1045162" s="19"/>
      <c r="K1045162" s="19"/>
      <c r="L1045162" s="19"/>
      <c r="M1045162" s="19"/>
      <c r="N1045162" s="19"/>
    </row>
    <row r="1045163" spans="1:14" s="83" customFormat="1" ht="12.75">
      <c r="A1045163" s="19"/>
      <c r="B1045163" s="19"/>
      <c r="C1045163" s="19"/>
      <c r="D1045163" s="19"/>
      <c r="E1045163" s="19"/>
      <c r="F1045163" s="19"/>
      <c r="G1045163" s="19"/>
      <c r="H1045163" s="19"/>
      <c r="I1045163" s="19"/>
      <c r="J1045163" s="19"/>
      <c r="K1045163" s="19"/>
      <c r="L1045163" s="19"/>
      <c r="M1045163" s="19"/>
      <c r="N1045163" s="19"/>
    </row>
    <row r="1045164" spans="1:14" s="83" customFormat="1" ht="12.75">
      <c r="A1045164" s="19"/>
      <c r="B1045164" s="19"/>
      <c r="C1045164" s="19"/>
      <c r="D1045164" s="19"/>
      <c r="E1045164" s="19"/>
      <c r="F1045164" s="19"/>
      <c r="G1045164" s="19"/>
      <c r="H1045164" s="19"/>
      <c r="I1045164" s="19"/>
      <c r="J1045164" s="19"/>
      <c r="K1045164" s="19"/>
      <c r="L1045164" s="19"/>
      <c r="M1045164" s="19"/>
      <c r="N1045164" s="19"/>
    </row>
    <row r="1045165" spans="1:14" s="83" customFormat="1" ht="12.75">
      <c r="A1045165" s="19"/>
      <c r="B1045165" s="19"/>
      <c r="C1045165" s="19"/>
      <c r="D1045165" s="19"/>
      <c r="E1045165" s="19"/>
      <c r="F1045165" s="19"/>
      <c r="G1045165" s="19"/>
      <c r="H1045165" s="19"/>
      <c r="I1045165" s="19"/>
      <c r="J1045165" s="19"/>
      <c r="K1045165" s="19"/>
      <c r="L1045165" s="19"/>
      <c r="M1045165" s="19"/>
      <c r="N1045165" s="19"/>
    </row>
    <row r="1045166" spans="1:14" s="83" customFormat="1" ht="12.75">
      <c r="A1045166" s="19"/>
      <c r="B1045166" s="19"/>
      <c r="C1045166" s="19"/>
      <c r="D1045166" s="19"/>
      <c r="E1045166" s="19"/>
      <c r="F1045166" s="19"/>
      <c r="G1045166" s="19"/>
      <c r="H1045166" s="19"/>
      <c r="I1045166" s="19"/>
      <c r="J1045166" s="19"/>
      <c r="K1045166" s="19"/>
      <c r="L1045166" s="19"/>
      <c r="M1045166" s="19"/>
      <c r="N1045166" s="19"/>
    </row>
    <row r="1045167" spans="1:14" s="83" customFormat="1" ht="12.75">
      <c r="A1045167" s="19"/>
      <c r="B1045167" s="19"/>
      <c r="C1045167" s="19"/>
      <c r="D1045167" s="19"/>
      <c r="E1045167" s="19"/>
      <c r="F1045167" s="19"/>
      <c r="G1045167" s="19"/>
      <c r="H1045167" s="19"/>
      <c r="I1045167" s="19"/>
      <c r="J1045167" s="19"/>
      <c r="K1045167" s="19"/>
      <c r="L1045167" s="19"/>
      <c r="M1045167" s="19"/>
      <c r="N1045167" s="19"/>
    </row>
    <row r="1045168" spans="1:14" s="83" customFormat="1" ht="12.75">
      <c r="A1045168" s="19"/>
      <c r="B1045168" s="19"/>
      <c r="C1045168" s="19"/>
      <c r="D1045168" s="19"/>
      <c r="E1045168" s="19"/>
      <c r="F1045168" s="19"/>
      <c r="G1045168" s="19"/>
      <c r="H1045168" s="19"/>
      <c r="I1045168" s="19"/>
      <c r="J1045168" s="19"/>
      <c r="K1045168" s="19"/>
      <c r="L1045168" s="19"/>
      <c r="M1045168" s="19"/>
      <c r="N1045168" s="19"/>
    </row>
    <row r="1045169" spans="1:14" s="83" customFormat="1" ht="12.75">
      <c r="A1045169" s="19"/>
      <c r="B1045169" s="19"/>
      <c r="C1045169" s="19"/>
      <c r="D1045169" s="19"/>
      <c r="E1045169" s="19"/>
      <c r="F1045169" s="19"/>
      <c r="G1045169" s="19"/>
      <c r="H1045169" s="19"/>
      <c r="I1045169" s="19"/>
      <c r="J1045169" s="19"/>
      <c r="K1045169" s="19"/>
      <c r="L1045169" s="19"/>
      <c r="M1045169" s="19"/>
      <c r="N1045169" s="19"/>
    </row>
    <row r="1045170" spans="1:14" s="83" customFormat="1" ht="12.75">
      <c r="A1045170" s="19"/>
      <c r="B1045170" s="19"/>
      <c r="C1045170" s="19"/>
      <c r="D1045170" s="19"/>
      <c r="E1045170" s="19"/>
      <c r="F1045170" s="19"/>
      <c r="G1045170" s="19"/>
      <c r="H1045170" s="19"/>
      <c r="I1045170" s="19"/>
      <c r="J1045170" s="19"/>
      <c r="K1045170" s="19"/>
      <c r="L1045170" s="19"/>
      <c r="M1045170" s="19"/>
      <c r="N1045170" s="19"/>
    </row>
    <row r="1045171" spans="1:14" s="83" customFormat="1" ht="12.75">
      <c r="A1045171" s="19"/>
      <c r="B1045171" s="19"/>
      <c r="C1045171" s="19"/>
      <c r="D1045171" s="19"/>
      <c r="E1045171" s="19"/>
      <c r="F1045171" s="19"/>
      <c r="G1045171" s="19"/>
      <c r="H1045171" s="19"/>
      <c r="I1045171" s="19"/>
      <c r="J1045171" s="19"/>
      <c r="K1045171" s="19"/>
      <c r="L1045171" s="19"/>
      <c r="M1045171" s="19"/>
      <c r="N1045171" s="19"/>
    </row>
    <row r="1045172" spans="1:14" s="83" customFormat="1" ht="12.75">
      <c r="A1045172" s="19"/>
      <c r="B1045172" s="19"/>
      <c r="C1045172" s="19"/>
      <c r="D1045172" s="19"/>
      <c r="E1045172" s="19"/>
      <c r="F1045172" s="19"/>
      <c r="G1045172" s="19"/>
      <c r="H1045172" s="19"/>
      <c r="I1045172" s="19"/>
      <c r="J1045172" s="19"/>
      <c r="K1045172" s="19"/>
      <c r="L1045172" s="19"/>
      <c r="M1045172" s="19"/>
      <c r="N1045172" s="19"/>
    </row>
    <row r="1045173" spans="1:14" s="83" customFormat="1" ht="12.75">
      <c r="A1045173" s="19"/>
      <c r="B1045173" s="19"/>
      <c r="C1045173" s="19"/>
      <c r="D1045173" s="19"/>
      <c r="E1045173" s="19"/>
      <c r="F1045173" s="19"/>
      <c r="G1045173" s="19"/>
      <c r="H1045173" s="19"/>
      <c r="I1045173" s="19"/>
      <c r="J1045173" s="19"/>
      <c r="K1045173" s="19"/>
      <c r="L1045173" s="19"/>
      <c r="M1045173" s="19"/>
      <c r="N1045173" s="19"/>
    </row>
    <row r="1045174" spans="1:14" s="83" customFormat="1" ht="12.75">
      <c r="A1045174" s="19"/>
      <c r="B1045174" s="19"/>
      <c r="C1045174" s="19"/>
      <c r="D1045174" s="19"/>
      <c r="E1045174" s="19"/>
      <c r="F1045174" s="19"/>
      <c r="G1045174" s="19"/>
      <c r="H1045174" s="19"/>
      <c r="I1045174" s="19"/>
      <c r="J1045174" s="19"/>
      <c r="K1045174" s="19"/>
      <c r="L1045174" s="19"/>
      <c r="M1045174" s="19"/>
      <c r="N1045174" s="19"/>
    </row>
    <row r="1045175" spans="1:14" s="83" customFormat="1" ht="12.75">
      <c r="A1045175" s="19"/>
      <c r="B1045175" s="19"/>
      <c r="C1045175" s="19"/>
      <c r="D1045175" s="19"/>
      <c r="E1045175" s="19"/>
      <c r="F1045175" s="19"/>
      <c r="G1045175" s="19"/>
      <c r="H1045175" s="19"/>
      <c r="I1045175" s="19"/>
      <c r="J1045175" s="19"/>
      <c r="K1045175" s="19"/>
      <c r="L1045175" s="19"/>
      <c r="M1045175" s="19"/>
      <c r="N1045175" s="19"/>
    </row>
    <row r="1045176" spans="1:14" s="83" customFormat="1" ht="12.75">
      <c r="A1045176" s="19"/>
      <c r="B1045176" s="19"/>
      <c r="C1045176" s="19"/>
      <c r="D1045176" s="19"/>
      <c r="E1045176" s="19"/>
      <c r="F1045176" s="19"/>
      <c r="G1045176" s="19"/>
      <c r="H1045176" s="19"/>
      <c r="I1045176" s="19"/>
      <c r="J1045176" s="19"/>
      <c r="K1045176" s="19"/>
      <c r="L1045176" s="19"/>
      <c r="M1045176" s="19"/>
      <c r="N1045176" s="19"/>
    </row>
    <row r="1045177" spans="1:14" s="83" customFormat="1" ht="12.75">
      <c r="A1045177" s="19"/>
      <c r="B1045177" s="19"/>
      <c r="C1045177" s="19"/>
      <c r="D1045177" s="19"/>
      <c r="E1045177" s="19"/>
      <c r="F1045177" s="19"/>
      <c r="G1045177" s="19"/>
      <c r="H1045177" s="19"/>
      <c r="I1045177" s="19"/>
      <c r="J1045177" s="19"/>
      <c r="K1045177" s="19"/>
      <c r="L1045177" s="19"/>
      <c r="M1045177" s="19"/>
      <c r="N1045177" s="19"/>
    </row>
    <row r="1045178" spans="1:14" s="83" customFormat="1" ht="12.75">
      <c r="A1045178" s="19"/>
      <c r="B1045178" s="19"/>
      <c r="C1045178" s="19"/>
      <c r="D1045178" s="19"/>
      <c r="E1045178" s="19"/>
      <c r="F1045178" s="19"/>
      <c r="G1045178" s="19"/>
      <c r="H1045178" s="19"/>
      <c r="I1045178" s="19"/>
      <c r="J1045178" s="19"/>
      <c r="K1045178" s="19"/>
      <c r="L1045178" s="19"/>
      <c r="M1045178" s="19"/>
      <c r="N1045178" s="19"/>
    </row>
    <row r="1045179" spans="1:14" s="83" customFormat="1" ht="12.75">
      <c r="A1045179" s="19"/>
      <c r="B1045179" s="19"/>
      <c r="C1045179" s="19"/>
      <c r="D1045179" s="19"/>
      <c r="E1045179" s="19"/>
      <c r="F1045179" s="19"/>
      <c r="G1045179" s="19"/>
      <c r="H1045179" s="19"/>
      <c r="I1045179" s="19"/>
      <c r="J1045179" s="19"/>
      <c r="K1045179" s="19"/>
      <c r="L1045179" s="19"/>
      <c r="M1045179" s="19"/>
      <c r="N1045179" s="19"/>
    </row>
    <row r="1045180" spans="1:14" s="83" customFormat="1" ht="12.75">
      <c r="A1045180" s="19"/>
      <c r="B1045180" s="19"/>
      <c r="C1045180" s="19"/>
      <c r="D1045180" s="19"/>
      <c r="E1045180" s="19"/>
      <c r="F1045180" s="19"/>
      <c r="G1045180" s="19"/>
      <c r="H1045180" s="19"/>
      <c r="I1045180" s="19"/>
      <c r="J1045180" s="19"/>
      <c r="K1045180" s="19"/>
      <c r="L1045180" s="19"/>
      <c r="M1045180" s="19"/>
      <c r="N1045180" s="19"/>
    </row>
    <row r="1045181" spans="1:14" s="83" customFormat="1" ht="12.75">
      <c r="A1045181" s="19"/>
      <c r="B1045181" s="19"/>
      <c r="C1045181" s="19"/>
      <c r="D1045181" s="19"/>
      <c r="E1045181" s="19"/>
      <c r="F1045181" s="19"/>
      <c r="G1045181" s="19"/>
      <c r="H1045181" s="19"/>
      <c r="I1045181" s="19"/>
      <c r="J1045181" s="19"/>
      <c r="K1045181" s="19"/>
      <c r="L1045181" s="19"/>
      <c r="M1045181" s="19"/>
      <c r="N1045181" s="19"/>
    </row>
    <row r="1045182" spans="1:14" s="83" customFormat="1" ht="12.75">
      <c r="A1045182" s="19"/>
      <c r="B1045182" s="19"/>
      <c r="C1045182" s="19"/>
      <c r="D1045182" s="19"/>
      <c r="E1045182" s="19"/>
      <c r="F1045182" s="19"/>
      <c r="G1045182" s="19"/>
      <c r="H1045182" s="19"/>
      <c r="I1045182" s="19"/>
      <c r="J1045182" s="19"/>
      <c r="K1045182" s="19"/>
      <c r="L1045182" s="19"/>
      <c r="M1045182" s="19"/>
      <c r="N1045182" s="19"/>
    </row>
    <row r="1045183" spans="1:14" s="83" customFormat="1" ht="12.75">
      <c r="A1045183" s="19"/>
      <c r="B1045183" s="19"/>
      <c r="C1045183" s="19"/>
      <c r="D1045183" s="19"/>
      <c r="E1045183" s="19"/>
      <c r="F1045183" s="19"/>
      <c r="G1045183" s="19"/>
      <c r="H1045183" s="19"/>
      <c r="I1045183" s="19"/>
      <c r="J1045183" s="19"/>
      <c r="K1045183" s="19"/>
      <c r="L1045183" s="19"/>
      <c r="M1045183" s="19"/>
      <c r="N1045183" s="19"/>
    </row>
    <row r="1045184" spans="1:14" s="83" customFormat="1" ht="12.75">
      <c r="A1045184" s="19"/>
      <c r="B1045184" s="19"/>
      <c r="C1045184" s="19"/>
      <c r="D1045184" s="19"/>
      <c r="E1045184" s="19"/>
      <c r="F1045184" s="19"/>
      <c r="G1045184" s="19"/>
      <c r="H1045184" s="19"/>
      <c r="I1045184" s="19"/>
      <c r="J1045184" s="19"/>
      <c r="K1045184" s="19"/>
      <c r="L1045184" s="19"/>
      <c r="M1045184" s="19"/>
      <c r="N1045184" s="19"/>
    </row>
    <row r="1045185" spans="1:14" s="83" customFormat="1" ht="12.75">
      <c r="A1045185" s="19"/>
      <c r="B1045185" s="19"/>
      <c r="C1045185" s="19"/>
      <c r="D1045185" s="19"/>
      <c r="E1045185" s="19"/>
      <c r="F1045185" s="19"/>
      <c r="G1045185" s="19"/>
      <c r="H1045185" s="19"/>
      <c r="I1045185" s="19"/>
      <c r="J1045185" s="19"/>
      <c r="K1045185" s="19"/>
      <c r="L1045185" s="19"/>
      <c r="M1045185" s="19"/>
      <c r="N1045185" s="19"/>
    </row>
    <row r="1045186" spans="1:14" s="83" customFormat="1" ht="12.75">
      <c r="A1045186" s="19"/>
      <c r="B1045186" s="19"/>
      <c r="C1045186" s="19"/>
      <c r="D1045186" s="19"/>
      <c r="E1045186" s="19"/>
      <c r="F1045186" s="19"/>
      <c r="G1045186" s="19"/>
      <c r="H1045186" s="19"/>
      <c r="I1045186" s="19"/>
      <c r="J1045186" s="19"/>
      <c r="K1045186" s="19"/>
      <c r="L1045186" s="19"/>
      <c r="M1045186" s="19"/>
      <c r="N1045186" s="19"/>
    </row>
    <row r="1045187" spans="1:14" s="83" customFormat="1" ht="12.75">
      <c r="A1045187" s="19"/>
      <c r="B1045187" s="19"/>
      <c r="C1045187" s="19"/>
      <c r="D1045187" s="19"/>
      <c r="E1045187" s="19"/>
      <c r="F1045187" s="19"/>
      <c r="G1045187" s="19"/>
      <c r="H1045187" s="19"/>
      <c r="I1045187" s="19"/>
      <c r="J1045187" s="19"/>
      <c r="K1045187" s="19"/>
      <c r="L1045187" s="19"/>
      <c r="M1045187" s="19"/>
      <c r="N1045187" s="19"/>
    </row>
    <row r="1045188" spans="1:14" s="83" customFormat="1" ht="12.75">
      <c r="A1045188" s="19"/>
      <c r="B1045188" s="19"/>
      <c r="C1045188" s="19"/>
      <c r="D1045188" s="19"/>
      <c r="E1045188" s="19"/>
      <c r="F1045188" s="19"/>
      <c r="G1045188" s="19"/>
      <c r="H1045188" s="19"/>
      <c r="I1045188" s="19"/>
      <c r="J1045188" s="19"/>
      <c r="K1045188" s="19"/>
      <c r="L1045188" s="19"/>
      <c r="M1045188" s="19"/>
      <c r="N1045188" s="19"/>
    </row>
    <row r="1045189" spans="1:14" s="83" customFormat="1" ht="12.75">
      <c r="A1045189" s="19"/>
      <c r="B1045189" s="19"/>
      <c r="C1045189" s="19"/>
      <c r="D1045189" s="19"/>
      <c r="E1045189" s="19"/>
      <c r="F1045189" s="19"/>
      <c r="G1045189" s="19"/>
      <c r="H1045189" s="19"/>
      <c r="I1045189" s="19"/>
      <c r="J1045189" s="19"/>
      <c r="K1045189" s="19"/>
      <c r="L1045189" s="19"/>
      <c r="M1045189" s="19"/>
      <c r="N1045189" s="19"/>
    </row>
    <row r="1045190" spans="1:14" s="83" customFormat="1" ht="12.75">
      <c r="A1045190" s="19"/>
      <c r="B1045190" s="19"/>
      <c r="C1045190" s="19"/>
      <c r="D1045190" s="19"/>
      <c r="E1045190" s="19"/>
      <c r="F1045190" s="19"/>
      <c r="G1045190" s="19"/>
      <c r="H1045190" s="19"/>
      <c r="I1045190" s="19"/>
      <c r="J1045190" s="19"/>
      <c r="K1045190" s="19"/>
      <c r="L1045190" s="19"/>
      <c r="M1045190" s="19"/>
      <c r="N1045190" s="19"/>
    </row>
    <row r="1045191" spans="1:14" s="83" customFormat="1" ht="12.75">
      <c r="A1045191" s="19"/>
      <c r="B1045191" s="19"/>
      <c r="C1045191" s="19"/>
      <c r="D1045191" s="19"/>
      <c r="E1045191" s="19"/>
      <c r="F1045191" s="19"/>
      <c r="G1045191" s="19"/>
      <c r="H1045191" s="19"/>
      <c r="I1045191" s="19"/>
      <c r="J1045191" s="19"/>
      <c r="K1045191" s="19"/>
      <c r="L1045191" s="19"/>
      <c r="M1045191" s="19"/>
      <c r="N1045191" s="19"/>
    </row>
    <row r="1045192" spans="1:14" s="83" customFormat="1" ht="12.75">
      <c r="A1045192" s="19"/>
      <c r="B1045192" s="19"/>
      <c r="C1045192" s="19"/>
      <c r="D1045192" s="19"/>
      <c r="E1045192" s="19"/>
      <c r="F1045192" s="19"/>
      <c r="G1045192" s="19"/>
      <c r="H1045192" s="19"/>
      <c r="I1045192" s="19"/>
      <c r="J1045192" s="19"/>
      <c r="K1045192" s="19"/>
      <c r="L1045192" s="19"/>
      <c r="M1045192" s="19"/>
      <c r="N1045192" s="19"/>
    </row>
    <row r="1045193" spans="1:14" s="83" customFormat="1" ht="12.75">
      <c r="A1045193" s="19"/>
      <c r="B1045193" s="19"/>
      <c r="C1045193" s="19"/>
      <c r="D1045193" s="19"/>
      <c r="E1045193" s="19"/>
      <c r="F1045193" s="19"/>
      <c r="G1045193" s="19"/>
      <c r="H1045193" s="19"/>
      <c r="I1045193" s="19"/>
      <c r="J1045193" s="19"/>
      <c r="K1045193" s="19"/>
      <c r="L1045193" s="19"/>
      <c r="M1045193" s="19"/>
      <c r="N1045193" s="19"/>
    </row>
    <row r="1045194" spans="1:14" s="83" customFormat="1" ht="12.75">
      <c r="A1045194" s="19"/>
      <c r="B1045194" s="19"/>
      <c r="C1045194" s="19"/>
      <c r="D1045194" s="19"/>
      <c r="E1045194" s="19"/>
      <c r="F1045194" s="19"/>
      <c r="G1045194" s="19"/>
      <c r="H1045194" s="19"/>
      <c r="I1045194" s="19"/>
      <c r="J1045194" s="19"/>
      <c r="K1045194" s="19"/>
      <c r="L1045194" s="19"/>
      <c r="M1045194" s="19"/>
      <c r="N1045194" s="19"/>
    </row>
    <row r="1045195" spans="1:14" s="83" customFormat="1" ht="12.75">
      <c r="A1045195" s="19"/>
      <c r="B1045195" s="19"/>
      <c r="C1045195" s="19"/>
      <c r="D1045195" s="19"/>
      <c r="E1045195" s="19"/>
      <c r="F1045195" s="19"/>
      <c r="G1045195" s="19"/>
      <c r="H1045195" s="19"/>
      <c r="I1045195" s="19"/>
      <c r="J1045195" s="19"/>
      <c r="K1045195" s="19"/>
      <c r="L1045195" s="19"/>
      <c r="M1045195" s="19"/>
      <c r="N1045195" s="19"/>
    </row>
    <row r="1045196" spans="1:14" s="83" customFormat="1" ht="12.75">
      <c r="A1045196" s="19"/>
      <c r="B1045196" s="19"/>
      <c r="C1045196" s="19"/>
      <c r="D1045196" s="19"/>
      <c r="E1045196" s="19"/>
      <c r="F1045196" s="19"/>
      <c r="G1045196" s="19"/>
      <c r="H1045196" s="19"/>
      <c r="I1045196" s="19"/>
      <c r="J1045196" s="19"/>
      <c r="K1045196" s="19"/>
      <c r="L1045196" s="19"/>
      <c r="M1045196" s="19"/>
      <c r="N1045196" s="19"/>
    </row>
    <row r="1045197" spans="1:14" s="83" customFormat="1" ht="12.75">
      <c r="A1045197" s="19"/>
      <c r="B1045197" s="19"/>
      <c r="C1045197" s="19"/>
      <c r="D1045197" s="19"/>
      <c r="E1045197" s="19"/>
      <c r="F1045197" s="19"/>
      <c r="G1045197" s="19"/>
      <c r="H1045197" s="19"/>
      <c r="I1045197" s="19"/>
      <c r="J1045197" s="19"/>
      <c r="K1045197" s="19"/>
      <c r="L1045197" s="19"/>
      <c r="M1045197" s="19"/>
      <c r="N1045197" s="19"/>
    </row>
    <row r="1045198" spans="1:14" s="83" customFormat="1" ht="12.75">
      <c r="A1045198" s="19"/>
      <c r="B1045198" s="19"/>
      <c r="C1045198" s="19"/>
      <c r="D1045198" s="19"/>
      <c r="E1045198" s="19"/>
      <c r="F1045198" s="19"/>
      <c r="G1045198" s="19"/>
      <c r="H1045198" s="19"/>
      <c r="I1045198" s="19"/>
      <c r="J1045198" s="19"/>
      <c r="K1045198" s="19"/>
      <c r="L1045198" s="19"/>
      <c r="M1045198" s="19"/>
      <c r="N1045198" s="19"/>
    </row>
    <row r="1045199" spans="1:14" s="83" customFormat="1" ht="12.75">
      <c r="A1045199" s="19"/>
      <c r="B1045199" s="19"/>
      <c r="C1045199" s="19"/>
      <c r="D1045199" s="19"/>
      <c r="E1045199" s="19"/>
      <c r="F1045199" s="19"/>
      <c r="G1045199" s="19"/>
      <c r="H1045199" s="19"/>
      <c r="I1045199" s="19"/>
      <c r="J1045199" s="19"/>
      <c r="K1045199" s="19"/>
      <c r="L1045199" s="19"/>
      <c r="M1045199" s="19"/>
      <c r="N1045199" s="19"/>
    </row>
    <row r="1045200" spans="1:14" s="83" customFormat="1" ht="12.75">
      <c r="A1045200" s="19"/>
      <c r="B1045200" s="19"/>
      <c r="C1045200" s="19"/>
      <c r="D1045200" s="19"/>
      <c r="E1045200" s="19"/>
      <c r="F1045200" s="19"/>
      <c r="G1045200" s="19"/>
      <c r="H1045200" s="19"/>
      <c r="I1045200" s="19"/>
      <c r="J1045200" s="19"/>
      <c r="K1045200" s="19"/>
      <c r="L1045200" s="19"/>
      <c r="M1045200" s="19"/>
      <c r="N1045200" s="19"/>
    </row>
    <row r="1045201" spans="1:14" s="83" customFormat="1" ht="12.75">
      <c r="A1045201" s="19"/>
      <c r="B1045201" s="19"/>
      <c r="C1045201" s="19"/>
      <c r="D1045201" s="19"/>
      <c r="E1045201" s="19"/>
      <c r="F1045201" s="19"/>
      <c r="G1045201" s="19"/>
      <c r="H1045201" s="19"/>
      <c r="I1045201" s="19"/>
      <c r="J1045201" s="19"/>
      <c r="K1045201" s="19"/>
      <c r="L1045201" s="19"/>
      <c r="M1045201" s="19"/>
      <c r="N1045201" s="19"/>
    </row>
    <row r="1045202" spans="1:14" s="83" customFormat="1" ht="12.75">
      <c r="A1045202" s="19"/>
      <c r="B1045202" s="19"/>
      <c r="C1045202" s="19"/>
      <c r="D1045202" s="19"/>
      <c r="E1045202" s="19"/>
      <c r="F1045202" s="19"/>
      <c r="G1045202" s="19"/>
      <c r="H1045202" s="19"/>
      <c r="I1045202" s="19"/>
      <c r="J1045202" s="19"/>
      <c r="K1045202" s="19"/>
      <c r="L1045202" s="19"/>
      <c r="M1045202" s="19"/>
      <c r="N1045202" s="19"/>
    </row>
    <row r="1045203" spans="1:14" s="83" customFormat="1" ht="12.75">
      <c r="A1045203" s="19"/>
      <c r="B1045203" s="19"/>
      <c r="C1045203" s="19"/>
      <c r="D1045203" s="19"/>
      <c r="E1045203" s="19"/>
      <c r="F1045203" s="19"/>
      <c r="G1045203" s="19"/>
      <c r="H1045203" s="19"/>
      <c r="I1045203" s="19"/>
      <c r="J1045203" s="19"/>
      <c r="K1045203" s="19"/>
      <c r="L1045203" s="19"/>
      <c r="M1045203" s="19"/>
      <c r="N1045203" s="19"/>
    </row>
    <row r="1045204" spans="1:14" s="83" customFormat="1" ht="12.75">
      <c r="A1045204" s="19"/>
      <c r="B1045204" s="19"/>
      <c r="C1045204" s="19"/>
      <c r="D1045204" s="19"/>
      <c r="E1045204" s="19"/>
      <c r="F1045204" s="19"/>
      <c r="G1045204" s="19"/>
      <c r="H1045204" s="19"/>
      <c r="I1045204" s="19"/>
      <c r="J1045204" s="19"/>
      <c r="K1045204" s="19"/>
      <c r="L1045204" s="19"/>
      <c r="M1045204" s="19"/>
      <c r="N1045204" s="19"/>
    </row>
    <row r="1045205" spans="1:14" s="83" customFormat="1" ht="12.75">
      <c r="A1045205" s="19"/>
      <c r="B1045205" s="19"/>
      <c r="C1045205" s="19"/>
      <c r="D1045205" s="19"/>
      <c r="E1045205" s="19"/>
      <c r="F1045205" s="19"/>
      <c r="G1045205" s="19"/>
      <c r="H1045205" s="19"/>
      <c r="I1045205" s="19"/>
      <c r="J1045205" s="19"/>
      <c r="K1045205" s="19"/>
      <c r="L1045205" s="19"/>
      <c r="M1045205" s="19"/>
      <c r="N1045205" s="19"/>
    </row>
    <row r="1045206" spans="1:14" s="83" customFormat="1" ht="12.75">
      <c r="A1045206" s="19"/>
      <c r="B1045206" s="19"/>
      <c r="C1045206" s="19"/>
      <c r="D1045206" s="19"/>
      <c r="E1045206" s="19"/>
      <c r="F1045206" s="19"/>
      <c r="G1045206" s="19"/>
      <c r="H1045206" s="19"/>
      <c r="I1045206" s="19"/>
      <c r="J1045206" s="19"/>
      <c r="K1045206" s="19"/>
      <c r="L1045206" s="19"/>
      <c r="M1045206" s="19"/>
      <c r="N1045206" s="19"/>
    </row>
    <row r="1045207" spans="1:14" s="83" customFormat="1" ht="12.75">
      <c r="A1045207" s="19"/>
      <c r="B1045207" s="19"/>
      <c r="C1045207" s="19"/>
      <c r="D1045207" s="19"/>
      <c r="E1045207" s="19"/>
      <c r="F1045207" s="19"/>
      <c r="G1045207" s="19"/>
      <c r="H1045207" s="19"/>
      <c r="I1045207" s="19"/>
      <c r="J1045207" s="19"/>
      <c r="K1045207" s="19"/>
      <c r="L1045207" s="19"/>
      <c r="M1045207" s="19"/>
      <c r="N1045207" s="19"/>
    </row>
    <row r="1045208" spans="1:14" s="83" customFormat="1" ht="12.75">
      <c r="A1045208" s="19"/>
      <c r="B1045208" s="19"/>
      <c r="C1045208" s="19"/>
      <c r="D1045208" s="19"/>
      <c r="E1045208" s="19"/>
      <c r="F1045208" s="19"/>
      <c r="G1045208" s="19"/>
      <c r="H1045208" s="19"/>
      <c r="I1045208" s="19"/>
      <c r="J1045208" s="19"/>
      <c r="K1045208" s="19"/>
      <c r="L1045208" s="19"/>
      <c r="M1045208" s="19"/>
      <c r="N1045208" s="19"/>
    </row>
    <row r="1045209" spans="1:14" s="83" customFormat="1" ht="12.75">
      <c r="A1045209" s="19"/>
      <c r="B1045209" s="19"/>
      <c r="C1045209" s="19"/>
      <c r="D1045209" s="19"/>
      <c r="E1045209" s="19"/>
      <c r="F1045209" s="19"/>
      <c r="G1045209" s="19"/>
      <c r="H1045209" s="19"/>
      <c r="I1045209" s="19"/>
      <c r="J1045209" s="19"/>
      <c r="K1045209" s="19"/>
      <c r="L1045209" s="19"/>
      <c r="M1045209" s="19"/>
      <c r="N1045209" s="19"/>
    </row>
    <row r="1045210" spans="1:14" s="83" customFormat="1" ht="12.75">
      <c r="A1045210" s="19"/>
      <c r="B1045210" s="19"/>
      <c r="C1045210" s="19"/>
      <c r="D1045210" s="19"/>
      <c r="E1045210" s="19"/>
      <c r="F1045210" s="19"/>
      <c r="G1045210" s="19"/>
      <c r="H1045210" s="19"/>
      <c r="I1045210" s="19"/>
      <c r="J1045210" s="19"/>
      <c r="K1045210" s="19"/>
      <c r="L1045210" s="19"/>
      <c r="M1045210" s="19"/>
      <c r="N1045210" s="19"/>
    </row>
    <row r="1045211" spans="1:14" s="83" customFormat="1" ht="12.75">
      <c r="A1045211" s="19"/>
      <c r="B1045211" s="19"/>
      <c r="C1045211" s="19"/>
      <c r="D1045211" s="19"/>
      <c r="E1045211" s="19"/>
      <c r="F1045211" s="19"/>
      <c r="G1045211" s="19"/>
      <c r="H1045211" s="19"/>
      <c r="I1045211" s="19"/>
      <c r="J1045211" s="19"/>
      <c r="K1045211" s="19"/>
      <c r="L1045211" s="19"/>
      <c r="M1045211" s="19"/>
      <c r="N1045211" s="19"/>
    </row>
    <row r="1045212" spans="1:14" s="83" customFormat="1" ht="12.75">
      <c r="A1045212" s="19"/>
      <c r="B1045212" s="19"/>
      <c r="C1045212" s="19"/>
      <c r="D1045212" s="19"/>
      <c r="E1045212" s="19"/>
      <c r="F1045212" s="19"/>
      <c r="G1045212" s="19"/>
      <c r="H1045212" s="19"/>
      <c r="I1045212" s="19"/>
      <c r="J1045212" s="19"/>
      <c r="K1045212" s="19"/>
      <c r="L1045212" s="19"/>
      <c r="M1045212" s="19"/>
      <c r="N1045212" s="19"/>
    </row>
    <row r="1045213" spans="1:14" s="83" customFormat="1" ht="12.75">
      <c r="A1045213" s="19"/>
      <c r="B1045213" s="19"/>
      <c r="C1045213" s="19"/>
      <c r="D1045213" s="19"/>
      <c r="E1045213" s="19"/>
      <c r="F1045213" s="19"/>
      <c r="G1045213" s="19"/>
      <c r="H1045213" s="19"/>
      <c r="I1045213" s="19"/>
      <c r="J1045213" s="19"/>
      <c r="K1045213" s="19"/>
      <c r="L1045213" s="19"/>
      <c r="M1045213" s="19"/>
      <c r="N1045213" s="19"/>
    </row>
    <row r="1045214" spans="1:14" s="83" customFormat="1" ht="12.75">
      <c r="A1045214" s="19"/>
      <c r="B1045214" s="19"/>
      <c r="C1045214" s="19"/>
      <c r="D1045214" s="19"/>
      <c r="E1045214" s="19"/>
      <c r="F1045214" s="19"/>
      <c r="G1045214" s="19"/>
      <c r="H1045214" s="19"/>
      <c r="I1045214" s="19"/>
      <c r="J1045214" s="19"/>
      <c r="K1045214" s="19"/>
      <c r="L1045214" s="19"/>
      <c r="M1045214" s="19"/>
      <c r="N1045214" s="19"/>
    </row>
    <row r="1045215" spans="1:14" s="83" customFormat="1" ht="12.75">
      <c r="A1045215" s="19"/>
      <c r="B1045215" s="19"/>
      <c r="C1045215" s="19"/>
      <c r="D1045215" s="19"/>
      <c r="E1045215" s="19"/>
      <c r="F1045215" s="19"/>
      <c r="G1045215" s="19"/>
      <c r="H1045215" s="19"/>
      <c r="I1045215" s="19"/>
      <c r="J1045215" s="19"/>
      <c r="K1045215" s="19"/>
      <c r="L1045215" s="19"/>
      <c r="M1045215" s="19"/>
      <c r="N1045215" s="19"/>
    </row>
    <row r="1045216" spans="1:14" s="83" customFormat="1" ht="12.75">
      <c r="A1045216" s="19"/>
      <c r="B1045216" s="19"/>
      <c r="C1045216" s="19"/>
      <c r="D1045216" s="19"/>
      <c r="E1045216" s="19"/>
      <c r="F1045216" s="19"/>
      <c r="G1045216" s="19"/>
      <c r="H1045216" s="19"/>
      <c r="I1045216" s="19"/>
      <c r="J1045216" s="19"/>
      <c r="K1045216" s="19"/>
      <c r="L1045216" s="19"/>
      <c r="M1045216" s="19"/>
      <c r="N1045216" s="19"/>
    </row>
    <row r="1045217" spans="1:14" s="83" customFormat="1" ht="12.75">
      <c r="A1045217" s="19"/>
      <c r="B1045217" s="19"/>
      <c r="C1045217" s="19"/>
      <c r="D1045217" s="19"/>
      <c r="E1045217" s="19"/>
      <c r="F1045217" s="19"/>
      <c r="G1045217" s="19"/>
      <c r="H1045217" s="19"/>
      <c r="I1045217" s="19"/>
      <c r="J1045217" s="19"/>
      <c r="K1045217" s="19"/>
      <c r="L1045217" s="19"/>
      <c r="M1045217" s="19"/>
      <c r="N1045217" s="19"/>
    </row>
    <row r="1045218" spans="1:14" s="83" customFormat="1" ht="12.75">
      <c r="A1045218" s="19"/>
      <c r="B1045218" s="19"/>
      <c r="C1045218" s="19"/>
      <c r="D1045218" s="19"/>
      <c r="E1045218" s="19"/>
      <c r="F1045218" s="19"/>
      <c r="G1045218" s="19"/>
      <c r="H1045218" s="19"/>
      <c r="I1045218" s="19"/>
      <c r="J1045218" s="19"/>
      <c r="K1045218" s="19"/>
      <c r="L1045218" s="19"/>
      <c r="M1045218" s="19"/>
      <c r="N1045218" s="19"/>
    </row>
    <row r="1045219" spans="1:14" s="83" customFormat="1" ht="12.75">
      <c r="A1045219" s="19"/>
      <c r="B1045219" s="19"/>
      <c r="C1045219" s="19"/>
      <c r="D1045219" s="19"/>
      <c r="E1045219" s="19"/>
      <c r="F1045219" s="19"/>
      <c r="G1045219" s="19"/>
      <c r="H1045219" s="19"/>
      <c r="I1045219" s="19"/>
      <c r="J1045219" s="19"/>
      <c r="K1045219" s="19"/>
      <c r="L1045219" s="19"/>
      <c r="M1045219" s="19"/>
      <c r="N1045219" s="19"/>
    </row>
    <row r="1045220" spans="1:14" s="83" customFormat="1" ht="12.75">
      <c r="A1045220" s="19"/>
      <c r="B1045220" s="19"/>
      <c r="C1045220" s="19"/>
      <c r="D1045220" s="19"/>
      <c r="E1045220" s="19"/>
      <c r="F1045220" s="19"/>
      <c r="G1045220" s="19"/>
      <c r="H1045220" s="19"/>
      <c r="I1045220" s="19"/>
      <c r="J1045220" s="19"/>
      <c r="K1045220" s="19"/>
      <c r="L1045220" s="19"/>
      <c r="M1045220" s="19"/>
      <c r="N1045220" s="19"/>
    </row>
    <row r="1045221" spans="1:14" s="83" customFormat="1" ht="12.75">
      <c r="A1045221" s="19"/>
      <c r="B1045221" s="19"/>
      <c r="C1045221" s="19"/>
      <c r="D1045221" s="19"/>
      <c r="E1045221" s="19"/>
      <c r="F1045221" s="19"/>
      <c r="G1045221" s="19"/>
      <c r="H1045221" s="19"/>
      <c r="I1045221" s="19"/>
      <c r="J1045221" s="19"/>
      <c r="K1045221" s="19"/>
      <c r="L1045221" s="19"/>
      <c r="M1045221" s="19"/>
      <c r="N1045221" s="19"/>
    </row>
    <row r="1045222" spans="1:14" s="83" customFormat="1" ht="12.75">
      <c r="A1045222" s="19"/>
      <c r="B1045222" s="19"/>
      <c r="C1045222" s="19"/>
      <c r="D1045222" s="19"/>
      <c r="E1045222" s="19"/>
      <c r="F1045222" s="19"/>
      <c r="G1045222" s="19"/>
      <c r="H1045222" s="19"/>
      <c r="I1045222" s="19"/>
      <c r="J1045222" s="19"/>
      <c r="K1045222" s="19"/>
      <c r="L1045222" s="19"/>
      <c r="M1045222" s="19"/>
      <c r="N1045222" s="19"/>
    </row>
    <row r="1045223" spans="1:14" s="83" customFormat="1" ht="12.75">
      <c r="A1045223" s="19"/>
      <c r="B1045223" s="19"/>
      <c r="C1045223" s="19"/>
      <c r="D1045223" s="19"/>
      <c r="E1045223" s="19"/>
      <c r="F1045223" s="19"/>
      <c r="G1045223" s="19"/>
      <c r="H1045223" s="19"/>
      <c r="I1045223" s="19"/>
      <c r="J1045223" s="19"/>
      <c r="K1045223" s="19"/>
      <c r="L1045223" s="19"/>
      <c r="M1045223" s="19"/>
      <c r="N1045223" s="19"/>
    </row>
    <row r="1045224" spans="1:14" s="83" customFormat="1" ht="12.75">
      <c r="A1045224" s="19"/>
      <c r="B1045224" s="19"/>
      <c r="C1045224" s="19"/>
      <c r="D1045224" s="19"/>
      <c r="E1045224" s="19"/>
      <c r="F1045224" s="19"/>
      <c r="G1045224" s="19"/>
      <c r="H1045224" s="19"/>
      <c r="I1045224" s="19"/>
      <c r="J1045224" s="19"/>
      <c r="K1045224" s="19"/>
      <c r="L1045224" s="19"/>
      <c r="M1045224" s="19"/>
      <c r="N1045224" s="19"/>
    </row>
    <row r="1045225" spans="1:14" s="83" customFormat="1" ht="12.75">
      <c r="A1045225" s="19"/>
      <c r="B1045225" s="19"/>
      <c r="C1045225" s="19"/>
      <c r="D1045225" s="19"/>
      <c r="E1045225" s="19"/>
      <c r="F1045225" s="19"/>
      <c r="G1045225" s="19"/>
      <c r="H1045225" s="19"/>
      <c r="I1045225" s="19"/>
      <c r="J1045225" s="19"/>
      <c r="K1045225" s="19"/>
      <c r="L1045225" s="19"/>
      <c r="M1045225" s="19"/>
      <c r="N1045225" s="19"/>
    </row>
    <row r="1045226" spans="1:14" s="83" customFormat="1" ht="12.75">
      <c r="A1045226" s="19"/>
      <c r="B1045226" s="19"/>
      <c r="C1045226" s="19"/>
      <c r="D1045226" s="19"/>
      <c r="E1045226" s="19"/>
      <c r="F1045226" s="19"/>
      <c r="G1045226" s="19"/>
      <c r="H1045226" s="19"/>
      <c r="I1045226" s="19"/>
      <c r="J1045226" s="19"/>
      <c r="K1045226" s="19"/>
      <c r="L1045226" s="19"/>
      <c r="M1045226" s="19"/>
      <c r="N1045226" s="19"/>
    </row>
    <row r="1045227" spans="1:14" s="83" customFormat="1" ht="12.75">
      <c r="A1045227" s="19"/>
      <c r="B1045227" s="19"/>
      <c r="C1045227" s="19"/>
      <c r="D1045227" s="19"/>
      <c r="E1045227" s="19"/>
      <c r="F1045227" s="19"/>
      <c r="G1045227" s="19"/>
      <c r="H1045227" s="19"/>
      <c r="I1045227" s="19"/>
      <c r="J1045227" s="19"/>
      <c r="K1045227" s="19"/>
      <c r="L1045227" s="19"/>
      <c r="M1045227" s="19"/>
      <c r="N1045227" s="19"/>
    </row>
    <row r="1045228" spans="1:14" s="83" customFormat="1" ht="12.75">
      <c r="A1045228" s="19"/>
      <c r="B1045228" s="19"/>
      <c r="C1045228" s="19"/>
      <c r="D1045228" s="19"/>
      <c r="E1045228" s="19"/>
      <c r="F1045228" s="19"/>
      <c r="G1045228" s="19"/>
      <c r="H1045228" s="19"/>
      <c r="I1045228" s="19"/>
      <c r="J1045228" s="19"/>
      <c r="K1045228" s="19"/>
      <c r="L1045228" s="19"/>
      <c r="M1045228" s="19"/>
      <c r="N1045228" s="19"/>
    </row>
    <row r="1045229" spans="1:14" s="83" customFormat="1" ht="12.75">
      <c r="A1045229" s="19"/>
      <c r="B1045229" s="19"/>
      <c r="C1045229" s="19"/>
      <c r="D1045229" s="19"/>
      <c r="E1045229" s="19"/>
      <c r="F1045229" s="19"/>
      <c r="G1045229" s="19"/>
      <c r="H1045229" s="19"/>
      <c r="I1045229" s="19"/>
      <c r="J1045229" s="19"/>
      <c r="K1045229" s="19"/>
      <c r="L1045229" s="19"/>
      <c r="M1045229" s="19"/>
      <c r="N1045229" s="19"/>
    </row>
    <row r="1045230" spans="1:14" s="83" customFormat="1" ht="12.75">
      <c r="A1045230" s="19"/>
      <c r="B1045230" s="19"/>
      <c r="C1045230" s="19"/>
      <c r="D1045230" s="19"/>
      <c r="E1045230" s="19"/>
      <c r="F1045230" s="19"/>
      <c r="G1045230" s="19"/>
      <c r="H1045230" s="19"/>
      <c r="I1045230" s="19"/>
      <c r="J1045230" s="19"/>
      <c r="K1045230" s="19"/>
      <c r="L1045230" s="19"/>
      <c r="M1045230" s="19"/>
      <c r="N1045230" s="19"/>
    </row>
    <row r="1045231" spans="1:14" s="83" customFormat="1" ht="12.75">
      <c r="A1045231" s="19"/>
      <c r="B1045231" s="19"/>
      <c r="C1045231" s="19"/>
      <c r="D1045231" s="19"/>
      <c r="E1045231" s="19"/>
      <c r="F1045231" s="19"/>
      <c r="G1045231" s="19"/>
      <c r="H1045231" s="19"/>
      <c r="I1045231" s="19"/>
      <c r="J1045231" s="19"/>
      <c r="K1045231" s="19"/>
      <c r="L1045231" s="19"/>
      <c r="M1045231" s="19"/>
      <c r="N1045231" s="19"/>
    </row>
    <row r="1045232" spans="1:14" s="83" customFormat="1" ht="12.75">
      <c r="A1045232" s="19"/>
      <c r="B1045232" s="19"/>
      <c r="C1045232" s="19"/>
      <c r="D1045232" s="19"/>
      <c r="E1045232" s="19"/>
      <c r="F1045232" s="19"/>
      <c r="G1045232" s="19"/>
      <c r="H1045232" s="19"/>
      <c r="I1045232" s="19"/>
      <c r="J1045232" s="19"/>
      <c r="K1045232" s="19"/>
      <c r="L1045232" s="19"/>
      <c r="M1045232" s="19"/>
      <c r="N1045232" s="19"/>
    </row>
    <row r="1045233" spans="1:14" s="83" customFormat="1" ht="12.75">
      <c r="A1045233" s="19"/>
      <c r="B1045233" s="19"/>
      <c r="C1045233" s="19"/>
      <c r="D1045233" s="19"/>
      <c r="E1045233" s="19"/>
      <c r="F1045233" s="19"/>
      <c r="G1045233" s="19"/>
      <c r="H1045233" s="19"/>
      <c r="I1045233" s="19"/>
      <c r="J1045233" s="19"/>
      <c r="K1045233" s="19"/>
      <c r="L1045233" s="19"/>
      <c r="M1045233" s="19"/>
      <c r="N1045233" s="19"/>
    </row>
    <row r="1045234" spans="1:14" s="83" customFormat="1" ht="12.75">
      <c r="A1045234" s="19"/>
      <c r="B1045234" s="19"/>
      <c r="C1045234" s="19"/>
      <c r="D1045234" s="19"/>
      <c r="E1045234" s="19"/>
      <c r="F1045234" s="19"/>
      <c r="G1045234" s="19"/>
      <c r="H1045234" s="19"/>
      <c r="I1045234" s="19"/>
      <c r="J1045234" s="19"/>
      <c r="K1045234" s="19"/>
      <c r="L1045234" s="19"/>
      <c r="M1045234" s="19"/>
      <c r="N1045234" s="19"/>
    </row>
    <row r="1045235" spans="1:14" s="83" customFormat="1" ht="12.75">
      <c r="A1045235" s="19"/>
      <c r="B1045235" s="19"/>
      <c r="C1045235" s="19"/>
      <c r="D1045235" s="19"/>
      <c r="E1045235" s="19"/>
      <c r="F1045235" s="19"/>
      <c r="G1045235" s="19"/>
      <c r="H1045235" s="19"/>
      <c r="I1045235" s="19"/>
      <c r="J1045235" s="19"/>
      <c r="K1045235" s="19"/>
      <c r="L1045235" s="19"/>
      <c r="M1045235" s="19"/>
      <c r="N1045235" s="19"/>
    </row>
    <row r="1045236" spans="1:14" s="83" customFormat="1" ht="12.75">
      <c r="A1045236" s="19"/>
      <c r="B1045236" s="19"/>
      <c r="C1045236" s="19"/>
      <c r="D1045236" s="19"/>
      <c r="E1045236" s="19"/>
      <c r="F1045236" s="19"/>
      <c r="G1045236" s="19"/>
      <c r="H1045236" s="19"/>
      <c r="I1045236" s="19"/>
      <c r="J1045236" s="19"/>
      <c r="K1045236" s="19"/>
      <c r="L1045236" s="19"/>
      <c r="M1045236" s="19"/>
      <c r="N1045236" s="19"/>
    </row>
    <row r="1045237" spans="1:14" s="83" customFormat="1" ht="12.75">
      <c r="A1045237" s="19"/>
      <c r="B1045237" s="19"/>
      <c r="C1045237" s="19"/>
      <c r="D1045237" s="19"/>
      <c r="E1045237" s="19"/>
      <c r="F1045237" s="19"/>
      <c r="G1045237" s="19"/>
      <c r="H1045237" s="19"/>
      <c r="I1045237" s="19"/>
      <c r="J1045237" s="19"/>
      <c r="K1045237" s="19"/>
      <c r="L1045237" s="19"/>
      <c r="M1045237" s="19"/>
      <c r="N1045237" s="19"/>
    </row>
    <row r="1045238" spans="1:14" s="83" customFormat="1" ht="12.75">
      <c r="A1045238" s="19"/>
      <c r="B1045238" s="19"/>
      <c r="C1045238" s="19"/>
      <c r="D1045238" s="19"/>
      <c r="E1045238" s="19"/>
      <c r="F1045238" s="19"/>
      <c r="G1045238" s="19"/>
      <c r="H1045238" s="19"/>
      <c r="I1045238" s="19"/>
      <c r="J1045238" s="19"/>
      <c r="K1045238" s="19"/>
      <c r="L1045238" s="19"/>
      <c r="M1045238" s="19"/>
      <c r="N1045238" s="19"/>
    </row>
    <row r="1045239" spans="1:14" s="83" customFormat="1" ht="12.75">
      <c r="A1045239" s="19"/>
      <c r="B1045239" s="19"/>
      <c r="C1045239" s="19"/>
      <c r="D1045239" s="19"/>
      <c r="E1045239" s="19"/>
      <c r="F1045239" s="19"/>
      <c r="G1045239" s="19"/>
      <c r="H1045239" s="19"/>
      <c r="I1045239" s="19"/>
      <c r="J1045239" s="19"/>
      <c r="K1045239" s="19"/>
      <c r="L1045239" s="19"/>
      <c r="M1045239" s="19"/>
      <c r="N1045239" s="19"/>
    </row>
    <row r="1045240" spans="1:14" s="83" customFormat="1" ht="12.75">
      <c r="A1045240" s="19"/>
      <c r="B1045240" s="19"/>
      <c r="C1045240" s="19"/>
      <c r="D1045240" s="19"/>
      <c r="E1045240" s="19"/>
      <c r="F1045240" s="19"/>
      <c r="G1045240" s="19"/>
      <c r="H1045240" s="19"/>
      <c r="I1045240" s="19"/>
      <c r="J1045240" s="19"/>
      <c r="K1045240" s="19"/>
      <c r="L1045240" s="19"/>
      <c r="M1045240" s="19"/>
      <c r="N1045240" s="19"/>
    </row>
    <row r="1045241" spans="1:14" s="83" customFormat="1" ht="12.75">
      <c r="A1045241" s="19"/>
      <c r="B1045241" s="19"/>
      <c r="C1045241" s="19"/>
      <c r="D1045241" s="19"/>
      <c r="E1045241" s="19"/>
      <c r="F1045241" s="19"/>
      <c r="G1045241" s="19"/>
      <c r="H1045241" s="19"/>
      <c r="I1045241" s="19"/>
      <c r="J1045241" s="19"/>
      <c r="K1045241" s="19"/>
      <c r="L1045241" s="19"/>
      <c r="M1045241" s="19"/>
      <c r="N1045241" s="19"/>
    </row>
    <row r="1045242" spans="1:14" s="83" customFormat="1" ht="12.75">
      <c r="A1045242" s="19"/>
      <c r="B1045242" s="19"/>
      <c r="C1045242" s="19"/>
      <c r="D1045242" s="19"/>
      <c r="E1045242" s="19"/>
      <c r="F1045242" s="19"/>
      <c r="G1045242" s="19"/>
      <c r="H1045242" s="19"/>
      <c r="I1045242" s="19"/>
      <c r="J1045242" s="19"/>
      <c r="K1045242" s="19"/>
      <c r="L1045242" s="19"/>
      <c r="M1045242" s="19"/>
      <c r="N1045242" s="19"/>
    </row>
    <row r="1045243" spans="1:14" s="83" customFormat="1" ht="12.75">
      <c r="A1045243" s="19"/>
      <c r="B1045243" s="19"/>
      <c r="C1045243" s="19"/>
      <c r="D1045243" s="19"/>
      <c r="E1045243" s="19"/>
      <c r="F1045243" s="19"/>
      <c r="G1045243" s="19"/>
      <c r="H1045243" s="19"/>
      <c r="I1045243" s="19"/>
      <c r="J1045243" s="19"/>
      <c r="K1045243" s="19"/>
      <c r="L1045243" s="19"/>
      <c r="M1045243" s="19"/>
      <c r="N1045243" s="19"/>
    </row>
    <row r="1045244" spans="1:14" s="83" customFormat="1" ht="12.75">
      <c r="A1045244" s="19"/>
      <c r="B1045244" s="19"/>
      <c r="C1045244" s="19"/>
      <c r="D1045244" s="19"/>
      <c r="E1045244" s="19"/>
      <c r="F1045244" s="19"/>
      <c r="G1045244" s="19"/>
      <c r="H1045244" s="19"/>
      <c r="I1045244" s="19"/>
      <c r="J1045244" s="19"/>
      <c r="K1045244" s="19"/>
      <c r="L1045244" s="19"/>
      <c r="M1045244" s="19"/>
      <c r="N1045244" s="19"/>
    </row>
    <row r="1045245" spans="1:14" s="83" customFormat="1" ht="12.75">
      <c r="A1045245" s="19"/>
      <c r="B1045245" s="19"/>
      <c r="C1045245" s="19"/>
      <c r="D1045245" s="19"/>
      <c r="E1045245" s="19"/>
      <c r="F1045245" s="19"/>
      <c r="G1045245" s="19"/>
      <c r="H1045245" s="19"/>
      <c r="I1045245" s="19"/>
      <c r="J1045245" s="19"/>
      <c r="K1045245" s="19"/>
      <c r="L1045245" s="19"/>
      <c r="M1045245" s="19"/>
      <c r="N1045245" s="19"/>
    </row>
    <row r="1045246" spans="1:14" s="83" customFormat="1" ht="12.75">
      <c r="A1045246" s="19"/>
      <c r="B1045246" s="19"/>
      <c r="C1045246" s="19"/>
      <c r="D1045246" s="19"/>
      <c r="E1045246" s="19"/>
      <c r="F1045246" s="19"/>
      <c r="G1045246" s="19"/>
      <c r="H1045246" s="19"/>
      <c r="I1045246" s="19"/>
      <c r="J1045246" s="19"/>
      <c r="K1045246" s="19"/>
      <c r="L1045246" s="19"/>
      <c r="M1045246" s="19"/>
      <c r="N1045246" s="19"/>
    </row>
    <row r="1045247" spans="1:14" s="83" customFormat="1" ht="12.75">
      <c r="A1045247" s="19"/>
      <c r="B1045247" s="19"/>
      <c r="C1045247" s="19"/>
      <c r="D1045247" s="19"/>
      <c r="E1045247" s="19"/>
      <c r="F1045247" s="19"/>
      <c r="G1045247" s="19"/>
      <c r="H1045247" s="19"/>
      <c r="I1045247" s="19"/>
      <c r="J1045247" s="19"/>
      <c r="K1045247" s="19"/>
      <c r="L1045247" s="19"/>
      <c r="M1045247" s="19"/>
      <c r="N1045247" s="19"/>
    </row>
    <row r="1045248" spans="1:14" s="83" customFormat="1" ht="12.75">
      <c r="A1045248" s="19"/>
      <c r="B1045248" s="19"/>
      <c r="C1045248" s="19"/>
      <c r="D1045248" s="19"/>
      <c r="E1045248" s="19"/>
      <c r="F1045248" s="19"/>
      <c r="G1045248" s="19"/>
      <c r="H1045248" s="19"/>
      <c r="I1045248" s="19"/>
      <c r="J1045248" s="19"/>
      <c r="K1045248" s="19"/>
      <c r="L1045248" s="19"/>
      <c r="M1045248" s="19"/>
      <c r="N1045248" s="19"/>
    </row>
    <row r="1045249" spans="1:14" s="83" customFormat="1" ht="12.75">
      <c r="A1045249" s="19"/>
      <c r="B1045249" s="19"/>
      <c r="C1045249" s="19"/>
      <c r="D1045249" s="19"/>
      <c r="E1045249" s="19"/>
      <c r="F1045249" s="19"/>
      <c r="G1045249" s="19"/>
      <c r="H1045249" s="19"/>
      <c r="I1045249" s="19"/>
      <c r="J1045249" s="19"/>
      <c r="K1045249" s="19"/>
      <c r="L1045249" s="19"/>
      <c r="M1045249" s="19"/>
      <c r="N1045249" s="19"/>
    </row>
    <row r="1045250" spans="1:14" s="83" customFormat="1" ht="12.75">
      <c r="A1045250" s="19"/>
      <c r="B1045250" s="19"/>
      <c r="C1045250" s="19"/>
      <c r="D1045250" s="19"/>
      <c r="E1045250" s="19"/>
      <c r="F1045250" s="19"/>
      <c r="G1045250" s="19"/>
      <c r="H1045250" s="19"/>
      <c r="I1045250" s="19"/>
      <c r="J1045250" s="19"/>
      <c r="K1045250" s="19"/>
      <c r="L1045250" s="19"/>
      <c r="M1045250" s="19"/>
      <c r="N1045250" s="19"/>
    </row>
    <row r="1045251" spans="1:14" s="83" customFormat="1" ht="12.75">
      <c r="A1045251" s="19"/>
      <c r="B1045251" s="19"/>
      <c r="C1045251" s="19"/>
      <c r="D1045251" s="19"/>
      <c r="E1045251" s="19"/>
      <c r="F1045251" s="19"/>
      <c r="G1045251" s="19"/>
      <c r="H1045251" s="19"/>
      <c r="I1045251" s="19"/>
      <c r="J1045251" s="19"/>
      <c r="K1045251" s="19"/>
      <c r="L1045251" s="19"/>
      <c r="M1045251" s="19"/>
      <c r="N1045251" s="19"/>
    </row>
    <row r="1045252" spans="1:14" s="83" customFormat="1" ht="12.75">
      <c r="A1045252" s="19"/>
      <c r="B1045252" s="19"/>
      <c r="C1045252" s="19"/>
      <c r="D1045252" s="19"/>
      <c r="E1045252" s="19"/>
      <c r="F1045252" s="19"/>
      <c r="G1045252" s="19"/>
      <c r="H1045252" s="19"/>
      <c r="I1045252" s="19"/>
      <c r="J1045252" s="19"/>
      <c r="K1045252" s="19"/>
      <c r="L1045252" s="19"/>
      <c r="M1045252" s="19"/>
      <c r="N1045252" s="19"/>
    </row>
    <row r="1045253" spans="1:14" s="83" customFormat="1" ht="12.75">
      <c r="A1045253" s="19"/>
      <c r="B1045253" s="19"/>
      <c r="C1045253" s="19"/>
      <c r="D1045253" s="19"/>
      <c r="E1045253" s="19"/>
      <c r="F1045253" s="19"/>
      <c r="G1045253" s="19"/>
      <c r="H1045253" s="19"/>
      <c r="I1045253" s="19"/>
      <c r="J1045253" s="19"/>
      <c r="K1045253" s="19"/>
      <c r="L1045253" s="19"/>
      <c r="M1045253" s="19"/>
      <c r="N1045253" s="19"/>
    </row>
    <row r="1045254" spans="1:14" s="83" customFormat="1" ht="12.75">
      <c r="A1045254" s="19"/>
      <c r="B1045254" s="19"/>
      <c r="C1045254" s="19"/>
      <c r="D1045254" s="19"/>
      <c r="E1045254" s="19"/>
      <c r="F1045254" s="19"/>
      <c r="G1045254" s="19"/>
      <c r="H1045254" s="19"/>
      <c r="I1045254" s="19"/>
      <c r="J1045254" s="19"/>
      <c r="K1045254" s="19"/>
      <c r="L1045254" s="19"/>
      <c r="M1045254" s="19"/>
      <c r="N1045254" s="19"/>
    </row>
    <row r="1045255" spans="1:14" s="83" customFormat="1" ht="12.75">
      <c r="A1045255" s="19"/>
      <c r="B1045255" s="19"/>
      <c r="C1045255" s="19"/>
      <c r="D1045255" s="19"/>
      <c r="E1045255" s="19"/>
      <c r="F1045255" s="19"/>
      <c r="G1045255" s="19"/>
      <c r="H1045255" s="19"/>
      <c r="I1045255" s="19"/>
      <c r="J1045255" s="19"/>
      <c r="K1045255" s="19"/>
      <c r="L1045255" s="19"/>
      <c r="M1045255" s="19"/>
      <c r="N1045255" s="19"/>
    </row>
    <row r="1045256" spans="1:14" s="83" customFormat="1" ht="12.75">
      <c r="A1045256" s="19"/>
      <c r="B1045256" s="19"/>
      <c r="C1045256" s="19"/>
      <c r="D1045256" s="19"/>
      <c r="E1045256" s="19"/>
      <c r="F1045256" s="19"/>
      <c r="G1045256" s="19"/>
      <c r="H1045256" s="19"/>
      <c r="I1045256" s="19"/>
      <c r="J1045256" s="19"/>
      <c r="K1045256" s="19"/>
      <c r="L1045256" s="19"/>
      <c r="M1045256" s="19"/>
      <c r="N1045256" s="19"/>
    </row>
    <row r="1045257" spans="1:14" s="83" customFormat="1" ht="12.75">
      <c r="A1045257" s="19"/>
      <c r="B1045257" s="19"/>
      <c r="C1045257" s="19"/>
      <c r="D1045257" s="19"/>
      <c r="E1045257" s="19"/>
      <c r="F1045257" s="19"/>
      <c r="G1045257" s="19"/>
      <c r="H1045257" s="19"/>
      <c r="I1045257" s="19"/>
      <c r="J1045257" s="19"/>
      <c r="K1045257" s="19"/>
      <c r="L1045257" s="19"/>
      <c r="M1045257" s="19"/>
      <c r="N1045257" s="19"/>
    </row>
    <row r="1045258" spans="1:14" s="83" customFormat="1" ht="12.75">
      <c r="A1045258" s="19"/>
      <c r="B1045258" s="19"/>
      <c r="C1045258" s="19"/>
      <c r="D1045258" s="19"/>
      <c r="E1045258" s="19"/>
      <c r="F1045258" s="19"/>
      <c r="G1045258" s="19"/>
      <c r="H1045258" s="19"/>
      <c r="I1045258" s="19"/>
      <c r="J1045258" s="19"/>
      <c r="K1045258" s="19"/>
      <c r="L1045258" s="19"/>
      <c r="M1045258" s="19"/>
      <c r="N1045258" s="19"/>
    </row>
    <row r="1045259" spans="1:14" s="83" customFormat="1" ht="12.75">
      <c r="A1045259" s="19"/>
      <c r="B1045259" s="19"/>
      <c r="C1045259" s="19"/>
      <c r="D1045259" s="19"/>
      <c r="E1045259" s="19"/>
      <c r="F1045259" s="19"/>
      <c r="G1045259" s="19"/>
      <c r="H1045259" s="19"/>
      <c r="I1045259" s="19"/>
      <c r="J1045259" s="19"/>
      <c r="K1045259" s="19"/>
      <c r="L1045259" s="19"/>
      <c r="M1045259" s="19"/>
      <c r="N1045259" s="19"/>
    </row>
    <row r="1045260" spans="1:14" s="83" customFormat="1" ht="12.75">
      <c r="A1045260" s="19"/>
      <c r="B1045260" s="19"/>
      <c r="C1045260" s="19"/>
      <c r="D1045260" s="19"/>
      <c r="E1045260" s="19"/>
      <c r="F1045260" s="19"/>
      <c r="G1045260" s="19"/>
      <c r="H1045260" s="19"/>
      <c r="I1045260" s="19"/>
      <c r="J1045260" s="19"/>
      <c r="K1045260" s="19"/>
      <c r="L1045260" s="19"/>
      <c r="M1045260" s="19"/>
      <c r="N1045260" s="19"/>
    </row>
    <row r="1045261" spans="1:14" s="83" customFormat="1" ht="12.75">
      <c r="A1045261" s="19"/>
      <c r="B1045261" s="19"/>
      <c r="C1045261" s="19"/>
      <c r="D1045261" s="19"/>
      <c r="E1045261" s="19"/>
      <c r="F1045261" s="19"/>
      <c r="G1045261" s="19"/>
      <c r="H1045261" s="19"/>
      <c r="I1045261" s="19"/>
      <c r="J1045261" s="19"/>
      <c r="K1045261" s="19"/>
      <c r="L1045261" s="19"/>
      <c r="M1045261" s="19"/>
      <c r="N1045261" s="19"/>
    </row>
    <row r="1045262" spans="1:14" s="83" customFormat="1" ht="12.75">
      <c r="A1045262" s="19"/>
      <c r="B1045262" s="19"/>
      <c r="C1045262" s="19"/>
      <c r="D1045262" s="19"/>
      <c r="E1045262" s="19"/>
      <c r="F1045262" s="19"/>
      <c r="G1045262" s="19"/>
      <c r="H1045262" s="19"/>
      <c r="I1045262" s="19"/>
      <c r="J1045262" s="19"/>
      <c r="K1045262" s="19"/>
      <c r="L1045262" s="19"/>
      <c r="M1045262" s="19"/>
      <c r="N1045262" s="19"/>
    </row>
    <row r="1045263" spans="1:14" s="83" customFormat="1" ht="12.75">
      <c r="A1045263" s="19"/>
      <c r="B1045263" s="19"/>
      <c r="C1045263" s="19"/>
      <c r="D1045263" s="19"/>
      <c r="E1045263" s="19"/>
      <c r="F1045263" s="19"/>
      <c r="G1045263" s="19"/>
      <c r="H1045263" s="19"/>
      <c r="I1045263" s="19"/>
      <c r="J1045263" s="19"/>
      <c r="K1045263" s="19"/>
      <c r="L1045263" s="19"/>
      <c r="M1045263" s="19"/>
      <c r="N1045263" s="19"/>
    </row>
    <row r="1045264" spans="1:14" s="83" customFormat="1" ht="12.75">
      <c r="A1045264" s="19"/>
      <c r="B1045264" s="19"/>
      <c r="C1045264" s="19"/>
      <c r="D1045264" s="19"/>
      <c r="E1045264" s="19"/>
      <c r="F1045264" s="19"/>
      <c r="G1045264" s="19"/>
      <c r="H1045264" s="19"/>
      <c r="I1045264" s="19"/>
      <c r="J1045264" s="19"/>
      <c r="K1045264" s="19"/>
      <c r="L1045264" s="19"/>
      <c r="M1045264" s="19"/>
      <c r="N1045264" s="19"/>
    </row>
    <row r="1045265" spans="1:14" s="83" customFormat="1" ht="12.75">
      <c r="A1045265" s="19"/>
      <c r="B1045265" s="19"/>
      <c r="C1045265" s="19"/>
      <c r="D1045265" s="19"/>
      <c r="E1045265" s="19"/>
      <c r="F1045265" s="19"/>
      <c r="G1045265" s="19"/>
      <c r="H1045265" s="19"/>
      <c r="I1045265" s="19"/>
      <c r="J1045265" s="19"/>
      <c r="K1045265" s="19"/>
      <c r="L1045265" s="19"/>
      <c r="M1045265" s="19"/>
      <c r="N1045265" s="19"/>
    </row>
    <row r="1045266" spans="1:14" s="83" customFormat="1" ht="12.75">
      <c r="A1045266" s="19"/>
      <c r="B1045266" s="19"/>
      <c r="C1045266" s="19"/>
      <c r="D1045266" s="19"/>
      <c r="E1045266" s="19"/>
      <c r="F1045266" s="19"/>
      <c r="G1045266" s="19"/>
      <c r="H1045266" s="19"/>
      <c r="I1045266" s="19"/>
      <c r="J1045266" s="19"/>
      <c r="K1045266" s="19"/>
      <c r="L1045266" s="19"/>
      <c r="M1045266" s="19"/>
      <c r="N1045266" s="19"/>
    </row>
    <row r="1045267" spans="1:14" s="83" customFormat="1" ht="12.75">
      <c r="A1045267" s="19"/>
      <c r="B1045267" s="19"/>
      <c r="C1045267" s="19"/>
      <c r="D1045267" s="19"/>
      <c r="E1045267" s="19"/>
      <c r="F1045267" s="19"/>
      <c r="G1045267" s="19"/>
      <c r="H1045267" s="19"/>
      <c r="I1045267" s="19"/>
      <c r="J1045267" s="19"/>
      <c r="K1045267" s="19"/>
      <c r="L1045267" s="19"/>
      <c r="M1045267" s="19"/>
      <c r="N1045267" s="19"/>
    </row>
    <row r="1045268" spans="1:14" s="83" customFormat="1" ht="12.75">
      <c r="A1045268" s="19"/>
      <c r="B1045268" s="19"/>
      <c r="C1045268" s="19"/>
      <c r="D1045268" s="19"/>
      <c r="E1045268" s="19"/>
      <c r="F1045268" s="19"/>
      <c r="G1045268" s="19"/>
      <c r="H1045268" s="19"/>
      <c r="I1045268" s="19"/>
      <c r="J1045268" s="19"/>
      <c r="K1045268" s="19"/>
      <c r="L1045268" s="19"/>
      <c r="M1045268" s="19"/>
      <c r="N1045268" s="19"/>
    </row>
    <row r="1045269" spans="1:14" s="83" customFormat="1" ht="12.75">
      <c r="A1045269" s="19"/>
      <c r="B1045269" s="19"/>
      <c r="C1045269" s="19"/>
      <c r="D1045269" s="19"/>
      <c r="E1045269" s="19"/>
      <c r="F1045269" s="19"/>
      <c r="G1045269" s="19"/>
      <c r="H1045269" s="19"/>
      <c r="I1045269" s="19"/>
      <c r="J1045269" s="19"/>
      <c r="K1045269" s="19"/>
      <c r="L1045269" s="19"/>
      <c r="M1045269" s="19"/>
      <c r="N1045269" s="19"/>
    </row>
    <row r="1045270" spans="1:14" s="83" customFormat="1" ht="12.75">
      <c r="A1045270" s="19"/>
      <c r="B1045270" s="19"/>
      <c r="C1045270" s="19"/>
      <c r="D1045270" s="19"/>
      <c r="E1045270" s="19"/>
      <c r="F1045270" s="19"/>
      <c r="G1045270" s="19"/>
      <c r="H1045270" s="19"/>
      <c r="I1045270" s="19"/>
      <c r="J1045270" s="19"/>
      <c r="K1045270" s="19"/>
      <c r="L1045270" s="19"/>
      <c r="M1045270" s="19"/>
      <c r="N1045270" s="19"/>
    </row>
    <row r="1045271" spans="1:14" s="83" customFormat="1" ht="12.75">
      <c r="A1045271" s="19"/>
      <c r="B1045271" s="19"/>
      <c r="C1045271" s="19"/>
      <c r="D1045271" s="19"/>
      <c r="E1045271" s="19"/>
      <c r="F1045271" s="19"/>
      <c r="G1045271" s="19"/>
      <c r="H1045271" s="19"/>
      <c r="I1045271" s="19"/>
      <c r="J1045271" s="19"/>
      <c r="K1045271" s="19"/>
      <c r="L1045271" s="19"/>
      <c r="M1045271" s="19"/>
      <c r="N1045271" s="19"/>
    </row>
    <row r="1045272" spans="1:14" s="83" customFormat="1" ht="12.75">
      <c r="A1045272" s="19"/>
      <c r="B1045272" s="19"/>
      <c r="C1045272" s="19"/>
      <c r="D1045272" s="19"/>
      <c r="E1045272" s="19"/>
      <c r="F1045272" s="19"/>
      <c r="G1045272" s="19"/>
      <c r="H1045272" s="19"/>
      <c r="I1045272" s="19"/>
      <c r="J1045272" s="19"/>
      <c r="K1045272" s="19"/>
      <c r="L1045272" s="19"/>
      <c r="M1045272" s="19"/>
      <c r="N1045272" s="19"/>
    </row>
    <row r="1045273" spans="1:14" s="83" customFormat="1" ht="12.75">
      <c r="A1045273" s="19"/>
      <c r="B1045273" s="19"/>
      <c r="C1045273" s="19"/>
      <c r="D1045273" s="19"/>
      <c r="E1045273" s="19"/>
      <c r="F1045273" s="19"/>
      <c r="G1045273" s="19"/>
      <c r="H1045273" s="19"/>
      <c r="I1045273" s="19"/>
      <c r="J1045273" s="19"/>
      <c r="K1045273" s="19"/>
      <c r="L1045273" s="19"/>
      <c r="M1045273" s="19"/>
      <c r="N1045273" s="19"/>
    </row>
    <row r="1045274" spans="1:14" s="83" customFormat="1" ht="12.75">
      <c r="A1045274" s="19"/>
      <c r="B1045274" s="19"/>
      <c r="C1045274" s="19"/>
      <c r="D1045274" s="19"/>
      <c r="E1045274" s="19"/>
      <c r="F1045274" s="19"/>
      <c r="G1045274" s="19"/>
      <c r="H1045274" s="19"/>
      <c r="I1045274" s="19"/>
      <c r="J1045274" s="19"/>
      <c r="K1045274" s="19"/>
      <c r="L1045274" s="19"/>
      <c r="M1045274" s="19"/>
      <c r="N1045274" s="19"/>
    </row>
    <row r="1045275" spans="1:14" s="83" customFormat="1" ht="12.75">
      <c r="A1045275" s="19"/>
      <c r="B1045275" s="19"/>
      <c r="C1045275" s="19"/>
      <c r="D1045275" s="19"/>
      <c r="E1045275" s="19"/>
      <c r="F1045275" s="19"/>
      <c r="G1045275" s="19"/>
      <c r="H1045275" s="19"/>
      <c r="I1045275" s="19"/>
      <c r="J1045275" s="19"/>
      <c r="K1045275" s="19"/>
      <c r="L1045275" s="19"/>
      <c r="M1045275" s="19"/>
      <c r="N1045275" s="19"/>
    </row>
    <row r="1045276" spans="1:14" s="83" customFormat="1" ht="12.75">
      <c r="A1045276" s="19"/>
      <c r="B1045276" s="19"/>
      <c r="C1045276" s="19"/>
      <c r="D1045276" s="19"/>
      <c r="E1045276" s="19"/>
      <c r="F1045276" s="19"/>
      <c r="G1045276" s="19"/>
      <c r="H1045276" s="19"/>
      <c r="I1045276" s="19"/>
      <c r="J1045276" s="19"/>
      <c r="K1045276" s="19"/>
      <c r="L1045276" s="19"/>
      <c r="M1045276" s="19"/>
      <c r="N1045276" s="19"/>
    </row>
    <row r="1045277" spans="1:14" s="83" customFormat="1" ht="12.75">
      <c r="A1045277" s="19"/>
      <c r="B1045277" s="19"/>
      <c r="C1045277" s="19"/>
      <c r="D1045277" s="19"/>
      <c r="E1045277" s="19"/>
      <c r="F1045277" s="19"/>
      <c r="G1045277" s="19"/>
      <c r="H1045277" s="19"/>
      <c r="I1045277" s="19"/>
      <c r="J1045277" s="19"/>
      <c r="K1045277" s="19"/>
      <c r="L1045277" s="19"/>
      <c r="M1045277" s="19"/>
      <c r="N1045277" s="19"/>
    </row>
    <row r="1045278" spans="1:14" s="83" customFormat="1" ht="12.75">
      <c r="A1045278" s="19"/>
      <c r="B1045278" s="19"/>
      <c r="C1045278" s="19"/>
      <c r="D1045278" s="19"/>
      <c r="E1045278" s="19"/>
      <c r="F1045278" s="19"/>
      <c r="G1045278" s="19"/>
      <c r="H1045278" s="19"/>
      <c r="I1045278" s="19"/>
      <c r="J1045278" s="19"/>
      <c r="K1045278" s="19"/>
      <c r="L1045278" s="19"/>
      <c r="M1045278" s="19"/>
      <c r="N1045278" s="19"/>
    </row>
    <row r="1045279" spans="1:14" s="83" customFormat="1" ht="12.75">
      <c r="A1045279" s="19"/>
      <c r="B1045279" s="19"/>
      <c r="C1045279" s="19"/>
      <c r="D1045279" s="19"/>
      <c r="E1045279" s="19"/>
      <c r="F1045279" s="19"/>
      <c r="G1045279" s="19"/>
      <c r="H1045279" s="19"/>
      <c r="I1045279" s="19"/>
      <c r="J1045279" s="19"/>
      <c r="K1045279" s="19"/>
      <c r="L1045279" s="19"/>
      <c r="M1045279" s="19"/>
      <c r="N1045279" s="19"/>
    </row>
    <row r="1045280" spans="1:14" s="83" customFormat="1" ht="12.75">
      <c r="A1045280" s="19"/>
      <c r="B1045280" s="19"/>
      <c r="C1045280" s="19"/>
      <c r="D1045280" s="19"/>
      <c r="E1045280" s="19"/>
      <c r="F1045280" s="19"/>
      <c r="G1045280" s="19"/>
      <c r="H1045280" s="19"/>
      <c r="I1045280" s="19"/>
      <c r="J1045280" s="19"/>
      <c r="K1045280" s="19"/>
      <c r="L1045280" s="19"/>
      <c r="M1045280" s="19"/>
      <c r="N1045280" s="19"/>
    </row>
    <row r="1045281" spans="1:14" s="83" customFormat="1" ht="12.75">
      <c r="A1045281" s="19"/>
      <c r="B1045281" s="19"/>
      <c r="C1045281" s="19"/>
      <c r="D1045281" s="19"/>
      <c r="E1045281" s="19"/>
      <c r="F1045281" s="19"/>
      <c r="G1045281" s="19"/>
      <c r="H1045281" s="19"/>
      <c r="I1045281" s="19"/>
      <c r="J1045281" s="19"/>
      <c r="K1045281" s="19"/>
      <c r="L1045281" s="19"/>
      <c r="M1045281" s="19"/>
      <c r="N1045281" s="19"/>
    </row>
    <row r="1045282" spans="1:14" s="83" customFormat="1" ht="12.75">
      <c r="A1045282" s="19"/>
      <c r="B1045282" s="19"/>
      <c r="C1045282" s="19"/>
      <c r="D1045282" s="19"/>
      <c r="E1045282" s="19"/>
      <c r="F1045282" s="19"/>
      <c r="G1045282" s="19"/>
      <c r="H1045282" s="19"/>
      <c r="I1045282" s="19"/>
      <c r="J1045282" s="19"/>
      <c r="K1045282" s="19"/>
      <c r="L1045282" s="19"/>
      <c r="M1045282" s="19"/>
      <c r="N1045282" s="19"/>
    </row>
    <row r="1045283" spans="1:14" s="83" customFormat="1" ht="12.75">
      <c r="A1045283" s="19"/>
      <c r="B1045283" s="19"/>
      <c r="C1045283" s="19"/>
      <c r="D1045283" s="19"/>
      <c r="E1045283" s="19"/>
      <c r="F1045283" s="19"/>
      <c r="G1045283" s="19"/>
      <c r="H1045283" s="19"/>
      <c r="I1045283" s="19"/>
      <c r="J1045283" s="19"/>
      <c r="K1045283" s="19"/>
      <c r="L1045283" s="19"/>
      <c r="M1045283" s="19"/>
      <c r="N1045283" s="19"/>
    </row>
    <row r="1045284" spans="1:14" s="83" customFormat="1" ht="12.75">
      <c r="A1045284" s="19"/>
      <c r="B1045284" s="19"/>
      <c r="C1045284" s="19"/>
      <c r="D1045284" s="19"/>
      <c r="E1045284" s="19"/>
      <c r="F1045284" s="19"/>
      <c r="G1045284" s="19"/>
      <c r="H1045284" s="19"/>
      <c r="I1045284" s="19"/>
      <c r="J1045284" s="19"/>
      <c r="K1045284" s="19"/>
      <c r="L1045284" s="19"/>
      <c r="M1045284" s="19"/>
      <c r="N1045284" s="19"/>
    </row>
    <row r="1045285" spans="1:14" s="83" customFormat="1" ht="12.75">
      <c r="A1045285" s="19"/>
      <c r="B1045285" s="19"/>
      <c r="C1045285" s="19"/>
      <c r="D1045285" s="19"/>
      <c r="E1045285" s="19"/>
      <c r="F1045285" s="19"/>
      <c r="G1045285" s="19"/>
      <c r="H1045285" s="19"/>
      <c r="I1045285" s="19"/>
      <c r="J1045285" s="19"/>
      <c r="K1045285" s="19"/>
      <c r="L1045285" s="19"/>
      <c r="M1045285" s="19"/>
      <c r="N1045285" s="19"/>
    </row>
    <row r="1045286" spans="1:14" s="83" customFormat="1" ht="12.75">
      <c r="A1045286" s="19"/>
      <c r="B1045286" s="19"/>
      <c r="C1045286" s="19"/>
      <c r="D1045286" s="19"/>
      <c r="E1045286" s="19"/>
      <c r="F1045286" s="19"/>
      <c r="G1045286" s="19"/>
      <c r="H1045286" s="19"/>
      <c r="I1045286" s="19"/>
      <c r="J1045286" s="19"/>
      <c r="K1045286" s="19"/>
      <c r="L1045286" s="19"/>
      <c r="M1045286" s="19"/>
      <c r="N1045286" s="19"/>
    </row>
    <row r="1045287" spans="1:14" s="83" customFormat="1" ht="12.75">
      <c r="A1045287" s="19"/>
      <c r="B1045287" s="19"/>
      <c r="C1045287" s="19"/>
      <c r="D1045287" s="19"/>
      <c r="E1045287" s="19"/>
      <c r="F1045287" s="19"/>
      <c r="G1045287" s="19"/>
      <c r="H1045287" s="19"/>
      <c r="I1045287" s="19"/>
      <c r="J1045287" s="19"/>
      <c r="K1045287" s="19"/>
      <c r="L1045287" s="19"/>
      <c r="M1045287" s="19"/>
      <c r="N1045287" s="19"/>
    </row>
    <row r="1045288" spans="1:14" s="83" customFormat="1" ht="12.75">
      <c r="A1045288" s="19"/>
      <c r="B1045288" s="19"/>
      <c r="C1045288" s="19"/>
      <c r="D1045288" s="19"/>
      <c r="E1045288" s="19"/>
      <c r="F1045288" s="19"/>
      <c r="G1045288" s="19"/>
      <c r="H1045288" s="19"/>
      <c r="I1045288" s="19"/>
      <c r="J1045288" s="19"/>
      <c r="K1045288" s="19"/>
      <c r="L1045288" s="19"/>
      <c r="M1045288" s="19"/>
      <c r="N1045288" s="19"/>
    </row>
    <row r="1045289" spans="1:14" s="83" customFormat="1" ht="12.75">
      <c r="A1045289" s="19"/>
      <c r="B1045289" s="19"/>
      <c r="C1045289" s="19"/>
      <c r="D1045289" s="19"/>
      <c r="E1045289" s="19"/>
      <c r="F1045289" s="19"/>
      <c r="G1045289" s="19"/>
      <c r="H1045289" s="19"/>
      <c r="I1045289" s="19"/>
      <c r="J1045289" s="19"/>
      <c r="K1045289" s="19"/>
      <c r="L1045289" s="19"/>
      <c r="M1045289" s="19"/>
      <c r="N1045289" s="19"/>
    </row>
    <row r="1045290" spans="1:14" s="83" customFormat="1" ht="12.75">
      <c r="A1045290" s="19"/>
      <c r="B1045290" s="19"/>
      <c r="C1045290" s="19"/>
      <c r="D1045290" s="19"/>
      <c r="E1045290" s="19"/>
      <c r="F1045290" s="19"/>
      <c r="G1045290" s="19"/>
      <c r="H1045290" s="19"/>
      <c r="I1045290" s="19"/>
      <c r="J1045290" s="19"/>
      <c r="K1045290" s="19"/>
      <c r="L1045290" s="19"/>
      <c r="M1045290" s="19"/>
      <c r="N1045290" s="19"/>
    </row>
    <row r="1045291" spans="1:14" s="83" customFormat="1" ht="12.75">
      <c r="A1045291" s="19"/>
      <c r="B1045291" s="19"/>
      <c r="C1045291" s="19"/>
      <c r="D1045291" s="19"/>
      <c r="E1045291" s="19"/>
      <c r="F1045291" s="19"/>
      <c r="G1045291" s="19"/>
      <c r="H1045291" s="19"/>
      <c r="I1045291" s="19"/>
      <c r="J1045291" s="19"/>
      <c r="K1045291" s="19"/>
      <c r="L1045291" s="19"/>
      <c r="M1045291" s="19"/>
      <c r="N1045291" s="19"/>
    </row>
    <row r="1045292" spans="1:14" s="83" customFormat="1" ht="12.75">
      <c r="A1045292" s="19"/>
      <c r="B1045292" s="19"/>
      <c r="C1045292" s="19"/>
      <c r="D1045292" s="19"/>
      <c r="E1045292" s="19"/>
      <c r="F1045292" s="19"/>
      <c r="G1045292" s="19"/>
      <c r="H1045292" s="19"/>
      <c r="I1045292" s="19"/>
      <c r="J1045292" s="19"/>
      <c r="K1045292" s="19"/>
      <c r="L1045292" s="19"/>
      <c r="M1045292" s="19"/>
      <c r="N1045292" s="19"/>
    </row>
    <row r="1045293" spans="1:14" s="83" customFormat="1" ht="12.75">
      <c r="A1045293" s="19"/>
      <c r="B1045293" s="19"/>
      <c r="C1045293" s="19"/>
      <c r="D1045293" s="19"/>
      <c r="E1045293" s="19"/>
      <c r="F1045293" s="19"/>
      <c r="G1045293" s="19"/>
      <c r="H1045293" s="19"/>
      <c r="I1045293" s="19"/>
      <c r="J1045293" s="19"/>
      <c r="K1045293" s="19"/>
      <c r="L1045293" s="19"/>
      <c r="M1045293" s="19"/>
      <c r="N1045293" s="19"/>
    </row>
    <row r="1045294" spans="1:14" s="83" customFormat="1" ht="12.75">
      <c r="A1045294" s="19"/>
      <c r="B1045294" s="19"/>
      <c r="C1045294" s="19"/>
      <c r="D1045294" s="19"/>
      <c r="E1045294" s="19"/>
      <c r="F1045294" s="19"/>
      <c r="G1045294" s="19"/>
      <c r="H1045294" s="19"/>
      <c r="I1045294" s="19"/>
      <c r="J1045294" s="19"/>
      <c r="K1045294" s="19"/>
      <c r="L1045294" s="19"/>
      <c r="M1045294" s="19"/>
      <c r="N1045294" s="19"/>
    </row>
    <row r="1045295" spans="1:14" s="83" customFormat="1" ht="12.75">
      <c r="A1045295" s="19"/>
      <c r="B1045295" s="19"/>
      <c r="C1045295" s="19"/>
      <c r="D1045295" s="19"/>
      <c r="E1045295" s="19"/>
      <c r="F1045295" s="19"/>
      <c r="G1045295" s="19"/>
      <c r="H1045295" s="19"/>
      <c r="I1045295" s="19"/>
      <c r="J1045295" s="19"/>
      <c r="K1045295" s="19"/>
      <c r="L1045295" s="19"/>
      <c r="M1045295" s="19"/>
      <c r="N1045295" s="19"/>
    </row>
    <row r="1045296" spans="1:14" s="83" customFormat="1" ht="12.75">
      <c r="A1045296" s="19"/>
      <c r="B1045296" s="19"/>
      <c r="C1045296" s="19"/>
      <c r="D1045296" s="19"/>
      <c r="E1045296" s="19"/>
      <c r="F1045296" s="19"/>
      <c r="G1045296" s="19"/>
      <c r="H1045296" s="19"/>
      <c r="I1045296" s="19"/>
      <c r="J1045296" s="19"/>
      <c r="K1045296" s="19"/>
      <c r="L1045296" s="19"/>
      <c r="M1045296" s="19"/>
      <c r="N1045296" s="19"/>
    </row>
    <row r="1045297" spans="1:14" s="83" customFormat="1" ht="12.75">
      <c r="A1045297" s="19"/>
      <c r="B1045297" s="19"/>
      <c r="C1045297" s="19"/>
      <c r="D1045297" s="19"/>
      <c r="E1045297" s="19"/>
      <c r="F1045297" s="19"/>
      <c r="G1045297" s="19"/>
      <c r="H1045297" s="19"/>
      <c r="I1045297" s="19"/>
      <c r="J1045297" s="19"/>
      <c r="K1045297" s="19"/>
      <c r="L1045297" s="19"/>
      <c r="M1045297" s="19"/>
      <c r="N1045297" s="19"/>
    </row>
    <row r="1045298" spans="1:14" s="83" customFormat="1" ht="12.75">
      <c r="A1045298" s="19"/>
      <c r="B1045298" s="19"/>
      <c r="C1045298" s="19"/>
      <c r="D1045298" s="19"/>
      <c r="E1045298" s="19"/>
      <c r="F1045298" s="19"/>
      <c r="G1045298" s="19"/>
      <c r="H1045298" s="19"/>
      <c r="I1045298" s="19"/>
      <c r="J1045298" s="19"/>
      <c r="K1045298" s="19"/>
      <c r="L1045298" s="19"/>
      <c r="M1045298" s="19"/>
      <c r="N1045298" s="19"/>
    </row>
    <row r="1045299" spans="1:14" s="83" customFormat="1" ht="12.75">
      <c r="A1045299" s="19"/>
      <c r="B1045299" s="19"/>
      <c r="C1045299" s="19"/>
      <c r="D1045299" s="19"/>
      <c r="E1045299" s="19"/>
      <c r="F1045299" s="19"/>
      <c r="G1045299" s="19"/>
      <c r="H1045299" s="19"/>
      <c r="I1045299" s="19"/>
      <c r="J1045299" s="19"/>
      <c r="K1045299" s="19"/>
      <c r="L1045299" s="19"/>
      <c r="M1045299" s="19"/>
      <c r="N1045299" s="19"/>
    </row>
    <row r="1045300" spans="1:14" s="83" customFormat="1" ht="12.75">
      <c r="A1045300" s="19"/>
      <c r="B1045300" s="19"/>
      <c r="C1045300" s="19"/>
      <c r="D1045300" s="19"/>
      <c r="E1045300" s="19"/>
      <c r="F1045300" s="19"/>
      <c r="G1045300" s="19"/>
      <c r="H1045300" s="19"/>
      <c r="I1045300" s="19"/>
      <c r="J1045300" s="19"/>
      <c r="K1045300" s="19"/>
      <c r="L1045300" s="19"/>
      <c r="M1045300" s="19"/>
      <c r="N1045300" s="19"/>
    </row>
    <row r="1045301" spans="1:14" s="83" customFormat="1" ht="12.75">
      <c r="A1045301" s="19"/>
      <c r="B1045301" s="19"/>
      <c r="C1045301" s="19"/>
      <c r="D1045301" s="19"/>
      <c r="E1045301" s="19"/>
      <c r="F1045301" s="19"/>
      <c r="G1045301" s="19"/>
      <c r="H1045301" s="19"/>
      <c r="I1045301" s="19"/>
      <c r="J1045301" s="19"/>
      <c r="K1045301" s="19"/>
      <c r="L1045301" s="19"/>
      <c r="M1045301" s="19"/>
      <c r="N1045301" s="19"/>
    </row>
    <row r="1045302" spans="1:14" s="83" customFormat="1" ht="12.75">
      <c r="A1045302" s="19"/>
      <c r="B1045302" s="19"/>
      <c r="C1045302" s="19"/>
      <c r="D1045302" s="19"/>
      <c r="E1045302" s="19"/>
      <c r="F1045302" s="19"/>
      <c r="G1045302" s="19"/>
      <c r="H1045302" s="19"/>
      <c r="I1045302" s="19"/>
      <c r="J1045302" s="19"/>
      <c r="K1045302" s="19"/>
      <c r="L1045302" s="19"/>
      <c r="M1045302" s="19"/>
      <c r="N1045302" s="19"/>
    </row>
    <row r="1045303" spans="1:14" s="83" customFormat="1" ht="12.75">
      <c r="A1045303" s="19"/>
      <c r="B1045303" s="19"/>
      <c r="C1045303" s="19"/>
      <c r="D1045303" s="19"/>
      <c r="E1045303" s="19"/>
      <c r="F1045303" s="19"/>
      <c r="G1045303" s="19"/>
      <c r="H1045303" s="19"/>
      <c r="I1045303" s="19"/>
      <c r="J1045303" s="19"/>
      <c r="K1045303" s="19"/>
      <c r="L1045303" s="19"/>
      <c r="M1045303" s="19"/>
      <c r="N1045303" s="19"/>
    </row>
    <row r="1045304" spans="1:14" s="83" customFormat="1" ht="12.75">
      <c r="A1045304" s="19"/>
      <c r="B1045304" s="19"/>
      <c r="C1045304" s="19"/>
      <c r="D1045304" s="19"/>
      <c r="E1045304" s="19"/>
      <c r="F1045304" s="19"/>
      <c r="G1045304" s="19"/>
      <c r="H1045304" s="19"/>
      <c r="I1045304" s="19"/>
      <c r="J1045304" s="19"/>
      <c r="K1045304" s="19"/>
      <c r="L1045304" s="19"/>
      <c r="M1045304" s="19"/>
      <c r="N1045304" s="19"/>
    </row>
    <row r="1045305" spans="1:14" s="83" customFormat="1" ht="12.75">
      <c r="A1045305" s="19"/>
      <c r="B1045305" s="19"/>
      <c r="C1045305" s="19"/>
      <c r="D1045305" s="19"/>
      <c r="E1045305" s="19"/>
      <c r="F1045305" s="19"/>
      <c r="G1045305" s="19"/>
      <c r="H1045305" s="19"/>
      <c r="I1045305" s="19"/>
      <c r="J1045305" s="19"/>
      <c r="K1045305" s="19"/>
      <c r="L1045305" s="19"/>
      <c r="M1045305" s="19"/>
      <c r="N1045305" s="19"/>
    </row>
    <row r="1045306" spans="1:14" s="83" customFormat="1" ht="12.75">
      <c r="A1045306" s="19"/>
      <c r="B1045306" s="19"/>
      <c r="C1045306" s="19"/>
      <c r="D1045306" s="19"/>
      <c r="E1045306" s="19"/>
      <c r="F1045306" s="19"/>
      <c r="G1045306" s="19"/>
      <c r="H1045306" s="19"/>
      <c r="I1045306" s="19"/>
      <c r="J1045306" s="19"/>
      <c r="K1045306" s="19"/>
      <c r="L1045306" s="19"/>
      <c r="M1045306" s="19"/>
      <c r="N1045306" s="19"/>
    </row>
    <row r="1045307" spans="1:14" s="83" customFormat="1" ht="12.75">
      <c r="A1045307" s="19"/>
      <c r="B1045307" s="19"/>
      <c r="C1045307" s="19"/>
      <c r="D1045307" s="19"/>
      <c r="E1045307" s="19"/>
      <c r="F1045307" s="19"/>
      <c r="G1045307" s="19"/>
      <c r="H1045307" s="19"/>
      <c r="I1045307" s="19"/>
      <c r="J1045307" s="19"/>
      <c r="K1045307" s="19"/>
      <c r="L1045307" s="19"/>
      <c r="M1045307" s="19"/>
      <c r="N1045307" s="19"/>
    </row>
    <row r="1045308" spans="1:14" s="83" customFormat="1" ht="12.75">
      <c r="A1045308" s="19"/>
      <c r="B1045308" s="19"/>
      <c r="C1045308" s="19"/>
      <c r="D1045308" s="19"/>
      <c r="E1045308" s="19"/>
      <c r="F1045308" s="19"/>
      <c r="G1045308" s="19"/>
      <c r="H1045308" s="19"/>
      <c r="I1045308" s="19"/>
      <c r="J1045308" s="19"/>
      <c r="K1045308" s="19"/>
      <c r="L1045308" s="19"/>
      <c r="M1045308" s="19"/>
      <c r="N1045308" s="19"/>
    </row>
    <row r="1045309" spans="1:14" s="83" customFormat="1" ht="12.75">
      <c r="A1045309" s="19"/>
      <c r="B1045309" s="19"/>
      <c r="C1045309" s="19"/>
      <c r="D1045309" s="19"/>
      <c r="E1045309" s="19"/>
      <c r="F1045309" s="19"/>
      <c r="G1045309" s="19"/>
      <c r="H1045309" s="19"/>
      <c r="I1045309" s="19"/>
      <c r="J1045309" s="19"/>
      <c r="K1045309" s="19"/>
      <c r="L1045309" s="19"/>
      <c r="M1045309" s="19"/>
      <c r="N1045309" s="19"/>
    </row>
    <row r="1045310" spans="1:14" s="83" customFormat="1" ht="12.75">
      <c r="A1045310" s="19"/>
      <c r="B1045310" s="19"/>
      <c r="C1045310" s="19"/>
      <c r="D1045310" s="19"/>
      <c r="E1045310" s="19"/>
      <c r="F1045310" s="19"/>
      <c r="G1045310" s="19"/>
      <c r="H1045310" s="19"/>
      <c r="I1045310" s="19"/>
      <c r="J1045310" s="19"/>
      <c r="K1045310" s="19"/>
      <c r="L1045310" s="19"/>
      <c r="M1045310" s="19"/>
      <c r="N1045310" s="19"/>
    </row>
    <row r="1045311" spans="1:14" s="83" customFormat="1" ht="12.75">
      <c r="A1045311" s="19"/>
      <c r="B1045311" s="19"/>
      <c r="C1045311" s="19"/>
      <c r="D1045311" s="19"/>
      <c r="E1045311" s="19"/>
      <c r="F1045311" s="19"/>
      <c r="G1045311" s="19"/>
      <c r="H1045311" s="19"/>
      <c r="I1045311" s="19"/>
      <c r="J1045311" s="19"/>
      <c r="K1045311" s="19"/>
      <c r="L1045311" s="19"/>
      <c r="M1045311" s="19"/>
      <c r="N1045311" s="19"/>
    </row>
    <row r="1045312" spans="1:14" s="83" customFormat="1" ht="12.75">
      <c r="A1045312" s="19"/>
      <c r="B1045312" s="19"/>
      <c r="C1045312" s="19"/>
      <c r="D1045312" s="19"/>
      <c r="E1045312" s="19"/>
      <c r="F1045312" s="19"/>
      <c r="G1045312" s="19"/>
      <c r="H1045312" s="19"/>
      <c r="I1045312" s="19"/>
      <c r="J1045312" s="19"/>
      <c r="K1045312" s="19"/>
      <c r="L1045312" s="19"/>
      <c r="M1045312" s="19"/>
      <c r="N1045312" s="19"/>
    </row>
    <row r="1045313" spans="1:14" s="83" customFormat="1" ht="12.75">
      <c r="A1045313" s="19"/>
      <c r="B1045313" s="19"/>
      <c r="C1045313" s="19"/>
      <c r="D1045313" s="19"/>
      <c r="E1045313" s="19"/>
      <c r="F1045313" s="19"/>
      <c r="G1045313" s="19"/>
      <c r="H1045313" s="19"/>
      <c r="I1045313" s="19"/>
      <c r="J1045313" s="19"/>
      <c r="K1045313" s="19"/>
      <c r="L1045313" s="19"/>
      <c r="M1045313" s="19"/>
      <c r="N1045313" s="19"/>
    </row>
    <row r="1045314" spans="1:14" s="83" customFormat="1" ht="12.75">
      <c r="A1045314" s="19"/>
      <c r="B1045314" s="19"/>
      <c r="C1045314" s="19"/>
      <c r="D1045314" s="19"/>
      <c r="E1045314" s="19"/>
      <c r="F1045314" s="19"/>
      <c r="G1045314" s="19"/>
      <c r="H1045314" s="19"/>
      <c r="I1045314" s="19"/>
      <c r="J1045314" s="19"/>
      <c r="K1045314" s="19"/>
      <c r="L1045314" s="19"/>
      <c r="M1045314" s="19"/>
      <c r="N1045314" s="19"/>
    </row>
    <row r="1045315" spans="1:14" s="83" customFormat="1" ht="12.75">
      <c r="A1045315" s="19"/>
      <c r="B1045315" s="19"/>
      <c r="C1045315" s="19"/>
      <c r="D1045315" s="19"/>
      <c r="E1045315" s="19"/>
      <c r="F1045315" s="19"/>
      <c r="G1045315" s="19"/>
      <c r="H1045315" s="19"/>
      <c r="I1045315" s="19"/>
      <c r="J1045315" s="19"/>
      <c r="K1045315" s="19"/>
      <c r="L1045315" s="19"/>
      <c r="M1045315" s="19"/>
      <c r="N1045315" s="19"/>
    </row>
    <row r="1045316" spans="1:14" s="83" customFormat="1" ht="12.75">
      <c r="A1045316" s="19"/>
      <c r="B1045316" s="19"/>
      <c r="C1045316" s="19"/>
      <c r="D1045316" s="19"/>
      <c r="E1045316" s="19"/>
      <c r="F1045316" s="19"/>
      <c r="G1045316" s="19"/>
      <c r="H1045316" s="19"/>
      <c r="I1045316" s="19"/>
      <c r="J1045316" s="19"/>
      <c r="K1045316" s="19"/>
      <c r="L1045316" s="19"/>
      <c r="M1045316" s="19"/>
      <c r="N1045316" s="19"/>
    </row>
    <row r="1045317" spans="1:14" s="83" customFormat="1" ht="12.75">
      <c r="A1045317" s="19"/>
      <c r="B1045317" s="19"/>
      <c r="C1045317" s="19"/>
      <c r="D1045317" s="19"/>
      <c r="E1045317" s="19"/>
      <c r="F1045317" s="19"/>
      <c r="G1045317" s="19"/>
      <c r="H1045317" s="19"/>
      <c r="I1045317" s="19"/>
      <c r="J1045317" s="19"/>
      <c r="K1045317" s="19"/>
      <c r="L1045317" s="19"/>
      <c r="M1045317" s="19"/>
      <c r="N1045317" s="19"/>
    </row>
    <row r="1045318" spans="1:14" s="83" customFormat="1" ht="12.75">
      <c r="A1045318" s="19"/>
      <c r="B1045318" s="19"/>
      <c r="C1045318" s="19"/>
      <c r="D1045318" s="19"/>
      <c r="E1045318" s="19"/>
      <c r="F1045318" s="19"/>
      <c r="G1045318" s="19"/>
      <c r="H1045318" s="19"/>
      <c r="I1045318" s="19"/>
      <c r="J1045318" s="19"/>
      <c r="K1045318" s="19"/>
      <c r="L1045318" s="19"/>
      <c r="M1045318" s="19"/>
      <c r="N1045318" s="19"/>
    </row>
    <row r="1045319" spans="1:14" s="83" customFormat="1" ht="12.75">
      <c r="A1045319" s="19"/>
      <c r="B1045319" s="19"/>
      <c r="C1045319" s="19"/>
      <c r="D1045319" s="19"/>
      <c r="E1045319" s="19"/>
      <c r="F1045319" s="19"/>
      <c r="G1045319" s="19"/>
      <c r="H1045319" s="19"/>
      <c r="I1045319" s="19"/>
      <c r="J1045319" s="19"/>
      <c r="K1045319" s="19"/>
      <c r="L1045319" s="19"/>
      <c r="M1045319" s="19"/>
      <c r="N1045319" s="19"/>
    </row>
    <row r="1045320" spans="1:14" s="83" customFormat="1" ht="12.75">
      <c r="A1045320" s="19"/>
      <c r="B1045320" s="19"/>
      <c r="C1045320" s="19"/>
      <c r="D1045320" s="19"/>
      <c r="E1045320" s="19"/>
      <c r="F1045320" s="19"/>
      <c r="G1045320" s="19"/>
      <c r="H1045320" s="19"/>
      <c r="I1045320" s="19"/>
      <c r="J1045320" s="19"/>
      <c r="K1045320" s="19"/>
      <c r="L1045320" s="19"/>
      <c r="M1045320" s="19"/>
      <c r="N1045320" s="19"/>
    </row>
    <row r="1045321" spans="1:14" s="83" customFormat="1" ht="12.75">
      <c r="A1045321" s="19"/>
      <c r="B1045321" s="19"/>
      <c r="C1045321" s="19"/>
      <c r="D1045321" s="19"/>
      <c r="E1045321" s="19"/>
      <c r="F1045321" s="19"/>
      <c r="G1045321" s="19"/>
      <c r="H1045321" s="19"/>
      <c r="I1045321" s="19"/>
      <c r="J1045321" s="19"/>
      <c r="K1045321" s="19"/>
      <c r="L1045321" s="19"/>
      <c r="M1045321" s="19"/>
      <c r="N1045321" s="19"/>
    </row>
    <row r="1045322" spans="1:14" s="83" customFormat="1" ht="12.75">
      <c r="A1045322" s="19"/>
      <c r="B1045322" s="19"/>
      <c r="C1045322" s="19"/>
      <c r="D1045322" s="19"/>
      <c r="E1045322" s="19"/>
      <c r="F1045322" s="19"/>
      <c r="G1045322" s="19"/>
      <c r="H1045322" s="19"/>
      <c r="I1045322" s="19"/>
      <c r="J1045322" s="19"/>
      <c r="K1045322" s="19"/>
      <c r="L1045322" s="19"/>
      <c r="M1045322" s="19"/>
      <c r="N1045322" s="19"/>
    </row>
    <row r="1045323" spans="1:14" s="83" customFormat="1" ht="12.75">
      <c r="A1045323" s="19"/>
      <c r="B1045323" s="19"/>
      <c r="C1045323" s="19"/>
      <c r="D1045323" s="19"/>
      <c r="E1045323" s="19"/>
      <c r="F1045323" s="19"/>
      <c r="G1045323" s="19"/>
      <c r="H1045323" s="19"/>
      <c r="I1045323" s="19"/>
      <c r="J1045323" s="19"/>
      <c r="K1045323" s="19"/>
      <c r="L1045323" s="19"/>
      <c r="M1045323" s="19"/>
      <c r="N1045323" s="19"/>
    </row>
    <row r="1045324" spans="1:14" s="83" customFormat="1" ht="12.75">
      <c r="A1045324" s="19"/>
      <c r="B1045324" s="19"/>
      <c r="C1045324" s="19"/>
      <c r="D1045324" s="19"/>
      <c r="E1045324" s="19"/>
      <c r="F1045324" s="19"/>
      <c r="G1045324" s="19"/>
      <c r="H1045324" s="19"/>
      <c r="I1045324" s="19"/>
      <c r="J1045324" s="19"/>
      <c r="K1045324" s="19"/>
      <c r="L1045324" s="19"/>
      <c r="M1045324" s="19"/>
      <c r="N1045324" s="19"/>
    </row>
    <row r="1045325" spans="1:14" s="83" customFormat="1" ht="12.75">
      <c r="A1045325" s="19"/>
      <c r="B1045325" s="19"/>
      <c r="C1045325" s="19"/>
      <c r="D1045325" s="19"/>
      <c r="E1045325" s="19"/>
      <c r="F1045325" s="19"/>
      <c r="G1045325" s="19"/>
      <c r="H1045325" s="19"/>
      <c r="I1045325" s="19"/>
      <c r="J1045325" s="19"/>
      <c r="K1045325" s="19"/>
      <c r="L1045325" s="19"/>
      <c r="M1045325" s="19"/>
      <c r="N1045325" s="19"/>
    </row>
    <row r="1045326" spans="1:14" s="83" customFormat="1" ht="12.75">
      <c r="A1045326" s="19"/>
      <c r="B1045326" s="19"/>
      <c r="C1045326" s="19"/>
      <c r="D1045326" s="19"/>
      <c r="E1045326" s="19"/>
      <c r="F1045326" s="19"/>
      <c r="G1045326" s="19"/>
      <c r="H1045326" s="19"/>
      <c r="I1045326" s="19"/>
      <c r="J1045326" s="19"/>
      <c r="K1045326" s="19"/>
      <c r="L1045326" s="19"/>
      <c r="M1045326" s="19"/>
      <c r="N1045326" s="19"/>
    </row>
    <row r="1045327" spans="1:14" s="83" customFormat="1" ht="12.75">
      <c r="A1045327" s="19"/>
      <c r="B1045327" s="19"/>
      <c r="C1045327" s="19"/>
      <c r="D1045327" s="19"/>
      <c r="E1045327" s="19"/>
      <c r="F1045327" s="19"/>
      <c r="G1045327" s="19"/>
      <c r="H1045327" s="19"/>
      <c r="I1045327" s="19"/>
      <c r="J1045327" s="19"/>
      <c r="K1045327" s="19"/>
      <c r="L1045327" s="19"/>
      <c r="M1045327" s="19"/>
      <c r="N1045327" s="19"/>
    </row>
    <row r="1045328" spans="1:14" s="83" customFormat="1" ht="12.75">
      <c r="A1045328" s="19"/>
      <c r="B1045328" s="19"/>
      <c r="C1045328" s="19"/>
      <c r="D1045328" s="19"/>
      <c r="E1045328" s="19"/>
      <c r="F1045328" s="19"/>
      <c r="G1045328" s="19"/>
      <c r="H1045328" s="19"/>
      <c r="I1045328" s="19"/>
      <c r="J1045328" s="19"/>
      <c r="K1045328" s="19"/>
      <c r="L1045328" s="19"/>
      <c r="M1045328" s="19"/>
      <c r="N1045328" s="19"/>
    </row>
    <row r="1045329" spans="1:14" s="83" customFormat="1" ht="12.75">
      <c r="A1045329" s="19"/>
      <c r="B1045329" s="19"/>
      <c r="C1045329" s="19"/>
      <c r="D1045329" s="19"/>
      <c r="E1045329" s="19"/>
      <c r="F1045329" s="19"/>
      <c r="G1045329" s="19"/>
      <c r="H1045329" s="19"/>
      <c r="I1045329" s="19"/>
      <c r="J1045329" s="19"/>
      <c r="K1045329" s="19"/>
      <c r="L1045329" s="19"/>
      <c r="M1045329" s="19"/>
      <c r="N1045329" s="19"/>
    </row>
    <row r="1045330" spans="1:14" s="83" customFormat="1" ht="12.75">
      <c r="A1045330" s="19"/>
      <c r="B1045330" s="19"/>
      <c r="C1045330" s="19"/>
      <c r="D1045330" s="19"/>
      <c r="E1045330" s="19"/>
      <c r="F1045330" s="19"/>
      <c r="G1045330" s="19"/>
      <c r="H1045330" s="19"/>
      <c r="I1045330" s="19"/>
      <c r="J1045330" s="19"/>
      <c r="K1045330" s="19"/>
      <c r="L1045330" s="19"/>
      <c r="M1045330" s="19"/>
      <c r="N1045330" s="19"/>
    </row>
    <row r="1045331" spans="1:14" s="83" customFormat="1" ht="12.75">
      <c r="A1045331" s="19"/>
      <c r="B1045331" s="19"/>
      <c r="C1045331" s="19"/>
      <c r="D1045331" s="19"/>
      <c r="E1045331" s="19"/>
      <c r="F1045331" s="19"/>
      <c r="G1045331" s="19"/>
      <c r="H1045331" s="19"/>
      <c r="I1045331" s="19"/>
      <c r="J1045331" s="19"/>
      <c r="K1045331" s="19"/>
      <c r="L1045331" s="19"/>
      <c r="M1045331" s="19"/>
      <c r="N1045331" s="19"/>
    </row>
    <row r="1045332" spans="1:14" s="83" customFormat="1" ht="12.75">
      <c r="A1045332" s="19"/>
      <c r="B1045332" s="19"/>
      <c r="C1045332" s="19"/>
      <c r="D1045332" s="19"/>
      <c r="E1045332" s="19"/>
      <c r="F1045332" s="19"/>
      <c r="G1045332" s="19"/>
      <c r="H1045332" s="19"/>
      <c r="I1045332" s="19"/>
      <c r="J1045332" s="19"/>
      <c r="K1045332" s="19"/>
      <c r="L1045332" s="19"/>
      <c r="M1045332" s="19"/>
      <c r="N1045332" s="19"/>
    </row>
    <row r="1045333" spans="1:14" s="83" customFormat="1" ht="12.75">
      <c r="A1045333" s="19"/>
      <c r="B1045333" s="19"/>
      <c r="C1045333" s="19"/>
      <c r="D1045333" s="19"/>
      <c r="E1045333" s="19"/>
      <c r="F1045333" s="19"/>
      <c r="G1045333" s="19"/>
      <c r="H1045333" s="19"/>
      <c r="I1045333" s="19"/>
      <c r="J1045333" s="19"/>
      <c r="K1045333" s="19"/>
      <c r="L1045333" s="19"/>
      <c r="M1045333" s="19"/>
      <c r="N1045333" s="19"/>
    </row>
    <row r="1045334" spans="1:14" s="83" customFormat="1" ht="12.75">
      <c r="A1045334" s="19"/>
      <c r="B1045334" s="19"/>
      <c r="C1045334" s="19"/>
      <c r="D1045334" s="19"/>
      <c r="E1045334" s="19"/>
      <c r="F1045334" s="19"/>
      <c r="G1045334" s="19"/>
      <c r="H1045334" s="19"/>
      <c r="I1045334" s="19"/>
      <c r="J1045334" s="19"/>
      <c r="K1045334" s="19"/>
      <c r="L1045334" s="19"/>
      <c r="M1045334" s="19"/>
      <c r="N1045334" s="19"/>
    </row>
    <row r="1045335" spans="1:14" s="83" customFormat="1" ht="12.75">
      <c r="A1045335" s="19"/>
      <c r="B1045335" s="19"/>
      <c r="C1045335" s="19"/>
      <c r="D1045335" s="19"/>
      <c r="E1045335" s="19"/>
      <c r="F1045335" s="19"/>
      <c r="G1045335" s="19"/>
      <c r="H1045335" s="19"/>
      <c r="I1045335" s="19"/>
      <c r="J1045335" s="19"/>
      <c r="K1045335" s="19"/>
      <c r="L1045335" s="19"/>
      <c r="M1045335" s="19"/>
      <c r="N1045335" s="19"/>
    </row>
    <row r="1045336" spans="1:14" s="83" customFormat="1" ht="12.75">
      <c r="A1045336" s="19"/>
      <c r="B1045336" s="19"/>
      <c r="C1045336" s="19"/>
      <c r="D1045336" s="19"/>
      <c r="E1045336" s="19"/>
      <c r="F1045336" s="19"/>
      <c r="G1045336" s="19"/>
      <c r="H1045336" s="19"/>
      <c r="I1045336" s="19"/>
      <c r="J1045336" s="19"/>
      <c r="K1045336" s="19"/>
      <c r="L1045336" s="19"/>
      <c r="M1045336" s="19"/>
      <c r="N1045336" s="19"/>
    </row>
    <row r="1045337" spans="1:14" s="83" customFormat="1" ht="12.75">
      <c r="A1045337" s="19"/>
      <c r="B1045337" s="19"/>
      <c r="C1045337" s="19"/>
      <c r="D1045337" s="19"/>
      <c r="E1045337" s="19"/>
      <c r="F1045337" s="19"/>
      <c r="G1045337" s="19"/>
      <c r="H1045337" s="19"/>
      <c r="I1045337" s="19"/>
      <c r="J1045337" s="19"/>
      <c r="K1045337" s="19"/>
      <c r="L1045337" s="19"/>
      <c r="M1045337" s="19"/>
      <c r="N1045337" s="19"/>
    </row>
    <row r="1045338" spans="1:14" s="83" customFormat="1" ht="12.75">
      <c r="A1045338" s="19"/>
      <c r="B1045338" s="19"/>
      <c r="C1045338" s="19"/>
      <c r="D1045338" s="19"/>
      <c r="E1045338" s="19"/>
      <c r="F1045338" s="19"/>
      <c r="G1045338" s="19"/>
      <c r="H1045338" s="19"/>
      <c r="I1045338" s="19"/>
      <c r="J1045338" s="19"/>
      <c r="K1045338" s="19"/>
      <c r="L1045338" s="19"/>
      <c r="M1045338" s="19"/>
      <c r="N1045338" s="19"/>
    </row>
    <row r="1045339" spans="1:14" s="83" customFormat="1" ht="12.75">
      <c r="A1045339" s="19"/>
      <c r="B1045339" s="19"/>
      <c r="C1045339" s="19"/>
      <c r="D1045339" s="19"/>
      <c r="E1045339" s="19"/>
      <c r="F1045339" s="19"/>
      <c r="G1045339" s="19"/>
      <c r="H1045339" s="19"/>
      <c r="I1045339" s="19"/>
      <c r="J1045339" s="19"/>
      <c r="K1045339" s="19"/>
      <c r="L1045339" s="19"/>
      <c r="M1045339" s="19"/>
      <c r="N1045339" s="19"/>
    </row>
    <row r="1045340" spans="1:14" s="83" customFormat="1" ht="12.75">
      <c r="A1045340" s="19"/>
      <c r="B1045340" s="19"/>
      <c r="C1045340" s="19"/>
      <c r="D1045340" s="19"/>
      <c r="E1045340" s="19"/>
      <c r="F1045340" s="19"/>
      <c r="G1045340" s="19"/>
      <c r="H1045340" s="19"/>
      <c r="I1045340" s="19"/>
      <c r="J1045340" s="19"/>
      <c r="K1045340" s="19"/>
      <c r="L1045340" s="19"/>
      <c r="M1045340" s="19"/>
      <c r="N1045340" s="19"/>
    </row>
    <row r="1045341" spans="1:14" s="83" customFormat="1" ht="12.75">
      <c r="A1045341" s="19"/>
      <c r="B1045341" s="19"/>
      <c r="C1045341" s="19"/>
      <c r="D1045341" s="19"/>
      <c r="E1045341" s="19"/>
      <c r="F1045341" s="19"/>
      <c r="G1045341" s="19"/>
      <c r="H1045341" s="19"/>
      <c r="I1045341" s="19"/>
      <c r="J1045341" s="19"/>
      <c r="K1045341" s="19"/>
      <c r="L1045341" s="19"/>
      <c r="M1045341" s="19"/>
      <c r="N1045341" s="19"/>
    </row>
    <row r="1045342" spans="1:14" s="83" customFormat="1" ht="12.75">
      <c r="A1045342" s="19"/>
      <c r="B1045342" s="19"/>
      <c r="C1045342" s="19"/>
      <c r="D1045342" s="19"/>
      <c r="E1045342" s="19"/>
      <c r="F1045342" s="19"/>
      <c r="G1045342" s="19"/>
      <c r="H1045342" s="19"/>
      <c r="I1045342" s="19"/>
      <c r="J1045342" s="19"/>
      <c r="K1045342" s="19"/>
      <c r="L1045342" s="19"/>
      <c r="M1045342" s="19"/>
      <c r="N1045342" s="19"/>
    </row>
    <row r="1045343" spans="1:14" s="83" customFormat="1" ht="12.75">
      <c r="A1045343" s="19"/>
      <c r="B1045343" s="19"/>
      <c r="C1045343" s="19"/>
      <c r="D1045343" s="19"/>
      <c r="E1045343" s="19"/>
      <c r="F1045343" s="19"/>
      <c r="G1045343" s="19"/>
      <c r="H1045343" s="19"/>
      <c r="I1045343" s="19"/>
      <c r="J1045343" s="19"/>
      <c r="K1045343" s="19"/>
      <c r="L1045343" s="19"/>
      <c r="M1045343" s="19"/>
      <c r="N1045343" s="19"/>
    </row>
    <row r="1045344" spans="1:14" s="83" customFormat="1" ht="12.75">
      <c r="A1045344" s="19"/>
      <c r="B1045344" s="19"/>
      <c r="C1045344" s="19"/>
      <c r="D1045344" s="19"/>
      <c r="E1045344" s="19"/>
      <c r="F1045344" s="19"/>
      <c r="G1045344" s="19"/>
      <c r="H1045344" s="19"/>
      <c r="I1045344" s="19"/>
      <c r="J1045344" s="19"/>
      <c r="K1045344" s="19"/>
      <c r="L1045344" s="19"/>
      <c r="M1045344" s="19"/>
      <c r="N1045344" s="19"/>
    </row>
    <row r="1045345" spans="1:14" s="83" customFormat="1" ht="12.75">
      <c r="A1045345" s="19"/>
      <c r="B1045345" s="19"/>
      <c r="C1045345" s="19"/>
      <c r="D1045345" s="19"/>
      <c r="E1045345" s="19"/>
      <c r="F1045345" s="19"/>
      <c r="G1045345" s="19"/>
      <c r="H1045345" s="19"/>
      <c r="I1045345" s="19"/>
      <c r="J1045345" s="19"/>
      <c r="K1045345" s="19"/>
      <c r="L1045345" s="19"/>
      <c r="M1045345" s="19"/>
      <c r="N1045345" s="19"/>
    </row>
    <row r="1045346" spans="1:14" s="83" customFormat="1" ht="12.75">
      <c r="A1045346" s="19"/>
      <c r="B1045346" s="19"/>
      <c r="C1045346" s="19"/>
      <c r="D1045346" s="19"/>
      <c r="E1045346" s="19"/>
      <c r="F1045346" s="19"/>
      <c r="G1045346" s="19"/>
      <c r="H1045346" s="19"/>
      <c r="I1045346" s="19"/>
      <c r="J1045346" s="19"/>
      <c r="K1045346" s="19"/>
      <c r="L1045346" s="19"/>
      <c r="M1045346" s="19"/>
      <c r="N1045346" s="19"/>
    </row>
    <row r="1045347" spans="1:14" s="83" customFormat="1" ht="12.75">
      <c r="A1045347" s="19"/>
      <c r="B1045347" s="19"/>
      <c r="C1045347" s="19"/>
      <c r="D1045347" s="19"/>
      <c r="E1045347" s="19"/>
      <c r="F1045347" s="19"/>
      <c r="G1045347" s="19"/>
      <c r="H1045347" s="19"/>
      <c r="I1045347" s="19"/>
      <c r="J1045347" s="19"/>
      <c r="K1045347" s="19"/>
      <c r="L1045347" s="19"/>
      <c r="M1045347" s="19"/>
      <c r="N1045347" s="19"/>
    </row>
    <row r="1045348" spans="1:14" s="83" customFormat="1" ht="12.75">
      <c r="A1045348" s="19"/>
      <c r="B1045348" s="19"/>
      <c r="C1045348" s="19"/>
      <c r="D1045348" s="19"/>
      <c r="E1045348" s="19"/>
      <c r="F1045348" s="19"/>
      <c r="G1045348" s="19"/>
      <c r="H1045348" s="19"/>
      <c r="I1045348" s="19"/>
      <c r="J1045348" s="19"/>
      <c r="K1045348" s="19"/>
      <c r="L1045348" s="19"/>
      <c r="M1045348" s="19"/>
      <c r="N1045348" s="19"/>
    </row>
    <row r="1045349" spans="1:14" s="83" customFormat="1" ht="12.75">
      <c r="A1045349" s="19"/>
      <c r="B1045349" s="19"/>
      <c r="C1045349" s="19"/>
      <c r="D1045349" s="19"/>
      <c r="E1045349" s="19"/>
      <c r="F1045349" s="19"/>
      <c r="G1045349" s="19"/>
      <c r="H1045349" s="19"/>
      <c r="I1045349" s="19"/>
      <c r="J1045349" s="19"/>
      <c r="K1045349" s="19"/>
      <c r="L1045349" s="19"/>
      <c r="M1045349" s="19"/>
      <c r="N1045349" s="19"/>
    </row>
    <row r="1045350" spans="1:14" s="83" customFormat="1" ht="12.75">
      <c r="A1045350" s="19"/>
      <c r="B1045350" s="19"/>
      <c r="C1045350" s="19"/>
      <c r="D1045350" s="19"/>
      <c r="E1045350" s="19"/>
      <c r="F1045350" s="19"/>
      <c r="G1045350" s="19"/>
      <c r="H1045350" s="19"/>
      <c r="I1045350" s="19"/>
      <c r="J1045350" s="19"/>
      <c r="K1045350" s="19"/>
      <c r="L1045350" s="19"/>
      <c r="M1045350" s="19"/>
      <c r="N1045350" s="19"/>
    </row>
    <row r="1045351" spans="1:14" s="83" customFormat="1" ht="12.75">
      <c r="A1045351" s="19"/>
      <c r="B1045351" s="19"/>
      <c r="C1045351" s="19"/>
      <c r="D1045351" s="19"/>
      <c r="E1045351" s="19"/>
      <c r="F1045351" s="19"/>
      <c r="G1045351" s="19"/>
      <c r="H1045351" s="19"/>
      <c r="I1045351" s="19"/>
      <c r="J1045351" s="19"/>
      <c r="K1045351" s="19"/>
      <c r="L1045351" s="19"/>
      <c r="M1045351" s="19"/>
      <c r="N1045351" s="19"/>
    </row>
    <row r="1045352" spans="1:14" s="83" customFormat="1" ht="12.75">
      <c r="A1045352" s="19"/>
      <c r="B1045352" s="19"/>
      <c r="C1045352" s="19"/>
      <c r="D1045352" s="19"/>
      <c r="E1045352" s="19"/>
      <c r="F1045352" s="19"/>
      <c r="G1045352" s="19"/>
      <c r="H1045352" s="19"/>
      <c r="I1045352" s="19"/>
      <c r="J1045352" s="19"/>
      <c r="K1045352" s="19"/>
      <c r="L1045352" s="19"/>
      <c r="M1045352" s="19"/>
      <c r="N1045352" s="19"/>
    </row>
    <row r="1045353" spans="1:14" s="83" customFormat="1" ht="12.75">
      <c r="A1045353" s="19"/>
      <c r="B1045353" s="19"/>
      <c r="C1045353" s="19"/>
      <c r="D1045353" s="19"/>
      <c r="E1045353" s="19"/>
      <c r="F1045353" s="19"/>
      <c r="G1045353" s="19"/>
      <c r="H1045353" s="19"/>
      <c r="I1045353" s="19"/>
      <c r="J1045353" s="19"/>
      <c r="K1045353" s="19"/>
      <c r="L1045353" s="19"/>
      <c r="M1045353" s="19"/>
      <c r="N1045353" s="19"/>
    </row>
    <row r="1045354" spans="1:14" s="83" customFormat="1" ht="12.75">
      <c r="A1045354" s="19"/>
      <c r="B1045354" s="19"/>
      <c r="C1045354" s="19"/>
      <c r="D1045354" s="19"/>
      <c r="E1045354" s="19"/>
      <c r="F1045354" s="19"/>
      <c r="G1045354" s="19"/>
      <c r="H1045354" s="19"/>
      <c r="I1045354" s="19"/>
      <c r="J1045354" s="19"/>
      <c r="K1045354" s="19"/>
      <c r="L1045354" s="19"/>
      <c r="M1045354" s="19"/>
      <c r="N1045354" s="19"/>
    </row>
    <row r="1045355" spans="1:14" s="83" customFormat="1" ht="12.75">
      <c r="A1045355" s="19"/>
      <c r="B1045355" s="19"/>
      <c r="C1045355" s="19"/>
      <c r="D1045355" s="19"/>
      <c r="E1045355" s="19"/>
      <c r="F1045355" s="19"/>
      <c r="G1045355" s="19"/>
      <c r="H1045355" s="19"/>
      <c r="I1045355" s="19"/>
      <c r="J1045355" s="19"/>
      <c r="K1045355" s="19"/>
      <c r="L1045355" s="19"/>
      <c r="M1045355" s="19"/>
      <c r="N1045355" s="19"/>
    </row>
    <row r="1045356" spans="1:14" s="83" customFormat="1" ht="12.75">
      <c r="A1045356" s="19"/>
      <c r="B1045356" s="19"/>
      <c r="C1045356" s="19"/>
      <c r="D1045356" s="19"/>
      <c r="E1045356" s="19"/>
      <c r="F1045356" s="19"/>
      <c r="G1045356" s="19"/>
      <c r="H1045356" s="19"/>
      <c r="I1045356" s="19"/>
      <c r="J1045356" s="19"/>
      <c r="K1045356" s="19"/>
      <c r="L1045356" s="19"/>
      <c r="M1045356" s="19"/>
      <c r="N1045356" s="19"/>
    </row>
    <row r="1045357" spans="1:14" s="83" customFormat="1" ht="12.75">
      <c r="A1045357" s="19"/>
      <c r="B1045357" s="19"/>
      <c r="C1045357" s="19"/>
      <c r="D1045357" s="19"/>
      <c r="E1045357" s="19"/>
      <c r="F1045357" s="19"/>
      <c r="G1045357" s="19"/>
      <c r="H1045357" s="19"/>
      <c r="I1045357" s="19"/>
      <c r="J1045357" s="19"/>
      <c r="K1045357" s="19"/>
      <c r="L1045357" s="19"/>
      <c r="M1045357" s="19"/>
      <c r="N1045357" s="19"/>
    </row>
    <row r="1045358" spans="1:14" s="83" customFormat="1" ht="12.75">
      <c r="A1045358" s="19"/>
      <c r="B1045358" s="19"/>
      <c r="C1045358" s="19"/>
      <c r="D1045358" s="19"/>
      <c r="E1045358" s="19"/>
      <c r="F1045358" s="19"/>
      <c r="G1045358" s="19"/>
      <c r="H1045358" s="19"/>
      <c r="I1045358" s="19"/>
      <c r="J1045358" s="19"/>
      <c r="K1045358" s="19"/>
      <c r="L1045358" s="19"/>
      <c r="M1045358" s="19"/>
      <c r="N1045358" s="19"/>
    </row>
    <row r="1045359" spans="1:14" s="83" customFormat="1" ht="12.75">
      <c r="A1045359" s="19"/>
      <c r="B1045359" s="19"/>
      <c r="C1045359" s="19"/>
      <c r="D1045359" s="19"/>
      <c r="E1045359" s="19"/>
      <c r="F1045359" s="19"/>
      <c r="G1045359" s="19"/>
      <c r="H1045359" s="19"/>
      <c r="I1045359" s="19"/>
      <c r="J1045359" s="19"/>
      <c r="K1045359" s="19"/>
      <c r="L1045359" s="19"/>
      <c r="M1045359" s="19"/>
      <c r="N1045359" s="19"/>
    </row>
    <row r="1045360" spans="1:14" s="83" customFormat="1" ht="12.75">
      <c r="A1045360" s="19"/>
      <c r="B1045360" s="19"/>
      <c r="C1045360" s="19"/>
      <c r="D1045360" s="19"/>
      <c r="E1045360" s="19"/>
      <c r="F1045360" s="19"/>
      <c r="G1045360" s="19"/>
      <c r="H1045360" s="19"/>
      <c r="I1045360" s="19"/>
      <c r="J1045360" s="19"/>
      <c r="K1045360" s="19"/>
      <c r="L1045360" s="19"/>
      <c r="M1045360" s="19"/>
      <c r="N1045360" s="19"/>
    </row>
    <row r="1045361" spans="1:14" s="83" customFormat="1" ht="12.75">
      <c r="A1045361" s="19"/>
      <c r="B1045361" s="19"/>
      <c r="C1045361" s="19"/>
      <c r="D1045361" s="19"/>
      <c r="E1045361" s="19"/>
      <c r="F1045361" s="19"/>
      <c r="G1045361" s="19"/>
      <c r="H1045361" s="19"/>
      <c r="I1045361" s="19"/>
      <c r="J1045361" s="19"/>
      <c r="K1045361" s="19"/>
      <c r="L1045361" s="19"/>
      <c r="M1045361" s="19"/>
      <c r="N1045361" s="19"/>
    </row>
    <row r="1045362" spans="1:14" s="83" customFormat="1" ht="12.75">
      <c r="A1045362" s="19"/>
      <c r="B1045362" s="19"/>
      <c r="C1045362" s="19"/>
      <c r="D1045362" s="19"/>
      <c r="E1045362" s="19"/>
      <c r="F1045362" s="19"/>
      <c r="G1045362" s="19"/>
      <c r="H1045362" s="19"/>
      <c r="I1045362" s="19"/>
      <c r="J1045362" s="19"/>
      <c r="K1045362" s="19"/>
      <c r="L1045362" s="19"/>
      <c r="M1045362" s="19"/>
      <c r="N1045362" s="19"/>
    </row>
    <row r="1045363" spans="1:14" s="83" customFormat="1" ht="12.75">
      <c r="A1045363" s="19"/>
      <c r="B1045363" s="19"/>
      <c r="C1045363" s="19"/>
      <c r="D1045363" s="19"/>
      <c r="E1045363" s="19"/>
      <c r="F1045363" s="19"/>
      <c r="G1045363" s="19"/>
      <c r="H1045363" s="19"/>
      <c r="I1045363" s="19"/>
      <c r="J1045363" s="19"/>
      <c r="K1045363" s="19"/>
      <c r="L1045363" s="19"/>
      <c r="M1045363" s="19"/>
      <c r="N1045363" s="19"/>
    </row>
    <row r="1045364" spans="1:14" s="83" customFormat="1" ht="12.75">
      <c r="A1045364" s="19"/>
      <c r="B1045364" s="19"/>
      <c r="C1045364" s="19"/>
      <c r="D1045364" s="19"/>
      <c r="E1045364" s="19"/>
      <c r="F1045364" s="19"/>
      <c r="G1045364" s="19"/>
      <c r="H1045364" s="19"/>
      <c r="I1045364" s="19"/>
      <c r="J1045364" s="19"/>
      <c r="K1045364" s="19"/>
      <c r="L1045364" s="19"/>
      <c r="M1045364" s="19"/>
      <c r="N1045364" s="19"/>
    </row>
    <row r="1045365" spans="1:14" s="83" customFormat="1" ht="12.75">
      <c r="A1045365" s="19"/>
      <c r="B1045365" s="19"/>
      <c r="C1045365" s="19"/>
      <c r="D1045365" s="19"/>
      <c r="E1045365" s="19"/>
      <c r="F1045365" s="19"/>
      <c r="G1045365" s="19"/>
      <c r="H1045365" s="19"/>
      <c r="I1045365" s="19"/>
      <c r="J1045365" s="19"/>
      <c r="K1045365" s="19"/>
      <c r="L1045365" s="19"/>
      <c r="M1045365" s="19"/>
      <c r="N1045365" s="19"/>
    </row>
    <row r="1045366" spans="1:14" s="83" customFormat="1" ht="12.75">
      <c r="A1045366" s="19"/>
      <c r="B1045366" s="19"/>
      <c r="C1045366" s="19"/>
      <c r="D1045366" s="19"/>
      <c r="E1045366" s="19"/>
      <c r="F1045366" s="19"/>
      <c r="G1045366" s="19"/>
      <c r="H1045366" s="19"/>
      <c r="I1045366" s="19"/>
      <c r="J1045366" s="19"/>
      <c r="K1045366" s="19"/>
      <c r="L1045366" s="19"/>
      <c r="M1045366" s="19"/>
      <c r="N1045366" s="19"/>
    </row>
    <row r="1045367" spans="1:14" s="83" customFormat="1" ht="12.75">
      <c r="A1045367" s="19"/>
      <c r="B1045367" s="19"/>
      <c r="C1045367" s="19"/>
      <c r="D1045367" s="19"/>
      <c r="E1045367" s="19"/>
      <c r="F1045367" s="19"/>
      <c r="G1045367" s="19"/>
      <c r="H1045367" s="19"/>
      <c r="I1045367" s="19"/>
      <c r="J1045367" s="19"/>
      <c r="K1045367" s="19"/>
      <c r="L1045367" s="19"/>
      <c r="M1045367" s="19"/>
      <c r="N1045367" s="19"/>
    </row>
    <row r="1045368" spans="1:14" s="83" customFormat="1" ht="12.75">
      <c r="A1045368" s="19"/>
      <c r="B1045368" s="19"/>
      <c r="C1045368" s="19"/>
      <c r="D1045368" s="19"/>
      <c r="E1045368" s="19"/>
      <c r="F1045368" s="19"/>
      <c r="G1045368" s="19"/>
      <c r="H1045368" s="19"/>
      <c r="I1045368" s="19"/>
      <c r="J1045368" s="19"/>
      <c r="K1045368" s="19"/>
      <c r="L1045368" s="19"/>
      <c r="M1045368" s="19"/>
      <c r="N1045368" s="19"/>
    </row>
    <row r="1045369" spans="1:14" s="83" customFormat="1" ht="12.75">
      <c r="A1045369" s="19"/>
      <c r="B1045369" s="19"/>
      <c r="C1045369" s="19"/>
      <c r="D1045369" s="19"/>
      <c r="E1045369" s="19"/>
      <c r="F1045369" s="19"/>
      <c r="G1045369" s="19"/>
      <c r="H1045369" s="19"/>
      <c r="I1045369" s="19"/>
      <c r="J1045369" s="19"/>
      <c r="K1045369" s="19"/>
      <c r="L1045369" s="19"/>
      <c r="M1045369" s="19"/>
      <c r="N1045369" s="19"/>
    </row>
    <row r="1045370" spans="1:14" s="83" customFormat="1" ht="12.75">
      <c r="A1045370" s="19"/>
      <c r="B1045370" s="19"/>
      <c r="C1045370" s="19"/>
      <c r="D1045370" s="19"/>
      <c r="E1045370" s="19"/>
      <c r="F1045370" s="19"/>
      <c r="G1045370" s="19"/>
      <c r="H1045370" s="19"/>
      <c r="I1045370" s="19"/>
      <c r="J1045370" s="19"/>
      <c r="K1045370" s="19"/>
      <c r="L1045370" s="19"/>
      <c r="M1045370" s="19"/>
      <c r="N1045370" s="19"/>
    </row>
    <row r="1045371" spans="1:14" s="83" customFormat="1" ht="12.75">
      <c r="A1045371" s="19"/>
      <c r="B1045371" s="19"/>
      <c r="C1045371" s="19"/>
      <c r="D1045371" s="19"/>
      <c r="E1045371" s="19"/>
      <c r="F1045371" s="19"/>
      <c r="G1045371" s="19"/>
      <c r="H1045371" s="19"/>
      <c r="I1045371" s="19"/>
      <c r="J1045371" s="19"/>
      <c r="K1045371" s="19"/>
      <c r="L1045371" s="19"/>
      <c r="M1045371" s="19"/>
      <c r="N1045371" s="19"/>
    </row>
    <row r="1045372" spans="1:14" s="83" customFormat="1" ht="12.75">
      <c r="A1045372" s="19"/>
      <c r="B1045372" s="19"/>
      <c r="C1045372" s="19"/>
      <c r="D1045372" s="19"/>
      <c r="E1045372" s="19"/>
      <c r="F1045372" s="19"/>
      <c r="G1045372" s="19"/>
      <c r="H1045372" s="19"/>
      <c r="I1045372" s="19"/>
      <c r="J1045372" s="19"/>
      <c r="K1045372" s="19"/>
      <c r="L1045372" s="19"/>
      <c r="M1045372" s="19"/>
      <c r="N1045372" s="19"/>
    </row>
    <row r="1045373" spans="1:14" s="83" customFormat="1" ht="12.75">
      <c r="A1045373" s="19"/>
      <c r="B1045373" s="19"/>
      <c r="C1045373" s="19"/>
      <c r="D1045373" s="19"/>
      <c r="E1045373" s="19"/>
      <c r="F1045373" s="19"/>
      <c r="G1045373" s="19"/>
      <c r="H1045373" s="19"/>
      <c r="I1045373" s="19"/>
      <c r="J1045373" s="19"/>
      <c r="K1045373" s="19"/>
      <c r="L1045373" s="19"/>
      <c r="M1045373" s="19"/>
      <c r="N1045373" s="19"/>
    </row>
    <row r="1045374" spans="1:14" s="83" customFormat="1" ht="12.75">
      <c r="A1045374" s="19"/>
      <c r="B1045374" s="19"/>
      <c r="C1045374" s="19"/>
      <c r="D1045374" s="19"/>
      <c r="E1045374" s="19"/>
      <c r="F1045374" s="19"/>
      <c r="G1045374" s="19"/>
      <c r="H1045374" s="19"/>
      <c r="I1045374" s="19"/>
      <c r="J1045374" s="19"/>
      <c r="K1045374" s="19"/>
      <c r="L1045374" s="19"/>
      <c r="M1045374" s="19"/>
      <c r="N1045374" s="19"/>
    </row>
    <row r="1045375" spans="1:14" s="83" customFormat="1" ht="12.75">
      <c r="A1045375" s="19"/>
      <c r="B1045375" s="19"/>
      <c r="C1045375" s="19"/>
      <c r="D1045375" s="19"/>
      <c r="E1045375" s="19"/>
      <c r="F1045375" s="19"/>
      <c r="G1045375" s="19"/>
      <c r="H1045375" s="19"/>
      <c r="I1045375" s="19"/>
      <c r="J1045375" s="19"/>
      <c r="K1045375" s="19"/>
      <c r="L1045375" s="19"/>
      <c r="M1045375" s="19"/>
      <c r="N1045375" s="19"/>
    </row>
    <row r="1045376" spans="1:14" s="83" customFormat="1" ht="12.75">
      <c r="A1045376" s="19"/>
      <c r="B1045376" s="19"/>
      <c r="C1045376" s="19"/>
      <c r="D1045376" s="19"/>
      <c r="E1045376" s="19"/>
      <c r="F1045376" s="19"/>
      <c r="G1045376" s="19"/>
      <c r="H1045376" s="19"/>
      <c r="I1045376" s="19"/>
      <c r="J1045376" s="19"/>
      <c r="K1045376" s="19"/>
      <c r="L1045376" s="19"/>
      <c r="M1045376" s="19"/>
      <c r="N1045376" s="19"/>
    </row>
    <row r="1045377" spans="1:14" s="83" customFormat="1" ht="12.75">
      <c r="A1045377" s="19"/>
      <c r="B1045377" s="19"/>
      <c r="C1045377" s="19"/>
      <c r="D1045377" s="19"/>
      <c r="E1045377" s="19"/>
      <c r="F1045377" s="19"/>
      <c r="G1045377" s="19"/>
      <c r="H1045377" s="19"/>
      <c r="I1045377" s="19"/>
      <c r="J1045377" s="19"/>
      <c r="K1045377" s="19"/>
      <c r="L1045377" s="19"/>
      <c r="M1045377" s="19"/>
      <c r="N1045377" s="19"/>
    </row>
    <row r="1045378" spans="1:14" s="83" customFormat="1" ht="12.75">
      <c r="A1045378" s="19"/>
      <c r="B1045378" s="19"/>
      <c r="C1045378" s="19"/>
      <c r="D1045378" s="19"/>
      <c r="E1045378" s="19"/>
      <c r="F1045378" s="19"/>
      <c r="G1045378" s="19"/>
      <c r="H1045378" s="19"/>
      <c r="I1045378" s="19"/>
      <c r="J1045378" s="19"/>
      <c r="K1045378" s="19"/>
      <c r="L1045378" s="19"/>
      <c r="M1045378" s="19"/>
      <c r="N1045378" s="19"/>
    </row>
    <row r="1045379" spans="1:14" s="83" customFormat="1" ht="12.75">
      <c r="A1045379" s="19"/>
      <c r="B1045379" s="19"/>
      <c r="C1045379" s="19"/>
      <c r="D1045379" s="19"/>
      <c r="E1045379" s="19"/>
      <c r="F1045379" s="19"/>
      <c r="G1045379" s="19"/>
      <c r="H1045379" s="19"/>
      <c r="I1045379" s="19"/>
      <c r="J1045379" s="19"/>
      <c r="K1045379" s="19"/>
      <c r="L1045379" s="19"/>
      <c r="M1045379" s="19"/>
      <c r="N1045379" s="19"/>
    </row>
    <row r="1045380" spans="1:14" s="83" customFormat="1" ht="12.75">
      <c r="A1045380" s="19"/>
      <c r="B1045380" s="19"/>
      <c r="C1045380" s="19"/>
      <c r="D1045380" s="19"/>
      <c r="E1045380" s="19"/>
      <c r="F1045380" s="19"/>
      <c r="G1045380" s="19"/>
      <c r="H1045380" s="19"/>
      <c r="I1045380" s="19"/>
      <c r="J1045380" s="19"/>
      <c r="K1045380" s="19"/>
      <c r="L1045380" s="19"/>
      <c r="M1045380" s="19"/>
      <c r="N1045380" s="19"/>
    </row>
    <row r="1045381" spans="1:14" s="83" customFormat="1" ht="12.75">
      <c r="A1045381" s="19"/>
      <c r="B1045381" s="19"/>
      <c r="C1045381" s="19"/>
      <c r="D1045381" s="19"/>
      <c r="E1045381" s="19"/>
      <c r="F1045381" s="19"/>
      <c r="G1045381" s="19"/>
      <c r="H1045381" s="19"/>
      <c r="I1045381" s="19"/>
      <c r="J1045381" s="19"/>
      <c r="K1045381" s="19"/>
      <c r="L1045381" s="19"/>
      <c r="M1045381" s="19"/>
      <c r="N1045381" s="19"/>
    </row>
    <row r="1045382" spans="1:14" s="83" customFormat="1" ht="12.75">
      <c r="A1045382" s="19"/>
      <c r="B1045382" s="19"/>
      <c r="C1045382" s="19"/>
      <c r="D1045382" s="19"/>
      <c r="E1045382" s="19"/>
      <c r="F1045382" s="19"/>
      <c r="G1045382" s="19"/>
      <c r="H1045382" s="19"/>
      <c r="I1045382" s="19"/>
      <c r="J1045382" s="19"/>
      <c r="K1045382" s="19"/>
      <c r="L1045382" s="19"/>
      <c r="M1045382" s="19"/>
      <c r="N1045382" s="19"/>
    </row>
    <row r="1045383" spans="1:14" s="83" customFormat="1" ht="12.75">
      <c r="A1045383" s="19"/>
      <c r="B1045383" s="19"/>
      <c r="C1045383" s="19"/>
      <c r="D1045383" s="19"/>
      <c r="E1045383" s="19"/>
      <c r="F1045383" s="19"/>
      <c r="G1045383" s="19"/>
      <c r="H1045383" s="19"/>
      <c r="I1045383" s="19"/>
      <c r="J1045383" s="19"/>
      <c r="K1045383" s="19"/>
      <c r="L1045383" s="19"/>
      <c r="M1045383" s="19"/>
      <c r="N1045383" s="19"/>
    </row>
    <row r="1045384" spans="1:14" s="83" customFormat="1" ht="12.75">
      <c r="A1045384" s="19"/>
      <c r="B1045384" s="19"/>
      <c r="C1045384" s="19"/>
      <c r="D1045384" s="19"/>
      <c r="E1045384" s="19"/>
      <c r="F1045384" s="19"/>
      <c r="G1045384" s="19"/>
      <c r="H1045384" s="19"/>
      <c r="I1045384" s="19"/>
      <c r="J1045384" s="19"/>
      <c r="K1045384" s="19"/>
      <c r="L1045384" s="19"/>
      <c r="M1045384" s="19"/>
      <c r="N1045384" s="19"/>
    </row>
    <row r="1045385" spans="1:14" s="83" customFormat="1" ht="12.75">
      <c r="A1045385" s="19"/>
      <c r="B1045385" s="19"/>
      <c r="C1045385" s="19"/>
      <c r="D1045385" s="19"/>
      <c r="E1045385" s="19"/>
      <c r="F1045385" s="19"/>
      <c r="G1045385" s="19"/>
      <c r="H1045385" s="19"/>
      <c r="I1045385" s="19"/>
      <c r="J1045385" s="19"/>
      <c r="K1045385" s="19"/>
      <c r="L1045385" s="19"/>
      <c r="M1045385" s="19"/>
      <c r="N1045385" s="19"/>
    </row>
    <row r="1045386" spans="1:14" s="83" customFormat="1" ht="12.75">
      <c r="A1045386" s="19"/>
      <c r="B1045386" s="19"/>
      <c r="C1045386" s="19"/>
      <c r="D1045386" s="19"/>
      <c r="E1045386" s="19"/>
      <c r="F1045386" s="19"/>
      <c r="G1045386" s="19"/>
      <c r="H1045386" s="19"/>
      <c r="I1045386" s="19"/>
      <c r="J1045386" s="19"/>
      <c r="K1045386" s="19"/>
      <c r="L1045386" s="19"/>
      <c r="M1045386" s="19"/>
      <c r="N1045386" s="19"/>
    </row>
    <row r="1045387" spans="1:14" s="83" customFormat="1" ht="12.75">
      <c r="A1045387" s="19"/>
      <c r="B1045387" s="19"/>
      <c r="C1045387" s="19"/>
      <c r="D1045387" s="19"/>
      <c r="E1045387" s="19"/>
      <c r="F1045387" s="19"/>
      <c r="G1045387" s="19"/>
      <c r="H1045387" s="19"/>
      <c r="I1045387" s="19"/>
      <c r="J1045387" s="19"/>
      <c r="K1045387" s="19"/>
      <c r="L1045387" s="19"/>
      <c r="M1045387" s="19"/>
      <c r="N1045387" s="19"/>
    </row>
    <row r="1045388" spans="1:14" s="83" customFormat="1" ht="12.75">
      <c r="A1045388" s="19"/>
      <c r="B1045388" s="19"/>
      <c r="C1045388" s="19"/>
      <c r="D1045388" s="19"/>
      <c r="E1045388" s="19"/>
      <c r="F1045388" s="19"/>
      <c r="G1045388" s="19"/>
      <c r="H1045388" s="19"/>
      <c r="I1045388" s="19"/>
      <c r="J1045388" s="19"/>
      <c r="K1045388" s="19"/>
      <c r="L1045388" s="19"/>
      <c r="M1045388" s="19"/>
      <c r="N1045388" s="19"/>
    </row>
    <row r="1045389" spans="1:14" s="83" customFormat="1" ht="12.75">
      <c r="A1045389" s="19"/>
      <c r="B1045389" s="19"/>
      <c r="C1045389" s="19"/>
      <c r="D1045389" s="19"/>
      <c r="E1045389" s="19"/>
      <c r="F1045389" s="19"/>
      <c r="G1045389" s="19"/>
      <c r="H1045389" s="19"/>
      <c r="I1045389" s="19"/>
      <c r="J1045389" s="19"/>
      <c r="K1045389" s="19"/>
      <c r="L1045389" s="19"/>
      <c r="M1045389" s="19"/>
      <c r="N1045389" s="19"/>
    </row>
    <row r="1045390" spans="1:14" s="83" customFormat="1" ht="12.75">
      <c r="A1045390" s="19"/>
      <c r="B1045390" s="19"/>
      <c r="C1045390" s="19"/>
      <c r="D1045390" s="19"/>
      <c r="E1045390" s="19"/>
      <c r="F1045390" s="19"/>
      <c r="G1045390" s="19"/>
      <c r="H1045390" s="19"/>
      <c r="I1045390" s="19"/>
      <c r="J1045390" s="19"/>
      <c r="K1045390" s="19"/>
      <c r="L1045390" s="19"/>
      <c r="M1045390" s="19"/>
      <c r="N1045390" s="19"/>
    </row>
    <row r="1045391" spans="1:14" s="83" customFormat="1" ht="12.75">
      <c r="A1045391" s="19"/>
      <c r="B1045391" s="19"/>
      <c r="C1045391" s="19"/>
      <c r="D1045391" s="19"/>
      <c r="E1045391" s="19"/>
      <c r="F1045391" s="19"/>
      <c r="G1045391" s="19"/>
      <c r="H1045391" s="19"/>
      <c r="I1045391" s="19"/>
      <c r="J1045391" s="19"/>
      <c r="K1045391" s="19"/>
      <c r="L1045391" s="19"/>
      <c r="M1045391" s="19"/>
      <c r="N1045391" s="19"/>
    </row>
    <row r="1045392" spans="1:14" s="83" customFormat="1" ht="12.75">
      <c r="A1045392" s="19"/>
      <c r="B1045392" s="19"/>
      <c r="C1045392" s="19"/>
      <c r="D1045392" s="19"/>
      <c r="E1045392" s="19"/>
      <c r="F1045392" s="19"/>
      <c r="G1045392" s="19"/>
      <c r="H1045392" s="19"/>
      <c r="I1045392" s="19"/>
      <c r="J1045392" s="19"/>
      <c r="K1045392" s="19"/>
      <c r="L1045392" s="19"/>
      <c r="M1045392" s="19"/>
      <c r="N1045392" s="19"/>
    </row>
    <row r="1045393" spans="1:14" s="83" customFormat="1" ht="12.75">
      <c r="A1045393" s="19"/>
      <c r="B1045393" s="19"/>
      <c r="C1045393" s="19"/>
      <c r="D1045393" s="19"/>
      <c r="E1045393" s="19"/>
      <c r="F1045393" s="19"/>
      <c r="G1045393" s="19"/>
      <c r="H1045393" s="19"/>
      <c r="I1045393" s="19"/>
      <c r="J1045393" s="19"/>
      <c r="K1045393" s="19"/>
      <c r="L1045393" s="19"/>
      <c r="M1045393" s="19"/>
      <c r="N1045393" s="19"/>
    </row>
    <row r="1045394" spans="1:14" s="83" customFormat="1" ht="12.75">
      <c r="A1045394" s="19"/>
      <c r="B1045394" s="19"/>
      <c r="C1045394" s="19"/>
      <c r="D1045394" s="19"/>
      <c r="E1045394" s="19"/>
      <c r="F1045394" s="19"/>
      <c r="G1045394" s="19"/>
      <c r="H1045394" s="19"/>
      <c r="I1045394" s="19"/>
      <c r="J1045394" s="19"/>
      <c r="K1045394" s="19"/>
      <c r="L1045394" s="19"/>
      <c r="M1045394" s="19"/>
      <c r="N1045394" s="19"/>
    </row>
    <row r="1045395" spans="1:14" s="83" customFormat="1" ht="12.75">
      <c r="A1045395" s="19"/>
      <c r="B1045395" s="19"/>
      <c r="C1045395" s="19"/>
      <c r="D1045395" s="19"/>
      <c r="E1045395" s="19"/>
      <c r="F1045395" s="19"/>
      <c r="G1045395" s="19"/>
      <c r="H1045395" s="19"/>
      <c r="I1045395" s="19"/>
      <c r="J1045395" s="19"/>
      <c r="K1045395" s="19"/>
      <c r="L1045395" s="19"/>
      <c r="M1045395" s="19"/>
      <c r="N1045395" s="19"/>
    </row>
    <row r="1045396" spans="1:14" s="83" customFormat="1" ht="12.75">
      <c r="A1045396" s="19"/>
      <c r="B1045396" s="19"/>
      <c r="C1045396" s="19"/>
      <c r="D1045396" s="19"/>
      <c r="E1045396" s="19"/>
      <c r="F1045396" s="19"/>
      <c r="G1045396" s="19"/>
      <c r="H1045396" s="19"/>
      <c r="I1045396" s="19"/>
      <c r="J1045396" s="19"/>
      <c r="K1045396" s="19"/>
      <c r="L1045396" s="19"/>
      <c r="M1045396" s="19"/>
      <c r="N1045396" s="19"/>
    </row>
    <row r="1045397" spans="1:14" s="83" customFormat="1" ht="12.75">
      <c r="A1045397" s="19"/>
      <c r="B1045397" s="19"/>
      <c r="C1045397" s="19"/>
      <c r="D1045397" s="19"/>
      <c r="E1045397" s="19"/>
      <c r="F1045397" s="19"/>
      <c r="G1045397" s="19"/>
      <c r="H1045397" s="19"/>
      <c r="I1045397" s="19"/>
      <c r="J1045397" s="19"/>
      <c r="K1045397" s="19"/>
      <c r="L1045397" s="19"/>
      <c r="M1045397" s="19"/>
      <c r="N1045397" s="19"/>
    </row>
    <row r="1045398" spans="1:14" s="83" customFormat="1" ht="12.75">
      <c r="A1045398" s="19"/>
      <c r="B1045398" s="19"/>
      <c r="C1045398" s="19"/>
      <c r="D1045398" s="19"/>
      <c r="E1045398" s="19"/>
      <c r="F1045398" s="19"/>
      <c r="G1045398" s="19"/>
      <c r="H1045398" s="19"/>
      <c r="I1045398" s="19"/>
      <c r="J1045398" s="19"/>
      <c r="K1045398" s="19"/>
      <c r="L1045398" s="19"/>
      <c r="M1045398" s="19"/>
      <c r="N1045398" s="19"/>
    </row>
    <row r="1045399" spans="1:14" s="83" customFormat="1" ht="12.75">
      <c r="A1045399" s="19"/>
      <c r="B1045399" s="19"/>
      <c r="C1045399" s="19"/>
      <c r="D1045399" s="19"/>
      <c r="E1045399" s="19"/>
      <c r="F1045399" s="19"/>
      <c r="G1045399" s="19"/>
      <c r="H1045399" s="19"/>
      <c r="I1045399" s="19"/>
      <c r="J1045399" s="19"/>
      <c r="K1045399" s="19"/>
      <c r="L1045399" s="19"/>
      <c r="M1045399" s="19"/>
      <c r="N1045399" s="19"/>
    </row>
    <row r="1045400" spans="1:14" s="83" customFormat="1" ht="12.75">
      <c r="A1045400" s="19"/>
      <c r="B1045400" s="19"/>
      <c r="C1045400" s="19"/>
      <c r="D1045400" s="19"/>
      <c r="E1045400" s="19"/>
      <c r="F1045400" s="19"/>
      <c r="G1045400" s="19"/>
      <c r="H1045400" s="19"/>
      <c r="I1045400" s="19"/>
      <c r="J1045400" s="19"/>
      <c r="K1045400" s="19"/>
      <c r="L1045400" s="19"/>
      <c r="M1045400" s="19"/>
      <c r="N1045400" s="19"/>
    </row>
    <row r="1045401" spans="1:14" s="83" customFormat="1" ht="12.75">
      <c r="A1045401" s="19"/>
      <c r="B1045401" s="19"/>
      <c r="C1045401" s="19"/>
      <c r="D1045401" s="19"/>
      <c r="E1045401" s="19"/>
      <c r="F1045401" s="19"/>
      <c r="G1045401" s="19"/>
      <c r="H1045401" s="19"/>
      <c r="I1045401" s="19"/>
      <c r="J1045401" s="19"/>
      <c r="K1045401" s="19"/>
      <c r="L1045401" s="19"/>
      <c r="M1045401" s="19"/>
      <c r="N1045401" s="19"/>
    </row>
    <row r="1045402" spans="1:14" s="83" customFormat="1" ht="12.75">
      <c r="A1045402" s="19"/>
      <c r="B1045402" s="19"/>
      <c r="C1045402" s="19"/>
      <c r="D1045402" s="19"/>
      <c r="E1045402" s="19"/>
      <c r="F1045402" s="19"/>
      <c r="G1045402" s="19"/>
      <c r="H1045402" s="19"/>
      <c r="I1045402" s="19"/>
      <c r="J1045402" s="19"/>
      <c r="K1045402" s="19"/>
      <c r="L1045402" s="19"/>
      <c r="M1045402" s="19"/>
      <c r="N1045402" s="19"/>
    </row>
    <row r="1045403" spans="1:14" s="83" customFormat="1" ht="12.75">
      <c r="A1045403" s="19"/>
      <c r="B1045403" s="19"/>
      <c r="C1045403" s="19"/>
      <c r="D1045403" s="19"/>
      <c r="E1045403" s="19"/>
      <c r="F1045403" s="19"/>
      <c r="G1045403" s="19"/>
      <c r="H1045403" s="19"/>
      <c r="I1045403" s="19"/>
      <c r="J1045403" s="19"/>
      <c r="K1045403" s="19"/>
      <c r="L1045403" s="19"/>
      <c r="M1045403" s="19"/>
      <c r="N1045403" s="19"/>
    </row>
    <row r="1045404" spans="1:14" s="83" customFormat="1" ht="12.75">
      <c r="A1045404" s="19"/>
      <c r="B1045404" s="19"/>
      <c r="C1045404" s="19"/>
      <c r="D1045404" s="19"/>
      <c r="E1045404" s="19"/>
      <c r="F1045404" s="19"/>
      <c r="G1045404" s="19"/>
      <c r="H1045404" s="19"/>
      <c r="I1045404" s="19"/>
      <c r="J1045404" s="19"/>
      <c r="K1045404" s="19"/>
      <c r="L1045404" s="19"/>
      <c r="M1045404" s="19"/>
      <c r="N1045404" s="19"/>
    </row>
    <row r="1045405" spans="1:14" s="83" customFormat="1" ht="12.75">
      <c r="A1045405" s="19"/>
      <c r="B1045405" s="19"/>
      <c r="C1045405" s="19"/>
      <c r="D1045405" s="19"/>
      <c r="E1045405" s="19"/>
      <c r="F1045405" s="19"/>
      <c r="G1045405" s="19"/>
      <c r="H1045405" s="19"/>
      <c r="I1045405" s="19"/>
      <c r="J1045405" s="19"/>
      <c r="K1045405" s="19"/>
      <c r="L1045405" s="19"/>
      <c r="M1045405" s="19"/>
      <c r="N1045405" s="19"/>
    </row>
    <row r="1045406" spans="1:14" s="83" customFormat="1" ht="12.75">
      <c r="A1045406" s="19"/>
      <c r="B1045406" s="19"/>
      <c r="C1045406" s="19"/>
      <c r="D1045406" s="19"/>
      <c r="E1045406" s="19"/>
      <c r="F1045406" s="19"/>
      <c r="G1045406" s="19"/>
      <c r="H1045406" s="19"/>
      <c r="I1045406" s="19"/>
      <c r="J1045406" s="19"/>
      <c r="K1045406" s="19"/>
      <c r="L1045406" s="19"/>
      <c r="M1045406" s="19"/>
      <c r="N1045406" s="19"/>
    </row>
    <row r="1045407" spans="1:14" s="83" customFormat="1" ht="12.75">
      <c r="A1045407" s="19"/>
      <c r="B1045407" s="19"/>
      <c r="C1045407" s="19"/>
      <c r="D1045407" s="19"/>
      <c r="E1045407" s="19"/>
      <c r="F1045407" s="19"/>
      <c r="G1045407" s="19"/>
      <c r="H1045407" s="19"/>
      <c r="I1045407" s="19"/>
      <c r="J1045407" s="19"/>
      <c r="K1045407" s="19"/>
      <c r="L1045407" s="19"/>
      <c r="M1045407" s="19"/>
      <c r="N1045407" s="19"/>
    </row>
    <row r="1045408" spans="1:14" s="83" customFormat="1" ht="12.75">
      <c r="A1045408" s="19"/>
      <c r="B1045408" s="19"/>
      <c r="C1045408" s="19"/>
      <c r="D1045408" s="19"/>
      <c r="E1045408" s="19"/>
      <c r="F1045408" s="19"/>
      <c r="G1045408" s="19"/>
      <c r="H1045408" s="19"/>
      <c r="I1045408" s="19"/>
      <c r="J1045408" s="19"/>
      <c r="K1045408" s="19"/>
      <c r="L1045408" s="19"/>
      <c r="M1045408" s="19"/>
      <c r="N1045408" s="19"/>
    </row>
    <row r="1045409" spans="1:14" s="83" customFormat="1" ht="12.75">
      <c r="A1045409" s="19"/>
      <c r="B1045409" s="19"/>
      <c r="C1045409" s="19"/>
      <c r="D1045409" s="19"/>
      <c r="E1045409" s="19"/>
      <c r="F1045409" s="19"/>
      <c r="G1045409" s="19"/>
      <c r="H1045409" s="19"/>
      <c r="I1045409" s="19"/>
      <c r="J1045409" s="19"/>
      <c r="K1045409" s="19"/>
      <c r="L1045409" s="19"/>
      <c r="M1045409" s="19"/>
      <c r="N1045409" s="19"/>
    </row>
    <row r="1045410" spans="1:14" s="83" customFormat="1" ht="12.75">
      <c r="A1045410" s="19"/>
      <c r="B1045410" s="19"/>
      <c r="C1045410" s="19"/>
      <c r="D1045410" s="19"/>
      <c r="E1045410" s="19"/>
      <c r="F1045410" s="19"/>
      <c r="G1045410" s="19"/>
      <c r="H1045410" s="19"/>
      <c r="I1045410" s="19"/>
      <c r="J1045410" s="19"/>
      <c r="K1045410" s="19"/>
      <c r="L1045410" s="19"/>
      <c r="M1045410" s="19"/>
      <c r="N1045410" s="19"/>
    </row>
    <row r="1045411" spans="1:14" s="83" customFormat="1" ht="12.75">
      <c r="A1045411" s="19"/>
      <c r="B1045411" s="19"/>
      <c r="C1045411" s="19"/>
      <c r="D1045411" s="19"/>
      <c r="E1045411" s="19"/>
      <c r="F1045411" s="19"/>
      <c r="G1045411" s="19"/>
      <c r="H1045411" s="19"/>
      <c r="I1045411" s="19"/>
      <c r="J1045411" s="19"/>
      <c r="K1045411" s="19"/>
      <c r="L1045411" s="19"/>
      <c r="M1045411" s="19"/>
      <c r="N1045411" s="19"/>
    </row>
    <row r="1045412" spans="1:14" s="83" customFormat="1" ht="12.75">
      <c r="A1045412" s="19"/>
      <c r="B1045412" s="19"/>
      <c r="C1045412" s="19"/>
      <c r="D1045412" s="19"/>
      <c r="E1045412" s="19"/>
      <c r="F1045412" s="19"/>
      <c r="G1045412" s="19"/>
      <c r="H1045412" s="19"/>
      <c r="I1045412" s="19"/>
      <c r="J1045412" s="19"/>
      <c r="K1045412" s="19"/>
      <c r="L1045412" s="19"/>
      <c r="M1045412" s="19"/>
      <c r="N1045412" s="19"/>
    </row>
    <row r="1045413" spans="1:14" s="83" customFormat="1" ht="12.75">
      <c r="A1045413" s="19"/>
      <c r="B1045413" s="19"/>
      <c r="C1045413" s="19"/>
      <c r="D1045413" s="19"/>
      <c r="E1045413" s="19"/>
      <c r="F1045413" s="19"/>
      <c r="G1045413" s="19"/>
      <c r="H1045413" s="19"/>
      <c r="I1045413" s="19"/>
      <c r="J1045413" s="19"/>
      <c r="K1045413" s="19"/>
      <c r="L1045413" s="19"/>
      <c r="M1045413" s="19"/>
      <c r="N1045413" s="19"/>
    </row>
    <row r="1045414" spans="1:14" s="83" customFormat="1" ht="12.75">
      <c r="A1045414" s="19"/>
      <c r="B1045414" s="19"/>
      <c r="C1045414" s="19"/>
      <c r="D1045414" s="19"/>
      <c r="E1045414" s="19"/>
      <c r="F1045414" s="19"/>
      <c r="G1045414" s="19"/>
      <c r="H1045414" s="19"/>
      <c r="I1045414" s="19"/>
      <c r="J1045414" s="19"/>
      <c r="K1045414" s="19"/>
      <c r="L1045414" s="19"/>
      <c r="M1045414" s="19"/>
      <c r="N1045414" s="19"/>
    </row>
    <row r="1045415" spans="1:14" s="83" customFormat="1" ht="12.75">
      <c r="A1045415" s="19"/>
      <c r="B1045415" s="19"/>
      <c r="C1045415" s="19"/>
      <c r="D1045415" s="19"/>
      <c r="E1045415" s="19"/>
      <c r="F1045415" s="19"/>
      <c r="G1045415" s="19"/>
      <c r="H1045415" s="19"/>
      <c r="I1045415" s="19"/>
      <c r="J1045415" s="19"/>
      <c r="K1045415" s="19"/>
      <c r="L1045415" s="19"/>
      <c r="M1045415" s="19"/>
      <c r="N1045415" s="19"/>
    </row>
    <row r="1045416" spans="1:14" s="83" customFormat="1" ht="12.75">
      <c r="A1045416" s="19"/>
      <c r="B1045416" s="19"/>
      <c r="C1045416" s="19"/>
      <c r="D1045416" s="19"/>
      <c r="E1045416" s="19"/>
      <c r="F1045416" s="19"/>
      <c r="G1045416" s="19"/>
      <c r="H1045416" s="19"/>
      <c r="I1045416" s="19"/>
      <c r="J1045416" s="19"/>
      <c r="K1045416" s="19"/>
      <c r="L1045416" s="19"/>
      <c r="M1045416" s="19"/>
      <c r="N1045416" s="19"/>
    </row>
    <row r="1045417" spans="1:14" s="83" customFormat="1" ht="12.75">
      <c r="A1045417" s="19"/>
      <c r="B1045417" s="19"/>
      <c r="C1045417" s="19"/>
      <c r="D1045417" s="19"/>
      <c r="E1045417" s="19"/>
      <c r="F1045417" s="19"/>
      <c r="G1045417" s="19"/>
      <c r="H1045417" s="19"/>
      <c r="I1045417" s="19"/>
      <c r="J1045417" s="19"/>
      <c r="K1045417" s="19"/>
      <c r="L1045417" s="19"/>
      <c r="M1045417" s="19"/>
      <c r="N1045417" s="19"/>
    </row>
    <row r="1045418" spans="1:14" s="83" customFormat="1" ht="12.75">
      <c r="A1045418" s="19"/>
      <c r="B1045418" s="19"/>
      <c r="C1045418" s="19"/>
      <c r="D1045418" s="19"/>
      <c r="E1045418" s="19"/>
      <c r="F1045418" s="19"/>
      <c r="G1045418" s="19"/>
      <c r="H1045418" s="19"/>
      <c r="I1045418" s="19"/>
      <c r="J1045418" s="19"/>
      <c r="K1045418" s="19"/>
      <c r="L1045418" s="19"/>
      <c r="M1045418" s="19"/>
      <c r="N1045418" s="19"/>
    </row>
    <row r="1045419" spans="1:14" s="83" customFormat="1" ht="12.75">
      <c r="A1045419" s="19"/>
      <c r="B1045419" s="19"/>
      <c r="C1045419" s="19"/>
      <c r="D1045419" s="19"/>
      <c r="E1045419" s="19"/>
      <c r="F1045419" s="19"/>
      <c r="G1045419" s="19"/>
      <c r="H1045419" s="19"/>
      <c r="I1045419" s="19"/>
      <c r="J1045419" s="19"/>
      <c r="K1045419" s="19"/>
      <c r="L1045419" s="19"/>
      <c r="M1045419" s="19"/>
      <c r="N1045419" s="19"/>
    </row>
    <row r="1045420" spans="1:14" s="83" customFormat="1" ht="12.75">
      <c r="A1045420" s="19"/>
      <c r="B1045420" s="19"/>
      <c r="C1045420" s="19"/>
      <c r="D1045420" s="19"/>
      <c r="E1045420" s="19"/>
      <c r="F1045420" s="19"/>
      <c r="G1045420" s="19"/>
      <c r="H1045420" s="19"/>
      <c r="I1045420" s="19"/>
      <c r="J1045420" s="19"/>
      <c r="K1045420" s="19"/>
      <c r="L1045420" s="19"/>
      <c r="M1045420" s="19"/>
      <c r="N1045420" s="19"/>
    </row>
    <row r="1045421" spans="1:14" s="83" customFormat="1" ht="12.75">
      <c r="A1045421" s="19"/>
      <c r="B1045421" s="19"/>
      <c r="C1045421" s="19"/>
      <c r="D1045421" s="19"/>
      <c r="E1045421" s="19"/>
      <c r="F1045421" s="19"/>
      <c r="G1045421" s="19"/>
      <c r="H1045421" s="19"/>
      <c r="I1045421" s="19"/>
      <c r="J1045421" s="19"/>
      <c r="K1045421" s="19"/>
      <c r="L1045421" s="19"/>
      <c r="M1045421" s="19"/>
      <c r="N1045421" s="19"/>
    </row>
    <row r="1045422" spans="1:14" s="83" customFormat="1" ht="12.75">
      <c r="A1045422" s="19"/>
      <c r="B1045422" s="19"/>
      <c r="C1045422" s="19"/>
      <c r="D1045422" s="19"/>
      <c r="E1045422" s="19"/>
      <c r="F1045422" s="19"/>
      <c r="G1045422" s="19"/>
      <c r="H1045422" s="19"/>
      <c r="I1045422" s="19"/>
      <c r="J1045422" s="19"/>
      <c r="K1045422" s="19"/>
      <c r="L1045422" s="19"/>
      <c r="M1045422" s="19"/>
      <c r="N1045422" s="19"/>
    </row>
    <row r="1045423" spans="1:14" s="83" customFormat="1" ht="12.75">
      <c r="A1045423" s="19"/>
      <c r="B1045423" s="19"/>
      <c r="C1045423" s="19"/>
      <c r="D1045423" s="19"/>
      <c r="E1045423" s="19"/>
      <c r="F1045423" s="19"/>
      <c r="G1045423" s="19"/>
      <c r="H1045423" s="19"/>
      <c r="I1045423" s="19"/>
      <c r="J1045423" s="19"/>
      <c r="K1045423" s="19"/>
      <c r="L1045423" s="19"/>
      <c r="M1045423" s="19"/>
      <c r="N1045423" s="19"/>
    </row>
    <row r="1045424" spans="1:14" s="83" customFormat="1" ht="12.75">
      <c r="A1045424" s="19"/>
      <c r="B1045424" s="19"/>
      <c r="C1045424" s="19"/>
      <c r="D1045424" s="19"/>
      <c r="E1045424" s="19"/>
      <c r="F1045424" s="19"/>
      <c r="G1045424" s="19"/>
      <c r="H1045424" s="19"/>
      <c r="I1045424" s="19"/>
      <c r="J1045424" s="19"/>
      <c r="K1045424" s="19"/>
      <c r="L1045424" s="19"/>
      <c r="M1045424" s="19"/>
      <c r="N1045424" s="19"/>
    </row>
    <row r="1045425" spans="1:14" s="83" customFormat="1" ht="12.75">
      <c r="A1045425" s="19"/>
      <c r="B1045425" s="19"/>
      <c r="C1045425" s="19"/>
      <c r="D1045425" s="19"/>
      <c r="E1045425" s="19"/>
      <c r="F1045425" s="19"/>
      <c r="G1045425" s="19"/>
      <c r="H1045425" s="19"/>
      <c r="I1045425" s="19"/>
      <c r="J1045425" s="19"/>
      <c r="K1045425" s="19"/>
      <c r="L1045425" s="19"/>
      <c r="M1045425" s="19"/>
      <c r="N1045425" s="19"/>
    </row>
    <row r="1045426" spans="1:14" s="83" customFormat="1" ht="12.75">
      <c r="A1045426" s="19"/>
      <c r="B1045426" s="19"/>
      <c r="C1045426" s="19"/>
      <c r="D1045426" s="19"/>
      <c r="E1045426" s="19"/>
      <c r="F1045426" s="19"/>
      <c r="G1045426" s="19"/>
      <c r="H1045426" s="19"/>
      <c r="I1045426" s="19"/>
      <c r="J1045426" s="19"/>
      <c r="K1045426" s="19"/>
      <c r="L1045426" s="19"/>
      <c r="M1045426" s="19"/>
      <c r="N1045426" s="19"/>
    </row>
    <row r="1045427" spans="1:14" s="83" customFormat="1" ht="12.75">
      <c r="A1045427" s="19"/>
      <c r="B1045427" s="19"/>
      <c r="C1045427" s="19"/>
      <c r="D1045427" s="19"/>
      <c r="E1045427" s="19"/>
      <c r="F1045427" s="19"/>
      <c r="G1045427" s="19"/>
      <c r="H1045427" s="19"/>
      <c r="I1045427" s="19"/>
      <c r="J1045427" s="19"/>
      <c r="K1045427" s="19"/>
      <c r="L1045427" s="19"/>
      <c r="M1045427" s="19"/>
      <c r="N1045427" s="19"/>
    </row>
    <row r="1045428" spans="1:14" s="83" customFormat="1" ht="12.75">
      <c r="A1045428" s="19"/>
      <c r="B1045428" s="19"/>
      <c r="C1045428" s="19"/>
      <c r="D1045428" s="19"/>
      <c r="E1045428" s="19"/>
      <c r="F1045428" s="19"/>
      <c r="G1045428" s="19"/>
      <c r="H1045428" s="19"/>
      <c r="I1045428" s="19"/>
      <c r="J1045428" s="19"/>
      <c r="K1045428" s="19"/>
      <c r="L1045428" s="19"/>
      <c r="M1045428" s="19"/>
      <c r="N1045428" s="19"/>
    </row>
    <row r="1045429" spans="1:14" s="83" customFormat="1" ht="12.75">
      <c r="A1045429" s="19"/>
      <c r="B1045429" s="19"/>
      <c r="C1045429" s="19"/>
      <c r="D1045429" s="19"/>
      <c r="E1045429" s="19"/>
      <c r="F1045429" s="19"/>
      <c r="G1045429" s="19"/>
      <c r="H1045429" s="19"/>
      <c r="I1045429" s="19"/>
      <c r="J1045429" s="19"/>
      <c r="K1045429" s="19"/>
      <c r="L1045429" s="19"/>
      <c r="M1045429" s="19"/>
      <c r="N1045429" s="19"/>
    </row>
    <row r="1045430" spans="1:14" s="83" customFormat="1" ht="12.75">
      <c r="A1045430" s="19"/>
      <c r="B1045430" s="19"/>
      <c r="C1045430" s="19"/>
      <c r="D1045430" s="19"/>
      <c r="E1045430" s="19"/>
      <c r="F1045430" s="19"/>
      <c r="G1045430" s="19"/>
      <c r="H1045430" s="19"/>
      <c r="I1045430" s="19"/>
      <c r="J1045430" s="19"/>
      <c r="K1045430" s="19"/>
      <c r="L1045430" s="19"/>
      <c r="M1045430" s="19"/>
      <c r="N1045430" s="19"/>
    </row>
    <row r="1045431" spans="1:14" s="83" customFormat="1" ht="12.75">
      <c r="A1045431" s="19"/>
      <c r="B1045431" s="19"/>
      <c r="C1045431" s="19"/>
      <c r="D1045431" s="19"/>
      <c r="E1045431" s="19"/>
      <c r="F1045431" s="19"/>
      <c r="G1045431" s="19"/>
      <c r="H1045431" s="19"/>
      <c r="I1045431" s="19"/>
      <c r="J1045431" s="19"/>
      <c r="K1045431" s="19"/>
      <c r="L1045431" s="19"/>
      <c r="M1045431" s="19"/>
      <c r="N1045431" s="19"/>
    </row>
    <row r="1045432" spans="1:14" s="83" customFormat="1" ht="12.75">
      <c r="A1045432" s="19"/>
      <c r="B1045432" s="19"/>
      <c r="C1045432" s="19"/>
      <c r="D1045432" s="19"/>
      <c r="E1045432" s="19"/>
      <c r="F1045432" s="19"/>
      <c r="G1045432" s="19"/>
      <c r="H1045432" s="19"/>
      <c r="I1045432" s="19"/>
      <c r="J1045432" s="19"/>
      <c r="K1045432" s="19"/>
      <c r="L1045432" s="19"/>
      <c r="M1045432" s="19"/>
      <c r="N1045432" s="19"/>
    </row>
    <row r="1045433" spans="1:14" s="83" customFormat="1" ht="12.75">
      <c r="A1045433" s="19"/>
      <c r="B1045433" s="19"/>
      <c r="C1045433" s="19"/>
      <c r="D1045433" s="19"/>
      <c r="E1045433" s="19"/>
      <c r="F1045433" s="19"/>
      <c r="G1045433" s="19"/>
      <c r="H1045433" s="19"/>
      <c r="I1045433" s="19"/>
      <c r="J1045433" s="19"/>
      <c r="K1045433" s="19"/>
      <c r="L1045433" s="19"/>
      <c r="M1045433" s="19"/>
      <c r="N1045433" s="19"/>
    </row>
    <row r="1045434" spans="1:14" s="83" customFormat="1" ht="12.75">
      <c r="A1045434" s="19"/>
      <c r="B1045434" s="19"/>
      <c r="C1045434" s="19"/>
      <c r="D1045434" s="19"/>
      <c r="E1045434" s="19"/>
      <c r="F1045434" s="19"/>
      <c r="G1045434" s="19"/>
      <c r="H1045434" s="19"/>
      <c r="I1045434" s="19"/>
      <c r="J1045434" s="19"/>
      <c r="K1045434" s="19"/>
      <c r="L1045434" s="19"/>
      <c r="M1045434" s="19"/>
      <c r="N1045434" s="19"/>
    </row>
    <row r="1045435" spans="1:14" s="83" customFormat="1" ht="12.75">
      <c r="A1045435" s="19"/>
      <c r="B1045435" s="19"/>
      <c r="C1045435" s="19"/>
      <c r="D1045435" s="19"/>
      <c r="E1045435" s="19"/>
      <c r="F1045435" s="19"/>
      <c r="G1045435" s="19"/>
      <c r="H1045435" s="19"/>
      <c r="I1045435" s="19"/>
      <c r="J1045435" s="19"/>
      <c r="K1045435" s="19"/>
      <c r="L1045435" s="19"/>
      <c r="M1045435" s="19"/>
      <c r="N1045435" s="19"/>
    </row>
    <row r="1045436" spans="1:14" s="83" customFormat="1" ht="12.75">
      <c r="A1045436" s="19"/>
      <c r="B1045436" s="19"/>
      <c r="C1045436" s="19"/>
      <c r="D1045436" s="19"/>
      <c r="E1045436" s="19"/>
      <c r="F1045436" s="19"/>
      <c r="G1045436" s="19"/>
      <c r="H1045436" s="19"/>
      <c r="I1045436" s="19"/>
      <c r="J1045436" s="19"/>
      <c r="K1045436" s="19"/>
      <c r="L1045436" s="19"/>
      <c r="M1045436" s="19"/>
      <c r="N1045436" s="19"/>
    </row>
    <row r="1045437" spans="1:14" s="83" customFormat="1" ht="12.75">
      <c r="A1045437" s="19"/>
      <c r="B1045437" s="19"/>
      <c r="C1045437" s="19"/>
      <c r="D1045437" s="19"/>
      <c r="E1045437" s="19"/>
      <c r="F1045437" s="19"/>
      <c r="G1045437" s="19"/>
      <c r="H1045437" s="19"/>
      <c r="I1045437" s="19"/>
      <c r="J1045437" s="19"/>
      <c r="K1045437" s="19"/>
      <c r="L1045437" s="19"/>
      <c r="M1045437" s="19"/>
      <c r="N1045437" s="19"/>
    </row>
    <row r="1045438" spans="1:14" s="83" customFormat="1" ht="12.75">
      <c r="A1045438" s="19"/>
      <c r="B1045438" s="19"/>
      <c r="C1045438" s="19"/>
      <c r="D1045438" s="19"/>
      <c r="E1045438" s="19"/>
      <c r="F1045438" s="19"/>
      <c r="G1045438" s="19"/>
      <c r="H1045438" s="19"/>
      <c r="I1045438" s="19"/>
      <c r="J1045438" s="19"/>
      <c r="K1045438" s="19"/>
      <c r="L1045438" s="19"/>
      <c r="M1045438" s="19"/>
      <c r="N1045438" s="19"/>
    </row>
    <row r="1045439" spans="1:14" s="83" customFormat="1" ht="12.75">
      <c r="A1045439" s="19"/>
      <c r="B1045439" s="19"/>
      <c r="C1045439" s="19"/>
      <c r="D1045439" s="19"/>
      <c r="E1045439" s="19"/>
      <c r="F1045439" s="19"/>
      <c r="G1045439" s="19"/>
      <c r="H1045439" s="19"/>
      <c r="I1045439" s="19"/>
      <c r="J1045439" s="19"/>
      <c r="K1045439" s="19"/>
      <c r="L1045439" s="19"/>
      <c r="M1045439" s="19"/>
      <c r="N1045439" s="19"/>
    </row>
    <row r="1045440" spans="1:14" s="83" customFormat="1" ht="12.75">
      <c r="A1045440" s="19"/>
      <c r="B1045440" s="19"/>
      <c r="C1045440" s="19"/>
      <c r="D1045440" s="19"/>
      <c r="E1045440" s="19"/>
      <c r="F1045440" s="19"/>
      <c r="G1045440" s="19"/>
      <c r="H1045440" s="19"/>
      <c r="I1045440" s="19"/>
      <c r="J1045440" s="19"/>
      <c r="K1045440" s="19"/>
      <c r="L1045440" s="19"/>
      <c r="M1045440" s="19"/>
      <c r="N1045440" s="19"/>
    </row>
    <row r="1045441" spans="1:14" s="83" customFormat="1" ht="12.75">
      <c r="A1045441" s="19"/>
      <c r="B1045441" s="19"/>
      <c r="C1045441" s="19"/>
      <c r="D1045441" s="19"/>
      <c r="E1045441" s="19"/>
      <c r="F1045441" s="19"/>
      <c r="G1045441" s="19"/>
      <c r="H1045441" s="19"/>
      <c r="I1045441" s="19"/>
      <c r="J1045441" s="19"/>
      <c r="K1045441" s="19"/>
      <c r="L1045441" s="19"/>
      <c r="M1045441" s="19"/>
      <c r="N1045441" s="19"/>
    </row>
    <row r="1045442" spans="1:14" s="83" customFormat="1" ht="12.75">
      <c r="A1045442" s="19"/>
      <c r="B1045442" s="19"/>
      <c r="C1045442" s="19"/>
      <c r="D1045442" s="19"/>
      <c r="E1045442" s="19"/>
      <c r="F1045442" s="19"/>
      <c r="G1045442" s="19"/>
      <c r="H1045442" s="19"/>
      <c r="I1045442" s="19"/>
      <c r="J1045442" s="19"/>
      <c r="K1045442" s="19"/>
      <c r="L1045442" s="19"/>
      <c r="M1045442" s="19"/>
      <c r="N1045442" s="19"/>
    </row>
    <row r="1045443" spans="1:14" s="83" customFormat="1" ht="12.75">
      <c r="A1045443" s="19"/>
      <c r="B1045443" s="19"/>
      <c r="C1045443" s="19"/>
      <c r="D1045443" s="19"/>
      <c r="E1045443" s="19"/>
      <c r="F1045443" s="19"/>
      <c r="G1045443" s="19"/>
      <c r="H1045443" s="19"/>
      <c r="I1045443" s="19"/>
      <c r="J1045443" s="19"/>
      <c r="K1045443" s="19"/>
      <c r="L1045443" s="19"/>
      <c r="M1045443" s="19"/>
      <c r="N1045443" s="19"/>
    </row>
    <row r="1045444" spans="1:14" s="83" customFormat="1" ht="12.75">
      <c r="A1045444" s="19"/>
      <c r="B1045444" s="19"/>
      <c r="C1045444" s="19"/>
      <c r="D1045444" s="19"/>
      <c r="E1045444" s="19"/>
      <c r="F1045444" s="19"/>
      <c r="G1045444" s="19"/>
      <c r="H1045444" s="19"/>
      <c r="I1045444" s="19"/>
      <c r="J1045444" s="19"/>
      <c r="K1045444" s="19"/>
      <c r="L1045444" s="19"/>
      <c r="M1045444" s="19"/>
      <c r="N1045444" s="19"/>
    </row>
    <row r="1045445" spans="1:14" s="83" customFormat="1" ht="12.75">
      <c r="A1045445" s="19"/>
      <c r="B1045445" s="19"/>
      <c r="C1045445" s="19"/>
      <c r="D1045445" s="19"/>
      <c r="E1045445" s="19"/>
      <c r="F1045445" s="19"/>
      <c r="G1045445" s="19"/>
      <c r="H1045445" s="19"/>
      <c r="I1045445" s="19"/>
      <c r="J1045445" s="19"/>
      <c r="K1045445" s="19"/>
      <c r="L1045445" s="19"/>
      <c r="M1045445" s="19"/>
      <c r="N1045445" s="19"/>
    </row>
    <row r="1045446" spans="1:14" s="83" customFormat="1" ht="12.75">
      <c r="A1045446" s="19"/>
      <c r="B1045446" s="19"/>
      <c r="C1045446" s="19"/>
      <c r="D1045446" s="19"/>
      <c r="E1045446" s="19"/>
      <c r="F1045446" s="19"/>
      <c r="G1045446" s="19"/>
      <c r="H1045446" s="19"/>
      <c r="I1045446" s="19"/>
      <c r="J1045446" s="19"/>
      <c r="K1045446" s="19"/>
      <c r="L1045446" s="19"/>
      <c r="M1045446" s="19"/>
      <c r="N1045446" s="19"/>
    </row>
    <row r="1045447" spans="1:14" s="83" customFormat="1" ht="12.75">
      <c r="A1045447" s="19"/>
      <c r="B1045447" s="19"/>
      <c r="C1045447" s="19"/>
      <c r="D1045447" s="19"/>
      <c r="E1045447" s="19"/>
      <c r="F1045447" s="19"/>
      <c r="G1045447" s="19"/>
      <c r="H1045447" s="19"/>
      <c r="I1045447" s="19"/>
      <c r="J1045447" s="19"/>
      <c r="K1045447" s="19"/>
      <c r="L1045447" s="19"/>
      <c r="M1045447" s="19"/>
      <c r="N1045447" s="19"/>
    </row>
    <row r="1045448" spans="1:14" s="83" customFormat="1" ht="12.75">
      <c r="A1045448" s="19"/>
      <c r="B1045448" s="19"/>
      <c r="C1045448" s="19"/>
      <c r="D1045448" s="19"/>
      <c r="E1045448" s="19"/>
      <c r="F1045448" s="19"/>
      <c r="G1045448" s="19"/>
      <c r="H1045448" s="19"/>
      <c r="I1045448" s="19"/>
      <c r="J1045448" s="19"/>
      <c r="K1045448" s="19"/>
      <c r="L1045448" s="19"/>
      <c r="M1045448" s="19"/>
      <c r="N1045448" s="19"/>
    </row>
    <row r="1045449" spans="1:14" s="83" customFormat="1" ht="12.75">
      <c r="A1045449" s="19"/>
      <c r="B1045449" s="19"/>
      <c r="C1045449" s="19"/>
      <c r="D1045449" s="19"/>
      <c r="E1045449" s="19"/>
      <c r="F1045449" s="19"/>
      <c r="G1045449" s="19"/>
      <c r="H1045449" s="19"/>
      <c r="I1045449" s="19"/>
      <c r="J1045449" s="19"/>
      <c r="K1045449" s="19"/>
      <c r="L1045449" s="19"/>
      <c r="M1045449" s="19"/>
      <c r="N1045449" s="19"/>
    </row>
    <row r="1045450" spans="1:14" s="83" customFormat="1" ht="12.75">
      <c r="A1045450" s="19"/>
      <c r="B1045450" s="19"/>
      <c r="C1045450" s="19"/>
      <c r="D1045450" s="19"/>
      <c r="E1045450" s="19"/>
      <c r="F1045450" s="19"/>
      <c r="G1045450" s="19"/>
      <c r="H1045450" s="19"/>
      <c r="I1045450" s="19"/>
      <c r="J1045450" s="19"/>
      <c r="K1045450" s="19"/>
      <c r="L1045450" s="19"/>
      <c r="M1045450" s="19"/>
      <c r="N1045450" s="19"/>
    </row>
    <row r="1045451" spans="1:14" s="83" customFormat="1" ht="12.75">
      <c r="A1045451" s="19"/>
      <c r="B1045451" s="19"/>
      <c r="C1045451" s="19"/>
      <c r="D1045451" s="19"/>
      <c r="E1045451" s="19"/>
      <c r="F1045451" s="19"/>
      <c r="G1045451" s="19"/>
      <c r="H1045451" s="19"/>
      <c r="I1045451" s="19"/>
      <c r="J1045451" s="19"/>
      <c r="K1045451" s="19"/>
      <c r="L1045451" s="19"/>
      <c r="M1045451" s="19"/>
      <c r="N1045451" s="19"/>
    </row>
    <row r="1045452" spans="1:14" s="83" customFormat="1" ht="12.75">
      <c r="A1045452" s="19"/>
      <c r="B1045452" s="19"/>
      <c r="C1045452" s="19"/>
      <c r="D1045452" s="19"/>
      <c r="E1045452" s="19"/>
      <c r="F1045452" s="19"/>
      <c r="G1045452" s="19"/>
      <c r="H1045452" s="19"/>
      <c r="I1045452" s="19"/>
      <c r="J1045452" s="19"/>
      <c r="K1045452" s="19"/>
      <c r="L1045452" s="19"/>
      <c r="M1045452" s="19"/>
      <c r="N1045452" s="19"/>
    </row>
    <row r="1045453" spans="1:14" s="83" customFormat="1" ht="12.75">
      <c r="A1045453" s="19"/>
      <c r="B1045453" s="19"/>
      <c r="C1045453" s="19"/>
      <c r="D1045453" s="19"/>
      <c r="E1045453" s="19"/>
      <c r="F1045453" s="19"/>
      <c r="G1045453" s="19"/>
      <c r="H1045453" s="19"/>
      <c r="I1045453" s="19"/>
      <c r="J1045453" s="19"/>
      <c r="K1045453" s="19"/>
      <c r="L1045453" s="19"/>
      <c r="M1045453" s="19"/>
      <c r="N1045453" s="19"/>
    </row>
    <row r="1045454" spans="1:14" s="83" customFormat="1" ht="12.75">
      <c r="A1045454" s="19"/>
      <c r="B1045454" s="19"/>
      <c r="C1045454" s="19"/>
      <c r="D1045454" s="19"/>
      <c r="E1045454" s="19"/>
      <c r="F1045454" s="19"/>
      <c r="G1045454" s="19"/>
      <c r="H1045454" s="19"/>
      <c r="I1045454" s="19"/>
      <c r="J1045454" s="19"/>
      <c r="K1045454" s="19"/>
      <c r="L1045454" s="19"/>
      <c r="M1045454" s="19"/>
      <c r="N1045454" s="19"/>
    </row>
    <row r="1045455" spans="1:14" s="83" customFormat="1" ht="12.75">
      <c r="A1045455" s="19"/>
      <c r="B1045455" s="19"/>
      <c r="C1045455" s="19"/>
      <c r="D1045455" s="19"/>
      <c r="E1045455" s="19"/>
      <c r="F1045455" s="19"/>
      <c r="G1045455" s="19"/>
      <c r="H1045455" s="19"/>
      <c r="I1045455" s="19"/>
      <c r="J1045455" s="19"/>
      <c r="K1045455" s="19"/>
      <c r="L1045455" s="19"/>
      <c r="M1045455" s="19"/>
      <c r="N1045455" s="19"/>
    </row>
    <row r="1045456" spans="1:14" s="83" customFormat="1" ht="12.75">
      <c r="A1045456" s="19"/>
      <c r="B1045456" s="19"/>
      <c r="C1045456" s="19"/>
      <c r="D1045456" s="19"/>
      <c r="E1045456" s="19"/>
      <c r="F1045456" s="19"/>
      <c r="G1045456" s="19"/>
      <c r="H1045456" s="19"/>
      <c r="I1045456" s="19"/>
      <c r="J1045456" s="19"/>
      <c r="K1045456" s="19"/>
      <c r="L1045456" s="19"/>
      <c r="M1045456" s="19"/>
      <c r="N1045456" s="19"/>
    </row>
    <row r="1045457" spans="1:14" s="83" customFormat="1" ht="12.75">
      <c r="A1045457" s="19"/>
      <c r="B1045457" s="19"/>
      <c r="C1045457" s="19"/>
      <c r="D1045457" s="19"/>
      <c r="E1045457" s="19"/>
      <c r="F1045457" s="19"/>
      <c r="G1045457" s="19"/>
      <c r="H1045457" s="19"/>
      <c r="I1045457" s="19"/>
      <c r="J1045457" s="19"/>
      <c r="K1045457" s="19"/>
      <c r="L1045457" s="19"/>
      <c r="M1045457" s="19"/>
      <c r="N1045457" s="19"/>
    </row>
    <row r="1045458" spans="1:14" s="83" customFormat="1" ht="12.75">
      <c r="A1045458" s="19"/>
      <c r="B1045458" s="19"/>
      <c r="C1045458" s="19"/>
      <c r="D1045458" s="19"/>
      <c r="E1045458" s="19"/>
      <c r="F1045458" s="19"/>
      <c r="G1045458" s="19"/>
      <c r="H1045458" s="19"/>
      <c r="I1045458" s="19"/>
      <c r="J1045458" s="19"/>
      <c r="K1045458" s="19"/>
      <c r="L1045458" s="19"/>
      <c r="M1045458" s="19"/>
      <c r="N1045458" s="19"/>
    </row>
    <row r="1045459" spans="1:14" s="83" customFormat="1" ht="12.75">
      <c r="A1045459" s="19"/>
      <c r="B1045459" s="19"/>
      <c r="C1045459" s="19"/>
      <c r="D1045459" s="19"/>
      <c r="E1045459" s="19"/>
      <c r="F1045459" s="19"/>
      <c r="G1045459" s="19"/>
      <c r="H1045459" s="19"/>
      <c r="I1045459" s="19"/>
      <c r="J1045459" s="19"/>
      <c r="K1045459" s="19"/>
      <c r="L1045459" s="19"/>
      <c r="M1045459" s="19"/>
      <c r="N1045459" s="19"/>
    </row>
    <row r="1045460" spans="1:14" s="83" customFormat="1" ht="12.75">
      <c r="A1045460" s="19"/>
      <c r="B1045460" s="19"/>
      <c r="C1045460" s="19"/>
      <c r="D1045460" s="19"/>
      <c r="E1045460" s="19"/>
      <c r="F1045460" s="19"/>
      <c r="G1045460" s="19"/>
      <c r="H1045460" s="19"/>
      <c r="I1045460" s="19"/>
      <c r="J1045460" s="19"/>
      <c r="K1045460" s="19"/>
      <c r="L1045460" s="19"/>
      <c r="M1045460" s="19"/>
      <c r="N1045460" s="19"/>
    </row>
    <row r="1045461" spans="1:14" s="83" customFormat="1" ht="12.75">
      <c r="A1045461" s="19"/>
      <c r="B1045461" s="19"/>
      <c r="C1045461" s="19"/>
      <c r="D1045461" s="19"/>
      <c r="E1045461" s="19"/>
      <c r="F1045461" s="19"/>
      <c r="G1045461" s="19"/>
      <c r="H1045461" s="19"/>
      <c r="I1045461" s="19"/>
      <c r="J1045461" s="19"/>
      <c r="K1045461" s="19"/>
      <c r="L1045461" s="19"/>
      <c r="M1045461" s="19"/>
      <c r="N1045461" s="19"/>
    </row>
    <row r="1045462" spans="1:14" s="83" customFormat="1" ht="12.75">
      <c r="A1045462" s="19"/>
      <c r="B1045462" s="19"/>
      <c r="C1045462" s="19"/>
      <c r="D1045462" s="19"/>
      <c r="E1045462" s="19"/>
      <c r="F1045462" s="19"/>
      <c r="G1045462" s="19"/>
      <c r="H1045462" s="19"/>
      <c r="I1045462" s="19"/>
      <c r="J1045462" s="19"/>
      <c r="K1045462" s="19"/>
      <c r="L1045462" s="19"/>
      <c r="M1045462" s="19"/>
      <c r="N1045462" s="19"/>
    </row>
    <row r="1045463" spans="1:14" s="83" customFormat="1" ht="12.75">
      <c r="A1045463" s="19"/>
      <c r="B1045463" s="19"/>
      <c r="C1045463" s="19"/>
      <c r="D1045463" s="19"/>
      <c r="E1045463" s="19"/>
      <c r="F1045463" s="19"/>
      <c r="G1045463" s="19"/>
      <c r="H1045463" s="19"/>
      <c r="I1045463" s="19"/>
      <c r="J1045463" s="19"/>
      <c r="K1045463" s="19"/>
      <c r="L1045463" s="19"/>
      <c r="M1045463" s="19"/>
      <c r="N1045463" s="19"/>
    </row>
    <row r="1045464" spans="1:14" s="83" customFormat="1" ht="12.75">
      <c r="A1045464" s="19"/>
      <c r="B1045464" s="19"/>
      <c r="C1045464" s="19"/>
      <c r="D1045464" s="19"/>
      <c r="E1045464" s="19"/>
      <c r="F1045464" s="19"/>
      <c r="G1045464" s="19"/>
      <c r="H1045464" s="19"/>
      <c r="I1045464" s="19"/>
      <c r="J1045464" s="19"/>
      <c r="K1045464" s="19"/>
      <c r="L1045464" s="19"/>
      <c r="M1045464" s="19"/>
      <c r="N1045464" s="19"/>
    </row>
    <row r="1045465" spans="1:14" s="83" customFormat="1" ht="12.75">
      <c r="A1045465" s="19"/>
      <c r="B1045465" s="19"/>
      <c r="C1045465" s="19"/>
      <c r="D1045465" s="19"/>
      <c r="E1045465" s="19"/>
      <c r="F1045465" s="19"/>
      <c r="G1045465" s="19"/>
      <c r="H1045465" s="19"/>
      <c r="I1045465" s="19"/>
      <c r="J1045465" s="19"/>
      <c r="K1045465" s="19"/>
      <c r="L1045465" s="19"/>
      <c r="M1045465" s="19"/>
      <c r="N1045465" s="19"/>
    </row>
    <row r="1045466" spans="1:14" s="83" customFormat="1" ht="12.75">
      <c r="A1045466" s="19"/>
      <c r="B1045466" s="19"/>
      <c r="C1045466" s="19"/>
      <c r="D1045466" s="19"/>
      <c r="E1045466" s="19"/>
      <c r="F1045466" s="19"/>
      <c r="G1045466" s="19"/>
      <c r="H1045466" s="19"/>
      <c r="I1045466" s="19"/>
      <c r="J1045466" s="19"/>
      <c r="K1045466" s="19"/>
      <c r="L1045466" s="19"/>
      <c r="M1045466" s="19"/>
      <c r="N1045466" s="19"/>
    </row>
    <row r="1045467" spans="1:14" s="83" customFormat="1" ht="12.75">
      <c r="A1045467" s="19"/>
      <c r="B1045467" s="19"/>
      <c r="C1045467" s="19"/>
      <c r="D1045467" s="19"/>
      <c r="E1045467" s="19"/>
      <c r="F1045467" s="19"/>
      <c r="G1045467" s="19"/>
      <c r="H1045467" s="19"/>
      <c r="I1045467" s="19"/>
      <c r="J1045467" s="19"/>
      <c r="K1045467" s="19"/>
      <c r="L1045467" s="19"/>
      <c r="M1045467" s="19"/>
      <c r="N1045467" s="19"/>
    </row>
    <row r="1045468" spans="1:14" s="83" customFormat="1" ht="12.75">
      <c r="A1045468" s="19"/>
      <c r="B1045468" s="19"/>
      <c r="C1045468" s="19"/>
      <c r="D1045468" s="19"/>
      <c r="E1045468" s="19"/>
      <c r="F1045468" s="19"/>
      <c r="G1045468" s="19"/>
      <c r="H1045468" s="19"/>
      <c r="I1045468" s="19"/>
      <c r="J1045468" s="19"/>
      <c r="K1045468" s="19"/>
      <c r="L1045468" s="19"/>
      <c r="M1045468" s="19"/>
      <c r="N1045468" s="19"/>
    </row>
    <row r="1045469" spans="1:14" s="83" customFormat="1" ht="12.75">
      <c r="A1045469" s="19"/>
      <c r="B1045469" s="19"/>
      <c r="C1045469" s="19"/>
      <c r="D1045469" s="19"/>
      <c r="E1045469" s="19"/>
      <c r="F1045469" s="19"/>
      <c r="G1045469" s="19"/>
      <c r="H1045469" s="19"/>
      <c r="I1045469" s="19"/>
      <c r="J1045469" s="19"/>
      <c r="K1045469" s="19"/>
      <c r="L1045469" s="19"/>
      <c r="M1045469" s="19"/>
      <c r="N1045469" s="19"/>
    </row>
    <row r="1045470" spans="1:14" s="83" customFormat="1" ht="12.75">
      <c r="A1045470" s="19"/>
      <c r="B1045470" s="19"/>
      <c r="C1045470" s="19"/>
      <c r="D1045470" s="19"/>
      <c r="E1045470" s="19"/>
      <c r="F1045470" s="19"/>
      <c r="G1045470" s="19"/>
      <c r="H1045470" s="19"/>
      <c r="I1045470" s="19"/>
      <c r="J1045470" s="19"/>
      <c r="K1045470" s="19"/>
      <c r="L1045470" s="19"/>
      <c r="M1045470" s="19"/>
      <c r="N1045470" s="19"/>
    </row>
    <row r="1045471" spans="1:14" s="83" customFormat="1" ht="12.75">
      <c r="A1045471" s="19"/>
      <c r="B1045471" s="19"/>
      <c r="C1045471" s="19"/>
      <c r="D1045471" s="19"/>
      <c r="E1045471" s="19"/>
      <c r="F1045471" s="19"/>
      <c r="G1045471" s="19"/>
      <c r="H1045471" s="19"/>
      <c r="I1045471" s="19"/>
      <c r="J1045471" s="19"/>
      <c r="K1045471" s="19"/>
      <c r="L1045471" s="19"/>
      <c r="M1045471" s="19"/>
      <c r="N1045471" s="19"/>
    </row>
    <row r="1045472" spans="1:14" s="83" customFormat="1" ht="12.75">
      <c r="A1045472" s="19"/>
      <c r="B1045472" s="19"/>
      <c r="C1045472" s="19"/>
      <c r="D1045472" s="19"/>
      <c r="E1045472" s="19"/>
      <c r="F1045472" s="19"/>
      <c r="G1045472" s="19"/>
      <c r="H1045472" s="19"/>
      <c r="I1045472" s="19"/>
      <c r="J1045472" s="19"/>
      <c r="K1045472" s="19"/>
      <c r="L1045472" s="19"/>
      <c r="M1045472" s="19"/>
      <c r="N1045472" s="19"/>
    </row>
    <row r="1045473" spans="1:14" s="83" customFormat="1" ht="12.75">
      <c r="A1045473" s="19"/>
      <c r="B1045473" s="19"/>
      <c r="C1045473" s="19"/>
      <c r="D1045473" s="19"/>
      <c r="E1045473" s="19"/>
      <c r="F1045473" s="19"/>
      <c r="G1045473" s="19"/>
      <c r="H1045473" s="19"/>
      <c r="I1045473" s="19"/>
      <c r="J1045473" s="19"/>
      <c r="K1045473" s="19"/>
      <c r="L1045473" s="19"/>
      <c r="M1045473" s="19"/>
      <c r="N1045473" s="19"/>
    </row>
    <row r="1045474" spans="1:14" s="83" customFormat="1" ht="12.75">
      <c r="A1045474" s="19"/>
      <c r="B1045474" s="19"/>
      <c r="C1045474" s="19"/>
      <c r="D1045474" s="19"/>
      <c r="E1045474" s="19"/>
      <c r="F1045474" s="19"/>
      <c r="G1045474" s="19"/>
      <c r="H1045474" s="19"/>
      <c r="I1045474" s="19"/>
      <c r="J1045474" s="19"/>
      <c r="K1045474" s="19"/>
      <c r="L1045474" s="19"/>
      <c r="M1045474" s="19"/>
      <c r="N1045474" s="19"/>
    </row>
    <row r="1045475" spans="1:14" s="83" customFormat="1" ht="12.75">
      <c r="A1045475" s="19"/>
      <c r="B1045475" s="19"/>
      <c r="C1045475" s="19"/>
      <c r="D1045475" s="19"/>
      <c r="E1045475" s="19"/>
      <c r="F1045475" s="19"/>
      <c r="G1045475" s="19"/>
      <c r="H1045475" s="19"/>
      <c r="I1045475" s="19"/>
      <c r="J1045475" s="19"/>
      <c r="K1045475" s="19"/>
      <c r="L1045475" s="19"/>
      <c r="M1045475" s="19"/>
      <c r="N1045475" s="19"/>
    </row>
    <row r="1045476" spans="1:14" s="83" customFormat="1" ht="12.75">
      <c r="A1045476" s="19"/>
      <c r="B1045476" s="19"/>
      <c r="C1045476" s="19"/>
      <c r="D1045476" s="19"/>
      <c r="E1045476" s="19"/>
      <c r="F1045476" s="19"/>
      <c r="G1045476" s="19"/>
      <c r="H1045476" s="19"/>
      <c r="I1045476" s="19"/>
      <c r="J1045476" s="19"/>
      <c r="K1045476" s="19"/>
      <c r="L1045476" s="19"/>
      <c r="M1045476" s="19"/>
      <c r="N1045476" s="19"/>
    </row>
    <row r="1045477" spans="1:14" s="83" customFormat="1" ht="12.75">
      <c r="A1045477" s="19"/>
      <c r="B1045477" s="19"/>
      <c r="C1045477" s="19"/>
      <c r="D1045477" s="19"/>
      <c r="E1045477" s="19"/>
      <c r="F1045477" s="19"/>
      <c r="G1045477" s="19"/>
      <c r="H1045477" s="19"/>
      <c r="I1045477" s="19"/>
      <c r="J1045477" s="19"/>
      <c r="K1045477" s="19"/>
      <c r="L1045477" s="19"/>
      <c r="M1045477" s="19"/>
      <c r="N1045477" s="19"/>
    </row>
    <row r="1045478" spans="1:14" s="83" customFormat="1" ht="12.75">
      <c r="A1045478" s="19"/>
      <c r="B1045478" s="19"/>
      <c r="C1045478" s="19"/>
      <c r="D1045478" s="19"/>
      <c r="E1045478" s="19"/>
      <c r="F1045478" s="19"/>
      <c r="G1045478" s="19"/>
      <c r="H1045478" s="19"/>
      <c r="I1045478" s="19"/>
      <c r="J1045478" s="19"/>
      <c r="K1045478" s="19"/>
      <c r="L1045478" s="19"/>
      <c r="M1045478" s="19"/>
      <c r="N1045478" s="19"/>
    </row>
    <row r="1045479" spans="1:14" s="83" customFormat="1" ht="12.75">
      <c r="A1045479" s="19"/>
      <c r="B1045479" s="19"/>
      <c r="C1045479" s="19"/>
      <c r="D1045479" s="19"/>
      <c r="E1045479" s="19"/>
      <c r="F1045479" s="19"/>
      <c r="G1045479" s="19"/>
      <c r="H1045479" s="19"/>
      <c r="I1045479" s="19"/>
      <c r="J1045479" s="19"/>
      <c r="K1045479" s="19"/>
      <c r="L1045479" s="19"/>
      <c r="M1045479" s="19"/>
      <c r="N1045479" s="19"/>
    </row>
    <row r="1045480" spans="1:14" s="83" customFormat="1" ht="12.75">
      <c r="A1045480" s="19"/>
      <c r="B1045480" s="19"/>
      <c r="C1045480" s="19"/>
      <c r="D1045480" s="19"/>
      <c r="E1045480" s="19"/>
      <c r="F1045480" s="19"/>
      <c r="G1045480" s="19"/>
      <c r="H1045480" s="19"/>
      <c r="I1045480" s="19"/>
      <c r="J1045480" s="19"/>
      <c r="K1045480" s="19"/>
      <c r="L1045480" s="19"/>
      <c r="M1045480" s="19"/>
      <c r="N1045480" s="19"/>
    </row>
    <row r="1045481" spans="1:14" s="83" customFormat="1" ht="12.75">
      <c r="A1045481" s="19"/>
      <c r="B1045481" s="19"/>
      <c r="C1045481" s="19"/>
      <c r="D1045481" s="19"/>
      <c r="E1045481" s="19"/>
      <c r="F1045481" s="19"/>
      <c r="G1045481" s="19"/>
      <c r="H1045481" s="19"/>
      <c r="I1045481" s="19"/>
      <c r="J1045481" s="19"/>
      <c r="K1045481" s="19"/>
      <c r="L1045481" s="19"/>
      <c r="M1045481" s="19"/>
      <c r="N1045481" s="19"/>
    </row>
    <row r="1045482" spans="1:14" s="83" customFormat="1" ht="12.75">
      <c r="A1045482" s="19"/>
      <c r="B1045482" s="19"/>
      <c r="C1045482" s="19"/>
      <c r="D1045482" s="19"/>
      <c r="E1045482" s="19"/>
      <c r="F1045482" s="19"/>
      <c r="G1045482" s="19"/>
      <c r="H1045482" s="19"/>
      <c r="I1045482" s="19"/>
      <c r="J1045482" s="19"/>
      <c r="K1045482" s="19"/>
      <c r="L1045482" s="19"/>
      <c r="M1045482" s="19"/>
      <c r="N1045482" s="19"/>
    </row>
    <row r="1045483" spans="1:14" s="83" customFormat="1" ht="12.75">
      <c r="A1045483" s="19"/>
      <c r="B1045483" s="19"/>
      <c r="C1045483" s="19"/>
      <c r="D1045483" s="19"/>
      <c r="E1045483" s="19"/>
      <c r="F1045483" s="19"/>
      <c r="G1045483" s="19"/>
      <c r="H1045483" s="19"/>
      <c r="I1045483" s="19"/>
      <c r="J1045483" s="19"/>
      <c r="K1045483" s="19"/>
      <c r="L1045483" s="19"/>
      <c r="M1045483" s="19"/>
      <c r="N1045483" s="19"/>
    </row>
    <row r="1045484" spans="1:14" s="83" customFormat="1" ht="12.75">
      <c r="A1045484" s="19"/>
      <c r="B1045484" s="19"/>
      <c r="C1045484" s="19"/>
      <c r="D1045484" s="19"/>
      <c r="E1045484" s="19"/>
      <c r="F1045484" s="19"/>
      <c r="G1045484" s="19"/>
      <c r="H1045484" s="19"/>
      <c r="I1045484" s="19"/>
      <c r="J1045484" s="19"/>
      <c r="K1045484" s="19"/>
      <c r="L1045484" s="19"/>
      <c r="M1045484" s="19"/>
      <c r="N1045484" s="19"/>
    </row>
    <row r="1045485" spans="1:14" s="83" customFormat="1" ht="12.75">
      <c r="A1045485" s="19"/>
      <c r="B1045485" s="19"/>
      <c r="C1045485" s="19"/>
      <c r="D1045485" s="19"/>
      <c r="E1045485" s="19"/>
      <c r="F1045485" s="19"/>
      <c r="G1045485" s="19"/>
      <c r="H1045485" s="19"/>
      <c r="I1045485" s="19"/>
      <c r="J1045485" s="19"/>
      <c r="K1045485" s="19"/>
      <c r="L1045485" s="19"/>
      <c r="M1045485" s="19"/>
      <c r="N1045485" s="19"/>
    </row>
    <row r="1045486" spans="1:14" s="83" customFormat="1" ht="12.75">
      <c r="A1045486" s="19"/>
      <c r="B1045486" s="19"/>
      <c r="C1045486" s="19"/>
      <c r="D1045486" s="19"/>
      <c r="E1045486" s="19"/>
      <c r="F1045486" s="19"/>
      <c r="G1045486" s="19"/>
      <c r="H1045486" s="19"/>
      <c r="I1045486" s="19"/>
      <c r="J1045486" s="19"/>
      <c r="K1045486" s="19"/>
      <c r="L1045486" s="19"/>
      <c r="M1045486" s="19"/>
      <c r="N1045486" s="19"/>
    </row>
    <row r="1045487" spans="1:14" s="83" customFormat="1" ht="12.75">
      <c r="A1045487" s="19"/>
      <c r="B1045487" s="19"/>
      <c r="C1045487" s="19"/>
      <c r="D1045487" s="19"/>
      <c r="E1045487" s="19"/>
      <c r="F1045487" s="19"/>
      <c r="G1045487" s="19"/>
      <c r="H1045487" s="19"/>
      <c r="I1045487" s="19"/>
      <c r="J1045487" s="19"/>
      <c r="K1045487" s="19"/>
      <c r="L1045487" s="19"/>
      <c r="M1045487" s="19"/>
      <c r="N1045487" s="19"/>
    </row>
    <row r="1045488" spans="1:14" s="83" customFormat="1" ht="12.75">
      <c r="A1045488" s="19"/>
      <c r="B1045488" s="19"/>
      <c r="C1045488" s="19"/>
      <c r="D1045488" s="19"/>
      <c r="E1045488" s="19"/>
      <c r="F1045488" s="19"/>
      <c r="G1045488" s="19"/>
      <c r="H1045488" s="19"/>
      <c r="I1045488" s="19"/>
      <c r="J1045488" s="19"/>
      <c r="K1045488" s="19"/>
      <c r="L1045488" s="19"/>
      <c r="M1045488" s="19"/>
      <c r="N1045488" s="19"/>
    </row>
    <row r="1045489" spans="1:14" s="83" customFormat="1" ht="12.75">
      <c r="A1045489" s="19"/>
      <c r="B1045489" s="19"/>
      <c r="C1045489" s="19"/>
      <c r="D1045489" s="19"/>
      <c r="E1045489" s="19"/>
      <c r="F1045489" s="19"/>
      <c r="G1045489" s="19"/>
      <c r="H1045489" s="19"/>
      <c r="I1045489" s="19"/>
      <c r="J1045489" s="19"/>
      <c r="K1045489" s="19"/>
      <c r="L1045489" s="19"/>
      <c r="M1045489" s="19"/>
      <c r="N1045489" s="19"/>
    </row>
    <row r="1045490" spans="1:14" s="83" customFormat="1" ht="12.75">
      <c r="A1045490" s="19"/>
      <c r="B1045490" s="19"/>
      <c r="C1045490" s="19"/>
      <c r="D1045490" s="19"/>
      <c r="E1045490" s="19"/>
      <c r="F1045490" s="19"/>
      <c r="G1045490" s="19"/>
      <c r="H1045490" s="19"/>
      <c r="I1045490" s="19"/>
      <c r="J1045490" s="19"/>
      <c r="K1045490" s="19"/>
      <c r="L1045490" s="19"/>
      <c r="M1045490" s="19"/>
      <c r="N1045490" s="19"/>
    </row>
    <row r="1045491" spans="1:14" s="83" customFormat="1" ht="12.75">
      <c r="A1045491" s="19"/>
      <c r="B1045491" s="19"/>
      <c r="C1045491" s="19"/>
      <c r="D1045491" s="19"/>
      <c r="E1045491" s="19"/>
      <c r="F1045491" s="19"/>
      <c r="G1045491" s="19"/>
      <c r="H1045491" s="19"/>
      <c r="I1045491" s="19"/>
      <c r="J1045491" s="19"/>
      <c r="K1045491" s="19"/>
      <c r="L1045491" s="19"/>
      <c r="M1045491" s="19"/>
      <c r="N1045491" s="19"/>
    </row>
    <row r="1045492" spans="1:14" s="83" customFormat="1" ht="12.75">
      <c r="A1045492" s="19"/>
      <c r="B1045492" s="19"/>
      <c r="C1045492" s="19"/>
      <c r="D1045492" s="19"/>
      <c r="E1045492" s="19"/>
      <c r="F1045492" s="19"/>
      <c r="G1045492" s="19"/>
      <c r="H1045492" s="19"/>
      <c r="I1045492" s="19"/>
      <c r="J1045492" s="19"/>
      <c r="K1045492" s="19"/>
      <c r="L1045492" s="19"/>
      <c r="M1045492" s="19"/>
      <c r="N1045492" s="19"/>
    </row>
    <row r="1045493" spans="1:14" s="83" customFormat="1" ht="12.75">
      <c r="A1045493" s="19"/>
      <c r="B1045493" s="19"/>
      <c r="C1045493" s="19"/>
      <c r="D1045493" s="19"/>
      <c r="E1045493" s="19"/>
      <c r="F1045493" s="19"/>
      <c r="G1045493" s="19"/>
      <c r="H1045493" s="19"/>
      <c r="I1045493" s="19"/>
      <c r="J1045493" s="19"/>
      <c r="K1045493" s="19"/>
      <c r="L1045493" s="19"/>
      <c r="M1045493" s="19"/>
      <c r="N1045493" s="19"/>
    </row>
    <row r="1045494" spans="1:14" s="83" customFormat="1" ht="12.75">
      <c r="A1045494" s="19"/>
      <c r="B1045494" s="19"/>
      <c r="C1045494" s="19"/>
      <c r="D1045494" s="19"/>
      <c r="E1045494" s="19"/>
      <c r="F1045494" s="19"/>
      <c r="G1045494" s="19"/>
      <c r="H1045494" s="19"/>
      <c r="I1045494" s="19"/>
      <c r="J1045494" s="19"/>
      <c r="K1045494" s="19"/>
      <c r="L1045494" s="19"/>
      <c r="M1045494" s="19"/>
      <c r="N1045494" s="19"/>
    </row>
    <row r="1045495" spans="1:14" s="83" customFormat="1" ht="12.75">
      <c r="A1045495" s="19"/>
      <c r="B1045495" s="19"/>
      <c r="C1045495" s="19"/>
      <c r="D1045495" s="19"/>
      <c r="E1045495" s="19"/>
      <c r="F1045495" s="19"/>
      <c r="G1045495" s="19"/>
      <c r="H1045495" s="19"/>
      <c r="I1045495" s="19"/>
      <c r="J1045495" s="19"/>
      <c r="K1045495" s="19"/>
      <c r="L1045495" s="19"/>
      <c r="M1045495" s="19"/>
      <c r="N1045495" s="19"/>
    </row>
    <row r="1045496" spans="1:14" s="83" customFormat="1" ht="12.75">
      <c r="A1045496" s="19"/>
      <c r="B1045496" s="19"/>
      <c r="C1045496" s="19"/>
      <c r="D1045496" s="19"/>
      <c r="E1045496" s="19"/>
      <c r="F1045496" s="19"/>
      <c r="G1045496" s="19"/>
      <c r="H1045496" s="19"/>
      <c r="I1045496" s="19"/>
      <c r="J1045496" s="19"/>
      <c r="K1045496" s="19"/>
      <c r="L1045496" s="19"/>
      <c r="M1045496" s="19"/>
      <c r="N1045496" s="19"/>
    </row>
    <row r="1045497" spans="1:14" s="83" customFormat="1" ht="12.75">
      <c r="A1045497" s="19"/>
      <c r="B1045497" s="19"/>
      <c r="C1045497" s="19"/>
      <c r="D1045497" s="19"/>
      <c r="E1045497" s="19"/>
      <c r="F1045497" s="19"/>
      <c r="G1045497" s="19"/>
      <c r="H1045497" s="19"/>
      <c r="I1045497" s="19"/>
      <c r="J1045497" s="19"/>
      <c r="K1045497" s="19"/>
      <c r="L1045497" s="19"/>
      <c r="M1045497" s="19"/>
      <c r="N1045497" s="19"/>
    </row>
    <row r="1045498" spans="1:14" s="83" customFormat="1" ht="12.75">
      <c r="A1045498" s="19"/>
      <c r="B1045498" s="19"/>
      <c r="C1045498" s="19"/>
      <c r="D1045498" s="19"/>
      <c r="E1045498" s="19"/>
      <c r="F1045498" s="19"/>
      <c r="G1045498" s="19"/>
      <c r="H1045498" s="19"/>
      <c r="I1045498" s="19"/>
      <c r="J1045498" s="19"/>
      <c r="K1045498" s="19"/>
      <c r="L1045498" s="19"/>
      <c r="M1045498" s="19"/>
      <c r="N1045498" s="19"/>
    </row>
    <row r="1045499" spans="1:14" s="83" customFormat="1" ht="12.75">
      <c r="A1045499" s="19"/>
      <c r="B1045499" s="19"/>
      <c r="C1045499" s="19"/>
      <c r="D1045499" s="19"/>
      <c r="E1045499" s="19"/>
      <c r="F1045499" s="19"/>
      <c r="G1045499" s="19"/>
      <c r="H1045499" s="19"/>
      <c r="I1045499" s="19"/>
      <c r="J1045499" s="19"/>
      <c r="K1045499" s="19"/>
      <c r="L1045499" s="19"/>
      <c r="M1045499" s="19"/>
      <c r="N1045499" s="19"/>
    </row>
    <row r="1045500" spans="1:14" s="83" customFormat="1" ht="12.75">
      <c r="A1045500" s="19"/>
      <c r="B1045500" s="19"/>
      <c r="C1045500" s="19"/>
      <c r="D1045500" s="19"/>
      <c r="E1045500" s="19"/>
      <c r="F1045500" s="19"/>
      <c r="G1045500" s="19"/>
      <c r="H1045500" s="19"/>
      <c r="I1045500" s="19"/>
      <c r="J1045500" s="19"/>
      <c r="K1045500" s="19"/>
      <c r="L1045500" s="19"/>
      <c r="M1045500" s="19"/>
      <c r="N1045500" s="19"/>
    </row>
    <row r="1045501" spans="1:14" s="83" customFormat="1" ht="12.75">
      <c r="A1045501" s="19"/>
      <c r="B1045501" s="19"/>
      <c r="C1045501" s="19"/>
      <c r="D1045501" s="19"/>
      <c r="E1045501" s="19"/>
      <c r="F1045501" s="19"/>
      <c r="G1045501" s="19"/>
      <c r="H1045501" s="19"/>
      <c r="I1045501" s="19"/>
      <c r="J1045501" s="19"/>
      <c r="K1045501" s="19"/>
      <c r="L1045501" s="19"/>
      <c r="M1045501" s="19"/>
      <c r="N1045501" s="19"/>
    </row>
    <row r="1045502" spans="1:14" s="83" customFormat="1" ht="12.75">
      <c r="A1045502" s="19"/>
      <c r="B1045502" s="19"/>
      <c r="C1045502" s="19"/>
      <c r="D1045502" s="19"/>
      <c r="E1045502" s="19"/>
      <c r="F1045502" s="19"/>
      <c r="G1045502" s="19"/>
      <c r="H1045502" s="19"/>
      <c r="I1045502" s="19"/>
      <c r="J1045502" s="19"/>
      <c r="K1045502" s="19"/>
      <c r="L1045502" s="19"/>
      <c r="M1045502" s="19"/>
      <c r="N1045502" s="19"/>
    </row>
    <row r="1045503" spans="1:14" s="83" customFormat="1" ht="12.75">
      <c r="A1045503" s="19"/>
      <c r="B1045503" s="19"/>
      <c r="C1045503" s="19"/>
      <c r="D1045503" s="19"/>
      <c r="E1045503" s="19"/>
      <c r="F1045503" s="19"/>
      <c r="G1045503" s="19"/>
      <c r="H1045503" s="19"/>
      <c r="I1045503" s="19"/>
      <c r="J1045503" s="19"/>
      <c r="K1045503" s="19"/>
      <c r="L1045503" s="19"/>
      <c r="M1045503" s="19"/>
      <c r="N1045503" s="19"/>
    </row>
    <row r="1045504" spans="1:14" s="83" customFormat="1" ht="12.75">
      <c r="A1045504" s="19"/>
      <c r="B1045504" s="19"/>
      <c r="C1045504" s="19"/>
      <c r="D1045504" s="19"/>
      <c r="E1045504" s="19"/>
      <c r="F1045504" s="19"/>
      <c r="G1045504" s="19"/>
      <c r="H1045504" s="19"/>
      <c r="I1045504" s="19"/>
      <c r="J1045504" s="19"/>
      <c r="K1045504" s="19"/>
      <c r="L1045504" s="19"/>
      <c r="M1045504" s="19"/>
      <c r="N1045504" s="19"/>
    </row>
    <row r="1045505" spans="1:14" s="83" customFormat="1" ht="12.75">
      <c r="A1045505" s="19"/>
      <c r="B1045505" s="19"/>
      <c r="C1045505" s="19"/>
      <c r="D1045505" s="19"/>
      <c r="E1045505" s="19"/>
      <c r="F1045505" s="19"/>
      <c r="G1045505" s="19"/>
      <c r="H1045505" s="19"/>
      <c r="I1045505" s="19"/>
      <c r="J1045505" s="19"/>
      <c r="K1045505" s="19"/>
      <c r="L1045505" s="19"/>
      <c r="M1045505" s="19"/>
      <c r="N1045505" s="19"/>
    </row>
    <row r="1045506" spans="1:14" s="83" customFormat="1" ht="12.75">
      <c r="A1045506" s="19"/>
      <c r="B1045506" s="19"/>
      <c r="C1045506" s="19"/>
      <c r="D1045506" s="19"/>
      <c r="E1045506" s="19"/>
      <c r="F1045506" s="19"/>
      <c r="G1045506" s="19"/>
      <c r="H1045506" s="19"/>
      <c r="I1045506" s="19"/>
      <c r="J1045506" s="19"/>
      <c r="K1045506" s="19"/>
      <c r="L1045506" s="19"/>
      <c r="M1045506" s="19"/>
      <c r="N1045506" s="19"/>
    </row>
    <row r="1045507" spans="1:14" s="83" customFormat="1" ht="12.75">
      <c r="A1045507" s="19"/>
      <c r="B1045507" s="19"/>
      <c r="C1045507" s="19"/>
      <c r="D1045507" s="19"/>
      <c r="E1045507" s="19"/>
      <c r="F1045507" s="19"/>
      <c r="G1045507" s="19"/>
      <c r="H1045507" s="19"/>
      <c r="I1045507" s="19"/>
      <c r="J1045507" s="19"/>
      <c r="K1045507" s="19"/>
      <c r="L1045507" s="19"/>
      <c r="M1045507" s="19"/>
      <c r="N1045507" s="19"/>
    </row>
    <row r="1045508" spans="1:14" s="83" customFormat="1" ht="12.75">
      <c r="A1045508" s="19"/>
      <c r="B1045508" s="19"/>
      <c r="C1045508" s="19"/>
      <c r="D1045508" s="19"/>
      <c r="E1045508" s="19"/>
      <c r="F1045508" s="19"/>
      <c r="G1045508" s="19"/>
      <c r="H1045508" s="19"/>
      <c r="I1045508" s="19"/>
      <c r="J1045508" s="19"/>
      <c r="K1045508" s="19"/>
      <c r="L1045508" s="19"/>
      <c r="M1045508" s="19"/>
      <c r="N1045508" s="19"/>
    </row>
    <row r="1045509" spans="1:14" s="83" customFormat="1" ht="12.75">
      <c r="A1045509" s="19"/>
      <c r="B1045509" s="19"/>
      <c r="C1045509" s="19"/>
      <c r="D1045509" s="19"/>
      <c r="E1045509" s="19"/>
      <c r="F1045509" s="19"/>
      <c r="G1045509" s="19"/>
      <c r="H1045509" s="19"/>
      <c r="I1045509" s="19"/>
      <c r="J1045509" s="19"/>
      <c r="K1045509" s="19"/>
      <c r="L1045509" s="19"/>
      <c r="M1045509" s="19"/>
      <c r="N1045509" s="19"/>
    </row>
    <row r="1045510" spans="1:14" s="83" customFormat="1" ht="12.75">
      <c r="A1045510" s="19"/>
      <c r="B1045510" s="19"/>
      <c r="C1045510" s="19"/>
      <c r="D1045510" s="19"/>
      <c r="E1045510" s="19"/>
      <c r="F1045510" s="19"/>
      <c r="G1045510" s="19"/>
      <c r="H1045510" s="19"/>
      <c r="I1045510" s="19"/>
      <c r="J1045510" s="19"/>
      <c r="K1045510" s="19"/>
      <c r="L1045510" s="19"/>
      <c r="M1045510" s="19"/>
      <c r="N1045510" s="19"/>
    </row>
    <row r="1045511" spans="1:14" s="83" customFormat="1" ht="12.75">
      <c r="A1045511" s="19"/>
      <c r="B1045511" s="19"/>
      <c r="C1045511" s="19"/>
      <c r="D1045511" s="19"/>
      <c r="E1045511" s="19"/>
      <c r="F1045511" s="19"/>
      <c r="G1045511" s="19"/>
      <c r="H1045511" s="19"/>
      <c r="I1045511" s="19"/>
      <c r="J1045511" s="19"/>
      <c r="K1045511" s="19"/>
      <c r="L1045511" s="19"/>
      <c r="M1045511" s="19"/>
      <c r="N1045511" s="19"/>
    </row>
    <row r="1045512" spans="1:14" s="83" customFormat="1" ht="12.75">
      <c r="A1045512" s="19"/>
      <c r="B1045512" s="19"/>
      <c r="C1045512" s="19"/>
      <c r="D1045512" s="19"/>
      <c r="E1045512" s="19"/>
      <c r="F1045512" s="19"/>
      <c r="G1045512" s="19"/>
      <c r="H1045512" s="19"/>
      <c r="I1045512" s="19"/>
      <c r="J1045512" s="19"/>
      <c r="K1045512" s="19"/>
      <c r="L1045512" s="19"/>
      <c r="M1045512" s="19"/>
      <c r="N1045512" s="19"/>
    </row>
    <row r="1045513" spans="1:14" s="83" customFormat="1" ht="12.75">
      <c r="A1045513" s="19"/>
      <c r="B1045513" s="19"/>
      <c r="C1045513" s="19"/>
      <c r="D1045513" s="19"/>
      <c r="E1045513" s="19"/>
      <c r="F1045513" s="19"/>
      <c r="G1045513" s="19"/>
      <c r="H1045513" s="19"/>
      <c r="I1045513" s="19"/>
      <c r="J1045513" s="19"/>
      <c r="K1045513" s="19"/>
      <c r="L1045513" s="19"/>
      <c r="M1045513" s="19"/>
      <c r="N1045513" s="19"/>
    </row>
    <row r="1045514" spans="1:14" s="83" customFormat="1" ht="12.75">
      <c r="A1045514" s="19"/>
      <c r="B1045514" s="19"/>
      <c r="C1045514" s="19"/>
      <c r="D1045514" s="19"/>
      <c r="E1045514" s="19"/>
      <c r="F1045514" s="19"/>
      <c r="G1045514" s="19"/>
      <c r="H1045514" s="19"/>
      <c r="I1045514" s="19"/>
      <c r="J1045514" s="19"/>
      <c r="K1045514" s="19"/>
      <c r="L1045514" s="19"/>
      <c r="M1045514" s="19"/>
      <c r="N1045514" s="19"/>
    </row>
    <row r="1045515" spans="1:14" s="83" customFormat="1" ht="12.75">
      <c r="A1045515" s="19"/>
      <c r="B1045515" s="19"/>
      <c r="C1045515" s="19"/>
      <c r="D1045515" s="19"/>
      <c r="E1045515" s="19"/>
      <c r="F1045515" s="19"/>
      <c r="G1045515" s="19"/>
      <c r="H1045515" s="19"/>
      <c r="I1045515" s="19"/>
      <c r="J1045515" s="19"/>
      <c r="K1045515" s="19"/>
      <c r="L1045515" s="19"/>
      <c r="M1045515" s="19"/>
      <c r="N1045515" s="19"/>
    </row>
    <row r="1045516" spans="1:14" s="83" customFormat="1" ht="12.75">
      <c r="A1045516" s="19"/>
      <c r="B1045516" s="19"/>
      <c r="C1045516" s="19"/>
      <c r="D1045516" s="19"/>
      <c r="E1045516" s="19"/>
      <c r="F1045516" s="19"/>
      <c r="G1045516" s="19"/>
      <c r="H1045516" s="19"/>
      <c r="I1045516" s="19"/>
      <c r="J1045516" s="19"/>
      <c r="K1045516" s="19"/>
      <c r="L1045516" s="19"/>
      <c r="M1045516" s="19"/>
      <c r="N1045516" s="19"/>
    </row>
    <row r="1045517" spans="1:14" s="83" customFormat="1" ht="12.75">
      <c r="A1045517" s="19"/>
      <c r="B1045517" s="19"/>
      <c r="C1045517" s="19"/>
      <c r="D1045517" s="19"/>
      <c r="E1045517" s="19"/>
      <c r="F1045517" s="19"/>
      <c r="G1045517" s="19"/>
      <c r="H1045517" s="19"/>
      <c r="I1045517" s="19"/>
      <c r="J1045517" s="19"/>
      <c r="K1045517" s="19"/>
      <c r="L1045517" s="19"/>
      <c r="M1045517" s="19"/>
      <c r="N1045517" s="19"/>
    </row>
    <row r="1045518" spans="1:14" s="83" customFormat="1" ht="12.75">
      <c r="A1045518" s="19"/>
      <c r="B1045518" s="19"/>
      <c r="C1045518" s="19"/>
      <c r="D1045518" s="19"/>
      <c r="E1045518" s="19"/>
      <c r="F1045518" s="19"/>
      <c r="G1045518" s="19"/>
      <c r="H1045518" s="19"/>
      <c r="I1045518" s="19"/>
      <c r="J1045518" s="19"/>
      <c r="K1045518" s="19"/>
      <c r="L1045518" s="19"/>
      <c r="M1045518" s="19"/>
      <c r="N1045518" s="19"/>
    </row>
    <row r="1045519" spans="1:14" s="83" customFormat="1" ht="12.75">
      <c r="A1045519" s="19"/>
      <c r="B1045519" s="19"/>
      <c r="C1045519" s="19"/>
      <c r="D1045519" s="19"/>
      <c r="E1045519" s="19"/>
      <c r="F1045519" s="19"/>
      <c r="G1045519" s="19"/>
      <c r="H1045519" s="19"/>
      <c r="I1045519" s="19"/>
      <c r="J1045519" s="19"/>
      <c r="K1045519" s="19"/>
      <c r="L1045519" s="19"/>
      <c r="M1045519" s="19"/>
      <c r="N1045519" s="19"/>
    </row>
    <row r="1045520" spans="1:14" s="83" customFormat="1" ht="12.75">
      <c r="A1045520" s="19"/>
      <c r="B1045520" s="19"/>
      <c r="C1045520" s="19"/>
      <c r="D1045520" s="19"/>
      <c r="E1045520" s="19"/>
      <c r="F1045520" s="19"/>
      <c r="G1045520" s="19"/>
      <c r="H1045520" s="19"/>
      <c r="I1045520" s="19"/>
      <c r="J1045520" s="19"/>
      <c r="K1045520" s="19"/>
      <c r="L1045520" s="19"/>
      <c r="M1045520" s="19"/>
      <c r="N1045520" s="19"/>
    </row>
    <row r="1045521" spans="1:14" s="83" customFormat="1" ht="12.75">
      <c r="A1045521" s="19"/>
      <c r="B1045521" s="19"/>
      <c r="C1045521" s="19"/>
      <c r="D1045521" s="19"/>
      <c r="E1045521" s="19"/>
      <c r="F1045521" s="19"/>
      <c r="G1045521" s="19"/>
      <c r="H1045521" s="19"/>
      <c r="I1045521" s="19"/>
      <c r="J1045521" s="19"/>
      <c r="K1045521" s="19"/>
      <c r="L1045521" s="19"/>
      <c r="M1045521" s="19"/>
      <c r="N1045521" s="19"/>
    </row>
    <row r="1045522" spans="1:14" s="83" customFormat="1" ht="12.75">
      <c r="A1045522" s="19"/>
      <c r="B1045522" s="19"/>
      <c r="C1045522" s="19"/>
      <c r="D1045522" s="19"/>
      <c r="E1045522" s="19"/>
      <c r="F1045522" s="19"/>
      <c r="G1045522" s="19"/>
      <c r="H1045522" s="19"/>
      <c r="I1045522" s="19"/>
      <c r="J1045522" s="19"/>
      <c r="K1045522" s="19"/>
      <c r="L1045522" s="19"/>
      <c r="M1045522" s="19"/>
      <c r="N1045522" s="19"/>
    </row>
    <row r="1045523" spans="1:14" s="83" customFormat="1" ht="12.75">
      <c r="A1045523" s="19"/>
      <c r="B1045523" s="19"/>
      <c r="C1045523" s="19"/>
      <c r="D1045523" s="19"/>
      <c r="E1045523" s="19"/>
      <c r="F1045523" s="19"/>
      <c r="G1045523" s="19"/>
      <c r="H1045523" s="19"/>
      <c r="I1045523" s="19"/>
      <c r="J1045523" s="19"/>
      <c r="K1045523" s="19"/>
      <c r="L1045523" s="19"/>
      <c r="M1045523" s="19"/>
      <c r="N1045523" s="19"/>
    </row>
    <row r="1045524" spans="1:14" s="83" customFormat="1" ht="12.75">
      <c r="A1045524" s="19"/>
      <c r="B1045524" s="19"/>
      <c r="C1045524" s="19"/>
      <c r="D1045524" s="19"/>
      <c r="E1045524" s="19"/>
      <c r="F1045524" s="19"/>
      <c r="G1045524" s="19"/>
      <c r="H1045524" s="19"/>
      <c r="I1045524" s="19"/>
      <c r="J1045524" s="19"/>
      <c r="K1045524" s="19"/>
      <c r="L1045524" s="19"/>
      <c r="M1045524" s="19"/>
      <c r="N1045524" s="19"/>
    </row>
    <row r="1045525" spans="1:14" s="83" customFormat="1" ht="12.75">
      <c r="A1045525" s="19"/>
      <c r="B1045525" s="19"/>
      <c r="C1045525" s="19"/>
      <c r="D1045525" s="19"/>
      <c r="E1045525" s="19"/>
      <c r="F1045525" s="19"/>
      <c r="G1045525" s="19"/>
      <c r="H1045525" s="19"/>
      <c r="I1045525" s="19"/>
      <c r="J1045525" s="19"/>
      <c r="K1045525" s="19"/>
      <c r="L1045525" s="19"/>
      <c r="M1045525" s="19"/>
      <c r="N1045525" s="19"/>
    </row>
    <row r="1045526" spans="1:14" s="83" customFormat="1" ht="12.75">
      <c r="A1045526" s="19"/>
      <c r="B1045526" s="19"/>
      <c r="C1045526" s="19"/>
      <c r="D1045526" s="19"/>
      <c r="E1045526" s="19"/>
      <c r="F1045526" s="19"/>
      <c r="G1045526" s="19"/>
      <c r="H1045526" s="19"/>
      <c r="I1045526" s="19"/>
      <c r="J1045526" s="19"/>
      <c r="K1045526" s="19"/>
      <c r="L1045526" s="19"/>
      <c r="M1045526" s="19"/>
      <c r="N1045526" s="19"/>
    </row>
    <row r="1045527" spans="1:14" s="83" customFormat="1" ht="12.75">
      <c r="A1045527" s="19"/>
      <c r="B1045527" s="19"/>
      <c r="C1045527" s="19"/>
      <c r="D1045527" s="19"/>
      <c r="E1045527" s="19"/>
      <c r="F1045527" s="19"/>
      <c r="G1045527" s="19"/>
      <c r="H1045527" s="19"/>
      <c r="I1045527" s="19"/>
      <c r="J1045527" s="19"/>
      <c r="K1045527" s="19"/>
      <c r="L1045527" s="19"/>
      <c r="M1045527" s="19"/>
      <c r="N1045527" s="19"/>
    </row>
    <row r="1045528" spans="1:14" s="83" customFormat="1" ht="12.75">
      <c r="A1045528" s="19"/>
      <c r="B1045528" s="19"/>
      <c r="C1045528" s="19"/>
      <c r="D1045528" s="19"/>
      <c r="E1045528" s="19"/>
      <c r="F1045528" s="19"/>
      <c r="G1045528" s="19"/>
      <c r="H1045528" s="19"/>
      <c r="I1045528" s="19"/>
      <c r="J1045528" s="19"/>
      <c r="K1045528" s="19"/>
      <c r="L1045528" s="19"/>
      <c r="M1045528" s="19"/>
      <c r="N1045528" s="19"/>
    </row>
    <row r="1045529" spans="1:14" s="83" customFormat="1" ht="12.75">
      <c r="A1045529" s="19"/>
      <c r="B1045529" s="19"/>
      <c r="C1045529" s="19"/>
      <c r="D1045529" s="19"/>
      <c r="E1045529" s="19"/>
      <c r="F1045529" s="19"/>
      <c r="G1045529" s="19"/>
      <c r="H1045529" s="19"/>
      <c r="I1045529" s="19"/>
      <c r="J1045529" s="19"/>
      <c r="K1045529" s="19"/>
      <c r="L1045529" s="19"/>
      <c r="M1045529" s="19"/>
      <c r="N1045529" s="19"/>
    </row>
    <row r="1045530" spans="1:14" s="83" customFormat="1" ht="12.75">
      <c r="A1045530" s="19"/>
      <c r="B1045530" s="19"/>
      <c r="C1045530" s="19"/>
      <c r="D1045530" s="19"/>
      <c r="E1045530" s="19"/>
      <c r="F1045530" s="19"/>
      <c r="G1045530" s="19"/>
      <c r="H1045530" s="19"/>
      <c r="I1045530" s="19"/>
      <c r="J1045530" s="19"/>
      <c r="K1045530" s="19"/>
      <c r="L1045530" s="19"/>
      <c r="M1045530" s="19"/>
      <c r="N1045530" s="19"/>
    </row>
    <row r="1045531" spans="1:14" s="83" customFormat="1" ht="12.75">
      <c r="A1045531" s="19"/>
      <c r="B1045531" s="19"/>
      <c r="C1045531" s="19"/>
      <c r="D1045531" s="19"/>
      <c r="E1045531" s="19"/>
      <c r="F1045531" s="19"/>
      <c r="G1045531" s="19"/>
      <c r="H1045531" s="19"/>
      <c r="I1045531" s="19"/>
      <c r="J1045531" s="19"/>
      <c r="K1045531" s="19"/>
      <c r="L1045531" s="19"/>
      <c r="M1045531" s="19"/>
      <c r="N1045531" s="19"/>
    </row>
    <row r="1045532" spans="1:14" s="83" customFormat="1" ht="12.75">
      <c r="A1045532" s="19"/>
      <c r="B1045532" s="19"/>
      <c r="C1045532" s="19"/>
      <c r="D1045532" s="19"/>
      <c r="E1045532" s="19"/>
      <c r="F1045532" s="19"/>
      <c r="G1045532" s="19"/>
      <c r="H1045532" s="19"/>
      <c r="I1045532" s="19"/>
      <c r="J1045532" s="19"/>
      <c r="K1045532" s="19"/>
      <c r="L1045532" s="19"/>
      <c r="M1045532" s="19"/>
      <c r="N1045532" s="19"/>
    </row>
    <row r="1045533" spans="1:14" s="83" customFormat="1" ht="12.75">
      <c r="A1045533" s="19"/>
      <c r="B1045533" s="19"/>
      <c r="C1045533" s="19"/>
      <c r="D1045533" s="19"/>
      <c r="E1045533" s="19"/>
      <c r="F1045533" s="19"/>
      <c r="G1045533" s="19"/>
      <c r="H1045533" s="19"/>
      <c r="I1045533" s="19"/>
      <c r="J1045533" s="19"/>
      <c r="K1045533" s="19"/>
      <c r="L1045533" s="19"/>
      <c r="M1045533" s="19"/>
      <c r="N1045533" s="19"/>
    </row>
    <row r="1045534" spans="1:14" s="83" customFormat="1" ht="12.75">
      <c r="A1045534" s="19"/>
      <c r="B1045534" s="19"/>
      <c r="C1045534" s="19"/>
      <c r="D1045534" s="19"/>
      <c r="E1045534" s="19"/>
      <c r="F1045534" s="19"/>
      <c r="G1045534" s="19"/>
      <c r="H1045534" s="19"/>
      <c r="I1045534" s="19"/>
      <c r="J1045534" s="19"/>
      <c r="K1045534" s="19"/>
      <c r="L1045534" s="19"/>
      <c r="M1045534" s="19"/>
      <c r="N1045534" s="19"/>
    </row>
    <row r="1045535" spans="1:14" s="83" customFormat="1" ht="12.75">
      <c r="A1045535" s="19"/>
      <c r="B1045535" s="19"/>
      <c r="C1045535" s="19"/>
      <c r="D1045535" s="19"/>
      <c r="E1045535" s="19"/>
      <c r="F1045535" s="19"/>
      <c r="G1045535" s="19"/>
      <c r="H1045535" s="19"/>
      <c r="I1045535" s="19"/>
      <c r="J1045535" s="19"/>
      <c r="K1045535" s="19"/>
      <c r="L1045535" s="19"/>
      <c r="M1045535" s="19"/>
      <c r="N1045535" s="19"/>
    </row>
    <row r="1045536" spans="1:14" s="83" customFormat="1" ht="12.75">
      <c r="A1045536" s="19"/>
      <c r="B1045536" s="19"/>
      <c r="C1045536" s="19"/>
      <c r="D1045536" s="19"/>
      <c r="E1045536" s="19"/>
      <c r="F1045536" s="19"/>
      <c r="G1045536" s="19"/>
      <c r="H1045536" s="19"/>
      <c r="I1045536" s="19"/>
      <c r="J1045536" s="19"/>
      <c r="K1045536" s="19"/>
      <c r="L1045536" s="19"/>
      <c r="M1045536" s="19"/>
      <c r="N1045536" s="19"/>
    </row>
    <row r="1045537" spans="1:14" s="83" customFormat="1" ht="12.75">
      <c r="A1045537" s="19"/>
      <c r="B1045537" s="19"/>
      <c r="C1045537" s="19"/>
      <c r="D1045537" s="19"/>
      <c r="E1045537" s="19"/>
      <c r="F1045537" s="19"/>
      <c r="G1045537" s="19"/>
      <c r="H1045537" s="19"/>
      <c r="I1045537" s="19"/>
      <c r="J1045537" s="19"/>
      <c r="K1045537" s="19"/>
      <c r="L1045537" s="19"/>
      <c r="M1045537" s="19"/>
      <c r="N1045537" s="19"/>
    </row>
    <row r="1045538" spans="1:14" s="83" customFormat="1" ht="12.75">
      <c r="A1045538" s="19"/>
      <c r="B1045538" s="19"/>
      <c r="C1045538" s="19"/>
      <c r="D1045538" s="19"/>
      <c r="E1045538" s="19"/>
      <c r="F1045538" s="19"/>
      <c r="G1045538" s="19"/>
      <c r="H1045538" s="19"/>
      <c r="I1045538" s="19"/>
      <c r="J1045538" s="19"/>
      <c r="K1045538" s="19"/>
      <c r="L1045538" s="19"/>
      <c r="M1045538" s="19"/>
      <c r="N1045538" s="19"/>
    </row>
    <row r="1045539" spans="1:14" s="83" customFormat="1" ht="12.75">
      <c r="A1045539" s="19"/>
      <c r="B1045539" s="19"/>
      <c r="C1045539" s="19"/>
      <c r="D1045539" s="19"/>
      <c r="E1045539" s="19"/>
      <c r="F1045539" s="19"/>
      <c r="G1045539" s="19"/>
      <c r="H1045539" s="19"/>
      <c r="I1045539" s="19"/>
      <c r="J1045539" s="19"/>
      <c r="K1045539" s="19"/>
      <c r="L1045539" s="19"/>
      <c r="M1045539" s="19"/>
      <c r="N1045539" s="19"/>
    </row>
    <row r="1045540" spans="1:14" s="83" customFormat="1" ht="12.75">
      <c r="A1045540" s="19"/>
      <c r="B1045540" s="19"/>
      <c r="C1045540" s="19"/>
      <c r="D1045540" s="19"/>
      <c r="E1045540" s="19"/>
      <c r="F1045540" s="19"/>
      <c r="G1045540" s="19"/>
      <c r="H1045540" s="19"/>
      <c r="I1045540" s="19"/>
      <c r="J1045540" s="19"/>
      <c r="K1045540" s="19"/>
      <c r="L1045540" s="19"/>
      <c r="M1045540" s="19"/>
      <c r="N1045540" s="19"/>
    </row>
    <row r="1045541" spans="1:14" s="83" customFormat="1" ht="12.75">
      <c r="A1045541" s="19"/>
      <c r="B1045541" s="19"/>
      <c r="C1045541" s="19"/>
      <c r="D1045541" s="19"/>
      <c r="E1045541" s="19"/>
      <c r="F1045541" s="19"/>
      <c r="G1045541" s="19"/>
      <c r="H1045541" s="19"/>
      <c r="I1045541" s="19"/>
      <c r="J1045541" s="19"/>
      <c r="K1045541" s="19"/>
      <c r="L1045541" s="19"/>
      <c r="M1045541" s="19"/>
      <c r="N1045541" s="19"/>
    </row>
    <row r="1045542" spans="1:14" s="83" customFormat="1" ht="12.75">
      <c r="A1045542" s="19"/>
      <c r="B1045542" s="19"/>
      <c r="C1045542" s="19"/>
      <c r="D1045542" s="19"/>
      <c r="E1045542" s="19"/>
      <c r="F1045542" s="19"/>
      <c r="G1045542" s="19"/>
      <c r="H1045542" s="19"/>
      <c r="I1045542" s="19"/>
      <c r="J1045542" s="19"/>
      <c r="K1045542" s="19"/>
      <c r="L1045542" s="19"/>
      <c r="M1045542" s="19"/>
      <c r="N1045542" s="19"/>
    </row>
    <row r="1045543" spans="1:14" s="83" customFormat="1" ht="12.75">
      <c r="A1045543" s="19"/>
      <c r="B1045543" s="19"/>
      <c r="C1045543" s="19"/>
      <c r="D1045543" s="19"/>
      <c r="E1045543" s="19"/>
      <c r="F1045543" s="19"/>
      <c r="G1045543" s="19"/>
      <c r="H1045543" s="19"/>
      <c r="I1045543" s="19"/>
      <c r="J1045543" s="19"/>
      <c r="K1045543" s="19"/>
      <c r="L1045543" s="19"/>
      <c r="M1045543" s="19"/>
      <c r="N1045543" s="19"/>
    </row>
    <row r="1045544" spans="1:14" s="83" customFormat="1" ht="12.75">
      <c r="A1045544" s="19"/>
      <c r="B1045544" s="19"/>
      <c r="C1045544" s="19"/>
      <c r="D1045544" s="19"/>
      <c r="E1045544" s="19"/>
      <c r="F1045544" s="19"/>
      <c r="G1045544" s="19"/>
      <c r="H1045544" s="19"/>
      <c r="I1045544" s="19"/>
      <c r="J1045544" s="19"/>
      <c r="K1045544" s="19"/>
      <c r="L1045544" s="19"/>
      <c r="M1045544" s="19"/>
      <c r="N1045544" s="19"/>
    </row>
    <row r="1045545" spans="1:14" s="83" customFormat="1" ht="12.75">
      <c r="A1045545" s="19"/>
      <c r="B1045545" s="19"/>
      <c r="C1045545" s="19"/>
      <c r="D1045545" s="19"/>
      <c r="E1045545" s="19"/>
      <c r="F1045545" s="19"/>
      <c r="G1045545" s="19"/>
      <c r="H1045545" s="19"/>
      <c r="I1045545" s="19"/>
      <c r="J1045545" s="19"/>
      <c r="K1045545" s="19"/>
      <c r="L1045545" s="19"/>
      <c r="M1045545" s="19"/>
      <c r="N1045545" s="19"/>
    </row>
    <row r="1045546" spans="1:14" s="83" customFormat="1" ht="12.75">
      <c r="A1045546" s="19"/>
      <c r="B1045546" s="19"/>
      <c r="C1045546" s="19"/>
      <c r="D1045546" s="19"/>
      <c r="E1045546" s="19"/>
      <c r="F1045546" s="19"/>
      <c r="G1045546" s="19"/>
      <c r="H1045546" s="19"/>
      <c r="I1045546" s="19"/>
      <c r="J1045546" s="19"/>
      <c r="K1045546" s="19"/>
      <c r="L1045546" s="19"/>
      <c r="M1045546" s="19"/>
      <c r="N1045546" s="19"/>
    </row>
    <row r="1045547" spans="1:14" s="83" customFormat="1" ht="12.75">
      <c r="A1045547" s="19"/>
      <c r="B1045547" s="19"/>
      <c r="C1045547" s="19"/>
      <c r="D1045547" s="19"/>
      <c r="E1045547" s="19"/>
      <c r="F1045547" s="19"/>
      <c r="G1045547" s="19"/>
      <c r="H1045547" s="19"/>
      <c r="I1045547" s="19"/>
      <c r="J1045547" s="19"/>
      <c r="K1045547" s="19"/>
      <c r="L1045547" s="19"/>
      <c r="M1045547" s="19"/>
      <c r="N1045547" s="19"/>
    </row>
    <row r="1045548" spans="1:14" s="83" customFormat="1" ht="12.75">
      <c r="A1045548" s="19"/>
      <c r="B1045548" s="19"/>
      <c r="C1045548" s="19"/>
      <c r="D1045548" s="19"/>
      <c r="E1045548" s="19"/>
      <c r="F1045548" s="19"/>
      <c r="G1045548" s="19"/>
      <c r="H1045548" s="19"/>
      <c r="I1045548" s="19"/>
      <c r="J1045548" s="19"/>
      <c r="K1045548" s="19"/>
      <c r="L1045548" s="19"/>
      <c r="M1045548" s="19"/>
      <c r="N1045548" s="19"/>
    </row>
    <row r="1045549" spans="1:14" s="83" customFormat="1" ht="12.75">
      <c r="A1045549" s="19"/>
      <c r="B1045549" s="19"/>
      <c r="C1045549" s="19"/>
      <c r="D1045549" s="19"/>
      <c r="E1045549" s="19"/>
      <c r="F1045549" s="19"/>
      <c r="G1045549" s="19"/>
      <c r="H1045549" s="19"/>
      <c r="I1045549" s="19"/>
      <c r="J1045549" s="19"/>
      <c r="K1045549" s="19"/>
      <c r="L1045549" s="19"/>
      <c r="M1045549" s="19"/>
      <c r="N1045549" s="19"/>
    </row>
    <row r="1045550" spans="1:14" s="83" customFormat="1" ht="12.75">
      <c r="A1045550" s="19"/>
      <c r="B1045550" s="19"/>
      <c r="C1045550" s="19"/>
      <c r="D1045550" s="19"/>
      <c r="E1045550" s="19"/>
      <c r="F1045550" s="19"/>
      <c r="G1045550" s="19"/>
      <c r="H1045550" s="19"/>
      <c r="I1045550" s="19"/>
      <c r="J1045550" s="19"/>
      <c r="K1045550" s="19"/>
      <c r="L1045550" s="19"/>
      <c r="M1045550" s="19"/>
      <c r="N1045550" s="19"/>
    </row>
    <row r="1045551" spans="1:14" s="83" customFormat="1" ht="12.75">
      <c r="A1045551" s="19"/>
      <c r="B1045551" s="19"/>
      <c r="C1045551" s="19"/>
      <c r="D1045551" s="19"/>
      <c r="E1045551" s="19"/>
      <c r="F1045551" s="19"/>
      <c r="G1045551" s="19"/>
      <c r="H1045551" s="19"/>
      <c r="I1045551" s="19"/>
      <c r="J1045551" s="19"/>
      <c r="K1045551" s="19"/>
      <c r="L1045551" s="19"/>
      <c r="M1045551" s="19"/>
      <c r="N1045551" s="19"/>
    </row>
    <row r="1045552" spans="1:14" s="83" customFormat="1" ht="12.75">
      <c r="A1045552" s="19"/>
      <c r="B1045552" s="19"/>
      <c r="C1045552" s="19"/>
      <c r="D1045552" s="19"/>
      <c r="E1045552" s="19"/>
      <c r="F1045552" s="19"/>
      <c r="G1045552" s="19"/>
      <c r="H1045552" s="19"/>
      <c r="I1045552" s="19"/>
      <c r="J1045552" s="19"/>
      <c r="K1045552" s="19"/>
      <c r="L1045552" s="19"/>
      <c r="M1045552" s="19"/>
      <c r="N1045552" s="19"/>
    </row>
    <row r="1045553" spans="1:14" s="83" customFormat="1" ht="12.75">
      <c r="A1045553" s="19"/>
      <c r="B1045553" s="19"/>
      <c r="C1045553" s="19"/>
      <c r="D1045553" s="19"/>
      <c r="E1045553" s="19"/>
      <c r="F1045553" s="19"/>
      <c r="G1045553" s="19"/>
      <c r="H1045553" s="19"/>
      <c r="I1045553" s="19"/>
      <c r="J1045553" s="19"/>
      <c r="K1045553" s="19"/>
      <c r="L1045553" s="19"/>
      <c r="M1045553" s="19"/>
      <c r="N1045553" s="19"/>
    </row>
    <row r="1045554" spans="1:14" s="83" customFormat="1" ht="12.75">
      <c r="A1045554" s="19"/>
      <c r="B1045554" s="19"/>
      <c r="C1045554" s="19"/>
      <c r="D1045554" s="19"/>
      <c r="E1045554" s="19"/>
      <c r="F1045554" s="19"/>
      <c r="G1045554" s="19"/>
      <c r="H1045554" s="19"/>
      <c r="I1045554" s="19"/>
      <c r="J1045554" s="19"/>
      <c r="K1045554" s="19"/>
      <c r="L1045554" s="19"/>
      <c r="M1045554" s="19"/>
      <c r="N1045554" s="19"/>
    </row>
    <row r="1045555" spans="1:14" s="83" customFormat="1" ht="12.75">
      <c r="A1045555" s="19"/>
      <c r="B1045555" s="19"/>
      <c r="C1045555" s="19"/>
      <c r="D1045555" s="19"/>
      <c r="E1045555" s="19"/>
      <c r="F1045555" s="19"/>
      <c r="G1045555" s="19"/>
      <c r="H1045555" s="19"/>
      <c r="I1045555" s="19"/>
      <c r="J1045555" s="19"/>
      <c r="K1045555" s="19"/>
      <c r="L1045555" s="19"/>
      <c r="M1045555" s="19"/>
      <c r="N1045555" s="19"/>
    </row>
    <row r="1045556" spans="1:14" s="83" customFormat="1" ht="12.75">
      <c r="A1045556" s="19"/>
      <c r="B1045556" s="19"/>
      <c r="C1045556" s="19"/>
      <c r="D1045556" s="19"/>
      <c r="E1045556" s="19"/>
      <c r="F1045556" s="19"/>
      <c r="G1045556" s="19"/>
      <c r="H1045556" s="19"/>
      <c r="I1045556" s="19"/>
      <c r="J1045556" s="19"/>
      <c r="K1045556" s="19"/>
      <c r="L1045556" s="19"/>
      <c r="M1045556" s="19"/>
      <c r="N1045556" s="19"/>
    </row>
    <row r="1045557" spans="1:14" s="83" customFormat="1" ht="12.75">
      <c r="A1045557" s="19"/>
      <c r="B1045557" s="19"/>
      <c r="C1045557" s="19"/>
      <c r="D1045557" s="19"/>
      <c r="E1045557" s="19"/>
      <c r="F1045557" s="19"/>
      <c r="G1045557" s="19"/>
      <c r="H1045557" s="19"/>
      <c r="I1045557" s="19"/>
      <c r="J1045557" s="19"/>
      <c r="K1045557" s="19"/>
      <c r="L1045557" s="19"/>
      <c r="M1045557" s="19"/>
      <c r="N1045557" s="19"/>
    </row>
    <row r="1045558" spans="1:14" s="83" customFormat="1" ht="12.75">
      <c r="A1045558" s="19"/>
      <c r="B1045558" s="19"/>
      <c r="C1045558" s="19"/>
      <c r="D1045558" s="19"/>
      <c r="E1045558" s="19"/>
      <c r="F1045558" s="19"/>
      <c r="G1045558" s="19"/>
      <c r="H1045558" s="19"/>
      <c r="I1045558" s="19"/>
      <c r="J1045558" s="19"/>
      <c r="K1045558" s="19"/>
      <c r="L1045558" s="19"/>
      <c r="M1045558" s="19"/>
      <c r="N1045558" s="19"/>
    </row>
    <row r="1045559" spans="1:14" s="83" customFormat="1" ht="12.75">
      <c r="A1045559" s="19"/>
      <c r="B1045559" s="19"/>
      <c r="C1045559" s="19"/>
      <c r="D1045559" s="19"/>
      <c r="E1045559" s="19"/>
      <c r="F1045559" s="19"/>
      <c r="G1045559" s="19"/>
      <c r="H1045559" s="19"/>
      <c r="I1045559" s="19"/>
      <c r="J1045559" s="19"/>
      <c r="K1045559" s="19"/>
      <c r="L1045559" s="19"/>
      <c r="M1045559" s="19"/>
      <c r="N1045559" s="19"/>
    </row>
    <row r="1045560" spans="1:14" s="83" customFormat="1" ht="12.75">
      <c r="A1045560" s="19"/>
      <c r="B1045560" s="19"/>
      <c r="C1045560" s="19"/>
      <c r="D1045560" s="19"/>
      <c r="E1045560" s="19"/>
      <c r="F1045560" s="19"/>
      <c r="G1045560" s="19"/>
      <c r="H1045560" s="19"/>
      <c r="I1045560" s="19"/>
      <c r="J1045560" s="19"/>
      <c r="K1045560" s="19"/>
      <c r="L1045560" s="19"/>
      <c r="M1045560" s="19"/>
      <c r="N1045560" s="19"/>
    </row>
    <row r="1045561" spans="1:14" s="83" customFormat="1" ht="12.75">
      <c r="A1045561" s="19"/>
      <c r="B1045561" s="19"/>
      <c r="C1045561" s="19"/>
      <c r="D1045561" s="19"/>
      <c r="E1045561" s="19"/>
      <c r="F1045561" s="19"/>
      <c r="G1045561" s="19"/>
      <c r="H1045561" s="19"/>
      <c r="I1045561" s="19"/>
      <c r="J1045561" s="19"/>
      <c r="K1045561" s="19"/>
      <c r="L1045561" s="19"/>
      <c r="M1045561" s="19"/>
      <c r="N1045561" s="19"/>
    </row>
    <row r="1045562" spans="1:14" s="83" customFormat="1" ht="12.75">
      <c r="A1045562" s="19"/>
      <c r="B1045562" s="19"/>
      <c r="C1045562" s="19"/>
      <c r="D1045562" s="19"/>
      <c r="E1045562" s="19"/>
      <c r="F1045562" s="19"/>
      <c r="G1045562" s="19"/>
      <c r="H1045562" s="19"/>
      <c r="I1045562" s="19"/>
      <c r="J1045562" s="19"/>
      <c r="K1045562" s="19"/>
      <c r="L1045562" s="19"/>
      <c r="M1045562" s="19"/>
      <c r="N1045562" s="19"/>
    </row>
    <row r="1045563" spans="1:14" s="83" customFormat="1" ht="12.75">
      <c r="A1045563" s="19"/>
      <c r="B1045563" s="19"/>
      <c r="C1045563" s="19"/>
      <c r="D1045563" s="19"/>
      <c r="E1045563" s="19"/>
      <c r="F1045563" s="19"/>
      <c r="G1045563" s="19"/>
      <c r="H1045563" s="19"/>
      <c r="I1045563" s="19"/>
      <c r="J1045563" s="19"/>
      <c r="K1045563" s="19"/>
      <c r="L1045563" s="19"/>
      <c r="M1045563" s="19"/>
      <c r="N1045563" s="19"/>
    </row>
    <row r="1045564" spans="1:14" s="83" customFormat="1" ht="12.75">
      <c r="A1045564" s="19"/>
      <c r="B1045564" s="19"/>
      <c r="C1045564" s="19"/>
      <c r="D1045564" s="19"/>
      <c r="E1045564" s="19"/>
      <c r="F1045564" s="19"/>
      <c r="G1045564" s="19"/>
      <c r="H1045564" s="19"/>
      <c r="I1045564" s="19"/>
      <c r="J1045564" s="19"/>
      <c r="K1045564" s="19"/>
      <c r="L1045564" s="19"/>
      <c r="M1045564" s="19"/>
      <c r="N1045564" s="19"/>
    </row>
    <row r="1045565" spans="1:14" s="83" customFormat="1" ht="12.75">
      <c r="A1045565" s="19"/>
      <c r="B1045565" s="19"/>
      <c r="C1045565" s="19"/>
      <c r="D1045565" s="19"/>
      <c r="E1045565" s="19"/>
      <c r="F1045565" s="19"/>
      <c r="G1045565" s="19"/>
      <c r="H1045565" s="19"/>
      <c r="I1045565" s="19"/>
      <c r="J1045565" s="19"/>
      <c r="K1045565" s="19"/>
      <c r="L1045565" s="19"/>
      <c r="M1045565" s="19"/>
      <c r="N1045565" s="19"/>
    </row>
    <row r="1045566" spans="1:14" s="83" customFormat="1" ht="12.75">
      <c r="A1045566" s="19"/>
      <c r="B1045566" s="19"/>
      <c r="C1045566" s="19"/>
      <c r="D1045566" s="19"/>
      <c r="E1045566" s="19"/>
      <c r="F1045566" s="19"/>
      <c r="G1045566" s="19"/>
      <c r="H1045566" s="19"/>
      <c r="I1045566" s="19"/>
      <c r="J1045566" s="19"/>
      <c r="K1045566" s="19"/>
      <c r="L1045566" s="19"/>
      <c r="M1045566" s="19"/>
      <c r="N1045566" s="19"/>
    </row>
    <row r="1045567" spans="1:14" s="83" customFormat="1" ht="12.75">
      <c r="A1045567" s="19"/>
      <c r="B1045567" s="19"/>
      <c r="C1045567" s="19"/>
      <c r="D1045567" s="19"/>
      <c r="E1045567" s="19"/>
      <c r="F1045567" s="19"/>
      <c r="G1045567" s="19"/>
      <c r="H1045567" s="19"/>
      <c r="I1045567" s="19"/>
      <c r="J1045567" s="19"/>
      <c r="K1045567" s="19"/>
      <c r="L1045567" s="19"/>
      <c r="M1045567" s="19"/>
      <c r="N1045567" s="19"/>
    </row>
    <row r="1045568" spans="1:14" s="83" customFormat="1" ht="12.75">
      <c r="A1045568" s="19"/>
      <c r="B1045568" s="19"/>
      <c r="C1045568" s="19"/>
      <c r="D1045568" s="19"/>
      <c r="E1045568" s="19"/>
      <c r="F1045568" s="19"/>
      <c r="G1045568" s="19"/>
      <c r="H1045568" s="19"/>
      <c r="I1045568" s="19"/>
      <c r="J1045568" s="19"/>
      <c r="K1045568" s="19"/>
      <c r="L1045568" s="19"/>
      <c r="M1045568" s="19"/>
      <c r="N1045568" s="19"/>
    </row>
    <row r="1045569" spans="1:14" s="83" customFormat="1" ht="12.75">
      <c r="A1045569" s="19"/>
      <c r="B1045569" s="19"/>
      <c r="C1045569" s="19"/>
      <c r="D1045569" s="19"/>
      <c r="E1045569" s="19"/>
      <c r="F1045569" s="19"/>
      <c r="G1045569" s="19"/>
      <c r="H1045569" s="19"/>
      <c r="I1045569" s="19"/>
      <c r="J1045569" s="19"/>
      <c r="K1045569" s="19"/>
      <c r="L1045569" s="19"/>
      <c r="M1045569" s="19"/>
      <c r="N1045569" s="19"/>
    </row>
    <row r="1045570" spans="1:14" s="83" customFormat="1" ht="12.75">
      <c r="A1045570" s="19"/>
      <c r="B1045570" s="19"/>
      <c r="C1045570" s="19"/>
      <c r="D1045570" s="19"/>
      <c r="E1045570" s="19"/>
      <c r="F1045570" s="19"/>
      <c r="G1045570" s="19"/>
      <c r="H1045570" s="19"/>
      <c r="I1045570" s="19"/>
      <c r="J1045570" s="19"/>
      <c r="K1045570" s="19"/>
      <c r="L1045570" s="19"/>
      <c r="M1045570" s="19"/>
      <c r="N1045570" s="19"/>
    </row>
    <row r="1045571" spans="1:14" s="83" customFormat="1" ht="12.75">
      <c r="A1045571" s="19"/>
      <c r="B1045571" s="19"/>
      <c r="C1045571" s="19"/>
      <c r="D1045571" s="19"/>
      <c r="E1045571" s="19"/>
      <c r="F1045571" s="19"/>
      <c r="G1045571" s="19"/>
      <c r="H1045571" s="19"/>
      <c r="I1045571" s="19"/>
      <c r="J1045571" s="19"/>
      <c r="K1045571" s="19"/>
      <c r="L1045571" s="19"/>
      <c r="M1045571" s="19"/>
      <c r="N1045571" s="19"/>
    </row>
    <row r="1045572" spans="1:14" s="83" customFormat="1" ht="12.75">
      <c r="A1045572" s="19"/>
      <c r="B1045572" s="19"/>
      <c r="C1045572" s="19"/>
      <c r="D1045572" s="19"/>
      <c r="E1045572" s="19"/>
      <c r="F1045572" s="19"/>
      <c r="G1045572" s="19"/>
      <c r="H1045572" s="19"/>
      <c r="I1045572" s="19"/>
      <c r="J1045572" s="19"/>
      <c r="K1045572" s="19"/>
      <c r="L1045572" s="19"/>
      <c r="M1045572" s="19"/>
      <c r="N1045572" s="19"/>
    </row>
    <row r="1045573" spans="1:14" s="83" customFormat="1" ht="12.75">
      <c r="A1045573" s="19"/>
      <c r="B1045573" s="19"/>
      <c r="C1045573" s="19"/>
      <c r="D1045573" s="19"/>
      <c r="E1045573" s="19"/>
      <c r="F1045573" s="19"/>
      <c r="G1045573" s="19"/>
      <c r="H1045573" s="19"/>
      <c r="I1045573" s="19"/>
      <c r="J1045573" s="19"/>
      <c r="K1045573" s="19"/>
      <c r="L1045573" s="19"/>
      <c r="M1045573" s="19"/>
      <c r="N1045573" s="19"/>
    </row>
    <row r="1045574" spans="1:14" s="83" customFormat="1" ht="12.75">
      <c r="A1045574" s="19"/>
      <c r="B1045574" s="19"/>
      <c r="C1045574" s="19"/>
      <c r="D1045574" s="19"/>
      <c r="E1045574" s="19"/>
      <c r="F1045574" s="19"/>
      <c r="G1045574" s="19"/>
      <c r="H1045574" s="19"/>
      <c r="I1045574" s="19"/>
      <c r="J1045574" s="19"/>
      <c r="K1045574" s="19"/>
      <c r="L1045574" s="19"/>
      <c r="M1045574" s="19"/>
      <c r="N1045574" s="19"/>
    </row>
    <row r="1045575" spans="1:14" s="83" customFormat="1" ht="12.75">
      <c r="A1045575" s="19"/>
      <c r="B1045575" s="19"/>
      <c r="C1045575" s="19"/>
      <c r="D1045575" s="19"/>
      <c r="E1045575" s="19"/>
      <c r="F1045575" s="19"/>
      <c r="G1045575" s="19"/>
      <c r="H1045575" s="19"/>
      <c r="I1045575" s="19"/>
      <c r="J1045575" s="19"/>
      <c r="K1045575" s="19"/>
      <c r="L1045575" s="19"/>
      <c r="M1045575" s="19"/>
      <c r="N1045575" s="19"/>
    </row>
    <row r="1045576" spans="1:14" s="83" customFormat="1" ht="12.75">
      <c r="A1045576" s="19"/>
      <c r="B1045576" s="19"/>
      <c r="C1045576" s="19"/>
      <c r="D1045576" s="19"/>
      <c r="E1045576" s="19"/>
      <c r="F1045576" s="19"/>
      <c r="G1045576" s="19"/>
      <c r="H1045576" s="19"/>
      <c r="I1045576" s="19"/>
      <c r="J1045576" s="19"/>
      <c r="K1045576" s="19"/>
      <c r="L1045576" s="19"/>
      <c r="M1045576" s="19"/>
      <c r="N1045576" s="19"/>
    </row>
    <row r="1045577" spans="1:14" s="83" customFormat="1" ht="12.75">
      <c r="A1045577" s="19"/>
      <c r="B1045577" s="19"/>
      <c r="C1045577" s="19"/>
      <c r="D1045577" s="19"/>
      <c r="E1045577" s="19"/>
      <c r="F1045577" s="19"/>
      <c r="G1045577" s="19"/>
      <c r="H1045577" s="19"/>
      <c r="I1045577" s="19"/>
      <c r="J1045577" s="19"/>
      <c r="K1045577" s="19"/>
      <c r="L1045577" s="19"/>
      <c r="M1045577" s="19"/>
      <c r="N1045577" s="19"/>
    </row>
    <row r="1045578" spans="1:14" s="83" customFormat="1" ht="12.75">
      <c r="A1045578" s="19"/>
      <c r="B1045578" s="19"/>
      <c r="C1045578" s="19"/>
      <c r="D1045578" s="19"/>
      <c r="E1045578" s="19"/>
      <c r="F1045578" s="19"/>
      <c r="G1045578" s="19"/>
      <c r="H1045578" s="19"/>
      <c r="I1045578" s="19"/>
      <c r="J1045578" s="19"/>
      <c r="K1045578" s="19"/>
      <c r="L1045578" s="19"/>
      <c r="M1045578" s="19"/>
      <c r="N1045578" s="19"/>
    </row>
    <row r="1045579" spans="1:14" s="83" customFormat="1" ht="12.75">
      <c r="A1045579" s="19"/>
      <c r="B1045579" s="19"/>
      <c r="C1045579" s="19"/>
      <c r="D1045579" s="19"/>
      <c r="E1045579" s="19"/>
      <c r="F1045579" s="19"/>
      <c r="G1045579" s="19"/>
      <c r="H1045579" s="19"/>
      <c r="I1045579" s="19"/>
      <c r="J1045579" s="19"/>
      <c r="K1045579" s="19"/>
      <c r="L1045579" s="19"/>
      <c r="M1045579" s="19"/>
      <c r="N1045579" s="19"/>
    </row>
    <row r="1045580" spans="1:14" s="83" customFormat="1" ht="12.75">
      <c r="A1045580" s="19"/>
      <c r="B1045580" s="19"/>
      <c r="C1045580" s="19"/>
      <c r="D1045580" s="19"/>
      <c r="E1045580" s="19"/>
      <c r="F1045580" s="19"/>
      <c r="G1045580" s="19"/>
      <c r="H1045580" s="19"/>
      <c r="I1045580" s="19"/>
      <c r="J1045580" s="19"/>
      <c r="K1045580" s="19"/>
      <c r="L1045580" s="19"/>
      <c r="M1045580" s="19"/>
      <c r="N1045580" s="19"/>
    </row>
    <row r="1045581" spans="1:14" s="83" customFormat="1" ht="12.75">
      <c r="A1045581" s="19"/>
      <c r="B1045581" s="19"/>
      <c r="C1045581" s="19"/>
      <c r="D1045581" s="19"/>
      <c r="E1045581" s="19"/>
      <c r="F1045581" s="19"/>
      <c r="G1045581" s="19"/>
      <c r="H1045581" s="19"/>
      <c r="I1045581" s="19"/>
      <c r="J1045581" s="19"/>
      <c r="K1045581" s="19"/>
      <c r="L1045581" s="19"/>
      <c r="M1045581" s="19"/>
      <c r="N1045581" s="19"/>
    </row>
    <row r="1045582" spans="1:14" s="83" customFormat="1" ht="12.75">
      <c r="A1045582" s="19"/>
      <c r="B1045582" s="19"/>
      <c r="C1045582" s="19"/>
      <c r="D1045582" s="19"/>
      <c r="E1045582" s="19"/>
      <c r="F1045582" s="19"/>
      <c r="G1045582" s="19"/>
      <c r="H1045582" s="19"/>
      <c r="I1045582" s="19"/>
      <c r="J1045582" s="19"/>
      <c r="K1045582" s="19"/>
      <c r="L1045582" s="19"/>
      <c r="M1045582" s="19"/>
      <c r="N1045582" s="19"/>
    </row>
    <row r="1045583" spans="1:14" s="83" customFormat="1" ht="12.75">
      <c r="A1045583" s="19"/>
      <c r="B1045583" s="19"/>
      <c r="C1045583" s="19"/>
      <c r="D1045583" s="19"/>
      <c r="E1045583" s="19"/>
      <c r="F1045583" s="19"/>
      <c r="G1045583" s="19"/>
      <c r="H1045583" s="19"/>
      <c r="I1045583" s="19"/>
      <c r="J1045583" s="19"/>
      <c r="K1045583" s="19"/>
      <c r="L1045583" s="19"/>
      <c r="M1045583" s="19"/>
      <c r="N1045583" s="19"/>
    </row>
    <row r="1045584" spans="1:14" s="83" customFormat="1" ht="12.75">
      <c r="A1045584" s="19"/>
      <c r="B1045584" s="19"/>
      <c r="C1045584" s="19"/>
      <c r="D1045584" s="19"/>
      <c r="E1045584" s="19"/>
      <c r="F1045584" s="19"/>
      <c r="G1045584" s="19"/>
      <c r="H1045584" s="19"/>
      <c r="I1045584" s="19"/>
      <c r="J1045584" s="19"/>
      <c r="K1045584" s="19"/>
      <c r="L1045584" s="19"/>
      <c r="M1045584" s="19"/>
      <c r="N1045584" s="19"/>
    </row>
    <row r="1045585" spans="1:14" s="83" customFormat="1" ht="12.75">
      <c r="A1045585" s="19"/>
      <c r="B1045585" s="19"/>
      <c r="C1045585" s="19"/>
      <c r="D1045585" s="19"/>
      <c r="E1045585" s="19"/>
      <c r="F1045585" s="19"/>
      <c r="G1045585" s="19"/>
      <c r="H1045585" s="19"/>
      <c r="I1045585" s="19"/>
      <c r="J1045585" s="19"/>
      <c r="K1045585" s="19"/>
      <c r="L1045585" s="19"/>
      <c r="M1045585" s="19"/>
      <c r="N1045585" s="19"/>
    </row>
    <row r="1045586" spans="1:14" s="83" customFormat="1" ht="12.75">
      <c r="A1045586" s="19"/>
      <c r="B1045586" s="19"/>
      <c r="C1045586" s="19"/>
      <c r="D1045586" s="19"/>
      <c r="E1045586" s="19"/>
      <c r="F1045586" s="19"/>
      <c r="G1045586" s="19"/>
      <c r="H1045586" s="19"/>
      <c r="I1045586" s="19"/>
      <c r="J1045586" s="19"/>
      <c r="K1045586" s="19"/>
      <c r="L1045586" s="19"/>
      <c r="M1045586" s="19"/>
      <c r="N1045586" s="19"/>
    </row>
    <row r="1045587" spans="1:14" s="83" customFormat="1" ht="12.75">
      <c r="A1045587" s="19"/>
      <c r="B1045587" s="19"/>
      <c r="C1045587" s="19"/>
      <c r="D1045587" s="19"/>
      <c r="E1045587" s="19"/>
      <c r="F1045587" s="19"/>
      <c r="G1045587" s="19"/>
      <c r="H1045587" s="19"/>
      <c r="I1045587" s="19"/>
      <c r="J1045587" s="19"/>
      <c r="K1045587" s="19"/>
      <c r="L1045587" s="19"/>
      <c r="M1045587" s="19"/>
      <c r="N1045587" s="19"/>
    </row>
    <row r="1045588" spans="1:14" s="83" customFormat="1" ht="12.75">
      <c r="A1045588" s="19"/>
      <c r="B1045588" s="19"/>
      <c r="C1045588" s="19"/>
      <c r="D1045588" s="19"/>
      <c r="E1045588" s="19"/>
      <c r="F1045588" s="19"/>
      <c r="G1045588" s="19"/>
      <c r="H1045588" s="19"/>
      <c r="I1045588" s="19"/>
      <c r="J1045588" s="19"/>
      <c r="K1045588" s="19"/>
      <c r="L1045588" s="19"/>
      <c r="M1045588" s="19"/>
      <c r="N1045588" s="19"/>
    </row>
    <row r="1045589" spans="1:14" s="83" customFormat="1" ht="12.75">
      <c r="A1045589" s="19"/>
      <c r="B1045589" s="19"/>
      <c r="C1045589" s="19"/>
      <c r="D1045589" s="19"/>
      <c r="E1045589" s="19"/>
      <c r="F1045589" s="19"/>
      <c r="G1045589" s="19"/>
      <c r="H1045589" s="19"/>
      <c r="I1045589" s="19"/>
      <c r="J1045589" s="19"/>
      <c r="K1045589" s="19"/>
      <c r="L1045589" s="19"/>
      <c r="M1045589" s="19"/>
      <c r="N1045589" s="19"/>
    </row>
    <row r="1045590" spans="1:14" s="83" customFormat="1" ht="12.75">
      <c r="A1045590" s="19"/>
      <c r="B1045590" s="19"/>
      <c r="C1045590" s="19"/>
      <c r="D1045590" s="19"/>
      <c r="E1045590" s="19"/>
      <c r="F1045590" s="19"/>
      <c r="G1045590" s="19"/>
      <c r="H1045590" s="19"/>
      <c r="I1045590" s="19"/>
      <c r="J1045590" s="19"/>
      <c r="K1045590" s="19"/>
      <c r="L1045590" s="19"/>
      <c r="M1045590" s="19"/>
      <c r="N1045590" s="19"/>
    </row>
    <row r="1045591" spans="1:14" s="83" customFormat="1" ht="12.75">
      <c r="A1045591" s="19"/>
      <c r="B1045591" s="19"/>
      <c r="C1045591" s="19"/>
      <c r="D1045591" s="19"/>
      <c r="E1045591" s="19"/>
      <c r="F1045591" s="19"/>
      <c r="G1045591" s="19"/>
      <c r="H1045591" s="19"/>
      <c r="I1045591" s="19"/>
      <c r="J1045591" s="19"/>
      <c r="K1045591" s="19"/>
      <c r="L1045591" s="19"/>
      <c r="M1045591" s="19"/>
      <c r="N1045591" s="19"/>
    </row>
    <row r="1045592" spans="1:14" s="83" customFormat="1" ht="12.75">
      <c r="A1045592" s="19"/>
      <c r="B1045592" s="19"/>
      <c r="C1045592" s="19"/>
      <c r="D1045592" s="19"/>
      <c r="E1045592" s="19"/>
      <c r="F1045592" s="19"/>
      <c r="G1045592" s="19"/>
      <c r="H1045592" s="19"/>
      <c r="I1045592" s="19"/>
      <c r="J1045592" s="19"/>
      <c r="K1045592" s="19"/>
      <c r="L1045592" s="19"/>
      <c r="M1045592" s="19"/>
      <c r="N1045592" s="19"/>
    </row>
    <row r="1045593" spans="1:14" s="83" customFormat="1" ht="12.75">
      <c r="A1045593" s="19"/>
      <c r="B1045593" s="19"/>
      <c r="C1045593" s="19"/>
      <c r="D1045593" s="19"/>
      <c r="E1045593" s="19"/>
      <c r="F1045593" s="19"/>
      <c r="G1045593" s="19"/>
      <c r="H1045593" s="19"/>
      <c r="I1045593" s="19"/>
      <c r="J1045593" s="19"/>
      <c r="K1045593" s="19"/>
      <c r="L1045593" s="19"/>
      <c r="M1045593" s="19"/>
      <c r="N1045593" s="19"/>
    </row>
    <row r="1045594" spans="1:14" s="83" customFormat="1" ht="12.75">
      <c r="A1045594" s="19"/>
      <c r="B1045594" s="19"/>
      <c r="C1045594" s="19"/>
      <c r="D1045594" s="19"/>
      <c r="E1045594" s="19"/>
      <c r="F1045594" s="19"/>
      <c r="G1045594" s="19"/>
      <c r="H1045594" s="19"/>
      <c r="I1045594" s="19"/>
      <c r="J1045594" s="19"/>
      <c r="K1045594" s="19"/>
      <c r="L1045594" s="19"/>
      <c r="M1045594" s="19"/>
      <c r="N1045594" s="19"/>
    </row>
    <row r="1045595" spans="1:14" s="83" customFormat="1" ht="12.75">
      <c r="A1045595" s="19"/>
      <c r="B1045595" s="19"/>
      <c r="C1045595" s="19"/>
      <c r="D1045595" s="19"/>
      <c r="E1045595" s="19"/>
      <c r="F1045595" s="19"/>
      <c r="G1045595" s="19"/>
      <c r="H1045595" s="19"/>
      <c r="I1045595" s="19"/>
      <c r="J1045595" s="19"/>
      <c r="K1045595" s="19"/>
      <c r="L1045595" s="19"/>
      <c r="M1045595" s="19"/>
      <c r="N1045595" s="19"/>
    </row>
    <row r="1045596" spans="1:14" s="83" customFormat="1" ht="12.75">
      <c r="A1045596" s="19"/>
      <c r="B1045596" s="19"/>
      <c r="C1045596" s="19"/>
      <c r="D1045596" s="19"/>
      <c r="E1045596" s="19"/>
      <c r="F1045596" s="19"/>
      <c r="G1045596" s="19"/>
      <c r="H1045596" s="19"/>
      <c r="I1045596" s="19"/>
      <c r="J1045596" s="19"/>
      <c r="K1045596" s="19"/>
      <c r="L1045596" s="19"/>
      <c r="M1045596" s="19"/>
      <c r="N1045596" s="19"/>
    </row>
    <row r="1045597" spans="1:14" s="83" customFormat="1" ht="12.75">
      <c r="A1045597" s="19"/>
      <c r="B1045597" s="19"/>
      <c r="C1045597" s="19"/>
      <c r="D1045597" s="19"/>
      <c r="E1045597" s="19"/>
      <c r="F1045597" s="19"/>
      <c r="G1045597" s="19"/>
      <c r="H1045597" s="19"/>
      <c r="I1045597" s="19"/>
      <c r="J1045597" s="19"/>
      <c r="K1045597" s="19"/>
      <c r="L1045597" s="19"/>
      <c r="M1045597" s="19"/>
      <c r="N1045597" s="19"/>
    </row>
    <row r="1045598" spans="1:14" s="83" customFormat="1" ht="12.75">
      <c r="A1045598" s="19"/>
      <c r="B1045598" s="19"/>
      <c r="C1045598" s="19"/>
      <c r="D1045598" s="19"/>
      <c r="E1045598" s="19"/>
      <c r="F1045598" s="19"/>
      <c r="G1045598" s="19"/>
      <c r="H1045598" s="19"/>
      <c r="I1045598" s="19"/>
      <c r="J1045598" s="19"/>
      <c r="K1045598" s="19"/>
      <c r="L1045598" s="19"/>
      <c r="M1045598" s="19"/>
      <c r="N1045598" s="19"/>
    </row>
    <row r="1045599" spans="1:14" s="83" customFormat="1" ht="12.75">
      <c r="A1045599" s="19"/>
      <c r="B1045599" s="19"/>
      <c r="C1045599" s="19"/>
      <c r="D1045599" s="19"/>
      <c r="E1045599" s="19"/>
      <c r="F1045599" s="19"/>
      <c r="G1045599" s="19"/>
      <c r="H1045599" s="19"/>
      <c r="I1045599" s="19"/>
      <c r="J1045599" s="19"/>
      <c r="K1045599" s="19"/>
      <c r="L1045599" s="19"/>
      <c r="M1045599" s="19"/>
      <c r="N1045599" s="19"/>
    </row>
    <row r="1045600" spans="1:14" s="83" customFormat="1" ht="12.75">
      <c r="A1045600" s="19"/>
      <c r="B1045600" s="19"/>
      <c r="C1045600" s="19"/>
      <c r="D1045600" s="19"/>
      <c r="E1045600" s="19"/>
      <c r="F1045600" s="19"/>
      <c r="G1045600" s="19"/>
      <c r="H1045600" s="19"/>
      <c r="I1045600" s="19"/>
      <c r="J1045600" s="19"/>
      <c r="K1045600" s="19"/>
      <c r="L1045600" s="19"/>
      <c r="M1045600" s="19"/>
      <c r="N1045600" s="19"/>
    </row>
    <row r="1045601" spans="1:14" s="83" customFormat="1" ht="12.75">
      <c r="A1045601" s="19"/>
      <c r="B1045601" s="19"/>
      <c r="C1045601" s="19"/>
      <c r="D1045601" s="19"/>
      <c r="E1045601" s="19"/>
      <c r="F1045601" s="19"/>
      <c r="G1045601" s="19"/>
      <c r="H1045601" s="19"/>
      <c r="I1045601" s="19"/>
      <c r="J1045601" s="19"/>
      <c r="K1045601" s="19"/>
      <c r="L1045601" s="19"/>
      <c r="M1045601" s="19"/>
      <c r="N1045601" s="19"/>
    </row>
    <row r="1045602" spans="1:14" s="83" customFormat="1" ht="12.75">
      <c r="A1045602" s="19"/>
      <c r="B1045602" s="19"/>
      <c r="C1045602" s="19"/>
      <c r="D1045602" s="19"/>
      <c r="E1045602" s="19"/>
      <c r="F1045602" s="19"/>
      <c r="G1045602" s="19"/>
      <c r="H1045602" s="19"/>
      <c r="I1045602" s="19"/>
      <c r="J1045602" s="19"/>
      <c r="K1045602" s="19"/>
      <c r="L1045602" s="19"/>
      <c r="M1045602" s="19"/>
      <c r="N1045602" s="19"/>
    </row>
    <row r="1045603" spans="1:14" s="83" customFormat="1" ht="12.75">
      <c r="A1045603" s="19"/>
      <c r="B1045603" s="19"/>
      <c r="C1045603" s="19"/>
      <c r="D1045603" s="19"/>
      <c r="E1045603" s="19"/>
      <c r="F1045603" s="19"/>
      <c r="G1045603" s="19"/>
      <c r="H1045603" s="19"/>
      <c r="I1045603" s="19"/>
      <c r="J1045603" s="19"/>
      <c r="K1045603" s="19"/>
      <c r="L1045603" s="19"/>
      <c r="M1045603" s="19"/>
      <c r="N1045603" s="19"/>
    </row>
    <row r="1045604" spans="1:14" s="83" customFormat="1" ht="12.75">
      <c r="A1045604" s="19"/>
      <c r="B1045604" s="19"/>
      <c r="C1045604" s="19"/>
      <c r="D1045604" s="19"/>
      <c r="E1045604" s="19"/>
      <c r="F1045604" s="19"/>
      <c r="G1045604" s="19"/>
      <c r="H1045604" s="19"/>
      <c r="I1045604" s="19"/>
      <c r="J1045604" s="19"/>
      <c r="K1045604" s="19"/>
      <c r="L1045604" s="19"/>
      <c r="M1045604" s="19"/>
      <c r="N1045604" s="19"/>
    </row>
    <row r="1045605" spans="1:14" s="83" customFormat="1" ht="12.75">
      <c r="A1045605" s="19"/>
      <c r="B1045605" s="19"/>
      <c r="C1045605" s="19"/>
      <c r="D1045605" s="19"/>
      <c r="E1045605" s="19"/>
      <c r="F1045605" s="19"/>
      <c r="G1045605" s="19"/>
      <c r="H1045605" s="19"/>
      <c r="I1045605" s="19"/>
      <c r="J1045605" s="19"/>
      <c r="K1045605" s="19"/>
      <c r="L1045605" s="19"/>
      <c r="M1045605" s="19"/>
      <c r="N1045605" s="19"/>
    </row>
    <row r="1045606" spans="1:14" s="83" customFormat="1" ht="12.75">
      <c r="A1045606" s="19"/>
      <c r="B1045606" s="19"/>
      <c r="C1045606" s="19"/>
      <c r="D1045606" s="19"/>
      <c r="E1045606" s="19"/>
      <c r="F1045606" s="19"/>
      <c r="G1045606" s="19"/>
      <c r="H1045606" s="19"/>
      <c r="I1045606" s="19"/>
      <c r="J1045606" s="19"/>
      <c r="K1045606" s="19"/>
      <c r="L1045606" s="19"/>
      <c r="M1045606" s="19"/>
      <c r="N1045606" s="19"/>
    </row>
    <row r="1045607" spans="1:14" s="83" customFormat="1" ht="12.75">
      <c r="A1045607" s="19"/>
      <c r="B1045607" s="19"/>
      <c r="C1045607" s="19"/>
      <c r="D1045607" s="19"/>
      <c r="E1045607" s="19"/>
      <c r="F1045607" s="19"/>
      <c r="G1045607" s="19"/>
      <c r="H1045607" s="19"/>
      <c r="I1045607" s="19"/>
      <c r="J1045607" s="19"/>
      <c r="K1045607" s="19"/>
      <c r="L1045607" s="19"/>
      <c r="M1045607" s="19"/>
      <c r="N1045607" s="19"/>
    </row>
    <row r="1045608" spans="1:14" s="83" customFormat="1" ht="12.75">
      <c r="A1045608" s="19"/>
      <c r="B1045608" s="19"/>
      <c r="C1045608" s="19"/>
      <c r="D1045608" s="19"/>
      <c r="E1045608" s="19"/>
      <c r="F1045608" s="19"/>
      <c r="G1045608" s="19"/>
      <c r="H1045608" s="19"/>
      <c r="I1045608" s="19"/>
      <c r="J1045608" s="19"/>
      <c r="K1045608" s="19"/>
      <c r="L1045608" s="19"/>
      <c r="M1045608" s="19"/>
      <c r="N1045608" s="19"/>
    </row>
    <row r="1045609" spans="1:14" s="83" customFormat="1" ht="12.75">
      <c r="A1045609" s="19"/>
      <c r="B1045609" s="19"/>
      <c r="C1045609" s="19"/>
      <c r="D1045609" s="19"/>
      <c r="E1045609" s="19"/>
      <c r="F1045609" s="19"/>
      <c r="G1045609" s="19"/>
      <c r="H1045609" s="19"/>
      <c r="I1045609" s="19"/>
      <c r="J1045609" s="19"/>
      <c r="K1045609" s="19"/>
      <c r="L1045609" s="19"/>
      <c r="M1045609" s="19"/>
      <c r="N1045609" s="19"/>
    </row>
    <row r="1045610" spans="1:14" s="83" customFormat="1" ht="12.75">
      <c r="A1045610" s="19"/>
      <c r="B1045610" s="19"/>
      <c r="C1045610" s="19"/>
      <c r="D1045610" s="19"/>
      <c r="E1045610" s="19"/>
      <c r="F1045610" s="19"/>
      <c r="G1045610" s="19"/>
      <c r="H1045610" s="19"/>
      <c r="I1045610" s="19"/>
      <c r="J1045610" s="19"/>
      <c r="K1045610" s="19"/>
      <c r="L1045610" s="19"/>
      <c r="M1045610" s="19"/>
      <c r="N1045610" s="19"/>
    </row>
    <row r="1045611" spans="1:14" s="83" customFormat="1" ht="12.75">
      <c r="A1045611" s="19"/>
      <c r="B1045611" s="19"/>
      <c r="C1045611" s="19"/>
      <c r="D1045611" s="19"/>
      <c r="E1045611" s="19"/>
      <c r="F1045611" s="19"/>
      <c r="G1045611" s="19"/>
      <c r="H1045611" s="19"/>
      <c r="I1045611" s="19"/>
      <c r="J1045611" s="19"/>
      <c r="K1045611" s="19"/>
      <c r="L1045611" s="19"/>
      <c r="M1045611" s="19"/>
      <c r="N1045611" s="19"/>
    </row>
    <row r="1045612" spans="1:14" s="83" customFormat="1" ht="12.75">
      <c r="A1045612" s="19"/>
      <c r="B1045612" s="19"/>
      <c r="C1045612" s="19"/>
      <c r="D1045612" s="19"/>
      <c r="E1045612" s="19"/>
      <c r="F1045612" s="19"/>
      <c r="G1045612" s="19"/>
      <c r="H1045612" s="19"/>
      <c r="I1045612" s="19"/>
      <c r="J1045612" s="19"/>
      <c r="K1045612" s="19"/>
      <c r="L1045612" s="19"/>
      <c r="M1045612" s="19"/>
      <c r="N1045612" s="19"/>
    </row>
    <row r="1045613" spans="1:14" s="83" customFormat="1" ht="12.75">
      <c r="A1045613" s="19"/>
      <c r="B1045613" s="19"/>
      <c r="C1045613" s="19"/>
      <c r="D1045613" s="19"/>
      <c r="E1045613" s="19"/>
      <c r="F1045613" s="19"/>
      <c r="G1045613" s="19"/>
      <c r="H1045613" s="19"/>
      <c r="I1045613" s="19"/>
      <c r="J1045613" s="19"/>
      <c r="K1045613" s="19"/>
      <c r="L1045613" s="19"/>
      <c r="M1045613" s="19"/>
      <c r="N1045613" s="19"/>
    </row>
    <row r="1045614" spans="1:14" s="83" customFormat="1" ht="12.75">
      <c r="A1045614" s="19"/>
      <c r="B1045614" s="19"/>
      <c r="C1045614" s="19"/>
      <c r="D1045614" s="19"/>
      <c r="E1045614" s="19"/>
      <c r="F1045614" s="19"/>
      <c r="G1045614" s="19"/>
      <c r="H1045614" s="19"/>
      <c r="I1045614" s="19"/>
      <c r="J1045614" s="19"/>
      <c r="K1045614" s="19"/>
      <c r="L1045614" s="19"/>
      <c r="M1045614" s="19"/>
      <c r="N1045614" s="19"/>
    </row>
    <row r="1045615" spans="1:14" s="83" customFormat="1" ht="12.75">
      <c r="A1045615" s="19"/>
      <c r="B1045615" s="19"/>
      <c r="C1045615" s="19"/>
      <c r="D1045615" s="19"/>
      <c r="E1045615" s="19"/>
      <c r="F1045615" s="19"/>
      <c r="G1045615" s="19"/>
      <c r="H1045615" s="19"/>
      <c r="I1045615" s="19"/>
      <c r="J1045615" s="19"/>
      <c r="K1045615" s="19"/>
      <c r="L1045615" s="19"/>
      <c r="M1045615" s="19"/>
      <c r="N1045615" s="19"/>
    </row>
    <row r="1045616" spans="1:14" s="83" customFormat="1" ht="12.75">
      <c r="A1045616" s="19"/>
      <c r="B1045616" s="19"/>
      <c r="C1045616" s="19"/>
      <c r="D1045616" s="19"/>
      <c r="E1045616" s="19"/>
      <c r="F1045616" s="19"/>
      <c r="G1045616" s="19"/>
      <c r="H1045616" s="19"/>
      <c r="I1045616" s="19"/>
      <c r="J1045616" s="19"/>
      <c r="K1045616" s="19"/>
      <c r="L1045616" s="19"/>
      <c r="M1045616" s="19"/>
      <c r="N1045616" s="19"/>
    </row>
    <row r="1045617" spans="1:14" s="83" customFormat="1" ht="12.75">
      <c r="A1045617" s="19"/>
      <c r="B1045617" s="19"/>
      <c r="C1045617" s="19"/>
      <c r="D1045617" s="19"/>
      <c r="E1045617" s="19"/>
      <c r="F1045617" s="19"/>
      <c r="G1045617" s="19"/>
      <c r="H1045617" s="19"/>
      <c r="I1045617" s="19"/>
      <c r="J1045617" s="19"/>
      <c r="K1045617" s="19"/>
      <c r="L1045617" s="19"/>
      <c r="M1045617" s="19"/>
      <c r="N1045617" s="19"/>
    </row>
    <row r="1045618" spans="1:14" s="83" customFormat="1" ht="12.75">
      <c r="A1045618" s="19"/>
      <c r="B1045618" s="19"/>
      <c r="C1045618" s="19"/>
      <c r="D1045618" s="19"/>
      <c r="E1045618" s="19"/>
      <c r="F1045618" s="19"/>
      <c r="G1045618" s="19"/>
      <c r="H1045618" s="19"/>
      <c r="I1045618" s="19"/>
      <c r="J1045618" s="19"/>
      <c r="K1045618" s="19"/>
      <c r="L1045618" s="19"/>
      <c r="M1045618" s="19"/>
      <c r="N1045618" s="19"/>
    </row>
    <row r="1045619" spans="1:14" s="83" customFormat="1" ht="12.75">
      <c r="A1045619" s="19"/>
      <c r="B1045619" s="19"/>
      <c r="C1045619" s="19"/>
      <c r="D1045619" s="19"/>
      <c r="E1045619" s="19"/>
      <c r="F1045619" s="19"/>
      <c r="G1045619" s="19"/>
      <c r="H1045619" s="19"/>
      <c r="I1045619" s="19"/>
      <c r="J1045619" s="19"/>
      <c r="K1045619" s="19"/>
      <c r="L1045619" s="19"/>
      <c r="M1045619" s="19"/>
      <c r="N1045619" s="19"/>
    </row>
    <row r="1045620" spans="1:14" s="83" customFormat="1" ht="12.75">
      <c r="A1045620" s="19"/>
      <c r="B1045620" s="19"/>
      <c r="C1045620" s="19"/>
      <c r="D1045620" s="19"/>
      <c r="E1045620" s="19"/>
      <c r="F1045620" s="19"/>
      <c r="G1045620" s="19"/>
      <c r="H1045620" s="19"/>
      <c r="I1045620" s="19"/>
      <c r="J1045620" s="19"/>
      <c r="K1045620" s="19"/>
      <c r="L1045620" s="19"/>
      <c r="M1045620" s="19"/>
      <c r="N1045620" s="19"/>
    </row>
    <row r="1045621" spans="1:14" s="83" customFormat="1" ht="12.75">
      <c r="A1045621" s="19"/>
      <c r="B1045621" s="19"/>
      <c r="C1045621" s="19"/>
      <c r="D1045621" s="19"/>
      <c r="E1045621" s="19"/>
      <c r="F1045621" s="19"/>
      <c r="G1045621" s="19"/>
      <c r="H1045621" s="19"/>
      <c r="I1045621" s="19"/>
      <c r="J1045621" s="19"/>
      <c r="K1045621" s="19"/>
      <c r="L1045621" s="19"/>
      <c r="M1045621" s="19"/>
      <c r="N1045621" s="19"/>
    </row>
    <row r="1045622" spans="1:14" s="83" customFormat="1" ht="12.75">
      <c r="A1045622" s="19"/>
      <c r="B1045622" s="19"/>
      <c r="C1045622" s="19"/>
      <c r="D1045622" s="19"/>
      <c r="E1045622" s="19"/>
      <c r="F1045622" s="19"/>
      <c r="G1045622" s="19"/>
      <c r="H1045622" s="19"/>
      <c r="I1045622" s="19"/>
      <c r="J1045622" s="19"/>
      <c r="K1045622" s="19"/>
      <c r="L1045622" s="19"/>
      <c r="M1045622" s="19"/>
      <c r="N1045622" s="19"/>
    </row>
    <row r="1045623" spans="1:14" s="83" customFormat="1" ht="12.75">
      <c r="A1045623" s="19"/>
      <c r="B1045623" s="19"/>
      <c r="C1045623" s="19"/>
      <c r="D1045623" s="19"/>
      <c r="E1045623" s="19"/>
      <c r="F1045623" s="19"/>
      <c r="G1045623" s="19"/>
      <c r="H1045623" s="19"/>
      <c r="I1045623" s="19"/>
      <c r="J1045623" s="19"/>
      <c r="K1045623" s="19"/>
      <c r="L1045623" s="19"/>
      <c r="M1045623" s="19"/>
      <c r="N1045623" s="19"/>
    </row>
    <row r="1045624" spans="1:14" s="83" customFormat="1" ht="12.75">
      <c r="A1045624" s="19"/>
      <c r="B1045624" s="19"/>
      <c r="C1045624" s="19"/>
      <c r="D1045624" s="19"/>
      <c r="E1045624" s="19"/>
      <c r="F1045624" s="19"/>
      <c r="G1045624" s="19"/>
      <c r="H1045624" s="19"/>
      <c r="I1045624" s="19"/>
      <c r="J1045624" s="19"/>
      <c r="K1045624" s="19"/>
      <c r="L1045624" s="19"/>
      <c r="M1045624" s="19"/>
      <c r="N1045624" s="19"/>
    </row>
    <row r="1045625" spans="1:14" s="83" customFormat="1" ht="12.75">
      <c r="A1045625" s="19"/>
      <c r="B1045625" s="19"/>
      <c r="C1045625" s="19"/>
      <c r="D1045625" s="19"/>
      <c r="E1045625" s="19"/>
      <c r="F1045625" s="19"/>
      <c r="G1045625" s="19"/>
      <c r="H1045625" s="19"/>
      <c r="I1045625" s="19"/>
      <c r="J1045625" s="19"/>
      <c r="K1045625" s="19"/>
      <c r="L1045625" s="19"/>
      <c r="M1045625" s="19"/>
      <c r="N1045625" s="19"/>
    </row>
    <row r="1045626" spans="1:14" s="83" customFormat="1" ht="12.75">
      <c r="A1045626" s="19"/>
      <c r="B1045626" s="19"/>
      <c r="C1045626" s="19"/>
      <c r="D1045626" s="19"/>
      <c r="E1045626" s="19"/>
      <c r="F1045626" s="19"/>
      <c r="G1045626" s="19"/>
      <c r="H1045626" s="19"/>
      <c r="I1045626" s="19"/>
      <c r="J1045626" s="19"/>
      <c r="K1045626" s="19"/>
      <c r="L1045626" s="19"/>
      <c r="M1045626" s="19"/>
      <c r="N1045626" s="19"/>
    </row>
    <row r="1045627" spans="1:14" s="83" customFormat="1" ht="12.75">
      <c r="A1045627" s="19"/>
      <c r="B1045627" s="19"/>
      <c r="C1045627" s="19"/>
      <c r="D1045627" s="19"/>
      <c r="E1045627" s="19"/>
      <c r="F1045627" s="19"/>
      <c r="G1045627" s="19"/>
      <c r="H1045627" s="19"/>
      <c r="I1045627" s="19"/>
      <c r="J1045627" s="19"/>
      <c r="K1045627" s="19"/>
      <c r="L1045627" s="19"/>
      <c r="M1045627" s="19"/>
      <c r="N1045627" s="19"/>
    </row>
    <row r="1045628" spans="1:14" s="83" customFormat="1" ht="12.75">
      <c r="A1045628" s="19"/>
      <c r="B1045628" s="19"/>
      <c r="C1045628" s="19"/>
      <c r="D1045628" s="19"/>
      <c r="E1045628" s="19"/>
      <c r="F1045628" s="19"/>
      <c r="G1045628" s="19"/>
      <c r="H1045628" s="19"/>
      <c r="I1045628" s="19"/>
      <c r="J1045628" s="19"/>
      <c r="K1045628" s="19"/>
      <c r="L1045628" s="19"/>
      <c r="M1045628" s="19"/>
      <c r="N1045628" s="19"/>
    </row>
    <row r="1045629" spans="1:14" s="83" customFormat="1" ht="12.75">
      <c r="A1045629" s="19"/>
      <c r="B1045629" s="19"/>
      <c r="C1045629" s="19"/>
      <c r="D1045629" s="19"/>
      <c r="E1045629" s="19"/>
      <c r="F1045629" s="19"/>
      <c r="G1045629" s="19"/>
      <c r="H1045629" s="19"/>
      <c r="I1045629" s="19"/>
      <c r="J1045629" s="19"/>
      <c r="K1045629" s="19"/>
      <c r="L1045629" s="19"/>
      <c r="M1045629" s="19"/>
      <c r="N1045629" s="19"/>
    </row>
    <row r="1045630" spans="1:14" s="83" customFormat="1" ht="12.75">
      <c r="A1045630" s="19"/>
      <c r="B1045630" s="19"/>
      <c r="C1045630" s="19"/>
      <c r="D1045630" s="19"/>
      <c r="E1045630" s="19"/>
      <c r="F1045630" s="19"/>
      <c r="G1045630" s="19"/>
      <c r="H1045630" s="19"/>
      <c r="I1045630" s="19"/>
      <c r="J1045630" s="19"/>
      <c r="K1045630" s="19"/>
      <c r="L1045630" s="19"/>
      <c r="M1045630" s="19"/>
      <c r="N1045630" s="19"/>
    </row>
    <row r="1045631" spans="1:14" s="83" customFormat="1" ht="12.75">
      <c r="A1045631" s="19"/>
      <c r="B1045631" s="19"/>
      <c r="C1045631" s="19"/>
      <c r="D1045631" s="19"/>
      <c r="E1045631" s="19"/>
      <c r="F1045631" s="19"/>
      <c r="G1045631" s="19"/>
      <c r="H1045631" s="19"/>
      <c r="I1045631" s="19"/>
      <c r="J1045631" s="19"/>
      <c r="K1045631" s="19"/>
      <c r="L1045631" s="19"/>
      <c r="M1045631" s="19"/>
      <c r="N1045631" s="19"/>
    </row>
    <row r="1045632" spans="1:14" s="83" customFormat="1" ht="12.75">
      <c r="A1045632" s="19"/>
      <c r="B1045632" s="19"/>
      <c r="C1045632" s="19"/>
      <c r="D1045632" s="19"/>
      <c r="E1045632" s="19"/>
      <c r="F1045632" s="19"/>
      <c r="G1045632" s="19"/>
      <c r="H1045632" s="19"/>
      <c r="I1045632" s="19"/>
      <c r="J1045632" s="19"/>
      <c r="K1045632" s="19"/>
      <c r="L1045632" s="19"/>
      <c r="M1045632" s="19"/>
      <c r="N1045632" s="19"/>
    </row>
    <row r="1045633" spans="1:14" s="83" customFormat="1" ht="12.75">
      <c r="A1045633" s="19"/>
      <c r="B1045633" s="19"/>
      <c r="C1045633" s="19"/>
      <c r="D1045633" s="19"/>
      <c r="E1045633" s="19"/>
      <c r="F1045633" s="19"/>
      <c r="G1045633" s="19"/>
      <c r="H1045633" s="19"/>
      <c r="I1045633" s="19"/>
      <c r="J1045633" s="19"/>
      <c r="K1045633" s="19"/>
      <c r="L1045633" s="19"/>
      <c r="M1045633" s="19"/>
      <c r="N1045633" s="19"/>
    </row>
    <row r="1045634" spans="1:14" s="83" customFormat="1" ht="12.75">
      <c r="A1045634" s="19"/>
      <c r="B1045634" s="19"/>
      <c r="C1045634" s="19"/>
      <c r="D1045634" s="19"/>
      <c r="E1045634" s="19"/>
      <c r="F1045634" s="19"/>
      <c r="G1045634" s="19"/>
      <c r="H1045634" s="19"/>
      <c r="I1045634" s="19"/>
      <c r="J1045634" s="19"/>
      <c r="K1045634" s="19"/>
      <c r="L1045634" s="19"/>
      <c r="M1045634" s="19"/>
      <c r="N1045634" s="19"/>
    </row>
    <row r="1045635" spans="1:14" s="83" customFormat="1" ht="12.75">
      <c r="A1045635" s="19"/>
      <c r="B1045635" s="19"/>
      <c r="C1045635" s="19"/>
      <c r="D1045635" s="19"/>
      <c r="E1045635" s="19"/>
      <c r="F1045635" s="19"/>
      <c r="G1045635" s="19"/>
      <c r="H1045635" s="19"/>
      <c r="I1045635" s="19"/>
      <c r="J1045635" s="19"/>
      <c r="K1045635" s="19"/>
      <c r="L1045635" s="19"/>
      <c r="M1045635" s="19"/>
      <c r="N1045635" s="19"/>
    </row>
    <row r="1045636" spans="1:14" s="83" customFormat="1" ht="12.75">
      <c r="A1045636" s="19"/>
      <c r="B1045636" s="19"/>
      <c r="C1045636" s="19"/>
      <c r="D1045636" s="19"/>
      <c r="E1045636" s="19"/>
      <c r="F1045636" s="19"/>
      <c r="G1045636" s="19"/>
      <c r="H1045636" s="19"/>
      <c r="I1045636" s="19"/>
      <c r="J1045636" s="19"/>
      <c r="K1045636" s="19"/>
      <c r="L1045636" s="19"/>
      <c r="M1045636" s="19"/>
      <c r="N1045636" s="19"/>
    </row>
    <row r="1045637" spans="1:14" s="83" customFormat="1" ht="12.75">
      <c r="A1045637" s="19"/>
      <c r="B1045637" s="19"/>
      <c r="C1045637" s="19"/>
      <c r="D1045637" s="19"/>
      <c r="E1045637" s="19"/>
      <c r="F1045637" s="19"/>
      <c r="G1045637" s="19"/>
      <c r="H1045637" s="19"/>
      <c r="I1045637" s="19"/>
      <c r="J1045637" s="19"/>
      <c r="K1045637" s="19"/>
      <c r="L1045637" s="19"/>
      <c r="M1045637" s="19"/>
      <c r="N1045637" s="19"/>
    </row>
    <row r="1045638" spans="1:14" s="83" customFormat="1" ht="12.75">
      <c r="A1045638" s="19"/>
      <c r="B1045638" s="19"/>
      <c r="C1045638" s="19"/>
      <c r="D1045638" s="19"/>
      <c r="E1045638" s="19"/>
      <c r="F1045638" s="19"/>
      <c r="G1045638" s="19"/>
      <c r="H1045638" s="19"/>
      <c r="I1045638" s="19"/>
      <c r="J1045638" s="19"/>
      <c r="K1045638" s="19"/>
      <c r="L1045638" s="19"/>
      <c r="M1045638" s="19"/>
      <c r="N1045638" s="19"/>
    </row>
    <row r="1045639" spans="1:14" s="83" customFormat="1" ht="12.75">
      <c r="A1045639" s="19"/>
      <c r="B1045639" s="19"/>
      <c r="C1045639" s="19"/>
      <c r="D1045639" s="19"/>
      <c r="E1045639" s="19"/>
      <c r="F1045639" s="19"/>
      <c r="G1045639" s="19"/>
      <c r="H1045639" s="19"/>
      <c r="I1045639" s="19"/>
      <c r="J1045639" s="19"/>
      <c r="K1045639" s="19"/>
      <c r="L1045639" s="19"/>
      <c r="M1045639" s="19"/>
      <c r="N1045639" s="19"/>
    </row>
    <row r="1045640" spans="1:14" s="83" customFormat="1" ht="12.75">
      <c r="A1045640" s="19"/>
      <c r="B1045640" s="19"/>
      <c r="C1045640" s="19"/>
      <c r="D1045640" s="19"/>
      <c r="E1045640" s="19"/>
      <c r="F1045640" s="19"/>
      <c r="G1045640" s="19"/>
      <c r="H1045640" s="19"/>
      <c r="I1045640" s="19"/>
      <c r="J1045640" s="19"/>
      <c r="K1045640" s="19"/>
      <c r="L1045640" s="19"/>
      <c r="M1045640" s="19"/>
      <c r="N1045640" s="19"/>
    </row>
    <row r="1045641" spans="1:14" s="83" customFormat="1" ht="12.75">
      <c r="A1045641" s="19"/>
      <c r="B1045641" s="19"/>
      <c r="C1045641" s="19"/>
      <c r="D1045641" s="19"/>
      <c r="E1045641" s="19"/>
      <c r="F1045641" s="19"/>
      <c r="G1045641" s="19"/>
      <c r="H1045641" s="19"/>
      <c r="I1045641" s="19"/>
      <c r="J1045641" s="19"/>
      <c r="K1045641" s="19"/>
      <c r="L1045641" s="19"/>
      <c r="M1045641" s="19"/>
      <c r="N1045641" s="19"/>
    </row>
    <row r="1045642" spans="1:14" s="83" customFormat="1" ht="12.75">
      <c r="A1045642" s="19"/>
      <c r="B1045642" s="19"/>
      <c r="C1045642" s="19"/>
      <c r="D1045642" s="19"/>
      <c r="E1045642" s="19"/>
      <c r="F1045642" s="19"/>
      <c r="G1045642" s="19"/>
      <c r="H1045642" s="19"/>
      <c r="I1045642" s="19"/>
      <c r="J1045642" s="19"/>
      <c r="K1045642" s="19"/>
      <c r="L1045642" s="19"/>
      <c r="M1045642" s="19"/>
      <c r="N1045642" s="19"/>
    </row>
    <row r="1045643" spans="1:14" s="83" customFormat="1" ht="12.75">
      <c r="A1045643" s="19"/>
      <c r="B1045643" s="19"/>
      <c r="C1045643" s="19"/>
      <c r="D1045643" s="19"/>
      <c r="E1045643" s="19"/>
      <c r="F1045643" s="19"/>
      <c r="G1045643" s="19"/>
      <c r="H1045643" s="19"/>
      <c r="I1045643" s="19"/>
      <c r="J1045643" s="19"/>
      <c r="K1045643" s="19"/>
      <c r="L1045643" s="19"/>
      <c r="M1045643" s="19"/>
      <c r="N1045643" s="19"/>
    </row>
    <row r="1045644" spans="1:14" s="83" customFormat="1" ht="12.75">
      <c r="A1045644" s="19"/>
      <c r="B1045644" s="19"/>
      <c r="C1045644" s="19"/>
      <c r="D1045644" s="19"/>
      <c r="E1045644" s="19"/>
      <c r="F1045644" s="19"/>
      <c r="G1045644" s="19"/>
      <c r="H1045644" s="19"/>
      <c r="I1045644" s="19"/>
      <c r="J1045644" s="19"/>
      <c r="K1045644" s="19"/>
      <c r="L1045644" s="19"/>
      <c r="M1045644" s="19"/>
      <c r="N1045644" s="19"/>
    </row>
    <row r="1045645" spans="1:14" s="83" customFormat="1" ht="12.75">
      <c r="A1045645" s="19"/>
      <c r="B1045645" s="19"/>
      <c r="C1045645" s="19"/>
      <c r="D1045645" s="19"/>
      <c r="E1045645" s="19"/>
      <c r="F1045645" s="19"/>
      <c r="G1045645" s="19"/>
      <c r="H1045645" s="19"/>
      <c r="I1045645" s="19"/>
      <c r="J1045645" s="19"/>
      <c r="K1045645" s="19"/>
      <c r="L1045645" s="19"/>
      <c r="M1045645" s="19"/>
      <c r="N1045645" s="19"/>
    </row>
    <row r="1045646" spans="1:14" s="83" customFormat="1" ht="12.75">
      <c r="A1045646" s="19"/>
      <c r="B1045646" s="19"/>
      <c r="C1045646" s="19"/>
      <c r="D1045646" s="19"/>
      <c r="E1045646" s="19"/>
      <c r="F1045646" s="19"/>
      <c r="G1045646" s="19"/>
      <c r="H1045646" s="19"/>
      <c r="I1045646" s="19"/>
      <c r="J1045646" s="19"/>
      <c r="K1045646" s="19"/>
      <c r="L1045646" s="19"/>
      <c r="M1045646" s="19"/>
      <c r="N1045646" s="19"/>
    </row>
    <row r="1045647" spans="1:14" s="83" customFormat="1" ht="12.75">
      <c r="A1045647" s="19"/>
      <c r="B1045647" s="19"/>
      <c r="C1045647" s="19"/>
      <c r="D1045647" s="19"/>
      <c r="E1045647" s="19"/>
      <c r="F1045647" s="19"/>
      <c r="G1045647" s="19"/>
      <c r="H1045647" s="19"/>
      <c r="I1045647" s="19"/>
      <c r="J1045647" s="19"/>
      <c r="K1045647" s="19"/>
      <c r="L1045647" s="19"/>
      <c r="M1045647" s="19"/>
      <c r="N1045647" s="19"/>
    </row>
    <row r="1045648" spans="1:14" s="83" customFormat="1" ht="12.75">
      <c r="A1045648" s="19"/>
      <c r="B1045648" s="19"/>
      <c r="C1045648" s="19"/>
      <c r="D1045648" s="19"/>
      <c r="E1045648" s="19"/>
      <c r="F1045648" s="19"/>
      <c r="G1045648" s="19"/>
      <c r="H1045648" s="19"/>
      <c r="I1045648" s="19"/>
      <c r="J1045648" s="19"/>
      <c r="K1045648" s="19"/>
      <c r="L1045648" s="19"/>
      <c r="M1045648" s="19"/>
      <c r="N1045648" s="19"/>
    </row>
    <row r="1045649" spans="1:14" s="83" customFormat="1" ht="12.75">
      <c r="A1045649" s="19"/>
      <c r="B1045649" s="19"/>
      <c r="C1045649" s="19"/>
      <c r="D1045649" s="19"/>
      <c r="E1045649" s="19"/>
      <c r="F1045649" s="19"/>
      <c r="G1045649" s="19"/>
      <c r="H1045649" s="19"/>
      <c r="I1045649" s="19"/>
      <c r="J1045649" s="19"/>
      <c r="K1045649" s="19"/>
      <c r="L1045649" s="19"/>
      <c r="M1045649" s="19"/>
      <c r="N1045649" s="19"/>
    </row>
    <row r="1045650" spans="1:14" s="83" customFormat="1" ht="12.75">
      <c r="A1045650" s="19"/>
      <c r="B1045650" s="19"/>
      <c r="C1045650" s="19"/>
      <c r="D1045650" s="19"/>
      <c r="E1045650" s="19"/>
      <c r="F1045650" s="19"/>
      <c r="G1045650" s="19"/>
      <c r="H1045650" s="19"/>
      <c r="I1045650" s="19"/>
      <c r="J1045650" s="19"/>
      <c r="K1045650" s="19"/>
      <c r="L1045650" s="19"/>
      <c r="M1045650" s="19"/>
      <c r="N1045650" s="19"/>
    </row>
    <row r="1045651" spans="1:14" s="83" customFormat="1" ht="12.75">
      <c r="A1045651" s="19"/>
      <c r="B1045651" s="19"/>
      <c r="C1045651" s="19"/>
      <c r="D1045651" s="19"/>
      <c r="E1045651" s="19"/>
      <c r="F1045651" s="19"/>
      <c r="G1045651" s="19"/>
      <c r="H1045651" s="19"/>
      <c r="I1045651" s="19"/>
      <c r="J1045651" s="19"/>
      <c r="K1045651" s="19"/>
      <c r="L1045651" s="19"/>
      <c r="M1045651" s="19"/>
      <c r="N1045651" s="19"/>
    </row>
    <row r="1045652" spans="1:14" s="83" customFormat="1" ht="12.75">
      <c r="A1045652" s="19"/>
      <c r="B1045652" s="19"/>
      <c r="C1045652" s="19"/>
      <c r="D1045652" s="19"/>
      <c r="E1045652" s="19"/>
      <c r="F1045652" s="19"/>
      <c r="G1045652" s="19"/>
      <c r="H1045652" s="19"/>
      <c r="I1045652" s="19"/>
      <c r="J1045652" s="19"/>
      <c r="K1045652" s="19"/>
      <c r="L1045652" s="19"/>
      <c r="M1045652" s="19"/>
      <c r="N1045652" s="19"/>
    </row>
    <row r="1045653" spans="1:14" s="83" customFormat="1" ht="12.75">
      <c r="A1045653" s="19"/>
      <c r="B1045653" s="19"/>
      <c r="C1045653" s="19"/>
      <c r="D1045653" s="19"/>
      <c r="E1045653" s="19"/>
      <c r="F1045653" s="19"/>
      <c r="G1045653" s="19"/>
      <c r="H1045653" s="19"/>
      <c r="I1045653" s="19"/>
      <c r="J1045653" s="19"/>
      <c r="K1045653" s="19"/>
      <c r="L1045653" s="19"/>
      <c r="M1045653" s="19"/>
      <c r="N1045653" s="19"/>
    </row>
    <row r="1045654" spans="1:14" s="83" customFormat="1" ht="12.75">
      <c r="A1045654" s="19"/>
      <c r="B1045654" s="19"/>
      <c r="C1045654" s="19"/>
      <c r="D1045654" s="19"/>
      <c r="E1045654" s="19"/>
      <c r="F1045654" s="19"/>
      <c r="G1045654" s="19"/>
      <c r="H1045654" s="19"/>
      <c r="I1045654" s="19"/>
      <c r="J1045654" s="19"/>
      <c r="K1045654" s="19"/>
      <c r="L1045654" s="19"/>
      <c r="M1045654" s="19"/>
      <c r="N1045654" s="19"/>
    </row>
    <row r="1045655" spans="1:14" s="83" customFormat="1" ht="12.75">
      <c r="A1045655" s="19"/>
      <c r="B1045655" s="19"/>
      <c r="C1045655" s="19"/>
      <c r="D1045655" s="19"/>
      <c r="E1045655" s="19"/>
      <c r="F1045655" s="19"/>
      <c r="G1045655" s="19"/>
      <c r="H1045655" s="19"/>
      <c r="I1045655" s="19"/>
      <c r="J1045655" s="19"/>
      <c r="K1045655" s="19"/>
      <c r="L1045655" s="19"/>
      <c r="M1045655" s="19"/>
      <c r="N1045655" s="19"/>
    </row>
    <row r="1045656" spans="1:14" s="83" customFormat="1" ht="12.75">
      <c r="A1045656" s="19"/>
      <c r="B1045656" s="19"/>
      <c r="C1045656" s="19"/>
      <c r="D1045656" s="19"/>
      <c r="E1045656" s="19"/>
      <c r="F1045656" s="19"/>
      <c r="G1045656" s="19"/>
      <c r="H1045656" s="19"/>
      <c r="I1045656" s="19"/>
      <c r="J1045656" s="19"/>
      <c r="K1045656" s="19"/>
      <c r="L1045656" s="19"/>
      <c r="M1045656" s="19"/>
      <c r="N1045656" s="19"/>
    </row>
    <row r="1045657" spans="1:14" s="83" customFormat="1" ht="12.75">
      <c r="A1045657" s="19"/>
      <c r="B1045657" s="19"/>
      <c r="C1045657" s="19"/>
      <c r="D1045657" s="19"/>
      <c r="E1045657" s="19"/>
      <c r="F1045657" s="19"/>
      <c r="G1045657" s="19"/>
      <c r="H1045657" s="19"/>
      <c r="I1045657" s="19"/>
      <c r="J1045657" s="19"/>
      <c r="K1045657" s="19"/>
      <c r="L1045657" s="19"/>
      <c r="M1045657" s="19"/>
      <c r="N1045657" s="19"/>
    </row>
    <row r="1045658" spans="1:14" s="83" customFormat="1" ht="12.75">
      <c r="A1045658" s="19"/>
      <c r="B1045658" s="19"/>
      <c r="C1045658" s="19"/>
      <c r="D1045658" s="19"/>
      <c r="E1045658" s="19"/>
      <c r="F1045658" s="19"/>
      <c r="G1045658" s="19"/>
      <c r="H1045658" s="19"/>
      <c r="I1045658" s="19"/>
      <c r="J1045658" s="19"/>
      <c r="K1045658" s="19"/>
      <c r="L1045658" s="19"/>
      <c r="M1045658" s="19"/>
      <c r="N1045658" s="19"/>
    </row>
    <row r="1045659" spans="1:14" s="83" customFormat="1" ht="12.75">
      <c r="A1045659" s="19"/>
      <c r="B1045659" s="19"/>
      <c r="C1045659" s="19"/>
      <c r="D1045659" s="19"/>
      <c r="E1045659" s="19"/>
      <c r="F1045659" s="19"/>
      <c r="G1045659" s="19"/>
      <c r="H1045659" s="19"/>
      <c r="I1045659" s="19"/>
      <c r="J1045659" s="19"/>
      <c r="K1045659" s="19"/>
      <c r="L1045659" s="19"/>
      <c r="M1045659" s="19"/>
      <c r="N1045659" s="19"/>
    </row>
    <row r="1045660" spans="1:14" s="83" customFormat="1" ht="12.75">
      <c r="A1045660" s="19"/>
      <c r="B1045660" s="19"/>
      <c r="C1045660" s="19"/>
      <c r="D1045660" s="19"/>
      <c r="E1045660" s="19"/>
      <c r="F1045660" s="19"/>
      <c r="G1045660" s="19"/>
      <c r="H1045660" s="19"/>
      <c r="I1045660" s="19"/>
      <c r="J1045660" s="19"/>
      <c r="K1045660" s="19"/>
      <c r="L1045660" s="19"/>
      <c r="M1045660" s="19"/>
      <c r="N1045660" s="19"/>
    </row>
    <row r="1045661" spans="1:14" s="83" customFormat="1" ht="12.75">
      <c r="A1045661" s="19"/>
      <c r="B1045661" s="19"/>
      <c r="C1045661" s="19"/>
      <c r="D1045661" s="19"/>
      <c r="E1045661" s="19"/>
      <c r="F1045661" s="19"/>
      <c r="G1045661" s="19"/>
      <c r="H1045661" s="19"/>
      <c r="I1045661" s="19"/>
      <c r="J1045661" s="19"/>
      <c r="K1045661" s="19"/>
      <c r="L1045661" s="19"/>
      <c r="M1045661" s="19"/>
      <c r="N1045661" s="19"/>
    </row>
    <row r="1045662" spans="1:14" s="83" customFormat="1" ht="12.75">
      <c r="A1045662" s="19"/>
      <c r="B1045662" s="19"/>
      <c r="C1045662" s="19"/>
      <c r="D1045662" s="19"/>
      <c r="E1045662" s="19"/>
      <c r="F1045662" s="19"/>
      <c r="G1045662" s="19"/>
      <c r="H1045662" s="19"/>
      <c r="I1045662" s="19"/>
      <c r="J1045662" s="19"/>
      <c r="K1045662" s="19"/>
      <c r="L1045662" s="19"/>
      <c r="M1045662" s="19"/>
      <c r="N1045662" s="19"/>
    </row>
    <row r="1045663" spans="1:14" s="83" customFormat="1" ht="12.75">
      <c r="A1045663" s="19"/>
      <c r="B1045663" s="19"/>
      <c r="C1045663" s="19"/>
      <c r="D1045663" s="19"/>
      <c r="E1045663" s="19"/>
      <c r="F1045663" s="19"/>
      <c r="G1045663" s="19"/>
      <c r="H1045663" s="19"/>
      <c r="I1045663" s="19"/>
      <c r="J1045663" s="19"/>
      <c r="K1045663" s="19"/>
      <c r="L1045663" s="19"/>
      <c r="M1045663" s="19"/>
      <c r="N1045663" s="19"/>
    </row>
    <row r="1045664" spans="1:14" s="83" customFormat="1" ht="12.75">
      <c r="A1045664" s="19"/>
      <c r="B1045664" s="19"/>
      <c r="C1045664" s="19"/>
      <c r="D1045664" s="19"/>
      <c r="E1045664" s="19"/>
      <c r="F1045664" s="19"/>
      <c r="G1045664" s="19"/>
      <c r="H1045664" s="19"/>
      <c r="I1045664" s="19"/>
      <c r="J1045664" s="19"/>
      <c r="K1045664" s="19"/>
      <c r="L1045664" s="19"/>
      <c r="M1045664" s="19"/>
      <c r="N1045664" s="19"/>
    </row>
    <row r="1045665" spans="1:14" s="83" customFormat="1" ht="12.75">
      <c r="A1045665" s="19"/>
      <c r="B1045665" s="19"/>
      <c r="C1045665" s="19"/>
      <c r="D1045665" s="19"/>
      <c r="E1045665" s="19"/>
      <c r="F1045665" s="19"/>
      <c r="G1045665" s="19"/>
      <c r="H1045665" s="19"/>
      <c r="I1045665" s="19"/>
      <c r="J1045665" s="19"/>
      <c r="K1045665" s="19"/>
      <c r="L1045665" s="19"/>
      <c r="M1045665" s="19"/>
      <c r="N1045665" s="19"/>
    </row>
    <row r="1045666" spans="1:14" s="83" customFormat="1" ht="12.75">
      <c r="A1045666" s="19"/>
      <c r="B1045666" s="19"/>
      <c r="C1045666" s="19"/>
      <c r="D1045666" s="19"/>
      <c r="E1045666" s="19"/>
      <c r="F1045666" s="19"/>
      <c r="G1045666" s="19"/>
      <c r="H1045666" s="19"/>
      <c r="I1045666" s="19"/>
      <c r="J1045666" s="19"/>
      <c r="K1045666" s="19"/>
      <c r="L1045666" s="19"/>
      <c r="M1045666" s="19"/>
      <c r="N1045666" s="19"/>
    </row>
    <row r="1045667" spans="1:14" s="83" customFormat="1" ht="12.75">
      <c r="A1045667" s="19"/>
      <c r="B1045667" s="19"/>
      <c r="C1045667" s="19"/>
      <c r="D1045667" s="19"/>
      <c r="E1045667" s="19"/>
      <c r="F1045667" s="19"/>
      <c r="G1045667" s="19"/>
      <c r="H1045667" s="19"/>
      <c r="I1045667" s="19"/>
      <c r="J1045667" s="19"/>
      <c r="K1045667" s="19"/>
      <c r="L1045667" s="19"/>
      <c r="M1045667" s="19"/>
      <c r="N1045667" s="19"/>
    </row>
    <row r="1045668" spans="1:14" s="83" customFormat="1" ht="12.75">
      <c r="A1045668" s="19"/>
      <c r="B1045668" s="19"/>
      <c r="C1045668" s="19"/>
      <c r="D1045668" s="19"/>
      <c r="E1045668" s="19"/>
      <c r="F1045668" s="19"/>
      <c r="G1045668" s="19"/>
      <c r="H1045668" s="19"/>
      <c r="I1045668" s="19"/>
      <c r="J1045668" s="19"/>
      <c r="K1045668" s="19"/>
      <c r="L1045668" s="19"/>
      <c r="M1045668" s="19"/>
      <c r="N1045668" s="19"/>
    </row>
    <row r="1045669" spans="1:14" s="83" customFormat="1" ht="12.75">
      <c r="A1045669" s="19"/>
      <c r="B1045669" s="19"/>
      <c r="C1045669" s="19"/>
      <c r="D1045669" s="19"/>
      <c r="E1045669" s="19"/>
      <c r="F1045669" s="19"/>
      <c r="G1045669" s="19"/>
      <c r="H1045669" s="19"/>
      <c r="I1045669" s="19"/>
      <c r="J1045669" s="19"/>
      <c r="K1045669" s="19"/>
      <c r="L1045669" s="19"/>
      <c r="M1045669" s="19"/>
      <c r="N1045669" s="19"/>
    </row>
    <row r="1045670" spans="1:14" s="83" customFormat="1" ht="12.75">
      <c r="A1045670" s="19"/>
      <c r="B1045670" s="19"/>
      <c r="C1045670" s="19"/>
      <c r="D1045670" s="19"/>
      <c r="E1045670" s="19"/>
      <c r="F1045670" s="19"/>
      <c r="G1045670" s="19"/>
      <c r="H1045670" s="19"/>
      <c r="I1045670" s="19"/>
      <c r="J1045670" s="19"/>
      <c r="K1045670" s="19"/>
      <c r="L1045670" s="19"/>
      <c r="M1045670" s="19"/>
      <c r="N1045670" s="19"/>
    </row>
    <row r="1045671" spans="1:14" s="83" customFormat="1" ht="12.75">
      <c r="A1045671" s="19"/>
      <c r="B1045671" s="19"/>
      <c r="C1045671" s="19"/>
      <c r="D1045671" s="19"/>
      <c r="E1045671" s="19"/>
      <c r="F1045671" s="19"/>
      <c r="G1045671" s="19"/>
      <c r="H1045671" s="19"/>
      <c r="I1045671" s="19"/>
      <c r="J1045671" s="19"/>
      <c r="K1045671" s="19"/>
      <c r="L1045671" s="19"/>
      <c r="M1045671" s="19"/>
      <c r="N1045671" s="19"/>
    </row>
    <row r="1045672" spans="1:14" s="83" customFormat="1" ht="12.75">
      <c r="A1045672" s="19"/>
      <c r="B1045672" s="19"/>
      <c r="C1045672" s="19"/>
      <c r="D1045672" s="19"/>
      <c r="E1045672" s="19"/>
      <c r="F1045672" s="19"/>
      <c r="G1045672" s="19"/>
      <c r="H1045672" s="19"/>
      <c r="I1045672" s="19"/>
      <c r="J1045672" s="19"/>
      <c r="K1045672" s="19"/>
      <c r="L1045672" s="19"/>
      <c r="M1045672" s="19"/>
      <c r="N1045672" s="19"/>
    </row>
    <row r="1045673" spans="1:14" s="83" customFormat="1" ht="12.75">
      <c r="A1045673" s="19"/>
      <c r="B1045673" s="19"/>
      <c r="C1045673" s="19"/>
      <c r="D1045673" s="19"/>
      <c r="E1045673" s="19"/>
      <c r="F1045673" s="19"/>
      <c r="G1045673" s="19"/>
      <c r="H1045673" s="19"/>
      <c r="I1045673" s="19"/>
      <c r="J1045673" s="19"/>
      <c r="K1045673" s="19"/>
      <c r="L1045673" s="19"/>
      <c r="M1045673" s="19"/>
      <c r="N1045673" s="19"/>
    </row>
    <row r="1045674" spans="1:14" s="83" customFormat="1" ht="12.75">
      <c r="A1045674" s="19"/>
      <c r="B1045674" s="19"/>
      <c r="C1045674" s="19"/>
      <c r="D1045674" s="19"/>
      <c r="E1045674" s="19"/>
      <c r="F1045674" s="19"/>
      <c r="G1045674" s="19"/>
      <c r="H1045674" s="19"/>
      <c r="I1045674" s="19"/>
      <c r="J1045674" s="19"/>
      <c r="K1045674" s="19"/>
      <c r="L1045674" s="19"/>
      <c r="M1045674" s="19"/>
      <c r="N1045674" s="19"/>
    </row>
    <row r="1045675" spans="1:14" s="83" customFormat="1" ht="12.75">
      <c r="A1045675" s="19"/>
      <c r="B1045675" s="19"/>
      <c r="C1045675" s="19"/>
      <c r="D1045675" s="19"/>
      <c r="E1045675" s="19"/>
      <c r="F1045675" s="19"/>
      <c r="G1045675" s="19"/>
      <c r="H1045675" s="19"/>
      <c r="I1045675" s="19"/>
      <c r="J1045675" s="19"/>
      <c r="K1045675" s="19"/>
      <c r="L1045675" s="19"/>
      <c r="M1045675" s="19"/>
      <c r="N1045675" s="19"/>
    </row>
    <row r="1045676" spans="1:14" s="83" customFormat="1" ht="12.75">
      <c r="A1045676" s="19"/>
      <c r="B1045676" s="19"/>
      <c r="C1045676" s="19"/>
      <c r="D1045676" s="19"/>
      <c r="E1045676" s="19"/>
      <c r="F1045676" s="19"/>
      <c r="G1045676" s="19"/>
      <c r="H1045676" s="19"/>
      <c r="I1045676" s="19"/>
      <c r="J1045676" s="19"/>
      <c r="K1045676" s="19"/>
      <c r="L1045676" s="19"/>
      <c r="M1045676" s="19"/>
      <c r="N1045676" s="19"/>
    </row>
    <row r="1045677" spans="1:14" s="83" customFormat="1" ht="12.75">
      <c r="A1045677" s="19"/>
      <c r="B1045677" s="19"/>
      <c r="C1045677" s="19"/>
      <c r="D1045677" s="19"/>
      <c r="E1045677" s="19"/>
      <c r="F1045677" s="19"/>
      <c r="G1045677" s="19"/>
      <c r="H1045677" s="19"/>
      <c r="I1045677" s="19"/>
      <c r="J1045677" s="19"/>
      <c r="K1045677" s="19"/>
      <c r="L1045677" s="19"/>
      <c r="M1045677" s="19"/>
      <c r="N1045677" s="19"/>
    </row>
    <row r="1045678" spans="1:14" s="83" customFormat="1" ht="12.75">
      <c r="A1045678" s="19"/>
      <c r="B1045678" s="19"/>
      <c r="C1045678" s="19"/>
      <c r="D1045678" s="19"/>
      <c r="E1045678" s="19"/>
      <c r="F1045678" s="19"/>
      <c r="G1045678" s="19"/>
      <c r="H1045678" s="19"/>
      <c r="I1045678" s="19"/>
      <c r="J1045678" s="19"/>
      <c r="K1045678" s="19"/>
      <c r="L1045678" s="19"/>
      <c r="M1045678" s="19"/>
      <c r="N1045678" s="19"/>
    </row>
    <row r="1045679" spans="1:14" s="83" customFormat="1" ht="12.75">
      <c r="A1045679" s="19"/>
      <c r="B1045679" s="19"/>
      <c r="C1045679" s="19"/>
      <c r="D1045679" s="19"/>
      <c r="E1045679" s="19"/>
      <c r="F1045679" s="19"/>
      <c r="G1045679" s="19"/>
      <c r="H1045679" s="19"/>
      <c r="I1045679" s="19"/>
      <c r="J1045679" s="19"/>
      <c r="K1045679" s="19"/>
      <c r="L1045679" s="19"/>
      <c r="M1045679" s="19"/>
      <c r="N1045679" s="19"/>
    </row>
    <row r="1045680" spans="1:14" s="83" customFormat="1" ht="12.75">
      <c r="A1045680" s="19"/>
      <c r="B1045680" s="19"/>
      <c r="C1045680" s="19"/>
      <c r="D1045680" s="19"/>
      <c r="E1045680" s="19"/>
      <c r="F1045680" s="19"/>
      <c r="G1045680" s="19"/>
      <c r="H1045680" s="19"/>
      <c r="I1045680" s="19"/>
      <c r="J1045680" s="19"/>
      <c r="K1045680" s="19"/>
      <c r="L1045680" s="19"/>
      <c r="M1045680" s="19"/>
      <c r="N1045680" s="19"/>
    </row>
    <row r="1045681" spans="1:14" s="83" customFormat="1" ht="12.75">
      <c r="A1045681" s="19"/>
      <c r="B1045681" s="19"/>
      <c r="C1045681" s="19"/>
      <c r="D1045681" s="19"/>
      <c r="E1045681" s="19"/>
      <c r="F1045681" s="19"/>
      <c r="G1045681" s="19"/>
      <c r="H1045681" s="19"/>
      <c r="I1045681" s="19"/>
      <c r="J1045681" s="19"/>
      <c r="K1045681" s="19"/>
      <c r="L1045681" s="19"/>
      <c r="M1045681" s="19"/>
      <c r="N1045681" s="19"/>
    </row>
    <row r="1045682" spans="1:14" s="83" customFormat="1" ht="12.75">
      <c r="A1045682" s="19"/>
      <c r="B1045682" s="19"/>
      <c r="C1045682" s="19"/>
      <c r="D1045682" s="19"/>
      <c r="E1045682" s="19"/>
      <c r="F1045682" s="19"/>
      <c r="G1045682" s="19"/>
      <c r="H1045682" s="19"/>
      <c r="I1045682" s="19"/>
      <c r="J1045682" s="19"/>
      <c r="K1045682" s="19"/>
      <c r="L1045682" s="19"/>
      <c r="M1045682" s="19"/>
      <c r="N1045682" s="19"/>
    </row>
    <row r="1045683" spans="1:14" s="83" customFormat="1" ht="12.75">
      <c r="A1045683" s="19"/>
      <c r="B1045683" s="19"/>
      <c r="C1045683" s="19"/>
      <c r="D1045683" s="19"/>
      <c r="E1045683" s="19"/>
      <c r="F1045683" s="19"/>
      <c r="G1045683" s="19"/>
      <c r="H1045683" s="19"/>
      <c r="I1045683" s="19"/>
      <c r="J1045683" s="19"/>
      <c r="K1045683" s="19"/>
      <c r="L1045683" s="19"/>
      <c r="M1045683" s="19"/>
      <c r="N1045683" s="19"/>
    </row>
    <row r="1045684" spans="1:14" s="83" customFormat="1" ht="12.75">
      <c r="A1045684" s="19"/>
      <c r="B1045684" s="19"/>
      <c r="C1045684" s="19"/>
      <c r="D1045684" s="19"/>
      <c r="E1045684" s="19"/>
      <c r="F1045684" s="19"/>
      <c r="G1045684" s="19"/>
      <c r="H1045684" s="19"/>
      <c r="I1045684" s="19"/>
      <c r="J1045684" s="19"/>
      <c r="K1045684" s="19"/>
      <c r="L1045684" s="19"/>
      <c r="M1045684" s="19"/>
      <c r="N1045684" s="19"/>
    </row>
    <row r="1045685" spans="1:14" s="83" customFormat="1" ht="12.75">
      <c r="A1045685" s="19"/>
      <c r="B1045685" s="19"/>
      <c r="C1045685" s="19"/>
      <c r="D1045685" s="19"/>
      <c r="E1045685" s="19"/>
      <c r="F1045685" s="19"/>
      <c r="G1045685" s="19"/>
      <c r="H1045685" s="19"/>
      <c r="I1045685" s="19"/>
      <c r="J1045685" s="19"/>
      <c r="K1045685" s="19"/>
      <c r="L1045685" s="19"/>
      <c r="M1045685" s="19"/>
      <c r="N1045685" s="19"/>
    </row>
    <row r="1045686" spans="1:14" s="83" customFormat="1" ht="12.75">
      <c r="A1045686" s="19"/>
      <c r="B1045686" s="19"/>
      <c r="C1045686" s="19"/>
      <c r="D1045686" s="19"/>
      <c r="E1045686" s="19"/>
      <c r="F1045686" s="19"/>
      <c r="G1045686" s="19"/>
      <c r="H1045686" s="19"/>
      <c r="I1045686" s="19"/>
      <c r="J1045686" s="19"/>
      <c r="K1045686" s="19"/>
      <c r="L1045686" s="19"/>
      <c r="M1045686" s="19"/>
      <c r="N1045686" s="19"/>
    </row>
    <row r="1045687" spans="1:14" s="83" customFormat="1" ht="12.75">
      <c r="A1045687" s="19"/>
      <c r="B1045687" s="19"/>
      <c r="C1045687" s="19"/>
      <c r="D1045687" s="19"/>
      <c r="E1045687" s="19"/>
      <c r="F1045687" s="19"/>
      <c r="G1045687" s="19"/>
      <c r="H1045687" s="19"/>
      <c r="I1045687" s="19"/>
      <c r="J1045687" s="19"/>
      <c r="K1045687" s="19"/>
      <c r="L1045687" s="19"/>
      <c r="M1045687" s="19"/>
      <c r="N1045687" s="19"/>
    </row>
    <row r="1045688" spans="1:14" s="83" customFormat="1" ht="12.75">
      <c r="A1045688" s="19"/>
      <c r="B1045688" s="19"/>
      <c r="C1045688" s="19"/>
      <c r="D1045688" s="19"/>
      <c r="E1045688" s="19"/>
      <c r="F1045688" s="19"/>
      <c r="G1045688" s="19"/>
      <c r="H1045688" s="19"/>
      <c r="I1045688" s="19"/>
      <c r="J1045688" s="19"/>
      <c r="K1045688" s="19"/>
      <c r="L1045688" s="19"/>
      <c r="M1045688" s="19"/>
      <c r="N1045688" s="19"/>
    </row>
    <row r="1045689" spans="1:14" s="83" customFormat="1" ht="12.75">
      <c r="A1045689" s="19"/>
      <c r="B1045689" s="19"/>
      <c r="C1045689" s="19"/>
      <c r="D1045689" s="19"/>
      <c r="E1045689" s="19"/>
      <c r="F1045689" s="19"/>
      <c r="G1045689" s="19"/>
      <c r="H1045689" s="19"/>
      <c r="I1045689" s="19"/>
      <c r="J1045689" s="19"/>
      <c r="K1045689" s="19"/>
      <c r="L1045689" s="19"/>
      <c r="M1045689" s="19"/>
      <c r="N1045689" s="19"/>
    </row>
    <row r="1045690" spans="1:14" s="83" customFormat="1" ht="12.75">
      <c r="A1045690" s="19"/>
      <c r="B1045690" s="19"/>
      <c r="C1045690" s="19"/>
      <c r="D1045690" s="19"/>
      <c r="E1045690" s="19"/>
      <c r="F1045690" s="19"/>
      <c r="G1045690" s="19"/>
      <c r="H1045690" s="19"/>
      <c r="I1045690" s="19"/>
      <c r="J1045690" s="19"/>
      <c r="K1045690" s="19"/>
      <c r="L1045690" s="19"/>
      <c r="M1045690" s="19"/>
      <c r="N1045690" s="19"/>
    </row>
    <row r="1045691" spans="1:14" s="83" customFormat="1" ht="12.75">
      <c r="A1045691" s="19"/>
      <c r="B1045691" s="19"/>
      <c r="C1045691" s="19"/>
      <c r="D1045691" s="19"/>
      <c r="E1045691" s="19"/>
      <c r="F1045691" s="19"/>
      <c r="G1045691" s="19"/>
      <c r="H1045691" s="19"/>
      <c r="I1045691" s="19"/>
      <c r="J1045691" s="19"/>
      <c r="K1045691" s="19"/>
      <c r="L1045691" s="19"/>
      <c r="M1045691" s="19"/>
      <c r="N1045691" s="19"/>
    </row>
    <row r="1045692" spans="1:14" s="83" customFormat="1" ht="12.75">
      <c r="A1045692" s="19"/>
      <c r="B1045692" s="19"/>
      <c r="C1045692" s="19"/>
      <c r="D1045692" s="19"/>
      <c r="E1045692" s="19"/>
      <c r="F1045692" s="19"/>
      <c r="G1045692" s="19"/>
      <c r="H1045692" s="19"/>
      <c r="I1045692" s="19"/>
      <c r="J1045692" s="19"/>
      <c r="K1045692" s="19"/>
      <c r="L1045692" s="19"/>
      <c r="M1045692" s="19"/>
      <c r="N1045692" s="19"/>
    </row>
    <row r="1045693" spans="1:14" s="83" customFormat="1" ht="12.75">
      <c r="A1045693" s="19"/>
      <c r="B1045693" s="19"/>
      <c r="C1045693" s="19"/>
      <c r="D1045693" s="19"/>
      <c r="E1045693" s="19"/>
      <c r="F1045693" s="19"/>
      <c r="G1045693" s="19"/>
      <c r="H1045693" s="19"/>
      <c r="I1045693" s="19"/>
      <c r="J1045693" s="19"/>
      <c r="K1045693" s="19"/>
      <c r="L1045693" s="19"/>
      <c r="M1045693" s="19"/>
      <c r="N1045693" s="19"/>
    </row>
    <row r="1045694" spans="1:14" s="83" customFormat="1" ht="12.75">
      <c r="A1045694" s="19"/>
      <c r="B1045694" s="19"/>
      <c r="C1045694" s="19"/>
      <c r="D1045694" s="19"/>
      <c r="E1045694" s="19"/>
      <c r="F1045694" s="19"/>
      <c r="G1045694" s="19"/>
      <c r="H1045694" s="19"/>
      <c r="I1045694" s="19"/>
      <c r="J1045694" s="19"/>
      <c r="K1045694" s="19"/>
      <c r="L1045694" s="19"/>
      <c r="M1045694" s="19"/>
      <c r="N1045694" s="19"/>
    </row>
    <row r="1045695" spans="1:14" s="83" customFormat="1" ht="12.75">
      <c r="A1045695" s="19"/>
      <c r="B1045695" s="19"/>
      <c r="C1045695" s="19"/>
      <c r="D1045695" s="19"/>
      <c r="E1045695" s="19"/>
      <c r="F1045695" s="19"/>
      <c r="G1045695" s="19"/>
      <c r="H1045695" s="19"/>
      <c r="I1045695" s="19"/>
      <c r="J1045695" s="19"/>
      <c r="K1045695" s="19"/>
      <c r="L1045695" s="19"/>
      <c r="M1045695" s="19"/>
      <c r="N1045695" s="19"/>
    </row>
    <row r="1045696" spans="1:14" s="83" customFormat="1" ht="12.75">
      <c r="A1045696" s="19"/>
      <c r="B1045696" s="19"/>
      <c r="C1045696" s="19"/>
      <c r="D1045696" s="19"/>
      <c r="E1045696" s="19"/>
      <c r="F1045696" s="19"/>
      <c r="G1045696" s="19"/>
      <c r="H1045696" s="19"/>
      <c r="I1045696" s="19"/>
      <c r="J1045696" s="19"/>
      <c r="K1045696" s="19"/>
      <c r="L1045696" s="19"/>
      <c r="M1045696" s="19"/>
      <c r="N1045696" s="19"/>
    </row>
    <row r="1045697" spans="1:14" s="83" customFormat="1" ht="12.75">
      <c r="A1045697" s="19"/>
      <c r="B1045697" s="19"/>
      <c r="C1045697" s="19"/>
      <c r="D1045697" s="19"/>
      <c r="E1045697" s="19"/>
      <c r="F1045697" s="19"/>
      <c r="G1045697" s="19"/>
      <c r="H1045697" s="19"/>
      <c r="I1045697" s="19"/>
      <c r="J1045697" s="19"/>
      <c r="K1045697" s="19"/>
      <c r="L1045697" s="19"/>
      <c r="M1045697" s="19"/>
      <c r="N1045697" s="19"/>
    </row>
    <row r="1045698" spans="1:14" s="83" customFormat="1" ht="12.75">
      <c r="A1045698" s="19"/>
      <c r="B1045698" s="19"/>
      <c r="C1045698" s="19"/>
      <c r="D1045698" s="19"/>
      <c r="E1045698" s="19"/>
      <c r="F1045698" s="19"/>
      <c r="G1045698" s="19"/>
      <c r="H1045698" s="19"/>
      <c r="I1045698" s="19"/>
      <c r="J1045698" s="19"/>
      <c r="K1045698" s="19"/>
      <c r="L1045698" s="19"/>
      <c r="M1045698" s="19"/>
      <c r="N1045698" s="19"/>
    </row>
    <row r="1045699" spans="1:14" s="83" customFormat="1" ht="12.75">
      <c r="A1045699" s="19"/>
      <c r="B1045699" s="19"/>
      <c r="C1045699" s="19"/>
      <c r="D1045699" s="19"/>
      <c r="E1045699" s="19"/>
      <c r="F1045699" s="19"/>
      <c r="G1045699" s="19"/>
      <c r="H1045699" s="19"/>
      <c r="I1045699" s="19"/>
      <c r="J1045699" s="19"/>
      <c r="K1045699" s="19"/>
      <c r="L1045699" s="19"/>
      <c r="M1045699" s="19"/>
      <c r="N1045699" s="19"/>
    </row>
    <row r="1045700" spans="1:14" s="83" customFormat="1" ht="12.75">
      <c r="A1045700" s="19"/>
      <c r="B1045700" s="19"/>
      <c r="C1045700" s="19"/>
      <c r="D1045700" s="19"/>
      <c r="E1045700" s="19"/>
      <c r="F1045700" s="19"/>
      <c r="G1045700" s="19"/>
      <c r="H1045700" s="19"/>
      <c r="I1045700" s="19"/>
      <c r="J1045700" s="19"/>
      <c r="K1045700" s="19"/>
      <c r="L1045700" s="19"/>
      <c r="M1045700" s="19"/>
      <c r="N1045700" s="19"/>
    </row>
    <row r="1045701" spans="1:14" s="83" customFormat="1" ht="12.75">
      <c r="A1045701" s="19"/>
      <c r="B1045701" s="19"/>
      <c r="C1045701" s="19"/>
      <c r="D1045701" s="19"/>
      <c r="E1045701" s="19"/>
      <c r="F1045701" s="19"/>
      <c r="G1045701" s="19"/>
      <c r="H1045701" s="19"/>
      <c r="I1045701" s="19"/>
      <c r="J1045701" s="19"/>
      <c r="K1045701" s="19"/>
      <c r="L1045701" s="19"/>
      <c r="M1045701" s="19"/>
      <c r="N1045701" s="19"/>
    </row>
    <row r="1045702" spans="1:14" s="83" customFormat="1" ht="12.75">
      <c r="A1045702" s="19"/>
      <c r="B1045702" s="19"/>
      <c r="C1045702" s="19"/>
      <c r="D1045702" s="19"/>
      <c r="E1045702" s="19"/>
      <c r="F1045702" s="19"/>
      <c r="G1045702" s="19"/>
      <c r="H1045702" s="19"/>
      <c r="I1045702" s="19"/>
      <c r="J1045702" s="19"/>
      <c r="K1045702" s="19"/>
      <c r="L1045702" s="19"/>
      <c r="M1045702" s="19"/>
      <c r="N1045702" s="19"/>
    </row>
    <row r="1045703" spans="1:14" s="83" customFormat="1" ht="12.75">
      <c r="A1045703" s="19"/>
      <c r="B1045703" s="19"/>
      <c r="C1045703" s="19"/>
      <c r="D1045703" s="19"/>
      <c r="E1045703" s="19"/>
      <c r="F1045703" s="19"/>
      <c r="G1045703" s="19"/>
      <c r="H1045703" s="19"/>
      <c r="I1045703" s="19"/>
      <c r="J1045703" s="19"/>
      <c r="K1045703" s="19"/>
      <c r="L1045703" s="19"/>
      <c r="M1045703" s="19"/>
      <c r="N1045703" s="19"/>
    </row>
    <row r="1045704" spans="1:14" s="83" customFormat="1" ht="12.75">
      <c r="A1045704" s="19"/>
      <c r="B1045704" s="19"/>
      <c r="C1045704" s="19"/>
      <c r="D1045704" s="19"/>
      <c r="E1045704" s="19"/>
      <c r="F1045704" s="19"/>
      <c r="G1045704" s="19"/>
      <c r="H1045704" s="19"/>
      <c r="I1045704" s="19"/>
      <c r="J1045704" s="19"/>
      <c r="K1045704" s="19"/>
      <c r="L1045704" s="19"/>
      <c r="M1045704" s="19"/>
      <c r="N1045704" s="19"/>
    </row>
    <row r="1045705" spans="1:14" s="83" customFormat="1" ht="12.75">
      <c r="A1045705" s="19"/>
      <c r="B1045705" s="19"/>
      <c r="C1045705" s="19"/>
      <c r="D1045705" s="19"/>
      <c r="E1045705" s="19"/>
      <c r="F1045705" s="19"/>
      <c r="G1045705" s="19"/>
      <c r="H1045705" s="19"/>
      <c r="I1045705" s="19"/>
      <c r="J1045705" s="19"/>
      <c r="K1045705" s="19"/>
      <c r="L1045705" s="19"/>
      <c r="M1045705" s="19"/>
      <c r="N1045705" s="19"/>
    </row>
    <row r="1045706" spans="1:14" s="83" customFormat="1" ht="12.75">
      <c r="A1045706" s="19"/>
      <c r="B1045706" s="19"/>
      <c r="C1045706" s="19"/>
      <c r="D1045706" s="19"/>
      <c r="E1045706" s="19"/>
      <c r="F1045706" s="19"/>
      <c r="G1045706" s="19"/>
      <c r="H1045706" s="19"/>
      <c r="I1045706" s="19"/>
      <c r="J1045706" s="19"/>
      <c r="K1045706" s="19"/>
      <c r="L1045706" s="19"/>
      <c r="M1045706" s="19"/>
      <c r="N1045706" s="19"/>
    </row>
    <row r="1045707" spans="1:14" s="83" customFormat="1" ht="12.75">
      <c r="A1045707" s="19"/>
      <c r="B1045707" s="19"/>
      <c r="C1045707" s="19"/>
      <c r="D1045707" s="19"/>
      <c r="E1045707" s="19"/>
      <c r="F1045707" s="19"/>
      <c r="G1045707" s="19"/>
      <c r="H1045707" s="19"/>
      <c r="I1045707" s="19"/>
      <c r="J1045707" s="19"/>
      <c r="K1045707" s="19"/>
      <c r="L1045707" s="19"/>
      <c r="M1045707" s="19"/>
      <c r="N1045707" s="19"/>
    </row>
    <row r="1045708" spans="1:14" s="83" customFormat="1" ht="12.75">
      <c r="A1045708" s="19"/>
      <c r="B1045708" s="19"/>
      <c r="C1045708" s="19"/>
      <c r="D1045708" s="19"/>
      <c r="E1045708" s="19"/>
      <c r="F1045708" s="19"/>
      <c r="G1045708" s="19"/>
      <c r="H1045708" s="19"/>
      <c r="I1045708" s="19"/>
      <c r="J1045708" s="19"/>
      <c r="K1045708" s="19"/>
      <c r="L1045708" s="19"/>
      <c r="M1045708" s="19"/>
      <c r="N1045708" s="19"/>
    </row>
    <row r="1045709" spans="1:14" s="83" customFormat="1" ht="12.75">
      <c r="A1045709" s="19"/>
      <c r="B1045709" s="19"/>
      <c r="C1045709" s="19"/>
      <c r="D1045709" s="19"/>
      <c r="E1045709" s="19"/>
      <c r="F1045709" s="19"/>
      <c r="G1045709" s="19"/>
      <c r="H1045709" s="19"/>
      <c r="I1045709" s="19"/>
      <c r="J1045709" s="19"/>
      <c r="K1045709" s="19"/>
      <c r="L1045709" s="19"/>
      <c r="M1045709" s="19"/>
      <c r="N1045709" s="19"/>
    </row>
    <row r="1045710" spans="1:14" s="83" customFormat="1" ht="12.75">
      <c r="A1045710" s="19"/>
      <c r="B1045710" s="19"/>
      <c r="C1045710" s="19"/>
      <c r="D1045710" s="19"/>
      <c r="E1045710" s="19"/>
      <c r="F1045710" s="19"/>
      <c r="G1045710" s="19"/>
      <c r="H1045710" s="19"/>
      <c r="I1045710" s="19"/>
      <c r="J1045710" s="19"/>
      <c r="K1045710" s="19"/>
      <c r="L1045710" s="19"/>
      <c r="M1045710" s="19"/>
      <c r="N1045710" s="19"/>
    </row>
    <row r="1045711" spans="1:14" s="83" customFormat="1" ht="12.75">
      <c r="A1045711" s="19"/>
      <c r="B1045711" s="19"/>
      <c r="C1045711" s="19"/>
      <c r="D1045711" s="19"/>
      <c r="E1045711" s="19"/>
      <c r="F1045711" s="19"/>
      <c r="G1045711" s="19"/>
      <c r="H1045711" s="19"/>
      <c r="I1045711" s="19"/>
      <c r="J1045711" s="19"/>
      <c r="K1045711" s="19"/>
      <c r="L1045711" s="19"/>
      <c r="M1045711" s="19"/>
      <c r="N1045711" s="19"/>
    </row>
    <row r="1045712" spans="1:14" s="83" customFormat="1" ht="12.75">
      <c r="A1045712" s="19"/>
      <c r="B1045712" s="19"/>
      <c r="C1045712" s="19"/>
      <c r="D1045712" s="19"/>
      <c r="E1045712" s="19"/>
      <c r="F1045712" s="19"/>
      <c r="G1045712" s="19"/>
      <c r="H1045712" s="19"/>
      <c r="I1045712" s="19"/>
      <c r="J1045712" s="19"/>
      <c r="K1045712" s="19"/>
      <c r="L1045712" s="19"/>
      <c r="M1045712" s="19"/>
      <c r="N1045712" s="19"/>
    </row>
    <row r="1045713" spans="1:14" s="83" customFormat="1" ht="12.75">
      <c r="A1045713" s="19"/>
      <c r="B1045713" s="19"/>
      <c r="C1045713" s="19"/>
      <c r="D1045713" s="19"/>
      <c r="E1045713" s="19"/>
      <c r="F1045713" s="19"/>
      <c r="G1045713" s="19"/>
      <c r="H1045713" s="19"/>
      <c r="I1045713" s="19"/>
      <c r="J1045713" s="19"/>
      <c r="K1045713" s="19"/>
      <c r="L1045713" s="19"/>
      <c r="M1045713" s="19"/>
      <c r="N1045713" s="19"/>
    </row>
    <row r="1045714" spans="1:14" s="83" customFormat="1" ht="12.75">
      <c r="A1045714" s="19"/>
      <c r="B1045714" s="19"/>
      <c r="C1045714" s="19"/>
      <c r="D1045714" s="19"/>
      <c r="E1045714" s="19"/>
      <c r="F1045714" s="19"/>
      <c r="G1045714" s="19"/>
      <c r="H1045714" s="19"/>
      <c r="I1045714" s="19"/>
      <c r="J1045714" s="19"/>
      <c r="K1045714" s="19"/>
      <c r="L1045714" s="19"/>
      <c r="M1045714" s="19"/>
      <c r="N1045714" s="19"/>
    </row>
    <row r="1045715" spans="1:14" s="83" customFormat="1" ht="12.75">
      <c r="A1045715" s="19"/>
      <c r="B1045715" s="19"/>
      <c r="C1045715" s="19"/>
      <c r="D1045715" s="19"/>
      <c r="E1045715" s="19"/>
      <c r="F1045715" s="19"/>
      <c r="G1045715" s="19"/>
      <c r="H1045715" s="19"/>
      <c r="I1045715" s="19"/>
      <c r="J1045715" s="19"/>
      <c r="K1045715" s="19"/>
      <c r="L1045715" s="19"/>
      <c r="M1045715" s="19"/>
      <c r="N1045715" s="19"/>
    </row>
    <row r="1045716" spans="1:14" s="83" customFormat="1" ht="12.75">
      <c r="A1045716" s="19"/>
      <c r="B1045716" s="19"/>
      <c r="C1045716" s="19"/>
      <c r="D1045716" s="19"/>
      <c r="E1045716" s="19"/>
      <c r="F1045716" s="19"/>
      <c r="G1045716" s="19"/>
      <c r="H1045716" s="19"/>
      <c r="I1045716" s="19"/>
      <c r="J1045716" s="19"/>
      <c r="K1045716" s="19"/>
      <c r="L1045716" s="19"/>
      <c r="M1045716" s="19"/>
      <c r="N1045716" s="19"/>
    </row>
    <row r="1045717" spans="1:14" s="83" customFormat="1" ht="12.75">
      <c r="A1045717" s="19"/>
      <c r="B1045717" s="19"/>
      <c r="C1045717" s="19"/>
      <c r="D1045717" s="19"/>
      <c r="E1045717" s="19"/>
      <c r="F1045717" s="19"/>
      <c r="G1045717" s="19"/>
      <c r="H1045717" s="19"/>
      <c r="I1045717" s="19"/>
      <c r="J1045717" s="19"/>
      <c r="K1045717" s="19"/>
      <c r="L1045717" s="19"/>
      <c r="M1045717" s="19"/>
      <c r="N1045717" s="19"/>
    </row>
    <row r="1045718" spans="1:14" s="83" customFormat="1" ht="12.75">
      <c r="A1045718" s="19"/>
      <c r="B1045718" s="19"/>
      <c r="C1045718" s="19"/>
      <c r="D1045718" s="19"/>
      <c r="E1045718" s="19"/>
      <c r="F1045718" s="19"/>
      <c r="G1045718" s="19"/>
      <c r="H1045718" s="19"/>
      <c r="I1045718" s="19"/>
      <c r="J1045718" s="19"/>
      <c r="K1045718" s="19"/>
      <c r="L1045718" s="19"/>
      <c r="M1045718" s="19"/>
      <c r="N1045718" s="19"/>
    </row>
    <row r="1045719" spans="1:14" s="83" customFormat="1" ht="12.75">
      <c r="A1045719" s="19"/>
      <c r="B1045719" s="19"/>
      <c r="C1045719" s="19"/>
      <c r="D1045719" s="19"/>
      <c r="E1045719" s="19"/>
      <c r="F1045719" s="19"/>
      <c r="G1045719" s="19"/>
      <c r="H1045719" s="19"/>
      <c r="I1045719" s="19"/>
      <c r="J1045719" s="19"/>
      <c r="K1045719" s="19"/>
      <c r="L1045719" s="19"/>
      <c r="M1045719" s="19"/>
      <c r="N1045719" s="19"/>
    </row>
    <row r="1045720" spans="1:14" s="83" customFormat="1" ht="12.75">
      <c r="A1045720" s="19"/>
      <c r="B1045720" s="19"/>
      <c r="C1045720" s="19"/>
      <c r="D1045720" s="19"/>
      <c r="E1045720" s="19"/>
      <c r="F1045720" s="19"/>
      <c r="G1045720" s="19"/>
      <c r="H1045720" s="19"/>
      <c r="I1045720" s="19"/>
      <c r="J1045720" s="19"/>
      <c r="K1045720" s="19"/>
      <c r="L1045720" s="19"/>
      <c r="M1045720" s="19"/>
      <c r="N1045720" s="19"/>
    </row>
    <row r="1045721" spans="1:14" s="83" customFormat="1" ht="12.75">
      <c r="A1045721" s="19"/>
      <c r="B1045721" s="19"/>
      <c r="C1045721" s="19"/>
      <c r="D1045721" s="19"/>
      <c r="E1045721" s="19"/>
      <c r="F1045721" s="19"/>
      <c r="G1045721" s="19"/>
      <c r="H1045721" s="19"/>
      <c r="I1045721" s="19"/>
      <c r="J1045721" s="19"/>
      <c r="K1045721" s="19"/>
      <c r="L1045721" s="19"/>
      <c r="M1045721" s="19"/>
      <c r="N1045721" s="19"/>
    </row>
    <row r="1045722" spans="1:14" s="83" customFormat="1" ht="12.75">
      <c r="A1045722" s="19"/>
      <c r="B1045722" s="19"/>
      <c r="C1045722" s="19"/>
      <c r="D1045722" s="19"/>
      <c r="E1045722" s="19"/>
      <c r="F1045722" s="19"/>
      <c r="G1045722" s="19"/>
      <c r="H1045722" s="19"/>
      <c r="I1045722" s="19"/>
      <c r="J1045722" s="19"/>
      <c r="K1045722" s="19"/>
      <c r="L1045722" s="19"/>
      <c r="M1045722" s="19"/>
      <c r="N1045722" s="19"/>
    </row>
    <row r="1045723" spans="1:14" s="83" customFormat="1" ht="12.75">
      <c r="A1045723" s="19"/>
      <c r="B1045723" s="19"/>
      <c r="C1045723" s="19"/>
      <c r="D1045723" s="19"/>
      <c r="E1045723" s="19"/>
      <c r="F1045723" s="19"/>
      <c r="G1045723" s="19"/>
      <c r="H1045723" s="19"/>
      <c r="I1045723" s="19"/>
      <c r="J1045723" s="19"/>
      <c r="K1045723" s="19"/>
      <c r="L1045723" s="19"/>
      <c r="M1045723" s="19"/>
      <c r="N1045723" s="19"/>
    </row>
    <row r="1045724" spans="1:14" s="83" customFormat="1" ht="12.75">
      <c r="A1045724" s="19"/>
      <c r="B1045724" s="19"/>
      <c r="C1045724" s="19"/>
      <c r="D1045724" s="19"/>
      <c r="E1045724" s="19"/>
      <c r="F1045724" s="19"/>
      <c r="G1045724" s="19"/>
      <c r="H1045724" s="19"/>
      <c r="I1045724" s="19"/>
      <c r="J1045724" s="19"/>
      <c r="K1045724" s="19"/>
      <c r="L1045724" s="19"/>
      <c r="M1045724" s="19"/>
      <c r="N1045724" s="19"/>
    </row>
    <row r="1045725" spans="1:14" s="83" customFormat="1" ht="12.75">
      <c r="A1045725" s="19"/>
      <c r="B1045725" s="19"/>
      <c r="C1045725" s="19"/>
      <c r="D1045725" s="19"/>
      <c r="E1045725" s="19"/>
      <c r="F1045725" s="19"/>
      <c r="G1045725" s="19"/>
      <c r="H1045725" s="19"/>
      <c r="I1045725" s="19"/>
      <c r="J1045725" s="19"/>
      <c r="K1045725" s="19"/>
      <c r="L1045725" s="19"/>
      <c r="M1045725" s="19"/>
      <c r="N1045725" s="19"/>
    </row>
    <row r="1045726" spans="1:14" s="83" customFormat="1" ht="12.75">
      <c r="A1045726" s="19"/>
      <c r="B1045726" s="19"/>
      <c r="C1045726" s="19"/>
      <c r="D1045726" s="19"/>
      <c r="E1045726" s="19"/>
      <c r="F1045726" s="19"/>
      <c r="G1045726" s="19"/>
      <c r="H1045726" s="19"/>
      <c r="I1045726" s="19"/>
      <c r="J1045726" s="19"/>
      <c r="K1045726" s="19"/>
      <c r="L1045726" s="19"/>
      <c r="M1045726" s="19"/>
      <c r="N1045726" s="19"/>
    </row>
    <row r="1045727" spans="1:14" s="83" customFormat="1" ht="12.75">
      <c r="A1045727" s="19"/>
      <c r="B1045727" s="19"/>
      <c r="C1045727" s="19"/>
      <c r="D1045727" s="19"/>
      <c r="E1045727" s="19"/>
      <c r="F1045727" s="19"/>
      <c r="G1045727" s="19"/>
      <c r="H1045727" s="19"/>
      <c r="I1045727" s="19"/>
      <c r="J1045727" s="19"/>
      <c r="K1045727" s="19"/>
      <c r="L1045727" s="19"/>
      <c r="M1045727" s="19"/>
      <c r="N1045727" s="19"/>
    </row>
    <row r="1045728" spans="1:14" s="83" customFormat="1" ht="12.75">
      <c r="A1045728" s="19"/>
      <c r="B1045728" s="19"/>
      <c r="C1045728" s="19"/>
      <c r="D1045728" s="19"/>
      <c r="E1045728" s="19"/>
      <c r="F1045728" s="19"/>
      <c r="G1045728" s="19"/>
      <c r="H1045728" s="19"/>
      <c r="I1045728" s="19"/>
      <c r="J1045728" s="19"/>
      <c r="K1045728" s="19"/>
      <c r="L1045728" s="19"/>
      <c r="M1045728" s="19"/>
      <c r="N1045728" s="19"/>
    </row>
    <row r="1045729" spans="1:14" s="83" customFormat="1" ht="12.75">
      <c r="A1045729" s="19"/>
      <c r="B1045729" s="19"/>
      <c r="C1045729" s="19"/>
      <c r="D1045729" s="19"/>
      <c r="E1045729" s="19"/>
      <c r="F1045729" s="19"/>
      <c r="G1045729" s="19"/>
      <c r="H1045729" s="19"/>
      <c r="I1045729" s="19"/>
      <c r="J1045729" s="19"/>
      <c r="K1045729" s="19"/>
      <c r="L1045729" s="19"/>
      <c r="M1045729" s="19"/>
      <c r="N1045729" s="19"/>
    </row>
    <row r="1045730" spans="1:14" s="83" customFormat="1" ht="12.75">
      <c r="A1045730" s="19"/>
      <c r="B1045730" s="19"/>
      <c r="C1045730" s="19"/>
      <c r="D1045730" s="19"/>
      <c r="E1045730" s="19"/>
      <c r="F1045730" s="19"/>
      <c r="G1045730" s="19"/>
      <c r="H1045730" s="19"/>
      <c r="I1045730" s="19"/>
      <c r="J1045730" s="19"/>
      <c r="K1045730" s="19"/>
      <c r="L1045730" s="19"/>
      <c r="M1045730" s="19"/>
      <c r="N1045730" s="19"/>
    </row>
    <row r="1045731" spans="1:14" s="83" customFormat="1" ht="12.75">
      <c r="A1045731" s="19"/>
      <c r="B1045731" s="19"/>
      <c r="C1045731" s="19"/>
      <c r="D1045731" s="19"/>
      <c r="E1045731" s="19"/>
      <c r="F1045731" s="19"/>
      <c r="G1045731" s="19"/>
      <c r="H1045731" s="19"/>
      <c r="I1045731" s="19"/>
      <c r="J1045731" s="19"/>
      <c r="K1045731" s="19"/>
      <c r="L1045731" s="19"/>
      <c r="M1045731" s="19"/>
      <c r="N1045731" s="19"/>
    </row>
    <row r="1045732" spans="1:14" s="83" customFormat="1" ht="12.75">
      <c r="A1045732" s="19"/>
      <c r="B1045732" s="19"/>
      <c r="C1045732" s="19"/>
      <c r="D1045732" s="19"/>
      <c r="E1045732" s="19"/>
      <c r="F1045732" s="19"/>
      <c r="G1045732" s="19"/>
      <c r="H1045732" s="19"/>
      <c r="I1045732" s="19"/>
      <c r="J1045732" s="19"/>
      <c r="K1045732" s="19"/>
      <c r="L1045732" s="19"/>
      <c r="M1045732" s="19"/>
      <c r="N1045732" s="19"/>
    </row>
    <row r="1045733" spans="1:14" s="83" customFormat="1" ht="12.75">
      <c r="A1045733" s="19"/>
      <c r="B1045733" s="19"/>
      <c r="C1045733" s="19"/>
      <c r="D1045733" s="19"/>
      <c r="E1045733" s="19"/>
      <c r="F1045733" s="19"/>
      <c r="G1045733" s="19"/>
      <c r="H1045733" s="19"/>
      <c r="I1045733" s="19"/>
      <c r="J1045733" s="19"/>
      <c r="K1045733" s="19"/>
      <c r="L1045733" s="19"/>
      <c r="M1045733" s="19"/>
      <c r="N1045733" s="19"/>
    </row>
    <row r="1045734" spans="1:14" s="83" customFormat="1" ht="12.75">
      <c r="A1045734" s="19"/>
      <c r="B1045734" s="19"/>
      <c r="C1045734" s="19"/>
      <c r="D1045734" s="19"/>
      <c r="E1045734" s="19"/>
      <c r="F1045734" s="19"/>
      <c r="G1045734" s="19"/>
      <c r="H1045734" s="19"/>
      <c r="I1045734" s="19"/>
      <c r="J1045734" s="19"/>
      <c r="K1045734" s="19"/>
      <c r="L1045734" s="19"/>
      <c r="M1045734" s="19"/>
      <c r="N1045734" s="19"/>
    </row>
    <row r="1045735" spans="1:14" s="83" customFormat="1" ht="12.75">
      <c r="A1045735" s="19"/>
      <c r="B1045735" s="19"/>
      <c r="C1045735" s="19"/>
      <c r="D1045735" s="19"/>
      <c r="E1045735" s="19"/>
      <c r="F1045735" s="19"/>
      <c r="G1045735" s="19"/>
      <c r="H1045735" s="19"/>
      <c r="I1045735" s="19"/>
      <c r="J1045735" s="19"/>
      <c r="K1045735" s="19"/>
      <c r="L1045735" s="19"/>
      <c r="M1045735" s="19"/>
      <c r="N1045735" s="19"/>
    </row>
    <row r="1045736" spans="1:14" s="83" customFormat="1" ht="12.75">
      <c r="A1045736" s="19"/>
      <c r="B1045736" s="19"/>
      <c r="C1045736" s="19"/>
      <c r="D1045736" s="19"/>
      <c r="E1045736" s="19"/>
      <c r="F1045736" s="19"/>
      <c r="G1045736" s="19"/>
      <c r="H1045736" s="19"/>
      <c r="I1045736" s="19"/>
      <c r="J1045736" s="19"/>
      <c r="K1045736" s="19"/>
      <c r="L1045736" s="19"/>
      <c r="M1045736" s="19"/>
      <c r="N1045736" s="19"/>
    </row>
    <row r="1045737" spans="1:14" s="83" customFormat="1" ht="12.75">
      <c r="A1045737" s="19"/>
      <c r="B1045737" s="19"/>
      <c r="C1045737" s="19"/>
      <c r="D1045737" s="19"/>
      <c r="E1045737" s="19"/>
      <c r="F1045737" s="19"/>
      <c r="G1045737" s="19"/>
      <c r="H1045737" s="19"/>
      <c r="I1045737" s="19"/>
      <c r="J1045737" s="19"/>
      <c r="K1045737" s="19"/>
      <c r="L1045737" s="19"/>
      <c r="M1045737" s="19"/>
      <c r="N1045737" s="19"/>
    </row>
    <row r="1045738" spans="1:14" s="83" customFormat="1" ht="12.75">
      <c r="A1045738" s="19"/>
      <c r="B1045738" s="19"/>
      <c r="C1045738" s="19"/>
      <c r="D1045738" s="19"/>
      <c r="E1045738" s="19"/>
      <c r="F1045738" s="19"/>
      <c r="G1045738" s="19"/>
      <c r="H1045738" s="19"/>
      <c r="I1045738" s="19"/>
      <c r="J1045738" s="19"/>
      <c r="K1045738" s="19"/>
      <c r="L1045738" s="19"/>
      <c r="M1045738" s="19"/>
      <c r="N1045738" s="19"/>
    </row>
    <row r="1045739" spans="1:14" s="83" customFormat="1" ht="12.75">
      <c r="A1045739" s="19"/>
      <c r="B1045739" s="19"/>
      <c r="C1045739" s="19"/>
      <c r="D1045739" s="19"/>
      <c r="E1045739" s="19"/>
      <c r="F1045739" s="19"/>
      <c r="G1045739" s="19"/>
      <c r="H1045739" s="19"/>
      <c r="I1045739" s="19"/>
      <c r="J1045739" s="19"/>
      <c r="K1045739" s="19"/>
      <c r="L1045739" s="19"/>
      <c r="M1045739" s="19"/>
      <c r="N1045739" s="19"/>
    </row>
    <row r="1045740" spans="1:14" s="83" customFormat="1" ht="12.75">
      <c r="A1045740" s="19"/>
      <c r="B1045740" s="19"/>
      <c r="C1045740" s="19"/>
      <c r="D1045740" s="19"/>
      <c r="E1045740" s="19"/>
      <c r="F1045740" s="19"/>
      <c r="G1045740" s="19"/>
      <c r="H1045740" s="19"/>
      <c r="I1045740" s="19"/>
      <c r="J1045740" s="19"/>
      <c r="K1045740" s="19"/>
      <c r="L1045740" s="19"/>
      <c r="M1045740" s="19"/>
      <c r="N1045740" s="19"/>
    </row>
    <row r="1045741" spans="1:14" s="83" customFormat="1" ht="12.75">
      <c r="A1045741" s="19"/>
      <c r="B1045741" s="19"/>
      <c r="C1045741" s="19"/>
      <c r="D1045741" s="19"/>
      <c r="E1045741" s="19"/>
      <c r="F1045741" s="19"/>
      <c r="G1045741" s="19"/>
      <c r="H1045741" s="19"/>
      <c r="I1045741" s="19"/>
      <c r="J1045741" s="19"/>
      <c r="K1045741" s="19"/>
      <c r="L1045741" s="19"/>
      <c r="M1045741" s="19"/>
      <c r="N1045741" s="19"/>
    </row>
    <row r="1045742" spans="1:14" s="83" customFormat="1" ht="12.75">
      <c r="A1045742" s="19"/>
      <c r="B1045742" s="19"/>
      <c r="C1045742" s="19"/>
      <c r="D1045742" s="19"/>
      <c r="E1045742" s="19"/>
      <c r="F1045742" s="19"/>
      <c r="G1045742" s="19"/>
      <c r="H1045742" s="19"/>
      <c r="I1045742" s="19"/>
      <c r="J1045742" s="19"/>
      <c r="K1045742" s="19"/>
      <c r="L1045742" s="19"/>
      <c r="M1045742" s="19"/>
      <c r="N1045742" s="19"/>
    </row>
    <row r="1045743" spans="1:14" s="83" customFormat="1" ht="12.75">
      <c r="A1045743" s="19"/>
      <c r="B1045743" s="19"/>
      <c r="C1045743" s="19"/>
      <c r="D1045743" s="19"/>
      <c r="E1045743" s="19"/>
      <c r="F1045743" s="19"/>
      <c r="G1045743" s="19"/>
      <c r="H1045743" s="19"/>
      <c r="I1045743" s="19"/>
      <c r="J1045743" s="19"/>
      <c r="K1045743" s="19"/>
      <c r="L1045743" s="19"/>
      <c r="M1045743" s="19"/>
      <c r="N1045743" s="19"/>
    </row>
    <row r="1045744" spans="1:14" s="83" customFormat="1" ht="12.75">
      <c r="A1045744" s="19"/>
      <c r="B1045744" s="19"/>
      <c r="C1045744" s="19"/>
      <c r="D1045744" s="19"/>
      <c r="E1045744" s="19"/>
      <c r="F1045744" s="19"/>
      <c r="G1045744" s="19"/>
      <c r="H1045744" s="19"/>
      <c r="I1045744" s="19"/>
      <c r="J1045744" s="19"/>
      <c r="K1045744" s="19"/>
      <c r="L1045744" s="19"/>
      <c r="M1045744" s="19"/>
      <c r="N1045744" s="19"/>
    </row>
    <row r="1045745" spans="1:14" s="83" customFormat="1" ht="12.75">
      <c r="A1045745" s="19"/>
      <c r="B1045745" s="19"/>
      <c r="C1045745" s="19"/>
      <c r="D1045745" s="19"/>
      <c r="E1045745" s="19"/>
      <c r="F1045745" s="19"/>
      <c r="G1045745" s="19"/>
      <c r="H1045745" s="19"/>
      <c r="I1045745" s="19"/>
      <c r="J1045745" s="19"/>
      <c r="K1045745" s="19"/>
      <c r="L1045745" s="19"/>
      <c r="M1045745" s="19"/>
      <c r="N1045745" s="19"/>
    </row>
    <row r="1045746" spans="1:14" s="83" customFormat="1" ht="12.75">
      <c r="A1045746" s="19"/>
      <c r="B1045746" s="19"/>
      <c r="C1045746" s="19"/>
      <c r="D1045746" s="19"/>
      <c r="E1045746" s="19"/>
      <c r="F1045746" s="19"/>
      <c r="G1045746" s="19"/>
      <c r="H1045746" s="19"/>
      <c r="I1045746" s="19"/>
      <c r="J1045746" s="19"/>
      <c r="K1045746" s="19"/>
      <c r="L1045746" s="19"/>
      <c r="M1045746" s="19"/>
      <c r="N1045746" s="19"/>
    </row>
    <row r="1045747" spans="1:14" s="83" customFormat="1" ht="12.75">
      <c r="A1045747" s="19"/>
      <c r="B1045747" s="19"/>
      <c r="C1045747" s="19"/>
      <c r="D1045747" s="19"/>
      <c r="E1045747" s="19"/>
      <c r="F1045747" s="19"/>
      <c r="G1045747" s="19"/>
      <c r="H1045747" s="19"/>
      <c r="I1045747" s="19"/>
      <c r="J1045747" s="19"/>
      <c r="K1045747" s="19"/>
      <c r="L1045747" s="19"/>
      <c r="M1045747" s="19"/>
      <c r="N1045747" s="19"/>
    </row>
    <row r="1045748" spans="1:14" s="83" customFormat="1" ht="12.75">
      <c r="A1045748" s="19"/>
      <c r="B1045748" s="19"/>
      <c r="C1045748" s="19"/>
      <c r="D1045748" s="19"/>
      <c r="E1045748" s="19"/>
      <c r="F1045748" s="19"/>
      <c r="G1045748" s="19"/>
      <c r="H1045748" s="19"/>
      <c r="I1045748" s="19"/>
      <c r="J1045748" s="19"/>
      <c r="K1045748" s="19"/>
      <c r="L1045748" s="19"/>
      <c r="M1045748" s="19"/>
      <c r="N1045748" s="19"/>
    </row>
    <row r="1045749" spans="1:14" s="83" customFormat="1" ht="12.75">
      <c r="A1045749" s="19"/>
      <c r="B1045749" s="19"/>
      <c r="C1045749" s="19"/>
      <c r="D1045749" s="19"/>
      <c r="E1045749" s="19"/>
      <c r="F1045749" s="19"/>
      <c r="G1045749" s="19"/>
      <c r="H1045749" s="19"/>
      <c r="I1045749" s="19"/>
      <c r="J1045749" s="19"/>
      <c r="K1045749" s="19"/>
      <c r="L1045749" s="19"/>
      <c r="M1045749" s="19"/>
      <c r="N1045749" s="19"/>
    </row>
    <row r="1045750" spans="1:14" s="83" customFormat="1" ht="12.75">
      <c r="A1045750" s="19"/>
      <c r="B1045750" s="19"/>
      <c r="C1045750" s="19"/>
      <c r="D1045750" s="19"/>
      <c r="E1045750" s="19"/>
      <c r="F1045750" s="19"/>
      <c r="G1045750" s="19"/>
      <c r="H1045750" s="19"/>
      <c r="I1045750" s="19"/>
      <c r="J1045750" s="19"/>
      <c r="K1045750" s="19"/>
      <c r="L1045750" s="19"/>
      <c r="M1045750" s="19"/>
      <c r="N1045750" s="19"/>
    </row>
    <row r="1045751" spans="1:14" s="83" customFormat="1" ht="12.75">
      <c r="A1045751" s="19"/>
      <c r="B1045751" s="19"/>
      <c r="C1045751" s="19"/>
      <c r="D1045751" s="19"/>
      <c r="E1045751" s="19"/>
      <c r="F1045751" s="19"/>
      <c r="G1045751" s="19"/>
      <c r="H1045751" s="19"/>
      <c r="I1045751" s="19"/>
      <c r="J1045751" s="19"/>
      <c r="K1045751" s="19"/>
      <c r="L1045751" s="19"/>
      <c r="M1045751" s="19"/>
      <c r="N1045751" s="19"/>
    </row>
    <row r="1045752" spans="1:14" s="83" customFormat="1" ht="12.75">
      <c r="A1045752" s="19"/>
      <c r="B1045752" s="19"/>
      <c r="C1045752" s="19"/>
      <c r="D1045752" s="19"/>
      <c r="E1045752" s="19"/>
      <c r="F1045752" s="19"/>
      <c r="G1045752" s="19"/>
      <c r="H1045752" s="19"/>
      <c r="I1045752" s="19"/>
      <c r="J1045752" s="19"/>
      <c r="K1045752" s="19"/>
      <c r="L1045752" s="19"/>
      <c r="M1045752" s="19"/>
      <c r="N1045752" s="19"/>
    </row>
    <row r="1045753" spans="1:14" s="83" customFormat="1" ht="12.75">
      <c r="A1045753" s="19"/>
      <c r="B1045753" s="19"/>
      <c r="C1045753" s="19"/>
      <c r="D1045753" s="19"/>
      <c r="E1045753" s="19"/>
      <c r="F1045753" s="19"/>
      <c r="G1045753" s="19"/>
      <c r="H1045753" s="19"/>
      <c r="I1045753" s="19"/>
      <c r="J1045753" s="19"/>
      <c r="K1045753" s="19"/>
      <c r="L1045753" s="19"/>
      <c r="M1045753" s="19"/>
      <c r="N1045753" s="19"/>
    </row>
    <row r="1045754" spans="1:14" s="83" customFormat="1" ht="12.75">
      <c r="A1045754" s="19"/>
      <c r="B1045754" s="19"/>
      <c r="C1045754" s="19"/>
      <c r="D1045754" s="19"/>
      <c r="E1045754" s="19"/>
      <c r="F1045754" s="19"/>
      <c r="G1045754" s="19"/>
      <c r="H1045754" s="19"/>
      <c r="I1045754" s="19"/>
      <c r="J1045754" s="19"/>
      <c r="K1045754" s="19"/>
      <c r="L1045754" s="19"/>
      <c r="M1045754" s="19"/>
      <c r="N1045754" s="19"/>
    </row>
    <row r="1045755" spans="1:14" s="83" customFormat="1" ht="12.75">
      <c r="A1045755" s="19"/>
      <c r="B1045755" s="19"/>
      <c r="C1045755" s="19"/>
      <c r="D1045755" s="19"/>
      <c r="E1045755" s="19"/>
      <c r="F1045755" s="19"/>
      <c r="G1045755" s="19"/>
      <c r="H1045755" s="19"/>
      <c r="I1045755" s="19"/>
      <c r="J1045755" s="19"/>
      <c r="K1045755" s="19"/>
      <c r="L1045755" s="19"/>
      <c r="M1045755" s="19"/>
      <c r="N1045755" s="19"/>
    </row>
    <row r="1045756" spans="1:14" s="83" customFormat="1" ht="12.75">
      <c r="A1045756" s="19"/>
      <c r="B1045756" s="19"/>
      <c r="C1045756" s="19"/>
      <c r="D1045756" s="19"/>
      <c r="E1045756" s="19"/>
      <c r="F1045756" s="19"/>
      <c r="G1045756" s="19"/>
      <c r="H1045756" s="19"/>
      <c r="I1045756" s="19"/>
      <c r="J1045756" s="19"/>
      <c r="K1045756" s="19"/>
      <c r="L1045756" s="19"/>
      <c r="M1045756" s="19"/>
      <c r="N1045756" s="19"/>
    </row>
    <row r="1045757" spans="1:14" s="83" customFormat="1" ht="12.75">
      <c r="A1045757" s="19"/>
      <c r="B1045757" s="19"/>
      <c r="C1045757" s="19"/>
      <c r="D1045757" s="19"/>
      <c r="E1045757" s="19"/>
      <c r="F1045757" s="19"/>
      <c r="G1045757" s="19"/>
      <c r="H1045757" s="19"/>
      <c r="I1045757" s="19"/>
      <c r="J1045757" s="19"/>
      <c r="K1045757" s="19"/>
      <c r="L1045757" s="19"/>
      <c r="M1045757" s="19"/>
      <c r="N1045757" s="19"/>
    </row>
    <row r="1045758" spans="1:14" s="83" customFormat="1" ht="12.75">
      <c r="A1045758" s="19"/>
      <c r="B1045758" s="19"/>
      <c r="C1045758" s="19"/>
      <c r="D1045758" s="19"/>
      <c r="E1045758" s="19"/>
      <c r="F1045758" s="19"/>
      <c r="G1045758" s="19"/>
      <c r="H1045758" s="19"/>
      <c r="I1045758" s="19"/>
      <c r="J1045758" s="19"/>
      <c r="K1045758" s="19"/>
      <c r="L1045758" s="19"/>
      <c r="M1045758" s="19"/>
      <c r="N1045758" s="19"/>
    </row>
    <row r="1045759" spans="1:14" s="83" customFormat="1" ht="12.75">
      <c r="A1045759" s="19"/>
      <c r="B1045759" s="19"/>
      <c r="C1045759" s="19"/>
      <c r="D1045759" s="19"/>
      <c r="E1045759" s="19"/>
      <c r="F1045759" s="19"/>
      <c r="G1045759" s="19"/>
      <c r="H1045759" s="19"/>
      <c r="I1045759" s="19"/>
      <c r="J1045759" s="19"/>
      <c r="K1045759" s="19"/>
      <c r="L1045759" s="19"/>
      <c r="M1045759" s="19"/>
      <c r="N1045759" s="19"/>
    </row>
    <row r="1045760" spans="1:14" s="83" customFormat="1" ht="12.75">
      <c r="A1045760" s="19"/>
      <c r="B1045760" s="19"/>
      <c r="C1045760" s="19"/>
      <c r="D1045760" s="19"/>
      <c r="E1045760" s="19"/>
      <c r="F1045760" s="19"/>
      <c r="G1045760" s="19"/>
      <c r="H1045760" s="19"/>
      <c r="I1045760" s="19"/>
      <c r="J1045760" s="19"/>
      <c r="K1045760" s="19"/>
      <c r="L1045760" s="19"/>
      <c r="M1045760" s="19"/>
      <c r="N1045760" s="19"/>
    </row>
    <row r="1045761" spans="1:14" s="83" customFormat="1" ht="12.75">
      <c r="A1045761" s="19"/>
      <c r="B1045761" s="19"/>
      <c r="C1045761" s="19"/>
      <c r="D1045761" s="19"/>
      <c r="E1045761" s="19"/>
      <c r="F1045761" s="19"/>
      <c r="G1045761" s="19"/>
      <c r="H1045761" s="19"/>
      <c r="I1045761" s="19"/>
      <c r="J1045761" s="19"/>
      <c r="K1045761" s="19"/>
      <c r="L1045761" s="19"/>
      <c r="M1045761" s="19"/>
      <c r="N1045761" s="19"/>
    </row>
    <row r="1045762" spans="1:14" s="83" customFormat="1" ht="12.75">
      <c r="A1045762" s="19"/>
      <c r="B1045762" s="19"/>
      <c r="C1045762" s="19"/>
      <c r="D1045762" s="19"/>
      <c r="E1045762" s="19"/>
      <c r="F1045762" s="19"/>
      <c r="G1045762" s="19"/>
      <c r="H1045762" s="19"/>
      <c r="I1045762" s="19"/>
      <c r="J1045762" s="19"/>
      <c r="K1045762" s="19"/>
      <c r="L1045762" s="19"/>
      <c r="M1045762" s="19"/>
      <c r="N1045762" s="19"/>
    </row>
    <row r="1045763" spans="1:14" s="83" customFormat="1" ht="12.75">
      <c r="A1045763" s="19"/>
      <c r="B1045763" s="19"/>
      <c r="C1045763" s="19"/>
      <c r="D1045763" s="19"/>
      <c r="E1045763" s="19"/>
      <c r="F1045763" s="19"/>
      <c r="G1045763" s="19"/>
      <c r="H1045763" s="19"/>
      <c r="I1045763" s="19"/>
      <c r="J1045763" s="19"/>
      <c r="K1045763" s="19"/>
      <c r="L1045763" s="19"/>
      <c r="M1045763" s="19"/>
      <c r="N1045763" s="19"/>
    </row>
    <row r="1045764" spans="1:14" s="83" customFormat="1" ht="12.75">
      <c r="A1045764" s="19"/>
      <c r="B1045764" s="19"/>
      <c r="C1045764" s="19"/>
      <c r="D1045764" s="19"/>
      <c r="E1045764" s="19"/>
      <c r="F1045764" s="19"/>
      <c r="G1045764" s="19"/>
      <c r="H1045764" s="19"/>
      <c r="I1045764" s="19"/>
      <c r="J1045764" s="19"/>
      <c r="K1045764" s="19"/>
      <c r="L1045764" s="19"/>
      <c r="M1045764" s="19"/>
      <c r="N1045764" s="19"/>
    </row>
    <row r="1045765" spans="1:14" s="83" customFormat="1" ht="12.75">
      <c r="A1045765" s="19"/>
      <c r="B1045765" s="19"/>
      <c r="C1045765" s="19"/>
      <c r="D1045765" s="19"/>
      <c r="E1045765" s="19"/>
      <c r="F1045765" s="19"/>
      <c r="G1045765" s="19"/>
      <c r="H1045765" s="19"/>
      <c r="I1045765" s="19"/>
      <c r="J1045765" s="19"/>
      <c r="K1045765" s="19"/>
      <c r="L1045765" s="19"/>
      <c r="M1045765" s="19"/>
      <c r="N1045765" s="19"/>
    </row>
    <row r="1045766" spans="1:14" s="83" customFormat="1" ht="12.75">
      <c r="A1045766" s="19"/>
      <c r="B1045766" s="19"/>
      <c r="C1045766" s="19"/>
      <c r="D1045766" s="19"/>
      <c r="E1045766" s="19"/>
      <c r="F1045766" s="19"/>
      <c r="G1045766" s="19"/>
      <c r="H1045766" s="19"/>
      <c r="I1045766" s="19"/>
      <c r="J1045766" s="19"/>
      <c r="K1045766" s="19"/>
      <c r="L1045766" s="19"/>
      <c r="M1045766" s="19"/>
      <c r="N1045766" s="19"/>
    </row>
    <row r="1045767" spans="1:14" s="83" customFormat="1" ht="12.75">
      <c r="A1045767" s="19"/>
      <c r="B1045767" s="19"/>
      <c r="C1045767" s="19"/>
      <c r="D1045767" s="19"/>
      <c r="E1045767" s="19"/>
      <c r="F1045767" s="19"/>
      <c r="G1045767" s="19"/>
      <c r="H1045767" s="19"/>
      <c r="I1045767" s="19"/>
      <c r="J1045767" s="19"/>
      <c r="K1045767" s="19"/>
      <c r="L1045767" s="19"/>
      <c r="M1045767" s="19"/>
      <c r="N1045767" s="19"/>
    </row>
    <row r="1045768" spans="1:14" s="83" customFormat="1" ht="12.75">
      <c r="A1045768" s="19"/>
      <c r="B1045768" s="19"/>
      <c r="C1045768" s="19"/>
      <c r="D1045768" s="19"/>
      <c r="E1045768" s="19"/>
      <c r="F1045768" s="19"/>
      <c r="G1045768" s="19"/>
      <c r="H1045768" s="19"/>
      <c r="I1045768" s="19"/>
      <c r="J1045768" s="19"/>
      <c r="K1045768" s="19"/>
      <c r="L1045768" s="19"/>
      <c r="M1045768" s="19"/>
      <c r="N1045768" s="19"/>
    </row>
    <row r="1045769" spans="1:14" s="83" customFormat="1" ht="12.75">
      <c r="A1045769" s="19"/>
      <c r="B1045769" s="19"/>
      <c r="C1045769" s="19"/>
      <c r="D1045769" s="19"/>
      <c r="E1045769" s="19"/>
      <c r="F1045769" s="19"/>
      <c r="G1045769" s="19"/>
      <c r="H1045769" s="19"/>
      <c r="I1045769" s="19"/>
      <c r="J1045769" s="19"/>
      <c r="K1045769" s="19"/>
      <c r="L1045769" s="19"/>
      <c r="M1045769" s="19"/>
      <c r="N1045769" s="19"/>
    </row>
    <row r="1045770" spans="1:14" s="83" customFormat="1" ht="12.75">
      <c r="A1045770" s="19"/>
      <c r="B1045770" s="19"/>
      <c r="C1045770" s="19"/>
      <c r="D1045770" s="19"/>
      <c r="E1045770" s="19"/>
      <c r="F1045770" s="19"/>
      <c r="G1045770" s="19"/>
      <c r="H1045770" s="19"/>
      <c r="I1045770" s="19"/>
      <c r="J1045770" s="19"/>
      <c r="K1045770" s="19"/>
      <c r="L1045770" s="19"/>
      <c r="M1045770" s="19"/>
      <c r="N1045770" s="19"/>
    </row>
    <row r="1045771" spans="1:14" s="83" customFormat="1" ht="12.75">
      <c r="A1045771" s="19"/>
      <c r="B1045771" s="19"/>
      <c r="C1045771" s="19"/>
      <c r="D1045771" s="19"/>
      <c r="E1045771" s="19"/>
      <c r="F1045771" s="19"/>
      <c r="G1045771" s="19"/>
      <c r="H1045771" s="19"/>
      <c r="I1045771" s="19"/>
      <c r="J1045771" s="19"/>
      <c r="K1045771" s="19"/>
      <c r="L1045771" s="19"/>
      <c r="M1045771" s="19"/>
      <c r="N1045771" s="19"/>
    </row>
    <row r="1045772" spans="1:14" s="83" customFormat="1" ht="12.75">
      <c r="A1045772" s="19"/>
      <c r="B1045772" s="19"/>
      <c r="C1045772" s="19"/>
      <c r="D1045772" s="19"/>
      <c r="E1045772" s="19"/>
      <c r="F1045772" s="19"/>
      <c r="G1045772" s="19"/>
      <c r="H1045772" s="19"/>
      <c r="I1045772" s="19"/>
      <c r="J1045772" s="19"/>
      <c r="K1045772" s="19"/>
      <c r="L1045772" s="19"/>
      <c r="M1045772" s="19"/>
      <c r="N1045772" s="19"/>
    </row>
    <row r="1045773" spans="1:14" s="83" customFormat="1" ht="12.75">
      <c r="A1045773" s="19"/>
      <c r="B1045773" s="19"/>
      <c r="C1045773" s="19"/>
      <c r="D1045773" s="19"/>
      <c r="E1045773" s="19"/>
      <c r="F1045773" s="19"/>
      <c r="G1045773" s="19"/>
      <c r="H1045773" s="19"/>
      <c r="I1045773" s="19"/>
      <c r="J1045773" s="19"/>
      <c r="K1045773" s="19"/>
      <c r="L1045773" s="19"/>
      <c r="M1045773" s="19"/>
      <c r="N1045773" s="19"/>
    </row>
    <row r="1045774" spans="1:14" s="83" customFormat="1" ht="12.75">
      <c r="A1045774" s="19"/>
      <c r="B1045774" s="19"/>
      <c r="C1045774" s="19"/>
      <c r="D1045774" s="19"/>
      <c r="E1045774" s="19"/>
      <c r="F1045774" s="19"/>
      <c r="G1045774" s="19"/>
      <c r="H1045774" s="19"/>
      <c r="I1045774" s="19"/>
      <c r="J1045774" s="19"/>
      <c r="K1045774" s="19"/>
      <c r="L1045774" s="19"/>
      <c r="M1045774" s="19"/>
      <c r="N1045774" s="19"/>
    </row>
    <row r="1045775" spans="1:14" s="83" customFormat="1" ht="12.75">
      <c r="A1045775" s="19"/>
      <c r="B1045775" s="19"/>
      <c r="C1045775" s="19"/>
      <c r="D1045775" s="19"/>
      <c r="E1045775" s="19"/>
      <c r="F1045775" s="19"/>
      <c r="G1045775" s="19"/>
      <c r="H1045775" s="19"/>
      <c r="I1045775" s="19"/>
      <c r="J1045775" s="19"/>
      <c r="K1045775" s="19"/>
      <c r="L1045775" s="19"/>
      <c r="M1045775" s="19"/>
      <c r="N1045775" s="19"/>
    </row>
    <row r="1045776" spans="1:14" s="83" customFormat="1" ht="12.75">
      <c r="A1045776" s="19"/>
      <c r="B1045776" s="19"/>
      <c r="C1045776" s="19"/>
      <c r="D1045776" s="19"/>
      <c r="E1045776" s="19"/>
      <c r="F1045776" s="19"/>
      <c r="G1045776" s="19"/>
      <c r="H1045776" s="19"/>
      <c r="I1045776" s="19"/>
      <c r="J1045776" s="19"/>
      <c r="K1045776" s="19"/>
      <c r="L1045776" s="19"/>
      <c r="M1045776" s="19"/>
      <c r="N1045776" s="19"/>
    </row>
    <row r="1045777" spans="1:14" s="83" customFormat="1" ht="12.75">
      <c r="A1045777" s="19"/>
      <c r="B1045777" s="19"/>
      <c r="C1045777" s="19"/>
      <c r="D1045777" s="19"/>
      <c r="E1045777" s="19"/>
      <c r="F1045777" s="19"/>
      <c r="G1045777" s="19"/>
      <c r="H1045777" s="19"/>
      <c r="I1045777" s="19"/>
      <c r="J1045777" s="19"/>
      <c r="K1045777" s="19"/>
      <c r="L1045777" s="19"/>
      <c r="M1045777" s="19"/>
      <c r="N1045777" s="19"/>
    </row>
    <row r="1045778" spans="1:14" s="83" customFormat="1" ht="12.75">
      <c r="A1045778" s="19"/>
      <c r="B1045778" s="19"/>
      <c r="C1045778" s="19"/>
      <c r="D1045778" s="19"/>
      <c r="E1045778" s="19"/>
      <c r="F1045778" s="19"/>
      <c r="G1045778" s="19"/>
      <c r="H1045778" s="19"/>
      <c r="I1045778" s="19"/>
      <c r="J1045778" s="19"/>
      <c r="K1045778" s="19"/>
      <c r="L1045778" s="19"/>
      <c r="M1045778" s="19"/>
      <c r="N1045778" s="19"/>
    </row>
    <row r="1045779" spans="1:14" s="83" customFormat="1" ht="12.75">
      <c r="A1045779" s="19"/>
      <c r="B1045779" s="19"/>
      <c r="C1045779" s="19"/>
      <c r="D1045779" s="19"/>
      <c r="E1045779" s="19"/>
      <c r="F1045779" s="19"/>
      <c r="G1045779" s="19"/>
      <c r="H1045779" s="19"/>
      <c r="I1045779" s="19"/>
      <c r="J1045779" s="19"/>
      <c r="K1045779" s="19"/>
      <c r="L1045779" s="19"/>
      <c r="M1045779" s="19"/>
      <c r="N1045779" s="19"/>
    </row>
    <row r="1045780" spans="1:14" s="83" customFormat="1" ht="12.75">
      <c r="A1045780" s="19"/>
      <c r="B1045780" s="19"/>
      <c r="C1045780" s="19"/>
      <c r="D1045780" s="19"/>
      <c r="E1045780" s="19"/>
      <c r="F1045780" s="19"/>
      <c r="G1045780" s="19"/>
      <c r="H1045780" s="19"/>
      <c r="I1045780" s="19"/>
      <c r="J1045780" s="19"/>
      <c r="K1045780" s="19"/>
      <c r="L1045780" s="19"/>
      <c r="M1045780" s="19"/>
      <c r="N1045780" s="19"/>
    </row>
    <row r="1045781" spans="1:14" s="83" customFormat="1" ht="12.75">
      <c r="A1045781" s="19"/>
      <c r="B1045781" s="19"/>
      <c r="C1045781" s="19"/>
      <c r="D1045781" s="19"/>
      <c r="E1045781" s="19"/>
      <c r="F1045781" s="19"/>
      <c r="G1045781" s="19"/>
      <c r="H1045781" s="19"/>
      <c r="I1045781" s="19"/>
      <c r="J1045781" s="19"/>
      <c r="K1045781" s="19"/>
      <c r="L1045781" s="19"/>
      <c r="M1045781" s="19"/>
      <c r="N1045781" s="19"/>
    </row>
    <row r="1045782" spans="1:14" s="83" customFormat="1" ht="12.75">
      <c r="A1045782" s="19"/>
      <c r="B1045782" s="19"/>
      <c r="C1045782" s="19"/>
      <c r="D1045782" s="19"/>
      <c r="E1045782" s="19"/>
      <c r="F1045782" s="19"/>
      <c r="G1045782" s="19"/>
      <c r="H1045782" s="19"/>
      <c r="I1045782" s="19"/>
      <c r="J1045782" s="19"/>
      <c r="K1045782" s="19"/>
      <c r="L1045782" s="19"/>
      <c r="M1045782" s="19"/>
      <c r="N1045782" s="19"/>
    </row>
    <row r="1045783" spans="1:14" s="83" customFormat="1" ht="12.75">
      <c r="A1045783" s="19"/>
      <c r="B1045783" s="19"/>
      <c r="C1045783" s="19"/>
      <c r="D1045783" s="19"/>
      <c r="E1045783" s="19"/>
      <c r="F1045783" s="19"/>
      <c r="G1045783" s="19"/>
      <c r="H1045783" s="19"/>
      <c r="I1045783" s="19"/>
      <c r="J1045783" s="19"/>
      <c r="K1045783" s="19"/>
      <c r="L1045783" s="19"/>
      <c r="M1045783" s="19"/>
      <c r="N1045783" s="19"/>
    </row>
    <row r="1045784" spans="1:14" s="83" customFormat="1" ht="12.75">
      <c r="A1045784" s="19"/>
      <c r="B1045784" s="19"/>
      <c r="C1045784" s="19"/>
      <c r="D1045784" s="19"/>
      <c r="E1045784" s="19"/>
      <c r="F1045784" s="19"/>
      <c r="G1045784" s="19"/>
      <c r="H1045784" s="19"/>
      <c r="I1045784" s="19"/>
      <c r="J1045784" s="19"/>
      <c r="K1045784" s="19"/>
      <c r="L1045784" s="19"/>
      <c r="M1045784" s="19"/>
      <c r="N1045784" s="19"/>
    </row>
    <row r="1045785" spans="1:14" s="83" customFormat="1" ht="12.75">
      <c r="A1045785" s="19"/>
      <c r="B1045785" s="19"/>
      <c r="C1045785" s="19"/>
      <c r="D1045785" s="19"/>
      <c r="E1045785" s="19"/>
      <c r="F1045785" s="19"/>
      <c r="G1045785" s="19"/>
      <c r="H1045785" s="19"/>
      <c r="I1045785" s="19"/>
      <c r="J1045785" s="19"/>
      <c r="K1045785" s="19"/>
      <c r="L1045785" s="19"/>
      <c r="M1045785" s="19"/>
      <c r="N1045785" s="19"/>
    </row>
    <row r="1045786" spans="1:14" s="83" customFormat="1" ht="12.75">
      <c r="A1045786" s="19"/>
      <c r="B1045786" s="19"/>
      <c r="C1045786" s="19"/>
      <c r="D1045786" s="19"/>
      <c r="E1045786" s="19"/>
      <c r="F1045786" s="19"/>
      <c r="G1045786" s="19"/>
      <c r="H1045786" s="19"/>
      <c r="I1045786" s="19"/>
      <c r="J1045786" s="19"/>
      <c r="K1045786" s="19"/>
      <c r="L1045786" s="19"/>
      <c r="M1045786" s="19"/>
      <c r="N1045786" s="19"/>
    </row>
    <row r="1045787" spans="1:14" s="83" customFormat="1" ht="12.75">
      <c r="A1045787" s="19"/>
      <c r="B1045787" s="19"/>
      <c r="C1045787" s="19"/>
      <c r="D1045787" s="19"/>
      <c r="E1045787" s="19"/>
      <c r="F1045787" s="19"/>
      <c r="G1045787" s="19"/>
      <c r="H1045787" s="19"/>
      <c r="I1045787" s="19"/>
      <c r="J1045787" s="19"/>
      <c r="K1045787" s="19"/>
      <c r="L1045787" s="19"/>
      <c r="M1045787" s="19"/>
      <c r="N1045787" s="19"/>
    </row>
    <row r="1045788" spans="1:14" s="83" customFormat="1" ht="12.75">
      <c r="A1045788" s="19"/>
      <c r="B1045788" s="19"/>
      <c r="C1045788" s="19"/>
      <c r="D1045788" s="19"/>
      <c r="E1045788" s="19"/>
      <c r="F1045788" s="19"/>
      <c r="G1045788" s="19"/>
      <c r="H1045788" s="19"/>
      <c r="I1045788" s="19"/>
      <c r="J1045788" s="19"/>
      <c r="K1045788" s="19"/>
      <c r="L1045788" s="19"/>
      <c r="M1045788" s="19"/>
      <c r="N1045788" s="19"/>
    </row>
    <row r="1045789" spans="1:14" s="83" customFormat="1" ht="12.75">
      <c r="A1045789" s="19"/>
      <c r="B1045789" s="19"/>
      <c r="C1045789" s="19"/>
      <c r="D1045789" s="19"/>
      <c r="E1045789" s="19"/>
      <c r="F1045789" s="19"/>
      <c r="G1045789" s="19"/>
      <c r="H1045789" s="19"/>
      <c r="I1045789" s="19"/>
      <c r="J1045789" s="19"/>
      <c r="K1045789" s="19"/>
      <c r="L1045789" s="19"/>
      <c r="M1045789" s="19"/>
      <c r="N1045789" s="19"/>
    </row>
    <row r="1045790" spans="1:14" s="83" customFormat="1" ht="12.75">
      <c r="A1045790" s="19"/>
      <c r="B1045790" s="19"/>
      <c r="C1045790" s="19"/>
      <c r="D1045790" s="19"/>
      <c r="E1045790" s="19"/>
      <c r="F1045790" s="19"/>
      <c r="G1045790" s="19"/>
      <c r="H1045790" s="19"/>
      <c r="I1045790" s="19"/>
      <c r="J1045790" s="19"/>
      <c r="K1045790" s="19"/>
      <c r="L1045790" s="19"/>
      <c r="M1045790" s="19"/>
      <c r="N1045790" s="19"/>
    </row>
    <row r="1045791" spans="1:14" s="83" customFormat="1" ht="12.75">
      <c r="A1045791" s="19"/>
      <c r="B1045791" s="19"/>
      <c r="C1045791" s="19"/>
      <c r="D1045791" s="19"/>
      <c r="E1045791" s="19"/>
      <c r="F1045791" s="19"/>
      <c r="G1045791" s="19"/>
      <c r="H1045791" s="19"/>
      <c r="I1045791" s="19"/>
      <c r="J1045791" s="19"/>
      <c r="K1045791" s="19"/>
      <c r="L1045791" s="19"/>
      <c r="M1045791" s="19"/>
      <c r="N1045791" s="19"/>
    </row>
    <row r="1045792" spans="1:14" s="83" customFormat="1" ht="12.75">
      <c r="A1045792" s="19"/>
      <c r="B1045792" s="19"/>
      <c r="C1045792" s="19"/>
      <c r="D1045792" s="19"/>
      <c r="E1045792" s="19"/>
      <c r="F1045792" s="19"/>
      <c r="G1045792" s="19"/>
      <c r="H1045792" s="19"/>
      <c r="I1045792" s="19"/>
      <c r="J1045792" s="19"/>
      <c r="K1045792" s="19"/>
      <c r="L1045792" s="19"/>
      <c r="M1045792" s="19"/>
      <c r="N1045792" s="19"/>
    </row>
    <row r="1045793" spans="1:14" s="83" customFormat="1" ht="12.75">
      <c r="A1045793" s="19"/>
      <c r="B1045793" s="19"/>
      <c r="C1045793" s="19"/>
      <c r="D1045793" s="19"/>
      <c r="E1045793" s="19"/>
      <c r="F1045793" s="19"/>
      <c r="G1045793" s="19"/>
      <c r="H1045793" s="19"/>
      <c r="I1045793" s="19"/>
      <c r="J1045793" s="19"/>
      <c r="K1045793" s="19"/>
      <c r="L1045793" s="19"/>
      <c r="M1045793" s="19"/>
      <c r="N1045793" s="19"/>
    </row>
    <row r="1045794" spans="1:14" s="83" customFormat="1" ht="12.75">
      <c r="A1045794" s="19"/>
      <c r="B1045794" s="19"/>
      <c r="C1045794" s="19"/>
      <c r="D1045794" s="19"/>
      <c r="E1045794" s="19"/>
      <c r="F1045794" s="19"/>
      <c r="G1045794" s="19"/>
      <c r="H1045794" s="19"/>
      <c r="I1045794" s="19"/>
      <c r="J1045794" s="19"/>
      <c r="K1045794" s="19"/>
      <c r="L1045794" s="19"/>
      <c r="M1045794" s="19"/>
      <c r="N1045794" s="19"/>
    </row>
    <row r="1045795" spans="1:14" s="83" customFormat="1" ht="12.75">
      <c r="A1045795" s="19"/>
      <c r="B1045795" s="19"/>
      <c r="C1045795" s="19"/>
      <c r="D1045795" s="19"/>
      <c r="E1045795" s="19"/>
      <c r="F1045795" s="19"/>
      <c r="G1045795" s="19"/>
      <c r="H1045795" s="19"/>
      <c r="I1045795" s="19"/>
      <c r="J1045795" s="19"/>
      <c r="K1045795" s="19"/>
      <c r="L1045795" s="19"/>
      <c r="M1045795" s="19"/>
      <c r="N1045795" s="19"/>
    </row>
    <row r="1045796" spans="1:14" s="83" customFormat="1" ht="12.75">
      <c r="A1045796" s="19"/>
      <c r="B1045796" s="19"/>
      <c r="C1045796" s="19"/>
      <c r="D1045796" s="19"/>
      <c r="E1045796" s="19"/>
      <c r="F1045796" s="19"/>
      <c r="G1045796" s="19"/>
      <c r="H1045796" s="19"/>
      <c r="I1045796" s="19"/>
      <c r="J1045796" s="19"/>
      <c r="K1045796" s="19"/>
      <c r="L1045796" s="19"/>
      <c r="M1045796" s="19"/>
      <c r="N1045796" s="19"/>
    </row>
    <row r="1045797" spans="1:14" s="83" customFormat="1" ht="12.75">
      <c r="A1045797" s="19"/>
      <c r="B1045797" s="19"/>
      <c r="C1045797" s="19"/>
      <c r="D1045797" s="19"/>
      <c r="E1045797" s="19"/>
      <c r="F1045797" s="19"/>
      <c r="G1045797" s="19"/>
      <c r="H1045797" s="19"/>
      <c r="I1045797" s="19"/>
      <c r="J1045797" s="19"/>
      <c r="K1045797" s="19"/>
      <c r="L1045797" s="19"/>
      <c r="M1045797" s="19"/>
      <c r="N1045797" s="19"/>
    </row>
    <row r="1045798" spans="1:14" s="83" customFormat="1" ht="12.75">
      <c r="A1045798" s="19"/>
      <c r="B1045798" s="19"/>
      <c r="C1045798" s="19"/>
      <c r="D1045798" s="19"/>
      <c r="E1045798" s="19"/>
      <c r="F1045798" s="19"/>
      <c r="G1045798" s="19"/>
      <c r="H1045798" s="19"/>
      <c r="I1045798" s="19"/>
      <c r="J1045798" s="19"/>
      <c r="K1045798" s="19"/>
      <c r="L1045798" s="19"/>
      <c r="M1045798" s="19"/>
      <c r="N1045798" s="19"/>
    </row>
    <row r="1045799" spans="1:14" s="83" customFormat="1" ht="12.75">
      <c r="A1045799" s="19"/>
      <c r="B1045799" s="19"/>
      <c r="C1045799" s="19"/>
      <c r="D1045799" s="19"/>
      <c r="E1045799" s="19"/>
      <c r="F1045799" s="19"/>
      <c r="G1045799" s="19"/>
      <c r="H1045799" s="19"/>
      <c r="I1045799" s="19"/>
      <c r="J1045799" s="19"/>
      <c r="K1045799" s="19"/>
      <c r="L1045799" s="19"/>
      <c r="M1045799" s="19"/>
      <c r="N1045799" s="19"/>
    </row>
    <row r="1045800" spans="1:14" s="83" customFormat="1" ht="12.75">
      <c r="A1045800" s="19"/>
      <c r="B1045800" s="19"/>
      <c r="C1045800" s="19"/>
      <c r="D1045800" s="19"/>
      <c r="E1045800" s="19"/>
      <c r="F1045800" s="19"/>
      <c r="G1045800" s="19"/>
      <c r="H1045800" s="19"/>
      <c r="I1045800" s="19"/>
      <c r="J1045800" s="19"/>
      <c r="K1045800" s="19"/>
      <c r="L1045800" s="19"/>
      <c r="M1045800" s="19"/>
      <c r="N1045800" s="19"/>
    </row>
    <row r="1045801" spans="1:14" s="83" customFormat="1" ht="12.75">
      <c r="A1045801" s="19"/>
      <c r="B1045801" s="19"/>
      <c r="C1045801" s="19"/>
      <c r="D1045801" s="19"/>
      <c r="E1045801" s="19"/>
      <c r="F1045801" s="19"/>
      <c r="G1045801" s="19"/>
      <c r="H1045801" s="19"/>
      <c r="I1045801" s="19"/>
      <c r="J1045801" s="19"/>
      <c r="K1045801" s="19"/>
      <c r="L1045801" s="19"/>
      <c r="M1045801" s="19"/>
      <c r="N1045801" s="19"/>
    </row>
    <row r="1045802" spans="1:14" s="83" customFormat="1" ht="12.75">
      <c r="A1045802" s="19"/>
      <c r="B1045802" s="19"/>
      <c r="C1045802" s="19"/>
      <c r="D1045802" s="19"/>
      <c r="E1045802" s="19"/>
      <c r="F1045802" s="19"/>
      <c r="G1045802" s="19"/>
      <c r="H1045802" s="19"/>
      <c r="I1045802" s="19"/>
      <c r="J1045802" s="19"/>
      <c r="K1045802" s="19"/>
      <c r="L1045802" s="19"/>
      <c r="M1045802" s="19"/>
      <c r="N1045802" s="19"/>
    </row>
    <row r="1045803" spans="1:14" s="83" customFormat="1" ht="12.75">
      <c r="A1045803" s="19"/>
      <c r="B1045803" s="19"/>
      <c r="C1045803" s="19"/>
      <c r="D1045803" s="19"/>
      <c r="E1045803" s="19"/>
      <c r="F1045803" s="19"/>
      <c r="G1045803" s="19"/>
      <c r="H1045803" s="19"/>
      <c r="I1045803" s="19"/>
      <c r="J1045803" s="19"/>
      <c r="K1045803" s="19"/>
      <c r="L1045803" s="19"/>
      <c r="M1045803" s="19"/>
      <c r="N1045803" s="19"/>
    </row>
    <row r="1045804" spans="1:14" s="83" customFormat="1" ht="12.75">
      <c r="A1045804" s="19"/>
      <c r="B1045804" s="19"/>
      <c r="C1045804" s="19"/>
      <c r="D1045804" s="19"/>
      <c r="E1045804" s="19"/>
      <c r="F1045804" s="19"/>
      <c r="G1045804" s="19"/>
      <c r="H1045804" s="19"/>
      <c r="I1045804" s="19"/>
      <c r="J1045804" s="19"/>
      <c r="K1045804" s="19"/>
      <c r="L1045804" s="19"/>
      <c r="M1045804" s="19"/>
      <c r="N1045804" s="19"/>
    </row>
    <row r="1045805" spans="1:14" s="83" customFormat="1" ht="12.75">
      <c r="A1045805" s="19"/>
      <c r="B1045805" s="19"/>
      <c r="C1045805" s="19"/>
      <c r="D1045805" s="19"/>
      <c r="E1045805" s="19"/>
      <c r="F1045805" s="19"/>
      <c r="G1045805" s="19"/>
      <c r="H1045805" s="19"/>
      <c r="I1045805" s="19"/>
      <c r="J1045805" s="19"/>
      <c r="K1045805" s="19"/>
      <c r="L1045805" s="19"/>
      <c r="M1045805" s="19"/>
      <c r="N1045805" s="19"/>
    </row>
    <row r="1045806" spans="1:14" s="83" customFormat="1" ht="12.75">
      <c r="A1045806" s="19"/>
      <c r="B1045806" s="19"/>
      <c r="C1045806" s="19"/>
      <c r="D1045806" s="19"/>
      <c r="E1045806" s="19"/>
      <c r="F1045806" s="19"/>
      <c r="G1045806" s="19"/>
      <c r="H1045806" s="19"/>
      <c r="I1045806" s="19"/>
      <c r="J1045806" s="19"/>
      <c r="K1045806" s="19"/>
      <c r="L1045806" s="19"/>
      <c r="M1045806" s="19"/>
      <c r="N1045806" s="19"/>
    </row>
    <row r="1045807" spans="1:14" s="83" customFormat="1" ht="12.75">
      <c r="A1045807" s="19"/>
      <c r="B1045807" s="19"/>
      <c r="C1045807" s="19"/>
      <c r="D1045807" s="19"/>
      <c r="E1045807" s="19"/>
      <c r="F1045807" s="19"/>
      <c r="G1045807" s="19"/>
      <c r="H1045807" s="19"/>
      <c r="I1045807" s="19"/>
      <c r="J1045807" s="19"/>
      <c r="K1045807" s="19"/>
      <c r="L1045807" s="19"/>
      <c r="M1045807" s="19"/>
      <c r="N1045807" s="19"/>
    </row>
    <row r="1045808" spans="1:14" s="83" customFormat="1" ht="12.75">
      <c r="A1045808" s="19"/>
      <c r="B1045808" s="19"/>
      <c r="C1045808" s="19"/>
      <c r="D1045808" s="19"/>
      <c r="E1045808" s="19"/>
      <c r="F1045808" s="19"/>
      <c r="G1045808" s="19"/>
      <c r="H1045808" s="19"/>
      <c r="I1045808" s="19"/>
      <c r="J1045808" s="19"/>
      <c r="K1045808" s="19"/>
      <c r="L1045808" s="19"/>
      <c r="M1045808" s="19"/>
      <c r="N1045808" s="19"/>
    </row>
    <row r="1045809" spans="1:14" s="83" customFormat="1" ht="12.75">
      <c r="A1045809" s="19"/>
      <c r="B1045809" s="19"/>
      <c r="C1045809" s="19"/>
      <c r="D1045809" s="19"/>
      <c r="E1045809" s="19"/>
      <c r="F1045809" s="19"/>
      <c r="G1045809" s="19"/>
      <c r="H1045809" s="19"/>
      <c r="I1045809" s="19"/>
      <c r="J1045809" s="19"/>
      <c r="K1045809" s="19"/>
      <c r="L1045809" s="19"/>
      <c r="M1045809" s="19"/>
      <c r="N1045809" s="19"/>
    </row>
    <row r="1045810" spans="1:14" s="83" customFormat="1" ht="12.75">
      <c r="A1045810" s="19"/>
      <c r="B1045810" s="19"/>
      <c r="C1045810" s="19"/>
      <c r="D1045810" s="19"/>
      <c r="E1045810" s="19"/>
      <c r="F1045810" s="19"/>
      <c r="G1045810" s="19"/>
      <c r="H1045810" s="19"/>
      <c r="I1045810" s="19"/>
      <c r="J1045810" s="19"/>
      <c r="K1045810" s="19"/>
      <c r="L1045810" s="19"/>
      <c r="M1045810" s="19"/>
      <c r="N1045810" s="19"/>
    </row>
    <row r="1045811" spans="1:14" s="83" customFormat="1" ht="12.75">
      <c r="A1045811" s="19"/>
      <c r="B1045811" s="19"/>
      <c r="C1045811" s="19"/>
      <c r="D1045811" s="19"/>
      <c r="E1045811" s="19"/>
      <c r="F1045811" s="19"/>
      <c r="G1045811" s="19"/>
      <c r="H1045811" s="19"/>
      <c r="I1045811" s="19"/>
      <c r="J1045811" s="19"/>
      <c r="K1045811" s="19"/>
      <c r="L1045811" s="19"/>
      <c r="M1045811" s="19"/>
      <c r="N1045811" s="19"/>
    </row>
    <row r="1045812" spans="1:14" s="83" customFormat="1" ht="12.75">
      <c r="A1045812" s="19"/>
      <c r="B1045812" s="19"/>
      <c r="C1045812" s="19"/>
      <c r="D1045812" s="19"/>
      <c r="E1045812" s="19"/>
      <c r="F1045812" s="19"/>
      <c r="G1045812" s="19"/>
      <c r="H1045812" s="19"/>
      <c r="I1045812" s="19"/>
      <c r="J1045812" s="19"/>
      <c r="K1045812" s="19"/>
      <c r="L1045812" s="19"/>
      <c r="M1045812" s="19"/>
      <c r="N1045812" s="19"/>
    </row>
    <row r="1045813" spans="1:14" s="83" customFormat="1" ht="12.75">
      <c r="A1045813" s="19"/>
      <c r="B1045813" s="19"/>
      <c r="C1045813" s="19"/>
      <c r="D1045813" s="19"/>
      <c r="E1045813" s="19"/>
      <c r="F1045813" s="19"/>
      <c r="G1045813" s="19"/>
      <c r="H1045813" s="19"/>
      <c r="I1045813" s="19"/>
      <c r="J1045813" s="19"/>
      <c r="K1045813" s="19"/>
      <c r="L1045813" s="19"/>
      <c r="M1045813" s="19"/>
      <c r="N1045813" s="19"/>
    </row>
    <row r="1045814" spans="1:14" s="83" customFormat="1" ht="12.75">
      <c r="A1045814" s="19"/>
      <c r="B1045814" s="19"/>
      <c r="C1045814" s="19"/>
      <c r="D1045814" s="19"/>
      <c r="E1045814" s="19"/>
      <c r="F1045814" s="19"/>
      <c r="G1045814" s="19"/>
      <c r="H1045814" s="19"/>
      <c r="I1045814" s="19"/>
      <c r="J1045814" s="19"/>
      <c r="K1045814" s="19"/>
      <c r="L1045814" s="19"/>
      <c r="M1045814" s="19"/>
      <c r="N1045814" s="19"/>
    </row>
    <row r="1045815" spans="1:14" s="83" customFormat="1" ht="12.75">
      <c r="A1045815" s="19"/>
      <c r="B1045815" s="19"/>
      <c r="C1045815" s="19"/>
      <c r="D1045815" s="19"/>
      <c r="E1045815" s="19"/>
      <c r="F1045815" s="19"/>
      <c r="G1045815" s="19"/>
      <c r="H1045815" s="19"/>
      <c r="I1045815" s="19"/>
      <c r="J1045815" s="19"/>
      <c r="K1045815" s="19"/>
      <c r="L1045815" s="19"/>
      <c r="M1045815" s="19"/>
      <c r="N1045815" s="19"/>
    </row>
    <row r="1045816" spans="1:14" s="83" customFormat="1" ht="12.75">
      <c r="A1045816" s="19"/>
      <c r="B1045816" s="19"/>
      <c r="C1045816" s="19"/>
      <c r="D1045816" s="19"/>
      <c r="E1045816" s="19"/>
      <c r="F1045816" s="19"/>
      <c r="G1045816" s="19"/>
      <c r="H1045816" s="19"/>
      <c r="I1045816" s="19"/>
      <c r="J1045816" s="19"/>
      <c r="K1045816" s="19"/>
      <c r="L1045816" s="19"/>
      <c r="M1045816" s="19"/>
      <c r="N1045816" s="19"/>
    </row>
    <row r="1045817" spans="1:14" s="83" customFormat="1" ht="12.75">
      <c r="A1045817" s="19"/>
      <c r="B1045817" s="19"/>
      <c r="C1045817" s="19"/>
      <c r="D1045817" s="19"/>
      <c r="E1045817" s="19"/>
      <c r="F1045817" s="19"/>
      <c r="G1045817" s="19"/>
      <c r="H1045817" s="19"/>
      <c r="I1045817" s="19"/>
      <c r="J1045817" s="19"/>
      <c r="K1045817" s="19"/>
      <c r="L1045817" s="19"/>
      <c r="M1045817" s="19"/>
      <c r="N1045817" s="19"/>
    </row>
    <row r="1045818" spans="1:14" s="83" customFormat="1" ht="12.75">
      <c r="A1045818" s="19"/>
      <c r="B1045818" s="19"/>
      <c r="C1045818" s="19"/>
      <c r="D1045818" s="19"/>
      <c r="E1045818" s="19"/>
      <c r="F1045818" s="19"/>
      <c r="G1045818" s="19"/>
      <c r="H1045818" s="19"/>
      <c r="I1045818" s="19"/>
      <c r="J1045818" s="19"/>
      <c r="K1045818" s="19"/>
      <c r="L1045818" s="19"/>
      <c r="M1045818" s="19"/>
      <c r="N1045818" s="19"/>
    </row>
    <row r="1045819" spans="1:14" s="83" customFormat="1" ht="12.75">
      <c r="A1045819" s="19"/>
      <c r="B1045819" s="19"/>
      <c r="C1045819" s="19"/>
      <c r="D1045819" s="19"/>
      <c r="E1045819" s="19"/>
      <c r="F1045819" s="19"/>
      <c r="G1045819" s="19"/>
      <c r="H1045819" s="19"/>
      <c r="I1045819" s="19"/>
      <c r="J1045819" s="19"/>
      <c r="K1045819" s="19"/>
      <c r="L1045819" s="19"/>
      <c r="M1045819" s="19"/>
      <c r="N1045819" s="19"/>
    </row>
    <row r="1045820" spans="1:14" s="83" customFormat="1" ht="12.75">
      <c r="A1045820" s="19"/>
      <c r="B1045820" s="19"/>
      <c r="C1045820" s="19"/>
      <c r="D1045820" s="19"/>
      <c r="E1045820" s="19"/>
      <c r="F1045820" s="19"/>
      <c r="G1045820" s="19"/>
      <c r="H1045820" s="19"/>
      <c r="I1045820" s="19"/>
      <c r="J1045820" s="19"/>
      <c r="K1045820" s="19"/>
      <c r="L1045820" s="19"/>
      <c r="M1045820" s="19"/>
      <c r="N1045820" s="19"/>
    </row>
    <row r="1045821" spans="1:14" s="83" customFormat="1" ht="12.75">
      <c r="A1045821" s="19"/>
      <c r="B1045821" s="19"/>
      <c r="C1045821" s="19"/>
      <c r="D1045821" s="19"/>
      <c r="E1045821" s="19"/>
      <c r="F1045821" s="19"/>
      <c r="G1045821" s="19"/>
      <c r="H1045821" s="19"/>
      <c r="I1045821" s="19"/>
      <c r="J1045821" s="19"/>
      <c r="K1045821" s="19"/>
      <c r="L1045821" s="19"/>
      <c r="M1045821" s="19"/>
      <c r="N1045821" s="19"/>
    </row>
    <row r="1045822" spans="1:14" s="83" customFormat="1" ht="12.75">
      <c r="A1045822" s="19"/>
      <c r="B1045822" s="19"/>
      <c r="C1045822" s="19"/>
      <c r="D1045822" s="19"/>
      <c r="E1045822" s="19"/>
      <c r="F1045822" s="19"/>
      <c r="G1045822" s="19"/>
      <c r="H1045822" s="19"/>
      <c r="I1045822" s="19"/>
      <c r="J1045822" s="19"/>
      <c r="K1045822" s="19"/>
      <c r="L1045822" s="19"/>
      <c r="M1045822" s="19"/>
      <c r="N1045822" s="19"/>
    </row>
    <row r="1045823" spans="1:14" s="83" customFormat="1" ht="12.75">
      <c r="A1045823" s="19"/>
      <c r="B1045823" s="19"/>
      <c r="C1045823" s="19"/>
      <c r="D1045823" s="19"/>
      <c r="E1045823" s="19"/>
      <c r="F1045823" s="19"/>
      <c r="G1045823" s="19"/>
      <c r="H1045823" s="19"/>
      <c r="I1045823" s="19"/>
      <c r="J1045823" s="19"/>
      <c r="K1045823" s="19"/>
      <c r="L1045823" s="19"/>
      <c r="M1045823" s="19"/>
      <c r="N1045823" s="19"/>
    </row>
    <row r="1045824" spans="1:14" s="83" customFormat="1" ht="12.75">
      <c r="A1045824" s="19"/>
      <c r="B1045824" s="19"/>
      <c r="C1045824" s="19"/>
      <c r="D1045824" s="19"/>
      <c r="E1045824" s="19"/>
      <c r="F1045824" s="19"/>
      <c r="G1045824" s="19"/>
      <c r="H1045824" s="19"/>
      <c r="I1045824" s="19"/>
      <c r="J1045824" s="19"/>
      <c r="K1045824" s="19"/>
      <c r="L1045824" s="19"/>
      <c r="M1045824" s="19"/>
      <c r="N1045824" s="19"/>
    </row>
    <row r="1045825" spans="1:14" s="83" customFormat="1" ht="12.75">
      <c r="A1045825" s="19"/>
      <c r="B1045825" s="19"/>
      <c r="C1045825" s="19"/>
      <c r="D1045825" s="19"/>
      <c r="E1045825" s="19"/>
      <c r="F1045825" s="19"/>
      <c r="G1045825" s="19"/>
      <c r="H1045825" s="19"/>
      <c r="I1045825" s="19"/>
      <c r="J1045825" s="19"/>
      <c r="K1045825" s="19"/>
      <c r="L1045825" s="19"/>
      <c r="M1045825" s="19"/>
      <c r="N1045825" s="19"/>
    </row>
    <row r="1045826" spans="1:14" s="83" customFormat="1" ht="12.75">
      <c r="A1045826" s="19"/>
      <c r="B1045826" s="19"/>
      <c r="C1045826" s="19"/>
      <c r="D1045826" s="19"/>
      <c r="E1045826" s="19"/>
      <c r="F1045826" s="19"/>
      <c r="G1045826" s="19"/>
      <c r="H1045826" s="19"/>
      <c r="I1045826" s="19"/>
      <c r="J1045826" s="19"/>
      <c r="K1045826" s="19"/>
      <c r="L1045826" s="19"/>
      <c r="M1045826" s="19"/>
      <c r="N1045826" s="19"/>
    </row>
    <row r="1045827" spans="1:14" s="83" customFormat="1" ht="12.75">
      <c r="A1045827" s="19"/>
      <c r="B1045827" s="19"/>
      <c r="C1045827" s="19"/>
      <c r="D1045827" s="19"/>
      <c r="E1045827" s="19"/>
      <c r="F1045827" s="19"/>
      <c r="G1045827" s="19"/>
      <c r="H1045827" s="19"/>
      <c r="I1045827" s="19"/>
      <c r="J1045827" s="19"/>
      <c r="K1045827" s="19"/>
      <c r="L1045827" s="19"/>
      <c r="M1045827" s="19"/>
      <c r="N1045827" s="19"/>
    </row>
    <row r="1045828" spans="1:14" s="83" customFormat="1" ht="12.75">
      <c r="A1045828" s="19"/>
      <c r="B1045828" s="19"/>
      <c r="C1045828" s="19"/>
      <c r="D1045828" s="19"/>
      <c r="E1045828" s="19"/>
      <c r="F1045828" s="19"/>
      <c r="G1045828" s="19"/>
      <c r="H1045828" s="19"/>
      <c r="I1045828" s="19"/>
      <c r="J1045828" s="19"/>
      <c r="K1045828" s="19"/>
      <c r="L1045828" s="19"/>
      <c r="M1045828" s="19"/>
      <c r="N1045828" s="19"/>
    </row>
    <row r="1045829" spans="1:14" s="83" customFormat="1" ht="12.75">
      <c r="A1045829" s="19"/>
      <c r="B1045829" s="19"/>
      <c r="C1045829" s="19"/>
      <c r="D1045829" s="19"/>
      <c r="E1045829" s="19"/>
      <c r="F1045829" s="19"/>
      <c r="G1045829" s="19"/>
      <c r="H1045829" s="19"/>
      <c r="I1045829" s="19"/>
      <c r="J1045829" s="19"/>
      <c r="K1045829" s="19"/>
      <c r="L1045829" s="19"/>
      <c r="M1045829" s="19"/>
      <c r="N1045829" s="19"/>
    </row>
    <row r="1045830" spans="1:14" s="83" customFormat="1" ht="12.75">
      <c r="A1045830" s="19"/>
      <c r="B1045830" s="19"/>
      <c r="C1045830" s="19"/>
      <c r="D1045830" s="19"/>
      <c r="E1045830" s="19"/>
      <c r="F1045830" s="19"/>
      <c r="G1045830" s="19"/>
      <c r="H1045830" s="19"/>
      <c r="I1045830" s="19"/>
      <c r="J1045830" s="19"/>
      <c r="K1045830" s="19"/>
      <c r="L1045830" s="19"/>
      <c r="M1045830" s="19"/>
      <c r="N1045830" s="19"/>
    </row>
    <row r="1045831" spans="1:14" s="83" customFormat="1" ht="12.75">
      <c r="A1045831" s="19"/>
      <c r="B1045831" s="19"/>
      <c r="C1045831" s="19"/>
      <c r="D1045831" s="19"/>
      <c r="E1045831" s="19"/>
      <c r="F1045831" s="19"/>
      <c r="G1045831" s="19"/>
      <c r="H1045831" s="19"/>
      <c r="I1045831" s="19"/>
      <c r="J1045831" s="19"/>
      <c r="K1045831" s="19"/>
      <c r="L1045831" s="19"/>
      <c r="M1045831" s="19"/>
      <c r="N1045831" s="19"/>
    </row>
    <row r="1045832" spans="1:14" s="83" customFormat="1" ht="12.75">
      <c r="A1045832" s="19"/>
      <c r="B1045832" s="19"/>
      <c r="C1045832" s="19"/>
      <c r="D1045832" s="19"/>
      <c r="E1045832" s="19"/>
      <c r="F1045832" s="19"/>
      <c r="G1045832" s="19"/>
      <c r="H1045832" s="19"/>
      <c r="I1045832" s="19"/>
      <c r="J1045832" s="19"/>
      <c r="K1045832" s="19"/>
      <c r="L1045832" s="19"/>
      <c r="M1045832" s="19"/>
      <c r="N1045832" s="19"/>
    </row>
    <row r="1045833" spans="1:14" s="83" customFormat="1" ht="12.75">
      <c r="A1045833" s="19"/>
      <c r="B1045833" s="19"/>
      <c r="C1045833" s="19"/>
      <c r="D1045833" s="19"/>
      <c r="E1045833" s="19"/>
      <c r="F1045833" s="19"/>
      <c r="G1045833" s="19"/>
      <c r="H1045833" s="19"/>
      <c r="I1045833" s="19"/>
      <c r="J1045833" s="19"/>
      <c r="K1045833" s="19"/>
      <c r="L1045833" s="19"/>
      <c r="M1045833" s="19"/>
      <c r="N1045833" s="19"/>
    </row>
    <row r="1045834" spans="1:14" s="83" customFormat="1" ht="12.75">
      <c r="A1045834" s="19"/>
      <c r="B1045834" s="19"/>
      <c r="C1045834" s="19"/>
      <c r="D1045834" s="19"/>
      <c r="E1045834" s="19"/>
      <c r="F1045834" s="19"/>
      <c r="G1045834" s="19"/>
      <c r="H1045834" s="19"/>
      <c r="I1045834" s="19"/>
      <c r="J1045834" s="19"/>
      <c r="K1045834" s="19"/>
      <c r="L1045834" s="19"/>
      <c r="M1045834" s="19"/>
      <c r="N1045834" s="19"/>
    </row>
    <row r="1045835" spans="1:14" s="83" customFormat="1" ht="12.75">
      <c r="A1045835" s="19"/>
      <c r="B1045835" s="19"/>
      <c r="C1045835" s="19"/>
      <c r="D1045835" s="19"/>
      <c r="E1045835" s="19"/>
      <c r="F1045835" s="19"/>
      <c r="G1045835" s="19"/>
      <c r="H1045835" s="19"/>
      <c r="I1045835" s="19"/>
      <c r="J1045835" s="19"/>
      <c r="K1045835" s="19"/>
      <c r="L1045835" s="19"/>
      <c r="M1045835" s="19"/>
      <c r="N1045835" s="19"/>
    </row>
    <row r="1045836" spans="1:14" s="83" customFormat="1" ht="12.75">
      <c r="A1045836" s="19"/>
      <c r="B1045836" s="19"/>
      <c r="C1045836" s="19"/>
      <c r="D1045836" s="19"/>
      <c r="E1045836" s="19"/>
      <c r="F1045836" s="19"/>
      <c r="G1045836" s="19"/>
      <c r="H1045836" s="19"/>
      <c r="I1045836" s="19"/>
      <c r="J1045836" s="19"/>
      <c r="K1045836" s="19"/>
      <c r="L1045836" s="19"/>
      <c r="M1045836" s="19"/>
      <c r="N1045836" s="19"/>
    </row>
    <row r="1045837" spans="1:14" s="83" customFormat="1" ht="12.75">
      <c r="A1045837" s="19"/>
      <c r="B1045837" s="19"/>
      <c r="C1045837" s="19"/>
      <c r="D1045837" s="19"/>
      <c r="E1045837" s="19"/>
      <c r="F1045837" s="19"/>
      <c r="G1045837" s="19"/>
      <c r="H1045837" s="19"/>
      <c r="I1045837" s="19"/>
      <c r="J1045837" s="19"/>
      <c r="K1045837" s="19"/>
      <c r="L1045837" s="19"/>
      <c r="M1045837" s="19"/>
      <c r="N1045837" s="19"/>
    </row>
    <row r="1045838" spans="1:14" s="83" customFormat="1" ht="12.75">
      <c r="A1045838" s="19"/>
      <c r="B1045838" s="19"/>
      <c r="C1045838" s="19"/>
      <c r="D1045838" s="19"/>
      <c r="E1045838" s="19"/>
      <c r="F1045838" s="19"/>
      <c r="G1045838" s="19"/>
      <c r="H1045838" s="19"/>
      <c r="I1045838" s="19"/>
      <c r="J1045838" s="19"/>
      <c r="K1045838" s="19"/>
      <c r="L1045838" s="19"/>
      <c r="M1045838" s="19"/>
      <c r="N1045838" s="19"/>
    </row>
    <row r="1045839" spans="1:14" s="83" customFormat="1" ht="12.75">
      <c r="A1045839" s="19"/>
      <c r="B1045839" s="19"/>
      <c r="C1045839" s="19"/>
      <c r="D1045839" s="19"/>
      <c r="E1045839" s="19"/>
      <c r="F1045839" s="19"/>
      <c r="G1045839" s="19"/>
      <c r="H1045839" s="19"/>
      <c r="I1045839" s="19"/>
      <c r="J1045839" s="19"/>
      <c r="K1045839" s="19"/>
      <c r="L1045839" s="19"/>
      <c r="M1045839" s="19"/>
      <c r="N1045839" s="19"/>
    </row>
    <row r="1045840" spans="1:14" s="83" customFormat="1" ht="12.75">
      <c r="A1045840" s="19"/>
      <c r="B1045840" s="19"/>
      <c r="C1045840" s="19"/>
      <c r="D1045840" s="19"/>
      <c r="E1045840" s="19"/>
      <c r="F1045840" s="19"/>
      <c r="G1045840" s="19"/>
      <c r="H1045840" s="19"/>
      <c r="I1045840" s="19"/>
      <c r="J1045840" s="19"/>
      <c r="K1045840" s="19"/>
      <c r="L1045840" s="19"/>
      <c r="M1045840" s="19"/>
      <c r="N1045840" s="19"/>
    </row>
    <row r="1045841" spans="1:14" s="83" customFormat="1" ht="12.75">
      <c r="A1045841" s="19"/>
      <c r="B1045841" s="19"/>
      <c r="C1045841" s="19"/>
      <c r="D1045841" s="19"/>
      <c r="E1045841" s="19"/>
      <c r="F1045841" s="19"/>
      <c r="G1045841" s="19"/>
      <c r="H1045841" s="19"/>
      <c r="I1045841" s="19"/>
      <c r="J1045841" s="19"/>
      <c r="K1045841" s="19"/>
      <c r="L1045841" s="19"/>
      <c r="M1045841" s="19"/>
      <c r="N1045841" s="19"/>
    </row>
    <row r="1045842" spans="1:14" s="83" customFormat="1" ht="12.75">
      <c r="A1045842" s="19"/>
      <c r="B1045842" s="19"/>
      <c r="C1045842" s="19"/>
      <c r="D1045842" s="19"/>
      <c r="E1045842" s="19"/>
      <c r="F1045842" s="19"/>
      <c r="G1045842" s="19"/>
      <c r="H1045842" s="19"/>
      <c r="I1045842" s="19"/>
      <c r="J1045842" s="19"/>
      <c r="K1045842" s="19"/>
      <c r="L1045842" s="19"/>
      <c r="M1045842" s="19"/>
      <c r="N1045842" s="19"/>
    </row>
    <row r="1045843" spans="1:14" s="83" customFormat="1" ht="12.75">
      <c r="A1045843" s="19"/>
      <c r="B1045843" s="19"/>
      <c r="C1045843" s="19"/>
      <c r="D1045843" s="19"/>
      <c r="E1045843" s="19"/>
      <c r="F1045843" s="19"/>
      <c r="G1045843" s="19"/>
      <c r="H1045843" s="19"/>
      <c r="I1045843" s="19"/>
      <c r="J1045843" s="19"/>
      <c r="K1045843" s="19"/>
      <c r="L1045843" s="19"/>
      <c r="M1045843" s="19"/>
      <c r="N1045843" s="19"/>
    </row>
    <row r="1045844" spans="1:14" s="83" customFormat="1" ht="12.75">
      <c r="A1045844" s="19"/>
      <c r="B1045844" s="19"/>
      <c r="C1045844" s="19"/>
      <c r="D1045844" s="19"/>
      <c r="E1045844" s="19"/>
      <c r="F1045844" s="19"/>
      <c r="G1045844" s="19"/>
      <c r="H1045844" s="19"/>
      <c r="I1045844" s="19"/>
      <c r="J1045844" s="19"/>
      <c r="K1045844" s="19"/>
      <c r="L1045844" s="19"/>
      <c r="M1045844" s="19"/>
      <c r="N1045844" s="19"/>
    </row>
    <row r="1045845" spans="1:14" s="83" customFormat="1" ht="12.75">
      <c r="A1045845" s="19"/>
      <c r="B1045845" s="19"/>
      <c r="C1045845" s="19"/>
      <c r="D1045845" s="19"/>
      <c r="E1045845" s="19"/>
      <c r="F1045845" s="19"/>
      <c r="G1045845" s="19"/>
      <c r="H1045845" s="19"/>
      <c r="I1045845" s="19"/>
      <c r="J1045845" s="19"/>
      <c r="K1045845" s="19"/>
      <c r="L1045845" s="19"/>
      <c r="M1045845" s="19"/>
      <c r="N1045845" s="19"/>
    </row>
    <row r="1045846" spans="1:14" s="83" customFormat="1" ht="12.75">
      <c r="A1045846" s="19"/>
      <c r="B1045846" s="19"/>
      <c r="C1045846" s="19"/>
      <c r="D1045846" s="19"/>
      <c r="E1045846" s="19"/>
      <c r="F1045846" s="19"/>
      <c r="G1045846" s="19"/>
      <c r="H1045846" s="19"/>
      <c r="I1045846" s="19"/>
      <c r="J1045846" s="19"/>
      <c r="K1045846" s="19"/>
      <c r="L1045846" s="19"/>
      <c r="M1045846" s="19"/>
      <c r="N1045846" s="19"/>
    </row>
    <row r="1045847" spans="1:14" s="83" customFormat="1" ht="12.75">
      <c r="A1045847" s="19"/>
      <c r="B1045847" s="19"/>
      <c r="C1045847" s="19"/>
      <c r="D1045847" s="19"/>
      <c r="E1045847" s="19"/>
      <c r="F1045847" s="19"/>
      <c r="G1045847" s="19"/>
      <c r="H1045847" s="19"/>
      <c r="I1045847" s="19"/>
      <c r="J1045847" s="19"/>
      <c r="K1045847" s="19"/>
      <c r="L1045847" s="19"/>
      <c r="M1045847" s="19"/>
      <c r="N1045847" s="19"/>
    </row>
    <row r="1045848" spans="1:14" s="83" customFormat="1" ht="12.75">
      <c r="A1045848" s="19"/>
      <c r="B1045848" s="19"/>
      <c r="C1045848" s="19"/>
      <c r="D1045848" s="19"/>
      <c r="E1045848" s="19"/>
      <c r="F1045848" s="19"/>
      <c r="G1045848" s="19"/>
      <c r="H1045848" s="19"/>
      <c r="I1045848" s="19"/>
      <c r="J1045848" s="19"/>
      <c r="K1045848" s="19"/>
      <c r="L1045848" s="19"/>
      <c r="M1045848" s="19"/>
      <c r="N1045848" s="19"/>
    </row>
    <row r="1045849" spans="1:14" s="83" customFormat="1" ht="12.75">
      <c r="A1045849" s="19"/>
      <c r="B1045849" s="19"/>
      <c r="C1045849" s="19"/>
      <c r="D1045849" s="19"/>
      <c r="E1045849" s="19"/>
      <c r="F1045849" s="19"/>
      <c r="G1045849" s="19"/>
      <c r="H1045849" s="19"/>
      <c r="I1045849" s="19"/>
      <c r="J1045849" s="19"/>
      <c r="K1045849" s="19"/>
      <c r="L1045849" s="19"/>
      <c r="M1045849" s="19"/>
      <c r="N1045849" s="19"/>
    </row>
    <row r="1045850" spans="1:14" s="83" customFormat="1" ht="12.75">
      <c r="A1045850" s="19"/>
      <c r="B1045850" s="19"/>
      <c r="C1045850" s="19"/>
      <c r="D1045850" s="19"/>
      <c r="E1045850" s="19"/>
      <c r="F1045850" s="19"/>
      <c r="G1045850" s="19"/>
      <c r="H1045850" s="19"/>
      <c r="I1045850" s="19"/>
      <c r="J1045850" s="19"/>
      <c r="K1045850" s="19"/>
      <c r="L1045850" s="19"/>
      <c r="M1045850" s="19"/>
      <c r="N1045850" s="19"/>
    </row>
    <row r="1045851" spans="1:14" s="83" customFormat="1" ht="12.75">
      <c r="A1045851" s="19"/>
      <c r="B1045851" s="19"/>
      <c r="C1045851" s="19"/>
      <c r="D1045851" s="19"/>
      <c r="E1045851" s="19"/>
      <c r="F1045851" s="19"/>
      <c r="G1045851" s="19"/>
      <c r="H1045851" s="19"/>
      <c r="I1045851" s="19"/>
      <c r="J1045851" s="19"/>
      <c r="K1045851" s="19"/>
      <c r="L1045851" s="19"/>
      <c r="M1045851" s="19"/>
      <c r="N1045851" s="19"/>
    </row>
    <row r="1045852" spans="1:14" s="83" customFormat="1" ht="12.75">
      <c r="A1045852" s="19"/>
      <c r="B1045852" s="19"/>
      <c r="C1045852" s="19"/>
      <c r="D1045852" s="19"/>
      <c r="E1045852" s="19"/>
      <c r="F1045852" s="19"/>
      <c r="G1045852" s="19"/>
      <c r="H1045852" s="19"/>
      <c r="I1045852" s="19"/>
      <c r="J1045852" s="19"/>
      <c r="K1045852" s="19"/>
      <c r="L1045852" s="19"/>
      <c r="M1045852" s="19"/>
      <c r="N1045852" s="19"/>
    </row>
    <row r="1045853" spans="1:14" s="83" customFormat="1" ht="12.75">
      <c r="A1045853" s="19"/>
      <c r="B1045853" s="19"/>
      <c r="C1045853" s="19"/>
      <c r="D1045853" s="19"/>
      <c r="E1045853" s="19"/>
      <c r="F1045853" s="19"/>
      <c r="G1045853" s="19"/>
      <c r="H1045853" s="19"/>
      <c r="I1045853" s="19"/>
      <c r="J1045853" s="19"/>
      <c r="K1045853" s="19"/>
      <c r="L1045853" s="19"/>
      <c r="M1045853" s="19"/>
      <c r="N1045853" s="19"/>
    </row>
    <row r="1045854" spans="1:14" s="83" customFormat="1" ht="12.75">
      <c r="A1045854" s="19"/>
      <c r="B1045854" s="19"/>
      <c r="C1045854" s="19"/>
      <c r="D1045854" s="19"/>
      <c r="E1045854" s="19"/>
      <c r="F1045854" s="19"/>
      <c r="G1045854" s="19"/>
      <c r="H1045854" s="19"/>
      <c r="I1045854" s="19"/>
      <c r="J1045854" s="19"/>
      <c r="K1045854" s="19"/>
      <c r="L1045854" s="19"/>
      <c r="M1045854" s="19"/>
      <c r="N1045854" s="19"/>
    </row>
    <row r="1045855" spans="1:14" s="83" customFormat="1" ht="12.75">
      <c r="A1045855" s="19"/>
      <c r="B1045855" s="19"/>
      <c r="C1045855" s="19"/>
      <c r="D1045855" s="19"/>
      <c r="E1045855" s="19"/>
      <c r="F1045855" s="19"/>
      <c r="G1045855" s="19"/>
      <c r="H1045855" s="19"/>
      <c r="I1045855" s="19"/>
      <c r="J1045855" s="19"/>
      <c r="K1045855" s="19"/>
      <c r="L1045855" s="19"/>
      <c r="M1045855" s="19"/>
      <c r="N1045855" s="19"/>
    </row>
    <row r="1045856" spans="1:14" s="83" customFormat="1" ht="12.75">
      <c r="A1045856" s="19"/>
      <c r="B1045856" s="19"/>
      <c r="C1045856" s="19"/>
      <c r="D1045856" s="19"/>
      <c r="E1045856" s="19"/>
      <c r="F1045856" s="19"/>
      <c r="G1045856" s="19"/>
      <c r="H1045856" s="19"/>
      <c r="I1045856" s="19"/>
      <c r="J1045856" s="19"/>
      <c r="K1045856" s="19"/>
      <c r="L1045856" s="19"/>
      <c r="M1045856" s="19"/>
      <c r="N1045856" s="19"/>
    </row>
    <row r="1045857" spans="1:14" s="83" customFormat="1" ht="12.75">
      <c r="A1045857" s="19"/>
      <c r="B1045857" s="19"/>
      <c r="C1045857" s="19"/>
      <c r="D1045857" s="19"/>
      <c r="E1045857" s="19"/>
      <c r="F1045857" s="19"/>
      <c r="G1045857" s="19"/>
      <c r="H1045857" s="19"/>
      <c r="I1045857" s="19"/>
      <c r="J1045857" s="19"/>
      <c r="K1045857" s="19"/>
      <c r="L1045857" s="19"/>
      <c r="M1045857" s="19"/>
      <c r="N1045857" s="19"/>
    </row>
    <row r="1045858" spans="1:14" s="83" customFormat="1" ht="12.75">
      <c r="A1045858" s="19"/>
      <c r="B1045858" s="19"/>
      <c r="C1045858" s="19"/>
      <c r="D1045858" s="19"/>
      <c r="E1045858" s="19"/>
      <c r="F1045858" s="19"/>
      <c r="G1045858" s="19"/>
      <c r="H1045858" s="19"/>
      <c r="I1045858" s="19"/>
      <c r="J1045858" s="19"/>
      <c r="K1045858" s="19"/>
      <c r="L1045858" s="19"/>
      <c r="M1045858" s="19"/>
      <c r="N1045858" s="19"/>
    </row>
    <row r="1045859" spans="1:14" s="83" customFormat="1" ht="12.75">
      <c r="A1045859" s="19"/>
      <c r="B1045859" s="19"/>
      <c r="C1045859" s="19"/>
      <c r="D1045859" s="19"/>
      <c r="E1045859" s="19"/>
      <c r="F1045859" s="19"/>
      <c r="G1045859" s="19"/>
      <c r="H1045859" s="19"/>
      <c r="I1045859" s="19"/>
      <c r="J1045859" s="19"/>
      <c r="K1045859" s="19"/>
      <c r="L1045859" s="19"/>
      <c r="M1045859" s="19"/>
      <c r="N1045859" s="19"/>
    </row>
    <row r="1045860" spans="1:14" s="83" customFormat="1" ht="12.75">
      <c r="A1045860" s="19"/>
      <c r="B1045860" s="19"/>
      <c r="C1045860" s="19"/>
      <c r="D1045860" s="19"/>
      <c r="E1045860" s="19"/>
      <c r="F1045860" s="19"/>
      <c r="G1045860" s="19"/>
      <c r="H1045860" s="19"/>
      <c r="I1045860" s="19"/>
      <c r="J1045860" s="19"/>
      <c r="K1045860" s="19"/>
      <c r="L1045860" s="19"/>
      <c r="M1045860" s="19"/>
      <c r="N1045860" s="19"/>
    </row>
    <row r="1045861" spans="1:14" s="83" customFormat="1" ht="12.75">
      <c r="A1045861" s="19"/>
      <c r="B1045861" s="19"/>
      <c r="C1045861" s="19"/>
      <c r="D1045861" s="19"/>
      <c r="E1045861" s="19"/>
      <c r="F1045861" s="19"/>
      <c r="G1045861" s="19"/>
      <c r="H1045861" s="19"/>
      <c r="I1045861" s="19"/>
      <c r="J1045861" s="19"/>
      <c r="K1045861" s="19"/>
      <c r="L1045861" s="19"/>
      <c r="M1045861" s="19"/>
      <c r="N1045861" s="19"/>
    </row>
    <row r="1045862" spans="1:14" s="83" customFormat="1" ht="12.75">
      <c r="A1045862" s="19"/>
      <c r="B1045862" s="19"/>
      <c r="C1045862" s="19"/>
      <c r="D1045862" s="19"/>
      <c r="E1045862" s="19"/>
      <c r="F1045862" s="19"/>
      <c r="G1045862" s="19"/>
      <c r="H1045862" s="19"/>
      <c r="I1045862" s="19"/>
      <c r="J1045862" s="19"/>
      <c r="K1045862" s="19"/>
      <c r="L1045862" s="19"/>
      <c r="M1045862" s="19"/>
      <c r="N1045862" s="19"/>
    </row>
    <row r="1045863" spans="1:14" s="83" customFormat="1" ht="12.75">
      <c r="A1045863" s="19"/>
      <c r="B1045863" s="19"/>
      <c r="C1045863" s="19"/>
      <c r="D1045863" s="19"/>
      <c r="E1045863" s="19"/>
      <c r="F1045863" s="19"/>
      <c r="G1045863" s="19"/>
      <c r="H1045863" s="19"/>
      <c r="I1045863" s="19"/>
      <c r="J1045863" s="19"/>
      <c r="K1045863" s="19"/>
      <c r="L1045863" s="19"/>
      <c r="M1045863" s="19"/>
      <c r="N1045863" s="19"/>
    </row>
    <row r="1045864" spans="1:14" s="83" customFormat="1" ht="12.75">
      <c r="A1045864" s="19"/>
      <c r="B1045864" s="19"/>
      <c r="C1045864" s="19"/>
      <c r="D1045864" s="19"/>
      <c r="E1045864" s="19"/>
      <c r="F1045864" s="19"/>
      <c r="G1045864" s="19"/>
      <c r="H1045864" s="19"/>
      <c r="I1045864" s="19"/>
      <c r="J1045864" s="19"/>
      <c r="K1045864" s="19"/>
      <c r="L1045864" s="19"/>
      <c r="M1045864" s="19"/>
      <c r="N1045864" s="19"/>
    </row>
    <row r="1045865" spans="1:14" s="83" customFormat="1" ht="12.75">
      <c r="A1045865" s="19"/>
      <c r="B1045865" s="19"/>
      <c r="C1045865" s="19"/>
      <c r="D1045865" s="19"/>
      <c r="E1045865" s="19"/>
      <c r="F1045865" s="19"/>
      <c r="G1045865" s="19"/>
      <c r="H1045865" s="19"/>
      <c r="I1045865" s="19"/>
      <c r="J1045865" s="19"/>
      <c r="K1045865" s="19"/>
      <c r="L1045865" s="19"/>
      <c r="M1045865" s="19"/>
      <c r="N1045865" s="19"/>
    </row>
    <row r="1045866" spans="1:14" s="83" customFormat="1" ht="12.75">
      <c r="A1045866" s="19"/>
      <c r="B1045866" s="19"/>
      <c r="C1045866" s="19"/>
      <c r="D1045866" s="19"/>
      <c r="E1045866" s="19"/>
      <c r="F1045866" s="19"/>
      <c r="G1045866" s="19"/>
      <c r="H1045866" s="19"/>
      <c r="I1045866" s="19"/>
      <c r="J1045866" s="19"/>
      <c r="K1045866" s="19"/>
      <c r="L1045866" s="19"/>
      <c r="M1045866" s="19"/>
      <c r="N1045866" s="19"/>
    </row>
    <row r="1045867" spans="1:14" s="83" customFormat="1" ht="12.75">
      <c r="A1045867" s="19"/>
      <c r="B1045867" s="19"/>
      <c r="C1045867" s="19"/>
      <c r="D1045867" s="19"/>
      <c r="E1045867" s="19"/>
      <c r="F1045867" s="19"/>
      <c r="G1045867" s="19"/>
      <c r="H1045867" s="19"/>
      <c r="I1045867" s="19"/>
      <c r="J1045867" s="19"/>
      <c r="K1045867" s="19"/>
      <c r="L1045867" s="19"/>
      <c r="M1045867" s="19"/>
      <c r="N1045867" s="19"/>
    </row>
    <row r="1045868" spans="1:14" s="83" customFormat="1" ht="12.75">
      <c r="A1045868" s="19"/>
      <c r="B1045868" s="19"/>
      <c r="C1045868" s="19"/>
      <c r="D1045868" s="19"/>
      <c r="E1045868" s="19"/>
      <c r="F1045868" s="19"/>
      <c r="G1045868" s="19"/>
      <c r="H1045868" s="19"/>
      <c r="I1045868" s="19"/>
      <c r="J1045868" s="19"/>
      <c r="K1045868" s="19"/>
      <c r="L1045868" s="19"/>
      <c r="M1045868" s="19"/>
      <c r="N1045868" s="19"/>
    </row>
    <row r="1045869" spans="1:14" s="83" customFormat="1" ht="12.75">
      <c r="A1045869" s="19"/>
      <c r="B1045869" s="19"/>
      <c r="C1045869" s="19"/>
      <c r="D1045869" s="19"/>
      <c r="E1045869" s="19"/>
      <c r="F1045869" s="19"/>
      <c r="G1045869" s="19"/>
      <c r="H1045869" s="19"/>
      <c r="I1045869" s="19"/>
      <c r="J1045869" s="19"/>
      <c r="K1045869" s="19"/>
      <c r="L1045869" s="19"/>
      <c r="M1045869" s="19"/>
      <c r="N1045869" s="19"/>
    </row>
    <row r="1045870" spans="1:14" s="83" customFormat="1" ht="12.75">
      <c r="A1045870" s="19"/>
      <c r="B1045870" s="19"/>
      <c r="C1045870" s="19"/>
      <c r="D1045870" s="19"/>
      <c r="E1045870" s="19"/>
      <c r="F1045870" s="19"/>
      <c r="G1045870" s="19"/>
      <c r="H1045870" s="19"/>
      <c r="I1045870" s="19"/>
      <c r="J1045870" s="19"/>
      <c r="K1045870" s="19"/>
      <c r="L1045870" s="19"/>
      <c r="M1045870" s="19"/>
      <c r="N1045870" s="19"/>
    </row>
    <row r="1045871" spans="1:14" s="83" customFormat="1" ht="12.75">
      <c r="A1045871" s="19"/>
      <c r="B1045871" s="19"/>
      <c r="C1045871" s="19"/>
      <c r="D1045871" s="19"/>
      <c r="E1045871" s="19"/>
      <c r="F1045871" s="19"/>
      <c r="G1045871" s="19"/>
      <c r="H1045871" s="19"/>
      <c r="I1045871" s="19"/>
      <c r="J1045871" s="19"/>
      <c r="K1045871" s="19"/>
      <c r="L1045871" s="19"/>
      <c r="M1045871" s="19"/>
      <c r="N1045871" s="19"/>
    </row>
    <row r="1045872" spans="1:14" s="83" customFormat="1" ht="12.75">
      <c r="A1045872" s="19"/>
      <c r="B1045872" s="19"/>
      <c r="C1045872" s="19"/>
      <c r="D1045872" s="19"/>
      <c r="E1045872" s="19"/>
      <c r="F1045872" s="19"/>
      <c r="G1045872" s="19"/>
      <c r="H1045872" s="19"/>
      <c r="I1045872" s="19"/>
      <c r="J1045872" s="19"/>
      <c r="K1045872" s="19"/>
      <c r="L1045872" s="19"/>
      <c r="M1045872" s="19"/>
      <c r="N1045872" s="19"/>
    </row>
    <row r="1045873" spans="1:14" s="83" customFormat="1" ht="12.75">
      <c r="A1045873" s="19"/>
      <c r="B1045873" s="19"/>
      <c r="C1045873" s="19"/>
      <c r="D1045873" s="19"/>
      <c r="E1045873" s="19"/>
      <c r="F1045873" s="19"/>
      <c r="G1045873" s="19"/>
      <c r="H1045873" s="19"/>
      <c r="I1045873" s="19"/>
      <c r="J1045873" s="19"/>
      <c r="K1045873" s="19"/>
      <c r="L1045873" s="19"/>
      <c r="M1045873" s="19"/>
      <c r="N1045873" s="19"/>
    </row>
    <row r="1045874" spans="1:14" s="83" customFormat="1" ht="12.75">
      <c r="A1045874" s="19"/>
      <c r="B1045874" s="19"/>
      <c r="C1045874" s="19"/>
      <c r="D1045874" s="19"/>
      <c r="E1045874" s="19"/>
      <c r="F1045874" s="19"/>
      <c r="G1045874" s="19"/>
      <c r="H1045874" s="19"/>
      <c r="I1045874" s="19"/>
      <c r="J1045874" s="19"/>
      <c r="K1045874" s="19"/>
      <c r="L1045874" s="19"/>
      <c r="M1045874" s="19"/>
      <c r="N1045874" s="19"/>
    </row>
    <row r="1045875" spans="1:14" s="83" customFormat="1" ht="12.75">
      <c r="A1045875" s="19"/>
      <c r="B1045875" s="19"/>
      <c r="C1045875" s="19"/>
      <c r="D1045875" s="19"/>
      <c r="E1045875" s="19"/>
      <c r="F1045875" s="19"/>
      <c r="G1045875" s="19"/>
      <c r="H1045875" s="19"/>
      <c r="I1045875" s="19"/>
      <c r="J1045875" s="19"/>
      <c r="K1045875" s="19"/>
      <c r="L1045875" s="19"/>
      <c r="M1045875" s="19"/>
      <c r="N1045875" s="19"/>
    </row>
    <row r="1045876" spans="1:14" s="83" customFormat="1" ht="12.75">
      <c r="A1045876" s="19"/>
      <c r="B1045876" s="19"/>
      <c r="C1045876" s="19"/>
      <c r="D1045876" s="19"/>
      <c r="E1045876" s="19"/>
      <c r="F1045876" s="19"/>
      <c r="G1045876" s="19"/>
      <c r="H1045876" s="19"/>
      <c r="I1045876" s="19"/>
      <c r="J1045876" s="19"/>
      <c r="K1045876" s="19"/>
      <c r="L1045876" s="19"/>
      <c r="M1045876" s="19"/>
      <c r="N1045876" s="19"/>
    </row>
    <row r="1045877" spans="1:14" s="83" customFormat="1" ht="12.75">
      <c r="A1045877" s="19"/>
      <c r="B1045877" s="19"/>
      <c r="C1045877" s="19"/>
      <c r="D1045877" s="19"/>
      <c r="E1045877" s="19"/>
      <c r="F1045877" s="19"/>
      <c r="G1045877" s="19"/>
      <c r="H1045877" s="19"/>
      <c r="I1045877" s="19"/>
      <c r="J1045877" s="19"/>
      <c r="K1045877" s="19"/>
      <c r="L1045877" s="19"/>
      <c r="M1045877" s="19"/>
      <c r="N1045877" s="19"/>
    </row>
    <row r="1045878" spans="1:14" s="83" customFormat="1" ht="12.75">
      <c r="A1045878" s="19"/>
      <c r="B1045878" s="19"/>
      <c r="C1045878" s="19"/>
      <c r="D1045878" s="19"/>
      <c r="E1045878" s="19"/>
      <c r="F1045878" s="19"/>
      <c r="G1045878" s="19"/>
      <c r="H1045878" s="19"/>
      <c r="I1045878" s="19"/>
      <c r="J1045878" s="19"/>
      <c r="K1045878" s="19"/>
      <c r="L1045878" s="19"/>
      <c r="M1045878" s="19"/>
      <c r="N1045878" s="19"/>
    </row>
    <row r="1045879" spans="1:14" s="83" customFormat="1" ht="12.75">
      <c r="A1045879" s="19"/>
      <c r="B1045879" s="19"/>
      <c r="C1045879" s="19"/>
      <c r="D1045879" s="19"/>
      <c r="E1045879" s="19"/>
      <c r="F1045879" s="19"/>
      <c r="G1045879" s="19"/>
      <c r="H1045879" s="19"/>
      <c r="I1045879" s="19"/>
      <c r="J1045879" s="19"/>
      <c r="K1045879" s="19"/>
      <c r="L1045879" s="19"/>
      <c r="M1045879" s="19"/>
      <c r="N1045879" s="19"/>
    </row>
    <row r="1045880" spans="1:14" s="83" customFormat="1" ht="12.75">
      <c r="A1045880" s="19"/>
      <c r="B1045880" s="19"/>
      <c r="C1045880" s="19"/>
      <c r="D1045880" s="19"/>
      <c r="E1045880" s="19"/>
      <c r="F1045880" s="19"/>
      <c r="G1045880" s="19"/>
      <c r="H1045880" s="19"/>
      <c r="I1045880" s="19"/>
      <c r="J1045880" s="19"/>
      <c r="K1045880" s="19"/>
      <c r="L1045880" s="19"/>
      <c r="M1045880" s="19"/>
      <c r="N1045880" s="19"/>
    </row>
    <row r="1045881" spans="1:14" s="83" customFormat="1" ht="12.75">
      <c r="A1045881" s="19"/>
      <c r="B1045881" s="19"/>
      <c r="C1045881" s="19"/>
      <c r="D1045881" s="19"/>
      <c r="E1045881" s="19"/>
      <c r="F1045881" s="19"/>
      <c r="G1045881" s="19"/>
      <c r="H1045881" s="19"/>
      <c r="I1045881" s="19"/>
      <c r="J1045881" s="19"/>
      <c r="K1045881" s="19"/>
      <c r="L1045881" s="19"/>
      <c r="M1045881" s="19"/>
      <c r="N1045881" s="19"/>
    </row>
    <row r="1045882" spans="1:14" s="83" customFormat="1" ht="12.75">
      <c r="A1045882" s="19"/>
      <c r="B1045882" s="19"/>
      <c r="C1045882" s="19"/>
      <c r="D1045882" s="19"/>
      <c r="E1045882" s="19"/>
      <c r="F1045882" s="19"/>
      <c r="G1045882" s="19"/>
      <c r="H1045882" s="19"/>
      <c r="I1045882" s="19"/>
      <c r="J1045882" s="19"/>
      <c r="K1045882" s="19"/>
      <c r="L1045882" s="19"/>
      <c r="M1045882" s="19"/>
      <c r="N1045882" s="19"/>
    </row>
    <row r="1045883" spans="1:14" s="83" customFormat="1" ht="12.75">
      <c r="A1045883" s="19"/>
      <c r="B1045883" s="19"/>
      <c r="C1045883" s="19"/>
      <c r="D1045883" s="19"/>
      <c r="E1045883" s="19"/>
      <c r="F1045883" s="19"/>
      <c r="G1045883" s="19"/>
      <c r="H1045883" s="19"/>
      <c r="I1045883" s="19"/>
      <c r="J1045883" s="19"/>
      <c r="K1045883" s="19"/>
      <c r="L1045883" s="19"/>
      <c r="M1045883" s="19"/>
      <c r="N1045883" s="19"/>
    </row>
    <row r="1045884" spans="1:14" s="83" customFormat="1" ht="12.75">
      <c r="A1045884" s="19"/>
      <c r="B1045884" s="19"/>
      <c r="C1045884" s="19"/>
      <c r="D1045884" s="19"/>
      <c r="E1045884" s="19"/>
      <c r="F1045884" s="19"/>
      <c r="G1045884" s="19"/>
      <c r="H1045884" s="19"/>
      <c r="I1045884" s="19"/>
      <c r="J1045884" s="19"/>
      <c r="K1045884" s="19"/>
      <c r="L1045884" s="19"/>
      <c r="M1045884" s="19"/>
      <c r="N1045884" s="19"/>
    </row>
    <row r="1045885" spans="1:14" s="83" customFormat="1" ht="12.75">
      <c r="A1045885" s="19"/>
      <c r="B1045885" s="19"/>
      <c r="C1045885" s="19"/>
      <c r="D1045885" s="19"/>
      <c r="E1045885" s="19"/>
      <c r="F1045885" s="19"/>
      <c r="G1045885" s="19"/>
      <c r="H1045885" s="19"/>
      <c r="I1045885" s="19"/>
      <c r="J1045885" s="19"/>
      <c r="K1045885" s="19"/>
      <c r="L1045885" s="19"/>
      <c r="M1045885" s="19"/>
      <c r="N1045885" s="19"/>
    </row>
    <row r="1045886" spans="1:14" s="83" customFormat="1" ht="12.75">
      <c r="A1045886" s="19"/>
      <c r="B1045886" s="19"/>
      <c r="C1045886" s="19"/>
      <c r="D1045886" s="19"/>
      <c r="E1045886" s="19"/>
      <c r="F1045886" s="19"/>
      <c r="G1045886" s="19"/>
      <c r="H1045886" s="19"/>
      <c r="I1045886" s="19"/>
      <c r="J1045886" s="19"/>
      <c r="K1045886" s="19"/>
      <c r="L1045886" s="19"/>
      <c r="M1045886" s="19"/>
      <c r="N1045886" s="19"/>
    </row>
    <row r="1045887" spans="1:14" s="83" customFormat="1" ht="12.75">
      <c r="A1045887" s="19"/>
      <c r="B1045887" s="19"/>
      <c r="C1045887" s="19"/>
      <c r="D1045887" s="19"/>
      <c r="E1045887" s="19"/>
      <c r="F1045887" s="19"/>
      <c r="G1045887" s="19"/>
      <c r="H1045887" s="19"/>
      <c r="I1045887" s="19"/>
      <c r="J1045887" s="19"/>
      <c r="K1045887" s="19"/>
      <c r="L1045887" s="19"/>
      <c r="M1045887" s="19"/>
      <c r="N1045887" s="19"/>
    </row>
    <row r="1045888" spans="1:14" s="83" customFormat="1" ht="12.75">
      <c r="A1045888" s="19"/>
      <c r="B1045888" s="19"/>
      <c r="C1045888" s="19"/>
      <c r="D1045888" s="19"/>
      <c r="E1045888" s="19"/>
      <c r="F1045888" s="19"/>
      <c r="G1045888" s="19"/>
      <c r="H1045888" s="19"/>
      <c r="I1045888" s="19"/>
      <c r="J1045888" s="19"/>
      <c r="K1045888" s="19"/>
      <c r="L1045888" s="19"/>
      <c r="M1045888" s="19"/>
      <c r="N1045888" s="19"/>
    </row>
    <row r="1045889" spans="1:14" s="83" customFormat="1" ht="12.75">
      <c r="A1045889" s="19"/>
      <c r="B1045889" s="19"/>
      <c r="C1045889" s="19"/>
      <c r="D1045889" s="19"/>
      <c r="E1045889" s="19"/>
      <c r="F1045889" s="19"/>
      <c r="G1045889" s="19"/>
      <c r="H1045889" s="19"/>
      <c r="I1045889" s="19"/>
      <c r="J1045889" s="19"/>
      <c r="K1045889" s="19"/>
      <c r="L1045889" s="19"/>
      <c r="M1045889" s="19"/>
      <c r="N1045889" s="19"/>
    </row>
    <row r="1045890" spans="1:14" s="83" customFormat="1" ht="12.75">
      <c r="A1045890" s="19"/>
      <c r="B1045890" s="19"/>
      <c r="C1045890" s="19"/>
      <c r="D1045890" s="19"/>
      <c r="E1045890" s="19"/>
      <c r="F1045890" s="19"/>
      <c r="G1045890" s="19"/>
      <c r="H1045890" s="19"/>
      <c r="I1045890" s="19"/>
      <c r="J1045890" s="19"/>
      <c r="K1045890" s="19"/>
      <c r="L1045890" s="19"/>
      <c r="M1045890" s="19"/>
      <c r="N1045890" s="19"/>
    </row>
    <row r="1045891" spans="1:14" s="83" customFormat="1" ht="12.75">
      <c r="A1045891" s="19"/>
      <c r="B1045891" s="19"/>
      <c r="C1045891" s="19"/>
      <c r="D1045891" s="19"/>
      <c r="E1045891" s="19"/>
      <c r="F1045891" s="19"/>
      <c r="G1045891" s="19"/>
      <c r="H1045891" s="19"/>
      <c r="I1045891" s="19"/>
      <c r="J1045891" s="19"/>
      <c r="K1045891" s="19"/>
      <c r="L1045891" s="19"/>
      <c r="M1045891" s="19"/>
      <c r="N1045891" s="19"/>
    </row>
    <row r="1045892" spans="1:14" s="83" customFormat="1" ht="12.75">
      <c r="A1045892" s="19"/>
      <c r="B1045892" s="19"/>
      <c r="C1045892" s="19"/>
      <c r="D1045892" s="19"/>
      <c r="E1045892" s="19"/>
      <c r="F1045892" s="19"/>
      <c r="G1045892" s="19"/>
      <c r="H1045892" s="19"/>
      <c r="I1045892" s="19"/>
      <c r="J1045892" s="19"/>
      <c r="K1045892" s="19"/>
      <c r="L1045892" s="19"/>
      <c r="M1045892" s="19"/>
      <c r="N1045892" s="19"/>
    </row>
    <row r="1045893" spans="1:14" s="83" customFormat="1" ht="12.75">
      <c r="A1045893" s="19"/>
      <c r="B1045893" s="19"/>
      <c r="C1045893" s="19"/>
      <c r="D1045893" s="19"/>
      <c r="E1045893" s="19"/>
      <c r="F1045893" s="19"/>
      <c r="G1045893" s="19"/>
      <c r="H1045893" s="19"/>
      <c r="I1045893" s="19"/>
      <c r="J1045893" s="19"/>
      <c r="K1045893" s="19"/>
      <c r="L1045893" s="19"/>
      <c r="M1045893" s="19"/>
      <c r="N1045893" s="19"/>
    </row>
    <row r="1045894" spans="1:14" s="83" customFormat="1" ht="12.75">
      <c r="A1045894" s="19"/>
      <c r="B1045894" s="19"/>
      <c r="C1045894" s="19"/>
      <c r="D1045894" s="19"/>
      <c r="E1045894" s="19"/>
      <c r="F1045894" s="19"/>
      <c r="G1045894" s="19"/>
      <c r="H1045894" s="19"/>
      <c r="I1045894" s="19"/>
      <c r="J1045894" s="19"/>
      <c r="K1045894" s="19"/>
      <c r="L1045894" s="19"/>
      <c r="M1045894" s="19"/>
      <c r="N1045894" s="19"/>
    </row>
    <row r="1045895" spans="1:14" s="83" customFormat="1" ht="12.75">
      <c r="A1045895" s="19"/>
      <c r="B1045895" s="19"/>
      <c r="C1045895" s="19"/>
      <c r="D1045895" s="19"/>
      <c r="E1045895" s="19"/>
      <c r="F1045895" s="19"/>
      <c r="G1045895" s="19"/>
      <c r="H1045895" s="19"/>
      <c r="I1045895" s="19"/>
      <c r="J1045895" s="19"/>
      <c r="K1045895" s="19"/>
      <c r="L1045895" s="19"/>
      <c r="M1045895" s="19"/>
      <c r="N1045895" s="19"/>
    </row>
    <row r="1045896" spans="1:14" s="83" customFormat="1" ht="12.75">
      <c r="A1045896" s="19"/>
      <c r="B1045896" s="19"/>
      <c r="C1045896" s="19"/>
      <c r="D1045896" s="19"/>
      <c r="E1045896" s="19"/>
      <c r="F1045896" s="19"/>
      <c r="G1045896" s="19"/>
      <c r="H1045896" s="19"/>
      <c r="I1045896" s="19"/>
      <c r="J1045896" s="19"/>
      <c r="K1045896" s="19"/>
      <c r="L1045896" s="19"/>
      <c r="M1045896" s="19"/>
      <c r="N1045896" s="19"/>
    </row>
    <row r="1045897" spans="1:14" s="83" customFormat="1" ht="12.75">
      <c r="A1045897" s="19"/>
      <c r="B1045897" s="19"/>
      <c r="C1045897" s="19"/>
      <c r="D1045897" s="19"/>
      <c r="E1045897" s="19"/>
      <c r="F1045897" s="19"/>
      <c r="G1045897" s="19"/>
      <c r="H1045897" s="19"/>
      <c r="I1045897" s="19"/>
      <c r="J1045897" s="19"/>
      <c r="K1045897" s="19"/>
      <c r="L1045897" s="19"/>
      <c r="M1045897" s="19"/>
      <c r="N1045897" s="19"/>
    </row>
    <row r="1045898" spans="1:14" s="83" customFormat="1" ht="12.75">
      <c r="A1045898" s="19"/>
      <c r="B1045898" s="19"/>
      <c r="C1045898" s="19"/>
      <c r="D1045898" s="19"/>
      <c r="E1045898" s="19"/>
      <c r="F1045898" s="19"/>
      <c r="G1045898" s="19"/>
      <c r="H1045898" s="19"/>
      <c r="I1045898" s="19"/>
      <c r="J1045898" s="19"/>
      <c r="K1045898" s="19"/>
      <c r="L1045898" s="19"/>
      <c r="M1045898" s="19"/>
      <c r="N1045898" s="19"/>
    </row>
    <row r="1045899" spans="1:14" s="83" customFormat="1" ht="12.75">
      <c r="A1045899" s="19"/>
      <c r="B1045899" s="19"/>
      <c r="C1045899" s="19"/>
      <c r="D1045899" s="19"/>
      <c r="E1045899" s="19"/>
      <c r="F1045899" s="19"/>
      <c r="G1045899" s="19"/>
      <c r="H1045899" s="19"/>
      <c r="I1045899" s="19"/>
      <c r="J1045899" s="19"/>
      <c r="K1045899" s="19"/>
      <c r="L1045899" s="19"/>
      <c r="M1045899" s="19"/>
      <c r="N1045899" s="19"/>
    </row>
    <row r="1045900" spans="1:14" s="83" customFormat="1" ht="12.75">
      <c r="A1045900" s="19"/>
      <c r="B1045900" s="19"/>
      <c r="C1045900" s="19"/>
      <c r="D1045900" s="19"/>
      <c r="E1045900" s="19"/>
      <c r="F1045900" s="19"/>
      <c r="G1045900" s="19"/>
      <c r="H1045900" s="19"/>
      <c r="I1045900" s="19"/>
      <c r="J1045900" s="19"/>
      <c r="K1045900" s="19"/>
      <c r="L1045900" s="19"/>
      <c r="M1045900" s="19"/>
      <c r="N1045900" s="19"/>
    </row>
    <row r="1045901" spans="1:14" s="83" customFormat="1" ht="12.75">
      <c r="A1045901" s="19"/>
      <c r="B1045901" s="19"/>
      <c r="C1045901" s="19"/>
      <c r="D1045901" s="19"/>
      <c r="E1045901" s="19"/>
      <c r="F1045901" s="19"/>
      <c r="G1045901" s="19"/>
      <c r="H1045901" s="19"/>
      <c r="I1045901" s="19"/>
      <c r="J1045901" s="19"/>
      <c r="K1045901" s="19"/>
      <c r="L1045901" s="19"/>
      <c r="M1045901" s="19"/>
      <c r="N1045901" s="19"/>
    </row>
    <row r="1045902" spans="1:14" s="83" customFormat="1" ht="12.75">
      <c r="A1045902" s="19"/>
      <c r="B1045902" s="19"/>
      <c r="C1045902" s="19"/>
      <c r="D1045902" s="19"/>
      <c r="E1045902" s="19"/>
      <c r="F1045902" s="19"/>
      <c r="G1045902" s="19"/>
      <c r="H1045902" s="19"/>
      <c r="I1045902" s="19"/>
      <c r="J1045902" s="19"/>
      <c r="K1045902" s="19"/>
      <c r="L1045902" s="19"/>
      <c r="M1045902" s="19"/>
      <c r="N1045902" s="19"/>
    </row>
    <row r="1045903" spans="1:14" s="83" customFormat="1" ht="12.75">
      <c r="A1045903" s="19"/>
      <c r="B1045903" s="19"/>
      <c r="C1045903" s="19"/>
      <c r="D1045903" s="19"/>
      <c r="E1045903" s="19"/>
      <c r="F1045903" s="19"/>
      <c r="G1045903" s="19"/>
      <c r="H1045903" s="19"/>
      <c r="I1045903" s="19"/>
      <c r="J1045903" s="19"/>
      <c r="K1045903" s="19"/>
      <c r="L1045903" s="19"/>
      <c r="M1045903" s="19"/>
      <c r="N1045903" s="19"/>
    </row>
    <row r="1045904" spans="1:14" s="83" customFormat="1" ht="12.75">
      <c r="A1045904" s="19"/>
      <c r="B1045904" s="19"/>
      <c r="C1045904" s="19"/>
      <c r="D1045904" s="19"/>
      <c r="E1045904" s="19"/>
      <c r="F1045904" s="19"/>
      <c r="G1045904" s="19"/>
      <c r="H1045904" s="19"/>
      <c r="I1045904" s="19"/>
      <c r="J1045904" s="19"/>
      <c r="K1045904" s="19"/>
      <c r="L1045904" s="19"/>
      <c r="M1045904" s="19"/>
      <c r="N1045904" s="19"/>
    </row>
    <row r="1045905" spans="1:14" s="83" customFormat="1" ht="12.75">
      <c r="A1045905" s="19"/>
      <c r="B1045905" s="19"/>
      <c r="C1045905" s="19"/>
      <c r="D1045905" s="19"/>
      <c r="E1045905" s="19"/>
      <c r="F1045905" s="19"/>
      <c r="G1045905" s="19"/>
      <c r="H1045905" s="19"/>
      <c r="I1045905" s="19"/>
      <c r="J1045905" s="19"/>
      <c r="K1045905" s="19"/>
      <c r="L1045905" s="19"/>
      <c r="M1045905" s="19"/>
      <c r="N1045905" s="19"/>
    </row>
    <row r="1045906" spans="1:14" s="83" customFormat="1" ht="12.75">
      <c r="A1045906" s="19"/>
      <c r="B1045906" s="19"/>
      <c r="C1045906" s="19"/>
      <c r="D1045906" s="19"/>
      <c r="E1045906" s="19"/>
      <c r="F1045906" s="19"/>
      <c r="G1045906" s="19"/>
      <c r="H1045906" s="19"/>
      <c r="I1045906" s="19"/>
      <c r="J1045906" s="19"/>
      <c r="K1045906" s="19"/>
      <c r="L1045906" s="19"/>
      <c r="M1045906" s="19"/>
      <c r="N1045906" s="19"/>
    </row>
    <row r="1045907" spans="1:14" s="83" customFormat="1" ht="12.75">
      <c r="A1045907" s="19"/>
      <c r="B1045907" s="19"/>
      <c r="C1045907" s="19"/>
      <c r="D1045907" s="19"/>
      <c r="E1045907" s="19"/>
      <c r="F1045907" s="19"/>
      <c r="G1045907" s="19"/>
      <c r="H1045907" s="19"/>
      <c r="I1045907" s="19"/>
      <c r="J1045907" s="19"/>
      <c r="K1045907" s="19"/>
      <c r="L1045907" s="19"/>
      <c r="M1045907" s="19"/>
      <c r="N1045907" s="19"/>
    </row>
    <row r="1045908" spans="1:14" s="83" customFormat="1" ht="12.75">
      <c r="A1045908" s="19"/>
      <c r="B1045908" s="19"/>
      <c r="C1045908" s="19"/>
      <c r="D1045908" s="19"/>
      <c r="E1045908" s="19"/>
      <c r="F1045908" s="19"/>
      <c r="G1045908" s="19"/>
      <c r="H1045908" s="19"/>
      <c r="I1045908" s="19"/>
      <c r="J1045908" s="19"/>
      <c r="K1045908" s="19"/>
      <c r="L1045908" s="19"/>
      <c r="M1045908" s="19"/>
      <c r="N1045908" s="19"/>
    </row>
    <row r="1045909" spans="1:14" s="83" customFormat="1" ht="12.75">
      <c r="A1045909" s="19"/>
      <c r="B1045909" s="19"/>
      <c r="C1045909" s="19"/>
      <c r="D1045909" s="19"/>
      <c r="E1045909" s="19"/>
      <c r="F1045909" s="19"/>
      <c r="G1045909" s="19"/>
      <c r="H1045909" s="19"/>
      <c r="I1045909" s="19"/>
      <c r="J1045909" s="19"/>
      <c r="K1045909" s="19"/>
      <c r="L1045909" s="19"/>
      <c r="M1045909" s="19"/>
      <c r="N1045909" s="19"/>
    </row>
    <row r="1045910" spans="1:14" s="83" customFormat="1" ht="12.75">
      <c r="A1045910" s="19"/>
      <c r="B1045910" s="19"/>
      <c r="C1045910" s="19"/>
      <c r="D1045910" s="19"/>
      <c r="E1045910" s="19"/>
      <c r="F1045910" s="19"/>
      <c r="G1045910" s="19"/>
      <c r="H1045910" s="19"/>
      <c r="I1045910" s="19"/>
      <c r="J1045910" s="19"/>
      <c r="K1045910" s="19"/>
      <c r="L1045910" s="19"/>
      <c r="M1045910" s="19"/>
      <c r="N1045910" s="19"/>
    </row>
    <row r="1045911" spans="1:14" s="83" customFormat="1" ht="12.75">
      <c r="A1045911" s="19"/>
      <c r="B1045911" s="19"/>
      <c r="C1045911" s="19"/>
      <c r="D1045911" s="19"/>
      <c r="E1045911" s="19"/>
      <c r="F1045911" s="19"/>
      <c r="G1045911" s="19"/>
      <c r="H1045911" s="19"/>
      <c r="I1045911" s="19"/>
      <c r="J1045911" s="19"/>
      <c r="K1045911" s="19"/>
      <c r="L1045911" s="19"/>
      <c r="M1045911" s="19"/>
      <c r="N1045911" s="19"/>
    </row>
    <row r="1045912" spans="1:14" s="83" customFormat="1" ht="12.75">
      <c r="A1045912" s="19"/>
      <c r="B1045912" s="19"/>
      <c r="C1045912" s="19"/>
      <c r="D1045912" s="19"/>
      <c r="E1045912" s="19"/>
      <c r="F1045912" s="19"/>
      <c r="G1045912" s="19"/>
      <c r="H1045912" s="19"/>
      <c r="I1045912" s="19"/>
      <c r="J1045912" s="19"/>
      <c r="K1045912" s="19"/>
      <c r="L1045912" s="19"/>
      <c r="M1045912" s="19"/>
      <c r="N1045912" s="19"/>
    </row>
    <row r="1045913" spans="1:14" s="83" customFormat="1" ht="12.75">
      <c r="A1045913" s="19"/>
      <c r="B1045913" s="19"/>
      <c r="C1045913" s="19"/>
      <c r="D1045913" s="19"/>
      <c r="E1045913" s="19"/>
      <c r="F1045913" s="19"/>
      <c r="G1045913" s="19"/>
      <c r="H1045913" s="19"/>
      <c r="I1045913" s="19"/>
      <c r="J1045913" s="19"/>
      <c r="K1045913" s="19"/>
      <c r="L1045913" s="19"/>
      <c r="M1045913" s="19"/>
      <c r="N1045913" s="19"/>
    </row>
    <row r="1045914" spans="1:14" s="83" customFormat="1" ht="12.75">
      <c r="A1045914" s="19"/>
      <c r="B1045914" s="19"/>
      <c r="C1045914" s="19"/>
      <c r="D1045914" s="19"/>
      <c r="E1045914" s="19"/>
      <c r="F1045914" s="19"/>
      <c r="G1045914" s="19"/>
      <c r="H1045914" s="19"/>
      <c r="I1045914" s="19"/>
      <c r="J1045914" s="19"/>
      <c r="K1045914" s="19"/>
      <c r="L1045914" s="19"/>
      <c r="M1045914" s="19"/>
      <c r="N1045914" s="19"/>
    </row>
    <row r="1045915" spans="1:14" s="83" customFormat="1" ht="12.75">
      <c r="A1045915" s="19"/>
      <c r="B1045915" s="19"/>
      <c r="C1045915" s="19"/>
      <c r="D1045915" s="19"/>
      <c r="E1045915" s="19"/>
      <c r="F1045915" s="19"/>
      <c r="G1045915" s="19"/>
      <c r="H1045915" s="19"/>
      <c r="I1045915" s="19"/>
      <c r="J1045915" s="19"/>
      <c r="K1045915" s="19"/>
      <c r="L1045915" s="19"/>
      <c r="M1045915" s="19"/>
      <c r="N1045915" s="19"/>
    </row>
    <row r="1045916" spans="1:14" s="83" customFormat="1" ht="12.75">
      <c r="A1045916" s="19"/>
      <c r="B1045916" s="19"/>
      <c r="C1045916" s="19"/>
      <c r="D1045916" s="19"/>
      <c r="E1045916" s="19"/>
      <c r="F1045916" s="19"/>
      <c r="G1045916" s="19"/>
      <c r="H1045916" s="19"/>
      <c r="I1045916" s="19"/>
      <c r="J1045916" s="19"/>
      <c r="K1045916" s="19"/>
      <c r="L1045916" s="19"/>
      <c r="M1045916" s="19"/>
      <c r="N1045916" s="19"/>
    </row>
    <row r="1045917" spans="1:14" s="83" customFormat="1" ht="12.75">
      <c r="A1045917" s="19"/>
      <c r="B1045917" s="19"/>
      <c r="C1045917" s="19"/>
      <c r="D1045917" s="19"/>
      <c r="E1045917" s="19"/>
      <c r="F1045917" s="19"/>
      <c r="G1045917" s="19"/>
      <c r="H1045917" s="19"/>
      <c r="I1045917" s="19"/>
      <c r="J1045917" s="19"/>
      <c r="K1045917" s="19"/>
      <c r="L1045917" s="19"/>
      <c r="M1045917" s="19"/>
      <c r="N1045917" s="19"/>
    </row>
    <row r="1045918" spans="1:14" s="83" customFormat="1" ht="12.75">
      <c r="A1045918" s="19"/>
      <c r="B1045918" s="19"/>
      <c r="C1045918" s="19"/>
      <c r="D1045918" s="19"/>
      <c r="E1045918" s="19"/>
      <c r="F1045918" s="19"/>
      <c r="G1045918" s="19"/>
      <c r="H1045918" s="19"/>
      <c r="I1045918" s="19"/>
      <c r="J1045918" s="19"/>
      <c r="K1045918" s="19"/>
      <c r="L1045918" s="19"/>
      <c r="M1045918" s="19"/>
      <c r="N1045918" s="19"/>
    </row>
    <row r="1045919" spans="1:14" s="83" customFormat="1" ht="12.75">
      <c r="A1045919" s="19"/>
      <c r="B1045919" s="19"/>
      <c r="C1045919" s="19"/>
      <c r="D1045919" s="19"/>
      <c r="E1045919" s="19"/>
      <c r="F1045919" s="19"/>
      <c r="G1045919" s="19"/>
      <c r="H1045919" s="19"/>
      <c r="I1045919" s="19"/>
      <c r="J1045919" s="19"/>
      <c r="K1045919" s="19"/>
      <c r="L1045919" s="19"/>
      <c r="M1045919" s="19"/>
      <c r="N1045919" s="19"/>
    </row>
    <row r="1045920" spans="1:14" s="83" customFormat="1" ht="12.75">
      <c r="A1045920" s="19"/>
      <c r="B1045920" s="19"/>
      <c r="C1045920" s="19"/>
      <c r="D1045920" s="19"/>
      <c r="E1045920" s="19"/>
      <c r="F1045920" s="19"/>
      <c r="G1045920" s="19"/>
      <c r="H1045920" s="19"/>
      <c r="I1045920" s="19"/>
      <c r="J1045920" s="19"/>
      <c r="K1045920" s="19"/>
      <c r="L1045920" s="19"/>
      <c r="M1045920" s="19"/>
      <c r="N1045920" s="19"/>
    </row>
    <row r="1045921" spans="1:14" s="83" customFormat="1" ht="12.75">
      <c r="A1045921" s="19"/>
      <c r="B1045921" s="19"/>
      <c r="C1045921" s="19"/>
      <c r="D1045921" s="19"/>
      <c r="E1045921" s="19"/>
      <c r="F1045921" s="19"/>
      <c r="G1045921" s="19"/>
      <c r="H1045921" s="19"/>
      <c r="I1045921" s="19"/>
      <c r="J1045921" s="19"/>
      <c r="K1045921" s="19"/>
      <c r="L1045921" s="19"/>
      <c r="M1045921" s="19"/>
      <c r="N1045921" s="19"/>
    </row>
    <row r="1045922" spans="1:14" s="83" customFormat="1" ht="12.75">
      <c r="A1045922" s="19"/>
      <c r="B1045922" s="19"/>
      <c r="C1045922" s="19"/>
      <c r="D1045922" s="19"/>
      <c r="E1045922" s="19"/>
      <c r="F1045922" s="19"/>
      <c r="G1045922" s="19"/>
      <c r="H1045922" s="19"/>
      <c r="I1045922" s="19"/>
      <c r="J1045922" s="19"/>
      <c r="K1045922" s="19"/>
      <c r="L1045922" s="19"/>
      <c r="M1045922" s="19"/>
      <c r="N1045922" s="19"/>
    </row>
    <row r="1045923" spans="1:14" s="83" customFormat="1" ht="12.75">
      <c r="A1045923" s="19"/>
      <c r="B1045923" s="19"/>
      <c r="C1045923" s="19"/>
      <c r="D1045923" s="19"/>
      <c r="E1045923" s="19"/>
      <c r="F1045923" s="19"/>
      <c r="G1045923" s="19"/>
      <c r="H1045923" s="19"/>
      <c r="I1045923" s="19"/>
      <c r="J1045923" s="19"/>
      <c r="K1045923" s="19"/>
      <c r="L1045923" s="19"/>
      <c r="M1045923" s="19"/>
      <c r="N1045923" s="19"/>
    </row>
    <row r="1045924" spans="1:14" s="83" customFormat="1" ht="12.75">
      <c r="A1045924" s="19"/>
      <c r="B1045924" s="19"/>
      <c r="C1045924" s="19"/>
      <c r="D1045924" s="19"/>
      <c r="E1045924" s="19"/>
      <c r="F1045924" s="19"/>
      <c r="G1045924" s="19"/>
      <c r="H1045924" s="19"/>
      <c r="I1045924" s="19"/>
      <c r="J1045924" s="19"/>
      <c r="K1045924" s="19"/>
      <c r="L1045924" s="19"/>
      <c r="M1045924" s="19"/>
      <c r="N1045924" s="19"/>
    </row>
    <row r="1045925" spans="1:14" s="83" customFormat="1" ht="12.75">
      <c r="A1045925" s="19"/>
      <c r="B1045925" s="19"/>
      <c r="C1045925" s="19"/>
      <c r="D1045925" s="19"/>
      <c r="E1045925" s="19"/>
      <c r="F1045925" s="19"/>
      <c r="G1045925" s="19"/>
      <c r="H1045925" s="19"/>
      <c r="I1045925" s="19"/>
      <c r="J1045925" s="19"/>
      <c r="K1045925" s="19"/>
      <c r="L1045925" s="19"/>
      <c r="M1045925" s="19"/>
      <c r="N1045925" s="19"/>
    </row>
    <row r="1045926" spans="1:14" s="83" customFormat="1" ht="12.75">
      <c r="A1045926" s="19"/>
      <c r="B1045926" s="19"/>
      <c r="C1045926" s="19"/>
      <c r="D1045926" s="19"/>
      <c r="E1045926" s="19"/>
      <c r="F1045926" s="19"/>
      <c r="G1045926" s="19"/>
      <c r="H1045926" s="19"/>
      <c r="I1045926" s="19"/>
      <c r="J1045926" s="19"/>
      <c r="K1045926" s="19"/>
      <c r="L1045926" s="19"/>
      <c r="M1045926" s="19"/>
      <c r="N1045926" s="19"/>
    </row>
    <row r="1045927" spans="1:14" s="83" customFormat="1" ht="12.75">
      <c r="A1045927" s="19"/>
      <c r="B1045927" s="19"/>
      <c r="C1045927" s="19"/>
      <c r="D1045927" s="19"/>
      <c r="E1045927" s="19"/>
      <c r="F1045927" s="19"/>
      <c r="G1045927" s="19"/>
      <c r="H1045927" s="19"/>
      <c r="I1045927" s="19"/>
      <c r="J1045927" s="19"/>
      <c r="K1045927" s="19"/>
      <c r="L1045927" s="19"/>
      <c r="M1045927" s="19"/>
      <c r="N1045927" s="19"/>
    </row>
    <row r="1045928" spans="1:14" s="83" customFormat="1" ht="12.75">
      <c r="A1045928" s="19"/>
      <c r="B1045928" s="19"/>
      <c r="C1045928" s="19"/>
      <c r="D1045928" s="19"/>
      <c r="E1045928" s="19"/>
      <c r="F1045928" s="19"/>
      <c r="G1045928" s="19"/>
      <c r="H1045928" s="19"/>
      <c r="I1045928" s="19"/>
      <c r="J1045928" s="19"/>
      <c r="K1045928" s="19"/>
      <c r="L1045928" s="19"/>
      <c r="M1045928" s="19"/>
      <c r="N1045928" s="19"/>
    </row>
    <row r="1045929" spans="1:14" s="83" customFormat="1" ht="12.75">
      <c r="A1045929" s="19"/>
      <c r="B1045929" s="19"/>
      <c r="C1045929" s="19"/>
      <c r="D1045929" s="19"/>
      <c r="E1045929" s="19"/>
      <c r="F1045929" s="19"/>
      <c r="G1045929" s="19"/>
      <c r="H1045929" s="19"/>
      <c r="I1045929" s="19"/>
      <c r="J1045929" s="19"/>
      <c r="K1045929" s="19"/>
      <c r="L1045929" s="19"/>
      <c r="M1045929" s="19"/>
      <c r="N1045929" s="19"/>
    </row>
    <row r="1045930" spans="1:14" s="83" customFormat="1" ht="12.75">
      <c r="A1045930" s="19"/>
      <c r="B1045930" s="19"/>
      <c r="C1045930" s="19"/>
      <c r="D1045930" s="19"/>
      <c r="E1045930" s="19"/>
      <c r="F1045930" s="19"/>
      <c r="G1045930" s="19"/>
      <c r="H1045930" s="19"/>
      <c r="I1045930" s="19"/>
      <c r="J1045930" s="19"/>
      <c r="K1045930" s="19"/>
      <c r="L1045930" s="19"/>
      <c r="M1045930" s="19"/>
      <c r="N1045930" s="19"/>
    </row>
    <row r="1045931" spans="1:14" s="83" customFormat="1" ht="12.75">
      <c r="A1045931" s="19"/>
      <c r="B1045931" s="19"/>
      <c r="C1045931" s="19"/>
      <c r="D1045931" s="19"/>
      <c r="E1045931" s="19"/>
      <c r="F1045931" s="19"/>
      <c r="G1045931" s="19"/>
      <c r="H1045931" s="19"/>
      <c r="I1045931" s="19"/>
      <c r="J1045931" s="19"/>
      <c r="K1045931" s="19"/>
      <c r="L1045931" s="19"/>
      <c r="M1045931" s="19"/>
      <c r="N1045931" s="19"/>
    </row>
    <row r="1045932" spans="1:14" s="83" customFormat="1" ht="12.75">
      <c r="A1045932" s="19"/>
      <c r="B1045932" s="19"/>
      <c r="C1045932" s="19"/>
      <c r="D1045932" s="19"/>
      <c r="E1045932" s="19"/>
      <c r="F1045932" s="19"/>
      <c r="G1045932" s="19"/>
      <c r="H1045932" s="19"/>
      <c r="I1045932" s="19"/>
      <c r="J1045932" s="19"/>
      <c r="K1045932" s="19"/>
      <c r="L1045932" s="19"/>
      <c r="M1045932" s="19"/>
      <c r="N1045932" s="19"/>
    </row>
    <row r="1045933" spans="1:14" s="83" customFormat="1" ht="12.75">
      <c r="A1045933" s="19"/>
      <c r="B1045933" s="19"/>
      <c r="C1045933" s="19"/>
      <c r="D1045933" s="19"/>
      <c r="E1045933" s="19"/>
      <c r="F1045933" s="19"/>
      <c r="G1045933" s="19"/>
      <c r="H1045933" s="19"/>
      <c r="I1045933" s="19"/>
      <c r="J1045933" s="19"/>
      <c r="K1045933" s="19"/>
      <c r="L1045933" s="19"/>
      <c r="M1045933" s="19"/>
      <c r="N1045933" s="19"/>
    </row>
    <row r="1045934" spans="1:14" s="83" customFormat="1" ht="12.75">
      <c r="A1045934" s="19"/>
      <c r="B1045934" s="19"/>
      <c r="C1045934" s="19"/>
      <c r="D1045934" s="19"/>
      <c r="E1045934" s="19"/>
      <c r="F1045934" s="19"/>
      <c r="G1045934" s="19"/>
      <c r="H1045934" s="19"/>
      <c r="I1045934" s="19"/>
      <c r="J1045934" s="19"/>
      <c r="K1045934" s="19"/>
      <c r="L1045934" s="19"/>
      <c r="M1045934" s="19"/>
      <c r="N1045934" s="19"/>
    </row>
    <row r="1045935" spans="1:14" s="83" customFormat="1" ht="12.75">
      <c r="A1045935" s="19"/>
      <c r="B1045935" s="19"/>
      <c r="C1045935" s="19"/>
      <c r="D1045935" s="19"/>
      <c r="E1045935" s="19"/>
      <c r="F1045935" s="19"/>
      <c r="G1045935" s="19"/>
      <c r="H1045935" s="19"/>
      <c r="I1045935" s="19"/>
      <c r="J1045935" s="19"/>
      <c r="K1045935" s="19"/>
      <c r="L1045935" s="19"/>
      <c r="M1045935" s="19"/>
      <c r="N1045935" s="19"/>
    </row>
    <row r="1045936" spans="1:14" s="83" customFormat="1" ht="12.75">
      <c r="A1045936" s="19"/>
      <c r="B1045936" s="19"/>
      <c r="C1045936" s="19"/>
      <c r="D1045936" s="19"/>
      <c r="E1045936" s="19"/>
      <c r="F1045936" s="19"/>
      <c r="G1045936" s="19"/>
      <c r="H1045936" s="19"/>
      <c r="I1045936" s="19"/>
      <c r="J1045936" s="19"/>
      <c r="K1045936" s="19"/>
      <c r="L1045936" s="19"/>
      <c r="M1045936" s="19"/>
      <c r="N1045936" s="19"/>
    </row>
    <row r="1045937" spans="1:14" s="83" customFormat="1" ht="12.75">
      <c r="A1045937" s="19"/>
      <c r="B1045937" s="19"/>
      <c r="C1045937" s="19"/>
      <c r="D1045937" s="19"/>
      <c r="E1045937" s="19"/>
      <c r="F1045937" s="19"/>
      <c r="G1045937" s="19"/>
      <c r="H1045937" s="19"/>
      <c r="I1045937" s="19"/>
      <c r="J1045937" s="19"/>
      <c r="K1045937" s="19"/>
      <c r="L1045937" s="19"/>
      <c r="M1045937" s="19"/>
      <c r="N1045937" s="19"/>
    </row>
    <row r="1045938" spans="1:14" s="83" customFormat="1" ht="12.75">
      <c r="A1045938" s="19"/>
      <c r="B1045938" s="19"/>
      <c r="C1045938" s="19"/>
      <c r="D1045938" s="19"/>
      <c r="E1045938" s="19"/>
      <c r="F1045938" s="19"/>
      <c r="G1045938" s="19"/>
      <c r="H1045938" s="19"/>
      <c r="I1045938" s="19"/>
      <c r="J1045938" s="19"/>
      <c r="K1045938" s="19"/>
      <c r="L1045938" s="19"/>
      <c r="M1045938" s="19"/>
      <c r="N1045938" s="19"/>
    </row>
    <row r="1045939" spans="1:14" s="83" customFormat="1" ht="12.75">
      <c r="A1045939" s="19"/>
      <c r="B1045939" s="19"/>
      <c r="C1045939" s="19"/>
      <c r="D1045939" s="19"/>
      <c r="E1045939" s="19"/>
      <c r="F1045939" s="19"/>
      <c r="G1045939" s="19"/>
      <c r="H1045939" s="19"/>
      <c r="I1045939" s="19"/>
      <c r="J1045939" s="19"/>
      <c r="K1045939" s="19"/>
      <c r="L1045939" s="19"/>
      <c r="M1045939" s="19"/>
      <c r="N1045939" s="19"/>
    </row>
    <row r="1045940" spans="1:14" s="83" customFormat="1" ht="12.75">
      <c r="A1045940" s="19"/>
      <c r="B1045940" s="19"/>
      <c r="C1045940" s="19"/>
      <c r="D1045940" s="19"/>
      <c r="E1045940" s="19"/>
      <c r="F1045940" s="19"/>
      <c r="G1045940" s="19"/>
      <c r="H1045940" s="19"/>
      <c r="I1045940" s="19"/>
      <c r="J1045940" s="19"/>
      <c r="K1045940" s="19"/>
      <c r="L1045940" s="19"/>
      <c r="M1045940" s="19"/>
      <c r="N1045940" s="19"/>
    </row>
    <row r="1045941" spans="1:14" s="83" customFormat="1" ht="12.75">
      <c r="A1045941" s="19"/>
      <c r="B1045941" s="19"/>
      <c r="C1045941" s="19"/>
      <c r="D1045941" s="19"/>
      <c r="E1045941" s="19"/>
      <c r="F1045941" s="19"/>
      <c r="G1045941" s="19"/>
      <c r="H1045941" s="19"/>
      <c r="I1045941" s="19"/>
      <c r="J1045941" s="19"/>
      <c r="K1045941" s="19"/>
      <c r="L1045941" s="19"/>
      <c r="M1045941" s="19"/>
      <c r="N1045941" s="19"/>
    </row>
    <row r="1045942" spans="1:14" s="83" customFormat="1" ht="12.75">
      <c r="A1045942" s="19"/>
      <c r="B1045942" s="19"/>
      <c r="C1045942" s="19"/>
      <c r="D1045942" s="19"/>
      <c r="E1045942" s="19"/>
      <c r="F1045942" s="19"/>
      <c r="G1045942" s="19"/>
      <c r="H1045942" s="19"/>
      <c r="I1045942" s="19"/>
      <c r="J1045942" s="19"/>
      <c r="K1045942" s="19"/>
      <c r="L1045942" s="19"/>
      <c r="M1045942" s="19"/>
      <c r="N1045942" s="19"/>
    </row>
    <row r="1045943" spans="1:14" s="83" customFormat="1" ht="12.75">
      <c r="A1045943" s="19"/>
      <c r="B1045943" s="19"/>
      <c r="C1045943" s="19"/>
      <c r="D1045943" s="19"/>
      <c r="E1045943" s="19"/>
      <c r="F1045943" s="19"/>
      <c r="G1045943" s="19"/>
      <c r="H1045943" s="19"/>
      <c r="I1045943" s="19"/>
      <c r="J1045943" s="19"/>
      <c r="K1045943" s="19"/>
      <c r="L1045943" s="19"/>
      <c r="M1045943" s="19"/>
      <c r="N1045943" s="19"/>
    </row>
    <row r="1045944" spans="1:14" s="83" customFormat="1" ht="12.75">
      <c r="A1045944" s="19"/>
      <c r="B1045944" s="19"/>
      <c r="C1045944" s="19"/>
      <c r="D1045944" s="19"/>
      <c r="E1045944" s="19"/>
      <c r="F1045944" s="19"/>
      <c r="G1045944" s="19"/>
      <c r="H1045944" s="19"/>
      <c r="I1045944" s="19"/>
      <c r="J1045944" s="19"/>
      <c r="K1045944" s="19"/>
      <c r="L1045944" s="19"/>
      <c r="M1045944" s="19"/>
      <c r="N1045944" s="19"/>
    </row>
    <row r="1045945" spans="1:14" s="83" customFormat="1" ht="12.75">
      <c r="A1045945" s="19"/>
      <c r="B1045945" s="19"/>
      <c r="C1045945" s="19"/>
      <c r="D1045945" s="19"/>
      <c r="E1045945" s="19"/>
      <c r="F1045945" s="19"/>
      <c r="G1045945" s="19"/>
      <c r="H1045945" s="19"/>
      <c r="I1045945" s="19"/>
      <c r="J1045945" s="19"/>
      <c r="K1045945" s="19"/>
      <c r="L1045945" s="19"/>
      <c r="M1045945" s="19"/>
      <c r="N1045945" s="19"/>
    </row>
    <row r="1045946" spans="1:14" s="83" customFormat="1" ht="12.75">
      <c r="A1045946" s="19"/>
      <c r="B1045946" s="19"/>
      <c r="C1045946" s="19"/>
      <c r="D1045946" s="19"/>
      <c r="E1045946" s="19"/>
      <c r="F1045946" s="19"/>
      <c r="G1045946" s="19"/>
      <c r="H1045946" s="19"/>
      <c r="I1045946" s="19"/>
      <c r="J1045946" s="19"/>
      <c r="K1045946" s="19"/>
      <c r="L1045946" s="19"/>
      <c r="M1045946" s="19"/>
      <c r="N1045946" s="19"/>
    </row>
    <row r="1045947" spans="1:14" s="83" customFormat="1" ht="12.75">
      <c r="A1045947" s="19"/>
      <c r="B1045947" s="19"/>
      <c r="C1045947" s="19"/>
      <c r="D1045947" s="19"/>
      <c r="E1045947" s="19"/>
      <c r="F1045947" s="19"/>
      <c r="G1045947" s="19"/>
      <c r="H1045947" s="19"/>
      <c r="I1045947" s="19"/>
      <c r="J1045947" s="19"/>
      <c r="K1045947" s="19"/>
      <c r="L1045947" s="19"/>
      <c r="M1045947" s="19"/>
      <c r="N1045947" s="19"/>
    </row>
    <row r="1045948" spans="1:14" s="83" customFormat="1" ht="12.75">
      <c r="A1045948" s="19"/>
      <c r="B1045948" s="19"/>
      <c r="C1045948" s="19"/>
      <c r="D1045948" s="19"/>
      <c r="E1045948" s="19"/>
      <c r="F1045948" s="19"/>
      <c r="G1045948" s="19"/>
      <c r="H1045948" s="19"/>
      <c r="I1045948" s="19"/>
      <c r="J1045948" s="19"/>
      <c r="K1045948" s="19"/>
      <c r="L1045948" s="19"/>
      <c r="M1045948" s="19"/>
      <c r="N1045948" s="19"/>
    </row>
    <row r="1045949" spans="1:14" s="83" customFormat="1" ht="12.75">
      <c r="A1045949" s="19"/>
      <c r="B1045949" s="19"/>
      <c r="C1045949" s="19"/>
      <c r="D1045949" s="19"/>
      <c r="E1045949" s="19"/>
      <c r="F1045949" s="19"/>
      <c r="G1045949" s="19"/>
      <c r="H1045949" s="19"/>
      <c r="I1045949" s="19"/>
      <c r="J1045949" s="19"/>
      <c r="K1045949" s="19"/>
      <c r="L1045949" s="19"/>
      <c r="M1045949" s="19"/>
      <c r="N1045949" s="19"/>
    </row>
    <row r="1045950" spans="1:14" s="83" customFormat="1" ht="12.75">
      <c r="A1045950" s="19"/>
      <c r="B1045950" s="19"/>
      <c r="C1045950" s="19"/>
      <c r="D1045950" s="19"/>
      <c r="E1045950" s="19"/>
      <c r="F1045950" s="19"/>
      <c r="G1045950" s="19"/>
      <c r="H1045950" s="19"/>
      <c r="I1045950" s="19"/>
      <c r="J1045950" s="19"/>
      <c r="K1045950" s="19"/>
      <c r="L1045950" s="19"/>
      <c r="M1045950" s="19"/>
      <c r="N1045950" s="19"/>
    </row>
    <row r="1045951" spans="1:14" s="83" customFormat="1" ht="12.75">
      <c r="A1045951" s="19"/>
      <c r="B1045951" s="19"/>
      <c r="C1045951" s="19"/>
      <c r="D1045951" s="19"/>
      <c r="E1045951" s="19"/>
      <c r="F1045951" s="19"/>
      <c r="G1045951" s="19"/>
      <c r="H1045951" s="19"/>
      <c r="I1045951" s="19"/>
      <c r="J1045951" s="19"/>
      <c r="K1045951" s="19"/>
      <c r="L1045951" s="19"/>
      <c r="M1045951" s="19"/>
      <c r="N1045951" s="19"/>
    </row>
    <row r="1045952" spans="1:14" s="83" customFormat="1" ht="12.75">
      <c r="A1045952" s="19"/>
      <c r="B1045952" s="19"/>
      <c r="C1045952" s="19"/>
      <c r="D1045952" s="19"/>
      <c r="E1045952" s="19"/>
      <c r="F1045952" s="19"/>
      <c r="G1045952" s="19"/>
      <c r="H1045952" s="19"/>
      <c r="I1045952" s="19"/>
      <c r="J1045952" s="19"/>
      <c r="K1045952" s="19"/>
      <c r="L1045952" s="19"/>
      <c r="M1045952" s="19"/>
      <c r="N1045952" s="19"/>
    </row>
    <row r="1045953" spans="1:14" s="83" customFormat="1" ht="12.75">
      <c r="A1045953" s="19"/>
      <c r="B1045953" s="19"/>
      <c r="C1045953" s="19"/>
      <c r="D1045953" s="19"/>
      <c r="E1045953" s="19"/>
      <c r="F1045953" s="19"/>
      <c r="G1045953" s="19"/>
      <c r="H1045953" s="19"/>
      <c r="I1045953" s="19"/>
      <c r="J1045953" s="19"/>
      <c r="K1045953" s="19"/>
      <c r="L1045953" s="19"/>
      <c r="M1045953" s="19"/>
      <c r="N1045953" s="19"/>
    </row>
    <row r="1045954" spans="1:14" s="83" customFormat="1" ht="12.75">
      <c r="A1045954" s="19"/>
      <c r="B1045954" s="19"/>
      <c r="C1045954" s="19"/>
      <c r="D1045954" s="19"/>
      <c r="E1045954" s="19"/>
      <c r="F1045954" s="19"/>
      <c r="G1045954" s="19"/>
      <c r="H1045954" s="19"/>
      <c r="I1045954" s="19"/>
      <c r="J1045954" s="19"/>
      <c r="K1045954" s="19"/>
      <c r="L1045954" s="19"/>
      <c r="M1045954" s="19"/>
      <c r="N1045954" s="19"/>
    </row>
    <row r="1045955" spans="1:14" s="83" customFormat="1" ht="12.75">
      <c r="A1045955" s="19"/>
      <c r="B1045955" s="19"/>
      <c r="C1045955" s="19"/>
      <c r="D1045955" s="19"/>
      <c r="E1045955" s="19"/>
      <c r="F1045955" s="19"/>
      <c r="G1045955" s="19"/>
      <c r="H1045955" s="19"/>
      <c r="I1045955" s="19"/>
      <c r="J1045955" s="19"/>
      <c r="K1045955" s="19"/>
      <c r="L1045955" s="19"/>
      <c r="M1045955" s="19"/>
      <c r="N1045955" s="19"/>
    </row>
    <row r="1045956" spans="1:14" s="83" customFormat="1" ht="12.75">
      <c r="A1045956" s="19"/>
      <c r="B1045956" s="19"/>
      <c r="C1045956" s="19"/>
      <c r="D1045956" s="19"/>
      <c r="E1045956" s="19"/>
      <c r="F1045956" s="19"/>
      <c r="G1045956" s="19"/>
      <c r="H1045956" s="19"/>
      <c r="I1045956" s="19"/>
      <c r="J1045956" s="19"/>
      <c r="K1045956" s="19"/>
      <c r="L1045956" s="19"/>
      <c r="M1045956" s="19"/>
      <c r="N1045956" s="19"/>
    </row>
    <row r="1045957" spans="1:14" s="83" customFormat="1" ht="12.75">
      <c r="A1045957" s="19"/>
      <c r="B1045957" s="19"/>
      <c r="C1045957" s="19"/>
      <c r="D1045957" s="19"/>
      <c r="E1045957" s="19"/>
      <c r="F1045957" s="19"/>
      <c r="G1045957" s="19"/>
      <c r="H1045957" s="19"/>
      <c r="I1045957" s="19"/>
      <c r="J1045957" s="19"/>
      <c r="K1045957" s="19"/>
      <c r="L1045957" s="19"/>
      <c r="M1045957" s="19"/>
      <c r="N1045957" s="19"/>
    </row>
    <row r="1045958" spans="1:14" s="83" customFormat="1" ht="12.75">
      <c r="A1045958" s="19"/>
      <c r="B1045958" s="19"/>
      <c r="C1045958" s="19"/>
      <c r="D1045958" s="19"/>
      <c r="E1045958" s="19"/>
      <c r="F1045958" s="19"/>
      <c r="G1045958" s="19"/>
      <c r="H1045958" s="19"/>
      <c r="I1045958" s="19"/>
      <c r="J1045958" s="19"/>
      <c r="K1045958" s="19"/>
      <c r="L1045958" s="19"/>
      <c r="M1045958" s="19"/>
      <c r="N1045958" s="19"/>
    </row>
    <row r="1045959" spans="1:14" s="83" customFormat="1" ht="12.75">
      <c r="A1045959" s="19"/>
      <c r="B1045959" s="19"/>
      <c r="C1045959" s="19"/>
      <c r="D1045959" s="19"/>
      <c r="E1045959" s="19"/>
      <c r="F1045959" s="19"/>
      <c r="G1045959" s="19"/>
      <c r="H1045959" s="19"/>
      <c r="I1045959" s="19"/>
      <c r="J1045959" s="19"/>
      <c r="K1045959" s="19"/>
      <c r="L1045959" s="19"/>
      <c r="M1045959" s="19"/>
      <c r="N1045959" s="19"/>
    </row>
    <row r="1045960" spans="1:14" s="83" customFormat="1" ht="12.75">
      <c r="A1045960" s="19"/>
      <c r="B1045960" s="19"/>
      <c r="C1045960" s="19"/>
      <c r="D1045960" s="19"/>
      <c r="E1045960" s="19"/>
      <c r="F1045960" s="19"/>
      <c r="G1045960" s="19"/>
      <c r="H1045960" s="19"/>
      <c r="I1045960" s="19"/>
      <c r="J1045960" s="19"/>
      <c r="K1045960" s="19"/>
      <c r="L1045960" s="19"/>
      <c r="M1045960" s="19"/>
      <c r="N1045960" s="19"/>
    </row>
    <row r="1045961" spans="1:14" s="83" customFormat="1" ht="12.75">
      <c r="A1045961" s="19"/>
      <c r="B1045961" s="19"/>
      <c r="C1045961" s="19"/>
      <c r="D1045961" s="19"/>
      <c r="E1045961" s="19"/>
      <c r="F1045961" s="19"/>
      <c r="G1045961" s="19"/>
      <c r="H1045961" s="19"/>
      <c r="I1045961" s="19"/>
      <c r="J1045961" s="19"/>
      <c r="K1045961" s="19"/>
      <c r="L1045961" s="19"/>
      <c r="M1045961" s="19"/>
      <c r="N1045961" s="19"/>
    </row>
    <row r="1045962" spans="1:14" s="83" customFormat="1" ht="12.75">
      <c r="A1045962" s="19"/>
      <c r="B1045962" s="19"/>
      <c r="C1045962" s="19"/>
      <c r="D1045962" s="19"/>
      <c r="E1045962" s="19"/>
      <c r="F1045962" s="19"/>
      <c r="G1045962" s="19"/>
      <c r="H1045962" s="19"/>
      <c r="I1045962" s="19"/>
      <c r="J1045962" s="19"/>
      <c r="K1045962" s="19"/>
      <c r="L1045962" s="19"/>
      <c r="M1045962" s="19"/>
      <c r="N1045962" s="19"/>
    </row>
    <row r="1045963" spans="1:14" s="83" customFormat="1" ht="12.75">
      <c r="A1045963" s="19"/>
      <c r="B1045963" s="19"/>
      <c r="C1045963" s="19"/>
      <c r="D1045963" s="19"/>
      <c r="E1045963" s="19"/>
      <c r="F1045963" s="19"/>
      <c r="G1045963" s="19"/>
      <c r="H1045963" s="19"/>
      <c r="I1045963" s="19"/>
      <c r="J1045963" s="19"/>
      <c r="K1045963" s="19"/>
      <c r="L1045963" s="19"/>
      <c r="M1045963" s="19"/>
      <c r="N1045963" s="19"/>
    </row>
    <row r="1045964" spans="1:14" s="83" customFormat="1" ht="12.75">
      <c r="A1045964" s="19"/>
      <c r="B1045964" s="19"/>
      <c r="C1045964" s="19"/>
      <c r="D1045964" s="19"/>
      <c r="E1045964" s="19"/>
      <c r="F1045964" s="19"/>
      <c r="G1045964" s="19"/>
      <c r="H1045964" s="19"/>
      <c r="I1045964" s="19"/>
      <c r="J1045964" s="19"/>
      <c r="K1045964" s="19"/>
      <c r="L1045964" s="19"/>
      <c r="M1045964" s="19"/>
      <c r="N1045964" s="19"/>
    </row>
    <row r="1045965" spans="1:14" s="83" customFormat="1" ht="12.75">
      <c r="A1045965" s="19"/>
      <c r="B1045965" s="19"/>
      <c r="C1045965" s="19"/>
      <c r="D1045965" s="19"/>
      <c r="E1045965" s="19"/>
      <c r="F1045965" s="19"/>
      <c r="G1045965" s="19"/>
      <c r="H1045965" s="19"/>
      <c r="I1045965" s="19"/>
      <c r="J1045965" s="19"/>
      <c r="K1045965" s="19"/>
      <c r="L1045965" s="19"/>
      <c r="M1045965" s="19"/>
      <c r="N1045965" s="19"/>
    </row>
    <row r="1045966" spans="1:14" s="83" customFormat="1" ht="12.75">
      <c r="A1045966" s="19"/>
      <c r="B1045966" s="19"/>
      <c r="C1045966" s="19"/>
      <c r="D1045966" s="19"/>
      <c r="E1045966" s="19"/>
      <c r="F1045966" s="19"/>
      <c r="G1045966" s="19"/>
      <c r="H1045966" s="19"/>
      <c r="I1045966" s="19"/>
      <c r="J1045966" s="19"/>
      <c r="K1045966" s="19"/>
      <c r="L1045966" s="19"/>
      <c r="M1045966" s="19"/>
      <c r="N1045966" s="19"/>
    </row>
    <row r="1045967" spans="1:14" s="83" customFormat="1" ht="12.75">
      <c r="A1045967" s="19"/>
      <c r="B1045967" s="19"/>
      <c r="C1045967" s="19"/>
      <c r="D1045967" s="19"/>
      <c r="E1045967" s="19"/>
      <c r="F1045967" s="19"/>
      <c r="G1045967" s="19"/>
      <c r="H1045967" s="19"/>
      <c r="I1045967" s="19"/>
      <c r="J1045967" s="19"/>
      <c r="K1045967" s="19"/>
      <c r="L1045967" s="19"/>
      <c r="M1045967" s="19"/>
      <c r="N1045967" s="19"/>
    </row>
    <row r="1045968" spans="1:14" s="83" customFormat="1" ht="12.75">
      <c r="A1045968" s="19"/>
      <c r="B1045968" s="19"/>
      <c r="C1045968" s="19"/>
      <c r="D1045968" s="19"/>
      <c r="E1045968" s="19"/>
      <c r="F1045968" s="19"/>
      <c r="G1045968" s="19"/>
      <c r="H1045968" s="19"/>
      <c r="I1045968" s="19"/>
      <c r="J1045968" s="19"/>
      <c r="K1045968" s="19"/>
      <c r="L1045968" s="19"/>
      <c r="M1045968" s="19"/>
      <c r="N1045968" s="19"/>
    </row>
    <row r="1045969" spans="1:14" s="83" customFormat="1" ht="12.75">
      <c r="A1045969" s="19"/>
      <c r="B1045969" s="19"/>
      <c r="C1045969" s="19"/>
      <c r="D1045969" s="19"/>
      <c r="E1045969" s="19"/>
      <c r="F1045969" s="19"/>
      <c r="G1045969" s="19"/>
      <c r="H1045969" s="19"/>
      <c r="I1045969" s="19"/>
      <c r="J1045969" s="19"/>
      <c r="K1045969" s="19"/>
      <c r="L1045969" s="19"/>
      <c r="M1045969" s="19"/>
      <c r="N1045969" s="19"/>
    </row>
    <row r="1045970" spans="1:14" s="83" customFormat="1" ht="12.75">
      <c r="A1045970" s="19"/>
      <c r="B1045970" s="19"/>
      <c r="C1045970" s="19"/>
      <c r="D1045970" s="19"/>
      <c r="E1045970" s="19"/>
      <c r="F1045970" s="19"/>
      <c r="G1045970" s="19"/>
      <c r="H1045970" s="19"/>
      <c r="I1045970" s="19"/>
      <c r="J1045970" s="19"/>
      <c r="K1045970" s="19"/>
      <c r="L1045970" s="19"/>
      <c r="M1045970" s="19"/>
      <c r="N1045970" s="19"/>
    </row>
    <row r="1045971" spans="1:14" s="83" customFormat="1" ht="12.75">
      <c r="A1045971" s="19"/>
      <c r="B1045971" s="19"/>
      <c r="C1045971" s="19"/>
      <c r="D1045971" s="19"/>
      <c r="E1045971" s="19"/>
      <c r="F1045971" s="19"/>
      <c r="G1045971" s="19"/>
      <c r="H1045971" s="19"/>
      <c r="I1045971" s="19"/>
      <c r="J1045971" s="19"/>
      <c r="K1045971" s="19"/>
      <c r="L1045971" s="19"/>
      <c r="M1045971" s="19"/>
      <c r="N1045971" s="19"/>
    </row>
    <row r="1045972" spans="1:14" s="83" customFormat="1" ht="12.75">
      <c r="A1045972" s="19"/>
      <c r="B1045972" s="19"/>
      <c r="C1045972" s="19"/>
      <c r="D1045972" s="19"/>
      <c r="E1045972" s="19"/>
      <c r="F1045972" s="19"/>
      <c r="G1045972" s="19"/>
      <c r="H1045972" s="19"/>
      <c r="I1045972" s="19"/>
      <c r="J1045972" s="19"/>
      <c r="K1045972" s="19"/>
      <c r="L1045972" s="19"/>
      <c r="M1045972" s="19"/>
      <c r="N1045972" s="19"/>
    </row>
    <row r="1045973" spans="1:14" s="83" customFormat="1" ht="12.75">
      <c r="A1045973" s="19"/>
      <c r="B1045973" s="19"/>
      <c r="C1045973" s="19"/>
      <c r="D1045973" s="19"/>
      <c r="E1045973" s="19"/>
      <c r="F1045973" s="19"/>
      <c r="G1045973" s="19"/>
      <c r="H1045973" s="19"/>
      <c r="I1045973" s="19"/>
      <c r="J1045973" s="19"/>
      <c r="K1045973" s="19"/>
      <c r="L1045973" s="19"/>
      <c r="M1045973" s="19"/>
      <c r="N1045973" s="19"/>
    </row>
    <row r="1045974" spans="1:14" s="83" customFormat="1" ht="12.75">
      <c r="A1045974" s="19"/>
      <c r="B1045974" s="19"/>
      <c r="C1045974" s="19"/>
      <c r="D1045974" s="19"/>
      <c r="E1045974" s="19"/>
      <c r="F1045974" s="19"/>
      <c r="G1045974" s="19"/>
      <c r="H1045974" s="19"/>
      <c r="I1045974" s="19"/>
      <c r="J1045974" s="19"/>
      <c r="K1045974" s="19"/>
      <c r="L1045974" s="19"/>
      <c r="M1045974" s="19"/>
      <c r="N1045974" s="19"/>
    </row>
    <row r="1045975" spans="1:14" s="83" customFormat="1" ht="12.75">
      <c r="A1045975" s="19"/>
      <c r="B1045975" s="19"/>
      <c r="C1045975" s="19"/>
      <c r="D1045975" s="19"/>
      <c r="E1045975" s="19"/>
      <c r="F1045975" s="19"/>
      <c r="G1045975" s="19"/>
      <c r="H1045975" s="19"/>
      <c r="I1045975" s="19"/>
      <c r="J1045975" s="19"/>
      <c r="K1045975" s="19"/>
      <c r="L1045975" s="19"/>
      <c r="M1045975" s="19"/>
      <c r="N1045975" s="19"/>
    </row>
    <row r="1045976" spans="1:14" s="83" customFormat="1" ht="12.75">
      <c r="A1045976" s="19"/>
      <c r="B1045976" s="19"/>
      <c r="C1045976" s="19"/>
      <c r="D1045976" s="19"/>
      <c r="E1045976" s="19"/>
      <c r="F1045976" s="19"/>
      <c r="G1045976" s="19"/>
      <c r="H1045976" s="19"/>
      <c r="I1045976" s="19"/>
      <c r="J1045976" s="19"/>
      <c r="K1045976" s="19"/>
      <c r="L1045976" s="19"/>
      <c r="M1045976" s="19"/>
      <c r="N1045976" s="19"/>
    </row>
    <row r="1045977" spans="1:14" s="83" customFormat="1" ht="12.75">
      <c r="A1045977" s="19"/>
      <c r="B1045977" s="19"/>
      <c r="C1045977" s="19"/>
      <c r="D1045977" s="19"/>
      <c r="E1045977" s="19"/>
      <c r="F1045977" s="19"/>
      <c r="G1045977" s="19"/>
      <c r="H1045977" s="19"/>
      <c r="I1045977" s="19"/>
      <c r="J1045977" s="19"/>
      <c r="K1045977" s="19"/>
      <c r="L1045977" s="19"/>
      <c r="M1045977" s="19"/>
      <c r="N1045977" s="19"/>
    </row>
    <row r="1045978" spans="1:14" s="83" customFormat="1" ht="12.75">
      <c r="A1045978" s="19"/>
      <c r="B1045978" s="19"/>
      <c r="C1045978" s="19"/>
      <c r="D1045978" s="19"/>
      <c r="E1045978" s="19"/>
      <c r="F1045978" s="19"/>
      <c r="G1045978" s="19"/>
      <c r="H1045978" s="19"/>
      <c r="I1045978" s="19"/>
      <c r="J1045978" s="19"/>
      <c r="K1045978" s="19"/>
      <c r="L1045978" s="19"/>
      <c r="M1045978" s="19"/>
      <c r="N1045978" s="19"/>
    </row>
    <row r="1045979" spans="1:14" s="83" customFormat="1" ht="12.75">
      <c r="A1045979" s="19"/>
      <c r="B1045979" s="19"/>
      <c r="C1045979" s="19"/>
      <c r="D1045979" s="19"/>
      <c r="E1045979" s="19"/>
      <c r="F1045979" s="19"/>
      <c r="G1045979" s="19"/>
      <c r="H1045979" s="19"/>
      <c r="I1045979" s="19"/>
      <c r="J1045979" s="19"/>
      <c r="K1045979" s="19"/>
      <c r="L1045979" s="19"/>
      <c r="M1045979" s="19"/>
      <c r="N1045979" s="19"/>
    </row>
    <row r="1045980" spans="1:14" s="83" customFormat="1" ht="12.75">
      <c r="A1045980" s="19"/>
      <c r="B1045980" s="19"/>
      <c r="C1045980" s="19"/>
      <c r="D1045980" s="19"/>
      <c r="E1045980" s="19"/>
      <c r="F1045980" s="19"/>
      <c r="G1045980" s="19"/>
      <c r="H1045980" s="19"/>
      <c r="I1045980" s="19"/>
      <c r="J1045980" s="19"/>
      <c r="K1045980" s="19"/>
      <c r="L1045980" s="19"/>
      <c r="M1045980" s="19"/>
      <c r="N1045980" s="19"/>
    </row>
    <row r="1045981" spans="1:14" s="83" customFormat="1" ht="12.75">
      <c r="A1045981" s="19"/>
      <c r="B1045981" s="19"/>
      <c r="C1045981" s="19"/>
      <c r="D1045981" s="19"/>
      <c r="E1045981" s="19"/>
      <c r="F1045981" s="19"/>
      <c r="G1045981" s="19"/>
      <c r="H1045981" s="19"/>
      <c r="I1045981" s="19"/>
      <c r="J1045981" s="19"/>
      <c r="K1045981" s="19"/>
      <c r="L1045981" s="19"/>
      <c r="M1045981" s="19"/>
      <c r="N1045981" s="19"/>
    </row>
    <row r="1045982" spans="1:14" s="83" customFormat="1" ht="12.75">
      <c r="A1045982" s="19"/>
      <c r="B1045982" s="19"/>
      <c r="C1045982" s="19"/>
      <c r="D1045982" s="19"/>
      <c r="E1045982" s="19"/>
      <c r="F1045982" s="19"/>
      <c r="G1045982" s="19"/>
      <c r="H1045982" s="19"/>
      <c r="I1045982" s="19"/>
      <c r="J1045982" s="19"/>
      <c r="K1045982" s="19"/>
      <c r="L1045982" s="19"/>
      <c r="M1045982" s="19"/>
      <c r="N1045982" s="19"/>
    </row>
    <row r="1045983" spans="1:14" s="83" customFormat="1" ht="12.75">
      <c r="A1045983" s="19"/>
      <c r="B1045983" s="19"/>
      <c r="C1045983" s="19"/>
      <c r="D1045983" s="19"/>
      <c r="E1045983" s="19"/>
      <c r="F1045983" s="19"/>
      <c r="G1045983" s="19"/>
      <c r="H1045983" s="19"/>
      <c r="I1045983" s="19"/>
      <c r="J1045983" s="19"/>
      <c r="K1045983" s="19"/>
      <c r="L1045983" s="19"/>
      <c r="M1045983" s="19"/>
      <c r="N1045983" s="19"/>
    </row>
    <row r="1045984" spans="1:14" s="83" customFormat="1" ht="12.75">
      <c r="A1045984" s="19"/>
      <c r="B1045984" s="19"/>
      <c r="C1045984" s="19"/>
      <c r="D1045984" s="19"/>
      <c r="E1045984" s="19"/>
      <c r="F1045984" s="19"/>
      <c r="G1045984" s="19"/>
      <c r="H1045984" s="19"/>
      <c r="I1045984" s="19"/>
      <c r="J1045984" s="19"/>
      <c r="K1045984" s="19"/>
      <c r="L1045984" s="19"/>
      <c r="M1045984" s="19"/>
      <c r="N1045984" s="19"/>
    </row>
    <row r="1045985" spans="1:14" s="83" customFormat="1" ht="12.75">
      <c r="A1045985" s="19"/>
      <c r="B1045985" s="19"/>
      <c r="C1045985" s="19"/>
      <c r="D1045985" s="19"/>
      <c r="E1045985" s="19"/>
      <c r="F1045985" s="19"/>
      <c r="G1045985" s="19"/>
      <c r="H1045985" s="19"/>
      <c r="I1045985" s="19"/>
      <c r="J1045985" s="19"/>
      <c r="K1045985" s="19"/>
      <c r="L1045985" s="19"/>
      <c r="M1045985" s="19"/>
      <c r="N1045985" s="19"/>
    </row>
    <row r="1045986" spans="1:14" s="83" customFormat="1" ht="12.75">
      <c r="A1045986" s="19"/>
      <c r="B1045986" s="19"/>
      <c r="C1045986" s="19"/>
      <c r="D1045986" s="19"/>
      <c r="E1045986" s="19"/>
      <c r="F1045986" s="19"/>
      <c r="G1045986" s="19"/>
      <c r="H1045986" s="19"/>
      <c r="I1045986" s="19"/>
      <c r="J1045986" s="19"/>
      <c r="K1045986" s="19"/>
      <c r="L1045986" s="19"/>
      <c r="M1045986" s="19"/>
      <c r="N1045986" s="19"/>
    </row>
    <row r="1045987" spans="1:14" s="83" customFormat="1" ht="12.75">
      <c r="A1045987" s="19"/>
      <c r="B1045987" s="19"/>
      <c r="C1045987" s="19"/>
      <c r="D1045987" s="19"/>
      <c r="E1045987" s="19"/>
      <c r="F1045987" s="19"/>
      <c r="G1045987" s="19"/>
      <c r="H1045987" s="19"/>
      <c r="I1045987" s="19"/>
      <c r="J1045987" s="19"/>
      <c r="K1045987" s="19"/>
      <c r="L1045987" s="19"/>
      <c r="M1045987" s="19"/>
      <c r="N1045987" s="19"/>
    </row>
    <row r="1045988" spans="1:14" s="83" customFormat="1" ht="12.75">
      <c r="A1045988" s="19"/>
      <c r="B1045988" s="19"/>
      <c r="C1045988" s="19"/>
      <c r="D1045988" s="19"/>
      <c r="E1045988" s="19"/>
      <c r="F1045988" s="19"/>
      <c r="G1045988" s="19"/>
      <c r="H1045988" s="19"/>
      <c r="I1045988" s="19"/>
      <c r="J1045988" s="19"/>
      <c r="K1045988" s="19"/>
      <c r="L1045988" s="19"/>
      <c r="M1045988" s="19"/>
      <c r="N1045988" s="19"/>
    </row>
    <row r="1045989" spans="1:14" s="83" customFormat="1" ht="12.75">
      <c r="A1045989" s="19"/>
      <c r="B1045989" s="19"/>
      <c r="C1045989" s="19"/>
      <c r="D1045989" s="19"/>
      <c r="E1045989" s="19"/>
      <c r="F1045989" s="19"/>
      <c r="G1045989" s="19"/>
      <c r="H1045989" s="19"/>
      <c r="I1045989" s="19"/>
      <c r="J1045989" s="19"/>
      <c r="K1045989" s="19"/>
      <c r="L1045989" s="19"/>
      <c r="M1045989" s="19"/>
      <c r="N1045989" s="19"/>
    </row>
    <row r="1045990" spans="1:14" s="83" customFormat="1" ht="12.75">
      <c r="A1045990" s="19"/>
      <c r="B1045990" s="19"/>
      <c r="C1045990" s="19"/>
      <c r="D1045990" s="19"/>
      <c r="E1045990" s="19"/>
      <c r="F1045990" s="19"/>
      <c r="G1045990" s="19"/>
      <c r="H1045990" s="19"/>
      <c r="I1045990" s="19"/>
      <c r="J1045990" s="19"/>
      <c r="K1045990" s="19"/>
      <c r="L1045990" s="19"/>
      <c r="M1045990" s="19"/>
      <c r="N1045990" s="19"/>
    </row>
    <row r="1045991" spans="1:14" s="83" customFormat="1" ht="12.75">
      <c r="A1045991" s="19"/>
      <c r="B1045991" s="19"/>
      <c r="C1045991" s="19"/>
      <c r="D1045991" s="19"/>
      <c r="E1045991" s="19"/>
      <c r="F1045991" s="19"/>
      <c r="G1045991" s="19"/>
      <c r="H1045991" s="19"/>
      <c r="I1045991" s="19"/>
      <c r="J1045991" s="19"/>
      <c r="K1045991" s="19"/>
      <c r="L1045991" s="19"/>
      <c r="M1045991" s="19"/>
      <c r="N1045991" s="19"/>
    </row>
    <row r="1045992" spans="1:14" s="83" customFormat="1" ht="12.75">
      <c r="A1045992" s="19"/>
      <c r="B1045992" s="19"/>
      <c r="C1045992" s="19"/>
      <c r="D1045992" s="19"/>
      <c r="E1045992" s="19"/>
      <c r="F1045992" s="19"/>
      <c r="G1045992" s="19"/>
      <c r="H1045992" s="19"/>
      <c r="I1045992" s="19"/>
      <c r="J1045992" s="19"/>
      <c r="K1045992" s="19"/>
      <c r="L1045992" s="19"/>
      <c r="M1045992" s="19"/>
      <c r="N1045992" s="19"/>
    </row>
    <row r="1045993" spans="1:14" s="83" customFormat="1" ht="12.75">
      <c r="A1045993" s="19"/>
      <c r="B1045993" s="19"/>
      <c r="C1045993" s="19"/>
      <c r="D1045993" s="19"/>
      <c r="E1045993" s="19"/>
      <c r="F1045993" s="19"/>
      <c r="G1045993" s="19"/>
      <c r="H1045993" s="19"/>
      <c r="I1045993" s="19"/>
      <c r="J1045993" s="19"/>
      <c r="K1045993" s="19"/>
      <c r="L1045993" s="19"/>
      <c r="M1045993" s="19"/>
      <c r="N1045993" s="19"/>
    </row>
    <row r="1045994" spans="1:14" s="83" customFormat="1" ht="12.75">
      <c r="A1045994" s="19"/>
      <c r="B1045994" s="19"/>
      <c r="C1045994" s="19"/>
      <c r="D1045994" s="19"/>
      <c r="E1045994" s="19"/>
      <c r="F1045994" s="19"/>
      <c r="G1045994" s="19"/>
      <c r="H1045994" s="19"/>
      <c r="I1045994" s="19"/>
      <c r="J1045994" s="19"/>
      <c r="K1045994" s="19"/>
      <c r="L1045994" s="19"/>
      <c r="M1045994" s="19"/>
      <c r="N1045994" s="19"/>
    </row>
    <row r="1045995" spans="1:14" s="83" customFormat="1" ht="12.75">
      <c r="A1045995" s="19"/>
      <c r="B1045995" s="19"/>
      <c r="C1045995" s="19"/>
      <c r="D1045995" s="19"/>
      <c r="E1045995" s="19"/>
      <c r="F1045995" s="19"/>
      <c r="G1045995" s="19"/>
      <c r="H1045995" s="19"/>
      <c r="I1045995" s="19"/>
      <c r="J1045995" s="19"/>
      <c r="K1045995" s="19"/>
      <c r="L1045995" s="19"/>
      <c r="M1045995" s="19"/>
      <c r="N1045995" s="19"/>
    </row>
    <row r="1045996" spans="1:14" s="83" customFormat="1" ht="12.75">
      <c r="A1045996" s="19"/>
      <c r="B1045996" s="19"/>
      <c r="C1045996" s="19"/>
      <c r="D1045996" s="19"/>
      <c r="E1045996" s="19"/>
      <c r="F1045996" s="19"/>
      <c r="G1045996" s="19"/>
      <c r="H1045996" s="19"/>
      <c r="I1045996" s="19"/>
      <c r="J1045996" s="19"/>
      <c r="K1045996" s="19"/>
      <c r="L1045996" s="19"/>
      <c r="M1045996" s="19"/>
      <c r="N1045996" s="19"/>
    </row>
    <row r="1045997" spans="1:14" s="83" customFormat="1" ht="12.75">
      <c r="A1045997" s="19"/>
      <c r="B1045997" s="19"/>
      <c r="C1045997" s="19"/>
      <c r="D1045997" s="19"/>
      <c r="E1045997" s="19"/>
      <c r="F1045997" s="19"/>
      <c r="G1045997" s="19"/>
      <c r="H1045997" s="19"/>
      <c r="I1045997" s="19"/>
      <c r="J1045997" s="19"/>
      <c r="K1045997" s="19"/>
      <c r="L1045997" s="19"/>
      <c r="M1045997" s="19"/>
      <c r="N1045997" s="19"/>
    </row>
    <row r="1045998" spans="1:14" s="83" customFormat="1" ht="12.75">
      <c r="A1045998" s="19"/>
      <c r="B1045998" s="19"/>
      <c r="C1045998" s="19"/>
      <c r="D1045998" s="19"/>
      <c r="E1045998" s="19"/>
      <c r="F1045998" s="19"/>
      <c r="G1045998" s="19"/>
      <c r="H1045998" s="19"/>
      <c r="I1045998" s="19"/>
      <c r="J1045998" s="19"/>
      <c r="K1045998" s="19"/>
      <c r="L1045998" s="19"/>
      <c r="M1045998" s="19"/>
      <c r="N1045998" s="19"/>
    </row>
    <row r="1045999" spans="1:14" s="83" customFormat="1" ht="12.75">
      <c r="A1045999" s="19"/>
      <c r="B1045999" s="19"/>
      <c r="C1045999" s="19"/>
      <c r="D1045999" s="19"/>
      <c r="E1045999" s="19"/>
      <c r="F1045999" s="19"/>
      <c r="G1045999" s="19"/>
      <c r="H1045999" s="19"/>
      <c r="I1045999" s="19"/>
      <c r="J1045999" s="19"/>
      <c r="K1045999" s="19"/>
      <c r="L1045999" s="19"/>
      <c r="M1045999" s="19"/>
      <c r="N1045999" s="19"/>
    </row>
    <row r="1046000" spans="1:14" s="83" customFormat="1" ht="12.75">
      <c r="A1046000" s="19"/>
      <c r="B1046000" s="19"/>
      <c r="C1046000" s="19"/>
      <c r="D1046000" s="19"/>
      <c r="E1046000" s="19"/>
      <c r="F1046000" s="19"/>
      <c r="G1046000" s="19"/>
      <c r="H1046000" s="19"/>
      <c r="I1046000" s="19"/>
      <c r="J1046000" s="19"/>
      <c r="K1046000" s="19"/>
      <c r="L1046000" s="19"/>
      <c r="M1046000" s="19"/>
      <c r="N1046000" s="19"/>
    </row>
    <row r="1046001" spans="1:14" s="83" customFormat="1" ht="12.75">
      <c r="A1046001" s="19"/>
      <c r="B1046001" s="19"/>
      <c r="C1046001" s="19"/>
      <c r="D1046001" s="19"/>
      <c r="E1046001" s="19"/>
      <c r="F1046001" s="19"/>
      <c r="G1046001" s="19"/>
      <c r="H1046001" s="19"/>
      <c r="I1046001" s="19"/>
      <c r="J1046001" s="19"/>
      <c r="K1046001" s="19"/>
      <c r="L1046001" s="19"/>
      <c r="M1046001" s="19"/>
      <c r="N1046001" s="19"/>
    </row>
    <row r="1046002" spans="1:14" s="83" customFormat="1" ht="12.75">
      <c r="A1046002" s="19"/>
      <c r="B1046002" s="19"/>
      <c r="C1046002" s="19"/>
      <c r="D1046002" s="19"/>
      <c r="E1046002" s="19"/>
      <c r="F1046002" s="19"/>
      <c r="G1046002" s="19"/>
      <c r="H1046002" s="19"/>
      <c r="I1046002" s="19"/>
      <c r="J1046002" s="19"/>
      <c r="K1046002" s="19"/>
      <c r="L1046002" s="19"/>
      <c r="M1046002" s="19"/>
      <c r="N1046002" s="19"/>
    </row>
    <row r="1046003" spans="1:14" s="83" customFormat="1" ht="12.75">
      <c r="A1046003" s="19"/>
      <c r="B1046003" s="19"/>
      <c r="C1046003" s="19"/>
      <c r="D1046003" s="19"/>
      <c r="E1046003" s="19"/>
      <c r="F1046003" s="19"/>
      <c r="G1046003" s="19"/>
      <c r="H1046003" s="19"/>
      <c r="I1046003" s="19"/>
      <c r="J1046003" s="19"/>
      <c r="K1046003" s="19"/>
      <c r="L1046003" s="19"/>
      <c r="M1046003" s="19"/>
      <c r="N1046003" s="19"/>
    </row>
    <row r="1046004" spans="1:14" s="83" customFormat="1" ht="12.75">
      <c r="A1046004" s="19"/>
      <c r="B1046004" s="19"/>
      <c r="C1046004" s="19"/>
      <c r="D1046004" s="19"/>
      <c r="E1046004" s="19"/>
      <c r="F1046004" s="19"/>
      <c r="G1046004" s="19"/>
      <c r="H1046004" s="19"/>
      <c r="I1046004" s="19"/>
      <c r="J1046004" s="19"/>
      <c r="K1046004" s="19"/>
      <c r="L1046004" s="19"/>
      <c r="M1046004" s="19"/>
      <c r="N1046004" s="19"/>
    </row>
    <row r="1046005" spans="1:14" s="83" customFormat="1" ht="12.75">
      <c r="A1046005" s="19"/>
      <c r="B1046005" s="19"/>
      <c r="C1046005" s="19"/>
      <c r="D1046005" s="19"/>
      <c r="E1046005" s="19"/>
      <c r="F1046005" s="19"/>
      <c r="G1046005" s="19"/>
      <c r="H1046005" s="19"/>
      <c r="I1046005" s="19"/>
      <c r="J1046005" s="19"/>
      <c r="K1046005" s="19"/>
      <c r="L1046005" s="19"/>
      <c r="M1046005" s="19"/>
      <c r="N1046005" s="19"/>
    </row>
    <row r="1046006" spans="1:14" s="83" customFormat="1" ht="12.75">
      <c r="A1046006" s="19"/>
      <c r="B1046006" s="19"/>
      <c r="C1046006" s="19"/>
      <c r="D1046006" s="19"/>
      <c r="E1046006" s="19"/>
      <c r="F1046006" s="19"/>
      <c r="G1046006" s="19"/>
      <c r="H1046006" s="19"/>
      <c r="I1046006" s="19"/>
      <c r="J1046006" s="19"/>
      <c r="K1046006" s="19"/>
      <c r="L1046006" s="19"/>
      <c r="M1046006" s="19"/>
      <c r="N1046006" s="19"/>
    </row>
    <row r="1046007" spans="1:14" s="83" customFormat="1" ht="12.75">
      <c r="A1046007" s="19"/>
      <c r="B1046007" s="19"/>
      <c r="C1046007" s="19"/>
      <c r="D1046007" s="19"/>
      <c r="E1046007" s="19"/>
      <c r="F1046007" s="19"/>
      <c r="G1046007" s="19"/>
      <c r="H1046007" s="19"/>
      <c r="I1046007" s="19"/>
      <c r="J1046007" s="19"/>
      <c r="K1046007" s="19"/>
      <c r="L1046007" s="19"/>
      <c r="M1046007" s="19"/>
      <c r="N1046007" s="19"/>
    </row>
    <row r="1046008" spans="1:14" s="83" customFormat="1" ht="12.75">
      <c r="A1046008" s="19"/>
      <c r="B1046008" s="19"/>
      <c r="C1046008" s="19"/>
      <c r="D1046008" s="19"/>
      <c r="E1046008" s="19"/>
      <c r="F1046008" s="19"/>
      <c r="G1046008" s="19"/>
      <c r="H1046008" s="19"/>
      <c r="I1046008" s="19"/>
      <c r="J1046008" s="19"/>
      <c r="K1046008" s="19"/>
      <c r="L1046008" s="19"/>
      <c r="M1046008" s="19"/>
      <c r="N1046008" s="19"/>
    </row>
    <row r="1046009" spans="1:14" s="83" customFormat="1" ht="12.75">
      <c r="A1046009" s="19"/>
      <c r="B1046009" s="19"/>
      <c r="C1046009" s="19"/>
      <c r="D1046009" s="19"/>
      <c r="E1046009" s="19"/>
      <c r="F1046009" s="19"/>
      <c r="G1046009" s="19"/>
      <c r="H1046009" s="19"/>
      <c r="I1046009" s="19"/>
      <c r="J1046009" s="19"/>
      <c r="K1046009" s="19"/>
      <c r="L1046009" s="19"/>
      <c r="M1046009" s="19"/>
      <c r="N1046009" s="19"/>
    </row>
    <row r="1046010" spans="1:14" s="83" customFormat="1" ht="12.75">
      <c r="A1046010" s="19"/>
      <c r="B1046010" s="19"/>
      <c r="C1046010" s="19"/>
      <c r="D1046010" s="19"/>
      <c r="E1046010" s="19"/>
      <c r="F1046010" s="19"/>
      <c r="G1046010" s="19"/>
      <c r="H1046010" s="19"/>
      <c r="I1046010" s="19"/>
      <c r="J1046010" s="19"/>
      <c r="K1046010" s="19"/>
      <c r="L1046010" s="19"/>
      <c r="M1046010" s="19"/>
      <c r="N1046010" s="19"/>
    </row>
    <row r="1046011" spans="1:14" s="83" customFormat="1" ht="12.75">
      <c r="A1046011" s="19"/>
      <c r="B1046011" s="19"/>
      <c r="C1046011" s="19"/>
      <c r="D1046011" s="19"/>
      <c r="E1046011" s="19"/>
      <c r="F1046011" s="19"/>
      <c r="G1046011" s="19"/>
      <c r="H1046011" s="19"/>
      <c r="I1046011" s="19"/>
      <c r="J1046011" s="19"/>
      <c r="K1046011" s="19"/>
      <c r="L1046011" s="19"/>
      <c r="M1046011" s="19"/>
      <c r="N1046011" s="19"/>
    </row>
    <row r="1046012" spans="1:14" s="83" customFormat="1" ht="12.75">
      <c r="A1046012" s="19"/>
      <c r="B1046012" s="19"/>
      <c r="C1046012" s="19"/>
      <c r="D1046012" s="19"/>
      <c r="E1046012" s="19"/>
      <c r="F1046012" s="19"/>
      <c r="G1046012" s="19"/>
      <c r="H1046012" s="19"/>
      <c r="I1046012" s="19"/>
      <c r="J1046012" s="19"/>
      <c r="K1046012" s="19"/>
      <c r="L1046012" s="19"/>
      <c r="M1046012" s="19"/>
      <c r="N1046012" s="19"/>
    </row>
    <row r="1046013" spans="1:14" s="83" customFormat="1" ht="12.75">
      <c r="A1046013" s="19"/>
      <c r="B1046013" s="19"/>
      <c r="C1046013" s="19"/>
      <c r="D1046013" s="19"/>
      <c r="E1046013" s="19"/>
      <c r="F1046013" s="19"/>
      <c r="G1046013" s="19"/>
      <c r="H1046013" s="19"/>
      <c r="I1046013" s="19"/>
      <c r="J1046013" s="19"/>
      <c r="K1046013" s="19"/>
      <c r="L1046013" s="19"/>
      <c r="M1046013" s="19"/>
      <c r="N1046013" s="19"/>
    </row>
    <row r="1046014" spans="1:14" s="83" customFormat="1" ht="12.75">
      <c r="A1046014" s="19"/>
      <c r="B1046014" s="19"/>
      <c r="C1046014" s="19"/>
      <c r="D1046014" s="19"/>
      <c r="E1046014" s="19"/>
      <c r="F1046014" s="19"/>
      <c r="G1046014" s="19"/>
      <c r="H1046014" s="19"/>
      <c r="I1046014" s="19"/>
      <c r="J1046014" s="19"/>
      <c r="K1046014" s="19"/>
      <c r="L1046014" s="19"/>
      <c r="M1046014" s="19"/>
      <c r="N1046014" s="19"/>
    </row>
    <row r="1046015" spans="1:14" s="83" customFormat="1" ht="12.75">
      <c r="A1046015" s="19"/>
      <c r="B1046015" s="19"/>
      <c r="C1046015" s="19"/>
      <c r="D1046015" s="19"/>
      <c r="E1046015" s="19"/>
      <c r="F1046015" s="19"/>
      <c r="G1046015" s="19"/>
      <c r="H1046015" s="19"/>
      <c r="I1046015" s="19"/>
      <c r="J1046015" s="19"/>
      <c r="K1046015" s="19"/>
      <c r="L1046015" s="19"/>
      <c r="M1046015" s="19"/>
      <c r="N1046015" s="19"/>
    </row>
    <row r="1046016" spans="1:14" s="83" customFormat="1" ht="12.75">
      <c r="A1046016" s="19"/>
      <c r="B1046016" s="19"/>
      <c r="C1046016" s="19"/>
      <c r="D1046016" s="19"/>
      <c r="E1046016" s="19"/>
      <c r="F1046016" s="19"/>
      <c r="G1046016" s="19"/>
      <c r="H1046016" s="19"/>
      <c r="I1046016" s="19"/>
      <c r="J1046016" s="19"/>
      <c r="K1046016" s="19"/>
      <c r="L1046016" s="19"/>
      <c r="M1046016" s="19"/>
      <c r="N1046016" s="19"/>
    </row>
    <row r="1046017" spans="1:14" s="83" customFormat="1" ht="12.75">
      <c r="A1046017" s="19"/>
      <c r="B1046017" s="19"/>
      <c r="C1046017" s="19"/>
      <c r="D1046017" s="19"/>
      <c r="E1046017" s="19"/>
      <c r="F1046017" s="19"/>
      <c r="G1046017" s="19"/>
      <c r="H1046017" s="19"/>
      <c r="I1046017" s="19"/>
      <c r="J1046017" s="19"/>
      <c r="K1046017" s="19"/>
      <c r="L1046017" s="19"/>
      <c r="M1046017" s="19"/>
      <c r="N1046017" s="19"/>
    </row>
    <row r="1046018" spans="1:14" s="83" customFormat="1" ht="12.75">
      <c r="A1046018" s="19"/>
      <c r="B1046018" s="19"/>
      <c r="C1046018" s="19"/>
      <c r="D1046018" s="19"/>
      <c r="E1046018" s="19"/>
      <c r="F1046018" s="19"/>
      <c r="G1046018" s="19"/>
      <c r="H1046018" s="19"/>
      <c r="I1046018" s="19"/>
      <c r="J1046018" s="19"/>
      <c r="K1046018" s="19"/>
      <c r="L1046018" s="19"/>
      <c r="M1046018" s="19"/>
      <c r="N1046018" s="19"/>
    </row>
    <row r="1046019" spans="1:14" s="83" customFormat="1" ht="12.75">
      <c r="A1046019" s="19"/>
      <c r="B1046019" s="19"/>
      <c r="C1046019" s="19"/>
      <c r="D1046019" s="19"/>
      <c r="E1046019" s="19"/>
      <c r="F1046019" s="19"/>
      <c r="G1046019" s="19"/>
      <c r="H1046019" s="19"/>
      <c r="I1046019" s="19"/>
      <c r="J1046019" s="19"/>
      <c r="K1046019" s="19"/>
      <c r="L1046019" s="19"/>
      <c r="M1046019" s="19"/>
      <c r="N1046019" s="19"/>
    </row>
    <row r="1046020" spans="1:14" s="83" customFormat="1" ht="12.75">
      <c r="A1046020" s="19"/>
      <c r="B1046020" s="19"/>
      <c r="C1046020" s="19"/>
      <c r="D1046020" s="19"/>
      <c r="E1046020" s="19"/>
      <c r="F1046020" s="19"/>
      <c r="G1046020" s="19"/>
      <c r="H1046020" s="19"/>
      <c r="I1046020" s="19"/>
      <c r="J1046020" s="19"/>
      <c r="K1046020" s="19"/>
      <c r="L1046020" s="19"/>
      <c r="M1046020" s="19"/>
      <c r="N1046020" s="19"/>
    </row>
    <row r="1046021" spans="1:14" s="83" customFormat="1" ht="12.75">
      <c r="A1046021" s="19"/>
      <c r="B1046021" s="19"/>
      <c r="C1046021" s="19"/>
      <c r="D1046021" s="19"/>
      <c r="E1046021" s="19"/>
      <c r="F1046021" s="19"/>
      <c r="G1046021" s="19"/>
      <c r="H1046021" s="19"/>
      <c r="I1046021" s="19"/>
      <c r="J1046021" s="19"/>
      <c r="K1046021" s="19"/>
      <c r="L1046021" s="19"/>
      <c r="M1046021" s="19"/>
      <c r="N1046021" s="19"/>
    </row>
    <row r="1046022" spans="1:14" s="83" customFormat="1" ht="12.75">
      <c r="A1046022" s="19"/>
      <c r="B1046022" s="19"/>
      <c r="C1046022" s="19"/>
      <c r="D1046022" s="19"/>
      <c r="E1046022" s="19"/>
      <c r="F1046022" s="19"/>
      <c r="G1046022" s="19"/>
      <c r="H1046022" s="19"/>
      <c r="I1046022" s="19"/>
      <c r="J1046022" s="19"/>
      <c r="K1046022" s="19"/>
      <c r="L1046022" s="19"/>
      <c r="M1046022" s="19"/>
      <c r="N1046022" s="19"/>
    </row>
    <row r="1046023" spans="1:14" s="83" customFormat="1" ht="12.75">
      <c r="A1046023" s="19"/>
      <c r="B1046023" s="19"/>
      <c r="C1046023" s="19"/>
      <c r="D1046023" s="19"/>
      <c r="E1046023" s="19"/>
      <c r="F1046023" s="19"/>
      <c r="G1046023" s="19"/>
      <c r="H1046023" s="19"/>
      <c r="I1046023" s="19"/>
      <c r="J1046023" s="19"/>
      <c r="K1046023" s="19"/>
      <c r="L1046023" s="19"/>
      <c r="M1046023" s="19"/>
      <c r="N1046023" s="19"/>
    </row>
    <row r="1046024" spans="1:14" s="83" customFormat="1" ht="12.75">
      <c r="A1046024" s="19"/>
      <c r="B1046024" s="19"/>
      <c r="C1046024" s="19"/>
      <c r="D1046024" s="19"/>
      <c r="E1046024" s="19"/>
      <c r="F1046024" s="19"/>
      <c r="G1046024" s="19"/>
      <c r="H1046024" s="19"/>
      <c r="I1046024" s="19"/>
      <c r="J1046024" s="19"/>
      <c r="K1046024" s="19"/>
      <c r="L1046024" s="19"/>
      <c r="M1046024" s="19"/>
      <c r="N1046024" s="19"/>
    </row>
    <row r="1046025" spans="1:14" s="83" customFormat="1" ht="12.75">
      <c r="A1046025" s="19"/>
      <c r="B1046025" s="19"/>
      <c r="C1046025" s="19"/>
      <c r="D1046025" s="19"/>
      <c r="E1046025" s="19"/>
      <c r="F1046025" s="19"/>
      <c r="G1046025" s="19"/>
      <c r="H1046025" s="19"/>
      <c r="I1046025" s="19"/>
      <c r="J1046025" s="19"/>
      <c r="K1046025" s="19"/>
      <c r="L1046025" s="19"/>
      <c r="M1046025" s="19"/>
      <c r="N1046025" s="19"/>
    </row>
    <row r="1046026" spans="1:14" s="83" customFormat="1" ht="12.75">
      <c r="A1046026" s="19"/>
      <c r="B1046026" s="19"/>
      <c r="C1046026" s="19"/>
      <c r="D1046026" s="19"/>
      <c r="E1046026" s="19"/>
      <c r="F1046026" s="19"/>
      <c r="G1046026" s="19"/>
      <c r="H1046026" s="19"/>
      <c r="I1046026" s="19"/>
      <c r="J1046026" s="19"/>
      <c r="K1046026" s="19"/>
      <c r="L1046026" s="19"/>
      <c r="M1046026" s="19"/>
      <c r="N1046026" s="19"/>
    </row>
    <row r="1046027" spans="1:14" s="83" customFormat="1" ht="12.75">
      <c r="A1046027" s="19"/>
      <c r="B1046027" s="19"/>
      <c r="C1046027" s="19"/>
      <c r="D1046027" s="19"/>
      <c r="E1046027" s="19"/>
      <c r="F1046027" s="19"/>
      <c r="G1046027" s="19"/>
      <c r="H1046027" s="19"/>
      <c r="I1046027" s="19"/>
      <c r="J1046027" s="19"/>
      <c r="K1046027" s="19"/>
      <c r="L1046027" s="19"/>
      <c r="M1046027" s="19"/>
      <c r="N1046027" s="19"/>
    </row>
    <row r="1046028" spans="1:14" s="83" customFormat="1" ht="12.75">
      <c r="A1046028" s="19"/>
      <c r="B1046028" s="19"/>
      <c r="C1046028" s="19"/>
      <c r="D1046028" s="19"/>
      <c r="E1046028" s="19"/>
      <c r="F1046028" s="19"/>
      <c r="G1046028" s="19"/>
      <c r="H1046028" s="19"/>
      <c r="I1046028" s="19"/>
      <c r="J1046028" s="19"/>
      <c r="K1046028" s="19"/>
      <c r="L1046028" s="19"/>
      <c r="M1046028" s="19"/>
      <c r="N1046028" s="19"/>
    </row>
    <row r="1046029" spans="1:14" s="83" customFormat="1" ht="12.75">
      <c r="A1046029" s="19"/>
      <c r="B1046029" s="19"/>
      <c r="C1046029" s="19"/>
      <c r="D1046029" s="19"/>
      <c r="E1046029" s="19"/>
      <c r="F1046029" s="19"/>
      <c r="G1046029" s="19"/>
      <c r="H1046029" s="19"/>
      <c r="I1046029" s="19"/>
      <c r="J1046029" s="19"/>
      <c r="K1046029" s="19"/>
      <c r="L1046029" s="19"/>
      <c r="M1046029" s="19"/>
      <c r="N1046029" s="19"/>
    </row>
    <row r="1046030" spans="1:14" s="83" customFormat="1" ht="12.75">
      <c r="A1046030" s="19"/>
      <c r="B1046030" s="19"/>
      <c r="C1046030" s="19"/>
      <c r="D1046030" s="19"/>
      <c r="E1046030" s="19"/>
      <c r="F1046030" s="19"/>
      <c r="G1046030" s="19"/>
      <c r="H1046030" s="19"/>
      <c r="I1046030" s="19"/>
      <c r="J1046030" s="19"/>
      <c r="K1046030" s="19"/>
      <c r="L1046030" s="19"/>
      <c r="M1046030" s="19"/>
      <c r="N1046030" s="19"/>
    </row>
    <row r="1046031" spans="1:14" s="83" customFormat="1" ht="12.75">
      <c r="A1046031" s="19"/>
      <c r="B1046031" s="19"/>
      <c r="C1046031" s="19"/>
      <c r="D1046031" s="19"/>
      <c r="E1046031" s="19"/>
      <c r="F1046031" s="19"/>
      <c r="G1046031" s="19"/>
      <c r="H1046031" s="19"/>
      <c r="I1046031" s="19"/>
      <c r="J1046031" s="19"/>
      <c r="K1046031" s="19"/>
      <c r="L1046031" s="19"/>
      <c r="M1046031" s="19"/>
      <c r="N1046031" s="19"/>
    </row>
    <row r="1046032" spans="1:14" s="83" customFormat="1" ht="12.75">
      <c r="A1046032" s="19"/>
      <c r="B1046032" s="19"/>
      <c r="C1046032" s="19"/>
      <c r="D1046032" s="19"/>
      <c r="E1046032" s="19"/>
      <c r="F1046032" s="19"/>
      <c r="G1046032" s="19"/>
      <c r="H1046032" s="19"/>
      <c r="I1046032" s="19"/>
      <c r="J1046032" s="19"/>
      <c r="K1046032" s="19"/>
      <c r="L1046032" s="19"/>
      <c r="M1046032" s="19"/>
      <c r="N1046032" s="19"/>
    </row>
    <row r="1046033" spans="1:14" s="83" customFormat="1" ht="12.75">
      <c r="A1046033" s="19"/>
      <c r="B1046033" s="19"/>
      <c r="C1046033" s="19"/>
      <c r="D1046033" s="19"/>
      <c r="E1046033" s="19"/>
      <c r="F1046033" s="19"/>
      <c r="G1046033" s="19"/>
      <c r="H1046033" s="19"/>
      <c r="I1046033" s="19"/>
      <c r="J1046033" s="19"/>
      <c r="K1046033" s="19"/>
      <c r="L1046033" s="19"/>
      <c r="M1046033" s="19"/>
      <c r="N1046033" s="19"/>
    </row>
    <row r="1046034" spans="1:14" s="83" customFormat="1" ht="12.75">
      <c r="A1046034" s="19"/>
      <c r="B1046034" s="19"/>
      <c r="C1046034" s="19"/>
      <c r="D1046034" s="19"/>
      <c r="E1046034" s="19"/>
      <c r="F1046034" s="19"/>
      <c r="G1046034" s="19"/>
      <c r="H1046034" s="19"/>
      <c r="I1046034" s="19"/>
      <c r="J1046034" s="19"/>
      <c r="K1046034" s="19"/>
      <c r="L1046034" s="19"/>
      <c r="M1046034" s="19"/>
      <c r="N1046034" s="19"/>
    </row>
    <row r="1046035" spans="1:14" s="83" customFormat="1" ht="12.75">
      <c r="A1046035" s="19"/>
      <c r="B1046035" s="19"/>
      <c r="C1046035" s="19"/>
      <c r="D1046035" s="19"/>
      <c r="E1046035" s="19"/>
      <c r="F1046035" s="19"/>
      <c r="G1046035" s="19"/>
      <c r="H1046035" s="19"/>
      <c r="I1046035" s="19"/>
      <c r="J1046035" s="19"/>
      <c r="K1046035" s="19"/>
      <c r="L1046035" s="19"/>
      <c r="M1046035" s="19"/>
      <c r="N1046035" s="19"/>
    </row>
    <row r="1046036" spans="1:14" s="83" customFormat="1" ht="12.75">
      <c r="A1046036" s="19"/>
      <c r="B1046036" s="19"/>
      <c r="C1046036" s="19"/>
      <c r="D1046036" s="19"/>
      <c r="E1046036" s="19"/>
      <c r="F1046036" s="19"/>
      <c r="G1046036" s="19"/>
      <c r="H1046036" s="19"/>
      <c r="I1046036" s="19"/>
      <c r="J1046036" s="19"/>
      <c r="K1046036" s="19"/>
      <c r="L1046036" s="19"/>
      <c r="M1046036" s="19"/>
      <c r="N1046036" s="19"/>
    </row>
    <row r="1046037" spans="1:14" s="83" customFormat="1" ht="12.75">
      <c r="A1046037" s="19"/>
      <c r="B1046037" s="19"/>
      <c r="C1046037" s="19"/>
      <c r="D1046037" s="19"/>
      <c r="E1046037" s="19"/>
      <c r="F1046037" s="19"/>
      <c r="G1046037" s="19"/>
      <c r="H1046037" s="19"/>
      <c r="I1046037" s="19"/>
      <c r="J1046037" s="19"/>
      <c r="K1046037" s="19"/>
      <c r="L1046037" s="19"/>
      <c r="M1046037" s="19"/>
      <c r="N1046037" s="19"/>
    </row>
    <row r="1046038" spans="1:14" s="83" customFormat="1" ht="12.75">
      <c r="A1046038" s="19"/>
      <c r="B1046038" s="19"/>
      <c r="C1046038" s="19"/>
      <c r="D1046038" s="19"/>
      <c r="E1046038" s="19"/>
      <c r="F1046038" s="19"/>
      <c r="G1046038" s="19"/>
      <c r="H1046038" s="19"/>
      <c r="I1046038" s="19"/>
      <c r="J1046038" s="19"/>
      <c r="K1046038" s="19"/>
      <c r="L1046038" s="19"/>
      <c r="M1046038" s="19"/>
      <c r="N1046038" s="19"/>
    </row>
    <row r="1046039" spans="1:14" s="83" customFormat="1" ht="12.75">
      <c r="A1046039" s="19"/>
      <c r="B1046039" s="19"/>
      <c r="C1046039" s="19"/>
      <c r="D1046039" s="19"/>
      <c r="E1046039" s="19"/>
      <c r="F1046039" s="19"/>
      <c r="G1046039" s="19"/>
      <c r="H1046039" s="19"/>
      <c r="I1046039" s="19"/>
      <c r="J1046039" s="19"/>
      <c r="K1046039" s="19"/>
      <c r="L1046039" s="19"/>
      <c r="M1046039" s="19"/>
      <c r="N1046039" s="19"/>
    </row>
    <row r="1046040" spans="1:14" s="83" customFormat="1" ht="12.75">
      <c r="A1046040" s="19"/>
      <c r="B1046040" s="19"/>
      <c r="C1046040" s="19"/>
      <c r="D1046040" s="19"/>
      <c r="E1046040" s="19"/>
      <c r="F1046040" s="19"/>
      <c r="G1046040" s="19"/>
      <c r="H1046040" s="19"/>
      <c r="I1046040" s="19"/>
      <c r="J1046040" s="19"/>
      <c r="K1046040" s="19"/>
      <c r="L1046040" s="19"/>
      <c r="M1046040" s="19"/>
      <c r="N1046040" s="19"/>
    </row>
    <row r="1046041" spans="1:14" s="83" customFormat="1" ht="12.75">
      <c r="A1046041" s="19"/>
      <c r="B1046041" s="19"/>
      <c r="C1046041" s="19"/>
      <c r="D1046041" s="19"/>
      <c r="E1046041" s="19"/>
      <c r="F1046041" s="19"/>
      <c r="G1046041" s="19"/>
      <c r="H1046041" s="19"/>
      <c r="I1046041" s="19"/>
      <c r="J1046041" s="19"/>
      <c r="K1046041" s="19"/>
      <c r="L1046041" s="19"/>
      <c r="M1046041" s="19"/>
      <c r="N1046041" s="19"/>
    </row>
    <row r="1046042" spans="1:14" s="83" customFormat="1" ht="12.75">
      <c r="A1046042" s="19"/>
      <c r="B1046042" s="19"/>
      <c r="C1046042" s="19"/>
      <c r="D1046042" s="19"/>
      <c r="E1046042" s="19"/>
      <c r="F1046042" s="19"/>
      <c r="G1046042" s="19"/>
      <c r="H1046042" s="19"/>
      <c r="I1046042" s="19"/>
      <c r="J1046042" s="19"/>
      <c r="K1046042" s="19"/>
      <c r="L1046042" s="19"/>
      <c r="M1046042" s="19"/>
      <c r="N1046042" s="19"/>
    </row>
    <row r="1046043" spans="1:14" s="83" customFormat="1" ht="12.75">
      <c r="A1046043" s="19"/>
      <c r="B1046043" s="19"/>
      <c r="C1046043" s="19"/>
      <c r="D1046043" s="19"/>
      <c r="E1046043" s="19"/>
      <c r="F1046043" s="19"/>
      <c r="G1046043" s="19"/>
      <c r="H1046043" s="19"/>
      <c r="I1046043" s="19"/>
      <c r="J1046043" s="19"/>
      <c r="K1046043" s="19"/>
      <c r="L1046043" s="19"/>
      <c r="M1046043" s="19"/>
      <c r="N1046043" s="19"/>
    </row>
    <row r="1046044" spans="1:14" s="83" customFormat="1" ht="12.75">
      <c r="A1046044" s="19"/>
      <c r="B1046044" s="19"/>
      <c r="C1046044" s="19"/>
      <c r="D1046044" s="19"/>
      <c r="E1046044" s="19"/>
      <c r="F1046044" s="19"/>
      <c r="G1046044" s="19"/>
      <c r="H1046044" s="19"/>
      <c r="I1046044" s="19"/>
      <c r="J1046044" s="19"/>
      <c r="K1046044" s="19"/>
      <c r="L1046044" s="19"/>
      <c r="M1046044" s="19"/>
      <c r="N1046044" s="19"/>
    </row>
    <row r="1046045" spans="1:14" s="83" customFormat="1" ht="12.75">
      <c r="A1046045" s="19"/>
      <c r="B1046045" s="19"/>
      <c r="C1046045" s="19"/>
      <c r="D1046045" s="19"/>
      <c r="E1046045" s="19"/>
      <c r="F1046045" s="19"/>
      <c r="G1046045" s="19"/>
      <c r="H1046045" s="19"/>
      <c r="I1046045" s="19"/>
      <c r="J1046045" s="19"/>
      <c r="K1046045" s="19"/>
      <c r="L1046045" s="19"/>
      <c r="M1046045" s="19"/>
      <c r="N1046045" s="19"/>
    </row>
    <row r="1046046" spans="1:14" s="83" customFormat="1" ht="12.75">
      <c r="A1046046" s="19"/>
      <c r="B1046046" s="19"/>
      <c r="C1046046" s="19"/>
      <c r="D1046046" s="19"/>
      <c r="E1046046" s="19"/>
      <c r="F1046046" s="19"/>
      <c r="G1046046" s="19"/>
      <c r="H1046046" s="19"/>
      <c r="I1046046" s="19"/>
      <c r="J1046046" s="19"/>
      <c r="K1046046" s="19"/>
      <c r="L1046046" s="19"/>
      <c r="M1046046" s="19"/>
      <c r="N1046046" s="19"/>
    </row>
    <row r="1046047" spans="1:14" s="83" customFormat="1" ht="12.75">
      <c r="A1046047" s="19"/>
      <c r="B1046047" s="19"/>
      <c r="C1046047" s="19"/>
      <c r="D1046047" s="19"/>
      <c r="E1046047" s="19"/>
      <c r="F1046047" s="19"/>
      <c r="G1046047" s="19"/>
      <c r="H1046047" s="19"/>
      <c r="I1046047" s="19"/>
      <c r="J1046047" s="19"/>
      <c r="K1046047" s="19"/>
      <c r="L1046047" s="19"/>
      <c r="M1046047" s="19"/>
      <c r="N1046047" s="19"/>
    </row>
    <row r="1046048" spans="1:14" s="83" customFormat="1" ht="12.75">
      <c r="A1046048" s="19"/>
      <c r="B1046048" s="19"/>
      <c r="C1046048" s="19"/>
      <c r="D1046048" s="19"/>
      <c r="E1046048" s="19"/>
      <c r="F1046048" s="19"/>
      <c r="G1046048" s="19"/>
      <c r="H1046048" s="19"/>
      <c r="I1046048" s="19"/>
      <c r="J1046048" s="19"/>
      <c r="K1046048" s="19"/>
      <c r="L1046048" s="19"/>
      <c r="M1046048" s="19"/>
      <c r="N1046048" s="19"/>
    </row>
    <row r="1046049" spans="1:14" s="83" customFormat="1" ht="12.75">
      <c r="A1046049" s="19"/>
      <c r="B1046049" s="19"/>
      <c r="C1046049" s="19"/>
      <c r="D1046049" s="19"/>
      <c r="E1046049" s="19"/>
      <c r="F1046049" s="19"/>
      <c r="G1046049" s="19"/>
      <c r="H1046049" s="19"/>
      <c r="I1046049" s="19"/>
      <c r="J1046049" s="19"/>
      <c r="K1046049" s="19"/>
      <c r="L1046049" s="19"/>
      <c r="M1046049" s="19"/>
      <c r="N1046049" s="19"/>
    </row>
    <row r="1046050" spans="1:14" s="83" customFormat="1" ht="12.75">
      <c r="A1046050" s="19"/>
      <c r="B1046050" s="19"/>
      <c r="C1046050" s="19"/>
      <c r="D1046050" s="19"/>
      <c r="E1046050" s="19"/>
      <c r="F1046050" s="19"/>
      <c r="G1046050" s="19"/>
      <c r="H1046050" s="19"/>
      <c r="I1046050" s="19"/>
      <c r="J1046050" s="19"/>
      <c r="K1046050" s="19"/>
      <c r="L1046050" s="19"/>
      <c r="M1046050" s="19"/>
      <c r="N1046050" s="19"/>
    </row>
    <row r="1046051" spans="1:14" s="83" customFormat="1" ht="12.75">
      <c r="A1046051" s="19"/>
      <c r="B1046051" s="19"/>
      <c r="C1046051" s="19"/>
      <c r="D1046051" s="19"/>
      <c r="E1046051" s="19"/>
      <c r="F1046051" s="19"/>
      <c r="G1046051" s="19"/>
      <c r="H1046051" s="19"/>
      <c r="I1046051" s="19"/>
      <c r="J1046051" s="19"/>
      <c r="K1046051" s="19"/>
      <c r="L1046051" s="19"/>
      <c r="M1046051" s="19"/>
      <c r="N1046051" s="19"/>
    </row>
    <row r="1046052" spans="1:14" s="83" customFormat="1" ht="12.75">
      <c r="A1046052" s="19"/>
      <c r="B1046052" s="19"/>
      <c r="C1046052" s="19"/>
      <c r="D1046052" s="19"/>
      <c r="E1046052" s="19"/>
      <c r="F1046052" s="19"/>
      <c r="G1046052" s="19"/>
      <c r="H1046052" s="19"/>
      <c r="I1046052" s="19"/>
      <c r="J1046052" s="19"/>
      <c r="K1046052" s="19"/>
      <c r="L1046052" s="19"/>
      <c r="M1046052" s="19"/>
      <c r="N1046052" s="19"/>
    </row>
    <row r="1046053" spans="1:14" s="83" customFormat="1" ht="12.75">
      <c r="A1046053" s="19"/>
      <c r="B1046053" s="19"/>
      <c r="C1046053" s="19"/>
      <c r="D1046053" s="19"/>
      <c r="E1046053" s="19"/>
      <c r="F1046053" s="19"/>
      <c r="G1046053" s="19"/>
      <c r="H1046053" s="19"/>
      <c r="I1046053" s="19"/>
      <c r="J1046053" s="19"/>
      <c r="K1046053" s="19"/>
      <c r="L1046053" s="19"/>
      <c r="M1046053" s="19"/>
      <c r="N1046053" s="19"/>
    </row>
    <row r="1046054" spans="1:14" s="83" customFormat="1" ht="12.75">
      <c r="A1046054" s="19"/>
      <c r="B1046054" s="19"/>
      <c r="C1046054" s="19"/>
      <c r="D1046054" s="19"/>
      <c r="E1046054" s="19"/>
      <c r="F1046054" s="19"/>
      <c r="G1046054" s="19"/>
      <c r="H1046054" s="19"/>
      <c r="I1046054" s="19"/>
      <c r="J1046054" s="19"/>
      <c r="K1046054" s="19"/>
      <c r="L1046054" s="19"/>
      <c r="M1046054" s="19"/>
      <c r="N1046054" s="19"/>
    </row>
    <row r="1046055" spans="1:14" s="83" customFormat="1" ht="12.75">
      <c r="A1046055" s="19"/>
      <c r="B1046055" s="19"/>
      <c r="C1046055" s="19"/>
      <c r="D1046055" s="19"/>
      <c r="E1046055" s="19"/>
      <c r="F1046055" s="19"/>
      <c r="G1046055" s="19"/>
      <c r="H1046055" s="19"/>
      <c r="I1046055" s="19"/>
      <c r="J1046055" s="19"/>
      <c r="K1046055" s="19"/>
      <c r="L1046055" s="19"/>
      <c r="M1046055" s="19"/>
      <c r="N1046055" s="19"/>
    </row>
    <row r="1046056" spans="1:14" s="83" customFormat="1" ht="12.75">
      <c r="A1046056" s="19"/>
      <c r="B1046056" s="19"/>
      <c r="C1046056" s="19"/>
      <c r="D1046056" s="19"/>
      <c r="E1046056" s="19"/>
      <c r="F1046056" s="19"/>
      <c r="G1046056" s="19"/>
      <c r="H1046056" s="19"/>
      <c r="I1046056" s="19"/>
      <c r="J1046056" s="19"/>
      <c r="K1046056" s="19"/>
      <c r="L1046056" s="19"/>
      <c r="M1046056" s="19"/>
      <c r="N1046056" s="19"/>
    </row>
    <row r="1046057" spans="1:14" s="83" customFormat="1" ht="12.75">
      <c r="A1046057" s="19"/>
      <c r="B1046057" s="19"/>
      <c r="C1046057" s="19"/>
      <c r="D1046057" s="19"/>
      <c r="E1046057" s="19"/>
      <c r="F1046057" s="19"/>
      <c r="G1046057" s="19"/>
      <c r="H1046057" s="19"/>
      <c r="I1046057" s="19"/>
      <c r="J1046057" s="19"/>
      <c r="K1046057" s="19"/>
      <c r="L1046057" s="19"/>
      <c r="M1046057" s="19"/>
      <c r="N1046057" s="19"/>
    </row>
    <row r="1046058" spans="1:14" s="83" customFormat="1" ht="12.75">
      <c r="A1046058" s="19"/>
      <c r="B1046058" s="19"/>
      <c r="C1046058" s="19"/>
      <c r="D1046058" s="19"/>
      <c r="E1046058" s="19"/>
      <c r="F1046058" s="19"/>
      <c r="G1046058" s="19"/>
      <c r="H1046058" s="19"/>
      <c r="I1046058" s="19"/>
      <c r="J1046058" s="19"/>
      <c r="K1046058" s="19"/>
      <c r="L1046058" s="19"/>
      <c r="M1046058" s="19"/>
      <c r="N1046058" s="19"/>
    </row>
    <row r="1046059" spans="1:14" s="83" customFormat="1" ht="12.75">
      <c r="A1046059" s="19"/>
      <c r="B1046059" s="19"/>
      <c r="C1046059" s="19"/>
      <c r="D1046059" s="19"/>
      <c r="E1046059" s="19"/>
      <c r="F1046059" s="19"/>
      <c r="G1046059" s="19"/>
      <c r="H1046059" s="19"/>
      <c r="I1046059" s="19"/>
      <c r="J1046059" s="19"/>
      <c r="K1046059" s="19"/>
      <c r="L1046059" s="19"/>
      <c r="M1046059" s="19"/>
      <c r="N1046059" s="19"/>
    </row>
    <row r="1046060" spans="1:14" s="83" customFormat="1" ht="12.75">
      <c r="A1046060" s="19"/>
      <c r="B1046060" s="19"/>
      <c r="C1046060" s="19"/>
      <c r="D1046060" s="19"/>
      <c r="E1046060" s="19"/>
      <c r="F1046060" s="19"/>
      <c r="G1046060" s="19"/>
      <c r="H1046060" s="19"/>
      <c r="I1046060" s="19"/>
      <c r="J1046060" s="19"/>
      <c r="K1046060" s="19"/>
      <c r="L1046060" s="19"/>
      <c r="M1046060" s="19"/>
      <c r="N1046060" s="19"/>
    </row>
    <row r="1046061" spans="1:14" s="83" customFormat="1" ht="12.75">
      <c r="A1046061" s="19"/>
      <c r="B1046061" s="19"/>
      <c r="C1046061" s="19"/>
      <c r="D1046061" s="19"/>
      <c r="E1046061" s="19"/>
      <c r="F1046061" s="19"/>
      <c r="G1046061" s="19"/>
      <c r="H1046061" s="19"/>
      <c r="I1046061" s="19"/>
      <c r="J1046061" s="19"/>
      <c r="K1046061" s="19"/>
      <c r="L1046061" s="19"/>
      <c r="M1046061" s="19"/>
      <c r="N1046061" s="19"/>
    </row>
    <row r="1046062" spans="1:14" s="83" customFormat="1" ht="12.75">
      <c r="A1046062" s="19"/>
      <c r="B1046062" s="19"/>
      <c r="C1046062" s="19"/>
      <c r="D1046062" s="19"/>
      <c r="E1046062" s="19"/>
      <c r="F1046062" s="19"/>
      <c r="G1046062" s="19"/>
      <c r="H1046062" s="19"/>
      <c r="I1046062" s="19"/>
      <c r="J1046062" s="19"/>
      <c r="K1046062" s="19"/>
      <c r="L1046062" s="19"/>
      <c r="M1046062" s="19"/>
      <c r="N1046062" s="19"/>
    </row>
    <row r="1046063" spans="1:14" s="83" customFormat="1" ht="12.75">
      <c r="A1046063" s="19"/>
      <c r="B1046063" s="19"/>
      <c r="C1046063" s="19"/>
      <c r="D1046063" s="19"/>
      <c r="E1046063" s="19"/>
      <c r="F1046063" s="19"/>
      <c r="G1046063" s="19"/>
      <c r="H1046063" s="19"/>
      <c r="I1046063" s="19"/>
      <c r="J1046063" s="19"/>
      <c r="K1046063" s="19"/>
      <c r="L1046063" s="19"/>
      <c r="M1046063" s="19"/>
      <c r="N1046063" s="19"/>
    </row>
    <row r="1046064" spans="1:14" s="83" customFormat="1" ht="12.75">
      <c r="A1046064" s="19"/>
      <c r="B1046064" s="19"/>
      <c r="C1046064" s="19"/>
      <c r="D1046064" s="19"/>
      <c r="E1046064" s="19"/>
      <c r="F1046064" s="19"/>
      <c r="G1046064" s="19"/>
      <c r="H1046064" s="19"/>
      <c r="I1046064" s="19"/>
      <c r="J1046064" s="19"/>
      <c r="K1046064" s="19"/>
      <c r="L1046064" s="19"/>
      <c r="M1046064" s="19"/>
      <c r="N1046064" s="19"/>
    </row>
    <row r="1046065" spans="1:14" s="83" customFormat="1" ht="12.75">
      <c r="A1046065" s="19"/>
      <c r="B1046065" s="19"/>
      <c r="C1046065" s="19"/>
      <c r="D1046065" s="19"/>
      <c r="E1046065" s="19"/>
      <c r="F1046065" s="19"/>
      <c r="G1046065" s="19"/>
      <c r="H1046065" s="19"/>
      <c r="I1046065" s="19"/>
      <c r="J1046065" s="19"/>
      <c r="K1046065" s="19"/>
      <c r="L1046065" s="19"/>
      <c r="M1046065" s="19"/>
      <c r="N1046065" s="19"/>
    </row>
    <row r="1046066" spans="1:14" s="83" customFormat="1" ht="12.75">
      <c r="A1046066" s="19"/>
      <c r="B1046066" s="19"/>
      <c r="C1046066" s="19"/>
      <c r="D1046066" s="19"/>
      <c r="E1046066" s="19"/>
      <c r="F1046066" s="19"/>
      <c r="G1046066" s="19"/>
      <c r="H1046066" s="19"/>
      <c r="I1046066" s="19"/>
      <c r="J1046066" s="19"/>
      <c r="K1046066" s="19"/>
      <c r="L1046066" s="19"/>
      <c r="M1046066" s="19"/>
      <c r="N1046066" s="19"/>
    </row>
    <row r="1046067" spans="1:14" s="83" customFormat="1" ht="12.75">
      <c r="A1046067" s="19"/>
      <c r="B1046067" s="19"/>
      <c r="C1046067" s="19"/>
      <c r="D1046067" s="19"/>
      <c r="E1046067" s="19"/>
      <c r="F1046067" s="19"/>
      <c r="G1046067" s="19"/>
      <c r="H1046067" s="19"/>
      <c r="I1046067" s="19"/>
      <c r="J1046067" s="19"/>
      <c r="K1046067" s="19"/>
      <c r="L1046067" s="19"/>
      <c r="M1046067" s="19"/>
      <c r="N1046067" s="19"/>
    </row>
    <row r="1046068" spans="1:14" s="83" customFormat="1" ht="12.75">
      <c r="A1046068" s="19"/>
      <c r="B1046068" s="19"/>
      <c r="C1046068" s="19"/>
      <c r="D1046068" s="19"/>
      <c r="E1046068" s="19"/>
      <c r="F1046068" s="19"/>
      <c r="G1046068" s="19"/>
      <c r="H1046068" s="19"/>
      <c r="I1046068" s="19"/>
      <c r="J1046068" s="19"/>
      <c r="K1046068" s="19"/>
      <c r="L1046068" s="19"/>
      <c r="M1046068" s="19"/>
      <c r="N1046068" s="19"/>
    </row>
    <row r="1046069" spans="1:14" s="83" customFormat="1" ht="12.75">
      <c r="A1046069" s="19"/>
      <c r="B1046069" s="19"/>
      <c r="C1046069" s="19"/>
      <c r="D1046069" s="19"/>
      <c r="E1046069" s="19"/>
      <c r="F1046069" s="19"/>
      <c r="G1046069" s="19"/>
      <c r="H1046069" s="19"/>
      <c r="I1046069" s="19"/>
      <c r="J1046069" s="19"/>
      <c r="K1046069" s="19"/>
      <c r="L1046069" s="19"/>
      <c r="M1046069" s="19"/>
      <c r="N1046069" s="19"/>
    </row>
    <row r="1046070" spans="1:14" s="83" customFormat="1" ht="12.75">
      <c r="A1046070" s="19"/>
      <c r="B1046070" s="19"/>
      <c r="C1046070" s="19"/>
      <c r="D1046070" s="19"/>
      <c r="E1046070" s="19"/>
      <c r="F1046070" s="19"/>
      <c r="G1046070" s="19"/>
      <c r="H1046070" s="19"/>
      <c r="I1046070" s="19"/>
      <c r="J1046070" s="19"/>
      <c r="K1046070" s="19"/>
      <c r="L1046070" s="19"/>
      <c r="M1046070" s="19"/>
      <c r="N1046070" s="19"/>
    </row>
    <row r="1046071" spans="1:14" s="83" customFormat="1" ht="12.75">
      <c r="A1046071" s="19"/>
      <c r="B1046071" s="19"/>
      <c r="C1046071" s="19"/>
      <c r="D1046071" s="19"/>
      <c r="E1046071" s="19"/>
      <c r="F1046071" s="19"/>
      <c r="G1046071" s="19"/>
      <c r="H1046071" s="19"/>
      <c r="I1046071" s="19"/>
      <c r="J1046071" s="19"/>
      <c r="K1046071" s="19"/>
      <c r="L1046071" s="19"/>
      <c r="M1046071" s="19"/>
      <c r="N1046071" s="19"/>
    </row>
    <row r="1046072" spans="1:14" s="83" customFormat="1" ht="12.75">
      <c r="A1046072" s="19"/>
      <c r="B1046072" s="19"/>
      <c r="C1046072" s="19"/>
      <c r="D1046072" s="19"/>
      <c r="E1046072" s="19"/>
      <c r="F1046072" s="19"/>
      <c r="G1046072" s="19"/>
      <c r="H1046072" s="19"/>
      <c r="I1046072" s="19"/>
      <c r="J1046072" s="19"/>
      <c r="K1046072" s="19"/>
      <c r="L1046072" s="19"/>
      <c r="M1046072" s="19"/>
      <c r="N1046072" s="19"/>
    </row>
    <row r="1046073" spans="1:14" s="83" customFormat="1" ht="12.75">
      <c r="A1046073" s="19"/>
      <c r="B1046073" s="19"/>
      <c r="C1046073" s="19"/>
      <c r="D1046073" s="19"/>
      <c r="E1046073" s="19"/>
      <c r="F1046073" s="19"/>
      <c r="G1046073" s="19"/>
      <c r="H1046073" s="19"/>
      <c r="I1046073" s="19"/>
      <c r="J1046073" s="19"/>
      <c r="K1046073" s="19"/>
      <c r="L1046073" s="19"/>
      <c r="M1046073" s="19"/>
      <c r="N1046073" s="19"/>
    </row>
    <row r="1046074" spans="1:14" s="83" customFormat="1" ht="12.75">
      <c r="A1046074" s="19"/>
      <c r="B1046074" s="19"/>
      <c r="C1046074" s="19"/>
      <c r="D1046074" s="19"/>
      <c r="E1046074" s="19"/>
      <c r="F1046074" s="19"/>
      <c r="G1046074" s="19"/>
      <c r="H1046074" s="19"/>
      <c r="I1046074" s="19"/>
      <c r="J1046074" s="19"/>
      <c r="K1046074" s="19"/>
      <c r="L1046074" s="19"/>
      <c r="M1046074" s="19"/>
      <c r="N1046074" s="19"/>
    </row>
    <row r="1046075" spans="1:14" s="83" customFormat="1" ht="12.75">
      <c r="A1046075" s="19"/>
      <c r="B1046075" s="19"/>
      <c r="C1046075" s="19"/>
      <c r="D1046075" s="19"/>
      <c r="E1046075" s="19"/>
      <c r="F1046075" s="19"/>
      <c r="G1046075" s="19"/>
      <c r="H1046075" s="19"/>
      <c r="I1046075" s="19"/>
      <c r="J1046075" s="19"/>
      <c r="K1046075" s="19"/>
      <c r="L1046075" s="19"/>
      <c r="M1046075" s="19"/>
      <c r="N1046075" s="19"/>
    </row>
    <row r="1046076" spans="1:14" s="83" customFormat="1" ht="12.75">
      <c r="A1046076" s="19"/>
      <c r="B1046076" s="19"/>
      <c r="C1046076" s="19"/>
      <c r="D1046076" s="19"/>
      <c r="E1046076" s="19"/>
      <c r="F1046076" s="19"/>
      <c r="G1046076" s="19"/>
      <c r="H1046076" s="19"/>
      <c r="I1046076" s="19"/>
      <c r="J1046076" s="19"/>
      <c r="K1046076" s="19"/>
      <c r="L1046076" s="19"/>
      <c r="M1046076" s="19"/>
      <c r="N1046076" s="19"/>
    </row>
    <row r="1046077" spans="1:14" s="83" customFormat="1" ht="12.75">
      <c r="A1046077" s="19"/>
      <c r="B1046077" s="19"/>
      <c r="C1046077" s="19"/>
      <c r="D1046077" s="19"/>
      <c r="E1046077" s="19"/>
      <c r="F1046077" s="19"/>
      <c r="G1046077" s="19"/>
      <c r="H1046077" s="19"/>
      <c r="I1046077" s="19"/>
      <c r="J1046077" s="19"/>
      <c r="K1046077" s="19"/>
      <c r="L1046077" s="19"/>
      <c r="M1046077" s="19"/>
      <c r="N1046077" s="19"/>
    </row>
    <row r="1046078" spans="1:14" s="83" customFormat="1" ht="12.75">
      <c r="A1046078" s="19"/>
      <c r="B1046078" s="19"/>
      <c r="C1046078" s="19"/>
      <c r="D1046078" s="19"/>
      <c r="E1046078" s="19"/>
      <c r="F1046078" s="19"/>
      <c r="G1046078" s="19"/>
      <c r="H1046078" s="19"/>
      <c r="I1046078" s="19"/>
      <c r="J1046078" s="19"/>
      <c r="K1046078" s="19"/>
      <c r="L1046078" s="19"/>
      <c r="M1046078" s="19"/>
      <c r="N1046078" s="19"/>
    </row>
    <row r="1046079" spans="1:14" s="83" customFormat="1" ht="12.75">
      <c r="A1046079" s="19"/>
      <c r="B1046079" s="19"/>
      <c r="C1046079" s="19"/>
      <c r="D1046079" s="19"/>
      <c r="E1046079" s="19"/>
      <c r="F1046079" s="19"/>
      <c r="G1046079" s="19"/>
      <c r="H1046079" s="19"/>
      <c r="I1046079" s="19"/>
      <c r="J1046079" s="19"/>
      <c r="K1046079" s="19"/>
      <c r="L1046079" s="19"/>
      <c r="M1046079" s="19"/>
      <c r="N1046079" s="19"/>
    </row>
    <row r="1046080" spans="1:14" s="83" customFormat="1" ht="12.75">
      <c r="A1046080" s="19"/>
      <c r="B1046080" s="19"/>
      <c r="C1046080" s="19"/>
      <c r="D1046080" s="19"/>
      <c r="E1046080" s="19"/>
      <c r="F1046080" s="19"/>
      <c r="G1046080" s="19"/>
      <c r="H1046080" s="19"/>
      <c r="I1046080" s="19"/>
      <c r="J1046080" s="19"/>
      <c r="K1046080" s="19"/>
      <c r="L1046080" s="19"/>
      <c r="M1046080" s="19"/>
      <c r="N1046080" s="19"/>
    </row>
    <row r="1046081" spans="1:14" s="83" customFormat="1" ht="12.75">
      <c r="A1046081" s="19"/>
      <c r="B1046081" s="19"/>
      <c r="C1046081" s="19"/>
      <c r="D1046081" s="19"/>
      <c r="E1046081" s="19"/>
      <c r="F1046081" s="19"/>
      <c r="G1046081" s="19"/>
      <c r="H1046081" s="19"/>
      <c r="I1046081" s="19"/>
      <c r="J1046081" s="19"/>
      <c r="K1046081" s="19"/>
      <c r="L1046081" s="19"/>
      <c r="M1046081" s="19"/>
      <c r="N1046081" s="19"/>
    </row>
    <row r="1046082" spans="1:14" s="83" customFormat="1" ht="12.75">
      <c r="A1046082" s="19"/>
      <c r="B1046082" s="19"/>
      <c r="C1046082" s="19"/>
      <c r="D1046082" s="19"/>
      <c r="E1046082" s="19"/>
      <c r="F1046082" s="19"/>
      <c r="G1046082" s="19"/>
      <c r="H1046082" s="19"/>
      <c r="I1046082" s="19"/>
      <c r="J1046082" s="19"/>
      <c r="K1046082" s="19"/>
      <c r="L1046082" s="19"/>
      <c r="M1046082" s="19"/>
      <c r="N1046082" s="19"/>
    </row>
    <row r="1046083" spans="1:14" s="83" customFormat="1" ht="12.75">
      <c r="A1046083" s="19"/>
      <c r="B1046083" s="19"/>
      <c r="C1046083" s="19"/>
      <c r="D1046083" s="19"/>
      <c r="E1046083" s="19"/>
      <c r="F1046083" s="19"/>
      <c r="G1046083" s="19"/>
      <c r="H1046083" s="19"/>
      <c r="I1046083" s="19"/>
      <c r="J1046083" s="19"/>
      <c r="K1046083" s="19"/>
      <c r="L1046083" s="19"/>
      <c r="M1046083" s="19"/>
      <c r="N1046083" s="19"/>
    </row>
    <row r="1046084" spans="1:14" s="83" customFormat="1" ht="12.75">
      <c r="A1046084" s="19"/>
      <c r="B1046084" s="19"/>
      <c r="C1046084" s="19"/>
      <c r="D1046084" s="19"/>
      <c r="E1046084" s="19"/>
      <c r="F1046084" s="19"/>
      <c r="G1046084" s="19"/>
      <c r="H1046084" s="19"/>
      <c r="I1046084" s="19"/>
      <c r="J1046084" s="19"/>
      <c r="K1046084" s="19"/>
      <c r="L1046084" s="19"/>
      <c r="M1046084" s="19"/>
      <c r="N1046084" s="19"/>
    </row>
    <row r="1046085" spans="1:14" s="83" customFormat="1" ht="12.75">
      <c r="A1046085" s="19"/>
      <c r="B1046085" s="19"/>
      <c r="C1046085" s="19"/>
      <c r="D1046085" s="19"/>
      <c r="E1046085" s="19"/>
      <c r="F1046085" s="19"/>
      <c r="G1046085" s="19"/>
      <c r="H1046085" s="19"/>
      <c r="I1046085" s="19"/>
      <c r="J1046085" s="19"/>
      <c r="K1046085" s="19"/>
      <c r="L1046085" s="19"/>
      <c r="M1046085" s="19"/>
      <c r="N1046085" s="19"/>
    </row>
    <row r="1046086" spans="1:14" s="83" customFormat="1" ht="12.75">
      <c r="A1046086" s="19"/>
      <c r="B1046086" s="19"/>
      <c r="C1046086" s="19"/>
      <c r="D1046086" s="19"/>
      <c r="E1046086" s="19"/>
      <c r="F1046086" s="19"/>
      <c r="G1046086" s="19"/>
      <c r="H1046086" s="19"/>
      <c r="I1046086" s="19"/>
      <c r="J1046086" s="19"/>
      <c r="K1046086" s="19"/>
      <c r="L1046086" s="19"/>
      <c r="M1046086" s="19"/>
      <c r="N1046086" s="19"/>
    </row>
    <row r="1046087" spans="1:14" s="83" customFormat="1" ht="12.75">
      <c r="A1046087" s="19"/>
      <c r="B1046087" s="19"/>
      <c r="C1046087" s="19"/>
      <c r="D1046087" s="19"/>
      <c r="E1046087" s="19"/>
      <c r="F1046087" s="19"/>
      <c r="G1046087" s="19"/>
      <c r="H1046087" s="19"/>
      <c r="I1046087" s="19"/>
      <c r="J1046087" s="19"/>
      <c r="K1046087" s="19"/>
      <c r="L1046087" s="19"/>
      <c r="M1046087" s="19"/>
      <c r="N1046087" s="19"/>
    </row>
    <row r="1046088" spans="1:14" s="83" customFormat="1" ht="12.75">
      <c r="A1046088" s="19"/>
      <c r="B1046088" s="19"/>
      <c r="C1046088" s="19"/>
      <c r="D1046088" s="19"/>
      <c r="E1046088" s="19"/>
      <c r="F1046088" s="19"/>
      <c r="G1046088" s="19"/>
      <c r="H1046088" s="19"/>
      <c r="I1046088" s="19"/>
      <c r="J1046088" s="19"/>
      <c r="K1046088" s="19"/>
      <c r="L1046088" s="19"/>
      <c r="M1046088" s="19"/>
      <c r="N1046088" s="19"/>
    </row>
    <row r="1046089" spans="1:14" s="83" customFormat="1" ht="12.75">
      <c r="A1046089" s="19"/>
      <c r="B1046089" s="19"/>
      <c r="C1046089" s="19"/>
      <c r="D1046089" s="19"/>
      <c r="E1046089" s="19"/>
      <c r="F1046089" s="19"/>
      <c r="G1046089" s="19"/>
      <c r="H1046089" s="19"/>
      <c r="I1046089" s="19"/>
      <c r="J1046089" s="19"/>
      <c r="K1046089" s="19"/>
      <c r="L1046089" s="19"/>
      <c r="M1046089" s="19"/>
      <c r="N1046089" s="19"/>
    </row>
    <row r="1046090" spans="1:14" s="83" customFormat="1" ht="12.75">
      <c r="A1046090" s="19"/>
      <c r="B1046090" s="19"/>
      <c r="C1046090" s="19"/>
      <c r="D1046090" s="19"/>
      <c r="E1046090" s="19"/>
      <c r="F1046090" s="19"/>
      <c r="G1046090" s="19"/>
      <c r="H1046090" s="19"/>
      <c r="I1046090" s="19"/>
      <c r="J1046090" s="19"/>
      <c r="K1046090" s="19"/>
      <c r="L1046090" s="19"/>
      <c r="M1046090" s="19"/>
      <c r="N1046090" s="19"/>
    </row>
    <row r="1046091" spans="1:14" s="83" customFormat="1" ht="12.75">
      <c r="A1046091" s="19"/>
      <c r="B1046091" s="19"/>
      <c r="C1046091" s="19"/>
      <c r="D1046091" s="19"/>
      <c r="E1046091" s="19"/>
      <c r="F1046091" s="19"/>
      <c r="G1046091" s="19"/>
      <c r="H1046091" s="19"/>
      <c r="I1046091" s="19"/>
      <c r="J1046091" s="19"/>
      <c r="K1046091" s="19"/>
      <c r="L1046091" s="19"/>
      <c r="M1046091" s="19"/>
      <c r="N1046091" s="19"/>
    </row>
    <row r="1046092" spans="1:14" s="83" customFormat="1" ht="12.75">
      <c r="A1046092" s="19"/>
      <c r="B1046092" s="19"/>
      <c r="C1046092" s="19"/>
      <c r="D1046092" s="19"/>
      <c r="E1046092" s="19"/>
      <c r="F1046092" s="19"/>
      <c r="G1046092" s="19"/>
      <c r="H1046092" s="19"/>
      <c r="I1046092" s="19"/>
      <c r="J1046092" s="19"/>
      <c r="K1046092" s="19"/>
      <c r="L1046092" s="19"/>
      <c r="M1046092" s="19"/>
      <c r="N1046092" s="19"/>
    </row>
    <row r="1046093" spans="1:14" s="83" customFormat="1" ht="12.75">
      <c r="A1046093" s="19"/>
      <c r="B1046093" s="19"/>
      <c r="C1046093" s="19"/>
      <c r="D1046093" s="19"/>
      <c r="E1046093" s="19"/>
      <c r="F1046093" s="19"/>
      <c r="G1046093" s="19"/>
      <c r="H1046093" s="19"/>
      <c r="I1046093" s="19"/>
      <c r="J1046093" s="19"/>
      <c r="K1046093" s="19"/>
      <c r="L1046093" s="19"/>
      <c r="M1046093" s="19"/>
      <c r="N1046093" s="19"/>
    </row>
    <row r="1046094" spans="1:14" s="83" customFormat="1" ht="12.75">
      <c r="A1046094" s="19"/>
      <c r="B1046094" s="19"/>
      <c r="C1046094" s="19"/>
      <c r="D1046094" s="19"/>
      <c r="E1046094" s="19"/>
      <c r="F1046094" s="19"/>
      <c r="G1046094" s="19"/>
      <c r="H1046094" s="19"/>
      <c r="I1046094" s="19"/>
      <c r="J1046094" s="19"/>
      <c r="K1046094" s="19"/>
      <c r="L1046094" s="19"/>
      <c r="M1046094" s="19"/>
      <c r="N1046094" s="19"/>
    </row>
    <row r="1046095" spans="1:14" s="83" customFormat="1" ht="12.75">
      <c r="A1046095" s="19"/>
      <c r="B1046095" s="19"/>
      <c r="C1046095" s="19"/>
      <c r="D1046095" s="19"/>
      <c r="E1046095" s="19"/>
      <c r="F1046095" s="19"/>
      <c r="G1046095" s="19"/>
      <c r="H1046095" s="19"/>
      <c r="I1046095" s="19"/>
      <c r="J1046095" s="19"/>
      <c r="K1046095" s="19"/>
      <c r="L1046095" s="19"/>
      <c r="M1046095" s="19"/>
      <c r="N1046095" s="19"/>
    </row>
    <row r="1046096" spans="1:14" s="83" customFormat="1" ht="12.75">
      <c r="A1046096" s="19"/>
      <c r="B1046096" s="19"/>
      <c r="C1046096" s="19"/>
      <c r="D1046096" s="19"/>
      <c r="E1046096" s="19"/>
      <c r="F1046096" s="19"/>
      <c r="G1046096" s="19"/>
      <c r="H1046096" s="19"/>
      <c r="I1046096" s="19"/>
      <c r="J1046096" s="19"/>
      <c r="K1046096" s="19"/>
      <c r="L1046096" s="19"/>
      <c r="M1046096" s="19"/>
      <c r="N1046096" s="19"/>
    </row>
    <row r="1046097" spans="1:14" s="83" customFormat="1" ht="12.75">
      <c r="A1046097" s="19"/>
      <c r="B1046097" s="19"/>
      <c r="C1046097" s="19"/>
      <c r="D1046097" s="19"/>
      <c r="E1046097" s="19"/>
      <c r="F1046097" s="19"/>
      <c r="G1046097" s="19"/>
      <c r="H1046097" s="19"/>
      <c r="I1046097" s="19"/>
      <c r="J1046097" s="19"/>
      <c r="K1046097" s="19"/>
      <c r="L1046097" s="19"/>
      <c r="M1046097" s="19"/>
      <c r="N1046097" s="19"/>
    </row>
    <row r="1046098" spans="1:14" s="83" customFormat="1" ht="12.75">
      <c r="A1046098" s="19"/>
      <c r="B1046098" s="19"/>
      <c r="C1046098" s="19"/>
      <c r="D1046098" s="19"/>
      <c r="E1046098" s="19"/>
      <c r="F1046098" s="19"/>
      <c r="G1046098" s="19"/>
      <c r="H1046098" s="19"/>
      <c r="I1046098" s="19"/>
      <c r="J1046098" s="19"/>
      <c r="K1046098" s="19"/>
      <c r="L1046098" s="19"/>
      <c r="M1046098" s="19"/>
      <c r="N1046098" s="19"/>
    </row>
    <row r="1046099" spans="1:14" s="83" customFormat="1" ht="12.75">
      <c r="A1046099" s="19"/>
      <c r="B1046099" s="19"/>
      <c r="C1046099" s="19"/>
      <c r="D1046099" s="19"/>
      <c r="E1046099" s="19"/>
      <c r="F1046099" s="19"/>
      <c r="G1046099" s="19"/>
      <c r="H1046099" s="19"/>
      <c r="I1046099" s="19"/>
      <c r="J1046099" s="19"/>
      <c r="K1046099" s="19"/>
      <c r="L1046099" s="19"/>
      <c r="M1046099" s="19"/>
      <c r="N1046099" s="19"/>
    </row>
    <row r="1046100" spans="1:14" s="83" customFormat="1" ht="12.75">
      <c r="A1046100" s="19"/>
      <c r="B1046100" s="19"/>
      <c r="C1046100" s="19"/>
      <c r="D1046100" s="19"/>
      <c r="E1046100" s="19"/>
      <c r="F1046100" s="19"/>
      <c r="G1046100" s="19"/>
      <c r="H1046100" s="19"/>
      <c r="I1046100" s="19"/>
      <c r="J1046100" s="19"/>
      <c r="K1046100" s="19"/>
      <c r="L1046100" s="19"/>
      <c r="M1046100" s="19"/>
      <c r="N1046100" s="19"/>
    </row>
    <row r="1046101" spans="1:14" s="83" customFormat="1" ht="12.75">
      <c r="A1046101" s="19"/>
      <c r="B1046101" s="19"/>
      <c r="C1046101" s="19"/>
      <c r="D1046101" s="19"/>
      <c r="E1046101" s="19"/>
      <c r="F1046101" s="19"/>
      <c r="G1046101" s="19"/>
      <c r="H1046101" s="19"/>
      <c r="I1046101" s="19"/>
      <c r="J1046101" s="19"/>
      <c r="K1046101" s="19"/>
      <c r="L1046101" s="19"/>
      <c r="M1046101" s="19"/>
      <c r="N1046101" s="19"/>
    </row>
    <row r="1046102" spans="1:14" s="83" customFormat="1" ht="12.75">
      <c r="A1046102" s="19"/>
      <c r="B1046102" s="19"/>
      <c r="C1046102" s="19"/>
      <c r="D1046102" s="19"/>
      <c r="E1046102" s="19"/>
      <c r="F1046102" s="19"/>
      <c r="G1046102" s="19"/>
      <c r="H1046102" s="19"/>
      <c r="I1046102" s="19"/>
      <c r="J1046102" s="19"/>
      <c r="K1046102" s="19"/>
      <c r="L1046102" s="19"/>
      <c r="M1046102" s="19"/>
      <c r="N1046102" s="19"/>
    </row>
    <row r="1046103" spans="1:14" s="83" customFormat="1" ht="12.75">
      <c r="A1046103" s="19"/>
      <c r="B1046103" s="19"/>
      <c r="C1046103" s="19"/>
      <c r="D1046103" s="19"/>
      <c r="E1046103" s="19"/>
      <c r="F1046103" s="19"/>
      <c r="G1046103" s="19"/>
      <c r="H1046103" s="19"/>
      <c r="I1046103" s="19"/>
      <c r="J1046103" s="19"/>
      <c r="K1046103" s="19"/>
      <c r="L1046103" s="19"/>
      <c r="M1046103" s="19"/>
      <c r="N1046103" s="19"/>
    </row>
    <row r="1046104" spans="1:14" s="83" customFormat="1" ht="12.75">
      <c r="A1046104" s="19"/>
      <c r="B1046104" s="19"/>
      <c r="C1046104" s="19"/>
      <c r="D1046104" s="19"/>
      <c r="E1046104" s="19"/>
      <c r="F1046104" s="19"/>
      <c r="G1046104" s="19"/>
      <c r="H1046104" s="19"/>
      <c r="I1046104" s="19"/>
      <c r="J1046104" s="19"/>
      <c r="K1046104" s="19"/>
      <c r="L1046104" s="19"/>
      <c r="M1046104" s="19"/>
      <c r="N1046104" s="19"/>
    </row>
    <row r="1046105" spans="1:14" s="83" customFormat="1" ht="12.75">
      <c r="A1046105" s="19"/>
      <c r="B1046105" s="19"/>
      <c r="C1046105" s="19"/>
      <c r="D1046105" s="19"/>
      <c r="E1046105" s="19"/>
      <c r="F1046105" s="19"/>
      <c r="G1046105" s="19"/>
      <c r="H1046105" s="19"/>
      <c r="I1046105" s="19"/>
      <c r="J1046105" s="19"/>
      <c r="K1046105" s="19"/>
      <c r="L1046105" s="19"/>
      <c r="M1046105" s="19"/>
      <c r="N1046105" s="19"/>
    </row>
    <row r="1046106" spans="1:14" s="83" customFormat="1" ht="12.75">
      <c r="A1046106" s="19"/>
      <c r="B1046106" s="19"/>
      <c r="C1046106" s="19"/>
      <c r="D1046106" s="19"/>
      <c r="E1046106" s="19"/>
      <c r="F1046106" s="19"/>
      <c r="G1046106" s="19"/>
      <c r="H1046106" s="19"/>
      <c r="I1046106" s="19"/>
      <c r="J1046106" s="19"/>
      <c r="K1046106" s="19"/>
      <c r="L1046106" s="19"/>
      <c r="M1046106" s="19"/>
      <c r="N1046106" s="19"/>
    </row>
    <row r="1046107" spans="1:14" s="83" customFormat="1" ht="12.75">
      <c r="A1046107" s="19"/>
      <c r="B1046107" s="19"/>
      <c r="C1046107" s="19"/>
      <c r="D1046107" s="19"/>
      <c r="E1046107" s="19"/>
      <c r="F1046107" s="19"/>
      <c r="G1046107" s="19"/>
      <c r="H1046107" s="19"/>
      <c r="I1046107" s="19"/>
      <c r="J1046107" s="19"/>
      <c r="K1046107" s="19"/>
      <c r="L1046107" s="19"/>
      <c r="M1046107" s="19"/>
      <c r="N1046107" s="19"/>
    </row>
    <row r="1046108" spans="1:14" s="83" customFormat="1" ht="12.75">
      <c r="A1046108" s="19"/>
      <c r="B1046108" s="19"/>
      <c r="C1046108" s="19"/>
      <c r="D1046108" s="19"/>
      <c r="E1046108" s="19"/>
      <c r="F1046108" s="19"/>
      <c r="G1046108" s="19"/>
      <c r="H1046108" s="19"/>
      <c r="I1046108" s="19"/>
      <c r="J1046108" s="19"/>
      <c r="K1046108" s="19"/>
      <c r="L1046108" s="19"/>
      <c r="M1046108" s="19"/>
      <c r="N1046108" s="19"/>
    </row>
    <row r="1046109" spans="1:14" s="83" customFormat="1" ht="12.75">
      <c r="A1046109" s="19"/>
      <c r="B1046109" s="19"/>
      <c r="C1046109" s="19"/>
      <c r="D1046109" s="19"/>
      <c r="E1046109" s="19"/>
      <c r="F1046109" s="19"/>
      <c r="G1046109" s="19"/>
      <c r="H1046109" s="19"/>
      <c r="I1046109" s="19"/>
      <c r="J1046109" s="19"/>
      <c r="K1046109" s="19"/>
      <c r="L1046109" s="19"/>
      <c r="M1046109" s="19"/>
      <c r="N1046109" s="19"/>
    </row>
    <row r="1046110" spans="1:14" s="83" customFormat="1" ht="12.75">
      <c r="A1046110" s="19"/>
      <c r="B1046110" s="19"/>
      <c r="C1046110" s="19"/>
      <c r="D1046110" s="19"/>
      <c r="E1046110" s="19"/>
      <c r="F1046110" s="19"/>
      <c r="G1046110" s="19"/>
      <c r="H1046110" s="19"/>
      <c r="I1046110" s="19"/>
      <c r="J1046110" s="19"/>
      <c r="K1046110" s="19"/>
      <c r="L1046110" s="19"/>
      <c r="M1046110" s="19"/>
      <c r="N1046110" s="19"/>
    </row>
    <row r="1046111" spans="1:14" s="83" customFormat="1" ht="12.75">
      <c r="A1046111" s="19"/>
      <c r="B1046111" s="19"/>
      <c r="C1046111" s="19"/>
      <c r="D1046111" s="19"/>
      <c r="E1046111" s="19"/>
      <c r="F1046111" s="19"/>
      <c r="G1046111" s="19"/>
      <c r="H1046111" s="19"/>
      <c r="I1046111" s="19"/>
      <c r="J1046111" s="19"/>
      <c r="K1046111" s="19"/>
      <c r="L1046111" s="19"/>
      <c r="M1046111" s="19"/>
      <c r="N1046111" s="19"/>
    </row>
    <row r="1046112" spans="1:14" s="83" customFormat="1" ht="12.75">
      <c r="A1046112" s="19"/>
      <c r="B1046112" s="19"/>
      <c r="C1046112" s="19"/>
      <c r="D1046112" s="19"/>
      <c r="E1046112" s="19"/>
      <c r="F1046112" s="19"/>
      <c r="G1046112" s="19"/>
      <c r="H1046112" s="19"/>
      <c r="I1046112" s="19"/>
      <c r="J1046112" s="19"/>
      <c r="K1046112" s="19"/>
      <c r="L1046112" s="19"/>
      <c r="M1046112" s="19"/>
      <c r="N1046112" s="19"/>
    </row>
    <row r="1046113" spans="1:14" s="83" customFormat="1" ht="12.75">
      <c r="A1046113" s="19"/>
      <c r="B1046113" s="19"/>
      <c r="C1046113" s="19"/>
      <c r="D1046113" s="19"/>
      <c r="E1046113" s="19"/>
      <c r="F1046113" s="19"/>
      <c r="G1046113" s="19"/>
      <c r="H1046113" s="19"/>
      <c r="I1046113" s="19"/>
      <c r="J1046113" s="19"/>
      <c r="K1046113" s="19"/>
      <c r="L1046113" s="19"/>
      <c r="M1046113" s="19"/>
      <c r="N1046113" s="19"/>
    </row>
    <row r="1046114" spans="1:14" s="83" customFormat="1" ht="12.75">
      <c r="A1046114" s="19"/>
      <c r="B1046114" s="19"/>
      <c r="C1046114" s="19"/>
      <c r="D1046114" s="19"/>
      <c r="E1046114" s="19"/>
      <c r="F1046114" s="19"/>
      <c r="G1046114" s="19"/>
      <c r="H1046114" s="19"/>
      <c r="I1046114" s="19"/>
      <c r="J1046114" s="19"/>
      <c r="K1046114" s="19"/>
      <c r="L1046114" s="19"/>
      <c r="M1046114" s="19"/>
      <c r="N1046114" s="19"/>
    </row>
    <row r="1046115" spans="1:14" s="83" customFormat="1" ht="12.75">
      <c r="A1046115" s="19"/>
      <c r="B1046115" s="19"/>
      <c r="C1046115" s="19"/>
      <c r="D1046115" s="19"/>
      <c r="E1046115" s="19"/>
      <c r="F1046115" s="19"/>
      <c r="G1046115" s="19"/>
      <c r="H1046115" s="19"/>
      <c r="I1046115" s="19"/>
      <c r="J1046115" s="19"/>
      <c r="K1046115" s="19"/>
      <c r="L1046115" s="19"/>
      <c r="M1046115" s="19"/>
      <c r="N1046115" s="19"/>
    </row>
    <row r="1046116" spans="1:14" s="83" customFormat="1" ht="12.75">
      <c r="A1046116" s="19"/>
      <c r="B1046116" s="19"/>
      <c r="C1046116" s="19"/>
      <c r="D1046116" s="19"/>
      <c r="E1046116" s="19"/>
      <c r="F1046116" s="19"/>
      <c r="G1046116" s="19"/>
      <c r="H1046116" s="19"/>
      <c r="I1046116" s="19"/>
      <c r="J1046116" s="19"/>
      <c r="K1046116" s="19"/>
      <c r="L1046116" s="19"/>
      <c r="M1046116" s="19"/>
      <c r="N1046116" s="19"/>
    </row>
    <row r="1046117" spans="1:14" s="83" customFormat="1" ht="12.75">
      <c r="A1046117" s="19"/>
      <c r="B1046117" s="19"/>
      <c r="C1046117" s="19"/>
      <c r="D1046117" s="19"/>
      <c r="E1046117" s="19"/>
      <c r="F1046117" s="19"/>
      <c r="G1046117" s="19"/>
      <c r="H1046117" s="19"/>
      <c r="I1046117" s="19"/>
      <c r="J1046117" s="19"/>
      <c r="K1046117" s="19"/>
      <c r="L1046117" s="19"/>
      <c r="M1046117" s="19"/>
      <c r="N1046117" s="19"/>
    </row>
    <row r="1046118" spans="1:14" s="83" customFormat="1" ht="12.75">
      <c r="A1046118" s="19"/>
      <c r="B1046118" s="19"/>
      <c r="C1046118" s="19"/>
      <c r="D1046118" s="19"/>
      <c r="E1046118" s="19"/>
      <c r="F1046118" s="19"/>
      <c r="G1046118" s="19"/>
      <c r="H1046118" s="19"/>
      <c r="I1046118" s="19"/>
      <c r="J1046118" s="19"/>
      <c r="K1046118" s="19"/>
      <c r="L1046118" s="19"/>
      <c r="M1046118" s="19"/>
      <c r="N1046118" s="19"/>
    </row>
    <row r="1046119" spans="1:14" s="83" customFormat="1" ht="12.75">
      <c r="A1046119" s="19"/>
      <c r="B1046119" s="19"/>
      <c r="C1046119" s="19"/>
      <c r="D1046119" s="19"/>
      <c r="E1046119" s="19"/>
      <c r="F1046119" s="19"/>
      <c r="G1046119" s="19"/>
      <c r="H1046119" s="19"/>
      <c r="I1046119" s="19"/>
      <c r="J1046119" s="19"/>
      <c r="K1046119" s="19"/>
      <c r="L1046119" s="19"/>
      <c r="M1046119" s="19"/>
      <c r="N1046119" s="19"/>
    </row>
    <row r="1046120" spans="1:14" s="83" customFormat="1" ht="12.75">
      <c r="A1046120" s="19"/>
      <c r="B1046120" s="19"/>
      <c r="C1046120" s="19"/>
      <c r="D1046120" s="19"/>
      <c r="E1046120" s="19"/>
      <c r="F1046120" s="19"/>
      <c r="G1046120" s="19"/>
      <c r="H1046120" s="19"/>
      <c r="I1046120" s="19"/>
      <c r="J1046120" s="19"/>
      <c r="K1046120" s="19"/>
      <c r="L1046120" s="19"/>
      <c r="M1046120" s="19"/>
      <c r="N1046120" s="19"/>
    </row>
    <row r="1046121" spans="1:14" s="83" customFormat="1" ht="12.75">
      <c r="A1046121" s="19"/>
      <c r="B1046121" s="19"/>
      <c r="C1046121" s="19"/>
      <c r="D1046121" s="19"/>
      <c r="E1046121" s="19"/>
      <c r="F1046121" s="19"/>
      <c r="G1046121" s="19"/>
      <c r="H1046121" s="19"/>
      <c r="I1046121" s="19"/>
      <c r="J1046121" s="19"/>
      <c r="K1046121" s="19"/>
      <c r="L1046121" s="19"/>
      <c r="M1046121" s="19"/>
      <c r="N1046121" s="19"/>
    </row>
    <row r="1046122" spans="1:14" s="83" customFormat="1" ht="12.75">
      <c r="A1046122" s="19"/>
      <c r="B1046122" s="19"/>
      <c r="C1046122" s="19"/>
      <c r="D1046122" s="19"/>
      <c r="E1046122" s="19"/>
      <c r="F1046122" s="19"/>
      <c r="G1046122" s="19"/>
      <c r="H1046122" s="19"/>
      <c r="I1046122" s="19"/>
      <c r="J1046122" s="19"/>
      <c r="K1046122" s="19"/>
      <c r="L1046122" s="19"/>
      <c r="M1046122" s="19"/>
      <c r="N1046122" s="19"/>
    </row>
    <row r="1046123" spans="1:14" s="83" customFormat="1" ht="12.75">
      <c r="A1046123" s="19"/>
      <c r="B1046123" s="19"/>
      <c r="C1046123" s="19"/>
      <c r="D1046123" s="19"/>
      <c r="E1046123" s="19"/>
      <c r="F1046123" s="19"/>
      <c r="G1046123" s="19"/>
      <c r="H1046123" s="19"/>
      <c r="I1046123" s="19"/>
      <c r="J1046123" s="19"/>
      <c r="K1046123" s="19"/>
      <c r="L1046123" s="19"/>
      <c r="M1046123" s="19"/>
      <c r="N1046123" s="19"/>
    </row>
    <row r="1046124" spans="1:14" s="83" customFormat="1" ht="12.75">
      <c r="A1046124" s="19"/>
      <c r="B1046124" s="19"/>
      <c r="C1046124" s="19"/>
      <c r="D1046124" s="19"/>
      <c r="E1046124" s="19"/>
      <c r="F1046124" s="19"/>
      <c r="G1046124" s="19"/>
      <c r="H1046124" s="19"/>
      <c r="I1046124" s="19"/>
      <c r="J1046124" s="19"/>
      <c r="K1046124" s="19"/>
      <c r="L1046124" s="19"/>
      <c r="M1046124" s="19"/>
      <c r="N1046124" s="19"/>
    </row>
    <row r="1046125" spans="1:14" s="83" customFormat="1" ht="12.75">
      <c r="A1046125" s="19"/>
      <c r="B1046125" s="19"/>
      <c r="C1046125" s="19"/>
      <c r="D1046125" s="19"/>
      <c r="E1046125" s="19"/>
      <c r="F1046125" s="19"/>
      <c r="G1046125" s="19"/>
      <c r="H1046125" s="19"/>
      <c r="I1046125" s="19"/>
      <c r="J1046125" s="19"/>
      <c r="K1046125" s="19"/>
      <c r="L1046125" s="19"/>
      <c r="M1046125" s="19"/>
      <c r="N1046125" s="19"/>
    </row>
    <row r="1046126" spans="1:14" s="83" customFormat="1" ht="12.75">
      <c r="A1046126" s="19"/>
      <c r="B1046126" s="19"/>
      <c r="C1046126" s="19"/>
      <c r="D1046126" s="19"/>
      <c r="E1046126" s="19"/>
      <c r="F1046126" s="19"/>
      <c r="G1046126" s="19"/>
      <c r="H1046126" s="19"/>
      <c r="I1046126" s="19"/>
      <c r="J1046126" s="19"/>
      <c r="K1046126" s="19"/>
      <c r="L1046126" s="19"/>
      <c r="M1046126" s="19"/>
      <c r="N1046126" s="19"/>
    </row>
    <row r="1046127" spans="1:14" s="83" customFormat="1" ht="12.75">
      <c r="A1046127" s="19"/>
      <c r="B1046127" s="19"/>
      <c r="C1046127" s="19"/>
      <c r="D1046127" s="19"/>
      <c r="E1046127" s="19"/>
      <c r="F1046127" s="19"/>
      <c r="G1046127" s="19"/>
      <c r="H1046127" s="19"/>
      <c r="I1046127" s="19"/>
      <c r="J1046127" s="19"/>
      <c r="K1046127" s="19"/>
      <c r="L1046127" s="19"/>
      <c r="M1046127" s="19"/>
      <c r="N1046127" s="19"/>
    </row>
    <row r="1046128" spans="1:14" s="83" customFormat="1" ht="12.75">
      <c r="A1046128" s="19"/>
      <c r="B1046128" s="19"/>
      <c r="C1046128" s="19"/>
      <c r="D1046128" s="19"/>
      <c r="E1046128" s="19"/>
      <c r="F1046128" s="19"/>
      <c r="G1046128" s="19"/>
      <c r="H1046128" s="19"/>
      <c r="I1046128" s="19"/>
      <c r="J1046128" s="19"/>
      <c r="K1046128" s="19"/>
      <c r="L1046128" s="19"/>
      <c r="M1046128" s="19"/>
      <c r="N1046128" s="19"/>
    </row>
    <row r="1046129" spans="1:14" s="83" customFormat="1" ht="12.75">
      <c r="A1046129" s="19"/>
      <c r="B1046129" s="19"/>
      <c r="C1046129" s="19"/>
      <c r="D1046129" s="19"/>
      <c r="E1046129" s="19"/>
      <c r="F1046129" s="19"/>
      <c r="G1046129" s="19"/>
      <c r="H1046129" s="19"/>
      <c r="I1046129" s="19"/>
      <c r="J1046129" s="19"/>
      <c r="K1046129" s="19"/>
      <c r="L1046129" s="19"/>
      <c r="M1046129" s="19"/>
      <c r="N1046129" s="19"/>
    </row>
    <row r="1046130" spans="1:14" s="83" customFormat="1" ht="12.75">
      <c r="A1046130" s="19"/>
      <c r="B1046130" s="19"/>
      <c r="C1046130" s="19"/>
      <c r="D1046130" s="19"/>
      <c r="E1046130" s="19"/>
      <c r="F1046130" s="19"/>
      <c r="G1046130" s="19"/>
      <c r="H1046130" s="19"/>
      <c r="I1046130" s="19"/>
      <c r="J1046130" s="19"/>
      <c r="K1046130" s="19"/>
      <c r="L1046130" s="19"/>
      <c r="M1046130" s="19"/>
      <c r="N1046130" s="19"/>
    </row>
    <row r="1046131" spans="1:14" s="83" customFormat="1" ht="12.75">
      <c r="A1046131" s="19"/>
      <c r="B1046131" s="19"/>
      <c r="C1046131" s="19"/>
      <c r="D1046131" s="19"/>
      <c r="E1046131" s="19"/>
      <c r="F1046131" s="19"/>
      <c r="G1046131" s="19"/>
      <c r="H1046131" s="19"/>
      <c r="I1046131" s="19"/>
      <c r="J1046131" s="19"/>
      <c r="K1046131" s="19"/>
      <c r="L1046131" s="19"/>
      <c r="M1046131" s="19"/>
      <c r="N1046131" s="19"/>
    </row>
    <row r="1046132" spans="1:14" s="83" customFormat="1" ht="12.75">
      <c r="A1046132" s="19"/>
      <c r="B1046132" s="19"/>
      <c r="C1046132" s="19"/>
      <c r="D1046132" s="19"/>
      <c r="E1046132" s="19"/>
      <c r="F1046132" s="19"/>
      <c r="G1046132" s="19"/>
      <c r="H1046132" s="19"/>
      <c r="I1046132" s="19"/>
      <c r="J1046132" s="19"/>
      <c r="K1046132" s="19"/>
      <c r="L1046132" s="19"/>
      <c r="M1046132" s="19"/>
      <c r="N1046132" s="19"/>
    </row>
    <row r="1046133" spans="1:14" s="83" customFormat="1" ht="12.75">
      <c r="A1046133" s="19"/>
      <c r="B1046133" s="19"/>
      <c r="C1046133" s="19"/>
      <c r="D1046133" s="19"/>
      <c r="E1046133" s="19"/>
      <c r="F1046133" s="19"/>
      <c r="G1046133" s="19"/>
      <c r="H1046133" s="19"/>
      <c r="I1046133" s="19"/>
      <c r="J1046133" s="19"/>
      <c r="K1046133" s="19"/>
      <c r="L1046133" s="19"/>
      <c r="M1046133" s="19"/>
      <c r="N1046133" s="19"/>
    </row>
    <row r="1046134" spans="1:14" s="83" customFormat="1" ht="12.75">
      <c r="A1046134" s="19"/>
      <c r="B1046134" s="19"/>
      <c r="C1046134" s="19"/>
      <c r="D1046134" s="19"/>
      <c r="E1046134" s="19"/>
      <c r="F1046134" s="19"/>
      <c r="G1046134" s="19"/>
      <c r="H1046134" s="19"/>
      <c r="I1046134" s="19"/>
      <c r="J1046134" s="19"/>
      <c r="K1046134" s="19"/>
      <c r="L1046134" s="19"/>
      <c r="M1046134" s="19"/>
      <c r="N1046134" s="19"/>
    </row>
    <row r="1046135" spans="1:14" s="83" customFormat="1" ht="12.75">
      <c r="A1046135" s="19"/>
      <c r="B1046135" s="19"/>
      <c r="C1046135" s="19"/>
      <c r="D1046135" s="19"/>
      <c r="E1046135" s="19"/>
      <c r="F1046135" s="19"/>
      <c r="G1046135" s="19"/>
      <c r="H1046135" s="19"/>
      <c r="I1046135" s="19"/>
      <c r="J1046135" s="19"/>
      <c r="K1046135" s="19"/>
      <c r="L1046135" s="19"/>
      <c r="M1046135" s="19"/>
      <c r="N1046135" s="19"/>
    </row>
    <row r="1046136" spans="1:14" s="83" customFormat="1" ht="12.75">
      <c r="A1046136" s="19"/>
      <c r="B1046136" s="19"/>
      <c r="C1046136" s="19"/>
      <c r="D1046136" s="19"/>
      <c r="E1046136" s="19"/>
      <c r="F1046136" s="19"/>
      <c r="G1046136" s="19"/>
      <c r="H1046136" s="19"/>
      <c r="I1046136" s="19"/>
      <c r="J1046136" s="19"/>
      <c r="K1046136" s="19"/>
      <c r="L1046136" s="19"/>
      <c r="M1046136" s="19"/>
      <c r="N1046136" s="19"/>
    </row>
    <row r="1046137" spans="1:14" s="83" customFormat="1" ht="12.75">
      <c r="A1046137" s="19"/>
      <c r="B1046137" s="19"/>
      <c r="C1046137" s="19"/>
      <c r="D1046137" s="19"/>
      <c r="E1046137" s="19"/>
      <c r="F1046137" s="19"/>
      <c r="G1046137" s="19"/>
      <c r="H1046137" s="19"/>
      <c r="I1046137" s="19"/>
      <c r="J1046137" s="19"/>
      <c r="K1046137" s="19"/>
      <c r="L1046137" s="19"/>
      <c r="M1046137" s="19"/>
      <c r="N1046137" s="19"/>
    </row>
    <row r="1046138" spans="1:14" s="83" customFormat="1" ht="12.75">
      <c r="A1046138" s="19"/>
      <c r="B1046138" s="19"/>
      <c r="C1046138" s="19"/>
      <c r="D1046138" s="19"/>
      <c r="E1046138" s="19"/>
      <c r="F1046138" s="19"/>
      <c r="G1046138" s="19"/>
      <c r="H1046138" s="19"/>
      <c r="I1046138" s="19"/>
      <c r="J1046138" s="19"/>
      <c r="K1046138" s="19"/>
      <c r="L1046138" s="19"/>
      <c r="M1046138" s="19"/>
      <c r="N1046138" s="19"/>
    </row>
    <row r="1046139" spans="1:14" s="83" customFormat="1" ht="12.75">
      <c r="A1046139" s="19"/>
      <c r="B1046139" s="19"/>
      <c r="C1046139" s="19"/>
      <c r="D1046139" s="19"/>
      <c r="E1046139" s="19"/>
      <c r="F1046139" s="19"/>
      <c r="G1046139" s="19"/>
      <c r="H1046139" s="19"/>
      <c r="I1046139" s="19"/>
      <c r="J1046139" s="19"/>
      <c r="K1046139" s="19"/>
      <c r="L1046139" s="19"/>
      <c r="M1046139" s="19"/>
      <c r="N1046139" s="19"/>
    </row>
    <row r="1046140" spans="1:14" s="83" customFormat="1" ht="12.75">
      <c r="A1046140" s="19"/>
      <c r="B1046140" s="19"/>
      <c r="C1046140" s="19"/>
      <c r="D1046140" s="19"/>
      <c r="E1046140" s="19"/>
      <c r="F1046140" s="19"/>
      <c r="G1046140" s="19"/>
      <c r="H1046140" s="19"/>
      <c r="I1046140" s="19"/>
      <c r="J1046140" s="19"/>
      <c r="K1046140" s="19"/>
      <c r="L1046140" s="19"/>
      <c r="M1046140" s="19"/>
      <c r="N1046140" s="19"/>
    </row>
    <row r="1046141" spans="1:14" s="83" customFormat="1" ht="12.75">
      <c r="A1046141" s="19"/>
      <c r="B1046141" s="19"/>
      <c r="C1046141" s="19"/>
      <c r="D1046141" s="19"/>
      <c r="E1046141" s="19"/>
      <c r="F1046141" s="19"/>
      <c r="G1046141" s="19"/>
      <c r="H1046141" s="19"/>
      <c r="I1046141" s="19"/>
      <c r="J1046141" s="19"/>
      <c r="K1046141" s="19"/>
      <c r="L1046141" s="19"/>
      <c r="M1046141" s="19"/>
      <c r="N1046141" s="19"/>
    </row>
    <row r="1046142" spans="1:14" s="83" customFormat="1" ht="12.75">
      <c r="A1046142" s="19"/>
      <c r="B1046142" s="19"/>
      <c r="C1046142" s="19"/>
      <c r="D1046142" s="19"/>
      <c r="E1046142" s="19"/>
      <c r="F1046142" s="19"/>
      <c r="G1046142" s="19"/>
      <c r="H1046142" s="19"/>
      <c r="I1046142" s="19"/>
      <c r="J1046142" s="19"/>
      <c r="K1046142" s="19"/>
      <c r="L1046142" s="19"/>
      <c r="M1046142" s="19"/>
      <c r="N1046142" s="19"/>
    </row>
    <row r="1046143" spans="1:14" s="83" customFormat="1" ht="12.75">
      <c r="A1046143" s="19"/>
      <c r="B1046143" s="19"/>
      <c r="C1046143" s="19"/>
      <c r="D1046143" s="19"/>
      <c r="E1046143" s="19"/>
      <c r="F1046143" s="19"/>
      <c r="G1046143" s="19"/>
      <c r="H1046143" s="19"/>
      <c r="I1046143" s="19"/>
      <c r="J1046143" s="19"/>
      <c r="K1046143" s="19"/>
      <c r="L1046143" s="19"/>
      <c r="M1046143" s="19"/>
      <c r="N1046143" s="19"/>
    </row>
    <row r="1046144" spans="1:14" s="83" customFormat="1" ht="12.75">
      <c r="A1046144" s="19"/>
      <c r="B1046144" s="19"/>
      <c r="C1046144" s="19"/>
      <c r="D1046144" s="19"/>
      <c r="E1046144" s="19"/>
      <c r="F1046144" s="19"/>
      <c r="G1046144" s="19"/>
      <c r="H1046144" s="19"/>
      <c r="I1046144" s="19"/>
      <c r="J1046144" s="19"/>
      <c r="K1046144" s="19"/>
      <c r="L1046144" s="19"/>
      <c r="M1046144" s="19"/>
      <c r="N1046144" s="19"/>
    </row>
    <row r="1046145" spans="1:14" s="83" customFormat="1" ht="12.75">
      <c r="A1046145" s="19"/>
      <c r="B1046145" s="19"/>
      <c r="C1046145" s="19"/>
      <c r="D1046145" s="19"/>
      <c r="E1046145" s="19"/>
      <c r="F1046145" s="19"/>
      <c r="G1046145" s="19"/>
      <c r="H1046145" s="19"/>
      <c r="I1046145" s="19"/>
      <c r="J1046145" s="19"/>
      <c r="K1046145" s="19"/>
      <c r="L1046145" s="19"/>
      <c r="M1046145" s="19"/>
      <c r="N1046145" s="19"/>
    </row>
    <row r="1046146" spans="1:14" s="83" customFormat="1" ht="12.75">
      <c r="A1046146" s="19"/>
      <c r="B1046146" s="19"/>
      <c r="C1046146" s="19"/>
      <c r="D1046146" s="19"/>
      <c r="E1046146" s="19"/>
      <c r="F1046146" s="19"/>
      <c r="G1046146" s="19"/>
      <c r="H1046146" s="19"/>
      <c r="I1046146" s="19"/>
      <c r="J1046146" s="19"/>
      <c r="K1046146" s="19"/>
      <c r="L1046146" s="19"/>
      <c r="M1046146" s="19"/>
      <c r="N1046146" s="19"/>
    </row>
    <row r="1046147" spans="1:14" s="83" customFormat="1" ht="12.75">
      <c r="A1046147" s="19"/>
      <c r="B1046147" s="19"/>
      <c r="C1046147" s="19"/>
      <c r="D1046147" s="19"/>
      <c r="E1046147" s="19"/>
      <c r="F1046147" s="19"/>
      <c r="G1046147" s="19"/>
      <c r="H1046147" s="19"/>
      <c r="I1046147" s="19"/>
      <c r="J1046147" s="19"/>
      <c r="K1046147" s="19"/>
      <c r="L1046147" s="19"/>
      <c r="M1046147" s="19"/>
      <c r="N1046147" s="19"/>
    </row>
    <row r="1046148" spans="1:14" s="83" customFormat="1" ht="12.75">
      <c r="A1046148" s="19"/>
      <c r="B1046148" s="19"/>
      <c r="C1046148" s="19"/>
      <c r="D1046148" s="19"/>
      <c r="E1046148" s="19"/>
      <c r="F1046148" s="19"/>
      <c r="G1046148" s="19"/>
      <c r="H1046148" s="19"/>
      <c r="I1046148" s="19"/>
      <c r="J1046148" s="19"/>
      <c r="K1046148" s="19"/>
      <c r="L1046148" s="19"/>
      <c r="M1046148" s="19"/>
      <c r="N1046148" s="19"/>
    </row>
    <row r="1046149" spans="1:14" s="83" customFormat="1" ht="12.75">
      <c r="A1046149" s="19"/>
      <c r="B1046149" s="19"/>
      <c r="C1046149" s="19"/>
      <c r="D1046149" s="19"/>
      <c r="E1046149" s="19"/>
      <c r="F1046149" s="19"/>
      <c r="G1046149" s="19"/>
      <c r="H1046149" s="19"/>
      <c r="I1046149" s="19"/>
      <c r="J1046149" s="19"/>
      <c r="K1046149" s="19"/>
      <c r="L1046149" s="19"/>
      <c r="M1046149" s="19"/>
      <c r="N1046149" s="19"/>
    </row>
    <row r="1046150" spans="1:14" s="83" customFormat="1" ht="12.75">
      <c r="A1046150" s="19"/>
      <c r="B1046150" s="19"/>
      <c r="C1046150" s="19"/>
      <c r="D1046150" s="19"/>
      <c r="E1046150" s="19"/>
      <c r="F1046150" s="19"/>
      <c r="G1046150" s="19"/>
      <c r="H1046150" s="19"/>
      <c r="I1046150" s="19"/>
      <c r="J1046150" s="19"/>
      <c r="K1046150" s="19"/>
      <c r="L1046150" s="19"/>
      <c r="M1046150" s="19"/>
      <c r="N1046150" s="19"/>
    </row>
    <row r="1046151" spans="1:14" s="83" customFormat="1" ht="12.75">
      <c r="A1046151" s="19"/>
      <c r="B1046151" s="19"/>
      <c r="C1046151" s="19"/>
      <c r="D1046151" s="19"/>
      <c r="E1046151" s="19"/>
      <c r="F1046151" s="19"/>
      <c r="G1046151" s="19"/>
      <c r="H1046151" s="19"/>
      <c r="I1046151" s="19"/>
      <c r="J1046151" s="19"/>
      <c r="K1046151" s="19"/>
      <c r="L1046151" s="19"/>
      <c r="M1046151" s="19"/>
      <c r="N1046151" s="19"/>
    </row>
    <row r="1046152" spans="1:14" s="83" customFormat="1" ht="12.75">
      <c r="A1046152" s="19"/>
      <c r="B1046152" s="19"/>
      <c r="C1046152" s="19"/>
      <c r="D1046152" s="19"/>
      <c r="E1046152" s="19"/>
      <c r="F1046152" s="19"/>
      <c r="G1046152" s="19"/>
      <c r="H1046152" s="19"/>
      <c r="I1046152" s="19"/>
      <c r="J1046152" s="19"/>
      <c r="K1046152" s="19"/>
      <c r="L1046152" s="19"/>
      <c r="M1046152" s="19"/>
      <c r="N1046152" s="19"/>
    </row>
    <row r="1046153" spans="1:14" s="83" customFormat="1" ht="12.75">
      <c r="A1046153" s="19"/>
      <c r="B1046153" s="19"/>
      <c r="C1046153" s="19"/>
      <c r="D1046153" s="19"/>
      <c r="E1046153" s="19"/>
      <c r="F1046153" s="19"/>
      <c r="G1046153" s="19"/>
      <c r="H1046153" s="19"/>
      <c r="I1046153" s="19"/>
      <c r="J1046153" s="19"/>
      <c r="K1046153" s="19"/>
      <c r="L1046153" s="19"/>
      <c r="M1046153" s="19"/>
      <c r="N1046153" s="19"/>
    </row>
    <row r="1046154" spans="1:14" s="83" customFormat="1" ht="12.75">
      <c r="A1046154" s="19"/>
      <c r="B1046154" s="19"/>
      <c r="C1046154" s="19"/>
      <c r="D1046154" s="19"/>
      <c r="E1046154" s="19"/>
      <c r="F1046154" s="19"/>
      <c r="G1046154" s="19"/>
      <c r="H1046154" s="19"/>
      <c r="I1046154" s="19"/>
      <c r="J1046154" s="19"/>
      <c r="K1046154" s="19"/>
      <c r="L1046154" s="19"/>
      <c r="M1046154" s="19"/>
      <c r="N1046154" s="19"/>
    </row>
    <row r="1046155" spans="1:14" s="83" customFormat="1" ht="12.75">
      <c r="A1046155" s="19"/>
      <c r="B1046155" s="19"/>
      <c r="C1046155" s="19"/>
      <c r="D1046155" s="19"/>
      <c r="E1046155" s="19"/>
      <c r="F1046155" s="19"/>
      <c r="G1046155" s="19"/>
      <c r="H1046155" s="19"/>
      <c r="I1046155" s="19"/>
      <c r="J1046155" s="19"/>
      <c r="K1046155" s="19"/>
      <c r="L1046155" s="19"/>
      <c r="M1046155" s="19"/>
      <c r="N1046155" s="19"/>
    </row>
    <row r="1046156" spans="1:14" s="83" customFormat="1" ht="12.75">
      <c r="A1046156" s="19"/>
      <c r="B1046156" s="19"/>
      <c r="C1046156" s="19"/>
      <c r="D1046156" s="19"/>
      <c r="E1046156" s="19"/>
      <c r="F1046156" s="19"/>
      <c r="G1046156" s="19"/>
      <c r="H1046156" s="19"/>
      <c r="I1046156" s="19"/>
      <c r="J1046156" s="19"/>
      <c r="K1046156" s="19"/>
      <c r="L1046156" s="19"/>
      <c r="M1046156" s="19"/>
      <c r="N1046156" s="19"/>
    </row>
    <row r="1046157" spans="1:14" s="83" customFormat="1" ht="12.75">
      <c r="A1046157" s="19"/>
      <c r="B1046157" s="19"/>
      <c r="C1046157" s="19"/>
      <c r="D1046157" s="19"/>
      <c r="E1046157" s="19"/>
      <c r="F1046157" s="19"/>
      <c r="G1046157" s="19"/>
      <c r="H1046157" s="19"/>
      <c r="I1046157" s="19"/>
      <c r="J1046157" s="19"/>
      <c r="K1046157" s="19"/>
      <c r="L1046157" s="19"/>
      <c r="M1046157" s="19"/>
      <c r="N1046157" s="19"/>
    </row>
    <row r="1046158" spans="1:14" s="83" customFormat="1" ht="12.75">
      <c r="A1046158" s="19"/>
      <c r="B1046158" s="19"/>
      <c r="C1046158" s="19"/>
      <c r="D1046158" s="19"/>
      <c r="E1046158" s="19"/>
      <c r="F1046158" s="19"/>
      <c r="G1046158" s="19"/>
      <c r="H1046158" s="19"/>
      <c r="I1046158" s="19"/>
      <c r="J1046158" s="19"/>
      <c r="K1046158" s="19"/>
      <c r="L1046158" s="19"/>
      <c r="M1046158" s="19"/>
      <c r="N1046158" s="19"/>
    </row>
    <row r="1046159" spans="1:14" s="83" customFormat="1" ht="12.75">
      <c r="A1046159" s="19"/>
      <c r="B1046159" s="19"/>
      <c r="C1046159" s="19"/>
      <c r="D1046159" s="19"/>
      <c r="E1046159" s="19"/>
      <c r="F1046159" s="19"/>
      <c r="G1046159" s="19"/>
      <c r="H1046159" s="19"/>
      <c r="I1046159" s="19"/>
      <c r="J1046159" s="19"/>
      <c r="K1046159" s="19"/>
      <c r="L1046159" s="19"/>
      <c r="M1046159" s="19"/>
      <c r="N1046159" s="19"/>
    </row>
    <row r="1046160" spans="1:14" s="83" customFormat="1" ht="12.75">
      <c r="A1046160" s="19"/>
      <c r="B1046160" s="19"/>
      <c r="C1046160" s="19"/>
      <c r="D1046160" s="19"/>
      <c r="E1046160" s="19"/>
      <c r="F1046160" s="19"/>
      <c r="G1046160" s="19"/>
      <c r="H1046160" s="19"/>
      <c r="I1046160" s="19"/>
      <c r="J1046160" s="19"/>
      <c r="K1046160" s="19"/>
      <c r="L1046160" s="19"/>
      <c r="M1046160" s="19"/>
      <c r="N1046160" s="19"/>
    </row>
    <row r="1046161" spans="1:14" s="83" customFormat="1" ht="12.75">
      <c r="A1046161" s="19"/>
      <c r="B1046161" s="19"/>
      <c r="C1046161" s="19"/>
      <c r="D1046161" s="19"/>
      <c r="E1046161" s="19"/>
      <c r="F1046161" s="19"/>
      <c r="G1046161" s="19"/>
      <c r="H1046161" s="19"/>
      <c r="I1046161" s="19"/>
      <c r="J1046161" s="19"/>
      <c r="K1046161" s="19"/>
      <c r="L1046161" s="19"/>
      <c r="M1046161" s="19"/>
      <c r="N1046161" s="19"/>
    </row>
    <row r="1046162" spans="1:14" s="83" customFormat="1" ht="12.75">
      <c r="A1046162" s="19"/>
      <c r="B1046162" s="19"/>
      <c r="C1046162" s="19"/>
      <c r="D1046162" s="19"/>
      <c r="E1046162" s="19"/>
      <c r="F1046162" s="19"/>
      <c r="G1046162" s="19"/>
      <c r="H1046162" s="19"/>
      <c r="I1046162" s="19"/>
      <c r="J1046162" s="19"/>
      <c r="K1046162" s="19"/>
      <c r="L1046162" s="19"/>
      <c r="M1046162" s="19"/>
      <c r="N1046162" s="19"/>
    </row>
    <row r="1046163" spans="1:14" s="83" customFormat="1" ht="12.75">
      <c r="A1046163" s="19"/>
      <c r="B1046163" s="19"/>
      <c r="C1046163" s="19"/>
      <c r="D1046163" s="19"/>
      <c r="E1046163" s="19"/>
      <c r="F1046163" s="19"/>
      <c r="G1046163" s="19"/>
      <c r="H1046163" s="19"/>
      <c r="I1046163" s="19"/>
      <c r="J1046163" s="19"/>
      <c r="K1046163" s="19"/>
      <c r="L1046163" s="19"/>
      <c r="M1046163" s="19"/>
      <c r="N1046163" s="19"/>
    </row>
    <row r="1046164" spans="1:14" s="83" customFormat="1" ht="12.75">
      <c r="A1046164" s="19"/>
      <c r="B1046164" s="19"/>
      <c r="C1046164" s="19"/>
      <c r="D1046164" s="19"/>
      <c r="E1046164" s="19"/>
      <c r="F1046164" s="19"/>
      <c r="G1046164" s="19"/>
      <c r="H1046164" s="19"/>
      <c r="I1046164" s="19"/>
      <c r="J1046164" s="19"/>
      <c r="K1046164" s="19"/>
      <c r="L1046164" s="19"/>
      <c r="M1046164" s="19"/>
      <c r="N1046164" s="19"/>
    </row>
    <row r="1046165" spans="1:14" s="83" customFormat="1" ht="12.75">
      <c r="A1046165" s="19"/>
      <c r="B1046165" s="19"/>
      <c r="C1046165" s="19"/>
      <c r="D1046165" s="19"/>
      <c r="E1046165" s="19"/>
      <c r="F1046165" s="19"/>
      <c r="G1046165" s="19"/>
      <c r="H1046165" s="19"/>
      <c r="I1046165" s="19"/>
      <c r="J1046165" s="19"/>
      <c r="K1046165" s="19"/>
      <c r="L1046165" s="19"/>
      <c r="M1046165" s="19"/>
      <c r="N1046165" s="19"/>
    </row>
    <row r="1046166" spans="1:14" s="83" customFormat="1" ht="12.75">
      <c r="A1046166" s="19"/>
      <c r="B1046166" s="19"/>
      <c r="C1046166" s="19"/>
      <c r="D1046166" s="19"/>
      <c r="E1046166" s="19"/>
      <c r="F1046166" s="19"/>
      <c r="G1046166" s="19"/>
      <c r="H1046166" s="19"/>
      <c r="I1046166" s="19"/>
      <c r="J1046166" s="19"/>
      <c r="K1046166" s="19"/>
      <c r="L1046166" s="19"/>
      <c r="M1046166" s="19"/>
      <c r="N1046166" s="19"/>
    </row>
    <row r="1046167" spans="1:14" s="83" customFormat="1" ht="12.75">
      <c r="A1046167" s="19"/>
      <c r="B1046167" s="19"/>
      <c r="C1046167" s="19"/>
      <c r="D1046167" s="19"/>
      <c r="E1046167" s="19"/>
      <c r="F1046167" s="19"/>
      <c r="G1046167" s="19"/>
      <c r="H1046167" s="19"/>
      <c r="I1046167" s="19"/>
      <c r="J1046167" s="19"/>
      <c r="K1046167" s="19"/>
      <c r="L1046167" s="19"/>
      <c r="M1046167" s="19"/>
      <c r="N1046167" s="19"/>
    </row>
    <row r="1046168" spans="1:14" s="83" customFormat="1" ht="12.75">
      <c r="A1046168" s="19"/>
      <c r="B1046168" s="19"/>
      <c r="C1046168" s="19"/>
      <c r="D1046168" s="19"/>
      <c r="E1046168" s="19"/>
      <c r="F1046168" s="19"/>
      <c r="G1046168" s="19"/>
      <c r="H1046168" s="19"/>
      <c r="I1046168" s="19"/>
      <c r="J1046168" s="19"/>
      <c r="K1046168" s="19"/>
      <c r="L1046168" s="19"/>
      <c r="M1046168" s="19"/>
      <c r="N1046168" s="19"/>
    </row>
    <row r="1046169" spans="1:14" s="83" customFormat="1" ht="12.75">
      <c r="A1046169" s="19"/>
      <c r="B1046169" s="19"/>
      <c r="C1046169" s="19"/>
      <c r="D1046169" s="19"/>
      <c r="E1046169" s="19"/>
      <c r="F1046169" s="19"/>
      <c r="G1046169" s="19"/>
      <c r="H1046169" s="19"/>
      <c r="I1046169" s="19"/>
      <c r="J1046169" s="19"/>
      <c r="K1046169" s="19"/>
      <c r="L1046169" s="19"/>
      <c r="M1046169" s="19"/>
      <c r="N1046169" s="19"/>
    </row>
    <row r="1046170" spans="1:14" s="83" customFormat="1" ht="12.75">
      <c r="A1046170" s="19"/>
      <c r="B1046170" s="19"/>
      <c r="C1046170" s="19"/>
      <c r="D1046170" s="19"/>
      <c r="E1046170" s="19"/>
      <c r="F1046170" s="19"/>
      <c r="G1046170" s="19"/>
      <c r="H1046170" s="19"/>
      <c r="I1046170" s="19"/>
      <c r="J1046170" s="19"/>
      <c r="K1046170" s="19"/>
      <c r="L1046170" s="19"/>
      <c r="M1046170" s="19"/>
      <c r="N1046170" s="19"/>
    </row>
    <row r="1046171" spans="1:14" s="83" customFormat="1" ht="12.75">
      <c r="A1046171" s="19"/>
      <c r="B1046171" s="19"/>
      <c r="C1046171" s="19"/>
      <c r="D1046171" s="19"/>
      <c r="E1046171" s="19"/>
      <c r="F1046171" s="19"/>
      <c r="G1046171" s="19"/>
      <c r="H1046171" s="19"/>
      <c r="I1046171" s="19"/>
      <c r="J1046171" s="19"/>
      <c r="K1046171" s="19"/>
      <c r="L1046171" s="19"/>
      <c r="M1046171" s="19"/>
      <c r="N1046171" s="19"/>
    </row>
    <row r="1046172" spans="1:14" s="83" customFormat="1" ht="12.75">
      <c r="A1046172" s="19"/>
      <c r="B1046172" s="19"/>
      <c r="C1046172" s="19"/>
      <c r="D1046172" s="19"/>
      <c r="E1046172" s="19"/>
      <c r="F1046172" s="19"/>
      <c r="G1046172" s="19"/>
      <c r="H1046172" s="19"/>
      <c r="I1046172" s="19"/>
      <c r="J1046172" s="19"/>
      <c r="K1046172" s="19"/>
      <c r="L1046172" s="19"/>
      <c r="M1046172" s="19"/>
      <c r="N1046172" s="19"/>
    </row>
    <row r="1046173" spans="1:14" s="83" customFormat="1" ht="12.75">
      <c r="A1046173" s="19"/>
      <c r="B1046173" s="19"/>
      <c r="C1046173" s="19"/>
      <c r="D1046173" s="19"/>
      <c r="E1046173" s="19"/>
      <c r="F1046173" s="19"/>
      <c r="G1046173" s="19"/>
      <c r="H1046173" s="19"/>
      <c r="I1046173" s="19"/>
      <c r="J1046173" s="19"/>
      <c r="K1046173" s="19"/>
      <c r="L1046173" s="19"/>
      <c r="M1046173" s="19"/>
      <c r="N1046173" s="19"/>
    </row>
    <row r="1046174" spans="1:14" s="83" customFormat="1" ht="12.75">
      <c r="A1046174" s="19"/>
      <c r="B1046174" s="19"/>
      <c r="C1046174" s="19"/>
      <c r="D1046174" s="19"/>
      <c r="E1046174" s="19"/>
      <c r="F1046174" s="19"/>
      <c r="G1046174" s="19"/>
      <c r="H1046174" s="19"/>
      <c r="I1046174" s="19"/>
      <c r="J1046174" s="19"/>
      <c r="K1046174" s="19"/>
      <c r="L1046174" s="19"/>
      <c r="M1046174" s="19"/>
      <c r="N1046174" s="19"/>
    </row>
    <row r="1046175" spans="1:14" s="83" customFormat="1" ht="12.75">
      <c r="A1046175" s="19"/>
      <c r="B1046175" s="19"/>
      <c r="C1046175" s="19"/>
      <c r="D1046175" s="19"/>
      <c r="E1046175" s="19"/>
      <c r="F1046175" s="19"/>
      <c r="G1046175" s="19"/>
      <c r="H1046175" s="19"/>
      <c r="I1046175" s="19"/>
      <c r="J1046175" s="19"/>
      <c r="K1046175" s="19"/>
      <c r="L1046175" s="19"/>
      <c r="M1046175" s="19"/>
      <c r="N1046175" s="19"/>
    </row>
    <row r="1046176" spans="1:14" s="83" customFormat="1" ht="12.75">
      <c r="A1046176" s="19"/>
      <c r="B1046176" s="19"/>
      <c r="C1046176" s="19"/>
      <c r="D1046176" s="19"/>
      <c r="E1046176" s="19"/>
      <c r="F1046176" s="19"/>
      <c r="G1046176" s="19"/>
      <c r="H1046176" s="19"/>
      <c r="I1046176" s="19"/>
      <c r="J1046176" s="19"/>
      <c r="K1046176" s="19"/>
      <c r="L1046176" s="19"/>
      <c r="M1046176" s="19"/>
      <c r="N1046176" s="19"/>
    </row>
    <row r="1046177" spans="1:14" s="83" customFormat="1" ht="12.75">
      <c r="A1046177" s="19"/>
      <c r="B1046177" s="19"/>
      <c r="C1046177" s="19"/>
      <c r="D1046177" s="19"/>
      <c r="E1046177" s="19"/>
      <c r="F1046177" s="19"/>
      <c r="G1046177" s="19"/>
      <c r="H1046177" s="19"/>
      <c r="I1046177" s="19"/>
      <c r="J1046177" s="19"/>
      <c r="K1046177" s="19"/>
      <c r="L1046177" s="19"/>
      <c r="M1046177" s="19"/>
      <c r="N1046177" s="19"/>
    </row>
    <row r="1046178" spans="1:14" s="83" customFormat="1" ht="12.75">
      <c r="A1046178" s="19"/>
      <c r="B1046178" s="19"/>
      <c r="C1046178" s="19"/>
      <c r="D1046178" s="19"/>
      <c r="E1046178" s="19"/>
      <c r="F1046178" s="19"/>
      <c r="G1046178" s="19"/>
      <c r="H1046178" s="19"/>
      <c r="I1046178" s="19"/>
      <c r="J1046178" s="19"/>
      <c r="K1046178" s="19"/>
      <c r="L1046178" s="19"/>
      <c r="M1046178" s="19"/>
      <c r="N1046178" s="19"/>
    </row>
    <row r="1046179" spans="1:14" s="83" customFormat="1" ht="12.75">
      <c r="A1046179" s="19"/>
      <c r="B1046179" s="19"/>
      <c r="C1046179" s="19"/>
      <c r="D1046179" s="19"/>
      <c r="E1046179" s="19"/>
      <c r="F1046179" s="19"/>
      <c r="G1046179" s="19"/>
      <c r="H1046179" s="19"/>
      <c r="I1046179" s="19"/>
      <c r="J1046179" s="19"/>
      <c r="K1046179" s="19"/>
      <c r="L1046179" s="19"/>
      <c r="M1046179" s="19"/>
      <c r="N1046179" s="19"/>
    </row>
    <row r="1046180" spans="1:14" s="83" customFormat="1" ht="12.75">
      <c r="A1046180" s="19"/>
      <c r="B1046180" s="19"/>
      <c r="C1046180" s="19"/>
      <c r="D1046180" s="19"/>
      <c r="E1046180" s="19"/>
      <c r="F1046180" s="19"/>
      <c r="G1046180" s="19"/>
      <c r="H1046180" s="19"/>
      <c r="I1046180" s="19"/>
      <c r="J1046180" s="19"/>
      <c r="K1046180" s="19"/>
      <c r="L1046180" s="19"/>
      <c r="M1046180" s="19"/>
      <c r="N1046180" s="19"/>
    </row>
    <row r="1046181" spans="1:14" s="83" customFormat="1" ht="12.75">
      <c r="A1046181" s="19"/>
      <c r="B1046181" s="19"/>
      <c r="C1046181" s="19"/>
      <c r="D1046181" s="19"/>
      <c r="E1046181" s="19"/>
      <c r="F1046181" s="19"/>
      <c r="G1046181" s="19"/>
      <c r="H1046181" s="19"/>
      <c r="I1046181" s="19"/>
      <c r="J1046181" s="19"/>
      <c r="K1046181" s="19"/>
      <c r="L1046181" s="19"/>
      <c r="M1046181" s="19"/>
      <c r="N1046181" s="19"/>
    </row>
    <row r="1046182" spans="1:14" s="83" customFormat="1" ht="12.75">
      <c r="A1046182" s="19"/>
      <c r="B1046182" s="19"/>
      <c r="C1046182" s="19"/>
      <c r="D1046182" s="19"/>
      <c r="E1046182" s="19"/>
      <c r="F1046182" s="19"/>
      <c r="G1046182" s="19"/>
      <c r="H1046182" s="19"/>
      <c r="I1046182" s="19"/>
      <c r="J1046182" s="19"/>
      <c r="K1046182" s="19"/>
      <c r="L1046182" s="19"/>
      <c r="M1046182" s="19"/>
      <c r="N1046182" s="19"/>
    </row>
    <row r="1046183" spans="1:14" s="83" customFormat="1" ht="12.75">
      <c r="A1046183" s="19"/>
      <c r="B1046183" s="19"/>
      <c r="C1046183" s="19"/>
      <c r="D1046183" s="19"/>
      <c r="E1046183" s="19"/>
      <c r="F1046183" s="19"/>
      <c r="G1046183" s="19"/>
      <c r="H1046183" s="19"/>
      <c r="I1046183" s="19"/>
      <c r="J1046183" s="19"/>
      <c r="K1046183" s="19"/>
      <c r="L1046183" s="19"/>
      <c r="M1046183" s="19"/>
      <c r="N1046183" s="19"/>
    </row>
    <row r="1046184" spans="1:14" s="83" customFormat="1" ht="12.75">
      <c r="A1046184" s="19"/>
      <c r="B1046184" s="19"/>
      <c r="C1046184" s="19"/>
      <c r="D1046184" s="19"/>
      <c r="E1046184" s="19"/>
      <c r="F1046184" s="19"/>
      <c r="G1046184" s="19"/>
      <c r="H1046184" s="19"/>
      <c r="I1046184" s="19"/>
      <c r="J1046184" s="19"/>
      <c r="K1046184" s="19"/>
      <c r="L1046184" s="19"/>
      <c r="M1046184" s="19"/>
      <c r="N1046184" s="19"/>
    </row>
    <row r="1046185" spans="1:14" s="83" customFormat="1" ht="12.75">
      <c r="A1046185" s="19"/>
      <c r="B1046185" s="19"/>
      <c r="C1046185" s="19"/>
      <c r="D1046185" s="19"/>
      <c r="E1046185" s="19"/>
      <c r="F1046185" s="19"/>
      <c r="G1046185" s="19"/>
      <c r="H1046185" s="19"/>
      <c r="I1046185" s="19"/>
      <c r="J1046185" s="19"/>
      <c r="K1046185" s="19"/>
      <c r="L1046185" s="19"/>
      <c r="M1046185" s="19"/>
      <c r="N1046185" s="19"/>
    </row>
    <row r="1046186" spans="1:14" s="83" customFormat="1" ht="12.75">
      <c r="A1046186" s="19"/>
      <c r="B1046186" s="19"/>
      <c r="C1046186" s="19"/>
      <c r="D1046186" s="19"/>
      <c r="E1046186" s="19"/>
      <c r="F1046186" s="19"/>
      <c r="G1046186" s="19"/>
      <c r="H1046186" s="19"/>
      <c r="I1046186" s="19"/>
      <c r="J1046186" s="19"/>
      <c r="K1046186" s="19"/>
      <c r="L1046186" s="19"/>
      <c r="M1046186" s="19"/>
      <c r="N1046186" s="19"/>
    </row>
    <row r="1046187" spans="1:14" s="83" customFormat="1" ht="12.75">
      <c r="A1046187" s="19"/>
      <c r="B1046187" s="19"/>
      <c r="C1046187" s="19"/>
      <c r="D1046187" s="19"/>
      <c r="E1046187" s="19"/>
      <c r="F1046187" s="19"/>
      <c r="G1046187" s="19"/>
      <c r="H1046187" s="19"/>
      <c r="I1046187" s="19"/>
      <c r="J1046187" s="19"/>
      <c r="K1046187" s="19"/>
      <c r="L1046187" s="19"/>
      <c r="M1046187" s="19"/>
      <c r="N1046187" s="19"/>
    </row>
    <row r="1046188" spans="1:14" s="83" customFormat="1" ht="12.75">
      <c r="A1046188" s="19"/>
      <c r="B1046188" s="19"/>
      <c r="C1046188" s="19"/>
      <c r="D1046188" s="19"/>
      <c r="E1046188" s="19"/>
      <c r="F1046188" s="19"/>
      <c r="G1046188" s="19"/>
      <c r="H1046188" s="19"/>
      <c r="I1046188" s="19"/>
      <c r="J1046188" s="19"/>
      <c r="K1046188" s="19"/>
      <c r="L1046188" s="19"/>
      <c r="M1046188" s="19"/>
      <c r="N1046188" s="19"/>
    </row>
    <row r="1046189" spans="1:14" s="83" customFormat="1" ht="12.75">
      <c r="A1046189" s="19"/>
      <c r="B1046189" s="19"/>
      <c r="C1046189" s="19"/>
      <c r="D1046189" s="19"/>
      <c r="E1046189" s="19"/>
      <c r="F1046189" s="19"/>
      <c r="G1046189" s="19"/>
      <c r="H1046189" s="19"/>
      <c r="I1046189" s="19"/>
      <c r="J1046189" s="19"/>
      <c r="K1046189" s="19"/>
      <c r="L1046189" s="19"/>
      <c r="M1046189" s="19"/>
      <c r="N1046189" s="19"/>
    </row>
    <row r="1046190" spans="1:14" s="83" customFormat="1" ht="12.75">
      <c r="A1046190" s="19"/>
      <c r="B1046190" s="19"/>
      <c r="C1046190" s="19"/>
      <c r="D1046190" s="19"/>
      <c r="E1046190" s="19"/>
      <c r="F1046190" s="19"/>
      <c r="G1046190" s="19"/>
      <c r="H1046190" s="19"/>
      <c r="I1046190" s="19"/>
      <c r="J1046190" s="19"/>
      <c r="K1046190" s="19"/>
      <c r="L1046190" s="19"/>
      <c r="M1046190" s="19"/>
      <c r="N1046190" s="19"/>
    </row>
    <row r="1046191" spans="1:14" s="83" customFormat="1" ht="12.75">
      <c r="A1046191" s="19"/>
      <c r="B1046191" s="19"/>
      <c r="C1046191" s="19"/>
      <c r="D1046191" s="19"/>
      <c r="E1046191" s="19"/>
      <c r="F1046191" s="19"/>
      <c r="G1046191" s="19"/>
      <c r="H1046191" s="19"/>
      <c r="I1046191" s="19"/>
      <c r="J1046191" s="19"/>
      <c r="K1046191" s="19"/>
      <c r="L1046191" s="19"/>
      <c r="M1046191" s="19"/>
      <c r="N1046191" s="19"/>
    </row>
    <row r="1046192" spans="1:14" s="83" customFormat="1" ht="12.75">
      <c r="A1046192" s="19"/>
      <c r="B1046192" s="19"/>
      <c r="C1046192" s="19"/>
      <c r="D1046192" s="19"/>
      <c r="E1046192" s="19"/>
      <c r="F1046192" s="19"/>
      <c r="G1046192" s="19"/>
      <c r="H1046192" s="19"/>
      <c r="I1046192" s="19"/>
      <c r="J1046192" s="19"/>
      <c r="K1046192" s="19"/>
      <c r="L1046192" s="19"/>
      <c r="M1046192" s="19"/>
      <c r="N1046192" s="19"/>
    </row>
    <row r="1046193" spans="1:14" s="83" customFormat="1" ht="12.75">
      <c r="A1046193" s="19"/>
      <c r="B1046193" s="19"/>
      <c r="C1046193" s="19"/>
      <c r="D1046193" s="19"/>
      <c r="E1046193" s="19"/>
      <c r="F1046193" s="19"/>
      <c r="G1046193" s="19"/>
      <c r="H1046193" s="19"/>
      <c r="I1046193" s="19"/>
      <c r="J1046193" s="19"/>
      <c r="K1046193" s="19"/>
      <c r="L1046193" s="19"/>
      <c r="M1046193" s="19"/>
      <c r="N1046193" s="19"/>
    </row>
    <row r="1046194" spans="1:14" s="83" customFormat="1" ht="12.75">
      <c r="A1046194" s="19"/>
      <c r="B1046194" s="19"/>
      <c r="C1046194" s="19"/>
      <c r="D1046194" s="19"/>
      <c r="E1046194" s="19"/>
      <c r="F1046194" s="19"/>
      <c r="G1046194" s="19"/>
      <c r="H1046194" s="19"/>
      <c r="I1046194" s="19"/>
      <c r="J1046194" s="19"/>
      <c r="K1046194" s="19"/>
      <c r="L1046194" s="19"/>
      <c r="M1046194" s="19"/>
      <c r="N1046194" s="19"/>
    </row>
    <row r="1046195" spans="1:14" s="83" customFormat="1" ht="12.75">
      <c r="A1046195" s="19"/>
      <c r="B1046195" s="19"/>
      <c r="C1046195" s="19"/>
      <c r="D1046195" s="19"/>
      <c r="E1046195" s="19"/>
      <c r="F1046195" s="19"/>
      <c r="G1046195" s="19"/>
      <c r="H1046195" s="19"/>
      <c r="I1046195" s="19"/>
      <c r="J1046195" s="19"/>
      <c r="K1046195" s="19"/>
      <c r="L1046195" s="19"/>
      <c r="M1046195" s="19"/>
      <c r="N1046195" s="19"/>
    </row>
    <row r="1046196" spans="1:14" s="83" customFormat="1" ht="12.75">
      <c r="A1046196" s="19"/>
      <c r="B1046196" s="19"/>
      <c r="C1046196" s="19"/>
      <c r="D1046196" s="19"/>
      <c r="E1046196" s="19"/>
      <c r="F1046196" s="19"/>
      <c r="G1046196" s="19"/>
      <c r="H1046196" s="19"/>
      <c r="I1046196" s="19"/>
      <c r="J1046196" s="19"/>
      <c r="K1046196" s="19"/>
      <c r="L1046196" s="19"/>
      <c r="M1046196" s="19"/>
      <c r="N1046196" s="19"/>
    </row>
    <row r="1046197" spans="1:14" s="83" customFormat="1" ht="12.75">
      <c r="A1046197" s="19"/>
      <c r="B1046197" s="19"/>
      <c r="C1046197" s="19"/>
      <c r="D1046197" s="19"/>
      <c r="E1046197" s="19"/>
      <c r="F1046197" s="19"/>
      <c r="G1046197" s="19"/>
      <c r="H1046197" s="19"/>
      <c r="I1046197" s="19"/>
      <c r="J1046197" s="19"/>
      <c r="K1046197" s="19"/>
      <c r="L1046197" s="19"/>
      <c r="M1046197" s="19"/>
      <c r="N1046197" s="19"/>
    </row>
    <row r="1046198" spans="1:14" s="83" customFormat="1" ht="12.75">
      <c r="A1046198" s="19"/>
      <c r="B1046198" s="19"/>
      <c r="C1046198" s="19"/>
      <c r="D1046198" s="19"/>
      <c r="E1046198" s="19"/>
      <c r="F1046198" s="19"/>
      <c r="G1046198" s="19"/>
      <c r="H1046198" s="19"/>
      <c r="I1046198" s="19"/>
      <c r="J1046198" s="19"/>
      <c r="K1046198" s="19"/>
      <c r="L1046198" s="19"/>
      <c r="M1046198" s="19"/>
      <c r="N1046198" s="19"/>
    </row>
    <row r="1046199" spans="1:14" s="83" customFormat="1" ht="12.75">
      <c r="A1046199" s="19"/>
      <c r="B1046199" s="19"/>
      <c r="C1046199" s="19"/>
      <c r="D1046199" s="19"/>
      <c r="E1046199" s="19"/>
      <c r="F1046199" s="19"/>
      <c r="G1046199" s="19"/>
      <c r="H1046199" s="19"/>
      <c r="I1046199" s="19"/>
      <c r="J1046199" s="19"/>
      <c r="K1046199" s="19"/>
      <c r="L1046199" s="19"/>
      <c r="M1046199" s="19"/>
      <c r="N1046199" s="19"/>
    </row>
    <row r="1046200" spans="1:14" s="83" customFormat="1" ht="12.75">
      <c r="A1046200" s="19"/>
      <c r="B1046200" s="19"/>
      <c r="C1046200" s="19"/>
      <c r="D1046200" s="19"/>
      <c r="E1046200" s="19"/>
      <c r="F1046200" s="19"/>
      <c r="G1046200" s="19"/>
      <c r="H1046200" s="19"/>
      <c r="I1046200" s="19"/>
      <c r="J1046200" s="19"/>
      <c r="K1046200" s="19"/>
      <c r="L1046200" s="19"/>
      <c r="M1046200" s="19"/>
      <c r="N1046200" s="19"/>
    </row>
    <row r="1046201" spans="1:14" s="83" customFormat="1" ht="12.75">
      <c r="A1046201" s="19"/>
      <c r="B1046201" s="19"/>
      <c r="C1046201" s="19"/>
      <c r="D1046201" s="19"/>
      <c r="E1046201" s="19"/>
      <c r="F1046201" s="19"/>
      <c r="G1046201" s="19"/>
      <c r="H1046201" s="19"/>
      <c r="I1046201" s="19"/>
      <c r="J1046201" s="19"/>
      <c r="K1046201" s="19"/>
      <c r="L1046201" s="19"/>
      <c r="M1046201" s="19"/>
      <c r="N1046201" s="19"/>
    </row>
    <row r="1046202" spans="1:14" s="83" customFormat="1" ht="12.75">
      <c r="A1046202" s="19"/>
      <c r="B1046202" s="19"/>
      <c r="C1046202" s="19"/>
      <c r="D1046202" s="19"/>
      <c r="E1046202" s="19"/>
      <c r="F1046202" s="19"/>
      <c r="G1046202" s="19"/>
      <c r="H1046202" s="19"/>
      <c r="I1046202" s="19"/>
      <c r="J1046202" s="19"/>
      <c r="K1046202" s="19"/>
      <c r="L1046202" s="19"/>
      <c r="M1046202" s="19"/>
      <c r="N1046202" s="19"/>
    </row>
    <row r="1046203" spans="1:14" s="83" customFormat="1" ht="12.75">
      <c r="A1046203" s="19"/>
      <c r="B1046203" s="19"/>
      <c r="C1046203" s="19"/>
      <c r="D1046203" s="19"/>
      <c r="E1046203" s="19"/>
      <c r="F1046203" s="19"/>
      <c r="G1046203" s="19"/>
      <c r="H1046203" s="19"/>
      <c r="I1046203" s="19"/>
      <c r="J1046203" s="19"/>
      <c r="K1046203" s="19"/>
      <c r="L1046203" s="19"/>
      <c r="M1046203" s="19"/>
      <c r="N1046203" s="19"/>
    </row>
    <row r="1046204" spans="1:14" s="83" customFormat="1" ht="12.75">
      <c r="A1046204" s="19"/>
      <c r="B1046204" s="19"/>
      <c r="C1046204" s="19"/>
      <c r="D1046204" s="19"/>
      <c r="E1046204" s="19"/>
      <c r="F1046204" s="19"/>
      <c r="G1046204" s="19"/>
      <c r="H1046204" s="19"/>
      <c r="I1046204" s="19"/>
      <c r="J1046204" s="19"/>
      <c r="K1046204" s="19"/>
      <c r="L1046204" s="19"/>
      <c r="M1046204" s="19"/>
      <c r="N1046204" s="19"/>
    </row>
    <row r="1046205" spans="1:14" s="83" customFormat="1" ht="12.75">
      <c r="A1046205" s="19"/>
      <c r="B1046205" s="19"/>
      <c r="C1046205" s="19"/>
      <c r="D1046205" s="19"/>
      <c r="E1046205" s="19"/>
      <c r="F1046205" s="19"/>
      <c r="G1046205" s="19"/>
      <c r="H1046205" s="19"/>
      <c r="I1046205" s="19"/>
      <c r="J1046205" s="19"/>
      <c r="K1046205" s="19"/>
      <c r="L1046205" s="19"/>
      <c r="M1046205" s="19"/>
      <c r="N1046205" s="19"/>
    </row>
    <row r="1046206" spans="1:14" s="83" customFormat="1" ht="12.75">
      <c r="A1046206" s="19"/>
      <c r="B1046206" s="19"/>
      <c r="C1046206" s="19"/>
      <c r="D1046206" s="19"/>
      <c r="E1046206" s="19"/>
      <c r="F1046206" s="19"/>
      <c r="G1046206" s="19"/>
      <c r="H1046206" s="19"/>
      <c r="I1046206" s="19"/>
      <c r="J1046206" s="19"/>
      <c r="K1046206" s="19"/>
      <c r="L1046206" s="19"/>
      <c r="M1046206" s="19"/>
      <c r="N1046206" s="19"/>
    </row>
    <row r="1046207" spans="1:14" s="83" customFormat="1" ht="12.75">
      <c r="A1046207" s="19"/>
      <c r="B1046207" s="19"/>
      <c r="C1046207" s="19"/>
      <c r="D1046207" s="19"/>
      <c r="E1046207" s="19"/>
      <c r="F1046207" s="19"/>
      <c r="G1046207" s="19"/>
      <c r="H1046207" s="19"/>
      <c r="I1046207" s="19"/>
      <c r="J1046207" s="19"/>
      <c r="K1046207" s="19"/>
      <c r="L1046207" s="19"/>
      <c r="M1046207" s="19"/>
      <c r="N1046207" s="19"/>
    </row>
    <row r="1046208" spans="1:14" s="83" customFormat="1" ht="12.75">
      <c r="A1046208" s="19"/>
      <c r="B1046208" s="19"/>
      <c r="C1046208" s="19"/>
      <c r="D1046208" s="19"/>
      <c r="E1046208" s="19"/>
      <c r="F1046208" s="19"/>
      <c r="G1046208" s="19"/>
      <c r="H1046208" s="19"/>
      <c r="I1046208" s="19"/>
      <c r="J1046208" s="19"/>
      <c r="K1046208" s="19"/>
      <c r="L1046208" s="19"/>
      <c r="M1046208" s="19"/>
      <c r="N1046208" s="19"/>
    </row>
    <row r="1046209" spans="1:14" s="83" customFormat="1" ht="12.75">
      <c r="A1046209" s="19"/>
      <c r="B1046209" s="19"/>
      <c r="C1046209" s="19"/>
      <c r="D1046209" s="19"/>
      <c r="E1046209" s="19"/>
      <c r="F1046209" s="19"/>
      <c r="G1046209" s="19"/>
      <c r="H1046209" s="19"/>
      <c r="I1046209" s="19"/>
      <c r="J1046209" s="19"/>
      <c r="K1046209" s="19"/>
      <c r="L1046209" s="19"/>
      <c r="M1046209" s="19"/>
      <c r="N1046209" s="19"/>
    </row>
    <row r="1046210" spans="1:14" s="83" customFormat="1" ht="12.75">
      <c r="A1046210" s="19"/>
      <c r="B1046210" s="19"/>
      <c r="C1046210" s="19"/>
      <c r="D1046210" s="19"/>
      <c r="E1046210" s="19"/>
      <c r="F1046210" s="19"/>
      <c r="G1046210" s="19"/>
      <c r="H1046210" s="19"/>
      <c r="I1046210" s="19"/>
      <c r="J1046210" s="19"/>
      <c r="K1046210" s="19"/>
      <c r="L1046210" s="19"/>
      <c r="M1046210" s="19"/>
      <c r="N1046210" s="19"/>
    </row>
    <row r="1046211" spans="1:14" s="83" customFormat="1" ht="12.75">
      <c r="A1046211" s="19"/>
      <c r="B1046211" s="19"/>
      <c r="C1046211" s="19"/>
      <c r="D1046211" s="19"/>
      <c r="E1046211" s="19"/>
      <c r="F1046211" s="19"/>
      <c r="G1046211" s="19"/>
      <c r="H1046211" s="19"/>
      <c r="I1046211" s="19"/>
      <c r="J1046211" s="19"/>
      <c r="K1046211" s="19"/>
      <c r="L1046211" s="19"/>
      <c r="M1046211" s="19"/>
      <c r="N1046211" s="19"/>
    </row>
    <row r="1046212" spans="1:14" s="83" customFormat="1" ht="12.75">
      <c r="A1046212" s="19"/>
      <c r="B1046212" s="19"/>
      <c r="C1046212" s="19"/>
      <c r="D1046212" s="19"/>
      <c r="E1046212" s="19"/>
      <c r="F1046212" s="19"/>
      <c r="G1046212" s="19"/>
      <c r="H1046212" s="19"/>
      <c r="I1046212" s="19"/>
      <c r="J1046212" s="19"/>
      <c r="K1046212" s="19"/>
      <c r="L1046212" s="19"/>
      <c r="M1046212" s="19"/>
      <c r="N1046212" s="19"/>
    </row>
    <row r="1046213" spans="1:14" s="83" customFormat="1" ht="12.75">
      <c r="A1046213" s="19"/>
      <c r="B1046213" s="19"/>
      <c r="C1046213" s="19"/>
      <c r="D1046213" s="19"/>
      <c r="E1046213" s="19"/>
      <c r="F1046213" s="19"/>
      <c r="G1046213" s="19"/>
      <c r="H1046213" s="19"/>
      <c r="I1046213" s="19"/>
      <c r="J1046213" s="19"/>
      <c r="K1046213" s="19"/>
      <c r="L1046213" s="19"/>
      <c r="M1046213" s="19"/>
      <c r="N1046213" s="19"/>
    </row>
    <row r="1046214" spans="1:14" s="83" customFormat="1" ht="12.75">
      <c r="A1046214" s="19"/>
      <c r="B1046214" s="19"/>
      <c r="C1046214" s="19"/>
      <c r="D1046214" s="19"/>
      <c r="E1046214" s="19"/>
      <c r="F1046214" s="19"/>
      <c r="G1046214" s="19"/>
      <c r="H1046214" s="19"/>
      <c r="I1046214" s="19"/>
      <c r="J1046214" s="19"/>
      <c r="K1046214" s="19"/>
      <c r="L1046214" s="19"/>
      <c r="M1046214" s="19"/>
      <c r="N1046214" s="19"/>
    </row>
    <row r="1046215" spans="1:14" s="83" customFormat="1" ht="12.75">
      <c r="A1046215" s="19"/>
      <c r="B1046215" s="19"/>
      <c r="C1046215" s="19"/>
      <c r="D1046215" s="19"/>
      <c r="E1046215" s="19"/>
      <c r="F1046215" s="19"/>
      <c r="G1046215" s="19"/>
      <c r="H1046215" s="19"/>
      <c r="I1046215" s="19"/>
      <c r="J1046215" s="19"/>
      <c r="K1046215" s="19"/>
      <c r="L1046215" s="19"/>
      <c r="M1046215" s="19"/>
      <c r="N1046215" s="19"/>
    </row>
    <row r="1046216" spans="1:14" s="83" customFormat="1" ht="12.75">
      <c r="A1046216" s="19"/>
      <c r="B1046216" s="19"/>
      <c r="C1046216" s="19"/>
      <c r="D1046216" s="19"/>
      <c r="E1046216" s="19"/>
      <c r="F1046216" s="19"/>
      <c r="G1046216" s="19"/>
      <c r="H1046216" s="19"/>
      <c r="I1046216" s="19"/>
      <c r="J1046216" s="19"/>
      <c r="K1046216" s="19"/>
      <c r="L1046216" s="19"/>
      <c r="M1046216" s="19"/>
      <c r="N1046216" s="19"/>
    </row>
    <row r="1046217" spans="1:14" s="83" customFormat="1" ht="12.75">
      <c r="A1046217" s="19"/>
      <c r="B1046217" s="19"/>
      <c r="C1046217" s="19"/>
      <c r="D1046217" s="19"/>
      <c r="E1046217" s="19"/>
      <c r="F1046217" s="19"/>
      <c r="G1046217" s="19"/>
      <c r="H1046217" s="19"/>
      <c r="I1046217" s="19"/>
      <c r="J1046217" s="19"/>
      <c r="K1046217" s="19"/>
      <c r="L1046217" s="19"/>
      <c r="M1046217" s="19"/>
      <c r="N1046217" s="19"/>
    </row>
    <row r="1046218" spans="1:14" s="83" customFormat="1" ht="12.75">
      <c r="A1046218" s="19"/>
      <c r="B1046218" s="19"/>
      <c r="C1046218" s="19"/>
      <c r="D1046218" s="19"/>
      <c r="E1046218" s="19"/>
      <c r="F1046218" s="19"/>
      <c r="G1046218" s="19"/>
      <c r="H1046218" s="19"/>
      <c r="I1046218" s="19"/>
      <c r="J1046218" s="19"/>
      <c r="K1046218" s="19"/>
      <c r="L1046218" s="19"/>
      <c r="M1046218" s="19"/>
      <c r="N1046218" s="19"/>
    </row>
    <row r="1046219" spans="1:14" s="83" customFormat="1" ht="12.75">
      <c r="A1046219" s="19"/>
      <c r="B1046219" s="19"/>
      <c r="C1046219" s="19"/>
      <c r="D1046219" s="19"/>
      <c r="E1046219" s="19"/>
      <c r="F1046219" s="19"/>
      <c r="G1046219" s="19"/>
      <c r="H1046219" s="19"/>
      <c r="I1046219" s="19"/>
      <c r="J1046219" s="19"/>
      <c r="K1046219" s="19"/>
      <c r="L1046219" s="19"/>
      <c r="M1046219" s="19"/>
      <c r="N1046219" s="19"/>
    </row>
    <row r="1046220" spans="1:14" s="83" customFormat="1" ht="12.75">
      <c r="A1046220" s="19"/>
      <c r="B1046220" s="19"/>
      <c r="C1046220" s="19"/>
      <c r="D1046220" s="19"/>
      <c r="E1046220" s="19"/>
      <c r="F1046220" s="19"/>
      <c r="G1046220" s="19"/>
      <c r="H1046220" s="19"/>
      <c r="I1046220" s="19"/>
      <c r="J1046220" s="19"/>
      <c r="K1046220" s="19"/>
      <c r="L1046220" s="19"/>
      <c r="M1046220" s="19"/>
      <c r="N1046220" s="19"/>
    </row>
    <row r="1046221" spans="1:14" s="83" customFormat="1" ht="12.75">
      <c r="A1046221" s="19"/>
      <c r="B1046221" s="19"/>
      <c r="C1046221" s="19"/>
      <c r="D1046221" s="19"/>
      <c r="E1046221" s="19"/>
      <c r="F1046221" s="19"/>
      <c r="G1046221" s="19"/>
      <c r="H1046221" s="19"/>
      <c r="I1046221" s="19"/>
      <c r="J1046221" s="19"/>
      <c r="K1046221" s="19"/>
      <c r="L1046221" s="19"/>
      <c r="M1046221" s="19"/>
      <c r="N1046221" s="19"/>
    </row>
    <row r="1046222" spans="1:14" s="83" customFormat="1" ht="12.75">
      <c r="A1046222" s="19"/>
      <c r="B1046222" s="19"/>
      <c r="C1046222" s="19"/>
      <c r="D1046222" s="19"/>
      <c r="E1046222" s="19"/>
      <c r="F1046222" s="19"/>
      <c r="G1046222" s="19"/>
      <c r="H1046222" s="19"/>
      <c r="I1046222" s="19"/>
      <c r="J1046222" s="19"/>
      <c r="K1046222" s="19"/>
      <c r="L1046222" s="19"/>
      <c r="M1046222" s="19"/>
      <c r="N1046222" s="19"/>
    </row>
    <row r="1046223" spans="1:14" s="83" customFormat="1" ht="12.75">
      <c r="A1046223" s="19"/>
      <c r="B1046223" s="19"/>
      <c r="C1046223" s="19"/>
      <c r="D1046223" s="19"/>
      <c r="E1046223" s="19"/>
      <c r="F1046223" s="19"/>
      <c r="G1046223" s="19"/>
      <c r="H1046223" s="19"/>
      <c r="I1046223" s="19"/>
      <c r="J1046223" s="19"/>
      <c r="K1046223" s="19"/>
      <c r="L1046223" s="19"/>
      <c r="M1046223" s="19"/>
      <c r="N1046223" s="19"/>
    </row>
    <row r="1046224" spans="1:14" s="83" customFormat="1" ht="12.75">
      <c r="A1046224" s="19"/>
      <c r="B1046224" s="19"/>
      <c r="C1046224" s="19"/>
      <c r="D1046224" s="19"/>
      <c r="E1046224" s="19"/>
      <c r="F1046224" s="19"/>
      <c r="G1046224" s="19"/>
      <c r="H1046224" s="19"/>
      <c r="I1046224" s="19"/>
      <c r="J1046224" s="19"/>
      <c r="K1046224" s="19"/>
      <c r="L1046224" s="19"/>
      <c r="M1046224" s="19"/>
      <c r="N1046224" s="19"/>
    </row>
    <row r="1046225" spans="1:14" s="83" customFormat="1" ht="12.75">
      <c r="A1046225" s="19"/>
      <c r="B1046225" s="19"/>
      <c r="C1046225" s="19"/>
      <c r="D1046225" s="19"/>
      <c r="E1046225" s="19"/>
      <c r="F1046225" s="19"/>
      <c r="G1046225" s="19"/>
      <c r="H1046225" s="19"/>
      <c r="I1046225" s="19"/>
      <c r="J1046225" s="19"/>
      <c r="K1046225" s="19"/>
      <c r="L1046225" s="19"/>
      <c r="M1046225" s="19"/>
      <c r="N1046225" s="19"/>
    </row>
    <row r="1046226" spans="1:14" s="83" customFormat="1" ht="12.75">
      <c r="A1046226" s="19"/>
      <c r="B1046226" s="19"/>
      <c r="C1046226" s="19"/>
      <c r="D1046226" s="19"/>
      <c r="E1046226" s="19"/>
      <c r="F1046226" s="19"/>
      <c r="G1046226" s="19"/>
      <c r="H1046226" s="19"/>
      <c r="I1046226" s="19"/>
      <c r="J1046226" s="19"/>
      <c r="K1046226" s="19"/>
      <c r="L1046226" s="19"/>
      <c r="M1046226" s="19"/>
      <c r="N1046226" s="19"/>
    </row>
    <row r="1046227" spans="1:14" s="83" customFormat="1" ht="12.75">
      <c r="A1046227" s="19"/>
      <c r="B1046227" s="19"/>
      <c r="C1046227" s="19"/>
      <c r="D1046227" s="19"/>
      <c r="E1046227" s="19"/>
      <c r="F1046227" s="19"/>
      <c r="G1046227" s="19"/>
      <c r="H1046227" s="19"/>
      <c r="I1046227" s="19"/>
      <c r="J1046227" s="19"/>
      <c r="K1046227" s="19"/>
      <c r="L1046227" s="19"/>
      <c r="M1046227" s="19"/>
      <c r="N1046227" s="19"/>
    </row>
    <row r="1046228" spans="1:14" s="83" customFormat="1" ht="12.75">
      <c r="A1046228" s="19"/>
      <c r="B1046228" s="19"/>
      <c r="C1046228" s="19"/>
      <c r="D1046228" s="19"/>
      <c r="E1046228" s="19"/>
      <c r="F1046228" s="19"/>
      <c r="G1046228" s="19"/>
      <c r="H1046228" s="19"/>
      <c r="I1046228" s="19"/>
      <c r="J1046228" s="19"/>
      <c r="K1046228" s="19"/>
      <c r="L1046228" s="19"/>
      <c r="M1046228" s="19"/>
      <c r="N1046228" s="19"/>
    </row>
    <row r="1046229" spans="1:14" s="83" customFormat="1" ht="12.75">
      <c r="A1046229" s="19"/>
      <c r="B1046229" s="19"/>
      <c r="C1046229" s="19"/>
      <c r="D1046229" s="19"/>
      <c r="E1046229" s="19"/>
      <c r="F1046229" s="19"/>
      <c r="G1046229" s="19"/>
      <c r="H1046229" s="19"/>
      <c r="I1046229" s="19"/>
      <c r="J1046229" s="19"/>
      <c r="K1046229" s="19"/>
      <c r="L1046229" s="19"/>
      <c r="M1046229" s="19"/>
      <c r="N1046229" s="19"/>
    </row>
    <row r="1046230" spans="1:14" s="83" customFormat="1" ht="12.75">
      <c r="A1046230" s="19"/>
      <c r="B1046230" s="19"/>
      <c r="C1046230" s="19"/>
      <c r="D1046230" s="19"/>
      <c r="E1046230" s="19"/>
      <c r="F1046230" s="19"/>
      <c r="G1046230" s="19"/>
      <c r="H1046230" s="19"/>
      <c r="I1046230" s="19"/>
      <c r="J1046230" s="19"/>
      <c r="K1046230" s="19"/>
      <c r="L1046230" s="19"/>
      <c r="M1046230" s="19"/>
      <c r="N1046230" s="19"/>
    </row>
    <row r="1046231" spans="1:14" s="83" customFormat="1" ht="12.75">
      <c r="A1046231" s="19"/>
      <c r="B1046231" s="19"/>
      <c r="C1046231" s="19"/>
      <c r="D1046231" s="19"/>
      <c r="E1046231" s="19"/>
      <c r="F1046231" s="19"/>
      <c r="G1046231" s="19"/>
      <c r="H1046231" s="19"/>
      <c r="I1046231" s="19"/>
      <c r="J1046231" s="19"/>
      <c r="K1046231" s="19"/>
      <c r="L1046231" s="19"/>
      <c r="M1046231" s="19"/>
      <c r="N1046231" s="19"/>
    </row>
    <row r="1046232" spans="1:14" s="83" customFormat="1" ht="12.75">
      <c r="A1046232" s="19"/>
      <c r="B1046232" s="19"/>
      <c r="C1046232" s="19"/>
      <c r="D1046232" s="19"/>
      <c r="E1046232" s="19"/>
      <c r="F1046232" s="19"/>
      <c r="G1046232" s="19"/>
      <c r="H1046232" s="19"/>
      <c r="I1046232" s="19"/>
      <c r="J1046232" s="19"/>
      <c r="K1046232" s="19"/>
      <c r="L1046232" s="19"/>
      <c r="M1046232" s="19"/>
      <c r="N1046232" s="19"/>
    </row>
    <row r="1046233" spans="1:14" s="83" customFormat="1" ht="12.75">
      <c r="A1046233" s="19"/>
      <c r="B1046233" s="19"/>
      <c r="C1046233" s="19"/>
      <c r="D1046233" s="19"/>
      <c r="E1046233" s="19"/>
      <c r="F1046233" s="19"/>
      <c r="G1046233" s="19"/>
      <c r="H1046233" s="19"/>
      <c r="I1046233" s="19"/>
      <c r="J1046233" s="19"/>
      <c r="K1046233" s="19"/>
      <c r="L1046233" s="19"/>
      <c r="M1046233" s="19"/>
      <c r="N1046233" s="19"/>
    </row>
    <row r="1046234" spans="1:14" s="83" customFormat="1" ht="12.75">
      <c r="A1046234" s="19"/>
      <c r="B1046234" s="19"/>
      <c r="C1046234" s="19"/>
      <c r="D1046234" s="19"/>
      <c r="E1046234" s="19"/>
      <c r="F1046234" s="19"/>
      <c r="G1046234" s="19"/>
      <c r="H1046234" s="19"/>
      <c r="I1046234" s="19"/>
      <c r="J1046234" s="19"/>
      <c r="K1046234" s="19"/>
      <c r="L1046234" s="19"/>
      <c r="M1046234" s="19"/>
      <c r="N1046234" s="19"/>
    </row>
    <row r="1046235" spans="1:14" s="83" customFormat="1" ht="12.75">
      <c r="A1046235" s="19"/>
      <c r="B1046235" s="19"/>
      <c r="C1046235" s="19"/>
      <c r="D1046235" s="19"/>
      <c r="E1046235" s="19"/>
      <c r="F1046235" s="19"/>
      <c r="G1046235" s="19"/>
      <c r="H1046235" s="19"/>
      <c r="I1046235" s="19"/>
      <c r="J1046235" s="19"/>
      <c r="K1046235" s="19"/>
      <c r="L1046235" s="19"/>
      <c r="M1046235" s="19"/>
      <c r="N1046235" s="19"/>
    </row>
    <row r="1046236" spans="1:14" s="83" customFormat="1" ht="12.75">
      <c r="A1046236" s="19"/>
      <c r="B1046236" s="19"/>
      <c r="C1046236" s="19"/>
      <c r="D1046236" s="19"/>
      <c r="E1046236" s="19"/>
      <c r="F1046236" s="19"/>
      <c r="G1046236" s="19"/>
      <c r="H1046236" s="19"/>
      <c r="I1046236" s="19"/>
      <c r="J1046236" s="19"/>
      <c r="K1046236" s="19"/>
      <c r="L1046236" s="19"/>
      <c r="M1046236" s="19"/>
      <c r="N1046236" s="19"/>
    </row>
    <row r="1046237" spans="1:14" s="83" customFormat="1" ht="12.75">
      <c r="A1046237" s="19"/>
      <c r="B1046237" s="19"/>
      <c r="C1046237" s="19"/>
      <c r="D1046237" s="19"/>
      <c r="E1046237" s="19"/>
      <c r="F1046237" s="19"/>
      <c r="G1046237" s="19"/>
      <c r="H1046237" s="19"/>
      <c r="I1046237" s="19"/>
      <c r="J1046237" s="19"/>
      <c r="K1046237" s="19"/>
      <c r="L1046237" s="19"/>
      <c r="M1046237" s="19"/>
      <c r="N1046237" s="19"/>
    </row>
    <row r="1046238" spans="1:14" s="83" customFormat="1" ht="12.75">
      <c r="A1046238" s="19"/>
      <c r="B1046238" s="19"/>
      <c r="C1046238" s="19"/>
      <c r="D1046238" s="19"/>
      <c r="E1046238" s="19"/>
      <c r="F1046238" s="19"/>
      <c r="G1046238" s="19"/>
      <c r="H1046238" s="19"/>
      <c r="I1046238" s="19"/>
      <c r="J1046238" s="19"/>
      <c r="K1046238" s="19"/>
      <c r="L1046238" s="19"/>
      <c r="M1046238" s="19"/>
      <c r="N1046238" s="19"/>
    </row>
    <row r="1046239" spans="1:14" s="83" customFormat="1" ht="12.75">
      <c r="A1046239" s="19"/>
      <c r="B1046239" s="19"/>
      <c r="C1046239" s="19"/>
      <c r="D1046239" s="19"/>
      <c r="E1046239" s="19"/>
      <c r="F1046239" s="19"/>
      <c r="G1046239" s="19"/>
      <c r="H1046239" s="19"/>
      <c r="I1046239" s="19"/>
      <c r="J1046239" s="19"/>
      <c r="K1046239" s="19"/>
      <c r="L1046239" s="19"/>
      <c r="M1046239" s="19"/>
      <c r="N1046239" s="19"/>
    </row>
    <row r="1046240" spans="1:14" s="83" customFormat="1" ht="12.75">
      <c r="A1046240" s="19"/>
      <c r="B1046240" s="19"/>
      <c r="C1046240" s="19"/>
      <c r="D1046240" s="19"/>
      <c r="E1046240" s="19"/>
      <c r="F1046240" s="19"/>
      <c r="G1046240" s="19"/>
      <c r="H1046240" s="19"/>
      <c r="I1046240" s="19"/>
      <c r="J1046240" s="19"/>
      <c r="K1046240" s="19"/>
      <c r="L1046240" s="19"/>
      <c r="M1046240" s="19"/>
      <c r="N1046240" s="19"/>
    </row>
    <row r="1046241" spans="1:14" s="83" customFormat="1" ht="12.75">
      <c r="A1046241" s="19"/>
      <c r="B1046241" s="19"/>
      <c r="C1046241" s="19"/>
      <c r="D1046241" s="19"/>
      <c r="E1046241" s="19"/>
      <c r="F1046241" s="19"/>
      <c r="G1046241" s="19"/>
      <c r="H1046241" s="19"/>
      <c r="I1046241" s="19"/>
      <c r="J1046241" s="19"/>
      <c r="K1046241" s="19"/>
      <c r="L1046241" s="19"/>
      <c r="M1046241" s="19"/>
      <c r="N1046241" s="19"/>
    </row>
    <row r="1046242" spans="1:14" s="83" customFormat="1" ht="12.75">
      <c r="A1046242" s="19"/>
      <c r="B1046242" s="19"/>
      <c r="C1046242" s="19"/>
      <c r="D1046242" s="19"/>
      <c r="E1046242" s="19"/>
      <c r="F1046242" s="19"/>
      <c r="G1046242" s="19"/>
      <c r="H1046242" s="19"/>
      <c r="I1046242" s="19"/>
      <c r="J1046242" s="19"/>
      <c r="K1046242" s="19"/>
      <c r="L1046242" s="19"/>
      <c r="M1046242" s="19"/>
      <c r="N1046242" s="19"/>
    </row>
    <row r="1046243" spans="1:14" s="83" customFormat="1" ht="12.75">
      <c r="A1046243" s="19"/>
      <c r="B1046243" s="19"/>
      <c r="C1046243" s="19"/>
      <c r="D1046243" s="19"/>
      <c r="E1046243" s="19"/>
      <c r="F1046243" s="19"/>
      <c r="G1046243" s="19"/>
      <c r="H1046243" s="19"/>
      <c r="I1046243" s="19"/>
      <c r="J1046243" s="19"/>
      <c r="K1046243" s="19"/>
      <c r="L1046243" s="19"/>
      <c r="M1046243" s="19"/>
      <c r="N1046243" s="19"/>
    </row>
    <row r="1046244" spans="1:14" s="83" customFormat="1" ht="12.75">
      <c r="A1046244" s="19"/>
      <c r="B1046244" s="19"/>
      <c r="C1046244" s="19"/>
      <c r="D1046244" s="19"/>
      <c r="E1046244" s="19"/>
      <c r="F1046244" s="19"/>
      <c r="G1046244" s="19"/>
      <c r="H1046244" s="19"/>
      <c r="I1046244" s="19"/>
      <c r="J1046244" s="19"/>
      <c r="K1046244" s="19"/>
      <c r="L1046244" s="19"/>
      <c r="M1046244" s="19"/>
      <c r="N1046244" s="19"/>
    </row>
    <row r="1046245" spans="1:14" s="83" customFormat="1" ht="12.75">
      <c r="A1046245" s="19"/>
      <c r="B1046245" s="19"/>
      <c r="C1046245" s="19"/>
      <c r="D1046245" s="19"/>
      <c r="E1046245" s="19"/>
      <c r="F1046245" s="19"/>
      <c r="G1046245" s="19"/>
      <c r="H1046245" s="19"/>
      <c r="I1046245" s="19"/>
      <c r="J1046245" s="19"/>
      <c r="K1046245" s="19"/>
      <c r="L1046245" s="19"/>
      <c r="M1046245" s="19"/>
      <c r="N1046245" s="19"/>
    </row>
    <row r="1046246" spans="1:14" s="83" customFormat="1" ht="12.75">
      <c r="A1046246" s="19"/>
      <c r="B1046246" s="19"/>
      <c r="C1046246" s="19"/>
      <c r="D1046246" s="19"/>
      <c r="E1046246" s="19"/>
      <c r="F1046246" s="19"/>
      <c r="G1046246" s="19"/>
      <c r="H1046246" s="19"/>
      <c r="I1046246" s="19"/>
      <c r="J1046246" s="19"/>
      <c r="K1046246" s="19"/>
      <c r="L1046246" s="19"/>
      <c r="M1046246" s="19"/>
      <c r="N1046246" s="19"/>
    </row>
    <row r="1046247" spans="1:14" s="83" customFormat="1" ht="12.75">
      <c r="A1046247" s="19"/>
      <c r="B1046247" s="19"/>
      <c r="C1046247" s="19"/>
      <c r="D1046247" s="19"/>
      <c r="E1046247" s="19"/>
      <c r="F1046247" s="19"/>
      <c r="G1046247" s="19"/>
      <c r="H1046247" s="19"/>
      <c r="I1046247" s="19"/>
      <c r="J1046247" s="19"/>
      <c r="K1046247" s="19"/>
      <c r="L1046247" s="19"/>
      <c r="M1046247" s="19"/>
      <c r="N1046247" s="19"/>
    </row>
    <row r="1046248" spans="1:14" s="83" customFormat="1" ht="12.75">
      <c r="A1046248" s="19"/>
      <c r="B1046248" s="19"/>
      <c r="C1046248" s="19"/>
      <c r="D1046248" s="19"/>
      <c r="E1046248" s="19"/>
      <c r="F1046248" s="19"/>
      <c r="G1046248" s="19"/>
      <c r="H1046248" s="19"/>
      <c r="I1046248" s="19"/>
      <c r="J1046248" s="19"/>
      <c r="K1046248" s="19"/>
      <c r="L1046248" s="19"/>
      <c r="M1046248" s="19"/>
      <c r="N1046248" s="19"/>
    </row>
    <row r="1046249" spans="1:14" s="83" customFormat="1" ht="12.75">
      <c r="A1046249" s="19"/>
      <c r="B1046249" s="19"/>
      <c r="C1046249" s="19"/>
      <c r="D1046249" s="19"/>
      <c r="E1046249" s="19"/>
      <c r="F1046249" s="19"/>
      <c r="G1046249" s="19"/>
      <c r="H1046249" s="19"/>
      <c r="I1046249" s="19"/>
      <c r="J1046249" s="19"/>
      <c r="K1046249" s="19"/>
      <c r="L1046249" s="19"/>
      <c r="M1046249" s="19"/>
      <c r="N1046249" s="19"/>
    </row>
    <row r="1046250" spans="1:14" s="83" customFormat="1" ht="12.75">
      <c r="A1046250" s="19"/>
      <c r="B1046250" s="19"/>
      <c r="C1046250" s="19"/>
      <c r="D1046250" s="19"/>
      <c r="E1046250" s="19"/>
      <c r="F1046250" s="19"/>
      <c r="G1046250" s="19"/>
      <c r="H1046250" s="19"/>
      <c r="I1046250" s="19"/>
      <c r="J1046250" s="19"/>
      <c r="K1046250" s="19"/>
      <c r="L1046250" s="19"/>
      <c r="M1046250" s="19"/>
      <c r="N1046250" s="19"/>
    </row>
    <row r="1046251" spans="1:14" s="83" customFormat="1" ht="12.75">
      <c r="A1046251" s="19"/>
      <c r="B1046251" s="19"/>
      <c r="C1046251" s="19"/>
      <c r="D1046251" s="19"/>
      <c r="E1046251" s="19"/>
      <c r="F1046251" s="19"/>
      <c r="G1046251" s="19"/>
      <c r="H1046251" s="19"/>
      <c r="I1046251" s="19"/>
      <c r="J1046251" s="19"/>
      <c r="K1046251" s="19"/>
      <c r="L1046251" s="19"/>
      <c r="M1046251" s="19"/>
      <c r="N1046251" s="19"/>
    </row>
    <row r="1046252" spans="1:14" s="83" customFormat="1" ht="12.75">
      <c r="A1046252" s="19"/>
      <c r="B1046252" s="19"/>
      <c r="C1046252" s="19"/>
      <c r="D1046252" s="19"/>
      <c r="E1046252" s="19"/>
      <c r="F1046252" s="19"/>
      <c r="G1046252" s="19"/>
      <c r="H1046252" s="19"/>
      <c r="I1046252" s="19"/>
      <c r="J1046252" s="19"/>
      <c r="K1046252" s="19"/>
      <c r="L1046252" s="19"/>
      <c r="M1046252" s="19"/>
      <c r="N1046252" s="19"/>
    </row>
    <row r="1046253" spans="1:14" s="83" customFormat="1" ht="12.75">
      <c r="A1046253" s="19"/>
      <c r="B1046253" s="19"/>
      <c r="C1046253" s="19"/>
      <c r="D1046253" s="19"/>
      <c r="E1046253" s="19"/>
      <c r="F1046253" s="19"/>
      <c r="G1046253" s="19"/>
      <c r="H1046253" s="19"/>
      <c r="I1046253" s="19"/>
      <c r="J1046253" s="19"/>
      <c r="K1046253" s="19"/>
      <c r="L1046253" s="19"/>
      <c r="M1046253" s="19"/>
      <c r="N1046253" s="19"/>
    </row>
    <row r="1046254" spans="1:14" s="83" customFormat="1" ht="12.75">
      <c r="A1046254" s="19"/>
      <c r="B1046254" s="19"/>
      <c r="C1046254" s="19"/>
      <c r="D1046254" s="19"/>
      <c r="E1046254" s="19"/>
      <c r="F1046254" s="19"/>
      <c r="G1046254" s="19"/>
      <c r="H1046254" s="19"/>
      <c r="I1046254" s="19"/>
      <c r="J1046254" s="19"/>
      <c r="K1046254" s="19"/>
      <c r="L1046254" s="19"/>
      <c r="M1046254" s="19"/>
      <c r="N1046254" s="19"/>
    </row>
    <row r="1046255" spans="1:14" s="83" customFormat="1" ht="12.75">
      <c r="A1046255" s="19"/>
      <c r="B1046255" s="19"/>
      <c r="C1046255" s="19"/>
      <c r="D1046255" s="19"/>
      <c r="E1046255" s="19"/>
      <c r="F1046255" s="19"/>
      <c r="G1046255" s="19"/>
      <c r="H1046255" s="19"/>
      <c r="I1046255" s="19"/>
      <c r="J1046255" s="19"/>
      <c r="K1046255" s="19"/>
      <c r="L1046255" s="19"/>
      <c r="M1046255" s="19"/>
      <c r="N1046255" s="19"/>
    </row>
    <row r="1046256" spans="1:14" s="83" customFormat="1" ht="12.75">
      <c r="A1046256" s="19"/>
      <c r="B1046256" s="19"/>
      <c r="C1046256" s="19"/>
      <c r="D1046256" s="19"/>
      <c r="E1046256" s="19"/>
      <c r="F1046256" s="19"/>
      <c r="G1046256" s="19"/>
      <c r="H1046256" s="19"/>
      <c r="I1046256" s="19"/>
      <c r="J1046256" s="19"/>
      <c r="K1046256" s="19"/>
      <c r="L1046256" s="19"/>
      <c r="M1046256" s="19"/>
      <c r="N1046256" s="19"/>
    </row>
    <row r="1046257" spans="1:14" s="83" customFormat="1" ht="12.75">
      <c r="A1046257" s="19"/>
      <c r="B1046257" s="19"/>
      <c r="C1046257" s="19"/>
      <c r="D1046257" s="19"/>
      <c r="E1046257" s="19"/>
      <c r="F1046257" s="19"/>
      <c r="G1046257" s="19"/>
      <c r="H1046257" s="19"/>
      <c r="I1046257" s="19"/>
      <c r="J1046257" s="19"/>
      <c r="K1046257" s="19"/>
      <c r="L1046257" s="19"/>
      <c r="M1046257" s="19"/>
      <c r="N1046257" s="19"/>
    </row>
    <row r="1046258" spans="1:14" s="83" customFormat="1" ht="12.75">
      <c r="A1046258" s="19"/>
      <c r="B1046258" s="19"/>
      <c r="C1046258" s="19"/>
      <c r="D1046258" s="19"/>
      <c r="E1046258" s="19"/>
      <c r="F1046258" s="19"/>
      <c r="G1046258" s="19"/>
      <c r="H1046258" s="19"/>
      <c r="I1046258" s="19"/>
      <c r="J1046258" s="19"/>
      <c r="K1046258" s="19"/>
      <c r="L1046258" s="19"/>
      <c r="M1046258" s="19"/>
      <c r="N1046258" s="19"/>
    </row>
    <row r="1046259" spans="1:14" s="83" customFormat="1" ht="12.75">
      <c r="A1046259" s="19"/>
      <c r="B1046259" s="19"/>
      <c r="C1046259" s="19"/>
      <c r="D1046259" s="19"/>
      <c r="E1046259" s="19"/>
      <c r="F1046259" s="19"/>
      <c r="G1046259" s="19"/>
      <c r="H1046259" s="19"/>
      <c r="I1046259" s="19"/>
      <c r="J1046259" s="19"/>
      <c r="K1046259" s="19"/>
      <c r="L1046259" s="19"/>
      <c r="M1046259" s="19"/>
      <c r="N1046259" s="19"/>
    </row>
    <row r="1046260" spans="1:14" s="83" customFormat="1" ht="12.75">
      <c r="A1046260" s="19"/>
      <c r="B1046260" s="19"/>
      <c r="C1046260" s="19"/>
      <c r="D1046260" s="19"/>
      <c r="E1046260" s="19"/>
      <c r="F1046260" s="19"/>
      <c r="G1046260" s="19"/>
      <c r="H1046260" s="19"/>
      <c r="I1046260" s="19"/>
      <c r="J1046260" s="19"/>
      <c r="K1046260" s="19"/>
      <c r="L1046260" s="19"/>
      <c r="M1046260" s="19"/>
      <c r="N1046260" s="19"/>
    </row>
    <row r="1046261" spans="1:14" s="83" customFormat="1" ht="12.75">
      <c r="A1046261" s="19"/>
      <c r="B1046261" s="19"/>
      <c r="C1046261" s="19"/>
      <c r="D1046261" s="19"/>
      <c r="E1046261" s="19"/>
      <c r="F1046261" s="19"/>
      <c r="G1046261" s="19"/>
      <c r="H1046261" s="19"/>
      <c r="I1046261" s="19"/>
      <c r="J1046261" s="19"/>
      <c r="K1046261" s="19"/>
      <c r="L1046261" s="19"/>
      <c r="M1046261" s="19"/>
      <c r="N1046261" s="19"/>
    </row>
    <row r="1046262" spans="1:14" s="83" customFormat="1" ht="12.75">
      <c r="A1046262" s="19"/>
      <c r="B1046262" s="19"/>
      <c r="C1046262" s="19"/>
      <c r="D1046262" s="19"/>
      <c r="E1046262" s="19"/>
      <c r="F1046262" s="19"/>
      <c r="G1046262" s="19"/>
      <c r="H1046262" s="19"/>
      <c r="I1046262" s="19"/>
      <c r="J1046262" s="19"/>
      <c r="K1046262" s="19"/>
      <c r="L1046262" s="19"/>
      <c r="M1046262" s="19"/>
      <c r="N1046262" s="19"/>
    </row>
    <row r="1046263" spans="1:14" s="83" customFormat="1" ht="12.75">
      <c r="A1046263" s="19"/>
      <c r="B1046263" s="19"/>
      <c r="C1046263" s="19"/>
      <c r="D1046263" s="19"/>
      <c r="E1046263" s="19"/>
      <c r="F1046263" s="19"/>
      <c r="G1046263" s="19"/>
      <c r="H1046263" s="19"/>
      <c r="I1046263" s="19"/>
      <c r="J1046263" s="19"/>
      <c r="K1046263" s="19"/>
      <c r="L1046263" s="19"/>
      <c r="M1046263" s="19"/>
      <c r="N1046263" s="19"/>
    </row>
    <row r="1046264" spans="1:14" s="83" customFormat="1" ht="12.75">
      <c r="A1046264" s="19"/>
      <c r="B1046264" s="19"/>
      <c r="C1046264" s="19"/>
      <c r="D1046264" s="19"/>
      <c r="E1046264" s="19"/>
      <c r="F1046264" s="19"/>
      <c r="G1046264" s="19"/>
      <c r="H1046264" s="19"/>
      <c r="I1046264" s="19"/>
      <c r="J1046264" s="19"/>
      <c r="K1046264" s="19"/>
      <c r="L1046264" s="19"/>
      <c r="M1046264" s="19"/>
      <c r="N1046264" s="19"/>
    </row>
    <row r="1046265" spans="1:14" s="83" customFormat="1" ht="12.75">
      <c r="A1046265" s="19"/>
      <c r="B1046265" s="19"/>
      <c r="C1046265" s="19"/>
      <c r="D1046265" s="19"/>
      <c r="E1046265" s="19"/>
      <c r="F1046265" s="19"/>
      <c r="G1046265" s="19"/>
      <c r="H1046265" s="19"/>
      <c r="I1046265" s="19"/>
      <c r="J1046265" s="19"/>
      <c r="K1046265" s="19"/>
      <c r="L1046265" s="19"/>
      <c r="M1046265" s="19"/>
      <c r="N1046265" s="19"/>
    </row>
    <row r="1046266" spans="1:14" s="83" customFormat="1" ht="12.75">
      <c r="A1046266" s="19"/>
      <c r="B1046266" s="19"/>
      <c r="C1046266" s="19"/>
      <c r="D1046266" s="19"/>
      <c r="E1046266" s="19"/>
      <c r="F1046266" s="19"/>
      <c r="G1046266" s="19"/>
      <c r="H1046266" s="19"/>
      <c r="I1046266" s="19"/>
      <c r="J1046266" s="19"/>
      <c r="K1046266" s="19"/>
      <c r="L1046266" s="19"/>
      <c r="M1046266" s="19"/>
      <c r="N1046266" s="19"/>
    </row>
    <row r="1046267" spans="1:14" s="83" customFormat="1" ht="12.75">
      <c r="A1046267" s="19"/>
      <c r="B1046267" s="19"/>
      <c r="C1046267" s="19"/>
      <c r="D1046267" s="19"/>
      <c r="E1046267" s="19"/>
      <c r="F1046267" s="19"/>
      <c r="G1046267" s="19"/>
      <c r="H1046267" s="19"/>
      <c r="I1046267" s="19"/>
      <c r="J1046267" s="19"/>
      <c r="K1046267" s="19"/>
      <c r="L1046267" s="19"/>
      <c r="M1046267" s="19"/>
      <c r="N1046267" s="19"/>
    </row>
    <row r="1046268" spans="1:14" s="83" customFormat="1" ht="12.75">
      <c r="A1046268" s="19"/>
      <c r="B1046268" s="19"/>
      <c r="C1046268" s="19"/>
      <c r="D1046268" s="19"/>
      <c r="E1046268" s="19"/>
      <c r="F1046268" s="19"/>
      <c r="G1046268" s="19"/>
      <c r="H1046268" s="19"/>
      <c r="I1046268" s="19"/>
      <c r="J1046268" s="19"/>
      <c r="K1046268" s="19"/>
      <c r="L1046268" s="19"/>
      <c r="M1046268" s="19"/>
      <c r="N1046268" s="19"/>
    </row>
    <row r="1046269" spans="1:14" s="83" customFormat="1" ht="12.75">
      <c r="A1046269" s="19"/>
      <c r="B1046269" s="19"/>
      <c r="C1046269" s="19"/>
      <c r="D1046269" s="19"/>
      <c r="E1046269" s="19"/>
      <c r="F1046269" s="19"/>
      <c r="G1046269" s="19"/>
      <c r="H1046269" s="19"/>
      <c r="I1046269" s="19"/>
      <c r="J1046269" s="19"/>
      <c r="K1046269" s="19"/>
      <c r="L1046269" s="19"/>
      <c r="M1046269" s="19"/>
      <c r="N1046269" s="19"/>
    </row>
    <row r="1046270" spans="1:14" s="83" customFormat="1" ht="12.75">
      <c r="A1046270" s="19"/>
      <c r="B1046270" s="19"/>
      <c r="C1046270" s="19"/>
      <c r="D1046270" s="19"/>
      <c r="E1046270" s="19"/>
      <c r="F1046270" s="19"/>
      <c r="G1046270" s="19"/>
      <c r="H1046270" s="19"/>
      <c r="I1046270" s="19"/>
      <c r="J1046270" s="19"/>
      <c r="K1046270" s="19"/>
      <c r="L1046270" s="19"/>
      <c r="M1046270" s="19"/>
      <c r="N1046270" s="19"/>
    </row>
    <row r="1046271" spans="1:14" s="83" customFormat="1" ht="12.75">
      <c r="A1046271" s="19"/>
      <c r="B1046271" s="19"/>
      <c r="C1046271" s="19"/>
      <c r="D1046271" s="19"/>
      <c r="E1046271" s="19"/>
      <c r="F1046271" s="19"/>
      <c r="G1046271" s="19"/>
      <c r="H1046271" s="19"/>
      <c r="I1046271" s="19"/>
      <c r="J1046271" s="19"/>
      <c r="K1046271" s="19"/>
      <c r="L1046271" s="19"/>
      <c r="M1046271" s="19"/>
      <c r="N1046271" s="19"/>
    </row>
    <row r="1046272" spans="1:14" s="83" customFormat="1" ht="12.75">
      <c r="A1046272" s="19"/>
      <c r="B1046272" s="19"/>
      <c r="C1046272" s="19"/>
      <c r="D1046272" s="19"/>
      <c r="E1046272" s="19"/>
      <c r="F1046272" s="19"/>
      <c r="G1046272" s="19"/>
      <c r="H1046272" s="19"/>
      <c r="I1046272" s="19"/>
      <c r="J1046272" s="19"/>
      <c r="K1046272" s="19"/>
      <c r="L1046272" s="19"/>
      <c r="M1046272" s="19"/>
      <c r="N1046272" s="19"/>
    </row>
    <row r="1046273" spans="1:14" s="83" customFormat="1" ht="12.75">
      <c r="A1046273" s="19"/>
      <c r="B1046273" s="19"/>
      <c r="C1046273" s="19"/>
      <c r="D1046273" s="19"/>
      <c r="E1046273" s="19"/>
      <c r="F1046273" s="19"/>
      <c r="G1046273" s="19"/>
      <c r="H1046273" s="19"/>
      <c r="I1046273" s="19"/>
      <c r="J1046273" s="19"/>
      <c r="K1046273" s="19"/>
      <c r="L1046273" s="19"/>
      <c r="M1046273" s="19"/>
      <c r="N1046273" s="19"/>
    </row>
    <row r="1046274" spans="1:14" s="83" customFormat="1" ht="12.75">
      <c r="A1046274" s="19"/>
      <c r="B1046274" s="19"/>
      <c r="C1046274" s="19"/>
      <c r="D1046274" s="19"/>
      <c r="E1046274" s="19"/>
      <c r="F1046274" s="19"/>
      <c r="G1046274" s="19"/>
      <c r="H1046274" s="19"/>
      <c r="I1046274" s="19"/>
      <c r="J1046274" s="19"/>
      <c r="K1046274" s="19"/>
      <c r="L1046274" s="19"/>
      <c r="M1046274" s="19"/>
      <c r="N1046274" s="19"/>
    </row>
    <row r="1046275" spans="1:14" s="83" customFormat="1" ht="12.75">
      <c r="A1046275" s="19"/>
      <c r="B1046275" s="19"/>
      <c r="C1046275" s="19"/>
      <c r="D1046275" s="19"/>
      <c r="E1046275" s="19"/>
      <c r="F1046275" s="19"/>
      <c r="G1046275" s="19"/>
      <c r="H1046275" s="19"/>
      <c r="I1046275" s="19"/>
      <c r="J1046275" s="19"/>
      <c r="K1046275" s="19"/>
      <c r="L1046275" s="19"/>
      <c r="M1046275" s="19"/>
      <c r="N1046275" s="19"/>
    </row>
    <row r="1046276" spans="1:14" s="83" customFormat="1" ht="12.75">
      <c r="A1046276" s="19"/>
      <c r="B1046276" s="19"/>
      <c r="C1046276" s="19"/>
      <c r="D1046276" s="19"/>
      <c r="E1046276" s="19"/>
      <c r="F1046276" s="19"/>
      <c r="G1046276" s="19"/>
      <c r="H1046276" s="19"/>
      <c r="I1046276" s="19"/>
      <c r="J1046276" s="19"/>
      <c r="K1046276" s="19"/>
      <c r="L1046276" s="19"/>
      <c r="M1046276" s="19"/>
      <c r="N1046276" s="19"/>
    </row>
    <row r="1046277" spans="1:14" s="83" customFormat="1" ht="12.75">
      <c r="A1046277" s="19"/>
      <c r="B1046277" s="19"/>
      <c r="C1046277" s="19"/>
      <c r="D1046277" s="19"/>
      <c r="E1046277" s="19"/>
      <c r="F1046277" s="19"/>
      <c r="G1046277" s="19"/>
      <c r="H1046277" s="19"/>
      <c r="I1046277" s="19"/>
      <c r="J1046277" s="19"/>
      <c r="K1046277" s="19"/>
      <c r="L1046277" s="19"/>
      <c r="M1046277" s="19"/>
      <c r="N1046277" s="19"/>
    </row>
    <row r="1046278" spans="1:14" s="83" customFormat="1" ht="12.75">
      <c r="A1046278" s="19"/>
      <c r="B1046278" s="19"/>
      <c r="C1046278" s="19"/>
      <c r="D1046278" s="19"/>
      <c r="E1046278" s="19"/>
      <c r="F1046278" s="19"/>
      <c r="G1046278" s="19"/>
      <c r="H1046278" s="19"/>
      <c r="I1046278" s="19"/>
      <c r="J1046278" s="19"/>
      <c r="K1046278" s="19"/>
      <c r="L1046278" s="19"/>
      <c r="M1046278" s="19"/>
      <c r="N1046278" s="19"/>
    </row>
    <row r="1046279" spans="1:14" s="83" customFormat="1" ht="12.75">
      <c r="A1046279" s="19"/>
      <c r="B1046279" s="19"/>
      <c r="C1046279" s="19"/>
      <c r="D1046279" s="19"/>
      <c r="E1046279" s="19"/>
      <c r="F1046279" s="19"/>
      <c r="G1046279" s="19"/>
      <c r="H1046279" s="19"/>
      <c r="I1046279" s="19"/>
      <c r="J1046279" s="19"/>
      <c r="K1046279" s="19"/>
      <c r="L1046279" s="19"/>
      <c r="M1046279" s="19"/>
      <c r="N1046279" s="19"/>
    </row>
    <row r="1046280" spans="1:14" s="83" customFormat="1" ht="12.75">
      <c r="A1046280" s="19"/>
      <c r="B1046280" s="19"/>
      <c r="C1046280" s="19"/>
      <c r="D1046280" s="19"/>
      <c r="E1046280" s="19"/>
      <c r="F1046280" s="19"/>
      <c r="G1046280" s="19"/>
      <c r="H1046280" s="19"/>
      <c r="I1046280" s="19"/>
      <c r="J1046280" s="19"/>
      <c r="K1046280" s="19"/>
      <c r="L1046280" s="19"/>
      <c r="M1046280" s="19"/>
      <c r="N1046280" s="19"/>
    </row>
    <row r="1046281" spans="1:14" s="83" customFormat="1" ht="12.75">
      <c r="A1046281" s="19"/>
      <c r="B1046281" s="19"/>
      <c r="C1046281" s="19"/>
      <c r="D1046281" s="19"/>
      <c r="E1046281" s="19"/>
      <c r="F1046281" s="19"/>
      <c r="G1046281" s="19"/>
      <c r="H1046281" s="19"/>
      <c r="I1046281" s="19"/>
      <c r="J1046281" s="19"/>
      <c r="K1046281" s="19"/>
      <c r="L1046281" s="19"/>
      <c r="M1046281" s="19"/>
      <c r="N1046281" s="19"/>
    </row>
    <row r="1046282" spans="1:14" s="83" customFormat="1" ht="12.75">
      <c r="A1046282" s="19"/>
      <c r="B1046282" s="19"/>
      <c r="C1046282" s="19"/>
      <c r="D1046282" s="19"/>
      <c r="E1046282" s="19"/>
      <c r="F1046282" s="19"/>
      <c r="G1046282" s="19"/>
      <c r="H1046282" s="19"/>
      <c r="I1046282" s="19"/>
      <c r="J1046282" s="19"/>
      <c r="K1046282" s="19"/>
      <c r="L1046282" s="19"/>
      <c r="M1046282" s="19"/>
      <c r="N1046282" s="19"/>
    </row>
    <row r="1046283" spans="1:14" s="83" customFormat="1" ht="12.75">
      <c r="A1046283" s="19"/>
      <c r="B1046283" s="19"/>
      <c r="C1046283" s="19"/>
      <c r="D1046283" s="19"/>
      <c r="E1046283" s="19"/>
      <c r="F1046283" s="19"/>
      <c r="G1046283" s="19"/>
      <c r="H1046283" s="19"/>
      <c r="I1046283" s="19"/>
      <c r="J1046283" s="19"/>
      <c r="K1046283" s="19"/>
      <c r="L1046283" s="19"/>
      <c r="M1046283" s="19"/>
      <c r="N1046283" s="19"/>
    </row>
    <row r="1046284" spans="1:14" s="83" customFormat="1" ht="12.75">
      <c r="A1046284" s="19"/>
      <c r="B1046284" s="19"/>
      <c r="C1046284" s="19"/>
      <c r="D1046284" s="19"/>
      <c r="E1046284" s="19"/>
      <c r="F1046284" s="19"/>
      <c r="G1046284" s="19"/>
      <c r="H1046284" s="19"/>
      <c r="I1046284" s="19"/>
      <c r="J1046284" s="19"/>
      <c r="K1046284" s="19"/>
      <c r="L1046284" s="19"/>
      <c r="M1046284" s="19"/>
      <c r="N1046284" s="19"/>
    </row>
    <row r="1046285" spans="1:14" s="83" customFormat="1" ht="12.75">
      <c r="A1046285" s="19"/>
      <c r="B1046285" s="19"/>
      <c r="C1046285" s="19"/>
      <c r="D1046285" s="19"/>
      <c r="E1046285" s="19"/>
      <c r="F1046285" s="19"/>
      <c r="G1046285" s="19"/>
      <c r="H1046285" s="19"/>
      <c r="I1046285" s="19"/>
      <c r="J1046285" s="19"/>
      <c r="K1046285" s="19"/>
      <c r="L1046285" s="19"/>
      <c r="M1046285" s="19"/>
      <c r="N1046285" s="19"/>
    </row>
    <row r="1046286" spans="1:14" s="83" customFormat="1" ht="12.75">
      <c r="A1046286" s="19"/>
      <c r="B1046286" s="19"/>
      <c r="C1046286" s="19"/>
      <c r="D1046286" s="19"/>
      <c r="E1046286" s="19"/>
      <c r="F1046286" s="19"/>
      <c r="G1046286" s="19"/>
      <c r="H1046286" s="19"/>
      <c r="I1046286" s="19"/>
      <c r="J1046286" s="19"/>
      <c r="K1046286" s="19"/>
      <c r="L1046286" s="19"/>
      <c r="M1046286" s="19"/>
      <c r="N1046286" s="19"/>
    </row>
    <row r="1046287" spans="1:14" s="83" customFormat="1" ht="12.75">
      <c r="A1046287" s="19"/>
      <c r="B1046287" s="19"/>
      <c r="C1046287" s="19"/>
      <c r="D1046287" s="19"/>
      <c r="E1046287" s="19"/>
      <c r="F1046287" s="19"/>
      <c r="G1046287" s="19"/>
      <c r="H1046287" s="19"/>
      <c r="I1046287" s="19"/>
      <c r="J1046287" s="19"/>
      <c r="K1046287" s="19"/>
      <c r="L1046287" s="19"/>
      <c r="M1046287" s="19"/>
      <c r="N1046287" s="19"/>
    </row>
    <row r="1046288" spans="1:14" s="83" customFormat="1" ht="12.75">
      <c r="A1046288" s="19"/>
      <c r="B1046288" s="19"/>
      <c r="C1046288" s="19"/>
      <c r="D1046288" s="19"/>
      <c r="E1046288" s="19"/>
      <c r="F1046288" s="19"/>
      <c r="G1046288" s="19"/>
      <c r="H1046288" s="19"/>
      <c r="I1046288" s="19"/>
      <c r="J1046288" s="19"/>
      <c r="K1046288" s="19"/>
      <c r="L1046288" s="19"/>
      <c r="M1046288" s="19"/>
      <c r="N1046288" s="19"/>
    </row>
    <row r="1046289" spans="1:14" s="83" customFormat="1" ht="12.75">
      <c r="A1046289" s="19"/>
      <c r="B1046289" s="19"/>
      <c r="C1046289" s="19"/>
      <c r="D1046289" s="19"/>
      <c r="E1046289" s="19"/>
      <c r="F1046289" s="19"/>
      <c r="G1046289" s="19"/>
      <c r="H1046289" s="19"/>
      <c r="I1046289" s="19"/>
      <c r="J1046289" s="19"/>
      <c r="K1046289" s="19"/>
      <c r="L1046289" s="19"/>
      <c r="M1046289" s="19"/>
      <c r="N1046289" s="19"/>
    </row>
    <row r="1046290" spans="1:14" s="83" customFormat="1" ht="12.75">
      <c r="A1046290" s="19"/>
      <c r="B1046290" s="19"/>
      <c r="C1046290" s="19"/>
      <c r="D1046290" s="19"/>
      <c r="E1046290" s="19"/>
      <c r="F1046290" s="19"/>
      <c r="G1046290" s="19"/>
      <c r="H1046290" s="19"/>
      <c r="I1046290" s="19"/>
      <c r="J1046290" s="19"/>
      <c r="K1046290" s="19"/>
      <c r="L1046290" s="19"/>
      <c r="M1046290" s="19"/>
      <c r="N1046290" s="19"/>
    </row>
    <row r="1046291" spans="1:14" s="83" customFormat="1" ht="12.75">
      <c r="A1046291" s="19"/>
      <c r="B1046291" s="19"/>
      <c r="C1046291" s="19"/>
      <c r="D1046291" s="19"/>
      <c r="E1046291" s="19"/>
      <c r="F1046291" s="19"/>
      <c r="G1046291" s="19"/>
      <c r="H1046291" s="19"/>
      <c r="I1046291" s="19"/>
      <c r="J1046291" s="19"/>
      <c r="K1046291" s="19"/>
      <c r="L1046291" s="19"/>
      <c r="M1046291" s="19"/>
      <c r="N1046291" s="19"/>
    </row>
    <row r="1046292" spans="1:14" s="83" customFormat="1" ht="12.75">
      <c r="A1046292" s="19"/>
      <c r="B1046292" s="19"/>
      <c r="C1046292" s="19"/>
      <c r="D1046292" s="19"/>
      <c r="E1046292" s="19"/>
      <c r="F1046292" s="19"/>
      <c r="G1046292" s="19"/>
      <c r="H1046292" s="19"/>
      <c r="I1046292" s="19"/>
      <c r="J1046292" s="19"/>
      <c r="K1046292" s="19"/>
      <c r="L1046292" s="19"/>
      <c r="M1046292" s="19"/>
      <c r="N1046292" s="19"/>
    </row>
    <row r="1046293" spans="1:14" s="83" customFormat="1" ht="12.75">
      <c r="A1046293" s="19"/>
      <c r="B1046293" s="19"/>
      <c r="C1046293" s="19"/>
      <c r="D1046293" s="19"/>
      <c r="E1046293" s="19"/>
      <c r="F1046293" s="19"/>
      <c r="G1046293" s="19"/>
      <c r="H1046293" s="19"/>
      <c r="I1046293" s="19"/>
      <c r="J1046293" s="19"/>
      <c r="K1046293" s="19"/>
      <c r="L1046293" s="19"/>
      <c r="M1046293" s="19"/>
      <c r="N1046293" s="19"/>
    </row>
    <row r="1046294" spans="1:14" s="83" customFormat="1" ht="12.75">
      <c r="A1046294" s="19"/>
      <c r="B1046294" s="19"/>
      <c r="C1046294" s="19"/>
      <c r="D1046294" s="19"/>
      <c r="E1046294" s="19"/>
      <c r="F1046294" s="19"/>
      <c r="G1046294" s="19"/>
      <c r="H1046294" s="19"/>
      <c r="I1046294" s="19"/>
      <c r="J1046294" s="19"/>
      <c r="K1046294" s="19"/>
      <c r="L1046294" s="19"/>
      <c r="M1046294" s="19"/>
      <c r="N1046294" s="19"/>
    </row>
    <row r="1046295" spans="1:14" s="83" customFormat="1" ht="12.75">
      <c r="A1046295" s="19"/>
      <c r="B1046295" s="19"/>
      <c r="C1046295" s="19"/>
      <c r="D1046295" s="19"/>
      <c r="E1046295" s="19"/>
      <c r="F1046295" s="19"/>
      <c r="G1046295" s="19"/>
      <c r="H1046295" s="19"/>
      <c r="I1046295" s="19"/>
      <c r="J1046295" s="19"/>
      <c r="K1046295" s="19"/>
      <c r="L1046295" s="19"/>
      <c r="M1046295" s="19"/>
      <c r="N1046295" s="19"/>
    </row>
    <row r="1046296" spans="1:14" s="83" customFormat="1" ht="12.75">
      <c r="A1046296" s="19"/>
      <c r="B1046296" s="19"/>
      <c r="C1046296" s="19"/>
      <c r="D1046296" s="19"/>
      <c r="E1046296" s="19"/>
      <c r="F1046296" s="19"/>
      <c r="G1046296" s="19"/>
      <c r="H1046296" s="19"/>
      <c r="I1046296" s="19"/>
      <c r="J1046296" s="19"/>
      <c r="K1046296" s="19"/>
      <c r="L1046296" s="19"/>
      <c r="M1046296" s="19"/>
      <c r="N1046296" s="19"/>
    </row>
    <row r="1046297" spans="1:14" s="83" customFormat="1" ht="12.75">
      <c r="A1046297" s="19"/>
      <c r="B1046297" s="19"/>
      <c r="C1046297" s="19"/>
      <c r="D1046297" s="19"/>
      <c r="E1046297" s="19"/>
      <c r="F1046297" s="19"/>
      <c r="G1046297" s="19"/>
      <c r="H1046297" s="19"/>
      <c r="I1046297" s="19"/>
      <c r="J1046297" s="19"/>
      <c r="K1046297" s="19"/>
      <c r="L1046297" s="19"/>
      <c r="M1046297" s="19"/>
      <c r="N1046297" s="19"/>
    </row>
    <row r="1046298" spans="1:14" s="83" customFormat="1" ht="12.75">
      <c r="A1046298" s="19"/>
      <c r="B1046298" s="19"/>
      <c r="C1046298" s="19"/>
      <c r="D1046298" s="19"/>
      <c r="E1046298" s="19"/>
      <c r="F1046298" s="19"/>
      <c r="G1046298" s="19"/>
      <c r="H1046298" s="19"/>
      <c r="I1046298" s="19"/>
      <c r="J1046298" s="19"/>
      <c r="K1046298" s="19"/>
      <c r="L1046298" s="19"/>
      <c r="M1046298" s="19"/>
      <c r="N1046298" s="19"/>
    </row>
    <row r="1046299" spans="1:14" s="83" customFormat="1" ht="12.75">
      <c r="A1046299" s="19"/>
      <c r="B1046299" s="19"/>
      <c r="C1046299" s="19"/>
      <c r="D1046299" s="19"/>
      <c r="E1046299" s="19"/>
      <c r="F1046299" s="19"/>
      <c r="G1046299" s="19"/>
      <c r="H1046299" s="19"/>
      <c r="I1046299" s="19"/>
      <c r="J1046299" s="19"/>
      <c r="K1046299" s="19"/>
      <c r="L1046299" s="19"/>
      <c r="M1046299" s="19"/>
      <c r="N1046299" s="19"/>
    </row>
    <row r="1046300" spans="1:14" s="83" customFormat="1" ht="12.75">
      <c r="A1046300" s="19"/>
      <c r="B1046300" s="19"/>
      <c r="C1046300" s="19"/>
      <c r="D1046300" s="19"/>
      <c r="E1046300" s="19"/>
      <c r="F1046300" s="19"/>
      <c r="G1046300" s="19"/>
      <c r="H1046300" s="19"/>
      <c r="I1046300" s="19"/>
      <c r="J1046300" s="19"/>
      <c r="K1046300" s="19"/>
      <c r="L1046300" s="19"/>
      <c r="M1046300" s="19"/>
      <c r="N1046300" s="19"/>
    </row>
    <row r="1046301" spans="1:14" s="83" customFormat="1" ht="12.75">
      <c r="A1046301" s="19"/>
      <c r="B1046301" s="19"/>
      <c r="C1046301" s="19"/>
      <c r="D1046301" s="19"/>
      <c r="E1046301" s="19"/>
      <c r="F1046301" s="19"/>
      <c r="G1046301" s="19"/>
      <c r="H1046301" s="19"/>
      <c r="I1046301" s="19"/>
      <c r="J1046301" s="19"/>
      <c r="K1046301" s="19"/>
      <c r="L1046301" s="19"/>
      <c r="M1046301" s="19"/>
      <c r="N1046301" s="19"/>
    </row>
    <row r="1046302" spans="1:14" s="83" customFormat="1" ht="12.75">
      <c r="A1046302" s="19"/>
      <c r="B1046302" s="19"/>
      <c r="C1046302" s="19"/>
      <c r="D1046302" s="19"/>
      <c r="E1046302" s="19"/>
      <c r="F1046302" s="19"/>
      <c r="G1046302" s="19"/>
      <c r="H1046302" s="19"/>
      <c r="I1046302" s="19"/>
      <c r="J1046302" s="19"/>
      <c r="K1046302" s="19"/>
      <c r="L1046302" s="19"/>
      <c r="M1046302" s="19"/>
      <c r="N1046302" s="19"/>
    </row>
    <row r="1046303" spans="1:14" s="83" customFormat="1" ht="12.75">
      <c r="A1046303" s="19"/>
      <c r="B1046303" s="19"/>
      <c r="C1046303" s="19"/>
      <c r="D1046303" s="19"/>
      <c r="E1046303" s="19"/>
      <c r="F1046303" s="19"/>
      <c r="G1046303" s="19"/>
      <c r="H1046303" s="19"/>
      <c r="I1046303" s="19"/>
      <c r="J1046303" s="19"/>
      <c r="K1046303" s="19"/>
      <c r="L1046303" s="19"/>
      <c r="M1046303" s="19"/>
      <c r="N1046303" s="19"/>
    </row>
    <row r="1046304" spans="1:14" s="83" customFormat="1" ht="12.75">
      <c r="A1046304" s="19"/>
      <c r="B1046304" s="19"/>
      <c r="C1046304" s="19"/>
      <c r="D1046304" s="19"/>
      <c r="E1046304" s="19"/>
      <c r="F1046304" s="19"/>
      <c r="G1046304" s="19"/>
      <c r="H1046304" s="19"/>
      <c r="I1046304" s="19"/>
      <c r="J1046304" s="19"/>
      <c r="K1046304" s="19"/>
      <c r="L1046304" s="19"/>
      <c r="M1046304" s="19"/>
      <c r="N1046304" s="19"/>
    </row>
    <row r="1046305" spans="1:14" s="83" customFormat="1" ht="12.75">
      <c r="A1046305" s="19"/>
      <c r="B1046305" s="19"/>
      <c r="C1046305" s="19"/>
      <c r="D1046305" s="19"/>
      <c r="E1046305" s="19"/>
      <c r="F1046305" s="19"/>
      <c r="G1046305" s="19"/>
      <c r="H1046305" s="19"/>
      <c r="I1046305" s="19"/>
      <c r="J1046305" s="19"/>
      <c r="K1046305" s="19"/>
      <c r="L1046305" s="19"/>
      <c r="M1046305" s="19"/>
      <c r="N1046305" s="19"/>
    </row>
    <row r="1046306" spans="1:14" s="83" customFormat="1" ht="12.75">
      <c r="A1046306" s="19"/>
      <c r="B1046306" s="19"/>
      <c r="C1046306" s="19"/>
      <c r="D1046306" s="19"/>
      <c r="E1046306" s="19"/>
      <c r="F1046306" s="19"/>
      <c r="G1046306" s="19"/>
      <c r="H1046306" s="19"/>
      <c r="I1046306" s="19"/>
      <c r="J1046306" s="19"/>
      <c r="K1046306" s="19"/>
      <c r="L1046306" s="19"/>
      <c r="M1046306" s="19"/>
      <c r="N1046306" s="19"/>
    </row>
    <row r="1046307" spans="1:14" s="83" customFormat="1" ht="12.75">
      <c r="A1046307" s="19"/>
      <c r="B1046307" s="19"/>
      <c r="C1046307" s="19"/>
      <c r="D1046307" s="19"/>
      <c r="E1046307" s="19"/>
      <c r="F1046307" s="19"/>
      <c r="G1046307" s="19"/>
      <c r="H1046307" s="19"/>
      <c r="I1046307" s="19"/>
      <c r="J1046307" s="19"/>
      <c r="K1046307" s="19"/>
      <c r="L1046307" s="19"/>
      <c r="M1046307" s="19"/>
      <c r="N1046307" s="19"/>
    </row>
    <row r="1046308" spans="1:14" s="83" customFormat="1" ht="12.75">
      <c r="A1046308" s="19"/>
      <c r="B1046308" s="19"/>
      <c r="C1046308" s="19"/>
      <c r="D1046308" s="19"/>
      <c r="E1046308" s="19"/>
      <c r="F1046308" s="19"/>
      <c r="G1046308" s="19"/>
      <c r="H1046308" s="19"/>
      <c r="I1046308" s="19"/>
      <c r="J1046308" s="19"/>
      <c r="K1046308" s="19"/>
      <c r="L1046308" s="19"/>
      <c r="M1046308" s="19"/>
      <c r="N1046308" s="19"/>
    </row>
    <row r="1046309" spans="1:14" s="83" customFormat="1" ht="12.75">
      <c r="A1046309" s="19"/>
      <c r="B1046309" s="19"/>
      <c r="C1046309" s="19"/>
      <c r="D1046309" s="19"/>
      <c r="E1046309" s="19"/>
      <c r="F1046309" s="19"/>
      <c r="G1046309" s="19"/>
      <c r="H1046309" s="19"/>
      <c r="I1046309" s="19"/>
      <c r="J1046309" s="19"/>
      <c r="K1046309" s="19"/>
      <c r="L1046309" s="19"/>
      <c r="M1046309" s="19"/>
      <c r="N1046309" s="19"/>
    </row>
    <row r="1046310" spans="1:14" s="83" customFormat="1" ht="12.75">
      <c r="A1046310" s="19"/>
      <c r="B1046310" s="19"/>
      <c r="C1046310" s="19"/>
      <c r="D1046310" s="19"/>
      <c r="E1046310" s="19"/>
      <c r="F1046310" s="19"/>
      <c r="G1046310" s="19"/>
      <c r="H1046310" s="19"/>
      <c r="I1046310" s="19"/>
      <c r="J1046310" s="19"/>
      <c r="K1046310" s="19"/>
      <c r="L1046310" s="19"/>
      <c r="M1046310" s="19"/>
      <c r="N1046310" s="19"/>
    </row>
    <row r="1046311" spans="1:14" s="83" customFormat="1" ht="12.75">
      <c r="A1046311" s="19"/>
      <c r="B1046311" s="19"/>
      <c r="C1046311" s="19"/>
      <c r="D1046311" s="19"/>
      <c r="E1046311" s="19"/>
      <c r="F1046311" s="19"/>
      <c r="G1046311" s="19"/>
      <c r="H1046311" s="19"/>
      <c r="I1046311" s="19"/>
      <c r="J1046311" s="19"/>
      <c r="K1046311" s="19"/>
      <c r="L1046311" s="19"/>
      <c r="M1046311" s="19"/>
      <c r="N1046311" s="19"/>
    </row>
    <row r="1046312" spans="1:14" s="83" customFormat="1" ht="12.75">
      <c r="A1046312" s="19"/>
      <c r="B1046312" s="19"/>
      <c r="C1046312" s="19"/>
      <c r="D1046312" s="19"/>
      <c r="E1046312" s="19"/>
      <c r="F1046312" s="19"/>
      <c r="G1046312" s="19"/>
      <c r="H1046312" s="19"/>
      <c r="I1046312" s="19"/>
      <c r="J1046312" s="19"/>
      <c r="K1046312" s="19"/>
      <c r="L1046312" s="19"/>
      <c r="M1046312" s="19"/>
      <c r="N1046312" s="19"/>
    </row>
    <row r="1046313" spans="1:14" s="83" customFormat="1" ht="12.75">
      <c r="A1046313" s="19"/>
      <c r="B1046313" s="19"/>
      <c r="C1046313" s="19"/>
      <c r="D1046313" s="19"/>
      <c r="E1046313" s="19"/>
      <c r="F1046313" s="19"/>
      <c r="G1046313" s="19"/>
      <c r="H1046313" s="19"/>
      <c r="I1046313" s="19"/>
      <c r="J1046313" s="19"/>
      <c r="K1046313" s="19"/>
      <c r="L1046313" s="19"/>
      <c r="M1046313" s="19"/>
      <c r="N1046313" s="19"/>
    </row>
    <row r="1046314" spans="1:14" s="83" customFormat="1" ht="12.75">
      <c r="A1046314" s="19"/>
      <c r="B1046314" s="19"/>
      <c r="C1046314" s="19"/>
      <c r="D1046314" s="19"/>
      <c r="E1046314" s="19"/>
      <c r="F1046314" s="19"/>
      <c r="G1046314" s="19"/>
      <c r="H1046314" s="19"/>
      <c r="I1046314" s="19"/>
      <c r="J1046314" s="19"/>
      <c r="K1046314" s="19"/>
      <c r="L1046314" s="19"/>
      <c r="M1046314" s="19"/>
      <c r="N1046314" s="19"/>
    </row>
    <row r="1046315" spans="1:14" s="83" customFormat="1" ht="12.75">
      <c r="A1046315" s="19"/>
      <c r="B1046315" s="19"/>
      <c r="C1046315" s="19"/>
      <c r="D1046315" s="19"/>
      <c r="E1046315" s="19"/>
      <c r="F1046315" s="19"/>
      <c r="G1046315" s="19"/>
      <c r="H1046315" s="19"/>
      <c r="I1046315" s="19"/>
      <c r="J1046315" s="19"/>
      <c r="K1046315" s="19"/>
      <c r="L1046315" s="19"/>
      <c r="M1046315" s="19"/>
      <c r="N1046315" s="19"/>
    </row>
    <row r="1046316" spans="1:14" s="83" customFormat="1" ht="12.75">
      <c r="A1046316" s="19"/>
      <c r="B1046316" s="19"/>
      <c r="C1046316" s="19"/>
      <c r="D1046316" s="19"/>
      <c r="E1046316" s="19"/>
      <c r="F1046316" s="19"/>
      <c r="G1046316" s="19"/>
      <c r="H1046316" s="19"/>
      <c r="I1046316" s="19"/>
      <c r="J1046316" s="19"/>
      <c r="K1046316" s="19"/>
      <c r="L1046316" s="19"/>
      <c r="M1046316" s="19"/>
      <c r="N1046316" s="19"/>
    </row>
    <row r="1046317" spans="1:14" s="83" customFormat="1" ht="12.75">
      <c r="A1046317" s="19"/>
      <c r="B1046317" s="19"/>
      <c r="C1046317" s="19"/>
      <c r="D1046317" s="19"/>
      <c r="E1046317" s="19"/>
      <c r="F1046317" s="19"/>
      <c r="G1046317" s="19"/>
      <c r="H1046317" s="19"/>
      <c r="I1046317" s="19"/>
      <c r="J1046317" s="19"/>
      <c r="K1046317" s="19"/>
      <c r="L1046317" s="19"/>
      <c r="M1046317" s="19"/>
      <c r="N1046317" s="19"/>
    </row>
    <row r="1046318" spans="1:14" s="83" customFormat="1" ht="12.75">
      <c r="A1046318" s="19"/>
      <c r="B1046318" s="19"/>
      <c r="C1046318" s="19"/>
      <c r="D1046318" s="19"/>
      <c r="E1046318" s="19"/>
      <c r="F1046318" s="19"/>
      <c r="G1046318" s="19"/>
      <c r="H1046318" s="19"/>
      <c r="I1046318" s="19"/>
      <c r="J1046318" s="19"/>
      <c r="K1046318" s="19"/>
      <c r="L1046318" s="19"/>
      <c r="M1046318" s="19"/>
      <c r="N1046318" s="19"/>
    </row>
    <row r="1046319" spans="1:14" s="83" customFormat="1" ht="12.75">
      <c r="A1046319" s="19"/>
      <c r="B1046319" s="19"/>
      <c r="C1046319" s="19"/>
      <c r="D1046319" s="19"/>
      <c r="E1046319" s="19"/>
      <c r="F1046319" s="19"/>
      <c r="G1046319" s="19"/>
      <c r="H1046319" s="19"/>
      <c r="I1046319" s="19"/>
      <c r="J1046319" s="19"/>
      <c r="K1046319" s="19"/>
      <c r="L1046319" s="19"/>
      <c r="M1046319" s="19"/>
      <c r="N1046319" s="19"/>
    </row>
    <row r="1046320" spans="1:14" s="83" customFormat="1" ht="12.75">
      <c r="A1046320" s="19"/>
      <c r="B1046320" s="19"/>
      <c r="C1046320" s="19"/>
      <c r="D1046320" s="19"/>
      <c r="E1046320" s="19"/>
      <c r="F1046320" s="19"/>
      <c r="G1046320" s="19"/>
      <c r="H1046320" s="19"/>
      <c r="I1046320" s="19"/>
      <c r="J1046320" s="19"/>
      <c r="K1046320" s="19"/>
      <c r="L1046320" s="19"/>
      <c r="M1046320" s="19"/>
      <c r="N1046320" s="19"/>
    </row>
    <row r="1046321" spans="1:14" s="83" customFormat="1" ht="12.75">
      <c r="A1046321" s="19"/>
      <c r="B1046321" s="19"/>
      <c r="C1046321" s="19"/>
      <c r="D1046321" s="19"/>
      <c r="E1046321" s="19"/>
      <c r="F1046321" s="19"/>
      <c r="G1046321" s="19"/>
      <c r="H1046321" s="19"/>
      <c r="I1046321" s="19"/>
      <c r="J1046321" s="19"/>
      <c r="K1046321" s="19"/>
      <c r="L1046321" s="19"/>
      <c r="M1046321" s="19"/>
      <c r="N1046321" s="19"/>
    </row>
    <row r="1046322" spans="1:14" s="83" customFormat="1" ht="12.75">
      <c r="A1046322" s="19"/>
      <c r="B1046322" s="19"/>
      <c r="C1046322" s="19"/>
      <c r="D1046322" s="19"/>
      <c r="E1046322" s="19"/>
      <c r="F1046322" s="19"/>
      <c r="G1046322" s="19"/>
      <c r="H1046322" s="19"/>
      <c r="I1046322" s="19"/>
      <c r="J1046322" s="19"/>
      <c r="K1046322" s="19"/>
      <c r="L1046322" s="19"/>
      <c r="M1046322" s="19"/>
      <c r="N1046322" s="19"/>
    </row>
    <row r="1046323" spans="1:14" s="83" customFormat="1" ht="12.75">
      <c r="A1046323" s="19"/>
      <c r="B1046323" s="19"/>
      <c r="C1046323" s="19"/>
      <c r="D1046323" s="19"/>
      <c r="E1046323" s="19"/>
      <c r="F1046323" s="19"/>
      <c r="G1046323" s="19"/>
      <c r="H1046323" s="19"/>
      <c r="I1046323" s="19"/>
      <c r="J1046323" s="19"/>
      <c r="K1046323" s="19"/>
      <c r="L1046323" s="19"/>
      <c r="M1046323" s="19"/>
      <c r="N1046323" s="19"/>
    </row>
    <row r="1046324" spans="1:14" s="83" customFormat="1" ht="12.75">
      <c r="A1046324" s="19"/>
      <c r="B1046324" s="19"/>
      <c r="C1046324" s="19"/>
      <c r="D1046324" s="19"/>
      <c r="E1046324" s="19"/>
      <c r="F1046324" s="19"/>
      <c r="G1046324" s="19"/>
      <c r="H1046324" s="19"/>
      <c r="I1046324" s="19"/>
      <c r="J1046324" s="19"/>
      <c r="K1046324" s="19"/>
      <c r="L1046324" s="19"/>
      <c r="M1046324" s="19"/>
      <c r="N1046324" s="19"/>
    </row>
    <row r="1046325" spans="1:14" s="83" customFormat="1" ht="12.75">
      <c r="A1046325" s="19"/>
      <c r="B1046325" s="19"/>
      <c r="C1046325" s="19"/>
      <c r="D1046325" s="19"/>
      <c r="E1046325" s="19"/>
      <c r="F1046325" s="19"/>
      <c r="G1046325" s="19"/>
      <c r="H1046325" s="19"/>
      <c r="I1046325" s="19"/>
      <c r="J1046325" s="19"/>
      <c r="K1046325" s="19"/>
      <c r="L1046325" s="19"/>
      <c r="M1046325" s="19"/>
      <c r="N1046325" s="19"/>
    </row>
    <row r="1046326" spans="1:14" s="83" customFormat="1" ht="12.75">
      <c r="A1046326" s="19"/>
      <c r="B1046326" s="19"/>
      <c r="C1046326" s="19"/>
      <c r="D1046326" s="19"/>
      <c r="E1046326" s="19"/>
      <c r="F1046326" s="19"/>
      <c r="G1046326" s="19"/>
      <c r="H1046326" s="19"/>
      <c r="I1046326" s="19"/>
      <c r="J1046326" s="19"/>
      <c r="K1046326" s="19"/>
      <c r="L1046326" s="19"/>
      <c r="M1046326" s="19"/>
      <c r="N1046326" s="19"/>
    </row>
    <row r="1046327" spans="1:14" s="83" customFormat="1" ht="12.75">
      <c r="A1046327" s="19"/>
      <c r="B1046327" s="19"/>
      <c r="C1046327" s="19"/>
      <c r="D1046327" s="19"/>
      <c r="E1046327" s="19"/>
      <c r="F1046327" s="19"/>
      <c r="G1046327" s="19"/>
      <c r="H1046327" s="19"/>
      <c r="I1046327" s="19"/>
      <c r="J1046327" s="19"/>
      <c r="K1046327" s="19"/>
      <c r="L1046327" s="19"/>
      <c r="M1046327" s="19"/>
      <c r="N1046327" s="19"/>
    </row>
    <row r="1046328" spans="1:14" s="83" customFormat="1" ht="12.75">
      <c r="A1046328" s="19"/>
      <c r="B1046328" s="19"/>
      <c r="C1046328" s="19"/>
      <c r="D1046328" s="19"/>
      <c r="E1046328" s="19"/>
      <c r="F1046328" s="19"/>
      <c r="G1046328" s="19"/>
      <c r="H1046328" s="19"/>
      <c r="I1046328" s="19"/>
      <c r="J1046328" s="19"/>
      <c r="K1046328" s="19"/>
      <c r="L1046328" s="19"/>
      <c r="M1046328" s="19"/>
      <c r="N1046328" s="19"/>
    </row>
    <row r="1046329" spans="1:14" s="83" customFormat="1" ht="12.75">
      <c r="A1046329" s="19"/>
      <c r="B1046329" s="19"/>
      <c r="C1046329" s="19"/>
      <c r="D1046329" s="19"/>
      <c r="E1046329" s="19"/>
      <c r="F1046329" s="19"/>
      <c r="G1046329" s="19"/>
      <c r="H1046329" s="19"/>
      <c r="I1046329" s="19"/>
      <c r="J1046329" s="19"/>
      <c r="K1046329" s="19"/>
      <c r="L1046329" s="19"/>
      <c r="M1046329" s="19"/>
      <c r="N1046329" s="19"/>
    </row>
    <row r="1046330" spans="1:14" s="83" customFormat="1" ht="12.75">
      <c r="A1046330" s="19"/>
      <c r="B1046330" s="19"/>
      <c r="C1046330" s="19"/>
      <c r="D1046330" s="19"/>
      <c r="E1046330" s="19"/>
      <c r="F1046330" s="19"/>
      <c r="G1046330" s="19"/>
      <c r="H1046330" s="19"/>
      <c r="I1046330" s="19"/>
      <c r="J1046330" s="19"/>
      <c r="K1046330" s="19"/>
      <c r="L1046330" s="19"/>
      <c r="M1046330" s="19"/>
      <c r="N1046330" s="19"/>
    </row>
    <row r="1046331" spans="1:14" s="83" customFormat="1" ht="12.75">
      <c r="A1046331" s="19"/>
      <c r="B1046331" s="19"/>
      <c r="C1046331" s="19"/>
      <c r="D1046331" s="19"/>
      <c r="E1046331" s="19"/>
      <c r="F1046331" s="19"/>
      <c r="G1046331" s="19"/>
      <c r="H1046331" s="19"/>
      <c r="I1046331" s="19"/>
      <c r="J1046331" s="19"/>
      <c r="K1046331" s="19"/>
      <c r="L1046331" s="19"/>
      <c r="M1046331" s="19"/>
      <c r="N1046331" s="19"/>
    </row>
    <row r="1046332" spans="1:14" s="83" customFormat="1" ht="12.75">
      <c r="A1046332" s="19"/>
      <c r="B1046332" s="19"/>
      <c r="C1046332" s="19"/>
      <c r="D1046332" s="19"/>
      <c r="E1046332" s="19"/>
      <c r="F1046332" s="19"/>
      <c r="G1046332" s="19"/>
      <c r="H1046332" s="19"/>
      <c r="I1046332" s="19"/>
      <c r="J1046332" s="19"/>
      <c r="K1046332" s="19"/>
      <c r="L1046332" s="19"/>
      <c r="M1046332" s="19"/>
      <c r="N1046332" s="19"/>
    </row>
    <row r="1046333" spans="1:14" s="83" customFormat="1" ht="12.75">
      <c r="A1046333" s="19"/>
      <c r="B1046333" s="19"/>
      <c r="C1046333" s="19"/>
      <c r="D1046333" s="19"/>
      <c r="E1046333" s="19"/>
      <c r="F1046333" s="19"/>
      <c r="G1046333" s="19"/>
      <c r="H1046333" s="19"/>
      <c r="I1046333" s="19"/>
      <c r="J1046333" s="19"/>
      <c r="K1046333" s="19"/>
      <c r="L1046333" s="19"/>
      <c r="M1046333" s="19"/>
      <c r="N1046333" s="19"/>
    </row>
    <row r="1046334" spans="1:14" s="83" customFormat="1" ht="12.75">
      <c r="A1046334" s="19"/>
      <c r="B1046334" s="19"/>
      <c r="C1046334" s="19"/>
      <c r="D1046334" s="19"/>
      <c r="E1046334" s="19"/>
      <c r="F1046334" s="19"/>
      <c r="G1046334" s="19"/>
      <c r="H1046334" s="19"/>
      <c r="I1046334" s="19"/>
      <c r="J1046334" s="19"/>
      <c r="K1046334" s="19"/>
      <c r="L1046334" s="19"/>
      <c r="M1046334" s="19"/>
      <c r="N1046334" s="19"/>
    </row>
    <row r="1046335" spans="1:14" s="83" customFormat="1" ht="12.75">
      <c r="A1046335" s="19"/>
      <c r="B1046335" s="19"/>
      <c r="C1046335" s="19"/>
      <c r="D1046335" s="19"/>
      <c r="E1046335" s="19"/>
      <c r="F1046335" s="19"/>
      <c r="G1046335" s="19"/>
      <c r="H1046335" s="19"/>
      <c r="I1046335" s="19"/>
      <c r="J1046335" s="19"/>
      <c r="K1046335" s="19"/>
      <c r="L1046335" s="19"/>
      <c r="M1046335" s="19"/>
      <c r="N1046335" s="19"/>
    </row>
    <row r="1046336" spans="1:14" s="83" customFormat="1" ht="12.75">
      <c r="A1046336" s="19"/>
      <c r="B1046336" s="19"/>
      <c r="C1046336" s="19"/>
      <c r="D1046336" s="19"/>
      <c r="E1046336" s="19"/>
      <c r="F1046336" s="19"/>
      <c r="G1046336" s="19"/>
      <c r="H1046336" s="19"/>
      <c r="I1046336" s="19"/>
      <c r="J1046336" s="19"/>
      <c r="K1046336" s="19"/>
      <c r="L1046336" s="19"/>
      <c r="M1046336" s="19"/>
      <c r="N1046336" s="19"/>
    </row>
    <row r="1046337" spans="1:14" s="83" customFormat="1" ht="12.75">
      <c r="A1046337" s="19"/>
      <c r="B1046337" s="19"/>
      <c r="C1046337" s="19"/>
      <c r="D1046337" s="19"/>
      <c r="E1046337" s="19"/>
      <c r="F1046337" s="19"/>
      <c r="G1046337" s="19"/>
      <c r="H1046337" s="19"/>
      <c r="I1046337" s="19"/>
      <c r="J1046337" s="19"/>
      <c r="K1046337" s="19"/>
      <c r="L1046337" s="19"/>
      <c r="M1046337" s="19"/>
      <c r="N1046337" s="19"/>
    </row>
    <row r="1046338" spans="1:14" s="83" customFormat="1" ht="12.75">
      <c r="A1046338" s="19"/>
      <c r="B1046338" s="19"/>
      <c r="C1046338" s="19"/>
      <c r="D1046338" s="19"/>
      <c r="E1046338" s="19"/>
      <c r="F1046338" s="19"/>
      <c r="G1046338" s="19"/>
      <c r="H1046338" s="19"/>
      <c r="I1046338" s="19"/>
      <c r="J1046338" s="19"/>
      <c r="K1046338" s="19"/>
      <c r="L1046338" s="19"/>
      <c r="M1046338" s="19"/>
      <c r="N1046338" s="19"/>
    </row>
    <row r="1046339" spans="1:14" s="83" customFormat="1" ht="12.75">
      <c r="A1046339" s="19"/>
      <c r="B1046339" s="19"/>
      <c r="C1046339" s="19"/>
      <c r="D1046339" s="19"/>
      <c r="E1046339" s="19"/>
      <c r="F1046339" s="19"/>
      <c r="G1046339" s="19"/>
      <c r="H1046339" s="19"/>
      <c r="I1046339" s="19"/>
      <c r="J1046339" s="19"/>
      <c r="K1046339" s="19"/>
      <c r="L1046339" s="19"/>
      <c r="M1046339" s="19"/>
      <c r="N1046339" s="19"/>
    </row>
    <row r="1046340" spans="1:14" s="83" customFormat="1" ht="12.75">
      <c r="A1046340" s="19"/>
      <c r="B1046340" s="19"/>
      <c r="C1046340" s="19"/>
      <c r="D1046340" s="19"/>
      <c r="E1046340" s="19"/>
      <c r="F1046340" s="19"/>
      <c r="G1046340" s="19"/>
      <c r="H1046340" s="19"/>
      <c r="I1046340" s="19"/>
      <c r="J1046340" s="19"/>
      <c r="K1046340" s="19"/>
      <c r="L1046340" s="19"/>
      <c r="M1046340" s="19"/>
      <c r="N1046340" s="19"/>
    </row>
    <row r="1046341" spans="1:14" s="83" customFormat="1" ht="12.75">
      <c r="A1046341" s="19"/>
      <c r="B1046341" s="19"/>
      <c r="C1046341" s="19"/>
      <c r="D1046341" s="19"/>
      <c r="E1046341" s="19"/>
      <c r="F1046341" s="19"/>
      <c r="G1046341" s="19"/>
      <c r="H1046341" s="19"/>
      <c r="I1046341" s="19"/>
      <c r="J1046341" s="19"/>
      <c r="K1046341" s="19"/>
      <c r="L1046341" s="19"/>
      <c r="M1046341" s="19"/>
      <c r="N1046341" s="19"/>
    </row>
    <row r="1046342" spans="1:14" s="83" customFormat="1" ht="12.75">
      <c r="A1046342" s="19"/>
      <c r="B1046342" s="19"/>
      <c r="C1046342" s="19"/>
      <c r="D1046342" s="19"/>
      <c r="E1046342" s="19"/>
      <c r="F1046342" s="19"/>
      <c r="G1046342" s="19"/>
      <c r="H1046342" s="19"/>
      <c r="I1046342" s="19"/>
      <c r="J1046342" s="19"/>
      <c r="K1046342" s="19"/>
      <c r="L1046342" s="19"/>
      <c r="M1046342" s="19"/>
      <c r="N1046342" s="19"/>
    </row>
    <row r="1046343" spans="1:14" s="83" customFormat="1" ht="12.75">
      <c r="A1046343" s="19"/>
      <c r="B1046343" s="19"/>
      <c r="C1046343" s="19"/>
      <c r="D1046343" s="19"/>
      <c r="E1046343" s="19"/>
      <c r="F1046343" s="19"/>
      <c r="G1046343" s="19"/>
      <c r="H1046343" s="19"/>
      <c r="I1046343" s="19"/>
      <c r="J1046343" s="19"/>
      <c r="K1046343" s="19"/>
      <c r="L1046343" s="19"/>
      <c r="M1046343" s="19"/>
      <c r="N1046343" s="19"/>
    </row>
    <row r="1046344" spans="1:14" s="83" customFormat="1" ht="12.75">
      <c r="A1046344" s="19"/>
      <c r="B1046344" s="19"/>
      <c r="C1046344" s="19"/>
      <c r="D1046344" s="19"/>
      <c r="E1046344" s="19"/>
      <c r="F1046344" s="19"/>
      <c r="G1046344" s="19"/>
      <c r="H1046344" s="19"/>
      <c r="I1046344" s="19"/>
      <c r="J1046344" s="19"/>
      <c r="K1046344" s="19"/>
      <c r="L1046344" s="19"/>
      <c r="M1046344" s="19"/>
      <c r="N1046344" s="19"/>
    </row>
    <row r="1046345" spans="1:14" s="83" customFormat="1" ht="12.75">
      <c r="A1046345" s="19"/>
      <c r="B1046345" s="19"/>
      <c r="C1046345" s="19"/>
      <c r="D1046345" s="19"/>
      <c r="E1046345" s="19"/>
      <c r="F1046345" s="19"/>
      <c r="G1046345" s="19"/>
      <c r="H1046345" s="19"/>
      <c r="I1046345" s="19"/>
      <c r="J1046345" s="19"/>
      <c r="K1046345" s="19"/>
      <c r="L1046345" s="19"/>
      <c r="M1046345" s="19"/>
      <c r="N1046345" s="19"/>
    </row>
    <row r="1046346" spans="1:14" s="83" customFormat="1" ht="12.75">
      <c r="A1046346" s="19"/>
      <c r="B1046346" s="19"/>
      <c r="C1046346" s="19"/>
      <c r="D1046346" s="19"/>
      <c r="E1046346" s="19"/>
      <c r="F1046346" s="19"/>
      <c r="G1046346" s="19"/>
      <c r="H1046346" s="19"/>
      <c r="I1046346" s="19"/>
      <c r="J1046346" s="19"/>
      <c r="K1046346" s="19"/>
      <c r="L1046346" s="19"/>
      <c r="M1046346" s="19"/>
      <c r="N1046346" s="19"/>
    </row>
    <row r="1046347" spans="1:14" s="83" customFormat="1" ht="12.75">
      <c r="A1046347" s="19"/>
      <c r="B1046347" s="19"/>
      <c r="C1046347" s="19"/>
      <c r="D1046347" s="19"/>
      <c r="E1046347" s="19"/>
      <c r="F1046347" s="19"/>
      <c r="G1046347" s="19"/>
      <c r="H1046347" s="19"/>
      <c r="I1046347" s="19"/>
      <c r="J1046347" s="19"/>
      <c r="K1046347" s="19"/>
      <c r="L1046347" s="19"/>
      <c r="M1046347" s="19"/>
      <c r="N1046347" s="19"/>
    </row>
    <row r="1046348" spans="1:14" s="83" customFormat="1" ht="12.75">
      <c r="A1046348" s="19"/>
      <c r="B1046348" s="19"/>
      <c r="C1046348" s="19"/>
      <c r="D1046348" s="19"/>
      <c r="E1046348" s="19"/>
      <c r="F1046348" s="19"/>
      <c r="G1046348" s="19"/>
      <c r="H1046348" s="19"/>
      <c r="I1046348" s="19"/>
      <c r="J1046348" s="19"/>
      <c r="K1046348" s="19"/>
      <c r="L1046348" s="19"/>
      <c r="M1046348" s="19"/>
      <c r="N1046348" s="19"/>
    </row>
    <row r="1046349" spans="1:14" s="83" customFormat="1" ht="12.75">
      <c r="A1046349" s="19"/>
      <c r="B1046349" s="19"/>
      <c r="C1046349" s="19"/>
      <c r="D1046349" s="19"/>
      <c r="E1046349" s="19"/>
      <c r="F1046349" s="19"/>
      <c r="G1046349" s="19"/>
      <c r="H1046349" s="19"/>
      <c r="I1046349" s="19"/>
      <c r="J1046349" s="19"/>
      <c r="K1046349" s="19"/>
      <c r="L1046349" s="19"/>
      <c r="M1046349" s="19"/>
      <c r="N1046349" s="19"/>
    </row>
    <row r="1046350" spans="1:14" s="83" customFormat="1" ht="12.75">
      <c r="A1046350" s="19"/>
      <c r="B1046350" s="19"/>
      <c r="C1046350" s="19"/>
      <c r="D1046350" s="19"/>
      <c r="E1046350" s="19"/>
      <c r="F1046350" s="19"/>
      <c r="G1046350" s="19"/>
      <c r="H1046350" s="19"/>
      <c r="I1046350" s="19"/>
      <c r="J1046350" s="19"/>
      <c r="K1046350" s="19"/>
      <c r="L1046350" s="19"/>
      <c r="M1046350" s="19"/>
      <c r="N1046350" s="19"/>
    </row>
    <row r="1046351" spans="1:14" s="83" customFormat="1" ht="12.75">
      <c r="A1046351" s="19"/>
      <c r="B1046351" s="19"/>
      <c r="C1046351" s="19"/>
      <c r="D1046351" s="19"/>
      <c r="E1046351" s="19"/>
      <c r="F1046351" s="19"/>
      <c r="G1046351" s="19"/>
      <c r="H1046351" s="19"/>
      <c r="I1046351" s="19"/>
      <c r="J1046351" s="19"/>
      <c r="K1046351" s="19"/>
      <c r="L1046351" s="19"/>
      <c r="M1046351" s="19"/>
      <c r="N1046351" s="19"/>
    </row>
    <row r="1046352" spans="1:14" s="83" customFormat="1" ht="12.75">
      <c r="A1046352" s="19"/>
      <c r="B1046352" s="19"/>
      <c r="C1046352" s="19"/>
      <c r="D1046352" s="19"/>
      <c r="E1046352" s="19"/>
      <c r="F1046352" s="19"/>
      <c r="G1046352" s="19"/>
      <c r="H1046352" s="19"/>
      <c r="I1046352" s="19"/>
      <c r="J1046352" s="19"/>
      <c r="K1046352" s="19"/>
      <c r="L1046352" s="19"/>
      <c r="M1046352" s="19"/>
      <c r="N1046352" s="19"/>
    </row>
    <row r="1046353" spans="1:14" s="83" customFormat="1" ht="12.75">
      <c r="A1046353" s="19"/>
      <c r="B1046353" s="19"/>
      <c r="C1046353" s="19"/>
      <c r="D1046353" s="19"/>
      <c r="E1046353" s="19"/>
      <c r="F1046353" s="19"/>
      <c r="G1046353" s="19"/>
      <c r="H1046353" s="19"/>
      <c r="I1046353" s="19"/>
      <c r="J1046353" s="19"/>
      <c r="K1046353" s="19"/>
      <c r="L1046353" s="19"/>
      <c r="M1046353" s="19"/>
      <c r="N1046353" s="19"/>
    </row>
    <row r="1046354" spans="1:14" s="83" customFormat="1" ht="12.75">
      <c r="A1046354" s="19"/>
      <c r="B1046354" s="19"/>
      <c r="C1046354" s="19"/>
      <c r="D1046354" s="19"/>
      <c r="E1046354" s="19"/>
      <c r="F1046354" s="19"/>
      <c r="G1046354" s="19"/>
      <c r="H1046354" s="19"/>
      <c r="I1046354" s="19"/>
      <c r="J1046354" s="19"/>
      <c r="K1046354" s="19"/>
      <c r="L1046354" s="19"/>
      <c r="M1046354" s="19"/>
      <c r="N1046354" s="19"/>
    </row>
    <row r="1046355" spans="1:14" s="83" customFormat="1" ht="12.75">
      <c r="A1046355" s="19"/>
      <c r="B1046355" s="19"/>
      <c r="C1046355" s="19"/>
      <c r="D1046355" s="19"/>
      <c r="E1046355" s="19"/>
      <c r="F1046355" s="19"/>
      <c r="G1046355" s="19"/>
      <c r="H1046355" s="19"/>
      <c r="I1046355" s="19"/>
      <c r="J1046355" s="19"/>
      <c r="K1046355" s="19"/>
      <c r="L1046355" s="19"/>
      <c r="M1046355" s="19"/>
      <c r="N1046355" s="19"/>
    </row>
    <row r="1046356" spans="1:14" s="83" customFormat="1" ht="12.75">
      <c r="A1046356" s="19"/>
      <c r="B1046356" s="19"/>
      <c r="C1046356" s="19"/>
      <c r="D1046356" s="19"/>
      <c r="E1046356" s="19"/>
      <c r="F1046356" s="19"/>
      <c r="G1046356" s="19"/>
      <c r="H1046356" s="19"/>
      <c r="I1046356" s="19"/>
      <c r="J1046356" s="19"/>
      <c r="K1046356" s="19"/>
      <c r="L1046356" s="19"/>
      <c r="M1046356" s="19"/>
      <c r="N1046356" s="19"/>
    </row>
    <row r="1046357" spans="1:14" s="83" customFormat="1" ht="12.75">
      <c r="A1046357" s="19"/>
      <c r="B1046357" s="19"/>
      <c r="C1046357" s="19"/>
      <c r="D1046357" s="19"/>
      <c r="E1046357" s="19"/>
      <c r="F1046357" s="19"/>
      <c r="G1046357" s="19"/>
      <c r="H1046357" s="19"/>
      <c r="I1046357" s="19"/>
      <c r="J1046357" s="19"/>
      <c r="K1046357" s="19"/>
      <c r="L1046357" s="19"/>
      <c r="M1046357" s="19"/>
      <c r="N1046357" s="19"/>
    </row>
    <row r="1046358" spans="1:14" s="83" customFormat="1" ht="12.75">
      <c r="A1046358" s="19"/>
      <c r="B1046358" s="19"/>
      <c r="C1046358" s="19"/>
      <c r="D1046358" s="19"/>
      <c r="E1046358" s="19"/>
      <c r="F1046358" s="19"/>
      <c r="G1046358" s="19"/>
      <c r="H1046358" s="19"/>
      <c r="I1046358" s="19"/>
      <c r="J1046358" s="19"/>
      <c r="K1046358" s="19"/>
      <c r="L1046358" s="19"/>
      <c r="M1046358" s="19"/>
      <c r="N1046358" s="19"/>
    </row>
    <row r="1046359" spans="1:14" s="83" customFormat="1" ht="12.75">
      <c r="A1046359" s="19"/>
      <c r="B1046359" s="19"/>
      <c r="C1046359" s="19"/>
      <c r="D1046359" s="19"/>
      <c r="E1046359" s="19"/>
      <c r="F1046359" s="19"/>
      <c r="G1046359" s="19"/>
      <c r="H1046359" s="19"/>
      <c r="I1046359" s="19"/>
      <c r="J1046359" s="19"/>
      <c r="K1046359" s="19"/>
      <c r="L1046359" s="19"/>
      <c r="M1046359" s="19"/>
      <c r="N1046359" s="19"/>
    </row>
    <row r="1046360" spans="1:14" s="83" customFormat="1" ht="12.75">
      <c r="A1046360" s="19"/>
      <c r="B1046360" s="19"/>
      <c r="C1046360" s="19"/>
      <c r="D1046360" s="19"/>
      <c r="E1046360" s="19"/>
      <c r="F1046360" s="19"/>
      <c r="G1046360" s="19"/>
      <c r="H1046360" s="19"/>
      <c r="I1046360" s="19"/>
      <c r="J1046360" s="19"/>
      <c r="K1046360" s="19"/>
      <c r="L1046360" s="19"/>
      <c r="M1046360" s="19"/>
      <c r="N1046360" s="19"/>
    </row>
    <row r="1046361" spans="1:14" s="83" customFormat="1" ht="12.75">
      <c r="A1046361" s="19"/>
      <c r="B1046361" s="19"/>
      <c r="C1046361" s="19"/>
      <c r="D1046361" s="19"/>
      <c r="E1046361" s="19"/>
      <c r="F1046361" s="19"/>
      <c r="G1046361" s="19"/>
      <c r="H1046361" s="19"/>
      <c r="I1046361" s="19"/>
      <c r="J1046361" s="19"/>
      <c r="K1046361" s="19"/>
      <c r="L1046361" s="19"/>
      <c r="M1046361" s="19"/>
      <c r="N1046361" s="19"/>
    </row>
    <row r="1046362" spans="1:14" s="83" customFormat="1" ht="12.75">
      <c r="A1046362" s="19"/>
      <c r="B1046362" s="19"/>
      <c r="C1046362" s="19"/>
      <c r="D1046362" s="19"/>
      <c r="E1046362" s="19"/>
      <c r="F1046362" s="19"/>
      <c r="G1046362" s="19"/>
      <c r="H1046362" s="19"/>
      <c r="I1046362" s="19"/>
      <c r="J1046362" s="19"/>
      <c r="K1046362" s="19"/>
      <c r="L1046362" s="19"/>
      <c r="M1046362" s="19"/>
      <c r="N1046362" s="19"/>
    </row>
    <row r="1046363" spans="1:14" s="83" customFormat="1" ht="12.75">
      <c r="A1046363" s="19"/>
      <c r="B1046363" s="19"/>
      <c r="C1046363" s="19"/>
      <c r="D1046363" s="19"/>
      <c r="E1046363" s="19"/>
      <c r="F1046363" s="19"/>
      <c r="G1046363" s="19"/>
      <c r="H1046363" s="19"/>
      <c r="I1046363" s="19"/>
      <c r="J1046363" s="19"/>
      <c r="K1046363" s="19"/>
      <c r="L1046363" s="19"/>
      <c r="M1046363" s="19"/>
      <c r="N1046363" s="19"/>
    </row>
    <row r="1046364" spans="1:14" s="83" customFormat="1" ht="12.75">
      <c r="A1046364" s="19"/>
      <c r="B1046364" s="19"/>
      <c r="C1046364" s="19"/>
      <c r="D1046364" s="19"/>
      <c r="E1046364" s="19"/>
      <c r="F1046364" s="19"/>
      <c r="G1046364" s="19"/>
      <c r="H1046364" s="19"/>
      <c r="I1046364" s="19"/>
      <c r="J1046364" s="19"/>
      <c r="K1046364" s="19"/>
      <c r="L1046364" s="19"/>
      <c r="M1046364" s="19"/>
      <c r="N1046364" s="19"/>
    </row>
    <row r="1046365" spans="1:14" s="83" customFormat="1" ht="12.75">
      <c r="A1046365" s="19"/>
      <c r="B1046365" s="19"/>
      <c r="C1046365" s="19"/>
      <c r="D1046365" s="19"/>
      <c r="E1046365" s="19"/>
      <c r="F1046365" s="19"/>
      <c r="G1046365" s="19"/>
      <c r="H1046365" s="19"/>
      <c r="I1046365" s="19"/>
      <c r="J1046365" s="19"/>
      <c r="K1046365" s="19"/>
      <c r="L1046365" s="19"/>
      <c r="M1046365" s="19"/>
      <c r="N1046365" s="19"/>
    </row>
    <row r="1046366" spans="1:14" s="83" customFormat="1" ht="12.75">
      <c r="A1046366" s="19"/>
      <c r="B1046366" s="19"/>
      <c r="C1046366" s="19"/>
      <c r="D1046366" s="19"/>
      <c r="E1046366" s="19"/>
      <c r="F1046366" s="19"/>
      <c r="G1046366" s="19"/>
      <c r="H1046366" s="19"/>
      <c r="I1046366" s="19"/>
      <c r="J1046366" s="19"/>
      <c r="K1046366" s="19"/>
      <c r="L1046366" s="19"/>
      <c r="M1046366" s="19"/>
      <c r="N1046366" s="19"/>
    </row>
    <row r="1046367" spans="1:14" s="83" customFormat="1" ht="12.75">
      <c r="A1046367" s="19"/>
      <c r="B1046367" s="19"/>
      <c r="C1046367" s="19"/>
      <c r="D1046367" s="19"/>
      <c r="E1046367" s="19"/>
      <c r="F1046367" s="19"/>
      <c r="G1046367" s="19"/>
      <c r="H1046367" s="19"/>
      <c r="I1046367" s="19"/>
      <c r="J1046367" s="19"/>
      <c r="K1046367" s="19"/>
      <c r="L1046367" s="19"/>
      <c r="M1046367" s="19"/>
      <c r="N1046367" s="19"/>
    </row>
    <row r="1046368" spans="1:14" s="83" customFormat="1" ht="12.75">
      <c r="A1046368" s="19"/>
      <c r="B1046368" s="19"/>
      <c r="C1046368" s="19"/>
      <c r="D1046368" s="19"/>
      <c r="E1046368" s="19"/>
      <c r="F1046368" s="19"/>
      <c r="G1046368" s="19"/>
      <c r="H1046368" s="19"/>
      <c r="I1046368" s="19"/>
      <c r="J1046368" s="19"/>
      <c r="K1046368" s="19"/>
      <c r="L1046368" s="19"/>
      <c r="M1046368" s="19"/>
      <c r="N1046368" s="19"/>
    </row>
    <row r="1046369" spans="1:14" s="83" customFormat="1" ht="12.75">
      <c r="A1046369" s="19"/>
      <c r="B1046369" s="19"/>
      <c r="C1046369" s="19"/>
      <c r="D1046369" s="19"/>
      <c r="E1046369" s="19"/>
      <c r="F1046369" s="19"/>
      <c r="G1046369" s="19"/>
      <c r="H1046369" s="19"/>
      <c r="I1046369" s="19"/>
      <c r="J1046369" s="19"/>
      <c r="K1046369" s="19"/>
      <c r="L1046369" s="19"/>
      <c r="M1046369" s="19"/>
      <c r="N1046369" s="19"/>
    </row>
    <row r="1046370" spans="1:14" s="83" customFormat="1" ht="12.75">
      <c r="A1046370" s="19"/>
      <c r="B1046370" s="19"/>
      <c r="C1046370" s="19"/>
      <c r="D1046370" s="19"/>
      <c r="E1046370" s="19"/>
      <c r="F1046370" s="19"/>
      <c r="G1046370" s="19"/>
      <c r="H1046370" s="19"/>
      <c r="I1046370" s="19"/>
      <c r="J1046370" s="19"/>
      <c r="K1046370" s="19"/>
      <c r="L1046370" s="19"/>
      <c r="M1046370" s="19"/>
      <c r="N1046370" s="19"/>
    </row>
    <row r="1046371" spans="1:14" s="83" customFormat="1" ht="12.75">
      <c r="A1046371" s="19"/>
      <c r="B1046371" s="19"/>
      <c r="C1046371" s="19"/>
      <c r="D1046371" s="19"/>
      <c r="E1046371" s="19"/>
      <c r="F1046371" s="19"/>
      <c r="G1046371" s="19"/>
      <c r="H1046371" s="19"/>
      <c r="I1046371" s="19"/>
      <c r="J1046371" s="19"/>
      <c r="K1046371" s="19"/>
      <c r="L1046371" s="19"/>
      <c r="M1046371" s="19"/>
      <c r="N1046371" s="19"/>
    </row>
    <row r="1046372" spans="1:14" s="83" customFormat="1" ht="12.75">
      <c r="A1046372" s="19"/>
      <c r="B1046372" s="19"/>
      <c r="C1046372" s="19"/>
      <c r="D1046372" s="19"/>
      <c r="E1046372" s="19"/>
      <c r="F1046372" s="19"/>
      <c r="G1046372" s="19"/>
      <c r="H1046372" s="19"/>
      <c r="I1046372" s="19"/>
      <c r="J1046372" s="19"/>
      <c r="K1046372" s="19"/>
      <c r="L1046372" s="19"/>
      <c r="M1046372" s="19"/>
      <c r="N1046372" s="19"/>
    </row>
    <row r="1046373" spans="1:14" s="83" customFormat="1" ht="12.75">
      <c r="A1046373" s="19"/>
      <c r="B1046373" s="19"/>
      <c r="C1046373" s="19"/>
      <c r="D1046373" s="19"/>
      <c r="E1046373" s="19"/>
      <c r="F1046373" s="19"/>
      <c r="G1046373" s="19"/>
      <c r="H1046373" s="19"/>
      <c r="I1046373" s="19"/>
      <c r="J1046373" s="19"/>
      <c r="K1046373" s="19"/>
      <c r="L1046373" s="19"/>
      <c r="M1046373" s="19"/>
      <c r="N1046373" s="19"/>
    </row>
    <row r="1046374" spans="1:14" s="83" customFormat="1" ht="12.75">
      <c r="A1046374" s="19"/>
      <c r="B1046374" s="19"/>
      <c r="C1046374" s="19"/>
      <c r="D1046374" s="19"/>
      <c r="E1046374" s="19"/>
      <c r="F1046374" s="19"/>
      <c r="G1046374" s="19"/>
      <c r="H1046374" s="19"/>
      <c r="I1046374" s="19"/>
      <c r="J1046374" s="19"/>
      <c r="K1046374" s="19"/>
      <c r="L1046374" s="19"/>
      <c r="M1046374" s="19"/>
      <c r="N1046374" s="19"/>
    </row>
    <row r="1046375" spans="1:14" s="83" customFormat="1" ht="12.75">
      <c r="A1046375" s="19"/>
      <c r="B1046375" s="19"/>
      <c r="C1046375" s="19"/>
      <c r="D1046375" s="19"/>
      <c r="E1046375" s="19"/>
      <c r="F1046375" s="19"/>
      <c r="G1046375" s="19"/>
      <c r="H1046375" s="19"/>
      <c r="I1046375" s="19"/>
      <c r="J1046375" s="19"/>
      <c r="K1046375" s="19"/>
      <c r="L1046375" s="19"/>
      <c r="M1046375" s="19"/>
      <c r="N1046375" s="19"/>
    </row>
    <row r="1046376" spans="1:14" s="83" customFormat="1" ht="12.75">
      <c r="A1046376" s="19"/>
      <c r="B1046376" s="19"/>
      <c r="C1046376" s="19"/>
      <c r="D1046376" s="19"/>
      <c r="E1046376" s="19"/>
      <c r="F1046376" s="19"/>
      <c r="G1046376" s="19"/>
      <c r="H1046376" s="19"/>
      <c r="I1046376" s="19"/>
      <c r="J1046376" s="19"/>
      <c r="K1046376" s="19"/>
      <c r="L1046376" s="19"/>
      <c r="M1046376" s="19"/>
      <c r="N1046376" s="19"/>
    </row>
    <row r="1046377" spans="1:14" s="83" customFormat="1" ht="12.75">
      <c r="A1046377" s="19"/>
      <c r="B1046377" s="19"/>
      <c r="C1046377" s="19"/>
      <c r="D1046377" s="19"/>
      <c r="E1046377" s="19"/>
      <c r="F1046377" s="19"/>
      <c r="G1046377" s="19"/>
      <c r="H1046377" s="19"/>
      <c r="I1046377" s="19"/>
      <c r="J1046377" s="19"/>
      <c r="K1046377" s="19"/>
      <c r="L1046377" s="19"/>
      <c r="M1046377" s="19"/>
      <c r="N1046377" s="19"/>
    </row>
    <row r="1046378" spans="1:14" s="83" customFormat="1" ht="12.75">
      <c r="A1046378" s="19"/>
      <c r="B1046378" s="19"/>
      <c r="C1046378" s="19"/>
      <c r="D1046378" s="19"/>
      <c r="E1046378" s="19"/>
      <c r="F1046378" s="19"/>
      <c r="G1046378" s="19"/>
      <c r="H1046378" s="19"/>
      <c r="I1046378" s="19"/>
      <c r="J1046378" s="19"/>
      <c r="K1046378" s="19"/>
      <c r="L1046378" s="19"/>
      <c r="M1046378" s="19"/>
      <c r="N1046378" s="19"/>
    </row>
    <row r="1046379" spans="1:14" s="83" customFormat="1" ht="12.75">
      <c r="A1046379" s="19"/>
      <c r="B1046379" s="19"/>
      <c r="C1046379" s="19"/>
      <c r="D1046379" s="19"/>
      <c r="E1046379" s="19"/>
      <c r="F1046379" s="19"/>
      <c r="G1046379" s="19"/>
      <c r="H1046379" s="19"/>
      <c r="I1046379" s="19"/>
      <c r="J1046379" s="19"/>
      <c r="K1046379" s="19"/>
      <c r="L1046379" s="19"/>
      <c r="M1046379" s="19"/>
      <c r="N1046379" s="19"/>
    </row>
    <row r="1046380" spans="1:14" s="83" customFormat="1" ht="12.75">
      <c r="A1046380" s="19"/>
      <c r="B1046380" s="19"/>
      <c r="C1046380" s="19"/>
      <c r="D1046380" s="19"/>
      <c r="E1046380" s="19"/>
      <c r="F1046380" s="19"/>
      <c r="G1046380" s="19"/>
      <c r="H1046380" s="19"/>
      <c r="I1046380" s="19"/>
      <c r="J1046380" s="19"/>
      <c r="K1046380" s="19"/>
      <c r="L1046380" s="19"/>
      <c r="M1046380" s="19"/>
      <c r="N1046380" s="19"/>
    </row>
    <row r="1046381" spans="1:14" s="83" customFormat="1" ht="12.75">
      <c r="A1046381" s="19"/>
      <c r="B1046381" s="19"/>
      <c r="C1046381" s="19"/>
      <c r="D1046381" s="19"/>
      <c r="E1046381" s="19"/>
      <c r="F1046381" s="19"/>
      <c r="G1046381" s="19"/>
      <c r="H1046381" s="19"/>
      <c r="I1046381" s="19"/>
      <c r="J1046381" s="19"/>
      <c r="K1046381" s="19"/>
      <c r="L1046381" s="19"/>
      <c r="M1046381" s="19"/>
      <c r="N1046381" s="19"/>
    </row>
    <row r="1046382" spans="1:14" s="83" customFormat="1" ht="12.75">
      <c r="A1046382" s="19"/>
      <c r="B1046382" s="19"/>
      <c r="C1046382" s="19"/>
      <c r="D1046382" s="19"/>
      <c r="E1046382" s="19"/>
      <c r="F1046382" s="19"/>
      <c r="G1046382" s="19"/>
      <c r="H1046382" s="19"/>
      <c r="I1046382" s="19"/>
      <c r="J1046382" s="19"/>
      <c r="K1046382" s="19"/>
      <c r="L1046382" s="19"/>
      <c r="M1046382" s="19"/>
      <c r="N1046382" s="19"/>
    </row>
    <row r="1046383" spans="1:14" s="83" customFormat="1" ht="12.75">
      <c r="A1046383" s="19"/>
      <c r="B1046383" s="19"/>
      <c r="C1046383" s="19"/>
      <c r="D1046383" s="19"/>
      <c r="E1046383" s="19"/>
      <c r="F1046383" s="19"/>
      <c r="G1046383" s="19"/>
      <c r="H1046383" s="19"/>
      <c r="I1046383" s="19"/>
      <c r="J1046383" s="19"/>
      <c r="K1046383" s="19"/>
      <c r="L1046383" s="19"/>
      <c r="M1046383" s="19"/>
      <c r="N1046383" s="19"/>
    </row>
    <row r="1046384" spans="1:14" s="83" customFormat="1" ht="12.75">
      <c r="A1046384" s="19"/>
      <c r="B1046384" s="19"/>
      <c r="C1046384" s="19"/>
      <c r="D1046384" s="19"/>
      <c r="E1046384" s="19"/>
      <c r="F1046384" s="19"/>
      <c r="G1046384" s="19"/>
      <c r="H1046384" s="19"/>
      <c r="I1046384" s="19"/>
      <c r="J1046384" s="19"/>
      <c r="K1046384" s="19"/>
      <c r="L1046384" s="19"/>
      <c r="M1046384" s="19"/>
      <c r="N1046384" s="19"/>
    </row>
    <row r="1046385" spans="1:14" s="83" customFormat="1" ht="12.75">
      <c r="A1046385" s="19"/>
      <c r="B1046385" s="19"/>
      <c r="C1046385" s="19"/>
      <c r="D1046385" s="19"/>
      <c r="E1046385" s="19"/>
      <c r="F1046385" s="19"/>
      <c r="G1046385" s="19"/>
      <c r="H1046385" s="19"/>
      <c r="I1046385" s="19"/>
      <c r="J1046385" s="19"/>
      <c r="K1046385" s="19"/>
      <c r="L1046385" s="19"/>
      <c r="M1046385" s="19"/>
      <c r="N1046385" s="19"/>
    </row>
    <row r="1046386" spans="1:14" s="83" customFormat="1" ht="12.75">
      <c r="A1046386" s="19"/>
      <c r="B1046386" s="19"/>
      <c r="C1046386" s="19"/>
      <c r="D1046386" s="19"/>
      <c r="E1046386" s="19"/>
      <c r="F1046386" s="19"/>
      <c r="G1046386" s="19"/>
      <c r="H1046386" s="19"/>
      <c r="I1046386" s="19"/>
      <c r="J1046386" s="19"/>
      <c r="K1046386" s="19"/>
      <c r="L1046386" s="19"/>
      <c r="M1046386" s="19"/>
      <c r="N1046386" s="19"/>
    </row>
    <row r="1046387" spans="1:14" s="83" customFormat="1" ht="12.75">
      <c r="A1046387" s="19"/>
      <c r="B1046387" s="19"/>
      <c r="C1046387" s="19"/>
      <c r="D1046387" s="19"/>
      <c r="E1046387" s="19"/>
      <c r="F1046387" s="19"/>
      <c r="G1046387" s="19"/>
      <c r="H1046387" s="19"/>
      <c r="I1046387" s="19"/>
      <c r="J1046387" s="19"/>
      <c r="K1046387" s="19"/>
      <c r="L1046387" s="19"/>
      <c r="M1046387" s="19"/>
      <c r="N1046387" s="19"/>
    </row>
    <row r="1046388" spans="1:14" s="83" customFormat="1" ht="12.75">
      <c r="A1046388" s="19"/>
      <c r="B1046388" s="19"/>
      <c r="C1046388" s="19"/>
      <c r="D1046388" s="19"/>
      <c r="E1046388" s="19"/>
      <c r="F1046388" s="19"/>
      <c r="G1046388" s="19"/>
      <c r="H1046388" s="19"/>
      <c r="I1046388" s="19"/>
      <c r="J1046388" s="19"/>
      <c r="K1046388" s="19"/>
      <c r="L1046388" s="19"/>
      <c r="M1046388" s="19"/>
      <c r="N1046388" s="19"/>
    </row>
    <row r="1046389" spans="1:14" s="83" customFormat="1" ht="12.75">
      <c r="A1046389" s="19"/>
      <c r="B1046389" s="19"/>
      <c r="C1046389" s="19"/>
      <c r="D1046389" s="19"/>
      <c r="E1046389" s="19"/>
      <c r="F1046389" s="19"/>
      <c r="G1046389" s="19"/>
      <c r="H1046389" s="19"/>
      <c r="I1046389" s="19"/>
      <c r="J1046389" s="19"/>
      <c r="K1046389" s="19"/>
      <c r="L1046389" s="19"/>
      <c r="M1046389" s="19"/>
      <c r="N1046389" s="19"/>
    </row>
    <row r="1046390" spans="1:14" s="83" customFormat="1" ht="12.75">
      <c r="A1046390" s="19"/>
      <c r="B1046390" s="19"/>
      <c r="C1046390" s="19"/>
      <c r="D1046390" s="19"/>
      <c r="E1046390" s="19"/>
      <c r="F1046390" s="19"/>
      <c r="G1046390" s="19"/>
      <c r="H1046390" s="19"/>
      <c r="I1046390" s="19"/>
      <c r="J1046390" s="19"/>
      <c r="K1046390" s="19"/>
      <c r="L1046390" s="19"/>
      <c r="M1046390" s="19"/>
      <c r="N1046390" s="19"/>
    </row>
    <row r="1046391" spans="1:14" s="83" customFormat="1" ht="12.75">
      <c r="A1046391" s="19"/>
      <c r="B1046391" s="19"/>
      <c r="C1046391" s="19"/>
      <c r="D1046391" s="19"/>
      <c r="E1046391" s="19"/>
      <c r="F1046391" s="19"/>
      <c r="G1046391" s="19"/>
      <c r="H1046391" s="19"/>
      <c r="I1046391" s="19"/>
      <c r="J1046391" s="19"/>
      <c r="K1046391" s="19"/>
      <c r="L1046391" s="19"/>
      <c r="M1046391" s="19"/>
      <c r="N1046391" s="19"/>
    </row>
    <row r="1046392" spans="1:14" s="83" customFormat="1" ht="12.75">
      <c r="A1046392" s="19"/>
      <c r="B1046392" s="19"/>
      <c r="C1046392" s="19"/>
      <c r="D1046392" s="19"/>
      <c r="E1046392" s="19"/>
      <c r="F1046392" s="19"/>
      <c r="G1046392" s="19"/>
      <c r="H1046392" s="19"/>
      <c r="I1046392" s="19"/>
      <c r="J1046392" s="19"/>
      <c r="K1046392" s="19"/>
      <c r="L1046392" s="19"/>
      <c r="M1046392" s="19"/>
      <c r="N1046392" s="19"/>
    </row>
    <row r="1046393" spans="1:14" s="83" customFormat="1" ht="12.75">
      <c r="A1046393" s="19"/>
      <c r="B1046393" s="19"/>
      <c r="C1046393" s="19"/>
      <c r="D1046393" s="19"/>
      <c r="E1046393" s="19"/>
      <c r="F1046393" s="19"/>
      <c r="G1046393" s="19"/>
      <c r="H1046393" s="19"/>
      <c r="I1046393" s="19"/>
      <c r="J1046393" s="19"/>
      <c r="K1046393" s="19"/>
      <c r="L1046393" s="19"/>
      <c r="M1046393" s="19"/>
      <c r="N1046393" s="19"/>
    </row>
    <row r="1046394" spans="1:14" s="83" customFormat="1" ht="12.75">
      <c r="A1046394" s="19"/>
      <c r="B1046394" s="19"/>
      <c r="C1046394" s="19"/>
      <c r="D1046394" s="19"/>
      <c r="E1046394" s="19"/>
      <c r="F1046394" s="19"/>
      <c r="G1046394" s="19"/>
      <c r="H1046394" s="19"/>
      <c r="I1046394" s="19"/>
      <c r="J1046394" s="19"/>
      <c r="K1046394" s="19"/>
      <c r="L1046394" s="19"/>
      <c r="M1046394" s="19"/>
      <c r="N1046394" s="19"/>
    </row>
    <row r="1046395" spans="1:14" s="83" customFormat="1" ht="12.75">
      <c r="A1046395" s="19"/>
      <c r="B1046395" s="19"/>
      <c r="C1046395" s="19"/>
      <c r="D1046395" s="19"/>
      <c r="E1046395" s="19"/>
      <c r="F1046395" s="19"/>
      <c r="G1046395" s="19"/>
      <c r="H1046395" s="19"/>
      <c r="I1046395" s="19"/>
      <c r="J1046395" s="19"/>
      <c r="K1046395" s="19"/>
      <c r="L1046395" s="19"/>
      <c r="M1046395" s="19"/>
      <c r="N1046395" s="19"/>
    </row>
    <row r="1046396" spans="1:14" s="83" customFormat="1" ht="12.75">
      <c r="A1046396" s="19"/>
      <c r="B1046396" s="19"/>
      <c r="C1046396" s="19"/>
      <c r="D1046396" s="19"/>
      <c r="E1046396" s="19"/>
      <c r="F1046396" s="19"/>
      <c r="G1046396" s="19"/>
      <c r="H1046396" s="19"/>
      <c r="I1046396" s="19"/>
      <c r="J1046396" s="19"/>
      <c r="K1046396" s="19"/>
      <c r="L1046396" s="19"/>
      <c r="M1046396" s="19"/>
      <c r="N1046396" s="19"/>
    </row>
    <row r="1046397" spans="1:14" s="83" customFormat="1" ht="12.75">
      <c r="A1046397" s="19"/>
      <c r="B1046397" s="19"/>
      <c r="C1046397" s="19"/>
      <c r="D1046397" s="19"/>
      <c r="E1046397" s="19"/>
      <c r="F1046397" s="19"/>
      <c r="G1046397" s="19"/>
      <c r="H1046397" s="19"/>
      <c r="I1046397" s="19"/>
      <c r="J1046397" s="19"/>
      <c r="K1046397" s="19"/>
      <c r="L1046397" s="19"/>
      <c r="M1046397" s="19"/>
      <c r="N1046397" s="19"/>
    </row>
    <row r="1046398" spans="1:14" s="83" customFormat="1" ht="12.75">
      <c r="A1046398" s="19"/>
      <c r="B1046398" s="19"/>
      <c r="C1046398" s="19"/>
      <c r="D1046398" s="19"/>
      <c r="E1046398" s="19"/>
      <c r="F1046398" s="19"/>
      <c r="G1046398" s="19"/>
      <c r="H1046398" s="19"/>
      <c r="I1046398" s="19"/>
      <c r="J1046398" s="19"/>
      <c r="K1046398" s="19"/>
      <c r="L1046398" s="19"/>
      <c r="M1046398" s="19"/>
      <c r="N1046398" s="19"/>
    </row>
    <row r="1046399" spans="1:14" s="83" customFormat="1" ht="12.75">
      <c r="A1046399" s="19"/>
      <c r="B1046399" s="19"/>
      <c r="C1046399" s="19"/>
      <c r="D1046399" s="19"/>
      <c r="E1046399" s="19"/>
      <c r="F1046399" s="19"/>
      <c r="G1046399" s="19"/>
      <c r="H1046399" s="19"/>
      <c r="I1046399" s="19"/>
      <c r="J1046399" s="19"/>
      <c r="K1046399" s="19"/>
      <c r="L1046399" s="19"/>
      <c r="M1046399" s="19"/>
      <c r="N1046399" s="19"/>
    </row>
    <row r="1046400" spans="1:14" s="83" customFormat="1" ht="12.75">
      <c r="A1046400" s="19"/>
      <c r="B1046400" s="19"/>
      <c r="C1046400" s="19"/>
      <c r="D1046400" s="19"/>
      <c r="E1046400" s="19"/>
      <c r="F1046400" s="19"/>
      <c r="G1046400" s="19"/>
      <c r="H1046400" s="19"/>
      <c r="I1046400" s="19"/>
      <c r="J1046400" s="19"/>
      <c r="K1046400" s="19"/>
      <c r="L1046400" s="19"/>
      <c r="M1046400" s="19"/>
      <c r="N1046400" s="19"/>
    </row>
    <row r="1046401" spans="1:14" s="83" customFormat="1" ht="12.75">
      <c r="A1046401" s="19"/>
      <c r="B1046401" s="19"/>
      <c r="C1046401" s="19"/>
      <c r="D1046401" s="19"/>
      <c r="E1046401" s="19"/>
      <c r="F1046401" s="19"/>
      <c r="G1046401" s="19"/>
      <c r="H1046401" s="19"/>
      <c r="I1046401" s="19"/>
      <c r="J1046401" s="19"/>
      <c r="K1046401" s="19"/>
      <c r="L1046401" s="19"/>
      <c r="M1046401" s="19"/>
      <c r="N1046401" s="19"/>
    </row>
    <row r="1046402" spans="1:14" s="83" customFormat="1" ht="12.75">
      <c r="A1046402" s="19"/>
      <c r="B1046402" s="19"/>
      <c r="C1046402" s="19"/>
      <c r="D1046402" s="19"/>
      <c r="E1046402" s="19"/>
      <c r="F1046402" s="19"/>
      <c r="G1046402" s="19"/>
      <c r="H1046402" s="19"/>
      <c r="I1046402" s="19"/>
      <c r="J1046402" s="19"/>
      <c r="K1046402" s="19"/>
      <c r="L1046402" s="19"/>
      <c r="M1046402" s="19"/>
      <c r="N1046402" s="19"/>
    </row>
    <row r="1046403" spans="1:14" s="83" customFormat="1" ht="12.75">
      <c r="A1046403" s="19"/>
      <c r="B1046403" s="19"/>
      <c r="C1046403" s="19"/>
      <c r="D1046403" s="19"/>
      <c r="E1046403" s="19"/>
      <c r="F1046403" s="19"/>
      <c r="G1046403" s="19"/>
      <c r="H1046403" s="19"/>
      <c r="I1046403" s="19"/>
      <c r="J1046403" s="19"/>
      <c r="K1046403" s="19"/>
      <c r="L1046403" s="19"/>
      <c r="M1046403" s="19"/>
      <c r="N1046403" s="19"/>
    </row>
    <row r="1046404" spans="1:14" s="83" customFormat="1" ht="12.75">
      <c r="A1046404" s="19"/>
      <c r="B1046404" s="19"/>
      <c r="C1046404" s="19"/>
      <c r="D1046404" s="19"/>
      <c r="E1046404" s="19"/>
      <c r="F1046404" s="19"/>
      <c r="G1046404" s="19"/>
      <c r="H1046404" s="19"/>
      <c r="I1046404" s="19"/>
      <c r="J1046404" s="19"/>
      <c r="K1046404" s="19"/>
      <c r="L1046404" s="19"/>
      <c r="M1046404" s="19"/>
      <c r="N1046404" s="19"/>
    </row>
    <row r="1046405" spans="1:14" s="83" customFormat="1" ht="12.75">
      <c r="A1046405" s="19"/>
      <c r="B1046405" s="19"/>
      <c r="C1046405" s="19"/>
      <c r="D1046405" s="19"/>
      <c r="E1046405" s="19"/>
      <c r="F1046405" s="19"/>
      <c r="G1046405" s="19"/>
      <c r="H1046405" s="19"/>
      <c r="I1046405" s="19"/>
      <c r="J1046405" s="19"/>
      <c r="K1046405" s="19"/>
      <c r="L1046405" s="19"/>
      <c r="M1046405" s="19"/>
      <c r="N1046405" s="19"/>
    </row>
    <row r="1046406" spans="1:14" s="83" customFormat="1" ht="12.75">
      <c r="A1046406" s="19"/>
      <c r="B1046406" s="19"/>
      <c r="C1046406" s="19"/>
      <c r="D1046406" s="19"/>
      <c r="E1046406" s="19"/>
      <c r="F1046406" s="19"/>
      <c r="G1046406" s="19"/>
      <c r="H1046406" s="19"/>
      <c r="I1046406" s="19"/>
      <c r="J1046406" s="19"/>
      <c r="K1046406" s="19"/>
      <c r="L1046406" s="19"/>
      <c r="M1046406" s="19"/>
      <c r="N1046406" s="19"/>
    </row>
    <row r="1046407" spans="1:14" s="83" customFormat="1" ht="12.75">
      <c r="A1046407" s="19"/>
      <c r="B1046407" s="19"/>
      <c r="C1046407" s="19"/>
      <c r="D1046407" s="19"/>
      <c r="E1046407" s="19"/>
      <c r="F1046407" s="19"/>
      <c r="G1046407" s="19"/>
      <c r="H1046407" s="19"/>
      <c r="I1046407" s="19"/>
      <c r="J1046407" s="19"/>
      <c r="K1046407" s="19"/>
      <c r="L1046407" s="19"/>
      <c r="M1046407" s="19"/>
      <c r="N1046407" s="19"/>
    </row>
    <row r="1046408" spans="1:14" s="83" customFormat="1" ht="12.75">
      <c r="A1046408" s="19"/>
      <c r="B1046408" s="19"/>
      <c r="C1046408" s="19"/>
      <c r="D1046408" s="19"/>
      <c r="E1046408" s="19"/>
      <c r="F1046408" s="19"/>
      <c r="G1046408" s="19"/>
      <c r="H1046408" s="19"/>
      <c r="I1046408" s="19"/>
      <c r="J1046408" s="19"/>
      <c r="K1046408" s="19"/>
      <c r="L1046408" s="19"/>
      <c r="M1046408" s="19"/>
      <c r="N1046408" s="19"/>
    </row>
    <row r="1046409" spans="1:14" s="83" customFormat="1" ht="12.75">
      <c r="A1046409" s="19"/>
      <c r="B1046409" s="19"/>
      <c r="C1046409" s="19"/>
      <c r="D1046409" s="19"/>
      <c r="E1046409" s="19"/>
      <c r="F1046409" s="19"/>
      <c r="G1046409" s="19"/>
      <c r="H1046409" s="19"/>
      <c r="I1046409" s="19"/>
      <c r="J1046409" s="19"/>
      <c r="K1046409" s="19"/>
      <c r="L1046409" s="19"/>
      <c r="M1046409" s="19"/>
      <c r="N1046409" s="19"/>
    </row>
    <row r="1046410" spans="1:14" s="83" customFormat="1" ht="12.75">
      <c r="A1046410" s="19"/>
      <c r="B1046410" s="19"/>
      <c r="C1046410" s="19"/>
      <c r="D1046410" s="19"/>
      <c r="E1046410" s="19"/>
      <c r="F1046410" s="19"/>
      <c r="G1046410" s="19"/>
      <c r="H1046410" s="19"/>
      <c r="I1046410" s="19"/>
      <c r="J1046410" s="19"/>
      <c r="K1046410" s="19"/>
      <c r="L1046410" s="19"/>
      <c r="M1046410" s="19"/>
      <c r="N1046410" s="19"/>
    </row>
    <row r="1046411" spans="1:14" s="83" customFormat="1" ht="12.75">
      <c r="A1046411" s="19"/>
      <c r="B1046411" s="19"/>
      <c r="C1046411" s="19"/>
      <c r="D1046411" s="19"/>
      <c r="E1046411" s="19"/>
      <c r="F1046411" s="19"/>
      <c r="G1046411" s="19"/>
      <c r="H1046411" s="19"/>
      <c r="I1046411" s="19"/>
      <c r="J1046411" s="19"/>
      <c r="K1046411" s="19"/>
      <c r="L1046411" s="19"/>
      <c r="M1046411" s="19"/>
      <c r="N1046411" s="19"/>
    </row>
    <row r="1046412" spans="1:14" s="83" customFormat="1" ht="12.75">
      <c r="A1046412" s="19"/>
      <c r="B1046412" s="19"/>
      <c r="C1046412" s="19"/>
      <c r="D1046412" s="19"/>
      <c r="E1046412" s="19"/>
      <c r="F1046412" s="19"/>
      <c r="G1046412" s="19"/>
      <c r="H1046412" s="19"/>
      <c r="I1046412" s="19"/>
      <c r="J1046412" s="19"/>
      <c r="K1046412" s="19"/>
      <c r="L1046412" s="19"/>
      <c r="M1046412" s="19"/>
      <c r="N1046412" s="19"/>
    </row>
    <row r="1046413" spans="1:14" s="83" customFormat="1" ht="12.75">
      <c r="A1046413" s="19"/>
      <c r="B1046413" s="19"/>
      <c r="C1046413" s="19"/>
      <c r="D1046413" s="19"/>
      <c r="E1046413" s="19"/>
      <c r="F1046413" s="19"/>
      <c r="G1046413" s="19"/>
      <c r="H1046413" s="19"/>
      <c r="I1046413" s="19"/>
      <c r="J1046413" s="19"/>
      <c r="K1046413" s="19"/>
      <c r="L1046413" s="19"/>
      <c r="M1046413" s="19"/>
      <c r="N1046413" s="19"/>
    </row>
    <row r="1046414" spans="1:14" s="83" customFormat="1" ht="12.75">
      <c r="A1046414" s="19"/>
      <c r="B1046414" s="19"/>
      <c r="C1046414" s="19"/>
      <c r="D1046414" s="19"/>
      <c r="E1046414" s="19"/>
      <c r="F1046414" s="19"/>
      <c r="G1046414" s="19"/>
      <c r="H1046414" s="19"/>
      <c r="I1046414" s="19"/>
      <c r="J1046414" s="19"/>
      <c r="K1046414" s="19"/>
      <c r="L1046414" s="19"/>
      <c r="M1046414" s="19"/>
      <c r="N1046414" s="19"/>
    </row>
    <row r="1046415" spans="1:14" s="83" customFormat="1" ht="12.75">
      <c r="A1046415" s="19"/>
      <c r="B1046415" s="19"/>
      <c r="C1046415" s="19"/>
      <c r="D1046415" s="19"/>
      <c r="E1046415" s="19"/>
      <c r="F1046415" s="19"/>
      <c r="G1046415" s="19"/>
      <c r="H1046415" s="19"/>
      <c r="I1046415" s="19"/>
      <c r="J1046415" s="19"/>
      <c r="K1046415" s="19"/>
      <c r="L1046415" s="19"/>
      <c r="M1046415" s="19"/>
      <c r="N1046415" s="19"/>
    </row>
    <row r="1046416" spans="1:14" s="83" customFormat="1" ht="12.75">
      <c r="A1046416" s="19"/>
      <c r="B1046416" s="19"/>
      <c r="C1046416" s="19"/>
      <c r="D1046416" s="19"/>
      <c r="E1046416" s="19"/>
      <c r="F1046416" s="19"/>
      <c r="G1046416" s="19"/>
      <c r="H1046416" s="19"/>
      <c r="I1046416" s="19"/>
      <c r="J1046416" s="19"/>
      <c r="K1046416" s="19"/>
      <c r="L1046416" s="19"/>
      <c r="M1046416" s="19"/>
      <c r="N1046416" s="19"/>
    </row>
    <row r="1046417" spans="1:14" s="83" customFormat="1" ht="12.75">
      <c r="A1046417" s="19"/>
      <c r="B1046417" s="19"/>
      <c r="C1046417" s="19"/>
      <c r="D1046417" s="19"/>
      <c r="E1046417" s="19"/>
      <c r="F1046417" s="19"/>
      <c r="G1046417" s="19"/>
      <c r="H1046417" s="19"/>
      <c r="I1046417" s="19"/>
      <c r="J1046417" s="19"/>
      <c r="K1046417" s="19"/>
      <c r="L1046417" s="19"/>
      <c r="M1046417" s="19"/>
      <c r="N1046417" s="19"/>
    </row>
    <row r="1046418" spans="1:14" s="83" customFormat="1" ht="12.75">
      <c r="A1046418" s="19"/>
      <c r="B1046418" s="19"/>
      <c r="C1046418" s="19"/>
      <c r="D1046418" s="19"/>
      <c r="E1046418" s="19"/>
      <c r="F1046418" s="19"/>
      <c r="G1046418" s="19"/>
      <c r="H1046418" s="19"/>
      <c r="I1046418" s="19"/>
      <c r="J1046418" s="19"/>
      <c r="K1046418" s="19"/>
      <c r="L1046418" s="19"/>
      <c r="M1046418" s="19"/>
      <c r="N1046418" s="19"/>
    </row>
    <row r="1046419" spans="1:14" s="83" customFormat="1" ht="12.75">
      <c r="A1046419" s="19"/>
      <c r="B1046419" s="19"/>
      <c r="C1046419" s="19"/>
      <c r="D1046419" s="19"/>
      <c r="E1046419" s="19"/>
      <c r="F1046419" s="19"/>
      <c r="G1046419" s="19"/>
      <c r="H1046419" s="19"/>
      <c r="I1046419" s="19"/>
      <c r="J1046419" s="19"/>
      <c r="K1046419" s="19"/>
      <c r="L1046419" s="19"/>
      <c r="M1046419" s="19"/>
      <c r="N1046419" s="19"/>
    </row>
    <row r="1046420" spans="1:14" s="83" customFormat="1" ht="12.75">
      <c r="A1046420" s="19"/>
      <c r="B1046420" s="19"/>
      <c r="C1046420" s="19"/>
      <c r="D1046420" s="19"/>
      <c r="E1046420" s="19"/>
      <c r="F1046420" s="19"/>
      <c r="G1046420" s="19"/>
      <c r="H1046420" s="19"/>
      <c r="I1046420" s="19"/>
      <c r="J1046420" s="19"/>
      <c r="K1046420" s="19"/>
      <c r="L1046420" s="19"/>
      <c r="M1046420" s="19"/>
      <c r="N1046420" s="19"/>
    </row>
    <row r="1046421" spans="1:14" s="83" customFormat="1" ht="12.75">
      <c r="A1046421" s="19"/>
      <c r="B1046421" s="19"/>
      <c r="C1046421" s="19"/>
      <c r="D1046421" s="19"/>
      <c r="E1046421" s="19"/>
      <c r="F1046421" s="19"/>
      <c r="G1046421" s="19"/>
      <c r="H1046421" s="19"/>
      <c r="I1046421" s="19"/>
      <c r="J1046421" s="19"/>
      <c r="K1046421" s="19"/>
      <c r="L1046421" s="19"/>
      <c r="M1046421" s="19"/>
      <c r="N1046421" s="19"/>
    </row>
    <row r="1046422" spans="1:14" s="83" customFormat="1" ht="12.75">
      <c r="A1046422" s="19"/>
      <c r="B1046422" s="19"/>
      <c r="C1046422" s="19"/>
      <c r="D1046422" s="19"/>
      <c r="E1046422" s="19"/>
      <c r="F1046422" s="19"/>
      <c r="G1046422" s="19"/>
      <c r="H1046422" s="19"/>
      <c r="I1046422" s="19"/>
      <c r="J1046422" s="19"/>
      <c r="K1046422" s="19"/>
      <c r="L1046422" s="19"/>
      <c r="M1046422" s="19"/>
      <c r="N1046422" s="19"/>
    </row>
    <row r="1046423" spans="1:14" s="83" customFormat="1" ht="12.75">
      <c r="A1046423" s="19"/>
      <c r="B1046423" s="19"/>
      <c r="C1046423" s="19"/>
      <c r="D1046423" s="19"/>
      <c r="E1046423" s="19"/>
      <c r="F1046423" s="19"/>
      <c r="G1046423" s="19"/>
      <c r="H1046423" s="19"/>
      <c r="I1046423" s="19"/>
      <c r="J1046423" s="19"/>
      <c r="K1046423" s="19"/>
      <c r="L1046423" s="19"/>
      <c r="M1046423" s="19"/>
      <c r="N1046423" s="19"/>
    </row>
    <row r="1046424" spans="1:14" s="83" customFormat="1" ht="12.75">
      <c r="A1046424" s="19"/>
      <c r="B1046424" s="19"/>
      <c r="C1046424" s="19"/>
      <c r="D1046424" s="19"/>
      <c r="E1046424" s="19"/>
      <c r="F1046424" s="19"/>
      <c r="G1046424" s="19"/>
      <c r="H1046424" s="19"/>
      <c r="I1046424" s="19"/>
      <c r="J1046424" s="19"/>
      <c r="K1046424" s="19"/>
      <c r="L1046424" s="19"/>
      <c r="M1046424" s="19"/>
      <c r="N1046424" s="19"/>
    </row>
    <row r="1046425" spans="1:14" s="83" customFormat="1" ht="12.75">
      <c r="A1046425" s="19"/>
      <c r="B1046425" s="19"/>
      <c r="C1046425" s="19"/>
      <c r="D1046425" s="19"/>
      <c r="E1046425" s="19"/>
      <c r="F1046425" s="19"/>
      <c r="G1046425" s="19"/>
      <c r="H1046425" s="19"/>
      <c r="I1046425" s="19"/>
      <c r="J1046425" s="19"/>
      <c r="K1046425" s="19"/>
      <c r="L1046425" s="19"/>
      <c r="M1046425" s="19"/>
      <c r="N1046425" s="19"/>
    </row>
    <row r="1046426" spans="1:14" s="83" customFormat="1" ht="12.75">
      <c r="A1046426" s="19"/>
      <c r="B1046426" s="19"/>
      <c r="C1046426" s="19"/>
      <c r="D1046426" s="19"/>
      <c r="E1046426" s="19"/>
      <c r="F1046426" s="19"/>
      <c r="G1046426" s="19"/>
      <c r="H1046426" s="19"/>
      <c r="I1046426" s="19"/>
      <c r="J1046426" s="19"/>
      <c r="K1046426" s="19"/>
      <c r="L1046426" s="19"/>
      <c r="M1046426" s="19"/>
      <c r="N1046426" s="19"/>
    </row>
    <row r="1046427" spans="1:14" s="83" customFormat="1" ht="12.75">
      <c r="A1046427" s="19"/>
      <c r="B1046427" s="19"/>
      <c r="C1046427" s="19"/>
      <c r="D1046427" s="19"/>
      <c r="E1046427" s="19"/>
      <c r="F1046427" s="19"/>
      <c r="G1046427" s="19"/>
      <c r="H1046427" s="19"/>
      <c r="I1046427" s="19"/>
      <c r="J1046427" s="19"/>
      <c r="K1046427" s="19"/>
      <c r="L1046427" s="19"/>
      <c r="M1046427" s="19"/>
      <c r="N1046427" s="19"/>
    </row>
    <row r="1046428" spans="1:14" s="83" customFormat="1" ht="12.75">
      <c r="A1046428" s="19"/>
      <c r="B1046428" s="19"/>
      <c r="C1046428" s="19"/>
      <c r="D1046428" s="19"/>
      <c r="E1046428" s="19"/>
      <c r="F1046428" s="19"/>
      <c r="G1046428" s="19"/>
      <c r="H1046428" s="19"/>
      <c r="I1046428" s="19"/>
      <c r="J1046428" s="19"/>
      <c r="K1046428" s="19"/>
      <c r="L1046428" s="19"/>
      <c r="M1046428" s="19"/>
      <c r="N1046428" s="19"/>
    </row>
    <row r="1046429" spans="1:14" s="83" customFormat="1" ht="12.75">
      <c r="A1046429" s="19"/>
      <c r="B1046429" s="19"/>
      <c r="C1046429" s="19"/>
      <c r="D1046429" s="19"/>
      <c r="E1046429" s="19"/>
      <c r="F1046429" s="19"/>
      <c r="G1046429" s="19"/>
      <c r="H1046429" s="19"/>
      <c r="I1046429" s="19"/>
      <c r="J1046429" s="19"/>
      <c r="K1046429" s="19"/>
      <c r="L1046429" s="19"/>
      <c r="M1046429" s="19"/>
      <c r="N1046429" s="19"/>
    </row>
    <row r="1046430" spans="1:14" s="83" customFormat="1" ht="12.75">
      <c r="A1046430" s="19"/>
      <c r="B1046430" s="19"/>
      <c r="C1046430" s="19"/>
      <c r="D1046430" s="19"/>
      <c r="E1046430" s="19"/>
      <c r="F1046430" s="19"/>
      <c r="G1046430" s="19"/>
      <c r="H1046430" s="19"/>
      <c r="I1046430" s="19"/>
      <c r="J1046430" s="19"/>
      <c r="K1046430" s="19"/>
      <c r="L1046430" s="19"/>
      <c r="M1046430" s="19"/>
      <c r="N1046430" s="19"/>
    </row>
    <row r="1046431" spans="1:14" s="83" customFormat="1" ht="12.75">
      <c r="A1046431" s="19"/>
      <c r="B1046431" s="19"/>
      <c r="C1046431" s="19"/>
      <c r="D1046431" s="19"/>
      <c r="E1046431" s="19"/>
      <c r="F1046431" s="19"/>
      <c r="G1046431" s="19"/>
      <c r="H1046431" s="19"/>
      <c r="I1046431" s="19"/>
      <c r="J1046431" s="19"/>
      <c r="K1046431" s="19"/>
      <c r="L1046431" s="19"/>
      <c r="M1046431" s="19"/>
      <c r="N1046431" s="19"/>
    </row>
    <row r="1046432" spans="1:14" s="83" customFormat="1" ht="12.75">
      <c r="A1046432" s="19"/>
      <c r="B1046432" s="19"/>
      <c r="C1046432" s="19"/>
      <c r="D1046432" s="19"/>
      <c r="E1046432" s="19"/>
      <c r="F1046432" s="19"/>
      <c r="G1046432" s="19"/>
      <c r="H1046432" s="19"/>
      <c r="I1046432" s="19"/>
      <c r="J1046432" s="19"/>
      <c r="K1046432" s="19"/>
      <c r="L1046432" s="19"/>
      <c r="M1046432" s="19"/>
      <c r="N1046432" s="19"/>
    </row>
    <row r="1046433" spans="1:14" s="83" customFormat="1" ht="12.75">
      <c r="A1046433" s="19"/>
      <c r="B1046433" s="19"/>
      <c r="C1046433" s="19"/>
      <c r="D1046433" s="19"/>
      <c r="E1046433" s="19"/>
      <c r="F1046433" s="19"/>
      <c r="G1046433" s="19"/>
      <c r="H1046433" s="19"/>
      <c r="I1046433" s="19"/>
      <c r="J1046433" s="19"/>
      <c r="K1046433" s="19"/>
      <c r="L1046433" s="19"/>
      <c r="M1046433" s="19"/>
      <c r="N1046433" s="19"/>
    </row>
    <row r="1046434" spans="1:14" s="83" customFormat="1" ht="12.75">
      <c r="A1046434" s="19"/>
      <c r="B1046434" s="19"/>
      <c r="C1046434" s="19"/>
      <c r="D1046434" s="19"/>
      <c r="E1046434" s="19"/>
      <c r="F1046434" s="19"/>
      <c r="G1046434" s="19"/>
      <c r="H1046434" s="19"/>
      <c r="I1046434" s="19"/>
      <c r="J1046434" s="19"/>
      <c r="K1046434" s="19"/>
      <c r="L1046434" s="19"/>
      <c r="M1046434" s="19"/>
      <c r="N1046434" s="19"/>
    </row>
    <row r="1046435" spans="1:14" s="83" customFormat="1" ht="12.75">
      <c r="A1046435" s="19"/>
      <c r="B1046435" s="19"/>
      <c r="C1046435" s="19"/>
      <c r="D1046435" s="19"/>
      <c r="E1046435" s="19"/>
      <c r="F1046435" s="19"/>
      <c r="G1046435" s="19"/>
      <c r="H1046435" s="19"/>
      <c r="I1046435" s="19"/>
      <c r="J1046435" s="19"/>
      <c r="K1046435" s="19"/>
      <c r="L1046435" s="19"/>
      <c r="M1046435" s="19"/>
      <c r="N1046435" s="19"/>
    </row>
    <row r="1046436" spans="1:14" s="83" customFormat="1" ht="12.75">
      <c r="A1046436" s="19"/>
      <c r="B1046436" s="19"/>
      <c r="C1046436" s="19"/>
      <c r="D1046436" s="19"/>
      <c r="E1046436" s="19"/>
      <c r="F1046436" s="19"/>
      <c r="G1046436" s="19"/>
      <c r="H1046436" s="19"/>
      <c r="I1046436" s="19"/>
      <c r="J1046436" s="19"/>
      <c r="K1046436" s="19"/>
      <c r="L1046436" s="19"/>
      <c r="M1046436" s="19"/>
      <c r="N1046436" s="19"/>
    </row>
    <row r="1046437" spans="1:14" s="83" customFormat="1" ht="12.75">
      <c r="A1046437" s="19"/>
      <c r="B1046437" s="19"/>
      <c r="C1046437" s="19"/>
      <c r="D1046437" s="19"/>
      <c r="E1046437" s="19"/>
      <c r="F1046437" s="19"/>
      <c r="G1046437" s="19"/>
      <c r="H1046437" s="19"/>
      <c r="I1046437" s="19"/>
      <c r="J1046437" s="19"/>
      <c r="K1046437" s="19"/>
      <c r="L1046437" s="19"/>
      <c r="M1046437" s="19"/>
      <c r="N1046437" s="19"/>
    </row>
    <row r="1046438" spans="1:14" s="83" customFormat="1" ht="12.75">
      <c r="A1046438" s="19"/>
      <c r="B1046438" s="19"/>
      <c r="C1046438" s="19"/>
      <c r="D1046438" s="19"/>
      <c r="E1046438" s="19"/>
      <c r="F1046438" s="19"/>
      <c r="G1046438" s="19"/>
      <c r="H1046438" s="19"/>
      <c r="I1046438" s="19"/>
      <c r="J1046438" s="19"/>
      <c r="K1046438" s="19"/>
      <c r="L1046438" s="19"/>
      <c r="M1046438" s="19"/>
      <c r="N1046438" s="19"/>
    </row>
    <row r="1046439" spans="1:14" s="83" customFormat="1" ht="12.75">
      <c r="A1046439" s="19"/>
      <c r="B1046439" s="19"/>
      <c r="C1046439" s="19"/>
      <c r="D1046439" s="19"/>
      <c r="E1046439" s="19"/>
      <c r="F1046439" s="19"/>
      <c r="G1046439" s="19"/>
      <c r="H1046439" s="19"/>
      <c r="I1046439" s="19"/>
      <c r="J1046439" s="19"/>
      <c r="K1046439" s="19"/>
      <c r="L1046439" s="19"/>
      <c r="M1046439" s="19"/>
      <c r="N1046439" s="19"/>
    </row>
    <row r="1046440" spans="1:14" s="83" customFormat="1" ht="12.75">
      <c r="A1046440" s="19"/>
      <c r="B1046440" s="19"/>
      <c r="C1046440" s="19"/>
      <c r="D1046440" s="19"/>
      <c r="E1046440" s="19"/>
      <c r="F1046440" s="19"/>
      <c r="G1046440" s="19"/>
      <c r="H1046440" s="19"/>
      <c r="I1046440" s="19"/>
      <c r="J1046440" s="19"/>
      <c r="K1046440" s="19"/>
      <c r="L1046440" s="19"/>
      <c r="M1046440" s="19"/>
      <c r="N1046440" s="19"/>
    </row>
    <row r="1046441" spans="1:14" s="83" customFormat="1" ht="12.75">
      <c r="A1046441" s="19"/>
      <c r="B1046441" s="19"/>
      <c r="C1046441" s="19"/>
      <c r="D1046441" s="19"/>
      <c r="E1046441" s="19"/>
      <c r="F1046441" s="19"/>
      <c r="G1046441" s="19"/>
      <c r="H1046441" s="19"/>
      <c r="I1046441" s="19"/>
      <c r="J1046441" s="19"/>
      <c r="K1046441" s="19"/>
      <c r="L1046441" s="19"/>
      <c r="M1046441" s="19"/>
      <c r="N1046441" s="19"/>
    </row>
    <row r="1046442" spans="1:14" s="83" customFormat="1" ht="12.75">
      <c r="A1046442" s="19"/>
      <c r="B1046442" s="19"/>
      <c r="C1046442" s="19"/>
      <c r="D1046442" s="19"/>
      <c r="E1046442" s="19"/>
      <c r="F1046442" s="19"/>
      <c r="G1046442" s="19"/>
      <c r="H1046442" s="19"/>
      <c r="I1046442" s="19"/>
      <c r="J1046442" s="19"/>
      <c r="K1046442" s="19"/>
      <c r="L1046442" s="19"/>
      <c r="M1046442" s="19"/>
      <c r="N1046442" s="19"/>
    </row>
    <row r="1046443" spans="1:14" s="83" customFormat="1" ht="12.75">
      <c r="A1046443" s="19"/>
      <c r="B1046443" s="19"/>
      <c r="C1046443" s="19"/>
      <c r="D1046443" s="19"/>
      <c r="E1046443" s="19"/>
      <c r="F1046443" s="19"/>
      <c r="G1046443" s="19"/>
      <c r="H1046443" s="19"/>
      <c r="I1046443" s="19"/>
      <c r="J1046443" s="19"/>
      <c r="K1046443" s="19"/>
      <c r="L1046443" s="19"/>
      <c r="M1046443" s="19"/>
      <c r="N1046443" s="19"/>
    </row>
    <row r="1046444" spans="1:14" s="83" customFormat="1" ht="12.75">
      <c r="A1046444" s="19"/>
      <c r="B1046444" s="19"/>
      <c r="C1046444" s="19"/>
      <c r="D1046444" s="19"/>
      <c r="E1046444" s="19"/>
      <c r="F1046444" s="19"/>
      <c r="G1046444" s="19"/>
      <c r="H1046444" s="19"/>
      <c r="I1046444" s="19"/>
      <c r="J1046444" s="19"/>
      <c r="K1046444" s="19"/>
      <c r="L1046444" s="19"/>
      <c r="M1046444" s="19"/>
      <c r="N1046444" s="19"/>
    </row>
    <row r="1046445" spans="1:14" s="83" customFormat="1" ht="12.75">
      <c r="A1046445" s="19"/>
      <c r="B1046445" s="19"/>
      <c r="C1046445" s="19"/>
      <c r="D1046445" s="19"/>
      <c r="E1046445" s="19"/>
      <c r="F1046445" s="19"/>
      <c r="G1046445" s="19"/>
      <c r="H1046445" s="19"/>
      <c r="I1046445" s="19"/>
      <c r="J1046445" s="19"/>
      <c r="K1046445" s="19"/>
      <c r="L1046445" s="19"/>
      <c r="M1046445" s="19"/>
      <c r="N1046445" s="19"/>
    </row>
    <row r="1046446" spans="1:14" s="83" customFormat="1" ht="12.75">
      <c r="A1046446" s="19"/>
      <c r="B1046446" s="19"/>
      <c r="C1046446" s="19"/>
      <c r="D1046446" s="19"/>
      <c r="E1046446" s="19"/>
      <c r="F1046446" s="19"/>
      <c r="G1046446" s="19"/>
      <c r="H1046446" s="19"/>
      <c r="I1046446" s="19"/>
      <c r="J1046446" s="19"/>
      <c r="K1046446" s="19"/>
      <c r="L1046446" s="19"/>
      <c r="M1046446" s="19"/>
      <c r="N1046446" s="19"/>
    </row>
    <row r="1046447" spans="1:14" s="83" customFormat="1" ht="12.75">
      <c r="A1046447" s="19"/>
      <c r="B1046447" s="19"/>
      <c r="C1046447" s="19"/>
      <c r="D1046447" s="19"/>
      <c r="E1046447" s="19"/>
      <c r="F1046447" s="19"/>
      <c r="G1046447" s="19"/>
      <c r="H1046447" s="19"/>
      <c r="I1046447" s="19"/>
      <c r="J1046447" s="19"/>
      <c r="K1046447" s="19"/>
      <c r="L1046447" s="19"/>
      <c r="M1046447" s="19"/>
      <c r="N1046447" s="19"/>
    </row>
    <row r="1046448" spans="1:14" s="83" customFormat="1" ht="12.75">
      <c r="A1046448" s="19"/>
      <c r="B1046448" s="19"/>
      <c r="C1046448" s="19"/>
      <c r="D1046448" s="19"/>
      <c r="E1046448" s="19"/>
      <c r="F1046448" s="19"/>
      <c r="G1046448" s="19"/>
      <c r="H1046448" s="19"/>
      <c r="I1046448" s="19"/>
      <c r="J1046448" s="19"/>
      <c r="K1046448" s="19"/>
      <c r="L1046448" s="19"/>
      <c r="M1046448" s="19"/>
      <c r="N1046448" s="19"/>
    </row>
    <row r="1046449" spans="1:14" s="83" customFormat="1" ht="12.75">
      <c r="A1046449" s="19"/>
      <c r="B1046449" s="19"/>
      <c r="C1046449" s="19"/>
      <c r="D1046449" s="19"/>
      <c r="E1046449" s="19"/>
      <c r="F1046449" s="19"/>
      <c r="G1046449" s="19"/>
      <c r="H1046449" s="19"/>
      <c r="I1046449" s="19"/>
      <c r="J1046449" s="19"/>
      <c r="K1046449" s="19"/>
      <c r="L1046449" s="19"/>
      <c r="M1046449" s="19"/>
      <c r="N1046449" s="19"/>
    </row>
    <row r="1046450" spans="1:14" s="83" customFormat="1" ht="12.75">
      <c r="A1046450" s="19"/>
      <c r="B1046450" s="19"/>
      <c r="C1046450" s="19"/>
      <c r="D1046450" s="19"/>
      <c r="E1046450" s="19"/>
      <c r="F1046450" s="19"/>
      <c r="G1046450" s="19"/>
      <c r="H1046450" s="19"/>
      <c r="I1046450" s="19"/>
      <c r="J1046450" s="19"/>
      <c r="K1046450" s="19"/>
      <c r="L1046450" s="19"/>
      <c r="M1046450" s="19"/>
      <c r="N1046450" s="19"/>
    </row>
    <row r="1046451" spans="1:14" s="83" customFormat="1" ht="12.75">
      <c r="A1046451" s="19"/>
      <c r="B1046451" s="19"/>
      <c r="C1046451" s="19"/>
      <c r="D1046451" s="19"/>
      <c r="E1046451" s="19"/>
      <c r="F1046451" s="19"/>
      <c r="G1046451" s="19"/>
      <c r="H1046451" s="19"/>
      <c r="I1046451" s="19"/>
      <c r="J1046451" s="19"/>
      <c r="K1046451" s="19"/>
      <c r="L1046451" s="19"/>
      <c r="M1046451" s="19"/>
      <c r="N1046451" s="19"/>
    </row>
    <row r="1046452" spans="1:14" s="83" customFormat="1" ht="12.75">
      <c r="A1046452" s="19"/>
      <c r="B1046452" s="19"/>
      <c r="C1046452" s="19"/>
      <c r="D1046452" s="19"/>
      <c r="E1046452" s="19"/>
      <c r="F1046452" s="19"/>
      <c r="G1046452" s="19"/>
      <c r="H1046452" s="19"/>
      <c r="I1046452" s="19"/>
      <c r="J1046452" s="19"/>
      <c r="K1046452" s="19"/>
      <c r="L1046452" s="19"/>
      <c r="M1046452" s="19"/>
      <c r="N1046452" s="19"/>
    </row>
    <row r="1046453" spans="1:14" s="83" customFormat="1" ht="12.75">
      <c r="A1046453" s="19"/>
      <c r="B1046453" s="19"/>
      <c r="C1046453" s="19"/>
      <c r="D1046453" s="19"/>
      <c r="E1046453" s="19"/>
      <c r="F1046453" s="19"/>
      <c r="G1046453" s="19"/>
      <c r="H1046453" s="19"/>
      <c r="I1046453" s="19"/>
      <c r="J1046453" s="19"/>
      <c r="K1046453" s="19"/>
      <c r="L1046453" s="19"/>
      <c r="M1046453" s="19"/>
      <c r="N1046453" s="19"/>
    </row>
    <row r="1046454" spans="1:14" s="83" customFormat="1" ht="12.75">
      <c r="A1046454" s="19"/>
      <c r="B1046454" s="19"/>
      <c r="C1046454" s="19"/>
      <c r="D1046454" s="19"/>
      <c r="E1046454" s="19"/>
      <c r="F1046454" s="19"/>
      <c r="G1046454" s="19"/>
      <c r="H1046454" s="19"/>
      <c r="I1046454" s="19"/>
      <c r="J1046454" s="19"/>
      <c r="K1046454" s="19"/>
      <c r="L1046454" s="19"/>
      <c r="M1046454" s="19"/>
      <c r="N1046454" s="19"/>
    </row>
    <row r="1046455" spans="1:14" s="83" customFormat="1" ht="12.75">
      <c r="A1046455" s="19"/>
      <c r="B1046455" s="19"/>
      <c r="C1046455" s="19"/>
      <c r="D1046455" s="19"/>
      <c r="E1046455" s="19"/>
      <c r="F1046455" s="19"/>
      <c r="G1046455" s="19"/>
      <c r="H1046455" s="19"/>
      <c r="I1046455" s="19"/>
      <c r="J1046455" s="19"/>
      <c r="K1046455" s="19"/>
      <c r="L1046455" s="19"/>
      <c r="M1046455" s="19"/>
      <c r="N1046455" s="19"/>
    </row>
    <row r="1046456" spans="1:14" s="83" customFormat="1" ht="12.75">
      <c r="A1046456" s="19"/>
      <c r="B1046456" s="19"/>
      <c r="C1046456" s="19"/>
      <c r="D1046456" s="19"/>
      <c r="E1046456" s="19"/>
      <c r="F1046456" s="19"/>
      <c r="G1046456" s="19"/>
      <c r="H1046456" s="19"/>
      <c r="I1046456" s="19"/>
      <c r="J1046456" s="19"/>
      <c r="K1046456" s="19"/>
      <c r="L1046456" s="19"/>
      <c r="M1046456" s="19"/>
      <c r="N1046456" s="19"/>
    </row>
    <row r="1046457" spans="1:14" s="83" customFormat="1" ht="12.75">
      <c r="A1046457" s="19"/>
      <c r="B1046457" s="19"/>
      <c r="C1046457" s="19"/>
      <c r="D1046457" s="19"/>
      <c r="E1046457" s="19"/>
      <c r="F1046457" s="19"/>
      <c r="G1046457" s="19"/>
      <c r="H1046457" s="19"/>
      <c r="I1046457" s="19"/>
      <c r="J1046457" s="19"/>
      <c r="K1046457" s="19"/>
      <c r="L1046457" s="19"/>
      <c r="M1046457" s="19"/>
      <c r="N1046457" s="19"/>
    </row>
    <row r="1046458" spans="1:14" s="83" customFormat="1" ht="12.75">
      <c r="A1046458" s="19"/>
      <c r="B1046458" s="19"/>
      <c r="C1046458" s="19"/>
      <c r="D1046458" s="19"/>
      <c r="E1046458" s="19"/>
      <c r="F1046458" s="19"/>
      <c r="G1046458" s="19"/>
      <c r="H1046458" s="19"/>
      <c r="I1046458" s="19"/>
      <c r="J1046458" s="19"/>
      <c r="K1046458" s="19"/>
      <c r="L1046458" s="19"/>
      <c r="M1046458" s="19"/>
      <c r="N1046458" s="19"/>
    </row>
    <row r="1046459" spans="1:14" s="83" customFormat="1" ht="12.75">
      <c r="A1046459" s="19"/>
      <c r="B1046459" s="19"/>
      <c r="C1046459" s="19"/>
      <c r="D1046459" s="19"/>
      <c r="E1046459" s="19"/>
      <c r="F1046459" s="19"/>
      <c r="G1046459" s="19"/>
      <c r="H1046459" s="19"/>
      <c r="I1046459" s="19"/>
      <c r="J1046459" s="19"/>
      <c r="K1046459" s="19"/>
      <c r="L1046459" s="19"/>
      <c r="M1046459" s="19"/>
      <c r="N1046459" s="19"/>
    </row>
    <row r="1046460" spans="1:14" s="83" customFormat="1" ht="12.75">
      <c r="A1046460" s="19"/>
      <c r="B1046460" s="19"/>
      <c r="C1046460" s="19"/>
      <c r="D1046460" s="19"/>
      <c r="E1046460" s="19"/>
      <c r="F1046460" s="19"/>
      <c r="G1046460" s="19"/>
      <c r="H1046460" s="19"/>
      <c r="I1046460" s="19"/>
      <c r="J1046460" s="19"/>
      <c r="K1046460" s="19"/>
      <c r="L1046460" s="19"/>
      <c r="M1046460" s="19"/>
      <c r="N1046460" s="19"/>
    </row>
    <row r="1046461" spans="1:14" s="83" customFormat="1" ht="12.75">
      <c r="A1046461" s="19"/>
      <c r="B1046461" s="19"/>
      <c r="C1046461" s="19"/>
      <c r="D1046461" s="19"/>
      <c r="E1046461" s="19"/>
      <c r="F1046461" s="19"/>
      <c r="G1046461" s="19"/>
      <c r="H1046461" s="19"/>
      <c r="I1046461" s="19"/>
      <c r="J1046461" s="19"/>
      <c r="K1046461" s="19"/>
      <c r="L1046461" s="19"/>
      <c r="M1046461" s="19"/>
      <c r="N1046461" s="19"/>
    </row>
    <row r="1046462" spans="1:14" s="83" customFormat="1" ht="12.75">
      <c r="A1046462" s="19"/>
      <c r="B1046462" s="19"/>
      <c r="C1046462" s="19"/>
      <c r="D1046462" s="19"/>
      <c r="E1046462" s="19"/>
      <c r="F1046462" s="19"/>
      <c r="G1046462" s="19"/>
      <c r="H1046462" s="19"/>
      <c r="I1046462" s="19"/>
      <c r="J1046462" s="19"/>
      <c r="K1046462" s="19"/>
      <c r="L1046462" s="19"/>
      <c r="M1046462" s="19"/>
      <c r="N1046462" s="19"/>
    </row>
    <row r="1046463" spans="1:14" s="83" customFormat="1" ht="12.75">
      <c r="A1046463" s="19"/>
      <c r="B1046463" s="19"/>
      <c r="C1046463" s="19"/>
      <c r="D1046463" s="19"/>
      <c r="E1046463" s="19"/>
      <c r="F1046463" s="19"/>
      <c r="G1046463" s="19"/>
      <c r="H1046463" s="19"/>
      <c r="I1046463" s="19"/>
      <c r="J1046463" s="19"/>
      <c r="K1046463" s="19"/>
      <c r="L1046463" s="19"/>
      <c r="M1046463" s="19"/>
      <c r="N1046463" s="19"/>
    </row>
    <row r="1046464" spans="1:14" s="83" customFormat="1" ht="12.75">
      <c r="A1046464" s="19"/>
      <c r="B1046464" s="19"/>
      <c r="C1046464" s="19"/>
      <c r="D1046464" s="19"/>
      <c r="E1046464" s="19"/>
      <c r="F1046464" s="19"/>
      <c r="G1046464" s="19"/>
      <c r="H1046464" s="19"/>
      <c r="I1046464" s="19"/>
      <c r="J1046464" s="19"/>
      <c r="K1046464" s="19"/>
      <c r="L1046464" s="19"/>
      <c r="M1046464" s="19"/>
      <c r="N1046464" s="19"/>
    </row>
    <row r="1046465" spans="1:14" s="83" customFormat="1" ht="12.75">
      <c r="A1046465" s="19"/>
      <c r="B1046465" s="19"/>
      <c r="C1046465" s="19"/>
      <c r="D1046465" s="19"/>
      <c r="E1046465" s="19"/>
      <c r="F1046465" s="19"/>
      <c r="G1046465" s="19"/>
      <c r="H1046465" s="19"/>
      <c r="I1046465" s="19"/>
      <c r="J1046465" s="19"/>
      <c r="K1046465" s="19"/>
      <c r="L1046465" s="19"/>
      <c r="M1046465" s="19"/>
      <c r="N1046465" s="19"/>
    </row>
    <row r="1046466" spans="1:14" s="83" customFormat="1" ht="12.75">
      <c r="A1046466" s="19"/>
      <c r="B1046466" s="19"/>
      <c r="C1046466" s="19"/>
      <c r="D1046466" s="19"/>
      <c r="E1046466" s="19"/>
      <c r="F1046466" s="19"/>
      <c r="G1046466" s="19"/>
      <c r="H1046466" s="19"/>
      <c r="I1046466" s="19"/>
      <c r="J1046466" s="19"/>
      <c r="K1046466" s="19"/>
      <c r="L1046466" s="19"/>
      <c r="M1046466" s="19"/>
      <c r="N1046466" s="19"/>
    </row>
    <row r="1046467" spans="1:14" s="83" customFormat="1" ht="12.75">
      <c r="A1046467" s="19"/>
      <c r="B1046467" s="19"/>
      <c r="C1046467" s="19"/>
      <c r="D1046467" s="19"/>
      <c r="E1046467" s="19"/>
      <c r="F1046467" s="19"/>
      <c r="G1046467" s="19"/>
      <c r="H1046467" s="19"/>
      <c r="I1046467" s="19"/>
      <c r="J1046467" s="19"/>
      <c r="K1046467" s="19"/>
      <c r="L1046467" s="19"/>
      <c r="M1046467" s="19"/>
      <c r="N1046467" s="19"/>
    </row>
    <row r="1046468" spans="1:14" s="83" customFormat="1" ht="12.75">
      <c r="A1046468" s="19"/>
      <c r="B1046468" s="19"/>
      <c r="C1046468" s="19"/>
      <c r="D1046468" s="19"/>
      <c r="E1046468" s="19"/>
      <c r="F1046468" s="19"/>
      <c r="G1046468" s="19"/>
      <c r="H1046468" s="19"/>
      <c r="I1046468" s="19"/>
      <c r="J1046468" s="19"/>
      <c r="K1046468" s="19"/>
      <c r="L1046468" s="19"/>
      <c r="M1046468" s="19"/>
      <c r="N1046468" s="19"/>
    </row>
    <row r="1046469" spans="1:14" s="83" customFormat="1" ht="12.75">
      <c r="A1046469" s="19"/>
      <c r="B1046469" s="19"/>
      <c r="C1046469" s="19"/>
      <c r="D1046469" s="19"/>
      <c r="E1046469" s="19"/>
      <c r="F1046469" s="19"/>
      <c r="G1046469" s="19"/>
      <c r="H1046469" s="19"/>
      <c r="I1046469" s="19"/>
      <c r="J1046469" s="19"/>
      <c r="K1046469" s="19"/>
      <c r="L1046469" s="19"/>
      <c r="M1046469" s="19"/>
      <c r="N1046469" s="19"/>
    </row>
    <row r="1046470" spans="1:14" s="83" customFormat="1" ht="12.75">
      <c r="A1046470" s="19"/>
      <c r="B1046470" s="19"/>
      <c r="C1046470" s="19"/>
      <c r="D1046470" s="19"/>
      <c r="E1046470" s="19"/>
      <c r="F1046470" s="19"/>
      <c r="G1046470" s="19"/>
      <c r="H1046470" s="19"/>
      <c r="I1046470" s="19"/>
      <c r="J1046470" s="19"/>
      <c r="K1046470" s="19"/>
      <c r="L1046470" s="19"/>
      <c r="M1046470" s="19"/>
      <c r="N1046470" s="19"/>
    </row>
    <row r="1046471" spans="1:14" s="83" customFormat="1" ht="12.75">
      <c r="A1046471" s="19"/>
      <c r="B1046471" s="19"/>
      <c r="C1046471" s="19"/>
      <c r="D1046471" s="19"/>
      <c r="E1046471" s="19"/>
      <c r="F1046471" s="19"/>
      <c r="G1046471" s="19"/>
      <c r="H1046471" s="19"/>
      <c r="I1046471" s="19"/>
      <c r="J1046471" s="19"/>
      <c r="K1046471" s="19"/>
      <c r="L1046471" s="19"/>
      <c r="M1046471" s="19"/>
      <c r="N1046471" s="19"/>
    </row>
    <row r="1046472" spans="1:14" s="83" customFormat="1" ht="12.75">
      <c r="A1046472" s="19"/>
      <c r="B1046472" s="19"/>
      <c r="C1046472" s="19"/>
      <c r="D1046472" s="19"/>
      <c r="E1046472" s="19"/>
      <c r="F1046472" s="19"/>
      <c r="G1046472" s="19"/>
      <c r="H1046472" s="19"/>
      <c r="I1046472" s="19"/>
      <c r="J1046472" s="19"/>
      <c r="K1046472" s="19"/>
      <c r="L1046472" s="19"/>
      <c r="M1046472" s="19"/>
      <c r="N1046472" s="19"/>
    </row>
    <row r="1046473" spans="1:14" s="83" customFormat="1" ht="12.75">
      <c r="A1046473" s="19"/>
      <c r="B1046473" s="19"/>
      <c r="C1046473" s="19"/>
      <c r="D1046473" s="19"/>
      <c r="E1046473" s="19"/>
      <c r="F1046473" s="19"/>
      <c r="G1046473" s="19"/>
      <c r="H1046473" s="19"/>
      <c r="I1046473" s="19"/>
      <c r="J1046473" s="19"/>
      <c r="K1046473" s="19"/>
      <c r="L1046473" s="19"/>
      <c r="M1046473" s="19"/>
      <c r="N1046473" s="19"/>
    </row>
    <row r="1046474" spans="1:14" s="83" customFormat="1" ht="12.75">
      <c r="A1046474" s="19"/>
      <c r="B1046474" s="19"/>
      <c r="C1046474" s="19"/>
      <c r="D1046474" s="19"/>
      <c r="E1046474" s="19"/>
      <c r="F1046474" s="19"/>
      <c r="G1046474" s="19"/>
      <c r="H1046474" s="19"/>
      <c r="I1046474" s="19"/>
      <c r="J1046474" s="19"/>
      <c r="K1046474" s="19"/>
      <c r="L1046474" s="19"/>
      <c r="M1046474" s="19"/>
      <c r="N1046474" s="19"/>
    </row>
    <row r="1046475" spans="1:14" s="83" customFormat="1" ht="12.75">
      <c r="A1046475" s="19"/>
      <c r="B1046475" s="19"/>
      <c r="C1046475" s="19"/>
      <c r="D1046475" s="19"/>
      <c r="E1046475" s="19"/>
      <c r="F1046475" s="19"/>
      <c r="G1046475" s="19"/>
      <c r="H1046475" s="19"/>
      <c r="I1046475" s="19"/>
      <c r="J1046475" s="19"/>
      <c r="K1046475" s="19"/>
      <c r="L1046475" s="19"/>
      <c r="M1046475" s="19"/>
      <c r="N1046475" s="19"/>
    </row>
    <row r="1046476" spans="1:14" s="83" customFormat="1" ht="12.75">
      <c r="A1046476" s="19"/>
      <c r="B1046476" s="19"/>
      <c r="C1046476" s="19"/>
      <c r="D1046476" s="19"/>
      <c r="E1046476" s="19"/>
      <c r="F1046476" s="19"/>
      <c r="G1046476" s="19"/>
      <c r="H1046476" s="19"/>
      <c r="I1046476" s="19"/>
      <c r="J1046476" s="19"/>
      <c r="K1046476" s="19"/>
      <c r="L1046476" s="19"/>
      <c r="M1046476" s="19"/>
      <c r="N1046476" s="19"/>
    </row>
    <row r="1046477" spans="1:14" s="83" customFormat="1" ht="12.75">
      <c r="A1046477" s="19"/>
      <c r="B1046477" s="19"/>
      <c r="C1046477" s="19"/>
      <c r="D1046477" s="19"/>
      <c r="E1046477" s="19"/>
      <c r="F1046477" s="19"/>
      <c r="G1046477" s="19"/>
      <c r="H1046477" s="19"/>
      <c r="I1046477" s="19"/>
      <c r="J1046477" s="19"/>
      <c r="K1046477" s="19"/>
      <c r="L1046477" s="19"/>
      <c r="M1046477" s="19"/>
      <c r="N1046477" s="19"/>
    </row>
    <row r="1046478" spans="1:14" s="83" customFormat="1" ht="12.75">
      <c r="A1046478" s="19"/>
      <c r="B1046478" s="19"/>
      <c r="C1046478" s="19"/>
      <c r="D1046478" s="19"/>
      <c r="E1046478" s="19"/>
      <c r="F1046478" s="19"/>
      <c r="G1046478" s="19"/>
      <c r="H1046478" s="19"/>
      <c r="I1046478" s="19"/>
      <c r="J1046478" s="19"/>
      <c r="K1046478" s="19"/>
      <c r="L1046478" s="19"/>
      <c r="M1046478" s="19"/>
      <c r="N1046478" s="19"/>
    </row>
    <row r="1046479" spans="1:14" s="83" customFormat="1" ht="12.75">
      <c r="A1046479" s="19"/>
      <c r="B1046479" s="19"/>
      <c r="C1046479" s="19"/>
      <c r="D1046479" s="19"/>
      <c r="E1046479" s="19"/>
      <c r="F1046479" s="19"/>
      <c r="G1046479" s="19"/>
      <c r="H1046479" s="19"/>
      <c r="I1046479" s="19"/>
      <c r="J1046479" s="19"/>
      <c r="K1046479" s="19"/>
      <c r="L1046479" s="19"/>
      <c r="M1046479" s="19"/>
      <c r="N1046479" s="19"/>
    </row>
    <row r="1046480" spans="1:14" s="83" customFormat="1" ht="12.75">
      <c r="A1046480" s="19"/>
      <c r="B1046480" s="19"/>
      <c r="C1046480" s="19"/>
      <c r="D1046480" s="19"/>
      <c r="E1046480" s="19"/>
      <c r="F1046480" s="19"/>
      <c r="G1046480" s="19"/>
      <c r="H1046480" s="19"/>
      <c r="I1046480" s="19"/>
      <c r="J1046480" s="19"/>
      <c r="K1046480" s="19"/>
      <c r="L1046480" s="19"/>
      <c r="M1046480" s="19"/>
      <c r="N1046480" s="19"/>
    </row>
    <row r="1046481" spans="1:14" s="83" customFormat="1" ht="12.75">
      <c r="A1046481" s="19"/>
      <c r="B1046481" s="19"/>
      <c r="C1046481" s="19"/>
      <c r="D1046481" s="19"/>
      <c r="E1046481" s="19"/>
      <c r="F1046481" s="19"/>
      <c r="G1046481" s="19"/>
      <c r="H1046481" s="19"/>
      <c r="I1046481" s="19"/>
      <c r="J1046481" s="19"/>
      <c r="K1046481" s="19"/>
      <c r="L1046481" s="19"/>
      <c r="M1046481" s="19"/>
      <c r="N1046481" s="19"/>
    </row>
    <row r="1046482" spans="1:14" s="83" customFormat="1" ht="12.75">
      <c r="A1046482" s="19"/>
      <c r="B1046482" s="19"/>
      <c r="C1046482" s="19"/>
      <c r="D1046482" s="19"/>
      <c r="E1046482" s="19"/>
      <c r="F1046482" s="19"/>
      <c r="G1046482" s="19"/>
      <c r="H1046482" s="19"/>
      <c r="I1046482" s="19"/>
      <c r="J1046482" s="19"/>
      <c r="K1046482" s="19"/>
      <c r="L1046482" s="19"/>
      <c r="M1046482" s="19"/>
      <c r="N1046482" s="19"/>
    </row>
    <row r="1046483" spans="1:14" s="83" customFormat="1" ht="12.75">
      <c r="A1046483" s="19"/>
      <c r="B1046483" s="19"/>
      <c r="C1046483" s="19"/>
      <c r="D1046483" s="19"/>
      <c r="E1046483" s="19"/>
      <c r="F1046483" s="19"/>
      <c r="G1046483" s="19"/>
      <c r="H1046483" s="19"/>
      <c r="I1046483" s="19"/>
      <c r="J1046483" s="19"/>
      <c r="K1046483" s="19"/>
      <c r="L1046483" s="19"/>
      <c r="M1046483" s="19"/>
      <c r="N1046483" s="19"/>
    </row>
    <row r="1046484" spans="1:14" s="83" customFormat="1" ht="12.75">
      <c r="A1046484" s="19"/>
      <c r="B1046484" s="19"/>
      <c r="C1046484" s="19"/>
      <c r="D1046484" s="19"/>
      <c r="E1046484" s="19"/>
      <c r="F1046484" s="19"/>
      <c r="G1046484" s="19"/>
      <c r="H1046484" s="19"/>
      <c r="I1046484" s="19"/>
      <c r="J1046484" s="19"/>
      <c r="K1046484" s="19"/>
      <c r="L1046484" s="19"/>
      <c r="M1046484" s="19"/>
      <c r="N1046484" s="19"/>
    </row>
    <row r="1046485" spans="1:14" s="83" customFormat="1" ht="12.75">
      <c r="A1046485" s="19"/>
      <c r="B1046485" s="19"/>
      <c r="C1046485" s="19"/>
      <c r="D1046485" s="19"/>
      <c r="E1046485" s="19"/>
      <c r="F1046485" s="19"/>
      <c r="G1046485" s="19"/>
      <c r="H1046485" s="19"/>
      <c r="I1046485" s="19"/>
      <c r="J1046485" s="19"/>
      <c r="K1046485" s="19"/>
      <c r="L1046485" s="19"/>
      <c r="M1046485" s="19"/>
      <c r="N1046485" s="19"/>
    </row>
    <row r="1046486" spans="1:14" s="83" customFormat="1" ht="12.75">
      <c r="A1046486" s="19"/>
      <c r="B1046486" s="19"/>
      <c r="C1046486" s="19"/>
      <c r="D1046486" s="19"/>
      <c r="E1046486" s="19"/>
      <c r="F1046486" s="19"/>
      <c r="G1046486" s="19"/>
      <c r="H1046486" s="19"/>
      <c r="I1046486" s="19"/>
      <c r="J1046486" s="19"/>
      <c r="K1046486" s="19"/>
      <c r="L1046486" s="19"/>
      <c r="M1046486" s="19"/>
      <c r="N1046486" s="19"/>
    </row>
    <row r="1046487" spans="1:14" s="83" customFormat="1" ht="12.75">
      <c r="A1046487" s="19"/>
      <c r="B1046487" s="19"/>
      <c r="C1046487" s="19"/>
      <c r="D1046487" s="19"/>
      <c r="E1046487" s="19"/>
      <c r="F1046487" s="19"/>
      <c r="G1046487" s="19"/>
      <c r="H1046487" s="19"/>
      <c r="I1046487" s="19"/>
      <c r="J1046487" s="19"/>
      <c r="K1046487" s="19"/>
      <c r="L1046487" s="19"/>
      <c r="M1046487" s="19"/>
      <c r="N1046487" s="19"/>
    </row>
    <row r="1046488" spans="1:14" s="83" customFormat="1" ht="12.75">
      <c r="A1046488" s="19"/>
      <c r="B1046488" s="19"/>
      <c r="C1046488" s="19"/>
      <c r="D1046488" s="19"/>
      <c r="E1046488" s="19"/>
      <c r="F1046488" s="19"/>
      <c r="G1046488" s="19"/>
      <c r="H1046488" s="19"/>
      <c r="I1046488" s="19"/>
      <c r="J1046488" s="19"/>
      <c r="K1046488" s="19"/>
      <c r="L1046488" s="19"/>
      <c r="M1046488" s="19"/>
      <c r="N1046488" s="19"/>
    </row>
    <row r="1046489" spans="1:14" s="83" customFormat="1" ht="12.75">
      <c r="A1046489" s="19"/>
      <c r="B1046489" s="19"/>
      <c r="C1046489" s="19"/>
      <c r="D1046489" s="19"/>
      <c r="E1046489" s="19"/>
      <c r="F1046489" s="19"/>
      <c r="G1046489" s="19"/>
      <c r="H1046489" s="19"/>
      <c r="I1046489" s="19"/>
      <c r="J1046489" s="19"/>
      <c r="K1046489" s="19"/>
      <c r="L1046489" s="19"/>
      <c r="M1046489" s="19"/>
      <c r="N1046489" s="19"/>
    </row>
    <row r="1046490" spans="1:14" s="83" customFormat="1" ht="12.75">
      <c r="A1046490" s="19"/>
      <c r="B1046490" s="19"/>
      <c r="C1046490" s="19"/>
      <c r="D1046490" s="19"/>
      <c r="E1046490" s="19"/>
      <c r="F1046490" s="19"/>
      <c r="G1046490" s="19"/>
      <c r="H1046490" s="19"/>
      <c r="I1046490" s="19"/>
      <c r="J1046490" s="19"/>
      <c r="K1046490" s="19"/>
      <c r="L1046490" s="19"/>
      <c r="M1046490" s="19"/>
      <c r="N1046490" s="19"/>
    </row>
    <row r="1046491" spans="1:14" s="83" customFormat="1" ht="12.75">
      <c r="A1046491" s="19"/>
      <c r="B1046491" s="19"/>
      <c r="C1046491" s="19"/>
      <c r="D1046491" s="19"/>
      <c r="E1046491" s="19"/>
      <c r="F1046491" s="19"/>
      <c r="G1046491" s="19"/>
      <c r="H1046491" s="19"/>
      <c r="I1046491" s="19"/>
      <c r="J1046491" s="19"/>
      <c r="K1046491" s="19"/>
      <c r="L1046491" s="19"/>
      <c r="M1046491" s="19"/>
      <c r="N1046491" s="19"/>
    </row>
    <row r="1046492" spans="1:14" s="83" customFormat="1" ht="12.75">
      <c r="A1046492" s="19"/>
      <c r="B1046492" s="19"/>
      <c r="C1046492" s="19"/>
      <c r="D1046492" s="19"/>
      <c r="E1046492" s="19"/>
      <c r="F1046492" s="19"/>
      <c r="G1046492" s="19"/>
      <c r="H1046492" s="19"/>
      <c r="I1046492" s="19"/>
      <c r="J1046492" s="19"/>
      <c r="K1046492" s="19"/>
      <c r="L1046492" s="19"/>
      <c r="M1046492" s="19"/>
      <c r="N1046492" s="19"/>
    </row>
    <row r="1046493" spans="1:14" s="83" customFormat="1" ht="12.75">
      <c r="A1046493" s="19"/>
      <c r="B1046493" s="19"/>
      <c r="C1046493" s="19"/>
      <c r="D1046493" s="19"/>
      <c r="E1046493" s="19"/>
      <c r="F1046493" s="19"/>
      <c r="G1046493" s="19"/>
      <c r="H1046493" s="19"/>
      <c r="I1046493" s="19"/>
      <c r="J1046493" s="19"/>
      <c r="K1046493" s="19"/>
      <c r="L1046493" s="19"/>
      <c r="M1046493" s="19"/>
      <c r="N1046493" s="19"/>
    </row>
    <row r="1046494" spans="1:14" s="83" customFormat="1" ht="12.75">
      <c r="A1046494" s="19"/>
      <c r="B1046494" s="19"/>
      <c r="C1046494" s="19"/>
      <c r="D1046494" s="19"/>
      <c r="E1046494" s="19"/>
      <c r="F1046494" s="19"/>
      <c r="G1046494" s="19"/>
      <c r="H1046494" s="19"/>
      <c r="I1046494" s="19"/>
      <c r="J1046494" s="19"/>
      <c r="K1046494" s="19"/>
      <c r="L1046494" s="19"/>
      <c r="M1046494" s="19"/>
      <c r="N1046494" s="19"/>
    </row>
    <row r="1046495" spans="1:14" s="83" customFormat="1" ht="12.75">
      <c r="A1046495" s="19"/>
      <c r="B1046495" s="19"/>
      <c r="C1046495" s="19"/>
      <c r="D1046495" s="19"/>
      <c r="E1046495" s="19"/>
      <c r="F1046495" s="19"/>
      <c r="G1046495" s="19"/>
      <c r="H1046495" s="19"/>
      <c r="I1046495" s="19"/>
      <c r="J1046495" s="19"/>
      <c r="K1046495" s="19"/>
      <c r="L1046495" s="19"/>
      <c r="M1046495" s="19"/>
      <c r="N1046495" s="19"/>
    </row>
    <row r="1046496" spans="1:14" s="83" customFormat="1" ht="12.75">
      <c r="A1046496" s="19"/>
      <c r="B1046496" s="19"/>
      <c r="C1046496" s="19"/>
      <c r="D1046496" s="19"/>
      <c r="E1046496" s="19"/>
      <c r="F1046496" s="19"/>
      <c r="G1046496" s="19"/>
      <c r="H1046496" s="19"/>
      <c r="I1046496" s="19"/>
      <c r="J1046496" s="19"/>
      <c r="K1046496" s="19"/>
      <c r="L1046496" s="19"/>
      <c r="M1046496" s="19"/>
      <c r="N1046496" s="19"/>
    </row>
    <row r="1046497" spans="1:14" s="83" customFormat="1" ht="12.75">
      <c r="A1046497" s="19"/>
      <c r="B1046497" s="19"/>
      <c r="C1046497" s="19"/>
      <c r="D1046497" s="19"/>
      <c r="E1046497" s="19"/>
      <c r="F1046497" s="19"/>
      <c r="G1046497" s="19"/>
      <c r="H1046497" s="19"/>
      <c r="I1046497" s="19"/>
      <c r="J1046497" s="19"/>
      <c r="K1046497" s="19"/>
      <c r="L1046497" s="19"/>
      <c r="M1046497" s="19"/>
      <c r="N1046497" s="19"/>
    </row>
    <row r="1046498" spans="1:14" s="83" customFormat="1" ht="12.75">
      <c r="A1046498" s="19"/>
      <c r="B1046498" s="19"/>
      <c r="C1046498" s="19"/>
      <c r="D1046498" s="19"/>
      <c r="E1046498" s="19"/>
      <c r="F1046498" s="19"/>
      <c r="G1046498" s="19"/>
      <c r="H1046498" s="19"/>
      <c r="I1046498" s="19"/>
      <c r="J1046498" s="19"/>
      <c r="K1046498" s="19"/>
      <c r="L1046498" s="19"/>
      <c r="M1046498" s="19"/>
      <c r="N1046498" s="19"/>
    </row>
    <row r="1046499" spans="1:14" s="83" customFormat="1" ht="12.75">
      <c r="A1046499" s="19"/>
      <c r="B1046499" s="19"/>
      <c r="C1046499" s="19"/>
      <c r="D1046499" s="19"/>
      <c r="E1046499" s="19"/>
      <c r="F1046499" s="19"/>
      <c r="G1046499" s="19"/>
      <c r="H1046499" s="19"/>
      <c r="I1046499" s="19"/>
      <c r="J1046499" s="19"/>
      <c r="K1046499" s="19"/>
      <c r="L1046499" s="19"/>
      <c r="M1046499" s="19"/>
      <c r="N1046499" s="19"/>
    </row>
    <row r="1046500" spans="1:14" s="83" customFormat="1" ht="12.75">
      <c r="A1046500" s="19"/>
      <c r="B1046500" s="19"/>
      <c r="C1046500" s="19"/>
      <c r="D1046500" s="19"/>
      <c r="E1046500" s="19"/>
      <c r="F1046500" s="19"/>
      <c r="G1046500" s="19"/>
      <c r="H1046500" s="19"/>
      <c r="I1046500" s="19"/>
      <c r="J1046500" s="19"/>
      <c r="K1046500" s="19"/>
      <c r="L1046500" s="19"/>
      <c r="M1046500" s="19"/>
      <c r="N1046500" s="19"/>
    </row>
    <row r="1046501" spans="1:14" s="83" customFormat="1" ht="12.75">
      <c r="A1046501" s="19"/>
      <c r="B1046501" s="19"/>
      <c r="C1046501" s="19"/>
      <c r="D1046501" s="19"/>
      <c r="E1046501" s="19"/>
      <c r="F1046501" s="19"/>
      <c r="G1046501" s="19"/>
      <c r="H1046501" s="19"/>
      <c r="I1046501" s="19"/>
      <c r="J1046501" s="19"/>
      <c r="K1046501" s="19"/>
      <c r="L1046501" s="19"/>
      <c r="M1046501" s="19"/>
      <c r="N1046501" s="19"/>
    </row>
    <row r="1046502" spans="1:14" s="83" customFormat="1" ht="12.75">
      <c r="A1046502" s="19"/>
      <c r="B1046502" s="19"/>
      <c r="C1046502" s="19"/>
      <c r="D1046502" s="19"/>
      <c r="E1046502" s="19"/>
      <c r="F1046502" s="19"/>
      <c r="G1046502" s="19"/>
      <c r="H1046502" s="19"/>
      <c r="I1046502" s="19"/>
      <c r="J1046502" s="19"/>
      <c r="K1046502" s="19"/>
      <c r="L1046502" s="19"/>
      <c r="M1046502" s="19"/>
      <c r="N1046502" s="19"/>
    </row>
    <row r="1046503" spans="1:14" s="83" customFormat="1" ht="12.75">
      <c r="A1046503" s="19"/>
      <c r="B1046503" s="19"/>
      <c r="C1046503" s="19"/>
      <c r="D1046503" s="19"/>
      <c r="E1046503" s="19"/>
      <c r="F1046503" s="19"/>
      <c r="G1046503" s="19"/>
      <c r="H1046503" s="19"/>
      <c r="I1046503" s="19"/>
      <c r="J1046503" s="19"/>
      <c r="K1046503" s="19"/>
      <c r="L1046503" s="19"/>
      <c r="M1046503" s="19"/>
      <c r="N1046503" s="19"/>
    </row>
    <row r="1046504" spans="1:14" s="83" customFormat="1" ht="12.75">
      <c r="A1046504" s="19"/>
      <c r="B1046504" s="19"/>
      <c r="C1046504" s="19"/>
      <c r="D1046504" s="19"/>
      <c r="E1046504" s="19"/>
      <c r="F1046504" s="19"/>
      <c r="G1046504" s="19"/>
      <c r="H1046504" s="19"/>
      <c r="I1046504" s="19"/>
      <c r="J1046504" s="19"/>
      <c r="K1046504" s="19"/>
      <c r="L1046504" s="19"/>
      <c r="M1046504" s="19"/>
      <c r="N1046504" s="19"/>
    </row>
    <row r="1046505" spans="1:14" s="83" customFormat="1" ht="12.75">
      <c r="A1046505" s="19"/>
      <c r="B1046505" s="19"/>
      <c r="C1046505" s="19"/>
      <c r="D1046505" s="19"/>
      <c r="E1046505" s="19"/>
      <c r="F1046505" s="19"/>
      <c r="G1046505" s="19"/>
      <c r="H1046505" s="19"/>
      <c r="I1046505" s="19"/>
      <c r="J1046505" s="19"/>
      <c r="K1046505" s="19"/>
      <c r="L1046505" s="19"/>
      <c r="M1046505" s="19"/>
      <c r="N1046505" s="19"/>
    </row>
    <row r="1046506" spans="1:14" s="83" customFormat="1" ht="12.75">
      <c r="A1046506" s="19"/>
      <c r="B1046506" s="19"/>
      <c r="C1046506" s="19"/>
      <c r="D1046506" s="19"/>
      <c r="E1046506" s="19"/>
      <c r="F1046506" s="19"/>
      <c r="G1046506" s="19"/>
      <c r="H1046506" s="19"/>
      <c r="I1046506" s="19"/>
      <c r="J1046506" s="19"/>
      <c r="K1046506" s="19"/>
      <c r="L1046506" s="19"/>
      <c r="M1046506" s="19"/>
      <c r="N1046506" s="19"/>
    </row>
    <row r="1046507" spans="1:14" s="83" customFormat="1" ht="12.75">
      <c r="A1046507" s="19"/>
      <c r="B1046507" s="19"/>
      <c r="C1046507" s="19"/>
      <c r="D1046507" s="19"/>
      <c r="E1046507" s="19"/>
      <c r="F1046507" s="19"/>
      <c r="G1046507" s="19"/>
      <c r="H1046507" s="19"/>
      <c r="I1046507" s="19"/>
      <c r="J1046507" s="19"/>
      <c r="K1046507" s="19"/>
      <c r="L1046507" s="19"/>
      <c r="M1046507" s="19"/>
      <c r="N1046507" s="19"/>
    </row>
    <row r="1046508" spans="1:14" s="83" customFormat="1" ht="12.75">
      <c r="A1046508" s="19"/>
      <c r="B1046508" s="19"/>
      <c r="C1046508" s="19"/>
      <c r="D1046508" s="19"/>
      <c r="E1046508" s="19"/>
      <c r="F1046508" s="19"/>
      <c r="G1046508" s="19"/>
      <c r="H1046508" s="19"/>
      <c r="I1046508" s="19"/>
      <c r="J1046508" s="19"/>
      <c r="K1046508" s="19"/>
      <c r="L1046508" s="19"/>
      <c r="M1046508" s="19"/>
      <c r="N1046508" s="19"/>
    </row>
    <row r="1046509" spans="1:14" s="83" customFormat="1" ht="12.75">
      <c r="A1046509" s="19"/>
      <c r="B1046509" s="19"/>
      <c r="C1046509" s="19"/>
      <c r="D1046509" s="19"/>
      <c r="E1046509" s="19"/>
      <c r="F1046509" s="19"/>
      <c r="G1046509" s="19"/>
      <c r="H1046509" s="19"/>
      <c r="I1046509" s="19"/>
      <c r="J1046509" s="19"/>
      <c r="K1046509" s="19"/>
      <c r="L1046509" s="19"/>
      <c r="M1046509" s="19"/>
      <c r="N1046509" s="19"/>
    </row>
    <row r="1046510" spans="1:14" s="83" customFormat="1" ht="12.75">
      <c r="A1046510" s="19"/>
      <c r="B1046510" s="19"/>
      <c r="C1046510" s="19"/>
      <c r="D1046510" s="19"/>
      <c r="E1046510" s="19"/>
      <c r="F1046510" s="19"/>
      <c r="G1046510" s="19"/>
      <c r="H1046510" s="19"/>
      <c r="I1046510" s="19"/>
      <c r="J1046510" s="19"/>
      <c r="K1046510" s="19"/>
      <c r="L1046510" s="19"/>
      <c r="M1046510" s="19"/>
      <c r="N1046510" s="19"/>
    </row>
    <row r="1046511" spans="1:14" s="83" customFormat="1" ht="12.75">
      <c r="A1046511" s="19"/>
      <c r="B1046511" s="19"/>
      <c r="C1046511" s="19"/>
      <c r="D1046511" s="19"/>
      <c r="E1046511" s="19"/>
      <c r="F1046511" s="19"/>
      <c r="G1046511" s="19"/>
      <c r="H1046511" s="19"/>
      <c r="I1046511" s="19"/>
      <c r="J1046511" s="19"/>
      <c r="K1046511" s="19"/>
      <c r="L1046511" s="19"/>
      <c r="M1046511" s="19"/>
      <c r="N1046511" s="19"/>
    </row>
    <row r="1046512" spans="1:14" s="83" customFormat="1" ht="12.75">
      <c r="A1046512" s="19"/>
      <c r="B1046512" s="19"/>
      <c r="C1046512" s="19"/>
      <c r="D1046512" s="19"/>
      <c r="E1046512" s="19"/>
      <c r="F1046512" s="19"/>
      <c r="G1046512" s="19"/>
      <c r="H1046512" s="19"/>
      <c r="I1046512" s="19"/>
      <c r="J1046512" s="19"/>
      <c r="K1046512" s="19"/>
      <c r="L1046512" s="19"/>
      <c r="M1046512" s="19"/>
      <c r="N1046512" s="19"/>
    </row>
    <row r="1046513" spans="1:14" s="83" customFormat="1" ht="12.75">
      <c r="A1046513" s="19"/>
      <c r="B1046513" s="19"/>
      <c r="C1046513" s="19"/>
      <c r="D1046513" s="19"/>
      <c r="E1046513" s="19"/>
      <c r="F1046513" s="19"/>
      <c r="G1046513" s="19"/>
      <c r="H1046513" s="19"/>
      <c r="I1046513" s="19"/>
      <c r="J1046513" s="19"/>
      <c r="K1046513" s="19"/>
      <c r="L1046513" s="19"/>
      <c r="M1046513" s="19"/>
      <c r="N1046513" s="19"/>
    </row>
    <row r="1046514" spans="1:14" s="83" customFormat="1" ht="12.75">
      <c r="A1046514" s="19"/>
      <c r="B1046514" s="19"/>
      <c r="C1046514" s="19"/>
      <c r="D1046514" s="19"/>
      <c r="E1046514" s="19"/>
      <c r="F1046514" s="19"/>
      <c r="G1046514" s="19"/>
      <c r="H1046514" s="19"/>
      <c r="I1046514" s="19"/>
      <c r="J1046514" s="19"/>
      <c r="K1046514" s="19"/>
      <c r="L1046514" s="19"/>
      <c r="M1046514" s="19"/>
      <c r="N1046514" s="19"/>
    </row>
    <row r="1046515" spans="1:14" s="83" customFormat="1" ht="12.75">
      <c r="A1046515" s="19"/>
      <c r="B1046515" s="19"/>
      <c r="C1046515" s="19"/>
      <c r="D1046515" s="19"/>
      <c r="E1046515" s="19"/>
      <c r="F1046515" s="19"/>
      <c r="G1046515" s="19"/>
      <c r="H1046515" s="19"/>
      <c r="I1046515" s="19"/>
      <c r="J1046515" s="19"/>
      <c r="K1046515" s="19"/>
      <c r="L1046515" s="19"/>
      <c r="M1046515" s="19"/>
      <c r="N1046515" s="19"/>
    </row>
    <row r="1046516" spans="1:14" s="83" customFormat="1" ht="12.75">
      <c r="A1046516" s="19"/>
      <c r="B1046516" s="19"/>
      <c r="C1046516" s="19"/>
      <c r="D1046516" s="19"/>
      <c r="E1046516" s="19"/>
      <c r="F1046516" s="19"/>
      <c r="G1046516" s="19"/>
      <c r="H1046516" s="19"/>
      <c r="I1046516" s="19"/>
      <c r="J1046516" s="19"/>
      <c r="K1046516" s="19"/>
      <c r="L1046516" s="19"/>
      <c r="M1046516" s="19"/>
      <c r="N1046516" s="19"/>
    </row>
    <row r="1046517" spans="1:14" s="83" customFormat="1" ht="12.75">
      <c r="A1046517" s="19"/>
      <c r="B1046517" s="19"/>
      <c r="C1046517" s="19"/>
      <c r="D1046517" s="19"/>
      <c r="E1046517" s="19"/>
      <c r="F1046517" s="19"/>
      <c r="G1046517" s="19"/>
      <c r="H1046517" s="19"/>
      <c r="I1046517" s="19"/>
      <c r="J1046517" s="19"/>
      <c r="K1046517" s="19"/>
      <c r="L1046517" s="19"/>
      <c r="M1046517" s="19"/>
      <c r="N1046517" s="19"/>
    </row>
    <row r="1046518" spans="1:14" s="83" customFormat="1" ht="12.75">
      <c r="A1046518" s="19"/>
      <c r="B1046518" s="19"/>
      <c r="C1046518" s="19"/>
      <c r="D1046518" s="19"/>
      <c r="E1046518" s="19"/>
      <c r="F1046518" s="19"/>
      <c r="G1046518" s="19"/>
      <c r="H1046518" s="19"/>
      <c r="I1046518" s="19"/>
      <c r="J1046518" s="19"/>
      <c r="K1046518" s="19"/>
      <c r="L1046518" s="19"/>
      <c r="M1046518" s="19"/>
      <c r="N1046518" s="19"/>
    </row>
    <row r="1046519" spans="1:14" s="83" customFormat="1" ht="12.75">
      <c r="A1046519" s="19"/>
      <c r="B1046519" s="19"/>
      <c r="C1046519" s="19"/>
      <c r="D1046519" s="19"/>
      <c r="E1046519" s="19"/>
      <c r="F1046519" s="19"/>
      <c r="G1046519" s="19"/>
      <c r="H1046519" s="19"/>
      <c r="I1046519" s="19"/>
      <c r="J1046519" s="19"/>
      <c r="K1046519" s="19"/>
      <c r="L1046519" s="19"/>
      <c r="M1046519" s="19"/>
      <c r="N1046519" s="19"/>
    </row>
    <row r="1046520" spans="1:14" s="83" customFormat="1" ht="12.75">
      <c r="A1046520" s="19"/>
      <c r="B1046520" s="19"/>
      <c r="C1046520" s="19"/>
      <c r="D1046520" s="19"/>
      <c r="E1046520" s="19"/>
      <c r="F1046520" s="19"/>
      <c r="G1046520" s="19"/>
      <c r="H1046520" s="19"/>
      <c r="I1046520" s="19"/>
      <c r="J1046520" s="19"/>
      <c r="K1046520" s="19"/>
      <c r="L1046520" s="19"/>
      <c r="M1046520" s="19"/>
      <c r="N1046520" s="19"/>
    </row>
    <row r="1046521" spans="1:14" s="83" customFormat="1" ht="12.75">
      <c r="A1046521" s="19"/>
      <c r="B1046521" s="19"/>
      <c r="C1046521" s="19"/>
      <c r="D1046521" s="19"/>
      <c r="E1046521" s="19"/>
      <c r="F1046521" s="19"/>
      <c r="G1046521" s="19"/>
      <c r="H1046521" s="19"/>
      <c r="I1046521" s="19"/>
      <c r="J1046521" s="19"/>
      <c r="K1046521" s="19"/>
      <c r="L1046521" s="19"/>
      <c r="M1046521" s="19"/>
      <c r="N1046521" s="19"/>
    </row>
    <row r="1046522" spans="1:14" s="83" customFormat="1" ht="12.75">
      <c r="A1046522" s="19"/>
      <c r="B1046522" s="19"/>
      <c r="C1046522" s="19"/>
      <c r="D1046522" s="19"/>
      <c r="E1046522" s="19"/>
      <c r="F1046522" s="19"/>
      <c r="G1046522" s="19"/>
      <c r="H1046522" s="19"/>
      <c r="I1046522" s="19"/>
      <c r="J1046522" s="19"/>
      <c r="K1046522" s="19"/>
      <c r="L1046522" s="19"/>
      <c r="M1046522" s="19"/>
      <c r="N1046522" s="19"/>
    </row>
    <row r="1046523" spans="1:14" s="83" customFormat="1" ht="12.75">
      <c r="A1046523" s="19"/>
      <c r="B1046523" s="19"/>
      <c r="C1046523" s="19"/>
      <c r="D1046523" s="19"/>
      <c r="E1046523" s="19"/>
      <c r="F1046523" s="19"/>
      <c r="G1046523" s="19"/>
      <c r="H1046523" s="19"/>
      <c r="I1046523" s="19"/>
      <c r="J1046523" s="19"/>
      <c r="K1046523" s="19"/>
      <c r="L1046523" s="19"/>
      <c r="M1046523" s="19"/>
      <c r="N1046523" s="19"/>
    </row>
    <row r="1046524" spans="1:14" s="83" customFormat="1" ht="12.75">
      <c r="A1046524" s="19"/>
      <c r="B1046524" s="19"/>
      <c r="C1046524" s="19"/>
      <c r="D1046524" s="19"/>
      <c r="E1046524" s="19"/>
      <c r="F1046524" s="19"/>
      <c r="G1046524" s="19"/>
      <c r="H1046524" s="19"/>
      <c r="I1046524" s="19"/>
      <c r="J1046524" s="19"/>
      <c r="K1046524" s="19"/>
      <c r="L1046524" s="19"/>
      <c r="M1046524" s="19"/>
      <c r="N1046524" s="19"/>
    </row>
    <row r="1046525" spans="1:14" s="83" customFormat="1" ht="12.75">
      <c r="A1046525" s="19"/>
      <c r="B1046525" s="19"/>
      <c r="C1046525" s="19"/>
      <c r="D1046525" s="19"/>
      <c r="E1046525" s="19"/>
      <c r="F1046525" s="19"/>
      <c r="G1046525" s="19"/>
      <c r="H1046525" s="19"/>
      <c r="I1046525" s="19"/>
      <c r="J1046525" s="19"/>
      <c r="K1046525" s="19"/>
      <c r="L1046525" s="19"/>
      <c r="M1046525" s="19"/>
      <c r="N1046525" s="19"/>
    </row>
    <row r="1046526" spans="1:14" s="83" customFormat="1" ht="12.75">
      <c r="A1046526" s="19"/>
      <c r="B1046526" s="19"/>
      <c r="C1046526" s="19"/>
      <c r="D1046526" s="19"/>
      <c r="E1046526" s="19"/>
      <c r="F1046526" s="19"/>
      <c r="G1046526" s="19"/>
      <c r="H1046526" s="19"/>
      <c r="I1046526" s="19"/>
      <c r="J1046526" s="19"/>
      <c r="K1046526" s="19"/>
      <c r="L1046526" s="19"/>
      <c r="M1046526" s="19"/>
      <c r="N1046526" s="19"/>
    </row>
    <row r="1046527" spans="1:14" s="83" customFormat="1" ht="12.75">
      <c r="A1046527" s="19"/>
      <c r="B1046527" s="19"/>
      <c r="C1046527" s="19"/>
      <c r="D1046527" s="19"/>
      <c r="E1046527" s="19"/>
      <c r="F1046527" s="19"/>
      <c r="G1046527" s="19"/>
      <c r="H1046527" s="19"/>
      <c r="I1046527" s="19"/>
      <c r="J1046527" s="19"/>
      <c r="K1046527" s="19"/>
      <c r="L1046527" s="19"/>
      <c r="M1046527" s="19"/>
      <c r="N1046527" s="19"/>
    </row>
    <row r="1046528" spans="1:14" s="83" customFormat="1" ht="12.75">
      <c r="A1046528" s="19"/>
      <c r="B1046528" s="19"/>
      <c r="C1046528" s="19"/>
      <c r="D1046528" s="19"/>
      <c r="E1046528" s="19"/>
      <c r="F1046528" s="19"/>
      <c r="G1046528" s="19"/>
      <c r="H1046528" s="19"/>
      <c r="I1046528" s="19"/>
      <c r="J1046528" s="19"/>
      <c r="K1046528" s="19"/>
      <c r="L1046528" s="19"/>
      <c r="M1046528" s="19"/>
      <c r="N1046528" s="19"/>
    </row>
    <row r="1046529" spans="1:14" s="83" customFormat="1" ht="12.75">
      <c r="A1046529" s="19"/>
      <c r="B1046529" s="19"/>
      <c r="C1046529" s="19"/>
      <c r="D1046529" s="19"/>
      <c r="E1046529" s="19"/>
      <c r="F1046529" s="19"/>
      <c r="G1046529" s="19"/>
      <c r="H1046529" s="19"/>
      <c r="I1046529" s="19"/>
      <c r="J1046529" s="19"/>
      <c r="K1046529" s="19"/>
      <c r="L1046529" s="19"/>
      <c r="M1046529" s="19"/>
      <c r="N1046529" s="19"/>
    </row>
    <row r="1046530" spans="1:14" s="83" customFormat="1" ht="12.75">
      <c r="A1046530" s="19"/>
      <c r="B1046530" s="19"/>
      <c r="C1046530" s="19"/>
      <c r="D1046530" s="19"/>
      <c r="E1046530" s="19"/>
      <c r="F1046530" s="19"/>
      <c r="G1046530" s="19"/>
      <c r="H1046530" s="19"/>
      <c r="I1046530" s="19"/>
      <c r="J1046530" s="19"/>
      <c r="K1046530" s="19"/>
      <c r="L1046530" s="19"/>
      <c r="M1046530" s="19"/>
      <c r="N1046530" s="19"/>
    </row>
    <row r="1046531" spans="1:14" s="83" customFormat="1" ht="12.75">
      <c r="A1046531" s="19"/>
      <c r="B1046531" s="19"/>
      <c r="C1046531" s="19"/>
      <c r="D1046531" s="19"/>
      <c r="E1046531" s="19"/>
      <c r="F1046531" s="19"/>
      <c r="G1046531" s="19"/>
      <c r="H1046531" s="19"/>
      <c r="I1046531" s="19"/>
      <c r="J1046531" s="19"/>
      <c r="K1046531" s="19"/>
      <c r="L1046531" s="19"/>
      <c r="M1046531" s="19"/>
      <c r="N1046531" s="19"/>
    </row>
    <row r="1046532" spans="1:14" s="83" customFormat="1" ht="12.75">
      <c r="A1046532" s="19"/>
      <c r="B1046532" s="19"/>
      <c r="C1046532" s="19"/>
      <c r="D1046532" s="19"/>
      <c r="E1046532" s="19"/>
      <c r="F1046532" s="19"/>
      <c r="G1046532" s="19"/>
      <c r="H1046532" s="19"/>
      <c r="I1046532" s="19"/>
      <c r="J1046532" s="19"/>
      <c r="K1046532" s="19"/>
      <c r="L1046532" s="19"/>
      <c r="M1046532" s="19"/>
      <c r="N1046532" s="19"/>
    </row>
    <row r="1046533" spans="1:14" s="83" customFormat="1" ht="12.75">
      <c r="A1046533" s="19"/>
      <c r="B1046533" s="19"/>
      <c r="C1046533" s="19"/>
      <c r="D1046533" s="19"/>
      <c r="E1046533" s="19"/>
      <c r="F1046533" s="19"/>
      <c r="G1046533" s="19"/>
      <c r="H1046533" s="19"/>
      <c r="I1046533" s="19"/>
      <c r="J1046533" s="19"/>
      <c r="K1046533" s="19"/>
      <c r="L1046533" s="19"/>
      <c r="M1046533" s="19"/>
      <c r="N1046533" s="19"/>
    </row>
    <row r="1046534" spans="1:14" s="83" customFormat="1" ht="12.75">
      <c r="A1046534" s="19"/>
      <c r="B1046534" s="19"/>
      <c r="C1046534" s="19"/>
      <c r="D1046534" s="19"/>
      <c r="E1046534" s="19"/>
      <c r="F1046534" s="19"/>
      <c r="G1046534" s="19"/>
      <c r="H1046534" s="19"/>
      <c r="I1046534" s="19"/>
      <c r="J1046534" s="19"/>
      <c r="K1046534" s="19"/>
      <c r="L1046534" s="19"/>
      <c r="M1046534" s="19"/>
      <c r="N1046534" s="19"/>
    </row>
    <row r="1046535" spans="1:14" s="83" customFormat="1" ht="12.75">
      <c r="A1046535" s="19"/>
      <c r="B1046535" s="19"/>
      <c r="C1046535" s="19"/>
      <c r="D1046535" s="19"/>
      <c r="E1046535" s="19"/>
      <c r="F1046535" s="19"/>
      <c r="G1046535" s="19"/>
      <c r="H1046535" s="19"/>
      <c r="I1046535" s="19"/>
      <c r="J1046535" s="19"/>
      <c r="K1046535" s="19"/>
      <c r="L1046535" s="19"/>
      <c r="M1046535" s="19"/>
      <c r="N1046535" s="19"/>
    </row>
    <row r="1046536" spans="1:14" s="83" customFormat="1" ht="12.75">
      <c r="A1046536" s="19"/>
      <c r="B1046536" s="19"/>
      <c r="C1046536" s="19"/>
      <c r="D1046536" s="19"/>
      <c r="E1046536" s="19"/>
      <c r="F1046536" s="19"/>
      <c r="G1046536" s="19"/>
      <c r="H1046536" s="19"/>
      <c r="I1046536" s="19"/>
      <c r="J1046536" s="19"/>
      <c r="K1046536" s="19"/>
      <c r="L1046536" s="19"/>
      <c r="M1046536" s="19"/>
      <c r="N1046536" s="19"/>
    </row>
    <row r="1046537" spans="1:14" s="83" customFormat="1" ht="12.75">
      <c r="A1046537" s="19"/>
      <c r="B1046537" s="19"/>
      <c r="C1046537" s="19"/>
      <c r="D1046537" s="19"/>
      <c r="E1046537" s="19"/>
      <c r="F1046537" s="19"/>
      <c r="G1046537" s="19"/>
      <c r="H1046537" s="19"/>
      <c r="I1046537" s="19"/>
      <c r="J1046537" s="19"/>
      <c r="K1046537" s="19"/>
      <c r="L1046537" s="19"/>
      <c r="M1046537" s="19"/>
      <c r="N1046537" s="19"/>
    </row>
    <row r="1046538" spans="1:14" s="83" customFormat="1" ht="12.75">
      <c r="A1046538" s="19"/>
      <c r="B1046538" s="19"/>
      <c r="C1046538" s="19"/>
      <c r="D1046538" s="19"/>
      <c r="E1046538" s="19"/>
      <c r="F1046538" s="19"/>
      <c r="G1046538" s="19"/>
      <c r="H1046538" s="19"/>
      <c r="I1046538" s="19"/>
      <c r="J1046538" s="19"/>
      <c r="K1046538" s="19"/>
      <c r="L1046538" s="19"/>
      <c r="M1046538" s="19"/>
      <c r="N1046538" s="19"/>
    </row>
    <row r="1046539" spans="1:14" s="83" customFormat="1" ht="12.75">
      <c r="A1046539" s="19"/>
      <c r="B1046539" s="19"/>
      <c r="C1046539" s="19"/>
      <c r="D1046539" s="19"/>
      <c r="E1046539" s="19"/>
      <c r="F1046539" s="19"/>
      <c r="G1046539" s="19"/>
      <c r="H1046539" s="19"/>
      <c r="I1046539" s="19"/>
      <c r="J1046539" s="19"/>
      <c r="K1046539" s="19"/>
      <c r="L1046539" s="19"/>
      <c r="M1046539" s="19"/>
      <c r="N1046539" s="19"/>
    </row>
    <row r="1046540" spans="1:14" s="83" customFormat="1" ht="12.75">
      <c r="A1046540" s="19"/>
      <c r="B1046540" s="19"/>
      <c r="C1046540" s="19"/>
      <c r="D1046540" s="19"/>
      <c r="E1046540" s="19"/>
      <c r="F1046540" s="19"/>
      <c r="G1046540" s="19"/>
      <c r="H1046540" s="19"/>
      <c r="I1046540" s="19"/>
      <c r="J1046540" s="19"/>
      <c r="K1046540" s="19"/>
      <c r="L1046540" s="19"/>
      <c r="M1046540" s="19"/>
      <c r="N1046540" s="19"/>
    </row>
    <row r="1046541" spans="1:14" s="83" customFormat="1" ht="12.75">
      <c r="A1046541" s="19"/>
      <c r="B1046541" s="19"/>
      <c r="C1046541" s="19"/>
      <c r="D1046541" s="19"/>
      <c r="E1046541" s="19"/>
      <c r="F1046541" s="19"/>
      <c r="G1046541" s="19"/>
      <c r="H1046541" s="19"/>
      <c r="I1046541" s="19"/>
      <c r="J1046541" s="19"/>
      <c r="K1046541" s="19"/>
      <c r="L1046541" s="19"/>
      <c r="M1046541" s="19"/>
      <c r="N1046541" s="19"/>
    </row>
    <row r="1046542" spans="1:14" s="83" customFormat="1" ht="12.75">
      <c r="A1046542" s="19"/>
      <c r="B1046542" s="19"/>
      <c r="C1046542" s="19"/>
      <c r="D1046542" s="19"/>
      <c r="E1046542" s="19"/>
      <c r="F1046542" s="19"/>
      <c r="G1046542" s="19"/>
      <c r="H1046542" s="19"/>
      <c r="I1046542" s="19"/>
      <c r="J1046542" s="19"/>
      <c r="K1046542" s="19"/>
      <c r="L1046542" s="19"/>
      <c r="M1046542" s="19"/>
      <c r="N1046542" s="19"/>
    </row>
    <row r="1046543" spans="1:14" s="83" customFormat="1" ht="12.75">
      <c r="A1046543" s="19"/>
      <c r="B1046543" s="19"/>
      <c r="C1046543" s="19"/>
      <c r="D1046543" s="19"/>
      <c r="E1046543" s="19"/>
      <c r="F1046543" s="19"/>
      <c r="G1046543" s="19"/>
      <c r="H1046543" s="19"/>
      <c r="I1046543" s="19"/>
      <c r="J1046543" s="19"/>
      <c r="K1046543" s="19"/>
      <c r="L1046543" s="19"/>
      <c r="M1046543" s="19"/>
      <c r="N1046543" s="19"/>
    </row>
    <row r="1046544" spans="1:14" s="83" customFormat="1" ht="12.75">
      <c r="A1046544" s="19"/>
      <c r="B1046544" s="19"/>
      <c r="C1046544" s="19"/>
      <c r="D1046544" s="19"/>
      <c r="E1046544" s="19"/>
      <c r="F1046544" s="19"/>
      <c r="G1046544" s="19"/>
      <c r="H1046544" s="19"/>
      <c r="I1046544" s="19"/>
      <c r="J1046544" s="19"/>
      <c r="K1046544" s="19"/>
      <c r="L1046544" s="19"/>
      <c r="M1046544" s="19"/>
      <c r="N1046544" s="19"/>
    </row>
    <row r="1046545" spans="1:14" s="83" customFormat="1" ht="12.75">
      <c r="A1046545" s="19"/>
      <c r="B1046545" s="19"/>
      <c r="C1046545" s="19"/>
      <c r="D1046545" s="19"/>
      <c r="E1046545" s="19"/>
      <c r="F1046545" s="19"/>
      <c r="G1046545" s="19"/>
      <c r="H1046545" s="19"/>
      <c r="I1046545" s="19"/>
      <c r="J1046545" s="19"/>
      <c r="K1046545" s="19"/>
      <c r="L1046545" s="19"/>
      <c r="M1046545" s="19"/>
      <c r="N1046545" s="19"/>
    </row>
    <row r="1046546" spans="1:14" s="83" customFormat="1" ht="12.75">
      <c r="A1046546" s="19"/>
      <c r="B1046546" s="19"/>
      <c r="C1046546" s="19"/>
      <c r="D1046546" s="19"/>
      <c r="E1046546" s="19"/>
      <c r="F1046546" s="19"/>
      <c r="G1046546" s="19"/>
      <c r="H1046546" s="19"/>
      <c r="I1046546" s="19"/>
      <c r="J1046546" s="19"/>
      <c r="K1046546" s="19"/>
      <c r="L1046546" s="19"/>
      <c r="M1046546" s="19"/>
      <c r="N1046546" s="19"/>
    </row>
    <row r="1046547" spans="1:14" s="83" customFormat="1" ht="12.75">
      <c r="A1046547" s="19"/>
      <c r="B1046547" s="19"/>
      <c r="C1046547" s="19"/>
      <c r="D1046547" s="19"/>
      <c r="E1046547" s="19"/>
      <c r="F1046547" s="19"/>
      <c r="G1046547" s="19"/>
      <c r="H1046547" s="19"/>
      <c r="I1046547" s="19"/>
      <c r="J1046547" s="19"/>
      <c r="K1046547" s="19"/>
      <c r="L1046547" s="19"/>
      <c r="M1046547" s="19"/>
      <c r="N1046547" s="19"/>
    </row>
    <row r="1046548" spans="1:14" s="83" customFormat="1" ht="12.75">
      <c r="A1046548" s="19"/>
      <c r="B1046548" s="19"/>
      <c r="C1046548" s="19"/>
      <c r="D1046548" s="19"/>
      <c r="E1046548" s="19"/>
      <c r="F1046548" s="19"/>
      <c r="G1046548" s="19"/>
      <c r="H1046548" s="19"/>
      <c r="I1046548" s="19"/>
      <c r="J1046548" s="19"/>
      <c r="K1046548" s="19"/>
      <c r="L1046548" s="19"/>
      <c r="M1046548" s="19"/>
      <c r="N1046548" s="19"/>
    </row>
    <row r="1046549" spans="1:14" s="83" customFormat="1" ht="12.75">
      <c r="A1046549" s="19"/>
      <c r="B1046549" s="19"/>
      <c r="C1046549" s="19"/>
      <c r="D1046549" s="19"/>
      <c r="E1046549" s="19"/>
      <c r="F1046549" s="19"/>
      <c r="G1046549" s="19"/>
      <c r="H1046549" s="19"/>
      <c r="I1046549" s="19"/>
      <c r="J1046549" s="19"/>
      <c r="K1046549" s="19"/>
      <c r="L1046549" s="19"/>
      <c r="M1046549" s="19"/>
      <c r="N1046549" s="19"/>
    </row>
    <row r="1046550" spans="1:14" s="83" customFormat="1" ht="12.75">
      <c r="A1046550" s="19"/>
      <c r="B1046550" s="19"/>
      <c r="C1046550" s="19"/>
      <c r="D1046550" s="19"/>
      <c r="E1046550" s="19"/>
      <c r="F1046550" s="19"/>
      <c r="G1046550" s="19"/>
      <c r="H1046550" s="19"/>
      <c r="I1046550" s="19"/>
      <c r="J1046550" s="19"/>
      <c r="K1046550" s="19"/>
      <c r="L1046550" s="19"/>
      <c r="M1046550" s="19"/>
      <c r="N1046550" s="19"/>
    </row>
    <row r="1046551" spans="1:14" s="83" customFormat="1" ht="12.75">
      <c r="A1046551" s="19"/>
      <c r="B1046551" s="19"/>
      <c r="C1046551" s="19"/>
      <c r="D1046551" s="19"/>
      <c r="E1046551" s="19"/>
      <c r="F1046551" s="19"/>
      <c r="G1046551" s="19"/>
      <c r="H1046551" s="19"/>
      <c r="I1046551" s="19"/>
      <c r="J1046551" s="19"/>
      <c r="K1046551" s="19"/>
      <c r="L1046551" s="19"/>
      <c r="M1046551" s="19"/>
      <c r="N1046551" s="19"/>
    </row>
    <row r="1046552" spans="1:14" s="83" customFormat="1" ht="12.75">
      <c r="A1046552" s="19"/>
      <c r="B1046552" s="19"/>
      <c r="C1046552" s="19"/>
      <c r="D1046552" s="19"/>
      <c r="E1046552" s="19"/>
      <c r="F1046552" s="19"/>
      <c r="G1046552" s="19"/>
      <c r="H1046552" s="19"/>
      <c r="I1046552" s="19"/>
      <c r="J1046552" s="19"/>
      <c r="K1046552" s="19"/>
      <c r="L1046552" s="19"/>
      <c r="M1046552" s="19"/>
      <c r="N1046552" s="19"/>
    </row>
    <row r="1046553" spans="1:14" s="83" customFormat="1" ht="12.75">
      <c r="A1046553" s="19"/>
      <c r="B1046553" s="19"/>
      <c r="C1046553" s="19"/>
      <c r="D1046553" s="19"/>
      <c r="E1046553" s="19"/>
      <c r="F1046553" s="19"/>
      <c r="G1046553" s="19"/>
      <c r="H1046553" s="19"/>
      <c r="I1046553" s="19"/>
      <c r="J1046553" s="19"/>
      <c r="K1046553" s="19"/>
      <c r="L1046553" s="19"/>
      <c r="M1046553" s="19"/>
      <c r="N1046553" s="19"/>
    </row>
    <row r="1046554" spans="1:14" s="83" customFormat="1" ht="12.75">
      <c r="A1046554" s="19"/>
      <c r="B1046554" s="19"/>
      <c r="C1046554" s="19"/>
      <c r="D1046554" s="19"/>
      <c r="E1046554" s="19"/>
      <c r="F1046554" s="19"/>
      <c r="G1046554" s="19"/>
      <c r="H1046554" s="19"/>
      <c r="I1046554" s="19"/>
      <c r="J1046554" s="19"/>
      <c r="K1046554" s="19"/>
      <c r="L1046554" s="19"/>
      <c r="M1046554" s="19"/>
      <c r="N1046554" s="19"/>
    </row>
    <row r="1046555" spans="1:14" s="83" customFormat="1" ht="12.75">
      <c r="A1046555" s="19"/>
      <c r="B1046555" s="19"/>
      <c r="C1046555" s="19"/>
      <c r="D1046555" s="19"/>
      <c r="E1046555" s="19"/>
      <c r="F1046555" s="19"/>
      <c r="G1046555" s="19"/>
      <c r="H1046555" s="19"/>
      <c r="I1046555" s="19"/>
      <c r="J1046555" s="19"/>
      <c r="K1046555" s="19"/>
      <c r="L1046555" s="19"/>
      <c r="M1046555" s="19"/>
      <c r="N1046555" s="19"/>
    </row>
    <row r="1046556" spans="1:14" s="83" customFormat="1" ht="12.75">
      <c r="A1046556" s="19"/>
      <c r="B1046556" s="19"/>
      <c r="C1046556" s="19"/>
      <c r="D1046556" s="19"/>
      <c r="E1046556" s="19"/>
      <c r="F1046556" s="19"/>
      <c r="G1046556" s="19"/>
      <c r="H1046556" s="19"/>
      <c r="I1046556" s="19"/>
      <c r="J1046556" s="19"/>
      <c r="K1046556" s="19"/>
      <c r="L1046556" s="19"/>
      <c r="M1046556" s="19"/>
      <c r="N1046556" s="19"/>
    </row>
    <row r="1046557" spans="1:14" s="83" customFormat="1" ht="12.75">
      <c r="A1046557" s="19"/>
      <c r="B1046557" s="19"/>
      <c r="C1046557" s="19"/>
      <c r="D1046557" s="19"/>
      <c r="E1046557" s="19"/>
      <c r="F1046557" s="19"/>
      <c r="G1046557" s="19"/>
      <c r="H1046557" s="19"/>
      <c r="I1046557" s="19"/>
      <c r="J1046557" s="19"/>
      <c r="K1046557" s="19"/>
      <c r="L1046557" s="19"/>
      <c r="M1046557" s="19"/>
      <c r="N1046557" s="19"/>
    </row>
    <row r="1046558" spans="1:14" s="83" customFormat="1" ht="12.75">
      <c r="A1046558" s="19"/>
      <c r="B1046558" s="19"/>
      <c r="C1046558" s="19"/>
      <c r="D1046558" s="19"/>
      <c r="E1046558" s="19"/>
      <c r="F1046558" s="19"/>
      <c r="G1046558" s="19"/>
      <c r="H1046558" s="19"/>
      <c r="I1046558" s="19"/>
      <c r="J1046558" s="19"/>
      <c r="K1046558" s="19"/>
      <c r="L1046558" s="19"/>
      <c r="M1046558" s="19"/>
      <c r="N1046558" s="19"/>
    </row>
    <row r="1046559" spans="1:14" s="83" customFormat="1" ht="12.75">
      <c r="A1046559" s="19"/>
      <c r="B1046559" s="19"/>
      <c r="C1046559" s="19"/>
      <c r="D1046559" s="19"/>
      <c r="E1046559" s="19"/>
      <c r="F1046559" s="19"/>
      <c r="G1046559" s="19"/>
      <c r="H1046559" s="19"/>
      <c r="I1046559" s="19"/>
      <c r="J1046559" s="19"/>
      <c r="K1046559" s="19"/>
      <c r="L1046559" s="19"/>
      <c r="M1046559" s="19"/>
      <c r="N1046559" s="19"/>
    </row>
    <row r="1046560" spans="1:14" s="83" customFormat="1" ht="12.75">
      <c r="A1046560" s="19"/>
      <c r="B1046560" s="19"/>
      <c r="C1046560" s="19"/>
      <c r="D1046560" s="19"/>
      <c r="E1046560" s="19"/>
      <c r="F1046560" s="19"/>
      <c r="G1046560" s="19"/>
      <c r="H1046560" s="19"/>
      <c r="I1046560" s="19"/>
      <c r="J1046560" s="19"/>
      <c r="K1046560" s="19"/>
      <c r="L1046560" s="19"/>
      <c r="M1046560" s="19"/>
      <c r="N1046560" s="19"/>
    </row>
    <row r="1046561" spans="1:14" s="83" customFormat="1" ht="12.75">
      <c r="A1046561" s="19"/>
      <c r="B1046561" s="19"/>
      <c r="C1046561" s="19"/>
      <c r="D1046561" s="19"/>
      <c r="E1046561" s="19"/>
      <c r="F1046561" s="19"/>
      <c r="G1046561" s="19"/>
      <c r="H1046561" s="19"/>
      <c r="I1046561" s="19"/>
      <c r="J1046561" s="19"/>
      <c r="K1046561" s="19"/>
      <c r="L1046561" s="19"/>
      <c r="M1046561" s="19"/>
      <c r="N1046561" s="19"/>
    </row>
    <row r="1046562" spans="1:14" s="83" customFormat="1" ht="12.75">
      <c r="A1046562" s="19"/>
      <c r="B1046562" s="19"/>
      <c r="C1046562" s="19"/>
      <c r="D1046562" s="19"/>
      <c r="E1046562" s="19"/>
      <c r="F1046562" s="19"/>
      <c r="G1046562" s="19"/>
      <c r="H1046562" s="19"/>
      <c r="I1046562" s="19"/>
      <c r="J1046562" s="19"/>
      <c r="K1046562" s="19"/>
      <c r="L1046562" s="19"/>
      <c r="M1046562" s="19"/>
      <c r="N1046562" s="19"/>
    </row>
    <row r="1046563" spans="1:14" s="83" customFormat="1" ht="12.75">
      <c r="A1046563" s="19"/>
      <c r="B1046563" s="19"/>
      <c r="C1046563" s="19"/>
      <c r="D1046563" s="19"/>
      <c r="E1046563" s="19"/>
      <c r="F1046563" s="19"/>
      <c r="G1046563" s="19"/>
      <c r="H1046563" s="19"/>
      <c r="I1046563" s="19"/>
      <c r="J1046563" s="19"/>
      <c r="K1046563" s="19"/>
      <c r="L1046563" s="19"/>
      <c r="M1046563" s="19"/>
      <c r="N1046563" s="19"/>
    </row>
    <row r="1046564" spans="1:14" s="83" customFormat="1" ht="12.75">
      <c r="A1046564" s="19"/>
      <c r="B1046564" s="19"/>
      <c r="C1046564" s="19"/>
      <c r="D1046564" s="19"/>
      <c r="E1046564" s="19"/>
      <c r="F1046564" s="19"/>
      <c r="G1046564" s="19"/>
      <c r="H1046564" s="19"/>
      <c r="I1046564" s="19"/>
      <c r="J1046564" s="19"/>
      <c r="K1046564" s="19"/>
      <c r="L1046564" s="19"/>
      <c r="M1046564" s="19"/>
      <c r="N1046564" s="19"/>
    </row>
    <row r="1046565" spans="1:14" s="83" customFormat="1" ht="12.75">
      <c r="A1046565" s="19"/>
      <c r="B1046565" s="19"/>
      <c r="C1046565" s="19"/>
      <c r="D1046565" s="19"/>
      <c r="E1046565" s="19"/>
      <c r="F1046565" s="19"/>
      <c r="G1046565" s="19"/>
      <c r="H1046565" s="19"/>
      <c r="I1046565" s="19"/>
      <c r="J1046565" s="19"/>
      <c r="K1046565" s="19"/>
      <c r="L1046565" s="19"/>
      <c r="M1046565" s="19"/>
      <c r="N1046565" s="19"/>
    </row>
    <row r="1046566" spans="1:14" s="83" customFormat="1" ht="12.75">
      <c r="A1046566" s="19"/>
      <c r="B1046566" s="19"/>
      <c r="C1046566" s="19"/>
      <c r="D1046566" s="19"/>
      <c r="E1046566" s="19"/>
      <c r="F1046566" s="19"/>
      <c r="G1046566" s="19"/>
      <c r="H1046566" s="19"/>
      <c r="I1046566" s="19"/>
      <c r="J1046566" s="19"/>
      <c r="K1046566" s="19"/>
      <c r="L1046566" s="19"/>
      <c r="M1046566" s="19"/>
      <c r="N1046566" s="19"/>
    </row>
    <row r="1046567" spans="1:14" s="83" customFormat="1" ht="12.75">
      <c r="A1046567" s="19"/>
      <c r="B1046567" s="19"/>
      <c r="C1046567" s="19"/>
      <c r="D1046567" s="19"/>
      <c r="E1046567" s="19"/>
      <c r="F1046567" s="19"/>
      <c r="G1046567" s="19"/>
      <c r="H1046567" s="19"/>
      <c r="I1046567" s="19"/>
      <c r="J1046567" s="19"/>
      <c r="K1046567" s="19"/>
      <c r="L1046567" s="19"/>
      <c r="M1046567" s="19"/>
      <c r="N1046567" s="19"/>
    </row>
    <row r="1046568" spans="1:14" s="83" customFormat="1" ht="12.75">
      <c r="A1046568" s="19"/>
      <c r="B1046568" s="19"/>
      <c r="C1046568" s="19"/>
      <c r="D1046568" s="19"/>
      <c r="E1046568" s="19"/>
      <c r="F1046568" s="19"/>
      <c r="G1046568" s="19"/>
      <c r="H1046568" s="19"/>
      <c r="I1046568" s="19"/>
      <c r="J1046568" s="19"/>
      <c r="K1046568" s="19"/>
      <c r="L1046568" s="19"/>
      <c r="M1046568" s="19"/>
      <c r="N1046568" s="19"/>
    </row>
    <row r="1046569" spans="1:14" s="83" customFormat="1" ht="12.75">
      <c r="A1046569" s="19"/>
      <c r="B1046569" s="19"/>
      <c r="C1046569" s="19"/>
      <c r="D1046569" s="19"/>
      <c r="E1046569" s="19"/>
      <c r="F1046569" s="19"/>
      <c r="G1046569" s="19"/>
      <c r="H1046569" s="19"/>
      <c r="I1046569" s="19"/>
      <c r="J1046569" s="19"/>
      <c r="K1046569" s="19"/>
      <c r="L1046569" s="19"/>
      <c r="M1046569" s="19"/>
      <c r="N1046569" s="19"/>
    </row>
    <row r="1046570" spans="1:14" s="83" customFormat="1" ht="12.75">
      <c r="A1046570" s="19"/>
      <c r="B1046570" s="19"/>
      <c r="C1046570" s="19"/>
      <c r="D1046570" s="19"/>
      <c r="E1046570" s="19"/>
      <c r="F1046570" s="19"/>
      <c r="G1046570" s="19"/>
      <c r="H1046570" s="19"/>
      <c r="I1046570" s="19"/>
      <c r="J1046570" s="19"/>
      <c r="K1046570" s="19"/>
      <c r="L1046570" s="19"/>
      <c r="M1046570" s="19"/>
      <c r="N1046570" s="19"/>
    </row>
    <row r="1046571" spans="1:14" s="83" customFormat="1" ht="12.75">
      <c r="A1046571" s="19"/>
      <c r="B1046571" s="19"/>
      <c r="C1046571" s="19"/>
      <c r="D1046571" s="19"/>
      <c r="E1046571" s="19"/>
      <c r="F1046571" s="19"/>
      <c r="G1046571" s="19"/>
      <c r="H1046571" s="19"/>
      <c r="I1046571" s="19"/>
      <c r="J1046571" s="19"/>
      <c r="K1046571" s="19"/>
      <c r="L1046571" s="19"/>
      <c r="M1046571" s="19"/>
      <c r="N1046571" s="19"/>
    </row>
    <row r="1046572" spans="1:14" s="83" customFormat="1" ht="12.75">
      <c r="A1046572" s="19"/>
      <c r="B1046572" s="19"/>
      <c r="C1046572" s="19"/>
      <c r="D1046572" s="19"/>
      <c r="E1046572" s="19"/>
      <c r="F1046572" s="19"/>
      <c r="G1046572" s="19"/>
      <c r="H1046572" s="19"/>
      <c r="I1046572" s="19"/>
      <c r="J1046572" s="19"/>
      <c r="K1046572" s="19"/>
      <c r="L1046572" s="19"/>
      <c r="M1046572" s="19"/>
      <c r="N1046572" s="19"/>
    </row>
    <row r="1046573" spans="1:14" s="83" customFormat="1" ht="12.75">
      <c r="A1046573" s="19"/>
      <c r="B1046573" s="19"/>
      <c r="C1046573" s="19"/>
      <c r="D1046573" s="19"/>
      <c r="E1046573" s="19"/>
      <c r="F1046573" s="19"/>
      <c r="G1046573" s="19"/>
      <c r="H1046573" s="19"/>
      <c r="I1046573" s="19"/>
      <c r="J1046573" s="19"/>
      <c r="K1046573" s="19"/>
      <c r="L1046573" s="19"/>
      <c r="M1046573" s="19"/>
      <c r="N1046573" s="19"/>
    </row>
    <row r="1046574" spans="1:14" s="83" customFormat="1" ht="12.75">
      <c r="A1046574" s="19"/>
      <c r="B1046574" s="19"/>
      <c r="C1046574" s="19"/>
      <c r="D1046574" s="19"/>
      <c r="E1046574" s="19"/>
      <c r="F1046574" s="19"/>
      <c r="G1046574" s="19"/>
      <c r="H1046574" s="19"/>
      <c r="I1046574" s="19"/>
      <c r="J1046574" s="19"/>
      <c r="K1046574" s="19"/>
      <c r="L1046574" s="19"/>
      <c r="M1046574" s="19"/>
      <c r="N1046574" s="19"/>
    </row>
    <row r="1046575" spans="1:14" s="83" customFormat="1" ht="12.75">
      <c r="A1046575" s="19"/>
      <c r="B1046575" s="19"/>
      <c r="C1046575" s="19"/>
      <c r="D1046575" s="19"/>
      <c r="E1046575" s="19"/>
      <c r="F1046575" s="19"/>
      <c r="G1046575" s="19"/>
      <c r="H1046575" s="19"/>
      <c r="I1046575" s="19"/>
      <c r="J1046575" s="19"/>
      <c r="K1046575" s="19"/>
      <c r="L1046575" s="19"/>
      <c r="M1046575" s="19"/>
      <c r="N1046575" s="19"/>
    </row>
    <row r="1046576" spans="1:14" s="83" customFormat="1" ht="12.75">
      <c r="A1046576" s="19"/>
      <c r="B1046576" s="19"/>
      <c r="C1046576" s="19"/>
      <c r="D1046576" s="19"/>
      <c r="E1046576" s="19"/>
      <c r="F1046576" s="19"/>
      <c r="G1046576" s="19"/>
      <c r="H1046576" s="19"/>
      <c r="I1046576" s="19"/>
      <c r="J1046576" s="19"/>
      <c r="K1046576" s="19"/>
      <c r="L1046576" s="19"/>
      <c r="M1046576" s="19"/>
      <c r="N1046576" s="19"/>
    </row>
    <row r="1046577" spans="1:14" s="83" customFormat="1" ht="12.75">
      <c r="A1046577" s="19"/>
      <c r="B1046577" s="19"/>
      <c r="C1046577" s="19"/>
      <c r="D1046577" s="19"/>
      <c r="E1046577" s="19"/>
      <c r="F1046577" s="19"/>
      <c r="G1046577" s="19"/>
      <c r="H1046577" s="19"/>
      <c r="I1046577" s="19"/>
      <c r="J1046577" s="19"/>
      <c r="K1046577" s="19"/>
      <c r="L1046577" s="19"/>
      <c r="M1046577" s="19"/>
      <c r="N1046577" s="19"/>
    </row>
    <row r="1046578" spans="1:14" s="83" customFormat="1" ht="12.75">
      <c r="A1046578" s="19"/>
      <c r="B1046578" s="19"/>
      <c r="C1046578" s="19"/>
      <c r="D1046578" s="19"/>
      <c r="E1046578" s="19"/>
      <c r="F1046578" s="19"/>
      <c r="G1046578" s="19"/>
      <c r="H1046578" s="19"/>
      <c r="I1046578" s="19"/>
      <c r="J1046578" s="19"/>
      <c r="K1046578" s="19"/>
      <c r="L1046578" s="19"/>
      <c r="M1046578" s="19"/>
      <c r="N1046578" s="19"/>
    </row>
    <row r="1046579" spans="1:14" s="83" customFormat="1" ht="12.75">
      <c r="A1046579" s="19"/>
      <c r="B1046579" s="19"/>
      <c r="C1046579" s="19"/>
      <c r="D1046579" s="19"/>
      <c r="E1046579" s="19"/>
      <c r="F1046579" s="19"/>
      <c r="G1046579" s="19"/>
      <c r="H1046579" s="19"/>
      <c r="I1046579" s="19"/>
      <c r="J1046579" s="19"/>
      <c r="K1046579" s="19"/>
      <c r="L1046579" s="19"/>
      <c r="M1046579" s="19"/>
      <c r="N1046579" s="19"/>
    </row>
    <row r="1046580" spans="1:14" s="83" customFormat="1" ht="12.75">
      <c r="A1046580" s="19"/>
      <c r="B1046580" s="19"/>
      <c r="C1046580" s="19"/>
      <c r="D1046580" s="19"/>
      <c r="E1046580" s="19"/>
      <c r="F1046580" s="19"/>
      <c r="G1046580" s="19"/>
      <c r="H1046580" s="19"/>
      <c r="I1046580" s="19"/>
      <c r="J1046580" s="19"/>
      <c r="K1046580" s="19"/>
      <c r="L1046580" s="19"/>
      <c r="M1046580" s="19"/>
      <c r="N1046580" s="19"/>
    </row>
    <row r="1046581" spans="1:14" s="83" customFormat="1" ht="12.75">
      <c r="A1046581" s="19"/>
      <c r="B1046581" s="19"/>
      <c r="C1046581" s="19"/>
      <c r="D1046581" s="19"/>
      <c r="E1046581" s="19"/>
      <c r="F1046581" s="19"/>
      <c r="G1046581" s="19"/>
      <c r="H1046581" s="19"/>
      <c r="I1046581" s="19"/>
      <c r="J1046581" s="19"/>
      <c r="K1046581" s="19"/>
      <c r="L1046581" s="19"/>
      <c r="M1046581" s="19"/>
      <c r="N1046581" s="19"/>
    </row>
    <row r="1046582" spans="1:14" s="83" customFormat="1" ht="12.75">
      <c r="A1046582" s="19"/>
      <c r="B1046582" s="19"/>
      <c r="C1046582" s="19"/>
      <c r="D1046582" s="19"/>
      <c r="E1046582" s="19"/>
      <c r="F1046582" s="19"/>
      <c r="G1046582" s="19"/>
      <c r="H1046582" s="19"/>
      <c r="I1046582" s="19"/>
      <c r="J1046582" s="19"/>
      <c r="K1046582" s="19"/>
      <c r="L1046582" s="19"/>
      <c r="M1046582" s="19"/>
      <c r="N1046582" s="19"/>
    </row>
    <row r="1046583" spans="1:14" s="83" customFormat="1" ht="12.75">
      <c r="A1046583" s="19"/>
      <c r="B1046583" s="19"/>
      <c r="C1046583" s="19"/>
      <c r="D1046583" s="19"/>
      <c r="E1046583" s="19"/>
      <c r="F1046583" s="19"/>
      <c r="G1046583" s="19"/>
      <c r="H1046583" s="19"/>
      <c r="I1046583" s="19"/>
      <c r="J1046583" s="19"/>
      <c r="K1046583" s="19"/>
      <c r="L1046583" s="19"/>
      <c r="M1046583" s="19"/>
      <c r="N1046583" s="19"/>
    </row>
    <row r="1046584" spans="1:14" s="83" customFormat="1" ht="12.75">
      <c r="A1046584" s="19"/>
      <c r="B1046584" s="19"/>
      <c r="C1046584" s="19"/>
      <c r="D1046584" s="19"/>
      <c r="E1046584" s="19"/>
      <c r="F1046584" s="19"/>
      <c r="G1046584" s="19"/>
      <c r="H1046584" s="19"/>
      <c r="I1046584" s="19"/>
      <c r="J1046584" s="19"/>
      <c r="K1046584" s="19"/>
      <c r="L1046584" s="19"/>
      <c r="M1046584" s="19"/>
      <c r="N1046584" s="19"/>
    </row>
    <row r="1046585" spans="1:14" s="83" customFormat="1" ht="12.75">
      <c r="A1046585" s="19"/>
      <c r="B1046585" s="19"/>
      <c r="C1046585" s="19"/>
      <c r="D1046585" s="19"/>
      <c r="E1046585" s="19"/>
      <c r="F1046585" s="19"/>
      <c r="G1046585" s="19"/>
      <c r="H1046585" s="19"/>
      <c r="I1046585" s="19"/>
      <c r="J1046585" s="19"/>
      <c r="K1046585" s="19"/>
      <c r="L1046585" s="19"/>
      <c r="M1046585" s="19"/>
      <c r="N1046585" s="19"/>
    </row>
    <row r="1046586" spans="1:14" s="83" customFormat="1" ht="12.75">
      <c r="A1046586" s="19"/>
      <c r="B1046586" s="19"/>
      <c r="C1046586" s="19"/>
      <c r="D1046586" s="19"/>
      <c r="E1046586" s="19"/>
      <c r="F1046586" s="19"/>
      <c r="G1046586" s="19"/>
      <c r="H1046586" s="19"/>
      <c r="I1046586" s="19"/>
      <c r="J1046586" s="19"/>
      <c r="K1046586" s="19"/>
      <c r="L1046586" s="19"/>
      <c r="M1046586" s="19"/>
      <c r="N1046586" s="19"/>
    </row>
    <row r="1046587" spans="1:14" s="83" customFormat="1" ht="12.75">
      <c r="A1046587" s="19"/>
      <c r="B1046587" s="19"/>
      <c r="C1046587" s="19"/>
      <c r="D1046587" s="19"/>
      <c r="E1046587" s="19"/>
      <c r="F1046587" s="19"/>
      <c r="G1046587" s="19"/>
      <c r="H1046587" s="19"/>
      <c r="I1046587" s="19"/>
      <c r="J1046587" s="19"/>
      <c r="K1046587" s="19"/>
      <c r="L1046587" s="19"/>
      <c r="M1046587" s="19"/>
      <c r="N1046587" s="19"/>
    </row>
    <row r="1046588" spans="1:14" s="83" customFormat="1" ht="12.75">
      <c r="A1046588" s="19"/>
      <c r="B1046588" s="19"/>
      <c r="C1046588" s="19"/>
      <c r="D1046588" s="19"/>
      <c r="E1046588" s="19"/>
      <c r="F1046588" s="19"/>
      <c r="G1046588" s="19"/>
      <c r="H1046588" s="19"/>
      <c r="I1046588" s="19"/>
      <c r="J1046588" s="19"/>
      <c r="K1046588" s="19"/>
      <c r="L1046588" s="19"/>
      <c r="M1046588" s="19"/>
      <c r="N1046588" s="19"/>
    </row>
    <row r="1046589" spans="1:14" s="83" customFormat="1" ht="12.75">
      <c r="A1046589" s="19"/>
      <c r="B1046589" s="19"/>
      <c r="C1046589" s="19"/>
      <c r="D1046589" s="19"/>
      <c r="E1046589" s="19"/>
      <c r="F1046589" s="19"/>
      <c r="G1046589" s="19"/>
      <c r="H1046589" s="19"/>
      <c r="I1046589" s="19"/>
      <c r="J1046589" s="19"/>
      <c r="K1046589" s="19"/>
      <c r="L1046589" s="19"/>
      <c r="M1046589" s="19"/>
      <c r="N1046589" s="19"/>
    </row>
    <row r="1046590" spans="1:14" s="83" customFormat="1" ht="12.75">
      <c r="A1046590" s="19"/>
      <c r="B1046590" s="19"/>
      <c r="C1046590" s="19"/>
      <c r="D1046590" s="19"/>
      <c r="E1046590" s="19"/>
      <c r="F1046590" s="19"/>
      <c r="G1046590" s="19"/>
      <c r="H1046590" s="19"/>
      <c r="I1046590" s="19"/>
      <c r="J1046590" s="19"/>
      <c r="K1046590" s="19"/>
      <c r="L1046590" s="19"/>
      <c r="M1046590" s="19"/>
      <c r="N1046590" s="19"/>
    </row>
    <row r="1046591" spans="1:14" s="83" customFormat="1" ht="12.75">
      <c r="A1046591" s="19"/>
      <c r="B1046591" s="19"/>
      <c r="C1046591" s="19"/>
      <c r="D1046591" s="19"/>
      <c r="E1046591" s="19"/>
      <c r="F1046591" s="19"/>
      <c r="G1046591" s="19"/>
      <c r="H1046591" s="19"/>
      <c r="I1046591" s="19"/>
      <c r="J1046591" s="19"/>
      <c r="K1046591" s="19"/>
      <c r="L1046591" s="19"/>
      <c r="M1046591" s="19"/>
      <c r="N1046591" s="19"/>
    </row>
    <row r="1046592" spans="1:14" s="83" customFormat="1" ht="12.75">
      <c r="A1046592" s="19"/>
      <c r="B1046592" s="19"/>
      <c r="C1046592" s="19"/>
      <c r="D1046592" s="19"/>
      <c r="E1046592" s="19"/>
      <c r="F1046592" s="19"/>
      <c r="G1046592" s="19"/>
      <c r="H1046592" s="19"/>
      <c r="I1046592" s="19"/>
      <c r="J1046592" s="19"/>
      <c r="K1046592" s="19"/>
      <c r="L1046592" s="19"/>
      <c r="M1046592" s="19"/>
      <c r="N1046592" s="19"/>
    </row>
    <row r="1046593" spans="1:14" s="83" customFormat="1" ht="12.75">
      <c r="A1046593" s="19"/>
      <c r="B1046593" s="19"/>
      <c r="C1046593" s="19"/>
      <c r="D1046593" s="19"/>
      <c r="E1046593" s="19"/>
      <c r="F1046593" s="19"/>
      <c r="G1046593" s="19"/>
      <c r="H1046593" s="19"/>
      <c r="I1046593" s="19"/>
      <c r="J1046593" s="19"/>
      <c r="K1046593" s="19"/>
      <c r="L1046593" s="19"/>
      <c r="M1046593" s="19"/>
      <c r="N1046593" s="19"/>
    </row>
    <row r="1046594" spans="1:14" s="83" customFormat="1" ht="12.75">
      <c r="A1046594" s="19"/>
      <c r="B1046594" s="19"/>
      <c r="C1046594" s="19"/>
      <c r="D1046594" s="19"/>
      <c r="E1046594" s="19"/>
      <c r="F1046594" s="19"/>
      <c r="G1046594" s="19"/>
      <c r="H1046594" s="19"/>
      <c r="I1046594" s="19"/>
      <c r="J1046594" s="19"/>
      <c r="K1046594" s="19"/>
      <c r="L1046594" s="19"/>
      <c r="M1046594" s="19"/>
      <c r="N1046594" s="19"/>
    </row>
    <row r="1046595" spans="1:14" s="83" customFormat="1" ht="12.75">
      <c r="A1046595" s="19"/>
      <c r="B1046595" s="19"/>
      <c r="C1046595" s="19"/>
      <c r="D1046595" s="19"/>
      <c r="E1046595" s="19"/>
      <c r="F1046595" s="19"/>
      <c r="G1046595" s="19"/>
      <c r="H1046595" s="19"/>
      <c r="I1046595" s="19"/>
      <c r="J1046595" s="19"/>
      <c r="K1046595" s="19"/>
      <c r="L1046595" s="19"/>
      <c r="M1046595" s="19"/>
      <c r="N1046595" s="19"/>
    </row>
    <row r="1046596" spans="1:14" s="83" customFormat="1" ht="12.75">
      <c r="A1046596" s="19"/>
      <c r="B1046596" s="19"/>
      <c r="C1046596" s="19"/>
      <c r="D1046596" s="19"/>
      <c r="E1046596" s="19"/>
      <c r="F1046596" s="19"/>
      <c r="G1046596" s="19"/>
      <c r="H1046596" s="19"/>
      <c r="I1046596" s="19"/>
      <c r="J1046596" s="19"/>
      <c r="K1046596" s="19"/>
      <c r="L1046596" s="19"/>
      <c r="M1046596" s="19"/>
      <c r="N1046596" s="19"/>
    </row>
    <row r="1046597" spans="1:14" s="83" customFormat="1" ht="12.75">
      <c r="A1046597" s="19"/>
      <c r="B1046597" s="19"/>
      <c r="C1046597" s="19"/>
      <c r="D1046597" s="19"/>
      <c r="E1046597" s="19"/>
      <c r="F1046597" s="19"/>
      <c r="G1046597" s="19"/>
      <c r="H1046597" s="19"/>
      <c r="I1046597" s="19"/>
      <c r="J1046597" s="19"/>
      <c r="K1046597" s="19"/>
      <c r="L1046597" s="19"/>
      <c r="M1046597" s="19"/>
      <c r="N1046597" s="19"/>
    </row>
    <row r="1046598" spans="1:14" s="83" customFormat="1" ht="12.75">
      <c r="A1046598" s="19"/>
      <c r="B1046598" s="19"/>
      <c r="C1046598" s="19"/>
      <c r="D1046598" s="19"/>
      <c r="E1046598" s="19"/>
      <c r="F1046598" s="19"/>
      <c r="G1046598" s="19"/>
      <c r="H1046598" s="19"/>
      <c r="I1046598" s="19"/>
      <c r="J1046598" s="19"/>
      <c r="K1046598" s="19"/>
      <c r="L1046598" s="19"/>
      <c r="M1046598" s="19"/>
      <c r="N1046598" s="19"/>
    </row>
    <row r="1046599" spans="1:14" s="83" customFormat="1" ht="12.75">
      <c r="A1046599" s="19"/>
      <c r="B1046599" s="19"/>
      <c r="C1046599" s="19"/>
      <c r="D1046599" s="19"/>
      <c r="E1046599" s="19"/>
      <c r="F1046599" s="19"/>
      <c r="G1046599" s="19"/>
      <c r="H1046599" s="19"/>
      <c r="I1046599" s="19"/>
      <c r="J1046599" s="19"/>
      <c r="K1046599" s="19"/>
      <c r="L1046599" s="19"/>
      <c r="M1046599" s="19"/>
      <c r="N1046599" s="19"/>
    </row>
    <row r="1046600" spans="1:14" s="83" customFormat="1" ht="12.75">
      <c r="A1046600" s="19"/>
      <c r="B1046600" s="19"/>
      <c r="C1046600" s="19"/>
      <c r="D1046600" s="19"/>
      <c r="E1046600" s="19"/>
      <c r="F1046600" s="19"/>
      <c r="G1046600" s="19"/>
      <c r="H1046600" s="19"/>
      <c r="I1046600" s="19"/>
      <c r="J1046600" s="19"/>
      <c r="K1046600" s="19"/>
      <c r="L1046600" s="19"/>
      <c r="M1046600" s="19"/>
      <c r="N1046600" s="19"/>
    </row>
    <row r="1046601" spans="1:14" s="83" customFormat="1" ht="12.75">
      <c r="A1046601" s="19"/>
      <c r="B1046601" s="19"/>
      <c r="C1046601" s="19"/>
      <c r="D1046601" s="19"/>
      <c r="E1046601" s="19"/>
      <c r="F1046601" s="19"/>
      <c r="G1046601" s="19"/>
      <c r="H1046601" s="19"/>
      <c r="I1046601" s="19"/>
      <c r="J1046601" s="19"/>
      <c r="K1046601" s="19"/>
      <c r="L1046601" s="19"/>
      <c r="M1046601" s="19"/>
      <c r="N1046601" s="19"/>
    </row>
    <row r="1046602" spans="1:14" s="83" customFormat="1" ht="12.75">
      <c r="A1046602" s="19"/>
      <c r="B1046602" s="19"/>
      <c r="C1046602" s="19"/>
      <c r="D1046602" s="19"/>
      <c r="E1046602" s="19"/>
      <c r="F1046602" s="19"/>
      <c r="G1046602" s="19"/>
      <c r="H1046602" s="19"/>
      <c r="I1046602" s="19"/>
      <c r="J1046602" s="19"/>
      <c r="K1046602" s="19"/>
      <c r="L1046602" s="19"/>
      <c r="M1046602" s="19"/>
      <c r="N1046602" s="19"/>
    </row>
    <row r="1046603" spans="1:14" s="83" customFormat="1" ht="12.75">
      <c r="A1046603" s="19"/>
      <c r="B1046603" s="19"/>
      <c r="C1046603" s="19"/>
      <c r="D1046603" s="19"/>
      <c r="E1046603" s="19"/>
      <c r="F1046603" s="19"/>
      <c r="G1046603" s="19"/>
      <c r="H1046603" s="19"/>
      <c r="I1046603" s="19"/>
      <c r="J1046603" s="19"/>
      <c r="K1046603" s="19"/>
      <c r="L1046603" s="19"/>
      <c r="M1046603" s="19"/>
      <c r="N1046603" s="19"/>
    </row>
    <row r="1046604" spans="1:14" s="83" customFormat="1" ht="12.75">
      <c r="A1046604" s="19"/>
      <c r="B1046604" s="19"/>
      <c r="C1046604" s="19"/>
      <c r="D1046604" s="19"/>
      <c r="E1046604" s="19"/>
      <c r="F1046604" s="19"/>
      <c r="G1046604" s="19"/>
      <c r="H1046604" s="19"/>
      <c r="I1046604" s="19"/>
      <c r="J1046604" s="19"/>
      <c r="K1046604" s="19"/>
      <c r="L1046604" s="19"/>
      <c r="M1046604" s="19"/>
      <c r="N1046604" s="19"/>
    </row>
    <row r="1046605" spans="1:14" s="83" customFormat="1" ht="12.75">
      <c r="A1046605" s="19"/>
      <c r="B1046605" s="19"/>
      <c r="C1046605" s="19"/>
      <c r="D1046605" s="19"/>
      <c r="E1046605" s="19"/>
      <c r="F1046605" s="19"/>
      <c r="G1046605" s="19"/>
      <c r="H1046605" s="19"/>
      <c r="I1046605" s="19"/>
      <c r="J1046605" s="19"/>
      <c r="K1046605" s="19"/>
      <c r="L1046605" s="19"/>
      <c r="M1046605" s="19"/>
      <c r="N1046605" s="19"/>
    </row>
    <row r="1046606" spans="1:14" s="83" customFormat="1" ht="12.75">
      <c r="A1046606" s="19"/>
      <c r="B1046606" s="19"/>
      <c r="C1046606" s="19"/>
      <c r="D1046606" s="19"/>
      <c r="E1046606" s="19"/>
      <c r="F1046606" s="19"/>
      <c r="G1046606" s="19"/>
      <c r="H1046606" s="19"/>
      <c r="I1046606" s="19"/>
      <c r="J1046606" s="19"/>
      <c r="K1046606" s="19"/>
      <c r="L1046606" s="19"/>
      <c r="M1046606" s="19"/>
      <c r="N1046606" s="19"/>
    </row>
    <row r="1046607" spans="1:14" s="83" customFormat="1" ht="12.75">
      <c r="A1046607" s="19"/>
      <c r="B1046607" s="19"/>
      <c r="C1046607" s="19"/>
      <c r="D1046607" s="19"/>
      <c r="E1046607" s="19"/>
      <c r="F1046607" s="19"/>
      <c r="G1046607" s="19"/>
      <c r="H1046607" s="19"/>
      <c r="I1046607" s="19"/>
      <c r="J1046607" s="19"/>
      <c r="K1046607" s="19"/>
      <c r="L1046607" s="19"/>
      <c r="M1046607" s="19"/>
      <c r="N1046607" s="19"/>
    </row>
    <row r="1046608" spans="1:14" s="83" customFormat="1" ht="12.75">
      <c r="A1046608" s="19"/>
      <c r="B1046608" s="19"/>
      <c r="C1046608" s="19"/>
      <c r="D1046608" s="19"/>
      <c r="E1046608" s="19"/>
      <c r="F1046608" s="19"/>
      <c r="G1046608" s="19"/>
      <c r="H1046608" s="19"/>
      <c r="I1046608" s="19"/>
      <c r="J1046608" s="19"/>
      <c r="K1046608" s="19"/>
      <c r="L1046608" s="19"/>
      <c r="M1046608" s="19"/>
      <c r="N1046608" s="19"/>
    </row>
    <row r="1046609" spans="1:14" s="83" customFormat="1" ht="12.75">
      <c r="A1046609" s="19"/>
      <c r="B1046609" s="19"/>
      <c r="C1046609" s="19"/>
      <c r="D1046609" s="19"/>
      <c r="E1046609" s="19"/>
      <c r="F1046609" s="19"/>
      <c r="G1046609" s="19"/>
      <c r="H1046609" s="19"/>
      <c r="I1046609" s="19"/>
      <c r="J1046609" s="19"/>
      <c r="K1046609" s="19"/>
      <c r="L1046609" s="19"/>
      <c r="M1046609" s="19"/>
      <c r="N1046609" s="19"/>
    </row>
    <row r="1046610" spans="1:14" s="83" customFormat="1" ht="12.75">
      <c r="A1046610" s="19"/>
      <c r="B1046610" s="19"/>
      <c r="C1046610" s="19"/>
      <c r="D1046610" s="19"/>
      <c r="E1046610" s="19"/>
      <c r="F1046610" s="19"/>
      <c r="G1046610" s="19"/>
      <c r="H1046610" s="19"/>
      <c r="I1046610" s="19"/>
      <c r="J1046610" s="19"/>
      <c r="K1046610" s="19"/>
      <c r="L1046610" s="19"/>
      <c r="M1046610" s="19"/>
      <c r="N1046610" s="19"/>
    </row>
    <row r="1046611" spans="1:14" s="83" customFormat="1" ht="12.75">
      <c r="A1046611" s="19"/>
      <c r="B1046611" s="19"/>
      <c r="C1046611" s="19"/>
      <c r="D1046611" s="19"/>
      <c r="E1046611" s="19"/>
      <c r="F1046611" s="19"/>
      <c r="G1046611" s="19"/>
      <c r="H1046611" s="19"/>
      <c r="I1046611" s="19"/>
      <c r="J1046611" s="19"/>
      <c r="K1046611" s="19"/>
      <c r="L1046611" s="19"/>
      <c r="M1046611" s="19"/>
      <c r="N1046611" s="19"/>
    </row>
    <row r="1046612" spans="1:14" s="83" customFormat="1" ht="12.75">
      <c r="A1046612" s="19"/>
      <c r="B1046612" s="19"/>
      <c r="C1046612" s="19"/>
      <c r="D1046612" s="19"/>
      <c r="E1046612" s="19"/>
      <c r="F1046612" s="19"/>
      <c r="G1046612" s="19"/>
      <c r="H1046612" s="19"/>
      <c r="I1046612" s="19"/>
      <c r="J1046612" s="19"/>
      <c r="K1046612" s="19"/>
      <c r="L1046612" s="19"/>
      <c r="M1046612" s="19"/>
      <c r="N1046612" s="19"/>
    </row>
    <row r="1046613" spans="1:14" s="83" customFormat="1" ht="12.75">
      <c r="A1046613" s="19"/>
      <c r="B1046613" s="19"/>
      <c r="C1046613" s="19"/>
      <c r="D1046613" s="19"/>
      <c r="E1046613" s="19"/>
      <c r="F1046613" s="19"/>
      <c r="G1046613" s="19"/>
      <c r="H1046613" s="19"/>
      <c r="I1046613" s="19"/>
      <c r="J1046613" s="19"/>
      <c r="K1046613" s="19"/>
      <c r="L1046613" s="19"/>
      <c r="M1046613" s="19"/>
      <c r="N1046613" s="19"/>
    </row>
    <row r="1046614" spans="1:14" s="83" customFormat="1" ht="12.75">
      <c r="A1046614" s="19"/>
      <c r="B1046614" s="19"/>
      <c r="C1046614" s="19"/>
      <c r="D1046614" s="19"/>
      <c r="E1046614" s="19"/>
      <c r="F1046614" s="19"/>
      <c r="G1046614" s="19"/>
      <c r="H1046614" s="19"/>
      <c r="I1046614" s="19"/>
      <c r="J1046614" s="19"/>
      <c r="K1046614" s="19"/>
      <c r="L1046614" s="19"/>
      <c r="M1046614" s="19"/>
      <c r="N1046614" s="19"/>
    </row>
    <row r="1046615" spans="1:14" s="83" customFormat="1" ht="12.75">
      <c r="A1046615" s="19"/>
      <c r="B1046615" s="19"/>
      <c r="C1046615" s="19"/>
      <c r="D1046615" s="19"/>
      <c r="E1046615" s="19"/>
      <c r="F1046615" s="19"/>
      <c r="G1046615" s="19"/>
      <c r="H1046615" s="19"/>
      <c r="I1046615" s="19"/>
      <c r="J1046615" s="19"/>
      <c r="K1046615" s="19"/>
      <c r="L1046615" s="19"/>
      <c r="M1046615" s="19"/>
      <c r="N1046615" s="19"/>
    </row>
    <row r="1046616" spans="1:14" s="83" customFormat="1" ht="12.75">
      <c r="A1046616" s="19"/>
      <c r="B1046616" s="19"/>
      <c r="C1046616" s="19"/>
      <c r="D1046616" s="19"/>
      <c r="E1046616" s="19"/>
      <c r="F1046616" s="19"/>
      <c r="G1046616" s="19"/>
      <c r="H1046616" s="19"/>
      <c r="I1046616" s="19"/>
      <c r="J1046616" s="19"/>
      <c r="K1046616" s="19"/>
      <c r="L1046616" s="19"/>
      <c r="M1046616" s="19"/>
      <c r="N1046616" s="19"/>
    </row>
    <row r="1046617" spans="1:14" s="83" customFormat="1" ht="12.75">
      <c r="A1046617" s="19"/>
      <c r="B1046617" s="19"/>
      <c r="C1046617" s="19"/>
      <c r="D1046617" s="19"/>
      <c r="E1046617" s="19"/>
      <c r="F1046617" s="19"/>
      <c r="G1046617" s="19"/>
      <c r="H1046617" s="19"/>
      <c r="I1046617" s="19"/>
      <c r="J1046617" s="19"/>
      <c r="K1046617" s="19"/>
      <c r="L1046617" s="19"/>
      <c r="M1046617" s="19"/>
      <c r="N1046617" s="19"/>
    </row>
    <row r="1046618" spans="1:14" s="83" customFormat="1" ht="12.75">
      <c r="A1046618" s="19"/>
      <c r="B1046618" s="19"/>
      <c r="C1046618" s="19"/>
      <c r="D1046618" s="19"/>
      <c r="E1046618" s="19"/>
      <c r="F1046618" s="19"/>
      <c r="G1046618" s="19"/>
      <c r="H1046618" s="19"/>
      <c r="I1046618" s="19"/>
      <c r="J1046618" s="19"/>
      <c r="K1046618" s="19"/>
      <c r="L1046618" s="19"/>
      <c r="M1046618" s="19"/>
      <c r="N1046618" s="19"/>
    </row>
    <row r="1046619" spans="1:14" s="83" customFormat="1" ht="12.75">
      <c r="A1046619" s="19"/>
      <c r="B1046619" s="19"/>
      <c r="C1046619" s="19"/>
      <c r="D1046619" s="19"/>
      <c r="E1046619" s="19"/>
      <c r="F1046619" s="19"/>
      <c r="G1046619" s="19"/>
      <c r="H1046619" s="19"/>
      <c r="I1046619" s="19"/>
      <c r="J1046619" s="19"/>
      <c r="K1046619" s="19"/>
      <c r="L1046619" s="19"/>
      <c r="M1046619" s="19"/>
      <c r="N1046619" s="19"/>
    </row>
    <row r="1046620" spans="1:14" s="83" customFormat="1" ht="12.75">
      <c r="A1046620" s="19"/>
      <c r="B1046620" s="19"/>
      <c r="C1046620" s="19"/>
      <c r="D1046620" s="19"/>
      <c r="E1046620" s="19"/>
      <c r="F1046620" s="19"/>
      <c r="G1046620" s="19"/>
      <c r="H1046620" s="19"/>
      <c r="I1046620" s="19"/>
      <c r="J1046620" s="19"/>
      <c r="K1046620" s="19"/>
      <c r="L1046620" s="19"/>
      <c r="M1046620" s="19"/>
      <c r="N1046620" s="19"/>
    </row>
    <row r="1046621" spans="1:14" s="83" customFormat="1" ht="12.75">
      <c r="A1046621" s="19"/>
      <c r="B1046621" s="19"/>
      <c r="C1046621" s="19"/>
      <c r="D1046621" s="19"/>
      <c r="E1046621" s="19"/>
      <c r="F1046621" s="19"/>
      <c r="G1046621" s="19"/>
      <c r="H1046621" s="19"/>
      <c r="I1046621" s="19"/>
      <c r="J1046621" s="19"/>
      <c r="K1046621" s="19"/>
      <c r="L1046621" s="19"/>
      <c r="M1046621" s="19"/>
      <c r="N1046621" s="19"/>
    </row>
    <row r="1046622" spans="1:14" s="83" customFormat="1" ht="12.75">
      <c r="A1046622" s="19"/>
      <c r="B1046622" s="19"/>
      <c r="C1046622" s="19"/>
      <c r="D1046622" s="19"/>
      <c r="E1046622" s="19"/>
      <c r="F1046622" s="19"/>
      <c r="G1046622" s="19"/>
      <c r="H1046622" s="19"/>
      <c r="I1046622" s="19"/>
      <c r="J1046622" s="19"/>
      <c r="K1046622" s="19"/>
      <c r="L1046622" s="19"/>
      <c r="M1046622" s="19"/>
      <c r="N1046622" s="19"/>
    </row>
    <row r="1046623" spans="1:14" s="83" customFormat="1" ht="12.75">
      <c r="A1046623" s="19"/>
      <c r="B1046623" s="19"/>
      <c r="C1046623" s="19"/>
      <c r="D1046623" s="19"/>
      <c r="E1046623" s="19"/>
      <c r="F1046623" s="19"/>
      <c r="G1046623" s="19"/>
      <c r="H1046623" s="19"/>
      <c r="I1046623" s="19"/>
      <c r="J1046623" s="19"/>
      <c r="K1046623" s="19"/>
      <c r="L1046623" s="19"/>
      <c r="M1046623" s="19"/>
      <c r="N1046623" s="19"/>
    </row>
    <row r="1046624" spans="1:14" s="83" customFormat="1" ht="12.75">
      <c r="A1046624" s="19"/>
      <c r="B1046624" s="19"/>
      <c r="C1046624" s="19"/>
      <c r="D1046624" s="19"/>
      <c r="E1046624" s="19"/>
      <c r="F1046624" s="19"/>
      <c r="G1046624" s="19"/>
      <c r="H1046624" s="19"/>
      <c r="I1046624" s="19"/>
      <c r="J1046624" s="19"/>
      <c r="K1046624" s="19"/>
      <c r="L1046624" s="19"/>
      <c r="M1046624" s="19"/>
      <c r="N1046624" s="19"/>
    </row>
    <row r="1046625" spans="1:14" s="83" customFormat="1" ht="12.75">
      <c r="A1046625" s="19"/>
      <c r="B1046625" s="19"/>
      <c r="C1046625" s="19"/>
      <c r="D1046625" s="19"/>
      <c r="E1046625" s="19"/>
      <c r="F1046625" s="19"/>
      <c r="G1046625" s="19"/>
      <c r="H1046625" s="19"/>
      <c r="I1046625" s="19"/>
      <c r="J1046625" s="19"/>
      <c r="K1046625" s="19"/>
      <c r="L1046625" s="19"/>
      <c r="M1046625" s="19"/>
      <c r="N1046625" s="19"/>
    </row>
    <row r="1046626" spans="1:14" s="83" customFormat="1" ht="12.75">
      <c r="A1046626" s="19"/>
      <c r="B1046626" s="19"/>
      <c r="C1046626" s="19"/>
      <c r="D1046626" s="19"/>
      <c r="E1046626" s="19"/>
      <c r="F1046626" s="19"/>
      <c r="G1046626" s="19"/>
      <c r="H1046626" s="19"/>
      <c r="I1046626" s="19"/>
      <c r="J1046626" s="19"/>
      <c r="K1046626" s="19"/>
      <c r="L1046626" s="19"/>
      <c r="M1046626" s="19"/>
      <c r="N1046626" s="19"/>
    </row>
    <row r="1046627" spans="1:14" s="83" customFormat="1" ht="12.75">
      <c r="A1046627" s="19"/>
      <c r="B1046627" s="19"/>
      <c r="C1046627" s="19"/>
      <c r="D1046627" s="19"/>
      <c r="E1046627" s="19"/>
      <c r="F1046627" s="19"/>
      <c r="G1046627" s="19"/>
      <c r="H1046627" s="19"/>
      <c r="I1046627" s="19"/>
      <c r="J1046627" s="19"/>
      <c r="K1046627" s="19"/>
      <c r="L1046627" s="19"/>
      <c r="M1046627" s="19"/>
      <c r="N1046627" s="19"/>
    </row>
    <row r="1046628" spans="1:14" s="83" customFormat="1" ht="12.75">
      <c r="A1046628" s="19"/>
      <c r="B1046628" s="19"/>
      <c r="C1046628" s="19"/>
      <c r="D1046628" s="19"/>
      <c r="E1046628" s="19"/>
      <c r="F1046628" s="19"/>
      <c r="G1046628" s="19"/>
      <c r="H1046628" s="19"/>
      <c r="I1046628" s="19"/>
      <c r="J1046628" s="19"/>
      <c r="K1046628" s="19"/>
      <c r="L1046628" s="19"/>
      <c r="M1046628" s="19"/>
      <c r="N1046628" s="19"/>
    </row>
    <row r="1046629" spans="1:14" s="83" customFormat="1" ht="12.75">
      <c r="A1046629" s="19"/>
      <c r="B1046629" s="19"/>
      <c r="C1046629" s="19"/>
      <c r="D1046629" s="19"/>
      <c r="E1046629" s="19"/>
      <c r="F1046629" s="19"/>
      <c r="G1046629" s="19"/>
      <c r="H1046629" s="19"/>
      <c r="I1046629" s="19"/>
      <c r="J1046629" s="19"/>
      <c r="K1046629" s="19"/>
      <c r="L1046629" s="19"/>
      <c r="M1046629" s="19"/>
      <c r="N1046629" s="19"/>
    </row>
    <row r="1046630" spans="1:14" s="83" customFormat="1" ht="12.75">
      <c r="A1046630" s="19"/>
      <c r="B1046630" s="19"/>
      <c r="C1046630" s="19"/>
      <c r="D1046630" s="19"/>
      <c r="E1046630" s="19"/>
      <c r="F1046630" s="19"/>
      <c r="G1046630" s="19"/>
      <c r="H1046630" s="19"/>
      <c r="I1046630" s="19"/>
      <c r="J1046630" s="19"/>
      <c r="K1046630" s="19"/>
      <c r="L1046630" s="19"/>
      <c r="M1046630" s="19"/>
      <c r="N1046630" s="19"/>
    </row>
    <row r="1046631" spans="1:14" s="83" customFormat="1" ht="12.75">
      <c r="A1046631" s="19"/>
      <c r="B1046631" s="19"/>
      <c r="C1046631" s="19"/>
      <c r="D1046631" s="19"/>
      <c r="E1046631" s="19"/>
      <c r="F1046631" s="19"/>
      <c r="G1046631" s="19"/>
      <c r="H1046631" s="19"/>
      <c r="I1046631" s="19"/>
      <c r="J1046631" s="19"/>
      <c r="K1046631" s="19"/>
      <c r="L1046631" s="19"/>
      <c r="M1046631" s="19"/>
      <c r="N1046631" s="19"/>
    </row>
    <row r="1046632" spans="1:14" s="83" customFormat="1" ht="12.75">
      <c r="A1046632" s="19"/>
      <c r="B1046632" s="19"/>
      <c r="C1046632" s="19"/>
      <c r="D1046632" s="19"/>
      <c r="E1046632" s="19"/>
      <c r="F1046632" s="19"/>
      <c r="G1046632" s="19"/>
      <c r="H1046632" s="19"/>
      <c r="I1046632" s="19"/>
      <c r="J1046632" s="19"/>
      <c r="K1046632" s="19"/>
      <c r="L1046632" s="19"/>
      <c r="M1046632" s="19"/>
      <c r="N1046632" s="19"/>
    </row>
    <row r="1046633" spans="1:14" s="83" customFormat="1" ht="12.75">
      <c r="A1046633" s="19"/>
      <c r="B1046633" s="19"/>
      <c r="C1046633" s="19"/>
      <c r="D1046633" s="19"/>
      <c r="E1046633" s="19"/>
      <c r="F1046633" s="19"/>
      <c r="G1046633" s="19"/>
      <c r="H1046633" s="19"/>
      <c r="I1046633" s="19"/>
      <c r="J1046633" s="19"/>
      <c r="K1046633" s="19"/>
      <c r="L1046633" s="19"/>
      <c r="M1046633" s="19"/>
      <c r="N1046633" s="19"/>
    </row>
    <row r="1046634" spans="1:14" s="83" customFormat="1" ht="12.75">
      <c r="A1046634" s="19"/>
      <c r="B1046634" s="19"/>
      <c r="C1046634" s="19"/>
      <c r="D1046634" s="19"/>
      <c r="E1046634" s="19"/>
      <c r="F1046634" s="19"/>
      <c r="G1046634" s="19"/>
      <c r="H1046634" s="19"/>
      <c r="I1046634" s="19"/>
      <c r="J1046634" s="19"/>
      <c r="K1046634" s="19"/>
      <c r="L1046634" s="19"/>
      <c r="M1046634" s="19"/>
      <c r="N1046634" s="19"/>
    </row>
    <row r="1046635" spans="1:14" s="83" customFormat="1" ht="12.75">
      <c r="A1046635" s="19"/>
      <c r="B1046635" s="19"/>
      <c r="C1046635" s="19"/>
      <c r="D1046635" s="19"/>
      <c r="E1046635" s="19"/>
      <c r="F1046635" s="19"/>
      <c r="G1046635" s="19"/>
      <c r="H1046635" s="19"/>
      <c r="I1046635" s="19"/>
      <c r="J1046635" s="19"/>
      <c r="K1046635" s="19"/>
      <c r="L1046635" s="19"/>
      <c r="M1046635" s="19"/>
      <c r="N1046635" s="19"/>
    </row>
    <row r="1046636" spans="1:14" s="83" customFormat="1" ht="12.75">
      <c r="A1046636" s="19"/>
      <c r="B1046636" s="19"/>
      <c r="C1046636" s="19"/>
      <c r="D1046636" s="19"/>
      <c r="E1046636" s="19"/>
      <c r="F1046636" s="19"/>
      <c r="G1046636" s="19"/>
      <c r="H1046636" s="19"/>
      <c r="I1046636" s="19"/>
      <c r="J1046636" s="19"/>
      <c r="K1046636" s="19"/>
      <c r="L1046636" s="19"/>
      <c r="M1046636" s="19"/>
      <c r="N1046636" s="19"/>
    </row>
    <row r="1046637" spans="1:14" s="83" customFormat="1" ht="12.75">
      <c r="A1046637" s="19"/>
      <c r="B1046637" s="19"/>
      <c r="C1046637" s="19"/>
      <c r="D1046637" s="19"/>
      <c r="E1046637" s="19"/>
      <c r="F1046637" s="19"/>
      <c r="G1046637" s="19"/>
      <c r="H1046637" s="19"/>
      <c r="I1046637" s="19"/>
      <c r="J1046637" s="19"/>
      <c r="K1046637" s="19"/>
      <c r="L1046637" s="19"/>
      <c r="M1046637" s="19"/>
      <c r="N1046637" s="19"/>
    </row>
    <row r="1046638" spans="1:14" s="83" customFormat="1" ht="12.75">
      <c r="A1046638" s="19"/>
      <c r="B1046638" s="19"/>
      <c r="C1046638" s="19"/>
      <c r="D1046638" s="19"/>
      <c r="E1046638" s="19"/>
      <c r="F1046638" s="19"/>
      <c r="G1046638" s="19"/>
      <c r="H1046638" s="19"/>
      <c r="I1046638" s="19"/>
      <c r="J1046638" s="19"/>
      <c r="K1046638" s="19"/>
      <c r="L1046638" s="19"/>
      <c r="M1046638" s="19"/>
      <c r="N1046638" s="19"/>
    </row>
    <row r="1046639" spans="1:14" s="83" customFormat="1" ht="12.75">
      <c r="A1046639" s="19"/>
      <c r="B1046639" s="19"/>
      <c r="C1046639" s="19"/>
      <c r="D1046639" s="19"/>
      <c r="E1046639" s="19"/>
      <c r="F1046639" s="19"/>
      <c r="G1046639" s="19"/>
      <c r="H1046639" s="19"/>
      <c r="I1046639" s="19"/>
      <c r="J1046639" s="19"/>
      <c r="K1046639" s="19"/>
      <c r="L1046639" s="19"/>
      <c r="M1046639" s="19"/>
      <c r="N1046639" s="19"/>
    </row>
    <row r="1046640" spans="1:14" s="83" customFormat="1" ht="12.75">
      <c r="A1046640" s="19"/>
      <c r="B1046640" s="19"/>
      <c r="C1046640" s="19"/>
      <c r="D1046640" s="19"/>
      <c r="E1046640" s="19"/>
      <c r="F1046640" s="19"/>
      <c r="G1046640" s="19"/>
      <c r="H1046640" s="19"/>
      <c r="I1046640" s="19"/>
      <c r="J1046640" s="19"/>
      <c r="K1046640" s="19"/>
      <c r="L1046640" s="19"/>
      <c r="M1046640" s="19"/>
      <c r="N1046640" s="19"/>
    </row>
    <row r="1046641" spans="1:14" s="83" customFormat="1" ht="12.75">
      <c r="A1046641" s="19"/>
      <c r="B1046641" s="19"/>
      <c r="C1046641" s="19"/>
      <c r="D1046641" s="19"/>
      <c r="E1046641" s="19"/>
      <c r="F1046641" s="19"/>
      <c r="G1046641" s="19"/>
      <c r="H1046641" s="19"/>
      <c r="I1046641" s="19"/>
      <c r="J1046641" s="19"/>
      <c r="K1046641" s="19"/>
      <c r="L1046641" s="19"/>
      <c r="M1046641" s="19"/>
      <c r="N1046641" s="19"/>
    </row>
    <row r="1046642" spans="1:14" s="83" customFormat="1" ht="12.75">
      <c r="A1046642" s="19"/>
      <c r="B1046642" s="19"/>
      <c r="C1046642" s="19"/>
      <c r="D1046642" s="19"/>
      <c r="E1046642" s="19"/>
      <c r="F1046642" s="19"/>
      <c r="G1046642" s="19"/>
      <c r="H1046642" s="19"/>
      <c r="I1046642" s="19"/>
      <c r="J1046642" s="19"/>
      <c r="K1046642" s="19"/>
      <c r="L1046642" s="19"/>
      <c r="M1046642" s="19"/>
      <c r="N1046642" s="19"/>
    </row>
    <row r="1046643" spans="1:14" s="83" customFormat="1" ht="12.75">
      <c r="A1046643" s="19"/>
      <c r="B1046643" s="19"/>
      <c r="C1046643" s="19"/>
      <c r="D1046643" s="19"/>
      <c r="E1046643" s="19"/>
      <c r="F1046643" s="19"/>
      <c r="G1046643" s="19"/>
      <c r="H1046643" s="19"/>
      <c r="I1046643" s="19"/>
      <c r="J1046643" s="19"/>
      <c r="K1046643" s="19"/>
      <c r="L1046643" s="19"/>
      <c r="M1046643" s="19"/>
      <c r="N1046643" s="19"/>
    </row>
    <row r="1046644" spans="1:14" s="83" customFormat="1" ht="12.75">
      <c r="A1046644" s="19"/>
      <c r="B1046644" s="19"/>
      <c r="C1046644" s="19"/>
      <c r="D1046644" s="19"/>
      <c r="E1046644" s="19"/>
      <c r="F1046644" s="19"/>
      <c r="G1046644" s="19"/>
      <c r="H1046644" s="19"/>
      <c r="I1046644" s="19"/>
      <c r="J1046644" s="19"/>
      <c r="K1046644" s="19"/>
      <c r="L1046644" s="19"/>
      <c r="M1046644" s="19"/>
      <c r="N1046644" s="19"/>
    </row>
    <row r="1046645" spans="1:14" s="83" customFormat="1" ht="12.75">
      <c r="A1046645" s="19"/>
      <c r="B1046645" s="19"/>
      <c r="C1046645" s="19"/>
      <c r="D1046645" s="19"/>
      <c r="E1046645" s="19"/>
      <c r="F1046645" s="19"/>
      <c r="G1046645" s="19"/>
      <c r="H1046645" s="19"/>
      <c r="I1046645" s="19"/>
      <c r="J1046645" s="19"/>
      <c r="K1046645" s="19"/>
      <c r="L1046645" s="19"/>
      <c r="M1046645" s="19"/>
      <c r="N1046645" s="19"/>
    </row>
    <row r="1046646" spans="1:14" s="83" customFormat="1" ht="12.75">
      <c r="A1046646" s="19"/>
      <c r="B1046646" s="19"/>
      <c r="C1046646" s="19"/>
      <c r="D1046646" s="19"/>
      <c r="E1046646" s="19"/>
      <c r="F1046646" s="19"/>
      <c r="G1046646" s="19"/>
      <c r="H1046646" s="19"/>
      <c r="I1046646" s="19"/>
      <c r="J1046646" s="19"/>
      <c r="K1046646" s="19"/>
      <c r="L1046646" s="19"/>
      <c r="M1046646" s="19"/>
      <c r="N1046646" s="19"/>
    </row>
    <row r="1046647" spans="1:14" s="83" customFormat="1" ht="12.75">
      <c r="A1046647" s="19"/>
      <c r="B1046647" s="19"/>
      <c r="C1046647" s="19"/>
      <c r="D1046647" s="19"/>
      <c r="E1046647" s="19"/>
      <c r="F1046647" s="19"/>
      <c r="G1046647" s="19"/>
      <c r="H1046647" s="19"/>
      <c r="I1046647" s="19"/>
      <c r="J1046647" s="19"/>
      <c r="K1046647" s="19"/>
      <c r="L1046647" s="19"/>
      <c r="M1046647" s="19"/>
      <c r="N1046647" s="19"/>
    </row>
    <row r="1046648" spans="1:14" s="83" customFormat="1" ht="12.75">
      <c r="A1046648" s="19"/>
      <c r="B1046648" s="19"/>
      <c r="C1046648" s="19"/>
      <c r="D1046648" s="19"/>
      <c r="E1046648" s="19"/>
      <c r="F1046648" s="19"/>
      <c r="G1046648" s="19"/>
      <c r="H1046648" s="19"/>
      <c r="I1046648" s="19"/>
      <c r="J1046648" s="19"/>
      <c r="K1046648" s="19"/>
      <c r="L1046648" s="19"/>
      <c r="M1046648" s="19"/>
      <c r="N1046648" s="19"/>
    </row>
    <row r="1046649" spans="1:14" s="83" customFormat="1" ht="12.75">
      <c r="A1046649" s="19"/>
      <c r="B1046649" s="19"/>
      <c r="C1046649" s="19"/>
      <c r="D1046649" s="19"/>
      <c r="E1046649" s="19"/>
      <c r="F1046649" s="19"/>
      <c r="G1046649" s="19"/>
      <c r="H1046649" s="19"/>
      <c r="I1046649" s="19"/>
      <c r="J1046649" s="19"/>
      <c r="K1046649" s="19"/>
      <c r="L1046649" s="19"/>
      <c r="M1046649" s="19"/>
      <c r="N1046649" s="19"/>
    </row>
    <row r="1046650" spans="1:14" s="83" customFormat="1" ht="12.75">
      <c r="A1046650" s="19"/>
      <c r="B1046650" s="19"/>
      <c r="C1046650" s="19"/>
      <c r="D1046650" s="19"/>
      <c r="E1046650" s="19"/>
      <c r="F1046650" s="19"/>
      <c r="G1046650" s="19"/>
      <c r="H1046650" s="19"/>
      <c r="I1046650" s="19"/>
      <c r="J1046650" s="19"/>
      <c r="K1046650" s="19"/>
      <c r="L1046650" s="19"/>
      <c r="M1046650" s="19"/>
      <c r="N1046650" s="19"/>
    </row>
    <row r="1046651" spans="1:14" s="83" customFormat="1" ht="12.75">
      <c r="A1046651" s="19"/>
      <c r="B1046651" s="19"/>
      <c r="C1046651" s="19"/>
      <c r="D1046651" s="19"/>
      <c r="E1046651" s="19"/>
      <c r="F1046651" s="19"/>
      <c r="G1046651" s="19"/>
      <c r="H1046651" s="19"/>
      <c r="I1046651" s="19"/>
      <c r="J1046651" s="19"/>
      <c r="K1046651" s="19"/>
      <c r="L1046651" s="19"/>
      <c r="M1046651" s="19"/>
      <c r="N1046651" s="19"/>
    </row>
    <row r="1046652" spans="1:14" s="83" customFormat="1" ht="12.75">
      <c r="A1046652" s="19"/>
      <c r="B1046652" s="19"/>
      <c r="C1046652" s="19"/>
      <c r="D1046652" s="19"/>
      <c r="E1046652" s="19"/>
      <c r="F1046652" s="19"/>
      <c r="G1046652" s="19"/>
      <c r="H1046652" s="19"/>
      <c r="I1046652" s="19"/>
      <c r="J1046652" s="19"/>
      <c r="K1046652" s="19"/>
      <c r="L1046652" s="19"/>
      <c r="M1046652" s="19"/>
      <c r="N1046652" s="19"/>
    </row>
    <row r="1046653" spans="1:14" s="83" customFormat="1" ht="12.75">
      <c r="A1046653" s="19"/>
      <c r="B1046653" s="19"/>
      <c r="C1046653" s="19"/>
      <c r="D1046653" s="19"/>
      <c r="E1046653" s="19"/>
      <c r="F1046653" s="19"/>
      <c r="G1046653" s="19"/>
      <c r="H1046653" s="19"/>
      <c r="I1046653" s="19"/>
      <c r="J1046653" s="19"/>
      <c r="K1046653" s="19"/>
      <c r="L1046653" s="19"/>
      <c r="M1046653" s="19"/>
      <c r="N1046653" s="19"/>
    </row>
    <row r="1046654" spans="1:14" s="83" customFormat="1" ht="12.75">
      <c r="A1046654" s="19"/>
      <c r="B1046654" s="19"/>
      <c r="C1046654" s="19"/>
      <c r="D1046654" s="19"/>
      <c r="E1046654" s="19"/>
      <c r="F1046654" s="19"/>
      <c r="G1046654" s="19"/>
      <c r="H1046654" s="19"/>
      <c r="I1046654" s="19"/>
      <c r="J1046654" s="19"/>
      <c r="K1046654" s="19"/>
      <c r="L1046654" s="19"/>
      <c r="M1046654" s="19"/>
      <c r="N1046654" s="19"/>
    </row>
    <row r="1046655" spans="1:14" s="83" customFormat="1" ht="12.75">
      <c r="A1046655" s="19"/>
      <c r="B1046655" s="19"/>
      <c r="C1046655" s="19"/>
      <c r="D1046655" s="19"/>
      <c r="E1046655" s="19"/>
      <c r="F1046655" s="19"/>
      <c r="G1046655" s="19"/>
      <c r="H1046655" s="19"/>
      <c r="I1046655" s="19"/>
      <c r="J1046655" s="19"/>
      <c r="K1046655" s="19"/>
      <c r="L1046655" s="19"/>
      <c r="M1046655" s="19"/>
      <c r="N1046655" s="19"/>
    </row>
    <row r="1046656" spans="1:14" s="83" customFormat="1" ht="12.75">
      <c r="A1046656" s="19"/>
      <c r="B1046656" s="19"/>
      <c r="C1046656" s="19"/>
      <c r="D1046656" s="19"/>
      <c r="E1046656" s="19"/>
      <c r="F1046656" s="19"/>
      <c r="G1046656" s="19"/>
      <c r="H1046656" s="19"/>
      <c r="I1046656" s="19"/>
      <c r="J1046656" s="19"/>
      <c r="K1046656" s="19"/>
      <c r="L1046656" s="19"/>
      <c r="M1046656" s="19"/>
      <c r="N1046656" s="19"/>
    </row>
    <row r="1046657" spans="1:14" s="83" customFormat="1" ht="12.75">
      <c r="A1046657" s="19"/>
      <c r="B1046657" s="19"/>
      <c r="C1046657" s="19"/>
      <c r="D1046657" s="19"/>
      <c r="E1046657" s="19"/>
      <c r="F1046657" s="19"/>
      <c r="G1046657" s="19"/>
      <c r="H1046657" s="19"/>
      <c r="I1046657" s="19"/>
      <c r="J1046657" s="19"/>
      <c r="K1046657" s="19"/>
      <c r="L1046657" s="19"/>
      <c r="M1046657" s="19"/>
      <c r="N1046657" s="19"/>
    </row>
    <row r="1046658" spans="1:14" s="83" customFormat="1" ht="12.75">
      <c r="A1046658" s="19"/>
      <c r="B1046658" s="19"/>
      <c r="C1046658" s="19"/>
      <c r="D1046658" s="19"/>
      <c r="E1046658" s="19"/>
      <c r="F1046658" s="19"/>
      <c r="G1046658" s="19"/>
      <c r="H1046658" s="19"/>
      <c r="I1046658" s="19"/>
      <c r="J1046658" s="19"/>
      <c r="K1046658" s="19"/>
      <c r="L1046658" s="19"/>
      <c r="M1046658" s="19"/>
      <c r="N1046658" s="19"/>
    </row>
    <row r="1046659" spans="1:14" s="83" customFormat="1" ht="12.75">
      <c r="A1046659" s="19"/>
      <c r="B1046659" s="19"/>
      <c r="C1046659" s="19"/>
      <c r="D1046659" s="19"/>
      <c r="E1046659" s="19"/>
      <c r="F1046659" s="19"/>
      <c r="G1046659" s="19"/>
      <c r="H1046659" s="19"/>
      <c r="I1046659" s="19"/>
      <c r="J1046659" s="19"/>
      <c r="K1046659" s="19"/>
      <c r="L1046659" s="19"/>
      <c r="M1046659" s="19"/>
      <c r="N1046659" s="19"/>
    </row>
    <row r="1046660" spans="1:14" s="83" customFormat="1" ht="12.75">
      <c r="A1046660" s="19"/>
      <c r="B1046660" s="19"/>
      <c r="C1046660" s="19"/>
      <c r="D1046660" s="19"/>
      <c r="E1046660" s="19"/>
      <c r="F1046660" s="19"/>
      <c r="G1046660" s="19"/>
      <c r="H1046660" s="19"/>
      <c r="I1046660" s="19"/>
      <c r="J1046660" s="19"/>
      <c r="K1046660" s="19"/>
      <c r="L1046660" s="19"/>
      <c r="M1046660" s="19"/>
      <c r="N1046660" s="19"/>
    </row>
    <row r="1046661" spans="1:14" s="83" customFormat="1" ht="12.75">
      <c r="A1046661" s="19"/>
      <c r="B1046661" s="19"/>
      <c r="C1046661" s="19"/>
      <c r="D1046661" s="19"/>
      <c r="E1046661" s="19"/>
      <c r="F1046661" s="19"/>
      <c r="G1046661" s="19"/>
      <c r="H1046661" s="19"/>
      <c r="I1046661" s="19"/>
      <c r="J1046661" s="19"/>
      <c r="K1046661" s="19"/>
      <c r="L1046661" s="19"/>
      <c r="M1046661" s="19"/>
      <c r="N1046661" s="19"/>
    </row>
    <row r="1046662" spans="1:14" s="83" customFormat="1" ht="12.75">
      <c r="A1046662" s="19"/>
      <c r="B1046662" s="19"/>
      <c r="C1046662" s="19"/>
      <c r="D1046662" s="19"/>
      <c r="E1046662" s="19"/>
      <c r="F1046662" s="19"/>
      <c r="G1046662" s="19"/>
      <c r="H1046662" s="19"/>
      <c r="I1046662" s="19"/>
      <c r="J1046662" s="19"/>
      <c r="K1046662" s="19"/>
      <c r="L1046662" s="19"/>
      <c r="M1046662" s="19"/>
      <c r="N1046662" s="19"/>
    </row>
    <row r="1046663" spans="1:14" s="83" customFormat="1" ht="12.75">
      <c r="A1046663" s="19"/>
      <c r="B1046663" s="19"/>
      <c r="C1046663" s="19"/>
      <c r="D1046663" s="19"/>
      <c r="E1046663" s="19"/>
      <c r="F1046663" s="19"/>
      <c r="G1046663" s="19"/>
      <c r="H1046663" s="19"/>
      <c r="I1046663" s="19"/>
      <c r="J1046663" s="19"/>
      <c r="K1046663" s="19"/>
      <c r="L1046663" s="19"/>
      <c r="M1046663" s="19"/>
      <c r="N1046663" s="19"/>
    </row>
    <row r="1046664" spans="1:14" s="83" customFormat="1" ht="12.75">
      <c r="A1046664" s="19"/>
      <c r="B1046664" s="19"/>
      <c r="C1046664" s="19"/>
      <c r="D1046664" s="19"/>
      <c r="E1046664" s="19"/>
      <c r="F1046664" s="19"/>
      <c r="G1046664" s="19"/>
      <c r="H1046664" s="19"/>
      <c r="I1046664" s="19"/>
      <c r="J1046664" s="19"/>
      <c r="K1046664" s="19"/>
      <c r="L1046664" s="19"/>
      <c r="M1046664" s="19"/>
      <c r="N1046664" s="19"/>
    </row>
    <row r="1046665" spans="1:14" s="83" customFormat="1" ht="12.75">
      <c r="A1046665" s="19"/>
      <c r="B1046665" s="19"/>
      <c r="C1046665" s="19"/>
      <c r="D1046665" s="19"/>
      <c r="E1046665" s="19"/>
      <c r="F1046665" s="19"/>
      <c r="G1046665" s="19"/>
      <c r="H1046665" s="19"/>
      <c r="I1046665" s="19"/>
      <c r="J1046665" s="19"/>
      <c r="K1046665" s="19"/>
      <c r="L1046665" s="19"/>
      <c r="M1046665" s="19"/>
      <c r="N1046665" s="19"/>
    </row>
    <row r="1046666" spans="1:14" s="83" customFormat="1" ht="12.75">
      <c r="A1046666" s="19"/>
      <c r="B1046666" s="19"/>
      <c r="C1046666" s="19"/>
      <c r="D1046666" s="19"/>
      <c r="E1046666" s="19"/>
      <c r="F1046666" s="19"/>
      <c r="G1046666" s="19"/>
      <c r="H1046666" s="19"/>
      <c r="I1046666" s="19"/>
      <c r="J1046666" s="19"/>
      <c r="K1046666" s="19"/>
      <c r="L1046666" s="19"/>
      <c r="M1046666" s="19"/>
      <c r="N1046666" s="19"/>
    </row>
    <row r="1046667" spans="1:14" s="83" customFormat="1" ht="12.75">
      <c r="A1046667" s="19"/>
      <c r="B1046667" s="19"/>
      <c r="C1046667" s="19"/>
      <c r="D1046667" s="19"/>
      <c r="E1046667" s="19"/>
      <c r="F1046667" s="19"/>
      <c r="G1046667" s="19"/>
      <c r="H1046667" s="19"/>
      <c r="I1046667" s="19"/>
      <c r="J1046667" s="19"/>
      <c r="K1046667" s="19"/>
      <c r="L1046667" s="19"/>
      <c r="M1046667" s="19"/>
      <c r="N1046667" s="19"/>
    </row>
    <row r="1046668" spans="1:14" s="83" customFormat="1" ht="12.75">
      <c r="A1046668" s="19"/>
      <c r="B1046668" s="19"/>
      <c r="C1046668" s="19"/>
      <c r="D1046668" s="19"/>
      <c r="E1046668" s="19"/>
      <c r="F1046668" s="19"/>
      <c r="G1046668" s="19"/>
      <c r="H1046668" s="19"/>
      <c r="I1046668" s="19"/>
      <c r="J1046668" s="19"/>
      <c r="K1046668" s="19"/>
      <c r="L1046668" s="19"/>
      <c r="M1046668" s="19"/>
      <c r="N1046668" s="19"/>
    </row>
    <row r="1046669" spans="1:14" s="83" customFormat="1" ht="12.75">
      <c r="A1046669" s="19"/>
      <c r="B1046669" s="19"/>
      <c r="C1046669" s="19"/>
      <c r="D1046669" s="19"/>
      <c r="E1046669" s="19"/>
      <c r="F1046669" s="19"/>
      <c r="G1046669" s="19"/>
      <c r="H1046669" s="19"/>
      <c r="I1046669" s="19"/>
      <c r="J1046669" s="19"/>
      <c r="K1046669" s="19"/>
      <c r="L1046669" s="19"/>
      <c r="M1046669" s="19"/>
      <c r="N1046669" s="19"/>
    </row>
    <row r="1046670" spans="1:14" s="83" customFormat="1" ht="12.75">
      <c r="A1046670" s="19"/>
      <c r="B1046670" s="19"/>
      <c r="C1046670" s="19"/>
      <c r="D1046670" s="19"/>
      <c r="E1046670" s="19"/>
      <c r="F1046670" s="19"/>
      <c r="G1046670" s="19"/>
      <c r="H1046670" s="19"/>
      <c r="I1046670" s="19"/>
      <c r="J1046670" s="19"/>
      <c r="K1046670" s="19"/>
      <c r="L1046670" s="19"/>
      <c r="M1046670" s="19"/>
      <c r="N1046670" s="19"/>
    </row>
    <row r="1046671" spans="1:14" s="83" customFormat="1" ht="12.75">
      <c r="A1046671" s="19"/>
      <c r="B1046671" s="19"/>
      <c r="C1046671" s="19"/>
      <c r="D1046671" s="19"/>
      <c r="E1046671" s="19"/>
      <c r="F1046671" s="19"/>
      <c r="G1046671" s="19"/>
      <c r="H1046671" s="19"/>
      <c r="I1046671" s="19"/>
      <c r="J1046671" s="19"/>
      <c r="K1046671" s="19"/>
      <c r="L1046671" s="19"/>
      <c r="M1046671" s="19"/>
      <c r="N1046671" s="19"/>
    </row>
    <row r="1046672" spans="1:14" s="83" customFormat="1" ht="12.75">
      <c r="A1046672" s="19"/>
      <c r="B1046672" s="19"/>
      <c r="C1046672" s="19"/>
      <c r="D1046672" s="19"/>
      <c r="E1046672" s="19"/>
      <c r="F1046672" s="19"/>
      <c r="G1046672" s="19"/>
      <c r="H1046672" s="19"/>
      <c r="I1046672" s="19"/>
      <c r="J1046672" s="19"/>
      <c r="K1046672" s="19"/>
      <c r="L1046672" s="19"/>
      <c r="M1046672" s="19"/>
      <c r="N1046672" s="19"/>
    </row>
    <row r="1046673" spans="1:14" s="83" customFormat="1" ht="12.75">
      <c r="A1046673" s="19"/>
      <c r="B1046673" s="19"/>
      <c r="C1046673" s="19"/>
      <c r="D1046673" s="19"/>
      <c r="E1046673" s="19"/>
      <c r="F1046673" s="19"/>
      <c r="G1046673" s="19"/>
      <c r="H1046673" s="19"/>
      <c r="I1046673" s="19"/>
      <c r="J1046673" s="19"/>
      <c r="K1046673" s="19"/>
      <c r="L1046673" s="19"/>
      <c r="M1046673" s="19"/>
      <c r="N1046673" s="19"/>
    </row>
    <row r="1046674" spans="1:14" s="83" customFormat="1" ht="12.75">
      <c r="A1046674" s="19"/>
      <c r="B1046674" s="19"/>
      <c r="C1046674" s="19"/>
      <c r="D1046674" s="19"/>
      <c r="E1046674" s="19"/>
      <c r="F1046674" s="19"/>
      <c r="G1046674" s="19"/>
      <c r="H1046674" s="19"/>
      <c r="I1046674" s="19"/>
      <c r="J1046674" s="19"/>
      <c r="K1046674" s="19"/>
      <c r="L1046674" s="19"/>
      <c r="M1046674" s="19"/>
      <c r="N1046674" s="19"/>
    </row>
    <row r="1046675" spans="1:14" s="83" customFormat="1" ht="12.75">
      <c r="A1046675" s="19"/>
      <c r="B1046675" s="19"/>
      <c r="C1046675" s="19"/>
      <c r="D1046675" s="19"/>
      <c r="E1046675" s="19"/>
      <c r="F1046675" s="19"/>
      <c r="G1046675" s="19"/>
      <c r="H1046675" s="19"/>
      <c r="I1046675" s="19"/>
      <c r="J1046675" s="19"/>
      <c r="K1046675" s="19"/>
      <c r="L1046675" s="19"/>
      <c r="M1046675" s="19"/>
      <c r="N1046675" s="19"/>
    </row>
    <row r="1046676" spans="1:14" s="83" customFormat="1" ht="12.75">
      <c r="A1046676" s="19"/>
      <c r="B1046676" s="19"/>
      <c r="C1046676" s="19"/>
      <c r="D1046676" s="19"/>
      <c r="E1046676" s="19"/>
      <c r="F1046676" s="19"/>
      <c r="G1046676" s="19"/>
      <c r="H1046676" s="19"/>
      <c r="I1046676" s="19"/>
      <c r="J1046676" s="19"/>
      <c r="K1046676" s="19"/>
      <c r="L1046676" s="19"/>
      <c r="M1046676" s="19"/>
      <c r="N1046676" s="19"/>
    </row>
    <row r="1046677" spans="1:14" s="83" customFormat="1" ht="12.75">
      <c r="A1046677" s="19"/>
      <c r="B1046677" s="19"/>
      <c r="C1046677" s="19"/>
      <c r="D1046677" s="19"/>
      <c r="E1046677" s="19"/>
      <c r="F1046677" s="19"/>
      <c r="G1046677" s="19"/>
      <c r="H1046677" s="19"/>
      <c r="I1046677" s="19"/>
      <c r="J1046677" s="19"/>
      <c r="K1046677" s="19"/>
      <c r="L1046677" s="19"/>
      <c r="M1046677" s="19"/>
      <c r="N1046677" s="19"/>
    </row>
    <row r="1046678" spans="1:14" s="83" customFormat="1" ht="12.75">
      <c r="A1046678" s="19"/>
      <c r="B1046678" s="19"/>
      <c r="C1046678" s="19"/>
      <c r="D1046678" s="19"/>
      <c r="E1046678" s="19"/>
      <c r="F1046678" s="19"/>
      <c r="G1046678" s="19"/>
      <c r="H1046678" s="19"/>
      <c r="I1046678" s="19"/>
      <c r="J1046678" s="19"/>
      <c r="K1046678" s="19"/>
      <c r="L1046678" s="19"/>
      <c r="M1046678" s="19"/>
      <c r="N1046678" s="19"/>
    </row>
    <row r="1046679" spans="1:14" s="83" customFormat="1" ht="12.75">
      <c r="A1046679" s="19"/>
      <c r="B1046679" s="19"/>
      <c r="C1046679" s="19"/>
      <c r="D1046679" s="19"/>
      <c r="E1046679" s="19"/>
      <c r="F1046679" s="19"/>
      <c r="G1046679" s="19"/>
      <c r="H1046679" s="19"/>
      <c r="I1046679" s="19"/>
      <c r="J1046679" s="19"/>
      <c r="K1046679" s="19"/>
      <c r="L1046679" s="19"/>
      <c r="M1046679" s="19"/>
      <c r="N1046679" s="19"/>
    </row>
    <row r="1046680" spans="1:14" s="83" customFormat="1" ht="12.75">
      <c r="A1046680" s="19"/>
      <c r="B1046680" s="19"/>
      <c r="C1046680" s="19"/>
      <c r="D1046680" s="19"/>
      <c r="E1046680" s="19"/>
      <c r="F1046680" s="19"/>
      <c r="G1046680" s="19"/>
      <c r="H1046680" s="19"/>
      <c r="I1046680" s="19"/>
      <c r="J1046680" s="19"/>
      <c r="K1046680" s="19"/>
      <c r="L1046680" s="19"/>
      <c r="M1046680" s="19"/>
      <c r="N1046680" s="19"/>
    </row>
    <row r="1046681" spans="1:14" s="83" customFormat="1" ht="12.75">
      <c r="A1046681" s="19"/>
      <c r="B1046681" s="19"/>
      <c r="C1046681" s="19"/>
      <c r="D1046681" s="19"/>
      <c r="E1046681" s="19"/>
      <c r="F1046681" s="19"/>
      <c r="G1046681" s="19"/>
      <c r="H1046681" s="19"/>
      <c r="I1046681" s="19"/>
      <c r="J1046681" s="19"/>
      <c r="K1046681" s="19"/>
      <c r="L1046681" s="19"/>
      <c r="M1046681" s="19"/>
      <c r="N1046681" s="19"/>
    </row>
    <row r="1046682" spans="1:14" s="83" customFormat="1" ht="12.75">
      <c r="A1046682" s="19"/>
      <c r="B1046682" s="19"/>
      <c r="C1046682" s="19"/>
      <c r="D1046682" s="19"/>
      <c r="E1046682" s="19"/>
      <c r="F1046682" s="19"/>
      <c r="G1046682" s="19"/>
      <c r="H1046682" s="19"/>
      <c r="I1046682" s="19"/>
      <c r="J1046682" s="19"/>
      <c r="K1046682" s="19"/>
      <c r="L1046682" s="19"/>
      <c r="M1046682" s="19"/>
      <c r="N1046682" s="19"/>
    </row>
    <row r="1046683" spans="1:14" s="83" customFormat="1" ht="12.75">
      <c r="A1046683" s="19"/>
      <c r="B1046683" s="19"/>
      <c r="C1046683" s="19"/>
      <c r="D1046683" s="19"/>
      <c r="E1046683" s="19"/>
      <c r="F1046683" s="19"/>
      <c r="G1046683" s="19"/>
      <c r="H1046683" s="19"/>
      <c r="I1046683" s="19"/>
      <c r="J1046683" s="19"/>
      <c r="K1046683" s="19"/>
      <c r="L1046683" s="19"/>
      <c r="M1046683" s="19"/>
      <c r="N1046683" s="19"/>
    </row>
    <row r="1046684" spans="1:14" s="83" customFormat="1" ht="12.75">
      <c r="A1046684" s="19"/>
      <c r="B1046684" s="19"/>
      <c r="C1046684" s="19"/>
      <c r="D1046684" s="19"/>
      <c r="E1046684" s="19"/>
      <c r="F1046684" s="19"/>
      <c r="G1046684" s="19"/>
      <c r="H1046684" s="19"/>
      <c r="I1046684" s="19"/>
      <c r="J1046684" s="19"/>
      <c r="K1046684" s="19"/>
      <c r="L1046684" s="19"/>
      <c r="M1046684" s="19"/>
      <c r="N1046684" s="19"/>
    </row>
    <row r="1046685" spans="1:14" s="83" customFormat="1" ht="12.75">
      <c r="A1046685" s="19"/>
      <c r="B1046685" s="19"/>
      <c r="C1046685" s="19"/>
      <c r="D1046685" s="19"/>
      <c r="E1046685" s="19"/>
      <c r="F1046685" s="19"/>
      <c r="G1046685" s="19"/>
      <c r="H1046685" s="19"/>
      <c r="I1046685" s="19"/>
      <c r="J1046685" s="19"/>
      <c r="K1046685" s="19"/>
      <c r="L1046685" s="19"/>
      <c r="M1046685" s="19"/>
      <c r="N1046685" s="19"/>
    </row>
    <row r="1046686" spans="1:14" s="83" customFormat="1" ht="12.75">
      <c r="A1046686" s="19"/>
      <c r="B1046686" s="19"/>
      <c r="C1046686" s="19"/>
      <c r="D1046686" s="19"/>
      <c r="E1046686" s="19"/>
      <c r="F1046686" s="19"/>
      <c r="G1046686" s="19"/>
      <c r="H1046686" s="19"/>
      <c r="I1046686" s="19"/>
      <c r="J1046686" s="19"/>
      <c r="K1046686" s="19"/>
      <c r="L1046686" s="19"/>
      <c r="M1046686" s="19"/>
      <c r="N1046686" s="19"/>
    </row>
    <row r="1046687" spans="1:14" s="83" customFormat="1" ht="12.75">
      <c r="A1046687" s="19"/>
      <c r="B1046687" s="19"/>
      <c r="C1046687" s="19"/>
      <c r="D1046687" s="19"/>
      <c r="E1046687" s="19"/>
      <c r="F1046687" s="19"/>
      <c r="G1046687" s="19"/>
      <c r="H1046687" s="19"/>
      <c r="I1046687" s="19"/>
      <c r="J1046687" s="19"/>
      <c r="K1046687" s="19"/>
      <c r="L1046687" s="19"/>
      <c r="M1046687" s="19"/>
      <c r="N1046687" s="19"/>
    </row>
    <row r="1046688" spans="1:14" s="83" customFormat="1" ht="12.75">
      <c r="A1046688" s="19"/>
      <c r="B1046688" s="19"/>
      <c r="C1046688" s="19"/>
      <c r="D1046688" s="19"/>
      <c r="E1046688" s="19"/>
      <c r="F1046688" s="19"/>
      <c r="G1046688" s="19"/>
      <c r="H1046688" s="19"/>
      <c r="I1046688" s="19"/>
      <c r="J1046688" s="19"/>
      <c r="K1046688" s="19"/>
      <c r="L1046688" s="19"/>
      <c r="M1046688" s="19"/>
      <c r="N1046688" s="19"/>
    </row>
    <row r="1046689" spans="1:14" s="83" customFormat="1" ht="12.75">
      <c r="A1046689" s="19"/>
      <c r="B1046689" s="19"/>
      <c r="C1046689" s="19"/>
      <c r="D1046689" s="19"/>
      <c r="E1046689" s="19"/>
      <c r="F1046689" s="19"/>
      <c r="G1046689" s="19"/>
      <c r="H1046689" s="19"/>
      <c r="I1046689" s="19"/>
      <c r="J1046689" s="19"/>
      <c r="K1046689" s="19"/>
      <c r="L1046689" s="19"/>
      <c r="M1046689" s="19"/>
      <c r="N1046689" s="19"/>
    </row>
    <row r="1046690" spans="1:14" s="83" customFormat="1" ht="12.75">
      <c r="A1046690" s="19"/>
      <c r="B1046690" s="19"/>
      <c r="C1046690" s="19"/>
      <c r="D1046690" s="19"/>
      <c r="E1046690" s="19"/>
      <c r="F1046690" s="19"/>
      <c r="G1046690" s="19"/>
      <c r="H1046690" s="19"/>
      <c r="I1046690" s="19"/>
      <c r="J1046690" s="19"/>
      <c r="K1046690" s="19"/>
      <c r="L1046690" s="19"/>
      <c r="M1046690" s="19"/>
      <c r="N1046690" s="19"/>
    </row>
    <row r="1046691" spans="1:14" s="83" customFormat="1" ht="12.75">
      <c r="A1046691" s="19"/>
      <c r="B1046691" s="19"/>
      <c r="C1046691" s="19"/>
      <c r="D1046691" s="19"/>
      <c r="E1046691" s="19"/>
      <c r="F1046691" s="19"/>
      <c r="G1046691" s="19"/>
      <c r="H1046691" s="19"/>
      <c r="I1046691" s="19"/>
      <c r="J1046691" s="19"/>
      <c r="K1046691" s="19"/>
      <c r="L1046691" s="19"/>
      <c r="M1046691" s="19"/>
      <c r="N1046691" s="19"/>
    </row>
    <row r="1046692" spans="1:14" s="83" customFormat="1" ht="12.75">
      <c r="A1046692" s="19"/>
      <c r="B1046692" s="19"/>
      <c r="C1046692" s="19"/>
      <c r="D1046692" s="19"/>
      <c r="E1046692" s="19"/>
      <c r="F1046692" s="19"/>
      <c r="G1046692" s="19"/>
      <c r="H1046692" s="19"/>
      <c r="I1046692" s="19"/>
      <c r="J1046692" s="19"/>
      <c r="K1046692" s="19"/>
      <c r="L1046692" s="19"/>
      <c r="M1046692" s="19"/>
      <c r="N1046692" s="19"/>
    </row>
    <row r="1046693" spans="1:14" s="83" customFormat="1" ht="12.75">
      <c r="A1046693" s="19"/>
      <c r="B1046693" s="19"/>
      <c r="C1046693" s="19"/>
      <c r="D1046693" s="19"/>
      <c r="E1046693" s="19"/>
      <c r="F1046693" s="19"/>
      <c r="G1046693" s="19"/>
      <c r="H1046693" s="19"/>
      <c r="I1046693" s="19"/>
      <c r="J1046693" s="19"/>
      <c r="K1046693" s="19"/>
      <c r="L1046693" s="19"/>
      <c r="M1046693" s="19"/>
      <c r="N1046693" s="19"/>
    </row>
    <row r="1046694" spans="1:14" s="83" customFormat="1" ht="12.75">
      <c r="A1046694" s="19"/>
      <c r="B1046694" s="19"/>
      <c r="C1046694" s="19"/>
      <c r="D1046694" s="19"/>
      <c r="E1046694" s="19"/>
      <c r="F1046694" s="19"/>
      <c r="G1046694" s="19"/>
      <c r="H1046694" s="19"/>
      <c r="I1046694" s="19"/>
      <c r="J1046694" s="19"/>
      <c r="K1046694" s="19"/>
      <c r="L1046694" s="19"/>
      <c r="M1046694" s="19"/>
      <c r="N1046694" s="19"/>
    </row>
    <row r="1046695" spans="1:14" s="83" customFormat="1" ht="12.75">
      <c r="A1046695" s="19"/>
      <c r="B1046695" s="19"/>
      <c r="C1046695" s="19"/>
      <c r="D1046695" s="19"/>
      <c r="E1046695" s="19"/>
      <c r="F1046695" s="19"/>
      <c r="G1046695" s="19"/>
      <c r="H1046695" s="19"/>
      <c r="I1046695" s="19"/>
      <c r="J1046695" s="19"/>
      <c r="K1046695" s="19"/>
      <c r="L1046695" s="19"/>
      <c r="M1046695" s="19"/>
      <c r="N1046695" s="19"/>
    </row>
    <row r="1046696" spans="1:14" s="83" customFormat="1" ht="12.75">
      <c r="A1046696" s="19"/>
      <c r="B1046696" s="19"/>
      <c r="C1046696" s="19"/>
      <c r="D1046696" s="19"/>
      <c r="E1046696" s="19"/>
      <c r="F1046696" s="19"/>
      <c r="G1046696" s="19"/>
      <c r="H1046696" s="19"/>
      <c r="I1046696" s="19"/>
      <c r="J1046696" s="19"/>
      <c r="K1046696" s="19"/>
      <c r="L1046696" s="19"/>
      <c r="M1046696" s="19"/>
      <c r="N1046696" s="19"/>
    </row>
    <row r="1046697" spans="1:14" s="83" customFormat="1" ht="12.75">
      <c r="A1046697" s="19"/>
      <c r="B1046697" s="19"/>
      <c r="C1046697" s="19"/>
      <c r="D1046697" s="19"/>
      <c r="E1046697" s="19"/>
      <c r="F1046697" s="19"/>
      <c r="G1046697" s="19"/>
      <c r="H1046697" s="19"/>
      <c r="I1046697" s="19"/>
      <c r="J1046697" s="19"/>
      <c r="K1046697" s="19"/>
      <c r="L1046697" s="19"/>
      <c r="M1046697" s="19"/>
      <c r="N1046697" s="19"/>
    </row>
    <row r="1046698" spans="1:14" s="83" customFormat="1" ht="12.75">
      <c r="A1046698" s="19"/>
      <c r="B1046698" s="19"/>
      <c r="C1046698" s="19"/>
      <c r="D1046698" s="19"/>
      <c r="E1046698" s="19"/>
      <c r="F1046698" s="19"/>
      <c r="G1046698" s="19"/>
      <c r="H1046698" s="19"/>
      <c r="I1046698" s="19"/>
      <c r="J1046698" s="19"/>
      <c r="K1046698" s="19"/>
      <c r="L1046698" s="19"/>
      <c r="M1046698" s="19"/>
      <c r="N1046698" s="19"/>
    </row>
    <row r="1046699" spans="1:14" s="83" customFormat="1" ht="12.75">
      <c r="A1046699" s="19"/>
      <c r="B1046699" s="19"/>
      <c r="C1046699" s="19"/>
      <c r="D1046699" s="19"/>
      <c r="E1046699" s="19"/>
      <c r="F1046699" s="19"/>
      <c r="G1046699" s="19"/>
      <c r="H1046699" s="19"/>
      <c r="I1046699" s="19"/>
      <c r="J1046699" s="19"/>
      <c r="K1046699" s="19"/>
      <c r="L1046699" s="19"/>
      <c r="M1046699" s="19"/>
      <c r="N1046699" s="19"/>
    </row>
    <row r="1046700" spans="1:14" s="83" customFormat="1" ht="12.75">
      <c r="A1046700" s="19"/>
      <c r="B1046700" s="19"/>
      <c r="C1046700" s="19"/>
      <c r="D1046700" s="19"/>
      <c r="E1046700" s="19"/>
      <c r="F1046700" s="19"/>
      <c r="G1046700" s="19"/>
      <c r="H1046700" s="19"/>
      <c r="I1046700" s="19"/>
      <c r="J1046700" s="19"/>
      <c r="K1046700" s="19"/>
      <c r="L1046700" s="19"/>
      <c r="M1046700" s="19"/>
      <c r="N1046700" s="19"/>
    </row>
    <row r="1046701" spans="1:14" s="83" customFormat="1" ht="12.75">
      <c r="A1046701" s="19"/>
      <c r="B1046701" s="19"/>
      <c r="C1046701" s="19"/>
      <c r="D1046701" s="19"/>
      <c r="E1046701" s="19"/>
      <c r="F1046701" s="19"/>
      <c r="G1046701" s="19"/>
      <c r="H1046701" s="19"/>
      <c r="I1046701" s="19"/>
      <c r="J1046701" s="19"/>
      <c r="K1046701" s="19"/>
      <c r="L1046701" s="19"/>
      <c r="M1046701" s="19"/>
      <c r="N1046701" s="19"/>
    </row>
    <row r="1046702" spans="1:14" s="83" customFormat="1" ht="12.75">
      <c r="A1046702" s="19"/>
      <c r="B1046702" s="19"/>
      <c r="C1046702" s="19"/>
      <c r="D1046702" s="19"/>
      <c r="E1046702" s="19"/>
      <c r="F1046702" s="19"/>
      <c r="G1046702" s="19"/>
      <c r="H1046702" s="19"/>
      <c r="I1046702" s="19"/>
      <c r="J1046702" s="19"/>
      <c r="K1046702" s="19"/>
      <c r="L1046702" s="19"/>
      <c r="M1046702" s="19"/>
      <c r="N1046702" s="19"/>
    </row>
    <row r="1046703" spans="1:14" s="83" customFormat="1" ht="12.75">
      <c r="A1046703" s="19"/>
      <c r="B1046703" s="19"/>
      <c r="C1046703" s="19"/>
      <c r="D1046703" s="19"/>
      <c r="E1046703" s="19"/>
      <c r="F1046703" s="19"/>
      <c r="G1046703" s="19"/>
      <c r="H1046703" s="19"/>
      <c r="I1046703" s="19"/>
      <c r="J1046703" s="19"/>
      <c r="K1046703" s="19"/>
      <c r="L1046703" s="19"/>
      <c r="M1046703" s="19"/>
      <c r="N1046703" s="19"/>
    </row>
    <row r="1046704" spans="1:14" s="83" customFormat="1" ht="12.75">
      <c r="A1046704" s="19"/>
      <c r="B1046704" s="19"/>
      <c r="C1046704" s="19"/>
      <c r="D1046704" s="19"/>
      <c r="E1046704" s="19"/>
      <c r="F1046704" s="19"/>
      <c r="G1046704" s="19"/>
      <c r="H1046704" s="19"/>
      <c r="I1046704" s="19"/>
      <c r="J1046704" s="19"/>
      <c r="K1046704" s="19"/>
      <c r="L1046704" s="19"/>
      <c r="M1046704" s="19"/>
      <c r="N1046704" s="19"/>
    </row>
    <row r="1046705" spans="1:14" s="83" customFormat="1" ht="12.75">
      <c r="A1046705" s="19"/>
      <c r="B1046705" s="19"/>
      <c r="C1046705" s="19"/>
      <c r="D1046705" s="19"/>
      <c r="E1046705" s="19"/>
      <c r="F1046705" s="19"/>
      <c r="G1046705" s="19"/>
      <c r="H1046705" s="19"/>
      <c r="I1046705" s="19"/>
      <c r="J1046705" s="19"/>
      <c r="K1046705" s="19"/>
      <c r="L1046705" s="19"/>
      <c r="M1046705" s="19"/>
      <c r="N1046705" s="19"/>
    </row>
    <row r="1046706" spans="1:14" s="83" customFormat="1" ht="12.75">
      <c r="A1046706" s="19"/>
      <c r="B1046706" s="19"/>
      <c r="C1046706" s="19"/>
      <c r="D1046706" s="19"/>
      <c r="E1046706" s="19"/>
      <c r="F1046706" s="19"/>
      <c r="G1046706" s="19"/>
      <c r="H1046706" s="19"/>
      <c r="I1046706" s="19"/>
      <c r="J1046706" s="19"/>
      <c r="K1046706" s="19"/>
      <c r="L1046706" s="19"/>
      <c r="M1046706" s="19"/>
      <c r="N1046706" s="19"/>
    </row>
    <row r="1046707" spans="1:14" s="83" customFormat="1" ht="12.75">
      <c r="A1046707" s="19"/>
      <c r="B1046707" s="19"/>
      <c r="C1046707" s="19"/>
      <c r="D1046707" s="19"/>
      <c r="E1046707" s="19"/>
      <c r="F1046707" s="19"/>
      <c r="G1046707" s="19"/>
      <c r="H1046707" s="19"/>
      <c r="I1046707" s="19"/>
      <c r="J1046707" s="19"/>
      <c r="K1046707" s="19"/>
      <c r="L1046707" s="19"/>
      <c r="M1046707" s="19"/>
      <c r="N1046707" s="19"/>
    </row>
    <row r="1046708" spans="1:14" s="83" customFormat="1" ht="12.75">
      <c r="A1046708" s="19"/>
      <c r="B1046708" s="19"/>
      <c r="C1046708" s="19"/>
      <c r="D1046708" s="19"/>
      <c r="E1046708" s="19"/>
      <c r="F1046708" s="19"/>
      <c r="G1046708" s="19"/>
      <c r="H1046708" s="19"/>
      <c r="I1046708" s="19"/>
      <c r="J1046708" s="19"/>
      <c r="K1046708" s="19"/>
      <c r="L1046708" s="19"/>
      <c r="M1046708" s="19"/>
      <c r="N1046708" s="19"/>
    </row>
    <row r="1046709" spans="1:14" s="83" customFormat="1" ht="12.75">
      <c r="A1046709" s="19"/>
      <c r="B1046709" s="19"/>
      <c r="C1046709" s="19"/>
      <c r="D1046709" s="19"/>
      <c r="E1046709" s="19"/>
      <c r="F1046709" s="19"/>
      <c r="G1046709" s="19"/>
      <c r="H1046709" s="19"/>
      <c r="I1046709" s="19"/>
      <c r="J1046709" s="19"/>
      <c r="K1046709" s="19"/>
      <c r="L1046709" s="19"/>
      <c r="M1046709" s="19"/>
      <c r="N1046709" s="19"/>
    </row>
    <row r="1046710" spans="1:14" s="83" customFormat="1" ht="12.75">
      <c r="A1046710" s="19"/>
      <c r="B1046710" s="19"/>
      <c r="C1046710" s="19"/>
      <c r="D1046710" s="19"/>
      <c r="E1046710" s="19"/>
      <c r="F1046710" s="19"/>
      <c r="G1046710" s="19"/>
      <c r="H1046710" s="19"/>
      <c r="I1046710" s="19"/>
      <c r="J1046710" s="19"/>
      <c r="K1046710" s="19"/>
      <c r="L1046710" s="19"/>
      <c r="M1046710" s="19"/>
      <c r="N1046710" s="19"/>
    </row>
    <row r="1046711" spans="1:14" s="83" customFormat="1" ht="12.75">
      <c r="A1046711" s="19"/>
      <c r="B1046711" s="19"/>
      <c r="C1046711" s="19"/>
      <c r="D1046711" s="19"/>
      <c r="E1046711" s="19"/>
      <c r="F1046711" s="19"/>
      <c r="G1046711" s="19"/>
      <c r="H1046711" s="19"/>
      <c r="I1046711" s="19"/>
      <c r="J1046711" s="19"/>
      <c r="K1046711" s="19"/>
      <c r="L1046711" s="19"/>
      <c r="M1046711" s="19"/>
      <c r="N1046711" s="19"/>
    </row>
    <row r="1046712" spans="1:14" s="83" customFormat="1" ht="12.75">
      <c r="A1046712" s="19"/>
      <c r="B1046712" s="19"/>
      <c r="C1046712" s="19"/>
      <c r="D1046712" s="19"/>
      <c r="E1046712" s="19"/>
      <c r="F1046712" s="19"/>
      <c r="G1046712" s="19"/>
      <c r="H1046712" s="19"/>
      <c r="I1046712" s="19"/>
      <c r="J1046712" s="19"/>
      <c r="K1046712" s="19"/>
      <c r="L1046712" s="19"/>
      <c r="M1046712" s="19"/>
      <c r="N1046712" s="19"/>
    </row>
    <row r="1046713" spans="1:14" s="83" customFormat="1" ht="12.75">
      <c r="A1046713" s="19"/>
      <c r="B1046713" s="19"/>
      <c r="C1046713" s="19"/>
      <c r="D1046713" s="19"/>
      <c r="E1046713" s="19"/>
      <c r="F1046713" s="19"/>
      <c r="G1046713" s="19"/>
      <c r="H1046713" s="19"/>
      <c r="I1046713" s="19"/>
      <c r="J1046713" s="19"/>
      <c r="K1046713" s="19"/>
      <c r="L1046713" s="19"/>
      <c r="M1046713" s="19"/>
      <c r="N1046713" s="19"/>
    </row>
    <row r="1046714" spans="1:14" s="83" customFormat="1" ht="12.75">
      <c r="A1046714" s="19"/>
      <c r="B1046714" s="19"/>
      <c r="C1046714" s="19"/>
      <c r="D1046714" s="19"/>
      <c r="E1046714" s="19"/>
      <c r="F1046714" s="19"/>
      <c r="G1046714" s="19"/>
      <c r="H1046714" s="19"/>
      <c r="I1046714" s="19"/>
      <c r="J1046714" s="19"/>
      <c r="K1046714" s="19"/>
      <c r="L1046714" s="19"/>
      <c r="M1046714" s="19"/>
      <c r="N1046714" s="19"/>
    </row>
    <row r="1046715" spans="1:14" s="83" customFormat="1" ht="12.75">
      <c r="A1046715" s="19"/>
      <c r="B1046715" s="19"/>
      <c r="C1046715" s="19"/>
      <c r="D1046715" s="19"/>
      <c r="E1046715" s="19"/>
      <c r="F1046715" s="19"/>
      <c r="G1046715" s="19"/>
      <c r="H1046715" s="19"/>
      <c r="I1046715" s="19"/>
      <c r="J1046715" s="19"/>
      <c r="K1046715" s="19"/>
      <c r="L1046715" s="19"/>
      <c r="M1046715" s="19"/>
      <c r="N1046715" s="19"/>
    </row>
    <row r="1046716" spans="1:14" s="83" customFormat="1" ht="12.75">
      <c r="A1046716" s="19"/>
      <c r="B1046716" s="19"/>
      <c r="C1046716" s="19"/>
      <c r="D1046716" s="19"/>
      <c r="E1046716" s="19"/>
      <c r="F1046716" s="19"/>
      <c r="G1046716" s="19"/>
      <c r="H1046716" s="19"/>
      <c r="I1046716" s="19"/>
      <c r="J1046716" s="19"/>
      <c r="K1046716" s="19"/>
      <c r="L1046716" s="19"/>
      <c r="M1046716" s="19"/>
      <c r="N1046716" s="19"/>
    </row>
    <row r="1046717" spans="1:14" s="83" customFormat="1" ht="12.75">
      <c r="A1046717" s="19"/>
      <c r="B1046717" s="19"/>
      <c r="C1046717" s="19"/>
      <c r="D1046717" s="19"/>
      <c r="E1046717" s="19"/>
      <c r="F1046717" s="19"/>
      <c r="G1046717" s="19"/>
      <c r="H1046717" s="19"/>
      <c r="I1046717" s="19"/>
      <c r="J1046717" s="19"/>
      <c r="K1046717" s="19"/>
      <c r="L1046717" s="19"/>
      <c r="M1046717" s="19"/>
      <c r="N1046717" s="19"/>
    </row>
    <row r="1046718" spans="1:14" s="83" customFormat="1" ht="12.75">
      <c r="A1046718" s="19"/>
      <c r="B1046718" s="19"/>
      <c r="C1046718" s="19"/>
      <c r="D1046718" s="19"/>
      <c r="E1046718" s="19"/>
      <c r="F1046718" s="19"/>
      <c r="G1046718" s="19"/>
      <c r="H1046718" s="19"/>
      <c r="I1046718" s="19"/>
      <c r="J1046718" s="19"/>
      <c r="K1046718" s="19"/>
      <c r="L1046718" s="19"/>
      <c r="M1046718" s="19"/>
      <c r="N1046718" s="19"/>
    </row>
    <row r="1046719" spans="1:14" s="83" customFormat="1" ht="12.75">
      <c r="A1046719" s="19"/>
      <c r="B1046719" s="19"/>
      <c r="C1046719" s="19"/>
      <c r="D1046719" s="19"/>
      <c r="E1046719" s="19"/>
      <c r="F1046719" s="19"/>
      <c r="G1046719" s="19"/>
      <c r="H1046719" s="19"/>
      <c r="I1046719" s="19"/>
      <c r="J1046719" s="19"/>
      <c r="K1046719" s="19"/>
      <c r="L1046719" s="19"/>
      <c r="M1046719" s="19"/>
      <c r="N1046719" s="19"/>
    </row>
    <row r="1046720" spans="1:14" s="83" customFormat="1" ht="12.75">
      <c r="A1046720" s="19"/>
      <c r="B1046720" s="19"/>
      <c r="C1046720" s="19"/>
      <c r="D1046720" s="19"/>
      <c r="E1046720" s="19"/>
      <c r="F1046720" s="19"/>
      <c r="G1046720" s="19"/>
      <c r="H1046720" s="19"/>
      <c r="I1046720" s="19"/>
      <c r="J1046720" s="19"/>
      <c r="K1046720" s="19"/>
      <c r="L1046720" s="19"/>
      <c r="M1046720" s="19"/>
      <c r="N1046720" s="19"/>
    </row>
    <row r="1046721" spans="1:14" s="83" customFormat="1" ht="12.75">
      <c r="A1046721" s="19"/>
      <c r="B1046721" s="19"/>
      <c r="C1046721" s="19"/>
      <c r="D1046721" s="19"/>
      <c r="E1046721" s="19"/>
      <c r="F1046721" s="19"/>
      <c r="G1046721" s="19"/>
      <c r="H1046721" s="19"/>
      <c r="I1046721" s="19"/>
      <c r="J1046721" s="19"/>
      <c r="K1046721" s="19"/>
      <c r="L1046721" s="19"/>
      <c r="M1046721" s="19"/>
      <c r="N1046721" s="19"/>
    </row>
    <row r="1046722" spans="1:14" s="83" customFormat="1" ht="12.75">
      <c r="A1046722" s="19"/>
      <c r="B1046722" s="19"/>
      <c r="C1046722" s="19"/>
      <c r="D1046722" s="19"/>
      <c r="E1046722" s="19"/>
      <c r="F1046722" s="19"/>
      <c r="G1046722" s="19"/>
      <c r="H1046722" s="19"/>
      <c r="I1046722" s="19"/>
      <c r="J1046722" s="19"/>
      <c r="K1046722" s="19"/>
      <c r="L1046722" s="19"/>
      <c r="M1046722" s="19"/>
      <c r="N1046722" s="19"/>
    </row>
    <row r="1046723" spans="1:14" s="83" customFormat="1" ht="12.75">
      <c r="A1046723" s="19"/>
      <c r="B1046723" s="19"/>
      <c r="C1046723" s="19"/>
      <c r="D1046723" s="19"/>
      <c r="E1046723" s="19"/>
      <c r="F1046723" s="19"/>
      <c r="G1046723" s="19"/>
      <c r="H1046723" s="19"/>
      <c r="I1046723" s="19"/>
      <c r="J1046723" s="19"/>
      <c r="K1046723" s="19"/>
      <c r="L1046723" s="19"/>
      <c r="M1046723" s="19"/>
      <c r="N1046723" s="19"/>
    </row>
    <row r="1046724" spans="1:14" s="83" customFormat="1" ht="12.75">
      <c r="A1046724" s="19"/>
      <c r="B1046724" s="19"/>
      <c r="C1046724" s="19"/>
      <c r="D1046724" s="19"/>
      <c r="E1046724" s="19"/>
      <c r="F1046724" s="19"/>
      <c r="G1046724" s="19"/>
      <c r="H1046724" s="19"/>
      <c r="I1046724" s="19"/>
      <c r="J1046724" s="19"/>
      <c r="K1046724" s="19"/>
      <c r="L1046724" s="19"/>
      <c r="M1046724" s="19"/>
      <c r="N1046724" s="19"/>
    </row>
    <row r="1046725" spans="1:14" s="83" customFormat="1" ht="12.75">
      <c r="A1046725" s="19"/>
      <c r="B1046725" s="19"/>
      <c r="C1046725" s="19"/>
      <c r="D1046725" s="19"/>
      <c r="E1046725" s="19"/>
      <c r="F1046725" s="19"/>
      <c r="G1046725" s="19"/>
      <c r="H1046725" s="19"/>
      <c r="I1046725" s="19"/>
      <c r="J1046725" s="19"/>
      <c r="K1046725" s="19"/>
      <c r="L1046725" s="19"/>
      <c r="M1046725" s="19"/>
      <c r="N1046725" s="19"/>
    </row>
    <row r="1046726" spans="1:14" s="83" customFormat="1" ht="12.75">
      <c r="A1046726" s="19"/>
      <c r="B1046726" s="19"/>
      <c r="C1046726" s="19"/>
      <c r="D1046726" s="19"/>
      <c r="E1046726" s="19"/>
      <c r="F1046726" s="19"/>
      <c r="G1046726" s="19"/>
      <c r="H1046726" s="19"/>
      <c r="I1046726" s="19"/>
      <c r="J1046726" s="19"/>
      <c r="K1046726" s="19"/>
      <c r="L1046726" s="19"/>
      <c r="M1046726" s="19"/>
      <c r="N1046726" s="19"/>
    </row>
    <row r="1046727" spans="1:14" s="83" customFormat="1" ht="12.75">
      <c r="A1046727" s="19"/>
      <c r="B1046727" s="19"/>
      <c r="C1046727" s="19"/>
      <c r="D1046727" s="19"/>
      <c r="E1046727" s="19"/>
      <c r="F1046727" s="19"/>
      <c r="G1046727" s="19"/>
      <c r="H1046727" s="19"/>
      <c r="I1046727" s="19"/>
      <c r="J1046727" s="19"/>
      <c r="K1046727" s="19"/>
      <c r="L1046727" s="19"/>
      <c r="M1046727" s="19"/>
      <c r="N1046727" s="19"/>
    </row>
    <row r="1046728" spans="1:14" s="83" customFormat="1" ht="12.75">
      <c r="A1046728" s="19"/>
      <c r="B1046728" s="19"/>
      <c r="C1046728" s="19"/>
      <c r="D1046728" s="19"/>
      <c r="E1046728" s="19"/>
      <c r="F1046728" s="19"/>
      <c r="G1046728" s="19"/>
      <c r="H1046728" s="19"/>
      <c r="I1046728" s="19"/>
      <c r="J1046728" s="19"/>
      <c r="K1046728" s="19"/>
      <c r="L1046728" s="19"/>
      <c r="M1046728" s="19"/>
      <c r="N1046728" s="19"/>
    </row>
    <row r="1046729" spans="1:14" s="83" customFormat="1" ht="12.75">
      <c r="A1046729" s="19"/>
      <c r="B1046729" s="19"/>
      <c r="C1046729" s="19"/>
      <c r="D1046729" s="19"/>
      <c r="E1046729" s="19"/>
      <c r="F1046729" s="19"/>
      <c r="G1046729" s="19"/>
      <c r="H1046729" s="19"/>
      <c r="I1046729" s="19"/>
      <c r="J1046729" s="19"/>
      <c r="K1046729" s="19"/>
      <c r="L1046729" s="19"/>
      <c r="M1046729" s="19"/>
      <c r="N1046729" s="19"/>
    </row>
    <row r="1046730" spans="1:14" s="83" customFormat="1" ht="12.75">
      <c r="A1046730" s="19"/>
      <c r="B1046730" s="19"/>
      <c r="C1046730" s="19"/>
      <c r="D1046730" s="19"/>
      <c r="E1046730" s="19"/>
      <c r="F1046730" s="19"/>
      <c r="G1046730" s="19"/>
      <c r="H1046730" s="19"/>
      <c r="I1046730" s="19"/>
      <c r="J1046730" s="19"/>
      <c r="K1046730" s="19"/>
      <c r="L1046730" s="19"/>
      <c r="M1046730" s="19"/>
      <c r="N1046730" s="19"/>
    </row>
    <row r="1046731" spans="1:14" s="83" customFormat="1" ht="12.75">
      <c r="A1046731" s="19"/>
      <c r="B1046731" s="19"/>
      <c r="C1046731" s="19"/>
      <c r="D1046731" s="19"/>
      <c r="E1046731" s="19"/>
      <c r="F1046731" s="19"/>
      <c r="G1046731" s="19"/>
      <c r="H1046731" s="19"/>
      <c r="I1046731" s="19"/>
      <c r="J1046731" s="19"/>
      <c r="K1046731" s="19"/>
      <c r="L1046731" s="19"/>
      <c r="M1046731" s="19"/>
      <c r="N1046731" s="19"/>
    </row>
    <row r="1046732" spans="1:14" s="83" customFormat="1" ht="12.75">
      <c r="A1046732" s="19"/>
      <c r="B1046732" s="19"/>
      <c r="C1046732" s="19"/>
      <c r="D1046732" s="19"/>
      <c r="E1046732" s="19"/>
      <c r="F1046732" s="19"/>
      <c r="G1046732" s="19"/>
      <c r="H1046732" s="19"/>
      <c r="I1046732" s="19"/>
      <c r="J1046732" s="19"/>
      <c r="K1046732" s="19"/>
      <c r="L1046732" s="19"/>
      <c r="M1046732" s="19"/>
      <c r="N1046732" s="19"/>
    </row>
    <row r="1046733" spans="1:14" s="83" customFormat="1" ht="12.75">
      <c r="A1046733" s="19"/>
      <c r="B1046733" s="19"/>
      <c r="C1046733" s="19"/>
      <c r="D1046733" s="19"/>
      <c r="E1046733" s="19"/>
      <c r="F1046733" s="19"/>
      <c r="G1046733" s="19"/>
      <c r="H1046733" s="19"/>
      <c r="I1046733" s="19"/>
      <c r="J1046733" s="19"/>
      <c r="K1046733" s="19"/>
      <c r="L1046733" s="19"/>
      <c r="M1046733" s="19"/>
      <c r="N1046733" s="19"/>
    </row>
    <row r="1046734" spans="1:14" s="83" customFormat="1" ht="12.75">
      <c r="A1046734" s="19"/>
      <c r="B1046734" s="19"/>
      <c r="C1046734" s="19"/>
      <c r="D1046734" s="19"/>
      <c r="E1046734" s="19"/>
      <c r="F1046734" s="19"/>
      <c r="G1046734" s="19"/>
      <c r="H1046734" s="19"/>
      <c r="I1046734" s="19"/>
      <c r="J1046734" s="19"/>
      <c r="K1046734" s="19"/>
      <c r="L1046734" s="19"/>
      <c r="M1046734" s="19"/>
      <c r="N1046734" s="19"/>
    </row>
    <row r="1046735" spans="1:14" s="83" customFormat="1" ht="12.75">
      <c r="A1046735" s="19"/>
      <c r="B1046735" s="19"/>
      <c r="C1046735" s="19"/>
      <c r="D1046735" s="19"/>
      <c r="E1046735" s="19"/>
      <c r="F1046735" s="19"/>
      <c r="G1046735" s="19"/>
      <c r="H1046735" s="19"/>
      <c r="I1046735" s="19"/>
      <c r="J1046735" s="19"/>
      <c r="K1046735" s="19"/>
      <c r="L1046735" s="19"/>
      <c r="M1046735" s="19"/>
      <c r="N1046735" s="19"/>
    </row>
    <row r="1046736" spans="1:14" s="83" customFormat="1" ht="12.75">
      <c r="A1046736" s="19"/>
      <c r="B1046736" s="19"/>
      <c r="C1046736" s="19"/>
      <c r="D1046736" s="19"/>
      <c r="E1046736" s="19"/>
      <c r="F1046736" s="19"/>
      <c r="G1046736" s="19"/>
      <c r="H1046736" s="19"/>
      <c r="I1046736" s="19"/>
      <c r="J1046736" s="19"/>
      <c r="K1046736" s="19"/>
      <c r="L1046736" s="19"/>
      <c r="M1046736" s="19"/>
      <c r="N1046736" s="19"/>
    </row>
    <row r="1046737" spans="1:14" s="83" customFormat="1" ht="12.75">
      <c r="A1046737" s="19"/>
      <c r="B1046737" s="19"/>
      <c r="C1046737" s="19"/>
      <c r="D1046737" s="19"/>
      <c r="E1046737" s="19"/>
      <c r="F1046737" s="19"/>
      <c r="G1046737" s="19"/>
      <c r="H1046737" s="19"/>
      <c r="I1046737" s="19"/>
      <c r="J1046737" s="19"/>
      <c r="K1046737" s="19"/>
      <c r="L1046737" s="19"/>
      <c r="M1046737" s="19"/>
      <c r="N1046737" s="19"/>
    </row>
    <row r="1046738" spans="1:14" s="83" customFormat="1" ht="12.75">
      <c r="A1046738" s="19"/>
      <c r="B1046738" s="19"/>
      <c r="C1046738" s="19"/>
      <c r="D1046738" s="19"/>
      <c r="E1046738" s="19"/>
      <c r="F1046738" s="19"/>
      <c r="G1046738" s="19"/>
      <c r="H1046738" s="19"/>
      <c r="I1046738" s="19"/>
      <c r="J1046738" s="19"/>
      <c r="K1046738" s="19"/>
      <c r="L1046738" s="19"/>
      <c r="M1046738" s="19"/>
      <c r="N1046738" s="19"/>
    </row>
    <row r="1046739" spans="1:14" s="83" customFormat="1" ht="12.75">
      <c r="A1046739" s="19"/>
      <c r="B1046739" s="19"/>
      <c r="C1046739" s="19"/>
      <c r="D1046739" s="19"/>
      <c r="E1046739" s="19"/>
      <c r="F1046739" s="19"/>
      <c r="G1046739" s="19"/>
      <c r="H1046739" s="19"/>
      <c r="I1046739" s="19"/>
      <c r="J1046739" s="19"/>
      <c r="K1046739" s="19"/>
      <c r="L1046739" s="19"/>
      <c r="M1046739" s="19"/>
      <c r="N1046739" s="19"/>
    </row>
    <row r="1046740" spans="1:14" s="83" customFormat="1" ht="12.75">
      <c r="A1046740" s="19"/>
      <c r="B1046740" s="19"/>
      <c r="C1046740" s="19"/>
      <c r="D1046740" s="19"/>
      <c r="E1046740" s="19"/>
      <c r="F1046740" s="19"/>
      <c r="G1046740" s="19"/>
      <c r="H1046740" s="19"/>
      <c r="I1046740" s="19"/>
      <c r="J1046740" s="19"/>
      <c r="K1046740" s="19"/>
      <c r="L1046740" s="19"/>
      <c r="M1046740" s="19"/>
      <c r="N1046740" s="19"/>
    </row>
    <row r="1046741" spans="1:14" s="83" customFormat="1" ht="12.75">
      <c r="A1046741" s="19"/>
      <c r="B1046741" s="19"/>
      <c r="C1046741" s="19"/>
      <c r="D1046741" s="19"/>
      <c r="E1046741" s="19"/>
      <c r="F1046741" s="19"/>
      <c r="G1046741" s="19"/>
      <c r="H1046741" s="19"/>
      <c r="I1046741" s="19"/>
      <c r="J1046741" s="19"/>
      <c r="K1046741" s="19"/>
      <c r="L1046741" s="19"/>
      <c r="M1046741" s="19"/>
      <c r="N1046741" s="19"/>
    </row>
    <row r="1046742" spans="1:14" s="83" customFormat="1" ht="12.75">
      <c r="A1046742" s="19"/>
      <c r="B1046742" s="19"/>
      <c r="C1046742" s="19"/>
      <c r="D1046742" s="19"/>
      <c r="E1046742" s="19"/>
      <c r="F1046742" s="19"/>
      <c r="G1046742" s="19"/>
      <c r="H1046742" s="19"/>
      <c r="I1046742" s="19"/>
      <c r="J1046742" s="19"/>
      <c r="K1046742" s="19"/>
      <c r="L1046742" s="19"/>
      <c r="M1046742" s="19"/>
      <c r="N1046742" s="19"/>
    </row>
    <row r="1046743" spans="1:14" s="83" customFormat="1" ht="12.75">
      <c r="A1046743" s="19"/>
      <c r="B1046743" s="19"/>
      <c r="C1046743" s="19"/>
      <c r="D1046743" s="19"/>
      <c r="E1046743" s="19"/>
      <c r="F1046743" s="19"/>
      <c r="G1046743" s="19"/>
      <c r="H1046743" s="19"/>
      <c r="I1046743" s="19"/>
      <c r="J1046743" s="19"/>
      <c r="K1046743" s="19"/>
      <c r="L1046743" s="19"/>
      <c r="M1046743" s="19"/>
      <c r="N1046743" s="19"/>
    </row>
    <row r="1046744" spans="1:14" s="83" customFormat="1" ht="12.75">
      <c r="A1046744" s="19"/>
      <c r="B1046744" s="19"/>
      <c r="C1046744" s="19"/>
      <c r="D1046744" s="19"/>
      <c r="E1046744" s="19"/>
      <c r="F1046744" s="19"/>
      <c r="G1046744" s="19"/>
      <c r="H1046744" s="19"/>
      <c r="I1046744" s="19"/>
      <c r="J1046744" s="19"/>
      <c r="K1046744" s="19"/>
      <c r="L1046744" s="19"/>
      <c r="M1046744" s="19"/>
      <c r="N1046744" s="19"/>
    </row>
    <row r="1046745" spans="1:14" s="83" customFormat="1" ht="12.75">
      <c r="A1046745" s="19"/>
      <c r="B1046745" s="19"/>
      <c r="C1046745" s="19"/>
      <c r="D1046745" s="19"/>
      <c r="E1046745" s="19"/>
      <c r="F1046745" s="19"/>
      <c r="G1046745" s="19"/>
      <c r="H1046745" s="19"/>
      <c r="I1046745" s="19"/>
      <c r="J1046745" s="19"/>
      <c r="K1046745" s="19"/>
      <c r="L1046745" s="19"/>
      <c r="M1046745" s="19"/>
      <c r="N1046745" s="19"/>
    </row>
    <row r="1046746" spans="1:14" s="83" customFormat="1" ht="12.75">
      <c r="A1046746" s="19"/>
      <c r="B1046746" s="19"/>
      <c r="C1046746" s="19"/>
      <c r="D1046746" s="19"/>
      <c r="E1046746" s="19"/>
      <c r="F1046746" s="19"/>
      <c r="G1046746" s="19"/>
      <c r="H1046746" s="19"/>
      <c r="I1046746" s="19"/>
      <c r="J1046746" s="19"/>
      <c r="K1046746" s="19"/>
      <c r="L1046746" s="19"/>
      <c r="M1046746" s="19"/>
      <c r="N1046746" s="19"/>
    </row>
    <row r="1046747" spans="1:14" s="83" customFormat="1" ht="12.75">
      <c r="A1046747" s="19"/>
      <c r="B1046747" s="19"/>
      <c r="C1046747" s="19"/>
      <c r="D1046747" s="19"/>
      <c r="E1046747" s="19"/>
      <c r="F1046747" s="19"/>
      <c r="G1046747" s="19"/>
      <c r="H1046747" s="19"/>
      <c r="I1046747" s="19"/>
      <c r="J1046747" s="19"/>
      <c r="K1046747" s="19"/>
      <c r="L1046747" s="19"/>
      <c r="M1046747" s="19"/>
      <c r="N1046747" s="19"/>
    </row>
    <row r="1046748" spans="1:14" s="83" customFormat="1" ht="12.75">
      <c r="A1046748" s="19"/>
      <c r="B1046748" s="19"/>
      <c r="C1046748" s="19"/>
      <c r="D1046748" s="19"/>
      <c r="E1046748" s="19"/>
      <c r="F1046748" s="19"/>
      <c r="G1046748" s="19"/>
      <c r="H1046748" s="19"/>
      <c r="I1046748" s="19"/>
      <c r="J1046748" s="19"/>
      <c r="K1046748" s="19"/>
      <c r="L1046748" s="19"/>
      <c r="M1046748" s="19"/>
      <c r="N1046748" s="19"/>
    </row>
    <row r="1046749" spans="1:14" s="83" customFormat="1" ht="12.75">
      <c r="A1046749" s="19"/>
      <c r="B1046749" s="19"/>
      <c r="C1046749" s="19"/>
      <c r="D1046749" s="19"/>
      <c r="E1046749" s="19"/>
      <c r="F1046749" s="19"/>
      <c r="G1046749" s="19"/>
      <c r="H1046749" s="19"/>
      <c r="I1046749" s="19"/>
      <c r="J1046749" s="19"/>
      <c r="K1046749" s="19"/>
      <c r="L1046749" s="19"/>
      <c r="M1046749" s="19"/>
      <c r="N1046749" s="19"/>
    </row>
    <row r="1046750" spans="1:14" s="83" customFormat="1" ht="12.75">
      <c r="A1046750" s="19"/>
      <c r="B1046750" s="19"/>
      <c r="C1046750" s="19"/>
      <c r="D1046750" s="19"/>
      <c r="E1046750" s="19"/>
      <c r="F1046750" s="19"/>
      <c r="G1046750" s="19"/>
      <c r="H1046750" s="19"/>
      <c r="I1046750" s="19"/>
      <c r="J1046750" s="19"/>
      <c r="K1046750" s="19"/>
      <c r="L1046750" s="19"/>
      <c r="M1046750" s="19"/>
      <c r="N1046750" s="19"/>
    </row>
    <row r="1046751" spans="1:14" s="83" customFormat="1" ht="12.75">
      <c r="A1046751" s="19"/>
      <c r="B1046751" s="19"/>
      <c r="C1046751" s="19"/>
      <c r="D1046751" s="19"/>
      <c r="E1046751" s="19"/>
      <c r="F1046751" s="19"/>
      <c r="G1046751" s="19"/>
      <c r="H1046751" s="19"/>
      <c r="I1046751" s="19"/>
      <c r="J1046751" s="19"/>
      <c r="K1046751" s="19"/>
      <c r="L1046751" s="19"/>
      <c r="M1046751" s="19"/>
      <c r="N1046751" s="19"/>
    </row>
    <row r="1046752" spans="1:14" s="83" customFormat="1" ht="12.75">
      <c r="A1046752" s="19"/>
      <c r="B1046752" s="19"/>
      <c r="C1046752" s="19"/>
      <c r="D1046752" s="19"/>
      <c r="E1046752" s="19"/>
      <c r="F1046752" s="19"/>
      <c r="G1046752" s="19"/>
      <c r="H1046752" s="19"/>
      <c r="I1046752" s="19"/>
      <c r="J1046752" s="19"/>
      <c r="K1046752" s="19"/>
      <c r="L1046752" s="19"/>
      <c r="M1046752" s="19"/>
      <c r="N1046752" s="19"/>
    </row>
    <row r="1046753" spans="1:14" s="83" customFormat="1" ht="12.75">
      <c r="A1046753" s="19"/>
      <c r="B1046753" s="19"/>
      <c r="C1046753" s="19"/>
      <c r="D1046753" s="19"/>
      <c r="E1046753" s="19"/>
      <c r="F1046753" s="19"/>
      <c r="G1046753" s="19"/>
      <c r="H1046753" s="19"/>
      <c r="I1046753" s="19"/>
      <c r="J1046753" s="19"/>
      <c r="K1046753" s="19"/>
      <c r="L1046753" s="19"/>
      <c r="M1046753" s="19"/>
      <c r="N1046753" s="19"/>
    </row>
    <row r="1046754" spans="1:14" s="83" customFormat="1" ht="12.75">
      <c r="A1046754" s="19"/>
      <c r="B1046754" s="19"/>
      <c r="C1046754" s="19"/>
      <c r="D1046754" s="19"/>
      <c r="E1046754" s="19"/>
      <c r="F1046754" s="19"/>
      <c r="G1046754" s="19"/>
      <c r="H1046754" s="19"/>
      <c r="I1046754" s="19"/>
      <c r="J1046754" s="19"/>
      <c r="K1046754" s="19"/>
      <c r="L1046754" s="19"/>
      <c r="M1046754" s="19"/>
      <c r="N1046754" s="19"/>
    </row>
    <row r="1046755" spans="1:14" s="83" customFormat="1" ht="12.75">
      <c r="A1046755" s="19"/>
      <c r="B1046755" s="19"/>
      <c r="C1046755" s="19"/>
      <c r="D1046755" s="19"/>
      <c r="E1046755" s="19"/>
      <c r="F1046755" s="19"/>
      <c r="G1046755" s="19"/>
      <c r="H1046755" s="19"/>
      <c r="I1046755" s="19"/>
      <c r="J1046755" s="19"/>
      <c r="K1046755" s="19"/>
      <c r="L1046755" s="19"/>
      <c r="M1046755" s="19"/>
      <c r="N1046755" s="19"/>
    </row>
    <row r="1046756" spans="1:14" s="83" customFormat="1" ht="12.75">
      <c r="A1046756" s="19"/>
      <c r="B1046756" s="19"/>
      <c r="C1046756" s="19"/>
      <c r="D1046756" s="19"/>
      <c r="E1046756" s="19"/>
      <c r="F1046756" s="19"/>
      <c r="G1046756" s="19"/>
      <c r="H1046756" s="19"/>
      <c r="I1046756" s="19"/>
      <c r="J1046756" s="19"/>
      <c r="K1046756" s="19"/>
      <c r="L1046756" s="19"/>
      <c r="M1046756" s="19"/>
      <c r="N1046756" s="19"/>
    </row>
    <row r="1046757" spans="1:14" s="83" customFormat="1" ht="12.75">
      <c r="A1046757" s="19"/>
      <c r="B1046757" s="19"/>
      <c r="C1046757" s="19"/>
      <c r="D1046757" s="19"/>
      <c r="E1046757" s="19"/>
      <c r="F1046757" s="19"/>
      <c r="G1046757" s="19"/>
      <c r="H1046757" s="19"/>
      <c r="I1046757" s="19"/>
      <c r="J1046757" s="19"/>
      <c r="K1046757" s="19"/>
      <c r="L1046757" s="19"/>
      <c r="M1046757" s="19"/>
      <c r="N1046757" s="19"/>
    </row>
    <row r="1046758" spans="1:14" s="83" customFormat="1" ht="12.75">
      <c r="A1046758" s="19"/>
      <c r="B1046758" s="19"/>
      <c r="C1046758" s="19"/>
      <c r="D1046758" s="19"/>
      <c r="E1046758" s="19"/>
      <c r="F1046758" s="19"/>
      <c r="G1046758" s="19"/>
      <c r="H1046758" s="19"/>
      <c r="I1046758" s="19"/>
      <c r="J1046758" s="19"/>
      <c r="K1046758" s="19"/>
      <c r="L1046758" s="19"/>
      <c r="M1046758" s="19"/>
      <c r="N1046758" s="19"/>
    </row>
    <row r="1046759" spans="1:14" s="83" customFormat="1" ht="12.75">
      <c r="A1046759" s="19"/>
      <c r="B1046759" s="19"/>
      <c r="C1046759" s="19"/>
      <c r="D1046759" s="19"/>
      <c r="E1046759" s="19"/>
      <c r="F1046759" s="19"/>
      <c r="G1046759" s="19"/>
      <c r="H1046759" s="19"/>
      <c r="I1046759" s="19"/>
      <c r="J1046759" s="19"/>
      <c r="K1046759" s="19"/>
      <c r="L1046759" s="19"/>
      <c r="M1046759" s="19"/>
      <c r="N1046759" s="19"/>
    </row>
    <row r="1046760" spans="1:14" s="83" customFormat="1" ht="12.75">
      <c r="A1046760" s="19"/>
      <c r="B1046760" s="19"/>
      <c r="C1046760" s="19"/>
      <c r="D1046760" s="19"/>
      <c r="E1046760" s="19"/>
      <c r="F1046760" s="19"/>
      <c r="G1046760" s="19"/>
      <c r="H1046760" s="19"/>
      <c r="I1046760" s="19"/>
      <c r="J1046760" s="19"/>
      <c r="K1046760" s="19"/>
      <c r="L1046760" s="19"/>
      <c r="M1046760" s="19"/>
      <c r="N1046760" s="19"/>
    </row>
    <row r="1046761" spans="1:14" s="83" customFormat="1" ht="12.75">
      <c r="A1046761" s="19"/>
      <c r="B1046761" s="19"/>
      <c r="C1046761" s="19"/>
      <c r="D1046761" s="19"/>
      <c r="E1046761" s="19"/>
      <c r="F1046761" s="19"/>
      <c r="G1046761" s="19"/>
      <c r="H1046761" s="19"/>
      <c r="I1046761" s="19"/>
      <c r="J1046761" s="19"/>
      <c r="K1046761" s="19"/>
      <c r="L1046761" s="19"/>
      <c r="M1046761" s="19"/>
      <c r="N1046761" s="19"/>
    </row>
    <row r="1046762" spans="1:14" s="83" customFormat="1" ht="12.75">
      <c r="A1046762" s="19"/>
      <c r="B1046762" s="19"/>
      <c r="C1046762" s="19"/>
      <c r="D1046762" s="19"/>
      <c r="E1046762" s="19"/>
      <c r="F1046762" s="19"/>
      <c r="G1046762" s="19"/>
      <c r="H1046762" s="19"/>
      <c r="I1046762" s="19"/>
      <c r="J1046762" s="19"/>
      <c r="K1046762" s="19"/>
      <c r="L1046762" s="19"/>
      <c r="M1046762" s="19"/>
      <c r="N1046762" s="19"/>
    </row>
    <row r="1046763" spans="1:14" s="83" customFormat="1" ht="12.75">
      <c r="A1046763" s="19"/>
      <c r="B1046763" s="19"/>
      <c r="C1046763" s="19"/>
      <c r="D1046763" s="19"/>
      <c r="E1046763" s="19"/>
      <c r="F1046763" s="19"/>
      <c r="G1046763" s="19"/>
      <c r="H1046763" s="19"/>
      <c r="I1046763" s="19"/>
      <c r="J1046763" s="19"/>
      <c r="K1046763" s="19"/>
      <c r="L1046763" s="19"/>
      <c r="M1046763" s="19"/>
      <c r="N1046763" s="19"/>
    </row>
    <row r="1046764" spans="1:14" s="83" customFormat="1" ht="12.75">
      <c r="A1046764" s="19"/>
      <c r="B1046764" s="19"/>
      <c r="C1046764" s="19"/>
      <c r="D1046764" s="19"/>
      <c r="E1046764" s="19"/>
      <c r="F1046764" s="19"/>
      <c r="G1046764" s="19"/>
      <c r="H1046764" s="19"/>
      <c r="I1046764" s="19"/>
      <c r="J1046764" s="19"/>
      <c r="K1046764" s="19"/>
      <c r="L1046764" s="19"/>
      <c r="M1046764" s="19"/>
      <c r="N1046764" s="19"/>
    </row>
    <row r="1046765" spans="1:14" s="83" customFormat="1" ht="12.75">
      <c r="A1046765" s="19"/>
      <c r="B1046765" s="19"/>
      <c r="C1046765" s="19"/>
      <c r="D1046765" s="19"/>
      <c r="E1046765" s="19"/>
      <c r="F1046765" s="19"/>
      <c r="G1046765" s="19"/>
      <c r="H1046765" s="19"/>
      <c r="I1046765" s="19"/>
      <c r="J1046765" s="19"/>
      <c r="K1046765" s="19"/>
      <c r="L1046765" s="19"/>
      <c r="M1046765" s="19"/>
      <c r="N1046765" s="19"/>
    </row>
    <row r="1046766" spans="1:14" s="83" customFormat="1" ht="12.75">
      <c r="A1046766" s="19"/>
      <c r="B1046766" s="19"/>
      <c r="C1046766" s="19"/>
      <c r="D1046766" s="19"/>
      <c r="E1046766" s="19"/>
      <c r="F1046766" s="19"/>
      <c r="G1046766" s="19"/>
      <c r="H1046766" s="19"/>
      <c r="I1046766" s="19"/>
      <c r="J1046766" s="19"/>
      <c r="K1046766" s="19"/>
      <c r="L1046766" s="19"/>
      <c r="M1046766" s="19"/>
      <c r="N1046766" s="19"/>
    </row>
    <row r="1046767" spans="1:14" s="83" customFormat="1" ht="12.75">
      <c r="A1046767" s="19"/>
      <c r="B1046767" s="19"/>
      <c r="C1046767" s="19"/>
      <c r="D1046767" s="19"/>
      <c r="E1046767" s="19"/>
      <c r="F1046767" s="19"/>
      <c r="G1046767" s="19"/>
      <c r="H1046767" s="19"/>
      <c r="I1046767" s="19"/>
      <c r="J1046767" s="19"/>
      <c r="K1046767" s="19"/>
      <c r="L1046767" s="19"/>
      <c r="M1046767" s="19"/>
      <c r="N1046767" s="19"/>
    </row>
    <row r="1046768" spans="1:14" s="83" customFormat="1" ht="12.75">
      <c r="A1046768" s="19"/>
      <c r="B1046768" s="19"/>
      <c r="C1046768" s="19"/>
      <c r="D1046768" s="19"/>
      <c r="E1046768" s="19"/>
      <c r="F1046768" s="19"/>
      <c r="G1046768" s="19"/>
      <c r="H1046768" s="19"/>
      <c r="I1046768" s="19"/>
      <c r="J1046768" s="19"/>
      <c r="K1046768" s="19"/>
      <c r="L1046768" s="19"/>
      <c r="M1046768" s="19"/>
      <c r="N1046768" s="19"/>
    </row>
    <row r="1046769" spans="1:14" s="83" customFormat="1" ht="12.75">
      <c r="A1046769" s="19"/>
      <c r="B1046769" s="19"/>
      <c r="C1046769" s="19"/>
      <c r="D1046769" s="19"/>
      <c r="E1046769" s="19"/>
      <c r="F1046769" s="19"/>
      <c r="G1046769" s="19"/>
      <c r="H1046769" s="19"/>
      <c r="I1046769" s="19"/>
      <c r="J1046769" s="19"/>
      <c r="K1046769" s="19"/>
      <c r="L1046769" s="19"/>
      <c r="M1046769" s="19"/>
      <c r="N1046769" s="19"/>
    </row>
    <row r="1046770" spans="1:14" s="83" customFormat="1" ht="12.75">
      <c r="A1046770" s="19"/>
      <c r="B1046770" s="19"/>
      <c r="C1046770" s="19"/>
      <c r="D1046770" s="19"/>
      <c r="E1046770" s="19"/>
      <c r="F1046770" s="19"/>
      <c r="G1046770" s="19"/>
      <c r="H1046770" s="19"/>
      <c r="I1046770" s="19"/>
      <c r="J1046770" s="19"/>
      <c r="K1046770" s="19"/>
      <c r="L1046770" s="19"/>
      <c r="M1046770" s="19"/>
      <c r="N1046770" s="19"/>
    </row>
    <row r="1046771" spans="1:14" s="83" customFormat="1" ht="12.75">
      <c r="A1046771" s="19"/>
      <c r="B1046771" s="19"/>
      <c r="C1046771" s="19"/>
      <c r="D1046771" s="19"/>
      <c r="E1046771" s="19"/>
      <c r="F1046771" s="19"/>
      <c r="G1046771" s="19"/>
      <c r="H1046771" s="19"/>
      <c r="I1046771" s="19"/>
      <c r="J1046771" s="19"/>
      <c r="K1046771" s="19"/>
      <c r="L1046771" s="19"/>
      <c r="M1046771" s="19"/>
      <c r="N1046771" s="19"/>
    </row>
    <row r="1046772" spans="1:14" s="83" customFormat="1" ht="12.75">
      <c r="A1046772" s="19"/>
      <c r="B1046772" s="19"/>
      <c r="C1046772" s="19"/>
      <c r="D1046772" s="19"/>
      <c r="E1046772" s="19"/>
      <c r="F1046772" s="19"/>
      <c r="G1046772" s="19"/>
      <c r="H1046772" s="19"/>
      <c r="I1046772" s="19"/>
      <c r="J1046772" s="19"/>
      <c r="K1046772" s="19"/>
      <c r="L1046772" s="19"/>
      <c r="M1046772" s="19"/>
      <c r="N1046772" s="19"/>
    </row>
    <row r="1046773" spans="1:14" s="83" customFormat="1" ht="12.75">
      <c r="A1046773" s="19"/>
      <c r="B1046773" s="19"/>
      <c r="C1046773" s="19"/>
      <c r="D1046773" s="19"/>
      <c r="E1046773" s="19"/>
      <c r="F1046773" s="19"/>
      <c r="G1046773" s="19"/>
      <c r="H1046773" s="19"/>
      <c r="I1046773" s="19"/>
      <c r="J1046773" s="19"/>
      <c r="K1046773" s="19"/>
      <c r="L1046773" s="19"/>
      <c r="M1046773" s="19"/>
      <c r="N1046773" s="19"/>
    </row>
    <row r="1046774" spans="1:14" s="83" customFormat="1" ht="12.75">
      <c r="A1046774" s="19"/>
      <c r="B1046774" s="19"/>
      <c r="C1046774" s="19"/>
      <c r="D1046774" s="19"/>
      <c r="E1046774" s="19"/>
      <c r="F1046774" s="19"/>
      <c r="G1046774" s="19"/>
      <c r="H1046774" s="19"/>
      <c r="I1046774" s="19"/>
      <c r="J1046774" s="19"/>
      <c r="K1046774" s="19"/>
      <c r="L1046774" s="19"/>
      <c r="M1046774" s="19"/>
      <c r="N1046774" s="19"/>
    </row>
    <row r="1046775" spans="1:14" s="83" customFormat="1" ht="12.75">
      <c r="A1046775" s="19"/>
      <c r="B1046775" s="19"/>
      <c r="C1046775" s="19"/>
      <c r="D1046775" s="19"/>
      <c r="E1046775" s="19"/>
      <c r="F1046775" s="19"/>
      <c r="G1046775" s="19"/>
      <c r="H1046775" s="19"/>
      <c r="I1046775" s="19"/>
      <c r="J1046775" s="19"/>
      <c r="K1046775" s="19"/>
      <c r="L1046775" s="19"/>
      <c r="M1046775" s="19"/>
      <c r="N1046775" s="19"/>
    </row>
    <row r="1046776" spans="1:14" s="83" customFormat="1" ht="12.75">
      <c r="A1046776" s="19"/>
      <c r="B1046776" s="19"/>
      <c r="C1046776" s="19"/>
      <c r="D1046776" s="19"/>
      <c r="E1046776" s="19"/>
      <c r="F1046776" s="19"/>
      <c r="G1046776" s="19"/>
      <c r="H1046776" s="19"/>
      <c r="I1046776" s="19"/>
      <c r="J1046776" s="19"/>
      <c r="K1046776" s="19"/>
      <c r="L1046776" s="19"/>
      <c r="M1046776" s="19"/>
      <c r="N1046776" s="19"/>
    </row>
    <row r="1046777" spans="1:14" s="83" customFormat="1" ht="12.75">
      <c r="A1046777" s="19"/>
      <c r="B1046777" s="19"/>
      <c r="C1046777" s="19"/>
      <c r="D1046777" s="19"/>
      <c r="E1046777" s="19"/>
      <c r="F1046777" s="19"/>
      <c r="G1046777" s="19"/>
      <c r="H1046777" s="19"/>
      <c r="I1046777" s="19"/>
      <c r="J1046777" s="19"/>
      <c r="K1046777" s="19"/>
      <c r="L1046777" s="19"/>
      <c r="M1046777" s="19"/>
      <c r="N1046777" s="19"/>
    </row>
    <row r="1046778" spans="1:14" s="83" customFormat="1" ht="12.75">
      <c r="A1046778" s="19"/>
      <c r="B1046778" s="19"/>
      <c r="C1046778" s="19"/>
      <c r="D1046778" s="19"/>
      <c r="E1046778" s="19"/>
      <c r="F1046778" s="19"/>
      <c r="G1046778" s="19"/>
      <c r="H1046778" s="19"/>
      <c r="I1046778" s="19"/>
      <c r="J1046778" s="19"/>
      <c r="K1046778" s="19"/>
      <c r="L1046778" s="19"/>
      <c r="M1046778" s="19"/>
      <c r="N1046778" s="19"/>
    </row>
    <row r="1046779" spans="1:14" s="83" customFormat="1" ht="12.75">
      <c r="A1046779" s="19"/>
      <c r="B1046779" s="19"/>
      <c r="C1046779" s="19"/>
      <c r="D1046779" s="19"/>
      <c r="E1046779" s="19"/>
      <c r="F1046779" s="19"/>
      <c r="G1046779" s="19"/>
      <c r="H1046779" s="19"/>
      <c r="I1046779" s="19"/>
      <c r="J1046779" s="19"/>
      <c r="K1046779" s="19"/>
      <c r="L1046779" s="19"/>
      <c r="M1046779" s="19"/>
      <c r="N1046779" s="19"/>
    </row>
    <row r="1046780" spans="1:14" s="83" customFormat="1" ht="12.75">
      <c r="A1046780" s="19"/>
      <c r="B1046780" s="19"/>
      <c r="C1046780" s="19"/>
      <c r="D1046780" s="19"/>
      <c r="E1046780" s="19"/>
      <c r="F1046780" s="19"/>
      <c r="G1046780" s="19"/>
      <c r="H1046780" s="19"/>
      <c r="I1046780" s="19"/>
      <c r="J1046780" s="19"/>
      <c r="K1046780" s="19"/>
      <c r="L1046780" s="19"/>
      <c r="M1046780" s="19"/>
      <c r="N1046780" s="19"/>
    </row>
    <row r="1046781" spans="1:14" s="83" customFormat="1" ht="12.75">
      <c r="A1046781" s="19"/>
      <c r="B1046781" s="19"/>
      <c r="C1046781" s="19"/>
      <c r="D1046781" s="19"/>
      <c r="E1046781" s="19"/>
      <c r="F1046781" s="19"/>
      <c r="G1046781" s="19"/>
      <c r="H1046781" s="19"/>
      <c r="I1046781" s="19"/>
      <c r="J1046781" s="19"/>
      <c r="K1046781" s="19"/>
      <c r="L1046781" s="19"/>
      <c r="M1046781" s="19"/>
      <c r="N1046781" s="19"/>
    </row>
    <row r="1046782" spans="1:14" s="83" customFormat="1" ht="12.75">
      <c r="A1046782" s="19"/>
      <c r="B1046782" s="19"/>
      <c r="C1046782" s="19"/>
      <c r="D1046782" s="19"/>
      <c r="E1046782" s="19"/>
      <c r="F1046782" s="19"/>
      <c r="G1046782" s="19"/>
      <c r="H1046782" s="19"/>
      <c r="I1046782" s="19"/>
      <c r="J1046782" s="19"/>
      <c r="K1046782" s="19"/>
      <c r="L1046782" s="19"/>
      <c r="M1046782" s="19"/>
      <c r="N1046782" s="19"/>
    </row>
    <row r="1046783" spans="1:14" s="83" customFormat="1" ht="12.75">
      <c r="A1046783" s="19"/>
      <c r="B1046783" s="19"/>
      <c r="C1046783" s="19"/>
      <c r="D1046783" s="19"/>
      <c r="E1046783" s="19"/>
      <c r="F1046783" s="19"/>
      <c r="G1046783" s="19"/>
      <c r="H1046783" s="19"/>
      <c r="I1046783" s="19"/>
      <c r="J1046783" s="19"/>
      <c r="K1046783" s="19"/>
      <c r="L1046783" s="19"/>
      <c r="M1046783" s="19"/>
      <c r="N1046783" s="19"/>
    </row>
    <row r="1046784" spans="1:14" s="83" customFormat="1" ht="12.75">
      <c r="A1046784" s="19"/>
      <c r="B1046784" s="19"/>
      <c r="C1046784" s="19"/>
      <c r="D1046784" s="19"/>
      <c r="E1046784" s="19"/>
      <c r="F1046784" s="19"/>
      <c r="G1046784" s="19"/>
      <c r="H1046784" s="19"/>
      <c r="I1046784" s="19"/>
      <c r="J1046784" s="19"/>
      <c r="K1046784" s="19"/>
      <c r="L1046784" s="19"/>
      <c r="M1046784" s="19"/>
      <c r="N1046784" s="19"/>
    </row>
    <row r="1046785" spans="1:14" s="83" customFormat="1" ht="12.75">
      <c r="A1046785" s="19"/>
      <c r="B1046785" s="19"/>
      <c r="C1046785" s="19"/>
      <c r="D1046785" s="19"/>
      <c r="E1046785" s="19"/>
      <c r="F1046785" s="19"/>
      <c r="G1046785" s="19"/>
      <c r="H1046785" s="19"/>
      <c r="I1046785" s="19"/>
      <c r="J1046785" s="19"/>
      <c r="K1046785" s="19"/>
      <c r="L1046785" s="19"/>
      <c r="M1046785" s="19"/>
      <c r="N1046785" s="19"/>
    </row>
    <row r="1046786" spans="1:14" s="83" customFormat="1" ht="12.75">
      <c r="A1046786" s="19"/>
      <c r="B1046786" s="19"/>
      <c r="C1046786" s="19"/>
      <c r="D1046786" s="19"/>
      <c r="E1046786" s="19"/>
      <c r="F1046786" s="19"/>
      <c r="G1046786" s="19"/>
      <c r="H1046786" s="19"/>
      <c r="I1046786" s="19"/>
      <c r="J1046786" s="19"/>
      <c r="K1046786" s="19"/>
      <c r="L1046786" s="19"/>
      <c r="M1046786" s="19"/>
      <c r="N1046786" s="19"/>
    </row>
    <row r="1046787" spans="1:14" s="83" customFormat="1" ht="12.75">
      <c r="A1046787" s="19"/>
      <c r="B1046787" s="19"/>
      <c r="C1046787" s="19"/>
      <c r="D1046787" s="19"/>
      <c r="E1046787" s="19"/>
      <c r="F1046787" s="19"/>
      <c r="G1046787" s="19"/>
      <c r="H1046787" s="19"/>
      <c r="I1046787" s="19"/>
      <c r="J1046787" s="19"/>
      <c r="K1046787" s="19"/>
      <c r="L1046787" s="19"/>
      <c r="M1046787" s="19"/>
      <c r="N1046787" s="19"/>
    </row>
    <row r="1046788" spans="1:14" s="83" customFormat="1" ht="12.75">
      <c r="A1046788" s="19"/>
      <c r="B1046788" s="19"/>
      <c r="C1046788" s="19"/>
      <c r="D1046788" s="19"/>
      <c r="E1046788" s="19"/>
      <c r="F1046788" s="19"/>
      <c r="G1046788" s="19"/>
      <c r="H1046788" s="19"/>
      <c r="I1046788" s="19"/>
      <c r="J1046788" s="19"/>
      <c r="K1046788" s="19"/>
      <c r="L1046788" s="19"/>
      <c r="M1046788" s="19"/>
      <c r="N1046788" s="19"/>
    </row>
    <row r="1046789" spans="1:14" s="83" customFormat="1" ht="12.75">
      <c r="A1046789" s="19"/>
      <c r="B1046789" s="19"/>
      <c r="C1046789" s="19"/>
      <c r="D1046789" s="19"/>
      <c r="E1046789" s="19"/>
      <c r="F1046789" s="19"/>
      <c r="G1046789" s="19"/>
      <c r="H1046789" s="19"/>
      <c r="I1046789" s="19"/>
      <c r="J1046789" s="19"/>
      <c r="K1046789" s="19"/>
      <c r="L1046789" s="19"/>
      <c r="M1046789" s="19"/>
      <c r="N1046789" s="19"/>
    </row>
    <row r="1046790" spans="1:14" s="83" customFormat="1" ht="12.75">
      <c r="A1046790" s="19"/>
      <c r="B1046790" s="19"/>
      <c r="C1046790" s="19"/>
      <c r="D1046790" s="19"/>
      <c r="E1046790" s="19"/>
      <c r="F1046790" s="19"/>
      <c r="G1046790" s="19"/>
      <c r="H1046790" s="19"/>
      <c r="I1046790" s="19"/>
      <c r="J1046790" s="19"/>
      <c r="K1046790" s="19"/>
      <c r="L1046790" s="19"/>
      <c r="M1046790" s="19"/>
      <c r="N1046790" s="19"/>
    </row>
    <row r="1046791" spans="1:14" s="83" customFormat="1" ht="12.75">
      <c r="A1046791" s="19"/>
      <c r="B1046791" s="19"/>
      <c r="C1046791" s="19"/>
      <c r="D1046791" s="19"/>
      <c r="E1046791" s="19"/>
      <c r="F1046791" s="19"/>
      <c r="G1046791" s="19"/>
      <c r="H1046791" s="19"/>
      <c r="I1046791" s="19"/>
      <c r="J1046791" s="19"/>
      <c r="K1046791" s="19"/>
      <c r="L1046791" s="19"/>
      <c r="M1046791" s="19"/>
      <c r="N1046791" s="19"/>
    </row>
    <row r="1046792" spans="1:14" s="83" customFormat="1" ht="12.75">
      <c r="A1046792" s="19"/>
      <c r="B1046792" s="19"/>
      <c r="C1046792" s="19"/>
      <c r="D1046792" s="19"/>
      <c r="E1046792" s="19"/>
      <c r="F1046792" s="19"/>
      <c r="G1046792" s="19"/>
      <c r="H1046792" s="19"/>
      <c r="I1046792" s="19"/>
      <c r="J1046792" s="19"/>
      <c r="K1046792" s="19"/>
      <c r="L1046792" s="19"/>
      <c r="M1046792" s="19"/>
      <c r="N1046792" s="19"/>
    </row>
    <row r="1046793" spans="1:14" s="83" customFormat="1" ht="12.75">
      <c r="A1046793" s="19"/>
      <c r="B1046793" s="19"/>
      <c r="C1046793" s="19"/>
      <c r="D1046793" s="19"/>
      <c r="E1046793" s="19"/>
      <c r="F1046793" s="19"/>
      <c r="G1046793" s="19"/>
      <c r="H1046793" s="19"/>
      <c r="I1046793" s="19"/>
      <c r="J1046793" s="19"/>
      <c r="K1046793" s="19"/>
      <c r="L1046793" s="19"/>
      <c r="M1046793" s="19"/>
      <c r="N1046793" s="19"/>
    </row>
    <row r="1046794" spans="1:14" s="83" customFormat="1" ht="12.75">
      <c r="A1046794" s="19"/>
      <c r="B1046794" s="19"/>
      <c r="C1046794" s="19"/>
      <c r="D1046794" s="19"/>
      <c r="E1046794" s="19"/>
      <c r="F1046794" s="19"/>
      <c r="G1046794" s="19"/>
      <c r="H1046794" s="19"/>
      <c r="I1046794" s="19"/>
      <c r="J1046794" s="19"/>
      <c r="K1046794" s="19"/>
      <c r="L1046794" s="19"/>
      <c r="M1046794" s="19"/>
      <c r="N1046794" s="19"/>
    </row>
    <row r="1046795" spans="1:14" s="83" customFormat="1" ht="12.75">
      <c r="A1046795" s="19"/>
      <c r="B1046795" s="19"/>
      <c r="C1046795" s="19"/>
      <c r="D1046795" s="19"/>
      <c r="E1046795" s="19"/>
      <c r="F1046795" s="19"/>
      <c r="G1046795" s="19"/>
      <c r="H1046795" s="19"/>
      <c r="I1046795" s="19"/>
      <c r="J1046795" s="19"/>
      <c r="K1046795" s="19"/>
      <c r="L1046795" s="19"/>
      <c r="M1046795" s="19"/>
      <c r="N1046795" s="19"/>
    </row>
    <row r="1046796" spans="1:14" s="83" customFormat="1" ht="12.75">
      <c r="A1046796" s="19"/>
      <c r="B1046796" s="19"/>
      <c r="C1046796" s="19"/>
      <c r="D1046796" s="19"/>
      <c r="E1046796" s="19"/>
      <c r="F1046796" s="19"/>
      <c r="G1046796" s="19"/>
      <c r="H1046796" s="19"/>
      <c r="I1046796" s="19"/>
      <c r="J1046796" s="19"/>
      <c r="K1046796" s="19"/>
      <c r="L1046796" s="19"/>
      <c r="M1046796" s="19"/>
      <c r="N1046796" s="19"/>
    </row>
    <row r="1046797" spans="1:14" s="83" customFormat="1" ht="12.75">
      <c r="A1046797" s="19"/>
      <c r="B1046797" s="19"/>
      <c r="C1046797" s="19"/>
      <c r="D1046797" s="19"/>
      <c r="E1046797" s="19"/>
      <c r="F1046797" s="19"/>
      <c r="G1046797" s="19"/>
      <c r="H1046797" s="19"/>
      <c r="I1046797" s="19"/>
      <c r="J1046797" s="19"/>
      <c r="K1046797" s="19"/>
      <c r="L1046797" s="19"/>
      <c r="M1046797" s="19"/>
      <c r="N1046797" s="19"/>
    </row>
    <row r="1046798" spans="1:14" s="83" customFormat="1" ht="12.75">
      <c r="A1046798" s="19"/>
      <c r="B1046798" s="19"/>
      <c r="C1046798" s="19"/>
      <c r="D1046798" s="19"/>
      <c r="E1046798" s="19"/>
      <c r="F1046798" s="19"/>
      <c r="G1046798" s="19"/>
      <c r="H1046798" s="19"/>
      <c r="I1046798" s="19"/>
      <c r="J1046798" s="19"/>
      <c r="K1046798" s="19"/>
      <c r="L1046798" s="19"/>
      <c r="M1046798" s="19"/>
      <c r="N1046798" s="19"/>
    </row>
    <row r="1046799" spans="1:14" s="83" customFormat="1" ht="12.75">
      <c r="A1046799" s="19"/>
      <c r="B1046799" s="19"/>
      <c r="C1046799" s="19"/>
      <c r="D1046799" s="19"/>
      <c r="E1046799" s="19"/>
      <c r="F1046799" s="19"/>
      <c r="G1046799" s="19"/>
      <c r="H1046799" s="19"/>
      <c r="I1046799" s="19"/>
      <c r="J1046799" s="19"/>
      <c r="K1046799" s="19"/>
      <c r="L1046799" s="19"/>
      <c r="M1046799" s="19"/>
      <c r="N1046799" s="19"/>
    </row>
    <row r="1046800" spans="1:14" s="83" customFormat="1" ht="12.75">
      <c r="A1046800" s="19"/>
      <c r="B1046800" s="19"/>
      <c r="C1046800" s="19"/>
      <c r="D1046800" s="19"/>
      <c r="E1046800" s="19"/>
      <c r="F1046800" s="19"/>
      <c r="G1046800" s="19"/>
      <c r="H1046800" s="19"/>
      <c r="I1046800" s="19"/>
      <c r="J1046800" s="19"/>
      <c r="K1046800" s="19"/>
      <c r="L1046800" s="19"/>
      <c r="M1046800" s="19"/>
      <c r="N1046800" s="19"/>
    </row>
    <row r="1046801" spans="1:14" s="83" customFormat="1" ht="12.75">
      <c r="A1046801" s="19"/>
      <c r="B1046801" s="19"/>
      <c r="C1046801" s="19"/>
      <c r="D1046801" s="19"/>
      <c r="E1046801" s="19"/>
      <c r="F1046801" s="19"/>
      <c r="G1046801" s="19"/>
      <c r="H1046801" s="19"/>
      <c r="I1046801" s="19"/>
      <c r="J1046801" s="19"/>
      <c r="K1046801" s="19"/>
      <c r="L1046801" s="19"/>
      <c r="M1046801" s="19"/>
      <c r="N1046801" s="19"/>
    </row>
    <row r="1046802" spans="1:14" s="83" customFormat="1" ht="12.75">
      <c r="A1046802" s="19"/>
      <c r="B1046802" s="19"/>
      <c r="C1046802" s="19"/>
      <c r="D1046802" s="19"/>
      <c r="E1046802" s="19"/>
      <c r="F1046802" s="19"/>
      <c r="G1046802" s="19"/>
      <c r="H1046802" s="19"/>
      <c r="I1046802" s="19"/>
      <c r="J1046802" s="19"/>
      <c r="K1046802" s="19"/>
      <c r="L1046802" s="19"/>
      <c r="M1046802" s="19"/>
      <c r="N1046802" s="19"/>
    </row>
    <row r="1046803" spans="1:14" s="83" customFormat="1" ht="12.75">
      <c r="A1046803" s="19"/>
      <c r="B1046803" s="19"/>
      <c r="C1046803" s="19"/>
      <c r="D1046803" s="19"/>
      <c r="E1046803" s="19"/>
      <c r="F1046803" s="19"/>
      <c r="G1046803" s="19"/>
      <c r="H1046803" s="19"/>
      <c r="I1046803" s="19"/>
      <c r="J1046803" s="19"/>
      <c r="K1046803" s="19"/>
      <c r="L1046803" s="19"/>
      <c r="M1046803" s="19"/>
      <c r="N1046803" s="19"/>
    </row>
    <row r="1046804" spans="1:14" s="83" customFormat="1" ht="12.75">
      <c r="A1046804" s="19"/>
      <c r="B1046804" s="19"/>
      <c r="C1046804" s="19"/>
      <c r="D1046804" s="19"/>
      <c r="E1046804" s="19"/>
      <c r="F1046804" s="19"/>
      <c r="G1046804" s="19"/>
      <c r="H1046804" s="19"/>
      <c r="I1046804" s="19"/>
      <c r="J1046804" s="19"/>
      <c r="K1046804" s="19"/>
      <c r="L1046804" s="19"/>
      <c r="M1046804" s="19"/>
      <c r="N1046804" s="19"/>
    </row>
    <row r="1046805" spans="1:14" s="83" customFormat="1" ht="12.75">
      <c r="A1046805" s="19"/>
      <c r="B1046805" s="19"/>
      <c r="C1046805" s="19"/>
      <c r="D1046805" s="19"/>
      <c r="E1046805" s="19"/>
      <c r="F1046805" s="19"/>
      <c r="G1046805" s="19"/>
      <c r="H1046805" s="19"/>
      <c r="I1046805" s="19"/>
      <c r="J1046805" s="19"/>
      <c r="K1046805" s="19"/>
      <c r="L1046805" s="19"/>
      <c r="M1046805" s="19"/>
      <c r="N1046805" s="19"/>
    </row>
    <row r="1046806" spans="1:14" s="83" customFormat="1" ht="12.75">
      <c r="A1046806" s="19"/>
      <c r="B1046806" s="19"/>
      <c r="C1046806" s="19"/>
      <c r="D1046806" s="19"/>
      <c r="E1046806" s="19"/>
      <c r="F1046806" s="19"/>
      <c r="G1046806" s="19"/>
      <c r="H1046806" s="19"/>
      <c r="I1046806" s="19"/>
      <c r="J1046806" s="19"/>
      <c r="K1046806" s="19"/>
      <c r="L1046806" s="19"/>
      <c r="M1046806" s="19"/>
      <c r="N1046806" s="19"/>
    </row>
    <row r="1046807" spans="1:14" s="83" customFormat="1" ht="12.75">
      <c r="A1046807" s="19"/>
      <c r="B1046807" s="19"/>
      <c r="C1046807" s="19"/>
      <c r="D1046807" s="19"/>
      <c r="E1046807" s="19"/>
      <c r="F1046807" s="19"/>
      <c r="G1046807" s="19"/>
      <c r="H1046807" s="19"/>
      <c r="I1046807" s="19"/>
      <c r="J1046807" s="19"/>
      <c r="K1046807" s="19"/>
      <c r="L1046807" s="19"/>
      <c r="M1046807" s="19"/>
      <c r="N1046807" s="19"/>
    </row>
    <row r="1046808" spans="1:14" s="83" customFormat="1" ht="12.75">
      <c r="A1046808" s="19"/>
      <c r="B1046808" s="19"/>
      <c r="C1046808" s="19"/>
      <c r="D1046808" s="19"/>
      <c r="E1046808" s="19"/>
      <c r="F1046808" s="19"/>
      <c r="G1046808" s="19"/>
      <c r="H1046808" s="19"/>
      <c r="I1046808" s="19"/>
      <c r="J1046808" s="19"/>
      <c r="K1046808" s="19"/>
      <c r="L1046808" s="19"/>
      <c r="M1046808" s="19"/>
      <c r="N1046808" s="19"/>
    </row>
    <row r="1046809" spans="1:14" s="83" customFormat="1" ht="12.75">
      <c r="A1046809" s="19"/>
      <c r="B1046809" s="19"/>
      <c r="C1046809" s="19"/>
      <c r="D1046809" s="19"/>
      <c r="E1046809" s="19"/>
      <c r="F1046809" s="19"/>
      <c r="G1046809" s="19"/>
      <c r="H1046809" s="19"/>
      <c r="I1046809" s="19"/>
      <c r="J1046809" s="19"/>
      <c r="K1046809" s="19"/>
      <c r="L1046809" s="19"/>
      <c r="M1046809" s="19"/>
      <c r="N1046809" s="19"/>
    </row>
    <row r="1046810" spans="1:14" s="83" customFormat="1" ht="12.75">
      <c r="A1046810" s="19"/>
      <c r="B1046810" s="19"/>
      <c r="C1046810" s="19"/>
      <c r="D1046810" s="19"/>
      <c r="E1046810" s="19"/>
      <c r="F1046810" s="19"/>
      <c r="G1046810" s="19"/>
      <c r="H1046810" s="19"/>
      <c r="I1046810" s="19"/>
      <c r="J1046810" s="19"/>
      <c r="K1046810" s="19"/>
      <c r="L1046810" s="19"/>
      <c r="M1046810" s="19"/>
      <c r="N1046810" s="19"/>
    </row>
    <row r="1046811" spans="1:14" s="83" customFormat="1" ht="12.75">
      <c r="A1046811" s="19"/>
      <c r="B1046811" s="19"/>
      <c r="C1046811" s="19"/>
      <c r="D1046811" s="19"/>
      <c r="E1046811" s="19"/>
      <c r="F1046811" s="19"/>
      <c r="G1046811" s="19"/>
      <c r="H1046811" s="19"/>
      <c r="I1046811" s="19"/>
      <c r="J1046811" s="19"/>
      <c r="K1046811" s="19"/>
      <c r="L1046811" s="19"/>
      <c r="M1046811" s="19"/>
      <c r="N1046811" s="19"/>
    </row>
    <row r="1046812" spans="1:14" s="83" customFormat="1" ht="12.75">
      <c r="A1046812" s="19"/>
      <c r="B1046812" s="19"/>
      <c r="C1046812" s="19"/>
      <c r="D1046812" s="19"/>
      <c r="E1046812" s="19"/>
      <c r="F1046812" s="19"/>
      <c r="G1046812" s="19"/>
      <c r="H1046812" s="19"/>
      <c r="I1046812" s="19"/>
      <c r="J1046812" s="19"/>
      <c r="K1046812" s="19"/>
      <c r="L1046812" s="19"/>
      <c r="M1046812" s="19"/>
      <c r="N1046812" s="19"/>
    </row>
    <row r="1046813" spans="1:14" s="83" customFormat="1" ht="12.75">
      <c r="A1046813" s="19"/>
      <c r="B1046813" s="19"/>
      <c r="C1046813" s="19"/>
      <c r="D1046813" s="19"/>
      <c r="E1046813" s="19"/>
      <c r="F1046813" s="19"/>
      <c r="G1046813" s="19"/>
      <c r="H1046813" s="19"/>
      <c r="I1046813" s="19"/>
      <c r="J1046813" s="19"/>
      <c r="K1046813" s="19"/>
      <c r="L1046813" s="19"/>
      <c r="M1046813" s="19"/>
      <c r="N1046813" s="19"/>
    </row>
    <row r="1046814" spans="1:14" s="83" customFormat="1" ht="12.75">
      <c r="A1046814" s="19"/>
      <c r="B1046814" s="19"/>
      <c r="C1046814" s="19"/>
      <c r="D1046814" s="19"/>
      <c r="E1046814" s="19"/>
      <c r="F1046814" s="19"/>
      <c r="G1046814" s="19"/>
      <c r="H1046814" s="19"/>
      <c r="I1046814" s="19"/>
      <c r="J1046814" s="19"/>
      <c r="K1046814" s="19"/>
      <c r="L1046814" s="19"/>
      <c r="M1046814" s="19"/>
      <c r="N1046814" s="19"/>
    </row>
    <row r="1046815" spans="1:14" s="83" customFormat="1" ht="12.75">
      <c r="A1046815" s="19"/>
      <c r="B1046815" s="19"/>
      <c r="C1046815" s="19"/>
      <c r="D1046815" s="19"/>
      <c r="E1046815" s="19"/>
      <c r="F1046815" s="19"/>
      <c r="G1046815" s="19"/>
      <c r="H1046815" s="19"/>
      <c r="I1046815" s="19"/>
      <c r="J1046815" s="19"/>
      <c r="K1046815" s="19"/>
      <c r="L1046815" s="19"/>
      <c r="M1046815" s="19"/>
      <c r="N1046815" s="19"/>
    </row>
    <row r="1046816" spans="1:14" s="83" customFormat="1" ht="12.75">
      <c r="A1046816" s="19"/>
      <c r="B1046816" s="19"/>
      <c r="C1046816" s="19"/>
      <c r="D1046816" s="19"/>
      <c r="E1046816" s="19"/>
      <c r="F1046816" s="19"/>
      <c r="G1046816" s="19"/>
      <c r="H1046816" s="19"/>
      <c r="I1046816" s="19"/>
      <c r="J1046816" s="19"/>
      <c r="K1046816" s="19"/>
      <c r="L1046816" s="19"/>
      <c r="M1046816" s="19"/>
      <c r="N1046816" s="19"/>
    </row>
    <row r="1046817" spans="1:14" s="83" customFormat="1" ht="12.75">
      <c r="A1046817" s="19"/>
      <c r="B1046817" s="19"/>
      <c r="C1046817" s="19"/>
      <c r="D1046817" s="19"/>
      <c r="E1046817" s="19"/>
      <c r="F1046817" s="19"/>
      <c r="G1046817" s="19"/>
      <c r="H1046817" s="19"/>
      <c r="I1046817" s="19"/>
      <c r="J1046817" s="19"/>
      <c r="K1046817" s="19"/>
      <c r="L1046817" s="19"/>
      <c r="M1046817" s="19"/>
      <c r="N1046817" s="19"/>
    </row>
    <row r="1046818" spans="1:14" s="83" customFormat="1" ht="12.75">
      <c r="A1046818" s="19"/>
      <c r="B1046818" s="19"/>
      <c r="C1046818" s="19"/>
      <c r="D1046818" s="19"/>
      <c r="E1046818" s="19"/>
      <c r="F1046818" s="19"/>
      <c r="G1046818" s="19"/>
      <c r="H1046818" s="19"/>
      <c r="I1046818" s="19"/>
      <c r="J1046818" s="19"/>
      <c r="K1046818" s="19"/>
      <c r="L1046818" s="19"/>
      <c r="M1046818" s="19"/>
      <c r="N1046818" s="19"/>
    </row>
    <row r="1046819" spans="1:14" s="83" customFormat="1" ht="12.75">
      <c r="A1046819" s="19"/>
      <c r="B1046819" s="19"/>
      <c r="C1046819" s="19"/>
      <c r="D1046819" s="19"/>
      <c r="E1046819" s="19"/>
      <c r="F1046819" s="19"/>
      <c r="G1046819" s="19"/>
      <c r="H1046819" s="19"/>
      <c r="I1046819" s="19"/>
      <c r="J1046819" s="19"/>
      <c r="K1046819" s="19"/>
      <c r="L1046819" s="19"/>
      <c r="M1046819" s="19"/>
      <c r="N1046819" s="19"/>
    </row>
    <row r="1046820" spans="1:14" s="83" customFormat="1" ht="12.75">
      <c r="A1046820" s="19"/>
      <c r="B1046820" s="19"/>
      <c r="C1046820" s="19"/>
      <c r="D1046820" s="19"/>
      <c r="E1046820" s="19"/>
      <c r="F1046820" s="19"/>
      <c r="G1046820" s="19"/>
      <c r="H1046820" s="19"/>
      <c r="I1046820" s="19"/>
      <c r="J1046820" s="19"/>
      <c r="K1046820" s="19"/>
      <c r="L1046820" s="19"/>
      <c r="M1046820" s="19"/>
      <c r="N1046820" s="19"/>
    </row>
    <row r="1046821" spans="1:14" s="83" customFormat="1" ht="12.75">
      <c r="A1046821" s="19"/>
      <c r="B1046821" s="19"/>
      <c r="C1046821" s="19"/>
      <c r="D1046821" s="19"/>
      <c r="E1046821" s="19"/>
      <c r="F1046821" s="19"/>
      <c r="G1046821" s="19"/>
      <c r="H1046821" s="19"/>
      <c r="I1046821" s="19"/>
      <c r="J1046821" s="19"/>
      <c r="K1046821" s="19"/>
      <c r="L1046821" s="19"/>
      <c r="M1046821" s="19"/>
      <c r="N1046821" s="19"/>
    </row>
    <row r="1046822" spans="1:14" s="83" customFormat="1" ht="12.75">
      <c r="A1046822" s="19"/>
      <c r="B1046822" s="19"/>
      <c r="C1046822" s="19"/>
      <c r="D1046822" s="19"/>
      <c r="E1046822" s="19"/>
      <c r="F1046822" s="19"/>
      <c r="G1046822" s="19"/>
      <c r="H1046822" s="19"/>
      <c r="I1046822" s="19"/>
      <c r="J1046822" s="19"/>
      <c r="K1046822" s="19"/>
      <c r="L1046822" s="19"/>
      <c r="M1046822" s="19"/>
      <c r="N1046822" s="19"/>
    </row>
    <row r="1046823" spans="1:14" s="83" customFormat="1" ht="12.75">
      <c r="A1046823" s="19"/>
      <c r="B1046823" s="19"/>
      <c r="C1046823" s="19"/>
      <c r="D1046823" s="19"/>
      <c r="E1046823" s="19"/>
      <c r="F1046823" s="19"/>
      <c r="G1046823" s="19"/>
      <c r="H1046823" s="19"/>
      <c r="I1046823" s="19"/>
      <c r="J1046823" s="19"/>
      <c r="K1046823" s="19"/>
      <c r="L1046823" s="19"/>
      <c r="M1046823" s="19"/>
      <c r="N1046823" s="19"/>
    </row>
    <row r="1046824" spans="1:14" s="83" customFormat="1" ht="12.75">
      <c r="A1046824" s="19"/>
      <c r="B1046824" s="19"/>
      <c r="C1046824" s="19"/>
      <c r="D1046824" s="19"/>
      <c r="E1046824" s="19"/>
      <c r="F1046824" s="19"/>
      <c r="G1046824" s="19"/>
      <c r="H1046824" s="19"/>
      <c r="I1046824" s="19"/>
      <c r="J1046824" s="19"/>
      <c r="K1046824" s="19"/>
      <c r="L1046824" s="19"/>
      <c r="M1046824" s="19"/>
      <c r="N1046824" s="19"/>
    </row>
    <row r="1046825" spans="1:14" s="83" customFormat="1" ht="12.75">
      <c r="A1046825" s="19"/>
      <c r="B1046825" s="19"/>
      <c r="C1046825" s="19"/>
      <c r="D1046825" s="19"/>
      <c r="E1046825" s="19"/>
      <c r="F1046825" s="19"/>
      <c r="G1046825" s="19"/>
      <c r="H1046825" s="19"/>
      <c r="I1046825" s="19"/>
      <c r="J1046825" s="19"/>
      <c r="K1046825" s="19"/>
      <c r="L1046825" s="19"/>
      <c r="M1046825" s="19"/>
      <c r="N1046825" s="19"/>
    </row>
    <row r="1046826" spans="1:14" s="83" customFormat="1" ht="12.75">
      <c r="A1046826" s="19"/>
      <c r="B1046826" s="19"/>
      <c r="C1046826" s="19"/>
      <c r="D1046826" s="19"/>
      <c r="E1046826" s="19"/>
      <c r="F1046826" s="19"/>
      <c r="G1046826" s="19"/>
      <c r="H1046826" s="19"/>
      <c r="I1046826" s="19"/>
      <c r="J1046826" s="19"/>
      <c r="K1046826" s="19"/>
      <c r="L1046826" s="19"/>
      <c r="M1046826" s="19"/>
      <c r="N1046826" s="19"/>
    </row>
    <row r="1046827" spans="1:14" s="83" customFormat="1" ht="12.75">
      <c r="A1046827" s="19"/>
      <c r="B1046827" s="19"/>
      <c r="C1046827" s="19"/>
      <c r="D1046827" s="19"/>
      <c r="E1046827" s="19"/>
      <c r="F1046827" s="19"/>
      <c r="G1046827" s="19"/>
      <c r="H1046827" s="19"/>
      <c r="I1046827" s="19"/>
      <c r="J1046827" s="19"/>
      <c r="K1046827" s="19"/>
      <c r="L1046827" s="19"/>
      <c r="M1046827" s="19"/>
      <c r="N1046827" s="19"/>
    </row>
    <row r="1046828" spans="1:14" s="83" customFormat="1" ht="12.75">
      <c r="A1046828" s="19"/>
      <c r="B1046828" s="19"/>
      <c r="C1046828" s="19"/>
      <c r="D1046828" s="19"/>
      <c r="E1046828" s="19"/>
      <c r="F1046828" s="19"/>
      <c r="G1046828" s="19"/>
      <c r="H1046828" s="19"/>
      <c r="I1046828" s="19"/>
      <c r="J1046828" s="19"/>
      <c r="K1046828" s="19"/>
      <c r="L1046828" s="19"/>
      <c r="M1046828" s="19"/>
      <c r="N1046828" s="19"/>
    </row>
    <row r="1046829" spans="1:14" s="83" customFormat="1" ht="12.75">
      <c r="A1046829" s="19"/>
      <c r="B1046829" s="19"/>
      <c r="C1046829" s="19"/>
      <c r="D1046829" s="19"/>
      <c r="E1046829" s="19"/>
      <c r="F1046829" s="19"/>
      <c r="G1046829" s="19"/>
      <c r="H1046829" s="19"/>
      <c r="I1046829" s="19"/>
      <c r="J1046829" s="19"/>
      <c r="K1046829" s="19"/>
      <c r="L1046829" s="19"/>
      <c r="M1046829" s="19"/>
      <c r="N1046829" s="19"/>
    </row>
    <row r="1046830" spans="1:14" s="83" customFormat="1" ht="12.75">
      <c r="A1046830" s="19"/>
      <c r="B1046830" s="19"/>
      <c r="C1046830" s="19"/>
      <c r="D1046830" s="19"/>
      <c r="E1046830" s="19"/>
      <c r="F1046830" s="19"/>
      <c r="G1046830" s="19"/>
      <c r="H1046830" s="19"/>
      <c r="I1046830" s="19"/>
      <c r="J1046830" s="19"/>
      <c r="K1046830" s="19"/>
      <c r="L1046830" s="19"/>
      <c r="M1046830" s="19"/>
      <c r="N1046830" s="19"/>
    </row>
    <row r="1046831" spans="1:14" s="83" customFormat="1" ht="12.75">
      <c r="A1046831" s="19"/>
      <c r="B1046831" s="19"/>
      <c r="C1046831" s="19"/>
      <c r="D1046831" s="19"/>
      <c r="E1046831" s="19"/>
      <c r="F1046831" s="19"/>
      <c r="G1046831" s="19"/>
      <c r="H1046831" s="19"/>
      <c r="I1046831" s="19"/>
      <c r="J1046831" s="19"/>
      <c r="K1046831" s="19"/>
      <c r="L1046831" s="19"/>
      <c r="M1046831" s="19"/>
      <c r="N1046831" s="19"/>
    </row>
    <row r="1046832" spans="1:14" s="83" customFormat="1" ht="12.75">
      <c r="A1046832" s="19"/>
      <c r="B1046832" s="19"/>
      <c r="C1046832" s="19"/>
      <c r="D1046832" s="19"/>
      <c r="E1046832" s="19"/>
      <c r="F1046832" s="19"/>
      <c r="G1046832" s="19"/>
      <c r="H1046832" s="19"/>
      <c r="I1046832" s="19"/>
      <c r="J1046832" s="19"/>
      <c r="K1046832" s="19"/>
      <c r="L1046832" s="19"/>
      <c r="M1046832" s="19"/>
      <c r="N1046832" s="19"/>
    </row>
    <row r="1046833" spans="1:14" s="83" customFormat="1" ht="12.75">
      <c r="A1046833" s="19"/>
      <c r="B1046833" s="19"/>
      <c r="C1046833" s="19"/>
      <c r="D1046833" s="19"/>
      <c r="E1046833" s="19"/>
      <c r="F1046833" s="19"/>
      <c r="G1046833" s="19"/>
      <c r="H1046833" s="19"/>
      <c r="I1046833" s="19"/>
      <c r="J1046833" s="19"/>
      <c r="K1046833" s="19"/>
      <c r="L1046833" s="19"/>
      <c r="M1046833" s="19"/>
      <c r="N1046833" s="19"/>
    </row>
    <row r="1046834" spans="1:14" s="83" customFormat="1" ht="12.75">
      <c r="A1046834" s="19"/>
      <c r="B1046834" s="19"/>
      <c r="C1046834" s="19"/>
      <c r="D1046834" s="19"/>
      <c r="E1046834" s="19"/>
      <c r="F1046834" s="19"/>
      <c r="G1046834" s="19"/>
      <c r="H1046834" s="19"/>
      <c r="I1046834" s="19"/>
      <c r="J1046834" s="19"/>
      <c r="K1046834" s="19"/>
      <c r="L1046834" s="19"/>
      <c r="M1046834" s="19"/>
      <c r="N1046834" s="19"/>
    </row>
    <row r="1046835" spans="1:14" s="83" customFormat="1" ht="12.75">
      <c r="A1046835" s="19"/>
      <c r="B1046835" s="19"/>
      <c r="C1046835" s="19"/>
      <c r="D1046835" s="19"/>
      <c r="E1046835" s="19"/>
      <c r="F1046835" s="19"/>
      <c r="G1046835" s="19"/>
      <c r="H1046835" s="19"/>
      <c r="I1046835" s="19"/>
      <c r="J1046835" s="19"/>
      <c r="K1046835" s="19"/>
      <c r="L1046835" s="19"/>
      <c r="M1046835" s="19"/>
      <c r="N1046835" s="19"/>
    </row>
    <row r="1046836" spans="1:14" s="83" customFormat="1" ht="12.75">
      <c r="A1046836" s="19"/>
      <c r="B1046836" s="19"/>
      <c r="C1046836" s="19"/>
      <c r="D1046836" s="19"/>
      <c r="E1046836" s="19"/>
      <c r="F1046836" s="19"/>
      <c r="G1046836" s="19"/>
      <c r="H1046836" s="19"/>
      <c r="I1046836" s="19"/>
      <c r="J1046836" s="19"/>
      <c r="K1046836" s="19"/>
      <c r="L1046836" s="19"/>
      <c r="M1046836" s="19"/>
      <c r="N1046836" s="19"/>
    </row>
    <row r="1046837" spans="1:14" s="83" customFormat="1" ht="12.75">
      <c r="A1046837" s="19"/>
      <c r="B1046837" s="19"/>
      <c r="C1046837" s="19"/>
      <c r="D1046837" s="19"/>
      <c r="E1046837" s="19"/>
      <c r="F1046837" s="19"/>
      <c r="G1046837" s="19"/>
      <c r="H1046837" s="19"/>
      <c r="I1046837" s="19"/>
      <c r="J1046837" s="19"/>
      <c r="K1046837" s="19"/>
      <c r="L1046837" s="19"/>
      <c r="M1046837" s="19"/>
      <c r="N1046837" s="19"/>
    </row>
    <row r="1046838" spans="1:14" s="83" customFormat="1" ht="12.75">
      <c r="A1046838" s="19"/>
      <c r="B1046838" s="19"/>
      <c r="C1046838" s="19"/>
      <c r="D1046838" s="19"/>
      <c r="E1046838" s="19"/>
      <c r="F1046838" s="19"/>
      <c r="G1046838" s="19"/>
      <c r="H1046838" s="19"/>
      <c r="I1046838" s="19"/>
      <c r="J1046838" s="19"/>
      <c r="K1046838" s="19"/>
      <c r="L1046838" s="19"/>
      <c r="M1046838" s="19"/>
      <c r="N1046838" s="19"/>
    </row>
    <row r="1046839" spans="1:14" s="83" customFormat="1" ht="12.75">
      <c r="A1046839" s="19"/>
      <c r="B1046839" s="19"/>
      <c r="C1046839" s="19"/>
      <c r="D1046839" s="19"/>
      <c r="E1046839" s="19"/>
      <c r="F1046839" s="19"/>
      <c r="G1046839" s="19"/>
      <c r="H1046839" s="19"/>
      <c r="I1046839" s="19"/>
      <c r="J1046839" s="19"/>
      <c r="K1046839" s="19"/>
      <c r="L1046839" s="19"/>
      <c r="M1046839" s="19"/>
      <c r="N1046839" s="19"/>
    </row>
    <row r="1046840" spans="1:14" s="83" customFormat="1" ht="12.75">
      <c r="A1046840" s="19"/>
      <c r="B1046840" s="19"/>
      <c r="C1046840" s="19"/>
      <c r="D1046840" s="19"/>
      <c r="E1046840" s="19"/>
      <c r="F1046840" s="19"/>
      <c r="G1046840" s="19"/>
      <c r="H1046840" s="19"/>
      <c r="I1046840" s="19"/>
      <c r="J1046840" s="19"/>
      <c r="K1046840" s="19"/>
      <c r="L1046840" s="19"/>
      <c r="M1046840" s="19"/>
      <c r="N1046840" s="19"/>
    </row>
    <row r="1046841" spans="1:14" s="83" customFormat="1" ht="12.75">
      <c r="A1046841" s="19"/>
      <c r="B1046841" s="19"/>
      <c r="C1046841" s="19"/>
      <c r="D1046841" s="19"/>
      <c r="E1046841" s="19"/>
      <c r="F1046841" s="19"/>
      <c r="G1046841" s="19"/>
      <c r="H1046841" s="19"/>
      <c r="I1046841" s="19"/>
      <c r="J1046841" s="19"/>
      <c r="K1046841" s="19"/>
      <c r="L1046841" s="19"/>
      <c r="M1046841" s="19"/>
      <c r="N1046841" s="19"/>
    </row>
    <row r="1046842" spans="1:14" s="83" customFormat="1" ht="12.75">
      <c r="A1046842" s="19"/>
      <c r="B1046842" s="19"/>
      <c r="C1046842" s="19"/>
      <c r="D1046842" s="19"/>
      <c r="E1046842" s="19"/>
      <c r="F1046842" s="19"/>
      <c r="G1046842" s="19"/>
      <c r="H1046842" s="19"/>
      <c r="I1046842" s="19"/>
      <c r="J1046842" s="19"/>
      <c r="K1046842" s="19"/>
      <c r="L1046842" s="19"/>
      <c r="M1046842" s="19"/>
      <c r="N1046842" s="19"/>
    </row>
    <row r="1046843" spans="1:14" s="83" customFormat="1" ht="12.75">
      <c r="A1046843" s="19"/>
      <c r="B1046843" s="19"/>
      <c r="C1046843" s="19"/>
      <c r="D1046843" s="19"/>
      <c r="E1046843" s="19"/>
      <c r="F1046843" s="19"/>
      <c r="G1046843" s="19"/>
      <c r="H1046843" s="19"/>
      <c r="I1046843" s="19"/>
      <c r="J1046843" s="19"/>
      <c r="K1046843" s="19"/>
      <c r="L1046843" s="19"/>
      <c r="M1046843" s="19"/>
      <c r="N1046843" s="19"/>
    </row>
    <row r="1046844" spans="1:14" s="83" customFormat="1" ht="12.75">
      <c r="A1046844" s="19"/>
      <c r="B1046844" s="19"/>
      <c r="C1046844" s="19"/>
      <c r="D1046844" s="19"/>
      <c r="E1046844" s="19"/>
      <c r="F1046844" s="19"/>
      <c r="G1046844" s="19"/>
      <c r="H1046844" s="19"/>
      <c r="I1046844" s="19"/>
      <c r="J1046844" s="19"/>
      <c r="K1046844" s="19"/>
      <c r="L1046844" s="19"/>
      <c r="M1046844" s="19"/>
      <c r="N1046844" s="19"/>
    </row>
    <row r="1046845" spans="1:14" s="83" customFormat="1" ht="12.75">
      <c r="A1046845" s="19"/>
      <c r="B1046845" s="19"/>
      <c r="C1046845" s="19"/>
      <c r="D1046845" s="19"/>
      <c r="E1046845" s="19"/>
      <c r="F1046845" s="19"/>
      <c r="G1046845" s="19"/>
      <c r="H1046845" s="19"/>
      <c r="I1046845" s="19"/>
      <c r="J1046845" s="19"/>
      <c r="K1046845" s="19"/>
      <c r="L1046845" s="19"/>
      <c r="M1046845" s="19"/>
      <c r="N1046845" s="19"/>
    </row>
    <row r="1046846" spans="1:14" s="83" customFormat="1" ht="12.75">
      <c r="A1046846" s="19"/>
      <c r="B1046846" s="19"/>
      <c r="C1046846" s="19"/>
      <c r="D1046846" s="19"/>
      <c r="E1046846" s="19"/>
      <c r="F1046846" s="19"/>
      <c r="G1046846" s="19"/>
      <c r="H1046846" s="19"/>
      <c r="I1046846" s="19"/>
      <c r="J1046846" s="19"/>
      <c r="K1046846" s="19"/>
      <c r="L1046846" s="19"/>
      <c r="M1046846" s="19"/>
      <c r="N1046846" s="19"/>
    </row>
    <row r="1046847" spans="1:14" s="83" customFormat="1" ht="12.75">
      <c r="A1046847" s="19"/>
      <c r="B1046847" s="19"/>
      <c r="C1046847" s="19"/>
      <c r="D1046847" s="19"/>
      <c r="E1046847" s="19"/>
      <c r="F1046847" s="19"/>
      <c r="G1046847" s="19"/>
      <c r="H1046847" s="19"/>
      <c r="I1046847" s="19"/>
      <c r="J1046847" s="19"/>
      <c r="K1046847" s="19"/>
      <c r="L1046847" s="19"/>
      <c r="M1046847" s="19"/>
      <c r="N1046847" s="19"/>
    </row>
    <row r="1046848" spans="1:14" s="83" customFormat="1" ht="12.75">
      <c r="A1046848" s="19"/>
      <c r="B1046848" s="19"/>
      <c r="C1046848" s="19"/>
      <c r="D1046848" s="19"/>
      <c r="E1046848" s="19"/>
      <c r="F1046848" s="19"/>
      <c r="G1046848" s="19"/>
      <c r="H1046848" s="19"/>
      <c r="I1046848" s="19"/>
      <c r="J1046848" s="19"/>
      <c r="K1046848" s="19"/>
      <c r="L1046848" s="19"/>
      <c r="M1046848" s="19"/>
      <c r="N1046848" s="19"/>
    </row>
    <row r="1046849" spans="1:14" s="83" customFormat="1" ht="12.75">
      <c r="A1046849" s="19"/>
      <c r="B1046849" s="19"/>
      <c r="C1046849" s="19"/>
      <c r="D1046849" s="19"/>
      <c r="E1046849" s="19"/>
      <c r="F1046849" s="19"/>
      <c r="G1046849" s="19"/>
      <c r="H1046849" s="19"/>
      <c r="I1046849" s="19"/>
      <c r="J1046849" s="19"/>
      <c r="K1046849" s="19"/>
      <c r="L1046849" s="19"/>
      <c r="M1046849" s="19"/>
      <c r="N1046849" s="19"/>
    </row>
    <row r="1046850" spans="1:14" s="83" customFormat="1" ht="12.75">
      <c r="A1046850" s="19"/>
      <c r="B1046850" s="19"/>
      <c r="C1046850" s="19"/>
      <c r="D1046850" s="19"/>
      <c r="E1046850" s="19"/>
      <c r="F1046850" s="19"/>
      <c r="G1046850" s="19"/>
      <c r="H1046850" s="19"/>
      <c r="I1046850" s="19"/>
      <c r="J1046850" s="19"/>
      <c r="K1046850" s="19"/>
      <c r="L1046850" s="19"/>
      <c r="M1046850" s="19"/>
      <c r="N1046850" s="19"/>
    </row>
    <row r="1046851" spans="1:14" s="83" customFormat="1" ht="12.75">
      <c r="A1046851" s="19"/>
      <c r="B1046851" s="19"/>
      <c r="C1046851" s="19"/>
      <c r="D1046851" s="19"/>
      <c r="E1046851" s="19"/>
      <c r="F1046851" s="19"/>
      <c r="G1046851" s="19"/>
      <c r="H1046851" s="19"/>
      <c r="I1046851" s="19"/>
      <c r="J1046851" s="19"/>
      <c r="K1046851" s="19"/>
      <c r="L1046851" s="19"/>
      <c r="M1046851" s="19"/>
      <c r="N1046851" s="19"/>
    </row>
    <row r="1046852" spans="1:14" s="83" customFormat="1" ht="12.75">
      <c r="A1046852" s="19"/>
      <c r="B1046852" s="19"/>
      <c r="C1046852" s="19"/>
      <c r="D1046852" s="19"/>
      <c r="E1046852" s="19"/>
      <c r="F1046852" s="19"/>
      <c r="G1046852" s="19"/>
      <c r="H1046852" s="19"/>
      <c r="I1046852" s="19"/>
      <c r="J1046852" s="19"/>
      <c r="K1046852" s="19"/>
      <c r="L1046852" s="19"/>
      <c r="M1046852" s="19"/>
      <c r="N1046852" s="19"/>
    </row>
    <row r="1046853" spans="1:14" s="83" customFormat="1" ht="12.75">
      <c r="A1046853" s="19"/>
      <c r="B1046853" s="19"/>
      <c r="C1046853" s="19"/>
      <c r="D1046853" s="19"/>
      <c r="E1046853" s="19"/>
      <c r="F1046853" s="19"/>
      <c r="G1046853" s="19"/>
      <c r="H1046853" s="19"/>
      <c r="I1046853" s="19"/>
      <c r="J1046853" s="19"/>
      <c r="K1046853" s="19"/>
      <c r="L1046853" s="19"/>
      <c r="M1046853" s="19"/>
      <c r="N1046853" s="19"/>
    </row>
    <row r="1046854" spans="1:14" s="83" customFormat="1" ht="12.75">
      <c r="A1046854" s="19"/>
      <c r="B1046854" s="19"/>
      <c r="C1046854" s="19"/>
      <c r="D1046854" s="19"/>
      <c r="E1046854" s="19"/>
      <c r="F1046854" s="19"/>
      <c r="G1046854" s="19"/>
      <c r="H1046854" s="19"/>
      <c r="I1046854" s="19"/>
      <c r="J1046854" s="19"/>
      <c r="K1046854" s="19"/>
      <c r="L1046854" s="19"/>
      <c r="M1046854" s="19"/>
      <c r="N1046854" s="19"/>
    </row>
    <row r="1046855" spans="1:14" s="83" customFormat="1" ht="12.75">
      <c r="A1046855" s="19"/>
      <c r="B1046855" s="19"/>
      <c r="C1046855" s="19"/>
      <c r="D1046855" s="19"/>
      <c r="E1046855" s="19"/>
      <c r="F1046855" s="19"/>
      <c r="G1046855" s="19"/>
      <c r="H1046855" s="19"/>
      <c r="I1046855" s="19"/>
      <c r="J1046855" s="19"/>
      <c r="K1046855" s="19"/>
      <c r="L1046855" s="19"/>
      <c r="M1046855" s="19"/>
      <c r="N1046855" s="19"/>
    </row>
    <row r="1046856" spans="1:14" s="83" customFormat="1" ht="12.75">
      <c r="A1046856" s="19"/>
      <c r="B1046856" s="19"/>
      <c r="C1046856" s="19"/>
      <c r="D1046856" s="19"/>
      <c r="E1046856" s="19"/>
      <c r="F1046856" s="19"/>
      <c r="G1046856" s="19"/>
      <c r="H1046856" s="19"/>
      <c r="I1046856" s="19"/>
      <c r="J1046856" s="19"/>
      <c r="K1046856" s="19"/>
      <c r="L1046856" s="19"/>
      <c r="M1046856" s="19"/>
      <c r="N1046856" s="19"/>
    </row>
    <row r="1046857" spans="1:14" s="83" customFormat="1" ht="12.75">
      <c r="A1046857" s="19"/>
      <c r="B1046857" s="19"/>
      <c r="C1046857" s="19"/>
      <c r="D1046857" s="19"/>
      <c r="E1046857" s="19"/>
      <c r="F1046857" s="19"/>
      <c r="G1046857" s="19"/>
      <c r="H1046857" s="19"/>
      <c r="I1046857" s="19"/>
      <c r="J1046857" s="19"/>
      <c r="K1046857" s="19"/>
      <c r="L1046857" s="19"/>
      <c r="M1046857" s="19"/>
      <c r="N1046857" s="19"/>
    </row>
    <row r="1046858" spans="1:14" s="83" customFormat="1" ht="12.75">
      <c r="A1046858" s="19"/>
      <c r="B1046858" s="19"/>
      <c r="C1046858" s="19"/>
      <c r="D1046858" s="19"/>
      <c r="E1046858" s="19"/>
      <c r="F1046858" s="19"/>
      <c r="G1046858" s="19"/>
      <c r="H1046858" s="19"/>
      <c r="I1046858" s="19"/>
      <c r="J1046858" s="19"/>
      <c r="K1046858" s="19"/>
      <c r="L1046858" s="19"/>
      <c r="M1046858" s="19"/>
      <c r="N1046858" s="19"/>
    </row>
    <row r="1046859" spans="1:14" s="83" customFormat="1" ht="12.75">
      <c r="A1046859" s="19"/>
      <c r="B1046859" s="19"/>
      <c r="C1046859" s="19"/>
      <c r="D1046859" s="19"/>
      <c r="E1046859" s="19"/>
      <c r="F1046859" s="19"/>
      <c r="G1046859" s="19"/>
      <c r="H1046859" s="19"/>
      <c r="I1046859" s="19"/>
      <c r="J1046859" s="19"/>
      <c r="K1046859" s="19"/>
      <c r="L1046859" s="19"/>
      <c r="M1046859" s="19"/>
      <c r="N1046859" s="19"/>
    </row>
    <row r="1046860" spans="1:14" s="83" customFormat="1" ht="12.75">
      <c r="A1046860" s="19"/>
      <c r="B1046860" s="19"/>
      <c r="C1046860" s="19"/>
      <c r="D1046860" s="19"/>
      <c r="E1046860" s="19"/>
      <c r="F1046860" s="19"/>
      <c r="G1046860" s="19"/>
      <c r="H1046860" s="19"/>
      <c r="I1046860" s="19"/>
      <c r="J1046860" s="19"/>
      <c r="K1046860" s="19"/>
      <c r="L1046860" s="19"/>
      <c r="M1046860" s="19"/>
      <c r="N1046860" s="19"/>
    </row>
    <row r="1046861" spans="1:14" s="83" customFormat="1" ht="12.75">
      <c r="A1046861" s="19"/>
      <c r="B1046861" s="19"/>
      <c r="C1046861" s="19"/>
      <c r="D1046861" s="19"/>
      <c r="E1046861" s="19"/>
      <c r="F1046861" s="19"/>
      <c r="G1046861" s="19"/>
      <c r="H1046861" s="19"/>
      <c r="I1046861" s="19"/>
      <c r="J1046861" s="19"/>
      <c r="K1046861" s="19"/>
      <c r="L1046861" s="19"/>
      <c r="M1046861" s="19"/>
      <c r="N1046861" s="19"/>
    </row>
    <row r="1046862" spans="1:14" s="83" customFormat="1" ht="12.75">
      <c r="A1046862" s="19"/>
      <c r="B1046862" s="19"/>
      <c r="C1046862" s="19"/>
      <c r="D1046862" s="19"/>
      <c r="E1046862" s="19"/>
      <c r="F1046862" s="19"/>
      <c r="G1046862" s="19"/>
      <c r="H1046862" s="19"/>
      <c r="I1046862" s="19"/>
      <c r="J1046862" s="19"/>
      <c r="K1046862" s="19"/>
      <c r="L1046862" s="19"/>
      <c r="M1046862" s="19"/>
      <c r="N1046862" s="19"/>
    </row>
    <row r="1046863" spans="1:14" s="83" customFormat="1" ht="12.75">
      <c r="A1046863" s="19"/>
      <c r="B1046863" s="19"/>
      <c r="C1046863" s="19"/>
      <c r="D1046863" s="19"/>
      <c r="E1046863" s="19"/>
      <c r="F1046863" s="19"/>
      <c r="G1046863" s="19"/>
      <c r="H1046863" s="19"/>
      <c r="I1046863" s="19"/>
      <c r="J1046863" s="19"/>
      <c r="K1046863" s="19"/>
      <c r="L1046863" s="19"/>
      <c r="M1046863" s="19"/>
      <c r="N1046863" s="19"/>
    </row>
    <row r="1046864" spans="1:14" s="83" customFormat="1" ht="12.75">
      <c r="A1046864" s="19"/>
      <c r="B1046864" s="19"/>
      <c r="C1046864" s="19"/>
      <c r="D1046864" s="19"/>
      <c r="E1046864" s="19"/>
      <c r="F1046864" s="19"/>
      <c r="G1046864" s="19"/>
      <c r="H1046864" s="19"/>
      <c r="I1046864" s="19"/>
      <c r="J1046864" s="19"/>
      <c r="K1046864" s="19"/>
      <c r="L1046864" s="19"/>
      <c r="M1046864" s="19"/>
      <c r="N1046864" s="19"/>
    </row>
    <row r="1046865" spans="1:14" s="83" customFormat="1" ht="12.75">
      <c r="A1046865" s="19"/>
      <c r="B1046865" s="19"/>
      <c r="C1046865" s="19"/>
      <c r="D1046865" s="19"/>
      <c r="E1046865" s="19"/>
      <c r="F1046865" s="19"/>
      <c r="G1046865" s="19"/>
      <c r="H1046865" s="19"/>
      <c r="I1046865" s="19"/>
      <c r="J1046865" s="19"/>
      <c r="K1046865" s="19"/>
      <c r="L1046865" s="19"/>
      <c r="M1046865" s="19"/>
      <c r="N1046865" s="19"/>
    </row>
    <row r="1046866" spans="1:14" s="83" customFormat="1" ht="12.75">
      <c r="A1046866" s="19"/>
      <c r="B1046866" s="19"/>
      <c r="C1046866" s="19"/>
      <c r="D1046866" s="19"/>
      <c r="E1046866" s="19"/>
      <c r="F1046866" s="19"/>
      <c r="G1046866" s="19"/>
      <c r="H1046866" s="19"/>
      <c r="I1046866" s="19"/>
      <c r="J1046866" s="19"/>
      <c r="K1046866" s="19"/>
      <c r="L1046866" s="19"/>
      <c r="M1046866" s="19"/>
      <c r="N1046866" s="19"/>
    </row>
    <row r="1046867" spans="1:14" s="83" customFormat="1" ht="12.75">
      <c r="A1046867" s="19"/>
      <c r="B1046867" s="19"/>
      <c r="C1046867" s="19"/>
      <c r="D1046867" s="19"/>
      <c r="E1046867" s="19"/>
      <c r="F1046867" s="19"/>
      <c r="G1046867" s="19"/>
      <c r="H1046867" s="19"/>
      <c r="I1046867" s="19"/>
      <c r="J1046867" s="19"/>
      <c r="K1046867" s="19"/>
      <c r="L1046867" s="19"/>
      <c r="M1046867" s="19"/>
      <c r="N1046867" s="19"/>
    </row>
    <row r="1046868" spans="1:14" s="83" customFormat="1" ht="12.75">
      <c r="A1046868" s="19"/>
      <c r="B1046868" s="19"/>
      <c r="C1046868" s="19"/>
      <c r="D1046868" s="19"/>
      <c r="E1046868" s="19"/>
      <c r="F1046868" s="19"/>
      <c r="G1046868" s="19"/>
      <c r="H1046868" s="19"/>
      <c r="I1046868" s="19"/>
      <c r="J1046868" s="19"/>
      <c r="K1046868" s="19"/>
      <c r="L1046868" s="19"/>
      <c r="M1046868" s="19"/>
      <c r="N1046868" s="19"/>
    </row>
    <row r="1046869" spans="1:14" s="83" customFormat="1" ht="12.75">
      <c r="A1046869" s="19"/>
      <c r="B1046869" s="19"/>
      <c r="C1046869" s="19"/>
      <c r="D1046869" s="19"/>
      <c r="E1046869" s="19"/>
      <c r="F1046869" s="19"/>
      <c r="G1046869" s="19"/>
      <c r="H1046869" s="19"/>
      <c r="I1046869" s="19"/>
      <c r="J1046869" s="19"/>
      <c r="K1046869" s="19"/>
      <c r="L1046869" s="19"/>
      <c r="M1046869" s="19"/>
      <c r="N1046869" s="19"/>
    </row>
    <row r="1046870" spans="1:14" s="83" customFormat="1" ht="12.75">
      <c r="A1046870" s="19"/>
      <c r="B1046870" s="19"/>
      <c r="C1046870" s="19"/>
      <c r="D1046870" s="19"/>
      <c r="E1046870" s="19"/>
      <c r="F1046870" s="19"/>
      <c r="G1046870" s="19"/>
      <c r="H1046870" s="19"/>
      <c r="I1046870" s="19"/>
      <c r="J1046870" s="19"/>
      <c r="K1046870" s="19"/>
      <c r="L1046870" s="19"/>
      <c r="M1046870" s="19"/>
      <c r="N1046870" s="19"/>
    </row>
    <row r="1046871" spans="1:14" s="83" customFormat="1" ht="12.75">
      <c r="A1046871" s="19"/>
      <c r="B1046871" s="19"/>
      <c r="C1046871" s="19"/>
      <c r="D1046871" s="19"/>
      <c r="E1046871" s="19"/>
      <c r="F1046871" s="19"/>
      <c r="G1046871" s="19"/>
      <c r="H1046871" s="19"/>
      <c r="I1046871" s="19"/>
      <c r="J1046871" s="19"/>
      <c r="K1046871" s="19"/>
      <c r="L1046871" s="19"/>
      <c r="M1046871" s="19"/>
      <c r="N1046871" s="19"/>
    </row>
    <row r="1046872" spans="1:14" s="83" customFormat="1" ht="12.75">
      <c r="A1046872" s="19"/>
      <c r="B1046872" s="19"/>
      <c r="C1046872" s="19"/>
      <c r="D1046872" s="19"/>
      <c r="E1046872" s="19"/>
      <c r="F1046872" s="19"/>
      <c r="G1046872" s="19"/>
      <c r="H1046872" s="19"/>
      <c r="I1046872" s="19"/>
      <c r="J1046872" s="19"/>
      <c r="K1046872" s="19"/>
      <c r="L1046872" s="19"/>
      <c r="M1046872" s="19"/>
      <c r="N1046872" s="19"/>
    </row>
    <row r="1046873" spans="1:14" s="83" customFormat="1" ht="12.75">
      <c r="A1046873" s="19"/>
      <c r="B1046873" s="19"/>
      <c r="C1046873" s="19"/>
      <c r="D1046873" s="19"/>
      <c r="E1046873" s="19"/>
      <c r="F1046873" s="19"/>
      <c r="G1046873" s="19"/>
      <c r="H1046873" s="19"/>
      <c r="I1046873" s="19"/>
      <c r="J1046873" s="19"/>
      <c r="K1046873" s="19"/>
      <c r="L1046873" s="19"/>
      <c r="M1046873" s="19"/>
      <c r="N1046873" s="19"/>
    </row>
    <row r="1046874" spans="1:14" s="83" customFormat="1" ht="12.75">
      <c r="A1046874" s="19"/>
      <c r="B1046874" s="19"/>
      <c r="C1046874" s="19"/>
      <c r="D1046874" s="19"/>
      <c r="E1046874" s="19"/>
      <c r="F1046874" s="19"/>
      <c r="G1046874" s="19"/>
      <c r="H1046874" s="19"/>
      <c r="I1046874" s="19"/>
      <c r="J1046874" s="19"/>
      <c r="K1046874" s="19"/>
      <c r="L1046874" s="19"/>
      <c r="M1046874" s="19"/>
      <c r="N1046874" s="19"/>
    </row>
    <row r="1046875" spans="1:14" s="83" customFormat="1" ht="12.75">
      <c r="A1046875" s="19"/>
      <c r="B1046875" s="19"/>
      <c r="C1046875" s="19"/>
      <c r="D1046875" s="19"/>
      <c r="E1046875" s="19"/>
      <c r="F1046875" s="19"/>
      <c r="G1046875" s="19"/>
      <c r="H1046875" s="19"/>
      <c r="I1046875" s="19"/>
      <c r="J1046875" s="19"/>
      <c r="K1046875" s="19"/>
      <c r="L1046875" s="19"/>
      <c r="M1046875" s="19"/>
      <c r="N1046875" s="19"/>
    </row>
    <row r="1046876" spans="1:14" s="83" customFormat="1" ht="12.75">
      <c r="A1046876" s="19"/>
      <c r="B1046876" s="19"/>
      <c r="C1046876" s="19"/>
      <c r="D1046876" s="19"/>
      <c r="E1046876" s="19"/>
      <c r="F1046876" s="19"/>
      <c r="G1046876" s="19"/>
      <c r="H1046876" s="19"/>
      <c r="I1046876" s="19"/>
      <c r="J1046876" s="19"/>
      <c r="K1046876" s="19"/>
      <c r="L1046876" s="19"/>
      <c r="M1046876" s="19"/>
      <c r="N1046876" s="19"/>
    </row>
    <row r="1046877" spans="1:14" s="83" customFormat="1" ht="12.75">
      <c r="A1046877" s="19"/>
      <c r="B1046877" s="19"/>
      <c r="C1046877" s="19"/>
      <c r="D1046877" s="19"/>
      <c r="E1046877" s="19"/>
      <c r="F1046877" s="19"/>
      <c r="G1046877" s="19"/>
      <c r="H1046877" s="19"/>
      <c r="I1046877" s="19"/>
      <c r="J1046877" s="19"/>
      <c r="K1046877" s="19"/>
      <c r="L1046877" s="19"/>
      <c r="M1046877" s="19"/>
      <c r="N1046877" s="19"/>
    </row>
    <row r="1046878" spans="1:14" s="83" customFormat="1" ht="12.75">
      <c r="A1046878" s="19"/>
      <c r="B1046878" s="19"/>
      <c r="C1046878" s="19"/>
      <c r="D1046878" s="19"/>
      <c r="E1046878" s="19"/>
      <c r="F1046878" s="19"/>
      <c r="G1046878" s="19"/>
      <c r="H1046878" s="19"/>
      <c r="I1046878" s="19"/>
      <c r="J1046878" s="19"/>
      <c r="K1046878" s="19"/>
      <c r="L1046878" s="19"/>
      <c r="M1046878" s="19"/>
      <c r="N1046878" s="19"/>
    </row>
    <row r="1046879" spans="1:14" s="83" customFormat="1" ht="12.75">
      <c r="A1046879" s="19"/>
      <c r="B1046879" s="19"/>
      <c r="C1046879" s="19"/>
      <c r="D1046879" s="19"/>
      <c r="E1046879" s="19"/>
      <c r="F1046879" s="19"/>
      <c r="G1046879" s="19"/>
      <c r="H1046879" s="19"/>
      <c r="I1046879" s="19"/>
      <c r="J1046879" s="19"/>
      <c r="K1046879" s="19"/>
      <c r="L1046879" s="19"/>
      <c r="M1046879" s="19"/>
      <c r="N1046879" s="19"/>
    </row>
    <row r="1046880" spans="1:14" s="83" customFormat="1" ht="12.75">
      <c r="A1046880" s="19"/>
      <c r="B1046880" s="19"/>
      <c r="C1046880" s="19"/>
      <c r="D1046880" s="19"/>
      <c r="E1046880" s="19"/>
      <c r="F1046880" s="19"/>
      <c r="G1046880" s="19"/>
      <c r="H1046880" s="19"/>
      <c r="I1046880" s="19"/>
      <c r="J1046880" s="19"/>
      <c r="K1046880" s="19"/>
      <c r="L1046880" s="19"/>
      <c r="M1046880" s="19"/>
      <c r="N1046880" s="19"/>
    </row>
    <row r="1046881" spans="1:14" s="83" customFormat="1" ht="12.75">
      <c r="A1046881" s="19"/>
      <c r="B1046881" s="19"/>
      <c r="C1046881" s="19"/>
      <c r="D1046881" s="19"/>
      <c r="E1046881" s="19"/>
      <c r="F1046881" s="19"/>
      <c r="G1046881" s="19"/>
      <c r="H1046881" s="19"/>
      <c r="I1046881" s="19"/>
      <c r="J1046881" s="19"/>
      <c r="K1046881" s="19"/>
      <c r="L1046881" s="19"/>
      <c r="M1046881" s="19"/>
      <c r="N1046881" s="19"/>
    </row>
    <row r="1046882" spans="1:14" s="83" customFormat="1" ht="12.75">
      <c r="A1046882" s="19"/>
      <c r="B1046882" s="19"/>
      <c r="C1046882" s="19"/>
      <c r="D1046882" s="19"/>
      <c r="E1046882" s="19"/>
      <c r="F1046882" s="19"/>
      <c r="G1046882" s="19"/>
      <c r="H1046882" s="19"/>
      <c r="I1046882" s="19"/>
      <c r="J1046882" s="19"/>
      <c r="K1046882" s="19"/>
      <c r="L1046882" s="19"/>
      <c r="M1046882" s="19"/>
      <c r="N1046882" s="19"/>
    </row>
    <row r="1046883" spans="1:14" s="83" customFormat="1" ht="12.75">
      <c r="A1046883" s="19"/>
      <c r="B1046883" s="19"/>
      <c r="C1046883" s="19"/>
      <c r="D1046883" s="19"/>
      <c r="E1046883" s="19"/>
      <c r="F1046883" s="19"/>
      <c r="G1046883" s="19"/>
      <c r="H1046883" s="19"/>
      <c r="I1046883" s="19"/>
      <c r="J1046883" s="19"/>
      <c r="K1046883" s="19"/>
      <c r="L1046883" s="19"/>
      <c r="M1046883" s="19"/>
      <c r="N1046883" s="19"/>
    </row>
    <row r="1046884" spans="1:14" s="83" customFormat="1" ht="12.75">
      <c r="A1046884" s="19"/>
      <c r="B1046884" s="19"/>
      <c r="C1046884" s="19"/>
      <c r="D1046884" s="19"/>
      <c r="E1046884" s="19"/>
      <c r="F1046884" s="19"/>
      <c r="G1046884" s="19"/>
      <c r="H1046884" s="19"/>
      <c r="I1046884" s="19"/>
      <c r="J1046884" s="19"/>
      <c r="K1046884" s="19"/>
      <c r="L1046884" s="19"/>
      <c r="M1046884" s="19"/>
      <c r="N1046884" s="19"/>
    </row>
    <row r="1046885" spans="1:14" s="83" customFormat="1" ht="12.75">
      <c r="A1046885" s="19"/>
      <c r="B1046885" s="19"/>
      <c r="C1046885" s="19"/>
      <c r="D1046885" s="19"/>
      <c r="E1046885" s="19"/>
      <c r="F1046885" s="19"/>
      <c r="G1046885" s="19"/>
      <c r="H1046885" s="19"/>
      <c r="I1046885" s="19"/>
      <c r="J1046885" s="19"/>
      <c r="K1046885" s="19"/>
      <c r="L1046885" s="19"/>
      <c r="M1046885" s="19"/>
      <c r="N1046885" s="19"/>
    </row>
    <row r="1046886" spans="1:14" s="83" customFormat="1" ht="12.75">
      <c r="A1046886" s="19"/>
      <c r="B1046886" s="19"/>
      <c r="C1046886" s="19"/>
      <c r="D1046886" s="19"/>
      <c r="E1046886" s="19"/>
      <c r="F1046886" s="19"/>
      <c r="G1046886" s="19"/>
      <c r="H1046886" s="19"/>
      <c r="I1046886" s="19"/>
      <c r="J1046886" s="19"/>
      <c r="K1046886" s="19"/>
      <c r="L1046886" s="19"/>
      <c r="M1046886" s="19"/>
      <c r="N1046886" s="19"/>
    </row>
    <row r="1046887" spans="1:14" s="83" customFormat="1" ht="12.75">
      <c r="A1046887" s="19"/>
      <c r="B1046887" s="19"/>
      <c r="C1046887" s="19"/>
      <c r="D1046887" s="19"/>
      <c r="E1046887" s="19"/>
      <c r="F1046887" s="19"/>
      <c r="G1046887" s="19"/>
      <c r="H1046887" s="19"/>
      <c r="I1046887" s="19"/>
      <c r="J1046887" s="19"/>
      <c r="K1046887" s="19"/>
      <c r="L1046887" s="19"/>
      <c r="M1046887" s="19"/>
      <c r="N1046887" s="19"/>
    </row>
    <row r="1046888" spans="1:14" s="83" customFormat="1" ht="12.75">
      <c r="A1046888" s="19"/>
      <c r="B1046888" s="19"/>
      <c r="C1046888" s="19"/>
      <c r="D1046888" s="19"/>
      <c r="E1046888" s="19"/>
      <c r="F1046888" s="19"/>
      <c r="G1046888" s="19"/>
      <c r="H1046888" s="19"/>
      <c r="I1046888" s="19"/>
      <c r="J1046888" s="19"/>
      <c r="K1046888" s="19"/>
      <c r="L1046888" s="19"/>
      <c r="M1046888" s="19"/>
      <c r="N1046888" s="19"/>
    </row>
    <row r="1046889" spans="1:14" s="83" customFormat="1" ht="12.75">
      <c r="A1046889" s="19"/>
      <c r="B1046889" s="19"/>
      <c r="C1046889" s="19"/>
      <c r="D1046889" s="19"/>
      <c r="E1046889" s="19"/>
      <c r="F1046889" s="19"/>
      <c r="G1046889" s="19"/>
      <c r="H1046889" s="19"/>
      <c r="I1046889" s="19"/>
      <c r="J1046889" s="19"/>
      <c r="K1046889" s="19"/>
      <c r="L1046889" s="19"/>
      <c r="M1046889" s="19"/>
      <c r="N1046889" s="19"/>
    </row>
    <row r="1046890" spans="1:14" s="83" customFormat="1" ht="12.75">
      <c r="A1046890" s="19"/>
      <c r="B1046890" s="19"/>
      <c r="C1046890" s="19"/>
      <c r="D1046890" s="19"/>
      <c r="E1046890" s="19"/>
      <c r="F1046890" s="19"/>
      <c r="G1046890" s="19"/>
      <c r="H1046890" s="19"/>
      <c r="I1046890" s="19"/>
      <c r="J1046890" s="19"/>
      <c r="K1046890" s="19"/>
      <c r="L1046890" s="19"/>
      <c r="M1046890" s="19"/>
      <c r="N1046890" s="19"/>
    </row>
    <row r="1046891" spans="1:14" s="83" customFormat="1" ht="12.75">
      <c r="A1046891" s="19"/>
      <c r="B1046891" s="19"/>
      <c r="C1046891" s="19"/>
      <c r="D1046891" s="19"/>
      <c r="E1046891" s="19"/>
      <c r="F1046891" s="19"/>
      <c r="G1046891" s="19"/>
      <c r="H1046891" s="19"/>
      <c r="I1046891" s="19"/>
      <c r="J1046891" s="19"/>
      <c r="K1046891" s="19"/>
      <c r="L1046891" s="19"/>
      <c r="M1046891" s="19"/>
      <c r="N1046891" s="19"/>
    </row>
    <row r="1046892" spans="1:14" s="83" customFormat="1" ht="12.75">
      <c r="A1046892" s="19"/>
      <c r="B1046892" s="19"/>
      <c r="C1046892" s="19"/>
      <c r="D1046892" s="19"/>
      <c r="E1046892" s="19"/>
      <c r="F1046892" s="19"/>
      <c r="G1046892" s="19"/>
      <c r="H1046892" s="19"/>
      <c r="I1046892" s="19"/>
      <c r="J1046892" s="19"/>
      <c r="K1046892" s="19"/>
      <c r="L1046892" s="19"/>
      <c r="M1046892" s="19"/>
      <c r="N1046892" s="19"/>
    </row>
    <row r="1046893" spans="1:14" s="83" customFormat="1" ht="12.75">
      <c r="A1046893" s="19"/>
      <c r="B1046893" s="19"/>
      <c r="C1046893" s="19"/>
      <c r="D1046893" s="19"/>
      <c r="E1046893" s="19"/>
      <c r="F1046893" s="19"/>
      <c r="G1046893" s="19"/>
      <c r="H1046893" s="19"/>
      <c r="I1046893" s="19"/>
      <c r="J1046893" s="19"/>
      <c r="K1046893" s="19"/>
      <c r="L1046893" s="19"/>
      <c r="M1046893" s="19"/>
      <c r="N1046893" s="19"/>
    </row>
    <row r="1046894" spans="1:14" s="83" customFormat="1" ht="12.75">
      <c r="A1046894" s="19"/>
      <c r="B1046894" s="19"/>
      <c r="C1046894" s="19"/>
      <c r="D1046894" s="19"/>
      <c r="E1046894" s="19"/>
      <c r="F1046894" s="19"/>
      <c r="G1046894" s="19"/>
      <c r="H1046894" s="19"/>
      <c r="I1046894" s="19"/>
      <c r="J1046894" s="19"/>
      <c r="K1046894" s="19"/>
      <c r="L1046894" s="19"/>
      <c r="M1046894" s="19"/>
      <c r="N1046894" s="19"/>
    </row>
    <row r="1046895" spans="1:14" s="83" customFormat="1" ht="12.75">
      <c r="A1046895" s="19"/>
      <c r="B1046895" s="19"/>
      <c r="C1046895" s="19"/>
      <c r="D1046895" s="19"/>
      <c r="E1046895" s="19"/>
      <c r="F1046895" s="19"/>
      <c r="G1046895" s="19"/>
      <c r="H1046895" s="19"/>
      <c r="I1046895" s="19"/>
      <c r="J1046895" s="19"/>
      <c r="K1046895" s="19"/>
      <c r="L1046895" s="19"/>
      <c r="M1046895" s="19"/>
      <c r="N1046895" s="19"/>
    </row>
    <row r="1046896" spans="1:14" s="83" customFormat="1" ht="12.75">
      <c r="A1046896" s="19"/>
      <c r="B1046896" s="19"/>
      <c r="C1046896" s="19"/>
      <c r="D1046896" s="19"/>
      <c r="E1046896" s="19"/>
      <c r="F1046896" s="19"/>
      <c r="G1046896" s="19"/>
      <c r="H1046896" s="19"/>
      <c r="I1046896" s="19"/>
      <c r="J1046896" s="19"/>
      <c r="K1046896" s="19"/>
      <c r="L1046896" s="19"/>
      <c r="M1046896" s="19"/>
      <c r="N1046896" s="19"/>
    </row>
    <row r="1046897" spans="1:14" s="83" customFormat="1" ht="12.75">
      <c r="A1046897" s="19"/>
      <c r="B1046897" s="19"/>
      <c r="C1046897" s="19"/>
      <c r="D1046897" s="19"/>
      <c r="E1046897" s="19"/>
      <c r="F1046897" s="19"/>
      <c r="G1046897" s="19"/>
      <c r="H1046897" s="19"/>
      <c r="I1046897" s="19"/>
      <c r="J1046897" s="19"/>
      <c r="K1046897" s="19"/>
      <c r="L1046897" s="19"/>
      <c r="M1046897" s="19"/>
      <c r="N1046897" s="19"/>
    </row>
    <row r="1046898" spans="1:14" s="83" customFormat="1" ht="12.75">
      <c r="A1046898" s="19"/>
      <c r="B1046898" s="19"/>
      <c r="C1046898" s="19"/>
      <c r="D1046898" s="19"/>
      <c r="E1046898" s="19"/>
      <c r="F1046898" s="19"/>
      <c r="G1046898" s="19"/>
      <c r="H1046898" s="19"/>
      <c r="I1046898" s="19"/>
      <c r="J1046898" s="19"/>
      <c r="K1046898" s="19"/>
      <c r="L1046898" s="19"/>
      <c r="M1046898" s="19"/>
      <c r="N1046898" s="19"/>
    </row>
    <row r="1046899" spans="1:14" s="83" customFormat="1" ht="12.75">
      <c r="A1046899" s="19"/>
      <c r="B1046899" s="19"/>
      <c r="C1046899" s="19"/>
      <c r="D1046899" s="19"/>
      <c r="E1046899" s="19"/>
      <c r="F1046899" s="19"/>
      <c r="G1046899" s="19"/>
      <c r="H1046899" s="19"/>
      <c r="I1046899" s="19"/>
      <c r="J1046899" s="19"/>
      <c r="K1046899" s="19"/>
      <c r="L1046899" s="19"/>
      <c r="M1046899" s="19"/>
      <c r="N1046899" s="19"/>
    </row>
    <row r="1046900" spans="1:14" s="83" customFormat="1" ht="12.75">
      <c r="A1046900" s="19"/>
      <c r="B1046900" s="19"/>
      <c r="C1046900" s="19"/>
      <c r="D1046900" s="19"/>
      <c r="E1046900" s="19"/>
      <c r="F1046900" s="19"/>
      <c r="G1046900" s="19"/>
      <c r="H1046900" s="19"/>
      <c r="I1046900" s="19"/>
      <c r="J1046900" s="19"/>
      <c r="K1046900" s="19"/>
      <c r="L1046900" s="19"/>
      <c r="M1046900" s="19"/>
      <c r="N1046900" s="19"/>
    </row>
    <row r="1046901" spans="1:14" s="83" customFormat="1" ht="12.75">
      <c r="A1046901" s="19"/>
      <c r="B1046901" s="19"/>
      <c r="C1046901" s="19"/>
      <c r="D1046901" s="19"/>
      <c r="E1046901" s="19"/>
      <c r="F1046901" s="19"/>
      <c r="G1046901" s="19"/>
      <c r="H1046901" s="19"/>
      <c r="I1046901" s="19"/>
      <c r="J1046901" s="19"/>
      <c r="K1046901" s="19"/>
      <c r="L1046901" s="19"/>
      <c r="M1046901" s="19"/>
      <c r="N1046901" s="19"/>
    </row>
    <row r="1046902" spans="1:14" s="83" customFormat="1" ht="12.75">
      <c r="A1046902" s="19"/>
      <c r="B1046902" s="19"/>
      <c r="C1046902" s="19"/>
      <c r="D1046902" s="19"/>
      <c r="E1046902" s="19"/>
      <c r="F1046902" s="19"/>
      <c r="G1046902" s="19"/>
      <c r="H1046902" s="19"/>
      <c r="I1046902" s="19"/>
      <c r="J1046902" s="19"/>
      <c r="K1046902" s="19"/>
      <c r="L1046902" s="19"/>
      <c r="M1046902" s="19"/>
      <c r="N1046902" s="19"/>
    </row>
    <row r="1046903" spans="1:14" s="83" customFormat="1" ht="12.75">
      <c r="A1046903" s="19"/>
      <c r="B1046903" s="19"/>
      <c r="C1046903" s="19"/>
      <c r="D1046903" s="19"/>
      <c r="E1046903" s="19"/>
      <c r="F1046903" s="19"/>
      <c r="G1046903" s="19"/>
      <c r="H1046903" s="19"/>
      <c r="I1046903" s="19"/>
      <c r="J1046903" s="19"/>
      <c r="K1046903" s="19"/>
      <c r="L1046903" s="19"/>
      <c r="M1046903" s="19"/>
      <c r="N1046903" s="19"/>
    </row>
    <row r="1046904" spans="1:14" s="83" customFormat="1" ht="12.75">
      <c r="A1046904" s="19"/>
      <c r="B1046904" s="19"/>
      <c r="C1046904" s="19"/>
      <c r="D1046904" s="19"/>
      <c r="E1046904" s="19"/>
      <c r="F1046904" s="19"/>
      <c r="G1046904" s="19"/>
      <c r="H1046904" s="19"/>
      <c r="I1046904" s="19"/>
      <c r="J1046904" s="19"/>
      <c r="K1046904" s="19"/>
      <c r="L1046904" s="19"/>
      <c r="M1046904" s="19"/>
      <c r="N1046904" s="19"/>
    </row>
    <row r="1046905" spans="1:14" s="83" customFormat="1" ht="12.75">
      <c r="A1046905" s="19"/>
      <c r="B1046905" s="19"/>
      <c r="C1046905" s="19"/>
      <c r="D1046905" s="19"/>
      <c r="E1046905" s="19"/>
      <c r="F1046905" s="19"/>
      <c r="G1046905" s="19"/>
      <c r="H1046905" s="19"/>
      <c r="I1046905" s="19"/>
      <c r="J1046905" s="19"/>
      <c r="K1046905" s="19"/>
      <c r="L1046905" s="19"/>
      <c r="M1046905" s="19"/>
      <c r="N1046905" s="19"/>
    </row>
    <row r="1046906" spans="1:14" s="83" customFormat="1" ht="12.75">
      <c r="A1046906" s="19"/>
      <c r="B1046906" s="19"/>
      <c r="C1046906" s="19"/>
      <c r="D1046906" s="19"/>
      <c r="E1046906" s="19"/>
      <c r="F1046906" s="19"/>
      <c r="G1046906" s="19"/>
      <c r="H1046906" s="19"/>
      <c r="I1046906" s="19"/>
      <c r="J1046906" s="19"/>
      <c r="K1046906" s="19"/>
      <c r="L1046906" s="19"/>
      <c r="M1046906" s="19"/>
      <c r="N1046906" s="19"/>
    </row>
    <row r="1046907" spans="1:14" s="83" customFormat="1" ht="12.75">
      <c r="A1046907" s="19"/>
      <c r="B1046907" s="19"/>
      <c r="C1046907" s="19"/>
      <c r="D1046907" s="19"/>
      <c r="E1046907" s="19"/>
      <c r="F1046907" s="19"/>
      <c r="G1046907" s="19"/>
      <c r="H1046907" s="19"/>
      <c r="I1046907" s="19"/>
      <c r="J1046907" s="19"/>
      <c r="K1046907" s="19"/>
      <c r="L1046907" s="19"/>
      <c r="M1046907" s="19"/>
      <c r="N1046907" s="19"/>
    </row>
    <row r="1046908" spans="1:14" s="83" customFormat="1" ht="12.75">
      <c r="A1046908" s="19"/>
      <c r="B1046908" s="19"/>
      <c r="C1046908" s="19"/>
      <c r="D1046908" s="19"/>
      <c r="E1046908" s="19"/>
      <c r="F1046908" s="19"/>
      <c r="G1046908" s="19"/>
      <c r="H1046908" s="19"/>
      <c r="I1046908" s="19"/>
      <c r="J1046908" s="19"/>
      <c r="K1046908" s="19"/>
      <c r="L1046908" s="19"/>
      <c r="M1046908" s="19"/>
      <c r="N1046908" s="19"/>
    </row>
    <row r="1046909" spans="1:14" s="83" customFormat="1" ht="12.75">
      <c r="A1046909" s="19"/>
      <c r="B1046909" s="19"/>
      <c r="C1046909" s="19"/>
      <c r="D1046909" s="19"/>
      <c r="E1046909" s="19"/>
      <c r="F1046909" s="19"/>
      <c r="G1046909" s="19"/>
      <c r="H1046909" s="19"/>
      <c r="I1046909" s="19"/>
      <c r="J1046909" s="19"/>
      <c r="K1046909" s="19"/>
      <c r="L1046909" s="19"/>
      <c r="M1046909" s="19"/>
      <c r="N1046909" s="19"/>
    </row>
    <row r="1046910" spans="1:14" s="83" customFormat="1" ht="12.75">
      <c r="A1046910" s="19"/>
      <c r="B1046910" s="19"/>
      <c r="C1046910" s="19"/>
      <c r="D1046910" s="19"/>
      <c r="E1046910" s="19"/>
      <c r="F1046910" s="19"/>
      <c r="G1046910" s="19"/>
      <c r="H1046910" s="19"/>
      <c r="I1046910" s="19"/>
      <c r="J1046910" s="19"/>
      <c r="K1046910" s="19"/>
      <c r="L1046910" s="19"/>
      <c r="M1046910" s="19"/>
      <c r="N1046910" s="19"/>
    </row>
    <row r="1046911" spans="1:14" s="83" customFormat="1" ht="12.75">
      <c r="A1046911" s="19"/>
      <c r="B1046911" s="19"/>
      <c r="C1046911" s="19"/>
      <c r="D1046911" s="19"/>
      <c r="E1046911" s="19"/>
      <c r="F1046911" s="19"/>
      <c r="G1046911" s="19"/>
      <c r="H1046911" s="19"/>
      <c r="I1046911" s="19"/>
      <c r="J1046911" s="19"/>
      <c r="K1046911" s="19"/>
      <c r="L1046911" s="19"/>
      <c r="M1046911" s="19"/>
      <c r="N1046911" s="19"/>
    </row>
    <row r="1046912" spans="1:14" s="83" customFormat="1" ht="12.75">
      <c r="A1046912" s="19"/>
      <c r="B1046912" s="19"/>
      <c r="C1046912" s="19"/>
      <c r="D1046912" s="19"/>
      <c r="E1046912" s="19"/>
      <c r="F1046912" s="19"/>
      <c r="G1046912" s="19"/>
      <c r="H1046912" s="19"/>
      <c r="I1046912" s="19"/>
      <c r="J1046912" s="19"/>
      <c r="K1046912" s="19"/>
      <c r="L1046912" s="19"/>
      <c r="M1046912" s="19"/>
      <c r="N1046912" s="19"/>
    </row>
    <row r="1046913" spans="1:14" s="83" customFormat="1" ht="12.75">
      <c r="A1046913" s="19"/>
      <c r="B1046913" s="19"/>
      <c r="C1046913" s="19"/>
      <c r="D1046913" s="19"/>
      <c r="E1046913" s="19"/>
      <c r="F1046913" s="19"/>
      <c r="G1046913" s="19"/>
      <c r="H1046913" s="19"/>
      <c r="I1046913" s="19"/>
      <c r="J1046913" s="19"/>
      <c r="K1046913" s="19"/>
      <c r="L1046913" s="19"/>
      <c r="M1046913" s="19"/>
      <c r="N1046913" s="19"/>
    </row>
    <row r="1046914" spans="1:14" s="83" customFormat="1" ht="12.75">
      <c r="A1046914" s="19"/>
      <c r="B1046914" s="19"/>
      <c r="C1046914" s="19"/>
      <c r="D1046914" s="19"/>
      <c r="E1046914" s="19"/>
      <c r="F1046914" s="19"/>
      <c r="G1046914" s="19"/>
      <c r="H1046914" s="19"/>
      <c r="I1046914" s="19"/>
      <c r="J1046914" s="19"/>
      <c r="K1046914" s="19"/>
      <c r="L1046914" s="19"/>
      <c r="M1046914" s="19"/>
      <c r="N1046914" s="19"/>
    </row>
    <row r="1046915" spans="1:14" s="83" customFormat="1" ht="12.75">
      <c r="A1046915" s="19"/>
      <c r="B1046915" s="19"/>
      <c r="C1046915" s="19"/>
      <c r="D1046915" s="19"/>
      <c r="E1046915" s="19"/>
      <c r="F1046915" s="19"/>
      <c r="G1046915" s="19"/>
      <c r="H1046915" s="19"/>
      <c r="I1046915" s="19"/>
      <c r="J1046915" s="19"/>
      <c r="K1046915" s="19"/>
      <c r="L1046915" s="19"/>
      <c r="M1046915" s="19"/>
      <c r="N1046915" s="19"/>
    </row>
    <row r="1046916" spans="1:14" s="83" customFormat="1" ht="12.75">
      <c r="A1046916" s="19"/>
      <c r="B1046916" s="19"/>
      <c r="C1046916" s="19"/>
      <c r="D1046916" s="19"/>
      <c r="E1046916" s="19"/>
      <c r="F1046916" s="19"/>
      <c r="G1046916" s="19"/>
      <c r="H1046916" s="19"/>
      <c r="I1046916" s="19"/>
      <c r="J1046916" s="19"/>
      <c r="K1046916" s="19"/>
      <c r="L1046916" s="19"/>
      <c r="M1046916" s="19"/>
      <c r="N1046916" s="19"/>
    </row>
    <row r="1046917" spans="1:14" s="83" customFormat="1" ht="12.75">
      <c r="A1046917" s="19"/>
      <c r="B1046917" s="19"/>
      <c r="C1046917" s="19"/>
      <c r="D1046917" s="19"/>
      <c r="E1046917" s="19"/>
      <c r="F1046917" s="19"/>
      <c r="G1046917" s="19"/>
      <c r="H1046917" s="19"/>
      <c r="I1046917" s="19"/>
      <c r="J1046917" s="19"/>
      <c r="K1046917" s="19"/>
      <c r="L1046917" s="19"/>
      <c r="M1046917" s="19"/>
      <c r="N1046917" s="19"/>
    </row>
    <row r="1046918" spans="1:14" s="83" customFormat="1" ht="12.75">
      <c r="A1046918" s="19"/>
      <c r="B1046918" s="19"/>
      <c r="C1046918" s="19"/>
      <c r="D1046918" s="19"/>
      <c r="E1046918" s="19"/>
      <c r="F1046918" s="19"/>
      <c r="G1046918" s="19"/>
      <c r="H1046918" s="19"/>
      <c r="I1046918" s="19"/>
      <c r="J1046918" s="19"/>
      <c r="K1046918" s="19"/>
      <c r="L1046918" s="19"/>
      <c r="M1046918" s="19"/>
      <c r="N1046918" s="19"/>
    </row>
    <row r="1046919" spans="1:14" s="83" customFormat="1" ht="12.75">
      <c r="A1046919" s="19"/>
      <c r="B1046919" s="19"/>
      <c r="C1046919" s="19"/>
      <c r="D1046919" s="19"/>
      <c r="E1046919" s="19"/>
      <c r="F1046919" s="19"/>
      <c r="G1046919" s="19"/>
      <c r="H1046919" s="19"/>
      <c r="I1046919" s="19"/>
      <c r="J1046919" s="19"/>
      <c r="K1046919" s="19"/>
      <c r="L1046919" s="19"/>
      <c r="M1046919" s="19"/>
      <c r="N1046919" s="19"/>
    </row>
    <row r="1046920" spans="1:14" s="83" customFormat="1" ht="12.75">
      <c r="A1046920" s="19"/>
      <c r="B1046920" s="19"/>
      <c r="C1046920" s="19"/>
      <c r="D1046920" s="19"/>
      <c r="E1046920" s="19"/>
      <c r="F1046920" s="19"/>
      <c r="G1046920" s="19"/>
      <c r="H1046920" s="19"/>
      <c r="I1046920" s="19"/>
      <c r="J1046920" s="19"/>
      <c r="K1046920" s="19"/>
      <c r="L1046920" s="19"/>
      <c r="M1046920" s="19"/>
      <c r="N1046920" s="19"/>
    </row>
    <row r="1046921" spans="1:14" s="83" customFormat="1" ht="12.75">
      <c r="A1046921" s="19"/>
      <c r="B1046921" s="19"/>
      <c r="C1046921" s="19"/>
      <c r="D1046921" s="19"/>
      <c r="E1046921" s="19"/>
      <c r="F1046921" s="19"/>
      <c r="G1046921" s="19"/>
      <c r="H1046921" s="19"/>
      <c r="I1046921" s="19"/>
      <c r="J1046921" s="19"/>
      <c r="K1046921" s="19"/>
      <c r="L1046921" s="19"/>
      <c r="M1046921" s="19"/>
      <c r="N1046921" s="19"/>
    </row>
    <row r="1046922" spans="1:14" s="83" customFormat="1" ht="12.75">
      <c r="A1046922" s="19"/>
      <c r="B1046922" s="19"/>
      <c r="C1046922" s="19"/>
      <c r="D1046922" s="19"/>
      <c r="E1046922" s="19"/>
      <c r="F1046922" s="19"/>
      <c r="G1046922" s="19"/>
      <c r="H1046922" s="19"/>
      <c r="I1046922" s="19"/>
      <c r="J1046922" s="19"/>
      <c r="K1046922" s="19"/>
      <c r="L1046922" s="19"/>
      <c r="M1046922" s="19"/>
      <c r="N1046922" s="19"/>
    </row>
    <row r="1046923" spans="1:14" s="83" customFormat="1" ht="12.75">
      <c r="A1046923" s="19"/>
      <c r="B1046923" s="19"/>
      <c r="C1046923" s="19"/>
      <c r="D1046923" s="19"/>
      <c r="E1046923" s="19"/>
      <c r="F1046923" s="19"/>
      <c r="G1046923" s="19"/>
      <c r="H1046923" s="19"/>
      <c r="I1046923" s="19"/>
      <c r="J1046923" s="19"/>
      <c r="K1046923" s="19"/>
      <c r="L1046923" s="19"/>
      <c r="M1046923" s="19"/>
      <c r="N1046923" s="19"/>
    </row>
    <row r="1046924" spans="1:14" s="83" customFormat="1" ht="12.75">
      <c r="A1046924" s="19"/>
      <c r="B1046924" s="19"/>
      <c r="C1046924" s="19"/>
      <c r="D1046924" s="19"/>
      <c r="E1046924" s="19"/>
      <c r="F1046924" s="19"/>
      <c r="G1046924" s="19"/>
      <c r="H1046924" s="19"/>
      <c r="I1046924" s="19"/>
      <c r="J1046924" s="19"/>
      <c r="K1046924" s="19"/>
      <c r="L1046924" s="19"/>
      <c r="M1046924" s="19"/>
      <c r="N1046924" s="19"/>
    </row>
    <row r="1046925" spans="1:14" s="83" customFormat="1" ht="12.75">
      <c r="A1046925" s="19"/>
      <c r="B1046925" s="19"/>
      <c r="C1046925" s="19"/>
      <c r="D1046925" s="19"/>
      <c r="E1046925" s="19"/>
      <c r="F1046925" s="19"/>
      <c r="G1046925" s="19"/>
      <c r="H1046925" s="19"/>
      <c r="I1046925" s="19"/>
      <c r="J1046925" s="19"/>
      <c r="K1046925" s="19"/>
      <c r="L1046925" s="19"/>
      <c r="M1046925" s="19"/>
      <c r="N1046925" s="19"/>
    </row>
    <row r="1046926" spans="1:14" s="83" customFormat="1" ht="12.75">
      <c r="A1046926" s="19"/>
      <c r="B1046926" s="19"/>
      <c r="C1046926" s="19"/>
      <c r="D1046926" s="19"/>
      <c r="E1046926" s="19"/>
      <c r="F1046926" s="19"/>
      <c r="G1046926" s="19"/>
      <c r="H1046926" s="19"/>
      <c r="I1046926" s="19"/>
      <c r="J1046926" s="19"/>
      <c r="K1046926" s="19"/>
      <c r="L1046926" s="19"/>
      <c r="M1046926" s="19"/>
      <c r="N1046926" s="19"/>
    </row>
    <row r="1046927" spans="1:14" s="83" customFormat="1" ht="12.75">
      <c r="A1046927" s="19"/>
      <c r="B1046927" s="19"/>
      <c r="C1046927" s="19"/>
      <c r="D1046927" s="19"/>
      <c r="E1046927" s="19"/>
      <c r="F1046927" s="19"/>
      <c r="G1046927" s="19"/>
      <c r="H1046927" s="19"/>
      <c r="I1046927" s="19"/>
      <c r="J1046927" s="19"/>
      <c r="K1046927" s="19"/>
      <c r="L1046927" s="19"/>
      <c r="M1046927" s="19"/>
      <c r="N1046927" s="19"/>
    </row>
    <row r="1046928" spans="1:14" s="83" customFormat="1" ht="12.75">
      <c r="A1046928" s="19"/>
      <c r="B1046928" s="19"/>
      <c r="C1046928" s="19"/>
      <c r="D1046928" s="19"/>
      <c r="E1046928" s="19"/>
      <c r="F1046928" s="19"/>
      <c r="G1046928" s="19"/>
      <c r="H1046928" s="19"/>
      <c r="I1046928" s="19"/>
      <c r="J1046928" s="19"/>
      <c r="K1046928" s="19"/>
      <c r="L1046928" s="19"/>
      <c r="M1046928" s="19"/>
      <c r="N1046928" s="19"/>
    </row>
    <row r="1046929" spans="1:14" s="83" customFormat="1" ht="12.75">
      <c r="A1046929" s="19"/>
      <c r="B1046929" s="19"/>
      <c r="C1046929" s="19"/>
      <c r="D1046929" s="19"/>
      <c r="E1046929" s="19"/>
      <c r="F1046929" s="19"/>
      <c r="G1046929" s="19"/>
      <c r="H1046929" s="19"/>
      <c r="I1046929" s="19"/>
      <c r="J1046929" s="19"/>
      <c r="K1046929" s="19"/>
      <c r="L1046929" s="19"/>
      <c r="M1046929" s="19"/>
      <c r="N1046929" s="19"/>
    </row>
    <row r="1046930" spans="1:14" s="83" customFormat="1" ht="12.75">
      <c r="A1046930" s="19"/>
      <c r="B1046930" s="19"/>
      <c r="C1046930" s="19"/>
      <c r="D1046930" s="19"/>
      <c r="E1046930" s="19"/>
      <c r="F1046930" s="19"/>
      <c r="G1046930" s="19"/>
      <c r="H1046930" s="19"/>
      <c r="I1046930" s="19"/>
      <c r="J1046930" s="19"/>
      <c r="K1046930" s="19"/>
      <c r="L1046930" s="19"/>
      <c r="M1046930" s="19"/>
      <c r="N1046930" s="19"/>
    </row>
    <row r="1046931" spans="1:14" s="83" customFormat="1" ht="12.75">
      <c r="A1046931" s="19"/>
      <c r="B1046931" s="19"/>
      <c r="C1046931" s="19"/>
      <c r="D1046931" s="19"/>
      <c r="E1046931" s="19"/>
      <c r="F1046931" s="19"/>
      <c r="G1046931" s="19"/>
      <c r="H1046931" s="19"/>
      <c r="I1046931" s="19"/>
      <c r="J1046931" s="19"/>
      <c r="K1046931" s="19"/>
      <c r="L1046931" s="19"/>
      <c r="M1046931" s="19"/>
      <c r="N1046931" s="19"/>
    </row>
    <row r="1046932" spans="1:14" s="83" customFormat="1" ht="12.75">
      <c r="A1046932" s="19"/>
      <c r="B1046932" s="19"/>
      <c r="C1046932" s="19"/>
      <c r="D1046932" s="19"/>
      <c r="E1046932" s="19"/>
      <c r="F1046932" s="19"/>
      <c r="G1046932" s="19"/>
      <c r="H1046932" s="19"/>
      <c r="I1046932" s="19"/>
      <c r="J1046932" s="19"/>
      <c r="K1046932" s="19"/>
      <c r="L1046932" s="19"/>
      <c r="M1046932" s="19"/>
      <c r="N1046932" s="19"/>
    </row>
    <row r="1046933" spans="1:14" s="83" customFormat="1" ht="12.75">
      <c r="A1046933" s="19"/>
      <c r="B1046933" s="19"/>
      <c r="C1046933" s="19"/>
      <c r="D1046933" s="19"/>
      <c r="E1046933" s="19"/>
      <c r="F1046933" s="19"/>
      <c r="G1046933" s="19"/>
      <c r="H1046933" s="19"/>
      <c r="I1046933" s="19"/>
      <c r="J1046933" s="19"/>
      <c r="K1046933" s="19"/>
      <c r="L1046933" s="19"/>
      <c r="M1046933" s="19"/>
      <c r="N1046933" s="19"/>
    </row>
    <row r="1046934" spans="1:14" s="83" customFormat="1" ht="12.75">
      <c r="A1046934" s="19"/>
      <c r="B1046934" s="19"/>
      <c r="C1046934" s="19"/>
      <c r="D1046934" s="19"/>
      <c r="E1046934" s="19"/>
      <c r="F1046934" s="19"/>
      <c r="G1046934" s="19"/>
      <c r="H1046934" s="19"/>
      <c r="I1046934" s="19"/>
      <c r="J1046934" s="19"/>
      <c r="K1046934" s="19"/>
      <c r="L1046934" s="19"/>
      <c r="M1046934" s="19"/>
      <c r="N1046934" s="19"/>
    </row>
    <row r="1046935" spans="1:14" s="83" customFormat="1" ht="12.75">
      <c r="A1046935" s="19"/>
      <c r="B1046935" s="19"/>
      <c r="C1046935" s="19"/>
      <c r="D1046935" s="19"/>
      <c r="E1046935" s="19"/>
      <c r="F1046935" s="19"/>
      <c r="G1046935" s="19"/>
      <c r="H1046935" s="19"/>
      <c r="I1046935" s="19"/>
      <c r="J1046935" s="19"/>
      <c r="K1046935" s="19"/>
      <c r="L1046935" s="19"/>
      <c r="M1046935" s="19"/>
      <c r="N1046935" s="19"/>
    </row>
    <row r="1046936" spans="1:14" s="83" customFormat="1" ht="12.75">
      <c r="A1046936" s="19"/>
      <c r="B1046936" s="19"/>
      <c r="C1046936" s="19"/>
      <c r="D1046936" s="19"/>
      <c r="E1046936" s="19"/>
      <c r="F1046936" s="19"/>
      <c r="G1046936" s="19"/>
      <c r="H1046936" s="19"/>
      <c r="I1046936" s="19"/>
      <c r="J1046936" s="19"/>
      <c r="K1046936" s="19"/>
      <c r="L1046936" s="19"/>
      <c r="M1046936" s="19"/>
      <c r="N1046936" s="19"/>
    </row>
    <row r="1046937" spans="1:14" s="83" customFormat="1" ht="12.75">
      <c r="A1046937" s="19"/>
      <c r="B1046937" s="19"/>
      <c r="C1046937" s="19"/>
      <c r="D1046937" s="19"/>
      <c r="E1046937" s="19"/>
      <c r="F1046937" s="19"/>
      <c r="G1046937" s="19"/>
      <c r="H1046937" s="19"/>
      <c r="I1046937" s="19"/>
      <c r="J1046937" s="19"/>
      <c r="K1046937" s="19"/>
      <c r="L1046937" s="19"/>
      <c r="M1046937" s="19"/>
      <c r="N1046937" s="19"/>
    </row>
    <row r="1046938" spans="1:14" s="83" customFormat="1" ht="12.75">
      <c r="A1046938" s="19"/>
      <c r="B1046938" s="19"/>
      <c r="C1046938" s="19"/>
      <c r="D1046938" s="19"/>
      <c r="E1046938" s="19"/>
      <c r="F1046938" s="19"/>
      <c r="G1046938" s="19"/>
      <c r="H1046938" s="19"/>
      <c r="I1046938" s="19"/>
      <c r="J1046938" s="19"/>
      <c r="K1046938" s="19"/>
      <c r="L1046938" s="19"/>
      <c r="M1046938" s="19"/>
      <c r="N1046938" s="19"/>
    </row>
    <row r="1046939" spans="1:14" s="83" customFormat="1" ht="12.75">
      <c r="A1046939" s="19"/>
      <c r="B1046939" s="19"/>
      <c r="C1046939" s="19"/>
      <c r="D1046939" s="19"/>
      <c r="E1046939" s="19"/>
      <c r="F1046939" s="19"/>
      <c r="G1046939" s="19"/>
      <c r="H1046939" s="19"/>
      <c r="I1046939" s="19"/>
      <c r="J1046939" s="19"/>
      <c r="K1046939" s="19"/>
      <c r="L1046939" s="19"/>
      <c r="M1046939" s="19"/>
      <c r="N1046939" s="19"/>
    </row>
    <row r="1046940" spans="1:14" s="83" customFormat="1" ht="12.75">
      <c r="A1046940" s="19"/>
      <c r="B1046940" s="19"/>
      <c r="C1046940" s="19"/>
      <c r="D1046940" s="19"/>
      <c r="E1046940" s="19"/>
      <c r="F1046940" s="19"/>
      <c r="G1046940" s="19"/>
      <c r="H1046940" s="19"/>
      <c r="I1046940" s="19"/>
      <c r="J1046940" s="19"/>
      <c r="K1046940" s="19"/>
      <c r="L1046940" s="19"/>
      <c r="M1046940" s="19"/>
      <c r="N1046940" s="19"/>
    </row>
    <row r="1046941" spans="1:14" s="83" customFormat="1" ht="12.75">
      <c r="A1046941" s="19"/>
      <c r="B1046941" s="19"/>
      <c r="C1046941" s="19"/>
      <c r="D1046941" s="19"/>
      <c r="E1046941" s="19"/>
      <c r="F1046941" s="19"/>
      <c r="G1046941" s="19"/>
      <c r="H1046941" s="19"/>
      <c r="I1046941" s="19"/>
      <c r="J1046941" s="19"/>
      <c r="K1046941" s="19"/>
      <c r="L1046941" s="19"/>
      <c r="M1046941" s="19"/>
      <c r="N1046941" s="19"/>
    </row>
    <row r="1046942" spans="1:14" s="83" customFormat="1" ht="12.75">
      <c r="A1046942" s="19"/>
      <c r="B1046942" s="19"/>
      <c r="C1046942" s="19"/>
      <c r="D1046942" s="19"/>
      <c r="E1046942" s="19"/>
      <c r="F1046942" s="19"/>
      <c r="G1046942" s="19"/>
      <c r="H1046942" s="19"/>
      <c r="I1046942" s="19"/>
      <c r="J1046942" s="19"/>
      <c r="K1046942" s="19"/>
      <c r="L1046942" s="19"/>
      <c r="M1046942" s="19"/>
      <c r="N1046942" s="19"/>
    </row>
    <row r="1046943" spans="1:14" s="83" customFormat="1" ht="12.75">
      <c r="A1046943" s="19"/>
      <c r="B1046943" s="19"/>
      <c r="C1046943" s="19"/>
      <c r="D1046943" s="19"/>
      <c r="E1046943" s="19"/>
      <c r="F1046943" s="19"/>
      <c r="G1046943" s="19"/>
      <c r="H1046943" s="19"/>
      <c r="I1046943" s="19"/>
      <c r="J1046943" s="19"/>
      <c r="K1046943" s="19"/>
      <c r="L1046943" s="19"/>
      <c r="M1046943" s="19"/>
      <c r="N1046943" s="19"/>
    </row>
    <row r="1046944" spans="1:14" s="83" customFormat="1" ht="12.75">
      <c r="A1046944" s="19"/>
      <c r="B1046944" s="19"/>
      <c r="C1046944" s="19"/>
      <c r="D1046944" s="19"/>
      <c r="E1046944" s="19"/>
      <c r="F1046944" s="19"/>
      <c r="G1046944" s="19"/>
      <c r="H1046944" s="19"/>
      <c r="I1046944" s="19"/>
      <c r="J1046944" s="19"/>
      <c r="K1046944" s="19"/>
      <c r="L1046944" s="19"/>
      <c r="M1046944" s="19"/>
      <c r="N1046944" s="19"/>
    </row>
    <row r="1046945" spans="1:14" s="83" customFormat="1" ht="12.75">
      <c r="A1046945" s="19"/>
      <c r="B1046945" s="19"/>
      <c r="C1046945" s="19"/>
      <c r="D1046945" s="19"/>
      <c r="E1046945" s="19"/>
      <c r="F1046945" s="19"/>
      <c r="G1046945" s="19"/>
      <c r="H1046945" s="19"/>
      <c r="I1046945" s="19"/>
      <c r="J1046945" s="19"/>
      <c r="K1046945" s="19"/>
      <c r="L1046945" s="19"/>
      <c r="M1046945" s="19"/>
      <c r="N1046945" s="19"/>
    </row>
    <row r="1046946" spans="1:14" s="83" customFormat="1" ht="12.75">
      <c r="A1046946" s="19"/>
      <c r="B1046946" s="19"/>
      <c r="C1046946" s="19"/>
      <c r="D1046946" s="19"/>
      <c r="E1046946" s="19"/>
      <c r="F1046946" s="19"/>
      <c r="G1046946" s="19"/>
      <c r="H1046946" s="19"/>
      <c r="I1046946" s="19"/>
      <c r="J1046946" s="19"/>
      <c r="K1046946" s="19"/>
      <c r="L1046946" s="19"/>
      <c r="M1046946" s="19"/>
      <c r="N1046946" s="19"/>
    </row>
    <row r="1046947" spans="1:14" s="83" customFormat="1" ht="12.75">
      <c r="A1046947" s="19"/>
      <c r="B1046947" s="19"/>
      <c r="C1046947" s="19"/>
      <c r="D1046947" s="19"/>
      <c r="E1046947" s="19"/>
      <c r="F1046947" s="19"/>
      <c r="G1046947" s="19"/>
      <c r="H1046947" s="19"/>
      <c r="I1046947" s="19"/>
      <c r="J1046947" s="19"/>
      <c r="K1046947" s="19"/>
      <c r="L1046947" s="19"/>
      <c r="M1046947" s="19"/>
      <c r="N1046947" s="19"/>
    </row>
    <row r="1046948" spans="1:14" s="83" customFormat="1" ht="12.75">
      <c r="A1046948" s="19"/>
      <c r="B1046948" s="19"/>
      <c r="C1046948" s="19"/>
      <c r="D1046948" s="19"/>
      <c r="E1046948" s="19"/>
      <c r="F1046948" s="19"/>
      <c r="G1046948" s="19"/>
      <c r="H1046948" s="19"/>
      <c r="I1046948" s="19"/>
      <c r="J1046948" s="19"/>
      <c r="K1046948" s="19"/>
      <c r="L1046948" s="19"/>
      <c r="M1046948" s="19"/>
      <c r="N1046948" s="19"/>
    </row>
    <row r="1046949" spans="1:14" s="83" customFormat="1" ht="12.75">
      <c r="A1046949" s="19"/>
      <c r="B1046949" s="19"/>
      <c r="C1046949" s="19"/>
      <c r="D1046949" s="19"/>
      <c r="E1046949" s="19"/>
      <c r="F1046949" s="19"/>
      <c r="G1046949" s="19"/>
      <c r="H1046949" s="19"/>
      <c r="I1046949" s="19"/>
      <c r="J1046949" s="19"/>
      <c r="K1046949" s="19"/>
      <c r="L1046949" s="19"/>
      <c r="M1046949" s="19"/>
      <c r="N1046949" s="19"/>
    </row>
    <row r="1046950" spans="1:14" s="83" customFormat="1" ht="12.75">
      <c r="A1046950" s="19"/>
      <c r="B1046950" s="19"/>
      <c r="C1046950" s="19"/>
      <c r="D1046950" s="19"/>
      <c r="E1046950" s="19"/>
      <c r="F1046950" s="19"/>
      <c r="G1046950" s="19"/>
      <c r="H1046950" s="19"/>
      <c r="I1046950" s="19"/>
      <c r="J1046950" s="19"/>
      <c r="K1046950" s="19"/>
      <c r="L1046950" s="19"/>
      <c r="M1046950" s="19"/>
      <c r="N1046950" s="19"/>
    </row>
    <row r="1046951" spans="1:14" s="83" customFormat="1" ht="12.75">
      <c r="A1046951" s="19"/>
      <c r="B1046951" s="19"/>
      <c r="C1046951" s="19"/>
      <c r="D1046951" s="19"/>
      <c r="E1046951" s="19"/>
      <c r="F1046951" s="19"/>
      <c r="G1046951" s="19"/>
      <c r="H1046951" s="19"/>
      <c r="I1046951" s="19"/>
      <c r="J1046951" s="19"/>
      <c r="K1046951" s="19"/>
      <c r="L1046951" s="19"/>
      <c r="M1046951" s="19"/>
      <c r="N1046951" s="19"/>
    </row>
    <row r="1046952" spans="1:14" s="83" customFormat="1" ht="12.75">
      <c r="A1046952" s="19"/>
      <c r="B1046952" s="19"/>
      <c r="C1046952" s="19"/>
      <c r="D1046952" s="19"/>
      <c r="E1046952" s="19"/>
      <c r="F1046952" s="19"/>
      <c r="G1046952" s="19"/>
      <c r="H1046952" s="19"/>
      <c r="I1046952" s="19"/>
      <c r="J1046952" s="19"/>
      <c r="K1046952" s="19"/>
      <c r="L1046952" s="19"/>
      <c r="M1046952" s="19"/>
      <c r="N1046952" s="19"/>
    </row>
    <row r="1046953" spans="1:14" s="83" customFormat="1" ht="12.75">
      <c r="A1046953" s="19"/>
      <c r="B1046953" s="19"/>
      <c r="C1046953" s="19"/>
      <c r="D1046953" s="19"/>
      <c r="E1046953" s="19"/>
      <c r="F1046953" s="19"/>
      <c r="G1046953" s="19"/>
      <c r="H1046953" s="19"/>
      <c r="I1046953" s="19"/>
      <c r="J1046953" s="19"/>
      <c r="K1046953" s="19"/>
      <c r="L1046953" s="19"/>
      <c r="M1046953" s="19"/>
      <c r="N1046953" s="19"/>
    </row>
    <row r="1046954" spans="1:14" s="83" customFormat="1" ht="12.75">
      <c r="A1046954" s="19"/>
      <c r="B1046954" s="19"/>
      <c r="C1046954" s="19"/>
      <c r="D1046954" s="19"/>
      <c r="E1046954" s="19"/>
      <c r="F1046954" s="19"/>
      <c r="G1046954" s="19"/>
      <c r="H1046954" s="19"/>
      <c r="I1046954" s="19"/>
      <c r="J1046954" s="19"/>
      <c r="K1046954" s="19"/>
      <c r="L1046954" s="19"/>
      <c r="M1046954" s="19"/>
      <c r="N1046954" s="19"/>
    </row>
    <row r="1046955" spans="1:14" s="83" customFormat="1" ht="12.75">
      <c r="A1046955" s="19"/>
      <c r="B1046955" s="19"/>
      <c r="C1046955" s="19"/>
      <c r="D1046955" s="19"/>
      <c r="E1046955" s="19"/>
      <c r="F1046955" s="19"/>
      <c r="G1046955" s="19"/>
      <c r="H1046955" s="19"/>
      <c r="I1046955" s="19"/>
      <c r="J1046955" s="19"/>
      <c r="K1046955" s="19"/>
      <c r="L1046955" s="19"/>
      <c r="M1046955" s="19"/>
      <c r="N1046955" s="19"/>
    </row>
    <row r="1046956" spans="1:14" s="83" customFormat="1" ht="12.75">
      <c r="A1046956" s="19"/>
      <c r="B1046956" s="19"/>
      <c r="C1046956" s="19"/>
      <c r="D1046956" s="19"/>
      <c r="E1046956" s="19"/>
      <c r="F1046956" s="19"/>
      <c r="G1046956" s="19"/>
      <c r="H1046956" s="19"/>
      <c r="I1046956" s="19"/>
      <c r="J1046956" s="19"/>
      <c r="K1046956" s="19"/>
      <c r="L1046956" s="19"/>
      <c r="M1046956" s="19"/>
      <c r="N1046956" s="19"/>
    </row>
    <row r="1046957" spans="1:14" s="83" customFormat="1" ht="12.75">
      <c r="A1046957" s="19"/>
      <c r="B1046957" s="19"/>
      <c r="C1046957" s="19"/>
      <c r="D1046957" s="19"/>
      <c r="E1046957" s="19"/>
      <c r="F1046957" s="19"/>
      <c r="G1046957" s="19"/>
      <c r="H1046957" s="19"/>
      <c r="I1046957" s="19"/>
      <c r="J1046957" s="19"/>
      <c r="K1046957" s="19"/>
      <c r="L1046957" s="19"/>
      <c r="M1046957" s="19"/>
      <c r="N1046957" s="19"/>
    </row>
    <row r="1046958" spans="1:14" s="83" customFormat="1" ht="12.75">
      <c r="A1046958" s="19"/>
      <c r="B1046958" s="19"/>
      <c r="C1046958" s="19"/>
      <c r="D1046958" s="19"/>
      <c r="E1046958" s="19"/>
      <c r="F1046958" s="19"/>
      <c r="G1046958" s="19"/>
      <c r="H1046958" s="19"/>
      <c r="I1046958" s="19"/>
      <c r="J1046958" s="19"/>
      <c r="K1046958" s="19"/>
      <c r="L1046958" s="19"/>
      <c r="M1046958" s="19"/>
      <c r="N1046958" s="19"/>
    </row>
    <row r="1046959" spans="1:14" s="83" customFormat="1" ht="12.75">
      <c r="A1046959" s="19"/>
      <c r="B1046959" s="19"/>
      <c r="C1046959" s="19"/>
      <c r="D1046959" s="19"/>
      <c r="E1046959" s="19"/>
      <c r="F1046959" s="19"/>
      <c r="G1046959" s="19"/>
      <c r="H1046959" s="19"/>
      <c r="I1046959" s="19"/>
      <c r="J1046959" s="19"/>
      <c r="K1046959" s="19"/>
      <c r="L1046959" s="19"/>
      <c r="M1046959" s="19"/>
      <c r="N1046959" s="19"/>
    </row>
    <row r="1046960" spans="1:14" s="83" customFormat="1" ht="12.75">
      <c r="A1046960" s="19"/>
      <c r="B1046960" s="19"/>
      <c r="C1046960" s="19"/>
      <c r="D1046960" s="19"/>
      <c r="E1046960" s="19"/>
      <c r="F1046960" s="19"/>
      <c r="G1046960" s="19"/>
      <c r="H1046960" s="19"/>
      <c r="I1046960" s="19"/>
      <c r="J1046960" s="19"/>
      <c r="K1046960" s="19"/>
      <c r="L1046960" s="19"/>
      <c r="M1046960" s="19"/>
      <c r="N1046960" s="19"/>
    </row>
    <row r="1046961" spans="1:14" s="83" customFormat="1" ht="12.75">
      <c r="A1046961" s="19"/>
      <c r="B1046961" s="19"/>
      <c r="C1046961" s="19"/>
      <c r="D1046961" s="19"/>
      <c r="E1046961" s="19"/>
      <c r="F1046961" s="19"/>
      <c r="G1046961" s="19"/>
      <c r="H1046961" s="19"/>
      <c r="I1046961" s="19"/>
      <c r="J1046961" s="19"/>
      <c r="K1046961" s="19"/>
      <c r="L1046961" s="19"/>
      <c r="M1046961" s="19"/>
      <c r="N1046961" s="19"/>
    </row>
    <row r="1046962" spans="1:14" s="83" customFormat="1" ht="12.75">
      <c r="A1046962" s="19"/>
      <c r="B1046962" s="19"/>
      <c r="C1046962" s="19"/>
      <c r="D1046962" s="19"/>
      <c r="E1046962" s="19"/>
      <c r="F1046962" s="19"/>
      <c r="G1046962" s="19"/>
      <c r="H1046962" s="19"/>
      <c r="I1046962" s="19"/>
      <c r="J1046962" s="19"/>
      <c r="K1046962" s="19"/>
      <c r="L1046962" s="19"/>
      <c r="M1046962" s="19"/>
      <c r="N1046962" s="19"/>
    </row>
    <row r="1046963" spans="1:14" s="83" customFormat="1" ht="12.75">
      <c r="A1046963" s="19"/>
      <c r="B1046963" s="19"/>
      <c r="C1046963" s="19"/>
      <c r="D1046963" s="19"/>
      <c r="E1046963" s="19"/>
      <c r="F1046963" s="19"/>
      <c r="G1046963" s="19"/>
      <c r="H1046963" s="19"/>
      <c r="I1046963" s="19"/>
      <c r="J1046963" s="19"/>
      <c r="K1046963" s="19"/>
      <c r="L1046963" s="19"/>
      <c r="M1046963" s="19"/>
      <c r="N1046963" s="19"/>
    </row>
    <row r="1046964" spans="1:14" s="83" customFormat="1" ht="12.75">
      <c r="A1046964" s="19"/>
      <c r="B1046964" s="19"/>
      <c r="C1046964" s="19"/>
      <c r="D1046964" s="19"/>
      <c r="E1046964" s="19"/>
      <c r="F1046964" s="19"/>
      <c r="G1046964" s="19"/>
      <c r="H1046964" s="19"/>
      <c r="I1046964" s="19"/>
      <c r="J1046964" s="19"/>
      <c r="K1046964" s="19"/>
      <c r="L1046964" s="19"/>
      <c r="M1046964" s="19"/>
      <c r="N1046964" s="19"/>
    </row>
    <row r="1046965" spans="1:14" s="83" customFormat="1" ht="12.75">
      <c r="A1046965" s="19"/>
      <c r="B1046965" s="19"/>
      <c r="C1046965" s="19"/>
      <c r="D1046965" s="19"/>
      <c r="E1046965" s="19"/>
      <c r="F1046965" s="19"/>
      <c r="G1046965" s="19"/>
      <c r="H1046965" s="19"/>
      <c r="I1046965" s="19"/>
      <c r="J1046965" s="19"/>
      <c r="K1046965" s="19"/>
      <c r="L1046965" s="19"/>
      <c r="M1046965" s="19"/>
      <c r="N1046965" s="19"/>
    </row>
    <row r="1046966" spans="1:14" s="83" customFormat="1" ht="12.75">
      <c r="A1046966" s="19"/>
      <c r="B1046966" s="19"/>
      <c r="C1046966" s="19"/>
      <c r="D1046966" s="19"/>
      <c r="E1046966" s="19"/>
      <c r="F1046966" s="19"/>
      <c r="G1046966" s="19"/>
      <c r="H1046966" s="19"/>
      <c r="I1046966" s="19"/>
      <c r="J1046966" s="19"/>
      <c r="K1046966" s="19"/>
      <c r="L1046966" s="19"/>
      <c r="M1046966" s="19"/>
      <c r="N1046966" s="19"/>
    </row>
    <row r="1046967" spans="1:14" s="83" customFormat="1" ht="12.75">
      <c r="A1046967" s="19"/>
      <c r="B1046967" s="19"/>
      <c r="C1046967" s="19"/>
      <c r="D1046967" s="19"/>
      <c r="E1046967" s="19"/>
      <c r="F1046967" s="19"/>
      <c r="G1046967" s="19"/>
      <c r="H1046967" s="19"/>
      <c r="I1046967" s="19"/>
      <c r="J1046967" s="19"/>
      <c r="K1046967" s="19"/>
      <c r="L1046967" s="19"/>
      <c r="M1046967" s="19"/>
      <c r="N1046967" s="19"/>
    </row>
    <row r="1046968" spans="1:14" s="83" customFormat="1" ht="12.75">
      <c r="A1046968" s="19"/>
      <c r="B1046968" s="19"/>
      <c r="C1046968" s="19"/>
      <c r="D1046968" s="19"/>
      <c r="E1046968" s="19"/>
      <c r="F1046968" s="19"/>
      <c r="G1046968" s="19"/>
      <c r="H1046968" s="19"/>
      <c r="I1046968" s="19"/>
      <c r="J1046968" s="19"/>
      <c r="K1046968" s="19"/>
      <c r="L1046968" s="19"/>
      <c r="M1046968" s="19"/>
      <c r="N1046968" s="19"/>
    </row>
    <row r="1046969" spans="1:14" s="83" customFormat="1" ht="12.75">
      <c r="A1046969" s="19"/>
      <c r="B1046969" s="19"/>
      <c r="C1046969" s="19"/>
      <c r="D1046969" s="19"/>
      <c r="E1046969" s="19"/>
      <c r="F1046969" s="19"/>
      <c r="G1046969" s="19"/>
      <c r="H1046969" s="19"/>
      <c r="I1046969" s="19"/>
      <c r="J1046969" s="19"/>
      <c r="K1046969" s="19"/>
      <c r="L1046969" s="19"/>
      <c r="M1046969" s="19"/>
      <c r="N1046969" s="19"/>
    </row>
    <row r="1046970" spans="1:14" s="83" customFormat="1" ht="12.75">
      <c r="A1046970" s="19"/>
      <c r="B1046970" s="19"/>
      <c r="C1046970" s="19"/>
      <c r="D1046970" s="19"/>
      <c r="E1046970" s="19"/>
      <c r="F1046970" s="19"/>
      <c r="G1046970" s="19"/>
      <c r="H1046970" s="19"/>
      <c r="I1046970" s="19"/>
      <c r="J1046970" s="19"/>
      <c r="K1046970" s="19"/>
      <c r="L1046970" s="19"/>
      <c r="M1046970" s="19"/>
      <c r="N1046970" s="19"/>
    </row>
    <row r="1046971" spans="1:14" s="83" customFormat="1" ht="12.75">
      <c r="A1046971" s="19"/>
      <c r="B1046971" s="19"/>
      <c r="C1046971" s="19"/>
      <c r="D1046971" s="19"/>
      <c r="E1046971" s="19"/>
      <c r="F1046971" s="19"/>
      <c r="G1046971" s="19"/>
      <c r="H1046971" s="19"/>
      <c r="I1046971" s="19"/>
      <c r="J1046971" s="19"/>
      <c r="K1046971" s="19"/>
      <c r="L1046971" s="19"/>
      <c r="M1046971" s="19"/>
      <c r="N1046971" s="19"/>
    </row>
    <row r="1046972" spans="1:14" s="83" customFormat="1" ht="12.75">
      <c r="A1046972" s="19"/>
      <c r="B1046972" s="19"/>
      <c r="C1046972" s="19"/>
      <c r="D1046972" s="19"/>
      <c r="E1046972" s="19"/>
      <c r="F1046972" s="19"/>
      <c r="G1046972" s="19"/>
      <c r="H1046972" s="19"/>
      <c r="I1046972" s="19"/>
      <c r="J1046972" s="19"/>
      <c r="K1046972" s="19"/>
      <c r="L1046972" s="19"/>
      <c r="M1046972" s="19"/>
      <c r="N1046972" s="19"/>
    </row>
    <row r="1046973" spans="1:14" s="83" customFormat="1" ht="12.75">
      <c r="A1046973" s="19"/>
      <c r="B1046973" s="19"/>
      <c r="C1046973" s="19"/>
      <c r="D1046973" s="19"/>
      <c r="E1046973" s="19"/>
      <c r="F1046973" s="19"/>
      <c r="G1046973" s="19"/>
      <c r="H1046973" s="19"/>
      <c r="I1046973" s="19"/>
      <c r="J1046973" s="19"/>
      <c r="K1046973" s="19"/>
      <c r="L1046973" s="19"/>
      <c r="M1046973" s="19"/>
      <c r="N1046973" s="19"/>
    </row>
    <row r="1046974" spans="1:14" s="83" customFormat="1" ht="12.75">
      <c r="A1046974" s="19"/>
      <c r="B1046974" s="19"/>
      <c r="C1046974" s="19"/>
      <c r="D1046974" s="19"/>
      <c r="E1046974" s="19"/>
      <c r="F1046974" s="19"/>
      <c r="G1046974" s="19"/>
      <c r="H1046974" s="19"/>
      <c r="I1046974" s="19"/>
      <c r="J1046974" s="19"/>
      <c r="K1046974" s="19"/>
      <c r="L1046974" s="19"/>
      <c r="M1046974" s="19"/>
      <c r="N1046974" s="19"/>
    </row>
    <row r="1046975" spans="1:14" s="83" customFormat="1" ht="12.75">
      <c r="A1046975" s="19"/>
      <c r="B1046975" s="19"/>
      <c r="C1046975" s="19"/>
      <c r="D1046975" s="19"/>
      <c r="E1046975" s="19"/>
      <c r="F1046975" s="19"/>
      <c r="G1046975" s="19"/>
      <c r="H1046975" s="19"/>
      <c r="I1046975" s="19"/>
      <c r="J1046975" s="19"/>
      <c r="K1046975" s="19"/>
      <c r="L1046975" s="19"/>
      <c r="M1046975" s="19"/>
      <c r="N1046975" s="19"/>
    </row>
    <row r="1046976" spans="1:14" s="83" customFormat="1" ht="12.75">
      <c r="A1046976" s="19"/>
      <c r="B1046976" s="19"/>
      <c r="C1046976" s="19"/>
      <c r="D1046976" s="19"/>
      <c r="E1046976" s="19"/>
      <c r="F1046976" s="19"/>
      <c r="G1046976" s="19"/>
      <c r="H1046976" s="19"/>
      <c r="I1046976" s="19"/>
      <c r="J1046976" s="19"/>
      <c r="K1046976" s="19"/>
      <c r="L1046976" s="19"/>
      <c r="M1046976" s="19"/>
      <c r="N1046976" s="19"/>
    </row>
    <row r="1046977" spans="1:14" s="83" customFormat="1" ht="12.75">
      <c r="A1046977" s="19"/>
      <c r="B1046977" s="19"/>
      <c r="C1046977" s="19"/>
      <c r="D1046977" s="19"/>
      <c r="E1046977" s="19"/>
      <c r="F1046977" s="19"/>
      <c r="G1046977" s="19"/>
      <c r="H1046977" s="19"/>
      <c r="I1046977" s="19"/>
      <c r="J1046977" s="19"/>
      <c r="K1046977" s="19"/>
      <c r="L1046977" s="19"/>
      <c r="M1046977" s="19"/>
      <c r="N1046977" s="19"/>
    </row>
    <row r="1046978" spans="1:14" s="83" customFormat="1" ht="12.75">
      <c r="A1046978" s="19"/>
      <c r="B1046978" s="19"/>
      <c r="C1046978" s="19"/>
      <c r="D1046978" s="19"/>
      <c r="E1046978" s="19"/>
      <c r="F1046978" s="19"/>
      <c r="G1046978" s="19"/>
      <c r="H1046978" s="19"/>
      <c r="I1046978" s="19"/>
      <c r="J1046978" s="19"/>
      <c r="K1046978" s="19"/>
      <c r="L1046978" s="19"/>
      <c r="M1046978" s="19"/>
      <c r="N1046978" s="19"/>
    </row>
    <row r="1046979" spans="1:14" s="83" customFormat="1" ht="12.75">
      <c r="A1046979" s="19"/>
      <c r="B1046979" s="19"/>
      <c r="C1046979" s="19"/>
      <c r="D1046979" s="19"/>
      <c r="E1046979" s="19"/>
      <c r="F1046979" s="19"/>
      <c r="G1046979" s="19"/>
      <c r="H1046979" s="19"/>
      <c r="I1046979" s="19"/>
      <c r="J1046979" s="19"/>
      <c r="K1046979" s="19"/>
      <c r="L1046979" s="19"/>
      <c r="M1046979" s="19"/>
      <c r="N1046979" s="19"/>
    </row>
    <row r="1046980" spans="1:14" s="83" customFormat="1" ht="12.75">
      <c r="A1046980" s="19"/>
      <c r="B1046980" s="19"/>
      <c r="C1046980" s="19"/>
      <c r="D1046980" s="19"/>
      <c r="E1046980" s="19"/>
      <c r="F1046980" s="19"/>
      <c r="G1046980" s="19"/>
      <c r="H1046980" s="19"/>
      <c r="I1046980" s="19"/>
      <c r="J1046980" s="19"/>
      <c r="K1046980" s="19"/>
      <c r="L1046980" s="19"/>
      <c r="M1046980" s="19"/>
      <c r="N1046980" s="19"/>
    </row>
    <row r="1046981" spans="1:14" s="83" customFormat="1" ht="12.75">
      <c r="A1046981" s="19"/>
      <c r="B1046981" s="19"/>
      <c r="C1046981" s="19"/>
      <c r="D1046981" s="19"/>
      <c r="E1046981" s="19"/>
      <c r="F1046981" s="19"/>
      <c r="G1046981" s="19"/>
      <c r="H1046981" s="19"/>
      <c r="I1046981" s="19"/>
      <c r="J1046981" s="19"/>
      <c r="K1046981" s="19"/>
      <c r="L1046981" s="19"/>
      <c r="M1046981" s="19"/>
      <c r="N1046981" s="19"/>
    </row>
    <row r="1046982" spans="1:14" s="83" customFormat="1" ht="12.75">
      <c r="A1046982" s="19"/>
      <c r="B1046982" s="19"/>
      <c r="C1046982" s="19"/>
      <c r="D1046982" s="19"/>
      <c r="E1046982" s="19"/>
      <c r="F1046982" s="19"/>
      <c r="G1046982" s="19"/>
      <c r="H1046982" s="19"/>
      <c r="I1046982" s="19"/>
      <c r="J1046982" s="19"/>
      <c r="K1046982" s="19"/>
      <c r="L1046982" s="19"/>
      <c r="M1046982" s="19"/>
      <c r="N1046982" s="19"/>
    </row>
    <row r="1046983" spans="1:14" s="83" customFormat="1" ht="12.75">
      <c r="A1046983" s="19"/>
      <c r="B1046983" s="19"/>
      <c r="C1046983" s="19"/>
      <c r="D1046983" s="19"/>
      <c r="E1046983" s="19"/>
      <c r="F1046983" s="19"/>
      <c r="G1046983" s="19"/>
      <c r="H1046983" s="19"/>
      <c r="I1046983" s="19"/>
      <c r="J1046983" s="19"/>
      <c r="K1046983" s="19"/>
      <c r="L1046983" s="19"/>
      <c r="M1046983" s="19"/>
      <c r="N1046983" s="19"/>
    </row>
    <row r="1046984" spans="1:14" s="83" customFormat="1" ht="12.75">
      <c r="A1046984" s="19"/>
      <c r="B1046984" s="19"/>
      <c r="C1046984" s="19"/>
      <c r="D1046984" s="19"/>
      <c r="E1046984" s="19"/>
      <c r="F1046984" s="19"/>
      <c r="G1046984" s="19"/>
      <c r="H1046984" s="19"/>
      <c r="I1046984" s="19"/>
      <c r="J1046984" s="19"/>
      <c r="K1046984" s="19"/>
      <c r="L1046984" s="19"/>
      <c r="M1046984" s="19"/>
      <c r="N1046984" s="19"/>
    </row>
    <row r="1046985" spans="1:14" s="83" customFormat="1" ht="12.75">
      <c r="A1046985" s="19"/>
      <c r="B1046985" s="19"/>
      <c r="C1046985" s="19"/>
      <c r="D1046985" s="19"/>
      <c r="E1046985" s="19"/>
      <c r="F1046985" s="19"/>
      <c r="G1046985" s="19"/>
      <c r="H1046985" s="19"/>
      <c r="I1046985" s="19"/>
      <c r="J1046985" s="19"/>
      <c r="K1046985" s="19"/>
      <c r="L1046985" s="19"/>
      <c r="M1046985" s="19"/>
      <c r="N1046985" s="19"/>
    </row>
    <row r="1046986" spans="1:14" s="83" customFormat="1" ht="12.75">
      <c r="A1046986" s="19"/>
      <c r="B1046986" s="19"/>
      <c r="C1046986" s="19"/>
      <c r="D1046986" s="19"/>
      <c r="E1046986" s="19"/>
      <c r="F1046986" s="19"/>
      <c r="G1046986" s="19"/>
      <c r="H1046986" s="19"/>
      <c r="I1046986" s="19"/>
      <c r="J1046986" s="19"/>
      <c r="K1046986" s="19"/>
      <c r="L1046986" s="19"/>
      <c r="M1046986" s="19"/>
      <c r="N1046986" s="19"/>
    </row>
    <row r="1046987" spans="1:14" s="83" customFormat="1" ht="12.75">
      <c r="A1046987" s="19"/>
      <c r="B1046987" s="19"/>
      <c r="C1046987" s="19"/>
      <c r="D1046987" s="19"/>
      <c r="E1046987" s="19"/>
      <c r="F1046987" s="19"/>
      <c r="G1046987" s="19"/>
      <c r="H1046987" s="19"/>
      <c r="I1046987" s="19"/>
      <c r="J1046987" s="19"/>
      <c r="K1046987" s="19"/>
      <c r="L1046987" s="19"/>
      <c r="M1046987" s="19"/>
      <c r="N1046987" s="19"/>
    </row>
    <row r="1046988" spans="1:14" s="83" customFormat="1" ht="12.75">
      <c r="A1046988" s="19"/>
      <c r="B1046988" s="19"/>
      <c r="C1046988" s="19"/>
      <c r="D1046988" s="19"/>
      <c r="E1046988" s="19"/>
      <c r="F1046988" s="19"/>
      <c r="G1046988" s="19"/>
      <c r="H1046988" s="19"/>
      <c r="I1046988" s="19"/>
      <c r="J1046988" s="19"/>
      <c r="K1046988" s="19"/>
      <c r="L1046988" s="19"/>
      <c r="M1046988" s="19"/>
      <c r="N1046988" s="19"/>
    </row>
    <row r="1046989" spans="1:14" s="83" customFormat="1" ht="12.75">
      <c r="A1046989" s="19"/>
      <c r="B1046989" s="19"/>
      <c r="C1046989" s="19"/>
      <c r="D1046989" s="19"/>
      <c r="E1046989" s="19"/>
      <c r="F1046989" s="19"/>
      <c r="G1046989" s="19"/>
      <c r="H1046989" s="19"/>
      <c r="I1046989" s="19"/>
      <c r="J1046989" s="19"/>
      <c r="K1046989" s="19"/>
      <c r="L1046989" s="19"/>
      <c r="M1046989" s="19"/>
      <c r="N1046989" s="19"/>
    </row>
    <row r="1046990" spans="1:14" s="83" customFormat="1" ht="12.75">
      <c r="A1046990" s="19"/>
      <c r="B1046990" s="19"/>
      <c r="C1046990" s="19"/>
      <c r="D1046990" s="19"/>
      <c r="E1046990" s="19"/>
      <c r="F1046990" s="19"/>
      <c r="G1046990" s="19"/>
      <c r="H1046990" s="19"/>
      <c r="I1046990" s="19"/>
      <c r="J1046990" s="19"/>
      <c r="K1046990" s="19"/>
      <c r="L1046990" s="19"/>
      <c r="M1046990" s="19"/>
      <c r="N1046990" s="19"/>
    </row>
    <row r="1046991" spans="1:14" s="83" customFormat="1" ht="12.75">
      <c r="A1046991" s="19"/>
      <c r="B1046991" s="19"/>
      <c r="C1046991" s="19"/>
      <c r="D1046991" s="19"/>
      <c r="E1046991" s="19"/>
      <c r="F1046991" s="19"/>
      <c r="G1046991" s="19"/>
      <c r="H1046991" s="19"/>
      <c r="I1046991" s="19"/>
      <c r="J1046991" s="19"/>
      <c r="K1046991" s="19"/>
      <c r="L1046991" s="19"/>
      <c r="M1046991" s="19"/>
      <c r="N1046991" s="19"/>
    </row>
    <row r="1046992" spans="1:14" s="83" customFormat="1" ht="12.75">
      <c r="A1046992" s="19"/>
      <c r="B1046992" s="19"/>
      <c r="C1046992" s="19"/>
      <c r="D1046992" s="19"/>
      <c r="E1046992" s="19"/>
      <c r="F1046992" s="19"/>
      <c r="G1046992" s="19"/>
      <c r="H1046992" s="19"/>
      <c r="I1046992" s="19"/>
      <c r="J1046992" s="19"/>
      <c r="K1046992" s="19"/>
      <c r="L1046992" s="19"/>
      <c r="M1046992" s="19"/>
      <c r="N1046992" s="19"/>
    </row>
    <row r="1046993" spans="1:14" s="83" customFormat="1" ht="12.75">
      <c r="A1046993" s="19"/>
      <c r="B1046993" s="19"/>
      <c r="C1046993" s="19"/>
      <c r="D1046993" s="19"/>
      <c r="E1046993" s="19"/>
      <c r="F1046993" s="19"/>
      <c r="G1046993" s="19"/>
      <c r="H1046993" s="19"/>
      <c r="I1046993" s="19"/>
      <c r="J1046993" s="19"/>
      <c r="K1046993" s="19"/>
      <c r="L1046993" s="19"/>
      <c r="M1046993" s="19"/>
      <c r="N1046993" s="19"/>
    </row>
    <row r="1046994" spans="1:14" s="83" customFormat="1" ht="12.75">
      <c r="A1046994" s="19"/>
      <c r="B1046994" s="19"/>
      <c r="C1046994" s="19"/>
      <c r="D1046994" s="19"/>
      <c r="E1046994" s="19"/>
      <c r="F1046994" s="19"/>
      <c r="G1046994" s="19"/>
      <c r="H1046994" s="19"/>
      <c r="I1046994" s="19"/>
      <c r="J1046994" s="19"/>
      <c r="K1046994" s="19"/>
      <c r="L1046994" s="19"/>
      <c r="M1046994" s="19"/>
      <c r="N1046994" s="19"/>
    </row>
    <row r="1046995" spans="1:14" s="83" customFormat="1" ht="12.75">
      <c r="A1046995" s="19"/>
      <c r="B1046995" s="19"/>
      <c r="C1046995" s="19"/>
      <c r="D1046995" s="19"/>
      <c r="E1046995" s="19"/>
      <c r="F1046995" s="19"/>
      <c r="G1046995" s="19"/>
      <c r="H1046995" s="19"/>
      <c r="I1046995" s="19"/>
      <c r="J1046995" s="19"/>
      <c r="K1046995" s="19"/>
      <c r="L1046995" s="19"/>
      <c r="M1046995" s="19"/>
      <c r="N1046995" s="19"/>
    </row>
    <row r="1046996" spans="1:14" s="83" customFormat="1" ht="12.75">
      <c r="A1046996" s="19"/>
      <c r="B1046996" s="19"/>
      <c r="C1046996" s="19"/>
      <c r="D1046996" s="19"/>
      <c r="E1046996" s="19"/>
      <c r="F1046996" s="19"/>
      <c r="G1046996" s="19"/>
      <c r="H1046996" s="19"/>
      <c r="I1046996" s="19"/>
      <c r="J1046996" s="19"/>
      <c r="K1046996" s="19"/>
      <c r="L1046996" s="19"/>
      <c r="M1046996" s="19"/>
      <c r="N1046996" s="19"/>
    </row>
    <row r="1046997" spans="1:14" s="83" customFormat="1" ht="12.75">
      <c r="A1046997" s="19"/>
      <c r="B1046997" s="19"/>
      <c r="C1046997" s="19"/>
      <c r="D1046997" s="19"/>
      <c r="E1046997" s="19"/>
      <c r="F1046997" s="19"/>
      <c r="G1046997" s="19"/>
      <c r="H1046997" s="19"/>
      <c r="I1046997" s="19"/>
      <c r="J1046997" s="19"/>
      <c r="K1046997" s="19"/>
      <c r="L1046997" s="19"/>
      <c r="M1046997" s="19"/>
      <c r="N1046997" s="19"/>
    </row>
    <row r="1046998" spans="1:14" s="83" customFormat="1" ht="12.75">
      <c r="A1046998" s="19"/>
      <c r="B1046998" s="19"/>
      <c r="C1046998" s="19"/>
      <c r="D1046998" s="19"/>
      <c r="E1046998" s="19"/>
      <c r="F1046998" s="19"/>
      <c r="G1046998" s="19"/>
      <c r="H1046998" s="19"/>
      <c r="I1046998" s="19"/>
      <c r="J1046998" s="19"/>
      <c r="K1046998" s="19"/>
      <c r="L1046998" s="19"/>
      <c r="M1046998" s="19"/>
      <c r="N1046998" s="19"/>
    </row>
    <row r="1046999" spans="1:14" s="83" customFormat="1" ht="12.75">
      <c r="A1046999" s="19"/>
      <c r="B1046999" s="19"/>
      <c r="C1046999" s="19"/>
      <c r="D1046999" s="19"/>
      <c r="E1046999" s="19"/>
      <c r="F1046999" s="19"/>
      <c r="G1046999" s="19"/>
      <c r="H1046999" s="19"/>
      <c r="I1046999" s="19"/>
      <c r="J1046999" s="19"/>
      <c r="K1046999" s="19"/>
      <c r="L1046999" s="19"/>
      <c r="M1046999" s="19"/>
      <c r="N1046999" s="19"/>
    </row>
    <row r="1047000" spans="1:14" s="83" customFormat="1" ht="12.75">
      <c r="A1047000" s="19"/>
      <c r="B1047000" s="19"/>
      <c r="C1047000" s="19"/>
      <c r="D1047000" s="19"/>
      <c r="E1047000" s="19"/>
      <c r="F1047000" s="19"/>
      <c r="G1047000" s="19"/>
      <c r="H1047000" s="19"/>
      <c r="I1047000" s="19"/>
      <c r="J1047000" s="19"/>
      <c r="K1047000" s="19"/>
      <c r="L1047000" s="19"/>
      <c r="M1047000" s="19"/>
      <c r="N1047000" s="19"/>
    </row>
    <row r="1047001" spans="1:14" s="83" customFormat="1" ht="12.75">
      <c r="A1047001" s="19"/>
      <c r="B1047001" s="19"/>
      <c r="C1047001" s="19"/>
      <c r="D1047001" s="19"/>
      <c r="E1047001" s="19"/>
      <c r="F1047001" s="19"/>
      <c r="G1047001" s="19"/>
      <c r="H1047001" s="19"/>
      <c r="I1047001" s="19"/>
      <c r="J1047001" s="19"/>
      <c r="K1047001" s="19"/>
      <c r="L1047001" s="19"/>
      <c r="M1047001" s="19"/>
      <c r="N1047001" s="19"/>
    </row>
    <row r="1047002" spans="1:14" s="83" customFormat="1" ht="12.75">
      <c r="A1047002" s="19"/>
      <c r="B1047002" s="19"/>
      <c r="C1047002" s="19"/>
      <c r="D1047002" s="19"/>
      <c r="E1047002" s="19"/>
      <c r="F1047002" s="19"/>
      <c r="G1047002" s="19"/>
      <c r="H1047002" s="19"/>
      <c r="I1047002" s="19"/>
      <c r="J1047002" s="19"/>
      <c r="K1047002" s="19"/>
      <c r="L1047002" s="19"/>
      <c r="M1047002" s="19"/>
      <c r="N1047002" s="19"/>
    </row>
    <row r="1047003" spans="1:14" s="83" customFormat="1" ht="12.75">
      <c r="A1047003" s="19"/>
      <c r="B1047003" s="19"/>
      <c r="C1047003" s="19"/>
      <c r="D1047003" s="19"/>
      <c r="E1047003" s="19"/>
      <c r="F1047003" s="19"/>
      <c r="G1047003" s="19"/>
      <c r="H1047003" s="19"/>
      <c r="I1047003" s="19"/>
      <c r="J1047003" s="19"/>
      <c r="K1047003" s="19"/>
      <c r="L1047003" s="19"/>
      <c r="M1047003" s="19"/>
      <c r="N1047003" s="19"/>
    </row>
    <row r="1047004" spans="1:14" s="83" customFormat="1" ht="12.75">
      <c r="A1047004" s="19"/>
      <c r="B1047004" s="19"/>
      <c r="C1047004" s="19"/>
      <c r="D1047004" s="19"/>
      <c r="E1047004" s="19"/>
      <c r="F1047004" s="19"/>
      <c r="G1047004" s="19"/>
      <c r="H1047004" s="19"/>
      <c r="I1047004" s="19"/>
      <c r="J1047004" s="19"/>
      <c r="K1047004" s="19"/>
      <c r="L1047004" s="19"/>
      <c r="M1047004" s="19"/>
      <c r="N1047004" s="19"/>
    </row>
    <row r="1047005" spans="1:14" s="83" customFormat="1" ht="12.75">
      <c r="A1047005" s="19"/>
      <c r="B1047005" s="19"/>
      <c r="C1047005" s="19"/>
      <c r="D1047005" s="19"/>
      <c r="E1047005" s="19"/>
      <c r="F1047005" s="19"/>
      <c r="G1047005" s="19"/>
      <c r="H1047005" s="19"/>
      <c r="I1047005" s="19"/>
      <c r="J1047005" s="19"/>
      <c r="K1047005" s="19"/>
      <c r="L1047005" s="19"/>
      <c r="M1047005" s="19"/>
      <c r="N1047005" s="19"/>
    </row>
    <row r="1047006" spans="1:14" s="83" customFormat="1" ht="12.75">
      <c r="A1047006" s="19"/>
      <c r="B1047006" s="19"/>
      <c r="C1047006" s="19"/>
      <c r="D1047006" s="19"/>
      <c r="E1047006" s="19"/>
      <c r="F1047006" s="19"/>
      <c r="G1047006" s="19"/>
      <c r="H1047006" s="19"/>
      <c r="I1047006" s="19"/>
      <c r="J1047006" s="19"/>
      <c r="K1047006" s="19"/>
      <c r="L1047006" s="19"/>
      <c r="M1047006" s="19"/>
      <c r="N1047006" s="19"/>
    </row>
    <row r="1047007" spans="1:14" s="83" customFormat="1" ht="12.75">
      <c r="A1047007" s="19"/>
      <c r="B1047007" s="19"/>
      <c r="C1047007" s="19"/>
      <c r="D1047007" s="19"/>
      <c r="E1047007" s="19"/>
      <c r="F1047007" s="19"/>
      <c r="G1047007" s="19"/>
      <c r="H1047007" s="19"/>
      <c r="I1047007" s="19"/>
      <c r="J1047007" s="19"/>
      <c r="K1047007" s="19"/>
      <c r="L1047007" s="19"/>
      <c r="M1047007" s="19"/>
      <c r="N1047007" s="19"/>
    </row>
    <row r="1047008" spans="1:14" s="83" customFormat="1" ht="12.75">
      <c r="A1047008" s="19"/>
      <c r="B1047008" s="19"/>
      <c r="C1047008" s="19"/>
      <c r="D1047008" s="19"/>
      <c r="E1047008" s="19"/>
      <c r="F1047008" s="19"/>
      <c r="G1047008" s="19"/>
      <c r="H1047008" s="19"/>
      <c r="I1047008" s="19"/>
      <c r="J1047008" s="19"/>
      <c r="K1047008" s="19"/>
      <c r="L1047008" s="19"/>
      <c r="M1047008" s="19"/>
      <c r="N1047008" s="19"/>
    </row>
    <row r="1047009" spans="1:14" s="83" customFormat="1" ht="12.75">
      <c r="A1047009" s="19"/>
      <c r="B1047009" s="19"/>
      <c r="C1047009" s="19"/>
      <c r="D1047009" s="19"/>
      <c r="E1047009" s="19"/>
      <c r="F1047009" s="19"/>
      <c r="G1047009" s="19"/>
      <c r="H1047009" s="19"/>
      <c r="I1047009" s="19"/>
      <c r="J1047009" s="19"/>
      <c r="K1047009" s="19"/>
      <c r="L1047009" s="19"/>
      <c r="M1047009" s="19"/>
      <c r="N1047009" s="19"/>
    </row>
    <row r="1047010" spans="1:14" s="83" customFormat="1" ht="12.75">
      <c r="A1047010" s="19"/>
      <c r="B1047010" s="19"/>
      <c r="C1047010" s="19"/>
      <c r="D1047010" s="19"/>
      <c r="E1047010" s="19"/>
      <c r="F1047010" s="19"/>
      <c r="G1047010" s="19"/>
      <c r="H1047010" s="19"/>
      <c r="I1047010" s="19"/>
      <c r="J1047010" s="19"/>
      <c r="K1047010" s="19"/>
      <c r="L1047010" s="19"/>
      <c r="M1047010" s="19"/>
      <c r="N1047010" s="19"/>
    </row>
    <row r="1047011" spans="1:14" s="83" customFormat="1" ht="12.75">
      <c r="A1047011" s="19"/>
      <c r="B1047011" s="19"/>
      <c r="C1047011" s="19"/>
      <c r="D1047011" s="19"/>
      <c r="E1047011" s="19"/>
      <c r="F1047011" s="19"/>
      <c r="G1047011" s="19"/>
      <c r="H1047011" s="19"/>
      <c r="I1047011" s="19"/>
      <c r="J1047011" s="19"/>
      <c r="K1047011" s="19"/>
      <c r="L1047011" s="19"/>
      <c r="M1047011" s="19"/>
      <c r="N1047011" s="19"/>
    </row>
    <row r="1047012" spans="1:14" s="83" customFormat="1" ht="12.75">
      <c r="A1047012" s="19"/>
      <c r="B1047012" s="19"/>
      <c r="C1047012" s="19"/>
      <c r="D1047012" s="19"/>
      <c r="E1047012" s="19"/>
      <c r="F1047012" s="19"/>
      <c r="G1047012" s="19"/>
      <c r="H1047012" s="19"/>
      <c r="I1047012" s="19"/>
      <c r="J1047012" s="19"/>
      <c r="K1047012" s="19"/>
      <c r="L1047012" s="19"/>
      <c r="M1047012" s="19"/>
      <c r="N1047012" s="19"/>
    </row>
    <row r="1047013" spans="1:14" s="83" customFormat="1" ht="12.75">
      <c r="A1047013" s="19"/>
      <c r="B1047013" s="19"/>
      <c r="C1047013" s="19"/>
      <c r="D1047013" s="19"/>
      <c r="E1047013" s="19"/>
      <c r="F1047013" s="19"/>
      <c r="G1047013" s="19"/>
      <c r="H1047013" s="19"/>
      <c r="I1047013" s="19"/>
      <c r="J1047013" s="19"/>
      <c r="K1047013" s="19"/>
      <c r="L1047013" s="19"/>
      <c r="M1047013" s="19"/>
      <c r="N1047013" s="19"/>
    </row>
    <row r="1047014" spans="1:14" s="83" customFormat="1" ht="12.75">
      <c r="A1047014" s="19"/>
      <c r="B1047014" s="19"/>
      <c r="C1047014" s="19"/>
      <c r="D1047014" s="19"/>
      <c r="E1047014" s="19"/>
      <c r="F1047014" s="19"/>
      <c r="G1047014" s="19"/>
      <c r="H1047014" s="19"/>
      <c r="I1047014" s="19"/>
      <c r="J1047014" s="19"/>
      <c r="K1047014" s="19"/>
      <c r="L1047014" s="19"/>
      <c r="M1047014" s="19"/>
      <c r="N1047014" s="19"/>
    </row>
    <row r="1047015" spans="1:14" s="83" customFormat="1" ht="12.75">
      <c r="A1047015" s="19"/>
      <c r="B1047015" s="19"/>
      <c r="C1047015" s="19"/>
      <c r="D1047015" s="19"/>
      <c r="E1047015" s="19"/>
      <c r="F1047015" s="19"/>
      <c r="G1047015" s="19"/>
      <c r="H1047015" s="19"/>
      <c r="I1047015" s="19"/>
      <c r="J1047015" s="19"/>
      <c r="K1047015" s="19"/>
      <c r="L1047015" s="19"/>
      <c r="M1047015" s="19"/>
      <c r="N1047015" s="19"/>
    </row>
    <row r="1047016" spans="1:14" s="83" customFormat="1" ht="12.75">
      <c r="A1047016" s="19"/>
      <c r="B1047016" s="19"/>
      <c r="C1047016" s="19"/>
      <c r="D1047016" s="19"/>
      <c r="E1047016" s="19"/>
      <c r="F1047016" s="19"/>
      <c r="G1047016" s="19"/>
      <c r="H1047016" s="19"/>
      <c r="I1047016" s="19"/>
      <c r="J1047016" s="19"/>
      <c r="K1047016" s="19"/>
      <c r="L1047016" s="19"/>
      <c r="M1047016" s="19"/>
      <c r="N1047016" s="19"/>
    </row>
    <row r="1047017" spans="1:14" s="83" customFormat="1" ht="12.75">
      <c r="A1047017" s="19"/>
      <c r="B1047017" s="19"/>
      <c r="C1047017" s="19"/>
      <c r="D1047017" s="19"/>
      <c r="E1047017" s="19"/>
      <c r="F1047017" s="19"/>
      <c r="G1047017" s="19"/>
      <c r="H1047017" s="19"/>
      <c r="I1047017" s="19"/>
      <c r="J1047017" s="19"/>
      <c r="K1047017" s="19"/>
      <c r="L1047017" s="19"/>
      <c r="M1047017" s="19"/>
      <c r="N1047017" s="19"/>
    </row>
    <row r="1047018" spans="1:14" s="83" customFormat="1" ht="12.75">
      <c r="A1047018" s="19"/>
      <c r="B1047018" s="19"/>
      <c r="C1047018" s="19"/>
      <c r="D1047018" s="19"/>
      <c r="E1047018" s="19"/>
      <c r="F1047018" s="19"/>
      <c r="G1047018" s="19"/>
      <c r="H1047018" s="19"/>
      <c r="I1047018" s="19"/>
      <c r="J1047018" s="19"/>
      <c r="K1047018" s="19"/>
      <c r="L1047018" s="19"/>
      <c r="M1047018" s="19"/>
      <c r="N1047018" s="19"/>
    </row>
    <row r="1047019" spans="1:14" s="83" customFormat="1" ht="12.75">
      <c r="A1047019" s="19"/>
      <c r="B1047019" s="19"/>
      <c r="C1047019" s="19"/>
      <c r="D1047019" s="19"/>
      <c r="E1047019" s="19"/>
      <c r="F1047019" s="19"/>
      <c r="G1047019" s="19"/>
      <c r="H1047019" s="19"/>
      <c r="I1047019" s="19"/>
      <c r="J1047019" s="19"/>
      <c r="K1047019" s="19"/>
      <c r="L1047019" s="19"/>
      <c r="M1047019" s="19"/>
      <c r="N1047019" s="19"/>
    </row>
    <row r="1047020" spans="1:14" s="83" customFormat="1" ht="12.75">
      <c r="A1047020" s="19"/>
      <c r="B1047020" s="19"/>
      <c r="C1047020" s="19"/>
      <c r="D1047020" s="19"/>
      <c r="E1047020" s="19"/>
      <c r="F1047020" s="19"/>
      <c r="G1047020" s="19"/>
      <c r="H1047020" s="19"/>
      <c r="I1047020" s="19"/>
      <c r="J1047020" s="19"/>
      <c r="K1047020" s="19"/>
      <c r="L1047020" s="19"/>
      <c r="M1047020" s="19"/>
      <c r="N1047020" s="19"/>
    </row>
    <row r="1047021" spans="1:14" s="83" customFormat="1" ht="12.75">
      <c r="A1047021" s="19"/>
      <c r="B1047021" s="19"/>
      <c r="C1047021" s="19"/>
      <c r="D1047021" s="19"/>
      <c r="E1047021" s="19"/>
      <c r="F1047021" s="19"/>
      <c r="G1047021" s="19"/>
      <c r="H1047021" s="19"/>
      <c r="I1047021" s="19"/>
      <c r="J1047021" s="19"/>
      <c r="K1047021" s="19"/>
      <c r="L1047021" s="19"/>
      <c r="M1047021" s="19"/>
      <c r="N1047021" s="19"/>
    </row>
    <row r="1047022" spans="1:14" s="83" customFormat="1" ht="12.75">
      <c r="A1047022" s="19"/>
      <c r="B1047022" s="19"/>
      <c r="C1047022" s="19"/>
      <c r="D1047022" s="19"/>
      <c r="E1047022" s="19"/>
      <c r="F1047022" s="19"/>
      <c r="G1047022" s="19"/>
      <c r="H1047022" s="19"/>
      <c r="I1047022" s="19"/>
      <c r="J1047022" s="19"/>
      <c r="K1047022" s="19"/>
      <c r="L1047022" s="19"/>
      <c r="M1047022" s="19"/>
      <c r="N1047022" s="19"/>
    </row>
    <row r="1047023" spans="1:14" s="83" customFormat="1" ht="12.75">
      <c r="A1047023" s="19"/>
      <c r="B1047023" s="19"/>
      <c r="C1047023" s="19"/>
      <c r="D1047023" s="19"/>
      <c r="E1047023" s="19"/>
      <c r="F1047023" s="19"/>
      <c r="G1047023" s="19"/>
      <c r="H1047023" s="19"/>
      <c r="I1047023" s="19"/>
      <c r="J1047023" s="19"/>
      <c r="K1047023" s="19"/>
      <c r="L1047023" s="19"/>
      <c r="M1047023" s="19"/>
      <c r="N1047023" s="19"/>
    </row>
    <row r="1047024" spans="1:14" s="83" customFormat="1" ht="12.75">
      <c r="A1047024" s="19"/>
      <c r="B1047024" s="19"/>
      <c r="C1047024" s="19"/>
      <c r="D1047024" s="19"/>
      <c r="E1047024" s="19"/>
      <c r="F1047024" s="19"/>
      <c r="G1047024" s="19"/>
      <c r="H1047024" s="19"/>
      <c r="I1047024" s="19"/>
      <c r="J1047024" s="19"/>
      <c r="K1047024" s="19"/>
      <c r="L1047024" s="19"/>
      <c r="M1047024" s="19"/>
      <c r="N1047024" s="19"/>
    </row>
    <row r="1047025" spans="1:14" s="83" customFormat="1" ht="12.75">
      <c r="A1047025" s="19"/>
      <c r="B1047025" s="19"/>
      <c r="C1047025" s="19"/>
      <c r="D1047025" s="19"/>
      <c r="E1047025" s="19"/>
      <c r="F1047025" s="19"/>
      <c r="G1047025" s="19"/>
      <c r="H1047025" s="19"/>
      <c r="I1047025" s="19"/>
      <c r="J1047025" s="19"/>
      <c r="K1047025" s="19"/>
      <c r="L1047025" s="19"/>
      <c r="M1047025" s="19"/>
      <c r="N1047025" s="19"/>
    </row>
    <row r="1047026" spans="1:14" s="83" customFormat="1" ht="12.75">
      <c r="A1047026" s="19"/>
      <c r="B1047026" s="19"/>
      <c r="C1047026" s="19"/>
      <c r="D1047026" s="19"/>
      <c r="E1047026" s="19"/>
      <c r="F1047026" s="19"/>
      <c r="G1047026" s="19"/>
      <c r="H1047026" s="19"/>
      <c r="I1047026" s="19"/>
      <c r="J1047026" s="19"/>
      <c r="K1047026" s="19"/>
      <c r="L1047026" s="19"/>
      <c r="M1047026" s="19"/>
      <c r="N1047026" s="19"/>
    </row>
    <row r="1047027" spans="1:14" s="83" customFormat="1" ht="12.75">
      <c r="A1047027" s="19"/>
      <c r="B1047027" s="19"/>
      <c r="C1047027" s="19"/>
      <c r="D1047027" s="19"/>
      <c r="E1047027" s="19"/>
      <c r="F1047027" s="19"/>
      <c r="G1047027" s="19"/>
      <c r="H1047027" s="19"/>
      <c r="I1047027" s="19"/>
      <c r="J1047027" s="19"/>
      <c r="K1047027" s="19"/>
      <c r="L1047027" s="19"/>
      <c r="M1047027" s="19"/>
      <c r="N1047027" s="19"/>
    </row>
    <row r="1047028" spans="1:14" s="83" customFormat="1" ht="12.75">
      <c r="A1047028" s="19"/>
      <c r="B1047028" s="19"/>
      <c r="C1047028" s="19"/>
      <c r="D1047028" s="19"/>
      <c r="E1047028" s="19"/>
      <c r="F1047028" s="19"/>
      <c r="G1047028" s="19"/>
      <c r="H1047028" s="19"/>
      <c r="I1047028" s="19"/>
      <c r="J1047028" s="19"/>
      <c r="K1047028" s="19"/>
      <c r="L1047028" s="19"/>
      <c r="M1047028" s="19"/>
      <c r="N1047028" s="19"/>
    </row>
    <row r="1047029" spans="1:14" s="83" customFormat="1" ht="12.75">
      <c r="A1047029" s="19"/>
      <c r="B1047029" s="19"/>
      <c r="C1047029" s="19"/>
      <c r="D1047029" s="19"/>
      <c r="E1047029" s="19"/>
      <c r="F1047029" s="19"/>
      <c r="G1047029" s="19"/>
      <c r="H1047029" s="19"/>
      <c r="I1047029" s="19"/>
      <c r="J1047029" s="19"/>
      <c r="K1047029" s="19"/>
      <c r="L1047029" s="19"/>
      <c r="M1047029" s="19"/>
      <c r="N1047029" s="19"/>
    </row>
    <row r="1047030" spans="1:14" s="83" customFormat="1" ht="12.75">
      <c r="A1047030" s="19"/>
      <c r="B1047030" s="19"/>
      <c r="C1047030" s="19"/>
      <c r="D1047030" s="19"/>
      <c r="E1047030" s="19"/>
      <c r="F1047030" s="19"/>
      <c r="G1047030" s="19"/>
      <c r="H1047030" s="19"/>
      <c r="I1047030" s="19"/>
      <c r="J1047030" s="19"/>
      <c r="K1047030" s="19"/>
      <c r="L1047030" s="19"/>
      <c r="M1047030" s="19"/>
      <c r="N1047030" s="19"/>
    </row>
    <row r="1047031" spans="1:14" s="83" customFormat="1" ht="12.75">
      <c r="A1047031" s="19"/>
      <c r="B1047031" s="19"/>
      <c r="C1047031" s="19"/>
      <c r="D1047031" s="19"/>
      <c r="E1047031" s="19"/>
      <c r="F1047031" s="19"/>
      <c r="G1047031" s="19"/>
      <c r="H1047031" s="19"/>
      <c r="I1047031" s="19"/>
      <c r="J1047031" s="19"/>
      <c r="K1047031" s="19"/>
      <c r="L1047031" s="19"/>
      <c r="M1047031" s="19"/>
      <c r="N1047031" s="19"/>
    </row>
    <row r="1047032" spans="1:14" s="83" customFormat="1" ht="12.75">
      <c r="A1047032" s="19"/>
      <c r="B1047032" s="19"/>
      <c r="C1047032" s="19"/>
      <c r="D1047032" s="19"/>
      <c r="E1047032" s="19"/>
      <c r="F1047032" s="19"/>
      <c r="G1047032" s="19"/>
      <c r="H1047032" s="19"/>
      <c r="I1047032" s="19"/>
      <c r="J1047032" s="19"/>
      <c r="K1047032" s="19"/>
      <c r="L1047032" s="19"/>
      <c r="M1047032" s="19"/>
      <c r="N1047032" s="19"/>
    </row>
    <row r="1047033" spans="1:14" s="83" customFormat="1" ht="12.75">
      <c r="A1047033" s="19"/>
      <c r="B1047033" s="19"/>
      <c r="C1047033" s="19"/>
      <c r="D1047033" s="19"/>
      <c r="E1047033" s="19"/>
      <c r="F1047033" s="19"/>
      <c r="G1047033" s="19"/>
      <c r="H1047033" s="19"/>
      <c r="I1047033" s="19"/>
      <c r="J1047033" s="19"/>
      <c r="K1047033" s="19"/>
      <c r="L1047033" s="19"/>
      <c r="M1047033" s="19"/>
      <c r="N1047033" s="19"/>
    </row>
    <row r="1047034" spans="1:14" s="83" customFormat="1" ht="12.75">
      <c r="A1047034" s="19"/>
      <c r="B1047034" s="19"/>
      <c r="C1047034" s="19"/>
      <c r="D1047034" s="19"/>
      <c r="E1047034" s="19"/>
      <c r="F1047034" s="19"/>
      <c r="G1047034" s="19"/>
      <c r="H1047034" s="19"/>
      <c r="I1047034" s="19"/>
      <c r="J1047034" s="19"/>
      <c r="K1047034" s="19"/>
      <c r="L1047034" s="19"/>
      <c r="M1047034" s="19"/>
      <c r="N1047034" s="19"/>
    </row>
    <row r="1047035" spans="1:14" s="83" customFormat="1" ht="12.75">
      <c r="A1047035" s="19"/>
      <c r="B1047035" s="19"/>
      <c r="C1047035" s="19"/>
      <c r="D1047035" s="19"/>
      <c r="E1047035" s="19"/>
      <c r="F1047035" s="19"/>
      <c r="G1047035" s="19"/>
      <c r="H1047035" s="19"/>
      <c r="I1047035" s="19"/>
      <c r="J1047035" s="19"/>
      <c r="K1047035" s="19"/>
      <c r="L1047035" s="19"/>
      <c r="M1047035" s="19"/>
      <c r="N1047035" s="19"/>
    </row>
    <row r="1047036" spans="1:14" s="83" customFormat="1" ht="12.75">
      <c r="A1047036" s="19"/>
      <c r="B1047036" s="19"/>
      <c r="C1047036" s="19"/>
      <c r="D1047036" s="19"/>
      <c r="E1047036" s="19"/>
      <c r="F1047036" s="19"/>
      <c r="G1047036" s="19"/>
      <c r="H1047036" s="19"/>
      <c r="I1047036" s="19"/>
      <c r="J1047036" s="19"/>
      <c r="K1047036" s="19"/>
      <c r="L1047036" s="19"/>
      <c r="M1047036" s="19"/>
      <c r="N1047036" s="19"/>
    </row>
    <row r="1047037" spans="1:14" s="83" customFormat="1" ht="12.75">
      <c r="A1047037" s="19"/>
      <c r="B1047037" s="19"/>
      <c r="C1047037" s="19"/>
      <c r="D1047037" s="19"/>
      <c r="E1047037" s="19"/>
      <c r="F1047037" s="19"/>
      <c r="G1047037" s="19"/>
      <c r="H1047037" s="19"/>
      <c r="I1047037" s="19"/>
      <c r="J1047037" s="19"/>
      <c r="K1047037" s="19"/>
      <c r="L1047037" s="19"/>
      <c r="M1047037" s="19"/>
      <c r="N1047037" s="19"/>
    </row>
    <row r="1047038" spans="1:14" s="83" customFormat="1" ht="12.75">
      <c r="A1047038" s="19"/>
      <c r="B1047038" s="19"/>
      <c r="C1047038" s="19"/>
      <c r="D1047038" s="19"/>
      <c r="E1047038" s="19"/>
      <c r="F1047038" s="19"/>
      <c r="G1047038" s="19"/>
      <c r="H1047038" s="19"/>
      <c r="I1047038" s="19"/>
      <c r="J1047038" s="19"/>
      <c r="K1047038" s="19"/>
      <c r="L1047038" s="19"/>
      <c r="M1047038" s="19"/>
      <c r="N1047038" s="19"/>
    </row>
    <row r="1047039" spans="1:14" s="83" customFormat="1" ht="12.75">
      <c r="A1047039" s="19"/>
      <c r="B1047039" s="19"/>
      <c r="C1047039" s="19"/>
      <c r="D1047039" s="19"/>
      <c r="E1047039" s="19"/>
      <c r="F1047039" s="19"/>
      <c r="G1047039" s="19"/>
      <c r="H1047039" s="19"/>
      <c r="I1047039" s="19"/>
      <c r="J1047039" s="19"/>
      <c r="K1047039" s="19"/>
      <c r="L1047039" s="19"/>
      <c r="M1047039" s="19"/>
      <c r="N1047039" s="19"/>
    </row>
    <row r="1047040" spans="1:14" s="83" customFormat="1" ht="12.75">
      <c r="A1047040" s="19"/>
      <c r="B1047040" s="19"/>
      <c r="C1047040" s="19"/>
      <c r="D1047040" s="19"/>
      <c r="E1047040" s="19"/>
      <c r="F1047040" s="19"/>
      <c r="G1047040" s="19"/>
      <c r="H1047040" s="19"/>
      <c r="I1047040" s="19"/>
      <c r="J1047040" s="19"/>
      <c r="K1047040" s="19"/>
      <c r="L1047040" s="19"/>
      <c r="M1047040" s="19"/>
      <c r="N1047040" s="19"/>
    </row>
    <row r="1047041" spans="1:14" s="83" customFormat="1" ht="12.75">
      <c r="A1047041" s="19"/>
      <c r="B1047041" s="19"/>
      <c r="C1047041" s="19"/>
      <c r="D1047041" s="19"/>
      <c r="E1047041" s="19"/>
      <c r="F1047041" s="19"/>
      <c r="G1047041" s="19"/>
      <c r="H1047041" s="19"/>
      <c r="I1047041" s="19"/>
      <c r="J1047041" s="19"/>
      <c r="K1047041" s="19"/>
      <c r="L1047041" s="19"/>
      <c r="M1047041" s="19"/>
      <c r="N1047041" s="19"/>
    </row>
    <row r="1047042" spans="1:14" s="83" customFormat="1" ht="12.75">
      <c r="A1047042" s="19"/>
      <c r="B1047042" s="19"/>
      <c r="C1047042" s="19"/>
      <c r="D1047042" s="19"/>
      <c r="E1047042" s="19"/>
      <c r="F1047042" s="19"/>
      <c r="G1047042" s="19"/>
      <c r="H1047042" s="19"/>
      <c r="I1047042" s="19"/>
      <c r="J1047042" s="19"/>
      <c r="K1047042" s="19"/>
      <c r="L1047042" s="19"/>
      <c r="M1047042" s="19"/>
      <c r="N1047042" s="19"/>
    </row>
    <row r="1047043" spans="1:14" s="83" customFormat="1" ht="12.75">
      <c r="A1047043" s="19"/>
      <c r="B1047043" s="19"/>
      <c r="C1047043" s="19"/>
      <c r="D1047043" s="19"/>
      <c r="E1047043" s="19"/>
      <c r="F1047043" s="19"/>
      <c r="G1047043" s="19"/>
      <c r="H1047043" s="19"/>
      <c r="I1047043" s="19"/>
      <c r="J1047043" s="19"/>
      <c r="K1047043" s="19"/>
      <c r="L1047043" s="19"/>
      <c r="M1047043" s="19"/>
      <c r="N1047043" s="19"/>
    </row>
    <row r="1047044" spans="1:14" s="83" customFormat="1" ht="12.75">
      <c r="A1047044" s="19"/>
      <c r="B1047044" s="19"/>
      <c r="C1047044" s="19"/>
      <c r="D1047044" s="19"/>
      <c r="E1047044" s="19"/>
      <c r="F1047044" s="19"/>
      <c r="G1047044" s="19"/>
      <c r="H1047044" s="19"/>
      <c r="I1047044" s="19"/>
      <c r="J1047044" s="19"/>
      <c r="K1047044" s="19"/>
      <c r="L1047044" s="19"/>
      <c r="M1047044" s="19"/>
      <c r="N1047044" s="19"/>
    </row>
    <row r="1047045" spans="1:14" s="83" customFormat="1" ht="12.75">
      <c r="A1047045" s="19"/>
      <c r="B1047045" s="19"/>
      <c r="C1047045" s="19"/>
      <c r="D1047045" s="19"/>
      <c r="E1047045" s="19"/>
      <c r="F1047045" s="19"/>
      <c r="G1047045" s="19"/>
      <c r="H1047045" s="19"/>
      <c r="I1047045" s="19"/>
      <c r="J1047045" s="19"/>
      <c r="K1047045" s="19"/>
      <c r="L1047045" s="19"/>
      <c r="M1047045" s="19"/>
      <c r="N1047045" s="19"/>
    </row>
    <row r="1047046" spans="1:14" s="83" customFormat="1" ht="12.75">
      <c r="A1047046" s="19"/>
      <c r="B1047046" s="19"/>
      <c r="C1047046" s="19"/>
      <c r="D1047046" s="19"/>
      <c r="E1047046" s="19"/>
      <c r="F1047046" s="19"/>
      <c r="G1047046" s="19"/>
      <c r="H1047046" s="19"/>
      <c r="I1047046" s="19"/>
      <c r="J1047046" s="19"/>
      <c r="K1047046" s="19"/>
      <c r="L1047046" s="19"/>
      <c r="M1047046" s="19"/>
      <c r="N1047046" s="19"/>
    </row>
    <row r="1047047" spans="1:14" s="83" customFormat="1" ht="12.75">
      <c r="A1047047" s="19"/>
      <c r="B1047047" s="19"/>
      <c r="C1047047" s="19"/>
      <c r="D1047047" s="19"/>
      <c r="E1047047" s="19"/>
      <c r="F1047047" s="19"/>
      <c r="G1047047" s="19"/>
      <c r="H1047047" s="19"/>
      <c r="I1047047" s="19"/>
      <c r="J1047047" s="19"/>
      <c r="K1047047" s="19"/>
      <c r="L1047047" s="19"/>
      <c r="M1047047" s="19"/>
      <c r="N1047047" s="19"/>
    </row>
    <row r="1047048" spans="1:14" s="83" customFormat="1" ht="12.75">
      <c r="A1047048" s="19"/>
      <c r="B1047048" s="19"/>
      <c r="C1047048" s="19"/>
      <c r="D1047048" s="19"/>
      <c r="E1047048" s="19"/>
      <c r="F1047048" s="19"/>
      <c r="G1047048" s="19"/>
      <c r="H1047048" s="19"/>
      <c r="I1047048" s="19"/>
      <c r="J1047048" s="19"/>
      <c r="K1047048" s="19"/>
      <c r="L1047048" s="19"/>
      <c r="M1047048" s="19"/>
      <c r="N1047048" s="19"/>
    </row>
    <row r="1047049" spans="1:14" s="83" customFormat="1" ht="12.75">
      <c r="A1047049" s="19"/>
      <c r="B1047049" s="19"/>
      <c r="C1047049" s="19"/>
      <c r="D1047049" s="19"/>
      <c r="E1047049" s="19"/>
      <c r="F1047049" s="19"/>
      <c r="G1047049" s="19"/>
      <c r="H1047049" s="19"/>
      <c r="I1047049" s="19"/>
      <c r="J1047049" s="19"/>
      <c r="K1047049" s="19"/>
      <c r="L1047049" s="19"/>
      <c r="M1047049" s="19"/>
      <c r="N1047049" s="19"/>
    </row>
    <row r="1047050" spans="1:14" s="83" customFormat="1" ht="12.75">
      <c r="A1047050" s="19"/>
      <c r="B1047050" s="19"/>
      <c r="C1047050" s="19"/>
      <c r="D1047050" s="19"/>
      <c r="E1047050" s="19"/>
      <c r="F1047050" s="19"/>
      <c r="G1047050" s="19"/>
      <c r="H1047050" s="19"/>
      <c r="I1047050" s="19"/>
      <c r="J1047050" s="19"/>
      <c r="K1047050" s="19"/>
      <c r="L1047050" s="19"/>
      <c r="M1047050" s="19"/>
      <c r="N1047050" s="19"/>
    </row>
    <row r="1047051" spans="1:14" s="83" customFormat="1" ht="12.75">
      <c r="A1047051" s="19"/>
      <c r="B1047051" s="19"/>
      <c r="C1047051" s="19"/>
      <c r="D1047051" s="19"/>
      <c r="E1047051" s="19"/>
      <c r="F1047051" s="19"/>
      <c r="G1047051" s="19"/>
      <c r="H1047051" s="19"/>
      <c r="I1047051" s="19"/>
      <c r="J1047051" s="19"/>
      <c r="K1047051" s="19"/>
      <c r="L1047051" s="19"/>
      <c r="M1047051" s="19"/>
      <c r="N1047051" s="19"/>
    </row>
    <row r="1047052" spans="1:14" s="83" customFormat="1" ht="12.75">
      <c r="A1047052" s="19"/>
      <c r="B1047052" s="19"/>
      <c r="C1047052" s="19"/>
      <c r="D1047052" s="19"/>
      <c r="E1047052" s="19"/>
      <c r="F1047052" s="19"/>
      <c r="G1047052" s="19"/>
      <c r="H1047052" s="19"/>
      <c r="I1047052" s="19"/>
      <c r="J1047052" s="19"/>
      <c r="K1047052" s="19"/>
      <c r="L1047052" s="19"/>
      <c r="M1047052" s="19"/>
      <c r="N1047052" s="19"/>
    </row>
    <row r="1047053" spans="1:14" s="83" customFormat="1" ht="12.75">
      <c r="A1047053" s="19"/>
      <c r="B1047053" s="19"/>
      <c r="C1047053" s="19"/>
      <c r="D1047053" s="19"/>
      <c r="E1047053" s="19"/>
      <c r="F1047053" s="19"/>
      <c r="G1047053" s="19"/>
      <c r="H1047053" s="19"/>
      <c r="I1047053" s="19"/>
      <c r="J1047053" s="19"/>
      <c r="K1047053" s="19"/>
      <c r="L1047053" s="19"/>
      <c r="M1047053" s="19"/>
      <c r="N1047053" s="19"/>
    </row>
    <row r="1047054" spans="1:14" s="83" customFormat="1" ht="12.75">
      <c r="A1047054" s="19"/>
      <c r="B1047054" s="19"/>
      <c r="C1047054" s="19"/>
      <c r="D1047054" s="19"/>
      <c r="E1047054" s="19"/>
      <c r="F1047054" s="19"/>
      <c r="G1047054" s="19"/>
      <c r="H1047054" s="19"/>
      <c r="I1047054" s="19"/>
      <c r="J1047054" s="19"/>
      <c r="K1047054" s="19"/>
      <c r="L1047054" s="19"/>
      <c r="M1047054" s="19"/>
      <c r="N1047054" s="19"/>
    </row>
    <row r="1047055" spans="1:14" s="83" customFormat="1" ht="12.75">
      <c r="A1047055" s="19"/>
      <c r="B1047055" s="19"/>
      <c r="C1047055" s="19"/>
      <c r="D1047055" s="19"/>
      <c r="E1047055" s="19"/>
      <c r="F1047055" s="19"/>
      <c r="G1047055" s="19"/>
      <c r="H1047055" s="19"/>
      <c r="I1047055" s="19"/>
      <c r="J1047055" s="19"/>
      <c r="K1047055" s="19"/>
      <c r="L1047055" s="19"/>
      <c r="M1047055" s="19"/>
      <c r="N1047055" s="19"/>
    </row>
    <row r="1047056" spans="1:14" s="83" customFormat="1" ht="12.75">
      <c r="A1047056" s="19"/>
      <c r="B1047056" s="19"/>
      <c r="C1047056" s="19"/>
      <c r="D1047056" s="19"/>
      <c r="E1047056" s="19"/>
      <c r="F1047056" s="19"/>
      <c r="G1047056" s="19"/>
      <c r="H1047056" s="19"/>
      <c r="I1047056" s="19"/>
      <c r="J1047056" s="19"/>
      <c r="K1047056" s="19"/>
      <c r="L1047056" s="19"/>
      <c r="M1047056" s="19"/>
      <c r="N1047056" s="19"/>
    </row>
    <row r="1047057" spans="1:14" s="83" customFormat="1" ht="12.75">
      <c r="A1047057" s="19"/>
      <c r="B1047057" s="19"/>
      <c r="C1047057" s="19"/>
      <c r="D1047057" s="19"/>
      <c r="E1047057" s="19"/>
      <c r="F1047057" s="19"/>
      <c r="G1047057" s="19"/>
      <c r="H1047057" s="19"/>
      <c r="I1047057" s="19"/>
      <c r="J1047057" s="19"/>
      <c r="K1047057" s="19"/>
      <c r="L1047057" s="19"/>
      <c r="M1047057" s="19"/>
      <c r="N1047057" s="19"/>
    </row>
    <row r="1047058" spans="1:14" s="83" customFormat="1" ht="12.75">
      <c r="A1047058" s="19"/>
      <c r="B1047058" s="19"/>
      <c r="C1047058" s="19"/>
      <c r="D1047058" s="19"/>
      <c r="E1047058" s="19"/>
      <c r="F1047058" s="19"/>
      <c r="G1047058" s="19"/>
      <c r="H1047058" s="19"/>
      <c r="I1047058" s="19"/>
      <c r="J1047058" s="19"/>
      <c r="K1047058" s="19"/>
      <c r="L1047058" s="19"/>
      <c r="M1047058" s="19"/>
      <c r="N1047058" s="19"/>
    </row>
    <row r="1047059" spans="1:14" s="83" customFormat="1" ht="12.75">
      <c r="A1047059" s="19"/>
      <c r="B1047059" s="19"/>
      <c r="C1047059" s="19"/>
      <c r="D1047059" s="19"/>
      <c r="E1047059" s="19"/>
      <c r="F1047059" s="19"/>
      <c r="G1047059" s="19"/>
      <c r="H1047059" s="19"/>
      <c r="I1047059" s="19"/>
      <c r="J1047059" s="19"/>
      <c r="K1047059" s="19"/>
      <c r="L1047059" s="19"/>
      <c r="M1047059" s="19"/>
      <c r="N1047059" s="19"/>
    </row>
    <row r="1047060" spans="1:14" s="83" customFormat="1" ht="12.75">
      <c r="A1047060" s="19"/>
      <c r="B1047060" s="19"/>
      <c r="C1047060" s="19"/>
      <c r="D1047060" s="19"/>
      <c r="E1047060" s="19"/>
      <c r="F1047060" s="19"/>
      <c r="G1047060" s="19"/>
      <c r="H1047060" s="19"/>
      <c r="I1047060" s="19"/>
      <c r="J1047060" s="19"/>
      <c r="K1047060" s="19"/>
      <c r="L1047060" s="19"/>
      <c r="M1047060" s="19"/>
      <c r="N1047060" s="19"/>
    </row>
    <row r="1047061" spans="1:14" s="83" customFormat="1" ht="12.75">
      <c r="A1047061" s="19"/>
      <c r="B1047061" s="19"/>
      <c r="C1047061" s="19"/>
      <c r="D1047061" s="19"/>
      <c r="E1047061" s="19"/>
      <c r="F1047061" s="19"/>
      <c r="G1047061" s="19"/>
      <c r="H1047061" s="19"/>
      <c r="I1047061" s="19"/>
      <c r="J1047061" s="19"/>
      <c r="K1047061" s="19"/>
      <c r="L1047061" s="19"/>
      <c r="M1047061" s="19"/>
      <c r="N1047061" s="19"/>
    </row>
    <row r="1047062" spans="1:14" s="83" customFormat="1" ht="12.75">
      <c r="A1047062" s="19"/>
      <c r="B1047062" s="19"/>
      <c r="C1047062" s="19"/>
      <c r="D1047062" s="19"/>
      <c r="E1047062" s="19"/>
      <c r="F1047062" s="19"/>
      <c r="G1047062" s="19"/>
      <c r="H1047062" s="19"/>
      <c r="I1047062" s="19"/>
      <c r="J1047062" s="19"/>
      <c r="K1047062" s="19"/>
      <c r="L1047062" s="19"/>
      <c r="M1047062" s="19"/>
      <c r="N1047062" s="19"/>
    </row>
    <row r="1047063" spans="1:14" s="83" customFormat="1" ht="12.75">
      <c r="A1047063" s="19"/>
      <c r="B1047063" s="19"/>
      <c r="C1047063" s="19"/>
      <c r="D1047063" s="19"/>
      <c r="E1047063" s="19"/>
      <c r="F1047063" s="19"/>
      <c r="G1047063" s="19"/>
      <c r="H1047063" s="19"/>
      <c r="I1047063" s="19"/>
      <c r="J1047063" s="19"/>
      <c r="K1047063" s="19"/>
      <c r="L1047063" s="19"/>
      <c r="M1047063" s="19"/>
      <c r="N1047063" s="19"/>
    </row>
    <row r="1047064" spans="1:14" s="83" customFormat="1" ht="12.75">
      <c r="A1047064" s="19"/>
      <c r="B1047064" s="19"/>
      <c r="C1047064" s="19"/>
      <c r="D1047064" s="19"/>
      <c r="E1047064" s="19"/>
      <c r="F1047064" s="19"/>
      <c r="G1047064" s="19"/>
      <c r="H1047064" s="19"/>
      <c r="I1047064" s="19"/>
      <c r="J1047064" s="19"/>
      <c r="K1047064" s="19"/>
      <c r="L1047064" s="19"/>
      <c r="M1047064" s="19"/>
      <c r="N1047064" s="19"/>
    </row>
    <row r="1047065" spans="1:14" s="83" customFormat="1" ht="12.75">
      <c r="A1047065" s="19"/>
      <c r="B1047065" s="19"/>
      <c r="C1047065" s="19"/>
      <c r="D1047065" s="19"/>
      <c r="E1047065" s="19"/>
      <c r="F1047065" s="19"/>
      <c r="G1047065" s="19"/>
      <c r="H1047065" s="19"/>
      <c r="I1047065" s="19"/>
      <c r="J1047065" s="19"/>
      <c r="K1047065" s="19"/>
      <c r="L1047065" s="19"/>
      <c r="M1047065" s="19"/>
      <c r="N1047065" s="19"/>
    </row>
    <row r="1047066" spans="1:14" s="83" customFormat="1" ht="12.75">
      <c r="A1047066" s="19"/>
      <c r="B1047066" s="19"/>
      <c r="C1047066" s="19"/>
      <c r="D1047066" s="19"/>
      <c r="E1047066" s="19"/>
      <c r="F1047066" s="19"/>
      <c r="G1047066" s="19"/>
      <c r="H1047066" s="19"/>
      <c r="I1047066" s="19"/>
      <c r="J1047066" s="19"/>
      <c r="K1047066" s="19"/>
      <c r="L1047066" s="19"/>
      <c r="M1047066" s="19"/>
      <c r="N1047066" s="19"/>
    </row>
    <row r="1047067" spans="1:14" s="83" customFormat="1" ht="12.75">
      <c r="A1047067" s="19"/>
      <c r="B1047067" s="19"/>
      <c r="C1047067" s="19"/>
      <c r="D1047067" s="19"/>
      <c r="E1047067" s="19"/>
      <c r="F1047067" s="19"/>
      <c r="G1047067" s="19"/>
      <c r="H1047067" s="19"/>
      <c r="I1047067" s="19"/>
      <c r="J1047067" s="19"/>
      <c r="K1047067" s="19"/>
      <c r="L1047067" s="19"/>
      <c r="M1047067" s="19"/>
      <c r="N1047067" s="19"/>
    </row>
    <row r="1047068" spans="1:14" s="83" customFormat="1" ht="12.75">
      <c r="A1047068" s="19"/>
      <c r="B1047068" s="19"/>
      <c r="C1047068" s="19"/>
      <c r="D1047068" s="19"/>
      <c r="E1047068" s="19"/>
      <c r="F1047068" s="19"/>
      <c r="G1047068" s="19"/>
      <c r="H1047068" s="19"/>
      <c r="I1047068" s="19"/>
      <c r="J1047068" s="19"/>
      <c r="K1047068" s="19"/>
      <c r="L1047068" s="19"/>
      <c r="M1047068" s="19"/>
      <c r="N1047068" s="19"/>
    </row>
    <row r="1047069" spans="1:14" s="83" customFormat="1" ht="12.75">
      <c r="A1047069" s="19"/>
      <c r="B1047069" s="19"/>
      <c r="C1047069" s="19"/>
      <c r="D1047069" s="19"/>
      <c r="E1047069" s="19"/>
      <c r="F1047069" s="19"/>
      <c r="G1047069" s="19"/>
      <c r="H1047069" s="19"/>
      <c r="I1047069" s="19"/>
      <c r="J1047069" s="19"/>
      <c r="K1047069" s="19"/>
      <c r="L1047069" s="19"/>
      <c r="M1047069" s="19"/>
      <c r="N1047069" s="19"/>
    </row>
    <row r="1047070" spans="1:14" s="83" customFormat="1" ht="12.75">
      <c r="A1047070" s="19"/>
      <c r="B1047070" s="19"/>
      <c r="C1047070" s="19"/>
      <c r="D1047070" s="19"/>
      <c r="E1047070" s="19"/>
      <c r="F1047070" s="19"/>
      <c r="G1047070" s="19"/>
      <c r="H1047070" s="19"/>
      <c r="I1047070" s="19"/>
      <c r="J1047070" s="19"/>
      <c r="K1047070" s="19"/>
      <c r="L1047070" s="19"/>
      <c r="M1047070" s="19"/>
      <c r="N1047070" s="19"/>
    </row>
    <row r="1047071" spans="1:14" s="83" customFormat="1" ht="12.75">
      <c r="A1047071" s="19"/>
      <c r="B1047071" s="19"/>
      <c r="C1047071" s="19"/>
      <c r="D1047071" s="19"/>
      <c r="E1047071" s="19"/>
      <c r="F1047071" s="19"/>
      <c r="G1047071" s="19"/>
      <c r="H1047071" s="19"/>
      <c r="I1047071" s="19"/>
      <c r="J1047071" s="19"/>
      <c r="K1047071" s="19"/>
      <c r="L1047071" s="19"/>
      <c r="M1047071" s="19"/>
      <c r="N1047071" s="19"/>
    </row>
    <row r="1047072" spans="1:14" s="83" customFormat="1" ht="12.75">
      <c r="A1047072" s="19"/>
      <c r="B1047072" s="19"/>
      <c r="C1047072" s="19"/>
      <c r="D1047072" s="19"/>
      <c r="E1047072" s="19"/>
      <c r="F1047072" s="19"/>
      <c r="G1047072" s="19"/>
      <c r="H1047072" s="19"/>
      <c r="I1047072" s="19"/>
      <c r="J1047072" s="19"/>
      <c r="K1047072" s="19"/>
      <c r="L1047072" s="19"/>
      <c r="M1047072" s="19"/>
      <c r="N1047072" s="19"/>
    </row>
    <row r="1047073" spans="1:14" s="83" customFormat="1" ht="12.75">
      <c r="A1047073" s="19"/>
      <c r="B1047073" s="19"/>
      <c r="C1047073" s="19"/>
      <c r="D1047073" s="19"/>
      <c r="E1047073" s="19"/>
      <c r="F1047073" s="19"/>
      <c r="G1047073" s="19"/>
      <c r="H1047073" s="19"/>
      <c r="I1047073" s="19"/>
      <c r="J1047073" s="19"/>
      <c r="K1047073" s="19"/>
      <c r="L1047073" s="19"/>
      <c r="M1047073" s="19"/>
      <c r="N1047073" s="19"/>
    </row>
    <row r="1047074" spans="1:14" s="83" customFormat="1" ht="12.75">
      <c r="A1047074" s="19"/>
      <c r="B1047074" s="19"/>
      <c r="C1047074" s="19"/>
      <c r="D1047074" s="19"/>
      <c r="E1047074" s="19"/>
      <c r="F1047074" s="19"/>
      <c r="G1047074" s="19"/>
      <c r="H1047074" s="19"/>
      <c r="I1047074" s="19"/>
      <c r="J1047074" s="19"/>
      <c r="K1047074" s="19"/>
      <c r="L1047074" s="19"/>
      <c r="M1047074" s="19"/>
      <c r="N1047074" s="19"/>
    </row>
    <row r="1047075" spans="1:14" s="83" customFormat="1" ht="12.75">
      <c r="A1047075" s="19"/>
      <c r="B1047075" s="19"/>
      <c r="C1047075" s="19"/>
      <c r="D1047075" s="19"/>
      <c r="E1047075" s="19"/>
      <c r="F1047075" s="19"/>
      <c r="G1047075" s="19"/>
      <c r="H1047075" s="19"/>
      <c r="I1047075" s="19"/>
      <c r="J1047075" s="19"/>
      <c r="K1047075" s="19"/>
      <c r="L1047075" s="19"/>
      <c r="M1047075" s="19"/>
      <c r="N1047075" s="19"/>
    </row>
    <row r="1047076" spans="1:14" s="83" customFormat="1" ht="12.75">
      <c r="A1047076" s="19"/>
      <c r="B1047076" s="19"/>
      <c r="C1047076" s="19"/>
      <c r="D1047076" s="19"/>
      <c r="E1047076" s="19"/>
      <c r="F1047076" s="19"/>
      <c r="G1047076" s="19"/>
      <c r="H1047076" s="19"/>
      <c r="I1047076" s="19"/>
      <c r="J1047076" s="19"/>
      <c r="K1047076" s="19"/>
      <c r="L1047076" s="19"/>
      <c r="M1047076" s="19"/>
      <c r="N1047076" s="19"/>
    </row>
    <row r="1047077" spans="1:14" s="83" customFormat="1" ht="12.75">
      <c r="A1047077" s="19"/>
      <c r="B1047077" s="19"/>
      <c r="C1047077" s="19"/>
      <c r="D1047077" s="19"/>
      <c r="E1047077" s="19"/>
      <c r="F1047077" s="19"/>
      <c r="G1047077" s="19"/>
      <c r="H1047077" s="19"/>
      <c r="I1047077" s="19"/>
      <c r="J1047077" s="19"/>
      <c r="K1047077" s="19"/>
      <c r="L1047077" s="19"/>
      <c r="M1047077" s="19"/>
      <c r="N1047077" s="19"/>
    </row>
    <row r="1047078" spans="1:14" s="83" customFormat="1" ht="12.75">
      <c r="A1047078" s="19"/>
      <c r="B1047078" s="19"/>
      <c r="C1047078" s="19"/>
      <c r="D1047078" s="19"/>
      <c r="E1047078" s="19"/>
      <c r="F1047078" s="19"/>
      <c r="G1047078" s="19"/>
      <c r="H1047078" s="19"/>
      <c r="I1047078" s="19"/>
      <c r="J1047078" s="19"/>
      <c r="K1047078" s="19"/>
      <c r="L1047078" s="19"/>
      <c r="M1047078" s="19"/>
      <c r="N1047078" s="19"/>
    </row>
    <row r="1047079" spans="1:14" s="83" customFormat="1" ht="12.75">
      <c r="A1047079" s="19"/>
      <c r="B1047079" s="19"/>
      <c r="C1047079" s="19"/>
      <c r="D1047079" s="19"/>
      <c r="E1047079" s="19"/>
      <c r="F1047079" s="19"/>
      <c r="G1047079" s="19"/>
      <c r="H1047079" s="19"/>
      <c r="I1047079" s="19"/>
      <c r="J1047079" s="19"/>
      <c r="K1047079" s="19"/>
      <c r="L1047079" s="19"/>
      <c r="M1047079" s="19"/>
      <c r="N1047079" s="19"/>
    </row>
    <row r="1047080" spans="1:14" s="83" customFormat="1" ht="12.75">
      <c r="A1047080" s="19"/>
      <c r="B1047080" s="19"/>
      <c r="C1047080" s="19"/>
      <c r="D1047080" s="19"/>
      <c r="E1047080" s="19"/>
      <c r="F1047080" s="19"/>
      <c r="G1047080" s="19"/>
      <c r="H1047080" s="19"/>
      <c r="I1047080" s="19"/>
      <c r="J1047080" s="19"/>
      <c r="K1047080" s="19"/>
      <c r="L1047080" s="19"/>
      <c r="M1047080" s="19"/>
      <c r="N1047080" s="19"/>
    </row>
    <row r="1047081" spans="1:14" s="83" customFormat="1" ht="12.75">
      <c r="A1047081" s="19"/>
      <c r="B1047081" s="19"/>
      <c r="C1047081" s="19"/>
      <c r="D1047081" s="19"/>
      <c r="E1047081" s="19"/>
      <c r="F1047081" s="19"/>
      <c r="G1047081" s="19"/>
      <c r="H1047081" s="19"/>
      <c r="I1047081" s="19"/>
      <c r="J1047081" s="19"/>
      <c r="K1047081" s="19"/>
      <c r="L1047081" s="19"/>
      <c r="M1047081" s="19"/>
      <c r="N1047081" s="19"/>
    </row>
    <row r="1047082" spans="1:14" s="83" customFormat="1" ht="12.75">
      <c r="A1047082" s="19"/>
      <c r="B1047082" s="19"/>
      <c r="C1047082" s="19"/>
      <c r="D1047082" s="19"/>
      <c r="E1047082" s="19"/>
      <c r="F1047082" s="19"/>
      <c r="G1047082" s="19"/>
      <c r="H1047082" s="19"/>
      <c r="I1047082" s="19"/>
      <c r="J1047082" s="19"/>
      <c r="K1047082" s="19"/>
      <c r="L1047082" s="19"/>
      <c r="M1047082" s="19"/>
      <c r="N1047082" s="19"/>
    </row>
    <row r="1047083" spans="1:14" s="83" customFormat="1" ht="12.75">
      <c r="A1047083" s="19"/>
      <c r="B1047083" s="19"/>
      <c r="C1047083" s="19"/>
      <c r="D1047083" s="19"/>
      <c r="E1047083" s="19"/>
      <c r="F1047083" s="19"/>
      <c r="G1047083" s="19"/>
      <c r="H1047083" s="19"/>
      <c r="I1047083" s="19"/>
      <c r="J1047083" s="19"/>
      <c r="K1047083" s="19"/>
      <c r="L1047083" s="19"/>
      <c r="M1047083" s="19"/>
      <c r="N1047083" s="19"/>
    </row>
    <row r="1047084" spans="1:14" s="83" customFormat="1" ht="12.75">
      <c r="A1047084" s="19"/>
      <c r="B1047084" s="19"/>
      <c r="C1047084" s="19"/>
      <c r="D1047084" s="19"/>
      <c r="E1047084" s="19"/>
      <c r="F1047084" s="19"/>
      <c r="G1047084" s="19"/>
      <c r="H1047084" s="19"/>
      <c r="I1047084" s="19"/>
      <c r="J1047084" s="19"/>
      <c r="K1047084" s="19"/>
      <c r="L1047084" s="19"/>
      <c r="M1047084" s="19"/>
      <c r="N1047084" s="19"/>
    </row>
    <row r="1047085" spans="1:14" s="83" customFormat="1" ht="12.75">
      <c r="A1047085" s="19"/>
      <c r="B1047085" s="19"/>
      <c r="C1047085" s="19"/>
      <c r="D1047085" s="19"/>
      <c r="E1047085" s="19"/>
      <c r="F1047085" s="19"/>
      <c r="G1047085" s="19"/>
      <c r="H1047085" s="19"/>
      <c r="I1047085" s="19"/>
      <c r="J1047085" s="19"/>
      <c r="K1047085" s="19"/>
      <c r="L1047085" s="19"/>
      <c r="M1047085" s="19"/>
      <c r="N1047085" s="19"/>
    </row>
    <row r="1047086" spans="1:14" s="83" customFormat="1" ht="12.75">
      <c r="A1047086" s="19"/>
      <c r="B1047086" s="19"/>
      <c r="C1047086" s="19"/>
      <c r="D1047086" s="19"/>
      <c r="E1047086" s="19"/>
      <c r="F1047086" s="19"/>
      <c r="G1047086" s="19"/>
      <c r="H1047086" s="19"/>
      <c r="I1047086" s="19"/>
      <c r="J1047086" s="19"/>
      <c r="K1047086" s="19"/>
      <c r="L1047086" s="19"/>
      <c r="M1047086" s="19"/>
      <c r="N1047086" s="19"/>
    </row>
    <row r="1047087" spans="1:14" s="83" customFormat="1" ht="12.75">
      <c r="A1047087" s="19"/>
      <c r="B1047087" s="19"/>
      <c r="C1047087" s="19"/>
      <c r="D1047087" s="19"/>
      <c r="E1047087" s="19"/>
      <c r="F1047087" s="19"/>
      <c r="G1047087" s="19"/>
      <c r="H1047087" s="19"/>
      <c r="I1047087" s="19"/>
      <c r="J1047087" s="19"/>
      <c r="K1047087" s="19"/>
      <c r="L1047087" s="19"/>
      <c r="M1047087" s="19"/>
      <c r="N1047087" s="19"/>
    </row>
    <row r="1047088" spans="1:14" s="83" customFormat="1" ht="12.75">
      <c r="A1047088" s="19"/>
      <c r="B1047088" s="19"/>
      <c r="C1047088" s="19"/>
      <c r="D1047088" s="19"/>
      <c r="E1047088" s="19"/>
      <c r="F1047088" s="19"/>
      <c r="G1047088" s="19"/>
      <c r="H1047088" s="19"/>
      <c r="I1047088" s="19"/>
      <c r="J1047088" s="19"/>
      <c r="K1047088" s="19"/>
      <c r="L1047088" s="19"/>
      <c r="M1047088" s="19"/>
      <c r="N1047088" s="19"/>
    </row>
    <row r="1047089" spans="1:14" s="83" customFormat="1" ht="12.75">
      <c r="A1047089" s="19"/>
      <c r="B1047089" s="19"/>
      <c r="C1047089" s="19"/>
      <c r="D1047089" s="19"/>
      <c r="E1047089" s="19"/>
      <c r="F1047089" s="19"/>
      <c r="G1047089" s="19"/>
      <c r="H1047089" s="19"/>
      <c r="I1047089" s="19"/>
      <c r="J1047089" s="19"/>
      <c r="K1047089" s="19"/>
      <c r="L1047089" s="19"/>
      <c r="M1047089" s="19"/>
      <c r="N1047089" s="19"/>
    </row>
    <row r="1047090" spans="1:14" s="83" customFormat="1" ht="12.75">
      <c r="A1047090" s="19"/>
      <c r="B1047090" s="19"/>
      <c r="C1047090" s="19"/>
      <c r="D1047090" s="19"/>
      <c r="E1047090" s="19"/>
      <c r="F1047090" s="19"/>
      <c r="G1047090" s="19"/>
      <c r="H1047090" s="19"/>
      <c r="I1047090" s="19"/>
      <c r="J1047090" s="19"/>
      <c r="K1047090" s="19"/>
      <c r="L1047090" s="19"/>
      <c r="M1047090" s="19"/>
      <c r="N1047090" s="19"/>
    </row>
    <row r="1047091" spans="1:14" s="83" customFormat="1" ht="12.75">
      <c r="A1047091" s="19"/>
      <c r="B1047091" s="19"/>
      <c r="C1047091" s="19"/>
      <c r="D1047091" s="19"/>
      <c r="E1047091" s="19"/>
      <c r="F1047091" s="19"/>
      <c r="G1047091" s="19"/>
      <c r="H1047091" s="19"/>
      <c r="I1047091" s="19"/>
      <c r="J1047091" s="19"/>
      <c r="K1047091" s="19"/>
      <c r="L1047091" s="19"/>
      <c r="M1047091" s="19"/>
      <c r="N1047091" s="19"/>
    </row>
    <row r="1047092" spans="1:14" s="83" customFormat="1" ht="12.75">
      <c r="A1047092" s="19"/>
      <c r="B1047092" s="19"/>
      <c r="C1047092" s="19"/>
      <c r="D1047092" s="19"/>
      <c r="E1047092" s="19"/>
      <c r="F1047092" s="19"/>
      <c r="G1047092" s="19"/>
      <c r="H1047092" s="19"/>
      <c r="I1047092" s="19"/>
      <c r="J1047092" s="19"/>
      <c r="K1047092" s="19"/>
      <c r="L1047092" s="19"/>
      <c r="M1047092" s="19"/>
      <c r="N1047092" s="19"/>
    </row>
    <row r="1047093" spans="1:14" s="83" customFormat="1" ht="12.75">
      <c r="A1047093" s="19"/>
      <c r="B1047093" s="19"/>
      <c r="C1047093" s="19"/>
      <c r="D1047093" s="19"/>
      <c r="E1047093" s="19"/>
      <c r="F1047093" s="19"/>
      <c r="G1047093" s="19"/>
      <c r="H1047093" s="19"/>
      <c r="I1047093" s="19"/>
      <c r="J1047093" s="19"/>
      <c r="K1047093" s="19"/>
      <c r="L1047093" s="19"/>
      <c r="M1047093" s="19"/>
      <c r="N1047093" s="19"/>
    </row>
    <row r="1047094" spans="1:14" s="83" customFormat="1" ht="12.75">
      <c r="A1047094" s="19"/>
      <c r="B1047094" s="19"/>
      <c r="C1047094" s="19"/>
      <c r="D1047094" s="19"/>
      <c r="E1047094" s="19"/>
      <c r="F1047094" s="19"/>
      <c r="G1047094" s="19"/>
      <c r="H1047094" s="19"/>
      <c r="I1047094" s="19"/>
      <c r="J1047094" s="19"/>
      <c r="K1047094" s="19"/>
      <c r="L1047094" s="19"/>
      <c r="M1047094" s="19"/>
      <c r="N1047094" s="19"/>
    </row>
    <row r="1047095" spans="1:14" s="83" customFormat="1" ht="12.75">
      <c r="A1047095" s="19"/>
      <c r="B1047095" s="19"/>
      <c r="C1047095" s="19"/>
      <c r="D1047095" s="19"/>
      <c r="E1047095" s="19"/>
      <c r="F1047095" s="19"/>
      <c r="G1047095" s="19"/>
      <c r="H1047095" s="19"/>
      <c r="I1047095" s="19"/>
      <c r="J1047095" s="19"/>
      <c r="K1047095" s="19"/>
      <c r="L1047095" s="19"/>
      <c r="M1047095" s="19"/>
      <c r="N1047095" s="19"/>
    </row>
    <row r="1047096" spans="1:14" s="83" customFormat="1" ht="12.75">
      <c r="A1047096" s="19"/>
      <c r="B1047096" s="19"/>
      <c r="C1047096" s="19"/>
      <c r="D1047096" s="19"/>
      <c r="E1047096" s="19"/>
      <c r="F1047096" s="19"/>
      <c r="G1047096" s="19"/>
      <c r="H1047096" s="19"/>
      <c r="I1047096" s="19"/>
      <c r="J1047096" s="19"/>
      <c r="K1047096" s="19"/>
      <c r="L1047096" s="19"/>
      <c r="M1047096" s="19"/>
      <c r="N1047096" s="19"/>
    </row>
    <row r="1047097" spans="1:14" s="83" customFormat="1" ht="12.75">
      <c r="A1047097" s="19"/>
      <c r="B1047097" s="19"/>
      <c r="C1047097" s="19"/>
      <c r="D1047097" s="19"/>
      <c r="E1047097" s="19"/>
      <c r="F1047097" s="19"/>
      <c r="G1047097" s="19"/>
      <c r="H1047097" s="19"/>
      <c r="I1047097" s="19"/>
      <c r="J1047097" s="19"/>
      <c r="K1047097" s="19"/>
      <c r="L1047097" s="19"/>
      <c r="M1047097" s="19"/>
      <c r="N1047097" s="19"/>
    </row>
    <row r="1047098" spans="1:14" s="83" customFormat="1" ht="12.75">
      <c r="A1047098" s="19"/>
      <c r="B1047098" s="19"/>
      <c r="C1047098" s="19"/>
      <c r="D1047098" s="19"/>
      <c r="E1047098" s="19"/>
      <c r="F1047098" s="19"/>
      <c r="G1047098" s="19"/>
      <c r="H1047098" s="19"/>
      <c r="I1047098" s="19"/>
      <c r="J1047098" s="19"/>
      <c r="K1047098" s="19"/>
      <c r="L1047098" s="19"/>
      <c r="M1047098" s="19"/>
      <c r="N1047098" s="19"/>
    </row>
    <row r="1047099" spans="1:14" s="83" customFormat="1" ht="12.75">
      <c r="A1047099" s="19"/>
      <c r="B1047099" s="19"/>
      <c r="C1047099" s="19"/>
      <c r="D1047099" s="19"/>
      <c r="E1047099" s="19"/>
      <c r="F1047099" s="19"/>
      <c r="G1047099" s="19"/>
      <c r="H1047099" s="19"/>
      <c r="I1047099" s="19"/>
      <c r="J1047099" s="19"/>
      <c r="K1047099" s="19"/>
      <c r="L1047099" s="19"/>
      <c r="M1047099" s="19"/>
      <c r="N1047099" s="19"/>
    </row>
    <row r="1047100" spans="1:14" s="83" customFormat="1" ht="12.75">
      <c r="A1047100" s="19"/>
      <c r="B1047100" s="19"/>
      <c r="C1047100" s="19"/>
      <c r="D1047100" s="19"/>
      <c r="E1047100" s="19"/>
      <c r="F1047100" s="19"/>
      <c r="G1047100" s="19"/>
      <c r="H1047100" s="19"/>
      <c r="I1047100" s="19"/>
      <c r="J1047100" s="19"/>
      <c r="K1047100" s="19"/>
      <c r="L1047100" s="19"/>
      <c r="M1047100" s="19"/>
      <c r="N1047100" s="19"/>
    </row>
    <row r="1047101" spans="1:14" s="83" customFormat="1" ht="12.75">
      <c r="A1047101" s="19"/>
      <c r="B1047101" s="19"/>
      <c r="C1047101" s="19"/>
      <c r="D1047101" s="19"/>
      <c r="E1047101" s="19"/>
      <c r="F1047101" s="19"/>
      <c r="G1047101" s="19"/>
      <c r="H1047101" s="19"/>
      <c r="I1047101" s="19"/>
      <c r="J1047101" s="19"/>
      <c r="K1047101" s="19"/>
      <c r="L1047101" s="19"/>
      <c r="M1047101" s="19"/>
      <c r="N1047101" s="19"/>
    </row>
    <row r="1047102" spans="1:14" s="83" customFormat="1" ht="12.75">
      <c r="A1047102" s="19"/>
      <c r="B1047102" s="19"/>
      <c r="C1047102" s="19"/>
      <c r="D1047102" s="19"/>
      <c r="E1047102" s="19"/>
      <c r="F1047102" s="19"/>
      <c r="G1047102" s="19"/>
      <c r="H1047102" s="19"/>
      <c r="I1047102" s="19"/>
      <c r="J1047102" s="19"/>
      <c r="K1047102" s="19"/>
      <c r="L1047102" s="19"/>
      <c r="M1047102" s="19"/>
      <c r="N1047102" s="19"/>
    </row>
    <row r="1047103" spans="1:14" s="83" customFormat="1" ht="12.75">
      <c r="A1047103" s="19"/>
      <c r="B1047103" s="19"/>
      <c r="C1047103" s="19"/>
      <c r="D1047103" s="19"/>
      <c r="E1047103" s="19"/>
      <c r="F1047103" s="19"/>
      <c r="G1047103" s="19"/>
      <c r="H1047103" s="19"/>
      <c r="I1047103" s="19"/>
      <c r="J1047103" s="19"/>
      <c r="K1047103" s="19"/>
      <c r="L1047103" s="19"/>
      <c r="M1047103" s="19"/>
      <c r="N1047103" s="19"/>
    </row>
    <row r="1047104" spans="1:14" s="83" customFormat="1" ht="12.75">
      <c r="A1047104" s="19"/>
      <c r="B1047104" s="19"/>
      <c r="C1047104" s="19"/>
      <c r="D1047104" s="19"/>
      <c r="E1047104" s="19"/>
      <c r="F1047104" s="19"/>
      <c r="G1047104" s="19"/>
      <c r="H1047104" s="19"/>
      <c r="I1047104" s="19"/>
      <c r="J1047104" s="19"/>
      <c r="K1047104" s="19"/>
      <c r="L1047104" s="19"/>
      <c r="M1047104" s="19"/>
      <c r="N1047104" s="19"/>
    </row>
    <row r="1047105" spans="1:14" s="83" customFormat="1" ht="12.75">
      <c r="A1047105" s="19"/>
      <c r="B1047105" s="19"/>
      <c r="C1047105" s="19"/>
      <c r="D1047105" s="19"/>
      <c r="E1047105" s="19"/>
      <c r="F1047105" s="19"/>
      <c r="G1047105" s="19"/>
      <c r="H1047105" s="19"/>
      <c r="I1047105" s="19"/>
      <c r="J1047105" s="19"/>
      <c r="K1047105" s="19"/>
      <c r="L1047105" s="19"/>
      <c r="M1047105" s="19"/>
      <c r="N1047105" s="19"/>
    </row>
    <row r="1047106" spans="1:14" s="83" customFormat="1" ht="12.75">
      <c r="A1047106" s="19"/>
      <c r="B1047106" s="19"/>
      <c r="C1047106" s="19"/>
      <c r="D1047106" s="19"/>
      <c r="E1047106" s="19"/>
      <c r="F1047106" s="19"/>
      <c r="G1047106" s="19"/>
      <c r="H1047106" s="19"/>
      <c r="I1047106" s="19"/>
      <c r="J1047106" s="19"/>
      <c r="K1047106" s="19"/>
      <c r="L1047106" s="19"/>
      <c r="M1047106" s="19"/>
      <c r="N1047106" s="19"/>
    </row>
    <row r="1047107" spans="1:14" s="83" customFormat="1" ht="12.75">
      <c r="A1047107" s="19"/>
      <c r="B1047107" s="19"/>
      <c r="C1047107" s="19"/>
      <c r="D1047107" s="19"/>
      <c r="E1047107" s="19"/>
      <c r="F1047107" s="19"/>
      <c r="G1047107" s="19"/>
      <c r="H1047107" s="19"/>
      <c r="I1047107" s="19"/>
      <c r="J1047107" s="19"/>
      <c r="K1047107" s="19"/>
      <c r="L1047107" s="19"/>
      <c r="M1047107" s="19"/>
      <c r="N1047107" s="19"/>
    </row>
    <row r="1047108" spans="1:14" s="83" customFormat="1" ht="12.75">
      <c r="A1047108" s="19"/>
      <c r="B1047108" s="19"/>
      <c r="C1047108" s="19"/>
      <c r="D1047108" s="19"/>
      <c r="E1047108" s="19"/>
      <c r="F1047108" s="19"/>
      <c r="G1047108" s="19"/>
      <c r="H1047108" s="19"/>
      <c r="I1047108" s="19"/>
      <c r="J1047108" s="19"/>
      <c r="K1047108" s="19"/>
      <c r="L1047108" s="19"/>
      <c r="M1047108" s="19"/>
      <c r="N1047108" s="19"/>
    </row>
    <row r="1047109" spans="1:14" s="83" customFormat="1" ht="12.75">
      <c r="A1047109" s="19"/>
      <c r="B1047109" s="19"/>
      <c r="C1047109" s="19"/>
      <c r="D1047109" s="19"/>
      <c r="E1047109" s="19"/>
      <c r="F1047109" s="19"/>
      <c r="G1047109" s="19"/>
      <c r="H1047109" s="19"/>
      <c r="I1047109" s="19"/>
      <c r="J1047109" s="19"/>
      <c r="K1047109" s="19"/>
      <c r="L1047109" s="19"/>
      <c r="M1047109" s="19"/>
      <c r="N1047109" s="19"/>
    </row>
    <row r="1047110" spans="1:14" s="83" customFormat="1" ht="12.75">
      <c r="A1047110" s="19"/>
      <c r="B1047110" s="19"/>
      <c r="C1047110" s="19"/>
      <c r="D1047110" s="19"/>
      <c r="E1047110" s="19"/>
      <c r="F1047110" s="19"/>
      <c r="G1047110" s="19"/>
      <c r="H1047110" s="19"/>
      <c r="I1047110" s="19"/>
      <c r="J1047110" s="19"/>
      <c r="K1047110" s="19"/>
      <c r="L1047110" s="19"/>
      <c r="M1047110" s="19"/>
      <c r="N1047110" s="19"/>
    </row>
    <row r="1047111" spans="1:14" s="83" customFormat="1" ht="12.75">
      <c r="A1047111" s="19"/>
      <c r="B1047111" s="19"/>
      <c r="C1047111" s="19"/>
      <c r="D1047111" s="19"/>
      <c r="E1047111" s="19"/>
      <c r="F1047111" s="19"/>
      <c r="G1047111" s="19"/>
      <c r="H1047111" s="19"/>
      <c r="I1047111" s="19"/>
      <c r="J1047111" s="19"/>
      <c r="K1047111" s="19"/>
      <c r="L1047111" s="19"/>
      <c r="M1047111" s="19"/>
      <c r="N1047111" s="19"/>
    </row>
    <row r="1047112" spans="1:14" s="83" customFormat="1" ht="12.75">
      <c r="A1047112" s="19"/>
      <c r="B1047112" s="19"/>
      <c r="C1047112" s="19"/>
      <c r="D1047112" s="19"/>
      <c r="E1047112" s="19"/>
      <c r="F1047112" s="19"/>
      <c r="G1047112" s="19"/>
      <c r="H1047112" s="19"/>
      <c r="I1047112" s="19"/>
      <c r="J1047112" s="19"/>
      <c r="K1047112" s="19"/>
      <c r="L1047112" s="19"/>
      <c r="M1047112" s="19"/>
      <c r="N1047112" s="19"/>
    </row>
    <row r="1047113" spans="1:14" s="83" customFormat="1" ht="12.75">
      <c r="A1047113" s="19"/>
      <c r="B1047113" s="19"/>
      <c r="C1047113" s="19"/>
      <c r="D1047113" s="19"/>
      <c r="E1047113" s="19"/>
      <c r="F1047113" s="19"/>
      <c r="G1047113" s="19"/>
      <c r="H1047113" s="19"/>
      <c r="I1047113" s="19"/>
      <c r="J1047113" s="19"/>
      <c r="K1047113" s="19"/>
      <c r="L1047113" s="19"/>
      <c r="M1047113" s="19"/>
      <c r="N1047113" s="19"/>
    </row>
    <row r="1047114" spans="1:14" s="83" customFormat="1" ht="12.75">
      <c r="A1047114" s="19"/>
      <c r="B1047114" s="19"/>
      <c r="C1047114" s="19"/>
      <c r="D1047114" s="19"/>
      <c r="E1047114" s="19"/>
      <c r="F1047114" s="19"/>
      <c r="G1047114" s="19"/>
      <c r="H1047114" s="19"/>
      <c r="I1047114" s="19"/>
      <c r="J1047114" s="19"/>
      <c r="K1047114" s="19"/>
      <c r="L1047114" s="19"/>
      <c r="M1047114" s="19"/>
      <c r="N1047114" s="19"/>
    </row>
    <row r="1047115" spans="1:14" s="83" customFormat="1" ht="12.75">
      <c r="A1047115" s="19"/>
      <c r="B1047115" s="19"/>
      <c r="C1047115" s="19"/>
      <c r="D1047115" s="19"/>
      <c r="E1047115" s="19"/>
      <c r="F1047115" s="19"/>
      <c r="G1047115" s="19"/>
      <c r="H1047115" s="19"/>
      <c r="I1047115" s="19"/>
      <c r="J1047115" s="19"/>
      <c r="K1047115" s="19"/>
      <c r="L1047115" s="19"/>
      <c r="M1047115" s="19"/>
      <c r="N1047115" s="19"/>
    </row>
    <row r="1047116" spans="1:14" s="83" customFormat="1" ht="12.75">
      <c r="A1047116" s="19"/>
      <c r="B1047116" s="19"/>
      <c r="C1047116" s="19"/>
      <c r="D1047116" s="19"/>
      <c r="E1047116" s="19"/>
      <c r="F1047116" s="19"/>
      <c r="G1047116" s="19"/>
      <c r="H1047116" s="19"/>
      <c r="I1047116" s="19"/>
      <c r="J1047116" s="19"/>
      <c r="K1047116" s="19"/>
      <c r="L1047116" s="19"/>
      <c r="M1047116" s="19"/>
      <c r="N1047116" s="19"/>
    </row>
    <row r="1047117" spans="1:14" s="83" customFormat="1" ht="12.75">
      <c r="A1047117" s="19"/>
      <c r="B1047117" s="19"/>
      <c r="C1047117" s="19"/>
      <c r="D1047117" s="19"/>
      <c r="E1047117" s="19"/>
      <c r="F1047117" s="19"/>
      <c r="G1047117" s="19"/>
      <c r="H1047117" s="19"/>
      <c r="I1047117" s="19"/>
      <c r="J1047117" s="19"/>
      <c r="K1047117" s="19"/>
      <c r="L1047117" s="19"/>
      <c r="M1047117" s="19"/>
      <c r="N1047117" s="19"/>
    </row>
    <row r="1047118" spans="1:14" s="83" customFormat="1" ht="12.75">
      <c r="A1047118" s="19"/>
      <c r="B1047118" s="19"/>
      <c r="C1047118" s="19"/>
      <c r="D1047118" s="19"/>
      <c r="E1047118" s="19"/>
      <c r="F1047118" s="19"/>
      <c r="G1047118" s="19"/>
      <c r="H1047118" s="19"/>
      <c r="I1047118" s="19"/>
      <c r="J1047118" s="19"/>
      <c r="K1047118" s="19"/>
      <c r="L1047118" s="19"/>
      <c r="M1047118" s="19"/>
      <c r="N1047118" s="19"/>
    </row>
    <row r="1047119" spans="1:14" s="83" customFormat="1" ht="12.75">
      <c r="A1047119" s="19"/>
      <c r="B1047119" s="19"/>
      <c r="C1047119" s="19"/>
      <c r="D1047119" s="19"/>
      <c r="E1047119" s="19"/>
      <c r="F1047119" s="19"/>
      <c r="G1047119" s="19"/>
      <c r="H1047119" s="19"/>
      <c r="I1047119" s="19"/>
      <c r="J1047119" s="19"/>
      <c r="K1047119" s="19"/>
      <c r="L1047119" s="19"/>
      <c r="M1047119" s="19"/>
      <c r="N1047119" s="19"/>
    </row>
    <row r="1047120" spans="1:14" s="83" customFormat="1" ht="12.75">
      <c r="A1047120" s="19"/>
      <c r="B1047120" s="19"/>
      <c r="C1047120" s="19"/>
      <c r="D1047120" s="19"/>
      <c r="E1047120" s="19"/>
      <c r="F1047120" s="19"/>
      <c r="G1047120" s="19"/>
      <c r="H1047120" s="19"/>
      <c r="I1047120" s="19"/>
      <c r="J1047120" s="19"/>
      <c r="K1047120" s="19"/>
      <c r="L1047120" s="19"/>
      <c r="M1047120" s="19"/>
      <c r="N1047120" s="19"/>
    </row>
    <row r="1047121" spans="1:14" s="83" customFormat="1" ht="12.75">
      <c r="A1047121" s="19"/>
      <c r="B1047121" s="19"/>
      <c r="C1047121" s="19"/>
      <c r="D1047121" s="19"/>
      <c r="E1047121" s="19"/>
      <c r="F1047121" s="19"/>
      <c r="G1047121" s="19"/>
      <c r="H1047121" s="19"/>
      <c r="I1047121" s="19"/>
      <c r="J1047121" s="19"/>
      <c r="K1047121" s="19"/>
      <c r="L1047121" s="19"/>
      <c r="M1047121" s="19"/>
      <c r="N1047121" s="19"/>
    </row>
    <row r="1047122" spans="1:14" s="83" customFormat="1" ht="12.75">
      <c r="A1047122" s="19"/>
      <c r="B1047122" s="19"/>
      <c r="C1047122" s="19"/>
      <c r="D1047122" s="19"/>
      <c r="E1047122" s="19"/>
      <c r="F1047122" s="19"/>
      <c r="G1047122" s="19"/>
      <c r="H1047122" s="19"/>
      <c r="I1047122" s="19"/>
      <c r="J1047122" s="19"/>
      <c r="K1047122" s="19"/>
      <c r="L1047122" s="19"/>
      <c r="M1047122" s="19"/>
      <c r="N1047122" s="19"/>
    </row>
    <row r="1047123" spans="1:14" s="83" customFormat="1" ht="12.75">
      <c r="A1047123" s="19"/>
      <c r="B1047123" s="19"/>
      <c r="C1047123" s="19"/>
      <c r="D1047123" s="19"/>
      <c r="E1047123" s="19"/>
      <c r="F1047123" s="19"/>
      <c r="G1047123" s="19"/>
      <c r="H1047123" s="19"/>
      <c r="I1047123" s="19"/>
      <c r="J1047123" s="19"/>
      <c r="K1047123" s="19"/>
      <c r="L1047123" s="19"/>
      <c r="M1047123" s="19"/>
      <c r="N1047123" s="19"/>
    </row>
    <row r="1047124" spans="1:14" s="83" customFormat="1" ht="12.75">
      <c r="A1047124" s="19"/>
      <c r="B1047124" s="19"/>
      <c r="C1047124" s="19"/>
      <c r="D1047124" s="19"/>
      <c r="E1047124" s="19"/>
      <c r="F1047124" s="19"/>
      <c r="G1047124" s="19"/>
      <c r="H1047124" s="19"/>
      <c r="I1047124" s="19"/>
      <c r="J1047124" s="19"/>
      <c r="K1047124" s="19"/>
      <c r="L1047124" s="19"/>
      <c r="M1047124" s="19"/>
      <c r="N1047124" s="19"/>
    </row>
    <row r="1047125" spans="1:14" s="83" customFormat="1" ht="12.75">
      <c r="A1047125" s="19"/>
      <c r="B1047125" s="19"/>
      <c r="C1047125" s="19"/>
      <c r="D1047125" s="19"/>
      <c r="E1047125" s="19"/>
      <c r="F1047125" s="19"/>
      <c r="G1047125" s="19"/>
      <c r="H1047125" s="19"/>
      <c r="I1047125" s="19"/>
      <c r="J1047125" s="19"/>
      <c r="K1047125" s="19"/>
      <c r="L1047125" s="19"/>
      <c r="M1047125" s="19"/>
      <c r="N1047125" s="19"/>
    </row>
    <row r="1047126" spans="1:14" s="83" customFormat="1" ht="12.75">
      <c r="A1047126" s="19"/>
      <c r="B1047126" s="19"/>
      <c r="C1047126" s="19"/>
      <c r="D1047126" s="19"/>
      <c r="E1047126" s="19"/>
      <c r="F1047126" s="19"/>
      <c r="G1047126" s="19"/>
      <c r="H1047126" s="19"/>
      <c r="I1047126" s="19"/>
      <c r="J1047126" s="19"/>
      <c r="K1047126" s="19"/>
      <c r="L1047126" s="19"/>
      <c r="M1047126" s="19"/>
      <c r="N1047126" s="19"/>
    </row>
    <row r="1047127" spans="1:14" s="83" customFormat="1" ht="12.75">
      <c r="A1047127" s="19"/>
      <c r="B1047127" s="19"/>
      <c r="C1047127" s="19"/>
      <c r="D1047127" s="19"/>
      <c r="E1047127" s="19"/>
      <c r="F1047127" s="19"/>
      <c r="G1047127" s="19"/>
      <c r="H1047127" s="19"/>
      <c r="I1047127" s="19"/>
      <c r="J1047127" s="19"/>
      <c r="K1047127" s="19"/>
      <c r="L1047127" s="19"/>
      <c r="M1047127" s="19"/>
      <c r="N1047127" s="19"/>
    </row>
    <row r="1047128" spans="1:14" s="83" customFormat="1" ht="12.75">
      <c r="A1047128" s="19"/>
      <c r="B1047128" s="19"/>
      <c r="C1047128" s="19"/>
      <c r="D1047128" s="19"/>
      <c r="E1047128" s="19"/>
      <c r="F1047128" s="19"/>
      <c r="G1047128" s="19"/>
      <c r="H1047128" s="19"/>
      <c r="I1047128" s="19"/>
      <c r="J1047128" s="19"/>
      <c r="K1047128" s="19"/>
      <c r="L1047128" s="19"/>
      <c r="M1047128" s="19"/>
      <c r="N1047128" s="19"/>
    </row>
    <row r="1047129" spans="1:14" s="83" customFormat="1" ht="12.75">
      <c r="A1047129" s="19"/>
      <c r="B1047129" s="19"/>
      <c r="C1047129" s="19"/>
      <c r="D1047129" s="19"/>
      <c r="E1047129" s="19"/>
      <c r="F1047129" s="19"/>
      <c r="G1047129" s="19"/>
      <c r="H1047129" s="19"/>
      <c r="I1047129" s="19"/>
      <c r="J1047129" s="19"/>
      <c r="K1047129" s="19"/>
      <c r="L1047129" s="19"/>
      <c r="M1047129" s="19"/>
      <c r="N1047129" s="19"/>
    </row>
    <row r="1047130" spans="1:14" s="83" customFormat="1" ht="12.75">
      <c r="A1047130" s="19"/>
      <c r="B1047130" s="19"/>
      <c r="C1047130" s="19"/>
      <c r="D1047130" s="19"/>
      <c r="E1047130" s="19"/>
      <c r="F1047130" s="19"/>
      <c r="G1047130" s="19"/>
      <c r="H1047130" s="19"/>
      <c r="I1047130" s="19"/>
      <c r="J1047130" s="19"/>
      <c r="K1047130" s="19"/>
      <c r="L1047130" s="19"/>
      <c r="M1047130" s="19"/>
      <c r="N1047130" s="19"/>
    </row>
    <row r="1047131" spans="1:14" s="83" customFormat="1" ht="12.75">
      <c r="A1047131" s="19"/>
      <c r="B1047131" s="19"/>
      <c r="C1047131" s="19"/>
      <c r="D1047131" s="19"/>
      <c r="E1047131" s="19"/>
      <c r="F1047131" s="19"/>
      <c r="G1047131" s="19"/>
      <c r="H1047131" s="19"/>
      <c r="I1047131" s="19"/>
      <c r="J1047131" s="19"/>
      <c r="K1047131" s="19"/>
      <c r="L1047131" s="19"/>
      <c r="M1047131" s="19"/>
      <c r="N1047131" s="19"/>
    </row>
    <row r="1047132" spans="1:14" s="83" customFormat="1" ht="12.75">
      <c r="A1047132" s="19"/>
      <c r="B1047132" s="19"/>
      <c r="C1047132" s="19"/>
      <c r="D1047132" s="19"/>
      <c r="E1047132" s="19"/>
      <c r="F1047132" s="19"/>
      <c r="G1047132" s="19"/>
      <c r="H1047132" s="19"/>
      <c r="I1047132" s="19"/>
      <c r="J1047132" s="19"/>
      <c r="K1047132" s="19"/>
      <c r="L1047132" s="19"/>
      <c r="M1047132" s="19"/>
      <c r="N1047132" s="19"/>
    </row>
    <row r="1047133" spans="1:14" s="83" customFormat="1" ht="12.75">
      <c r="A1047133" s="19"/>
      <c r="B1047133" s="19"/>
      <c r="C1047133" s="19"/>
      <c r="D1047133" s="19"/>
      <c r="E1047133" s="19"/>
      <c r="F1047133" s="19"/>
      <c r="G1047133" s="19"/>
      <c r="H1047133" s="19"/>
      <c r="I1047133" s="19"/>
      <c r="J1047133" s="19"/>
      <c r="K1047133" s="19"/>
      <c r="L1047133" s="19"/>
      <c r="M1047133" s="19"/>
      <c r="N1047133" s="19"/>
    </row>
    <row r="1047134" spans="1:14" s="83" customFormat="1" ht="12.75">
      <c r="A1047134" s="19"/>
      <c r="B1047134" s="19"/>
      <c r="C1047134" s="19"/>
      <c r="D1047134" s="19"/>
      <c r="E1047134" s="19"/>
      <c r="F1047134" s="19"/>
      <c r="G1047134" s="19"/>
      <c r="H1047134" s="19"/>
      <c r="I1047134" s="19"/>
      <c r="J1047134" s="19"/>
      <c r="K1047134" s="19"/>
      <c r="L1047134" s="19"/>
      <c r="M1047134" s="19"/>
      <c r="N1047134" s="19"/>
    </row>
    <row r="1047135" spans="1:14" s="83" customFormat="1" ht="12.75">
      <c r="A1047135" s="19"/>
      <c r="B1047135" s="19"/>
      <c r="C1047135" s="19"/>
      <c r="D1047135" s="19"/>
      <c r="E1047135" s="19"/>
      <c r="F1047135" s="19"/>
      <c r="G1047135" s="19"/>
      <c r="H1047135" s="19"/>
      <c r="I1047135" s="19"/>
      <c r="J1047135" s="19"/>
      <c r="K1047135" s="19"/>
      <c r="L1047135" s="19"/>
      <c r="M1047135" s="19"/>
      <c r="N1047135" s="19"/>
    </row>
    <row r="1047136" spans="1:14" s="83" customFormat="1" ht="12.75">
      <c r="A1047136" s="19"/>
      <c r="B1047136" s="19"/>
      <c r="C1047136" s="19"/>
      <c r="D1047136" s="19"/>
      <c r="E1047136" s="19"/>
      <c r="F1047136" s="19"/>
      <c r="G1047136" s="19"/>
      <c r="H1047136" s="19"/>
      <c r="I1047136" s="19"/>
      <c r="J1047136" s="19"/>
      <c r="K1047136" s="19"/>
      <c r="L1047136" s="19"/>
      <c r="M1047136" s="19"/>
      <c r="N1047136" s="19"/>
    </row>
    <row r="1047137" spans="1:14" s="83" customFormat="1" ht="12.75">
      <c r="A1047137" s="19"/>
      <c r="B1047137" s="19"/>
      <c r="C1047137" s="19"/>
      <c r="D1047137" s="19"/>
      <c r="E1047137" s="19"/>
      <c r="F1047137" s="19"/>
      <c r="G1047137" s="19"/>
      <c r="H1047137" s="19"/>
      <c r="I1047137" s="19"/>
      <c r="J1047137" s="19"/>
      <c r="K1047137" s="19"/>
      <c r="L1047137" s="19"/>
      <c r="M1047137" s="19"/>
      <c r="N1047137" s="19"/>
    </row>
    <row r="1047138" spans="1:14" s="83" customFormat="1" ht="12.75">
      <c r="A1047138" s="19"/>
      <c r="B1047138" s="19"/>
      <c r="C1047138" s="19"/>
      <c r="D1047138" s="19"/>
      <c r="E1047138" s="19"/>
      <c r="F1047138" s="19"/>
      <c r="G1047138" s="19"/>
      <c r="H1047138" s="19"/>
      <c r="I1047138" s="19"/>
      <c r="J1047138" s="19"/>
      <c r="K1047138" s="19"/>
      <c r="L1047138" s="19"/>
      <c r="M1047138" s="19"/>
      <c r="N1047138" s="19"/>
    </row>
    <row r="1047139" spans="1:14" s="83" customFormat="1" ht="12.75">
      <c r="A1047139" s="19"/>
      <c r="B1047139" s="19"/>
      <c r="C1047139" s="19"/>
      <c r="D1047139" s="19"/>
      <c r="E1047139" s="19"/>
      <c r="F1047139" s="19"/>
      <c r="G1047139" s="19"/>
      <c r="H1047139" s="19"/>
      <c r="I1047139" s="19"/>
      <c r="J1047139" s="19"/>
      <c r="K1047139" s="19"/>
      <c r="L1047139" s="19"/>
      <c r="M1047139" s="19"/>
      <c r="N1047139" s="19"/>
    </row>
    <row r="1047140" spans="1:14" s="83" customFormat="1" ht="12.75">
      <c r="A1047140" s="19"/>
      <c r="B1047140" s="19"/>
      <c r="C1047140" s="19"/>
      <c r="D1047140" s="19"/>
      <c r="E1047140" s="19"/>
      <c r="F1047140" s="19"/>
      <c r="G1047140" s="19"/>
      <c r="H1047140" s="19"/>
      <c r="I1047140" s="19"/>
      <c r="J1047140" s="19"/>
      <c r="K1047140" s="19"/>
      <c r="L1047140" s="19"/>
      <c r="M1047140" s="19"/>
      <c r="N1047140" s="19"/>
    </row>
    <row r="1047141" spans="1:14" s="83" customFormat="1" ht="12.75">
      <c r="A1047141" s="19"/>
      <c r="B1047141" s="19"/>
      <c r="C1047141" s="19"/>
      <c r="D1047141" s="19"/>
      <c r="E1047141" s="19"/>
      <c r="F1047141" s="19"/>
      <c r="G1047141" s="19"/>
      <c r="H1047141" s="19"/>
      <c r="I1047141" s="19"/>
      <c r="J1047141" s="19"/>
      <c r="K1047141" s="19"/>
      <c r="L1047141" s="19"/>
      <c r="M1047141" s="19"/>
      <c r="N1047141" s="19"/>
    </row>
    <row r="1047142" spans="1:14" s="83" customFormat="1" ht="12.75">
      <c r="A1047142" s="19"/>
      <c r="B1047142" s="19"/>
      <c r="C1047142" s="19"/>
      <c r="D1047142" s="19"/>
      <c r="E1047142" s="19"/>
      <c r="F1047142" s="19"/>
      <c r="G1047142" s="19"/>
      <c r="H1047142" s="19"/>
      <c r="I1047142" s="19"/>
      <c r="J1047142" s="19"/>
      <c r="K1047142" s="19"/>
      <c r="L1047142" s="19"/>
      <c r="M1047142" s="19"/>
      <c r="N1047142" s="19"/>
    </row>
    <row r="1047143" spans="1:14" s="83" customFormat="1" ht="12.75">
      <c r="A1047143" s="19"/>
      <c r="B1047143" s="19"/>
      <c r="C1047143" s="19"/>
      <c r="D1047143" s="19"/>
      <c r="E1047143" s="19"/>
      <c r="F1047143" s="19"/>
      <c r="G1047143" s="19"/>
      <c r="H1047143" s="19"/>
      <c r="I1047143" s="19"/>
      <c r="J1047143" s="19"/>
      <c r="K1047143" s="19"/>
      <c r="L1047143" s="19"/>
      <c r="M1047143" s="19"/>
      <c r="N1047143" s="19"/>
    </row>
    <row r="1047144" spans="1:14" s="83" customFormat="1" ht="12.75">
      <c r="A1047144" s="19"/>
      <c r="B1047144" s="19"/>
      <c r="C1047144" s="19"/>
      <c r="D1047144" s="19"/>
      <c r="E1047144" s="19"/>
      <c r="F1047144" s="19"/>
      <c r="G1047144" s="19"/>
      <c r="H1047144" s="19"/>
      <c r="I1047144" s="19"/>
      <c r="J1047144" s="19"/>
      <c r="K1047144" s="19"/>
      <c r="L1047144" s="19"/>
      <c r="M1047144" s="19"/>
      <c r="N1047144" s="19"/>
    </row>
    <row r="1047145" spans="1:14" s="83" customFormat="1" ht="12.75">
      <c r="A1047145" s="19"/>
      <c r="B1047145" s="19"/>
      <c r="C1047145" s="19"/>
      <c r="D1047145" s="19"/>
      <c r="E1047145" s="19"/>
      <c r="F1047145" s="19"/>
      <c r="G1047145" s="19"/>
      <c r="H1047145" s="19"/>
      <c r="I1047145" s="19"/>
      <c r="J1047145" s="19"/>
      <c r="K1047145" s="19"/>
      <c r="L1047145" s="19"/>
      <c r="M1047145" s="19"/>
      <c r="N1047145" s="19"/>
    </row>
    <row r="1047146" spans="1:14" s="83" customFormat="1" ht="12.75">
      <c r="A1047146" s="19"/>
      <c r="B1047146" s="19"/>
      <c r="C1047146" s="19"/>
      <c r="D1047146" s="19"/>
      <c r="E1047146" s="19"/>
      <c r="F1047146" s="19"/>
      <c r="G1047146" s="19"/>
      <c r="H1047146" s="19"/>
      <c r="I1047146" s="19"/>
      <c r="J1047146" s="19"/>
      <c r="K1047146" s="19"/>
      <c r="L1047146" s="19"/>
      <c r="M1047146" s="19"/>
      <c r="N1047146" s="19"/>
    </row>
    <row r="1047147" spans="1:14" s="83" customFormat="1" ht="12.75">
      <c r="A1047147" s="19"/>
      <c r="B1047147" s="19"/>
      <c r="C1047147" s="19"/>
      <c r="D1047147" s="19"/>
      <c r="E1047147" s="19"/>
      <c r="F1047147" s="19"/>
      <c r="G1047147" s="19"/>
      <c r="H1047147" s="19"/>
      <c r="I1047147" s="19"/>
      <c r="J1047147" s="19"/>
      <c r="K1047147" s="19"/>
      <c r="L1047147" s="19"/>
      <c r="M1047147" s="19"/>
      <c r="N1047147" s="19"/>
    </row>
    <row r="1047148" spans="1:14" s="83" customFormat="1" ht="12.75">
      <c r="A1047148" s="19"/>
      <c r="B1047148" s="19"/>
      <c r="C1047148" s="19"/>
      <c r="D1047148" s="19"/>
      <c r="E1047148" s="19"/>
      <c r="F1047148" s="19"/>
      <c r="G1047148" s="19"/>
      <c r="H1047148" s="19"/>
      <c r="I1047148" s="19"/>
      <c r="J1047148" s="19"/>
      <c r="K1047148" s="19"/>
      <c r="L1047148" s="19"/>
      <c r="M1047148" s="19"/>
      <c r="N1047148" s="19"/>
    </row>
    <row r="1047149" spans="1:14" s="83" customFormat="1" ht="12.75">
      <c r="A1047149" s="19"/>
      <c r="B1047149" s="19"/>
      <c r="C1047149" s="19"/>
      <c r="D1047149" s="19"/>
      <c r="E1047149" s="19"/>
      <c r="F1047149" s="19"/>
      <c r="G1047149" s="19"/>
      <c r="H1047149" s="19"/>
      <c r="I1047149" s="19"/>
      <c r="J1047149" s="19"/>
      <c r="K1047149" s="19"/>
      <c r="L1047149" s="19"/>
      <c r="M1047149" s="19"/>
      <c r="N1047149" s="19"/>
    </row>
    <row r="1047150" spans="1:14" s="83" customFormat="1" ht="12.75">
      <c r="A1047150" s="19"/>
      <c r="B1047150" s="19"/>
      <c r="C1047150" s="19"/>
      <c r="D1047150" s="19"/>
      <c r="E1047150" s="19"/>
      <c r="F1047150" s="19"/>
      <c r="G1047150" s="19"/>
      <c r="H1047150" s="19"/>
      <c r="I1047150" s="19"/>
      <c r="J1047150" s="19"/>
      <c r="K1047150" s="19"/>
      <c r="L1047150" s="19"/>
      <c r="M1047150" s="19"/>
      <c r="N1047150" s="19"/>
    </row>
    <row r="1047151" spans="1:14" s="83" customFormat="1" ht="12.75">
      <c r="A1047151" s="19"/>
      <c r="B1047151" s="19"/>
      <c r="C1047151" s="19"/>
      <c r="D1047151" s="19"/>
      <c r="E1047151" s="19"/>
      <c r="F1047151" s="19"/>
      <c r="G1047151" s="19"/>
      <c r="H1047151" s="19"/>
      <c r="I1047151" s="19"/>
      <c r="J1047151" s="19"/>
      <c r="K1047151" s="19"/>
      <c r="L1047151" s="19"/>
      <c r="M1047151" s="19"/>
      <c r="N1047151" s="19"/>
    </row>
    <row r="1047152" spans="1:14" s="83" customFormat="1" ht="12.75">
      <c r="A1047152" s="19"/>
      <c r="B1047152" s="19"/>
      <c r="C1047152" s="19"/>
      <c r="D1047152" s="19"/>
      <c r="E1047152" s="19"/>
      <c r="F1047152" s="19"/>
      <c r="G1047152" s="19"/>
      <c r="H1047152" s="19"/>
      <c r="I1047152" s="19"/>
      <c r="J1047152" s="19"/>
      <c r="K1047152" s="19"/>
      <c r="L1047152" s="19"/>
      <c r="M1047152" s="19"/>
      <c r="N1047152" s="19"/>
    </row>
    <row r="1047153" spans="1:14" s="83" customFormat="1" ht="12.75">
      <c r="A1047153" s="19"/>
      <c r="B1047153" s="19"/>
      <c r="C1047153" s="19"/>
      <c r="D1047153" s="19"/>
      <c r="E1047153" s="19"/>
      <c r="F1047153" s="19"/>
      <c r="G1047153" s="19"/>
      <c r="H1047153" s="19"/>
      <c r="I1047153" s="19"/>
      <c r="J1047153" s="19"/>
      <c r="K1047153" s="19"/>
      <c r="L1047153" s="19"/>
      <c r="M1047153" s="19"/>
      <c r="N1047153" s="19"/>
    </row>
    <row r="1047154" spans="1:14" s="83" customFormat="1" ht="12.75">
      <c r="A1047154" s="19"/>
      <c r="B1047154" s="19"/>
      <c r="C1047154" s="19"/>
      <c r="D1047154" s="19"/>
      <c r="E1047154" s="19"/>
      <c r="F1047154" s="19"/>
      <c r="G1047154" s="19"/>
      <c r="H1047154" s="19"/>
      <c r="I1047154" s="19"/>
      <c r="J1047154" s="19"/>
      <c r="K1047154" s="19"/>
      <c r="L1047154" s="19"/>
      <c r="M1047154" s="19"/>
      <c r="N1047154" s="19"/>
    </row>
    <row r="1047155" spans="1:14" s="83" customFormat="1" ht="12.75">
      <c r="A1047155" s="19"/>
      <c r="B1047155" s="19"/>
      <c r="C1047155" s="19"/>
      <c r="D1047155" s="19"/>
      <c r="E1047155" s="19"/>
      <c r="F1047155" s="19"/>
      <c r="G1047155" s="19"/>
      <c r="H1047155" s="19"/>
      <c r="I1047155" s="19"/>
      <c r="J1047155" s="19"/>
      <c r="K1047155" s="19"/>
      <c r="L1047155" s="19"/>
      <c r="M1047155" s="19"/>
      <c r="N1047155" s="19"/>
    </row>
    <row r="1047156" spans="1:14" s="83" customFormat="1" ht="12.75">
      <c r="A1047156" s="19"/>
      <c r="B1047156" s="19"/>
      <c r="C1047156" s="19"/>
      <c r="D1047156" s="19"/>
      <c r="E1047156" s="19"/>
      <c r="F1047156" s="19"/>
      <c r="G1047156" s="19"/>
      <c r="H1047156" s="19"/>
      <c r="I1047156" s="19"/>
      <c r="J1047156" s="19"/>
      <c r="K1047156" s="19"/>
      <c r="L1047156" s="19"/>
      <c r="M1047156" s="19"/>
      <c r="N1047156" s="19"/>
    </row>
    <row r="1047157" spans="1:14" s="83" customFormat="1" ht="12.75">
      <c r="A1047157" s="19"/>
      <c r="B1047157" s="19"/>
      <c r="C1047157" s="19"/>
      <c r="D1047157" s="19"/>
      <c r="E1047157" s="19"/>
      <c r="F1047157" s="19"/>
      <c r="G1047157" s="19"/>
      <c r="H1047157" s="19"/>
      <c r="I1047157" s="19"/>
      <c r="J1047157" s="19"/>
      <c r="K1047157" s="19"/>
      <c r="L1047157" s="19"/>
      <c r="M1047157" s="19"/>
      <c r="N1047157" s="19"/>
    </row>
    <row r="1047158" spans="1:14" s="83" customFormat="1" ht="12.75">
      <c r="A1047158" s="19"/>
      <c r="B1047158" s="19"/>
      <c r="C1047158" s="19"/>
      <c r="D1047158" s="19"/>
      <c r="E1047158" s="19"/>
      <c r="F1047158" s="19"/>
      <c r="G1047158" s="19"/>
      <c r="H1047158" s="19"/>
      <c r="I1047158" s="19"/>
      <c r="J1047158" s="19"/>
      <c r="K1047158" s="19"/>
      <c r="L1047158" s="19"/>
      <c r="M1047158" s="19"/>
      <c r="N1047158" s="19"/>
    </row>
    <row r="1047159" spans="1:14" s="83" customFormat="1" ht="12.75">
      <c r="A1047159" s="19"/>
      <c r="B1047159" s="19"/>
      <c r="C1047159" s="19"/>
      <c r="D1047159" s="19"/>
      <c r="E1047159" s="19"/>
      <c r="F1047159" s="19"/>
      <c r="G1047159" s="19"/>
      <c r="H1047159" s="19"/>
      <c r="I1047159" s="19"/>
      <c r="J1047159" s="19"/>
      <c r="K1047159" s="19"/>
      <c r="L1047159" s="19"/>
      <c r="M1047159" s="19"/>
      <c r="N1047159" s="19"/>
    </row>
    <row r="1047160" spans="1:14" s="83" customFormat="1" ht="12.75">
      <c r="A1047160" s="19"/>
      <c r="B1047160" s="19"/>
      <c r="C1047160" s="19"/>
      <c r="D1047160" s="19"/>
      <c r="E1047160" s="19"/>
      <c r="F1047160" s="19"/>
      <c r="G1047160" s="19"/>
      <c r="H1047160" s="19"/>
      <c r="I1047160" s="19"/>
      <c r="J1047160" s="19"/>
      <c r="K1047160" s="19"/>
      <c r="L1047160" s="19"/>
      <c r="M1047160" s="19"/>
      <c r="N1047160" s="19"/>
    </row>
    <row r="1047161" spans="1:14" s="83" customFormat="1" ht="12.75">
      <c r="A1047161" s="19"/>
      <c r="B1047161" s="19"/>
      <c r="C1047161" s="19"/>
      <c r="D1047161" s="19"/>
      <c r="E1047161" s="19"/>
      <c r="F1047161" s="19"/>
      <c r="G1047161" s="19"/>
      <c r="H1047161" s="19"/>
      <c r="I1047161" s="19"/>
      <c r="J1047161" s="19"/>
      <c r="K1047161" s="19"/>
      <c r="L1047161" s="19"/>
      <c r="M1047161" s="19"/>
      <c r="N1047161" s="19"/>
    </row>
    <row r="1047162" spans="1:14" s="83" customFormat="1" ht="12.75">
      <c r="A1047162" s="19"/>
      <c r="B1047162" s="19"/>
      <c r="C1047162" s="19"/>
      <c r="D1047162" s="19"/>
      <c r="E1047162" s="19"/>
      <c r="F1047162" s="19"/>
      <c r="G1047162" s="19"/>
      <c r="H1047162" s="19"/>
      <c r="I1047162" s="19"/>
      <c r="J1047162" s="19"/>
      <c r="K1047162" s="19"/>
      <c r="L1047162" s="19"/>
      <c r="M1047162" s="19"/>
      <c r="N1047162" s="19"/>
    </row>
    <row r="1047163" spans="1:14" s="83" customFormat="1" ht="12.75">
      <c r="A1047163" s="19"/>
      <c r="B1047163" s="19"/>
      <c r="C1047163" s="19"/>
      <c r="D1047163" s="19"/>
      <c r="E1047163" s="19"/>
      <c r="F1047163" s="19"/>
      <c r="G1047163" s="19"/>
      <c r="H1047163" s="19"/>
      <c r="I1047163" s="19"/>
      <c r="J1047163" s="19"/>
      <c r="K1047163" s="19"/>
      <c r="L1047163" s="19"/>
      <c r="M1047163" s="19"/>
      <c r="N1047163" s="19"/>
    </row>
    <row r="1047164" spans="1:14" s="83" customFormat="1" ht="12.75">
      <c r="A1047164" s="19"/>
      <c r="B1047164" s="19"/>
      <c r="C1047164" s="19"/>
      <c r="D1047164" s="19"/>
      <c r="E1047164" s="19"/>
      <c r="F1047164" s="19"/>
      <c r="G1047164" s="19"/>
      <c r="H1047164" s="19"/>
      <c r="I1047164" s="19"/>
      <c r="J1047164" s="19"/>
      <c r="K1047164" s="19"/>
      <c r="L1047164" s="19"/>
      <c r="M1047164" s="19"/>
      <c r="N1047164" s="19"/>
    </row>
    <row r="1047165" spans="1:14" s="83" customFormat="1" ht="12.75">
      <c r="A1047165" s="19"/>
      <c r="B1047165" s="19"/>
      <c r="C1047165" s="19"/>
      <c r="D1047165" s="19"/>
      <c r="E1047165" s="19"/>
      <c r="F1047165" s="19"/>
      <c r="G1047165" s="19"/>
      <c r="H1047165" s="19"/>
      <c r="I1047165" s="19"/>
      <c r="J1047165" s="19"/>
      <c r="K1047165" s="19"/>
      <c r="L1047165" s="19"/>
      <c r="M1047165" s="19"/>
      <c r="N1047165" s="19"/>
    </row>
    <row r="1047166" spans="1:14" s="83" customFormat="1" ht="12.75">
      <c r="A1047166" s="19"/>
      <c r="B1047166" s="19"/>
      <c r="C1047166" s="19"/>
      <c r="D1047166" s="19"/>
      <c r="E1047166" s="19"/>
      <c r="F1047166" s="19"/>
      <c r="G1047166" s="19"/>
      <c r="H1047166" s="19"/>
      <c r="I1047166" s="19"/>
      <c r="J1047166" s="19"/>
      <c r="K1047166" s="19"/>
      <c r="L1047166" s="19"/>
      <c r="M1047166" s="19"/>
      <c r="N1047166" s="19"/>
    </row>
    <row r="1047167" spans="1:14" s="83" customFormat="1" ht="12.75">
      <c r="A1047167" s="19"/>
      <c r="B1047167" s="19"/>
      <c r="C1047167" s="19"/>
      <c r="D1047167" s="19"/>
      <c r="E1047167" s="19"/>
      <c r="F1047167" s="19"/>
      <c r="G1047167" s="19"/>
      <c r="H1047167" s="19"/>
      <c r="I1047167" s="19"/>
      <c r="J1047167" s="19"/>
      <c r="K1047167" s="19"/>
      <c r="L1047167" s="19"/>
      <c r="M1047167" s="19"/>
      <c r="N1047167" s="19"/>
    </row>
    <row r="1047168" spans="1:14" s="83" customFormat="1" ht="12.75">
      <c r="A1047168" s="19"/>
      <c r="B1047168" s="19"/>
      <c r="C1047168" s="19"/>
      <c r="D1047168" s="19"/>
      <c r="E1047168" s="19"/>
      <c r="F1047168" s="19"/>
      <c r="G1047168" s="19"/>
      <c r="H1047168" s="19"/>
      <c r="I1047168" s="19"/>
      <c r="J1047168" s="19"/>
      <c r="K1047168" s="19"/>
      <c r="L1047168" s="19"/>
      <c r="M1047168" s="19"/>
      <c r="N1047168" s="19"/>
    </row>
    <row r="1047169" spans="1:14" s="83" customFormat="1" ht="12.75">
      <c r="A1047169" s="19"/>
      <c r="B1047169" s="19"/>
      <c r="C1047169" s="19"/>
      <c r="D1047169" s="19"/>
      <c r="E1047169" s="19"/>
      <c r="F1047169" s="19"/>
      <c r="G1047169" s="19"/>
      <c r="H1047169" s="19"/>
      <c r="I1047169" s="19"/>
      <c r="J1047169" s="19"/>
      <c r="K1047169" s="19"/>
      <c r="L1047169" s="19"/>
      <c r="M1047169" s="19"/>
      <c r="N1047169" s="19"/>
    </row>
    <row r="1047170" spans="1:14" s="83" customFormat="1" ht="12.75">
      <c r="A1047170" s="19"/>
      <c r="B1047170" s="19"/>
      <c r="C1047170" s="19"/>
      <c r="D1047170" s="19"/>
      <c r="E1047170" s="19"/>
      <c r="F1047170" s="19"/>
      <c r="G1047170" s="19"/>
      <c r="H1047170" s="19"/>
      <c r="I1047170" s="19"/>
      <c r="J1047170" s="19"/>
      <c r="K1047170" s="19"/>
      <c r="L1047170" s="19"/>
      <c r="M1047170" s="19"/>
      <c r="N1047170" s="19"/>
    </row>
    <row r="1047171" spans="1:14" s="83" customFormat="1" ht="12.75">
      <c r="A1047171" s="19"/>
      <c r="B1047171" s="19"/>
      <c r="C1047171" s="19"/>
      <c r="D1047171" s="19"/>
      <c r="E1047171" s="19"/>
      <c r="F1047171" s="19"/>
      <c r="G1047171" s="19"/>
      <c r="H1047171" s="19"/>
      <c r="I1047171" s="19"/>
      <c r="J1047171" s="19"/>
      <c r="K1047171" s="19"/>
      <c r="L1047171" s="19"/>
      <c r="M1047171" s="19"/>
      <c r="N1047171" s="19"/>
    </row>
    <row r="1047172" spans="1:14" s="83" customFormat="1" ht="12.75">
      <c r="A1047172" s="19"/>
      <c r="B1047172" s="19"/>
      <c r="C1047172" s="19"/>
      <c r="D1047172" s="19"/>
      <c r="E1047172" s="19"/>
      <c r="F1047172" s="19"/>
      <c r="G1047172" s="19"/>
      <c r="H1047172" s="19"/>
      <c r="I1047172" s="19"/>
      <c r="J1047172" s="19"/>
      <c r="K1047172" s="19"/>
      <c r="L1047172" s="19"/>
      <c r="M1047172" s="19"/>
      <c r="N1047172" s="19"/>
    </row>
    <row r="1047173" spans="1:14" s="83" customFormat="1" ht="12.75">
      <c r="A1047173" s="19"/>
      <c r="B1047173" s="19"/>
      <c r="C1047173" s="19"/>
      <c r="D1047173" s="19"/>
      <c r="E1047173" s="19"/>
      <c r="F1047173" s="19"/>
      <c r="G1047173" s="19"/>
      <c r="H1047173" s="19"/>
      <c r="I1047173" s="19"/>
      <c r="J1047173" s="19"/>
      <c r="K1047173" s="19"/>
      <c r="L1047173" s="19"/>
      <c r="M1047173" s="19"/>
      <c r="N1047173" s="19"/>
    </row>
    <row r="1047174" spans="1:14" s="83" customFormat="1" ht="12.75">
      <c r="A1047174" s="19"/>
      <c r="B1047174" s="19"/>
      <c r="C1047174" s="19"/>
      <c r="D1047174" s="19"/>
      <c r="E1047174" s="19"/>
      <c r="F1047174" s="19"/>
      <c r="G1047174" s="19"/>
      <c r="H1047174" s="19"/>
      <c r="I1047174" s="19"/>
      <c r="J1047174" s="19"/>
      <c r="K1047174" s="19"/>
      <c r="L1047174" s="19"/>
      <c r="M1047174" s="19"/>
      <c r="N1047174" s="19"/>
    </row>
    <row r="1047175" spans="1:14" s="83" customFormat="1" ht="12.75">
      <c r="A1047175" s="19"/>
      <c r="B1047175" s="19"/>
      <c r="C1047175" s="19"/>
      <c r="D1047175" s="19"/>
      <c r="E1047175" s="19"/>
      <c r="F1047175" s="19"/>
      <c r="G1047175" s="19"/>
      <c r="H1047175" s="19"/>
      <c r="I1047175" s="19"/>
      <c r="J1047175" s="19"/>
      <c r="K1047175" s="19"/>
      <c r="L1047175" s="19"/>
      <c r="M1047175" s="19"/>
      <c r="N1047175" s="19"/>
    </row>
    <row r="1047176" spans="1:14" s="83" customFormat="1" ht="12.75">
      <c r="A1047176" s="19"/>
      <c r="B1047176" s="19"/>
      <c r="C1047176" s="19"/>
      <c r="D1047176" s="19"/>
      <c r="E1047176" s="19"/>
      <c r="F1047176" s="19"/>
      <c r="G1047176" s="19"/>
      <c r="H1047176" s="19"/>
      <c r="I1047176" s="19"/>
      <c r="J1047176" s="19"/>
      <c r="K1047176" s="19"/>
      <c r="L1047176" s="19"/>
      <c r="M1047176" s="19"/>
      <c r="N1047176" s="19"/>
    </row>
    <row r="1047177" spans="1:14" s="83" customFormat="1" ht="12.75">
      <c r="A1047177" s="19"/>
      <c r="B1047177" s="19"/>
      <c r="C1047177" s="19"/>
      <c r="D1047177" s="19"/>
      <c r="E1047177" s="19"/>
      <c r="F1047177" s="19"/>
      <c r="G1047177" s="19"/>
      <c r="H1047177" s="19"/>
      <c r="I1047177" s="19"/>
      <c r="J1047177" s="19"/>
      <c r="K1047177" s="19"/>
      <c r="L1047177" s="19"/>
      <c r="M1047177" s="19"/>
      <c r="N1047177" s="19"/>
    </row>
    <row r="1047178" spans="1:14" s="83" customFormat="1" ht="12.75">
      <c r="A1047178" s="19"/>
      <c r="B1047178" s="19"/>
      <c r="C1047178" s="19"/>
      <c r="D1047178" s="19"/>
      <c r="E1047178" s="19"/>
      <c r="F1047178" s="19"/>
      <c r="G1047178" s="19"/>
      <c r="H1047178" s="19"/>
      <c r="I1047178" s="19"/>
      <c r="J1047178" s="19"/>
      <c r="K1047178" s="19"/>
      <c r="L1047178" s="19"/>
      <c r="M1047178" s="19"/>
      <c r="N1047178" s="19"/>
    </row>
    <row r="1047179" spans="1:14" s="83" customFormat="1" ht="12.75">
      <c r="A1047179" s="19"/>
      <c r="B1047179" s="19"/>
      <c r="C1047179" s="19"/>
      <c r="D1047179" s="19"/>
      <c r="E1047179" s="19"/>
      <c r="F1047179" s="19"/>
      <c r="G1047179" s="19"/>
      <c r="H1047179" s="19"/>
      <c r="I1047179" s="19"/>
      <c r="J1047179" s="19"/>
      <c r="K1047179" s="19"/>
      <c r="L1047179" s="19"/>
      <c r="M1047179" s="19"/>
      <c r="N1047179" s="19"/>
    </row>
    <row r="1047180" spans="1:14" s="83" customFormat="1" ht="12.75">
      <c r="A1047180" s="19"/>
      <c r="B1047180" s="19"/>
      <c r="C1047180" s="19"/>
      <c r="D1047180" s="19"/>
      <c r="E1047180" s="19"/>
      <c r="F1047180" s="19"/>
      <c r="G1047180" s="19"/>
      <c r="H1047180" s="19"/>
      <c r="I1047180" s="19"/>
      <c r="J1047180" s="19"/>
      <c r="K1047180" s="19"/>
      <c r="L1047180" s="19"/>
      <c r="M1047180" s="19"/>
      <c r="N1047180" s="19"/>
    </row>
    <row r="1047181" spans="1:14" s="83" customFormat="1" ht="12.75">
      <c r="A1047181" s="19"/>
      <c r="B1047181" s="19"/>
      <c r="C1047181" s="19"/>
      <c r="D1047181" s="19"/>
      <c r="E1047181" s="19"/>
      <c r="F1047181" s="19"/>
      <c r="G1047181" s="19"/>
      <c r="H1047181" s="19"/>
      <c r="I1047181" s="19"/>
      <c r="J1047181" s="19"/>
      <c r="K1047181" s="19"/>
      <c r="L1047181" s="19"/>
      <c r="M1047181" s="19"/>
      <c r="N1047181" s="19"/>
    </row>
    <row r="1047182" spans="1:14" s="83" customFormat="1" ht="12.75">
      <c r="A1047182" s="19"/>
      <c r="B1047182" s="19"/>
      <c r="C1047182" s="19"/>
      <c r="D1047182" s="19"/>
      <c r="E1047182" s="19"/>
      <c r="F1047182" s="19"/>
      <c r="G1047182" s="19"/>
      <c r="H1047182" s="19"/>
      <c r="I1047182" s="19"/>
      <c r="J1047182" s="19"/>
      <c r="K1047182" s="19"/>
      <c r="L1047182" s="19"/>
      <c r="M1047182" s="19"/>
      <c r="N1047182" s="19"/>
    </row>
    <row r="1047183" spans="1:14" s="83" customFormat="1" ht="12.75">
      <c r="A1047183" s="19"/>
      <c r="B1047183" s="19"/>
      <c r="C1047183" s="19"/>
      <c r="D1047183" s="19"/>
      <c r="E1047183" s="19"/>
      <c r="F1047183" s="19"/>
      <c r="G1047183" s="19"/>
      <c r="H1047183" s="19"/>
      <c r="I1047183" s="19"/>
      <c r="J1047183" s="19"/>
      <c r="K1047183" s="19"/>
      <c r="L1047183" s="19"/>
      <c r="M1047183" s="19"/>
      <c r="N1047183" s="19"/>
    </row>
    <row r="1047184" spans="1:14" s="83" customFormat="1" ht="12.75">
      <c r="A1047184" s="19"/>
      <c r="B1047184" s="19"/>
      <c r="C1047184" s="19"/>
      <c r="D1047184" s="19"/>
      <c r="E1047184" s="19"/>
      <c r="F1047184" s="19"/>
      <c r="G1047184" s="19"/>
      <c r="H1047184" s="19"/>
      <c r="I1047184" s="19"/>
      <c r="J1047184" s="19"/>
      <c r="K1047184" s="19"/>
      <c r="L1047184" s="19"/>
      <c r="M1047184" s="19"/>
      <c r="N1047184" s="19"/>
    </row>
    <row r="1047185" spans="1:14" s="83" customFormat="1" ht="12.75">
      <c r="A1047185" s="19"/>
      <c r="B1047185" s="19"/>
      <c r="C1047185" s="19"/>
      <c r="D1047185" s="19"/>
      <c r="E1047185" s="19"/>
      <c r="F1047185" s="19"/>
      <c r="G1047185" s="19"/>
      <c r="H1047185" s="19"/>
      <c r="I1047185" s="19"/>
      <c r="J1047185" s="19"/>
      <c r="K1047185" s="19"/>
      <c r="L1047185" s="19"/>
      <c r="M1047185" s="19"/>
      <c r="N1047185" s="19"/>
    </row>
    <row r="1047186" spans="1:14" s="83" customFormat="1" ht="12.75">
      <c r="A1047186" s="19"/>
      <c r="B1047186" s="19"/>
      <c r="C1047186" s="19"/>
      <c r="D1047186" s="19"/>
      <c r="E1047186" s="19"/>
      <c r="F1047186" s="19"/>
      <c r="G1047186" s="19"/>
      <c r="H1047186" s="19"/>
      <c r="I1047186" s="19"/>
      <c r="J1047186" s="19"/>
      <c r="K1047186" s="19"/>
      <c r="L1047186" s="19"/>
      <c r="M1047186" s="19"/>
      <c r="N1047186" s="19"/>
    </row>
    <row r="1047187" spans="1:14" s="83" customFormat="1" ht="12.75">
      <c r="A1047187" s="19"/>
      <c r="B1047187" s="19"/>
      <c r="C1047187" s="19"/>
      <c r="D1047187" s="19"/>
      <c r="E1047187" s="19"/>
      <c r="F1047187" s="19"/>
      <c r="G1047187" s="19"/>
      <c r="H1047187" s="19"/>
      <c r="I1047187" s="19"/>
      <c r="J1047187" s="19"/>
      <c r="K1047187" s="19"/>
      <c r="L1047187" s="19"/>
      <c r="M1047187" s="19"/>
      <c r="N1047187" s="19"/>
    </row>
    <row r="1047188" spans="1:14" s="83" customFormat="1" ht="12.75">
      <c r="A1047188" s="19"/>
      <c r="B1047188" s="19"/>
      <c r="C1047188" s="19"/>
      <c r="D1047188" s="19"/>
      <c r="E1047188" s="19"/>
      <c r="F1047188" s="19"/>
      <c r="G1047188" s="19"/>
      <c r="H1047188" s="19"/>
      <c r="I1047188" s="19"/>
      <c r="J1047188" s="19"/>
      <c r="K1047188" s="19"/>
      <c r="L1047188" s="19"/>
      <c r="M1047188" s="19"/>
      <c r="N1047188" s="19"/>
    </row>
    <row r="1047189" spans="1:14" s="83" customFormat="1" ht="12.75">
      <c r="A1047189" s="19"/>
      <c r="B1047189" s="19"/>
      <c r="C1047189" s="19"/>
      <c r="D1047189" s="19"/>
      <c r="E1047189" s="19"/>
      <c r="F1047189" s="19"/>
      <c r="G1047189" s="19"/>
      <c r="H1047189" s="19"/>
      <c r="I1047189" s="19"/>
      <c r="J1047189" s="19"/>
      <c r="K1047189" s="19"/>
      <c r="L1047189" s="19"/>
      <c r="M1047189" s="19"/>
      <c r="N1047189" s="19"/>
    </row>
    <row r="1047190" spans="1:14" s="83" customFormat="1" ht="12.75">
      <c r="A1047190" s="19"/>
      <c r="B1047190" s="19"/>
      <c r="C1047190" s="19"/>
      <c r="D1047190" s="19"/>
      <c r="E1047190" s="19"/>
      <c r="F1047190" s="19"/>
      <c r="G1047190" s="19"/>
      <c r="H1047190" s="19"/>
      <c r="I1047190" s="19"/>
      <c r="J1047190" s="19"/>
      <c r="K1047190" s="19"/>
      <c r="L1047190" s="19"/>
      <c r="M1047190" s="19"/>
      <c r="N1047190" s="19"/>
    </row>
    <row r="1047191" spans="1:14" s="83" customFormat="1" ht="12.75">
      <c r="A1047191" s="19"/>
      <c r="B1047191" s="19"/>
      <c r="C1047191" s="19"/>
      <c r="D1047191" s="19"/>
      <c r="E1047191" s="19"/>
      <c r="F1047191" s="19"/>
      <c r="G1047191" s="19"/>
      <c r="H1047191" s="19"/>
      <c r="I1047191" s="19"/>
      <c r="J1047191" s="19"/>
      <c r="K1047191" s="19"/>
      <c r="L1047191" s="19"/>
      <c r="M1047191" s="19"/>
      <c r="N1047191" s="19"/>
    </row>
    <row r="1047192" spans="1:14" s="83" customFormat="1" ht="12.75">
      <c r="A1047192" s="19"/>
      <c r="B1047192" s="19"/>
      <c r="C1047192" s="19"/>
      <c r="D1047192" s="19"/>
      <c r="E1047192" s="19"/>
      <c r="F1047192" s="19"/>
      <c r="G1047192" s="19"/>
      <c r="H1047192" s="19"/>
      <c r="I1047192" s="19"/>
      <c r="J1047192" s="19"/>
      <c r="K1047192" s="19"/>
      <c r="L1047192" s="19"/>
      <c r="M1047192" s="19"/>
      <c r="N1047192" s="19"/>
    </row>
    <row r="1047193" spans="1:14" s="83" customFormat="1" ht="12.75">
      <c r="A1047193" s="19"/>
      <c r="B1047193" s="19"/>
      <c r="C1047193" s="19"/>
      <c r="D1047193" s="19"/>
      <c r="E1047193" s="19"/>
      <c r="F1047193" s="19"/>
      <c r="G1047193" s="19"/>
      <c r="H1047193" s="19"/>
      <c r="I1047193" s="19"/>
      <c r="J1047193" s="19"/>
      <c r="K1047193" s="19"/>
      <c r="L1047193" s="19"/>
      <c r="M1047193" s="19"/>
      <c r="N1047193" s="19"/>
    </row>
    <row r="1047194" spans="1:14" s="83" customFormat="1" ht="12.75">
      <c r="A1047194" s="19"/>
      <c r="B1047194" s="19"/>
      <c r="C1047194" s="19"/>
      <c r="D1047194" s="19"/>
      <c r="E1047194" s="19"/>
      <c r="F1047194" s="19"/>
      <c r="G1047194" s="19"/>
      <c r="H1047194" s="19"/>
      <c r="I1047194" s="19"/>
      <c r="J1047194" s="19"/>
      <c r="K1047194" s="19"/>
      <c r="L1047194" s="19"/>
      <c r="M1047194" s="19"/>
      <c r="N1047194" s="19"/>
    </row>
    <row r="1047195" spans="1:14" s="83" customFormat="1" ht="12.75">
      <c r="A1047195" s="19"/>
      <c r="B1047195" s="19"/>
      <c r="C1047195" s="19"/>
      <c r="D1047195" s="19"/>
      <c r="E1047195" s="19"/>
      <c r="F1047195" s="19"/>
      <c r="G1047195" s="19"/>
      <c r="H1047195" s="19"/>
      <c r="I1047195" s="19"/>
      <c r="J1047195" s="19"/>
      <c r="K1047195" s="19"/>
      <c r="L1047195" s="19"/>
      <c r="M1047195" s="19"/>
      <c r="N1047195" s="19"/>
    </row>
    <row r="1047196" spans="1:14" s="83" customFormat="1" ht="12.75">
      <c r="A1047196" s="19"/>
      <c r="B1047196" s="19"/>
      <c r="C1047196" s="19"/>
      <c r="D1047196" s="19"/>
      <c r="E1047196" s="19"/>
      <c r="F1047196" s="19"/>
      <c r="G1047196" s="19"/>
      <c r="H1047196" s="19"/>
      <c r="I1047196" s="19"/>
      <c r="J1047196" s="19"/>
      <c r="K1047196" s="19"/>
      <c r="L1047196" s="19"/>
      <c r="M1047196" s="19"/>
      <c r="N1047196" s="19"/>
    </row>
    <row r="1047197" spans="1:14" s="83" customFormat="1" ht="12.75">
      <c r="A1047197" s="19"/>
      <c r="B1047197" s="19"/>
      <c r="C1047197" s="19"/>
      <c r="D1047197" s="19"/>
      <c r="E1047197" s="19"/>
      <c r="F1047197" s="19"/>
      <c r="G1047197" s="19"/>
      <c r="H1047197" s="19"/>
      <c r="I1047197" s="19"/>
      <c r="J1047197" s="19"/>
      <c r="K1047197" s="19"/>
      <c r="L1047197" s="19"/>
      <c r="M1047197" s="19"/>
      <c r="N1047197" s="19"/>
    </row>
    <row r="1047198" spans="1:14" s="83" customFormat="1" ht="12.75">
      <c r="A1047198" s="19"/>
      <c r="B1047198" s="19"/>
      <c r="C1047198" s="19"/>
      <c r="D1047198" s="19"/>
      <c r="E1047198" s="19"/>
      <c r="F1047198" s="19"/>
      <c r="G1047198" s="19"/>
      <c r="H1047198" s="19"/>
      <c r="I1047198" s="19"/>
      <c r="J1047198" s="19"/>
      <c r="K1047198" s="19"/>
      <c r="L1047198" s="19"/>
      <c r="M1047198" s="19"/>
      <c r="N1047198" s="19"/>
    </row>
    <row r="1047199" spans="1:14" s="83" customFormat="1" ht="12.75">
      <c r="A1047199" s="19"/>
      <c r="B1047199" s="19"/>
      <c r="C1047199" s="19"/>
      <c r="D1047199" s="19"/>
      <c r="E1047199" s="19"/>
      <c r="F1047199" s="19"/>
      <c r="G1047199" s="19"/>
      <c r="H1047199" s="19"/>
      <c r="I1047199" s="19"/>
      <c r="J1047199" s="19"/>
      <c r="K1047199" s="19"/>
      <c r="L1047199" s="19"/>
      <c r="M1047199" s="19"/>
      <c r="N1047199" s="19"/>
    </row>
    <row r="1047200" spans="1:14" s="83" customFormat="1" ht="12.75">
      <c r="A1047200" s="19"/>
      <c r="B1047200" s="19"/>
      <c r="C1047200" s="19"/>
      <c r="D1047200" s="19"/>
      <c r="E1047200" s="19"/>
      <c r="F1047200" s="19"/>
      <c r="G1047200" s="19"/>
      <c r="H1047200" s="19"/>
      <c r="I1047200" s="19"/>
      <c r="J1047200" s="19"/>
      <c r="K1047200" s="19"/>
      <c r="L1047200" s="19"/>
      <c r="M1047200" s="19"/>
      <c r="N1047200" s="19"/>
    </row>
    <row r="1047201" spans="1:14" s="83" customFormat="1" ht="12.75">
      <c r="A1047201" s="19"/>
      <c r="B1047201" s="19"/>
      <c r="C1047201" s="19"/>
      <c r="D1047201" s="19"/>
      <c r="E1047201" s="19"/>
      <c r="F1047201" s="19"/>
      <c r="G1047201" s="19"/>
      <c r="H1047201" s="19"/>
      <c r="I1047201" s="19"/>
      <c r="J1047201" s="19"/>
      <c r="K1047201" s="19"/>
      <c r="L1047201" s="19"/>
      <c r="M1047201" s="19"/>
      <c r="N1047201" s="19"/>
    </row>
    <row r="1047202" spans="1:14" s="83" customFormat="1" ht="12.75">
      <c r="A1047202" s="19"/>
      <c r="B1047202" s="19"/>
      <c r="C1047202" s="19"/>
      <c r="D1047202" s="19"/>
      <c r="E1047202" s="19"/>
      <c r="F1047202" s="19"/>
      <c r="G1047202" s="19"/>
      <c r="H1047202" s="19"/>
      <c r="I1047202" s="19"/>
      <c r="J1047202" s="19"/>
      <c r="K1047202" s="19"/>
      <c r="L1047202" s="19"/>
      <c r="M1047202" s="19"/>
      <c r="N1047202" s="19"/>
    </row>
    <row r="1047203" spans="1:14" s="83" customFormat="1" ht="12.75">
      <c r="A1047203" s="19"/>
      <c r="B1047203" s="19"/>
      <c r="C1047203" s="19"/>
      <c r="D1047203" s="19"/>
      <c r="E1047203" s="19"/>
      <c r="F1047203" s="19"/>
      <c r="G1047203" s="19"/>
      <c r="H1047203" s="19"/>
      <c r="I1047203" s="19"/>
      <c r="J1047203" s="19"/>
      <c r="K1047203" s="19"/>
      <c r="L1047203" s="19"/>
      <c r="M1047203" s="19"/>
      <c r="N1047203" s="19"/>
    </row>
    <row r="1047204" spans="1:14" s="83" customFormat="1" ht="12.75">
      <c r="A1047204" s="19"/>
      <c r="B1047204" s="19"/>
      <c r="C1047204" s="19"/>
      <c r="D1047204" s="19"/>
      <c r="E1047204" s="19"/>
      <c r="F1047204" s="19"/>
      <c r="G1047204" s="19"/>
      <c r="H1047204" s="19"/>
      <c r="I1047204" s="19"/>
      <c r="J1047204" s="19"/>
      <c r="K1047204" s="19"/>
      <c r="L1047204" s="19"/>
      <c r="M1047204" s="19"/>
      <c r="N1047204" s="19"/>
    </row>
    <row r="1047205" spans="1:14" s="83" customFormat="1" ht="12.75">
      <c r="A1047205" s="19"/>
      <c r="B1047205" s="19"/>
      <c r="C1047205" s="19"/>
      <c r="D1047205" s="19"/>
      <c r="E1047205" s="19"/>
      <c r="F1047205" s="19"/>
      <c r="G1047205" s="19"/>
      <c r="H1047205" s="19"/>
      <c r="I1047205" s="19"/>
      <c r="J1047205" s="19"/>
      <c r="K1047205" s="19"/>
      <c r="L1047205" s="19"/>
      <c r="M1047205" s="19"/>
      <c r="N1047205" s="19"/>
    </row>
    <row r="1047206" spans="1:14" s="83" customFormat="1" ht="12.75">
      <c r="A1047206" s="19"/>
      <c r="B1047206" s="19"/>
      <c r="C1047206" s="19"/>
      <c r="D1047206" s="19"/>
      <c r="E1047206" s="19"/>
      <c r="F1047206" s="19"/>
      <c r="G1047206" s="19"/>
      <c r="H1047206" s="19"/>
      <c r="I1047206" s="19"/>
      <c r="J1047206" s="19"/>
      <c r="K1047206" s="19"/>
      <c r="L1047206" s="19"/>
      <c r="M1047206" s="19"/>
      <c r="N1047206" s="19"/>
    </row>
    <row r="1047207" spans="1:14" s="83" customFormat="1" ht="12.75">
      <c r="A1047207" s="19"/>
      <c r="B1047207" s="19"/>
      <c r="C1047207" s="19"/>
      <c r="D1047207" s="19"/>
      <c r="E1047207" s="19"/>
      <c r="F1047207" s="19"/>
      <c r="G1047207" s="19"/>
      <c r="H1047207" s="19"/>
      <c r="I1047207" s="19"/>
      <c r="J1047207" s="19"/>
      <c r="K1047207" s="19"/>
      <c r="L1047207" s="19"/>
      <c r="M1047207" s="19"/>
      <c r="N1047207" s="19"/>
    </row>
    <row r="1047208" spans="1:14" s="83" customFormat="1" ht="12.75">
      <c r="A1047208" s="19"/>
      <c r="B1047208" s="19"/>
      <c r="C1047208" s="19"/>
      <c r="D1047208" s="19"/>
      <c r="E1047208" s="19"/>
      <c r="F1047208" s="19"/>
      <c r="G1047208" s="19"/>
      <c r="H1047208" s="19"/>
      <c r="I1047208" s="19"/>
      <c r="J1047208" s="19"/>
      <c r="K1047208" s="19"/>
      <c r="L1047208" s="19"/>
      <c r="M1047208" s="19"/>
      <c r="N1047208" s="19"/>
    </row>
    <row r="1047209" spans="1:14" s="83" customFormat="1" ht="12.75">
      <c r="A1047209" s="19"/>
      <c r="B1047209" s="19"/>
      <c r="C1047209" s="19"/>
      <c r="D1047209" s="19"/>
      <c r="E1047209" s="19"/>
      <c r="F1047209" s="19"/>
      <c r="G1047209" s="19"/>
      <c r="H1047209" s="19"/>
      <c r="I1047209" s="19"/>
      <c r="J1047209" s="19"/>
      <c r="K1047209" s="19"/>
      <c r="L1047209" s="19"/>
      <c r="M1047209" s="19"/>
      <c r="N1047209" s="19"/>
    </row>
    <row r="1047210" spans="1:14" s="83" customFormat="1" ht="12.75">
      <c r="A1047210" s="19"/>
      <c r="B1047210" s="19"/>
      <c r="C1047210" s="19"/>
      <c r="D1047210" s="19"/>
      <c r="E1047210" s="19"/>
      <c r="F1047210" s="19"/>
      <c r="G1047210" s="19"/>
      <c r="H1047210" s="19"/>
      <c r="I1047210" s="19"/>
      <c r="J1047210" s="19"/>
      <c r="K1047210" s="19"/>
      <c r="L1047210" s="19"/>
      <c r="M1047210" s="19"/>
      <c r="N1047210" s="19"/>
    </row>
    <row r="1047211" spans="1:14" s="83" customFormat="1" ht="12.75">
      <c r="A1047211" s="19"/>
      <c r="B1047211" s="19"/>
      <c r="C1047211" s="19"/>
      <c r="D1047211" s="19"/>
      <c r="E1047211" s="19"/>
      <c r="F1047211" s="19"/>
      <c r="G1047211" s="19"/>
      <c r="H1047211" s="19"/>
      <c r="I1047211" s="19"/>
      <c r="J1047211" s="19"/>
      <c r="K1047211" s="19"/>
      <c r="L1047211" s="19"/>
      <c r="M1047211" s="19"/>
      <c r="N1047211" s="19"/>
    </row>
    <row r="1047212" spans="1:14" s="83" customFormat="1" ht="12.75">
      <c r="A1047212" s="19"/>
      <c r="B1047212" s="19"/>
      <c r="C1047212" s="19"/>
      <c r="D1047212" s="19"/>
      <c r="E1047212" s="19"/>
      <c r="F1047212" s="19"/>
      <c r="G1047212" s="19"/>
      <c r="H1047212" s="19"/>
      <c r="I1047212" s="19"/>
      <c r="J1047212" s="19"/>
      <c r="K1047212" s="19"/>
      <c r="L1047212" s="19"/>
      <c r="M1047212" s="19"/>
      <c r="N1047212" s="19"/>
    </row>
    <row r="1047213" spans="1:14" s="83" customFormat="1" ht="12.75">
      <c r="A1047213" s="19"/>
      <c r="B1047213" s="19"/>
      <c r="C1047213" s="19"/>
      <c r="D1047213" s="19"/>
      <c r="E1047213" s="19"/>
      <c r="F1047213" s="19"/>
      <c r="G1047213" s="19"/>
      <c r="H1047213" s="19"/>
      <c r="I1047213" s="19"/>
      <c r="J1047213" s="19"/>
      <c r="K1047213" s="19"/>
      <c r="L1047213" s="19"/>
      <c r="M1047213" s="19"/>
      <c r="N1047213" s="19"/>
    </row>
    <row r="1047214" spans="1:14" s="83" customFormat="1" ht="12.75">
      <c r="A1047214" s="19"/>
      <c r="B1047214" s="19"/>
      <c r="C1047214" s="19"/>
      <c r="D1047214" s="19"/>
      <c r="E1047214" s="19"/>
      <c r="F1047214" s="19"/>
      <c r="G1047214" s="19"/>
      <c r="H1047214" s="19"/>
      <c r="I1047214" s="19"/>
      <c r="J1047214" s="19"/>
      <c r="K1047214" s="19"/>
      <c r="L1047214" s="19"/>
      <c r="M1047214" s="19"/>
      <c r="N1047214" s="19"/>
    </row>
    <row r="1047215" spans="1:14" s="83" customFormat="1" ht="12.75">
      <c r="A1047215" s="19"/>
      <c r="B1047215" s="19"/>
      <c r="C1047215" s="19"/>
      <c r="D1047215" s="19"/>
      <c r="E1047215" s="19"/>
      <c r="F1047215" s="19"/>
      <c r="G1047215" s="19"/>
      <c r="H1047215" s="19"/>
      <c r="I1047215" s="19"/>
      <c r="J1047215" s="19"/>
      <c r="K1047215" s="19"/>
      <c r="L1047215" s="19"/>
      <c r="M1047215" s="19"/>
      <c r="N1047215" s="19"/>
    </row>
    <row r="1047216" spans="1:14" s="83" customFormat="1" ht="12.75">
      <c r="A1047216" s="19"/>
      <c r="B1047216" s="19"/>
      <c r="C1047216" s="19"/>
      <c r="D1047216" s="19"/>
      <c r="E1047216" s="19"/>
      <c r="F1047216" s="19"/>
      <c r="G1047216" s="19"/>
      <c r="H1047216" s="19"/>
      <c r="I1047216" s="19"/>
      <c r="J1047216" s="19"/>
      <c r="K1047216" s="19"/>
      <c r="L1047216" s="19"/>
      <c r="M1047216" s="19"/>
      <c r="N1047216" s="19"/>
    </row>
    <row r="1047217" spans="1:14" s="83" customFormat="1" ht="12.75">
      <c r="A1047217" s="19"/>
      <c r="B1047217" s="19"/>
      <c r="C1047217" s="19"/>
      <c r="D1047217" s="19"/>
      <c r="E1047217" s="19"/>
      <c r="F1047217" s="19"/>
      <c r="G1047217" s="19"/>
      <c r="H1047217" s="19"/>
      <c r="I1047217" s="19"/>
      <c r="J1047217" s="19"/>
      <c r="K1047217" s="19"/>
      <c r="L1047217" s="19"/>
      <c r="M1047217" s="19"/>
      <c r="N1047217" s="19"/>
    </row>
    <row r="1047218" spans="1:14" s="83" customFormat="1" ht="12.75">
      <c r="A1047218" s="19"/>
      <c r="B1047218" s="19"/>
      <c r="C1047218" s="19"/>
      <c r="D1047218" s="19"/>
      <c r="E1047218" s="19"/>
      <c r="F1047218" s="19"/>
      <c r="G1047218" s="19"/>
      <c r="H1047218" s="19"/>
      <c r="I1047218" s="19"/>
      <c r="J1047218" s="19"/>
      <c r="K1047218" s="19"/>
      <c r="L1047218" s="19"/>
      <c r="M1047218" s="19"/>
      <c r="N1047218" s="19"/>
    </row>
    <row r="1047219" spans="1:14" s="83" customFormat="1" ht="12.75">
      <c r="A1047219" s="19"/>
      <c r="B1047219" s="19"/>
      <c r="C1047219" s="19"/>
      <c r="D1047219" s="19"/>
      <c r="E1047219" s="19"/>
      <c r="F1047219" s="19"/>
      <c r="G1047219" s="19"/>
      <c r="H1047219" s="19"/>
      <c r="I1047219" s="19"/>
      <c r="J1047219" s="19"/>
      <c r="K1047219" s="19"/>
      <c r="L1047219" s="19"/>
      <c r="M1047219" s="19"/>
      <c r="N1047219" s="19"/>
    </row>
    <row r="1047220" spans="1:14" s="83" customFormat="1" ht="12.75">
      <c r="A1047220" s="19"/>
      <c r="B1047220" s="19"/>
      <c r="C1047220" s="19"/>
      <c r="D1047220" s="19"/>
      <c r="E1047220" s="19"/>
      <c r="F1047220" s="19"/>
      <c r="G1047220" s="19"/>
      <c r="H1047220" s="19"/>
      <c r="I1047220" s="19"/>
      <c r="J1047220" s="19"/>
      <c r="K1047220" s="19"/>
      <c r="L1047220" s="19"/>
      <c r="M1047220" s="19"/>
      <c r="N1047220" s="19"/>
    </row>
    <row r="1047221" spans="1:14" s="83" customFormat="1" ht="12.75">
      <c r="A1047221" s="19"/>
      <c r="B1047221" s="19"/>
      <c r="C1047221" s="19"/>
      <c r="D1047221" s="19"/>
      <c r="E1047221" s="19"/>
      <c r="F1047221" s="19"/>
      <c r="G1047221" s="19"/>
      <c r="H1047221" s="19"/>
      <c r="I1047221" s="19"/>
      <c r="J1047221" s="19"/>
      <c r="K1047221" s="19"/>
      <c r="L1047221" s="19"/>
      <c r="M1047221" s="19"/>
      <c r="N1047221" s="19"/>
    </row>
    <row r="1047222" spans="1:14" s="83" customFormat="1" ht="12.75">
      <c r="A1047222" s="19"/>
      <c r="B1047222" s="19"/>
      <c r="C1047222" s="19"/>
      <c r="D1047222" s="19"/>
      <c r="E1047222" s="19"/>
      <c r="F1047222" s="19"/>
      <c r="G1047222" s="19"/>
      <c r="H1047222" s="19"/>
      <c r="I1047222" s="19"/>
      <c r="J1047222" s="19"/>
      <c r="K1047222" s="19"/>
      <c r="L1047222" s="19"/>
      <c r="M1047222" s="19"/>
      <c r="N1047222" s="19"/>
    </row>
    <row r="1047223" spans="1:14" s="83" customFormat="1" ht="12.75">
      <c r="A1047223" s="19"/>
      <c r="B1047223" s="19"/>
      <c r="C1047223" s="19"/>
      <c r="D1047223" s="19"/>
      <c r="E1047223" s="19"/>
      <c r="F1047223" s="19"/>
      <c r="G1047223" s="19"/>
      <c r="H1047223" s="19"/>
      <c r="I1047223" s="19"/>
      <c r="J1047223" s="19"/>
      <c r="K1047223" s="19"/>
      <c r="L1047223" s="19"/>
      <c r="M1047223" s="19"/>
      <c r="N1047223" s="19"/>
    </row>
    <row r="1047224" spans="1:14" s="83" customFormat="1" ht="12.75">
      <c r="A1047224" s="19"/>
      <c r="B1047224" s="19"/>
      <c r="C1047224" s="19"/>
      <c r="D1047224" s="19"/>
      <c r="E1047224" s="19"/>
      <c r="F1047224" s="19"/>
      <c r="G1047224" s="19"/>
      <c r="H1047224" s="19"/>
      <c r="I1047224" s="19"/>
      <c r="J1047224" s="19"/>
      <c r="K1047224" s="19"/>
      <c r="L1047224" s="19"/>
      <c r="M1047224" s="19"/>
      <c r="N1047224" s="19"/>
    </row>
    <row r="1047225" spans="1:14" s="83" customFormat="1" ht="12.75">
      <c r="A1047225" s="19"/>
      <c r="B1047225" s="19"/>
      <c r="C1047225" s="19"/>
      <c r="D1047225" s="19"/>
      <c r="E1047225" s="19"/>
      <c r="F1047225" s="19"/>
      <c r="G1047225" s="19"/>
      <c r="H1047225" s="19"/>
      <c r="I1047225" s="19"/>
      <c r="J1047225" s="19"/>
      <c r="K1047225" s="19"/>
      <c r="L1047225" s="19"/>
      <c r="M1047225" s="19"/>
      <c r="N1047225" s="19"/>
    </row>
    <row r="1047226" spans="1:14" s="83" customFormat="1" ht="12.75">
      <c r="A1047226" s="19"/>
      <c r="B1047226" s="19"/>
      <c r="C1047226" s="19"/>
      <c r="D1047226" s="19"/>
      <c r="E1047226" s="19"/>
      <c r="F1047226" s="19"/>
      <c r="G1047226" s="19"/>
      <c r="H1047226" s="19"/>
      <c r="I1047226" s="19"/>
      <c r="J1047226" s="19"/>
      <c r="K1047226" s="19"/>
      <c r="L1047226" s="19"/>
      <c r="M1047226" s="19"/>
      <c r="N1047226" s="19"/>
    </row>
    <row r="1047227" spans="1:14" s="83" customFormat="1" ht="12.75">
      <c r="A1047227" s="19"/>
      <c r="B1047227" s="19"/>
      <c r="C1047227" s="19"/>
      <c r="D1047227" s="19"/>
      <c r="E1047227" s="19"/>
      <c r="F1047227" s="19"/>
      <c r="G1047227" s="19"/>
      <c r="H1047227" s="19"/>
      <c r="I1047227" s="19"/>
      <c r="J1047227" s="19"/>
      <c r="K1047227" s="19"/>
      <c r="L1047227" s="19"/>
      <c r="M1047227" s="19"/>
      <c r="N1047227" s="19"/>
    </row>
    <row r="1047228" spans="1:14" s="83" customFormat="1" ht="12.75">
      <c r="A1047228" s="19"/>
      <c r="B1047228" s="19"/>
      <c r="C1047228" s="19"/>
      <c r="D1047228" s="19"/>
      <c r="E1047228" s="19"/>
      <c r="F1047228" s="19"/>
      <c r="G1047228" s="19"/>
      <c r="H1047228" s="19"/>
      <c r="I1047228" s="19"/>
      <c r="J1047228" s="19"/>
      <c r="K1047228" s="19"/>
      <c r="L1047228" s="19"/>
      <c r="M1047228" s="19"/>
      <c r="N1047228" s="19"/>
    </row>
    <row r="1047229" spans="1:14" s="83" customFormat="1" ht="12.75">
      <c r="A1047229" s="19"/>
      <c r="B1047229" s="19"/>
      <c r="C1047229" s="19"/>
      <c r="D1047229" s="19"/>
      <c r="E1047229" s="19"/>
      <c r="F1047229" s="19"/>
      <c r="G1047229" s="19"/>
      <c r="H1047229" s="19"/>
      <c r="I1047229" s="19"/>
      <c r="J1047229" s="19"/>
      <c r="K1047229" s="19"/>
      <c r="L1047229" s="19"/>
      <c r="M1047229" s="19"/>
      <c r="N1047229" s="19"/>
    </row>
    <row r="1047230" spans="1:14" s="83" customFormat="1" ht="12.75">
      <c r="A1047230" s="19"/>
      <c r="B1047230" s="19"/>
      <c r="C1047230" s="19"/>
      <c r="D1047230" s="19"/>
      <c r="E1047230" s="19"/>
      <c r="F1047230" s="19"/>
      <c r="G1047230" s="19"/>
      <c r="H1047230" s="19"/>
      <c r="I1047230" s="19"/>
      <c r="J1047230" s="19"/>
      <c r="K1047230" s="19"/>
      <c r="L1047230" s="19"/>
      <c r="M1047230" s="19"/>
      <c r="N1047230" s="19"/>
    </row>
    <row r="1047231" spans="1:14" s="83" customFormat="1" ht="12.75">
      <c r="A1047231" s="19"/>
      <c r="B1047231" s="19"/>
      <c r="C1047231" s="19"/>
      <c r="D1047231" s="19"/>
      <c r="E1047231" s="19"/>
      <c r="F1047231" s="19"/>
      <c r="G1047231" s="19"/>
      <c r="H1047231" s="19"/>
      <c r="I1047231" s="19"/>
      <c r="J1047231" s="19"/>
      <c r="K1047231" s="19"/>
      <c r="L1047231" s="19"/>
      <c r="M1047231" s="19"/>
      <c r="N1047231" s="19"/>
    </row>
    <row r="1047232" spans="1:14" s="83" customFormat="1" ht="12.75">
      <c r="A1047232" s="19"/>
      <c r="B1047232" s="19"/>
      <c r="C1047232" s="19"/>
      <c r="D1047232" s="19"/>
      <c r="E1047232" s="19"/>
      <c r="F1047232" s="19"/>
      <c r="G1047232" s="19"/>
      <c r="H1047232" s="19"/>
      <c r="I1047232" s="19"/>
      <c r="J1047232" s="19"/>
      <c r="K1047232" s="19"/>
      <c r="L1047232" s="19"/>
      <c r="M1047232" s="19"/>
      <c r="N1047232" s="19"/>
    </row>
    <row r="1047233" spans="1:14" s="83" customFormat="1" ht="12.75">
      <c r="A1047233" s="19"/>
      <c r="B1047233" s="19"/>
      <c r="C1047233" s="19"/>
      <c r="D1047233" s="19"/>
      <c r="E1047233" s="19"/>
      <c r="F1047233" s="19"/>
      <c r="G1047233" s="19"/>
      <c r="H1047233" s="19"/>
      <c r="I1047233" s="19"/>
      <c r="J1047233" s="19"/>
      <c r="K1047233" s="19"/>
      <c r="L1047233" s="19"/>
      <c r="M1047233" s="19"/>
      <c r="N1047233" s="19"/>
    </row>
    <row r="1047234" spans="1:14" s="83" customFormat="1" ht="12.75">
      <c r="A1047234" s="19"/>
      <c r="B1047234" s="19"/>
      <c r="C1047234" s="19"/>
      <c r="D1047234" s="19"/>
      <c r="E1047234" s="19"/>
      <c r="F1047234" s="19"/>
      <c r="G1047234" s="19"/>
      <c r="H1047234" s="19"/>
      <c r="I1047234" s="19"/>
      <c r="J1047234" s="19"/>
      <c r="K1047234" s="19"/>
      <c r="L1047234" s="19"/>
      <c r="M1047234" s="19"/>
      <c r="N1047234" s="19"/>
    </row>
    <row r="1047235" spans="1:14" s="83" customFormat="1" ht="12.75">
      <c r="A1047235" s="19"/>
      <c r="B1047235" s="19"/>
      <c r="C1047235" s="19"/>
      <c r="D1047235" s="19"/>
      <c r="E1047235" s="19"/>
      <c r="F1047235" s="19"/>
      <c r="G1047235" s="19"/>
      <c r="H1047235" s="19"/>
      <c r="I1047235" s="19"/>
      <c r="J1047235" s="19"/>
      <c r="K1047235" s="19"/>
      <c r="L1047235" s="19"/>
      <c r="M1047235" s="19"/>
      <c r="N1047235" s="19"/>
    </row>
    <row r="1047236" spans="1:14" s="83" customFormat="1" ht="12.75">
      <c r="A1047236" s="19"/>
      <c r="B1047236" s="19"/>
      <c r="C1047236" s="19"/>
      <c r="D1047236" s="19"/>
      <c r="E1047236" s="19"/>
      <c r="F1047236" s="19"/>
      <c r="G1047236" s="19"/>
      <c r="H1047236" s="19"/>
      <c r="I1047236" s="19"/>
      <c r="J1047236" s="19"/>
      <c r="K1047236" s="19"/>
      <c r="L1047236" s="19"/>
      <c r="M1047236" s="19"/>
      <c r="N1047236" s="19"/>
    </row>
    <row r="1047237" spans="1:14" s="83" customFormat="1" ht="12.75">
      <c r="A1047237" s="19"/>
      <c r="B1047237" s="19"/>
      <c r="C1047237" s="19"/>
      <c r="D1047237" s="19"/>
      <c r="E1047237" s="19"/>
      <c r="F1047237" s="19"/>
      <c r="G1047237" s="19"/>
      <c r="H1047237" s="19"/>
      <c r="I1047237" s="19"/>
      <c r="J1047237" s="19"/>
      <c r="K1047237" s="19"/>
      <c r="L1047237" s="19"/>
      <c r="M1047237" s="19"/>
      <c r="N1047237" s="19"/>
    </row>
    <row r="1047238" spans="1:14" s="83" customFormat="1" ht="12.75">
      <c r="A1047238" s="19"/>
      <c r="B1047238" s="19"/>
      <c r="C1047238" s="19"/>
      <c r="D1047238" s="19"/>
      <c r="E1047238" s="19"/>
      <c r="F1047238" s="19"/>
      <c r="G1047238" s="19"/>
      <c r="H1047238" s="19"/>
      <c r="I1047238" s="19"/>
      <c r="J1047238" s="19"/>
      <c r="K1047238" s="19"/>
      <c r="L1047238" s="19"/>
      <c r="M1047238" s="19"/>
      <c r="N1047238" s="19"/>
    </row>
    <row r="1047239" spans="1:14" s="83" customFormat="1" ht="12.75">
      <c r="A1047239" s="19"/>
      <c r="B1047239" s="19"/>
      <c r="C1047239" s="19"/>
      <c r="D1047239" s="19"/>
      <c r="E1047239" s="19"/>
      <c r="F1047239" s="19"/>
      <c r="G1047239" s="19"/>
      <c r="H1047239" s="19"/>
      <c r="I1047239" s="19"/>
      <c r="J1047239" s="19"/>
      <c r="K1047239" s="19"/>
      <c r="L1047239" s="19"/>
      <c r="M1047239" s="19"/>
      <c r="N1047239" s="19"/>
    </row>
    <row r="1047240" spans="1:14" s="83" customFormat="1" ht="12.75">
      <c r="A1047240" s="19"/>
      <c r="B1047240" s="19"/>
      <c r="C1047240" s="19"/>
      <c r="D1047240" s="19"/>
      <c r="E1047240" s="19"/>
      <c r="F1047240" s="19"/>
      <c r="G1047240" s="19"/>
      <c r="H1047240" s="19"/>
      <c r="I1047240" s="19"/>
      <c r="J1047240" s="19"/>
      <c r="K1047240" s="19"/>
      <c r="L1047240" s="19"/>
      <c r="M1047240" s="19"/>
      <c r="N1047240" s="19"/>
    </row>
    <row r="1047241" spans="1:14" s="83" customFormat="1" ht="12.75">
      <c r="A1047241" s="19"/>
      <c r="B1047241" s="19"/>
      <c r="C1047241" s="19"/>
      <c r="D1047241" s="19"/>
      <c r="E1047241" s="19"/>
      <c r="F1047241" s="19"/>
      <c r="G1047241" s="19"/>
      <c r="H1047241" s="19"/>
      <c r="I1047241" s="19"/>
      <c r="J1047241" s="19"/>
      <c r="K1047241" s="19"/>
      <c r="L1047241" s="19"/>
      <c r="M1047241" s="19"/>
      <c r="N1047241" s="19"/>
    </row>
    <row r="1047242" spans="1:14" s="83" customFormat="1" ht="12.75">
      <c r="A1047242" s="19"/>
      <c r="B1047242" s="19"/>
      <c r="C1047242" s="19"/>
      <c r="D1047242" s="19"/>
      <c r="E1047242" s="19"/>
      <c r="F1047242" s="19"/>
      <c r="G1047242" s="19"/>
      <c r="H1047242" s="19"/>
      <c r="I1047242" s="19"/>
      <c r="J1047242" s="19"/>
      <c r="K1047242" s="19"/>
      <c r="L1047242" s="19"/>
      <c r="M1047242" s="19"/>
      <c r="N1047242" s="19"/>
    </row>
    <row r="1047243" spans="1:14" s="83" customFormat="1" ht="12.75">
      <c r="A1047243" s="19"/>
      <c r="B1047243" s="19"/>
      <c r="C1047243" s="19"/>
      <c r="D1047243" s="19"/>
      <c r="E1047243" s="19"/>
      <c r="F1047243" s="19"/>
      <c r="G1047243" s="19"/>
      <c r="H1047243" s="19"/>
      <c r="I1047243" s="19"/>
      <c r="J1047243" s="19"/>
      <c r="K1047243" s="19"/>
      <c r="L1047243" s="19"/>
      <c r="M1047243" s="19"/>
      <c r="N1047243" s="19"/>
    </row>
    <row r="1047244" spans="1:14" s="83" customFormat="1" ht="12.75">
      <c r="A1047244" s="19"/>
      <c r="B1047244" s="19"/>
      <c r="C1047244" s="19"/>
      <c r="D1047244" s="19"/>
      <c r="E1047244" s="19"/>
      <c r="F1047244" s="19"/>
      <c r="G1047244" s="19"/>
      <c r="H1047244" s="19"/>
      <c r="I1047244" s="19"/>
      <c r="J1047244" s="19"/>
      <c r="K1047244" s="19"/>
      <c r="L1047244" s="19"/>
      <c r="M1047244" s="19"/>
      <c r="N1047244" s="19"/>
    </row>
    <row r="1047245" spans="1:14" s="83" customFormat="1" ht="12.75">
      <c r="A1047245" s="19"/>
      <c r="B1047245" s="19"/>
      <c r="C1047245" s="19"/>
      <c r="D1047245" s="19"/>
      <c r="E1047245" s="19"/>
      <c r="F1047245" s="19"/>
      <c r="G1047245" s="19"/>
      <c r="H1047245" s="19"/>
      <c r="I1047245" s="19"/>
      <c r="J1047245" s="19"/>
      <c r="K1047245" s="19"/>
      <c r="L1047245" s="19"/>
      <c r="M1047245" s="19"/>
      <c r="N1047245" s="19"/>
    </row>
    <row r="1047246" spans="1:14" s="83" customFormat="1" ht="12.75">
      <c r="A1047246" s="19"/>
      <c r="B1047246" s="19"/>
      <c r="C1047246" s="19"/>
      <c r="D1047246" s="19"/>
      <c r="E1047246" s="19"/>
      <c r="F1047246" s="19"/>
      <c r="G1047246" s="19"/>
      <c r="H1047246" s="19"/>
      <c r="I1047246" s="19"/>
      <c r="J1047246" s="19"/>
      <c r="K1047246" s="19"/>
      <c r="L1047246" s="19"/>
      <c r="M1047246" s="19"/>
      <c r="N1047246" s="19"/>
    </row>
    <row r="1047247" spans="1:14" s="83" customFormat="1" ht="12.75">
      <c r="A1047247" s="19"/>
      <c r="B1047247" s="19"/>
      <c r="C1047247" s="19"/>
      <c r="D1047247" s="19"/>
      <c r="E1047247" s="19"/>
      <c r="F1047247" s="19"/>
      <c r="G1047247" s="19"/>
      <c r="H1047247" s="19"/>
      <c r="I1047247" s="19"/>
      <c r="J1047247" s="19"/>
      <c r="K1047247" s="19"/>
      <c r="L1047247" s="19"/>
      <c r="M1047247" s="19"/>
      <c r="N1047247" s="19"/>
    </row>
    <row r="1047248" spans="1:14" s="83" customFormat="1" ht="12.75">
      <c r="A1047248" s="19"/>
      <c r="B1047248" s="19"/>
      <c r="C1047248" s="19"/>
      <c r="D1047248" s="19"/>
      <c r="E1047248" s="19"/>
      <c r="F1047248" s="19"/>
      <c r="G1047248" s="19"/>
      <c r="H1047248" s="19"/>
      <c r="I1047248" s="19"/>
      <c r="J1047248" s="19"/>
      <c r="K1047248" s="19"/>
      <c r="L1047248" s="19"/>
      <c r="M1047248" s="19"/>
      <c r="N1047248" s="19"/>
    </row>
    <row r="1047249" spans="1:14" s="83" customFormat="1" ht="12.75">
      <c r="A1047249" s="19"/>
      <c r="B1047249" s="19"/>
      <c r="C1047249" s="19"/>
      <c r="D1047249" s="19"/>
      <c r="E1047249" s="19"/>
      <c r="F1047249" s="19"/>
      <c r="G1047249" s="19"/>
      <c r="H1047249" s="19"/>
      <c r="I1047249" s="19"/>
      <c r="J1047249" s="19"/>
      <c r="K1047249" s="19"/>
      <c r="L1047249" s="19"/>
      <c r="M1047249" s="19"/>
      <c r="N1047249" s="19"/>
    </row>
    <row r="1047250" spans="1:14" s="83" customFormat="1" ht="12.75">
      <c r="A1047250" s="19"/>
      <c r="B1047250" s="19"/>
      <c r="C1047250" s="19"/>
      <c r="D1047250" s="19"/>
      <c r="E1047250" s="19"/>
      <c r="F1047250" s="19"/>
      <c r="G1047250" s="19"/>
      <c r="H1047250" s="19"/>
      <c r="I1047250" s="19"/>
      <c r="J1047250" s="19"/>
      <c r="K1047250" s="19"/>
      <c r="L1047250" s="19"/>
      <c r="M1047250" s="19"/>
      <c r="N1047250" s="19"/>
    </row>
    <row r="1047251" spans="1:14" s="83" customFormat="1" ht="12.75">
      <c r="A1047251" s="19"/>
      <c r="B1047251" s="19"/>
      <c r="C1047251" s="19"/>
      <c r="D1047251" s="19"/>
      <c r="E1047251" s="19"/>
      <c r="F1047251" s="19"/>
      <c r="G1047251" s="19"/>
      <c r="H1047251" s="19"/>
      <c r="I1047251" s="19"/>
      <c r="J1047251" s="19"/>
      <c r="K1047251" s="19"/>
      <c r="L1047251" s="19"/>
      <c r="M1047251" s="19"/>
      <c r="N1047251" s="19"/>
    </row>
    <row r="1047252" spans="1:14" s="83" customFormat="1" ht="12.75">
      <c r="A1047252" s="19"/>
      <c r="B1047252" s="19"/>
      <c r="C1047252" s="19"/>
      <c r="D1047252" s="19"/>
      <c r="E1047252" s="19"/>
      <c r="F1047252" s="19"/>
      <c r="G1047252" s="19"/>
      <c r="H1047252" s="19"/>
      <c r="I1047252" s="19"/>
      <c r="J1047252" s="19"/>
      <c r="K1047252" s="19"/>
      <c r="L1047252" s="19"/>
      <c r="M1047252" s="19"/>
      <c r="N1047252" s="19"/>
    </row>
    <row r="1047253" spans="1:14" s="83" customFormat="1" ht="12.75">
      <c r="A1047253" s="19"/>
      <c r="B1047253" s="19"/>
      <c r="C1047253" s="19"/>
      <c r="D1047253" s="19"/>
      <c r="E1047253" s="19"/>
      <c r="F1047253" s="19"/>
      <c r="G1047253" s="19"/>
      <c r="H1047253" s="19"/>
      <c r="I1047253" s="19"/>
      <c r="J1047253" s="19"/>
      <c r="K1047253" s="19"/>
      <c r="L1047253" s="19"/>
      <c r="M1047253" s="19"/>
      <c r="N1047253" s="19"/>
    </row>
    <row r="1047254" spans="1:14" s="83" customFormat="1" ht="12.75">
      <c r="A1047254" s="19"/>
      <c r="B1047254" s="19"/>
      <c r="C1047254" s="19"/>
      <c r="D1047254" s="19"/>
      <c r="E1047254" s="19"/>
      <c r="F1047254" s="19"/>
      <c r="G1047254" s="19"/>
      <c r="H1047254" s="19"/>
      <c r="I1047254" s="19"/>
      <c r="J1047254" s="19"/>
      <c r="K1047254" s="19"/>
      <c r="L1047254" s="19"/>
      <c r="M1047254" s="19"/>
      <c r="N1047254" s="19"/>
    </row>
    <row r="1047255" spans="1:14" s="83" customFormat="1" ht="12.75">
      <c r="A1047255" s="19"/>
      <c r="B1047255" s="19"/>
      <c r="C1047255" s="19"/>
      <c r="D1047255" s="19"/>
      <c r="E1047255" s="19"/>
      <c r="F1047255" s="19"/>
      <c r="G1047255" s="19"/>
      <c r="H1047255" s="19"/>
      <c r="I1047255" s="19"/>
      <c r="J1047255" s="19"/>
      <c r="K1047255" s="19"/>
      <c r="L1047255" s="19"/>
      <c r="M1047255" s="19"/>
      <c r="N1047255" s="19"/>
    </row>
    <row r="1047256" spans="1:14" s="83" customFormat="1" ht="12.75">
      <c r="A1047256" s="19"/>
      <c r="B1047256" s="19"/>
      <c r="C1047256" s="19"/>
      <c r="D1047256" s="19"/>
      <c r="E1047256" s="19"/>
      <c r="F1047256" s="19"/>
      <c r="G1047256" s="19"/>
      <c r="H1047256" s="19"/>
      <c r="I1047256" s="19"/>
      <c r="J1047256" s="19"/>
      <c r="K1047256" s="19"/>
      <c r="L1047256" s="19"/>
      <c r="M1047256" s="19"/>
      <c r="N1047256" s="19"/>
    </row>
    <row r="1047257" spans="1:14" s="83" customFormat="1" ht="12.75">
      <c r="A1047257" s="19"/>
      <c r="B1047257" s="19"/>
      <c r="C1047257" s="19"/>
      <c r="D1047257" s="19"/>
      <c r="E1047257" s="19"/>
      <c r="F1047257" s="19"/>
      <c r="G1047257" s="19"/>
      <c r="H1047257" s="19"/>
      <c r="I1047257" s="19"/>
      <c r="J1047257" s="19"/>
      <c r="K1047257" s="19"/>
      <c r="L1047257" s="19"/>
      <c r="M1047257" s="19"/>
      <c r="N1047257" s="19"/>
    </row>
    <row r="1047258" spans="1:14" s="83" customFormat="1" ht="12.75">
      <c r="A1047258" s="19"/>
      <c r="B1047258" s="19"/>
      <c r="C1047258" s="19"/>
      <c r="D1047258" s="19"/>
      <c r="E1047258" s="19"/>
      <c r="F1047258" s="19"/>
      <c r="G1047258" s="19"/>
      <c r="H1047258" s="19"/>
      <c r="I1047258" s="19"/>
      <c r="J1047258" s="19"/>
      <c r="K1047258" s="19"/>
      <c r="L1047258" s="19"/>
      <c r="M1047258" s="19"/>
      <c r="N1047258" s="19"/>
    </row>
    <row r="1047259" spans="1:14" s="83" customFormat="1" ht="12.75">
      <c r="A1047259" s="19"/>
      <c r="B1047259" s="19"/>
      <c r="C1047259" s="19"/>
      <c r="D1047259" s="19"/>
      <c r="E1047259" s="19"/>
      <c r="F1047259" s="19"/>
      <c r="G1047259" s="19"/>
      <c r="H1047259" s="19"/>
      <c r="I1047259" s="19"/>
      <c r="J1047259" s="19"/>
      <c r="K1047259" s="19"/>
      <c r="L1047259" s="19"/>
      <c r="M1047259" s="19"/>
      <c r="N1047259" s="19"/>
    </row>
    <row r="1047260" spans="1:14" s="83" customFormat="1" ht="12.75">
      <c r="A1047260" s="19"/>
      <c r="B1047260" s="19"/>
      <c r="C1047260" s="19"/>
      <c r="D1047260" s="19"/>
      <c r="E1047260" s="19"/>
      <c r="F1047260" s="19"/>
      <c r="G1047260" s="19"/>
      <c r="H1047260" s="19"/>
      <c r="I1047260" s="19"/>
      <c r="J1047260" s="19"/>
      <c r="K1047260" s="19"/>
      <c r="L1047260" s="19"/>
      <c r="M1047260" s="19"/>
      <c r="N1047260" s="19"/>
    </row>
    <row r="1047261" spans="1:14" s="83" customFormat="1" ht="12.75">
      <c r="A1047261" s="19"/>
      <c r="B1047261" s="19"/>
      <c r="C1047261" s="19"/>
      <c r="D1047261" s="19"/>
      <c r="E1047261" s="19"/>
      <c r="F1047261" s="19"/>
      <c r="G1047261" s="19"/>
      <c r="H1047261" s="19"/>
      <c r="I1047261" s="19"/>
      <c r="J1047261" s="19"/>
      <c r="K1047261" s="19"/>
      <c r="L1047261" s="19"/>
      <c r="M1047261" s="19"/>
      <c r="N1047261" s="19"/>
    </row>
    <row r="1047262" spans="1:14" s="83" customFormat="1" ht="12.75">
      <c r="A1047262" s="19"/>
      <c r="B1047262" s="19"/>
      <c r="C1047262" s="19"/>
      <c r="D1047262" s="19"/>
      <c r="E1047262" s="19"/>
      <c r="F1047262" s="19"/>
      <c r="G1047262" s="19"/>
      <c r="H1047262" s="19"/>
      <c r="I1047262" s="19"/>
      <c r="J1047262" s="19"/>
      <c r="K1047262" s="19"/>
      <c r="L1047262" s="19"/>
      <c r="M1047262" s="19"/>
      <c r="N1047262" s="19"/>
    </row>
    <row r="1047263" spans="1:14" s="83" customFormat="1" ht="12.75">
      <c r="A1047263" s="19"/>
      <c r="B1047263" s="19"/>
      <c r="C1047263" s="19"/>
      <c r="D1047263" s="19"/>
      <c r="E1047263" s="19"/>
      <c r="F1047263" s="19"/>
      <c r="G1047263" s="19"/>
      <c r="H1047263" s="19"/>
      <c r="I1047263" s="19"/>
      <c r="J1047263" s="19"/>
      <c r="K1047263" s="19"/>
      <c r="L1047263" s="19"/>
      <c r="M1047263" s="19"/>
      <c r="N1047263" s="19"/>
    </row>
    <row r="1047264" spans="1:14" s="83" customFormat="1" ht="12.75">
      <c r="A1047264" s="19"/>
      <c r="B1047264" s="19"/>
      <c r="C1047264" s="19"/>
      <c r="D1047264" s="19"/>
      <c r="E1047264" s="19"/>
      <c r="F1047264" s="19"/>
      <c r="G1047264" s="19"/>
      <c r="H1047264" s="19"/>
      <c r="I1047264" s="19"/>
      <c r="J1047264" s="19"/>
      <c r="K1047264" s="19"/>
      <c r="L1047264" s="19"/>
      <c r="M1047264" s="19"/>
      <c r="N1047264" s="19"/>
    </row>
    <row r="1047265" spans="1:14" s="83" customFormat="1" ht="12.75">
      <c r="A1047265" s="19"/>
      <c r="B1047265" s="19"/>
      <c r="C1047265" s="19"/>
      <c r="D1047265" s="19"/>
      <c r="E1047265" s="19"/>
      <c r="F1047265" s="19"/>
      <c r="G1047265" s="19"/>
      <c r="H1047265" s="19"/>
      <c r="I1047265" s="19"/>
      <c r="J1047265" s="19"/>
      <c r="K1047265" s="19"/>
      <c r="L1047265" s="19"/>
      <c r="M1047265" s="19"/>
      <c r="N1047265" s="19"/>
    </row>
    <row r="1047266" spans="1:14" s="83" customFormat="1" ht="12.75">
      <c r="A1047266" s="19"/>
      <c r="B1047266" s="19"/>
      <c r="C1047266" s="19"/>
      <c r="D1047266" s="19"/>
      <c r="E1047266" s="19"/>
      <c r="F1047266" s="19"/>
      <c r="G1047266" s="19"/>
      <c r="H1047266" s="19"/>
      <c r="I1047266" s="19"/>
      <c r="J1047266" s="19"/>
      <c r="K1047266" s="19"/>
      <c r="L1047266" s="19"/>
      <c r="M1047266" s="19"/>
      <c r="N1047266" s="19"/>
    </row>
    <row r="1047267" spans="1:14" s="83" customFormat="1" ht="12.75">
      <c r="A1047267" s="19"/>
      <c r="B1047267" s="19"/>
      <c r="C1047267" s="19"/>
      <c r="D1047267" s="19"/>
      <c r="E1047267" s="19"/>
      <c r="F1047267" s="19"/>
      <c r="G1047267" s="19"/>
      <c r="H1047267" s="19"/>
      <c r="I1047267" s="19"/>
      <c r="J1047267" s="19"/>
      <c r="K1047267" s="19"/>
      <c r="L1047267" s="19"/>
      <c r="M1047267" s="19"/>
      <c r="N1047267" s="19"/>
    </row>
    <row r="1047268" spans="1:14" s="83" customFormat="1" ht="12.75">
      <c r="A1047268" s="19"/>
      <c r="B1047268" s="19"/>
      <c r="C1047268" s="19"/>
      <c r="D1047268" s="19"/>
      <c r="E1047268" s="19"/>
      <c r="F1047268" s="19"/>
      <c r="G1047268" s="19"/>
      <c r="H1047268" s="19"/>
      <c r="I1047268" s="19"/>
      <c r="J1047268" s="19"/>
      <c r="K1047268" s="19"/>
      <c r="L1047268" s="19"/>
      <c r="M1047268" s="19"/>
      <c r="N1047268" s="19"/>
    </row>
    <row r="1047269" spans="1:14" s="83" customFormat="1" ht="12.75">
      <c r="A1047269" s="19"/>
      <c r="B1047269" s="19"/>
      <c r="C1047269" s="19"/>
      <c r="D1047269" s="19"/>
      <c r="E1047269" s="19"/>
      <c r="F1047269" s="19"/>
      <c r="G1047269" s="19"/>
      <c r="H1047269" s="19"/>
      <c r="I1047269" s="19"/>
      <c r="J1047269" s="19"/>
      <c r="K1047269" s="19"/>
      <c r="L1047269" s="19"/>
      <c r="M1047269" s="19"/>
      <c r="N1047269" s="19"/>
    </row>
    <row r="1047270" spans="1:14" s="83" customFormat="1" ht="12.75">
      <c r="A1047270" s="19"/>
      <c r="B1047270" s="19"/>
      <c r="C1047270" s="19"/>
      <c r="D1047270" s="19"/>
      <c r="E1047270" s="19"/>
      <c r="F1047270" s="19"/>
      <c r="G1047270" s="19"/>
      <c r="H1047270" s="19"/>
      <c r="I1047270" s="19"/>
      <c r="J1047270" s="19"/>
      <c r="K1047270" s="19"/>
      <c r="L1047270" s="19"/>
      <c r="M1047270" s="19"/>
      <c r="N1047270" s="19"/>
    </row>
    <row r="1047271" spans="1:14" s="83" customFormat="1" ht="12.75">
      <c r="A1047271" s="19"/>
      <c r="B1047271" s="19"/>
      <c r="C1047271" s="19"/>
      <c r="D1047271" s="19"/>
      <c r="E1047271" s="19"/>
      <c r="F1047271" s="19"/>
      <c r="G1047271" s="19"/>
      <c r="H1047271" s="19"/>
      <c r="I1047271" s="19"/>
      <c r="J1047271" s="19"/>
      <c r="K1047271" s="19"/>
      <c r="L1047271" s="19"/>
      <c r="M1047271" s="19"/>
      <c r="N1047271" s="19"/>
    </row>
    <row r="1047272" spans="1:14" s="83" customFormat="1" ht="12.75">
      <c r="A1047272" s="19"/>
      <c r="B1047272" s="19"/>
      <c r="C1047272" s="19"/>
      <c r="D1047272" s="19"/>
      <c r="E1047272" s="19"/>
      <c r="F1047272" s="19"/>
      <c r="G1047272" s="19"/>
      <c r="H1047272" s="19"/>
      <c r="I1047272" s="19"/>
      <c r="J1047272" s="19"/>
      <c r="K1047272" s="19"/>
      <c r="L1047272" s="19"/>
      <c r="M1047272" s="19"/>
      <c r="N1047272" s="19"/>
    </row>
    <row r="1047273" spans="1:14" s="83" customFormat="1" ht="12.75">
      <c r="A1047273" s="19"/>
      <c r="B1047273" s="19"/>
      <c r="C1047273" s="19"/>
      <c r="D1047273" s="19"/>
      <c r="E1047273" s="19"/>
      <c r="F1047273" s="19"/>
      <c r="G1047273" s="19"/>
      <c r="H1047273" s="19"/>
      <c r="I1047273" s="19"/>
      <c r="J1047273" s="19"/>
      <c r="K1047273" s="19"/>
      <c r="L1047273" s="19"/>
      <c r="M1047273" s="19"/>
      <c r="N1047273" s="19"/>
    </row>
    <row r="1047274" spans="1:14" s="83" customFormat="1" ht="12.75">
      <c r="A1047274" s="19"/>
      <c r="B1047274" s="19"/>
      <c r="C1047274" s="19"/>
      <c r="D1047274" s="19"/>
      <c r="E1047274" s="19"/>
      <c r="F1047274" s="19"/>
      <c r="G1047274" s="19"/>
      <c r="H1047274" s="19"/>
      <c r="I1047274" s="19"/>
      <c r="J1047274" s="19"/>
      <c r="K1047274" s="19"/>
      <c r="L1047274" s="19"/>
      <c r="M1047274" s="19"/>
      <c r="N1047274" s="19"/>
    </row>
    <row r="1047275" spans="1:14" s="83" customFormat="1" ht="12.75">
      <c r="A1047275" s="19"/>
      <c r="B1047275" s="19"/>
      <c r="C1047275" s="19"/>
      <c r="D1047275" s="19"/>
      <c r="E1047275" s="19"/>
      <c r="F1047275" s="19"/>
      <c r="G1047275" s="19"/>
      <c r="H1047275" s="19"/>
      <c r="I1047275" s="19"/>
      <c r="J1047275" s="19"/>
      <c r="K1047275" s="19"/>
      <c r="L1047275" s="19"/>
      <c r="M1047275" s="19"/>
      <c r="N1047275" s="19"/>
    </row>
    <row r="1047276" spans="1:14" s="83" customFormat="1" ht="12.75">
      <c r="A1047276" s="19"/>
      <c r="B1047276" s="19"/>
      <c r="C1047276" s="19"/>
      <c r="D1047276" s="19"/>
      <c r="E1047276" s="19"/>
      <c r="F1047276" s="19"/>
      <c r="G1047276" s="19"/>
      <c r="H1047276" s="19"/>
      <c r="I1047276" s="19"/>
      <c r="J1047276" s="19"/>
      <c r="K1047276" s="19"/>
      <c r="L1047276" s="19"/>
      <c r="M1047276" s="19"/>
      <c r="N1047276" s="19"/>
    </row>
    <row r="1047277" spans="1:14" s="83" customFormat="1" ht="12.75">
      <c r="A1047277" s="19"/>
      <c r="B1047277" s="19"/>
      <c r="C1047277" s="19"/>
      <c r="D1047277" s="19"/>
      <c r="E1047277" s="19"/>
      <c r="F1047277" s="19"/>
      <c r="G1047277" s="19"/>
      <c r="H1047277" s="19"/>
      <c r="I1047277" s="19"/>
      <c r="J1047277" s="19"/>
      <c r="K1047277" s="19"/>
      <c r="L1047277" s="19"/>
      <c r="M1047277" s="19"/>
      <c r="N1047277" s="19"/>
    </row>
    <row r="1047278" spans="1:14" s="83" customFormat="1" ht="12.75">
      <c r="A1047278" s="19"/>
      <c r="B1047278" s="19"/>
      <c r="C1047278" s="19"/>
      <c r="D1047278" s="19"/>
      <c r="E1047278" s="19"/>
      <c r="F1047278" s="19"/>
      <c r="G1047278" s="19"/>
      <c r="H1047278" s="19"/>
      <c r="I1047278" s="19"/>
      <c r="J1047278" s="19"/>
      <c r="K1047278" s="19"/>
      <c r="L1047278" s="19"/>
      <c r="M1047278" s="19"/>
      <c r="N1047278" s="19"/>
    </row>
    <row r="1047279" spans="1:14" s="83" customFormat="1" ht="12.75">
      <c r="A1047279" s="19"/>
      <c r="B1047279" s="19"/>
      <c r="C1047279" s="19"/>
      <c r="D1047279" s="19"/>
      <c r="E1047279" s="19"/>
      <c r="F1047279" s="19"/>
      <c r="G1047279" s="19"/>
      <c r="H1047279" s="19"/>
      <c r="I1047279" s="19"/>
      <c r="J1047279" s="19"/>
      <c r="K1047279" s="19"/>
      <c r="L1047279" s="19"/>
      <c r="M1047279" s="19"/>
      <c r="N1047279" s="19"/>
    </row>
    <row r="1047280" spans="1:14" s="83" customFormat="1" ht="12.75">
      <c r="A1047280" s="19"/>
      <c r="B1047280" s="19"/>
      <c r="C1047280" s="19"/>
      <c r="D1047280" s="19"/>
      <c r="E1047280" s="19"/>
      <c r="F1047280" s="19"/>
      <c r="G1047280" s="19"/>
      <c r="H1047280" s="19"/>
      <c r="I1047280" s="19"/>
      <c r="J1047280" s="19"/>
      <c r="K1047280" s="19"/>
      <c r="L1047280" s="19"/>
      <c r="M1047280" s="19"/>
      <c r="N1047280" s="19"/>
    </row>
    <row r="1047281" spans="1:14" s="83" customFormat="1" ht="12.75">
      <c r="A1047281" s="19"/>
      <c r="B1047281" s="19"/>
      <c r="C1047281" s="19"/>
      <c r="D1047281" s="19"/>
      <c r="E1047281" s="19"/>
      <c r="F1047281" s="19"/>
      <c r="G1047281" s="19"/>
      <c r="H1047281" s="19"/>
      <c r="I1047281" s="19"/>
      <c r="J1047281" s="19"/>
      <c r="K1047281" s="19"/>
      <c r="L1047281" s="19"/>
      <c r="M1047281" s="19"/>
      <c r="N1047281" s="19"/>
    </row>
    <row r="1047282" spans="1:14" s="83" customFormat="1" ht="12.75">
      <c r="A1047282" s="19"/>
      <c r="B1047282" s="19"/>
      <c r="C1047282" s="19"/>
      <c r="D1047282" s="19"/>
      <c r="E1047282" s="19"/>
      <c r="F1047282" s="19"/>
      <c r="G1047282" s="19"/>
      <c r="H1047282" s="19"/>
      <c r="I1047282" s="19"/>
      <c r="J1047282" s="19"/>
      <c r="K1047282" s="19"/>
      <c r="L1047282" s="19"/>
      <c r="M1047282" s="19"/>
      <c r="N1047282" s="19"/>
    </row>
    <row r="1047283" spans="1:14" s="83" customFormat="1" ht="12.75">
      <c r="A1047283" s="19"/>
      <c r="B1047283" s="19"/>
      <c r="C1047283" s="19"/>
      <c r="D1047283" s="19"/>
      <c r="E1047283" s="19"/>
      <c r="F1047283" s="19"/>
      <c r="G1047283" s="19"/>
      <c r="H1047283" s="19"/>
      <c r="I1047283" s="19"/>
      <c r="J1047283" s="19"/>
      <c r="K1047283" s="19"/>
      <c r="L1047283" s="19"/>
      <c r="M1047283" s="19"/>
      <c r="N1047283" s="19"/>
    </row>
    <row r="1047284" spans="1:14" s="83" customFormat="1" ht="12.75">
      <c r="A1047284" s="19"/>
      <c r="B1047284" s="19"/>
      <c r="C1047284" s="19"/>
      <c r="D1047284" s="19"/>
      <c r="E1047284" s="19"/>
      <c r="F1047284" s="19"/>
      <c r="G1047284" s="19"/>
      <c r="H1047284" s="19"/>
      <c r="I1047284" s="19"/>
      <c r="J1047284" s="19"/>
      <c r="K1047284" s="19"/>
      <c r="L1047284" s="19"/>
      <c r="M1047284" s="19"/>
      <c r="N1047284" s="19"/>
    </row>
    <row r="1047285" spans="1:14" s="83" customFormat="1" ht="12.75">
      <c r="A1047285" s="19"/>
      <c r="B1047285" s="19"/>
      <c r="C1047285" s="19"/>
      <c r="D1047285" s="19"/>
      <c r="E1047285" s="19"/>
      <c r="F1047285" s="19"/>
      <c r="G1047285" s="19"/>
      <c r="H1047285" s="19"/>
      <c r="I1047285" s="19"/>
      <c r="J1047285" s="19"/>
      <c r="K1047285" s="19"/>
      <c r="L1047285" s="19"/>
      <c r="M1047285" s="19"/>
      <c r="N1047285" s="19"/>
    </row>
    <row r="1047286" spans="1:14" s="83" customFormat="1" ht="12.75">
      <c r="A1047286" s="19"/>
      <c r="B1047286" s="19"/>
      <c r="C1047286" s="19"/>
      <c r="D1047286" s="19"/>
      <c r="E1047286" s="19"/>
      <c r="F1047286" s="19"/>
      <c r="G1047286" s="19"/>
      <c r="H1047286" s="19"/>
      <c r="I1047286" s="19"/>
      <c r="J1047286" s="19"/>
      <c r="K1047286" s="19"/>
      <c r="L1047286" s="19"/>
      <c r="M1047286" s="19"/>
      <c r="N1047286" s="19"/>
    </row>
    <row r="1047287" spans="1:14" s="83" customFormat="1" ht="12.75">
      <c r="A1047287" s="19"/>
      <c r="B1047287" s="19"/>
      <c r="C1047287" s="19"/>
      <c r="D1047287" s="19"/>
      <c r="E1047287" s="19"/>
      <c r="F1047287" s="19"/>
      <c r="G1047287" s="19"/>
      <c r="H1047287" s="19"/>
      <c r="I1047287" s="19"/>
      <c r="J1047287" s="19"/>
      <c r="K1047287" s="19"/>
      <c r="L1047287" s="19"/>
      <c r="M1047287" s="19"/>
      <c r="N1047287" s="19"/>
    </row>
    <row r="1047288" spans="1:14" s="83" customFormat="1" ht="12.75">
      <c r="A1047288" s="19"/>
      <c r="B1047288" s="19"/>
      <c r="C1047288" s="19"/>
      <c r="D1047288" s="19"/>
      <c r="E1047288" s="19"/>
      <c r="F1047288" s="19"/>
      <c r="G1047288" s="19"/>
      <c r="H1047288" s="19"/>
      <c r="I1047288" s="19"/>
      <c r="J1047288" s="19"/>
      <c r="K1047288" s="19"/>
      <c r="L1047288" s="19"/>
      <c r="M1047288" s="19"/>
      <c r="N1047288" s="19"/>
    </row>
    <row r="1047289" spans="1:14" s="83" customFormat="1" ht="12.75">
      <c r="A1047289" s="19"/>
      <c r="B1047289" s="19"/>
      <c r="C1047289" s="19"/>
      <c r="D1047289" s="19"/>
      <c r="E1047289" s="19"/>
      <c r="F1047289" s="19"/>
      <c r="G1047289" s="19"/>
      <c r="H1047289" s="19"/>
      <c r="I1047289" s="19"/>
      <c r="J1047289" s="19"/>
      <c r="K1047289" s="19"/>
      <c r="L1047289" s="19"/>
      <c r="M1047289" s="19"/>
      <c r="N1047289" s="19"/>
    </row>
    <row r="1047290" spans="1:14" s="83" customFormat="1" ht="12.75">
      <c r="A1047290" s="19"/>
      <c r="B1047290" s="19"/>
      <c r="C1047290" s="19"/>
      <c r="D1047290" s="19"/>
      <c r="E1047290" s="19"/>
      <c r="F1047290" s="19"/>
      <c r="G1047290" s="19"/>
      <c r="H1047290" s="19"/>
      <c r="I1047290" s="19"/>
      <c r="J1047290" s="19"/>
      <c r="K1047290" s="19"/>
      <c r="L1047290" s="19"/>
      <c r="M1047290" s="19"/>
      <c r="N1047290" s="19"/>
    </row>
    <row r="1047291" spans="1:14" s="83" customFormat="1" ht="12.75">
      <c r="A1047291" s="19"/>
      <c r="B1047291" s="19"/>
      <c r="C1047291" s="19"/>
      <c r="D1047291" s="19"/>
      <c r="E1047291" s="19"/>
      <c r="F1047291" s="19"/>
      <c r="G1047291" s="19"/>
      <c r="H1047291" s="19"/>
      <c r="I1047291" s="19"/>
      <c r="J1047291" s="19"/>
      <c r="K1047291" s="19"/>
      <c r="L1047291" s="19"/>
      <c r="M1047291" s="19"/>
      <c r="N1047291" s="19"/>
    </row>
    <row r="1047292" spans="1:14" s="83" customFormat="1" ht="12.75">
      <c r="A1047292" s="19"/>
      <c r="B1047292" s="19"/>
      <c r="C1047292" s="19"/>
      <c r="D1047292" s="19"/>
      <c r="E1047292" s="19"/>
      <c r="F1047292" s="19"/>
      <c r="G1047292" s="19"/>
      <c r="H1047292" s="19"/>
      <c r="I1047292" s="19"/>
      <c r="J1047292" s="19"/>
      <c r="K1047292" s="19"/>
      <c r="L1047292" s="19"/>
      <c r="M1047292" s="19"/>
      <c r="N1047292" s="19"/>
    </row>
    <row r="1047293" spans="1:14" s="83" customFormat="1" ht="12.75">
      <c r="A1047293" s="19"/>
      <c r="B1047293" s="19"/>
      <c r="C1047293" s="19"/>
      <c r="D1047293" s="19"/>
      <c r="E1047293" s="19"/>
      <c r="F1047293" s="19"/>
      <c r="G1047293" s="19"/>
      <c r="H1047293" s="19"/>
      <c r="I1047293" s="19"/>
      <c r="J1047293" s="19"/>
      <c r="K1047293" s="19"/>
      <c r="L1047293" s="19"/>
      <c r="M1047293" s="19"/>
      <c r="N1047293" s="19"/>
    </row>
    <row r="1047294" spans="1:14" s="83" customFormat="1" ht="12.75">
      <c r="A1047294" s="19"/>
      <c r="B1047294" s="19"/>
      <c r="C1047294" s="19"/>
      <c r="D1047294" s="19"/>
      <c r="E1047294" s="19"/>
      <c r="F1047294" s="19"/>
      <c r="G1047294" s="19"/>
      <c r="H1047294" s="19"/>
      <c r="I1047294" s="19"/>
      <c r="J1047294" s="19"/>
      <c r="K1047294" s="19"/>
      <c r="L1047294" s="19"/>
      <c r="M1047294" s="19"/>
      <c r="N1047294" s="19"/>
    </row>
    <row r="1047295" spans="1:14" s="83" customFormat="1" ht="12.75">
      <c r="A1047295" s="19"/>
      <c r="B1047295" s="19"/>
      <c r="C1047295" s="19"/>
      <c r="D1047295" s="19"/>
      <c r="E1047295" s="19"/>
      <c r="F1047295" s="19"/>
      <c r="G1047295" s="19"/>
      <c r="H1047295" s="19"/>
      <c r="I1047295" s="19"/>
      <c r="J1047295" s="19"/>
      <c r="K1047295" s="19"/>
      <c r="L1047295" s="19"/>
      <c r="M1047295" s="19"/>
      <c r="N1047295" s="19"/>
    </row>
    <row r="1047296" spans="1:14" s="83" customFormat="1" ht="12.75">
      <c r="A1047296" s="19"/>
      <c r="B1047296" s="19"/>
      <c r="C1047296" s="19"/>
      <c r="D1047296" s="19"/>
      <c r="E1047296" s="19"/>
      <c r="F1047296" s="19"/>
      <c r="G1047296" s="19"/>
      <c r="H1047296" s="19"/>
      <c r="I1047296" s="19"/>
      <c r="J1047296" s="19"/>
      <c r="K1047296" s="19"/>
      <c r="L1047296" s="19"/>
      <c r="M1047296" s="19"/>
      <c r="N1047296" s="19"/>
    </row>
    <row r="1047297" spans="1:14" s="83" customFormat="1" ht="12.75">
      <c r="A1047297" s="19"/>
      <c r="B1047297" s="19"/>
      <c r="C1047297" s="19"/>
      <c r="D1047297" s="19"/>
      <c r="E1047297" s="19"/>
      <c r="F1047297" s="19"/>
      <c r="G1047297" s="19"/>
      <c r="H1047297" s="19"/>
      <c r="I1047297" s="19"/>
      <c r="J1047297" s="19"/>
      <c r="K1047297" s="19"/>
      <c r="L1047297" s="19"/>
      <c r="M1047297" s="19"/>
      <c r="N1047297" s="19"/>
    </row>
    <row r="1047298" spans="1:14" s="83" customFormat="1" ht="12.75">
      <c r="A1047298" s="19"/>
      <c r="B1047298" s="19"/>
      <c r="C1047298" s="19"/>
      <c r="D1047298" s="19"/>
      <c r="E1047298" s="19"/>
      <c r="F1047298" s="19"/>
      <c r="G1047298" s="19"/>
      <c r="H1047298" s="19"/>
      <c r="I1047298" s="19"/>
      <c r="J1047298" s="19"/>
      <c r="K1047298" s="19"/>
      <c r="L1047298" s="19"/>
      <c r="M1047298" s="19"/>
      <c r="N1047298" s="19"/>
    </row>
    <row r="1047299" spans="1:14" s="83" customFormat="1" ht="12.75">
      <c r="A1047299" s="19"/>
      <c r="B1047299" s="19"/>
      <c r="C1047299" s="19"/>
      <c r="D1047299" s="19"/>
      <c r="E1047299" s="19"/>
      <c r="F1047299" s="19"/>
      <c r="G1047299" s="19"/>
      <c r="H1047299" s="19"/>
      <c r="I1047299" s="19"/>
      <c r="J1047299" s="19"/>
      <c r="K1047299" s="19"/>
      <c r="L1047299" s="19"/>
      <c r="M1047299" s="19"/>
      <c r="N1047299" s="19"/>
    </row>
    <row r="1047300" spans="1:14" s="83" customFormat="1" ht="12.75">
      <c r="A1047300" s="19"/>
      <c r="B1047300" s="19"/>
      <c r="C1047300" s="19"/>
      <c r="D1047300" s="19"/>
      <c r="E1047300" s="19"/>
      <c r="F1047300" s="19"/>
      <c r="G1047300" s="19"/>
      <c r="H1047300" s="19"/>
      <c r="I1047300" s="19"/>
      <c r="J1047300" s="19"/>
      <c r="K1047300" s="19"/>
      <c r="L1047300" s="19"/>
      <c r="M1047300" s="19"/>
      <c r="N1047300" s="19"/>
    </row>
    <row r="1047301" spans="1:14" s="83" customFormat="1" ht="12.75">
      <c r="A1047301" s="19"/>
      <c r="B1047301" s="19"/>
      <c r="C1047301" s="19"/>
      <c r="D1047301" s="19"/>
      <c r="E1047301" s="19"/>
      <c r="F1047301" s="19"/>
      <c r="G1047301" s="19"/>
      <c r="H1047301" s="19"/>
      <c r="I1047301" s="19"/>
      <c r="J1047301" s="19"/>
      <c r="K1047301" s="19"/>
      <c r="L1047301" s="19"/>
      <c r="M1047301" s="19"/>
      <c r="N1047301" s="19"/>
    </row>
    <row r="1047302" spans="1:14" s="83" customFormat="1" ht="12.75">
      <c r="A1047302" s="19"/>
      <c r="B1047302" s="19"/>
      <c r="C1047302" s="19"/>
      <c r="D1047302" s="19"/>
      <c r="E1047302" s="19"/>
      <c r="F1047302" s="19"/>
      <c r="G1047302" s="19"/>
      <c r="H1047302" s="19"/>
      <c r="I1047302" s="19"/>
      <c r="J1047302" s="19"/>
      <c r="K1047302" s="19"/>
      <c r="L1047302" s="19"/>
      <c r="M1047302" s="19"/>
      <c r="N1047302" s="19"/>
    </row>
    <row r="1047303" spans="1:14" s="83" customFormat="1" ht="12.75">
      <c r="A1047303" s="19"/>
      <c r="B1047303" s="19"/>
      <c r="C1047303" s="19"/>
      <c r="D1047303" s="19"/>
      <c r="E1047303" s="19"/>
      <c r="F1047303" s="19"/>
      <c r="G1047303" s="19"/>
      <c r="H1047303" s="19"/>
      <c r="I1047303" s="19"/>
      <c r="J1047303" s="19"/>
      <c r="K1047303" s="19"/>
      <c r="L1047303" s="19"/>
      <c r="M1047303" s="19"/>
      <c r="N1047303" s="19"/>
    </row>
    <row r="1047304" spans="1:14" s="83" customFormat="1" ht="12.75">
      <c r="A1047304" s="19"/>
      <c r="B1047304" s="19"/>
      <c r="C1047304" s="19"/>
      <c r="D1047304" s="19"/>
      <c r="E1047304" s="19"/>
      <c r="F1047304" s="19"/>
      <c r="G1047304" s="19"/>
      <c r="H1047304" s="19"/>
      <c r="I1047304" s="19"/>
      <c r="J1047304" s="19"/>
      <c r="K1047304" s="19"/>
      <c r="L1047304" s="19"/>
      <c r="M1047304" s="19"/>
      <c r="N1047304" s="19"/>
    </row>
    <row r="1047305" spans="1:14" s="83" customFormat="1" ht="12.75">
      <c r="A1047305" s="19"/>
      <c r="B1047305" s="19"/>
      <c r="C1047305" s="19"/>
      <c r="D1047305" s="19"/>
      <c r="E1047305" s="19"/>
      <c r="F1047305" s="19"/>
      <c r="G1047305" s="19"/>
      <c r="H1047305" s="19"/>
      <c r="I1047305" s="19"/>
      <c r="J1047305" s="19"/>
      <c r="K1047305" s="19"/>
      <c r="L1047305" s="19"/>
      <c r="M1047305" s="19"/>
      <c r="N1047305" s="19"/>
    </row>
    <row r="1047306" spans="1:14" s="83" customFormat="1" ht="12.75">
      <c r="A1047306" s="19"/>
      <c r="B1047306" s="19"/>
      <c r="C1047306" s="19"/>
      <c r="D1047306" s="19"/>
      <c r="E1047306" s="19"/>
      <c r="F1047306" s="19"/>
      <c r="G1047306" s="19"/>
      <c r="H1047306" s="19"/>
      <c r="I1047306" s="19"/>
      <c r="J1047306" s="19"/>
      <c r="K1047306" s="19"/>
      <c r="L1047306" s="19"/>
      <c r="M1047306" s="19"/>
      <c r="N1047306" s="19"/>
    </row>
    <row r="1047307" spans="1:14" s="83" customFormat="1" ht="12.75">
      <c r="A1047307" s="19"/>
      <c r="B1047307" s="19"/>
      <c r="C1047307" s="19"/>
      <c r="D1047307" s="19"/>
      <c r="E1047307" s="19"/>
      <c r="F1047307" s="19"/>
      <c r="G1047307" s="19"/>
      <c r="H1047307" s="19"/>
      <c r="I1047307" s="19"/>
      <c r="J1047307" s="19"/>
      <c r="K1047307" s="19"/>
      <c r="L1047307" s="19"/>
      <c r="M1047307" s="19"/>
      <c r="N1047307" s="19"/>
    </row>
    <row r="1047308" spans="1:14" s="83" customFormat="1" ht="12.75">
      <c r="A1047308" s="19"/>
      <c r="B1047308" s="19"/>
      <c r="C1047308" s="19"/>
      <c r="D1047308" s="19"/>
      <c r="E1047308" s="19"/>
      <c r="F1047308" s="19"/>
      <c r="G1047308" s="19"/>
      <c r="H1047308" s="19"/>
      <c r="I1047308" s="19"/>
      <c r="J1047308" s="19"/>
      <c r="K1047308" s="19"/>
      <c r="L1047308" s="19"/>
      <c r="M1047308" s="19"/>
      <c r="N1047308" s="19"/>
    </row>
    <row r="1047309" spans="1:14" s="83" customFormat="1" ht="12.75">
      <c r="A1047309" s="19"/>
      <c r="B1047309" s="19"/>
      <c r="C1047309" s="19"/>
      <c r="D1047309" s="19"/>
      <c r="E1047309" s="19"/>
      <c r="F1047309" s="19"/>
      <c r="G1047309" s="19"/>
      <c r="H1047309" s="19"/>
      <c r="I1047309" s="19"/>
      <c r="J1047309" s="19"/>
      <c r="K1047309" s="19"/>
      <c r="L1047309" s="19"/>
      <c r="M1047309" s="19"/>
      <c r="N1047309" s="19"/>
    </row>
    <row r="1047310" spans="1:14" s="83" customFormat="1" ht="12.75">
      <c r="A1047310" s="19"/>
      <c r="B1047310" s="19"/>
      <c r="C1047310" s="19"/>
      <c r="D1047310" s="19"/>
      <c r="E1047310" s="19"/>
      <c r="F1047310" s="19"/>
      <c r="G1047310" s="19"/>
      <c r="H1047310" s="19"/>
      <c r="I1047310" s="19"/>
      <c r="J1047310" s="19"/>
      <c r="K1047310" s="19"/>
      <c r="L1047310" s="19"/>
      <c r="M1047310" s="19"/>
      <c r="N1047310" s="19"/>
    </row>
    <row r="1047311" spans="1:14" s="83" customFormat="1" ht="12.75">
      <c r="A1047311" s="19"/>
      <c r="B1047311" s="19"/>
      <c r="C1047311" s="19"/>
      <c r="D1047311" s="19"/>
      <c r="E1047311" s="19"/>
      <c r="F1047311" s="19"/>
      <c r="G1047311" s="19"/>
      <c r="H1047311" s="19"/>
      <c r="I1047311" s="19"/>
      <c r="J1047311" s="19"/>
      <c r="K1047311" s="19"/>
      <c r="L1047311" s="19"/>
      <c r="M1047311" s="19"/>
      <c r="N1047311" s="19"/>
    </row>
    <row r="1047312" spans="1:14" s="83" customFormat="1" ht="12.75">
      <c r="A1047312" s="19"/>
      <c r="B1047312" s="19"/>
      <c r="C1047312" s="19"/>
      <c r="D1047312" s="19"/>
      <c r="E1047312" s="19"/>
      <c r="F1047312" s="19"/>
      <c r="G1047312" s="19"/>
      <c r="H1047312" s="19"/>
      <c r="I1047312" s="19"/>
      <c r="J1047312" s="19"/>
      <c r="K1047312" s="19"/>
      <c r="L1047312" s="19"/>
      <c r="M1047312" s="19"/>
      <c r="N1047312" s="19"/>
    </row>
    <row r="1047313" spans="1:14" s="83" customFormat="1" ht="12.75">
      <c r="A1047313" s="19"/>
      <c r="B1047313" s="19"/>
      <c r="C1047313" s="19"/>
      <c r="D1047313" s="19"/>
      <c r="E1047313" s="19"/>
      <c r="F1047313" s="19"/>
      <c r="G1047313" s="19"/>
      <c r="H1047313" s="19"/>
      <c r="I1047313" s="19"/>
      <c r="J1047313" s="19"/>
      <c r="K1047313" s="19"/>
      <c r="L1047313" s="19"/>
      <c r="M1047313" s="19"/>
      <c r="N1047313" s="19"/>
    </row>
    <row r="1047314" spans="1:14" s="83" customFormat="1" ht="12.75">
      <c r="A1047314" s="19"/>
      <c r="B1047314" s="19"/>
      <c r="C1047314" s="19"/>
      <c r="D1047314" s="19"/>
      <c r="E1047314" s="19"/>
      <c r="F1047314" s="19"/>
      <c r="G1047314" s="19"/>
      <c r="H1047314" s="19"/>
      <c r="I1047314" s="19"/>
      <c r="J1047314" s="19"/>
      <c r="K1047314" s="19"/>
      <c r="L1047314" s="19"/>
      <c r="M1047314" s="19"/>
      <c r="N1047314" s="19"/>
    </row>
    <row r="1047315" spans="1:14" s="83" customFormat="1" ht="12.75">
      <c r="A1047315" s="19"/>
      <c r="B1047315" s="19"/>
      <c r="C1047315" s="19"/>
      <c r="D1047315" s="19"/>
      <c r="E1047315" s="19"/>
      <c r="F1047315" s="19"/>
      <c r="G1047315" s="19"/>
      <c r="H1047315" s="19"/>
      <c r="I1047315" s="19"/>
      <c r="J1047315" s="19"/>
      <c r="K1047315" s="19"/>
      <c r="L1047315" s="19"/>
      <c r="M1047315" s="19"/>
      <c r="N1047315" s="19"/>
    </row>
    <row r="1047316" spans="1:14" s="83" customFormat="1" ht="12.75">
      <c r="A1047316" s="19"/>
      <c r="B1047316" s="19"/>
      <c r="C1047316" s="19"/>
      <c r="D1047316" s="19"/>
      <c r="E1047316" s="19"/>
      <c r="F1047316" s="19"/>
      <c r="G1047316" s="19"/>
      <c r="H1047316" s="19"/>
      <c r="I1047316" s="19"/>
      <c r="J1047316" s="19"/>
      <c r="K1047316" s="19"/>
      <c r="L1047316" s="19"/>
      <c r="M1047316" s="19"/>
      <c r="N1047316" s="19"/>
    </row>
    <row r="1047317" spans="1:14" s="83" customFormat="1" ht="12.75">
      <c r="A1047317" s="19"/>
      <c r="B1047317" s="19"/>
      <c r="C1047317" s="19"/>
      <c r="D1047317" s="19"/>
      <c r="E1047317" s="19"/>
      <c r="F1047317" s="19"/>
      <c r="G1047317" s="19"/>
      <c r="H1047317" s="19"/>
      <c r="I1047317" s="19"/>
      <c r="J1047317" s="19"/>
      <c r="K1047317" s="19"/>
      <c r="L1047317" s="19"/>
      <c r="M1047317" s="19"/>
      <c r="N1047317" s="19"/>
    </row>
    <row r="1047318" spans="1:14" s="83" customFormat="1" ht="12.75">
      <c r="A1047318" s="19"/>
      <c r="B1047318" s="19"/>
      <c r="C1047318" s="19"/>
      <c r="D1047318" s="19"/>
      <c r="E1047318" s="19"/>
      <c r="F1047318" s="19"/>
      <c r="G1047318" s="19"/>
      <c r="H1047318" s="19"/>
      <c r="I1047318" s="19"/>
      <c r="J1047318" s="19"/>
      <c r="K1047318" s="19"/>
      <c r="L1047318" s="19"/>
      <c r="M1047318" s="19"/>
      <c r="N1047318" s="19"/>
    </row>
    <row r="1047319" spans="1:14" s="83" customFormat="1" ht="12.75">
      <c r="A1047319" s="19"/>
      <c r="B1047319" s="19"/>
      <c r="C1047319" s="19"/>
      <c r="D1047319" s="19"/>
      <c r="E1047319" s="19"/>
      <c r="F1047319" s="19"/>
      <c r="G1047319" s="19"/>
      <c r="H1047319" s="19"/>
      <c r="I1047319" s="19"/>
      <c r="J1047319" s="19"/>
      <c r="K1047319" s="19"/>
      <c r="L1047319" s="19"/>
      <c r="M1047319" s="19"/>
      <c r="N1047319" s="19"/>
    </row>
    <row r="1047320" spans="1:14" s="83" customFormat="1" ht="12.75">
      <c r="A1047320" s="19"/>
      <c r="B1047320" s="19"/>
      <c r="C1047320" s="19"/>
      <c r="D1047320" s="19"/>
      <c r="E1047320" s="19"/>
      <c r="F1047320" s="19"/>
      <c r="G1047320" s="19"/>
      <c r="H1047320" s="19"/>
      <c r="I1047320" s="19"/>
      <c r="J1047320" s="19"/>
      <c r="K1047320" s="19"/>
      <c r="L1047320" s="19"/>
      <c r="M1047320" s="19"/>
      <c r="N1047320" s="19"/>
    </row>
    <row r="1047321" spans="1:14" s="83" customFormat="1" ht="12.75">
      <c r="A1047321" s="19"/>
      <c r="B1047321" s="19"/>
      <c r="C1047321" s="19"/>
      <c r="D1047321" s="19"/>
      <c r="E1047321" s="19"/>
      <c r="F1047321" s="19"/>
      <c r="G1047321" s="19"/>
      <c r="H1047321" s="19"/>
      <c r="I1047321" s="19"/>
      <c r="J1047321" s="19"/>
      <c r="K1047321" s="19"/>
      <c r="L1047321" s="19"/>
      <c r="M1047321" s="19"/>
      <c r="N1047321" s="19"/>
    </row>
    <row r="1047322" spans="1:14" s="83" customFormat="1" ht="12.75">
      <c r="A1047322" s="19"/>
      <c r="B1047322" s="19"/>
      <c r="C1047322" s="19"/>
      <c r="D1047322" s="19"/>
      <c r="E1047322" s="19"/>
      <c r="F1047322" s="19"/>
      <c r="G1047322" s="19"/>
      <c r="H1047322" s="19"/>
      <c r="I1047322" s="19"/>
      <c r="J1047322" s="19"/>
      <c r="K1047322" s="19"/>
      <c r="L1047322" s="19"/>
      <c r="M1047322" s="19"/>
      <c r="N1047322" s="19"/>
    </row>
    <row r="1047323" spans="1:14" s="83" customFormat="1" ht="12.75">
      <c r="A1047323" s="19"/>
      <c r="B1047323" s="19"/>
      <c r="C1047323" s="19"/>
      <c r="D1047323" s="19"/>
      <c r="E1047323" s="19"/>
      <c r="F1047323" s="19"/>
      <c r="G1047323" s="19"/>
      <c r="H1047323" s="19"/>
      <c r="I1047323" s="19"/>
      <c r="J1047323" s="19"/>
      <c r="K1047323" s="19"/>
      <c r="L1047323" s="19"/>
      <c r="M1047323" s="19"/>
      <c r="N1047323" s="19"/>
    </row>
    <row r="1047324" spans="1:14" s="83" customFormat="1" ht="12.75">
      <c r="A1047324" s="19"/>
      <c r="B1047324" s="19"/>
      <c r="C1047324" s="19"/>
      <c r="D1047324" s="19"/>
      <c r="E1047324" s="19"/>
      <c r="F1047324" s="19"/>
      <c r="G1047324" s="19"/>
      <c r="H1047324" s="19"/>
      <c r="I1047324" s="19"/>
      <c r="J1047324" s="19"/>
      <c r="K1047324" s="19"/>
      <c r="L1047324" s="19"/>
      <c r="M1047324" s="19"/>
      <c r="N1047324" s="19"/>
    </row>
    <row r="1047325" spans="1:14" s="83" customFormat="1" ht="12.75">
      <c r="A1047325" s="19"/>
      <c r="B1047325" s="19"/>
      <c r="C1047325" s="19"/>
      <c r="D1047325" s="19"/>
      <c r="E1047325" s="19"/>
      <c r="F1047325" s="19"/>
      <c r="G1047325" s="19"/>
      <c r="H1047325" s="19"/>
      <c r="I1047325" s="19"/>
      <c r="J1047325" s="19"/>
      <c r="K1047325" s="19"/>
      <c r="L1047325" s="19"/>
      <c r="M1047325" s="19"/>
      <c r="N1047325" s="19"/>
    </row>
    <row r="1047326" spans="1:14" s="83" customFormat="1" ht="12.75">
      <c r="A1047326" s="19"/>
      <c r="B1047326" s="19"/>
      <c r="C1047326" s="19"/>
      <c r="D1047326" s="19"/>
      <c r="E1047326" s="19"/>
      <c r="F1047326" s="19"/>
      <c r="G1047326" s="19"/>
      <c r="H1047326" s="19"/>
      <c r="I1047326" s="19"/>
      <c r="J1047326" s="19"/>
      <c r="K1047326" s="19"/>
      <c r="L1047326" s="19"/>
      <c r="M1047326" s="19"/>
      <c r="N1047326" s="19"/>
    </row>
    <row r="1047327" spans="1:14" s="83" customFormat="1" ht="12.75">
      <c r="A1047327" s="19"/>
      <c r="B1047327" s="19"/>
      <c r="C1047327" s="19"/>
      <c r="D1047327" s="19"/>
      <c r="E1047327" s="19"/>
      <c r="F1047327" s="19"/>
      <c r="G1047327" s="19"/>
      <c r="H1047327" s="19"/>
      <c r="I1047327" s="19"/>
      <c r="J1047327" s="19"/>
      <c r="K1047327" s="19"/>
      <c r="L1047327" s="19"/>
      <c r="M1047327" s="19"/>
      <c r="N1047327" s="19"/>
    </row>
    <row r="1047328" spans="1:14" s="83" customFormat="1" ht="12.75">
      <c r="A1047328" s="19"/>
      <c r="B1047328" s="19"/>
      <c r="C1047328" s="19"/>
      <c r="D1047328" s="19"/>
      <c r="E1047328" s="19"/>
      <c r="F1047328" s="19"/>
      <c r="G1047328" s="19"/>
      <c r="H1047328" s="19"/>
      <c r="I1047328" s="19"/>
      <c r="J1047328" s="19"/>
      <c r="K1047328" s="19"/>
      <c r="L1047328" s="19"/>
      <c r="M1047328" s="19"/>
      <c r="N1047328" s="19"/>
    </row>
    <row r="1047329" spans="1:14" s="83" customFormat="1" ht="12.75">
      <c r="A1047329" s="19"/>
      <c r="B1047329" s="19"/>
      <c r="C1047329" s="19"/>
      <c r="D1047329" s="19"/>
      <c r="E1047329" s="19"/>
      <c r="F1047329" s="19"/>
      <c r="G1047329" s="19"/>
      <c r="H1047329" s="19"/>
      <c r="I1047329" s="19"/>
      <c r="J1047329" s="19"/>
      <c r="K1047329" s="19"/>
      <c r="L1047329" s="19"/>
      <c r="M1047329" s="19"/>
      <c r="N1047329" s="19"/>
    </row>
    <row r="1047330" spans="1:14" s="83" customFormat="1" ht="12.75">
      <c r="A1047330" s="19"/>
      <c r="B1047330" s="19"/>
      <c r="C1047330" s="19"/>
      <c r="D1047330" s="19"/>
      <c r="E1047330" s="19"/>
      <c r="F1047330" s="19"/>
      <c r="G1047330" s="19"/>
      <c r="H1047330" s="19"/>
      <c r="I1047330" s="19"/>
      <c r="J1047330" s="19"/>
      <c r="K1047330" s="19"/>
      <c r="L1047330" s="19"/>
      <c r="M1047330" s="19"/>
      <c r="N1047330" s="19"/>
    </row>
    <row r="1047331" spans="1:14" s="83" customFormat="1" ht="12.75">
      <c r="A1047331" s="19"/>
      <c r="B1047331" s="19"/>
      <c r="C1047331" s="19"/>
      <c r="D1047331" s="19"/>
      <c r="E1047331" s="19"/>
      <c r="F1047331" s="19"/>
      <c r="G1047331" s="19"/>
      <c r="H1047331" s="19"/>
      <c r="I1047331" s="19"/>
      <c r="J1047331" s="19"/>
      <c r="K1047331" s="19"/>
      <c r="L1047331" s="19"/>
      <c r="M1047331" s="19"/>
      <c r="N1047331" s="19"/>
    </row>
    <row r="1047332" spans="1:14" s="83" customFormat="1" ht="12.75">
      <c r="A1047332" s="19"/>
      <c r="B1047332" s="19"/>
      <c r="C1047332" s="19"/>
      <c r="D1047332" s="19"/>
      <c r="E1047332" s="19"/>
      <c r="F1047332" s="19"/>
      <c r="G1047332" s="19"/>
      <c r="H1047332" s="19"/>
      <c r="I1047332" s="19"/>
      <c r="J1047332" s="19"/>
      <c r="K1047332" s="19"/>
      <c r="L1047332" s="19"/>
      <c r="M1047332" s="19"/>
      <c r="N1047332" s="19"/>
    </row>
    <row r="1047333" spans="1:14" s="83" customFormat="1" ht="12.75">
      <c r="A1047333" s="19"/>
      <c r="B1047333" s="19"/>
      <c r="C1047333" s="19"/>
      <c r="D1047333" s="19"/>
      <c r="E1047333" s="19"/>
      <c r="F1047333" s="19"/>
      <c r="G1047333" s="19"/>
      <c r="H1047333" s="19"/>
      <c r="I1047333" s="19"/>
      <c r="J1047333" s="19"/>
      <c r="K1047333" s="19"/>
      <c r="L1047333" s="19"/>
      <c r="M1047333" s="19"/>
      <c r="N1047333" s="19"/>
    </row>
    <row r="1047334" spans="1:14" s="83" customFormat="1" ht="12.75">
      <c r="A1047334" s="19"/>
      <c r="B1047334" s="19"/>
      <c r="C1047334" s="19"/>
      <c r="D1047334" s="19"/>
      <c r="E1047334" s="19"/>
      <c r="F1047334" s="19"/>
      <c r="G1047334" s="19"/>
      <c r="H1047334" s="19"/>
      <c r="I1047334" s="19"/>
      <c r="J1047334" s="19"/>
      <c r="K1047334" s="19"/>
      <c r="L1047334" s="19"/>
      <c r="M1047334" s="19"/>
      <c r="N1047334" s="19"/>
    </row>
    <row r="1047335" spans="1:14" s="83" customFormat="1" ht="12.75">
      <c r="A1047335" s="19"/>
      <c r="B1047335" s="19"/>
      <c r="C1047335" s="19"/>
      <c r="D1047335" s="19"/>
      <c r="E1047335" s="19"/>
      <c r="F1047335" s="19"/>
      <c r="G1047335" s="19"/>
      <c r="H1047335" s="19"/>
      <c r="I1047335" s="19"/>
      <c r="J1047335" s="19"/>
      <c r="K1047335" s="19"/>
      <c r="L1047335" s="19"/>
      <c r="M1047335" s="19"/>
      <c r="N1047335" s="19"/>
    </row>
    <row r="1047336" spans="1:14" s="83" customFormat="1" ht="12.75">
      <c r="A1047336" s="19"/>
      <c r="B1047336" s="19"/>
      <c r="C1047336" s="19"/>
      <c r="D1047336" s="19"/>
      <c r="E1047336" s="19"/>
      <c r="F1047336" s="19"/>
      <c r="G1047336" s="19"/>
      <c r="H1047336" s="19"/>
      <c r="I1047336" s="19"/>
      <c r="J1047336" s="19"/>
      <c r="K1047336" s="19"/>
      <c r="L1047336" s="19"/>
      <c r="M1047336" s="19"/>
      <c r="N1047336" s="19"/>
    </row>
    <row r="1047337" spans="1:14" s="83" customFormat="1" ht="12.75">
      <c r="A1047337" s="19"/>
      <c r="B1047337" s="19"/>
      <c r="C1047337" s="19"/>
      <c r="D1047337" s="19"/>
      <c r="E1047337" s="19"/>
      <c r="F1047337" s="19"/>
      <c r="G1047337" s="19"/>
      <c r="H1047337" s="19"/>
      <c r="I1047337" s="19"/>
      <c r="J1047337" s="19"/>
      <c r="K1047337" s="19"/>
      <c r="L1047337" s="19"/>
      <c r="M1047337" s="19"/>
      <c r="N1047337" s="19"/>
    </row>
    <row r="1047338" spans="1:14" s="83" customFormat="1" ht="12.75">
      <c r="A1047338" s="19"/>
      <c r="B1047338" s="19"/>
      <c r="C1047338" s="19"/>
      <c r="D1047338" s="19"/>
      <c r="E1047338" s="19"/>
      <c r="F1047338" s="19"/>
      <c r="G1047338" s="19"/>
      <c r="H1047338" s="19"/>
      <c r="I1047338" s="19"/>
      <c r="J1047338" s="19"/>
      <c r="K1047338" s="19"/>
      <c r="L1047338" s="19"/>
      <c r="M1047338" s="19"/>
      <c r="N1047338" s="19"/>
    </row>
    <row r="1047339" spans="1:14" s="83" customFormat="1" ht="12.75">
      <c r="A1047339" s="19"/>
      <c r="B1047339" s="19"/>
      <c r="C1047339" s="19"/>
      <c r="D1047339" s="19"/>
      <c r="E1047339" s="19"/>
      <c r="F1047339" s="19"/>
      <c r="G1047339" s="19"/>
      <c r="H1047339" s="19"/>
      <c r="I1047339" s="19"/>
      <c r="J1047339" s="19"/>
      <c r="K1047339" s="19"/>
      <c r="L1047339" s="19"/>
      <c r="M1047339" s="19"/>
      <c r="N1047339" s="19"/>
    </row>
    <row r="1047340" spans="1:14" s="83" customFormat="1" ht="12.75">
      <c r="A1047340" s="19"/>
      <c r="B1047340" s="19"/>
      <c r="C1047340" s="19"/>
      <c r="D1047340" s="19"/>
      <c r="E1047340" s="19"/>
      <c r="F1047340" s="19"/>
      <c r="G1047340" s="19"/>
      <c r="H1047340" s="19"/>
      <c r="I1047340" s="19"/>
      <c r="J1047340" s="19"/>
      <c r="K1047340" s="19"/>
      <c r="L1047340" s="19"/>
      <c r="M1047340" s="19"/>
      <c r="N1047340" s="19"/>
    </row>
    <row r="1047341" spans="1:14" s="83" customFormat="1" ht="12.75">
      <c r="A1047341" s="19"/>
      <c r="B1047341" s="19"/>
      <c r="C1047341" s="19"/>
      <c r="D1047341" s="19"/>
      <c r="E1047341" s="19"/>
      <c r="F1047341" s="19"/>
      <c r="G1047341" s="19"/>
      <c r="H1047341" s="19"/>
      <c r="I1047341" s="19"/>
      <c r="J1047341" s="19"/>
      <c r="K1047341" s="19"/>
      <c r="L1047341" s="19"/>
      <c r="M1047341" s="19"/>
      <c r="N1047341" s="19"/>
    </row>
    <row r="1047342" spans="1:14" s="83" customFormat="1" ht="12.75">
      <c r="A1047342" s="19"/>
      <c r="B1047342" s="19"/>
      <c r="C1047342" s="19"/>
      <c r="D1047342" s="19"/>
      <c r="E1047342" s="19"/>
      <c r="F1047342" s="19"/>
      <c r="G1047342" s="19"/>
      <c r="H1047342" s="19"/>
      <c r="I1047342" s="19"/>
      <c r="J1047342" s="19"/>
      <c r="K1047342" s="19"/>
      <c r="L1047342" s="19"/>
      <c r="M1047342" s="19"/>
      <c r="N1047342" s="19"/>
    </row>
    <row r="1047343" spans="1:14" s="83" customFormat="1" ht="12.75">
      <c r="A1047343" s="19"/>
      <c r="B1047343" s="19"/>
      <c r="C1047343" s="19"/>
      <c r="D1047343" s="19"/>
      <c r="E1047343" s="19"/>
      <c r="F1047343" s="19"/>
      <c r="G1047343" s="19"/>
      <c r="H1047343" s="19"/>
      <c r="I1047343" s="19"/>
      <c r="J1047343" s="19"/>
      <c r="K1047343" s="19"/>
      <c r="L1047343" s="19"/>
      <c r="M1047343" s="19"/>
      <c r="N1047343" s="19"/>
    </row>
    <row r="1047344" spans="1:14" s="83" customFormat="1" ht="12.75">
      <c r="A1047344" s="19"/>
      <c r="B1047344" s="19"/>
      <c r="C1047344" s="19"/>
      <c r="D1047344" s="19"/>
      <c r="E1047344" s="19"/>
      <c r="F1047344" s="19"/>
      <c r="G1047344" s="19"/>
      <c r="H1047344" s="19"/>
      <c r="I1047344" s="19"/>
      <c r="J1047344" s="19"/>
      <c r="K1047344" s="19"/>
      <c r="L1047344" s="19"/>
      <c r="M1047344" s="19"/>
      <c r="N1047344" s="19"/>
    </row>
    <row r="1047345" spans="1:14" s="83" customFormat="1" ht="12.75">
      <c r="A1047345" s="19"/>
      <c r="B1047345" s="19"/>
      <c r="C1047345" s="19"/>
      <c r="D1047345" s="19"/>
      <c r="E1047345" s="19"/>
      <c r="F1047345" s="19"/>
      <c r="G1047345" s="19"/>
      <c r="H1047345" s="19"/>
      <c r="I1047345" s="19"/>
      <c r="J1047345" s="19"/>
      <c r="K1047345" s="19"/>
      <c r="L1047345" s="19"/>
      <c r="M1047345" s="19"/>
      <c r="N1047345" s="19"/>
    </row>
    <row r="1047346" spans="1:14" s="83" customFormat="1" ht="12.75">
      <c r="A1047346" s="19"/>
      <c r="B1047346" s="19"/>
      <c r="C1047346" s="19"/>
      <c r="D1047346" s="19"/>
      <c r="E1047346" s="19"/>
      <c r="F1047346" s="19"/>
      <c r="G1047346" s="19"/>
      <c r="H1047346" s="19"/>
      <c r="I1047346" s="19"/>
      <c r="J1047346" s="19"/>
      <c r="K1047346" s="19"/>
      <c r="L1047346" s="19"/>
      <c r="M1047346" s="19"/>
      <c r="N1047346" s="19"/>
    </row>
    <row r="1047347" spans="1:14" s="83" customFormat="1" ht="12.75">
      <c r="A1047347" s="19"/>
      <c r="B1047347" s="19"/>
      <c r="C1047347" s="19"/>
      <c r="D1047347" s="19"/>
      <c r="E1047347" s="19"/>
      <c r="F1047347" s="19"/>
      <c r="G1047347" s="19"/>
      <c r="H1047347" s="19"/>
      <c r="I1047347" s="19"/>
      <c r="J1047347" s="19"/>
      <c r="K1047347" s="19"/>
      <c r="L1047347" s="19"/>
      <c r="M1047347" s="19"/>
      <c r="N1047347" s="19"/>
    </row>
    <row r="1047348" spans="1:14" s="83" customFormat="1" ht="12.75">
      <c r="A1047348" s="19"/>
      <c r="B1047348" s="19"/>
      <c r="C1047348" s="19"/>
      <c r="D1047348" s="19"/>
      <c r="E1047348" s="19"/>
      <c r="F1047348" s="19"/>
      <c r="G1047348" s="19"/>
      <c r="H1047348" s="19"/>
      <c r="I1047348" s="19"/>
      <c r="J1047348" s="19"/>
      <c r="K1047348" s="19"/>
      <c r="L1047348" s="19"/>
      <c r="M1047348" s="19"/>
      <c r="N1047348" s="19"/>
    </row>
    <row r="1047349" spans="1:14" s="83" customFormat="1" ht="12.75">
      <c r="A1047349" s="19"/>
      <c r="B1047349" s="19"/>
      <c r="C1047349" s="19"/>
      <c r="D1047349" s="19"/>
      <c r="E1047349" s="19"/>
      <c r="F1047349" s="19"/>
      <c r="G1047349" s="19"/>
      <c r="H1047349" s="19"/>
      <c r="I1047349" s="19"/>
      <c r="J1047349" s="19"/>
      <c r="K1047349" s="19"/>
      <c r="L1047349" s="19"/>
      <c r="M1047349" s="19"/>
      <c r="N1047349" s="19"/>
    </row>
    <row r="1047350" spans="1:14" s="83" customFormat="1" ht="12.75">
      <c r="A1047350" s="19"/>
      <c r="B1047350" s="19"/>
      <c r="C1047350" s="19"/>
      <c r="D1047350" s="19"/>
      <c r="E1047350" s="19"/>
      <c r="F1047350" s="19"/>
      <c r="G1047350" s="19"/>
      <c r="H1047350" s="19"/>
      <c r="I1047350" s="19"/>
      <c r="J1047350" s="19"/>
      <c r="K1047350" s="19"/>
      <c r="L1047350" s="19"/>
      <c r="M1047350" s="19"/>
      <c r="N1047350" s="19"/>
    </row>
    <row r="1047351" spans="1:14" s="83" customFormat="1" ht="12.75">
      <c r="A1047351" s="19"/>
      <c r="B1047351" s="19"/>
      <c r="C1047351" s="19"/>
      <c r="D1047351" s="19"/>
      <c r="E1047351" s="19"/>
      <c r="F1047351" s="19"/>
      <c r="G1047351" s="19"/>
      <c r="H1047351" s="19"/>
      <c r="I1047351" s="19"/>
      <c r="J1047351" s="19"/>
      <c r="K1047351" s="19"/>
      <c r="L1047351" s="19"/>
      <c r="M1047351" s="19"/>
      <c r="N1047351" s="19"/>
    </row>
    <row r="1047352" spans="1:14" s="83" customFormat="1" ht="12.75">
      <c r="A1047352" s="19"/>
      <c r="B1047352" s="19"/>
      <c r="C1047352" s="19"/>
      <c r="D1047352" s="19"/>
      <c r="E1047352" s="19"/>
      <c r="F1047352" s="19"/>
      <c r="G1047352" s="19"/>
      <c r="H1047352" s="19"/>
      <c r="I1047352" s="19"/>
      <c r="J1047352" s="19"/>
      <c r="K1047352" s="19"/>
      <c r="L1047352" s="19"/>
      <c r="M1047352" s="19"/>
      <c r="N1047352" s="19"/>
    </row>
    <row r="1047353" spans="1:14" s="83" customFormat="1" ht="12.75">
      <c r="A1047353" s="19"/>
      <c r="B1047353" s="19"/>
      <c r="C1047353" s="19"/>
      <c r="D1047353" s="19"/>
      <c r="E1047353" s="19"/>
      <c r="F1047353" s="19"/>
      <c r="G1047353" s="19"/>
      <c r="H1047353" s="19"/>
      <c r="I1047353" s="19"/>
      <c r="J1047353" s="19"/>
      <c r="K1047353" s="19"/>
      <c r="L1047353" s="19"/>
      <c r="M1047353" s="19"/>
      <c r="N1047353" s="19"/>
    </row>
    <row r="1047354" spans="1:14" s="83" customFormat="1" ht="12.75">
      <c r="A1047354" s="19"/>
      <c r="B1047354" s="19"/>
      <c r="C1047354" s="19"/>
      <c r="D1047354" s="19"/>
      <c r="E1047354" s="19"/>
      <c r="F1047354" s="19"/>
      <c r="G1047354" s="19"/>
      <c r="H1047354" s="19"/>
      <c r="I1047354" s="19"/>
      <c r="J1047354" s="19"/>
      <c r="K1047354" s="19"/>
      <c r="L1047354" s="19"/>
      <c r="M1047354" s="19"/>
      <c r="N1047354" s="19"/>
    </row>
    <row r="1047355" spans="1:14" s="83" customFormat="1" ht="12.75">
      <c r="A1047355" s="19"/>
      <c r="B1047355" s="19"/>
      <c r="C1047355" s="19"/>
      <c r="D1047355" s="19"/>
      <c r="E1047355" s="19"/>
      <c r="F1047355" s="19"/>
      <c r="G1047355" s="19"/>
      <c r="H1047355" s="19"/>
      <c r="I1047355" s="19"/>
      <c r="J1047355" s="19"/>
      <c r="K1047355" s="19"/>
      <c r="L1047355" s="19"/>
      <c r="M1047355" s="19"/>
      <c r="N1047355" s="19"/>
    </row>
    <row r="1047356" spans="1:14" s="83" customFormat="1" ht="12.75">
      <c r="A1047356" s="19"/>
      <c r="B1047356" s="19"/>
      <c r="C1047356" s="19"/>
      <c r="D1047356" s="19"/>
      <c r="E1047356" s="19"/>
      <c r="F1047356" s="19"/>
      <c r="G1047356" s="19"/>
      <c r="H1047356" s="19"/>
      <c r="I1047356" s="19"/>
      <c r="J1047356" s="19"/>
      <c r="K1047356" s="19"/>
      <c r="L1047356" s="19"/>
      <c r="M1047356" s="19"/>
      <c r="N1047356" s="19"/>
    </row>
    <row r="1047357" spans="1:14" s="83" customFormat="1" ht="12.75">
      <c r="A1047357" s="19"/>
      <c r="B1047357" s="19"/>
      <c r="C1047357" s="19"/>
      <c r="D1047357" s="19"/>
      <c r="E1047357" s="19"/>
      <c r="F1047357" s="19"/>
      <c r="G1047357" s="19"/>
      <c r="H1047357" s="19"/>
      <c r="I1047357" s="19"/>
      <c r="J1047357" s="19"/>
      <c r="K1047357" s="19"/>
      <c r="L1047357" s="19"/>
      <c r="M1047357" s="19"/>
      <c r="N1047357" s="19"/>
    </row>
    <row r="1047358" spans="1:14" s="83" customFormat="1" ht="12.75">
      <c r="A1047358" s="19"/>
      <c r="B1047358" s="19"/>
      <c r="C1047358" s="19"/>
      <c r="D1047358" s="19"/>
      <c r="E1047358" s="19"/>
      <c r="F1047358" s="19"/>
      <c r="G1047358" s="19"/>
      <c r="H1047358" s="19"/>
      <c r="I1047358" s="19"/>
      <c r="J1047358" s="19"/>
      <c r="K1047358" s="19"/>
      <c r="L1047358" s="19"/>
      <c r="M1047358" s="19"/>
      <c r="N1047358" s="19"/>
    </row>
    <row r="1047359" spans="1:14" s="83" customFormat="1" ht="12.75">
      <c r="A1047359" s="19"/>
      <c r="B1047359" s="19"/>
      <c r="C1047359" s="19"/>
      <c r="D1047359" s="19"/>
      <c r="E1047359" s="19"/>
      <c r="F1047359" s="19"/>
      <c r="G1047359" s="19"/>
      <c r="H1047359" s="19"/>
      <c r="I1047359" s="19"/>
      <c r="J1047359" s="19"/>
      <c r="K1047359" s="19"/>
      <c r="L1047359" s="19"/>
      <c r="M1047359" s="19"/>
      <c r="N1047359" s="19"/>
    </row>
    <row r="1047360" spans="1:14" s="83" customFormat="1" ht="12.75">
      <c r="A1047360" s="19"/>
      <c r="B1047360" s="19"/>
      <c r="C1047360" s="19"/>
      <c r="D1047360" s="19"/>
      <c r="E1047360" s="19"/>
      <c r="F1047360" s="19"/>
      <c r="G1047360" s="19"/>
      <c r="H1047360" s="19"/>
      <c r="I1047360" s="19"/>
      <c r="J1047360" s="19"/>
      <c r="K1047360" s="19"/>
      <c r="L1047360" s="19"/>
      <c r="M1047360" s="19"/>
      <c r="N1047360" s="19"/>
    </row>
    <row r="1047361" spans="1:14" s="83" customFormat="1" ht="12.75">
      <c r="A1047361" s="19"/>
      <c r="B1047361" s="19"/>
      <c r="C1047361" s="19"/>
      <c r="D1047361" s="19"/>
      <c r="E1047361" s="19"/>
      <c r="F1047361" s="19"/>
      <c r="G1047361" s="19"/>
      <c r="H1047361" s="19"/>
      <c r="I1047361" s="19"/>
      <c r="J1047361" s="19"/>
      <c r="K1047361" s="19"/>
      <c r="L1047361" s="19"/>
      <c r="M1047361" s="19"/>
      <c r="N1047361" s="19"/>
    </row>
    <row r="1047362" spans="1:14" s="83" customFormat="1" ht="12.75">
      <c r="A1047362" s="19"/>
      <c r="B1047362" s="19"/>
      <c r="C1047362" s="19"/>
      <c r="D1047362" s="19"/>
      <c r="E1047362" s="19"/>
      <c r="F1047362" s="19"/>
      <c r="G1047362" s="19"/>
      <c r="H1047362" s="19"/>
      <c r="I1047362" s="19"/>
      <c r="J1047362" s="19"/>
      <c r="K1047362" s="19"/>
      <c r="L1047362" s="19"/>
      <c r="M1047362" s="19"/>
      <c r="N1047362" s="19"/>
    </row>
    <row r="1047363" spans="1:14" s="83" customFormat="1" ht="12.75">
      <c r="A1047363" s="19"/>
      <c r="B1047363" s="19"/>
      <c r="C1047363" s="19"/>
      <c r="D1047363" s="19"/>
      <c r="E1047363" s="19"/>
      <c r="F1047363" s="19"/>
      <c r="G1047363" s="19"/>
      <c r="H1047363" s="19"/>
      <c r="I1047363" s="19"/>
      <c r="J1047363" s="19"/>
      <c r="K1047363" s="19"/>
      <c r="L1047363" s="19"/>
      <c r="M1047363" s="19"/>
      <c r="N1047363" s="19"/>
    </row>
    <row r="1047364" spans="1:14" s="83" customFormat="1" ht="12.75">
      <c r="A1047364" s="19"/>
      <c r="B1047364" s="19"/>
      <c r="C1047364" s="19"/>
      <c r="D1047364" s="19"/>
      <c r="E1047364" s="19"/>
      <c r="F1047364" s="19"/>
      <c r="G1047364" s="19"/>
      <c r="H1047364" s="19"/>
      <c r="I1047364" s="19"/>
      <c r="J1047364" s="19"/>
      <c r="K1047364" s="19"/>
      <c r="L1047364" s="19"/>
      <c r="M1047364" s="19"/>
      <c r="N1047364" s="19"/>
    </row>
    <row r="1047365" spans="1:14" s="83" customFormat="1" ht="12.75">
      <c r="A1047365" s="19"/>
      <c r="B1047365" s="19"/>
      <c r="C1047365" s="19"/>
      <c r="D1047365" s="19"/>
      <c r="E1047365" s="19"/>
      <c r="F1047365" s="19"/>
      <c r="G1047365" s="19"/>
      <c r="H1047365" s="19"/>
      <c r="I1047365" s="19"/>
      <c r="J1047365" s="19"/>
      <c r="K1047365" s="19"/>
      <c r="L1047365" s="19"/>
      <c r="M1047365" s="19"/>
      <c r="N1047365" s="19"/>
    </row>
    <row r="1047366" spans="1:14" s="83" customFormat="1" ht="12.75">
      <c r="A1047366" s="19"/>
      <c r="B1047366" s="19"/>
      <c r="C1047366" s="19"/>
      <c r="D1047366" s="19"/>
      <c r="E1047366" s="19"/>
      <c r="F1047366" s="19"/>
      <c r="G1047366" s="19"/>
      <c r="H1047366" s="19"/>
      <c r="I1047366" s="19"/>
      <c r="J1047366" s="19"/>
      <c r="K1047366" s="19"/>
      <c r="L1047366" s="19"/>
      <c r="M1047366" s="19"/>
      <c r="N1047366" s="19"/>
    </row>
    <row r="1047367" spans="1:14" s="83" customFormat="1" ht="12.75">
      <c r="A1047367" s="19"/>
      <c r="B1047367" s="19"/>
      <c r="C1047367" s="19"/>
      <c r="D1047367" s="19"/>
      <c r="E1047367" s="19"/>
      <c r="F1047367" s="19"/>
      <c r="G1047367" s="19"/>
      <c r="H1047367" s="19"/>
      <c r="I1047367" s="19"/>
      <c r="J1047367" s="19"/>
      <c r="K1047367" s="19"/>
      <c r="L1047367" s="19"/>
      <c r="M1047367" s="19"/>
      <c r="N1047367" s="19"/>
    </row>
    <row r="1047368" spans="1:14" s="83" customFormat="1" ht="12.75">
      <c r="A1047368" s="19"/>
      <c r="B1047368" s="19"/>
      <c r="C1047368" s="19"/>
      <c r="D1047368" s="19"/>
      <c r="E1047368" s="19"/>
      <c r="F1047368" s="19"/>
      <c r="G1047368" s="19"/>
      <c r="H1047368" s="19"/>
      <c r="I1047368" s="19"/>
      <c r="J1047368" s="19"/>
      <c r="K1047368" s="19"/>
      <c r="L1047368" s="19"/>
      <c r="M1047368" s="19"/>
      <c r="N1047368" s="19"/>
    </row>
    <row r="1047369" spans="1:14" s="83" customFormat="1" ht="12.75">
      <c r="A1047369" s="19"/>
      <c r="B1047369" s="19"/>
      <c r="C1047369" s="19"/>
      <c r="D1047369" s="19"/>
      <c r="E1047369" s="19"/>
      <c r="F1047369" s="19"/>
      <c r="G1047369" s="19"/>
      <c r="H1047369" s="19"/>
      <c r="I1047369" s="19"/>
      <c r="J1047369" s="19"/>
      <c r="K1047369" s="19"/>
      <c r="L1047369" s="19"/>
      <c r="M1047369" s="19"/>
      <c r="N1047369" s="19"/>
    </row>
    <row r="1047370" spans="1:14" s="83" customFormat="1" ht="12.75">
      <c r="A1047370" s="19"/>
      <c r="B1047370" s="19"/>
      <c r="C1047370" s="19"/>
      <c r="D1047370" s="19"/>
      <c r="E1047370" s="19"/>
      <c r="F1047370" s="19"/>
      <c r="G1047370" s="19"/>
      <c r="H1047370" s="19"/>
      <c r="I1047370" s="19"/>
      <c r="J1047370" s="19"/>
      <c r="K1047370" s="19"/>
      <c r="L1047370" s="19"/>
      <c r="M1047370" s="19"/>
      <c r="N1047370" s="19"/>
    </row>
    <row r="1047371" spans="1:14" s="83" customFormat="1" ht="12.75">
      <c r="A1047371" s="19"/>
      <c r="B1047371" s="19"/>
      <c r="C1047371" s="19"/>
      <c r="D1047371" s="19"/>
      <c r="E1047371" s="19"/>
      <c r="F1047371" s="19"/>
      <c r="G1047371" s="19"/>
      <c r="H1047371" s="19"/>
      <c r="I1047371" s="19"/>
      <c r="J1047371" s="19"/>
      <c r="K1047371" s="19"/>
      <c r="L1047371" s="19"/>
      <c r="M1047371" s="19"/>
      <c r="N1047371" s="19"/>
    </row>
    <row r="1047372" spans="1:14" s="83" customFormat="1" ht="12.75">
      <c r="A1047372" s="19"/>
      <c r="B1047372" s="19"/>
      <c r="C1047372" s="19"/>
      <c r="D1047372" s="19"/>
      <c r="E1047372" s="19"/>
      <c r="F1047372" s="19"/>
      <c r="G1047372" s="19"/>
      <c r="H1047372" s="19"/>
      <c r="I1047372" s="19"/>
      <c r="J1047372" s="19"/>
      <c r="K1047372" s="19"/>
      <c r="L1047372" s="19"/>
      <c r="M1047372" s="19"/>
      <c r="N1047372" s="19"/>
    </row>
    <row r="1047373" spans="1:14" s="83" customFormat="1" ht="12.75">
      <c r="A1047373" s="19"/>
      <c r="B1047373" s="19"/>
      <c r="C1047373" s="19"/>
      <c r="D1047373" s="19"/>
      <c r="E1047373" s="19"/>
      <c r="F1047373" s="19"/>
      <c r="G1047373" s="19"/>
      <c r="H1047373" s="19"/>
      <c r="I1047373" s="19"/>
      <c r="J1047373" s="19"/>
      <c r="K1047373" s="19"/>
      <c r="L1047373" s="19"/>
      <c r="M1047373" s="19"/>
      <c r="N1047373" s="19"/>
    </row>
    <row r="1047374" spans="1:14" s="83" customFormat="1" ht="12.75">
      <c r="A1047374" s="19"/>
      <c r="B1047374" s="19"/>
      <c r="C1047374" s="19"/>
      <c r="D1047374" s="19"/>
      <c r="E1047374" s="19"/>
      <c r="F1047374" s="19"/>
      <c r="G1047374" s="19"/>
      <c r="H1047374" s="19"/>
      <c r="I1047374" s="19"/>
      <c r="J1047374" s="19"/>
      <c r="K1047374" s="19"/>
      <c r="L1047374" s="19"/>
      <c r="M1047374" s="19"/>
      <c r="N1047374" s="19"/>
    </row>
    <row r="1047375" spans="1:14" s="83" customFormat="1" ht="12.75">
      <c r="A1047375" s="19"/>
      <c r="B1047375" s="19"/>
      <c r="C1047375" s="19"/>
      <c r="D1047375" s="19"/>
      <c r="E1047375" s="19"/>
      <c r="F1047375" s="19"/>
      <c r="G1047375" s="19"/>
      <c r="H1047375" s="19"/>
      <c r="I1047375" s="19"/>
      <c r="J1047375" s="19"/>
      <c r="K1047375" s="19"/>
      <c r="L1047375" s="19"/>
      <c r="M1047375" s="19"/>
      <c r="N1047375" s="19"/>
    </row>
    <row r="1047376" spans="1:14" s="83" customFormat="1" ht="12.75">
      <c r="A1047376" s="19"/>
      <c r="B1047376" s="19"/>
      <c r="C1047376" s="19"/>
      <c r="D1047376" s="19"/>
      <c r="E1047376" s="19"/>
      <c r="F1047376" s="19"/>
      <c r="G1047376" s="19"/>
      <c r="H1047376" s="19"/>
      <c r="I1047376" s="19"/>
      <c r="J1047376" s="19"/>
      <c r="K1047376" s="19"/>
      <c r="L1047376" s="19"/>
      <c r="M1047376" s="19"/>
      <c r="N1047376" s="19"/>
    </row>
    <row r="1047377" spans="1:14" s="83" customFormat="1" ht="12.75">
      <c r="A1047377" s="19"/>
      <c r="B1047377" s="19"/>
      <c r="C1047377" s="19"/>
      <c r="D1047377" s="19"/>
      <c r="E1047377" s="19"/>
      <c r="F1047377" s="19"/>
      <c r="G1047377" s="19"/>
      <c r="H1047377" s="19"/>
      <c r="I1047377" s="19"/>
      <c r="J1047377" s="19"/>
      <c r="K1047377" s="19"/>
      <c r="L1047377" s="19"/>
      <c r="M1047377" s="19"/>
      <c r="N1047377" s="19"/>
    </row>
    <row r="1047378" spans="1:14" s="83" customFormat="1" ht="12.75">
      <c r="A1047378" s="19"/>
      <c r="B1047378" s="19"/>
      <c r="C1047378" s="19"/>
      <c r="D1047378" s="19"/>
      <c r="E1047378" s="19"/>
      <c r="F1047378" s="19"/>
      <c r="G1047378" s="19"/>
      <c r="H1047378" s="19"/>
      <c r="I1047378" s="19"/>
      <c r="J1047378" s="19"/>
      <c r="K1047378" s="19"/>
      <c r="L1047378" s="19"/>
      <c r="M1047378" s="19"/>
      <c r="N1047378" s="19"/>
    </row>
    <row r="1047379" spans="1:14" s="83" customFormat="1" ht="12.75">
      <c r="A1047379" s="19"/>
      <c r="B1047379" s="19"/>
      <c r="C1047379" s="19"/>
      <c r="D1047379" s="19"/>
      <c r="E1047379" s="19"/>
      <c r="F1047379" s="19"/>
      <c r="G1047379" s="19"/>
      <c r="H1047379" s="19"/>
      <c r="I1047379" s="19"/>
      <c r="J1047379" s="19"/>
      <c r="K1047379" s="19"/>
      <c r="L1047379" s="19"/>
      <c r="M1047379" s="19"/>
      <c r="N1047379" s="19"/>
    </row>
    <row r="1047380" spans="1:14" s="83" customFormat="1" ht="12.75">
      <c r="A1047380" s="19"/>
      <c r="B1047380" s="19"/>
      <c r="C1047380" s="19"/>
      <c r="D1047380" s="19"/>
      <c r="E1047380" s="19"/>
      <c r="F1047380" s="19"/>
      <c r="G1047380" s="19"/>
      <c r="H1047380" s="19"/>
      <c r="I1047380" s="19"/>
      <c r="J1047380" s="19"/>
      <c r="K1047380" s="19"/>
      <c r="L1047380" s="19"/>
      <c r="M1047380" s="19"/>
      <c r="N1047380" s="19"/>
    </row>
    <row r="1047381" spans="1:14" s="83" customFormat="1" ht="12.75">
      <c r="A1047381" s="19"/>
      <c r="B1047381" s="19"/>
      <c r="C1047381" s="19"/>
      <c r="D1047381" s="19"/>
      <c r="E1047381" s="19"/>
      <c r="F1047381" s="19"/>
      <c r="G1047381" s="19"/>
      <c r="H1047381" s="19"/>
      <c r="I1047381" s="19"/>
      <c r="J1047381" s="19"/>
      <c r="K1047381" s="19"/>
      <c r="L1047381" s="19"/>
      <c r="M1047381" s="19"/>
      <c r="N1047381" s="19"/>
    </row>
    <row r="1047382" spans="1:14" s="83" customFormat="1" ht="12.75">
      <c r="A1047382" s="19"/>
      <c r="B1047382" s="19"/>
      <c r="C1047382" s="19"/>
      <c r="D1047382" s="19"/>
      <c r="E1047382" s="19"/>
      <c r="F1047382" s="19"/>
      <c r="G1047382" s="19"/>
      <c r="H1047382" s="19"/>
      <c r="I1047382" s="19"/>
      <c r="J1047382" s="19"/>
      <c r="K1047382" s="19"/>
      <c r="L1047382" s="19"/>
      <c r="M1047382" s="19"/>
      <c r="N1047382" s="19"/>
    </row>
    <row r="1047383" spans="1:14" s="83" customFormat="1" ht="12.75">
      <c r="A1047383" s="19"/>
      <c r="B1047383" s="19"/>
      <c r="C1047383" s="19"/>
      <c r="D1047383" s="19"/>
      <c r="E1047383" s="19"/>
      <c r="F1047383" s="19"/>
      <c r="G1047383" s="19"/>
      <c r="H1047383" s="19"/>
      <c r="I1047383" s="19"/>
      <c r="J1047383" s="19"/>
      <c r="K1047383" s="19"/>
      <c r="L1047383" s="19"/>
      <c r="M1047383" s="19"/>
      <c r="N1047383" s="19"/>
    </row>
    <row r="1047384" spans="1:14" s="83" customFormat="1" ht="12.75">
      <c r="A1047384" s="19"/>
      <c r="B1047384" s="19"/>
      <c r="C1047384" s="19"/>
      <c r="D1047384" s="19"/>
      <c r="E1047384" s="19"/>
      <c r="F1047384" s="19"/>
      <c r="G1047384" s="19"/>
      <c r="H1047384" s="19"/>
      <c r="I1047384" s="19"/>
      <c r="J1047384" s="19"/>
      <c r="K1047384" s="19"/>
      <c r="L1047384" s="19"/>
      <c r="M1047384" s="19"/>
      <c r="N1047384" s="19"/>
    </row>
    <row r="1047385" spans="1:14" s="83" customFormat="1" ht="12.75">
      <c r="A1047385" s="19"/>
      <c r="B1047385" s="19"/>
      <c r="C1047385" s="19"/>
      <c r="D1047385" s="19"/>
      <c r="E1047385" s="19"/>
      <c r="F1047385" s="19"/>
      <c r="G1047385" s="19"/>
      <c r="H1047385" s="19"/>
      <c r="I1047385" s="19"/>
      <c r="J1047385" s="19"/>
      <c r="K1047385" s="19"/>
      <c r="L1047385" s="19"/>
      <c r="M1047385" s="19"/>
      <c r="N1047385" s="19"/>
    </row>
    <row r="1047386" spans="1:14" s="83" customFormat="1" ht="12.75">
      <c r="A1047386" s="19"/>
      <c r="B1047386" s="19"/>
      <c r="C1047386" s="19"/>
      <c r="D1047386" s="19"/>
      <c r="E1047386" s="19"/>
      <c r="F1047386" s="19"/>
      <c r="G1047386" s="19"/>
      <c r="H1047386" s="19"/>
      <c r="I1047386" s="19"/>
      <c r="J1047386" s="19"/>
      <c r="K1047386" s="19"/>
      <c r="L1047386" s="19"/>
      <c r="M1047386" s="19"/>
      <c r="N1047386" s="19"/>
    </row>
    <row r="1047387" spans="1:14" s="83" customFormat="1" ht="12.75">
      <c r="A1047387" s="19"/>
      <c r="B1047387" s="19"/>
      <c r="C1047387" s="19"/>
      <c r="D1047387" s="19"/>
      <c r="E1047387" s="19"/>
      <c r="F1047387" s="19"/>
      <c r="G1047387" s="19"/>
      <c r="H1047387" s="19"/>
      <c r="I1047387" s="19"/>
      <c r="J1047387" s="19"/>
      <c r="K1047387" s="19"/>
      <c r="L1047387" s="19"/>
      <c r="M1047387" s="19"/>
      <c r="N1047387" s="19"/>
    </row>
    <row r="1047388" spans="1:14" s="83" customFormat="1" ht="12.75">
      <c r="A1047388" s="19"/>
      <c r="B1047388" s="19"/>
      <c r="C1047388" s="19"/>
      <c r="D1047388" s="19"/>
      <c r="E1047388" s="19"/>
      <c r="F1047388" s="19"/>
      <c r="G1047388" s="19"/>
      <c r="H1047388" s="19"/>
      <c r="I1047388" s="19"/>
      <c r="J1047388" s="19"/>
      <c r="K1047388" s="19"/>
      <c r="L1047388" s="19"/>
      <c r="M1047388" s="19"/>
      <c r="N1047388" s="19"/>
    </row>
    <row r="1047389" spans="1:14" s="83" customFormat="1" ht="12.75">
      <c r="A1047389" s="19"/>
      <c r="B1047389" s="19"/>
      <c r="C1047389" s="19"/>
      <c r="D1047389" s="19"/>
      <c r="E1047389" s="19"/>
      <c r="F1047389" s="19"/>
      <c r="G1047389" s="19"/>
      <c r="H1047389" s="19"/>
      <c r="I1047389" s="19"/>
      <c r="J1047389" s="19"/>
      <c r="K1047389" s="19"/>
      <c r="L1047389" s="19"/>
      <c r="M1047389" s="19"/>
      <c r="N1047389" s="19"/>
    </row>
    <row r="1047390" spans="1:14" s="83" customFormat="1" ht="12.75">
      <c r="A1047390" s="19"/>
      <c r="B1047390" s="19"/>
      <c r="C1047390" s="19"/>
      <c r="D1047390" s="19"/>
      <c r="E1047390" s="19"/>
      <c r="F1047390" s="19"/>
      <c r="G1047390" s="19"/>
      <c r="H1047390" s="19"/>
      <c r="I1047390" s="19"/>
      <c r="J1047390" s="19"/>
      <c r="K1047390" s="19"/>
      <c r="L1047390" s="19"/>
      <c r="M1047390" s="19"/>
      <c r="N1047390" s="19"/>
    </row>
    <row r="1047391" spans="1:14" s="83" customFormat="1" ht="12.75">
      <c r="A1047391" s="19"/>
      <c r="B1047391" s="19"/>
      <c r="C1047391" s="19"/>
      <c r="D1047391" s="19"/>
      <c r="E1047391" s="19"/>
      <c r="F1047391" s="19"/>
      <c r="G1047391" s="19"/>
      <c r="H1047391" s="19"/>
      <c r="I1047391" s="19"/>
      <c r="J1047391" s="19"/>
      <c r="K1047391" s="19"/>
      <c r="L1047391" s="19"/>
      <c r="M1047391" s="19"/>
      <c r="N1047391" s="19"/>
    </row>
    <row r="1047392" spans="1:14" s="83" customFormat="1" ht="12.75">
      <c r="A1047392" s="19"/>
      <c r="B1047392" s="19"/>
      <c r="C1047392" s="19"/>
      <c r="D1047392" s="19"/>
      <c r="E1047392" s="19"/>
      <c r="F1047392" s="19"/>
      <c r="G1047392" s="19"/>
      <c r="H1047392" s="19"/>
      <c r="I1047392" s="19"/>
      <c r="J1047392" s="19"/>
      <c r="K1047392" s="19"/>
      <c r="L1047392" s="19"/>
      <c r="M1047392" s="19"/>
      <c r="N1047392" s="19"/>
    </row>
    <row r="1047393" spans="1:14" s="83" customFormat="1" ht="12.75">
      <c r="A1047393" s="19"/>
      <c r="B1047393" s="19"/>
      <c r="C1047393" s="19"/>
      <c r="D1047393" s="19"/>
      <c r="E1047393" s="19"/>
      <c r="F1047393" s="19"/>
      <c r="G1047393" s="19"/>
      <c r="H1047393" s="19"/>
      <c r="I1047393" s="19"/>
      <c r="J1047393" s="19"/>
      <c r="K1047393" s="19"/>
      <c r="L1047393" s="19"/>
      <c r="M1047393" s="19"/>
      <c r="N1047393" s="19"/>
    </row>
    <row r="1047394" spans="1:14" s="83" customFormat="1" ht="12.75">
      <c r="A1047394" s="19"/>
      <c r="B1047394" s="19"/>
      <c r="C1047394" s="19"/>
      <c r="D1047394" s="19"/>
      <c r="E1047394" s="19"/>
      <c r="F1047394" s="19"/>
      <c r="G1047394" s="19"/>
      <c r="H1047394" s="19"/>
      <c r="I1047394" s="19"/>
      <c r="J1047394" s="19"/>
      <c r="K1047394" s="19"/>
      <c r="L1047394" s="19"/>
      <c r="M1047394" s="19"/>
      <c r="N1047394" s="19"/>
    </row>
    <row r="1047395" spans="1:14" s="83" customFormat="1" ht="12.75">
      <c r="A1047395" s="19"/>
      <c r="B1047395" s="19"/>
      <c r="C1047395" s="19"/>
      <c r="D1047395" s="19"/>
      <c r="E1047395" s="19"/>
      <c r="F1047395" s="19"/>
      <c r="G1047395" s="19"/>
      <c r="H1047395" s="19"/>
      <c r="I1047395" s="19"/>
      <c r="J1047395" s="19"/>
      <c r="K1047395" s="19"/>
      <c r="L1047395" s="19"/>
      <c r="M1047395" s="19"/>
      <c r="N1047395" s="19"/>
    </row>
    <row r="1047396" spans="1:14" s="83" customFormat="1" ht="12.75">
      <c r="A1047396" s="19"/>
      <c r="B1047396" s="19"/>
      <c r="C1047396" s="19"/>
      <c r="D1047396" s="19"/>
      <c r="E1047396" s="19"/>
      <c r="F1047396" s="19"/>
      <c r="G1047396" s="19"/>
      <c r="H1047396" s="19"/>
      <c r="I1047396" s="19"/>
      <c r="J1047396" s="19"/>
      <c r="K1047396" s="19"/>
      <c r="L1047396" s="19"/>
      <c r="M1047396" s="19"/>
      <c r="N1047396" s="19"/>
    </row>
    <row r="1047397" spans="1:14" s="83" customFormat="1" ht="12.75">
      <c r="A1047397" s="19"/>
      <c r="B1047397" s="19"/>
      <c r="C1047397" s="19"/>
      <c r="D1047397" s="19"/>
      <c r="E1047397" s="19"/>
      <c r="F1047397" s="19"/>
      <c r="G1047397" s="19"/>
      <c r="H1047397" s="19"/>
      <c r="I1047397" s="19"/>
      <c r="J1047397" s="19"/>
      <c r="K1047397" s="19"/>
      <c r="L1047397" s="19"/>
      <c r="M1047397" s="19"/>
      <c r="N1047397" s="19"/>
    </row>
    <row r="1047398" spans="1:14" s="83" customFormat="1" ht="12.75">
      <c r="A1047398" s="19"/>
      <c r="B1047398" s="19"/>
      <c r="C1047398" s="19"/>
      <c r="D1047398" s="19"/>
      <c r="E1047398" s="19"/>
      <c r="F1047398" s="19"/>
      <c r="G1047398" s="19"/>
      <c r="H1047398" s="19"/>
      <c r="I1047398" s="19"/>
      <c r="J1047398" s="19"/>
      <c r="K1047398" s="19"/>
      <c r="L1047398" s="19"/>
      <c r="M1047398" s="19"/>
      <c r="N1047398" s="19"/>
    </row>
    <row r="1047399" spans="1:14" s="83" customFormat="1" ht="12.75">
      <c r="A1047399" s="19"/>
      <c r="B1047399" s="19"/>
      <c r="C1047399" s="19"/>
      <c r="D1047399" s="19"/>
      <c r="E1047399" s="19"/>
      <c r="F1047399" s="19"/>
      <c r="G1047399" s="19"/>
      <c r="H1047399" s="19"/>
      <c r="I1047399" s="19"/>
      <c r="J1047399" s="19"/>
      <c r="K1047399" s="19"/>
      <c r="L1047399" s="19"/>
      <c r="M1047399" s="19"/>
      <c r="N1047399" s="19"/>
    </row>
    <row r="1047400" spans="1:14" s="83" customFormat="1" ht="12.75">
      <c r="A1047400" s="19"/>
      <c r="B1047400" s="19"/>
      <c r="C1047400" s="19"/>
      <c r="D1047400" s="19"/>
      <c r="E1047400" s="19"/>
      <c r="F1047400" s="19"/>
      <c r="G1047400" s="19"/>
      <c r="H1047400" s="19"/>
      <c r="I1047400" s="19"/>
      <c r="J1047400" s="19"/>
      <c r="K1047400" s="19"/>
      <c r="L1047400" s="19"/>
      <c r="M1047400" s="19"/>
      <c r="N1047400" s="19"/>
    </row>
    <row r="1047401" spans="1:14" s="83" customFormat="1" ht="12.75">
      <c r="A1047401" s="19"/>
      <c r="B1047401" s="19"/>
      <c r="C1047401" s="19"/>
      <c r="D1047401" s="19"/>
      <c r="E1047401" s="19"/>
      <c r="F1047401" s="19"/>
      <c r="G1047401" s="19"/>
      <c r="H1047401" s="19"/>
      <c r="I1047401" s="19"/>
      <c r="J1047401" s="19"/>
      <c r="K1047401" s="19"/>
      <c r="L1047401" s="19"/>
      <c r="M1047401" s="19"/>
      <c r="N1047401" s="19"/>
    </row>
    <row r="1047402" spans="1:14" s="83" customFormat="1" ht="12.75">
      <c r="A1047402" s="19"/>
      <c r="B1047402" s="19"/>
      <c r="C1047402" s="19"/>
      <c r="D1047402" s="19"/>
      <c r="E1047402" s="19"/>
      <c r="F1047402" s="19"/>
      <c r="G1047402" s="19"/>
      <c r="H1047402" s="19"/>
      <c r="I1047402" s="19"/>
      <c r="J1047402" s="19"/>
      <c r="K1047402" s="19"/>
      <c r="L1047402" s="19"/>
      <c r="M1047402" s="19"/>
      <c r="N1047402" s="19"/>
    </row>
    <row r="1047403" spans="1:14" s="83" customFormat="1" ht="12.75">
      <c r="A1047403" s="19"/>
      <c r="B1047403" s="19"/>
      <c r="C1047403" s="19"/>
      <c r="D1047403" s="19"/>
      <c r="E1047403" s="19"/>
      <c r="F1047403" s="19"/>
      <c r="G1047403" s="19"/>
      <c r="H1047403" s="19"/>
      <c r="I1047403" s="19"/>
      <c r="J1047403" s="19"/>
      <c r="K1047403" s="19"/>
      <c r="L1047403" s="19"/>
      <c r="M1047403" s="19"/>
      <c r="N1047403" s="19"/>
    </row>
    <row r="1047404" spans="1:14" s="83" customFormat="1" ht="12.75">
      <c r="A1047404" s="19"/>
      <c r="B1047404" s="19"/>
      <c r="C1047404" s="19"/>
      <c r="D1047404" s="19"/>
      <c r="E1047404" s="19"/>
      <c r="F1047404" s="19"/>
      <c r="G1047404" s="19"/>
      <c r="H1047404" s="19"/>
      <c r="I1047404" s="19"/>
      <c r="J1047404" s="19"/>
      <c r="K1047404" s="19"/>
      <c r="L1047404" s="19"/>
      <c r="M1047404" s="19"/>
      <c r="N1047404" s="19"/>
    </row>
    <row r="1047405" spans="1:14" s="83" customFormat="1" ht="12.75">
      <c r="A1047405" s="19"/>
      <c r="B1047405" s="19"/>
      <c r="C1047405" s="19"/>
      <c r="D1047405" s="19"/>
      <c r="E1047405" s="19"/>
      <c r="F1047405" s="19"/>
      <c r="G1047405" s="19"/>
      <c r="H1047405" s="19"/>
      <c r="I1047405" s="19"/>
      <c r="J1047405" s="19"/>
      <c r="K1047405" s="19"/>
      <c r="L1047405" s="19"/>
      <c r="M1047405" s="19"/>
      <c r="N1047405" s="19"/>
    </row>
    <row r="1047406" spans="1:14" s="83" customFormat="1" ht="12.75">
      <c r="A1047406" s="19"/>
      <c r="B1047406" s="19"/>
      <c r="C1047406" s="19"/>
      <c r="D1047406" s="19"/>
      <c r="E1047406" s="19"/>
      <c r="F1047406" s="19"/>
      <c r="G1047406" s="19"/>
      <c r="H1047406" s="19"/>
      <c r="I1047406" s="19"/>
      <c r="J1047406" s="19"/>
      <c r="K1047406" s="19"/>
      <c r="L1047406" s="19"/>
      <c r="M1047406" s="19"/>
      <c r="N1047406" s="19"/>
    </row>
    <row r="1047407" spans="1:14" s="83" customFormat="1" ht="12.75">
      <c r="A1047407" s="19"/>
      <c r="B1047407" s="19"/>
      <c r="C1047407" s="19"/>
      <c r="D1047407" s="19"/>
      <c r="E1047407" s="19"/>
      <c r="F1047407" s="19"/>
      <c r="G1047407" s="19"/>
      <c r="H1047407" s="19"/>
      <c r="I1047407" s="19"/>
      <c r="J1047407" s="19"/>
      <c r="K1047407" s="19"/>
      <c r="L1047407" s="19"/>
      <c r="M1047407" s="19"/>
      <c r="N1047407" s="19"/>
    </row>
    <row r="1047408" spans="1:14" s="83" customFormat="1" ht="12.75">
      <c r="A1047408" s="19"/>
      <c r="B1047408" s="19"/>
      <c r="C1047408" s="19"/>
      <c r="D1047408" s="19"/>
      <c r="E1047408" s="19"/>
      <c r="F1047408" s="19"/>
      <c r="G1047408" s="19"/>
      <c r="H1047408" s="19"/>
      <c r="I1047408" s="19"/>
      <c r="J1047408" s="19"/>
      <c r="K1047408" s="19"/>
      <c r="L1047408" s="19"/>
      <c r="M1047408" s="19"/>
      <c r="N1047408" s="19"/>
    </row>
    <row r="1047409" spans="1:14" s="83" customFormat="1" ht="12.75">
      <c r="A1047409" s="19"/>
      <c r="B1047409" s="19"/>
      <c r="C1047409" s="19"/>
      <c r="D1047409" s="19"/>
      <c r="E1047409" s="19"/>
      <c r="F1047409" s="19"/>
      <c r="G1047409" s="19"/>
      <c r="H1047409" s="19"/>
      <c r="I1047409" s="19"/>
      <c r="J1047409" s="19"/>
      <c r="K1047409" s="19"/>
      <c r="L1047409" s="19"/>
      <c r="M1047409" s="19"/>
      <c r="N1047409" s="19"/>
    </row>
    <row r="1047410" spans="1:14" s="83" customFormat="1" ht="12.75">
      <c r="A1047410" s="19"/>
      <c r="B1047410" s="19"/>
      <c r="C1047410" s="19"/>
      <c r="D1047410" s="19"/>
      <c r="E1047410" s="19"/>
      <c r="F1047410" s="19"/>
      <c r="G1047410" s="19"/>
      <c r="H1047410" s="19"/>
      <c r="I1047410" s="19"/>
      <c r="J1047410" s="19"/>
      <c r="K1047410" s="19"/>
      <c r="L1047410" s="19"/>
      <c r="M1047410" s="19"/>
      <c r="N1047410" s="19"/>
    </row>
    <row r="1047411" spans="1:14" s="83" customFormat="1" ht="12.75">
      <c r="A1047411" s="19"/>
      <c r="B1047411" s="19"/>
      <c r="C1047411" s="19"/>
      <c r="D1047411" s="19"/>
      <c r="E1047411" s="19"/>
      <c r="F1047411" s="19"/>
      <c r="G1047411" s="19"/>
      <c r="H1047411" s="19"/>
      <c r="I1047411" s="19"/>
      <c r="J1047411" s="19"/>
      <c r="K1047411" s="19"/>
      <c r="L1047411" s="19"/>
      <c r="M1047411" s="19"/>
      <c r="N1047411" s="19"/>
    </row>
    <row r="1047412" spans="1:14" s="83" customFormat="1" ht="12.75">
      <c r="A1047412" s="19"/>
      <c r="B1047412" s="19"/>
      <c r="C1047412" s="19"/>
      <c r="D1047412" s="19"/>
      <c r="E1047412" s="19"/>
      <c r="F1047412" s="19"/>
      <c r="G1047412" s="19"/>
      <c r="H1047412" s="19"/>
      <c r="I1047412" s="19"/>
      <c r="J1047412" s="19"/>
      <c r="K1047412" s="19"/>
      <c r="L1047412" s="19"/>
      <c r="M1047412" s="19"/>
      <c r="N1047412" s="19"/>
    </row>
    <row r="1047413" spans="1:14" s="83" customFormat="1" ht="12.75">
      <c r="A1047413" s="19"/>
      <c r="B1047413" s="19"/>
      <c r="C1047413" s="19"/>
      <c r="D1047413" s="19"/>
      <c r="E1047413" s="19"/>
      <c r="F1047413" s="19"/>
      <c r="G1047413" s="19"/>
      <c r="H1047413" s="19"/>
      <c r="I1047413" s="19"/>
      <c r="J1047413" s="19"/>
      <c r="K1047413" s="19"/>
      <c r="L1047413" s="19"/>
      <c r="M1047413" s="19"/>
      <c r="N1047413" s="19"/>
    </row>
    <row r="1047414" spans="1:14" s="83" customFormat="1" ht="12.75">
      <c r="A1047414" s="19"/>
      <c r="B1047414" s="19"/>
      <c r="C1047414" s="19"/>
      <c r="D1047414" s="19"/>
      <c r="E1047414" s="19"/>
      <c r="F1047414" s="19"/>
      <c r="G1047414" s="19"/>
      <c r="H1047414" s="19"/>
      <c r="I1047414" s="19"/>
      <c r="J1047414" s="19"/>
      <c r="K1047414" s="19"/>
      <c r="L1047414" s="19"/>
      <c r="M1047414" s="19"/>
      <c r="N1047414" s="19"/>
    </row>
    <row r="1047415" spans="1:14" s="83" customFormat="1" ht="12.75">
      <c r="A1047415" s="19"/>
      <c r="B1047415" s="19"/>
      <c r="C1047415" s="19"/>
      <c r="D1047415" s="19"/>
      <c r="E1047415" s="19"/>
      <c r="F1047415" s="19"/>
      <c r="G1047415" s="19"/>
      <c r="H1047415" s="19"/>
      <c r="I1047415" s="19"/>
      <c r="J1047415" s="19"/>
      <c r="K1047415" s="19"/>
      <c r="L1047415" s="19"/>
      <c r="M1047415" s="19"/>
      <c r="N1047415" s="19"/>
    </row>
    <row r="1047416" spans="1:14" s="83" customFormat="1" ht="12.75">
      <c r="A1047416" s="19"/>
      <c r="B1047416" s="19"/>
      <c r="C1047416" s="19"/>
      <c r="D1047416" s="19"/>
      <c r="E1047416" s="19"/>
      <c r="F1047416" s="19"/>
      <c r="G1047416" s="19"/>
      <c r="H1047416" s="19"/>
      <c r="I1047416" s="19"/>
      <c r="J1047416" s="19"/>
      <c r="K1047416" s="19"/>
      <c r="L1047416" s="19"/>
      <c r="M1047416" s="19"/>
      <c r="N1047416" s="19"/>
    </row>
    <row r="1047417" spans="1:14" s="83" customFormat="1" ht="12.75">
      <c r="A1047417" s="19"/>
      <c r="B1047417" s="19"/>
      <c r="C1047417" s="19"/>
      <c r="D1047417" s="19"/>
      <c r="E1047417" s="19"/>
      <c r="F1047417" s="19"/>
      <c r="G1047417" s="19"/>
      <c r="H1047417" s="19"/>
      <c r="I1047417" s="19"/>
      <c r="J1047417" s="19"/>
      <c r="K1047417" s="19"/>
      <c r="L1047417" s="19"/>
      <c r="M1047417" s="19"/>
      <c r="N1047417" s="19"/>
    </row>
    <row r="1047418" spans="1:14" s="83" customFormat="1" ht="12.75">
      <c r="A1047418" s="19"/>
      <c r="B1047418" s="19"/>
      <c r="C1047418" s="19"/>
      <c r="D1047418" s="19"/>
      <c r="E1047418" s="19"/>
      <c r="F1047418" s="19"/>
      <c r="G1047418" s="19"/>
      <c r="H1047418" s="19"/>
      <c r="I1047418" s="19"/>
      <c r="J1047418" s="19"/>
      <c r="K1047418" s="19"/>
      <c r="L1047418" s="19"/>
      <c r="M1047418" s="19"/>
      <c r="N1047418" s="19"/>
    </row>
    <row r="1047419" spans="1:14" s="83" customFormat="1" ht="12.75">
      <c r="A1047419" s="19"/>
      <c r="B1047419" s="19"/>
      <c r="C1047419" s="19"/>
      <c r="D1047419" s="19"/>
      <c r="E1047419" s="19"/>
      <c r="F1047419" s="19"/>
      <c r="G1047419" s="19"/>
      <c r="H1047419" s="19"/>
      <c r="I1047419" s="19"/>
      <c r="J1047419" s="19"/>
      <c r="K1047419" s="19"/>
      <c r="L1047419" s="19"/>
      <c r="M1047419" s="19"/>
      <c r="N1047419" s="19"/>
    </row>
    <row r="1047420" spans="1:14" s="83" customFormat="1" ht="12.75">
      <c r="A1047420" s="19"/>
      <c r="B1047420" s="19"/>
      <c r="C1047420" s="19"/>
      <c r="D1047420" s="19"/>
      <c r="E1047420" s="19"/>
      <c r="F1047420" s="19"/>
      <c r="G1047420" s="19"/>
      <c r="H1047420" s="19"/>
      <c r="I1047420" s="19"/>
      <c r="J1047420" s="19"/>
      <c r="K1047420" s="19"/>
      <c r="L1047420" s="19"/>
      <c r="M1047420" s="19"/>
      <c r="N1047420" s="19"/>
    </row>
    <row r="1047421" spans="1:14" s="83" customFormat="1" ht="12.75">
      <c r="A1047421" s="19"/>
      <c r="B1047421" s="19"/>
      <c r="C1047421" s="19"/>
      <c r="D1047421" s="19"/>
      <c r="E1047421" s="19"/>
      <c r="F1047421" s="19"/>
      <c r="G1047421" s="19"/>
      <c r="H1047421" s="19"/>
      <c r="I1047421" s="19"/>
      <c r="J1047421" s="19"/>
      <c r="K1047421" s="19"/>
      <c r="L1047421" s="19"/>
      <c r="M1047421" s="19"/>
      <c r="N1047421" s="19"/>
    </row>
    <row r="1047422" spans="1:14" s="83" customFormat="1" ht="12.75">
      <c r="A1047422" s="19"/>
      <c r="B1047422" s="19"/>
      <c r="C1047422" s="19"/>
      <c r="D1047422" s="19"/>
      <c r="E1047422" s="19"/>
      <c r="F1047422" s="19"/>
      <c r="G1047422" s="19"/>
      <c r="H1047422" s="19"/>
      <c r="I1047422" s="19"/>
      <c r="J1047422" s="19"/>
      <c r="K1047422" s="19"/>
      <c r="L1047422" s="19"/>
      <c r="M1047422" s="19"/>
      <c r="N1047422" s="19"/>
    </row>
    <row r="1047423" spans="1:14" s="83" customFormat="1" ht="12.75">
      <c r="A1047423" s="19"/>
      <c r="B1047423" s="19"/>
      <c r="C1047423" s="19"/>
      <c r="D1047423" s="19"/>
      <c r="E1047423" s="19"/>
      <c r="F1047423" s="19"/>
      <c r="G1047423" s="19"/>
      <c r="H1047423" s="19"/>
      <c r="I1047423" s="19"/>
      <c r="J1047423" s="19"/>
      <c r="K1047423" s="19"/>
      <c r="L1047423" s="19"/>
      <c r="M1047423" s="19"/>
      <c r="N1047423" s="19"/>
    </row>
    <row r="1047424" spans="1:14" s="83" customFormat="1" ht="12.75">
      <c r="A1047424" s="19"/>
      <c r="B1047424" s="19"/>
      <c r="C1047424" s="19"/>
      <c r="D1047424" s="19"/>
      <c r="E1047424" s="19"/>
      <c r="F1047424" s="19"/>
      <c r="G1047424" s="19"/>
      <c r="H1047424" s="19"/>
      <c r="I1047424" s="19"/>
      <c r="J1047424" s="19"/>
      <c r="K1047424" s="19"/>
      <c r="L1047424" s="19"/>
      <c r="M1047424" s="19"/>
      <c r="N1047424" s="19"/>
    </row>
    <row r="1047425" spans="1:14" s="83" customFormat="1" ht="12.75">
      <c r="A1047425" s="19"/>
      <c r="B1047425" s="19"/>
      <c r="C1047425" s="19"/>
      <c r="D1047425" s="19"/>
      <c r="E1047425" s="19"/>
      <c r="F1047425" s="19"/>
      <c r="G1047425" s="19"/>
      <c r="H1047425" s="19"/>
      <c r="I1047425" s="19"/>
      <c r="J1047425" s="19"/>
      <c r="K1047425" s="19"/>
      <c r="L1047425" s="19"/>
      <c r="M1047425" s="19"/>
      <c r="N1047425" s="19"/>
    </row>
    <row r="1047426" spans="1:14" s="83" customFormat="1" ht="12.75">
      <c r="A1047426" s="19"/>
      <c r="B1047426" s="19"/>
      <c r="C1047426" s="19"/>
      <c r="D1047426" s="19"/>
      <c r="E1047426" s="19"/>
      <c r="F1047426" s="19"/>
      <c r="G1047426" s="19"/>
      <c r="H1047426" s="19"/>
      <c r="I1047426" s="19"/>
      <c r="J1047426" s="19"/>
      <c r="K1047426" s="19"/>
      <c r="L1047426" s="19"/>
      <c r="M1047426" s="19"/>
      <c r="N1047426" s="19"/>
    </row>
    <row r="1047427" spans="1:14" s="83" customFormat="1" ht="12.75">
      <c r="A1047427" s="19"/>
      <c r="B1047427" s="19"/>
      <c r="C1047427" s="19"/>
      <c r="D1047427" s="19"/>
      <c r="E1047427" s="19"/>
      <c r="F1047427" s="19"/>
      <c r="G1047427" s="19"/>
      <c r="H1047427" s="19"/>
      <c r="I1047427" s="19"/>
      <c r="J1047427" s="19"/>
      <c r="K1047427" s="19"/>
      <c r="L1047427" s="19"/>
      <c r="M1047427" s="19"/>
      <c r="N1047427" s="19"/>
    </row>
    <row r="1047428" spans="1:14" s="83" customFormat="1" ht="12.75">
      <c r="A1047428" s="19"/>
      <c r="B1047428" s="19"/>
      <c r="C1047428" s="19"/>
      <c r="D1047428" s="19"/>
      <c r="E1047428" s="19"/>
      <c r="F1047428" s="19"/>
      <c r="G1047428" s="19"/>
      <c r="H1047428" s="19"/>
      <c r="I1047428" s="19"/>
      <c r="J1047428" s="19"/>
      <c r="K1047428" s="19"/>
      <c r="L1047428" s="19"/>
      <c r="M1047428" s="19"/>
      <c r="N1047428" s="19"/>
    </row>
    <row r="1047429" spans="1:14" s="83" customFormat="1" ht="12.75">
      <c r="A1047429" s="19"/>
      <c r="B1047429" s="19"/>
      <c r="C1047429" s="19"/>
      <c r="D1047429" s="19"/>
      <c r="E1047429" s="19"/>
      <c r="F1047429" s="19"/>
      <c r="G1047429" s="19"/>
      <c r="H1047429" s="19"/>
      <c r="I1047429" s="19"/>
      <c r="J1047429" s="19"/>
      <c r="K1047429" s="19"/>
      <c r="L1047429" s="19"/>
      <c r="M1047429" s="19"/>
      <c r="N1047429" s="19"/>
    </row>
    <row r="1047430" spans="1:14" s="83" customFormat="1" ht="12.75">
      <c r="A1047430" s="19"/>
      <c r="B1047430" s="19"/>
      <c r="C1047430" s="19"/>
      <c r="D1047430" s="19"/>
      <c r="E1047430" s="19"/>
      <c r="F1047430" s="19"/>
      <c r="G1047430" s="19"/>
      <c r="H1047430" s="19"/>
      <c r="I1047430" s="19"/>
      <c r="J1047430" s="19"/>
      <c r="K1047430" s="19"/>
      <c r="L1047430" s="19"/>
      <c r="M1047430" s="19"/>
      <c r="N1047430" s="19"/>
    </row>
    <row r="1047431" spans="1:14" s="83" customFormat="1" ht="12.75">
      <c r="A1047431" s="19"/>
      <c r="B1047431" s="19"/>
      <c r="C1047431" s="19"/>
      <c r="D1047431" s="19"/>
      <c r="E1047431" s="19"/>
      <c r="F1047431" s="19"/>
      <c r="G1047431" s="19"/>
      <c r="H1047431" s="19"/>
      <c r="I1047431" s="19"/>
      <c r="J1047431" s="19"/>
      <c r="K1047431" s="19"/>
      <c r="L1047431" s="19"/>
      <c r="M1047431" s="19"/>
      <c r="N1047431" s="19"/>
    </row>
    <row r="1047432" spans="1:14" s="83" customFormat="1" ht="12.75">
      <c r="A1047432" s="19"/>
      <c r="B1047432" s="19"/>
      <c r="C1047432" s="19"/>
      <c r="D1047432" s="19"/>
      <c r="E1047432" s="19"/>
      <c r="F1047432" s="19"/>
      <c r="G1047432" s="19"/>
      <c r="H1047432" s="19"/>
      <c r="I1047432" s="19"/>
      <c r="J1047432" s="19"/>
      <c r="K1047432" s="19"/>
      <c r="L1047432" s="19"/>
      <c r="M1047432" s="19"/>
      <c r="N1047432" s="19"/>
    </row>
    <row r="1047433" spans="1:14" s="83" customFormat="1" ht="12.75">
      <c r="A1047433" s="19"/>
      <c r="B1047433" s="19"/>
      <c r="C1047433" s="19"/>
      <c r="D1047433" s="19"/>
      <c r="E1047433" s="19"/>
      <c r="F1047433" s="19"/>
      <c r="G1047433" s="19"/>
      <c r="H1047433" s="19"/>
      <c r="I1047433" s="19"/>
      <c r="J1047433" s="19"/>
      <c r="K1047433" s="19"/>
      <c r="L1047433" s="19"/>
      <c r="M1047433" s="19"/>
      <c r="N1047433" s="19"/>
    </row>
    <row r="1047434" spans="1:14" s="83" customFormat="1" ht="12.75">
      <c r="A1047434" s="19"/>
      <c r="B1047434" s="19"/>
      <c r="C1047434" s="19"/>
      <c r="D1047434" s="19"/>
      <c r="E1047434" s="19"/>
      <c r="F1047434" s="19"/>
      <c r="G1047434" s="19"/>
      <c r="H1047434" s="19"/>
      <c r="I1047434" s="19"/>
      <c r="J1047434" s="19"/>
      <c r="K1047434" s="19"/>
      <c r="L1047434" s="19"/>
      <c r="M1047434" s="19"/>
      <c r="N1047434" s="19"/>
    </row>
    <row r="1047435" spans="1:14" s="83" customFormat="1" ht="12.75">
      <c r="A1047435" s="19"/>
      <c r="B1047435" s="19"/>
      <c r="C1047435" s="19"/>
      <c r="D1047435" s="19"/>
      <c r="E1047435" s="19"/>
      <c r="F1047435" s="19"/>
      <c r="G1047435" s="19"/>
      <c r="H1047435" s="19"/>
      <c r="I1047435" s="19"/>
      <c r="J1047435" s="19"/>
      <c r="K1047435" s="19"/>
      <c r="L1047435" s="19"/>
      <c r="M1047435" s="19"/>
      <c r="N1047435" s="19"/>
    </row>
    <row r="1047436" spans="1:14" s="83" customFormat="1" ht="12.75">
      <c r="A1047436" s="19"/>
      <c r="B1047436" s="19"/>
      <c r="C1047436" s="19"/>
      <c r="D1047436" s="19"/>
      <c r="E1047436" s="19"/>
      <c r="F1047436" s="19"/>
      <c r="G1047436" s="19"/>
      <c r="H1047436" s="19"/>
      <c r="I1047436" s="19"/>
      <c r="J1047436" s="19"/>
      <c r="K1047436" s="19"/>
      <c r="L1047436" s="19"/>
      <c r="M1047436" s="19"/>
      <c r="N1047436" s="19"/>
    </row>
    <row r="1047437" spans="1:14" s="83" customFormat="1" ht="12.75">
      <c r="A1047437" s="19"/>
      <c r="B1047437" s="19"/>
      <c r="C1047437" s="19"/>
      <c r="D1047437" s="19"/>
      <c r="E1047437" s="19"/>
      <c r="F1047437" s="19"/>
      <c r="G1047437" s="19"/>
      <c r="H1047437" s="19"/>
      <c r="I1047437" s="19"/>
      <c r="J1047437" s="19"/>
      <c r="K1047437" s="19"/>
      <c r="L1047437" s="19"/>
      <c r="M1047437" s="19"/>
      <c r="N1047437" s="19"/>
    </row>
    <row r="1047438" spans="1:14" s="83" customFormat="1" ht="12.75">
      <c r="A1047438" s="19"/>
      <c r="B1047438" s="19"/>
      <c r="C1047438" s="19"/>
      <c r="D1047438" s="19"/>
      <c r="E1047438" s="19"/>
      <c r="F1047438" s="19"/>
      <c r="G1047438" s="19"/>
      <c r="H1047438" s="19"/>
      <c r="I1047438" s="19"/>
      <c r="J1047438" s="19"/>
      <c r="K1047438" s="19"/>
      <c r="L1047438" s="19"/>
      <c r="M1047438" s="19"/>
      <c r="N1047438" s="19"/>
    </row>
    <row r="1047439" spans="1:14" s="83" customFormat="1" ht="12.75">
      <c r="A1047439" s="19"/>
      <c r="B1047439" s="19"/>
      <c r="C1047439" s="19"/>
      <c r="D1047439" s="19"/>
      <c r="E1047439" s="19"/>
      <c r="F1047439" s="19"/>
      <c r="G1047439" s="19"/>
      <c r="H1047439" s="19"/>
      <c r="I1047439" s="19"/>
      <c r="J1047439" s="19"/>
      <c r="K1047439" s="19"/>
      <c r="L1047439" s="19"/>
      <c r="M1047439" s="19"/>
      <c r="N1047439" s="19"/>
    </row>
    <row r="1047440" spans="1:14" s="83" customFormat="1" ht="12.75">
      <c r="A1047440" s="19"/>
      <c r="B1047440" s="19"/>
      <c r="C1047440" s="19"/>
      <c r="D1047440" s="19"/>
      <c r="E1047440" s="19"/>
      <c r="F1047440" s="19"/>
      <c r="G1047440" s="19"/>
      <c r="H1047440" s="19"/>
      <c r="I1047440" s="19"/>
      <c r="J1047440" s="19"/>
      <c r="K1047440" s="19"/>
      <c r="L1047440" s="19"/>
      <c r="M1047440" s="19"/>
      <c r="N1047440" s="19"/>
    </row>
    <row r="1047441" spans="1:14" s="83" customFormat="1" ht="12.75">
      <c r="A1047441" s="19"/>
      <c r="B1047441" s="19"/>
      <c r="C1047441" s="19"/>
      <c r="D1047441" s="19"/>
      <c r="E1047441" s="19"/>
      <c r="F1047441" s="19"/>
      <c r="G1047441" s="19"/>
      <c r="H1047441" s="19"/>
      <c r="I1047441" s="19"/>
      <c r="J1047441" s="19"/>
      <c r="K1047441" s="19"/>
      <c r="L1047441" s="19"/>
      <c r="M1047441" s="19"/>
      <c r="N1047441" s="19"/>
    </row>
    <row r="1047442" spans="1:14" s="83" customFormat="1" ht="12.75">
      <c r="A1047442" s="19"/>
      <c r="B1047442" s="19"/>
      <c r="C1047442" s="19"/>
      <c r="D1047442" s="19"/>
      <c r="E1047442" s="19"/>
      <c r="F1047442" s="19"/>
      <c r="G1047442" s="19"/>
      <c r="H1047442" s="19"/>
      <c r="I1047442" s="19"/>
      <c r="J1047442" s="19"/>
      <c r="K1047442" s="19"/>
      <c r="L1047442" s="19"/>
      <c r="M1047442" s="19"/>
      <c r="N1047442" s="19"/>
    </row>
    <row r="1047443" spans="1:14" s="83" customFormat="1" ht="12.75">
      <c r="A1047443" s="19"/>
      <c r="B1047443" s="19"/>
      <c r="C1047443" s="19"/>
      <c r="D1047443" s="19"/>
      <c r="E1047443" s="19"/>
      <c r="F1047443" s="19"/>
      <c r="G1047443" s="19"/>
      <c r="H1047443" s="19"/>
      <c r="I1047443" s="19"/>
      <c r="J1047443" s="19"/>
      <c r="K1047443" s="19"/>
      <c r="L1047443" s="19"/>
      <c r="M1047443" s="19"/>
      <c r="N1047443" s="19"/>
    </row>
    <row r="1047444" spans="1:14" s="83" customFormat="1" ht="12.75">
      <c r="A1047444" s="19"/>
      <c r="B1047444" s="19"/>
      <c r="C1047444" s="19"/>
      <c r="D1047444" s="19"/>
      <c r="E1047444" s="19"/>
      <c r="F1047444" s="19"/>
      <c r="G1047444" s="19"/>
      <c r="H1047444" s="19"/>
      <c r="I1047444" s="19"/>
      <c r="J1047444" s="19"/>
      <c r="K1047444" s="19"/>
      <c r="L1047444" s="19"/>
      <c r="M1047444" s="19"/>
      <c r="N1047444" s="19"/>
    </row>
    <row r="1047445" spans="1:14" s="83" customFormat="1" ht="12.75">
      <c r="A1047445" s="19"/>
      <c r="B1047445" s="19"/>
      <c r="C1047445" s="19"/>
      <c r="D1047445" s="19"/>
      <c r="E1047445" s="19"/>
      <c r="F1047445" s="19"/>
      <c r="G1047445" s="19"/>
      <c r="H1047445" s="19"/>
      <c r="I1047445" s="19"/>
      <c r="J1047445" s="19"/>
      <c r="K1047445" s="19"/>
      <c r="L1047445" s="19"/>
      <c r="M1047445" s="19"/>
      <c r="N1047445" s="19"/>
    </row>
    <row r="1047446" spans="1:14" s="83" customFormat="1" ht="12.75">
      <c r="A1047446" s="19"/>
      <c r="B1047446" s="19"/>
      <c r="C1047446" s="19"/>
      <c r="D1047446" s="19"/>
      <c r="E1047446" s="19"/>
      <c r="F1047446" s="19"/>
      <c r="G1047446" s="19"/>
      <c r="H1047446" s="19"/>
      <c r="I1047446" s="19"/>
      <c r="J1047446" s="19"/>
      <c r="K1047446" s="19"/>
      <c r="L1047446" s="19"/>
      <c r="M1047446" s="19"/>
      <c r="N1047446" s="19"/>
    </row>
    <row r="1047447" spans="1:14" s="83" customFormat="1" ht="12.75">
      <c r="A1047447" s="19"/>
      <c r="B1047447" s="19"/>
      <c r="C1047447" s="19"/>
      <c r="D1047447" s="19"/>
      <c r="E1047447" s="19"/>
      <c r="F1047447" s="19"/>
      <c r="G1047447" s="19"/>
      <c r="H1047447" s="19"/>
      <c r="I1047447" s="19"/>
      <c r="J1047447" s="19"/>
      <c r="K1047447" s="19"/>
      <c r="L1047447" s="19"/>
      <c r="M1047447" s="19"/>
      <c r="N1047447" s="19"/>
    </row>
    <row r="1047448" spans="1:14" s="83" customFormat="1" ht="12.75">
      <c r="A1047448" s="19"/>
      <c r="B1047448" s="19"/>
      <c r="C1047448" s="19"/>
      <c r="D1047448" s="19"/>
      <c r="E1047448" s="19"/>
      <c r="F1047448" s="19"/>
      <c r="G1047448" s="19"/>
      <c r="H1047448" s="19"/>
      <c r="I1047448" s="19"/>
      <c r="J1047448" s="19"/>
      <c r="K1047448" s="19"/>
      <c r="L1047448" s="19"/>
      <c r="M1047448" s="19"/>
      <c r="N1047448" s="19"/>
    </row>
    <row r="1047449" spans="1:14" s="83" customFormat="1" ht="12.75">
      <c r="A1047449" s="19"/>
      <c r="B1047449" s="19"/>
      <c r="C1047449" s="19"/>
      <c r="D1047449" s="19"/>
      <c r="E1047449" s="19"/>
      <c r="F1047449" s="19"/>
      <c r="G1047449" s="19"/>
      <c r="H1047449" s="19"/>
      <c r="I1047449" s="19"/>
      <c r="J1047449" s="19"/>
      <c r="K1047449" s="19"/>
      <c r="L1047449" s="19"/>
      <c r="M1047449" s="19"/>
      <c r="N1047449" s="19"/>
    </row>
    <row r="1047450" spans="1:14" s="83" customFormat="1" ht="12.75">
      <c r="A1047450" s="19"/>
      <c r="B1047450" s="19"/>
      <c r="C1047450" s="19"/>
      <c r="D1047450" s="19"/>
      <c r="E1047450" s="19"/>
      <c r="F1047450" s="19"/>
      <c r="G1047450" s="19"/>
      <c r="H1047450" s="19"/>
      <c r="I1047450" s="19"/>
      <c r="J1047450" s="19"/>
      <c r="K1047450" s="19"/>
      <c r="L1047450" s="19"/>
      <c r="M1047450" s="19"/>
      <c r="N1047450" s="19"/>
    </row>
    <row r="1047451" spans="1:14" s="83" customFormat="1" ht="12.75">
      <c r="A1047451" s="19"/>
      <c r="B1047451" s="19"/>
      <c r="C1047451" s="19"/>
      <c r="D1047451" s="19"/>
      <c r="E1047451" s="19"/>
      <c r="F1047451" s="19"/>
      <c r="G1047451" s="19"/>
      <c r="H1047451" s="19"/>
      <c r="I1047451" s="19"/>
      <c r="J1047451" s="19"/>
      <c r="K1047451" s="19"/>
      <c r="L1047451" s="19"/>
      <c r="M1047451" s="19"/>
      <c r="N1047451" s="19"/>
    </row>
    <row r="1047452" spans="1:14" s="83" customFormat="1" ht="12.75">
      <c r="A1047452" s="19"/>
      <c r="B1047452" s="19"/>
      <c r="C1047452" s="19"/>
      <c r="D1047452" s="19"/>
      <c r="E1047452" s="19"/>
      <c r="F1047452" s="19"/>
      <c r="G1047452" s="19"/>
      <c r="H1047452" s="19"/>
      <c r="I1047452" s="19"/>
      <c r="J1047452" s="19"/>
      <c r="K1047452" s="19"/>
      <c r="L1047452" s="19"/>
      <c r="M1047452" s="19"/>
      <c r="N1047452" s="19"/>
    </row>
    <row r="1047453" spans="1:14" s="83" customFormat="1" ht="12.75">
      <c r="A1047453" s="19"/>
      <c r="B1047453" s="19"/>
      <c r="C1047453" s="19"/>
      <c r="D1047453" s="19"/>
      <c r="E1047453" s="19"/>
      <c r="F1047453" s="19"/>
      <c r="G1047453" s="19"/>
      <c r="H1047453" s="19"/>
      <c r="I1047453" s="19"/>
      <c r="J1047453" s="19"/>
      <c r="K1047453" s="19"/>
      <c r="L1047453" s="19"/>
      <c r="M1047453" s="19"/>
      <c r="N1047453" s="19"/>
    </row>
    <row r="1047454" spans="1:14" s="83" customFormat="1" ht="12.75">
      <c r="A1047454" s="19"/>
      <c r="B1047454" s="19"/>
      <c r="C1047454" s="19"/>
      <c r="D1047454" s="19"/>
      <c r="E1047454" s="19"/>
      <c r="F1047454" s="19"/>
      <c r="G1047454" s="19"/>
      <c r="H1047454" s="19"/>
      <c r="I1047454" s="19"/>
      <c r="J1047454" s="19"/>
      <c r="K1047454" s="19"/>
      <c r="L1047454" s="19"/>
      <c r="M1047454" s="19"/>
      <c r="N1047454" s="19"/>
    </row>
    <row r="1047455" spans="1:14" s="83" customFormat="1" ht="12.75">
      <c r="A1047455" s="19"/>
      <c r="B1047455" s="19"/>
      <c r="C1047455" s="19"/>
      <c r="D1047455" s="19"/>
      <c r="E1047455" s="19"/>
      <c r="F1047455" s="19"/>
      <c r="G1047455" s="19"/>
      <c r="H1047455" s="19"/>
      <c r="I1047455" s="19"/>
      <c r="J1047455" s="19"/>
      <c r="K1047455" s="19"/>
      <c r="L1047455" s="19"/>
      <c r="M1047455" s="19"/>
      <c r="N1047455" s="19"/>
    </row>
    <row r="1047456" spans="1:14" s="83" customFormat="1" ht="12.75">
      <c r="A1047456" s="19"/>
      <c r="B1047456" s="19"/>
      <c r="C1047456" s="19"/>
      <c r="D1047456" s="19"/>
      <c r="E1047456" s="19"/>
      <c r="F1047456" s="19"/>
      <c r="G1047456" s="19"/>
      <c r="H1047456" s="19"/>
      <c r="I1047456" s="19"/>
      <c r="J1047456" s="19"/>
      <c r="K1047456" s="19"/>
      <c r="L1047456" s="19"/>
      <c r="M1047456" s="19"/>
      <c r="N1047456" s="19"/>
    </row>
    <row r="1047457" spans="1:14" s="83" customFormat="1" ht="12.75">
      <c r="A1047457" s="19"/>
      <c r="B1047457" s="19"/>
      <c r="C1047457" s="19"/>
      <c r="D1047457" s="19"/>
      <c r="E1047457" s="19"/>
      <c r="F1047457" s="19"/>
      <c r="G1047457" s="19"/>
      <c r="H1047457" s="19"/>
      <c r="I1047457" s="19"/>
      <c r="J1047457" s="19"/>
      <c r="K1047457" s="19"/>
      <c r="L1047457" s="19"/>
      <c r="M1047457" s="19"/>
      <c r="N1047457" s="19"/>
    </row>
    <row r="1047458" spans="1:14" s="83" customFormat="1" ht="12.75">
      <c r="A1047458" s="19"/>
      <c r="B1047458" s="19"/>
      <c r="C1047458" s="19"/>
      <c r="D1047458" s="19"/>
      <c r="E1047458" s="19"/>
      <c r="F1047458" s="19"/>
      <c r="G1047458" s="19"/>
      <c r="H1047458" s="19"/>
      <c r="I1047458" s="19"/>
      <c r="J1047458" s="19"/>
      <c r="K1047458" s="19"/>
      <c r="L1047458" s="19"/>
      <c r="M1047458" s="19"/>
      <c r="N1047458" s="19"/>
    </row>
    <row r="1047459" spans="1:14" s="83" customFormat="1" ht="12.75">
      <c r="A1047459" s="19"/>
      <c r="B1047459" s="19"/>
      <c r="C1047459" s="19"/>
      <c r="D1047459" s="19"/>
      <c r="E1047459" s="19"/>
      <c r="F1047459" s="19"/>
      <c r="G1047459" s="19"/>
      <c r="H1047459" s="19"/>
      <c r="I1047459" s="19"/>
      <c r="J1047459" s="19"/>
      <c r="K1047459" s="19"/>
      <c r="L1047459" s="19"/>
      <c r="M1047459" s="19"/>
      <c r="N1047459" s="19"/>
    </row>
    <row r="1047460" spans="1:14" s="83" customFormat="1" ht="12.75">
      <c r="A1047460" s="19"/>
      <c r="B1047460" s="19"/>
      <c r="C1047460" s="19"/>
      <c r="D1047460" s="19"/>
      <c r="E1047460" s="19"/>
      <c r="F1047460" s="19"/>
      <c r="G1047460" s="19"/>
      <c r="H1047460" s="19"/>
      <c r="I1047460" s="19"/>
      <c r="J1047460" s="19"/>
      <c r="K1047460" s="19"/>
      <c r="L1047460" s="19"/>
      <c r="M1047460" s="19"/>
      <c r="N1047460" s="19"/>
    </row>
    <row r="1047461" spans="1:14" s="83" customFormat="1" ht="12.75">
      <c r="A1047461" s="19"/>
      <c r="B1047461" s="19"/>
      <c r="C1047461" s="19"/>
      <c r="D1047461" s="19"/>
      <c r="E1047461" s="19"/>
      <c r="F1047461" s="19"/>
      <c r="G1047461" s="19"/>
      <c r="H1047461" s="19"/>
      <c r="I1047461" s="19"/>
      <c r="J1047461" s="19"/>
      <c r="K1047461" s="19"/>
      <c r="L1047461" s="19"/>
      <c r="M1047461" s="19"/>
      <c r="N1047461" s="19"/>
    </row>
    <row r="1047462" spans="1:14" s="83" customFormat="1" ht="12.75">
      <c r="A1047462" s="19"/>
      <c r="B1047462" s="19"/>
      <c r="C1047462" s="19"/>
      <c r="D1047462" s="19"/>
      <c r="E1047462" s="19"/>
      <c r="F1047462" s="19"/>
      <c r="G1047462" s="19"/>
      <c r="H1047462" s="19"/>
      <c r="I1047462" s="19"/>
      <c r="J1047462" s="19"/>
      <c r="K1047462" s="19"/>
      <c r="L1047462" s="19"/>
      <c r="M1047462" s="19"/>
      <c r="N1047462" s="19"/>
    </row>
    <row r="1047463" spans="1:14" s="83" customFormat="1" ht="12.75">
      <c r="A1047463" s="19"/>
      <c r="B1047463" s="19"/>
      <c r="C1047463" s="19"/>
      <c r="D1047463" s="19"/>
      <c r="E1047463" s="19"/>
      <c r="F1047463" s="19"/>
      <c r="G1047463" s="19"/>
      <c r="H1047463" s="19"/>
      <c r="I1047463" s="19"/>
      <c r="J1047463" s="19"/>
      <c r="K1047463" s="19"/>
      <c r="L1047463" s="19"/>
      <c r="M1047463" s="19"/>
      <c r="N1047463" s="19"/>
    </row>
    <row r="1047464" spans="1:14" s="83" customFormat="1" ht="12.75">
      <c r="A1047464" s="19"/>
      <c r="B1047464" s="19"/>
      <c r="C1047464" s="19"/>
      <c r="D1047464" s="19"/>
      <c r="E1047464" s="19"/>
      <c r="F1047464" s="19"/>
      <c r="G1047464" s="19"/>
      <c r="H1047464" s="19"/>
      <c r="I1047464" s="19"/>
      <c r="J1047464" s="19"/>
      <c r="K1047464" s="19"/>
      <c r="L1047464" s="19"/>
      <c r="M1047464" s="19"/>
      <c r="N1047464" s="19"/>
    </row>
    <row r="1047465" spans="1:14" s="83" customFormat="1" ht="12.75">
      <c r="A1047465" s="19"/>
      <c r="B1047465" s="19"/>
      <c r="C1047465" s="19"/>
      <c r="D1047465" s="19"/>
      <c r="E1047465" s="19"/>
      <c r="F1047465" s="19"/>
      <c r="G1047465" s="19"/>
      <c r="H1047465" s="19"/>
      <c r="I1047465" s="19"/>
      <c r="J1047465" s="19"/>
      <c r="K1047465" s="19"/>
      <c r="L1047465" s="19"/>
      <c r="M1047465" s="19"/>
      <c r="N1047465" s="19"/>
    </row>
    <row r="1047466" spans="1:14" s="83" customFormat="1" ht="12.75">
      <c r="A1047466" s="19"/>
      <c r="B1047466" s="19"/>
      <c r="C1047466" s="19"/>
      <c r="D1047466" s="19"/>
      <c r="E1047466" s="19"/>
      <c r="F1047466" s="19"/>
      <c r="G1047466" s="19"/>
      <c r="H1047466" s="19"/>
      <c r="I1047466" s="19"/>
      <c r="J1047466" s="19"/>
      <c r="K1047466" s="19"/>
      <c r="L1047466" s="19"/>
      <c r="M1047466" s="19"/>
      <c r="N1047466" s="19"/>
    </row>
    <row r="1047467" spans="1:14" s="83" customFormat="1" ht="12.75">
      <c r="A1047467" s="19"/>
      <c r="B1047467" s="19"/>
      <c r="C1047467" s="19"/>
      <c r="D1047467" s="19"/>
      <c r="E1047467" s="19"/>
      <c r="F1047467" s="19"/>
      <c r="G1047467" s="19"/>
      <c r="H1047467" s="19"/>
      <c r="I1047467" s="19"/>
      <c r="J1047467" s="19"/>
      <c r="K1047467" s="19"/>
      <c r="L1047467" s="19"/>
      <c r="M1047467" s="19"/>
      <c r="N1047467" s="19"/>
    </row>
    <row r="1047468" spans="1:14" s="83" customFormat="1" ht="12.75">
      <c r="A1047468" s="19"/>
      <c r="B1047468" s="19"/>
      <c r="C1047468" s="19"/>
      <c r="D1047468" s="19"/>
      <c r="E1047468" s="19"/>
      <c r="F1047468" s="19"/>
      <c r="G1047468" s="19"/>
      <c r="H1047468" s="19"/>
      <c r="I1047468" s="19"/>
      <c r="J1047468" s="19"/>
      <c r="K1047468" s="19"/>
      <c r="L1047468" s="19"/>
      <c r="M1047468" s="19"/>
      <c r="N1047468" s="19"/>
    </row>
    <row r="1047469" spans="1:14" s="83" customFormat="1" ht="12.75">
      <c r="A1047469" s="19"/>
      <c r="B1047469" s="19"/>
      <c r="C1047469" s="19"/>
      <c r="D1047469" s="19"/>
      <c r="E1047469" s="19"/>
      <c r="F1047469" s="19"/>
      <c r="G1047469" s="19"/>
      <c r="H1047469" s="19"/>
      <c r="I1047469" s="19"/>
      <c r="J1047469" s="19"/>
      <c r="K1047469" s="19"/>
      <c r="L1047469" s="19"/>
      <c r="M1047469" s="19"/>
      <c r="N1047469" s="19"/>
    </row>
    <row r="1047470" spans="1:14" s="83" customFormat="1" ht="12.75">
      <c r="A1047470" s="19"/>
      <c r="B1047470" s="19"/>
      <c r="C1047470" s="19"/>
      <c r="D1047470" s="19"/>
      <c r="E1047470" s="19"/>
      <c r="F1047470" s="19"/>
      <c r="G1047470" s="19"/>
      <c r="H1047470" s="19"/>
      <c r="I1047470" s="19"/>
      <c r="J1047470" s="19"/>
      <c r="K1047470" s="19"/>
      <c r="L1047470" s="19"/>
      <c r="M1047470" s="19"/>
      <c r="N1047470" s="19"/>
    </row>
    <row r="1047471" spans="1:14" s="83" customFormat="1" ht="12.75">
      <c r="A1047471" s="19"/>
      <c r="B1047471" s="19"/>
      <c r="C1047471" s="19"/>
      <c r="D1047471" s="19"/>
      <c r="E1047471" s="19"/>
      <c r="F1047471" s="19"/>
      <c r="G1047471" s="19"/>
      <c r="H1047471" s="19"/>
      <c r="I1047471" s="19"/>
      <c r="J1047471" s="19"/>
      <c r="K1047471" s="19"/>
      <c r="L1047471" s="19"/>
      <c r="M1047471" s="19"/>
      <c r="N1047471" s="19"/>
    </row>
    <row r="1047472" spans="1:14" s="83" customFormat="1" ht="12.75">
      <c r="A1047472" s="19"/>
      <c r="B1047472" s="19"/>
      <c r="C1047472" s="19"/>
      <c r="D1047472" s="19"/>
      <c r="E1047472" s="19"/>
      <c r="F1047472" s="19"/>
      <c r="G1047472" s="19"/>
      <c r="H1047472" s="19"/>
      <c r="I1047472" s="19"/>
      <c r="J1047472" s="19"/>
      <c r="K1047472" s="19"/>
      <c r="L1047472" s="19"/>
      <c r="M1047472" s="19"/>
      <c r="N1047472" s="19"/>
    </row>
    <row r="1047473" spans="1:14" s="83" customFormat="1" ht="12.75">
      <c r="A1047473" s="19"/>
      <c r="B1047473" s="19"/>
      <c r="C1047473" s="19"/>
      <c r="D1047473" s="19"/>
      <c r="E1047473" s="19"/>
      <c r="F1047473" s="19"/>
      <c r="G1047473" s="19"/>
      <c r="H1047473" s="19"/>
      <c r="I1047473" s="19"/>
      <c r="J1047473" s="19"/>
      <c r="K1047473" s="19"/>
      <c r="L1047473" s="19"/>
      <c r="M1047473" s="19"/>
      <c r="N1047473" s="19"/>
    </row>
    <row r="1047474" spans="1:14" s="83" customFormat="1" ht="12.75">
      <c r="A1047474" s="19"/>
      <c r="B1047474" s="19"/>
      <c r="C1047474" s="19"/>
      <c r="D1047474" s="19"/>
      <c r="E1047474" s="19"/>
      <c r="F1047474" s="19"/>
      <c r="G1047474" s="19"/>
      <c r="H1047474" s="19"/>
      <c r="I1047474" s="19"/>
      <c r="J1047474" s="19"/>
      <c r="K1047474" s="19"/>
      <c r="L1047474" s="19"/>
      <c r="M1047474" s="19"/>
      <c r="N1047474" s="19"/>
    </row>
    <row r="1047475" spans="1:14" s="83" customFormat="1" ht="12.75">
      <c r="A1047475" s="19"/>
      <c r="B1047475" s="19"/>
      <c r="C1047475" s="19"/>
      <c r="D1047475" s="19"/>
      <c r="E1047475" s="19"/>
      <c r="F1047475" s="19"/>
      <c r="G1047475" s="19"/>
      <c r="H1047475" s="19"/>
      <c r="I1047475" s="19"/>
      <c r="J1047475" s="19"/>
      <c r="K1047475" s="19"/>
      <c r="L1047475" s="19"/>
      <c r="M1047475" s="19"/>
      <c r="N1047475" s="19"/>
    </row>
    <row r="1047476" spans="1:14" s="83" customFormat="1" ht="12.75">
      <c r="A1047476" s="19"/>
      <c r="B1047476" s="19"/>
      <c r="C1047476" s="19"/>
      <c r="D1047476" s="19"/>
      <c r="E1047476" s="19"/>
      <c r="F1047476" s="19"/>
      <c r="G1047476" s="19"/>
      <c r="H1047476" s="19"/>
      <c r="I1047476" s="19"/>
      <c r="J1047476" s="19"/>
      <c r="K1047476" s="19"/>
      <c r="L1047476" s="19"/>
      <c r="M1047476" s="19"/>
      <c r="N1047476" s="19"/>
    </row>
    <row r="1047477" spans="1:14" s="83" customFormat="1" ht="12.75">
      <c r="A1047477" s="19"/>
      <c r="B1047477" s="19"/>
      <c r="C1047477" s="19"/>
      <c r="D1047477" s="19"/>
      <c r="E1047477" s="19"/>
      <c r="F1047477" s="19"/>
      <c r="G1047477" s="19"/>
      <c r="H1047477" s="19"/>
      <c r="I1047477" s="19"/>
      <c r="J1047477" s="19"/>
      <c r="K1047477" s="19"/>
      <c r="L1047477" s="19"/>
      <c r="M1047477" s="19"/>
      <c r="N1047477" s="19"/>
    </row>
    <row r="1047478" spans="1:14" s="83" customFormat="1" ht="12.75">
      <c r="A1047478" s="19"/>
      <c r="B1047478" s="19"/>
      <c r="C1047478" s="19"/>
      <c r="D1047478" s="19"/>
      <c r="E1047478" s="19"/>
      <c r="F1047478" s="19"/>
      <c r="G1047478" s="19"/>
      <c r="H1047478" s="19"/>
      <c r="I1047478" s="19"/>
      <c r="J1047478" s="19"/>
      <c r="K1047478" s="19"/>
      <c r="L1047478" s="19"/>
      <c r="M1047478" s="19"/>
      <c r="N1047478" s="19"/>
    </row>
    <row r="1047479" spans="1:14" s="83" customFormat="1" ht="12.75">
      <c r="A1047479" s="19"/>
      <c r="B1047479" s="19"/>
      <c r="C1047479" s="19"/>
      <c r="D1047479" s="19"/>
      <c r="E1047479" s="19"/>
      <c r="F1047479" s="19"/>
      <c r="G1047479" s="19"/>
      <c r="H1047479" s="19"/>
      <c r="I1047479" s="19"/>
      <c r="J1047479" s="19"/>
      <c r="K1047479" s="19"/>
      <c r="L1047479" s="19"/>
      <c r="M1047479" s="19"/>
      <c r="N1047479" s="19"/>
    </row>
    <row r="1047480" spans="1:14" s="83" customFormat="1" ht="12.75">
      <c r="A1047480" s="19"/>
      <c r="B1047480" s="19"/>
      <c r="C1047480" s="19"/>
      <c r="D1047480" s="19"/>
      <c r="E1047480" s="19"/>
      <c r="F1047480" s="19"/>
      <c r="G1047480" s="19"/>
      <c r="H1047480" s="19"/>
      <c r="I1047480" s="19"/>
      <c r="J1047480" s="19"/>
      <c r="K1047480" s="19"/>
      <c r="L1047480" s="19"/>
      <c r="M1047480" s="19"/>
      <c r="N1047480" s="19"/>
    </row>
    <row r="1047481" spans="1:14" s="83" customFormat="1" ht="12.75">
      <c r="A1047481" s="19"/>
      <c r="B1047481" s="19"/>
      <c r="C1047481" s="19"/>
      <c r="D1047481" s="19"/>
      <c r="E1047481" s="19"/>
      <c r="F1047481" s="19"/>
      <c r="G1047481" s="19"/>
      <c r="H1047481" s="19"/>
      <c r="I1047481" s="19"/>
      <c r="J1047481" s="19"/>
      <c r="K1047481" s="19"/>
      <c r="L1047481" s="19"/>
      <c r="M1047481" s="19"/>
      <c r="N1047481" s="19"/>
    </row>
    <row r="1047482" spans="1:14" s="83" customFormat="1" ht="12.75">
      <c r="A1047482" s="19"/>
      <c r="B1047482" s="19"/>
      <c r="C1047482" s="19"/>
      <c r="D1047482" s="19"/>
      <c r="E1047482" s="19"/>
      <c r="F1047482" s="19"/>
      <c r="G1047482" s="19"/>
      <c r="H1047482" s="19"/>
      <c r="I1047482" s="19"/>
      <c r="J1047482" s="19"/>
      <c r="K1047482" s="19"/>
      <c r="L1047482" s="19"/>
      <c r="M1047482" s="19"/>
      <c r="N1047482" s="19"/>
    </row>
    <row r="1047483" spans="1:14" s="83" customFormat="1" ht="12.75">
      <c r="A1047483" s="19"/>
      <c r="B1047483" s="19"/>
      <c r="C1047483" s="19"/>
      <c r="D1047483" s="19"/>
      <c r="E1047483" s="19"/>
      <c r="F1047483" s="19"/>
      <c r="G1047483" s="19"/>
      <c r="H1047483" s="19"/>
      <c r="I1047483" s="19"/>
      <c r="J1047483" s="19"/>
      <c r="K1047483" s="19"/>
      <c r="L1047483" s="19"/>
      <c r="M1047483" s="19"/>
      <c r="N1047483" s="19"/>
    </row>
    <row r="1047484" spans="1:14" s="83" customFormat="1" ht="12.75">
      <c r="A1047484" s="19"/>
      <c r="B1047484" s="19"/>
      <c r="C1047484" s="19"/>
      <c r="D1047484" s="19"/>
      <c r="E1047484" s="19"/>
      <c r="F1047484" s="19"/>
      <c r="G1047484" s="19"/>
      <c r="H1047484" s="19"/>
      <c r="I1047484" s="19"/>
      <c r="J1047484" s="19"/>
      <c r="K1047484" s="19"/>
      <c r="L1047484" s="19"/>
      <c r="M1047484" s="19"/>
      <c r="N1047484" s="19"/>
    </row>
    <row r="1047485" spans="1:14" s="83" customFormat="1" ht="12.75">
      <c r="A1047485" s="19"/>
      <c r="B1047485" s="19"/>
      <c r="C1047485" s="19"/>
      <c r="D1047485" s="19"/>
      <c r="E1047485" s="19"/>
      <c r="F1047485" s="19"/>
      <c r="G1047485" s="19"/>
      <c r="H1047485" s="19"/>
      <c r="I1047485" s="19"/>
      <c r="J1047485" s="19"/>
      <c r="K1047485" s="19"/>
      <c r="L1047485" s="19"/>
      <c r="M1047485" s="19"/>
      <c r="N1047485" s="19"/>
    </row>
    <row r="1047486" spans="1:14" s="83" customFormat="1" ht="12.75">
      <c r="A1047486" s="19"/>
      <c r="B1047486" s="19"/>
      <c r="C1047486" s="19"/>
      <c r="D1047486" s="19"/>
      <c r="E1047486" s="19"/>
      <c r="F1047486" s="19"/>
      <c r="G1047486" s="19"/>
      <c r="H1047486" s="19"/>
      <c r="I1047486" s="19"/>
      <c r="J1047486" s="19"/>
      <c r="K1047486" s="19"/>
      <c r="L1047486" s="19"/>
      <c r="M1047486" s="19"/>
      <c r="N1047486" s="19"/>
    </row>
    <row r="1047487" spans="1:14" s="83" customFormat="1" ht="12.75">
      <c r="A1047487" s="19"/>
      <c r="B1047487" s="19"/>
      <c r="C1047487" s="19"/>
      <c r="D1047487" s="19"/>
      <c r="E1047487" s="19"/>
      <c r="F1047487" s="19"/>
      <c r="G1047487" s="19"/>
      <c r="H1047487" s="19"/>
      <c r="I1047487" s="19"/>
      <c r="J1047487" s="19"/>
      <c r="K1047487" s="19"/>
      <c r="L1047487" s="19"/>
      <c r="M1047487" s="19"/>
      <c r="N1047487" s="19"/>
    </row>
    <row r="1047488" spans="1:14" s="83" customFormat="1" ht="12.75">
      <c r="A1047488" s="19"/>
      <c r="B1047488" s="19"/>
      <c r="C1047488" s="19"/>
      <c r="D1047488" s="19"/>
      <c r="E1047488" s="19"/>
      <c r="F1047488" s="19"/>
      <c r="G1047488" s="19"/>
      <c r="H1047488" s="19"/>
      <c r="I1047488" s="19"/>
      <c r="J1047488" s="19"/>
      <c r="K1047488" s="19"/>
      <c r="L1047488" s="19"/>
      <c r="M1047488" s="19"/>
      <c r="N1047488" s="19"/>
    </row>
    <row r="1047489" spans="1:14" s="83" customFormat="1" ht="12.75">
      <c r="A1047489" s="19"/>
      <c r="B1047489" s="19"/>
      <c r="C1047489" s="19"/>
      <c r="D1047489" s="19"/>
      <c r="E1047489" s="19"/>
      <c r="F1047489" s="19"/>
      <c r="G1047489" s="19"/>
      <c r="H1047489" s="19"/>
      <c r="I1047489" s="19"/>
      <c r="J1047489" s="19"/>
      <c r="K1047489" s="19"/>
      <c r="L1047489" s="19"/>
      <c r="M1047489" s="19"/>
      <c r="N1047489" s="19"/>
    </row>
    <row r="1047490" spans="1:14" s="83" customFormat="1" ht="12.75">
      <c r="A1047490" s="19"/>
      <c r="B1047490" s="19"/>
      <c r="C1047490" s="19"/>
      <c r="D1047490" s="19"/>
      <c r="E1047490" s="19"/>
      <c r="F1047490" s="19"/>
      <c r="G1047490" s="19"/>
      <c r="H1047490" s="19"/>
      <c r="I1047490" s="19"/>
      <c r="J1047490" s="19"/>
      <c r="K1047490" s="19"/>
      <c r="L1047490" s="19"/>
      <c r="M1047490" s="19"/>
      <c r="N1047490" s="19"/>
    </row>
    <row r="1047491" spans="1:14" s="83" customFormat="1" ht="12.75">
      <c r="A1047491" s="19"/>
      <c r="B1047491" s="19"/>
      <c r="C1047491" s="19"/>
      <c r="D1047491" s="19"/>
      <c r="E1047491" s="19"/>
      <c r="F1047491" s="19"/>
      <c r="G1047491" s="19"/>
      <c r="H1047491" s="19"/>
      <c r="I1047491" s="19"/>
      <c r="J1047491" s="19"/>
      <c r="K1047491" s="19"/>
      <c r="L1047491" s="19"/>
      <c r="M1047491" s="19"/>
      <c r="N1047491" s="19"/>
    </row>
    <row r="1047492" spans="1:14" s="83" customFormat="1" ht="12.75">
      <c r="A1047492" s="19"/>
      <c r="B1047492" s="19"/>
      <c r="C1047492" s="19"/>
      <c r="D1047492" s="19"/>
      <c r="E1047492" s="19"/>
      <c r="F1047492" s="19"/>
      <c r="G1047492" s="19"/>
      <c r="H1047492" s="19"/>
      <c r="I1047492" s="19"/>
      <c r="J1047492" s="19"/>
      <c r="K1047492" s="19"/>
      <c r="L1047492" s="19"/>
      <c r="M1047492" s="19"/>
      <c r="N1047492" s="19"/>
    </row>
    <row r="1047493" spans="1:14" s="83" customFormat="1" ht="12.75">
      <c r="A1047493" s="19"/>
      <c r="B1047493" s="19"/>
      <c r="C1047493" s="19"/>
      <c r="D1047493" s="19"/>
      <c r="E1047493" s="19"/>
      <c r="F1047493" s="19"/>
      <c r="G1047493" s="19"/>
      <c r="H1047493" s="19"/>
      <c r="I1047493" s="19"/>
      <c r="J1047493" s="19"/>
      <c r="K1047493" s="19"/>
      <c r="L1047493" s="19"/>
      <c r="M1047493" s="19"/>
      <c r="N1047493" s="19"/>
    </row>
    <row r="1047494" spans="1:14" s="83" customFormat="1" ht="12.75">
      <c r="A1047494" s="19"/>
      <c r="B1047494" s="19"/>
      <c r="C1047494" s="19"/>
      <c r="D1047494" s="19"/>
      <c r="E1047494" s="19"/>
      <c r="F1047494" s="19"/>
      <c r="G1047494" s="19"/>
      <c r="H1047494" s="19"/>
      <c r="I1047494" s="19"/>
      <c r="J1047494" s="19"/>
      <c r="K1047494" s="19"/>
      <c r="L1047494" s="19"/>
      <c r="M1047494" s="19"/>
      <c r="N1047494" s="19"/>
    </row>
    <row r="1047495" spans="1:14" s="83" customFormat="1" ht="12.75">
      <c r="A1047495" s="19"/>
      <c r="B1047495" s="19"/>
      <c r="C1047495" s="19"/>
      <c r="D1047495" s="19"/>
      <c r="E1047495" s="19"/>
      <c r="F1047495" s="19"/>
      <c r="G1047495" s="19"/>
      <c r="H1047495" s="19"/>
      <c r="I1047495" s="19"/>
      <c r="J1047495" s="19"/>
      <c r="K1047495" s="19"/>
      <c r="L1047495" s="19"/>
      <c r="M1047495" s="19"/>
      <c r="N1047495" s="19"/>
    </row>
    <row r="1047496" spans="1:14" s="83" customFormat="1" ht="12.75">
      <c r="A1047496" s="19"/>
      <c r="B1047496" s="19"/>
      <c r="C1047496" s="19"/>
      <c r="D1047496" s="19"/>
      <c r="E1047496" s="19"/>
      <c r="F1047496" s="19"/>
      <c r="G1047496" s="19"/>
      <c r="H1047496" s="19"/>
      <c r="I1047496" s="19"/>
      <c r="J1047496" s="19"/>
      <c r="K1047496" s="19"/>
      <c r="L1047496" s="19"/>
      <c r="M1047496" s="19"/>
      <c r="N1047496" s="19"/>
    </row>
    <row r="1047497" spans="1:14" s="83" customFormat="1" ht="12.75">
      <c r="A1047497" s="19"/>
      <c r="B1047497" s="19"/>
      <c r="C1047497" s="19"/>
      <c r="D1047497" s="19"/>
      <c r="E1047497" s="19"/>
      <c r="F1047497" s="19"/>
      <c r="G1047497" s="19"/>
      <c r="H1047497" s="19"/>
      <c r="I1047497" s="19"/>
      <c r="J1047497" s="19"/>
      <c r="K1047497" s="19"/>
      <c r="L1047497" s="19"/>
      <c r="M1047497" s="19"/>
      <c r="N1047497" s="19"/>
    </row>
    <row r="1047498" spans="1:14" s="83" customFormat="1" ht="12.75">
      <c r="A1047498" s="19"/>
      <c r="B1047498" s="19"/>
      <c r="C1047498" s="19"/>
      <c r="D1047498" s="19"/>
      <c r="E1047498" s="19"/>
      <c r="F1047498" s="19"/>
      <c r="G1047498" s="19"/>
      <c r="H1047498" s="19"/>
      <c r="I1047498" s="19"/>
      <c r="J1047498" s="19"/>
      <c r="K1047498" s="19"/>
      <c r="L1047498" s="19"/>
      <c r="M1047498" s="19"/>
      <c r="N1047498" s="19"/>
    </row>
    <row r="1047499" spans="1:14" s="83" customFormat="1" ht="12.75">
      <c r="A1047499" s="19"/>
      <c r="B1047499" s="19"/>
      <c r="C1047499" s="19"/>
      <c r="D1047499" s="19"/>
      <c r="E1047499" s="19"/>
      <c r="F1047499" s="19"/>
      <c r="G1047499" s="19"/>
      <c r="H1047499" s="19"/>
      <c r="I1047499" s="19"/>
      <c r="J1047499" s="19"/>
      <c r="K1047499" s="19"/>
      <c r="L1047499" s="19"/>
      <c r="M1047499" s="19"/>
      <c r="N1047499" s="19"/>
    </row>
    <row r="1047500" spans="1:14" s="83" customFormat="1" ht="12.75">
      <c r="A1047500" s="19"/>
      <c r="B1047500" s="19"/>
      <c r="C1047500" s="19"/>
      <c r="D1047500" s="19"/>
      <c r="E1047500" s="19"/>
      <c r="F1047500" s="19"/>
      <c r="G1047500" s="19"/>
      <c r="H1047500" s="19"/>
      <c r="I1047500" s="19"/>
      <c r="J1047500" s="19"/>
      <c r="K1047500" s="19"/>
      <c r="L1047500" s="19"/>
      <c r="M1047500" s="19"/>
      <c r="N1047500" s="19"/>
    </row>
    <row r="1047501" spans="1:14" s="83" customFormat="1" ht="12.75">
      <c r="A1047501" s="19"/>
      <c r="B1047501" s="19"/>
      <c r="C1047501" s="19"/>
      <c r="D1047501" s="19"/>
      <c r="E1047501" s="19"/>
      <c r="F1047501" s="19"/>
      <c r="G1047501" s="19"/>
      <c r="H1047501" s="19"/>
      <c r="I1047501" s="19"/>
      <c r="J1047501" s="19"/>
      <c r="K1047501" s="19"/>
      <c r="L1047501" s="19"/>
      <c r="M1047501" s="19"/>
      <c r="N1047501" s="19"/>
    </row>
    <row r="1047502" spans="1:14" s="83" customFormat="1" ht="12.75">
      <c r="A1047502" s="19"/>
      <c r="B1047502" s="19"/>
      <c r="C1047502" s="19"/>
      <c r="D1047502" s="19"/>
      <c r="E1047502" s="19"/>
      <c r="F1047502" s="19"/>
      <c r="G1047502" s="19"/>
      <c r="H1047502" s="19"/>
      <c r="I1047502" s="19"/>
      <c r="J1047502" s="19"/>
      <c r="K1047502" s="19"/>
      <c r="L1047502" s="19"/>
      <c r="M1047502" s="19"/>
      <c r="N1047502" s="19"/>
    </row>
    <row r="1047503" spans="1:14" s="83" customFormat="1" ht="12.75">
      <c r="A1047503" s="19"/>
      <c r="B1047503" s="19"/>
      <c r="C1047503" s="19"/>
      <c r="D1047503" s="19"/>
      <c r="E1047503" s="19"/>
      <c r="F1047503" s="19"/>
      <c r="G1047503" s="19"/>
      <c r="H1047503" s="19"/>
      <c r="I1047503" s="19"/>
      <c r="J1047503" s="19"/>
      <c r="K1047503" s="19"/>
      <c r="L1047503" s="19"/>
      <c r="M1047503" s="19"/>
      <c r="N1047503" s="19"/>
    </row>
    <row r="1047504" spans="1:14" s="83" customFormat="1" ht="12.75">
      <c r="A1047504" s="19"/>
      <c r="B1047504" s="19"/>
      <c r="C1047504" s="19"/>
      <c r="D1047504" s="19"/>
      <c r="E1047504" s="19"/>
      <c r="F1047504" s="19"/>
      <c r="G1047504" s="19"/>
      <c r="H1047504" s="19"/>
      <c r="I1047504" s="19"/>
      <c r="J1047504" s="19"/>
      <c r="K1047504" s="19"/>
      <c r="L1047504" s="19"/>
      <c r="M1047504" s="19"/>
      <c r="N1047504" s="19"/>
    </row>
    <row r="1047505" spans="1:14" s="83" customFormat="1" ht="12.75">
      <c r="A1047505" s="19"/>
      <c r="B1047505" s="19"/>
      <c r="C1047505" s="19"/>
      <c r="D1047505" s="19"/>
      <c r="E1047505" s="19"/>
      <c r="F1047505" s="19"/>
      <c r="G1047505" s="19"/>
      <c r="H1047505" s="19"/>
      <c r="I1047505" s="19"/>
      <c r="J1047505" s="19"/>
      <c r="K1047505" s="19"/>
      <c r="L1047505" s="19"/>
      <c r="M1047505" s="19"/>
      <c r="N1047505" s="19"/>
    </row>
    <row r="1047506" spans="1:14" s="83" customFormat="1" ht="12.75">
      <c r="A1047506" s="19"/>
      <c r="B1047506" s="19"/>
      <c r="C1047506" s="19"/>
      <c r="D1047506" s="19"/>
      <c r="E1047506" s="19"/>
      <c r="F1047506" s="19"/>
      <c r="G1047506" s="19"/>
      <c r="H1047506" s="19"/>
      <c r="I1047506" s="19"/>
      <c r="J1047506" s="19"/>
      <c r="K1047506" s="19"/>
      <c r="L1047506" s="19"/>
      <c r="M1047506" s="19"/>
      <c r="N1047506" s="19"/>
    </row>
    <row r="1047507" spans="1:14" s="83" customFormat="1" ht="12.75">
      <c r="A1047507" s="19"/>
      <c r="B1047507" s="19"/>
      <c r="C1047507" s="19"/>
      <c r="D1047507" s="19"/>
      <c r="E1047507" s="19"/>
      <c r="F1047507" s="19"/>
      <c r="G1047507" s="19"/>
      <c r="H1047507" s="19"/>
      <c r="I1047507" s="19"/>
      <c r="J1047507" s="19"/>
      <c r="K1047507" s="19"/>
      <c r="L1047507" s="19"/>
      <c r="M1047507" s="19"/>
      <c r="N1047507" s="19"/>
    </row>
    <row r="1047508" spans="1:14" s="83" customFormat="1" ht="12.75">
      <c r="A1047508" s="19"/>
      <c r="B1047508" s="19"/>
      <c r="C1047508" s="19"/>
      <c r="D1047508" s="19"/>
      <c r="E1047508" s="19"/>
      <c r="F1047508" s="19"/>
      <c r="G1047508" s="19"/>
      <c r="H1047508" s="19"/>
      <c r="I1047508" s="19"/>
      <c r="J1047508" s="19"/>
      <c r="K1047508" s="19"/>
      <c r="L1047508" s="19"/>
      <c r="M1047508" s="19"/>
      <c r="N1047508" s="19"/>
    </row>
    <row r="1047509" spans="1:14" s="83" customFormat="1" ht="12.75">
      <c r="A1047509" s="19"/>
      <c r="B1047509" s="19"/>
      <c r="C1047509" s="19"/>
      <c r="D1047509" s="19"/>
      <c r="E1047509" s="19"/>
      <c r="F1047509" s="19"/>
      <c r="G1047509" s="19"/>
      <c r="H1047509" s="19"/>
      <c r="I1047509" s="19"/>
      <c r="J1047509" s="19"/>
      <c r="K1047509" s="19"/>
      <c r="L1047509" s="19"/>
      <c r="M1047509" s="19"/>
      <c r="N1047509" s="19"/>
    </row>
    <row r="1047510" spans="1:14" s="83" customFormat="1" ht="12.75">
      <c r="A1047510" s="19"/>
      <c r="B1047510" s="19"/>
      <c r="C1047510" s="19"/>
      <c r="D1047510" s="19"/>
      <c r="E1047510" s="19"/>
      <c r="F1047510" s="19"/>
      <c r="G1047510" s="19"/>
      <c r="H1047510" s="19"/>
      <c r="I1047510" s="19"/>
      <c r="J1047510" s="19"/>
      <c r="K1047510" s="19"/>
      <c r="L1047510" s="19"/>
      <c r="M1047510" s="19"/>
      <c r="N1047510" s="19"/>
    </row>
    <row r="1047511" spans="1:14" s="83" customFormat="1" ht="12.75">
      <c r="A1047511" s="19"/>
      <c r="B1047511" s="19"/>
      <c r="C1047511" s="19"/>
      <c r="D1047511" s="19"/>
      <c r="E1047511" s="19"/>
      <c r="F1047511" s="19"/>
      <c r="G1047511" s="19"/>
      <c r="H1047511" s="19"/>
      <c r="I1047511" s="19"/>
      <c r="J1047511" s="19"/>
      <c r="K1047511" s="19"/>
      <c r="L1047511" s="19"/>
      <c r="M1047511" s="19"/>
      <c r="N1047511" s="19"/>
    </row>
    <row r="1047512" spans="1:14" s="83" customFormat="1" ht="12.75">
      <c r="A1047512" s="19"/>
      <c r="B1047512" s="19"/>
      <c r="C1047512" s="19"/>
      <c r="D1047512" s="19"/>
      <c r="E1047512" s="19"/>
      <c r="F1047512" s="19"/>
      <c r="G1047512" s="19"/>
      <c r="H1047512" s="19"/>
      <c r="I1047512" s="19"/>
      <c r="J1047512" s="19"/>
      <c r="K1047512" s="19"/>
      <c r="L1047512" s="19"/>
      <c r="M1047512" s="19"/>
      <c r="N1047512" s="19"/>
    </row>
    <row r="1047513" spans="1:14" s="83" customFormat="1" ht="12.75">
      <c r="A1047513" s="19"/>
      <c r="B1047513" s="19"/>
      <c r="C1047513" s="19"/>
      <c r="D1047513" s="19"/>
      <c r="E1047513" s="19"/>
      <c r="F1047513" s="19"/>
      <c r="G1047513" s="19"/>
      <c r="H1047513" s="19"/>
      <c r="I1047513" s="19"/>
      <c r="J1047513" s="19"/>
      <c r="K1047513" s="19"/>
      <c r="L1047513" s="19"/>
      <c r="M1047513" s="19"/>
      <c r="N1047513" s="19"/>
    </row>
    <row r="1047514" spans="1:14" s="83" customFormat="1" ht="12.75">
      <c r="A1047514" s="19"/>
      <c r="B1047514" s="19"/>
      <c r="C1047514" s="19"/>
      <c r="D1047514" s="19"/>
      <c r="E1047514" s="19"/>
      <c r="F1047514" s="19"/>
      <c r="G1047514" s="19"/>
      <c r="H1047514" s="19"/>
      <c r="I1047514" s="19"/>
      <c r="J1047514" s="19"/>
      <c r="K1047514" s="19"/>
      <c r="L1047514" s="19"/>
      <c r="M1047514" s="19"/>
      <c r="N1047514" s="19"/>
    </row>
    <row r="1047515" spans="1:14" s="83" customFormat="1" ht="12.75">
      <c r="A1047515" s="19"/>
      <c r="B1047515" s="19"/>
      <c r="C1047515" s="19"/>
      <c r="D1047515" s="19"/>
      <c r="E1047515" s="19"/>
      <c r="F1047515" s="19"/>
      <c r="G1047515" s="19"/>
      <c r="H1047515" s="19"/>
      <c r="I1047515" s="19"/>
      <c r="J1047515" s="19"/>
      <c r="K1047515" s="19"/>
      <c r="L1047515" s="19"/>
      <c r="M1047515" s="19"/>
      <c r="N1047515" s="19"/>
    </row>
    <row r="1047516" spans="1:14" s="83" customFormat="1" ht="12.75">
      <c r="A1047516" s="19"/>
      <c r="B1047516" s="19"/>
      <c r="C1047516" s="19"/>
      <c r="D1047516" s="19"/>
      <c r="E1047516" s="19"/>
      <c r="F1047516" s="19"/>
      <c r="G1047516" s="19"/>
      <c r="H1047516" s="19"/>
      <c r="I1047516" s="19"/>
      <c r="J1047516" s="19"/>
      <c r="K1047516" s="19"/>
      <c r="L1047516" s="19"/>
      <c r="M1047516" s="19"/>
      <c r="N1047516" s="19"/>
    </row>
    <row r="1047517" spans="1:14" s="83" customFormat="1" ht="12.75">
      <c r="A1047517" s="19"/>
      <c r="B1047517" s="19"/>
      <c r="C1047517" s="19"/>
      <c r="D1047517" s="19"/>
      <c r="E1047517" s="19"/>
      <c r="F1047517" s="19"/>
      <c r="G1047517" s="19"/>
      <c r="H1047517" s="19"/>
      <c r="I1047517" s="19"/>
      <c r="J1047517" s="19"/>
      <c r="K1047517" s="19"/>
      <c r="L1047517" s="19"/>
      <c r="M1047517" s="19"/>
      <c r="N1047517" s="19"/>
    </row>
    <row r="1047518" spans="1:14" s="83" customFormat="1" ht="12.75">
      <c r="A1047518" s="19"/>
      <c r="B1047518" s="19"/>
      <c r="C1047518" s="19"/>
      <c r="D1047518" s="19"/>
      <c r="E1047518" s="19"/>
      <c r="F1047518" s="19"/>
      <c r="G1047518" s="19"/>
      <c r="H1047518" s="19"/>
      <c r="I1047518" s="19"/>
      <c r="J1047518" s="19"/>
      <c r="K1047518" s="19"/>
      <c r="L1047518" s="19"/>
      <c r="M1047518" s="19"/>
      <c r="N1047518" s="19"/>
    </row>
    <row r="1047519" spans="1:14" s="83" customFormat="1" ht="12.75">
      <c r="A1047519" s="19"/>
      <c r="B1047519" s="19"/>
      <c r="C1047519" s="19"/>
      <c r="D1047519" s="19"/>
      <c r="E1047519" s="19"/>
      <c r="F1047519" s="19"/>
      <c r="G1047519" s="19"/>
      <c r="H1047519" s="19"/>
      <c r="I1047519" s="19"/>
      <c r="J1047519" s="19"/>
      <c r="K1047519" s="19"/>
      <c r="L1047519" s="19"/>
      <c r="M1047519" s="19"/>
      <c r="N1047519" s="19"/>
    </row>
    <row r="1047520" spans="1:14" s="83" customFormat="1" ht="12.75">
      <c r="A1047520" s="19"/>
      <c r="B1047520" s="19"/>
      <c r="C1047520" s="19"/>
      <c r="D1047520" s="19"/>
      <c r="E1047520" s="19"/>
      <c r="F1047520" s="19"/>
      <c r="G1047520" s="19"/>
      <c r="H1047520" s="19"/>
      <c r="I1047520" s="19"/>
      <c r="J1047520" s="19"/>
      <c r="K1047520" s="19"/>
      <c r="L1047520" s="19"/>
      <c r="M1047520" s="19"/>
      <c r="N1047520" s="19"/>
    </row>
    <row r="1047521" spans="1:14" s="83" customFormat="1" ht="12.75">
      <c r="A1047521" s="19"/>
      <c r="B1047521" s="19"/>
      <c r="C1047521" s="19"/>
      <c r="D1047521" s="19"/>
      <c r="E1047521" s="19"/>
      <c r="F1047521" s="19"/>
      <c r="G1047521" s="19"/>
      <c r="H1047521" s="19"/>
      <c r="I1047521" s="19"/>
      <c r="J1047521" s="19"/>
      <c r="K1047521" s="19"/>
      <c r="L1047521" s="19"/>
      <c r="M1047521" s="19"/>
      <c r="N1047521" s="19"/>
    </row>
    <row r="1047522" spans="1:14" s="83" customFormat="1" ht="12.75">
      <c r="A1047522" s="19"/>
      <c r="B1047522" s="19"/>
      <c r="C1047522" s="19"/>
      <c r="D1047522" s="19"/>
      <c r="E1047522" s="19"/>
      <c r="F1047522" s="19"/>
      <c r="G1047522" s="19"/>
      <c r="H1047522" s="19"/>
      <c r="I1047522" s="19"/>
      <c r="J1047522" s="19"/>
      <c r="K1047522" s="19"/>
      <c r="L1047522" s="19"/>
      <c r="M1047522" s="19"/>
      <c r="N1047522" s="19"/>
    </row>
    <row r="1047523" spans="1:14" s="83" customFormat="1" ht="12.75">
      <c r="A1047523" s="19"/>
      <c r="B1047523" s="19"/>
      <c r="C1047523" s="19"/>
      <c r="D1047523" s="19"/>
      <c r="E1047523" s="19"/>
      <c r="F1047523" s="19"/>
      <c r="G1047523" s="19"/>
      <c r="H1047523" s="19"/>
      <c r="I1047523" s="19"/>
      <c r="J1047523" s="19"/>
      <c r="K1047523" s="19"/>
      <c r="L1047523" s="19"/>
      <c r="M1047523" s="19"/>
      <c r="N1047523" s="19"/>
    </row>
    <row r="1047524" spans="1:14" s="83" customFormat="1" ht="12.75">
      <c r="A1047524" s="19"/>
      <c r="B1047524" s="19"/>
      <c r="C1047524" s="19"/>
      <c r="D1047524" s="19"/>
      <c r="E1047524" s="19"/>
      <c r="F1047524" s="19"/>
      <c r="G1047524" s="19"/>
      <c r="H1047524" s="19"/>
      <c r="I1047524" s="19"/>
      <c r="J1047524" s="19"/>
      <c r="K1047524" s="19"/>
      <c r="L1047524" s="19"/>
      <c r="M1047524" s="19"/>
      <c r="N1047524" s="19"/>
    </row>
    <row r="1047525" spans="1:14" s="83" customFormat="1" ht="12.75">
      <c r="A1047525" s="19"/>
      <c r="B1047525" s="19"/>
      <c r="C1047525" s="19"/>
      <c r="D1047525" s="19"/>
      <c r="E1047525" s="19"/>
      <c r="F1047525" s="19"/>
      <c r="G1047525" s="19"/>
      <c r="H1047525" s="19"/>
      <c r="I1047525" s="19"/>
      <c r="J1047525" s="19"/>
      <c r="K1047525" s="19"/>
      <c r="L1047525" s="19"/>
      <c r="M1047525" s="19"/>
      <c r="N1047525" s="19"/>
    </row>
    <row r="1047526" spans="1:14" s="83" customFormat="1" ht="12.75">
      <c r="A1047526" s="19"/>
      <c r="B1047526" s="19"/>
      <c r="C1047526" s="19"/>
      <c r="D1047526" s="19"/>
      <c r="E1047526" s="19"/>
      <c r="F1047526" s="19"/>
      <c r="G1047526" s="19"/>
      <c r="H1047526" s="19"/>
      <c r="I1047526" s="19"/>
      <c r="J1047526" s="19"/>
      <c r="K1047526" s="19"/>
      <c r="L1047526" s="19"/>
      <c r="M1047526" s="19"/>
      <c r="N1047526" s="19"/>
    </row>
    <row r="1047527" spans="1:14" s="83" customFormat="1" ht="12.75">
      <c r="A1047527" s="19"/>
      <c r="B1047527" s="19"/>
      <c r="C1047527" s="19"/>
      <c r="D1047527" s="19"/>
      <c r="E1047527" s="19"/>
      <c r="F1047527" s="19"/>
      <c r="G1047527" s="19"/>
      <c r="H1047527" s="19"/>
      <c r="I1047527" s="19"/>
      <c r="J1047527" s="19"/>
      <c r="K1047527" s="19"/>
      <c r="L1047527" s="19"/>
      <c r="M1047527" s="19"/>
      <c r="N1047527" s="19"/>
    </row>
    <row r="1047528" spans="1:14" s="83" customFormat="1" ht="12.75">
      <c r="A1047528" s="19"/>
      <c r="B1047528" s="19"/>
      <c r="C1047528" s="19"/>
      <c r="D1047528" s="19"/>
      <c r="E1047528" s="19"/>
      <c r="F1047528" s="19"/>
      <c r="G1047528" s="19"/>
      <c r="H1047528" s="19"/>
      <c r="I1047528" s="19"/>
      <c r="J1047528" s="19"/>
      <c r="K1047528" s="19"/>
      <c r="L1047528" s="19"/>
      <c r="M1047528" s="19"/>
      <c r="N1047528" s="19"/>
    </row>
    <row r="1047529" spans="1:14" s="83" customFormat="1" ht="12.75">
      <c r="A1047529" s="19"/>
      <c r="B1047529" s="19"/>
      <c r="C1047529" s="19"/>
      <c r="D1047529" s="19"/>
      <c r="E1047529" s="19"/>
      <c r="F1047529" s="19"/>
      <c r="G1047529" s="19"/>
      <c r="H1047529" s="19"/>
      <c r="I1047529" s="19"/>
      <c r="J1047529" s="19"/>
      <c r="K1047529" s="19"/>
      <c r="L1047529" s="19"/>
      <c r="M1047529" s="19"/>
      <c r="N1047529" s="19"/>
    </row>
    <row r="1047530" spans="1:14" s="83" customFormat="1" ht="12.75">
      <c r="A1047530" s="19"/>
      <c r="B1047530" s="19"/>
      <c r="C1047530" s="19"/>
      <c r="D1047530" s="19"/>
      <c r="E1047530" s="19"/>
      <c r="F1047530" s="19"/>
      <c r="G1047530" s="19"/>
      <c r="H1047530" s="19"/>
      <c r="I1047530" s="19"/>
      <c r="J1047530" s="19"/>
      <c r="K1047530" s="19"/>
      <c r="L1047530" s="19"/>
      <c r="M1047530" s="19"/>
      <c r="N1047530" s="19"/>
    </row>
    <row r="1047531" spans="1:14" s="83" customFormat="1" ht="12.75">
      <c r="A1047531" s="19"/>
      <c r="B1047531" s="19"/>
      <c r="C1047531" s="19"/>
      <c r="D1047531" s="19"/>
      <c r="E1047531" s="19"/>
      <c r="F1047531" s="19"/>
      <c r="G1047531" s="19"/>
      <c r="H1047531" s="19"/>
      <c r="I1047531" s="19"/>
      <c r="J1047531" s="19"/>
      <c r="K1047531" s="19"/>
      <c r="L1047531" s="19"/>
      <c r="M1047531" s="19"/>
      <c r="N1047531" s="19"/>
    </row>
    <row r="1047532" spans="1:14" s="83" customFormat="1" ht="12.75">
      <c r="A1047532" s="19"/>
      <c r="B1047532" s="19"/>
      <c r="C1047532" s="19"/>
      <c r="D1047532" s="19"/>
      <c r="E1047532" s="19"/>
      <c r="F1047532" s="19"/>
      <c r="G1047532" s="19"/>
      <c r="H1047532" s="19"/>
      <c r="I1047532" s="19"/>
      <c r="J1047532" s="19"/>
      <c r="K1047532" s="19"/>
      <c r="L1047532" s="19"/>
      <c r="M1047532" s="19"/>
      <c r="N1047532" s="19"/>
    </row>
    <row r="1047533" spans="1:14" s="83" customFormat="1" ht="12.75">
      <c r="A1047533" s="19"/>
      <c r="B1047533" s="19"/>
      <c r="C1047533" s="19"/>
      <c r="D1047533" s="19"/>
      <c r="E1047533" s="19"/>
      <c r="F1047533" s="19"/>
      <c r="G1047533" s="19"/>
      <c r="H1047533" s="19"/>
      <c r="I1047533" s="19"/>
      <c r="J1047533" s="19"/>
      <c r="K1047533" s="19"/>
      <c r="L1047533" s="19"/>
      <c r="M1047533" s="19"/>
      <c r="N1047533" s="19"/>
    </row>
    <row r="1047534" spans="1:14" s="83" customFormat="1" ht="12.75">
      <c r="A1047534" s="19"/>
      <c r="B1047534" s="19"/>
      <c r="C1047534" s="19"/>
      <c r="D1047534" s="19"/>
      <c r="E1047534" s="19"/>
      <c r="F1047534" s="19"/>
      <c r="G1047534" s="19"/>
      <c r="H1047534" s="19"/>
      <c r="I1047534" s="19"/>
      <c r="J1047534" s="19"/>
      <c r="K1047534" s="19"/>
      <c r="L1047534" s="19"/>
      <c r="M1047534" s="19"/>
      <c r="N1047534" s="19"/>
    </row>
    <row r="1047535" spans="1:14" s="83" customFormat="1" ht="12.75">
      <c r="A1047535" s="19"/>
      <c r="B1047535" s="19"/>
      <c r="C1047535" s="19"/>
      <c r="D1047535" s="19"/>
      <c r="E1047535" s="19"/>
      <c r="F1047535" s="19"/>
      <c r="G1047535" s="19"/>
      <c r="H1047535" s="19"/>
      <c r="I1047535" s="19"/>
      <c r="J1047535" s="19"/>
      <c r="K1047535" s="19"/>
      <c r="L1047535" s="19"/>
      <c r="M1047535" s="19"/>
      <c r="N1047535" s="19"/>
    </row>
    <row r="1047536" spans="1:14" s="83" customFormat="1" ht="12.75">
      <c r="A1047536" s="19"/>
      <c r="B1047536" s="19"/>
      <c r="C1047536" s="19"/>
      <c r="D1047536" s="19"/>
      <c r="E1047536" s="19"/>
      <c r="F1047536" s="19"/>
      <c r="G1047536" s="19"/>
      <c r="H1047536" s="19"/>
      <c r="I1047536" s="19"/>
      <c r="J1047536" s="19"/>
      <c r="K1047536" s="19"/>
      <c r="L1047536" s="19"/>
      <c r="M1047536" s="19"/>
      <c r="N1047536" s="19"/>
    </row>
    <row r="1047537" spans="1:14" s="83" customFormat="1" ht="12.75">
      <c r="A1047537" s="19"/>
      <c r="B1047537" s="19"/>
      <c r="C1047537" s="19"/>
      <c r="D1047537" s="19"/>
      <c r="E1047537" s="19"/>
      <c r="F1047537" s="19"/>
      <c r="G1047537" s="19"/>
      <c r="H1047537" s="19"/>
      <c r="I1047537" s="19"/>
      <c r="J1047537" s="19"/>
      <c r="K1047537" s="19"/>
      <c r="L1047537" s="19"/>
      <c r="M1047537" s="19"/>
      <c r="N1047537" s="19"/>
    </row>
    <row r="1047538" spans="1:14" s="83" customFormat="1" ht="12.75">
      <c r="A1047538" s="19"/>
      <c r="B1047538" s="19"/>
      <c r="C1047538" s="19"/>
      <c r="D1047538" s="19"/>
      <c r="E1047538" s="19"/>
      <c r="F1047538" s="19"/>
      <c r="G1047538" s="19"/>
      <c r="H1047538" s="19"/>
      <c r="I1047538" s="19"/>
      <c r="J1047538" s="19"/>
      <c r="K1047538" s="19"/>
      <c r="L1047538" s="19"/>
      <c r="M1047538" s="19"/>
      <c r="N1047538" s="19"/>
    </row>
    <row r="1047539" spans="1:14" s="83" customFormat="1" ht="12.75">
      <c r="A1047539" s="19"/>
      <c r="B1047539" s="19"/>
      <c r="C1047539" s="19"/>
      <c r="D1047539" s="19"/>
      <c r="E1047539" s="19"/>
      <c r="F1047539" s="19"/>
      <c r="G1047539" s="19"/>
      <c r="H1047539" s="19"/>
      <c r="I1047539" s="19"/>
      <c r="J1047539" s="19"/>
      <c r="K1047539" s="19"/>
      <c r="L1047539" s="19"/>
      <c r="M1047539" s="19"/>
      <c r="N1047539" s="19"/>
    </row>
    <row r="1047540" spans="1:14" s="83" customFormat="1" ht="12.75">
      <c r="A1047540" s="19"/>
      <c r="B1047540" s="19"/>
      <c r="C1047540" s="19"/>
      <c r="D1047540" s="19"/>
      <c r="E1047540" s="19"/>
      <c r="F1047540" s="19"/>
      <c r="G1047540" s="19"/>
      <c r="H1047540" s="19"/>
      <c r="I1047540" s="19"/>
      <c r="J1047540" s="19"/>
      <c r="K1047540" s="19"/>
      <c r="L1047540" s="19"/>
      <c r="M1047540" s="19"/>
      <c r="N1047540" s="19"/>
    </row>
    <row r="1047541" spans="1:14" s="83" customFormat="1" ht="12.75">
      <c r="A1047541" s="19"/>
      <c r="B1047541" s="19"/>
      <c r="C1047541" s="19"/>
      <c r="D1047541" s="19"/>
      <c r="E1047541" s="19"/>
      <c r="F1047541" s="19"/>
      <c r="G1047541" s="19"/>
      <c r="H1047541" s="19"/>
      <c r="I1047541" s="19"/>
      <c r="J1047541" s="19"/>
      <c r="K1047541" s="19"/>
      <c r="L1047541" s="19"/>
      <c r="M1047541" s="19"/>
      <c r="N1047541" s="19"/>
    </row>
    <row r="1047542" spans="1:14" s="83" customFormat="1" ht="12.75">
      <c r="A1047542" s="19"/>
      <c r="B1047542" s="19"/>
      <c r="C1047542" s="19"/>
      <c r="D1047542" s="19"/>
      <c r="E1047542" s="19"/>
      <c r="F1047542" s="19"/>
      <c r="G1047542" s="19"/>
      <c r="H1047542" s="19"/>
      <c r="I1047542" s="19"/>
      <c r="J1047542" s="19"/>
      <c r="K1047542" s="19"/>
      <c r="L1047542" s="19"/>
      <c r="M1047542" s="19"/>
      <c r="N1047542" s="19"/>
    </row>
    <row r="1047543" spans="1:14" s="83" customFormat="1" ht="12.75">
      <c r="A1047543" s="19"/>
      <c r="B1047543" s="19"/>
      <c r="C1047543" s="19"/>
      <c r="D1047543" s="19"/>
      <c r="E1047543" s="19"/>
      <c r="F1047543" s="19"/>
      <c r="G1047543" s="19"/>
      <c r="H1047543" s="19"/>
      <c r="I1047543" s="19"/>
      <c r="J1047543" s="19"/>
      <c r="K1047543" s="19"/>
      <c r="L1047543" s="19"/>
      <c r="M1047543" s="19"/>
      <c r="N1047543" s="19"/>
    </row>
    <row r="1047544" spans="1:14" s="83" customFormat="1" ht="12.75">
      <c r="A1047544" s="19"/>
      <c r="B1047544" s="19"/>
      <c r="C1047544" s="19"/>
      <c r="D1047544" s="19"/>
      <c r="E1047544" s="19"/>
      <c r="F1047544" s="19"/>
      <c r="G1047544" s="19"/>
      <c r="H1047544" s="19"/>
      <c r="I1047544" s="19"/>
      <c r="J1047544" s="19"/>
      <c r="K1047544" s="19"/>
      <c r="L1047544" s="19"/>
      <c r="M1047544" s="19"/>
      <c r="N1047544" s="19"/>
    </row>
    <row r="1047545" spans="1:14" s="83" customFormat="1" ht="12.75">
      <c r="A1047545" s="19"/>
      <c r="B1047545" s="19"/>
      <c r="C1047545" s="19"/>
      <c r="D1047545" s="19"/>
      <c r="E1047545" s="19"/>
      <c r="F1047545" s="19"/>
      <c r="G1047545" s="19"/>
      <c r="H1047545" s="19"/>
      <c r="I1047545" s="19"/>
      <c r="J1047545" s="19"/>
      <c r="K1047545" s="19"/>
      <c r="L1047545" s="19"/>
      <c r="M1047545" s="19"/>
      <c r="N1047545" s="19"/>
    </row>
    <row r="1047546" spans="1:14" s="83" customFormat="1" ht="12.75">
      <c r="A1047546" s="19"/>
      <c r="B1047546" s="19"/>
      <c r="C1047546" s="19"/>
      <c r="D1047546" s="19"/>
      <c r="E1047546" s="19"/>
      <c r="F1047546" s="19"/>
      <c r="G1047546" s="19"/>
      <c r="H1047546" s="19"/>
      <c r="I1047546" s="19"/>
      <c r="J1047546" s="19"/>
      <c r="K1047546" s="19"/>
      <c r="L1047546" s="19"/>
      <c r="M1047546" s="19"/>
      <c r="N1047546" s="19"/>
    </row>
    <row r="1047547" spans="1:14" s="83" customFormat="1" ht="12.75">
      <c r="A1047547" s="19"/>
      <c r="B1047547" s="19"/>
      <c r="C1047547" s="19"/>
      <c r="D1047547" s="19"/>
      <c r="E1047547" s="19"/>
      <c r="F1047547" s="19"/>
      <c r="G1047547" s="19"/>
      <c r="H1047547" s="19"/>
      <c r="I1047547" s="19"/>
      <c r="J1047547" s="19"/>
      <c r="K1047547" s="19"/>
      <c r="L1047547" s="19"/>
      <c r="M1047547" s="19"/>
      <c r="N1047547" s="19"/>
    </row>
    <row r="1047548" spans="1:14" s="83" customFormat="1" ht="12.75">
      <c r="A1047548" s="19"/>
      <c r="B1047548" s="19"/>
      <c r="C1047548" s="19"/>
      <c r="D1047548" s="19"/>
      <c r="E1047548" s="19"/>
      <c r="F1047548" s="19"/>
      <c r="G1047548" s="19"/>
      <c r="H1047548" s="19"/>
      <c r="I1047548" s="19"/>
      <c r="J1047548" s="19"/>
      <c r="K1047548" s="19"/>
      <c r="L1047548" s="19"/>
      <c r="M1047548" s="19"/>
      <c r="N1047548" s="19"/>
    </row>
    <row r="1047549" spans="1:14" s="83" customFormat="1" ht="12.75">
      <c r="A1047549" s="19"/>
      <c r="B1047549" s="19"/>
      <c r="C1047549" s="19"/>
      <c r="D1047549" s="19"/>
      <c r="E1047549" s="19"/>
      <c r="F1047549" s="19"/>
      <c r="G1047549" s="19"/>
      <c r="H1047549" s="19"/>
      <c r="I1047549" s="19"/>
      <c r="J1047549" s="19"/>
      <c r="K1047549" s="19"/>
      <c r="L1047549" s="19"/>
      <c r="M1047549" s="19"/>
      <c r="N1047549" s="19"/>
    </row>
    <row r="1047550" spans="1:14" s="83" customFormat="1" ht="12.75">
      <c r="A1047550" s="19"/>
      <c r="B1047550" s="19"/>
      <c r="C1047550" s="19"/>
      <c r="D1047550" s="19"/>
      <c r="E1047550" s="19"/>
      <c r="F1047550" s="19"/>
      <c r="G1047550" s="19"/>
      <c r="H1047550" s="19"/>
      <c r="I1047550" s="19"/>
      <c r="J1047550" s="19"/>
      <c r="K1047550" s="19"/>
      <c r="L1047550" s="19"/>
      <c r="M1047550" s="19"/>
      <c r="N1047550" s="19"/>
    </row>
    <row r="1047551" spans="1:14" s="83" customFormat="1" ht="12.75">
      <c r="A1047551" s="19"/>
      <c r="B1047551" s="19"/>
      <c r="C1047551" s="19"/>
      <c r="D1047551" s="19"/>
      <c r="E1047551" s="19"/>
      <c r="F1047551" s="19"/>
      <c r="G1047551" s="19"/>
      <c r="H1047551" s="19"/>
      <c r="I1047551" s="19"/>
      <c r="J1047551" s="19"/>
      <c r="K1047551" s="19"/>
      <c r="L1047551" s="19"/>
      <c r="M1047551" s="19"/>
      <c r="N1047551" s="19"/>
    </row>
    <row r="1047552" spans="1:14" s="83" customFormat="1" ht="12.75">
      <c r="A1047552" s="19"/>
      <c r="B1047552" s="19"/>
      <c r="C1047552" s="19"/>
      <c r="D1047552" s="19"/>
      <c r="E1047552" s="19"/>
      <c r="F1047552" s="19"/>
      <c r="G1047552" s="19"/>
      <c r="H1047552" s="19"/>
      <c r="I1047552" s="19"/>
      <c r="J1047552" s="19"/>
      <c r="K1047552" s="19"/>
      <c r="L1047552" s="19"/>
      <c r="M1047552" s="19"/>
      <c r="N1047552" s="19"/>
    </row>
    <row r="1047553" spans="1:14" s="83" customFormat="1" ht="12.75">
      <c r="A1047553" s="19"/>
      <c r="B1047553" s="19"/>
      <c r="C1047553" s="19"/>
      <c r="D1047553" s="19"/>
      <c r="E1047553" s="19"/>
      <c r="F1047553" s="19"/>
      <c r="G1047553" s="19"/>
      <c r="H1047553" s="19"/>
      <c r="I1047553" s="19"/>
      <c r="J1047553" s="19"/>
      <c r="K1047553" s="19"/>
      <c r="L1047553" s="19"/>
      <c r="M1047553" s="19"/>
      <c r="N1047553" s="19"/>
    </row>
    <row r="1047554" spans="1:14" s="83" customFormat="1" ht="12.75">
      <c r="A1047554" s="19"/>
      <c r="B1047554" s="19"/>
      <c r="C1047554" s="19"/>
      <c r="D1047554" s="19"/>
      <c r="E1047554" s="19"/>
      <c r="F1047554" s="19"/>
      <c r="G1047554" s="19"/>
      <c r="H1047554" s="19"/>
      <c r="I1047554" s="19"/>
      <c r="J1047554" s="19"/>
      <c r="K1047554" s="19"/>
      <c r="L1047554" s="19"/>
      <c r="M1047554" s="19"/>
      <c r="N1047554" s="19"/>
    </row>
    <row r="1047555" spans="1:14" s="83" customFormat="1" ht="12.75">
      <c r="A1047555" s="19"/>
      <c r="B1047555" s="19"/>
      <c r="C1047555" s="19"/>
      <c r="D1047555" s="19"/>
      <c r="E1047555" s="19"/>
      <c r="F1047555" s="19"/>
      <c r="G1047555" s="19"/>
      <c r="H1047555" s="19"/>
      <c r="I1047555" s="19"/>
      <c r="J1047555" s="19"/>
      <c r="K1047555" s="19"/>
      <c r="L1047555" s="19"/>
      <c r="M1047555" s="19"/>
      <c r="N1047555" s="19"/>
    </row>
    <row r="1047556" spans="1:14" s="83" customFormat="1" ht="12.75">
      <c r="A1047556" s="19"/>
      <c r="B1047556" s="19"/>
      <c r="C1047556" s="19"/>
      <c r="D1047556" s="19"/>
      <c r="E1047556" s="19"/>
      <c r="F1047556" s="19"/>
      <c r="G1047556" s="19"/>
      <c r="H1047556" s="19"/>
      <c r="I1047556" s="19"/>
      <c r="J1047556" s="19"/>
      <c r="K1047556" s="19"/>
      <c r="L1047556" s="19"/>
      <c r="M1047556" s="19"/>
      <c r="N1047556" s="19"/>
    </row>
    <row r="1047557" spans="1:14" s="83" customFormat="1" ht="12.75">
      <c r="A1047557" s="19"/>
      <c r="B1047557" s="19"/>
      <c r="C1047557" s="19"/>
      <c r="D1047557" s="19"/>
      <c r="E1047557" s="19"/>
      <c r="F1047557" s="19"/>
      <c r="G1047557" s="19"/>
      <c r="H1047557" s="19"/>
      <c r="I1047557" s="19"/>
      <c r="J1047557" s="19"/>
      <c r="K1047557" s="19"/>
      <c r="L1047557" s="19"/>
      <c r="M1047557" s="19"/>
      <c r="N1047557" s="19"/>
    </row>
    <row r="1047558" spans="1:14" s="83" customFormat="1" ht="12.75">
      <c r="A1047558" s="19"/>
      <c r="B1047558" s="19"/>
      <c r="C1047558" s="19"/>
      <c r="D1047558" s="19"/>
      <c r="E1047558" s="19"/>
      <c r="F1047558" s="19"/>
      <c r="G1047558" s="19"/>
      <c r="H1047558" s="19"/>
      <c r="I1047558" s="19"/>
      <c r="J1047558" s="19"/>
      <c r="K1047558" s="19"/>
      <c r="L1047558" s="19"/>
      <c r="M1047558" s="19"/>
      <c r="N1047558" s="19"/>
    </row>
    <row r="1047559" spans="1:14" s="83" customFormat="1" ht="12.75">
      <c r="A1047559" s="19"/>
      <c r="B1047559" s="19"/>
      <c r="C1047559" s="19"/>
      <c r="D1047559" s="19"/>
      <c r="E1047559" s="19"/>
      <c r="F1047559" s="19"/>
      <c r="G1047559" s="19"/>
      <c r="H1047559" s="19"/>
      <c r="I1047559" s="19"/>
      <c r="J1047559" s="19"/>
      <c r="K1047559" s="19"/>
      <c r="L1047559" s="19"/>
      <c r="M1047559" s="19"/>
      <c r="N1047559" s="19"/>
    </row>
    <row r="1047560" spans="1:14" s="83" customFormat="1" ht="12.75">
      <c r="A1047560" s="19"/>
      <c r="B1047560" s="19"/>
      <c r="C1047560" s="19"/>
      <c r="D1047560" s="19"/>
      <c r="E1047560" s="19"/>
      <c r="F1047560" s="19"/>
      <c r="G1047560" s="19"/>
      <c r="H1047560" s="19"/>
      <c r="I1047560" s="19"/>
      <c r="J1047560" s="19"/>
      <c r="K1047560" s="19"/>
      <c r="L1047560" s="19"/>
      <c r="M1047560" s="19"/>
      <c r="N1047560" s="19"/>
    </row>
    <row r="1047561" spans="1:14" s="83" customFormat="1" ht="12.75">
      <c r="A1047561" s="19"/>
      <c r="B1047561" s="19"/>
      <c r="C1047561" s="19"/>
      <c r="D1047561" s="19"/>
      <c r="E1047561" s="19"/>
      <c r="F1047561" s="19"/>
      <c r="G1047561" s="19"/>
      <c r="H1047561" s="19"/>
      <c r="I1047561" s="19"/>
      <c r="J1047561" s="19"/>
      <c r="K1047561" s="19"/>
      <c r="L1047561" s="19"/>
      <c r="M1047561" s="19"/>
      <c r="N1047561" s="19"/>
    </row>
    <row r="1047562" spans="1:14" s="83" customFormat="1" ht="12.75">
      <c r="A1047562" s="19"/>
      <c r="B1047562" s="19"/>
      <c r="C1047562" s="19"/>
      <c r="D1047562" s="19"/>
      <c r="E1047562" s="19"/>
      <c r="F1047562" s="19"/>
      <c r="G1047562" s="19"/>
      <c r="H1047562" s="19"/>
      <c r="I1047562" s="19"/>
      <c r="J1047562" s="19"/>
      <c r="K1047562" s="19"/>
      <c r="L1047562" s="19"/>
      <c r="M1047562" s="19"/>
      <c r="N1047562" s="19"/>
    </row>
    <row r="1047563" spans="1:14" s="83" customFormat="1" ht="12.75">
      <c r="A1047563" s="19"/>
      <c r="B1047563" s="19"/>
      <c r="C1047563" s="19"/>
      <c r="D1047563" s="19"/>
      <c r="E1047563" s="19"/>
      <c r="F1047563" s="19"/>
      <c r="G1047563" s="19"/>
      <c r="H1047563" s="19"/>
      <c r="I1047563" s="19"/>
      <c r="J1047563" s="19"/>
      <c r="K1047563" s="19"/>
      <c r="L1047563" s="19"/>
      <c r="M1047563" s="19"/>
      <c r="N1047563" s="19"/>
    </row>
    <row r="1047564" spans="1:14" s="83" customFormat="1" ht="12.75">
      <c r="A1047564" s="19"/>
      <c r="B1047564" s="19"/>
      <c r="C1047564" s="19"/>
      <c r="D1047564" s="19"/>
      <c r="E1047564" s="19"/>
      <c r="F1047564" s="19"/>
      <c r="G1047564" s="19"/>
      <c r="H1047564" s="19"/>
      <c r="I1047564" s="19"/>
      <c r="J1047564" s="19"/>
      <c r="K1047564" s="19"/>
      <c r="L1047564" s="19"/>
      <c r="M1047564" s="19"/>
      <c r="N1047564" s="19"/>
    </row>
    <row r="1047565" spans="1:14" s="83" customFormat="1" ht="12.75">
      <c r="A1047565" s="19"/>
      <c r="B1047565" s="19"/>
      <c r="C1047565" s="19"/>
      <c r="D1047565" s="19"/>
      <c r="E1047565" s="19"/>
      <c r="F1047565" s="19"/>
      <c r="G1047565" s="19"/>
      <c r="H1047565" s="19"/>
      <c r="I1047565" s="19"/>
      <c r="J1047565" s="19"/>
      <c r="K1047565" s="19"/>
      <c r="L1047565" s="19"/>
      <c r="M1047565" s="19"/>
      <c r="N1047565" s="19"/>
    </row>
    <row r="1047566" spans="1:14" s="83" customFormat="1" ht="12.75">
      <c r="A1047566" s="19"/>
      <c r="B1047566" s="19"/>
      <c r="C1047566" s="19"/>
      <c r="D1047566" s="19"/>
      <c r="E1047566" s="19"/>
      <c r="F1047566" s="19"/>
      <c r="G1047566" s="19"/>
      <c r="H1047566" s="19"/>
      <c r="I1047566" s="19"/>
      <c r="J1047566" s="19"/>
      <c r="K1047566" s="19"/>
      <c r="L1047566" s="19"/>
      <c r="M1047566" s="19"/>
      <c r="N1047566" s="19"/>
    </row>
    <row r="1047567" spans="1:14" s="83" customFormat="1" ht="12.75">
      <c r="A1047567" s="19"/>
      <c r="B1047567" s="19"/>
      <c r="C1047567" s="19"/>
      <c r="D1047567" s="19"/>
      <c r="E1047567" s="19"/>
      <c r="F1047567" s="19"/>
      <c r="G1047567" s="19"/>
      <c r="H1047567" s="19"/>
      <c r="I1047567" s="19"/>
      <c r="J1047567" s="19"/>
      <c r="K1047567" s="19"/>
      <c r="L1047567" s="19"/>
      <c r="M1047567" s="19"/>
      <c r="N1047567" s="19"/>
    </row>
    <row r="1047568" spans="1:14" s="83" customFormat="1" ht="12.75">
      <c r="A1047568" s="19"/>
      <c r="B1047568" s="19"/>
      <c r="C1047568" s="19"/>
      <c r="D1047568" s="19"/>
      <c r="E1047568" s="19"/>
      <c r="F1047568" s="19"/>
      <c r="G1047568" s="19"/>
      <c r="H1047568" s="19"/>
      <c r="I1047568" s="19"/>
      <c r="J1047568" s="19"/>
      <c r="K1047568" s="19"/>
      <c r="L1047568" s="19"/>
      <c r="M1047568" s="19"/>
      <c r="N1047568" s="19"/>
    </row>
    <row r="1047569" spans="1:14" s="83" customFormat="1" ht="12.75">
      <c r="A1047569" s="19"/>
      <c r="B1047569" s="19"/>
      <c r="C1047569" s="19"/>
      <c r="D1047569" s="19"/>
      <c r="E1047569" s="19"/>
      <c r="F1047569" s="19"/>
      <c r="G1047569" s="19"/>
      <c r="H1047569" s="19"/>
      <c r="I1047569" s="19"/>
      <c r="J1047569" s="19"/>
      <c r="K1047569" s="19"/>
      <c r="L1047569" s="19"/>
      <c r="M1047569" s="19"/>
      <c r="N1047569" s="19"/>
    </row>
    <row r="1047570" spans="1:14" s="83" customFormat="1" ht="12.75">
      <c r="A1047570" s="19"/>
      <c r="B1047570" s="19"/>
      <c r="C1047570" s="19"/>
      <c r="D1047570" s="19"/>
      <c r="E1047570" s="19"/>
      <c r="F1047570" s="19"/>
      <c r="G1047570" s="19"/>
      <c r="H1047570" s="19"/>
      <c r="I1047570" s="19"/>
      <c r="J1047570" s="19"/>
      <c r="K1047570" s="19"/>
      <c r="L1047570" s="19"/>
      <c r="M1047570" s="19"/>
      <c r="N1047570" s="19"/>
    </row>
    <row r="1047571" spans="1:14" s="83" customFormat="1" ht="12.75">
      <c r="A1047571" s="19"/>
      <c r="B1047571" s="19"/>
      <c r="C1047571" s="19"/>
      <c r="D1047571" s="19"/>
      <c r="E1047571" s="19"/>
      <c r="F1047571" s="19"/>
      <c r="G1047571" s="19"/>
      <c r="H1047571" s="19"/>
      <c r="I1047571" s="19"/>
      <c r="J1047571" s="19"/>
      <c r="K1047571" s="19"/>
      <c r="L1047571" s="19"/>
      <c r="M1047571" s="19"/>
      <c r="N1047571" s="19"/>
    </row>
    <row r="1047572" spans="1:14" s="83" customFormat="1" ht="12.75">
      <c r="A1047572" s="19"/>
      <c r="B1047572" s="19"/>
      <c r="C1047572" s="19"/>
      <c r="D1047572" s="19"/>
      <c r="E1047572" s="19"/>
      <c r="F1047572" s="19"/>
      <c r="G1047572" s="19"/>
      <c r="H1047572" s="19"/>
      <c r="I1047572" s="19"/>
      <c r="J1047572" s="19"/>
      <c r="K1047572" s="19"/>
      <c r="L1047572" s="19"/>
      <c r="M1047572" s="19"/>
      <c r="N1047572" s="19"/>
    </row>
    <row r="1047573" spans="1:14" s="83" customFormat="1" ht="12.75">
      <c r="A1047573" s="19"/>
      <c r="B1047573" s="19"/>
      <c r="C1047573" s="19"/>
      <c r="D1047573" s="19"/>
      <c r="E1047573" s="19"/>
      <c r="F1047573" s="19"/>
      <c r="G1047573" s="19"/>
      <c r="H1047573" s="19"/>
      <c r="I1047573" s="19"/>
      <c r="J1047573" s="19"/>
      <c r="K1047573" s="19"/>
      <c r="L1047573" s="19"/>
      <c r="M1047573" s="19"/>
      <c r="N1047573" s="19"/>
    </row>
    <row r="1047574" spans="1:14" s="83" customFormat="1" ht="12.75">
      <c r="A1047574" s="19"/>
      <c r="B1047574" s="19"/>
      <c r="C1047574" s="19"/>
      <c r="D1047574" s="19"/>
      <c r="E1047574" s="19"/>
      <c r="F1047574" s="19"/>
      <c r="G1047574" s="19"/>
      <c r="H1047574" s="19"/>
      <c r="I1047574" s="19"/>
      <c r="J1047574" s="19"/>
      <c r="K1047574" s="19"/>
      <c r="L1047574" s="19"/>
      <c r="M1047574" s="19"/>
      <c r="N1047574" s="19"/>
    </row>
    <row r="1047575" spans="1:14" s="83" customFormat="1" ht="12.75">
      <c r="A1047575" s="19"/>
      <c r="B1047575" s="19"/>
      <c r="C1047575" s="19"/>
      <c r="D1047575" s="19"/>
      <c r="E1047575" s="19"/>
      <c r="F1047575" s="19"/>
      <c r="G1047575" s="19"/>
      <c r="H1047575" s="19"/>
      <c r="I1047575" s="19"/>
      <c r="J1047575" s="19"/>
      <c r="K1047575" s="19"/>
      <c r="L1047575" s="19"/>
      <c r="M1047575" s="19"/>
      <c r="N1047575" s="19"/>
    </row>
    <row r="1047576" spans="1:14" s="83" customFormat="1" ht="12.75">
      <c r="A1047576" s="19"/>
      <c r="B1047576" s="19"/>
      <c r="C1047576" s="19"/>
      <c r="D1047576" s="19"/>
      <c r="E1047576" s="19"/>
      <c r="F1047576" s="19"/>
      <c r="G1047576" s="19"/>
      <c r="H1047576" s="19"/>
      <c r="I1047576" s="19"/>
      <c r="J1047576" s="19"/>
      <c r="K1047576" s="19"/>
      <c r="L1047576" s="19"/>
      <c r="M1047576" s="19"/>
      <c r="N1047576" s="19"/>
    </row>
    <row r="1047577" spans="1:14" s="83" customFormat="1" ht="12.75">
      <c r="A1047577" s="19"/>
      <c r="B1047577" s="19"/>
      <c r="C1047577" s="19"/>
      <c r="D1047577" s="19"/>
      <c r="E1047577" s="19"/>
      <c r="F1047577" s="19"/>
      <c r="G1047577" s="19"/>
      <c r="H1047577" s="19"/>
      <c r="I1047577" s="19"/>
      <c r="J1047577" s="19"/>
      <c r="K1047577" s="19"/>
      <c r="L1047577" s="19"/>
      <c r="M1047577" s="19"/>
      <c r="N1047577" s="19"/>
    </row>
    <row r="1047578" spans="1:14" s="83" customFormat="1" ht="12.75">
      <c r="A1047578" s="19"/>
      <c r="B1047578" s="19"/>
      <c r="C1047578" s="19"/>
      <c r="D1047578" s="19"/>
      <c r="E1047578" s="19"/>
      <c r="F1047578" s="19"/>
      <c r="G1047578" s="19"/>
      <c r="H1047578" s="19"/>
      <c r="I1047578" s="19"/>
      <c r="J1047578" s="19"/>
      <c r="K1047578" s="19"/>
      <c r="L1047578" s="19"/>
      <c r="M1047578" s="19"/>
      <c r="N1047578" s="19"/>
    </row>
    <row r="1047579" spans="1:14" s="83" customFormat="1" ht="12.75">
      <c r="A1047579" s="19"/>
      <c r="B1047579" s="19"/>
      <c r="C1047579" s="19"/>
      <c r="D1047579" s="19"/>
      <c r="E1047579" s="19"/>
      <c r="F1047579" s="19"/>
      <c r="G1047579" s="19"/>
      <c r="H1047579" s="19"/>
      <c r="I1047579" s="19"/>
      <c r="J1047579" s="19"/>
      <c r="K1047579" s="19"/>
      <c r="L1047579" s="19"/>
      <c r="M1047579" s="19"/>
      <c r="N1047579" s="19"/>
    </row>
    <row r="1047580" spans="1:14" s="83" customFormat="1" ht="12.75">
      <c r="A1047580" s="19"/>
      <c r="B1047580" s="19"/>
      <c r="C1047580" s="19"/>
      <c r="D1047580" s="19"/>
      <c r="E1047580" s="19"/>
      <c r="F1047580" s="19"/>
      <c r="G1047580" s="19"/>
      <c r="H1047580" s="19"/>
      <c r="I1047580" s="19"/>
      <c r="J1047580" s="19"/>
      <c r="K1047580" s="19"/>
      <c r="L1047580" s="19"/>
      <c r="M1047580" s="19"/>
      <c r="N1047580" s="19"/>
    </row>
    <row r="1047581" spans="1:14" s="83" customFormat="1" ht="12.75">
      <c r="A1047581" s="19"/>
      <c r="B1047581" s="19"/>
      <c r="C1047581" s="19"/>
      <c r="D1047581" s="19"/>
      <c r="E1047581" s="19"/>
      <c r="F1047581" s="19"/>
      <c r="G1047581" s="19"/>
      <c r="H1047581" s="19"/>
      <c r="I1047581" s="19"/>
      <c r="J1047581" s="19"/>
      <c r="K1047581" s="19"/>
      <c r="L1047581" s="19"/>
      <c r="M1047581" s="19"/>
      <c r="N1047581" s="19"/>
    </row>
    <row r="1047582" spans="1:14" s="83" customFormat="1" ht="12.75">
      <c r="A1047582" s="19"/>
      <c r="B1047582" s="19"/>
      <c r="C1047582" s="19"/>
      <c r="D1047582" s="19"/>
      <c r="E1047582" s="19"/>
      <c r="F1047582" s="19"/>
      <c r="G1047582" s="19"/>
      <c r="H1047582" s="19"/>
      <c r="I1047582" s="19"/>
      <c r="J1047582" s="19"/>
      <c r="K1047582" s="19"/>
      <c r="L1047582" s="19"/>
      <c r="M1047582" s="19"/>
      <c r="N1047582" s="19"/>
    </row>
    <row r="1047583" spans="1:14" s="83" customFormat="1" ht="12.75">
      <c r="A1047583" s="19"/>
      <c r="B1047583" s="19"/>
      <c r="C1047583" s="19"/>
      <c r="D1047583" s="19"/>
      <c r="E1047583" s="19"/>
      <c r="F1047583" s="19"/>
      <c r="G1047583" s="19"/>
      <c r="H1047583" s="19"/>
      <c r="I1047583" s="19"/>
      <c r="J1047583" s="19"/>
      <c r="K1047583" s="19"/>
      <c r="L1047583" s="19"/>
      <c r="M1047583" s="19"/>
      <c r="N1047583" s="19"/>
    </row>
    <row r="1047584" spans="1:14" s="83" customFormat="1" ht="12.75">
      <c r="A1047584" s="19"/>
      <c r="B1047584" s="19"/>
      <c r="C1047584" s="19"/>
      <c r="D1047584" s="19"/>
      <c r="E1047584" s="19"/>
      <c r="F1047584" s="19"/>
      <c r="G1047584" s="19"/>
      <c r="H1047584" s="19"/>
      <c r="I1047584" s="19"/>
      <c r="J1047584" s="19"/>
      <c r="K1047584" s="19"/>
      <c r="L1047584" s="19"/>
      <c r="M1047584" s="19"/>
      <c r="N1047584" s="19"/>
    </row>
    <row r="1047585" spans="1:14" s="83" customFormat="1" ht="12.75">
      <c r="A1047585" s="19"/>
      <c r="B1047585" s="19"/>
      <c r="C1047585" s="19"/>
      <c r="D1047585" s="19"/>
      <c r="E1047585" s="19"/>
      <c r="F1047585" s="19"/>
      <c r="G1047585" s="19"/>
      <c r="H1047585" s="19"/>
      <c r="I1047585" s="19"/>
      <c r="J1047585" s="19"/>
      <c r="K1047585" s="19"/>
      <c r="L1047585" s="19"/>
      <c r="M1047585" s="19"/>
      <c r="N1047585" s="19"/>
    </row>
    <row r="1047586" spans="1:14" s="83" customFormat="1" ht="12.75">
      <c r="A1047586" s="19"/>
      <c r="B1047586" s="19"/>
      <c r="C1047586" s="19"/>
      <c r="D1047586" s="19"/>
      <c r="E1047586" s="19"/>
      <c r="F1047586" s="19"/>
      <c r="G1047586" s="19"/>
      <c r="H1047586" s="19"/>
      <c r="I1047586" s="19"/>
      <c r="J1047586" s="19"/>
      <c r="K1047586" s="19"/>
      <c r="L1047586" s="19"/>
      <c r="M1047586" s="19"/>
      <c r="N1047586" s="19"/>
    </row>
    <row r="1047587" spans="1:14" s="83" customFormat="1" ht="12.75">
      <c r="A1047587" s="19"/>
      <c r="B1047587" s="19"/>
      <c r="C1047587" s="19"/>
      <c r="D1047587" s="19"/>
      <c r="E1047587" s="19"/>
      <c r="F1047587" s="19"/>
      <c r="G1047587" s="19"/>
      <c r="H1047587" s="19"/>
      <c r="I1047587" s="19"/>
      <c r="J1047587" s="19"/>
      <c r="K1047587" s="19"/>
      <c r="L1047587" s="19"/>
      <c r="M1047587" s="19"/>
      <c r="N1047587" s="19"/>
    </row>
    <row r="1047588" spans="1:14" s="83" customFormat="1" ht="12.75">
      <c r="A1047588" s="19"/>
      <c r="B1047588" s="19"/>
      <c r="C1047588" s="19"/>
      <c r="D1047588" s="19"/>
      <c r="E1047588" s="19"/>
      <c r="F1047588" s="19"/>
      <c r="G1047588" s="19"/>
      <c r="H1047588" s="19"/>
      <c r="I1047588" s="19"/>
      <c r="J1047588" s="19"/>
      <c r="K1047588" s="19"/>
      <c r="L1047588" s="19"/>
      <c r="M1047588" s="19"/>
      <c r="N1047588" s="19"/>
    </row>
    <row r="1047589" spans="1:14" s="83" customFormat="1" ht="12.75">
      <c r="A1047589" s="19"/>
      <c r="B1047589" s="19"/>
      <c r="C1047589" s="19"/>
      <c r="D1047589" s="19"/>
      <c r="E1047589" s="19"/>
      <c r="F1047589" s="19"/>
      <c r="G1047589" s="19"/>
      <c r="H1047589" s="19"/>
      <c r="I1047589" s="19"/>
      <c r="J1047589" s="19"/>
      <c r="K1047589" s="19"/>
      <c r="L1047589" s="19"/>
      <c r="M1047589" s="19"/>
      <c r="N1047589" s="19"/>
    </row>
    <row r="1047590" spans="1:14" s="83" customFormat="1" ht="12.75">
      <c r="A1047590" s="19"/>
      <c r="B1047590" s="19"/>
      <c r="C1047590" s="19"/>
      <c r="D1047590" s="19"/>
      <c r="E1047590" s="19"/>
      <c r="F1047590" s="19"/>
      <c r="G1047590" s="19"/>
      <c r="H1047590" s="19"/>
      <c r="I1047590" s="19"/>
      <c r="J1047590" s="19"/>
      <c r="K1047590" s="19"/>
      <c r="L1047590" s="19"/>
      <c r="M1047590" s="19"/>
      <c r="N1047590" s="19"/>
    </row>
    <row r="1047591" spans="1:14" s="83" customFormat="1" ht="12.75">
      <c r="A1047591" s="19"/>
      <c r="B1047591" s="19"/>
      <c r="C1047591" s="19"/>
      <c r="D1047591" s="19"/>
      <c r="E1047591" s="19"/>
      <c r="F1047591" s="19"/>
      <c r="G1047591" s="19"/>
      <c r="H1047591" s="19"/>
      <c r="I1047591" s="19"/>
      <c r="J1047591" s="19"/>
      <c r="K1047591" s="19"/>
      <c r="L1047591" s="19"/>
      <c r="M1047591" s="19"/>
      <c r="N1047591" s="19"/>
    </row>
    <row r="1047592" spans="1:14" s="83" customFormat="1" ht="12.75">
      <c r="A1047592" s="19"/>
      <c r="B1047592" s="19"/>
      <c r="C1047592" s="19"/>
      <c r="D1047592" s="19"/>
      <c r="E1047592" s="19"/>
      <c r="F1047592" s="19"/>
      <c r="G1047592" s="19"/>
      <c r="H1047592" s="19"/>
      <c r="I1047592" s="19"/>
      <c r="J1047592" s="19"/>
      <c r="K1047592" s="19"/>
      <c r="L1047592" s="19"/>
      <c r="M1047592" s="19"/>
      <c r="N1047592" s="19"/>
    </row>
    <row r="1047593" spans="1:14" s="83" customFormat="1" ht="12.75">
      <c r="A1047593" s="19"/>
      <c r="B1047593" s="19"/>
      <c r="C1047593" s="19"/>
      <c r="D1047593" s="19"/>
      <c r="E1047593" s="19"/>
      <c r="F1047593" s="19"/>
      <c r="G1047593" s="19"/>
      <c r="H1047593" s="19"/>
      <c r="I1047593" s="19"/>
      <c r="J1047593" s="19"/>
      <c r="K1047593" s="19"/>
      <c r="L1047593" s="19"/>
      <c r="M1047593" s="19"/>
      <c r="N1047593" s="19"/>
    </row>
    <row r="1047594" spans="1:14" s="83" customFormat="1" ht="12.75">
      <c r="A1047594" s="19"/>
      <c r="B1047594" s="19"/>
      <c r="C1047594" s="19"/>
      <c r="D1047594" s="19"/>
      <c r="E1047594" s="19"/>
      <c r="F1047594" s="19"/>
      <c r="G1047594" s="19"/>
      <c r="H1047594" s="19"/>
      <c r="I1047594" s="19"/>
      <c r="J1047594" s="19"/>
      <c r="K1047594" s="19"/>
      <c r="L1047594" s="19"/>
      <c r="M1047594" s="19"/>
      <c r="N1047594" s="19"/>
    </row>
    <row r="1047595" spans="1:14" s="83" customFormat="1" ht="12.75">
      <c r="A1047595" s="19"/>
      <c r="B1047595" s="19"/>
      <c r="C1047595" s="19"/>
      <c r="D1047595" s="19"/>
      <c r="E1047595" s="19"/>
      <c r="F1047595" s="19"/>
      <c r="G1047595" s="19"/>
      <c r="H1047595" s="19"/>
      <c r="I1047595" s="19"/>
      <c r="J1047595" s="19"/>
      <c r="K1047595" s="19"/>
      <c r="L1047595" s="19"/>
      <c r="M1047595" s="19"/>
      <c r="N1047595" s="19"/>
    </row>
    <row r="1047596" spans="1:14" s="83" customFormat="1" ht="12.75">
      <c r="A1047596" s="19"/>
      <c r="B1047596" s="19"/>
      <c r="C1047596" s="19"/>
      <c r="D1047596" s="19"/>
      <c r="E1047596" s="19"/>
      <c r="F1047596" s="19"/>
      <c r="G1047596" s="19"/>
      <c r="H1047596" s="19"/>
      <c r="I1047596" s="19"/>
      <c r="J1047596" s="19"/>
      <c r="K1047596" s="19"/>
      <c r="L1047596" s="19"/>
      <c r="M1047596" s="19"/>
      <c r="N1047596" s="19"/>
    </row>
    <row r="1047597" spans="1:14" s="83" customFormat="1" ht="12.75">
      <c r="A1047597" s="19"/>
      <c r="B1047597" s="19"/>
      <c r="C1047597" s="19"/>
      <c r="D1047597" s="19"/>
      <c r="E1047597" s="19"/>
      <c r="F1047597" s="19"/>
      <c r="G1047597" s="19"/>
      <c r="H1047597" s="19"/>
      <c r="I1047597" s="19"/>
      <c r="J1047597" s="19"/>
      <c r="K1047597" s="19"/>
      <c r="L1047597" s="19"/>
      <c r="M1047597" s="19"/>
      <c r="N1047597" s="19"/>
    </row>
    <row r="1047598" spans="1:14" s="83" customFormat="1" ht="12.75">
      <c r="A1047598" s="19"/>
      <c r="B1047598" s="19"/>
      <c r="C1047598" s="19"/>
      <c r="D1047598" s="19"/>
      <c r="E1047598" s="19"/>
      <c r="F1047598" s="19"/>
      <c r="G1047598" s="19"/>
      <c r="H1047598" s="19"/>
      <c r="I1047598" s="19"/>
      <c r="J1047598" s="19"/>
      <c r="K1047598" s="19"/>
      <c r="L1047598" s="19"/>
      <c r="M1047598" s="19"/>
      <c r="N1047598" s="19"/>
    </row>
    <row r="1047599" spans="1:14" s="83" customFormat="1" ht="12.75">
      <c r="A1047599" s="19"/>
      <c r="B1047599" s="19"/>
      <c r="C1047599" s="19"/>
      <c r="D1047599" s="19"/>
      <c r="E1047599" s="19"/>
      <c r="F1047599" s="19"/>
      <c r="G1047599" s="19"/>
      <c r="H1047599" s="19"/>
      <c r="I1047599" s="19"/>
      <c r="J1047599" s="19"/>
      <c r="K1047599" s="19"/>
      <c r="L1047599" s="19"/>
      <c r="M1047599" s="19"/>
      <c r="N1047599" s="19"/>
    </row>
    <row r="1047600" spans="1:14" s="83" customFormat="1" ht="12.75">
      <c r="A1047600" s="19"/>
      <c r="B1047600" s="19"/>
      <c r="C1047600" s="19"/>
      <c r="D1047600" s="19"/>
      <c r="E1047600" s="19"/>
      <c r="F1047600" s="19"/>
      <c r="G1047600" s="19"/>
      <c r="H1047600" s="19"/>
      <c r="I1047600" s="19"/>
      <c r="J1047600" s="19"/>
      <c r="K1047600" s="19"/>
      <c r="L1047600" s="19"/>
      <c r="M1047600" s="19"/>
      <c r="N1047600" s="19"/>
    </row>
    <row r="1047601" spans="1:14" s="83" customFormat="1" ht="12.75">
      <c r="A1047601" s="19"/>
      <c r="B1047601" s="19"/>
      <c r="C1047601" s="19"/>
      <c r="D1047601" s="19"/>
      <c r="E1047601" s="19"/>
      <c r="F1047601" s="19"/>
      <c r="G1047601" s="19"/>
      <c r="H1047601" s="19"/>
      <c r="I1047601" s="19"/>
      <c r="J1047601" s="19"/>
      <c r="K1047601" s="19"/>
      <c r="L1047601" s="19"/>
      <c r="M1047601" s="19"/>
      <c r="N1047601" s="19"/>
    </row>
    <row r="1047602" spans="1:14" s="83" customFormat="1" ht="12.75">
      <c r="A1047602" s="19"/>
      <c r="B1047602" s="19"/>
      <c r="C1047602" s="19"/>
      <c r="D1047602" s="19"/>
      <c r="E1047602" s="19"/>
      <c r="F1047602" s="19"/>
      <c r="G1047602" s="19"/>
      <c r="H1047602" s="19"/>
      <c r="I1047602" s="19"/>
      <c r="J1047602" s="19"/>
      <c r="K1047602" s="19"/>
      <c r="L1047602" s="19"/>
      <c r="M1047602" s="19"/>
      <c r="N1047602" s="19"/>
    </row>
    <row r="1047603" spans="1:14" s="83" customFormat="1" ht="12.75">
      <c r="A1047603" s="19"/>
      <c r="B1047603" s="19"/>
      <c r="C1047603" s="19"/>
      <c r="D1047603" s="19"/>
      <c r="E1047603" s="19"/>
      <c r="F1047603" s="19"/>
      <c r="G1047603" s="19"/>
      <c r="H1047603" s="19"/>
      <c r="I1047603" s="19"/>
      <c r="J1047603" s="19"/>
      <c r="K1047603" s="19"/>
      <c r="L1047603" s="19"/>
      <c r="M1047603" s="19"/>
      <c r="N1047603" s="19"/>
    </row>
    <row r="1047604" spans="1:14" s="83" customFormat="1" ht="12.75">
      <c r="A1047604" s="19"/>
      <c r="B1047604" s="19"/>
      <c r="C1047604" s="19"/>
      <c r="D1047604" s="19"/>
      <c r="E1047604" s="19"/>
      <c r="F1047604" s="19"/>
      <c r="G1047604" s="19"/>
      <c r="H1047604" s="19"/>
      <c r="I1047604" s="19"/>
      <c r="J1047604" s="19"/>
      <c r="K1047604" s="19"/>
      <c r="L1047604" s="19"/>
      <c r="M1047604" s="19"/>
      <c r="N1047604" s="19"/>
    </row>
    <row r="1047605" spans="1:14" s="83" customFormat="1" ht="12.75">
      <c r="A1047605" s="19"/>
      <c r="B1047605" s="19"/>
      <c r="C1047605" s="19"/>
      <c r="D1047605" s="19"/>
      <c r="E1047605" s="19"/>
      <c r="F1047605" s="19"/>
      <c r="G1047605" s="19"/>
      <c r="H1047605" s="19"/>
      <c r="I1047605" s="19"/>
      <c r="J1047605" s="19"/>
      <c r="K1047605" s="19"/>
      <c r="L1047605" s="19"/>
      <c r="M1047605" s="19"/>
      <c r="N1047605" s="19"/>
    </row>
    <row r="1047606" spans="1:14" s="83" customFormat="1" ht="12.75">
      <c r="A1047606" s="19"/>
      <c r="B1047606" s="19"/>
      <c r="C1047606" s="19"/>
      <c r="D1047606" s="19"/>
      <c r="E1047606" s="19"/>
      <c r="F1047606" s="19"/>
      <c r="G1047606" s="19"/>
      <c r="H1047606" s="19"/>
      <c r="I1047606" s="19"/>
      <c r="J1047606" s="19"/>
      <c r="K1047606" s="19"/>
      <c r="L1047606" s="19"/>
      <c r="M1047606" s="19"/>
      <c r="N1047606" s="19"/>
    </row>
    <row r="1047607" spans="1:14" s="83" customFormat="1" ht="12.75">
      <c r="A1047607" s="19"/>
      <c r="B1047607" s="19"/>
      <c r="C1047607" s="19"/>
      <c r="D1047607" s="19"/>
      <c r="E1047607" s="19"/>
      <c r="F1047607" s="19"/>
      <c r="G1047607" s="19"/>
      <c r="H1047607" s="19"/>
      <c r="I1047607" s="19"/>
      <c r="J1047607" s="19"/>
      <c r="K1047607" s="19"/>
      <c r="L1047607" s="19"/>
      <c r="M1047607" s="19"/>
      <c r="N1047607" s="19"/>
    </row>
    <row r="1047608" spans="1:14" s="83" customFormat="1" ht="12.75">
      <c r="A1047608" s="19"/>
      <c r="B1047608" s="19"/>
      <c r="C1047608" s="19"/>
      <c r="D1047608" s="19"/>
      <c r="E1047608" s="19"/>
      <c r="F1047608" s="19"/>
      <c r="G1047608" s="19"/>
      <c r="H1047608" s="19"/>
      <c r="I1047608" s="19"/>
      <c r="J1047608" s="19"/>
      <c r="K1047608" s="19"/>
      <c r="L1047608" s="19"/>
      <c r="M1047608" s="19"/>
      <c r="N1047608" s="19"/>
    </row>
    <row r="1047609" spans="1:14" s="83" customFormat="1" ht="12.75">
      <c r="A1047609" s="19"/>
      <c r="B1047609" s="19"/>
      <c r="C1047609" s="19"/>
      <c r="D1047609" s="19"/>
      <c r="E1047609" s="19"/>
      <c r="F1047609" s="19"/>
      <c r="G1047609" s="19"/>
      <c r="H1047609" s="19"/>
      <c r="I1047609" s="19"/>
      <c r="J1047609" s="19"/>
      <c r="K1047609" s="19"/>
      <c r="L1047609" s="19"/>
      <c r="M1047609" s="19"/>
      <c r="N1047609" s="19"/>
    </row>
    <row r="1047610" spans="1:14" s="83" customFormat="1" ht="12.75">
      <c r="A1047610" s="19"/>
      <c r="B1047610" s="19"/>
      <c r="C1047610" s="19"/>
      <c r="D1047610" s="19"/>
      <c r="E1047610" s="19"/>
      <c r="F1047610" s="19"/>
      <c r="G1047610" s="19"/>
      <c r="H1047610" s="19"/>
      <c r="I1047610" s="19"/>
      <c r="J1047610" s="19"/>
      <c r="K1047610" s="19"/>
      <c r="L1047610" s="19"/>
      <c r="M1047610" s="19"/>
      <c r="N1047610" s="19"/>
    </row>
    <row r="1047611" spans="1:14" s="83" customFormat="1" ht="12.75">
      <c r="A1047611" s="19"/>
      <c r="B1047611" s="19"/>
      <c r="C1047611" s="19"/>
      <c r="D1047611" s="19"/>
      <c r="E1047611" s="19"/>
      <c r="F1047611" s="19"/>
      <c r="G1047611" s="19"/>
      <c r="H1047611" s="19"/>
      <c r="I1047611" s="19"/>
      <c r="J1047611" s="19"/>
      <c r="K1047611" s="19"/>
      <c r="L1047611" s="19"/>
      <c r="M1047611" s="19"/>
      <c r="N1047611" s="19"/>
    </row>
    <row r="1047612" spans="1:14" s="83" customFormat="1" ht="12.75">
      <c r="A1047612" s="19"/>
      <c r="B1047612" s="19"/>
      <c r="C1047612" s="19"/>
      <c r="D1047612" s="19"/>
      <c r="E1047612" s="19"/>
      <c r="F1047612" s="19"/>
      <c r="G1047612" s="19"/>
      <c r="H1047612" s="19"/>
      <c r="I1047612" s="19"/>
      <c r="J1047612" s="19"/>
      <c r="K1047612" s="19"/>
      <c r="L1047612" s="19"/>
      <c r="M1047612" s="19"/>
      <c r="N1047612" s="19"/>
    </row>
    <row r="1047613" spans="1:14" s="83" customFormat="1" ht="12.75">
      <c r="A1047613" s="19"/>
      <c r="B1047613" s="19"/>
      <c r="C1047613" s="19"/>
      <c r="D1047613" s="19"/>
      <c r="E1047613" s="19"/>
      <c r="F1047613" s="19"/>
      <c r="G1047613" s="19"/>
      <c r="H1047613" s="19"/>
      <c r="I1047613" s="19"/>
      <c r="J1047613" s="19"/>
      <c r="K1047613" s="19"/>
      <c r="L1047613" s="19"/>
      <c r="M1047613" s="19"/>
      <c r="N1047613" s="19"/>
    </row>
    <row r="1047614" spans="1:14" s="83" customFormat="1" ht="12.75">
      <c r="A1047614" s="19"/>
      <c r="B1047614" s="19"/>
      <c r="C1047614" s="19"/>
      <c r="D1047614" s="19"/>
      <c r="E1047614" s="19"/>
      <c r="F1047614" s="19"/>
      <c r="G1047614" s="19"/>
      <c r="H1047614" s="19"/>
      <c r="I1047614" s="19"/>
      <c r="J1047614" s="19"/>
      <c r="K1047614" s="19"/>
      <c r="L1047614" s="19"/>
      <c r="M1047614" s="19"/>
      <c r="N1047614" s="19"/>
    </row>
    <row r="1047615" spans="1:14" s="83" customFormat="1" ht="12.75">
      <c r="A1047615" s="19"/>
      <c r="B1047615" s="19"/>
      <c r="C1047615" s="19"/>
      <c r="D1047615" s="19"/>
      <c r="E1047615" s="19"/>
      <c r="F1047615" s="19"/>
      <c r="G1047615" s="19"/>
      <c r="H1047615" s="19"/>
      <c r="I1047615" s="19"/>
      <c r="J1047615" s="19"/>
      <c r="K1047615" s="19"/>
      <c r="L1047615" s="19"/>
      <c r="M1047615" s="19"/>
      <c r="N1047615" s="19"/>
    </row>
    <row r="1047616" spans="1:14" s="83" customFormat="1" ht="12.75">
      <c r="A1047616" s="19"/>
      <c r="B1047616" s="19"/>
      <c r="C1047616" s="19"/>
      <c r="D1047616" s="19"/>
      <c r="E1047616" s="19"/>
      <c r="F1047616" s="19"/>
      <c r="G1047616" s="19"/>
      <c r="H1047616" s="19"/>
      <c r="I1047616" s="19"/>
      <c r="J1047616" s="19"/>
      <c r="K1047616" s="19"/>
      <c r="L1047616" s="19"/>
      <c r="M1047616" s="19"/>
      <c r="N1047616" s="19"/>
    </row>
    <row r="1047617" spans="1:14" s="83" customFormat="1" ht="12.75">
      <c r="A1047617" s="19"/>
      <c r="B1047617" s="19"/>
      <c r="C1047617" s="19"/>
      <c r="D1047617" s="19"/>
      <c r="E1047617" s="19"/>
      <c r="F1047617" s="19"/>
      <c r="G1047617" s="19"/>
      <c r="H1047617" s="19"/>
      <c r="I1047617" s="19"/>
      <c r="J1047617" s="19"/>
      <c r="K1047617" s="19"/>
      <c r="L1047617" s="19"/>
      <c r="M1047617" s="19"/>
      <c r="N1047617" s="19"/>
    </row>
    <row r="1047618" spans="1:14" s="83" customFormat="1" ht="12.75">
      <c r="A1047618" s="19"/>
      <c r="B1047618" s="19"/>
      <c r="C1047618" s="19"/>
      <c r="D1047618" s="19"/>
      <c r="E1047618" s="19"/>
      <c r="F1047618" s="19"/>
      <c r="G1047618" s="19"/>
      <c r="H1047618" s="19"/>
      <c r="I1047618" s="19"/>
      <c r="J1047618" s="19"/>
      <c r="K1047618" s="19"/>
      <c r="L1047618" s="19"/>
      <c r="M1047618" s="19"/>
      <c r="N1047618" s="19"/>
    </row>
    <row r="1047619" spans="1:14" s="83" customFormat="1" ht="12.75">
      <c r="A1047619" s="19"/>
      <c r="B1047619" s="19"/>
      <c r="C1047619" s="19"/>
      <c r="D1047619" s="19"/>
      <c r="E1047619" s="19"/>
      <c r="F1047619" s="19"/>
      <c r="G1047619" s="19"/>
      <c r="H1047619" s="19"/>
      <c r="I1047619" s="19"/>
      <c r="J1047619" s="19"/>
      <c r="K1047619" s="19"/>
      <c r="L1047619" s="19"/>
      <c r="M1047619" s="19"/>
      <c r="N1047619" s="19"/>
    </row>
    <row r="1047620" spans="1:14" s="83" customFormat="1" ht="12.75">
      <c r="A1047620" s="19"/>
      <c r="B1047620" s="19"/>
      <c r="C1047620" s="19"/>
      <c r="D1047620" s="19"/>
      <c r="E1047620" s="19"/>
      <c r="F1047620" s="19"/>
      <c r="G1047620" s="19"/>
      <c r="H1047620" s="19"/>
      <c r="I1047620" s="19"/>
      <c r="J1047620" s="19"/>
      <c r="K1047620" s="19"/>
      <c r="L1047620" s="19"/>
      <c r="M1047620" s="19"/>
      <c r="N1047620" s="19"/>
    </row>
    <row r="1047621" spans="1:14" s="83" customFormat="1" ht="12.75">
      <c r="A1047621" s="19"/>
      <c r="B1047621" s="19"/>
      <c r="C1047621" s="19"/>
      <c r="D1047621" s="19"/>
      <c r="E1047621" s="19"/>
      <c r="F1047621" s="19"/>
      <c r="G1047621" s="19"/>
      <c r="H1047621" s="19"/>
      <c r="I1047621" s="19"/>
      <c r="J1047621" s="19"/>
      <c r="K1047621" s="19"/>
      <c r="L1047621" s="19"/>
      <c r="M1047621" s="19"/>
      <c r="N1047621" s="19"/>
    </row>
    <row r="1047622" spans="1:14" s="83" customFormat="1" ht="12.75">
      <c r="A1047622" s="19"/>
      <c r="B1047622" s="19"/>
      <c r="C1047622" s="19"/>
      <c r="D1047622" s="19"/>
      <c r="E1047622" s="19"/>
      <c r="F1047622" s="19"/>
      <c r="G1047622" s="19"/>
      <c r="H1047622" s="19"/>
      <c r="I1047622" s="19"/>
      <c r="J1047622" s="19"/>
      <c r="K1047622" s="19"/>
      <c r="L1047622" s="19"/>
      <c r="M1047622" s="19"/>
      <c r="N1047622" s="19"/>
    </row>
    <row r="1047623" spans="1:14" s="83" customFormat="1" ht="12.75">
      <c r="A1047623" s="19"/>
      <c r="B1047623" s="19"/>
      <c r="C1047623" s="19"/>
      <c r="D1047623" s="19"/>
      <c r="E1047623" s="19"/>
      <c r="F1047623" s="19"/>
      <c r="G1047623" s="19"/>
      <c r="H1047623" s="19"/>
      <c r="I1047623" s="19"/>
      <c r="J1047623" s="19"/>
      <c r="K1047623" s="19"/>
      <c r="L1047623" s="19"/>
      <c r="M1047623" s="19"/>
      <c r="N1047623" s="19"/>
    </row>
    <row r="1047624" spans="1:14" s="83" customFormat="1" ht="12.75">
      <c r="A1047624" s="19"/>
      <c r="B1047624" s="19"/>
      <c r="C1047624" s="19"/>
      <c r="D1047624" s="19"/>
      <c r="E1047624" s="19"/>
      <c r="F1047624" s="19"/>
      <c r="G1047624" s="19"/>
      <c r="H1047624" s="19"/>
      <c r="I1047624" s="19"/>
      <c r="J1047624" s="19"/>
      <c r="K1047624" s="19"/>
      <c r="L1047624" s="19"/>
      <c r="M1047624" s="19"/>
      <c r="N1047624" s="19"/>
    </row>
    <row r="1047625" spans="1:14" s="83" customFormat="1" ht="12.75">
      <c r="A1047625" s="19"/>
      <c r="B1047625" s="19"/>
      <c r="C1047625" s="19"/>
      <c r="D1047625" s="19"/>
      <c r="E1047625" s="19"/>
      <c r="F1047625" s="19"/>
      <c r="G1047625" s="19"/>
      <c r="H1047625" s="19"/>
      <c r="I1047625" s="19"/>
      <c r="J1047625" s="19"/>
      <c r="K1047625" s="19"/>
      <c r="L1047625" s="19"/>
      <c r="M1047625" s="19"/>
      <c r="N1047625" s="19"/>
    </row>
    <row r="1047626" spans="1:14" s="83" customFormat="1" ht="12.75">
      <c r="A1047626" s="19"/>
      <c r="B1047626" s="19"/>
      <c r="C1047626" s="19"/>
      <c r="D1047626" s="19"/>
      <c r="E1047626" s="19"/>
      <c r="F1047626" s="19"/>
      <c r="G1047626" s="19"/>
      <c r="H1047626" s="19"/>
      <c r="I1047626" s="19"/>
      <c r="J1047626" s="19"/>
      <c r="K1047626" s="19"/>
      <c r="L1047626" s="19"/>
      <c r="M1047626" s="19"/>
      <c r="N1047626" s="19"/>
    </row>
    <row r="1047627" spans="1:14" s="83" customFormat="1" ht="12.75">
      <c r="A1047627" s="19"/>
      <c r="B1047627" s="19"/>
      <c r="C1047627" s="19"/>
      <c r="D1047627" s="19"/>
      <c r="E1047627" s="19"/>
      <c r="F1047627" s="19"/>
      <c r="G1047627" s="19"/>
      <c r="H1047627" s="19"/>
      <c r="I1047627" s="19"/>
      <c r="J1047627" s="19"/>
      <c r="K1047627" s="19"/>
      <c r="L1047627" s="19"/>
      <c r="M1047627" s="19"/>
      <c r="N1047627" s="19"/>
    </row>
    <row r="1047628" spans="1:14" s="83" customFormat="1" ht="12.75">
      <c r="A1047628" s="19"/>
      <c r="B1047628" s="19"/>
      <c r="C1047628" s="19"/>
      <c r="D1047628" s="19"/>
      <c r="E1047628" s="19"/>
      <c r="F1047628" s="19"/>
      <c r="G1047628" s="19"/>
      <c r="H1047628" s="19"/>
      <c r="I1047628" s="19"/>
      <c r="J1047628" s="19"/>
      <c r="K1047628" s="19"/>
      <c r="L1047628" s="19"/>
      <c r="M1047628" s="19"/>
      <c r="N1047628" s="19"/>
    </row>
    <row r="1047629" spans="1:14" s="83" customFormat="1" ht="12.75">
      <c r="A1047629" s="19"/>
      <c r="B1047629" s="19"/>
      <c r="C1047629" s="19"/>
      <c r="D1047629" s="19"/>
      <c r="E1047629" s="19"/>
      <c r="F1047629" s="19"/>
      <c r="G1047629" s="19"/>
      <c r="H1047629" s="19"/>
      <c r="I1047629" s="19"/>
      <c r="J1047629" s="19"/>
      <c r="K1047629" s="19"/>
      <c r="L1047629" s="19"/>
      <c r="M1047629" s="19"/>
      <c r="N1047629" s="19"/>
    </row>
    <row r="1047630" spans="1:14" s="83" customFormat="1" ht="12.75">
      <c r="A1047630" s="19"/>
      <c r="B1047630" s="19"/>
      <c r="C1047630" s="19"/>
      <c r="D1047630" s="19"/>
      <c r="E1047630" s="19"/>
      <c r="F1047630" s="19"/>
      <c r="G1047630" s="19"/>
      <c r="H1047630" s="19"/>
      <c r="I1047630" s="19"/>
      <c r="J1047630" s="19"/>
      <c r="K1047630" s="19"/>
      <c r="L1047630" s="19"/>
      <c r="M1047630" s="19"/>
      <c r="N1047630" s="19"/>
    </row>
    <row r="1047631" spans="1:14" s="83" customFormat="1" ht="12.75">
      <c r="A1047631" s="19"/>
      <c r="B1047631" s="19"/>
      <c r="C1047631" s="19"/>
      <c r="D1047631" s="19"/>
      <c r="E1047631" s="19"/>
      <c r="F1047631" s="19"/>
      <c r="G1047631" s="19"/>
      <c r="H1047631" s="19"/>
      <c r="I1047631" s="19"/>
      <c r="J1047631" s="19"/>
      <c r="K1047631" s="19"/>
      <c r="L1047631" s="19"/>
      <c r="M1047631" s="19"/>
      <c r="N1047631" s="19"/>
    </row>
    <row r="1047632" spans="1:14" s="83" customFormat="1" ht="12.75">
      <c r="A1047632" s="19"/>
      <c r="B1047632" s="19"/>
      <c r="C1047632" s="19"/>
      <c r="D1047632" s="19"/>
      <c r="E1047632" s="19"/>
      <c r="F1047632" s="19"/>
      <c r="G1047632" s="19"/>
      <c r="H1047632" s="19"/>
      <c r="I1047632" s="19"/>
      <c r="J1047632" s="19"/>
      <c r="K1047632" s="19"/>
      <c r="L1047632" s="19"/>
      <c r="M1047632" s="19"/>
      <c r="N1047632" s="19"/>
    </row>
    <row r="1047633" spans="1:14" s="83" customFormat="1" ht="12.75">
      <c r="A1047633" s="19"/>
      <c r="B1047633" s="19"/>
      <c r="C1047633" s="19"/>
      <c r="D1047633" s="19"/>
      <c r="E1047633" s="19"/>
      <c r="F1047633" s="19"/>
      <c r="G1047633" s="19"/>
      <c r="H1047633" s="19"/>
      <c r="I1047633" s="19"/>
      <c r="J1047633" s="19"/>
      <c r="K1047633" s="19"/>
      <c r="L1047633" s="19"/>
      <c r="M1047633" s="19"/>
      <c r="N1047633" s="19"/>
    </row>
    <row r="1047634" spans="1:14" s="83" customFormat="1" ht="12.75">
      <c r="A1047634" s="19"/>
      <c r="B1047634" s="19"/>
      <c r="C1047634" s="19"/>
      <c r="D1047634" s="19"/>
      <c r="E1047634" s="19"/>
      <c r="F1047634" s="19"/>
      <c r="G1047634" s="19"/>
      <c r="H1047634" s="19"/>
      <c r="I1047634" s="19"/>
      <c r="J1047634" s="19"/>
      <c r="K1047634" s="19"/>
      <c r="L1047634" s="19"/>
      <c r="M1047634" s="19"/>
      <c r="N1047634" s="19"/>
    </row>
    <row r="1047635" spans="1:14" s="83" customFormat="1" ht="12.75">
      <c r="A1047635" s="19"/>
      <c r="B1047635" s="19"/>
      <c r="C1047635" s="19"/>
      <c r="D1047635" s="19"/>
      <c r="E1047635" s="19"/>
      <c r="F1047635" s="19"/>
      <c r="G1047635" s="19"/>
      <c r="H1047635" s="19"/>
      <c r="I1047635" s="19"/>
      <c r="J1047635" s="19"/>
      <c r="K1047635" s="19"/>
      <c r="L1047635" s="19"/>
      <c r="M1047635" s="19"/>
      <c r="N1047635" s="19"/>
    </row>
    <row r="1047636" spans="1:14" s="83" customFormat="1" ht="12.75">
      <c r="A1047636" s="19"/>
      <c r="B1047636" s="19"/>
      <c r="C1047636" s="19"/>
      <c r="D1047636" s="19"/>
      <c r="E1047636" s="19"/>
      <c r="F1047636" s="19"/>
      <c r="G1047636" s="19"/>
      <c r="H1047636" s="19"/>
      <c r="I1047636" s="19"/>
      <c r="J1047636" s="19"/>
      <c r="K1047636" s="19"/>
      <c r="L1047636" s="19"/>
      <c r="M1047636" s="19"/>
      <c r="N1047636" s="19"/>
    </row>
    <row r="1047637" spans="1:14" s="83" customFormat="1" ht="12.75">
      <c r="A1047637" s="19"/>
      <c r="B1047637" s="19"/>
      <c r="C1047637" s="19"/>
      <c r="D1047637" s="19"/>
      <c r="E1047637" s="19"/>
      <c r="F1047637" s="19"/>
      <c r="G1047637" s="19"/>
      <c r="H1047637" s="19"/>
      <c r="I1047637" s="19"/>
      <c r="J1047637" s="19"/>
      <c r="K1047637" s="19"/>
      <c r="L1047637" s="19"/>
      <c r="M1047637" s="19"/>
      <c r="N1047637" s="19"/>
    </row>
    <row r="1047638" spans="1:14" s="83" customFormat="1" ht="12.75">
      <c r="A1047638" s="19"/>
      <c r="B1047638" s="19"/>
      <c r="C1047638" s="19"/>
      <c r="D1047638" s="19"/>
      <c r="E1047638" s="19"/>
      <c r="F1047638" s="19"/>
      <c r="G1047638" s="19"/>
      <c r="H1047638" s="19"/>
      <c r="I1047638" s="19"/>
      <c r="J1047638" s="19"/>
      <c r="K1047638" s="19"/>
      <c r="L1047638" s="19"/>
      <c r="M1047638" s="19"/>
      <c r="N1047638" s="19"/>
    </row>
    <row r="1047639" spans="1:14" s="83" customFormat="1" ht="12.75">
      <c r="A1047639" s="19"/>
      <c r="B1047639" s="19"/>
      <c r="C1047639" s="19"/>
      <c r="D1047639" s="19"/>
      <c r="E1047639" s="19"/>
      <c r="F1047639" s="19"/>
      <c r="G1047639" s="19"/>
      <c r="H1047639" s="19"/>
      <c r="I1047639" s="19"/>
      <c r="J1047639" s="19"/>
      <c r="K1047639" s="19"/>
      <c r="L1047639" s="19"/>
      <c r="M1047639" s="19"/>
      <c r="N1047639" s="19"/>
    </row>
    <row r="1047640" spans="1:14" s="83" customFormat="1" ht="12.75">
      <c r="A1047640" s="19"/>
      <c r="B1047640" s="19"/>
      <c r="C1047640" s="19"/>
      <c r="D1047640" s="19"/>
      <c r="E1047640" s="19"/>
      <c r="F1047640" s="19"/>
      <c r="G1047640" s="19"/>
      <c r="H1047640" s="19"/>
      <c r="I1047640" s="19"/>
      <c r="J1047640" s="19"/>
      <c r="K1047640" s="19"/>
      <c r="L1047640" s="19"/>
      <c r="M1047640" s="19"/>
      <c r="N1047640" s="19"/>
    </row>
    <row r="1047641" spans="1:14" s="83" customFormat="1" ht="12.75">
      <c r="A1047641" s="19"/>
      <c r="B1047641" s="19"/>
      <c r="C1047641" s="19"/>
      <c r="D1047641" s="19"/>
      <c r="E1047641" s="19"/>
      <c r="F1047641" s="19"/>
      <c r="G1047641" s="19"/>
      <c r="H1047641" s="19"/>
      <c r="I1047641" s="19"/>
      <c r="J1047641" s="19"/>
      <c r="K1047641" s="19"/>
      <c r="L1047641" s="19"/>
      <c r="M1047641" s="19"/>
      <c r="N1047641" s="19"/>
    </row>
    <row r="1047642" spans="1:14" s="83" customFormat="1" ht="12.75">
      <c r="A1047642" s="19"/>
      <c r="B1047642" s="19"/>
      <c r="C1047642" s="19"/>
      <c r="D1047642" s="19"/>
      <c r="E1047642" s="19"/>
      <c r="F1047642" s="19"/>
      <c r="G1047642" s="19"/>
      <c r="H1047642" s="19"/>
      <c r="I1047642" s="19"/>
      <c r="J1047642" s="19"/>
      <c r="K1047642" s="19"/>
      <c r="L1047642" s="19"/>
      <c r="M1047642" s="19"/>
      <c r="N1047642" s="19"/>
    </row>
    <row r="1047643" spans="1:14" s="83" customFormat="1" ht="12.75">
      <c r="A1047643" s="19"/>
      <c r="B1047643" s="19"/>
      <c r="C1047643" s="19"/>
      <c r="D1047643" s="19"/>
      <c r="E1047643" s="19"/>
      <c r="F1047643" s="19"/>
      <c r="G1047643" s="19"/>
      <c r="H1047643" s="19"/>
      <c r="I1047643" s="19"/>
      <c r="J1047643" s="19"/>
      <c r="K1047643" s="19"/>
      <c r="L1047643" s="19"/>
      <c r="M1047643" s="19"/>
      <c r="N1047643" s="19"/>
    </row>
    <row r="1047644" spans="1:14" s="83" customFormat="1" ht="12.75">
      <c r="A1047644" s="19"/>
      <c r="B1047644" s="19"/>
      <c r="C1047644" s="19"/>
      <c r="D1047644" s="19"/>
      <c r="E1047644" s="19"/>
      <c r="F1047644" s="19"/>
      <c r="G1047644" s="19"/>
      <c r="H1047644" s="19"/>
      <c r="I1047644" s="19"/>
      <c r="J1047644" s="19"/>
      <c r="K1047644" s="19"/>
      <c r="L1047644" s="19"/>
      <c r="M1047644" s="19"/>
      <c r="N1047644" s="19"/>
    </row>
    <row r="1047645" spans="1:14" s="83" customFormat="1" ht="12.75">
      <c r="A1047645" s="19"/>
      <c r="B1047645" s="19"/>
      <c r="C1047645" s="19"/>
      <c r="D1047645" s="19"/>
      <c r="E1047645" s="19"/>
      <c r="F1047645" s="19"/>
      <c r="G1047645" s="19"/>
      <c r="H1047645" s="19"/>
      <c r="I1047645" s="19"/>
      <c r="J1047645" s="19"/>
      <c r="K1047645" s="19"/>
      <c r="L1047645" s="19"/>
      <c r="M1047645" s="19"/>
      <c r="N1047645" s="19"/>
    </row>
    <row r="1047646" spans="1:14" s="83" customFormat="1" ht="12.75">
      <c r="A1047646" s="19"/>
      <c r="B1047646" s="19"/>
      <c r="C1047646" s="19"/>
      <c r="D1047646" s="19"/>
      <c r="E1047646" s="19"/>
      <c r="F1047646" s="19"/>
      <c r="G1047646" s="19"/>
      <c r="H1047646" s="19"/>
      <c r="I1047646" s="19"/>
      <c r="J1047646" s="19"/>
      <c r="K1047646" s="19"/>
      <c r="L1047646" s="19"/>
      <c r="M1047646" s="19"/>
      <c r="N1047646" s="19"/>
    </row>
    <row r="1047647" spans="1:14" s="83" customFormat="1" ht="12.75">
      <c r="A1047647" s="19"/>
      <c r="B1047647" s="19"/>
      <c r="C1047647" s="19"/>
      <c r="D1047647" s="19"/>
      <c r="E1047647" s="19"/>
      <c r="F1047647" s="19"/>
      <c r="G1047647" s="19"/>
      <c r="H1047647" s="19"/>
      <c r="I1047647" s="19"/>
      <c r="J1047647" s="19"/>
      <c r="K1047647" s="19"/>
      <c r="L1047647" s="19"/>
      <c r="M1047647" s="19"/>
      <c r="N1047647" s="19"/>
    </row>
    <row r="1047648" spans="1:14" s="83" customFormat="1" ht="12.75">
      <c r="A1047648" s="19"/>
      <c r="B1047648" s="19"/>
      <c r="C1047648" s="19"/>
      <c r="D1047648" s="19"/>
      <c r="E1047648" s="19"/>
      <c r="F1047648" s="19"/>
      <c r="G1047648" s="19"/>
      <c r="H1047648" s="19"/>
      <c r="I1047648" s="19"/>
      <c r="J1047648" s="19"/>
      <c r="K1047648" s="19"/>
      <c r="L1047648" s="19"/>
      <c r="M1047648" s="19"/>
      <c r="N1047648" s="19"/>
    </row>
    <row r="1047649" spans="1:14" s="83" customFormat="1" ht="12.75">
      <c r="A1047649" s="19"/>
      <c r="B1047649" s="19"/>
      <c r="C1047649" s="19"/>
      <c r="D1047649" s="19"/>
      <c r="E1047649" s="19"/>
      <c r="F1047649" s="19"/>
      <c r="G1047649" s="19"/>
      <c r="H1047649" s="19"/>
      <c r="I1047649" s="19"/>
      <c r="J1047649" s="19"/>
      <c r="K1047649" s="19"/>
      <c r="L1047649" s="19"/>
      <c r="M1047649" s="19"/>
      <c r="N1047649" s="19"/>
    </row>
    <row r="1047650" spans="1:14" s="83" customFormat="1" ht="12.75">
      <c r="A1047650" s="19"/>
      <c r="B1047650" s="19"/>
      <c r="C1047650" s="19"/>
      <c r="D1047650" s="19"/>
      <c r="E1047650" s="19"/>
      <c r="F1047650" s="19"/>
      <c r="G1047650" s="19"/>
      <c r="H1047650" s="19"/>
      <c r="I1047650" s="19"/>
      <c r="J1047650" s="19"/>
      <c r="K1047650" s="19"/>
      <c r="L1047650" s="19"/>
      <c r="M1047650" s="19"/>
      <c r="N1047650" s="19"/>
    </row>
    <row r="1047651" spans="1:14" s="83" customFormat="1" ht="12.75">
      <c r="A1047651" s="19"/>
      <c r="B1047651" s="19"/>
      <c r="C1047651" s="19"/>
      <c r="D1047651" s="19"/>
      <c r="E1047651" s="19"/>
      <c r="F1047651" s="19"/>
      <c r="G1047651" s="19"/>
      <c r="H1047651" s="19"/>
      <c r="I1047651" s="19"/>
      <c r="J1047651" s="19"/>
      <c r="K1047651" s="19"/>
      <c r="L1047651" s="19"/>
      <c r="M1047651" s="19"/>
      <c r="N1047651" s="19"/>
    </row>
    <row r="1047652" spans="1:14" s="83" customFormat="1" ht="12.75">
      <c r="A1047652" s="19"/>
      <c r="B1047652" s="19"/>
      <c r="C1047652" s="19"/>
      <c r="D1047652" s="19"/>
      <c r="E1047652" s="19"/>
      <c r="F1047652" s="19"/>
      <c r="G1047652" s="19"/>
      <c r="H1047652" s="19"/>
      <c r="I1047652" s="19"/>
      <c r="J1047652" s="19"/>
      <c r="K1047652" s="19"/>
      <c r="L1047652" s="19"/>
      <c r="M1047652" s="19"/>
      <c r="N1047652" s="19"/>
    </row>
    <row r="1047653" spans="1:14" s="83" customFormat="1" ht="12.75">
      <c r="A1047653" s="19"/>
      <c r="B1047653" s="19"/>
      <c r="C1047653" s="19"/>
      <c r="D1047653" s="19"/>
      <c r="E1047653" s="19"/>
      <c r="F1047653" s="19"/>
      <c r="G1047653" s="19"/>
      <c r="H1047653" s="19"/>
      <c r="I1047653" s="19"/>
      <c r="J1047653" s="19"/>
      <c r="K1047653" s="19"/>
      <c r="L1047653" s="19"/>
      <c r="M1047653" s="19"/>
      <c r="N1047653" s="19"/>
    </row>
    <row r="1047654" spans="1:14" s="83" customFormat="1" ht="12.75">
      <c r="A1047654" s="19"/>
      <c r="B1047654" s="19"/>
      <c r="C1047654" s="19"/>
      <c r="D1047654" s="19"/>
      <c r="E1047654" s="19"/>
      <c r="F1047654" s="19"/>
      <c r="G1047654" s="19"/>
      <c r="H1047654" s="19"/>
      <c r="I1047654" s="19"/>
      <c r="J1047654" s="19"/>
      <c r="K1047654" s="19"/>
      <c r="L1047654" s="19"/>
      <c r="M1047654" s="19"/>
      <c r="N1047654" s="19"/>
    </row>
    <row r="1047655" spans="1:14" s="83" customFormat="1" ht="12.75">
      <c r="A1047655" s="19"/>
      <c r="B1047655" s="19"/>
      <c r="C1047655" s="19"/>
      <c r="D1047655" s="19"/>
      <c r="E1047655" s="19"/>
      <c r="F1047655" s="19"/>
      <c r="G1047655" s="19"/>
      <c r="H1047655" s="19"/>
      <c r="I1047655" s="19"/>
      <c r="J1047655" s="19"/>
      <c r="K1047655" s="19"/>
      <c r="L1047655" s="19"/>
      <c r="M1047655" s="19"/>
      <c r="N1047655" s="19"/>
    </row>
    <row r="1047656" spans="1:14" s="83" customFormat="1" ht="12.75">
      <c r="A1047656" s="19"/>
      <c r="B1047656" s="19"/>
      <c r="C1047656" s="19"/>
      <c r="D1047656" s="19"/>
      <c r="E1047656" s="19"/>
      <c r="F1047656" s="19"/>
      <c r="G1047656" s="19"/>
      <c r="H1047656" s="19"/>
      <c r="I1047656" s="19"/>
      <c r="J1047656" s="19"/>
      <c r="K1047656" s="19"/>
      <c r="L1047656" s="19"/>
      <c r="M1047656" s="19"/>
      <c r="N1047656" s="19"/>
    </row>
    <row r="1047657" spans="1:14" s="83" customFormat="1" ht="12.75">
      <c r="A1047657" s="19"/>
      <c r="B1047657" s="19"/>
      <c r="C1047657" s="19"/>
      <c r="D1047657" s="19"/>
      <c r="E1047657" s="19"/>
      <c r="F1047657" s="19"/>
      <c r="G1047657" s="19"/>
      <c r="H1047657" s="19"/>
      <c r="I1047657" s="19"/>
      <c r="J1047657" s="19"/>
      <c r="K1047657" s="19"/>
      <c r="L1047657" s="19"/>
      <c r="M1047657" s="19"/>
      <c r="N1047657" s="19"/>
    </row>
    <row r="1047658" spans="1:14" s="83" customFormat="1" ht="12.75">
      <c r="A1047658" s="19"/>
      <c r="B1047658" s="19"/>
      <c r="C1047658" s="19"/>
      <c r="D1047658" s="19"/>
      <c r="E1047658" s="19"/>
      <c r="F1047658" s="19"/>
      <c r="G1047658" s="19"/>
      <c r="H1047658" s="19"/>
      <c r="I1047658" s="19"/>
      <c r="J1047658" s="19"/>
      <c r="K1047658" s="19"/>
      <c r="L1047658" s="19"/>
      <c r="M1047658" s="19"/>
      <c r="N1047658" s="19"/>
    </row>
    <row r="1047659" spans="1:14" s="83" customFormat="1" ht="12.75">
      <c r="A1047659" s="19"/>
      <c r="B1047659" s="19"/>
      <c r="C1047659" s="19"/>
      <c r="D1047659" s="19"/>
      <c r="E1047659" s="19"/>
      <c r="F1047659" s="19"/>
      <c r="G1047659" s="19"/>
      <c r="H1047659" s="19"/>
      <c r="I1047659" s="19"/>
      <c r="J1047659" s="19"/>
      <c r="K1047659" s="19"/>
      <c r="L1047659" s="19"/>
      <c r="M1047659" s="19"/>
      <c r="N1047659" s="19"/>
    </row>
    <row r="1047660" spans="1:14" s="83" customFormat="1" ht="12.75">
      <c r="A1047660" s="19"/>
      <c r="B1047660" s="19"/>
      <c r="C1047660" s="19"/>
      <c r="D1047660" s="19"/>
      <c r="E1047660" s="19"/>
      <c r="F1047660" s="19"/>
      <c r="G1047660" s="19"/>
      <c r="H1047660" s="19"/>
      <c r="I1047660" s="19"/>
      <c r="J1047660" s="19"/>
      <c r="K1047660" s="19"/>
      <c r="L1047660" s="19"/>
      <c r="M1047660" s="19"/>
      <c r="N1047660" s="19"/>
    </row>
    <row r="1047661" spans="1:14" s="83" customFormat="1" ht="12.75">
      <c r="A1047661" s="19"/>
      <c r="B1047661" s="19"/>
      <c r="C1047661" s="19"/>
      <c r="D1047661" s="19"/>
      <c r="E1047661" s="19"/>
      <c r="F1047661" s="19"/>
      <c r="G1047661" s="19"/>
      <c r="H1047661" s="19"/>
      <c r="I1047661" s="19"/>
      <c r="J1047661" s="19"/>
      <c r="K1047661" s="19"/>
      <c r="L1047661" s="19"/>
      <c r="M1047661" s="19"/>
      <c r="N1047661" s="19"/>
    </row>
    <row r="1047662" spans="1:14" s="83" customFormat="1" ht="12.75">
      <c r="A1047662" s="19"/>
      <c r="B1047662" s="19"/>
      <c r="C1047662" s="19"/>
      <c r="D1047662" s="19"/>
      <c r="E1047662" s="19"/>
      <c r="F1047662" s="19"/>
      <c r="G1047662" s="19"/>
      <c r="H1047662" s="19"/>
      <c r="I1047662" s="19"/>
      <c r="J1047662" s="19"/>
      <c r="K1047662" s="19"/>
      <c r="L1047662" s="19"/>
      <c r="M1047662" s="19"/>
      <c r="N1047662" s="19"/>
    </row>
    <row r="1047663" spans="1:14" s="83" customFormat="1" ht="12.75">
      <c r="A1047663" s="19"/>
      <c r="B1047663" s="19"/>
      <c r="C1047663" s="19"/>
      <c r="D1047663" s="19"/>
      <c r="E1047663" s="19"/>
      <c r="F1047663" s="19"/>
      <c r="G1047663" s="19"/>
      <c r="H1047663" s="19"/>
      <c r="I1047663" s="19"/>
      <c r="J1047663" s="19"/>
      <c r="K1047663" s="19"/>
      <c r="L1047663" s="19"/>
      <c r="M1047663" s="19"/>
      <c r="N1047663" s="19"/>
    </row>
    <row r="1047664" spans="1:14" s="83" customFormat="1" ht="12.75">
      <c r="A1047664" s="19"/>
      <c r="B1047664" s="19"/>
      <c r="C1047664" s="19"/>
      <c r="D1047664" s="19"/>
      <c r="E1047664" s="19"/>
      <c r="F1047664" s="19"/>
      <c r="G1047664" s="19"/>
      <c r="H1047664" s="19"/>
      <c r="I1047664" s="19"/>
      <c r="J1047664" s="19"/>
      <c r="K1047664" s="19"/>
      <c r="L1047664" s="19"/>
      <c r="M1047664" s="19"/>
      <c r="N1047664" s="19"/>
    </row>
    <row r="1047665" spans="1:14" s="83" customFormat="1" ht="12.75">
      <c r="A1047665" s="19"/>
      <c r="B1047665" s="19"/>
      <c r="C1047665" s="19"/>
      <c r="D1047665" s="19"/>
      <c r="E1047665" s="19"/>
      <c r="F1047665" s="19"/>
      <c r="G1047665" s="19"/>
      <c r="H1047665" s="19"/>
      <c r="I1047665" s="19"/>
      <c r="J1047665" s="19"/>
      <c r="K1047665" s="19"/>
      <c r="L1047665" s="19"/>
      <c r="M1047665" s="19"/>
      <c r="N1047665" s="19"/>
    </row>
    <row r="1047666" spans="1:14" s="83" customFormat="1" ht="12.75">
      <c r="A1047666" s="19"/>
      <c r="B1047666" s="19"/>
      <c r="C1047666" s="19"/>
      <c r="D1047666" s="19"/>
      <c r="E1047666" s="19"/>
      <c r="F1047666" s="19"/>
      <c r="G1047666" s="19"/>
      <c r="H1047666" s="19"/>
      <c r="I1047666" s="19"/>
      <c r="J1047666" s="19"/>
      <c r="K1047666" s="19"/>
      <c r="L1047666" s="19"/>
      <c r="M1047666" s="19"/>
      <c r="N1047666" s="19"/>
    </row>
    <row r="1047667" spans="1:14" s="83" customFormat="1" ht="12.75">
      <c r="A1047667" s="19"/>
      <c r="B1047667" s="19"/>
      <c r="C1047667" s="19"/>
      <c r="D1047667" s="19"/>
      <c r="E1047667" s="19"/>
      <c r="F1047667" s="19"/>
      <c r="G1047667" s="19"/>
      <c r="H1047667" s="19"/>
      <c r="I1047667" s="19"/>
      <c r="J1047667" s="19"/>
      <c r="K1047667" s="19"/>
      <c r="L1047667" s="19"/>
      <c r="M1047667" s="19"/>
      <c r="N1047667" s="19"/>
    </row>
    <row r="1047668" spans="1:14" s="83" customFormat="1" ht="12.75">
      <c r="A1047668" s="19"/>
      <c r="B1047668" s="19"/>
      <c r="C1047668" s="19"/>
      <c r="D1047668" s="19"/>
      <c r="E1047668" s="19"/>
      <c r="F1047668" s="19"/>
      <c r="G1047668" s="19"/>
      <c r="H1047668" s="19"/>
      <c r="I1047668" s="19"/>
      <c r="J1047668" s="19"/>
      <c r="K1047668" s="19"/>
      <c r="L1047668" s="19"/>
      <c r="M1047668" s="19"/>
      <c r="N1047668" s="19"/>
    </row>
    <row r="1047669" spans="1:14" s="83" customFormat="1" ht="12.75">
      <c r="A1047669" s="19"/>
      <c r="B1047669" s="19"/>
      <c r="C1047669" s="19"/>
      <c r="D1047669" s="19"/>
      <c r="E1047669" s="19"/>
      <c r="F1047669" s="19"/>
      <c r="G1047669" s="19"/>
      <c r="H1047669" s="19"/>
      <c r="I1047669" s="19"/>
      <c r="J1047669" s="19"/>
      <c r="K1047669" s="19"/>
      <c r="L1047669" s="19"/>
      <c r="M1047669" s="19"/>
      <c r="N1047669" s="19"/>
    </row>
    <row r="1047670" spans="1:14" s="83" customFormat="1" ht="12.75">
      <c r="A1047670" s="19"/>
      <c r="B1047670" s="19"/>
      <c r="C1047670" s="19"/>
      <c r="D1047670" s="19"/>
      <c r="E1047670" s="19"/>
      <c r="F1047670" s="19"/>
      <c r="G1047670" s="19"/>
      <c r="H1047670" s="19"/>
      <c r="I1047670" s="19"/>
      <c r="J1047670" s="19"/>
      <c r="K1047670" s="19"/>
      <c r="L1047670" s="19"/>
      <c r="M1047670" s="19"/>
      <c r="N1047670" s="19"/>
    </row>
    <row r="1047671" spans="1:14" s="83" customFormat="1" ht="12.75">
      <c r="A1047671" s="19"/>
      <c r="B1047671" s="19"/>
      <c r="C1047671" s="19"/>
      <c r="D1047671" s="19"/>
      <c r="E1047671" s="19"/>
      <c r="F1047671" s="19"/>
      <c r="G1047671" s="19"/>
      <c r="H1047671" s="19"/>
      <c r="I1047671" s="19"/>
      <c r="J1047671" s="19"/>
      <c r="K1047671" s="19"/>
      <c r="L1047671" s="19"/>
      <c r="M1047671" s="19"/>
      <c r="N1047671" s="19"/>
    </row>
    <row r="1047672" spans="1:14" s="83" customFormat="1" ht="12.75">
      <c r="A1047672" s="19"/>
      <c r="B1047672" s="19"/>
      <c r="C1047672" s="19"/>
      <c r="D1047672" s="19"/>
      <c r="E1047672" s="19"/>
      <c r="F1047672" s="19"/>
      <c r="G1047672" s="19"/>
      <c r="H1047672" s="19"/>
      <c r="I1047672" s="19"/>
      <c r="J1047672" s="19"/>
      <c r="K1047672" s="19"/>
      <c r="L1047672" s="19"/>
      <c r="M1047672" s="19"/>
      <c r="N1047672" s="19"/>
    </row>
    <row r="1047673" spans="1:14" s="83" customFormat="1" ht="12.75">
      <c r="A1047673" s="19"/>
      <c r="B1047673" s="19"/>
      <c r="C1047673" s="19"/>
      <c r="D1047673" s="19"/>
      <c r="E1047673" s="19"/>
      <c r="F1047673" s="19"/>
      <c r="G1047673" s="19"/>
      <c r="H1047673" s="19"/>
      <c r="I1047673" s="19"/>
      <c r="J1047673" s="19"/>
      <c r="K1047673" s="19"/>
      <c r="L1047673" s="19"/>
      <c r="M1047673" s="19"/>
      <c r="N1047673" s="19"/>
    </row>
    <row r="1047674" spans="1:14" s="83" customFormat="1" ht="12.75">
      <c r="A1047674" s="19"/>
      <c r="B1047674" s="19"/>
      <c r="C1047674" s="19"/>
      <c r="D1047674" s="19"/>
      <c r="E1047674" s="19"/>
      <c r="F1047674" s="19"/>
      <c r="G1047674" s="19"/>
      <c r="H1047674" s="19"/>
      <c r="I1047674" s="19"/>
      <c r="J1047674" s="19"/>
      <c r="K1047674" s="19"/>
      <c r="L1047674" s="19"/>
      <c r="M1047674" s="19"/>
      <c r="N1047674" s="19"/>
    </row>
    <row r="1047675" spans="1:14" s="83" customFormat="1" ht="12.75">
      <c r="A1047675" s="19"/>
      <c r="B1047675" s="19"/>
      <c r="C1047675" s="19"/>
      <c r="D1047675" s="19"/>
      <c r="E1047675" s="19"/>
      <c r="F1047675" s="19"/>
      <c r="G1047675" s="19"/>
      <c r="H1047675" s="19"/>
      <c r="I1047675" s="19"/>
      <c r="J1047675" s="19"/>
      <c r="K1047675" s="19"/>
      <c r="L1047675" s="19"/>
      <c r="M1047675" s="19"/>
      <c r="N1047675" s="19"/>
    </row>
    <row r="1047676" spans="1:14" s="83" customFormat="1" ht="12.75">
      <c r="A1047676" s="19"/>
      <c r="B1047676" s="19"/>
      <c r="C1047676" s="19"/>
      <c r="D1047676" s="19"/>
      <c r="E1047676" s="19"/>
      <c r="F1047676" s="19"/>
      <c r="G1047676" s="19"/>
      <c r="H1047676" s="19"/>
      <c r="I1047676" s="19"/>
      <c r="J1047676" s="19"/>
      <c r="K1047676" s="19"/>
      <c r="L1047676" s="19"/>
      <c r="M1047676" s="19"/>
      <c r="N1047676" s="19"/>
    </row>
    <row r="1047677" spans="1:14" s="83" customFormat="1" ht="12.75">
      <c r="A1047677" s="19"/>
      <c r="B1047677" s="19"/>
      <c r="C1047677" s="19"/>
      <c r="D1047677" s="19"/>
      <c r="E1047677" s="19"/>
      <c r="F1047677" s="19"/>
      <c r="G1047677" s="19"/>
      <c r="H1047677" s="19"/>
      <c r="I1047677" s="19"/>
      <c r="J1047677" s="19"/>
      <c r="K1047677" s="19"/>
      <c r="L1047677" s="19"/>
      <c r="M1047677" s="19"/>
      <c r="N1047677" s="19"/>
    </row>
    <row r="1047678" spans="1:14" s="83" customFormat="1" ht="12.75">
      <c r="A1047678" s="19"/>
      <c r="B1047678" s="19"/>
      <c r="C1047678" s="19"/>
      <c r="D1047678" s="19"/>
      <c r="E1047678" s="19"/>
      <c r="F1047678" s="19"/>
      <c r="G1047678" s="19"/>
      <c r="H1047678" s="19"/>
      <c r="I1047678" s="19"/>
      <c r="J1047678" s="19"/>
      <c r="K1047678" s="19"/>
      <c r="L1047678" s="19"/>
      <c r="M1047678" s="19"/>
      <c r="N1047678" s="19"/>
    </row>
    <row r="1047679" spans="1:14" s="83" customFormat="1" ht="12.75">
      <c r="A1047679" s="19"/>
      <c r="B1047679" s="19"/>
      <c r="C1047679" s="19"/>
      <c r="D1047679" s="19"/>
      <c r="E1047679" s="19"/>
      <c r="F1047679" s="19"/>
      <c r="G1047679" s="19"/>
      <c r="H1047679" s="19"/>
      <c r="I1047679" s="19"/>
      <c r="J1047679" s="19"/>
      <c r="K1047679" s="19"/>
      <c r="L1047679" s="19"/>
      <c r="M1047679" s="19"/>
      <c r="N1047679" s="19"/>
    </row>
    <row r="1047680" spans="1:14" s="83" customFormat="1" ht="12.75">
      <c r="A1047680" s="19"/>
      <c r="B1047680" s="19"/>
      <c r="C1047680" s="19"/>
      <c r="D1047680" s="19"/>
      <c r="E1047680" s="19"/>
      <c r="F1047680" s="19"/>
      <c r="G1047680" s="19"/>
      <c r="H1047680" s="19"/>
      <c r="I1047680" s="19"/>
      <c r="J1047680" s="19"/>
      <c r="K1047680" s="19"/>
      <c r="L1047680" s="19"/>
      <c r="M1047680" s="19"/>
      <c r="N1047680" s="19"/>
    </row>
    <row r="1047681" spans="1:14" s="83" customFormat="1" ht="12.75">
      <c r="A1047681" s="19"/>
      <c r="B1047681" s="19"/>
      <c r="C1047681" s="19"/>
      <c r="D1047681" s="19"/>
      <c r="E1047681" s="19"/>
      <c r="F1047681" s="19"/>
      <c r="G1047681" s="19"/>
      <c r="H1047681" s="19"/>
      <c r="I1047681" s="19"/>
      <c r="J1047681" s="19"/>
      <c r="K1047681" s="19"/>
      <c r="L1047681" s="19"/>
      <c r="M1047681" s="19"/>
      <c r="N1047681" s="19"/>
    </row>
    <row r="1047682" spans="1:14" s="83" customFormat="1" ht="12.75">
      <c r="A1047682" s="19"/>
      <c r="B1047682" s="19"/>
      <c r="C1047682" s="19"/>
      <c r="D1047682" s="19"/>
      <c r="E1047682" s="19"/>
      <c r="F1047682" s="19"/>
      <c r="G1047682" s="19"/>
      <c r="H1047682" s="19"/>
      <c r="I1047682" s="19"/>
      <c r="J1047682" s="19"/>
      <c r="K1047682" s="19"/>
      <c r="L1047682" s="19"/>
      <c r="M1047682" s="19"/>
      <c r="N1047682" s="19"/>
    </row>
    <row r="1047683" spans="1:14" s="83" customFormat="1" ht="12.75">
      <c r="A1047683" s="19"/>
      <c r="B1047683" s="19"/>
      <c r="C1047683" s="19"/>
      <c r="D1047683" s="19"/>
      <c r="E1047683" s="19"/>
      <c r="F1047683" s="19"/>
      <c r="G1047683" s="19"/>
      <c r="H1047683" s="19"/>
      <c r="I1047683" s="19"/>
      <c r="J1047683" s="19"/>
      <c r="K1047683" s="19"/>
      <c r="L1047683" s="19"/>
      <c r="M1047683" s="19"/>
      <c r="N1047683" s="19"/>
    </row>
    <row r="1047684" spans="1:14" s="83" customFormat="1" ht="12.75">
      <c r="A1047684" s="19"/>
      <c r="B1047684" s="19"/>
      <c r="C1047684" s="19"/>
      <c r="D1047684" s="19"/>
      <c r="E1047684" s="19"/>
      <c r="F1047684" s="19"/>
      <c r="G1047684" s="19"/>
      <c r="H1047684" s="19"/>
      <c r="I1047684" s="19"/>
      <c r="J1047684" s="19"/>
      <c r="K1047684" s="19"/>
      <c r="L1047684" s="19"/>
      <c r="M1047684" s="19"/>
      <c r="N1047684" s="19"/>
    </row>
    <row r="1047685" spans="1:14" s="83" customFormat="1" ht="12.75">
      <c r="A1047685" s="19"/>
      <c r="B1047685" s="19"/>
      <c r="C1047685" s="19"/>
      <c r="D1047685" s="19"/>
      <c r="E1047685" s="19"/>
      <c r="F1047685" s="19"/>
      <c r="G1047685" s="19"/>
      <c r="H1047685" s="19"/>
      <c r="I1047685" s="19"/>
      <c r="J1047685" s="19"/>
      <c r="K1047685" s="19"/>
      <c r="L1047685" s="19"/>
      <c r="M1047685" s="19"/>
      <c r="N1047685" s="19"/>
    </row>
    <row r="1047686" spans="1:14" s="83" customFormat="1" ht="12.75">
      <c r="A1047686" s="19"/>
      <c r="B1047686" s="19"/>
      <c r="C1047686" s="19"/>
      <c r="D1047686" s="19"/>
      <c r="E1047686" s="19"/>
      <c r="F1047686" s="19"/>
      <c r="G1047686" s="19"/>
      <c r="H1047686" s="19"/>
      <c r="I1047686" s="19"/>
      <c r="J1047686" s="19"/>
      <c r="K1047686" s="19"/>
      <c r="L1047686" s="19"/>
      <c r="M1047686" s="19"/>
      <c r="N1047686" s="19"/>
    </row>
    <row r="1047687" spans="1:14" s="83" customFormat="1" ht="12.75">
      <c r="A1047687" s="19"/>
      <c r="B1047687" s="19"/>
      <c r="C1047687" s="19"/>
      <c r="D1047687" s="19"/>
      <c r="E1047687" s="19"/>
      <c r="F1047687" s="19"/>
      <c r="G1047687" s="19"/>
      <c r="H1047687" s="19"/>
      <c r="I1047687" s="19"/>
      <c r="J1047687" s="19"/>
      <c r="K1047687" s="19"/>
      <c r="L1047687" s="19"/>
      <c r="M1047687" s="19"/>
      <c r="N1047687" s="19"/>
    </row>
    <row r="1047688" spans="1:14" s="83" customFormat="1" ht="12.75">
      <c r="A1047688" s="19"/>
      <c r="B1047688" s="19"/>
      <c r="C1047688" s="19"/>
      <c r="D1047688" s="19"/>
      <c r="E1047688" s="19"/>
      <c r="F1047688" s="19"/>
      <c r="G1047688" s="19"/>
      <c r="H1047688" s="19"/>
      <c r="I1047688" s="19"/>
      <c r="J1047688" s="19"/>
      <c r="K1047688" s="19"/>
      <c r="L1047688" s="19"/>
      <c r="M1047688" s="19"/>
      <c r="N1047688" s="19"/>
    </row>
    <row r="1047689" spans="1:14" s="83" customFormat="1" ht="12.75">
      <c r="A1047689" s="19"/>
      <c r="B1047689" s="19"/>
      <c r="C1047689" s="19"/>
      <c r="D1047689" s="19"/>
      <c r="E1047689" s="19"/>
      <c r="F1047689" s="19"/>
      <c r="G1047689" s="19"/>
      <c r="H1047689" s="19"/>
      <c r="I1047689" s="19"/>
      <c r="J1047689" s="19"/>
      <c r="K1047689" s="19"/>
      <c r="L1047689" s="19"/>
      <c r="M1047689" s="19"/>
      <c r="N1047689" s="19"/>
    </row>
    <row r="1047690" spans="1:14" s="83" customFormat="1" ht="12.75">
      <c r="A1047690" s="19"/>
      <c r="B1047690" s="19"/>
      <c r="C1047690" s="19"/>
      <c r="D1047690" s="19"/>
      <c r="E1047690" s="19"/>
      <c r="F1047690" s="19"/>
      <c r="G1047690" s="19"/>
      <c r="H1047690" s="19"/>
      <c r="I1047690" s="19"/>
      <c r="J1047690" s="19"/>
      <c r="K1047690" s="19"/>
      <c r="L1047690" s="19"/>
      <c r="M1047690" s="19"/>
      <c r="N1047690" s="19"/>
    </row>
    <row r="1047691" spans="1:14" s="83" customFormat="1" ht="12.75">
      <c r="A1047691" s="19"/>
      <c r="B1047691" s="19"/>
      <c r="C1047691" s="19"/>
      <c r="D1047691" s="19"/>
      <c r="E1047691" s="19"/>
      <c r="F1047691" s="19"/>
      <c r="G1047691" s="19"/>
      <c r="H1047691" s="19"/>
      <c r="I1047691" s="19"/>
      <c r="J1047691" s="19"/>
      <c r="K1047691" s="19"/>
      <c r="L1047691" s="19"/>
      <c r="M1047691" s="19"/>
      <c r="N1047691" s="19"/>
    </row>
    <row r="1047692" spans="1:14" s="83" customFormat="1" ht="12.75">
      <c r="A1047692" s="19"/>
      <c r="B1047692" s="19"/>
      <c r="C1047692" s="19"/>
      <c r="D1047692" s="19"/>
      <c r="E1047692" s="19"/>
      <c r="F1047692" s="19"/>
      <c r="G1047692" s="19"/>
      <c r="H1047692" s="19"/>
      <c r="I1047692" s="19"/>
      <c r="J1047692" s="19"/>
      <c r="K1047692" s="19"/>
      <c r="L1047692" s="19"/>
      <c r="M1047692" s="19"/>
      <c r="N1047692" s="19"/>
    </row>
    <row r="1047693" spans="1:14" s="83" customFormat="1" ht="12.75">
      <c r="A1047693" s="19"/>
      <c r="B1047693" s="19"/>
      <c r="C1047693" s="19"/>
      <c r="D1047693" s="19"/>
      <c r="E1047693" s="19"/>
      <c r="F1047693" s="19"/>
      <c r="G1047693" s="19"/>
      <c r="H1047693" s="19"/>
      <c r="I1047693" s="19"/>
      <c r="J1047693" s="19"/>
      <c r="K1047693" s="19"/>
      <c r="L1047693" s="19"/>
      <c r="M1047693" s="19"/>
      <c r="N1047693" s="19"/>
    </row>
    <row r="1047694" spans="1:14" s="83" customFormat="1" ht="12.75">
      <c r="A1047694" s="19"/>
      <c r="B1047694" s="19"/>
      <c r="C1047694" s="19"/>
      <c r="D1047694" s="19"/>
      <c r="E1047694" s="19"/>
      <c r="F1047694" s="19"/>
      <c r="G1047694" s="19"/>
      <c r="H1047694" s="19"/>
      <c r="I1047694" s="19"/>
      <c r="J1047694" s="19"/>
      <c r="K1047694" s="19"/>
      <c r="L1047694" s="19"/>
      <c r="M1047694" s="19"/>
      <c r="N1047694" s="19"/>
    </row>
    <row r="1047695" spans="1:14" s="83" customFormat="1" ht="12.75">
      <c r="A1047695" s="19"/>
      <c r="B1047695" s="19"/>
      <c r="C1047695" s="19"/>
      <c r="D1047695" s="19"/>
      <c r="E1047695" s="19"/>
      <c r="F1047695" s="19"/>
      <c r="G1047695" s="19"/>
      <c r="H1047695" s="19"/>
      <c r="I1047695" s="19"/>
      <c r="J1047695" s="19"/>
      <c r="K1047695" s="19"/>
      <c r="L1047695" s="19"/>
      <c r="M1047695" s="19"/>
      <c r="N1047695" s="19"/>
    </row>
    <row r="1047696" spans="1:14" s="83" customFormat="1" ht="12.75">
      <c r="A1047696" s="19"/>
      <c r="B1047696" s="19"/>
      <c r="C1047696" s="19"/>
      <c r="D1047696" s="19"/>
      <c r="E1047696" s="19"/>
      <c r="F1047696" s="19"/>
      <c r="G1047696" s="19"/>
      <c r="H1047696" s="19"/>
      <c r="I1047696" s="19"/>
      <c r="J1047696" s="19"/>
      <c r="K1047696" s="19"/>
      <c r="L1047696" s="19"/>
      <c r="M1047696" s="19"/>
      <c r="N1047696" s="19"/>
    </row>
    <row r="1047697" spans="1:14" s="83" customFormat="1" ht="12.75">
      <c r="A1047697" s="19"/>
      <c r="B1047697" s="19"/>
      <c r="C1047697" s="19"/>
      <c r="D1047697" s="19"/>
      <c r="E1047697" s="19"/>
      <c r="F1047697" s="19"/>
      <c r="G1047697" s="19"/>
      <c r="H1047697" s="19"/>
      <c r="I1047697" s="19"/>
      <c r="J1047697" s="19"/>
      <c r="K1047697" s="19"/>
      <c r="L1047697" s="19"/>
      <c r="M1047697" s="19"/>
      <c r="N1047697" s="19"/>
    </row>
    <row r="1047698" spans="1:14" s="83" customFormat="1" ht="12.75">
      <c r="A1047698" s="19"/>
      <c r="B1047698" s="19"/>
      <c r="C1047698" s="19"/>
      <c r="D1047698" s="19"/>
      <c r="E1047698" s="19"/>
      <c r="F1047698" s="19"/>
      <c r="G1047698" s="19"/>
      <c r="H1047698" s="19"/>
      <c r="I1047698" s="19"/>
      <c r="J1047698" s="19"/>
      <c r="K1047698" s="19"/>
      <c r="L1047698" s="19"/>
      <c r="M1047698" s="19"/>
      <c r="N1047698" s="19"/>
    </row>
    <row r="1047699" spans="1:14" s="83" customFormat="1" ht="12.75">
      <c r="A1047699" s="19"/>
      <c r="B1047699" s="19"/>
      <c r="C1047699" s="19"/>
      <c r="D1047699" s="19"/>
      <c r="E1047699" s="19"/>
      <c r="F1047699" s="19"/>
      <c r="G1047699" s="19"/>
      <c r="H1047699" s="19"/>
      <c r="I1047699" s="19"/>
      <c r="J1047699" s="19"/>
      <c r="K1047699" s="19"/>
      <c r="L1047699" s="19"/>
      <c r="M1047699" s="19"/>
      <c r="N1047699" s="19"/>
    </row>
    <row r="1047700" spans="1:14" s="83" customFormat="1" ht="12.75">
      <c r="A1047700" s="19"/>
      <c r="B1047700" s="19"/>
      <c r="C1047700" s="19"/>
      <c r="D1047700" s="19"/>
      <c r="E1047700" s="19"/>
      <c r="F1047700" s="19"/>
      <c r="G1047700" s="19"/>
      <c r="H1047700" s="19"/>
      <c r="I1047700" s="19"/>
      <c r="J1047700" s="19"/>
      <c r="K1047700" s="19"/>
      <c r="L1047700" s="19"/>
      <c r="M1047700" s="19"/>
      <c r="N1047700" s="19"/>
    </row>
    <row r="1047701" spans="1:14" s="83" customFormat="1" ht="12.75">
      <c r="A1047701" s="19"/>
      <c r="B1047701" s="19"/>
      <c r="C1047701" s="19"/>
      <c r="D1047701" s="19"/>
      <c r="E1047701" s="19"/>
      <c r="F1047701" s="19"/>
      <c r="G1047701" s="19"/>
      <c r="H1047701" s="19"/>
      <c r="I1047701" s="19"/>
      <c r="J1047701" s="19"/>
      <c r="K1047701" s="19"/>
      <c r="L1047701" s="19"/>
      <c r="M1047701" s="19"/>
      <c r="N1047701" s="19"/>
    </row>
    <row r="1047702" spans="1:14" s="83" customFormat="1" ht="12.75">
      <c r="A1047702" s="19"/>
      <c r="B1047702" s="19"/>
      <c r="C1047702" s="19"/>
      <c r="D1047702" s="19"/>
      <c r="E1047702" s="19"/>
      <c r="F1047702" s="19"/>
      <c r="G1047702" s="19"/>
      <c r="H1047702" s="19"/>
      <c r="I1047702" s="19"/>
      <c r="J1047702" s="19"/>
      <c r="K1047702" s="19"/>
      <c r="L1047702" s="19"/>
      <c r="M1047702" s="19"/>
      <c r="N1047702" s="19"/>
    </row>
    <row r="1047703" spans="1:14" s="83" customFormat="1" ht="12.75">
      <c r="A1047703" s="19"/>
      <c r="B1047703" s="19"/>
      <c r="C1047703" s="19"/>
      <c r="D1047703" s="19"/>
      <c r="E1047703" s="19"/>
      <c r="F1047703" s="19"/>
      <c r="G1047703" s="19"/>
      <c r="H1047703" s="19"/>
      <c r="I1047703" s="19"/>
      <c r="J1047703" s="19"/>
      <c r="K1047703" s="19"/>
      <c r="L1047703" s="19"/>
      <c r="M1047703" s="19"/>
      <c r="N1047703" s="19"/>
    </row>
    <row r="1047704" spans="1:14" s="83" customFormat="1" ht="12.75">
      <c r="A1047704" s="19"/>
      <c r="B1047704" s="19"/>
      <c r="C1047704" s="19"/>
      <c r="D1047704" s="19"/>
      <c r="E1047704" s="19"/>
      <c r="F1047704" s="19"/>
      <c r="G1047704" s="19"/>
      <c r="H1047704" s="19"/>
      <c r="I1047704" s="19"/>
      <c r="J1047704" s="19"/>
      <c r="K1047704" s="19"/>
      <c r="L1047704" s="19"/>
      <c r="M1047704" s="19"/>
      <c r="N1047704" s="19"/>
    </row>
    <row r="1047705" spans="1:14" s="83" customFormat="1" ht="12.75">
      <c r="A1047705" s="19"/>
      <c r="B1047705" s="19"/>
      <c r="C1047705" s="19"/>
      <c r="D1047705" s="19"/>
      <c r="E1047705" s="19"/>
      <c r="F1047705" s="19"/>
      <c r="G1047705" s="19"/>
      <c r="H1047705" s="19"/>
      <c r="I1047705" s="19"/>
      <c r="J1047705" s="19"/>
      <c r="K1047705" s="19"/>
      <c r="L1047705" s="19"/>
      <c r="M1047705" s="19"/>
      <c r="N1047705" s="19"/>
    </row>
    <row r="1047706" spans="1:14" s="83" customFormat="1" ht="12.75">
      <c r="A1047706" s="19"/>
      <c r="B1047706" s="19"/>
      <c r="C1047706" s="19"/>
      <c r="D1047706" s="19"/>
      <c r="E1047706" s="19"/>
      <c r="F1047706" s="19"/>
      <c r="G1047706" s="19"/>
      <c r="H1047706" s="19"/>
      <c r="I1047706" s="19"/>
      <c r="J1047706" s="19"/>
      <c r="K1047706" s="19"/>
      <c r="L1047706" s="19"/>
      <c r="M1047706" s="19"/>
      <c r="N1047706" s="19"/>
    </row>
    <row r="1047707" spans="1:14" s="83" customFormat="1" ht="12.75">
      <c r="A1047707" s="19"/>
      <c r="B1047707" s="19"/>
      <c r="C1047707" s="19"/>
      <c r="D1047707" s="19"/>
      <c r="E1047707" s="19"/>
      <c r="F1047707" s="19"/>
      <c r="G1047707" s="19"/>
      <c r="H1047707" s="19"/>
      <c r="I1047707" s="19"/>
      <c r="J1047707" s="19"/>
      <c r="K1047707" s="19"/>
      <c r="L1047707" s="19"/>
      <c r="M1047707" s="19"/>
      <c r="N1047707" s="19"/>
    </row>
    <row r="1047708" spans="1:14" s="83" customFormat="1" ht="12.75">
      <c r="A1047708" s="19"/>
      <c r="B1047708" s="19"/>
      <c r="C1047708" s="19"/>
      <c r="D1047708" s="19"/>
      <c r="E1047708" s="19"/>
      <c r="F1047708" s="19"/>
      <c r="G1047708" s="19"/>
      <c r="H1047708" s="19"/>
      <c r="I1047708" s="19"/>
      <c r="J1047708" s="19"/>
      <c r="K1047708" s="19"/>
      <c r="L1047708" s="19"/>
      <c r="M1047708" s="19"/>
      <c r="N1047708" s="19"/>
    </row>
    <row r="1047709" spans="1:14" s="83" customFormat="1" ht="12.75">
      <c r="A1047709" s="19"/>
      <c r="B1047709" s="19"/>
      <c r="C1047709" s="19"/>
      <c r="D1047709" s="19"/>
      <c r="E1047709" s="19"/>
      <c r="F1047709" s="19"/>
      <c r="G1047709" s="19"/>
      <c r="H1047709" s="19"/>
      <c r="I1047709" s="19"/>
      <c r="J1047709" s="19"/>
      <c r="K1047709" s="19"/>
      <c r="L1047709" s="19"/>
      <c r="M1047709" s="19"/>
      <c r="N1047709" s="19"/>
    </row>
    <row r="1047710" spans="1:14" s="83" customFormat="1" ht="12.75">
      <c r="A1047710" s="19"/>
      <c r="B1047710" s="19"/>
      <c r="C1047710" s="19"/>
      <c r="D1047710" s="19"/>
      <c r="E1047710" s="19"/>
      <c r="F1047710" s="19"/>
      <c r="G1047710" s="19"/>
      <c r="H1047710" s="19"/>
      <c r="I1047710" s="19"/>
      <c r="J1047710" s="19"/>
      <c r="K1047710" s="19"/>
      <c r="L1047710" s="19"/>
      <c r="M1047710" s="19"/>
      <c r="N1047710" s="19"/>
    </row>
    <row r="1047711" spans="1:14" s="83" customFormat="1" ht="12.75">
      <c r="A1047711" s="19"/>
      <c r="B1047711" s="19"/>
      <c r="C1047711" s="19"/>
      <c r="D1047711" s="19"/>
      <c r="E1047711" s="19"/>
      <c r="F1047711" s="19"/>
      <c r="G1047711" s="19"/>
      <c r="H1047711" s="19"/>
      <c r="I1047711" s="19"/>
      <c r="J1047711" s="19"/>
      <c r="K1047711" s="19"/>
      <c r="L1047711" s="19"/>
      <c r="M1047711" s="19"/>
      <c r="N1047711" s="19"/>
    </row>
    <row r="1047712" spans="1:14" s="83" customFormat="1" ht="12.75">
      <c r="A1047712" s="19"/>
      <c r="B1047712" s="19"/>
      <c r="C1047712" s="19"/>
      <c r="D1047712" s="19"/>
      <c r="E1047712" s="19"/>
      <c r="F1047712" s="19"/>
      <c r="G1047712" s="19"/>
      <c r="H1047712" s="19"/>
      <c r="I1047712" s="19"/>
      <c r="J1047712" s="19"/>
      <c r="K1047712" s="19"/>
      <c r="L1047712" s="19"/>
      <c r="M1047712" s="19"/>
      <c r="N1047712" s="19"/>
    </row>
    <row r="1047713" spans="1:14" s="83" customFormat="1" ht="12.75">
      <c r="A1047713" s="19"/>
      <c r="B1047713" s="19"/>
      <c r="C1047713" s="19"/>
      <c r="D1047713" s="19"/>
      <c r="E1047713" s="19"/>
      <c r="F1047713" s="19"/>
      <c r="G1047713" s="19"/>
      <c r="H1047713" s="19"/>
      <c r="I1047713" s="19"/>
      <c r="J1047713" s="19"/>
      <c r="K1047713" s="19"/>
      <c r="L1047713" s="19"/>
      <c r="M1047713" s="19"/>
      <c r="N1047713" s="19"/>
    </row>
    <row r="1047714" spans="1:14" s="83" customFormat="1" ht="12.75">
      <c r="A1047714" s="19"/>
      <c r="B1047714" s="19"/>
      <c r="C1047714" s="19"/>
      <c r="D1047714" s="19"/>
      <c r="E1047714" s="19"/>
      <c r="F1047714" s="19"/>
      <c r="G1047714" s="19"/>
      <c r="H1047714" s="19"/>
      <c r="I1047714" s="19"/>
      <c r="J1047714" s="19"/>
      <c r="K1047714" s="19"/>
      <c r="L1047714" s="19"/>
      <c r="M1047714" s="19"/>
      <c r="N1047714" s="19"/>
    </row>
    <row r="1047715" spans="1:14" s="83" customFormat="1" ht="12.75">
      <c r="A1047715" s="19"/>
      <c r="B1047715" s="19"/>
      <c r="C1047715" s="19"/>
      <c r="D1047715" s="19"/>
      <c r="E1047715" s="19"/>
      <c r="F1047715" s="19"/>
      <c r="G1047715" s="19"/>
      <c r="H1047715" s="19"/>
      <c r="I1047715" s="19"/>
      <c r="J1047715" s="19"/>
      <c r="K1047715" s="19"/>
      <c r="L1047715" s="19"/>
      <c r="M1047715" s="19"/>
      <c r="N1047715" s="19"/>
    </row>
    <row r="1047716" spans="1:14" s="83" customFormat="1" ht="12.75">
      <c r="A1047716" s="19"/>
      <c r="B1047716" s="19"/>
      <c r="C1047716" s="19"/>
      <c r="D1047716" s="19"/>
      <c r="E1047716" s="19"/>
      <c r="F1047716" s="19"/>
      <c r="G1047716" s="19"/>
      <c r="H1047716" s="19"/>
      <c r="I1047716" s="19"/>
      <c r="J1047716" s="19"/>
      <c r="K1047716" s="19"/>
      <c r="L1047716" s="19"/>
      <c r="M1047716" s="19"/>
      <c r="N1047716" s="19"/>
    </row>
    <row r="1047717" spans="1:14" s="83" customFormat="1" ht="12.75">
      <c r="A1047717" s="19"/>
      <c r="B1047717" s="19"/>
      <c r="C1047717" s="19"/>
      <c r="D1047717" s="19"/>
      <c r="E1047717" s="19"/>
      <c r="F1047717" s="19"/>
      <c r="G1047717" s="19"/>
      <c r="H1047717" s="19"/>
      <c r="I1047717" s="19"/>
      <c r="J1047717" s="19"/>
      <c r="K1047717" s="19"/>
      <c r="L1047717" s="19"/>
      <c r="M1047717" s="19"/>
      <c r="N1047717" s="19"/>
    </row>
    <row r="1047718" spans="1:14" s="83" customFormat="1" ht="12.75">
      <c r="A1047718" s="19"/>
      <c r="B1047718" s="19"/>
      <c r="C1047718" s="19"/>
      <c r="D1047718" s="19"/>
      <c r="E1047718" s="19"/>
      <c r="F1047718" s="19"/>
      <c r="G1047718" s="19"/>
      <c r="H1047718" s="19"/>
      <c r="I1047718" s="19"/>
      <c r="J1047718" s="19"/>
      <c r="K1047718" s="19"/>
      <c r="L1047718" s="19"/>
      <c r="M1047718" s="19"/>
      <c r="N1047718" s="19"/>
    </row>
    <row r="1047719" spans="1:14" s="83" customFormat="1" ht="12.75">
      <c r="A1047719" s="19"/>
      <c r="B1047719" s="19"/>
      <c r="C1047719" s="19"/>
      <c r="D1047719" s="19"/>
      <c r="E1047719" s="19"/>
      <c r="F1047719" s="19"/>
      <c r="G1047719" s="19"/>
      <c r="H1047719" s="19"/>
      <c r="I1047719" s="19"/>
      <c r="J1047719" s="19"/>
      <c r="K1047719" s="19"/>
      <c r="L1047719" s="19"/>
      <c r="M1047719" s="19"/>
      <c r="N1047719" s="19"/>
    </row>
    <row r="1047720" spans="1:14" s="83" customFormat="1" ht="12.75">
      <c r="A1047720" s="19"/>
      <c r="B1047720" s="19"/>
      <c r="C1047720" s="19"/>
      <c r="D1047720" s="19"/>
      <c r="E1047720" s="19"/>
      <c r="F1047720" s="19"/>
      <c r="G1047720" s="19"/>
      <c r="H1047720" s="19"/>
      <c r="I1047720" s="19"/>
      <c r="J1047720" s="19"/>
      <c r="K1047720" s="19"/>
      <c r="L1047720" s="19"/>
      <c r="M1047720" s="19"/>
      <c r="N1047720" s="19"/>
    </row>
    <row r="1047721" spans="1:14" s="83" customFormat="1" ht="12.75">
      <c r="A1047721" s="19"/>
      <c r="B1047721" s="19"/>
      <c r="C1047721" s="19"/>
      <c r="D1047721" s="19"/>
      <c r="E1047721" s="19"/>
      <c r="F1047721" s="19"/>
      <c r="G1047721" s="19"/>
      <c r="H1047721" s="19"/>
      <c r="I1047721" s="19"/>
      <c r="J1047721" s="19"/>
      <c r="K1047721" s="19"/>
      <c r="L1047721" s="19"/>
      <c r="M1047721" s="19"/>
      <c r="N1047721" s="19"/>
    </row>
    <row r="1047722" spans="1:14" s="83" customFormat="1" ht="12.75">
      <c r="A1047722" s="19"/>
      <c r="B1047722" s="19"/>
      <c r="C1047722" s="19"/>
      <c r="D1047722" s="19"/>
      <c r="E1047722" s="19"/>
      <c r="F1047722" s="19"/>
      <c r="G1047722" s="19"/>
      <c r="H1047722" s="19"/>
      <c r="I1047722" s="19"/>
      <c r="J1047722" s="19"/>
      <c r="K1047722" s="19"/>
      <c r="L1047722" s="19"/>
      <c r="M1047722" s="19"/>
      <c r="N1047722" s="19"/>
    </row>
    <row r="1047723" spans="1:14" s="83" customFormat="1" ht="12.75">
      <c r="A1047723" s="19"/>
      <c r="B1047723" s="19"/>
      <c r="C1047723" s="19"/>
      <c r="D1047723" s="19"/>
      <c r="E1047723" s="19"/>
      <c r="F1047723" s="19"/>
      <c r="G1047723" s="19"/>
      <c r="H1047723" s="19"/>
      <c r="I1047723" s="19"/>
      <c r="J1047723" s="19"/>
      <c r="K1047723" s="19"/>
      <c r="L1047723" s="19"/>
      <c r="M1047723" s="19"/>
      <c r="N1047723" s="19"/>
    </row>
    <row r="1047724" spans="1:14" s="83" customFormat="1" ht="12.75">
      <c r="A1047724" s="19"/>
      <c r="B1047724" s="19"/>
      <c r="C1047724" s="19"/>
      <c r="D1047724" s="19"/>
      <c r="E1047724" s="19"/>
      <c r="F1047724" s="19"/>
      <c r="G1047724" s="19"/>
      <c r="H1047724" s="19"/>
      <c r="I1047724" s="19"/>
      <c r="J1047724" s="19"/>
      <c r="K1047724" s="19"/>
      <c r="L1047724" s="19"/>
      <c r="M1047724" s="19"/>
      <c r="N1047724" s="19"/>
    </row>
    <row r="1047725" spans="1:14" s="83" customFormat="1" ht="12.75">
      <c r="A1047725" s="19"/>
      <c r="B1047725" s="19"/>
      <c r="C1047725" s="19"/>
      <c r="D1047725" s="19"/>
      <c r="E1047725" s="19"/>
      <c r="F1047725" s="19"/>
      <c r="G1047725" s="19"/>
      <c r="H1047725" s="19"/>
      <c r="I1047725" s="19"/>
      <c r="J1047725" s="19"/>
      <c r="K1047725" s="19"/>
      <c r="L1047725" s="19"/>
      <c r="M1047725" s="19"/>
      <c r="N1047725" s="19"/>
    </row>
    <row r="1047726" spans="1:14" s="83" customFormat="1" ht="12.75">
      <c r="A1047726" s="19"/>
      <c r="B1047726" s="19"/>
      <c r="C1047726" s="19"/>
      <c r="D1047726" s="19"/>
      <c r="E1047726" s="19"/>
      <c r="F1047726" s="19"/>
      <c r="G1047726" s="19"/>
      <c r="H1047726" s="19"/>
      <c r="I1047726" s="19"/>
      <c r="J1047726" s="19"/>
      <c r="K1047726" s="19"/>
      <c r="L1047726" s="19"/>
      <c r="M1047726" s="19"/>
      <c r="N1047726" s="19"/>
    </row>
    <row r="1047727" spans="1:14" s="83" customFormat="1" ht="12.75">
      <c r="A1047727" s="19"/>
      <c r="B1047727" s="19"/>
      <c r="C1047727" s="19"/>
      <c r="D1047727" s="19"/>
      <c r="E1047727" s="19"/>
      <c r="F1047727" s="19"/>
      <c r="G1047727" s="19"/>
      <c r="H1047727" s="19"/>
      <c r="I1047727" s="19"/>
      <c r="J1047727" s="19"/>
      <c r="K1047727" s="19"/>
      <c r="L1047727" s="19"/>
      <c r="M1047727" s="19"/>
      <c r="N1047727" s="19"/>
    </row>
    <row r="1047728" spans="1:14" s="83" customFormat="1" ht="12.75">
      <c r="A1047728" s="19"/>
      <c r="B1047728" s="19"/>
      <c r="C1047728" s="19"/>
      <c r="D1047728" s="19"/>
      <c r="E1047728" s="19"/>
      <c r="F1047728" s="19"/>
      <c r="G1047728" s="19"/>
      <c r="H1047728" s="19"/>
      <c r="I1047728" s="19"/>
      <c r="J1047728" s="19"/>
      <c r="K1047728" s="19"/>
      <c r="L1047728" s="19"/>
      <c r="M1047728" s="19"/>
      <c r="N1047728" s="19"/>
    </row>
    <row r="1047729" spans="1:14" s="83" customFormat="1" ht="12.75">
      <c r="A1047729" s="19"/>
      <c r="B1047729" s="19"/>
      <c r="C1047729" s="19"/>
      <c r="D1047729" s="19"/>
      <c r="E1047729" s="19"/>
      <c r="F1047729" s="19"/>
      <c r="G1047729" s="19"/>
      <c r="H1047729" s="19"/>
      <c r="I1047729" s="19"/>
      <c r="J1047729" s="19"/>
      <c r="K1047729" s="19"/>
      <c r="L1047729" s="19"/>
      <c r="M1047729" s="19"/>
      <c r="N1047729" s="19"/>
    </row>
    <row r="1047730" spans="1:14" s="83" customFormat="1" ht="12.75">
      <c r="A1047730" s="19"/>
      <c r="B1047730" s="19"/>
      <c r="C1047730" s="19"/>
      <c r="D1047730" s="19"/>
      <c r="E1047730" s="19"/>
      <c r="F1047730" s="19"/>
      <c r="G1047730" s="19"/>
      <c r="H1047730" s="19"/>
      <c r="I1047730" s="19"/>
      <c r="J1047730" s="19"/>
      <c r="K1047730" s="19"/>
      <c r="L1047730" s="19"/>
      <c r="M1047730" s="19"/>
      <c r="N1047730" s="19"/>
    </row>
    <row r="1047731" spans="1:14" s="83" customFormat="1" ht="12.75">
      <c r="A1047731" s="19"/>
      <c r="B1047731" s="19"/>
      <c r="C1047731" s="19"/>
      <c r="D1047731" s="19"/>
      <c r="E1047731" s="19"/>
      <c r="F1047731" s="19"/>
      <c r="G1047731" s="19"/>
      <c r="H1047731" s="19"/>
      <c r="I1047731" s="19"/>
      <c r="J1047731" s="19"/>
      <c r="K1047731" s="19"/>
      <c r="L1047731" s="19"/>
      <c r="M1047731" s="19"/>
      <c r="N1047731" s="19"/>
    </row>
    <row r="1047732" spans="1:14" s="83" customFormat="1" ht="12.75">
      <c r="A1047732" s="19"/>
      <c r="B1047732" s="19"/>
      <c r="C1047732" s="19"/>
      <c r="D1047732" s="19"/>
      <c r="E1047732" s="19"/>
      <c r="F1047732" s="19"/>
      <c r="G1047732" s="19"/>
      <c r="H1047732" s="19"/>
      <c r="I1047732" s="19"/>
      <c r="J1047732" s="19"/>
      <c r="K1047732" s="19"/>
      <c r="L1047732" s="19"/>
      <c r="M1047732" s="19"/>
      <c r="N1047732" s="19"/>
    </row>
    <row r="1047733" spans="1:14" s="83" customFormat="1" ht="12.75">
      <c r="A1047733" s="19"/>
      <c r="B1047733" s="19"/>
      <c r="C1047733" s="19"/>
      <c r="D1047733" s="19"/>
      <c r="E1047733" s="19"/>
      <c r="F1047733" s="19"/>
      <c r="G1047733" s="19"/>
      <c r="H1047733" s="19"/>
      <c r="I1047733" s="19"/>
      <c r="J1047733" s="19"/>
      <c r="K1047733" s="19"/>
      <c r="L1047733" s="19"/>
      <c r="M1047733" s="19"/>
      <c r="N1047733" s="19"/>
    </row>
    <row r="1047734" spans="1:14" s="83" customFormat="1" ht="12.75">
      <c r="A1047734" s="19"/>
      <c r="B1047734" s="19"/>
      <c r="C1047734" s="19"/>
      <c r="D1047734" s="19"/>
      <c r="E1047734" s="19"/>
      <c r="F1047734" s="19"/>
      <c r="G1047734" s="19"/>
      <c r="H1047734" s="19"/>
      <c r="I1047734" s="19"/>
      <c r="J1047734" s="19"/>
      <c r="K1047734" s="19"/>
      <c r="L1047734" s="19"/>
      <c r="M1047734" s="19"/>
      <c r="N1047734" s="19"/>
    </row>
    <row r="1047735" spans="1:14" s="83" customFormat="1" ht="12.75">
      <c r="A1047735" s="19"/>
      <c r="B1047735" s="19"/>
      <c r="C1047735" s="19"/>
      <c r="D1047735" s="19"/>
      <c r="E1047735" s="19"/>
      <c r="F1047735" s="19"/>
      <c r="G1047735" s="19"/>
      <c r="H1047735" s="19"/>
      <c r="I1047735" s="19"/>
      <c r="J1047735" s="19"/>
      <c r="K1047735" s="19"/>
      <c r="L1047735" s="19"/>
      <c r="M1047735" s="19"/>
      <c r="N1047735" s="19"/>
    </row>
    <row r="1047736" spans="1:14" s="83" customFormat="1" ht="12.75">
      <c r="A1047736" s="19"/>
      <c r="B1047736" s="19"/>
      <c r="C1047736" s="19"/>
      <c r="D1047736" s="19"/>
      <c r="E1047736" s="19"/>
      <c r="F1047736" s="19"/>
      <c r="G1047736" s="19"/>
      <c r="H1047736" s="19"/>
      <c r="I1047736" s="19"/>
      <c r="J1047736" s="19"/>
      <c r="K1047736" s="19"/>
      <c r="L1047736" s="19"/>
      <c r="M1047736" s="19"/>
      <c r="N1047736" s="19"/>
    </row>
    <row r="1047737" spans="1:14" s="83" customFormat="1" ht="12.75">
      <c r="A1047737" s="19"/>
      <c r="B1047737" s="19"/>
      <c r="C1047737" s="19"/>
      <c r="D1047737" s="19"/>
      <c r="E1047737" s="19"/>
      <c r="F1047737" s="19"/>
      <c r="G1047737" s="19"/>
      <c r="H1047737" s="19"/>
      <c r="I1047737" s="19"/>
      <c r="J1047737" s="19"/>
      <c r="K1047737" s="19"/>
      <c r="L1047737" s="19"/>
      <c r="M1047737" s="19"/>
      <c r="N1047737" s="19"/>
    </row>
    <row r="1047738" spans="1:14" s="83" customFormat="1" ht="12.75">
      <c r="A1047738" s="19"/>
      <c r="B1047738" s="19"/>
      <c r="C1047738" s="19"/>
      <c r="D1047738" s="19"/>
      <c r="E1047738" s="19"/>
      <c r="F1047738" s="19"/>
      <c r="G1047738" s="19"/>
      <c r="H1047738" s="19"/>
      <c r="I1047738" s="19"/>
      <c r="J1047738" s="19"/>
      <c r="K1047738" s="19"/>
      <c r="L1047738" s="19"/>
      <c r="M1047738" s="19"/>
      <c r="N1047738" s="19"/>
    </row>
    <row r="1047739" spans="1:14" s="83" customFormat="1" ht="12.75">
      <c r="A1047739" s="19"/>
      <c r="B1047739" s="19"/>
      <c r="C1047739" s="19"/>
      <c r="D1047739" s="19"/>
      <c r="E1047739" s="19"/>
      <c r="F1047739" s="19"/>
      <c r="G1047739" s="19"/>
      <c r="H1047739" s="19"/>
      <c r="I1047739" s="19"/>
      <c r="J1047739" s="19"/>
      <c r="K1047739" s="19"/>
      <c r="L1047739" s="19"/>
      <c r="M1047739" s="19"/>
      <c r="N1047739" s="19"/>
    </row>
    <row r="1047740" spans="1:14" s="83" customFormat="1" ht="12.75">
      <c r="A1047740" s="19"/>
      <c r="B1047740" s="19"/>
      <c r="C1047740" s="19"/>
      <c r="D1047740" s="19"/>
      <c r="E1047740" s="19"/>
      <c r="F1047740" s="19"/>
      <c r="G1047740" s="19"/>
      <c r="H1047740" s="19"/>
      <c r="I1047740" s="19"/>
      <c r="J1047740" s="19"/>
      <c r="K1047740" s="19"/>
      <c r="L1047740" s="19"/>
      <c r="M1047740" s="19"/>
      <c r="N1047740" s="19"/>
    </row>
    <row r="1047741" spans="1:14" s="83" customFormat="1" ht="12.75">
      <c r="A1047741" s="19"/>
      <c r="B1047741" s="19"/>
      <c r="C1047741" s="19"/>
      <c r="D1047741" s="19"/>
      <c r="E1047741" s="19"/>
      <c r="F1047741" s="19"/>
      <c r="G1047741" s="19"/>
      <c r="H1047741" s="19"/>
      <c r="I1047741" s="19"/>
      <c r="J1047741" s="19"/>
      <c r="K1047741" s="19"/>
      <c r="L1047741" s="19"/>
      <c r="M1047741" s="19"/>
      <c r="N1047741" s="19"/>
    </row>
    <row r="1047742" spans="1:14" s="83" customFormat="1" ht="12.75">
      <c r="A1047742" s="19"/>
      <c r="B1047742" s="19"/>
      <c r="C1047742" s="19"/>
      <c r="D1047742" s="19"/>
      <c r="E1047742" s="19"/>
      <c r="F1047742" s="19"/>
      <c r="G1047742" s="19"/>
      <c r="H1047742" s="19"/>
      <c r="I1047742" s="19"/>
      <c r="J1047742" s="19"/>
      <c r="K1047742" s="19"/>
      <c r="L1047742" s="19"/>
      <c r="M1047742" s="19"/>
      <c r="N1047742" s="19"/>
    </row>
    <row r="1047743" spans="1:14" s="83" customFormat="1" ht="12.75">
      <c r="A1047743" s="19"/>
      <c r="B1047743" s="19"/>
      <c r="C1047743" s="19"/>
      <c r="D1047743" s="19"/>
      <c r="E1047743" s="19"/>
      <c r="F1047743" s="19"/>
      <c r="G1047743" s="19"/>
      <c r="H1047743" s="19"/>
      <c r="I1047743" s="19"/>
      <c r="J1047743" s="19"/>
      <c r="K1047743" s="19"/>
      <c r="L1047743" s="19"/>
      <c r="M1047743" s="19"/>
      <c r="N1047743" s="19"/>
    </row>
    <row r="1047744" spans="1:14" s="83" customFormat="1" ht="12.75">
      <c r="A1047744" s="19"/>
      <c r="B1047744" s="19"/>
      <c r="C1047744" s="19"/>
      <c r="D1047744" s="19"/>
      <c r="E1047744" s="19"/>
      <c r="F1047744" s="19"/>
      <c r="G1047744" s="19"/>
      <c r="H1047744" s="19"/>
      <c r="I1047744" s="19"/>
      <c r="J1047744" s="19"/>
      <c r="K1047744" s="19"/>
      <c r="L1047744" s="19"/>
      <c r="M1047744" s="19"/>
      <c r="N1047744" s="19"/>
    </row>
    <row r="1047745" spans="1:14" s="83" customFormat="1" ht="12.75">
      <c r="A1047745" s="19"/>
      <c r="B1047745" s="19"/>
      <c r="C1047745" s="19"/>
      <c r="D1047745" s="19"/>
      <c r="E1047745" s="19"/>
      <c r="F1047745" s="19"/>
      <c r="G1047745" s="19"/>
      <c r="H1047745" s="19"/>
      <c r="I1047745" s="19"/>
      <c r="J1047745" s="19"/>
      <c r="K1047745" s="19"/>
      <c r="L1047745" s="19"/>
      <c r="M1047745" s="19"/>
      <c r="N1047745" s="19"/>
    </row>
    <row r="1047746" spans="1:14" s="83" customFormat="1" ht="12.75">
      <c r="A1047746" s="19"/>
      <c r="B1047746" s="19"/>
      <c r="C1047746" s="19"/>
      <c r="D1047746" s="19"/>
      <c r="E1047746" s="19"/>
      <c r="F1047746" s="19"/>
      <c r="G1047746" s="19"/>
      <c r="H1047746" s="19"/>
      <c r="I1047746" s="19"/>
      <c r="J1047746" s="19"/>
      <c r="K1047746" s="19"/>
      <c r="L1047746" s="19"/>
      <c r="M1047746" s="19"/>
      <c r="N1047746" s="19"/>
    </row>
    <row r="1047747" spans="1:14" s="83" customFormat="1" ht="12.75">
      <c r="A1047747" s="19"/>
      <c r="B1047747" s="19"/>
      <c r="C1047747" s="19"/>
      <c r="D1047747" s="19"/>
      <c r="E1047747" s="19"/>
      <c r="F1047747" s="19"/>
      <c r="G1047747" s="19"/>
      <c r="H1047747" s="19"/>
      <c r="I1047747" s="19"/>
      <c r="J1047747" s="19"/>
      <c r="K1047747" s="19"/>
      <c r="L1047747" s="19"/>
      <c r="M1047747" s="19"/>
      <c r="N1047747" s="19"/>
    </row>
    <row r="1047748" spans="1:14" s="83" customFormat="1" ht="12.75">
      <c r="A1047748" s="19"/>
      <c r="B1047748" s="19"/>
      <c r="C1047748" s="19"/>
      <c r="D1047748" s="19"/>
      <c r="E1047748" s="19"/>
      <c r="F1047748" s="19"/>
      <c r="G1047748" s="19"/>
      <c r="H1047748" s="19"/>
      <c r="I1047748" s="19"/>
      <c r="J1047748" s="19"/>
      <c r="K1047748" s="19"/>
      <c r="L1047748" s="19"/>
      <c r="M1047748" s="19"/>
      <c r="N1047748" s="19"/>
    </row>
    <row r="1047749" spans="1:14" s="83" customFormat="1" ht="12.75">
      <c r="A1047749" s="19"/>
      <c r="B1047749" s="19"/>
      <c r="C1047749" s="19"/>
      <c r="D1047749" s="19"/>
      <c r="E1047749" s="19"/>
      <c r="F1047749" s="19"/>
      <c r="G1047749" s="19"/>
      <c r="H1047749" s="19"/>
      <c r="I1047749" s="19"/>
      <c r="J1047749" s="19"/>
      <c r="K1047749" s="19"/>
      <c r="L1047749" s="19"/>
      <c r="M1047749" s="19"/>
      <c r="N1047749" s="19"/>
    </row>
    <row r="1047750" spans="1:14" s="83" customFormat="1" ht="12.75">
      <c r="A1047750" s="19"/>
      <c r="B1047750" s="19"/>
      <c r="C1047750" s="19"/>
      <c r="D1047750" s="19"/>
      <c r="E1047750" s="19"/>
      <c r="F1047750" s="19"/>
      <c r="G1047750" s="19"/>
      <c r="H1047750" s="19"/>
      <c r="I1047750" s="19"/>
      <c r="J1047750" s="19"/>
      <c r="K1047750" s="19"/>
      <c r="L1047750" s="19"/>
      <c r="M1047750" s="19"/>
      <c r="N1047750" s="19"/>
    </row>
    <row r="1047751" spans="1:14" s="83" customFormat="1" ht="12.75">
      <c r="A1047751" s="19"/>
      <c r="B1047751" s="19"/>
      <c r="C1047751" s="19"/>
      <c r="D1047751" s="19"/>
      <c r="E1047751" s="19"/>
      <c r="F1047751" s="19"/>
      <c r="G1047751" s="19"/>
      <c r="H1047751" s="19"/>
      <c r="I1047751" s="19"/>
      <c r="J1047751" s="19"/>
      <c r="K1047751" s="19"/>
      <c r="L1047751" s="19"/>
      <c r="M1047751" s="19"/>
      <c r="N1047751" s="19"/>
    </row>
    <row r="1047752" spans="1:14" s="83" customFormat="1" ht="12.75">
      <c r="A1047752" s="19"/>
      <c r="B1047752" s="19"/>
      <c r="C1047752" s="19"/>
      <c r="D1047752" s="19"/>
      <c r="E1047752" s="19"/>
      <c r="F1047752" s="19"/>
      <c r="G1047752" s="19"/>
      <c r="H1047752" s="19"/>
      <c r="I1047752" s="19"/>
      <c r="J1047752" s="19"/>
      <c r="K1047752" s="19"/>
      <c r="L1047752" s="19"/>
      <c r="M1047752" s="19"/>
      <c r="N1047752" s="19"/>
    </row>
    <row r="1047753" spans="1:14" s="83" customFormat="1" ht="12.75">
      <c r="A1047753" s="19"/>
      <c r="B1047753" s="19"/>
      <c r="C1047753" s="19"/>
      <c r="D1047753" s="19"/>
      <c r="E1047753" s="19"/>
      <c r="F1047753" s="19"/>
      <c r="G1047753" s="19"/>
      <c r="H1047753" s="19"/>
      <c r="I1047753" s="19"/>
      <c r="J1047753" s="19"/>
      <c r="K1047753" s="19"/>
      <c r="L1047753" s="19"/>
      <c r="M1047753" s="19"/>
      <c r="N1047753" s="19"/>
    </row>
    <row r="1047754" spans="1:14" s="83" customFormat="1" ht="12.75">
      <c r="A1047754" s="19"/>
      <c r="B1047754" s="19"/>
      <c r="C1047754" s="19"/>
      <c r="D1047754" s="19"/>
      <c r="E1047754" s="19"/>
      <c r="F1047754" s="19"/>
      <c r="G1047754" s="19"/>
      <c r="H1047754" s="19"/>
      <c r="I1047754" s="19"/>
      <c r="J1047754" s="19"/>
      <c r="K1047754" s="19"/>
      <c r="L1047754" s="19"/>
      <c r="M1047754" s="19"/>
      <c r="N1047754" s="19"/>
    </row>
    <row r="1047755" spans="1:14" s="83" customFormat="1" ht="12.75">
      <c r="A1047755" s="19"/>
      <c r="B1047755" s="19"/>
      <c r="C1047755" s="19"/>
      <c r="D1047755" s="19"/>
      <c r="E1047755" s="19"/>
      <c r="F1047755" s="19"/>
      <c r="G1047755" s="19"/>
      <c r="H1047755" s="19"/>
      <c r="I1047755" s="19"/>
      <c r="J1047755" s="19"/>
      <c r="K1047755" s="19"/>
      <c r="L1047755" s="19"/>
      <c r="M1047755" s="19"/>
      <c r="N1047755" s="19"/>
    </row>
    <row r="1047756" spans="1:14" s="83" customFormat="1" ht="12.75">
      <c r="A1047756" s="19"/>
      <c r="B1047756" s="19"/>
      <c r="C1047756" s="19"/>
      <c r="D1047756" s="19"/>
      <c r="E1047756" s="19"/>
      <c r="F1047756" s="19"/>
      <c r="G1047756" s="19"/>
      <c r="H1047756" s="19"/>
      <c r="I1047756" s="19"/>
      <c r="J1047756" s="19"/>
      <c r="K1047756" s="19"/>
      <c r="L1047756" s="19"/>
      <c r="M1047756" s="19"/>
      <c r="N1047756" s="19"/>
    </row>
    <row r="1047757" spans="1:14" s="83" customFormat="1" ht="12.75">
      <c r="A1047757" s="19"/>
      <c r="B1047757" s="19"/>
      <c r="C1047757" s="19"/>
      <c r="D1047757" s="19"/>
      <c r="E1047757" s="19"/>
      <c r="F1047757" s="19"/>
      <c r="G1047757" s="19"/>
      <c r="H1047757" s="19"/>
      <c r="I1047757" s="19"/>
      <c r="J1047757" s="19"/>
      <c r="K1047757" s="19"/>
      <c r="L1047757" s="19"/>
      <c r="M1047757" s="19"/>
      <c r="N1047757" s="19"/>
    </row>
    <row r="1047758" spans="1:14" s="83" customFormat="1" ht="12.75">
      <c r="A1047758" s="19"/>
      <c r="B1047758" s="19"/>
      <c r="C1047758" s="19"/>
      <c r="D1047758" s="19"/>
      <c r="E1047758" s="19"/>
      <c r="F1047758" s="19"/>
      <c r="G1047758" s="19"/>
      <c r="H1047758" s="19"/>
      <c r="I1047758" s="19"/>
      <c r="J1047758" s="19"/>
      <c r="K1047758" s="19"/>
      <c r="L1047758" s="19"/>
      <c r="M1047758" s="19"/>
      <c r="N1047758" s="19"/>
    </row>
    <row r="1047759" spans="1:14" s="83" customFormat="1" ht="12.75">
      <c r="A1047759" s="19"/>
      <c r="B1047759" s="19"/>
      <c r="C1047759" s="19"/>
      <c r="D1047759" s="19"/>
      <c r="E1047759" s="19"/>
      <c r="F1047759" s="19"/>
      <c r="G1047759" s="19"/>
      <c r="H1047759" s="19"/>
      <c r="I1047759" s="19"/>
      <c r="J1047759" s="19"/>
      <c r="K1047759" s="19"/>
      <c r="L1047759" s="19"/>
      <c r="M1047759" s="19"/>
      <c r="N1047759" s="19"/>
    </row>
    <row r="1047760" spans="1:14" s="83" customFormat="1" ht="12.75">
      <c r="A1047760" s="19"/>
      <c r="B1047760" s="19"/>
      <c r="C1047760" s="19"/>
      <c r="D1047760" s="19"/>
      <c r="E1047760" s="19"/>
      <c r="F1047760" s="19"/>
      <c r="G1047760" s="19"/>
      <c r="H1047760" s="19"/>
      <c r="I1047760" s="19"/>
      <c r="J1047760" s="19"/>
      <c r="K1047760" s="19"/>
      <c r="L1047760" s="19"/>
      <c r="M1047760" s="19"/>
      <c r="N1047760" s="19"/>
    </row>
    <row r="1047761" spans="1:14" s="83" customFormat="1" ht="12.75">
      <c r="A1047761" s="19"/>
      <c r="B1047761" s="19"/>
      <c r="C1047761" s="19"/>
      <c r="D1047761" s="19"/>
      <c r="E1047761" s="19"/>
      <c r="F1047761" s="19"/>
      <c r="G1047761" s="19"/>
      <c r="H1047761" s="19"/>
      <c r="I1047761" s="19"/>
      <c r="J1047761" s="19"/>
      <c r="K1047761" s="19"/>
      <c r="L1047761" s="19"/>
      <c r="M1047761" s="19"/>
      <c r="N1047761" s="19"/>
    </row>
    <row r="1047762" spans="1:14" s="83" customFormat="1" ht="12.75">
      <c r="A1047762" s="19"/>
      <c r="B1047762" s="19"/>
      <c r="C1047762" s="19"/>
      <c r="D1047762" s="19"/>
      <c r="E1047762" s="19"/>
      <c r="F1047762" s="19"/>
      <c r="G1047762" s="19"/>
      <c r="H1047762" s="19"/>
      <c r="I1047762" s="19"/>
      <c r="J1047762" s="19"/>
      <c r="K1047762" s="19"/>
      <c r="L1047762" s="19"/>
      <c r="M1047762" s="19"/>
      <c r="N1047762" s="19"/>
    </row>
    <row r="1047763" spans="1:14" s="83" customFormat="1" ht="12.75">
      <c r="A1047763" s="19"/>
      <c r="B1047763" s="19"/>
      <c r="C1047763" s="19"/>
      <c r="D1047763" s="19"/>
      <c r="E1047763" s="19"/>
      <c r="F1047763" s="19"/>
      <c r="G1047763" s="19"/>
      <c r="H1047763" s="19"/>
      <c r="I1047763" s="19"/>
      <c r="J1047763" s="19"/>
      <c r="K1047763" s="19"/>
      <c r="L1047763" s="19"/>
      <c r="M1047763" s="19"/>
      <c r="N1047763" s="19"/>
    </row>
    <row r="1047764" spans="1:14" s="83" customFormat="1" ht="12.75">
      <c r="A1047764" s="19"/>
      <c r="B1047764" s="19"/>
      <c r="C1047764" s="19"/>
      <c r="D1047764" s="19"/>
      <c r="E1047764" s="19"/>
      <c r="F1047764" s="19"/>
      <c r="G1047764" s="19"/>
      <c r="H1047764" s="19"/>
      <c r="I1047764" s="19"/>
      <c r="J1047764" s="19"/>
      <c r="K1047764" s="19"/>
      <c r="L1047764" s="19"/>
      <c r="M1047764" s="19"/>
      <c r="N1047764" s="19"/>
    </row>
    <row r="1047765" spans="1:14" s="83" customFormat="1" ht="12.75">
      <c r="A1047765" s="19"/>
      <c r="B1047765" s="19"/>
      <c r="C1047765" s="19"/>
      <c r="D1047765" s="19"/>
      <c r="E1047765" s="19"/>
      <c r="F1047765" s="19"/>
      <c r="G1047765" s="19"/>
      <c r="H1047765" s="19"/>
      <c r="I1047765" s="19"/>
      <c r="J1047765" s="19"/>
      <c r="K1047765" s="19"/>
      <c r="L1047765" s="19"/>
      <c r="M1047765" s="19"/>
      <c r="N1047765" s="19"/>
    </row>
    <row r="1047766" spans="1:14" s="83" customFormat="1" ht="12.75">
      <c r="A1047766" s="19"/>
      <c r="B1047766" s="19"/>
      <c r="C1047766" s="19"/>
      <c r="D1047766" s="19"/>
      <c r="E1047766" s="19"/>
      <c r="F1047766" s="19"/>
      <c r="G1047766" s="19"/>
      <c r="H1047766" s="19"/>
      <c r="I1047766" s="19"/>
      <c r="J1047766" s="19"/>
      <c r="K1047766" s="19"/>
      <c r="L1047766" s="19"/>
      <c r="M1047766" s="19"/>
      <c r="N1047766" s="19"/>
    </row>
    <row r="1047767" spans="1:14" s="83" customFormat="1" ht="12.75">
      <c r="A1047767" s="19"/>
      <c r="B1047767" s="19"/>
      <c r="C1047767" s="19"/>
      <c r="D1047767" s="19"/>
      <c r="E1047767" s="19"/>
      <c r="F1047767" s="19"/>
      <c r="G1047767" s="19"/>
      <c r="H1047767" s="19"/>
      <c r="I1047767" s="19"/>
      <c r="J1047767" s="19"/>
      <c r="K1047767" s="19"/>
      <c r="L1047767" s="19"/>
      <c r="M1047767" s="19"/>
      <c r="N1047767" s="19"/>
    </row>
    <row r="1047768" spans="1:14" s="83" customFormat="1" ht="12.75">
      <c r="A1047768" s="19"/>
      <c r="B1047768" s="19"/>
      <c r="C1047768" s="19"/>
      <c r="D1047768" s="19"/>
      <c r="E1047768" s="19"/>
      <c r="F1047768" s="19"/>
      <c r="G1047768" s="19"/>
      <c r="H1047768" s="19"/>
      <c r="I1047768" s="19"/>
      <c r="J1047768" s="19"/>
      <c r="K1047768" s="19"/>
      <c r="L1047768" s="19"/>
      <c r="M1047768" s="19"/>
      <c r="N1047768" s="19"/>
    </row>
    <row r="1047769" spans="1:14" s="83" customFormat="1" ht="12.75">
      <c r="A1047769" s="19"/>
      <c r="B1047769" s="19"/>
      <c r="C1047769" s="19"/>
      <c r="D1047769" s="19"/>
      <c r="E1047769" s="19"/>
      <c r="F1047769" s="19"/>
      <c r="G1047769" s="19"/>
      <c r="H1047769" s="19"/>
      <c r="I1047769" s="19"/>
      <c r="J1047769" s="19"/>
      <c r="K1047769" s="19"/>
      <c r="L1047769" s="19"/>
      <c r="M1047769" s="19"/>
      <c r="N1047769" s="19"/>
    </row>
    <row r="1047770" spans="1:14" s="83" customFormat="1" ht="12.75">
      <c r="A1047770" s="19"/>
      <c r="B1047770" s="19"/>
      <c r="C1047770" s="19"/>
      <c r="D1047770" s="19"/>
      <c r="E1047770" s="19"/>
      <c r="F1047770" s="19"/>
      <c r="G1047770" s="19"/>
      <c r="H1047770" s="19"/>
      <c r="I1047770" s="19"/>
      <c r="J1047770" s="19"/>
      <c r="K1047770" s="19"/>
      <c r="L1047770" s="19"/>
      <c r="M1047770" s="19"/>
      <c r="N1047770" s="19"/>
    </row>
    <row r="1047771" spans="1:14" s="83" customFormat="1" ht="12.75">
      <c r="A1047771" s="19"/>
      <c r="B1047771" s="19"/>
      <c r="C1047771" s="19"/>
      <c r="D1047771" s="19"/>
      <c r="E1047771" s="19"/>
      <c r="F1047771" s="19"/>
      <c r="G1047771" s="19"/>
      <c r="H1047771" s="19"/>
      <c r="I1047771" s="19"/>
      <c r="J1047771" s="19"/>
      <c r="K1047771" s="19"/>
      <c r="L1047771" s="19"/>
      <c r="M1047771" s="19"/>
      <c r="N1047771" s="19"/>
    </row>
    <row r="1047772" spans="1:14" s="83" customFormat="1" ht="12.75">
      <c r="A1047772" s="19"/>
      <c r="B1047772" s="19"/>
      <c r="C1047772" s="19"/>
      <c r="D1047772" s="19"/>
      <c r="E1047772" s="19"/>
      <c r="F1047772" s="19"/>
      <c r="G1047772" s="19"/>
      <c r="H1047772" s="19"/>
      <c r="I1047772" s="19"/>
      <c r="J1047772" s="19"/>
      <c r="K1047772" s="19"/>
      <c r="L1047772" s="19"/>
      <c r="M1047772" s="19"/>
      <c r="N1047772" s="19"/>
    </row>
    <row r="1047773" spans="1:14" s="83" customFormat="1" ht="12.75">
      <c r="A1047773" s="19"/>
      <c r="B1047773" s="19"/>
      <c r="C1047773" s="19"/>
      <c r="D1047773" s="19"/>
      <c r="E1047773" s="19"/>
      <c r="F1047773" s="19"/>
      <c r="G1047773" s="19"/>
      <c r="H1047773" s="19"/>
      <c r="I1047773" s="19"/>
      <c r="J1047773" s="19"/>
      <c r="K1047773" s="19"/>
      <c r="L1047773" s="19"/>
      <c r="M1047773" s="19"/>
      <c r="N1047773" s="19"/>
    </row>
    <row r="1047774" spans="1:14" s="83" customFormat="1" ht="12.75">
      <c r="A1047774" s="19"/>
      <c r="B1047774" s="19"/>
      <c r="C1047774" s="19"/>
      <c r="D1047774" s="19"/>
      <c r="E1047774" s="19"/>
      <c r="F1047774" s="19"/>
      <c r="G1047774" s="19"/>
      <c r="H1047774" s="19"/>
      <c r="I1047774" s="19"/>
      <c r="J1047774" s="19"/>
      <c r="K1047774" s="19"/>
      <c r="L1047774" s="19"/>
      <c r="M1047774" s="19"/>
      <c r="N1047774" s="19"/>
    </row>
    <row r="1047775" spans="1:14" s="83" customFormat="1" ht="12.75">
      <c r="A1047775" s="19"/>
      <c r="B1047775" s="19"/>
      <c r="C1047775" s="19"/>
      <c r="D1047775" s="19"/>
      <c r="E1047775" s="19"/>
      <c r="F1047775" s="19"/>
      <c r="G1047775" s="19"/>
      <c r="H1047775" s="19"/>
      <c r="I1047775" s="19"/>
      <c r="J1047775" s="19"/>
      <c r="K1047775" s="19"/>
      <c r="L1047775" s="19"/>
      <c r="M1047775" s="19"/>
      <c r="N1047775" s="19"/>
    </row>
    <row r="1047776" spans="1:14" s="83" customFormat="1" ht="12.75">
      <c r="A1047776" s="19"/>
      <c r="B1047776" s="19"/>
      <c r="C1047776" s="19"/>
      <c r="D1047776" s="19"/>
      <c r="E1047776" s="19"/>
      <c r="F1047776" s="19"/>
      <c r="G1047776" s="19"/>
      <c r="H1047776" s="19"/>
      <c r="I1047776" s="19"/>
      <c r="J1047776" s="19"/>
      <c r="K1047776" s="19"/>
      <c r="L1047776" s="19"/>
      <c r="M1047776" s="19"/>
      <c r="N1047776" s="19"/>
    </row>
    <row r="1047777" spans="1:14" s="83" customFormat="1" ht="12.75">
      <c r="A1047777" s="19"/>
      <c r="B1047777" s="19"/>
      <c r="C1047777" s="19"/>
      <c r="D1047777" s="19"/>
      <c r="E1047777" s="19"/>
      <c r="F1047777" s="19"/>
      <c r="G1047777" s="19"/>
      <c r="H1047777" s="19"/>
      <c r="I1047777" s="19"/>
      <c r="J1047777" s="19"/>
      <c r="K1047777" s="19"/>
      <c r="L1047777" s="19"/>
      <c r="M1047777" s="19"/>
      <c r="N1047777" s="19"/>
    </row>
    <row r="1047778" spans="1:14" s="83" customFormat="1" ht="12.75">
      <c r="A1047778" s="19"/>
      <c r="B1047778" s="19"/>
      <c r="C1047778" s="19"/>
      <c r="D1047778" s="19"/>
      <c r="E1047778" s="19"/>
      <c r="F1047778" s="19"/>
      <c r="G1047778" s="19"/>
      <c r="H1047778" s="19"/>
      <c r="I1047778" s="19"/>
      <c r="J1047778" s="19"/>
      <c r="K1047778" s="19"/>
      <c r="L1047778" s="19"/>
      <c r="M1047778" s="19"/>
      <c r="N1047778" s="19"/>
    </row>
    <row r="1047779" spans="1:14" s="83" customFormat="1" ht="12.75">
      <c r="A1047779" s="19"/>
      <c r="B1047779" s="19"/>
      <c r="C1047779" s="19"/>
      <c r="D1047779" s="19"/>
      <c r="E1047779" s="19"/>
      <c r="F1047779" s="19"/>
      <c r="G1047779" s="19"/>
      <c r="H1047779" s="19"/>
      <c r="I1047779" s="19"/>
      <c r="J1047779" s="19"/>
      <c r="K1047779" s="19"/>
      <c r="L1047779" s="19"/>
      <c r="M1047779" s="19"/>
      <c r="N1047779" s="19"/>
    </row>
    <row r="1047780" spans="1:14" s="83" customFormat="1" ht="12.75">
      <c r="A1047780" s="19"/>
      <c r="B1047780" s="19"/>
      <c r="C1047780" s="19"/>
      <c r="D1047780" s="19"/>
      <c r="E1047780" s="19"/>
      <c r="F1047780" s="19"/>
      <c r="G1047780" s="19"/>
      <c r="H1047780" s="19"/>
      <c r="I1047780" s="19"/>
      <c r="J1047780" s="19"/>
      <c r="K1047780" s="19"/>
      <c r="L1047780" s="19"/>
      <c r="M1047780" s="19"/>
      <c r="N1047780" s="19"/>
    </row>
    <row r="1047781" spans="1:14" s="83" customFormat="1" ht="12.75">
      <c r="A1047781" s="19"/>
      <c r="B1047781" s="19"/>
      <c r="C1047781" s="19"/>
      <c r="D1047781" s="19"/>
      <c r="E1047781" s="19"/>
      <c r="F1047781" s="19"/>
      <c r="G1047781" s="19"/>
      <c r="H1047781" s="19"/>
      <c r="I1047781" s="19"/>
      <c r="J1047781" s="19"/>
      <c r="K1047781" s="19"/>
      <c r="L1047781" s="19"/>
      <c r="M1047781" s="19"/>
      <c r="N1047781" s="19"/>
    </row>
    <row r="1047782" spans="1:14" s="83" customFormat="1" ht="12.75">
      <c r="A1047782" s="19"/>
      <c r="B1047782" s="19"/>
      <c r="C1047782" s="19"/>
      <c r="D1047782" s="19"/>
      <c r="E1047782" s="19"/>
      <c r="F1047782" s="19"/>
      <c r="G1047782" s="19"/>
      <c r="H1047782" s="19"/>
      <c r="I1047782" s="19"/>
      <c r="J1047782" s="19"/>
      <c r="K1047782" s="19"/>
      <c r="L1047782" s="19"/>
      <c r="M1047782" s="19"/>
      <c r="N1047782" s="19"/>
    </row>
    <row r="1047783" spans="1:14" s="83" customFormat="1" ht="12.75">
      <c r="A1047783" s="19"/>
      <c r="B1047783" s="19"/>
      <c r="C1047783" s="19"/>
      <c r="D1047783" s="19"/>
      <c r="E1047783" s="19"/>
      <c r="F1047783" s="19"/>
      <c r="G1047783" s="19"/>
      <c r="H1047783" s="19"/>
      <c r="I1047783" s="19"/>
      <c r="J1047783" s="19"/>
      <c r="K1047783" s="19"/>
      <c r="L1047783" s="19"/>
      <c r="M1047783" s="19"/>
      <c r="N1047783" s="19"/>
    </row>
    <row r="1047784" spans="1:14" s="83" customFormat="1" ht="12.75">
      <c r="A1047784" s="19"/>
      <c r="B1047784" s="19"/>
      <c r="C1047784" s="19"/>
      <c r="D1047784" s="19"/>
      <c r="E1047784" s="19"/>
      <c r="F1047784" s="19"/>
      <c r="G1047784" s="19"/>
      <c r="H1047784" s="19"/>
      <c r="I1047784" s="19"/>
      <c r="J1047784" s="19"/>
      <c r="K1047784" s="19"/>
      <c r="L1047784" s="19"/>
      <c r="M1047784" s="19"/>
      <c r="N1047784" s="19"/>
    </row>
    <row r="1047785" spans="1:14" s="83" customFormat="1" ht="12.75">
      <c r="A1047785" s="19"/>
      <c r="B1047785" s="19"/>
      <c r="C1047785" s="19"/>
      <c r="D1047785" s="19"/>
      <c r="E1047785" s="19"/>
      <c r="F1047785" s="19"/>
      <c r="G1047785" s="19"/>
      <c r="H1047785" s="19"/>
      <c r="I1047785" s="19"/>
      <c r="J1047785" s="19"/>
      <c r="K1047785" s="19"/>
      <c r="L1047785" s="19"/>
      <c r="M1047785" s="19"/>
      <c r="N1047785" s="19"/>
    </row>
    <row r="1047786" spans="1:14" s="83" customFormat="1" ht="12.75">
      <c r="A1047786" s="19"/>
      <c r="B1047786" s="19"/>
      <c r="C1047786" s="19"/>
      <c r="D1047786" s="19"/>
      <c r="E1047786" s="19"/>
      <c r="F1047786" s="19"/>
      <c r="G1047786" s="19"/>
      <c r="H1047786" s="19"/>
      <c r="I1047786" s="19"/>
      <c r="J1047786" s="19"/>
      <c r="K1047786" s="19"/>
      <c r="L1047786" s="19"/>
      <c r="M1047786" s="19"/>
      <c r="N1047786" s="19"/>
    </row>
    <row r="1047787" spans="1:14" s="83" customFormat="1" ht="12.75">
      <c r="A1047787" s="19"/>
      <c r="B1047787" s="19"/>
      <c r="C1047787" s="19"/>
      <c r="D1047787" s="19"/>
      <c r="E1047787" s="19"/>
      <c r="F1047787" s="19"/>
      <c r="G1047787" s="19"/>
      <c r="H1047787" s="19"/>
      <c r="I1047787" s="19"/>
      <c r="J1047787" s="19"/>
      <c r="K1047787" s="19"/>
      <c r="L1047787" s="19"/>
      <c r="M1047787" s="19"/>
      <c r="N1047787" s="19"/>
    </row>
    <row r="1047788" spans="1:14" s="83" customFormat="1" ht="12.75">
      <c r="A1047788" s="19"/>
      <c r="B1047788" s="19"/>
      <c r="C1047788" s="19"/>
      <c r="D1047788" s="19"/>
      <c r="E1047788" s="19"/>
      <c r="F1047788" s="19"/>
      <c r="G1047788" s="19"/>
      <c r="H1047788" s="19"/>
      <c r="I1047788" s="19"/>
      <c r="J1047788" s="19"/>
      <c r="K1047788" s="19"/>
      <c r="L1047788" s="19"/>
      <c r="M1047788" s="19"/>
      <c r="N1047788" s="19"/>
    </row>
    <row r="1047789" spans="1:14" s="83" customFormat="1" ht="12.75">
      <c r="A1047789" s="19"/>
      <c r="B1047789" s="19"/>
      <c r="C1047789" s="19"/>
      <c r="D1047789" s="19"/>
      <c r="E1047789" s="19"/>
      <c r="F1047789" s="19"/>
      <c r="G1047789" s="19"/>
      <c r="H1047789" s="19"/>
      <c r="I1047789" s="19"/>
      <c r="J1047789" s="19"/>
      <c r="K1047789" s="19"/>
      <c r="L1047789" s="19"/>
      <c r="M1047789" s="19"/>
      <c r="N1047789" s="19"/>
    </row>
    <row r="1047790" spans="1:14" s="83" customFormat="1" ht="12.75">
      <c r="A1047790" s="19"/>
      <c r="B1047790" s="19"/>
      <c r="C1047790" s="19"/>
      <c r="D1047790" s="19"/>
      <c r="E1047790" s="19"/>
      <c r="F1047790" s="19"/>
      <c r="G1047790" s="19"/>
      <c r="H1047790" s="19"/>
      <c r="I1047790" s="19"/>
      <c r="J1047790" s="19"/>
      <c r="K1047790" s="19"/>
      <c r="L1047790" s="19"/>
      <c r="M1047790" s="19"/>
      <c r="N1047790" s="19"/>
    </row>
    <row r="1047791" spans="1:14" s="83" customFormat="1" ht="12.75">
      <c r="A1047791" s="19"/>
      <c r="B1047791" s="19"/>
      <c r="C1047791" s="19"/>
      <c r="D1047791" s="19"/>
      <c r="E1047791" s="19"/>
      <c r="F1047791" s="19"/>
      <c r="G1047791" s="19"/>
      <c r="H1047791" s="19"/>
      <c r="I1047791" s="19"/>
      <c r="J1047791" s="19"/>
      <c r="K1047791" s="19"/>
      <c r="L1047791" s="19"/>
      <c r="M1047791" s="19"/>
      <c r="N1047791" s="19"/>
    </row>
    <row r="1047792" spans="1:14" s="83" customFormat="1" ht="12.75">
      <c r="A1047792" s="19"/>
      <c r="B1047792" s="19"/>
      <c r="C1047792" s="19"/>
      <c r="D1047792" s="19"/>
      <c r="E1047792" s="19"/>
      <c r="F1047792" s="19"/>
      <c r="G1047792" s="19"/>
      <c r="H1047792" s="19"/>
      <c r="I1047792" s="19"/>
      <c r="J1047792" s="19"/>
      <c r="K1047792" s="19"/>
      <c r="L1047792" s="19"/>
      <c r="M1047792" s="19"/>
      <c r="N1047792" s="19"/>
    </row>
    <row r="1047793" spans="1:14" s="83" customFormat="1" ht="12.75">
      <c r="A1047793" s="19"/>
      <c r="B1047793" s="19"/>
      <c r="C1047793" s="19"/>
      <c r="D1047793" s="19"/>
      <c r="E1047793" s="19"/>
      <c r="F1047793" s="19"/>
      <c r="G1047793" s="19"/>
      <c r="H1047793" s="19"/>
      <c r="I1047793" s="19"/>
      <c r="J1047793" s="19"/>
      <c r="K1047793" s="19"/>
      <c r="L1047793" s="19"/>
      <c r="M1047793" s="19"/>
      <c r="N1047793" s="19"/>
    </row>
    <row r="1047794" spans="1:14" s="83" customFormat="1" ht="12.75">
      <c r="A1047794" s="19"/>
      <c r="B1047794" s="19"/>
      <c r="C1047794" s="19"/>
      <c r="D1047794" s="19"/>
      <c r="E1047794" s="19"/>
      <c r="F1047794" s="19"/>
      <c r="G1047794" s="19"/>
      <c r="H1047794" s="19"/>
      <c r="I1047794" s="19"/>
      <c r="J1047794" s="19"/>
      <c r="K1047794" s="19"/>
      <c r="L1047794" s="19"/>
      <c r="M1047794" s="19"/>
      <c r="N1047794" s="19"/>
    </row>
    <row r="1047795" spans="1:14" s="83" customFormat="1" ht="12.75">
      <c r="A1047795" s="19"/>
      <c r="B1047795" s="19"/>
      <c r="C1047795" s="19"/>
      <c r="D1047795" s="19"/>
      <c r="E1047795" s="19"/>
      <c r="F1047795" s="19"/>
      <c r="G1047795" s="19"/>
      <c r="H1047795" s="19"/>
      <c r="I1047795" s="19"/>
      <c r="J1047795" s="19"/>
      <c r="K1047795" s="19"/>
      <c r="L1047795" s="19"/>
      <c r="M1047795" s="19"/>
      <c r="N1047795" s="19"/>
    </row>
    <row r="1047796" spans="1:14" s="83" customFormat="1" ht="12.75">
      <c r="A1047796" s="19"/>
      <c r="B1047796" s="19"/>
      <c r="C1047796" s="19"/>
      <c r="D1047796" s="19"/>
      <c r="E1047796" s="19"/>
      <c r="F1047796" s="19"/>
      <c r="G1047796" s="19"/>
      <c r="H1047796" s="19"/>
      <c r="I1047796" s="19"/>
      <c r="J1047796" s="19"/>
      <c r="K1047796" s="19"/>
      <c r="L1047796" s="19"/>
      <c r="M1047796" s="19"/>
      <c r="N1047796" s="19"/>
    </row>
    <row r="1047797" spans="1:14" s="83" customFormat="1" ht="12.75">
      <c r="A1047797" s="19"/>
      <c r="B1047797" s="19"/>
      <c r="C1047797" s="19"/>
      <c r="D1047797" s="19"/>
      <c r="E1047797" s="19"/>
      <c r="F1047797" s="19"/>
      <c r="G1047797" s="19"/>
      <c r="H1047797" s="19"/>
      <c r="I1047797" s="19"/>
      <c r="J1047797" s="19"/>
      <c r="K1047797" s="19"/>
      <c r="L1047797" s="19"/>
      <c r="M1047797" s="19"/>
      <c r="N1047797" s="19"/>
    </row>
    <row r="1047798" spans="1:14" s="83" customFormat="1" ht="12.75">
      <c r="A1047798" s="19"/>
      <c r="B1047798" s="19"/>
      <c r="C1047798" s="19"/>
      <c r="D1047798" s="19"/>
      <c r="E1047798" s="19"/>
      <c r="F1047798" s="19"/>
      <c r="G1047798" s="19"/>
      <c r="H1047798" s="19"/>
      <c r="I1047798" s="19"/>
      <c r="J1047798" s="19"/>
      <c r="K1047798" s="19"/>
      <c r="L1047798" s="19"/>
      <c r="M1047798" s="19"/>
      <c r="N1047798" s="19"/>
    </row>
    <row r="1047799" spans="1:14" s="83" customFormat="1" ht="12.75">
      <c r="A1047799" s="19"/>
      <c r="B1047799" s="19"/>
      <c r="C1047799" s="19"/>
      <c r="D1047799" s="19"/>
      <c r="E1047799" s="19"/>
      <c r="F1047799" s="19"/>
      <c r="G1047799" s="19"/>
      <c r="H1047799" s="19"/>
      <c r="I1047799" s="19"/>
      <c r="J1047799" s="19"/>
      <c r="K1047799" s="19"/>
      <c r="L1047799" s="19"/>
      <c r="M1047799" s="19"/>
      <c r="N1047799" s="19"/>
    </row>
    <row r="1047800" spans="1:14" s="83" customFormat="1" ht="12.75">
      <c r="A1047800" s="19"/>
      <c r="B1047800" s="19"/>
      <c r="C1047800" s="19"/>
      <c r="D1047800" s="19"/>
      <c r="E1047800" s="19"/>
      <c r="F1047800" s="19"/>
      <c r="G1047800" s="19"/>
      <c r="H1047800" s="19"/>
      <c r="I1047800" s="19"/>
      <c r="J1047800" s="19"/>
      <c r="K1047800" s="19"/>
      <c r="L1047800" s="19"/>
      <c r="M1047800" s="19"/>
      <c r="N1047800" s="19"/>
    </row>
    <row r="1047801" spans="1:14" s="83" customFormat="1" ht="12.75">
      <c r="A1047801" s="19"/>
      <c r="B1047801" s="19"/>
      <c r="C1047801" s="19"/>
      <c r="D1047801" s="19"/>
      <c r="E1047801" s="19"/>
      <c r="F1047801" s="19"/>
      <c r="G1047801" s="19"/>
      <c r="H1047801" s="19"/>
      <c r="I1047801" s="19"/>
      <c r="J1047801" s="19"/>
      <c r="K1047801" s="19"/>
      <c r="L1047801" s="19"/>
      <c r="M1047801" s="19"/>
      <c r="N1047801" s="19"/>
    </row>
    <row r="1047802" spans="1:14" s="83" customFormat="1" ht="12.75">
      <c r="A1047802" s="19"/>
      <c r="B1047802" s="19"/>
      <c r="C1047802" s="19"/>
      <c r="D1047802" s="19"/>
      <c r="E1047802" s="19"/>
      <c r="F1047802" s="19"/>
      <c r="G1047802" s="19"/>
      <c r="H1047802" s="19"/>
      <c r="I1047802" s="19"/>
      <c r="J1047802" s="19"/>
      <c r="K1047802" s="19"/>
      <c r="L1047802" s="19"/>
      <c r="M1047802" s="19"/>
      <c r="N1047802" s="19"/>
    </row>
    <row r="1047803" spans="1:14" s="83" customFormat="1" ht="12.75">
      <c r="A1047803" s="19"/>
      <c r="B1047803" s="19"/>
      <c r="C1047803" s="19"/>
      <c r="D1047803" s="19"/>
      <c r="E1047803" s="19"/>
      <c r="F1047803" s="19"/>
      <c r="G1047803" s="19"/>
      <c r="H1047803" s="19"/>
      <c r="I1047803" s="19"/>
      <c r="J1047803" s="19"/>
      <c r="K1047803" s="19"/>
      <c r="L1047803" s="19"/>
      <c r="M1047803" s="19"/>
      <c r="N1047803" s="19"/>
    </row>
    <row r="1047804" spans="1:14" s="83" customFormat="1" ht="12.75">
      <c r="A1047804" s="19"/>
      <c r="B1047804" s="19"/>
      <c r="C1047804" s="19"/>
      <c r="D1047804" s="19"/>
      <c r="E1047804" s="19"/>
      <c r="F1047804" s="19"/>
      <c r="G1047804" s="19"/>
      <c r="H1047804" s="19"/>
      <c r="I1047804" s="19"/>
      <c r="J1047804" s="19"/>
      <c r="K1047804" s="19"/>
      <c r="L1047804" s="19"/>
      <c r="M1047804" s="19"/>
      <c r="N1047804" s="19"/>
    </row>
    <row r="1047805" spans="1:14" s="83" customFormat="1" ht="12.75">
      <c r="A1047805" s="19"/>
      <c r="B1047805" s="19"/>
      <c r="C1047805" s="19"/>
      <c r="D1047805" s="19"/>
      <c r="E1047805" s="19"/>
      <c r="F1047805" s="19"/>
      <c r="G1047805" s="19"/>
      <c r="H1047805" s="19"/>
      <c r="I1047805" s="19"/>
      <c r="J1047805" s="19"/>
      <c r="K1047805" s="19"/>
      <c r="L1047805" s="19"/>
      <c r="M1047805" s="19"/>
      <c r="N1047805" s="19"/>
    </row>
    <row r="1047806" spans="1:14" s="83" customFormat="1" ht="12.75">
      <c r="A1047806" s="19"/>
      <c r="B1047806" s="19"/>
      <c r="C1047806" s="19"/>
      <c r="D1047806" s="19"/>
      <c r="E1047806" s="19"/>
      <c r="F1047806" s="19"/>
      <c r="G1047806" s="19"/>
      <c r="H1047806" s="19"/>
      <c r="I1047806" s="19"/>
      <c r="J1047806" s="19"/>
      <c r="K1047806" s="19"/>
      <c r="L1047806" s="19"/>
      <c r="M1047806" s="19"/>
      <c r="N1047806" s="19"/>
    </row>
    <row r="1047807" spans="1:14" s="83" customFormat="1" ht="12.75">
      <c r="A1047807" s="19"/>
      <c r="B1047807" s="19"/>
      <c r="C1047807" s="19"/>
      <c r="D1047807" s="19"/>
      <c r="E1047807" s="19"/>
      <c r="F1047807" s="19"/>
      <c r="G1047807" s="19"/>
      <c r="H1047807" s="19"/>
      <c r="I1047807" s="19"/>
      <c r="J1047807" s="19"/>
      <c r="K1047807" s="19"/>
      <c r="L1047807" s="19"/>
      <c r="M1047807" s="19"/>
      <c r="N1047807" s="19"/>
    </row>
    <row r="1047808" spans="1:14" s="83" customFormat="1" ht="12.75">
      <c r="A1047808" s="19"/>
      <c r="B1047808" s="19"/>
      <c r="C1047808" s="19"/>
      <c r="D1047808" s="19"/>
      <c r="E1047808" s="19"/>
      <c r="F1047808" s="19"/>
      <c r="G1047808" s="19"/>
      <c r="H1047808" s="19"/>
      <c r="I1047808" s="19"/>
      <c r="J1047808" s="19"/>
      <c r="K1047808" s="19"/>
      <c r="L1047808" s="19"/>
      <c r="M1047808" s="19"/>
      <c r="N1047808" s="19"/>
    </row>
    <row r="1047809" spans="1:14" s="83" customFormat="1" ht="12.75">
      <c r="A1047809" s="19"/>
      <c r="B1047809" s="19"/>
      <c r="C1047809" s="19"/>
      <c r="D1047809" s="19"/>
      <c r="E1047809" s="19"/>
      <c r="F1047809" s="19"/>
      <c r="G1047809" s="19"/>
      <c r="H1047809" s="19"/>
      <c r="I1047809" s="19"/>
      <c r="J1047809" s="19"/>
      <c r="K1047809" s="19"/>
      <c r="L1047809" s="19"/>
      <c r="M1047809" s="19"/>
      <c r="N1047809" s="19"/>
    </row>
    <row r="1047810" spans="1:14" s="83" customFormat="1" ht="12.75">
      <c r="A1047810" s="19"/>
      <c r="B1047810" s="19"/>
      <c r="C1047810" s="19"/>
      <c r="D1047810" s="19"/>
      <c r="E1047810" s="19"/>
      <c r="F1047810" s="19"/>
      <c r="G1047810" s="19"/>
      <c r="H1047810" s="19"/>
      <c r="I1047810" s="19"/>
      <c r="J1047810" s="19"/>
      <c r="K1047810" s="19"/>
      <c r="L1047810" s="19"/>
      <c r="M1047810" s="19"/>
      <c r="N1047810" s="19"/>
    </row>
    <row r="1047811" spans="1:14" s="83" customFormat="1" ht="12.75">
      <c r="A1047811" s="19"/>
      <c r="B1047811" s="19"/>
      <c r="C1047811" s="19"/>
      <c r="D1047811" s="19"/>
      <c r="E1047811" s="19"/>
      <c r="F1047811" s="19"/>
      <c r="G1047811" s="19"/>
      <c r="H1047811" s="19"/>
      <c r="I1047811" s="19"/>
      <c r="J1047811" s="19"/>
      <c r="K1047811" s="19"/>
      <c r="L1047811" s="19"/>
      <c r="M1047811" s="19"/>
      <c r="N1047811" s="19"/>
    </row>
    <row r="1047812" spans="1:14" s="83" customFormat="1" ht="12.75">
      <c r="A1047812" s="19"/>
      <c r="B1047812" s="19"/>
      <c r="C1047812" s="19"/>
      <c r="D1047812" s="19"/>
      <c r="E1047812" s="19"/>
      <c r="F1047812" s="19"/>
      <c r="G1047812" s="19"/>
      <c r="H1047812" s="19"/>
      <c r="I1047812" s="19"/>
      <c r="J1047812" s="19"/>
      <c r="K1047812" s="19"/>
      <c r="L1047812" s="19"/>
      <c r="M1047812" s="19"/>
      <c r="N1047812" s="19"/>
    </row>
    <row r="1047813" spans="1:14" s="83" customFormat="1" ht="12.75">
      <c r="A1047813" s="19"/>
      <c r="B1047813" s="19"/>
      <c r="C1047813" s="19"/>
      <c r="D1047813" s="19"/>
      <c r="E1047813" s="19"/>
      <c r="F1047813" s="19"/>
      <c r="G1047813" s="19"/>
      <c r="H1047813" s="19"/>
      <c r="I1047813" s="19"/>
      <c r="J1047813" s="19"/>
      <c r="K1047813" s="19"/>
      <c r="L1047813" s="19"/>
      <c r="M1047813" s="19"/>
      <c r="N1047813" s="19"/>
    </row>
    <row r="1047814" spans="1:14" s="83" customFormat="1" ht="12.75">
      <c r="A1047814" s="19"/>
      <c r="B1047814" s="19"/>
      <c r="C1047814" s="19"/>
      <c r="D1047814" s="19"/>
      <c r="E1047814" s="19"/>
      <c r="F1047814" s="19"/>
      <c r="G1047814" s="19"/>
      <c r="H1047814" s="19"/>
      <c r="I1047814" s="19"/>
      <c r="J1047814" s="19"/>
      <c r="K1047814" s="19"/>
      <c r="L1047814" s="19"/>
      <c r="M1047814" s="19"/>
      <c r="N1047814" s="19"/>
    </row>
    <row r="1047815" spans="1:14" s="83" customFormat="1" ht="12.75">
      <c r="A1047815" s="19"/>
      <c r="B1047815" s="19"/>
      <c r="C1047815" s="19"/>
      <c r="D1047815" s="19"/>
      <c r="E1047815" s="19"/>
      <c r="F1047815" s="19"/>
      <c r="G1047815" s="19"/>
      <c r="H1047815" s="19"/>
      <c r="I1047815" s="19"/>
      <c r="J1047815" s="19"/>
      <c r="K1047815" s="19"/>
      <c r="L1047815" s="19"/>
      <c r="M1047815" s="19"/>
      <c r="N1047815" s="19"/>
    </row>
    <row r="1047816" spans="1:14" s="83" customFormat="1" ht="12.75">
      <c r="A1047816" s="19"/>
      <c r="B1047816" s="19"/>
      <c r="C1047816" s="19"/>
      <c r="D1047816" s="19"/>
      <c r="E1047816" s="19"/>
      <c r="F1047816" s="19"/>
      <c r="G1047816" s="19"/>
      <c r="H1047816" s="19"/>
      <c r="I1047816" s="19"/>
      <c r="J1047816" s="19"/>
      <c r="K1047816" s="19"/>
      <c r="L1047816" s="19"/>
      <c r="M1047816" s="19"/>
      <c r="N1047816" s="19"/>
    </row>
    <row r="1047817" spans="1:14" s="83" customFormat="1" ht="12.75">
      <c r="A1047817" s="19"/>
      <c r="B1047817" s="19"/>
      <c r="C1047817" s="19"/>
      <c r="D1047817" s="19"/>
      <c r="E1047817" s="19"/>
      <c r="F1047817" s="19"/>
      <c r="G1047817" s="19"/>
      <c r="H1047817" s="19"/>
      <c r="I1047817" s="19"/>
      <c r="J1047817" s="19"/>
      <c r="K1047817" s="19"/>
      <c r="L1047817" s="19"/>
      <c r="M1047817" s="19"/>
      <c r="N1047817" s="19"/>
    </row>
    <row r="1047818" spans="1:14" s="83" customFormat="1" ht="12.75">
      <c r="A1047818" s="19"/>
      <c r="B1047818" s="19"/>
      <c r="C1047818" s="19"/>
      <c r="D1047818" s="19"/>
      <c r="E1047818" s="19"/>
      <c r="F1047818" s="19"/>
      <c r="G1047818" s="19"/>
      <c r="H1047818" s="19"/>
      <c r="I1047818" s="19"/>
      <c r="J1047818" s="19"/>
      <c r="K1047818" s="19"/>
      <c r="L1047818" s="19"/>
      <c r="M1047818" s="19"/>
      <c r="N1047818" s="19"/>
    </row>
    <row r="1047819" spans="1:14" s="83" customFormat="1" ht="12.75">
      <c r="A1047819" s="19"/>
      <c r="B1047819" s="19"/>
      <c r="C1047819" s="19"/>
      <c r="D1047819" s="19"/>
      <c r="E1047819" s="19"/>
      <c r="F1047819" s="19"/>
      <c r="G1047819" s="19"/>
      <c r="H1047819" s="19"/>
      <c r="I1047819" s="19"/>
      <c r="J1047819" s="19"/>
      <c r="K1047819" s="19"/>
      <c r="L1047819" s="19"/>
      <c r="M1047819" s="19"/>
      <c r="N1047819" s="19"/>
    </row>
    <row r="1047820" spans="1:14" s="83" customFormat="1" ht="12.75">
      <c r="A1047820" s="19"/>
      <c r="B1047820" s="19"/>
      <c r="C1047820" s="19"/>
      <c r="D1047820" s="19"/>
      <c r="E1047820" s="19"/>
      <c r="F1047820" s="19"/>
      <c r="G1047820" s="19"/>
      <c r="H1047820" s="19"/>
      <c r="I1047820" s="19"/>
      <c r="J1047820" s="19"/>
      <c r="K1047820" s="19"/>
      <c r="L1047820" s="19"/>
      <c r="M1047820" s="19"/>
      <c r="N1047820" s="19"/>
    </row>
    <row r="1047821" spans="1:14" s="83" customFormat="1" ht="12.75">
      <c r="A1047821" s="19"/>
      <c r="B1047821" s="19"/>
      <c r="C1047821" s="19"/>
      <c r="D1047821" s="19"/>
      <c r="E1047821" s="19"/>
      <c r="F1047821" s="19"/>
      <c r="G1047821" s="19"/>
      <c r="H1047821" s="19"/>
      <c r="I1047821" s="19"/>
      <c r="J1047821" s="19"/>
      <c r="K1047821" s="19"/>
      <c r="L1047821" s="19"/>
      <c r="M1047821" s="19"/>
      <c r="N1047821" s="19"/>
    </row>
    <row r="1047822" spans="1:14" s="83" customFormat="1" ht="12.75">
      <c r="A1047822" s="19"/>
      <c r="B1047822" s="19"/>
      <c r="C1047822" s="19"/>
      <c r="D1047822" s="19"/>
      <c r="E1047822" s="19"/>
      <c r="F1047822" s="19"/>
      <c r="G1047822" s="19"/>
      <c r="H1047822" s="19"/>
      <c r="I1047822" s="19"/>
      <c r="J1047822" s="19"/>
      <c r="K1047822" s="19"/>
      <c r="L1047822" s="19"/>
      <c r="M1047822" s="19"/>
      <c r="N1047822" s="19"/>
    </row>
    <row r="1047823" spans="1:14" s="83" customFormat="1" ht="12.75">
      <c r="A1047823" s="19"/>
      <c r="B1047823" s="19"/>
      <c r="C1047823" s="19"/>
      <c r="D1047823" s="19"/>
      <c r="E1047823" s="19"/>
      <c r="F1047823" s="19"/>
      <c r="G1047823" s="19"/>
      <c r="H1047823" s="19"/>
      <c r="I1047823" s="19"/>
      <c r="J1047823" s="19"/>
      <c r="K1047823" s="19"/>
      <c r="L1047823" s="19"/>
      <c r="M1047823" s="19"/>
      <c r="N1047823" s="19"/>
    </row>
    <row r="1047824" spans="1:14" s="83" customFormat="1" ht="12.75">
      <c r="A1047824" s="19"/>
      <c r="B1047824" s="19"/>
      <c r="C1047824" s="19"/>
      <c r="D1047824" s="19"/>
      <c r="E1047824" s="19"/>
      <c r="F1047824" s="19"/>
      <c r="G1047824" s="19"/>
      <c r="H1047824" s="19"/>
      <c r="I1047824" s="19"/>
      <c r="J1047824" s="19"/>
      <c r="K1047824" s="19"/>
      <c r="L1047824" s="19"/>
      <c r="M1047824" s="19"/>
      <c r="N1047824" s="19"/>
    </row>
    <row r="1047825" spans="1:14" s="83" customFormat="1" ht="12.75">
      <c r="A1047825" s="19"/>
      <c r="B1047825" s="19"/>
      <c r="C1047825" s="19"/>
      <c r="D1047825" s="19"/>
      <c r="E1047825" s="19"/>
      <c r="F1047825" s="19"/>
      <c r="G1047825" s="19"/>
      <c r="H1047825" s="19"/>
      <c r="I1047825" s="19"/>
      <c r="J1047825" s="19"/>
      <c r="K1047825" s="19"/>
      <c r="L1047825" s="19"/>
      <c r="M1047825" s="19"/>
      <c r="N1047825" s="19"/>
    </row>
    <row r="1047826" spans="1:14" s="83" customFormat="1" ht="12.75">
      <c r="A1047826" s="19"/>
      <c r="B1047826" s="19"/>
      <c r="C1047826" s="19"/>
      <c r="D1047826" s="19"/>
      <c r="E1047826" s="19"/>
      <c r="F1047826" s="19"/>
      <c r="G1047826" s="19"/>
      <c r="H1047826" s="19"/>
      <c r="I1047826" s="19"/>
      <c r="J1047826" s="19"/>
      <c r="K1047826" s="19"/>
      <c r="L1047826" s="19"/>
      <c r="M1047826" s="19"/>
      <c r="N1047826" s="19"/>
    </row>
    <row r="1047827" spans="1:14" s="83" customFormat="1" ht="12.75">
      <c r="A1047827" s="19"/>
      <c r="B1047827" s="19"/>
      <c r="C1047827" s="19"/>
      <c r="D1047827" s="19"/>
      <c r="E1047827" s="19"/>
      <c r="F1047827" s="19"/>
      <c r="G1047827" s="19"/>
      <c r="H1047827" s="19"/>
      <c r="I1047827" s="19"/>
      <c r="J1047827" s="19"/>
      <c r="K1047827" s="19"/>
      <c r="L1047827" s="19"/>
      <c r="M1047827" s="19"/>
      <c r="N1047827" s="19"/>
    </row>
    <row r="1047828" spans="1:14" s="83" customFormat="1" ht="12.75">
      <c r="A1047828" s="19"/>
      <c r="B1047828" s="19"/>
      <c r="C1047828" s="19"/>
      <c r="D1047828" s="19"/>
      <c r="E1047828" s="19"/>
      <c r="F1047828" s="19"/>
      <c r="G1047828" s="19"/>
      <c r="H1047828" s="19"/>
      <c r="I1047828" s="19"/>
      <c r="J1047828" s="19"/>
      <c r="K1047828" s="19"/>
      <c r="L1047828" s="19"/>
      <c r="M1047828" s="19"/>
      <c r="N1047828" s="19"/>
    </row>
    <row r="1047829" spans="1:14" s="83" customFormat="1" ht="12.75">
      <c r="A1047829" s="19"/>
      <c r="B1047829" s="19"/>
      <c r="C1047829" s="19"/>
      <c r="D1047829" s="19"/>
      <c r="E1047829" s="19"/>
      <c r="F1047829" s="19"/>
      <c r="G1047829" s="19"/>
      <c r="H1047829" s="19"/>
      <c r="I1047829" s="19"/>
      <c r="J1047829" s="19"/>
      <c r="K1047829" s="19"/>
      <c r="L1047829" s="19"/>
      <c r="M1047829" s="19"/>
      <c r="N1047829" s="19"/>
    </row>
    <row r="1047830" spans="1:14" s="83" customFormat="1" ht="12.75">
      <c r="A1047830" s="19"/>
      <c r="B1047830" s="19"/>
      <c r="C1047830" s="19"/>
      <c r="D1047830" s="19"/>
      <c r="E1047830" s="19"/>
      <c r="F1047830" s="19"/>
      <c r="G1047830" s="19"/>
      <c r="H1047830" s="19"/>
      <c r="I1047830" s="19"/>
      <c r="J1047830" s="19"/>
      <c r="K1047830" s="19"/>
      <c r="L1047830" s="19"/>
      <c r="M1047830" s="19"/>
      <c r="N1047830" s="19"/>
    </row>
    <row r="1047831" spans="1:14" s="83" customFormat="1" ht="12.75">
      <c r="A1047831" s="19"/>
      <c r="B1047831" s="19"/>
      <c r="C1047831" s="19"/>
      <c r="D1047831" s="19"/>
      <c r="E1047831" s="19"/>
      <c r="F1047831" s="19"/>
      <c r="G1047831" s="19"/>
      <c r="H1047831" s="19"/>
      <c r="I1047831" s="19"/>
      <c r="J1047831" s="19"/>
      <c r="K1047831" s="19"/>
      <c r="L1047831" s="19"/>
      <c r="M1047831" s="19"/>
      <c r="N1047831" s="19"/>
    </row>
    <row r="1047832" spans="1:14" s="83" customFormat="1" ht="12.75">
      <c r="A1047832" s="19"/>
      <c r="B1047832" s="19"/>
      <c r="C1047832" s="19"/>
      <c r="D1047832" s="19"/>
      <c r="E1047832" s="19"/>
      <c r="F1047832" s="19"/>
      <c r="G1047832" s="19"/>
      <c r="H1047832" s="19"/>
      <c r="I1047832" s="19"/>
      <c r="J1047832" s="19"/>
      <c r="K1047832" s="19"/>
      <c r="L1047832" s="19"/>
      <c r="M1047832" s="19"/>
      <c r="N1047832" s="19"/>
    </row>
    <row r="1047833" spans="1:14" s="83" customFormat="1" ht="12.75">
      <c r="A1047833" s="19"/>
      <c r="B1047833" s="19"/>
      <c r="C1047833" s="19"/>
      <c r="D1047833" s="19"/>
      <c r="E1047833" s="19"/>
      <c r="F1047833" s="19"/>
      <c r="G1047833" s="19"/>
      <c r="H1047833" s="19"/>
      <c r="I1047833" s="19"/>
      <c r="J1047833" s="19"/>
      <c r="K1047833" s="19"/>
      <c r="L1047833" s="19"/>
      <c r="M1047833" s="19"/>
      <c r="N1047833" s="19"/>
    </row>
    <row r="1047834" spans="1:14" s="83" customFormat="1" ht="12.75">
      <c r="A1047834" s="19"/>
      <c r="B1047834" s="19"/>
      <c r="C1047834" s="19"/>
      <c r="D1047834" s="19"/>
      <c r="E1047834" s="19"/>
      <c r="F1047834" s="19"/>
      <c r="G1047834" s="19"/>
      <c r="H1047834" s="19"/>
      <c r="I1047834" s="19"/>
      <c r="J1047834" s="19"/>
      <c r="K1047834" s="19"/>
      <c r="L1047834" s="19"/>
      <c r="M1047834" s="19"/>
      <c r="N1047834" s="19"/>
    </row>
    <row r="1047835" spans="1:14" s="83" customFormat="1" ht="12.75">
      <c r="A1047835" s="19"/>
      <c r="B1047835" s="19"/>
      <c r="C1047835" s="19"/>
      <c r="D1047835" s="19"/>
      <c r="E1047835" s="19"/>
      <c r="F1047835" s="19"/>
      <c r="G1047835" s="19"/>
      <c r="H1047835" s="19"/>
      <c r="I1047835" s="19"/>
      <c r="J1047835" s="19"/>
      <c r="K1047835" s="19"/>
      <c r="L1047835" s="19"/>
      <c r="M1047835" s="19"/>
      <c r="N1047835" s="19"/>
    </row>
    <row r="1047836" spans="1:14" s="83" customFormat="1" ht="12.75">
      <c r="A1047836" s="19"/>
      <c r="B1047836" s="19"/>
      <c r="C1047836" s="19"/>
      <c r="D1047836" s="19"/>
      <c r="E1047836" s="19"/>
      <c r="F1047836" s="19"/>
      <c r="G1047836" s="19"/>
      <c r="H1047836" s="19"/>
      <c r="I1047836" s="19"/>
      <c r="J1047836" s="19"/>
      <c r="K1047836" s="19"/>
      <c r="L1047836" s="19"/>
      <c r="M1047836" s="19"/>
      <c r="N1047836" s="19"/>
    </row>
    <row r="1047837" spans="1:14" s="83" customFormat="1" ht="12.75">
      <c r="A1047837" s="19"/>
      <c r="B1047837" s="19"/>
      <c r="C1047837" s="19"/>
      <c r="D1047837" s="19"/>
      <c r="E1047837" s="19"/>
      <c r="F1047837" s="19"/>
      <c r="G1047837" s="19"/>
      <c r="H1047837" s="19"/>
      <c r="I1047837" s="19"/>
      <c r="J1047837" s="19"/>
      <c r="K1047837" s="19"/>
      <c r="L1047837" s="19"/>
      <c r="M1047837" s="19"/>
      <c r="N1047837" s="19"/>
    </row>
    <row r="1047838" spans="1:14" s="83" customFormat="1" ht="12.75">
      <c r="A1047838" s="19"/>
      <c r="B1047838" s="19"/>
      <c r="C1047838" s="19"/>
      <c r="D1047838" s="19"/>
      <c r="E1047838" s="19"/>
      <c r="F1047838" s="19"/>
      <c r="G1047838" s="19"/>
      <c r="H1047838" s="19"/>
      <c r="I1047838" s="19"/>
      <c r="J1047838" s="19"/>
      <c r="K1047838" s="19"/>
      <c r="L1047838" s="19"/>
      <c r="M1047838" s="19"/>
      <c r="N1047838" s="19"/>
    </row>
    <row r="1047839" spans="1:14" s="83" customFormat="1" ht="12.75">
      <c r="A1047839" s="19"/>
      <c r="B1047839" s="19"/>
      <c r="C1047839" s="19"/>
      <c r="D1047839" s="19"/>
      <c r="E1047839" s="19"/>
      <c r="F1047839" s="19"/>
      <c r="G1047839" s="19"/>
      <c r="H1047839" s="19"/>
      <c r="I1047839" s="19"/>
      <c r="J1047839" s="19"/>
      <c r="K1047839" s="19"/>
      <c r="L1047839" s="19"/>
      <c r="M1047839" s="19"/>
      <c r="N1047839" s="19"/>
    </row>
    <row r="1047840" spans="1:14" s="83" customFormat="1" ht="12.75">
      <c r="A1047840" s="19"/>
      <c r="B1047840" s="19"/>
      <c r="C1047840" s="19"/>
      <c r="D1047840" s="19"/>
      <c r="E1047840" s="19"/>
      <c r="F1047840" s="19"/>
      <c r="G1047840" s="19"/>
      <c r="H1047840" s="19"/>
      <c r="I1047840" s="19"/>
      <c r="J1047840" s="19"/>
      <c r="K1047840" s="19"/>
      <c r="L1047840" s="19"/>
      <c r="M1047840" s="19"/>
      <c r="N1047840" s="19"/>
    </row>
    <row r="1047841" spans="1:14" s="83" customFormat="1" ht="12.75">
      <c r="A1047841" s="19"/>
      <c r="B1047841" s="19"/>
      <c r="C1047841" s="19"/>
      <c r="D1047841" s="19"/>
      <c r="E1047841" s="19"/>
      <c r="F1047841" s="19"/>
      <c r="G1047841" s="19"/>
      <c r="H1047841" s="19"/>
      <c r="I1047841" s="19"/>
      <c r="J1047841" s="19"/>
      <c r="K1047841" s="19"/>
      <c r="L1047841" s="19"/>
      <c r="M1047841" s="19"/>
      <c r="N1047841" s="19"/>
    </row>
    <row r="1047842" spans="1:14" s="83" customFormat="1" ht="12.75">
      <c r="A1047842" s="19"/>
      <c r="B1047842" s="19"/>
      <c r="C1047842" s="19"/>
      <c r="D1047842" s="19"/>
      <c r="E1047842" s="19"/>
      <c r="F1047842" s="19"/>
      <c r="G1047842" s="19"/>
      <c r="H1047842" s="19"/>
      <c r="I1047842" s="19"/>
      <c r="J1047842" s="19"/>
      <c r="K1047842" s="19"/>
      <c r="L1047842" s="19"/>
      <c r="M1047842" s="19"/>
      <c r="N1047842" s="19"/>
    </row>
    <row r="1047843" spans="1:14" s="83" customFormat="1" ht="12.75">
      <c r="A1047843" s="19"/>
      <c r="B1047843" s="19"/>
      <c r="C1047843" s="19"/>
      <c r="D1047843" s="19"/>
      <c r="E1047843" s="19"/>
      <c r="F1047843" s="19"/>
      <c r="G1047843" s="19"/>
      <c r="H1047843" s="19"/>
      <c r="I1047843" s="19"/>
      <c r="J1047843" s="19"/>
      <c r="K1047843" s="19"/>
      <c r="L1047843" s="19"/>
      <c r="M1047843" s="19"/>
      <c r="N1047843" s="19"/>
    </row>
    <row r="1047844" spans="1:14" s="83" customFormat="1" ht="12.75">
      <c r="A1047844" s="19"/>
      <c r="B1047844" s="19"/>
      <c r="C1047844" s="19"/>
      <c r="D1047844" s="19"/>
      <c r="E1047844" s="19"/>
      <c r="F1047844" s="19"/>
      <c r="G1047844" s="19"/>
      <c r="H1047844" s="19"/>
      <c r="I1047844" s="19"/>
      <c r="J1047844" s="19"/>
      <c r="K1047844" s="19"/>
      <c r="L1047844" s="19"/>
      <c r="M1047844" s="19"/>
      <c r="N1047844" s="19"/>
    </row>
    <row r="1047845" spans="1:14" s="83" customFormat="1" ht="12.75">
      <c r="A1047845" s="19"/>
      <c r="B1047845" s="19"/>
      <c r="C1047845" s="19"/>
      <c r="D1047845" s="19"/>
      <c r="E1047845" s="19"/>
      <c r="F1047845" s="19"/>
      <c r="G1047845" s="19"/>
      <c r="H1047845" s="19"/>
      <c r="I1047845" s="19"/>
      <c r="J1047845" s="19"/>
      <c r="K1047845" s="19"/>
      <c r="L1047845" s="19"/>
      <c r="M1047845" s="19"/>
      <c r="N1047845" s="19"/>
    </row>
    <row r="1047846" spans="1:14" s="83" customFormat="1" ht="12.75">
      <c r="A1047846" s="19"/>
      <c r="B1047846" s="19"/>
      <c r="C1047846" s="19"/>
      <c r="D1047846" s="19"/>
      <c r="E1047846" s="19"/>
      <c r="F1047846" s="19"/>
      <c r="G1047846" s="19"/>
      <c r="H1047846" s="19"/>
      <c r="I1047846" s="19"/>
      <c r="J1047846" s="19"/>
      <c r="K1047846" s="19"/>
      <c r="L1047846" s="19"/>
      <c r="M1047846" s="19"/>
      <c r="N1047846" s="19"/>
    </row>
    <row r="1047847" spans="1:14" s="83" customFormat="1" ht="12.75">
      <c r="A1047847" s="19"/>
      <c r="B1047847" s="19"/>
      <c r="C1047847" s="19"/>
      <c r="D1047847" s="19"/>
      <c r="E1047847" s="19"/>
      <c r="F1047847" s="19"/>
      <c r="G1047847" s="19"/>
      <c r="H1047847" s="19"/>
      <c r="I1047847" s="19"/>
      <c r="J1047847" s="19"/>
      <c r="K1047847" s="19"/>
      <c r="L1047847" s="19"/>
      <c r="M1047847" s="19"/>
      <c r="N1047847" s="19"/>
    </row>
    <row r="1047848" spans="1:14" s="83" customFormat="1" ht="12.75">
      <c r="A1047848" s="19"/>
      <c r="B1047848" s="19"/>
      <c r="C1047848" s="19"/>
      <c r="D1047848" s="19"/>
      <c r="E1047848" s="19"/>
      <c r="F1047848" s="19"/>
      <c r="G1047848" s="19"/>
      <c r="H1047848" s="19"/>
      <c r="I1047848" s="19"/>
      <c r="J1047848" s="19"/>
      <c r="K1047848" s="19"/>
      <c r="L1047848" s="19"/>
      <c r="M1047848" s="19"/>
      <c r="N1047848" s="19"/>
    </row>
    <row r="1047849" spans="1:14" s="83" customFormat="1" ht="12.75">
      <c r="A1047849" s="19"/>
      <c r="B1047849" s="19"/>
      <c r="C1047849" s="19"/>
      <c r="D1047849" s="19"/>
      <c r="E1047849" s="19"/>
      <c r="F1047849" s="19"/>
      <c r="G1047849" s="19"/>
      <c r="H1047849" s="19"/>
      <c r="I1047849" s="19"/>
      <c r="J1047849" s="19"/>
      <c r="K1047849" s="19"/>
      <c r="L1047849" s="19"/>
      <c r="M1047849" s="19"/>
      <c r="N1047849" s="19"/>
    </row>
    <row r="1047850" spans="1:14" s="83" customFormat="1" ht="12.75">
      <c r="A1047850" s="19"/>
      <c r="B1047850" s="19"/>
      <c r="C1047850" s="19"/>
      <c r="D1047850" s="19"/>
      <c r="E1047850" s="19"/>
      <c r="F1047850" s="19"/>
      <c r="G1047850" s="19"/>
      <c r="H1047850" s="19"/>
      <c r="I1047850" s="19"/>
      <c r="J1047850" s="19"/>
      <c r="K1047850" s="19"/>
      <c r="L1047850" s="19"/>
      <c r="M1047850" s="19"/>
      <c r="N1047850" s="19"/>
    </row>
    <row r="1047851" spans="1:14" s="83" customFormat="1" ht="12.75">
      <c r="A1047851" s="19"/>
      <c r="B1047851" s="19"/>
      <c r="C1047851" s="19"/>
      <c r="D1047851" s="19"/>
      <c r="E1047851" s="19"/>
      <c r="F1047851" s="19"/>
      <c r="G1047851" s="19"/>
      <c r="H1047851" s="19"/>
      <c r="I1047851" s="19"/>
      <c r="J1047851" s="19"/>
      <c r="K1047851" s="19"/>
      <c r="L1047851" s="19"/>
      <c r="M1047851" s="19"/>
      <c r="N1047851" s="19"/>
    </row>
    <row r="1047852" spans="1:14" s="83" customFormat="1" ht="12.75">
      <c r="A1047852" s="19"/>
      <c r="B1047852" s="19"/>
      <c r="C1047852" s="19"/>
      <c r="D1047852" s="19"/>
      <c r="E1047852" s="19"/>
      <c r="F1047852" s="19"/>
      <c r="G1047852" s="19"/>
      <c r="H1047852" s="19"/>
      <c r="I1047852" s="19"/>
      <c r="J1047852" s="19"/>
      <c r="K1047852" s="19"/>
      <c r="L1047852" s="19"/>
      <c r="M1047852" s="19"/>
      <c r="N1047852" s="19"/>
    </row>
    <row r="1047853" spans="1:14" s="83" customFormat="1" ht="12.75">
      <c r="A1047853" s="19"/>
      <c r="B1047853" s="19"/>
      <c r="C1047853" s="19"/>
      <c r="D1047853" s="19"/>
      <c r="E1047853" s="19"/>
      <c r="F1047853" s="19"/>
      <c r="G1047853" s="19"/>
      <c r="H1047853" s="19"/>
      <c r="I1047853" s="19"/>
      <c r="J1047853" s="19"/>
      <c r="K1047853" s="19"/>
      <c r="L1047853" s="19"/>
      <c r="M1047853" s="19"/>
      <c r="N1047853" s="19"/>
    </row>
    <row r="1047854" spans="1:14" s="83" customFormat="1" ht="12.75">
      <c r="A1047854" s="19"/>
      <c r="B1047854" s="19"/>
      <c r="C1047854" s="19"/>
      <c r="D1047854" s="19"/>
      <c r="E1047854" s="19"/>
      <c r="F1047854" s="19"/>
      <c r="G1047854" s="19"/>
      <c r="H1047854" s="19"/>
      <c r="I1047854" s="19"/>
      <c r="J1047854" s="19"/>
      <c r="K1047854" s="19"/>
      <c r="L1047854" s="19"/>
      <c r="M1047854" s="19"/>
      <c r="N1047854" s="19"/>
    </row>
    <row r="1047855" spans="1:14" s="83" customFormat="1" ht="12.75">
      <c r="A1047855" s="19"/>
      <c r="B1047855" s="19"/>
      <c r="C1047855" s="19"/>
      <c r="D1047855" s="19"/>
      <c r="E1047855" s="19"/>
      <c r="F1047855" s="19"/>
      <c r="G1047855" s="19"/>
      <c r="H1047855" s="19"/>
      <c r="I1047855" s="19"/>
      <c r="J1047855" s="19"/>
      <c r="K1047855" s="19"/>
      <c r="L1047855" s="19"/>
      <c r="M1047855" s="19"/>
      <c r="N1047855" s="19"/>
    </row>
    <row r="1047856" spans="1:14" s="83" customFormat="1" ht="12.75">
      <c r="A1047856" s="19"/>
      <c r="B1047856" s="19"/>
      <c r="C1047856" s="19"/>
      <c r="D1047856" s="19"/>
      <c r="E1047856" s="19"/>
      <c r="F1047856" s="19"/>
      <c r="G1047856" s="19"/>
      <c r="H1047856" s="19"/>
      <c r="I1047856" s="19"/>
      <c r="J1047856" s="19"/>
      <c r="K1047856" s="19"/>
      <c r="L1047856" s="19"/>
      <c r="M1047856" s="19"/>
      <c r="N1047856" s="19"/>
    </row>
    <row r="1047857" spans="1:14" s="83" customFormat="1" ht="12.75">
      <c r="A1047857" s="19"/>
      <c r="B1047857" s="19"/>
      <c r="C1047857" s="19"/>
      <c r="D1047857" s="19"/>
      <c r="E1047857" s="19"/>
      <c r="F1047857" s="19"/>
      <c r="G1047857" s="19"/>
      <c r="H1047857" s="19"/>
      <c r="I1047857" s="19"/>
      <c r="J1047857" s="19"/>
      <c r="K1047857" s="19"/>
      <c r="L1047857" s="19"/>
      <c r="M1047857" s="19"/>
      <c r="N1047857" s="19"/>
    </row>
    <row r="1047858" spans="1:14" s="83" customFormat="1" ht="12.75">
      <c r="A1047858" s="19"/>
      <c r="B1047858" s="19"/>
      <c r="C1047858" s="19"/>
      <c r="D1047858" s="19"/>
      <c r="E1047858" s="19"/>
      <c r="F1047858" s="19"/>
      <c r="G1047858" s="19"/>
      <c r="H1047858" s="19"/>
      <c r="I1047858" s="19"/>
      <c r="J1047858" s="19"/>
      <c r="K1047858" s="19"/>
      <c r="L1047858" s="19"/>
      <c r="M1047858" s="19"/>
      <c r="N1047858" s="19"/>
    </row>
    <row r="1047859" spans="1:14" s="83" customFormat="1" ht="12.75">
      <c r="A1047859" s="19"/>
      <c r="B1047859" s="19"/>
      <c r="C1047859" s="19"/>
      <c r="D1047859" s="19"/>
      <c r="E1047859" s="19"/>
      <c r="F1047859" s="19"/>
      <c r="G1047859" s="19"/>
      <c r="H1047859" s="19"/>
      <c r="I1047859" s="19"/>
      <c r="J1047859" s="19"/>
      <c r="K1047859" s="19"/>
      <c r="L1047859" s="19"/>
      <c r="M1047859" s="19"/>
      <c r="N1047859" s="19"/>
    </row>
    <row r="1047860" spans="1:14" s="83" customFormat="1" ht="12.75">
      <c r="A1047860" s="19"/>
      <c r="B1047860" s="19"/>
      <c r="C1047860" s="19"/>
      <c r="D1047860" s="19"/>
      <c r="E1047860" s="19"/>
      <c r="F1047860" s="19"/>
      <c r="G1047860" s="19"/>
      <c r="H1047860" s="19"/>
      <c r="I1047860" s="19"/>
      <c r="J1047860" s="19"/>
      <c r="K1047860" s="19"/>
      <c r="L1047860" s="19"/>
      <c r="M1047860" s="19"/>
      <c r="N1047860" s="19"/>
    </row>
    <row r="1047861" spans="1:14" s="83" customFormat="1" ht="12.75">
      <c r="A1047861" s="19"/>
      <c r="B1047861" s="19"/>
      <c r="C1047861" s="19"/>
      <c r="D1047861" s="19"/>
      <c r="E1047861" s="19"/>
      <c r="F1047861" s="19"/>
      <c r="G1047861" s="19"/>
      <c r="H1047861" s="19"/>
      <c r="I1047861" s="19"/>
      <c r="J1047861" s="19"/>
      <c r="K1047861" s="19"/>
      <c r="L1047861" s="19"/>
      <c r="M1047861" s="19"/>
      <c r="N1047861" s="19"/>
    </row>
    <row r="1047862" spans="1:14" s="83" customFormat="1" ht="12.75">
      <c r="A1047862" s="19"/>
      <c r="B1047862" s="19"/>
      <c r="C1047862" s="19"/>
      <c r="D1047862" s="19"/>
      <c r="E1047862" s="19"/>
      <c r="F1047862" s="19"/>
      <c r="G1047862" s="19"/>
      <c r="H1047862" s="19"/>
      <c r="I1047862" s="19"/>
      <c r="J1047862" s="19"/>
      <c r="K1047862" s="19"/>
      <c r="L1047862" s="19"/>
      <c r="M1047862" s="19"/>
      <c r="N1047862" s="19"/>
    </row>
    <row r="1047863" spans="1:14" s="83" customFormat="1" ht="12.75">
      <c r="A1047863" s="19"/>
      <c r="B1047863" s="19"/>
      <c r="C1047863" s="19"/>
      <c r="D1047863" s="19"/>
      <c r="E1047863" s="19"/>
      <c r="F1047863" s="19"/>
      <c r="G1047863" s="19"/>
      <c r="H1047863" s="19"/>
      <c r="I1047863" s="19"/>
      <c r="J1047863" s="19"/>
      <c r="K1047863" s="19"/>
      <c r="L1047863" s="19"/>
      <c r="M1047863" s="19"/>
      <c r="N1047863" s="19"/>
    </row>
    <row r="1047864" spans="1:14" s="83" customFormat="1" ht="12.75">
      <c r="A1047864" s="19"/>
      <c r="B1047864" s="19"/>
      <c r="C1047864" s="19"/>
      <c r="D1047864" s="19"/>
      <c r="E1047864" s="19"/>
      <c r="F1047864" s="19"/>
      <c r="G1047864" s="19"/>
      <c r="H1047864" s="19"/>
      <c r="I1047864" s="19"/>
      <c r="J1047864" s="19"/>
      <c r="K1047864" s="19"/>
      <c r="L1047864" s="19"/>
      <c r="M1047864" s="19"/>
      <c r="N1047864" s="19"/>
    </row>
    <row r="1047865" spans="1:14" s="83" customFormat="1" ht="12.75">
      <c r="A1047865" s="19"/>
      <c r="B1047865" s="19"/>
      <c r="C1047865" s="19"/>
      <c r="D1047865" s="19"/>
      <c r="E1047865" s="19"/>
      <c r="F1047865" s="19"/>
      <c r="G1047865" s="19"/>
      <c r="H1047865" s="19"/>
      <c r="I1047865" s="19"/>
      <c r="J1047865" s="19"/>
      <c r="K1047865" s="19"/>
      <c r="L1047865" s="19"/>
      <c r="M1047865" s="19"/>
      <c r="N1047865" s="19"/>
    </row>
    <row r="1047866" spans="1:14" s="83" customFormat="1" ht="12.75">
      <c r="A1047866" s="19"/>
      <c r="B1047866" s="19"/>
      <c r="C1047866" s="19"/>
      <c r="D1047866" s="19"/>
      <c r="E1047866" s="19"/>
      <c r="F1047866" s="19"/>
      <c r="G1047866" s="19"/>
      <c r="H1047866" s="19"/>
      <c r="I1047866" s="19"/>
      <c r="J1047866" s="19"/>
      <c r="K1047866" s="19"/>
      <c r="L1047866" s="19"/>
      <c r="M1047866" s="19"/>
      <c r="N1047866" s="19"/>
    </row>
    <row r="1047867" spans="1:14" s="83" customFormat="1" ht="12.75">
      <c r="A1047867" s="19"/>
      <c r="B1047867" s="19"/>
      <c r="C1047867" s="19"/>
      <c r="D1047867" s="19"/>
      <c r="E1047867" s="19"/>
      <c r="F1047867" s="19"/>
      <c r="G1047867" s="19"/>
      <c r="H1047867" s="19"/>
      <c r="I1047867" s="19"/>
      <c r="J1047867" s="19"/>
      <c r="K1047867" s="19"/>
      <c r="L1047867" s="19"/>
      <c r="M1047867" s="19"/>
      <c r="N1047867" s="19"/>
    </row>
    <row r="1047868" spans="1:14" s="83" customFormat="1" ht="12.75">
      <c r="A1047868" s="19"/>
      <c r="B1047868" s="19"/>
      <c r="C1047868" s="19"/>
      <c r="D1047868" s="19"/>
      <c r="E1047868" s="19"/>
      <c r="F1047868" s="19"/>
      <c r="G1047868" s="19"/>
      <c r="H1047868" s="19"/>
      <c r="I1047868" s="19"/>
      <c r="J1047868" s="19"/>
      <c r="K1047868" s="19"/>
      <c r="L1047868" s="19"/>
      <c r="M1047868" s="19"/>
      <c r="N1047868" s="19"/>
    </row>
    <row r="1047869" spans="1:14" s="83" customFormat="1" ht="12.75">
      <c r="A1047869" s="19"/>
      <c r="B1047869" s="19"/>
      <c r="C1047869" s="19"/>
      <c r="D1047869" s="19"/>
      <c r="E1047869" s="19"/>
      <c r="F1047869" s="19"/>
      <c r="G1047869" s="19"/>
      <c r="H1047869" s="19"/>
      <c r="I1047869" s="19"/>
      <c r="J1047869" s="19"/>
      <c r="K1047869" s="19"/>
      <c r="L1047869" s="19"/>
      <c r="M1047869" s="19"/>
      <c r="N1047869" s="19"/>
    </row>
    <row r="1047870" spans="1:14" s="83" customFormat="1" ht="12.75">
      <c r="A1047870" s="19"/>
      <c r="B1047870" s="19"/>
      <c r="C1047870" s="19"/>
      <c r="D1047870" s="19"/>
      <c r="E1047870" s="19"/>
      <c r="F1047870" s="19"/>
      <c r="G1047870" s="19"/>
      <c r="H1047870" s="19"/>
      <c r="I1047870" s="19"/>
      <c r="J1047870" s="19"/>
      <c r="K1047870" s="19"/>
      <c r="L1047870" s="19"/>
      <c r="M1047870" s="19"/>
      <c r="N1047870" s="19"/>
    </row>
    <row r="1047871" spans="1:14" s="83" customFormat="1" ht="12.75">
      <c r="A1047871" s="19"/>
      <c r="B1047871" s="19"/>
      <c r="C1047871" s="19"/>
      <c r="D1047871" s="19"/>
      <c r="E1047871" s="19"/>
      <c r="F1047871" s="19"/>
      <c r="G1047871" s="19"/>
      <c r="H1047871" s="19"/>
      <c r="I1047871" s="19"/>
      <c r="J1047871" s="19"/>
      <c r="K1047871" s="19"/>
      <c r="L1047871" s="19"/>
      <c r="M1047871" s="19"/>
      <c r="N1047871" s="19"/>
    </row>
    <row r="1047872" spans="1:14" s="83" customFormat="1" ht="12.75">
      <c r="A1047872" s="19"/>
      <c r="B1047872" s="19"/>
      <c r="C1047872" s="19"/>
      <c r="D1047872" s="19"/>
      <c r="E1047872" s="19"/>
      <c r="F1047872" s="19"/>
      <c r="G1047872" s="19"/>
      <c r="H1047872" s="19"/>
      <c r="I1047872" s="19"/>
      <c r="J1047872" s="19"/>
      <c r="K1047872" s="19"/>
      <c r="L1047872" s="19"/>
      <c r="M1047872" s="19"/>
      <c r="N1047872" s="19"/>
    </row>
    <row r="1047873" spans="1:14" s="83" customFormat="1" ht="12.75">
      <c r="A1047873" s="19"/>
      <c r="B1047873" s="19"/>
      <c r="C1047873" s="19"/>
      <c r="D1047873" s="19"/>
      <c r="E1047873" s="19"/>
      <c r="F1047873" s="19"/>
      <c r="G1047873" s="19"/>
      <c r="H1047873" s="19"/>
      <c r="I1047873" s="19"/>
      <c r="J1047873" s="19"/>
      <c r="K1047873" s="19"/>
      <c r="L1047873" s="19"/>
      <c r="M1047873" s="19"/>
      <c r="N1047873" s="19"/>
    </row>
    <row r="1047874" spans="1:14" s="83" customFormat="1" ht="12.75">
      <c r="A1047874" s="19"/>
      <c r="B1047874" s="19"/>
      <c r="C1047874" s="19"/>
      <c r="D1047874" s="19"/>
      <c r="E1047874" s="19"/>
      <c r="F1047874" s="19"/>
      <c r="G1047874" s="19"/>
      <c r="H1047874" s="19"/>
      <c r="I1047874" s="19"/>
      <c r="J1047874" s="19"/>
      <c r="K1047874" s="19"/>
      <c r="L1047874" s="19"/>
      <c r="M1047874" s="19"/>
      <c r="N1047874" s="19"/>
    </row>
    <row r="1047875" spans="1:14" s="83" customFormat="1" ht="12.75">
      <c r="A1047875" s="19"/>
      <c r="B1047875" s="19"/>
      <c r="C1047875" s="19"/>
      <c r="D1047875" s="19"/>
      <c r="E1047875" s="19"/>
      <c r="F1047875" s="19"/>
      <c r="G1047875" s="19"/>
      <c r="H1047875" s="19"/>
      <c r="I1047875" s="19"/>
      <c r="J1047875" s="19"/>
      <c r="K1047875" s="19"/>
      <c r="L1047875" s="19"/>
      <c r="M1047875" s="19"/>
      <c r="N1047875" s="19"/>
    </row>
    <row r="1047876" spans="1:14" s="83" customFormat="1" ht="12.75">
      <c r="A1047876" s="19"/>
      <c r="B1047876" s="19"/>
      <c r="C1047876" s="19"/>
      <c r="D1047876" s="19"/>
      <c r="E1047876" s="19"/>
      <c r="F1047876" s="19"/>
      <c r="G1047876" s="19"/>
      <c r="H1047876" s="19"/>
      <c r="I1047876" s="19"/>
      <c r="J1047876" s="19"/>
      <c r="K1047876" s="19"/>
      <c r="L1047876" s="19"/>
      <c r="M1047876" s="19"/>
      <c r="N1047876" s="19"/>
    </row>
    <row r="1047877" spans="1:14" s="83" customFormat="1" ht="12.75">
      <c r="A1047877" s="19"/>
      <c r="B1047877" s="19"/>
      <c r="C1047877" s="19"/>
      <c r="D1047877" s="19"/>
      <c r="E1047877" s="19"/>
      <c r="F1047877" s="19"/>
      <c r="G1047877" s="19"/>
      <c r="H1047877" s="19"/>
      <c r="I1047877" s="19"/>
      <c r="J1047877" s="19"/>
      <c r="K1047877" s="19"/>
      <c r="L1047877" s="19"/>
      <c r="M1047877" s="19"/>
      <c r="N1047877" s="19"/>
    </row>
    <row r="1047878" spans="1:14" s="83" customFormat="1" ht="12.75">
      <c r="A1047878" s="19"/>
      <c r="B1047878" s="19"/>
      <c r="C1047878" s="19"/>
      <c r="D1047878" s="19"/>
      <c r="E1047878" s="19"/>
      <c r="F1047878" s="19"/>
      <c r="G1047878" s="19"/>
      <c r="H1047878" s="19"/>
      <c r="I1047878" s="19"/>
      <c r="J1047878" s="19"/>
      <c r="K1047878" s="19"/>
      <c r="L1047878" s="19"/>
      <c r="M1047878" s="19"/>
      <c r="N1047878" s="19"/>
    </row>
    <row r="1047879" spans="1:14" s="83" customFormat="1" ht="12.75">
      <c r="A1047879" s="19"/>
      <c r="B1047879" s="19"/>
      <c r="C1047879" s="19"/>
      <c r="D1047879" s="19"/>
      <c r="E1047879" s="19"/>
      <c r="F1047879" s="19"/>
      <c r="G1047879" s="19"/>
      <c r="H1047879" s="19"/>
      <c r="I1047879" s="19"/>
      <c r="J1047879" s="19"/>
      <c r="K1047879" s="19"/>
      <c r="L1047879" s="19"/>
      <c r="M1047879" s="19"/>
      <c r="N1047879" s="19"/>
    </row>
    <row r="1047880" spans="1:14" s="83" customFormat="1" ht="12.75">
      <c r="A1047880" s="19"/>
      <c r="B1047880" s="19"/>
      <c r="C1047880" s="19"/>
      <c r="D1047880" s="19"/>
      <c r="E1047880" s="19"/>
      <c r="F1047880" s="19"/>
      <c r="G1047880" s="19"/>
      <c r="H1047880" s="19"/>
      <c r="I1047880" s="19"/>
      <c r="J1047880" s="19"/>
      <c r="K1047880" s="19"/>
      <c r="L1047880" s="19"/>
      <c r="M1047880" s="19"/>
      <c r="N1047880" s="19"/>
    </row>
    <row r="1047881" spans="1:14" s="83" customFormat="1" ht="12.75">
      <c r="A1047881" s="19"/>
      <c r="B1047881" s="19"/>
      <c r="C1047881" s="19"/>
      <c r="D1047881" s="19"/>
      <c r="E1047881" s="19"/>
      <c r="F1047881" s="19"/>
      <c r="G1047881" s="19"/>
      <c r="H1047881" s="19"/>
      <c r="I1047881" s="19"/>
      <c r="J1047881" s="19"/>
      <c r="K1047881" s="19"/>
      <c r="L1047881" s="19"/>
      <c r="M1047881" s="19"/>
      <c r="N1047881" s="19"/>
    </row>
    <row r="1047882" spans="1:14" s="83" customFormat="1" ht="12.75">
      <c r="A1047882" s="19"/>
      <c r="B1047882" s="19"/>
      <c r="C1047882" s="19"/>
      <c r="D1047882" s="19"/>
      <c r="E1047882" s="19"/>
      <c r="F1047882" s="19"/>
      <c r="G1047882" s="19"/>
      <c r="H1047882" s="19"/>
      <c r="I1047882" s="19"/>
      <c r="J1047882" s="19"/>
      <c r="K1047882" s="19"/>
      <c r="L1047882" s="19"/>
      <c r="M1047882" s="19"/>
      <c r="N1047882" s="19"/>
    </row>
    <row r="1047883" spans="1:14" s="83" customFormat="1" ht="12.75">
      <c r="A1047883" s="19"/>
      <c r="B1047883" s="19"/>
      <c r="C1047883" s="19"/>
      <c r="D1047883" s="19"/>
      <c r="E1047883" s="19"/>
      <c r="F1047883" s="19"/>
      <c r="G1047883" s="19"/>
      <c r="H1047883" s="19"/>
      <c r="I1047883" s="19"/>
      <c r="J1047883" s="19"/>
      <c r="K1047883" s="19"/>
      <c r="L1047883" s="19"/>
      <c r="M1047883" s="19"/>
      <c r="N1047883" s="19"/>
    </row>
    <row r="1047884" spans="1:14" s="83" customFormat="1" ht="12.75">
      <c r="A1047884" s="19"/>
      <c r="B1047884" s="19"/>
      <c r="C1047884" s="19"/>
      <c r="D1047884" s="19"/>
      <c r="E1047884" s="19"/>
      <c r="F1047884" s="19"/>
      <c r="G1047884" s="19"/>
      <c r="H1047884" s="19"/>
      <c r="I1047884" s="19"/>
      <c r="J1047884" s="19"/>
      <c r="K1047884" s="19"/>
      <c r="L1047884" s="19"/>
      <c r="M1047884" s="19"/>
      <c r="N1047884" s="19"/>
    </row>
    <row r="1047885" spans="1:14" s="83" customFormat="1" ht="12.75">
      <c r="A1047885" s="19"/>
      <c r="B1047885" s="19"/>
      <c r="C1047885" s="19"/>
      <c r="D1047885" s="19"/>
      <c r="E1047885" s="19"/>
      <c r="F1047885" s="19"/>
      <c r="G1047885" s="19"/>
      <c r="H1047885" s="19"/>
      <c r="I1047885" s="19"/>
      <c r="J1047885" s="19"/>
      <c r="K1047885" s="19"/>
      <c r="L1047885" s="19"/>
      <c r="M1047885" s="19"/>
      <c r="N1047885" s="19"/>
    </row>
    <row r="1047886" spans="1:14" s="83" customFormat="1" ht="12.75">
      <c r="A1047886" s="19"/>
      <c r="B1047886" s="19"/>
      <c r="C1047886" s="19"/>
      <c r="D1047886" s="19"/>
      <c r="E1047886" s="19"/>
      <c r="F1047886" s="19"/>
      <c r="G1047886" s="19"/>
      <c r="H1047886" s="19"/>
      <c r="I1047886" s="19"/>
      <c r="J1047886" s="19"/>
      <c r="K1047886" s="19"/>
      <c r="L1047886" s="19"/>
      <c r="M1047886" s="19"/>
      <c r="N1047886" s="19"/>
    </row>
    <row r="1047887" spans="1:14" s="83" customFormat="1" ht="12.75">
      <c r="A1047887" s="19"/>
      <c r="B1047887" s="19"/>
      <c r="C1047887" s="19"/>
      <c r="D1047887" s="19"/>
      <c r="E1047887" s="19"/>
      <c r="F1047887" s="19"/>
      <c r="G1047887" s="19"/>
      <c r="H1047887" s="19"/>
      <c r="I1047887" s="19"/>
      <c r="J1047887" s="19"/>
      <c r="K1047887" s="19"/>
      <c r="L1047887" s="19"/>
      <c r="M1047887" s="19"/>
      <c r="N1047887" s="19"/>
    </row>
    <row r="1047888" spans="1:14" s="83" customFormat="1" ht="12.75">
      <c r="A1047888" s="19"/>
      <c r="B1047888" s="19"/>
      <c r="C1047888" s="19"/>
      <c r="D1047888" s="19"/>
      <c r="E1047888" s="19"/>
      <c r="F1047888" s="19"/>
      <c r="G1047888" s="19"/>
      <c r="H1047888" s="19"/>
      <c r="I1047888" s="19"/>
      <c r="J1047888" s="19"/>
      <c r="K1047888" s="19"/>
      <c r="L1047888" s="19"/>
      <c r="M1047888" s="19"/>
      <c r="N1047888" s="19"/>
    </row>
    <row r="1047889" spans="1:14" s="83" customFormat="1" ht="12.75">
      <c r="A1047889" s="19"/>
      <c r="B1047889" s="19"/>
      <c r="C1047889" s="19"/>
      <c r="D1047889" s="19"/>
      <c r="E1047889" s="19"/>
      <c r="F1047889" s="19"/>
      <c r="G1047889" s="19"/>
      <c r="H1047889" s="19"/>
      <c r="I1047889" s="19"/>
      <c r="J1047889" s="19"/>
      <c r="K1047889" s="19"/>
      <c r="L1047889" s="19"/>
      <c r="M1047889" s="19"/>
      <c r="N1047889" s="19"/>
    </row>
    <row r="1047890" spans="1:14" s="83" customFormat="1" ht="12.75">
      <c r="A1047890" s="19"/>
      <c r="B1047890" s="19"/>
      <c r="C1047890" s="19"/>
      <c r="D1047890" s="19"/>
      <c r="E1047890" s="19"/>
      <c r="F1047890" s="19"/>
      <c r="G1047890" s="19"/>
      <c r="H1047890" s="19"/>
      <c r="I1047890" s="19"/>
      <c r="J1047890" s="19"/>
      <c r="K1047890" s="19"/>
      <c r="L1047890" s="19"/>
      <c r="M1047890" s="19"/>
      <c r="N1047890" s="19"/>
    </row>
    <row r="1047891" spans="1:14" s="83" customFormat="1" ht="12.75">
      <c r="A1047891" s="19"/>
      <c r="B1047891" s="19"/>
      <c r="C1047891" s="19"/>
      <c r="D1047891" s="19"/>
      <c r="E1047891" s="19"/>
      <c r="F1047891" s="19"/>
      <c r="G1047891" s="19"/>
      <c r="H1047891" s="19"/>
      <c r="I1047891" s="19"/>
      <c r="J1047891" s="19"/>
      <c r="K1047891" s="19"/>
      <c r="L1047891" s="19"/>
      <c r="M1047891" s="19"/>
      <c r="N1047891" s="19"/>
    </row>
    <row r="1047892" spans="1:14" s="83" customFormat="1" ht="12.75">
      <c r="A1047892" s="19"/>
      <c r="B1047892" s="19"/>
      <c r="C1047892" s="19"/>
      <c r="D1047892" s="19"/>
      <c r="E1047892" s="19"/>
      <c r="F1047892" s="19"/>
      <c r="G1047892" s="19"/>
      <c r="H1047892" s="19"/>
      <c r="I1047892" s="19"/>
      <c r="J1047892" s="19"/>
      <c r="K1047892" s="19"/>
      <c r="L1047892" s="19"/>
      <c r="M1047892" s="19"/>
      <c r="N1047892" s="19"/>
    </row>
    <row r="1047893" spans="1:14" s="83" customFormat="1" ht="12.75">
      <c r="A1047893" s="19"/>
      <c r="B1047893" s="19"/>
      <c r="C1047893" s="19"/>
      <c r="D1047893" s="19"/>
      <c r="E1047893" s="19"/>
      <c r="F1047893" s="19"/>
      <c r="G1047893" s="19"/>
      <c r="H1047893" s="19"/>
      <c r="I1047893" s="19"/>
      <c r="J1047893" s="19"/>
      <c r="K1047893" s="19"/>
      <c r="L1047893" s="19"/>
      <c r="M1047893" s="19"/>
      <c r="N1047893" s="19"/>
    </row>
    <row r="1047894" spans="1:14" s="83" customFormat="1" ht="12.75">
      <c r="A1047894" s="19"/>
      <c r="B1047894" s="19"/>
      <c r="C1047894" s="19"/>
      <c r="D1047894" s="19"/>
      <c r="E1047894" s="19"/>
      <c r="F1047894" s="19"/>
      <c r="G1047894" s="19"/>
      <c r="H1047894" s="19"/>
      <c r="I1047894" s="19"/>
      <c r="J1047894" s="19"/>
      <c r="K1047894" s="19"/>
      <c r="L1047894" s="19"/>
      <c r="M1047894" s="19"/>
      <c r="N1047894" s="19"/>
    </row>
    <row r="1047895" spans="1:14" s="83" customFormat="1" ht="12.75">
      <c r="A1047895" s="19"/>
      <c r="B1047895" s="19"/>
      <c r="C1047895" s="19"/>
      <c r="D1047895" s="19"/>
      <c r="E1047895" s="19"/>
      <c r="F1047895" s="19"/>
      <c r="G1047895" s="19"/>
      <c r="H1047895" s="19"/>
      <c r="I1047895" s="19"/>
      <c r="J1047895" s="19"/>
      <c r="K1047895" s="19"/>
      <c r="L1047895" s="19"/>
      <c r="M1047895" s="19"/>
      <c r="N1047895" s="19"/>
    </row>
    <row r="1047896" spans="1:14" s="83" customFormat="1" ht="12.75">
      <c r="A1047896" s="19"/>
      <c r="B1047896" s="19"/>
      <c r="C1047896" s="19"/>
      <c r="D1047896" s="19"/>
      <c r="E1047896" s="19"/>
      <c r="F1047896" s="19"/>
      <c r="G1047896" s="19"/>
      <c r="H1047896" s="19"/>
      <c r="I1047896" s="19"/>
      <c r="J1047896" s="19"/>
      <c r="K1047896" s="19"/>
      <c r="L1047896" s="19"/>
      <c r="M1047896" s="19"/>
      <c r="N1047896" s="19"/>
    </row>
    <row r="1047897" spans="1:14" s="83" customFormat="1" ht="12.75">
      <c r="A1047897" s="19"/>
      <c r="B1047897" s="19"/>
      <c r="C1047897" s="19"/>
      <c r="D1047897" s="19"/>
      <c r="E1047897" s="19"/>
      <c r="F1047897" s="19"/>
      <c r="G1047897" s="19"/>
      <c r="H1047897" s="19"/>
      <c r="I1047897" s="19"/>
      <c r="J1047897" s="19"/>
      <c r="K1047897" s="19"/>
      <c r="L1047897" s="19"/>
      <c r="M1047897" s="19"/>
      <c r="N1047897" s="19"/>
    </row>
    <row r="1047898" spans="1:14" s="83" customFormat="1" ht="12.75">
      <c r="A1047898" s="19"/>
      <c r="B1047898" s="19"/>
      <c r="C1047898" s="19"/>
      <c r="D1047898" s="19"/>
      <c r="E1047898" s="19"/>
      <c r="F1047898" s="19"/>
      <c r="G1047898" s="19"/>
      <c r="H1047898" s="19"/>
      <c r="I1047898" s="19"/>
      <c r="J1047898" s="19"/>
      <c r="K1047898" s="19"/>
      <c r="L1047898" s="19"/>
      <c r="M1047898" s="19"/>
      <c r="N1047898" s="19"/>
    </row>
    <row r="1047899" spans="1:14" s="83" customFormat="1" ht="12.75">
      <c r="A1047899" s="19"/>
      <c r="B1047899" s="19"/>
      <c r="C1047899" s="19"/>
      <c r="D1047899" s="19"/>
      <c r="E1047899" s="19"/>
      <c r="F1047899" s="19"/>
      <c r="G1047899" s="19"/>
      <c r="H1047899" s="19"/>
      <c r="I1047899" s="19"/>
      <c r="J1047899" s="19"/>
      <c r="K1047899" s="19"/>
      <c r="L1047899" s="19"/>
      <c r="M1047899" s="19"/>
      <c r="N1047899" s="19"/>
    </row>
    <row r="1047900" spans="1:14" s="83" customFormat="1" ht="12.75">
      <c r="A1047900" s="19"/>
      <c r="B1047900" s="19"/>
      <c r="C1047900" s="19"/>
      <c r="D1047900" s="19"/>
      <c r="E1047900" s="19"/>
      <c r="F1047900" s="19"/>
      <c r="G1047900" s="19"/>
      <c r="H1047900" s="19"/>
      <c r="I1047900" s="19"/>
      <c r="J1047900" s="19"/>
      <c r="K1047900" s="19"/>
      <c r="L1047900" s="19"/>
      <c r="M1047900" s="19"/>
      <c r="N1047900" s="19"/>
    </row>
    <row r="1047901" spans="1:14" s="83" customFormat="1" ht="12.75">
      <c r="A1047901" s="19"/>
      <c r="B1047901" s="19"/>
      <c r="C1047901" s="19"/>
      <c r="D1047901" s="19"/>
      <c r="E1047901" s="19"/>
      <c r="F1047901" s="19"/>
      <c r="G1047901" s="19"/>
      <c r="H1047901" s="19"/>
      <c r="I1047901" s="19"/>
      <c r="J1047901" s="19"/>
      <c r="K1047901" s="19"/>
      <c r="L1047901" s="19"/>
      <c r="M1047901" s="19"/>
      <c r="N1047901" s="19"/>
    </row>
    <row r="1047902" spans="1:14" s="83" customFormat="1" ht="12.75">
      <c r="A1047902" s="19"/>
      <c r="B1047902" s="19"/>
      <c r="C1047902" s="19"/>
      <c r="D1047902" s="19"/>
      <c r="E1047902" s="19"/>
      <c r="F1047902" s="19"/>
      <c r="G1047902" s="19"/>
      <c r="H1047902" s="19"/>
      <c r="I1047902" s="19"/>
      <c r="J1047902" s="19"/>
      <c r="K1047902" s="19"/>
      <c r="L1047902" s="19"/>
      <c r="M1047902" s="19"/>
      <c r="N1047902" s="19"/>
    </row>
    <row r="1047903" spans="1:14" s="83" customFormat="1" ht="12.75">
      <c r="A1047903" s="19"/>
      <c r="B1047903" s="19"/>
      <c r="C1047903" s="19"/>
      <c r="D1047903" s="19"/>
      <c r="E1047903" s="19"/>
      <c r="F1047903" s="19"/>
      <c r="G1047903" s="19"/>
      <c r="H1047903" s="19"/>
      <c r="I1047903" s="19"/>
      <c r="J1047903" s="19"/>
      <c r="K1047903" s="19"/>
      <c r="L1047903" s="19"/>
      <c r="M1047903" s="19"/>
      <c r="N1047903" s="19"/>
    </row>
    <row r="1047904" spans="1:14" s="83" customFormat="1" ht="12.75">
      <c r="A1047904" s="19"/>
      <c r="B1047904" s="19"/>
      <c r="C1047904" s="19"/>
      <c r="D1047904" s="19"/>
      <c r="E1047904" s="19"/>
      <c r="F1047904" s="19"/>
      <c r="G1047904" s="19"/>
      <c r="H1047904" s="19"/>
      <c r="I1047904" s="19"/>
      <c r="J1047904" s="19"/>
      <c r="K1047904" s="19"/>
      <c r="L1047904" s="19"/>
      <c r="M1047904" s="19"/>
      <c r="N1047904" s="19"/>
    </row>
    <row r="1047905" spans="1:14" s="83" customFormat="1" ht="12.75">
      <c r="A1047905" s="19"/>
      <c r="B1047905" s="19"/>
      <c r="C1047905" s="19"/>
      <c r="D1047905" s="19"/>
      <c r="E1047905" s="19"/>
      <c r="F1047905" s="19"/>
      <c r="G1047905" s="19"/>
      <c r="H1047905" s="19"/>
      <c r="I1047905" s="19"/>
      <c r="J1047905" s="19"/>
      <c r="K1047905" s="19"/>
      <c r="L1047905" s="19"/>
      <c r="M1047905" s="19"/>
      <c r="N1047905" s="19"/>
    </row>
    <row r="1047906" spans="1:14" s="83" customFormat="1" ht="12.75">
      <c r="A1047906" s="19"/>
      <c r="B1047906" s="19"/>
      <c r="C1047906" s="19"/>
      <c r="D1047906" s="19"/>
      <c r="E1047906" s="19"/>
      <c r="F1047906" s="19"/>
      <c r="G1047906" s="19"/>
      <c r="H1047906" s="19"/>
      <c r="I1047906" s="19"/>
      <c r="J1047906" s="19"/>
      <c r="K1047906" s="19"/>
      <c r="L1047906" s="19"/>
      <c r="M1047906" s="19"/>
      <c r="N1047906" s="19"/>
    </row>
    <row r="1047907" spans="1:14" s="83" customFormat="1" ht="12.75">
      <c r="A1047907" s="19"/>
      <c r="B1047907" s="19"/>
      <c r="C1047907" s="19"/>
      <c r="D1047907" s="19"/>
      <c r="E1047907" s="19"/>
      <c r="F1047907" s="19"/>
      <c r="G1047907" s="19"/>
      <c r="H1047907" s="19"/>
      <c r="I1047907" s="19"/>
      <c r="J1047907" s="19"/>
      <c r="K1047907" s="19"/>
      <c r="L1047907" s="19"/>
      <c r="M1047907" s="19"/>
      <c r="N1047907" s="19"/>
    </row>
    <row r="1047908" spans="1:14" s="83" customFormat="1" ht="12.75">
      <c r="A1047908" s="19"/>
      <c r="B1047908" s="19"/>
      <c r="C1047908" s="19"/>
      <c r="D1047908" s="19"/>
      <c r="E1047908" s="19"/>
      <c r="F1047908" s="19"/>
      <c r="G1047908" s="19"/>
      <c r="H1047908" s="19"/>
      <c r="I1047908" s="19"/>
      <c r="J1047908" s="19"/>
      <c r="K1047908" s="19"/>
      <c r="L1047908" s="19"/>
      <c r="M1047908" s="19"/>
      <c r="N1047908" s="19"/>
    </row>
    <row r="1047909" spans="1:14" s="83" customFormat="1" ht="12.75">
      <c r="A1047909" s="19"/>
      <c r="B1047909" s="19"/>
      <c r="C1047909" s="19"/>
      <c r="D1047909" s="19"/>
      <c r="E1047909" s="19"/>
      <c r="F1047909" s="19"/>
      <c r="G1047909" s="19"/>
      <c r="H1047909" s="19"/>
      <c r="I1047909" s="19"/>
      <c r="J1047909" s="19"/>
      <c r="K1047909" s="19"/>
      <c r="L1047909" s="19"/>
      <c r="M1047909" s="19"/>
      <c r="N1047909" s="19"/>
    </row>
    <row r="1047910" spans="1:14" s="83" customFormat="1" ht="12.75">
      <c r="A1047910" s="19"/>
      <c r="B1047910" s="19"/>
      <c r="C1047910" s="19"/>
      <c r="D1047910" s="19"/>
      <c r="E1047910" s="19"/>
      <c r="F1047910" s="19"/>
      <c r="G1047910" s="19"/>
      <c r="H1047910" s="19"/>
      <c r="I1047910" s="19"/>
      <c r="J1047910" s="19"/>
      <c r="K1047910" s="19"/>
      <c r="L1047910" s="19"/>
      <c r="M1047910" s="19"/>
      <c r="N1047910" s="19"/>
    </row>
    <row r="1047911" spans="1:14" s="83" customFormat="1" ht="12.75">
      <c r="A1047911" s="19"/>
      <c r="B1047911" s="19"/>
      <c r="C1047911" s="19"/>
      <c r="D1047911" s="19"/>
      <c r="E1047911" s="19"/>
      <c r="F1047911" s="19"/>
      <c r="G1047911" s="19"/>
      <c r="H1047911" s="19"/>
      <c r="I1047911" s="19"/>
      <c r="J1047911" s="19"/>
      <c r="K1047911" s="19"/>
      <c r="L1047911" s="19"/>
      <c r="M1047911" s="19"/>
      <c r="N1047911" s="19"/>
    </row>
    <row r="1047912" spans="1:14" s="83" customFormat="1" ht="12.75">
      <c r="A1047912" s="19"/>
      <c r="B1047912" s="19"/>
      <c r="C1047912" s="19"/>
      <c r="D1047912" s="19"/>
      <c r="E1047912" s="19"/>
      <c r="F1047912" s="19"/>
      <c r="G1047912" s="19"/>
      <c r="H1047912" s="19"/>
      <c r="I1047912" s="19"/>
      <c r="J1047912" s="19"/>
      <c r="K1047912" s="19"/>
      <c r="L1047912" s="19"/>
      <c r="M1047912" s="19"/>
      <c r="N1047912" s="19"/>
    </row>
    <row r="1047913" spans="1:14" s="83" customFormat="1" ht="12.75">
      <c r="A1047913" s="19"/>
      <c r="B1047913" s="19"/>
      <c r="C1047913" s="19"/>
      <c r="D1047913" s="19"/>
      <c r="E1047913" s="19"/>
      <c r="F1047913" s="19"/>
      <c r="G1047913" s="19"/>
      <c r="H1047913" s="19"/>
      <c r="I1047913" s="19"/>
      <c r="J1047913" s="19"/>
      <c r="K1047913" s="19"/>
      <c r="L1047913" s="19"/>
      <c r="M1047913" s="19"/>
      <c r="N1047913" s="19"/>
    </row>
    <row r="1047914" spans="1:14" s="83" customFormat="1" ht="12.75">
      <c r="A1047914" s="19"/>
      <c r="B1047914" s="19"/>
      <c r="C1047914" s="19"/>
      <c r="D1047914" s="19"/>
      <c r="E1047914" s="19"/>
      <c r="F1047914" s="19"/>
      <c r="G1047914" s="19"/>
      <c r="H1047914" s="19"/>
      <c r="I1047914" s="19"/>
      <c r="J1047914" s="19"/>
      <c r="K1047914" s="19"/>
      <c r="L1047914" s="19"/>
      <c r="M1047914" s="19"/>
      <c r="N1047914" s="19"/>
    </row>
    <row r="1047915" spans="1:14" s="83" customFormat="1" ht="12.75">
      <c r="A1047915" s="19"/>
      <c r="B1047915" s="19"/>
      <c r="C1047915" s="19"/>
      <c r="D1047915" s="19"/>
      <c r="E1047915" s="19"/>
      <c r="F1047915" s="19"/>
      <c r="G1047915" s="19"/>
      <c r="H1047915" s="19"/>
      <c r="I1047915" s="19"/>
      <c r="J1047915" s="19"/>
      <c r="K1047915" s="19"/>
      <c r="L1047915" s="19"/>
      <c r="M1047915" s="19"/>
      <c r="N1047915" s="19"/>
    </row>
    <row r="1047916" spans="1:14" s="83" customFormat="1" ht="12.75">
      <c r="A1047916" s="19"/>
      <c r="B1047916" s="19"/>
      <c r="C1047916" s="19"/>
      <c r="D1047916" s="19"/>
      <c r="E1047916" s="19"/>
      <c r="F1047916" s="19"/>
      <c r="G1047916" s="19"/>
      <c r="H1047916" s="19"/>
      <c r="I1047916" s="19"/>
      <c r="J1047916" s="19"/>
      <c r="K1047916" s="19"/>
      <c r="L1047916" s="19"/>
      <c r="M1047916" s="19"/>
      <c r="N1047916" s="19"/>
    </row>
    <row r="1047917" spans="1:14" s="83" customFormat="1" ht="12.75">
      <c r="A1047917" s="19"/>
      <c r="B1047917" s="19"/>
      <c r="C1047917" s="19"/>
      <c r="D1047917" s="19"/>
      <c r="E1047917" s="19"/>
      <c r="F1047917" s="19"/>
      <c r="G1047917" s="19"/>
      <c r="H1047917" s="19"/>
      <c r="I1047917" s="19"/>
      <c r="J1047917" s="19"/>
      <c r="K1047917" s="19"/>
      <c r="L1047917" s="19"/>
      <c r="M1047917" s="19"/>
      <c r="N1047917" s="19"/>
    </row>
    <row r="1047918" spans="1:14" s="83" customFormat="1" ht="12.75">
      <c r="A1047918" s="19"/>
      <c r="B1047918" s="19"/>
      <c r="C1047918" s="19"/>
      <c r="D1047918" s="19"/>
      <c r="E1047918" s="19"/>
      <c r="F1047918" s="19"/>
      <c r="G1047918" s="19"/>
      <c r="H1047918" s="19"/>
      <c r="I1047918" s="19"/>
      <c r="J1047918" s="19"/>
      <c r="K1047918" s="19"/>
      <c r="L1047918" s="19"/>
      <c r="M1047918" s="19"/>
      <c r="N1047918" s="19"/>
    </row>
    <row r="1047919" spans="1:14" s="83" customFormat="1" ht="12.75">
      <c r="A1047919" s="19"/>
      <c r="B1047919" s="19"/>
      <c r="C1047919" s="19"/>
      <c r="D1047919" s="19"/>
      <c r="E1047919" s="19"/>
      <c r="F1047919" s="19"/>
      <c r="G1047919" s="19"/>
      <c r="H1047919" s="19"/>
      <c r="I1047919" s="19"/>
      <c r="J1047919" s="19"/>
      <c r="K1047919" s="19"/>
      <c r="L1047919" s="19"/>
      <c r="M1047919" s="19"/>
      <c r="N1047919" s="19"/>
    </row>
    <row r="1047920" spans="1:14" s="83" customFormat="1" ht="12.75">
      <c r="A1047920" s="19"/>
      <c r="B1047920" s="19"/>
      <c r="C1047920" s="19"/>
      <c r="D1047920" s="19"/>
      <c r="E1047920" s="19"/>
      <c r="F1047920" s="19"/>
      <c r="G1047920" s="19"/>
      <c r="H1047920" s="19"/>
      <c r="I1047920" s="19"/>
      <c r="J1047920" s="19"/>
      <c r="K1047920" s="19"/>
      <c r="L1047920" s="19"/>
      <c r="M1047920" s="19"/>
      <c r="N1047920" s="19"/>
    </row>
    <row r="1047921" spans="1:14" s="83" customFormat="1" ht="12.75">
      <c r="A1047921" s="19"/>
      <c r="B1047921" s="19"/>
      <c r="C1047921" s="19"/>
      <c r="D1047921" s="19"/>
      <c r="E1047921" s="19"/>
      <c r="F1047921" s="19"/>
      <c r="G1047921" s="19"/>
      <c r="H1047921" s="19"/>
      <c r="I1047921" s="19"/>
      <c r="J1047921" s="19"/>
      <c r="K1047921" s="19"/>
      <c r="L1047921" s="19"/>
      <c r="M1047921" s="19"/>
      <c r="N1047921" s="19"/>
    </row>
    <row r="1047922" spans="1:14" s="83" customFormat="1" ht="12.75">
      <c r="A1047922" s="19"/>
      <c r="B1047922" s="19"/>
      <c r="C1047922" s="19"/>
      <c r="D1047922" s="19"/>
      <c r="E1047922" s="19"/>
      <c r="F1047922" s="19"/>
      <c r="G1047922" s="19"/>
      <c r="H1047922" s="19"/>
      <c r="I1047922" s="19"/>
      <c r="J1047922" s="19"/>
      <c r="K1047922" s="19"/>
      <c r="L1047922" s="19"/>
      <c r="M1047922" s="19"/>
      <c r="N1047922" s="19"/>
    </row>
    <row r="1047923" spans="1:14" s="83" customFormat="1" ht="12.75">
      <c r="A1047923" s="19"/>
      <c r="B1047923" s="19"/>
      <c r="C1047923" s="19"/>
      <c r="D1047923" s="19"/>
      <c r="E1047923" s="19"/>
      <c r="F1047923" s="19"/>
      <c r="G1047923" s="19"/>
      <c r="H1047923" s="19"/>
      <c r="I1047923" s="19"/>
      <c r="J1047923" s="19"/>
      <c r="K1047923" s="19"/>
      <c r="L1047923" s="19"/>
      <c r="M1047923" s="19"/>
      <c r="N1047923" s="19"/>
    </row>
    <row r="1047924" spans="1:14" s="83" customFormat="1" ht="12.75">
      <c r="A1047924" s="19"/>
      <c r="B1047924" s="19"/>
      <c r="C1047924" s="19"/>
      <c r="D1047924" s="19"/>
      <c r="E1047924" s="19"/>
      <c r="F1047924" s="19"/>
      <c r="G1047924" s="19"/>
      <c r="H1047924" s="19"/>
      <c r="I1047924" s="19"/>
      <c r="J1047924" s="19"/>
      <c r="K1047924" s="19"/>
      <c r="L1047924" s="19"/>
      <c r="M1047924" s="19"/>
      <c r="N1047924" s="19"/>
    </row>
    <row r="1047925" spans="1:14" s="83" customFormat="1" ht="12.75">
      <c r="A1047925" s="19"/>
      <c r="B1047925" s="19"/>
      <c r="C1047925" s="19"/>
      <c r="D1047925" s="19"/>
      <c r="E1047925" s="19"/>
      <c r="F1047925" s="19"/>
      <c r="G1047925" s="19"/>
      <c r="H1047925" s="19"/>
      <c r="I1047925" s="19"/>
      <c r="J1047925" s="19"/>
      <c r="K1047925" s="19"/>
      <c r="L1047925" s="19"/>
      <c r="M1047925" s="19"/>
      <c r="N1047925" s="19"/>
    </row>
    <row r="1047926" spans="1:14" s="83" customFormat="1" ht="12.75">
      <c r="A1047926" s="19"/>
      <c r="B1047926" s="19"/>
      <c r="C1047926" s="19"/>
      <c r="D1047926" s="19"/>
      <c r="E1047926" s="19"/>
      <c r="F1047926" s="19"/>
      <c r="G1047926" s="19"/>
      <c r="H1047926" s="19"/>
      <c r="I1047926" s="19"/>
      <c r="J1047926" s="19"/>
      <c r="K1047926" s="19"/>
      <c r="L1047926" s="19"/>
      <c r="M1047926" s="19"/>
      <c r="N1047926" s="19"/>
    </row>
    <row r="1047927" spans="1:14" s="83" customFormat="1" ht="12.75">
      <c r="A1047927" s="19"/>
      <c r="B1047927" s="19"/>
      <c r="C1047927" s="19"/>
      <c r="D1047927" s="19"/>
      <c r="E1047927" s="19"/>
      <c r="F1047927" s="19"/>
      <c r="G1047927" s="19"/>
      <c r="H1047927" s="19"/>
      <c r="I1047927" s="19"/>
      <c r="J1047927" s="19"/>
      <c r="K1047927" s="19"/>
      <c r="L1047927" s="19"/>
      <c r="M1047927" s="19"/>
      <c r="N1047927" s="19"/>
    </row>
    <row r="1047928" spans="1:14" s="83" customFormat="1" ht="12.75">
      <c r="A1047928" s="19"/>
      <c r="B1047928" s="19"/>
      <c r="C1047928" s="19"/>
      <c r="D1047928" s="19"/>
      <c r="E1047928" s="19"/>
      <c r="F1047928" s="19"/>
      <c r="G1047928" s="19"/>
      <c r="H1047928" s="19"/>
      <c r="I1047928" s="19"/>
      <c r="J1047928" s="19"/>
      <c r="K1047928" s="19"/>
      <c r="L1047928" s="19"/>
      <c r="M1047928" s="19"/>
      <c r="N1047928" s="19"/>
    </row>
    <row r="1047929" spans="1:14" s="83" customFormat="1" ht="12.75">
      <c r="A1047929" s="19"/>
      <c r="B1047929" s="19"/>
      <c r="C1047929" s="19"/>
      <c r="D1047929" s="19"/>
      <c r="E1047929" s="19"/>
      <c r="F1047929" s="19"/>
      <c r="G1047929" s="19"/>
      <c r="H1047929" s="19"/>
      <c r="I1047929" s="19"/>
      <c r="J1047929" s="19"/>
      <c r="K1047929" s="19"/>
      <c r="L1047929" s="19"/>
      <c r="M1047929" s="19"/>
      <c r="N1047929" s="19"/>
    </row>
    <row r="1047930" spans="1:14" s="83" customFormat="1" ht="12.75">
      <c r="A1047930" s="19"/>
      <c r="B1047930" s="19"/>
      <c r="C1047930" s="19"/>
      <c r="D1047930" s="19"/>
      <c r="E1047930" s="19"/>
      <c r="F1047930" s="19"/>
      <c r="G1047930" s="19"/>
      <c r="H1047930" s="19"/>
      <c r="I1047930" s="19"/>
      <c r="J1047930" s="19"/>
      <c r="K1047930" s="19"/>
      <c r="L1047930" s="19"/>
      <c r="M1047930" s="19"/>
      <c r="N1047930" s="19"/>
    </row>
    <row r="1047931" spans="1:14" s="83" customFormat="1" ht="12.75">
      <c r="A1047931" s="19"/>
      <c r="B1047931" s="19"/>
      <c r="C1047931" s="19"/>
      <c r="D1047931" s="19"/>
      <c r="E1047931" s="19"/>
      <c r="F1047931" s="19"/>
      <c r="G1047931" s="19"/>
      <c r="H1047931" s="19"/>
      <c r="I1047931" s="19"/>
      <c r="J1047931" s="19"/>
      <c r="K1047931" s="19"/>
      <c r="L1047931" s="19"/>
      <c r="M1047931" s="19"/>
      <c r="N1047931" s="19"/>
    </row>
    <row r="1047932" spans="1:14" s="83" customFormat="1" ht="12.75">
      <c r="A1047932" s="19"/>
      <c r="B1047932" s="19"/>
      <c r="C1047932" s="19"/>
      <c r="D1047932" s="19"/>
      <c r="E1047932" s="19"/>
      <c r="F1047932" s="19"/>
      <c r="G1047932" s="19"/>
      <c r="H1047932" s="19"/>
      <c r="I1047932" s="19"/>
      <c r="J1047932" s="19"/>
      <c r="K1047932" s="19"/>
      <c r="L1047932" s="19"/>
      <c r="M1047932" s="19"/>
      <c r="N1047932" s="19"/>
    </row>
    <row r="1047933" spans="1:14" s="83" customFormat="1" ht="12.75">
      <c r="A1047933" s="19"/>
      <c r="B1047933" s="19"/>
      <c r="C1047933" s="19"/>
      <c r="D1047933" s="19"/>
      <c r="E1047933" s="19"/>
      <c r="F1047933" s="19"/>
      <c r="G1047933" s="19"/>
      <c r="H1047933" s="19"/>
      <c r="I1047933" s="19"/>
      <c r="J1047933" s="19"/>
      <c r="K1047933" s="19"/>
      <c r="L1047933" s="19"/>
      <c r="M1047933" s="19"/>
      <c r="N1047933" s="19"/>
    </row>
    <row r="1047934" spans="1:14" s="83" customFormat="1" ht="12.75">
      <c r="A1047934" s="19"/>
      <c r="B1047934" s="19"/>
      <c r="C1047934" s="19"/>
      <c r="D1047934" s="19"/>
      <c r="E1047934" s="19"/>
      <c r="F1047934" s="19"/>
      <c r="G1047934" s="19"/>
      <c r="H1047934" s="19"/>
      <c r="I1047934" s="19"/>
      <c r="J1047934" s="19"/>
      <c r="K1047934" s="19"/>
      <c r="L1047934" s="19"/>
      <c r="M1047934" s="19"/>
      <c r="N1047934" s="19"/>
    </row>
    <row r="1047935" spans="1:14" s="83" customFormat="1" ht="12.75">
      <c r="A1047935" s="19"/>
      <c r="B1047935" s="19"/>
      <c r="C1047935" s="19"/>
      <c r="D1047935" s="19"/>
      <c r="E1047935" s="19"/>
      <c r="F1047935" s="19"/>
      <c r="G1047935" s="19"/>
      <c r="H1047935" s="19"/>
      <c r="I1047935" s="19"/>
      <c r="J1047935" s="19"/>
      <c r="K1047935" s="19"/>
      <c r="L1047935" s="19"/>
      <c r="M1047935" s="19"/>
      <c r="N1047935" s="19"/>
    </row>
    <row r="1047936" spans="1:14" s="83" customFormat="1" ht="12.75">
      <c r="A1047936" s="19"/>
      <c r="B1047936" s="19"/>
      <c r="C1047936" s="19"/>
      <c r="D1047936" s="19"/>
      <c r="E1047936" s="19"/>
      <c r="F1047936" s="19"/>
      <c r="G1047936" s="19"/>
      <c r="H1047936" s="19"/>
      <c r="I1047936" s="19"/>
      <c r="J1047936" s="19"/>
      <c r="K1047936" s="19"/>
      <c r="L1047936" s="19"/>
      <c r="M1047936" s="19"/>
      <c r="N1047936" s="19"/>
    </row>
    <row r="1047937" spans="1:14" s="83" customFormat="1" ht="12.75">
      <c r="A1047937" s="19"/>
      <c r="B1047937" s="19"/>
      <c r="C1047937" s="19"/>
      <c r="D1047937" s="19"/>
      <c r="E1047937" s="19"/>
      <c r="F1047937" s="19"/>
      <c r="G1047937" s="19"/>
      <c r="H1047937" s="19"/>
      <c r="I1047937" s="19"/>
      <c r="J1047937" s="19"/>
      <c r="K1047937" s="19"/>
      <c r="L1047937" s="19"/>
      <c r="M1047937" s="19"/>
      <c r="N1047937" s="19"/>
    </row>
    <row r="1047938" spans="1:14" s="83" customFormat="1" ht="12.75">
      <c r="A1047938" s="19"/>
      <c r="B1047938" s="19"/>
      <c r="C1047938" s="19"/>
      <c r="D1047938" s="19"/>
      <c r="E1047938" s="19"/>
      <c r="F1047938" s="19"/>
      <c r="G1047938" s="19"/>
      <c r="H1047938" s="19"/>
      <c r="I1047938" s="19"/>
      <c r="J1047938" s="19"/>
      <c r="K1047938" s="19"/>
      <c r="L1047938" s="19"/>
      <c r="M1047938" s="19"/>
      <c r="N1047938" s="19"/>
    </row>
    <row r="1047939" spans="1:14" s="83" customFormat="1" ht="12.75">
      <c r="A1047939" s="19"/>
      <c r="B1047939" s="19"/>
      <c r="C1047939" s="19"/>
      <c r="D1047939" s="19"/>
      <c r="E1047939" s="19"/>
      <c r="F1047939" s="19"/>
      <c r="G1047939" s="19"/>
      <c r="H1047939" s="19"/>
      <c r="I1047939" s="19"/>
      <c r="J1047939" s="19"/>
      <c r="K1047939" s="19"/>
      <c r="L1047939" s="19"/>
      <c r="M1047939" s="19"/>
      <c r="N1047939" s="19"/>
    </row>
    <row r="1047940" spans="1:14" s="83" customFormat="1" ht="12.75">
      <c r="A1047940" s="19"/>
      <c r="B1047940" s="19"/>
      <c r="C1047940" s="19"/>
      <c r="D1047940" s="19"/>
      <c r="E1047940" s="19"/>
      <c r="F1047940" s="19"/>
      <c r="G1047940" s="19"/>
      <c r="H1047940" s="19"/>
      <c r="I1047940" s="19"/>
      <c r="J1047940" s="19"/>
      <c r="K1047940" s="19"/>
      <c r="L1047940" s="19"/>
      <c r="M1047940" s="19"/>
      <c r="N1047940" s="19"/>
    </row>
    <row r="1047941" spans="1:14" s="83" customFormat="1" ht="12.75">
      <c r="A1047941" s="19"/>
      <c r="B1047941" s="19"/>
      <c r="C1047941" s="19"/>
      <c r="D1047941" s="19"/>
      <c r="E1047941" s="19"/>
      <c r="F1047941" s="19"/>
      <c r="G1047941" s="19"/>
      <c r="H1047941" s="19"/>
      <c r="I1047941" s="19"/>
      <c r="J1047941" s="19"/>
      <c r="K1047941" s="19"/>
      <c r="L1047941" s="19"/>
      <c r="M1047941" s="19"/>
      <c r="N1047941" s="19"/>
    </row>
    <row r="1047942" spans="1:14" s="83" customFormat="1" ht="12.75">
      <c r="A1047942" s="19"/>
      <c r="B1047942" s="19"/>
      <c r="C1047942" s="19"/>
      <c r="D1047942" s="19"/>
      <c r="E1047942" s="19"/>
      <c r="F1047942" s="19"/>
      <c r="G1047942" s="19"/>
      <c r="H1047942" s="19"/>
      <c r="I1047942" s="19"/>
      <c r="J1047942" s="19"/>
      <c r="K1047942" s="19"/>
      <c r="L1047942" s="19"/>
      <c r="M1047942" s="19"/>
      <c r="N1047942" s="19"/>
    </row>
    <row r="1047943" spans="1:14" s="83" customFormat="1" ht="12.75">
      <c r="A1047943" s="19"/>
      <c r="B1047943" s="19"/>
      <c r="C1047943" s="19"/>
      <c r="D1047943" s="19"/>
      <c r="E1047943" s="19"/>
      <c r="F1047943" s="19"/>
      <c r="G1047943" s="19"/>
      <c r="H1047943" s="19"/>
      <c r="I1047943" s="19"/>
      <c r="J1047943" s="19"/>
      <c r="K1047943" s="19"/>
      <c r="L1047943" s="19"/>
      <c r="M1047943" s="19"/>
      <c r="N1047943" s="19"/>
    </row>
    <row r="1047944" spans="1:14" s="83" customFormat="1" ht="12.75">
      <c r="A1047944" s="19"/>
      <c r="B1047944" s="19"/>
      <c r="C1047944" s="19"/>
      <c r="D1047944" s="19"/>
      <c r="E1047944" s="19"/>
      <c r="F1047944" s="19"/>
      <c r="G1047944" s="19"/>
      <c r="H1047944" s="19"/>
      <c r="I1047944" s="19"/>
      <c r="J1047944" s="19"/>
      <c r="K1047944" s="19"/>
      <c r="L1047944" s="19"/>
      <c r="M1047944" s="19"/>
      <c r="N1047944" s="19"/>
    </row>
    <row r="1047945" spans="1:14" s="83" customFormat="1" ht="12.75">
      <c r="A1047945" s="19"/>
      <c r="B1047945" s="19"/>
      <c r="C1047945" s="19"/>
      <c r="D1047945" s="19"/>
      <c r="E1047945" s="19"/>
      <c r="F1047945" s="19"/>
      <c r="G1047945" s="19"/>
      <c r="H1047945" s="19"/>
      <c r="I1047945" s="19"/>
      <c r="J1047945" s="19"/>
      <c r="K1047945" s="19"/>
      <c r="L1047945" s="19"/>
      <c r="M1047945" s="19"/>
      <c r="N1047945" s="19"/>
    </row>
    <row r="1047946" spans="1:14" s="83" customFormat="1" ht="12.75">
      <c r="A1047946" s="19"/>
      <c r="B1047946" s="19"/>
      <c r="C1047946" s="19"/>
      <c r="D1047946" s="19"/>
      <c r="E1047946" s="19"/>
      <c r="F1047946" s="19"/>
      <c r="G1047946" s="19"/>
      <c r="H1047946" s="19"/>
      <c r="I1047946" s="19"/>
      <c r="J1047946" s="19"/>
      <c r="K1047946" s="19"/>
      <c r="L1047946" s="19"/>
      <c r="M1047946" s="19"/>
      <c r="N1047946" s="19"/>
    </row>
    <row r="1047947" spans="1:14" s="83" customFormat="1" ht="12.75">
      <c r="A1047947" s="19"/>
      <c r="B1047947" s="19"/>
      <c r="C1047947" s="19"/>
      <c r="D1047947" s="19"/>
      <c r="E1047947" s="19"/>
      <c r="F1047947" s="19"/>
      <c r="G1047947" s="19"/>
      <c r="H1047947" s="19"/>
      <c r="I1047947" s="19"/>
      <c r="J1047947" s="19"/>
      <c r="K1047947" s="19"/>
      <c r="L1047947" s="19"/>
      <c r="M1047947" s="19"/>
      <c r="N1047947" s="19"/>
    </row>
    <row r="1047948" spans="1:14" s="83" customFormat="1" ht="12.75">
      <c r="A1047948" s="19"/>
      <c r="B1047948" s="19"/>
      <c r="C1047948" s="19"/>
      <c r="D1047948" s="19"/>
      <c r="E1047948" s="19"/>
      <c r="F1047948" s="19"/>
      <c r="G1047948" s="19"/>
      <c r="H1047948" s="19"/>
      <c r="I1047948" s="19"/>
      <c r="J1047948" s="19"/>
      <c r="K1047948" s="19"/>
      <c r="L1047948" s="19"/>
      <c r="M1047948" s="19"/>
      <c r="N1047948" s="19"/>
    </row>
    <row r="1047949" spans="1:14" s="83" customFormat="1" ht="12.75">
      <c r="A1047949" s="19"/>
      <c r="B1047949" s="19"/>
      <c r="C1047949" s="19"/>
      <c r="D1047949" s="19"/>
      <c r="E1047949" s="19"/>
      <c r="F1047949" s="19"/>
      <c r="G1047949" s="19"/>
      <c r="H1047949" s="19"/>
      <c r="I1047949" s="19"/>
      <c r="J1047949" s="19"/>
      <c r="K1047949" s="19"/>
      <c r="L1047949" s="19"/>
      <c r="M1047949" s="19"/>
      <c r="N1047949" s="19"/>
    </row>
    <row r="1047950" spans="1:14" s="83" customFormat="1" ht="12.75">
      <c r="A1047950" s="19"/>
      <c r="B1047950" s="19"/>
      <c r="C1047950" s="19"/>
      <c r="D1047950" s="19"/>
      <c r="E1047950" s="19"/>
      <c r="F1047950" s="19"/>
      <c r="G1047950" s="19"/>
      <c r="H1047950" s="19"/>
      <c r="I1047950" s="19"/>
      <c r="J1047950" s="19"/>
      <c r="K1047950" s="19"/>
      <c r="L1047950" s="19"/>
      <c r="M1047950" s="19"/>
      <c r="N1047950" s="19"/>
    </row>
    <row r="1047951" spans="1:14" s="83" customFormat="1" ht="12.75">
      <c r="A1047951" s="19"/>
      <c r="B1047951" s="19"/>
      <c r="C1047951" s="19"/>
      <c r="D1047951" s="19"/>
      <c r="E1047951" s="19"/>
      <c r="F1047951" s="19"/>
      <c r="G1047951" s="19"/>
      <c r="H1047951" s="19"/>
      <c r="I1047951" s="19"/>
      <c r="J1047951" s="19"/>
      <c r="K1047951" s="19"/>
      <c r="L1047951" s="19"/>
      <c r="M1047951" s="19"/>
      <c r="N1047951" s="19"/>
    </row>
    <row r="1047952" spans="1:14" s="83" customFormat="1" ht="12.75">
      <c r="A1047952" s="19"/>
      <c r="B1047952" s="19"/>
      <c r="C1047952" s="19"/>
      <c r="D1047952" s="19"/>
      <c r="E1047952" s="19"/>
      <c r="F1047952" s="19"/>
      <c r="G1047952" s="19"/>
      <c r="H1047952" s="19"/>
      <c r="I1047952" s="19"/>
      <c r="J1047952" s="19"/>
      <c r="K1047952" s="19"/>
      <c r="L1047952" s="19"/>
      <c r="M1047952" s="19"/>
      <c r="N1047952" s="19"/>
    </row>
    <row r="1047953" spans="1:14" s="83" customFormat="1" ht="12.75">
      <c r="A1047953" s="19"/>
      <c r="B1047953" s="19"/>
      <c r="C1047953" s="19"/>
      <c r="D1047953" s="19"/>
      <c r="E1047953" s="19"/>
      <c r="F1047953" s="19"/>
      <c r="G1047953" s="19"/>
      <c r="H1047953" s="19"/>
      <c r="I1047953" s="19"/>
      <c r="J1047953" s="19"/>
      <c r="K1047953" s="19"/>
      <c r="L1047953" s="19"/>
      <c r="M1047953" s="19"/>
      <c r="N1047953" s="19"/>
    </row>
    <row r="1047954" spans="1:14" s="83" customFormat="1" ht="12.75">
      <c r="A1047954" s="19"/>
      <c r="B1047954" s="19"/>
      <c r="C1047954" s="19"/>
      <c r="D1047954" s="19"/>
      <c r="E1047954" s="19"/>
      <c r="F1047954" s="19"/>
      <c r="G1047954" s="19"/>
      <c r="H1047954" s="19"/>
      <c r="I1047954" s="19"/>
      <c r="J1047954" s="19"/>
      <c r="K1047954" s="19"/>
      <c r="L1047954" s="19"/>
      <c r="M1047954" s="19"/>
      <c r="N1047954" s="19"/>
    </row>
    <row r="1047955" spans="1:14" s="83" customFormat="1" ht="12.75">
      <c r="A1047955" s="19"/>
      <c r="B1047955" s="19"/>
      <c r="C1047955" s="19"/>
      <c r="D1047955" s="19"/>
      <c r="E1047955" s="19"/>
      <c r="F1047955" s="19"/>
      <c r="G1047955" s="19"/>
      <c r="H1047955" s="19"/>
      <c r="I1047955" s="19"/>
      <c r="J1047955" s="19"/>
      <c r="K1047955" s="19"/>
      <c r="L1047955" s="19"/>
      <c r="M1047955" s="19"/>
      <c r="N1047955" s="19"/>
    </row>
    <row r="1047956" spans="1:14" s="83" customFormat="1" ht="12.75">
      <c r="A1047956" s="19"/>
      <c r="B1047956" s="19"/>
      <c r="C1047956" s="19"/>
      <c r="D1047956" s="19"/>
      <c r="E1047956" s="19"/>
      <c r="F1047956" s="19"/>
      <c r="G1047956" s="19"/>
      <c r="H1047956" s="19"/>
      <c r="I1047956" s="19"/>
      <c r="J1047956" s="19"/>
      <c r="K1047956" s="19"/>
      <c r="L1047956" s="19"/>
      <c r="M1047956" s="19"/>
      <c r="N1047956" s="19"/>
    </row>
    <row r="1047957" spans="1:14" s="83" customFormat="1" ht="12.75">
      <c r="A1047957" s="19"/>
      <c r="B1047957" s="19"/>
      <c r="C1047957" s="19"/>
      <c r="D1047957" s="19"/>
      <c r="E1047957" s="19"/>
      <c r="F1047957" s="19"/>
      <c r="G1047957" s="19"/>
      <c r="H1047957" s="19"/>
      <c r="I1047957" s="19"/>
      <c r="J1047957" s="19"/>
      <c r="K1047957" s="19"/>
      <c r="L1047957" s="19"/>
      <c r="M1047957" s="19"/>
      <c r="N1047957" s="19"/>
    </row>
    <row r="1047958" spans="1:14" s="83" customFormat="1" ht="12.75">
      <c r="A1047958" s="19"/>
      <c r="B1047958" s="19"/>
      <c r="C1047958" s="19"/>
      <c r="D1047958" s="19"/>
      <c r="E1047958" s="19"/>
      <c r="F1047958" s="19"/>
      <c r="G1047958" s="19"/>
      <c r="H1047958" s="19"/>
      <c r="I1047958" s="19"/>
      <c r="J1047958" s="19"/>
      <c r="K1047958" s="19"/>
      <c r="L1047958" s="19"/>
      <c r="M1047958" s="19"/>
      <c r="N1047958" s="19"/>
    </row>
    <row r="1047959" spans="1:14" s="83" customFormat="1" ht="12.75">
      <c r="A1047959" s="19"/>
      <c r="B1047959" s="19"/>
      <c r="C1047959" s="19"/>
      <c r="D1047959" s="19"/>
      <c r="E1047959" s="19"/>
      <c r="F1047959" s="19"/>
      <c r="G1047959" s="19"/>
      <c r="H1047959" s="19"/>
      <c r="I1047959" s="19"/>
      <c r="J1047959" s="19"/>
      <c r="K1047959" s="19"/>
      <c r="L1047959" s="19"/>
      <c r="M1047959" s="19"/>
      <c r="N1047959" s="19"/>
    </row>
    <row r="1047960" spans="1:14" s="83" customFormat="1" ht="12.75">
      <c r="A1047960" s="19"/>
      <c r="B1047960" s="19"/>
      <c r="C1047960" s="19"/>
      <c r="D1047960" s="19"/>
      <c r="E1047960" s="19"/>
      <c r="F1047960" s="19"/>
      <c r="G1047960" s="19"/>
      <c r="H1047960" s="19"/>
      <c r="I1047960" s="19"/>
      <c r="J1047960" s="19"/>
      <c r="K1047960" s="19"/>
      <c r="L1047960" s="19"/>
      <c r="M1047960" s="19"/>
      <c r="N1047960" s="19"/>
    </row>
    <row r="1047961" spans="1:14" s="83" customFormat="1" ht="12.75">
      <c r="A1047961" s="19"/>
      <c r="B1047961" s="19"/>
      <c r="C1047961" s="19"/>
      <c r="D1047961" s="19"/>
      <c r="E1047961" s="19"/>
      <c r="F1047961" s="19"/>
      <c r="G1047961" s="19"/>
      <c r="H1047961" s="19"/>
      <c r="I1047961" s="19"/>
      <c r="J1047961" s="19"/>
      <c r="K1047961" s="19"/>
      <c r="L1047961" s="19"/>
      <c r="M1047961" s="19"/>
      <c r="N1047961" s="19"/>
    </row>
    <row r="1047962" spans="1:14" s="83" customFormat="1" ht="12.75">
      <c r="A1047962" s="19"/>
      <c r="B1047962" s="19"/>
      <c r="C1047962" s="19"/>
      <c r="D1047962" s="19"/>
      <c r="E1047962" s="19"/>
      <c r="F1047962" s="19"/>
      <c r="G1047962" s="19"/>
      <c r="H1047962" s="19"/>
      <c r="I1047962" s="19"/>
      <c r="J1047962" s="19"/>
      <c r="K1047962" s="19"/>
      <c r="L1047962" s="19"/>
      <c r="M1047962" s="19"/>
      <c r="N1047962" s="19"/>
    </row>
    <row r="1047963" spans="1:14" s="83" customFormat="1" ht="12.75">
      <c r="A1047963" s="19"/>
      <c r="B1047963" s="19"/>
      <c r="C1047963" s="19"/>
      <c r="D1047963" s="19"/>
      <c r="E1047963" s="19"/>
      <c r="F1047963" s="19"/>
      <c r="G1047963" s="19"/>
      <c r="H1047963" s="19"/>
      <c r="I1047963" s="19"/>
      <c r="J1047963" s="19"/>
      <c r="K1047963" s="19"/>
      <c r="L1047963" s="19"/>
      <c r="M1047963" s="19"/>
      <c r="N1047963" s="19"/>
    </row>
    <row r="1047964" spans="1:14" s="83" customFormat="1" ht="12.75">
      <c r="A1047964" s="19"/>
      <c r="B1047964" s="19"/>
      <c r="C1047964" s="19"/>
      <c r="D1047964" s="19"/>
      <c r="E1047964" s="19"/>
      <c r="F1047964" s="19"/>
      <c r="G1047964" s="19"/>
      <c r="H1047964" s="19"/>
      <c r="I1047964" s="19"/>
      <c r="J1047964" s="19"/>
      <c r="K1047964" s="19"/>
      <c r="L1047964" s="19"/>
      <c r="M1047964" s="19"/>
      <c r="N1047964" s="19"/>
    </row>
    <row r="1047965" spans="1:14" s="83" customFormat="1" ht="12.75">
      <c r="A1047965" s="19"/>
      <c r="B1047965" s="19"/>
      <c r="C1047965" s="19"/>
      <c r="D1047965" s="19"/>
      <c r="E1047965" s="19"/>
      <c r="F1047965" s="19"/>
      <c r="G1047965" s="19"/>
      <c r="H1047965" s="19"/>
      <c r="I1047965" s="19"/>
      <c r="J1047965" s="19"/>
      <c r="K1047965" s="19"/>
      <c r="L1047965" s="19"/>
      <c r="M1047965" s="19"/>
      <c r="N1047965" s="19"/>
    </row>
    <row r="1047966" spans="1:14" s="83" customFormat="1" ht="12.75">
      <c r="A1047966" s="19"/>
      <c r="B1047966" s="19"/>
      <c r="C1047966" s="19"/>
      <c r="D1047966" s="19"/>
      <c r="E1047966" s="19"/>
      <c r="F1047966" s="19"/>
      <c r="G1047966" s="19"/>
      <c r="H1047966" s="19"/>
      <c r="I1047966" s="19"/>
      <c r="J1047966" s="19"/>
      <c r="K1047966" s="19"/>
      <c r="L1047966" s="19"/>
      <c r="M1047966" s="19"/>
      <c r="N1047966" s="19"/>
    </row>
    <row r="1047967" spans="1:14" s="83" customFormat="1" ht="12.75">
      <c r="A1047967" s="19"/>
      <c r="B1047967" s="19"/>
      <c r="C1047967" s="19"/>
      <c r="D1047967" s="19"/>
      <c r="E1047967" s="19"/>
      <c r="F1047967" s="19"/>
      <c r="G1047967" s="19"/>
      <c r="H1047967" s="19"/>
      <c r="I1047967" s="19"/>
      <c r="J1047967" s="19"/>
      <c r="K1047967" s="19"/>
      <c r="L1047967" s="19"/>
      <c r="M1047967" s="19"/>
      <c r="N1047967" s="19"/>
    </row>
    <row r="1047968" spans="1:14" s="83" customFormat="1" ht="12.75">
      <c r="A1047968" s="19"/>
      <c r="B1047968" s="19"/>
      <c r="C1047968" s="19"/>
      <c r="D1047968" s="19"/>
      <c r="E1047968" s="19"/>
      <c r="F1047968" s="19"/>
      <c r="G1047968" s="19"/>
      <c r="H1047968" s="19"/>
      <c r="I1047968" s="19"/>
      <c r="J1047968" s="19"/>
      <c r="K1047968" s="19"/>
      <c r="L1047968" s="19"/>
      <c r="M1047968" s="19"/>
      <c r="N1047968" s="19"/>
    </row>
    <row r="1047969" spans="1:14" s="83" customFormat="1" ht="12.75">
      <c r="A1047969" s="19"/>
      <c r="B1047969" s="19"/>
      <c r="C1047969" s="19"/>
      <c r="D1047969" s="19"/>
      <c r="E1047969" s="19"/>
      <c r="F1047969" s="19"/>
      <c r="G1047969" s="19"/>
      <c r="H1047969" s="19"/>
      <c r="I1047969" s="19"/>
      <c r="J1047969" s="19"/>
      <c r="K1047969" s="19"/>
      <c r="L1047969" s="19"/>
      <c r="M1047969" s="19"/>
      <c r="N1047969" s="19"/>
    </row>
    <row r="1047970" spans="1:14" s="83" customFormat="1" ht="12.75">
      <c r="A1047970" s="19"/>
      <c r="B1047970" s="19"/>
      <c r="C1047970" s="19"/>
      <c r="D1047970" s="19"/>
      <c r="E1047970" s="19"/>
      <c r="F1047970" s="19"/>
      <c r="G1047970" s="19"/>
      <c r="H1047970" s="19"/>
      <c r="I1047970" s="19"/>
      <c r="J1047970" s="19"/>
      <c r="K1047970" s="19"/>
      <c r="L1047970" s="19"/>
      <c r="M1047970" s="19"/>
      <c r="N1047970" s="19"/>
    </row>
    <row r="1047971" spans="1:14" s="83" customFormat="1" ht="12.75">
      <c r="A1047971" s="19"/>
      <c r="B1047971" s="19"/>
      <c r="C1047971" s="19"/>
      <c r="D1047971" s="19"/>
      <c r="E1047971" s="19"/>
      <c r="F1047971" s="19"/>
      <c r="G1047971" s="19"/>
      <c r="H1047971" s="19"/>
      <c r="I1047971" s="19"/>
      <c r="J1047971" s="19"/>
      <c r="K1047971" s="19"/>
      <c r="L1047971" s="19"/>
      <c r="M1047971" s="19"/>
      <c r="N1047971" s="19"/>
    </row>
    <row r="1047972" spans="1:14" s="83" customFormat="1" ht="12.75">
      <c r="A1047972" s="19"/>
      <c r="B1047972" s="19"/>
      <c r="C1047972" s="19"/>
      <c r="D1047972" s="19"/>
      <c r="E1047972" s="19"/>
      <c r="F1047972" s="19"/>
      <c r="G1047972" s="19"/>
      <c r="H1047972" s="19"/>
      <c r="I1047972" s="19"/>
      <c r="J1047972" s="19"/>
      <c r="K1047972" s="19"/>
      <c r="L1047972" s="19"/>
      <c r="M1047972" s="19"/>
      <c r="N1047972" s="19"/>
    </row>
    <row r="1047973" spans="1:14" s="83" customFormat="1" ht="12.75">
      <c r="A1047973" s="19"/>
      <c r="B1047973" s="19"/>
      <c r="C1047973" s="19"/>
      <c r="D1047973" s="19"/>
      <c r="E1047973" s="19"/>
      <c r="F1047973" s="19"/>
      <c r="G1047973" s="19"/>
      <c r="H1047973" s="19"/>
      <c r="I1047973" s="19"/>
      <c r="J1047973" s="19"/>
      <c r="K1047973" s="19"/>
      <c r="L1047973" s="19"/>
      <c r="M1047973" s="19"/>
      <c r="N1047973" s="19"/>
    </row>
    <row r="1047974" spans="1:14" s="83" customFormat="1" ht="12.75">
      <c r="A1047974" s="19"/>
      <c r="B1047974" s="19"/>
      <c r="C1047974" s="19"/>
      <c r="D1047974" s="19"/>
      <c r="E1047974" s="19"/>
      <c r="F1047974" s="19"/>
      <c r="G1047974" s="19"/>
      <c r="H1047974" s="19"/>
      <c r="I1047974" s="19"/>
      <c r="J1047974" s="19"/>
      <c r="K1047974" s="19"/>
      <c r="L1047974" s="19"/>
      <c r="M1047974" s="19"/>
      <c r="N1047974" s="19"/>
    </row>
    <row r="1047975" spans="1:14" s="83" customFormat="1" ht="12.75">
      <c r="A1047975" s="19"/>
      <c r="B1047975" s="19"/>
      <c r="C1047975" s="19"/>
      <c r="D1047975" s="19"/>
      <c r="E1047975" s="19"/>
      <c r="F1047975" s="19"/>
      <c r="G1047975" s="19"/>
      <c r="H1047975" s="19"/>
      <c r="I1047975" s="19"/>
      <c r="J1047975" s="19"/>
      <c r="K1047975" s="19"/>
      <c r="L1047975" s="19"/>
      <c r="M1047975" s="19"/>
      <c r="N1047975" s="19"/>
    </row>
    <row r="1047976" spans="1:14" s="83" customFormat="1" ht="12.75">
      <c r="A1047976" s="19"/>
      <c r="B1047976" s="19"/>
      <c r="C1047976" s="19"/>
      <c r="D1047976" s="19"/>
      <c r="E1047976" s="19"/>
      <c r="F1047976" s="19"/>
      <c r="G1047976" s="19"/>
      <c r="H1047976" s="19"/>
      <c r="I1047976" s="19"/>
      <c r="J1047976" s="19"/>
      <c r="K1047976" s="19"/>
      <c r="L1047976" s="19"/>
      <c r="M1047976" s="19"/>
      <c r="N1047976" s="19"/>
    </row>
    <row r="1047977" spans="1:14" s="83" customFormat="1" ht="12.75">
      <c r="A1047977" s="19"/>
      <c r="B1047977" s="19"/>
      <c r="C1047977" s="19"/>
      <c r="D1047977" s="19"/>
      <c r="E1047977" s="19"/>
      <c r="F1047977" s="19"/>
      <c r="G1047977" s="19"/>
      <c r="H1047977" s="19"/>
      <c r="I1047977" s="19"/>
      <c r="J1047977" s="19"/>
      <c r="K1047977" s="19"/>
      <c r="L1047977" s="19"/>
      <c r="M1047977" s="19"/>
      <c r="N1047977" s="19"/>
    </row>
    <row r="1047978" spans="1:14" s="83" customFormat="1" ht="12.75">
      <c r="A1047978" s="19"/>
      <c r="B1047978" s="19"/>
      <c r="C1047978" s="19"/>
      <c r="D1047978" s="19"/>
      <c r="E1047978" s="19"/>
      <c r="F1047978" s="19"/>
      <c r="G1047978" s="19"/>
      <c r="H1047978" s="19"/>
      <c r="I1047978" s="19"/>
      <c r="J1047978" s="19"/>
      <c r="K1047978" s="19"/>
      <c r="L1047978" s="19"/>
      <c r="M1047978" s="19"/>
      <c r="N1047978" s="19"/>
    </row>
    <row r="1047979" spans="1:14" s="83" customFormat="1" ht="12.75">
      <c r="A1047979" s="19"/>
      <c r="B1047979" s="19"/>
      <c r="C1047979" s="19"/>
      <c r="D1047979" s="19"/>
      <c r="E1047979" s="19"/>
      <c r="F1047979" s="19"/>
      <c r="G1047979" s="19"/>
      <c r="H1047979" s="19"/>
      <c r="I1047979" s="19"/>
      <c r="J1047979" s="19"/>
      <c r="K1047979" s="19"/>
      <c r="L1047979" s="19"/>
      <c r="M1047979" s="19"/>
      <c r="N1047979" s="19"/>
    </row>
    <row r="1047980" spans="1:14" s="83" customFormat="1" ht="12.75">
      <c r="A1047980" s="19"/>
      <c r="B1047980" s="19"/>
      <c r="C1047980" s="19"/>
      <c r="D1047980" s="19"/>
      <c r="E1047980" s="19"/>
      <c r="F1047980" s="19"/>
      <c r="G1047980" s="19"/>
      <c r="H1047980" s="19"/>
      <c r="I1047980" s="19"/>
      <c r="J1047980" s="19"/>
      <c r="K1047980" s="19"/>
      <c r="L1047980" s="19"/>
      <c r="M1047980" s="19"/>
      <c r="N1047980" s="19"/>
    </row>
    <row r="1047981" spans="1:14" s="83" customFormat="1" ht="12.75">
      <c r="A1047981" s="19"/>
      <c r="B1047981" s="19"/>
      <c r="C1047981" s="19"/>
      <c r="D1047981" s="19"/>
      <c r="E1047981" s="19"/>
      <c r="F1047981" s="19"/>
      <c r="G1047981" s="19"/>
      <c r="H1047981" s="19"/>
      <c r="I1047981" s="19"/>
      <c r="J1047981" s="19"/>
      <c r="K1047981" s="19"/>
      <c r="L1047981" s="19"/>
      <c r="M1047981" s="19"/>
      <c r="N1047981" s="19"/>
    </row>
    <row r="1047982" spans="1:14" s="83" customFormat="1" ht="12.75">
      <c r="A1047982" s="19"/>
      <c r="B1047982" s="19"/>
      <c r="C1047982" s="19"/>
      <c r="D1047982" s="19"/>
      <c r="E1047982" s="19"/>
      <c r="F1047982" s="19"/>
      <c r="G1047982" s="19"/>
      <c r="H1047982" s="19"/>
      <c r="I1047982" s="19"/>
      <c r="J1047982" s="19"/>
      <c r="K1047982" s="19"/>
      <c r="L1047982" s="19"/>
      <c r="M1047982" s="19"/>
      <c r="N1047982" s="19"/>
    </row>
    <row r="1047983" spans="1:14" s="83" customFormat="1" ht="12.75">
      <c r="A1047983" s="19"/>
      <c r="B1047983" s="19"/>
      <c r="C1047983" s="19"/>
      <c r="D1047983" s="19"/>
      <c r="E1047983" s="19"/>
      <c r="F1047983" s="19"/>
      <c r="G1047983" s="19"/>
      <c r="H1047983" s="19"/>
      <c r="I1047983" s="19"/>
      <c r="J1047983" s="19"/>
      <c r="K1047983" s="19"/>
      <c r="L1047983" s="19"/>
      <c r="M1047983" s="19"/>
      <c r="N1047983" s="19"/>
    </row>
    <row r="1047984" spans="1:14" s="83" customFormat="1" ht="12.75">
      <c r="A1047984" s="19"/>
      <c r="B1047984" s="19"/>
      <c r="C1047984" s="19"/>
      <c r="D1047984" s="19"/>
      <c r="E1047984" s="19"/>
      <c r="F1047984" s="19"/>
      <c r="G1047984" s="19"/>
      <c r="H1047984" s="19"/>
      <c r="I1047984" s="19"/>
      <c r="J1047984" s="19"/>
      <c r="K1047984" s="19"/>
      <c r="L1047984" s="19"/>
      <c r="M1047984" s="19"/>
      <c r="N1047984" s="19"/>
    </row>
    <row r="1047985" spans="1:14" s="83" customFormat="1" ht="12.75">
      <c r="A1047985" s="19"/>
      <c r="B1047985" s="19"/>
      <c r="C1047985" s="19"/>
      <c r="D1047985" s="19"/>
      <c r="E1047985" s="19"/>
      <c r="F1047985" s="19"/>
      <c r="G1047985" s="19"/>
      <c r="H1047985" s="19"/>
      <c r="I1047985" s="19"/>
      <c r="J1047985" s="19"/>
      <c r="K1047985" s="19"/>
      <c r="L1047985" s="19"/>
      <c r="M1047985" s="19"/>
      <c r="N1047985" s="19"/>
    </row>
    <row r="1047986" spans="1:14" s="83" customFormat="1" ht="12.75">
      <c r="A1047986" s="19"/>
      <c r="B1047986" s="19"/>
      <c r="C1047986" s="19"/>
      <c r="D1047986" s="19"/>
      <c r="E1047986" s="19"/>
      <c r="F1047986" s="19"/>
      <c r="G1047986" s="19"/>
      <c r="H1047986" s="19"/>
      <c r="I1047986" s="19"/>
      <c r="J1047986" s="19"/>
      <c r="K1047986" s="19"/>
      <c r="L1047986" s="19"/>
      <c r="M1047986" s="19"/>
      <c r="N1047986" s="19"/>
    </row>
    <row r="1047987" spans="1:14" s="83" customFormat="1" ht="12.75">
      <c r="A1047987" s="19"/>
      <c r="B1047987" s="19"/>
      <c r="C1047987" s="19"/>
      <c r="D1047987" s="19"/>
      <c r="E1047987" s="19"/>
      <c r="F1047987" s="19"/>
      <c r="G1047987" s="19"/>
      <c r="H1047987" s="19"/>
      <c r="I1047987" s="19"/>
      <c r="J1047987" s="19"/>
      <c r="K1047987" s="19"/>
      <c r="L1047987" s="19"/>
      <c r="M1047987" s="19"/>
      <c r="N1047987" s="19"/>
    </row>
    <row r="1047988" spans="1:14" s="83" customFormat="1" ht="12.75">
      <c r="A1047988" s="19"/>
      <c r="B1047988" s="19"/>
      <c r="C1047988" s="19"/>
      <c r="D1047988" s="19"/>
      <c r="E1047988" s="19"/>
      <c r="F1047988" s="19"/>
      <c r="G1047988" s="19"/>
      <c r="H1047988" s="19"/>
      <c r="I1047988" s="19"/>
      <c r="J1047988" s="19"/>
      <c r="K1047988" s="19"/>
      <c r="L1047988" s="19"/>
      <c r="M1047988" s="19"/>
      <c r="N1047988" s="19"/>
    </row>
    <row r="1047989" spans="1:14" s="83" customFormat="1" ht="12.75">
      <c r="A1047989" s="19"/>
      <c r="B1047989" s="19"/>
      <c r="C1047989" s="19"/>
      <c r="D1047989" s="19"/>
      <c r="E1047989" s="19"/>
      <c r="F1047989" s="19"/>
      <c r="G1047989" s="19"/>
      <c r="H1047989" s="19"/>
      <c r="I1047989" s="19"/>
      <c r="J1047989" s="19"/>
      <c r="K1047989" s="19"/>
      <c r="L1047989" s="19"/>
      <c r="M1047989" s="19"/>
      <c r="N1047989" s="19"/>
    </row>
    <row r="1047990" spans="1:14" s="83" customFormat="1" ht="12.75">
      <c r="A1047990" s="19"/>
      <c r="B1047990" s="19"/>
      <c r="C1047990" s="19"/>
      <c r="D1047990" s="19"/>
      <c r="E1047990" s="19"/>
      <c r="F1047990" s="19"/>
      <c r="G1047990" s="19"/>
      <c r="H1047990" s="19"/>
      <c r="I1047990" s="19"/>
      <c r="J1047990" s="19"/>
      <c r="K1047990" s="19"/>
      <c r="L1047990" s="19"/>
      <c r="M1047990" s="19"/>
      <c r="N1047990" s="19"/>
    </row>
    <row r="1047991" spans="1:14" s="83" customFormat="1" ht="12.75">
      <c r="A1047991" s="19"/>
      <c r="B1047991" s="19"/>
      <c r="C1047991" s="19"/>
      <c r="D1047991" s="19"/>
      <c r="E1047991" s="19"/>
      <c r="F1047991" s="19"/>
      <c r="G1047991" s="19"/>
      <c r="H1047991" s="19"/>
      <c r="I1047991" s="19"/>
      <c r="J1047991" s="19"/>
      <c r="K1047991" s="19"/>
      <c r="L1047991" s="19"/>
      <c r="M1047991" s="19"/>
      <c r="N1047991" s="19"/>
    </row>
    <row r="1047992" spans="1:14" s="83" customFormat="1" ht="12.75">
      <c r="A1047992" s="19"/>
      <c r="B1047992" s="19"/>
      <c r="C1047992" s="19"/>
      <c r="D1047992" s="19"/>
      <c r="E1047992" s="19"/>
      <c r="F1047992" s="19"/>
      <c r="G1047992" s="19"/>
      <c r="H1047992" s="19"/>
      <c r="I1047992" s="19"/>
      <c r="J1047992" s="19"/>
      <c r="K1047992" s="19"/>
      <c r="L1047992" s="19"/>
      <c r="M1047992" s="19"/>
      <c r="N1047992" s="19"/>
    </row>
    <row r="1047993" spans="1:14" s="83" customFormat="1" ht="12.75">
      <c r="A1047993" s="19"/>
      <c r="B1047993" s="19"/>
      <c r="C1047993" s="19"/>
      <c r="D1047993" s="19"/>
      <c r="E1047993" s="19"/>
      <c r="F1047993" s="19"/>
      <c r="G1047993" s="19"/>
      <c r="H1047993" s="19"/>
      <c r="I1047993" s="19"/>
      <c r="J1047993" s="19"/>
      <c r="K1047993" s="19"/>
      <c r="L1047993" s="19"/>
      <c r="M1047993" s="19"/>
      <c r="N1047993" s="19"/>
    </row>
    <row r="1047994" spans="1:14" s="83" customFormat="1" ht="12.75">
      <c r="A1047994" s="19"/>
      <c r="B1047994" s="19"/>
      <c r="C1047994" s="19"/>
      <c r="D1047994" s="19"/>
      <c r="E1047994" s="19"/>
      <c r="F1047994" s="19"/>
      <c r="G1047994" s="19"/>
      <c r="H1047994" s="19"/>
      <c r="I1047994" s="19"/>
      <c r="J1047994" s="19"/>
      <c r="K1047994" s="19"/>
      <c r="L1047994" s="19"/>
      <c r="M1047994" s="19"/>
      <c r="N1047994" s="19"/>
    </row>
    <row r="1047995" spans="1:14" s="83" customFormat="1" ht="12.75">
      <c r="A1047995" s="19"/>
      <c r="B1047995" s="19"/>
      <c r="C1047995" s="19"/>
      <c r="D1047995" s="19"/>
      <c r="E1047995" s="19"/>
      <c r="F1047995" s="19"/>
      <c r="G1047995" s="19"/>
      <c r="H1047995" s="19"/>
      <c r="I1047995" s="19"/>
      <c r="J1047995" s="19"/>
      <c r="K1047995" s="19"/>
      <c r="L1047995" s="19"/>
      <c r="M1047995" s="19"/>
      <c r="N1047995" s="19"/>
    </row>
    <row r="1047996" spans="1:14" s="83" customFormat="1" ht="12.75">
      <c r="A1047996" s="19"/>
      <c r="B1047996" s="19"/>
      <c r="C1047996" s="19"/>
      <c r="D1047996" s="19"/>
      <c r="E1047996" s="19"/>
      <c r="F1047996" s="19"/>
      <c r="G1047996" s="19"/>
      <c r="H1047996" s="19"/>
      <c r="I1047996" s="19"/>
      <c r="J1047996" s="19"/>
      <c r="K1047996" s="19"/>
      <c r="L1047996" s="19"/>
      <c r="M1047996" s="19"/>
      <c r="N1047996" s="19"/>
    </row>
    <row r="1047997" spans="1:14" s="83" customFormat="1" ht="12.75">
      <c r="A1047997" s="19"/>
      <c r="B1047997" s="19"/>
      <c r="C1047997" s="19"/>
      <c r="D1047997" s="19"/>
      <c r="E1047997" s="19"/>
      <c r="F1047997" s="19"/>
      <c r="G1047997" s="19"/>
      <c r="H1047997" s="19"/>
      <c r="I1047997" s="19"/>
      <c r="J1047997" s="19"/>
      <c r="K1047997" s="19"/>
      <c r="L1047997" s="19"/>
      <c r="M1047997" s="19"/>
      <c r="N1047997" s="19"/>
    </row>
    <row r="1047998" spans="1:14" s="83" customFormat="1" ht="12.75">
      <c r="A1047998" s="19"/>
      <c r="B1047998" s="19"/>
      <c r="C1047998" s="19"/>
      <c r="D1047998" s="19"/>
      <c r="E1047998" s="19"/>
      <c r="F1047998" s="19"/>
      <c r="G1047998" s="19"/>
      <c r="H1047998" s="19"/>
      <c r="I1047998" s="19"/>
      <c r="J1047998" s="19"/>
      <c r="K1047998" s="19"/>
      <c r="L1047998" s="19"/>
      <c r="M1047998" s="19"/>
      <c r="N1047998" s="19"/>
    </row>
    <row r="1047999" spans="1:14" s="83" customFormat="1" ht="12.75">
      <c r="A1047999" s="19"/>
      <c r="B1047999" s="19"/>
      <c r="C1047999" s="19"/>
      <c r="D1047999" s="19"/>
      <c r="E1047999" s="19"/>
      <c r="F1047999" s="19"/>
      <c r="G1047999" s="19"/>
      <c r="H1047999" s="19"/>
      <c r="I1047999" s="19"/>
      <c r="J1047999" s="19"/>
      <c r="K1047999" s="19"/>
      <c r="L1047999" s="19"/>
      <c r="M1047999" s="19"/>
      <c r="N1047999" s="19"/>
    </row>
    <row r="1048000" spans="1:14" s="83" customFormat="1" ht="12.75">
      <c r="A1048000" s="19"/>
      <c r="B1048000" s="19"/>
      <c r="C1048000" s="19"/>
      <c r="D1048000" s="19"/>
      <c r="E1048000" s="19"/>
      <c r="F1048000" s="19"/>
      <c r="G1048000" s="19"/>
      <c r="H1048000" s="19"/>
      <c r="I1048000" s="19"/>
      <c r="J1048000" s="19"/>
      <c r="K1048000" s="19"/>
      <c r="L1048000" s="19"/>
      <c r="M1048000" s="19"/>
      <c r="N1048000" s="19"/>
    </row>
    <row r="1048001" spans="1:14" s="83" customFormat="1" ht="12.75">
      <c r="A1048001" s="19"/>
      <c r="B1048001" s="19"/>
      <c r="C1048001" s="19"/>
      <c r="D1048001" s="19"/>
      <c r="E1048001" s="19"/>
      <c r="F1048001" s="19"/>
      <c r="G1048001" s="19"/>
      <c r="H1048001" s="19"/>
      <c r="I1048001" s="19"/>
      <c r="J1048001" s="19"/>
      <c r="K1048001" s="19"/>
      <c r="L1048001" s="19"/>
      <c r="M1048001" s="19"/>
      <c r="N1048001" s="19"/>
    </row>
    <row r="1048002" spans="1:14" s="83" customFormat="1" ht="12.75">
      <c r="A1048002" s="19"/>
      <c r="B1048002" s="19"/>
      <c r="C1048002" s="19"/>
      <c r="D1048002" s="19"/>
      <c r="E1048002" s="19"/>
      <c r="F1048002" s="19"/>
      <c r="G1048002" s="19"/>
      <c r="H1048002" s="19"/>
      <c r="I1048002" s="19"/>
      <c r="J1048002" s="19"/>
      <c r="K1048002" s="19"/>
      <c r="L1048002" s="19"/>
      <c r="M1048002" s="19"/>
      <c r="N1048002" s="19"/>
    </row>
    <row r="1048003" spans="1:14" s="83" customFormat="1" ht="12.75">
      <c r="A1048003" s="19"/>
      <c r="B1048003" s="19"/>
      <c r="C1048003" s="19"/>
      <c r="D1048003" s="19"/>
      <c r="E1048003" s="19"/>
      <c r="F1048003" s="19"/>
      <c r="G1048003" s="19"/>
      <c r="H1048003" s="19"/>
      <c r="I1048003" s="19"/>
      <c r="J1048003" s="19"/>
      <c r="K1048003" s="19"/>
      <c r="L1048003" s="19"/>
      <c r="M1048003" s="19"/>
      <c r="N1048003" s="19"/>
    </row>
    <row r="1048004" spans="1:14" s="83" customFormat="1" ht="12.75">
      <c r="A1048004" s="19"/>
      <c r="B1048004" s="19"/>
      <c r="C1048004" s="19"/>
      <c r="D1048004" s="19"/>
      <c r="E1048004" s="19"/>
      <c r="F1048004" s="19"/>
      <c r="G1048004" s="19"/>
      <c r="H1048004" s="19"/>
      <c r="I1048004" s="19"/>
      <c r="J1048004" s="19"/>
      <c r="K1048004" s="19"/>
      <c r="L1048004" s="19"/>
      <c r="M1048004" s="19"/>
      <c r="N1048004" s="19"/>
    </row>
    <row r="1048005" spans="1:14" s="83" customFormat="1" ht="12.75">
      <c r="A1048005" s="19"/>
      <c r="B1048005" s="19"/>
      <c r="C1048005" s="19"/>
      <c r="D1048005" s="19"/>
      <c r="E1048005" s="19"/>
      <c r="F1048005" s="19"/>
      <c r="G1048005" s="19"/>
      <c r="H1048005" s="19"/>
      <c r="I1048005" s="19"/>
      <c r="J1048005" s="19"/>
      <c r="K1048005" s="19"/>
      <c r="L1048005" s="19"/>
      <c r="M1048005" s="19"/>
      <c r="N1048005" s="19"/>
    </row>
    <row r="1048006" spans="1:14" s="83" customFormat="1" ht="12.75">
      <c r="A1048006" s="19"/>
      <c r="B1048006" s="19"/>
      <c r="C1048006" s="19"/>
      <c r="D1048006" s="19"/>
      <c r="E1048006" s="19"/>
      <c r="F1048006" s="19"/>
      <c r="G1048006" s="19"/>
      <c r="H1048006" s="19"/>
      <c r="I1048006" s="19"/>
      <c r="J1048006" s="19"/>
      <c r="K1048006" s="19"/>
      <c r="L1048006" s="19"/>
      <c r="M1048006" s="19"/>
      <c r="N1048006" s="19"/>
    </row>
    <row r="1048007" spans="1:14" s="83" customFormat="1" ht="12.75">
      <c r="A1048007" s="19"/>
      <c r="B1048007" s="19"/>
      <c r="C1048007" s="19"/>
      <c r="D1048007" s="19"/>
      <c r="E1048007" s="19"/>
      <c r="F1048007" s="19"/>
      <c r="G1048007" s="19"/>
      <c r="H1048007" s="19"/>
      <c r="I1048007" s="19"/>
      <c r="J1048007" s="19"/>
      <c r="K1048007" s="19"/>
      <c r="L1048007" s="19"/>
      <c r="M1048007" s="19"/>
      <c r="N1048007" s="19"/>
    </row>
    <row r="1048008" spans="1:14" s="83" customFormat="1" ht="12.75">
      <c r="A1048008" s="19"/>
      <c r="B1048008" s="19"/>
      <c r="C1048008" s="19"/>
      <c r="D1048008" s="19"/>
      <c r="E1048008" s="19"/>
      <c r="F1048008" s="19"/>
      <c r="G1048008" s="19"/>
      <c r="H1048008" s="19"/>
      <c r="I1048008" s="19"/>
      <c r="J1048008" s="19"/>
      <c r="K1048008" s="19"/>
      <c r="L1048008" s="19"/>
      <c r="M1048008" s="19"/>
      <c r="N1048008" s="19"/>
    </row>
    <row r="1048009" spans="1:14" s="83" customFormat="1" ht="12.75">
      <c r="A1048009" s="19"/>
      <c r="B1048009" s="19"/>
      <c r="C1048009" s="19"/>
      <c r="D1048009" s="19"/>
      <c r="E1048009" s="19"/>
      <c r="F1048009" s="19"/>
      <c r="G1048009" s="19"/>
      <c r="H1048009" s="19"/>
      <c r="I1048009" s="19"/>
      <c r="J1048009" s="19"/>
      <c r="K1048009" s="19"/>
      <c r="L1048009" s="19"/>
      <c r="M1048009" s="19"/>
      <c r="N1048009" s="19"/>
    </row>
    <row r="1048010" spans="1:14" s="83" customFormat="1" ht="12.75">
      <c r="A1048010" s="19"/>
      <c r="B1048010" s="19"/>
      <c r="C1048010" s="19"/>
      <c r="D1048010" s="19"/>
      <c r="E1048010" s="19"/>
      <c r="F1048010" s="19"/>
      <c r="G1048010" s="19"/>
      <c r="H1048010" s="19"/>
      <c r="I1048010" s="19"/>
      <c r="J1048010" s="19"/>
      <c r="K1048010" s="19"/>
      <c r="L1048010" s="19"/>
      <c r="M1048010" s="19"/>
      <c r="N1048010" s="19"/>
    </row>
    <row r="1048011" spans="1:14" s="83" customFormat="1" ht="12.75">
      <c r="A1048011" s="19"/>
      <c r="B1048011" s="19"/>
      <c r="C1048011" s="19"/>
      <c r="D1048011" s="19"/>
      <c r="E1048011" s="19"/>
      <c r="F1048011" s="19"/>
      <c r="G1048011" s="19"/>
      <c r="H1048011" s="19"/>
      <c r="I1048011" s="19"/>
      <c r="J1048011" s="19"/>
      <c r="K1048011" s="19"/>
      <c r="L1048011" s="19"/>
      <c r="M1048011" s="19"/>
      <c r="N1048011" s="19"/>
    </row>
    <row r="1048012" spans="1:14" s="83" customFormat="1" ht="12.75">
      <c r="A1048012" s="19"/>
      <c r="B1048012" s="19"/>
      <c r="C1048012" s="19"/>
      <c r="D1048012" s="19"/>
      <c r="E1048012" s="19"/>
      <c r="F1048012" s="19"/>
      <c r="G1048012" s="19"/>
      <c r="H1048012" s="19"/>
      <c r="I1048012" s="19"/>
      <c r="J1048012" s="19"/>
      <c r="K1048012" s="19"/>
      <c r="L1048012" s="19"/>
      <c r="M1048012" s="19"/>
      <c r="N1048012" s="19"/>
    </row>
    <row r="1048013" spans="1:14" s="83" customFormat="1" ht="12.75">
      <c r="A1048013" s="19"/>
      <c r="B1048013" s="19"/>
      <c r="C1048013" s="19"/>
      <c r="D1048013" s="19"/>
      <c r="E1048013" s="19"/>
      <c r="F1048013" s="19"/>
      <c r="G1048013" s="19"/>
      <c r="H1048013" s="19"/>
      <c r="I1048013" s="19"/>
      <c r="J1048013" s="19"/>
      <c r="K1048013" s="19"/>
      <c r="L1048013" s="19"/>
      <c r="M1048013" s="19"/>
      <c r="N1048013" s="19"/>
    </row>
    <row r="1048014" spans="1:14" s="83" customFormat="1" ht="12.75">
      <c r="A1048014" s="19"/>
      <c r="B1048014" s="19"/>
      <c r="C1048014" s="19"/>
      <c r="D1048014" s="19"/>
      <c r="E1048014" s="19"/>
      <c r="F1048014" s="19"/>
      <c r="G1048014" s="19"/>
      <c r="H1048014" s="19"/>
      <c r="I1048014" s="19"/>
      <c r="J1048014" s="19"/>
      <c r="K1048014" s="19"/>
      <c r="L1048014" s="19"/>
      <c r="M1048014" s="19"/>
      <c r="N1048014" s="19"/>
    </row>
    <row r="1048015" spans="1:14" s="83" customFormat="1" ht="12.75">
      <c r="A1048015" s="19"/>
      <c r="B1048015" s="19"/>
      <c r="C1048015" s="19"/>
      <c r="D1048015" s="19"/>
      <c r="E1048015" s="19"/>
      <c r="F1048015" s="19"/>
      <c r="G1048015" s="19"/>
      <c r="H1048015" s="19"/>
      <c r="I1048015" s="19"/>
      <c r="J1048015" s="19"/>
      <c r="K1048015" s="19"/>
      <c r="L1048015" s="19"/>
      <c r="M1048015" s="19"/>
      <c r="N1048015" s="19"/>
    </row>
    <row r="1048016" spans="1:14" s="83" customFormat="1" ht="12.75">
      <c r="A1048016" s="19"/>
      <c r="B1048016" s="19"/>
      <c r="C1048016" s="19"/>
      <c r="D1048016" s="19"/>
      <c r="E1048016" s="19"/>
      <c r="F1048016" s="19"/>
      <c r="G1048016" s="19"/>
      <c r="H1048016" s="19"/>
      <c r="I1048016" s="19"/>
      <c r="J1048016" s="19"/>
      <c r="K1048016" s="19"/>
      <c r="L1048016" s="19"/>
      <c r="M1048016" s="19"/>
      <c r="N1048016" s="19"/>
    </row>
    <row r="1048017" spans="1:14" s="83" customFormat="1" ht="12.75">
      <c r="A1048017" s="19"/>
      <c r="B1048017" s="19"/>
      <c r="C1048017" s="19"/>
      <c r="D1048017" s="19"/>
      <c r="E1048017" s="19"/>
      <c r="F1048017" s="19"/>
      <c r="G1048017" s="19"/>
      <c r="H1048017" s="19"/>
      <c r="I1048017" s="19"/>
      <c r="J1048017" s="19"/>
      <c r="K1048017" s="19"/>
      <c r="L1048017" s="19"/>
      <c r="M1048017" s="19"/>
      <c r="N1048017" s="19"/>
    </row>
    <row r="1048018" spans="1:14" s="83" customFormat="1" ht="12.75">
      <c r="A1048018" s="19"/>
      <c r="B1048018" s="19"/>
      <c r="C1048018" s="19"/>
      <c r="D1048018" s="19"/>
      <c r="E1048018" s="19"/>
      <c r="F1048018" s="19"/>
      <c r="G1048018" s="19"/>
      <c r="H1048018" s="19"/>
      <c r="I1048018" s="19"/>
      <c r="J1048018" s="19"/>
      <c r="K1048018" s="19"/>
      <c r="L1048018" s="19"/>
      <c r="M1048018" s="19"/>
      <c r="N1048018" s="19"/>
    </row>
    <row r="1048019" spans="1:14" s="83" customFormat="1" ht="12.75">
      <c r="A1048019" s="19"/>
      <c r="B1048019" s="19"/>
      <c r="C1048019" s="19"/>
      <c r="D1048019" s="19"/>
      <c r="E1048019" s="19"/>
      <c r="F1048019" s="19"/>
      <c r="G1048019" s="19"/>
      <c r="H1048019" s="19"/>
      <c r="I1048019" s="19"/>
      <c r="J1048019" s="19"/>
      <c r="K1048019" s="19"/>
      <c r="L1048019" s="19"/>
      <c r="M1048019" s="19"/>
      <c r="N1048019" s="19"/>
    </row>
    <row r="1048020" spans="1:14" s="83" customFormat="1" ht="12.75">
      <c r="A1048020" s="19"/>
      <c r="B1048020" s="19"/>
      <c r="C1048020" s="19"/>
      <c r="D1048020" s="19"/>
      <c r="E1048020" s="19"/>
      <c r="F1048020" s="19"/>
      <c r="G1048020" s="19"/>
      <c r="H1048020" s="19"/>
      <c r="I1048020" s="19"/>
      <c r="J1048020" s="19"/>
      <c r="K1048020" s="19"/>
      <c r="L1048020" s="19"/>
      <c r="M1048020" s="19"/>
      <c r="N1048020" s="19"/>
    </row>
    <row r="1048021" spans="1:14" s="83" customFormat="1" ht="12.75">
      <c r="A1048021" s="19"/>
      <c r="B1048021" s="19"/>
      <c r="C1048021" s="19"/>
      <c r="D1048021" s="19"/>
      <c r="E1048021" s="19"/>
      <c r="F1048021" s="19"/>
      <c r="G1048021" s="19"/>
      <c r="H1048021" s="19"/>
      <c r="I1048021" s="19"/>
      <c r="J1048021" s="19"/>
      <c r="K1048021" s="19"/>
      <c r="L1048021" s="19"/>
      <c r="M1048021" s="19"/>
      <c r="N1048021" s="19"/>
    </row>
    <row r="1048022" spans="1:14" s="83" customFormat="1" ht="12.75">
      <c r="A1048022" s="19"/>
      <c r="B1048022" s="19"/>
      <c r="C1048022" s="19"/>
      <c r="D1048022" s="19"/>
      <c r="E1048022" s="19"/>
      <c r="F1048022" s="19"/>
      <c r="G1048022" s="19"/>
      <c r="H1048022" s="19"/>
      <c r="I1048022" s="19"/>
      <c r="J1048022" s="19"/>
      <c r="K1048022" s="19"/>
      <c r="L1048022" s="19"/>
      <c r="M1048022" s="19"/>
      <c r="N1048022" s="19"/>
    </row>
    <row r="1048023" spans="1:14" s="83" customFormat="1" ht="12.75">
      <c r="A1048023" s="19"/>
      <c r="B1048023" s="19"/>
      <c r="C1048023" s="19"/>
      <c r="D1048023" s="19"/>
      <c r="E1048023" s="19"/>
      <c r="F1048023" s="19"/>
      <c r="G1048023" s="19"/>
      <c r="H1048023" s="19"/>
      <c r="I1048023" s="19"/>
      <c r="J1048023" s="19"/>
      <c r="K1048023" s="19"/>
      <c r="L1048023" s="19"/>
      <c r="M1048023" s="19"/>
      <c r="N1048023" s="19"/>
    </row>
    <row r="1048024" spans="1:14" s="83" customFormat="1" ht="12.75">
      <c r="A1048024" s="19"/>
      <c r="B1048024" s="19"/>
      <c r="C1048024" s="19"/>
      <c r="D1048024" s="19"/>
      <c r="E1048024" s="19"/>
      <c r="F1048024" s="19"/>
      <c r="G1048024" s="19"/>
      <c r="H1048024" s="19"/>
      <c r="I1048024" s="19"/>
      <c r="J1048024" s="19"/>
      <c r="K1048024" s="19"/>
      <c r="L1048024" s="19"/>
      <c r="M1048024" s="19"/>
      <c r="N1048024" s="19"/>
    </row>
    <row r="1048025" spans="1:14" s="83" customFormat="1" ht="12.75">
      <c r="A1048025" s="19"/>
      <c r="B1048025" s="19"/>
      <c r="C1048025" s="19"/>
      <c r="D1048025" s="19"/>
      <c r="E1048025" s="19"/>
      <c r="F1048025" s="19"/>
      <c r="G1048025" s="19"/>
      <c r="H1048025" s="19"/>
      <c r="I1048025" s="19"/>
      <c r="J1048025" s="19"/>
      <c r="K1048025" s="19"/>
      <c r="L1048025" s="19"/>
      <c r="M1048025" s="19"/>
      <c r="N1048025" s="19"/>
    </row>
    <row r="1048026" spans="1:14" s="83" customFormat="1" ht="12.75">
      <c r="A1048026" s="19"/>
      <c r="B1048026" s="19"/>
      <c r="C1048026" s="19"/>
      <c r="D1048026" s="19"/>
      <c r="E1048026" s="19"/>
      <c r="F1048026" s="19"/>
      <c r="G1048026" s="19"/>
      <c r="H1048026" s="19"/>
      <c r="I1048026" s="19"/>
      <c r="J1048026" s="19"/>
      <c r="K1048026" s="19"/>
      <c r="L1048026" s="19"/>
      <c r="M1048026" s="19"/>
      <c r="N1048026" s="19"/>
    </row>
    <row r="1048027" spans="1:14" s="83" customFormat="1" ht="12.75">
      <c r="A1048027" s="19"/>
      <c r="B1048027" s="19"/>
      <c r="C1048027" s="19"/>
      <c r="D1048027" s="19"/>
      <c r="E1048027" s="19"/>
      <c r="F1048027" s="19"/>
      <c r="G1048027" s="19"/>
      <c r="H1048027" s="19"/>
      <c r="I1048027" s="19"/>
      <c r="J1048027" s="19"/>
      <c r="K1048027" s="19"/>
      <c r="L1048027" s="19"/>
      <c r="M1048027" s="19"/>
      <c r="N1048027" s="19"/>
    </row>
    <row r="1048028" spans="1:14" s="83" customFormat="1" ht="12.75">
      <c r="A1048028" s="19"/>
      <c r="B1048028" s="19"/>
      <c r="C1048028" s="19"/>
      <c r="D1048028" s="19"/>
      <c r="E1048028" s="19"/>
      <c r="F1048028" s="19"/>
      <c r="G1048028" s="19"/>
      <c r="H1048028" s="19"/>
      <c r="I1048028" s="19"/>
      <c r="J1048028" s="19"/>
      <c r="K1048028" s="19"/>
      <c r="L1048028" s="19"/>
      <c r="M1048028" s="19"/>
      <c r="N1048028" s="19"/>
    </row>
    <row r="1048029" spans="1:14" s="83" customFormat="1" ht="12.75">
      <c r="A1048029" s="19"/>
      <c r="B1048029" s="19"/>
      <c r="C1048029" s="19"/>
      <c r="D1048029" s="19"/>
      <c r="E1048029" s="19"/>
      <c r="F1048029" s="19"/>
      <c r="G1048029" s="19"/>
      <c r="H1048029" s="19"/>
      <c r="I1048029" s="19"/>
      <c r="J1048029" s="19"/>
      <c r="K1048029" s="19"/>
      <c r="L1048029" s="19"/>
      <c r="M1048029" s="19"/>
      <c r="N1048029" s="19"/>
    </row>
    <row r="1048030" spans="1:14" s="83" customFormat="1" ht="12.75">
      <c r="A1048030" s="19"/>
      <c r="B1048030" s="19"/>
      <c r="C1048030" s="19"/>
      <c r="D1048030" s="19"/>
      <c r="E1048030" s="19"/>
      <c r="F1048030" s="19"/>
      <c r="G1048030" s="19"/>
      <c r="H1048030" s="19"/>
      <c r="I1048030" s="19"/>
      <c r="J1048030" s="19"/>
      <c r="K1048030" s="19"/>
      <c r="L1048030" s="19"/>
      <c r="M1048030" s="19"/>
      <c r="N1048030" s="19"/>
    </row>
    <row r="1048031" spans="1:14" s="83" customFormat="1" ht="12.75">
      <c r="A1048031" s="19"/>
      <c r="B1048031" s="19"/>
      <c r="C1048031" s="19"/>
      <c r="D1048031" s="19"/>
      <c r="E1048031" s="19"/>
      <c r="F1048031" s="19"/>
      <c r="G1048031" s="19"/>
      <c r="H1048031" s="19"/>
      <c r="I1048031" s="19"/>
      <c r="J1048031" s="19"/>
      <c r="K1048031" s="19"/>
      <c r="L1048031" s="19"/>
      <c r="M1048031" s="19"/>
      <c r="N1048031" s="19"/>
    </row>
    <row r="1048032" spans="1:14" s="83" customFormat="1" ht="12.75">
      <c r="A1048032" s="19"/>
      <c r="B1048032" s="19"/>
      <c r="C1048032" s="19"/>
      <c r="D1048032" s="19"/>
      <c r="E1048032" s="19"/>
      <c r="F1048032" s="19"/>
      <c r="G1048032" s="19"/>
      <c r="H1048032" s="19"/>
      <c r="I1048032" s="19"/>
      <c r="J1048032" s="19"/>
      <c r="K1048032" s="19"/>
      <c r="L1048032" s="19"/>
      <c r="M1048032" s="19"/>
      <c r="N1048032" s="19"/>
    </row>
    <row r="1048033" spans="1:14" s="83" customFormat="1" ht="12.75">
      <c r="A1048033" s="19"/>
      <c r="B1048033" s="19"/>
      <c r="C1048033" s="19"/>
      <c r="D1048033" s="19"/>
      <c r="E1048033" s="19"/>
      <c r="F1048033" s="19"/>
      <c r="G1048033" s="19"/>
      <c r="H1048033" s="19"/>
      <c r="I1048033" s="19"/>
      <c r="J1048033" s="19"/>
      <c r="K1048033" s="19"/>
      <c r="L1048033" s="19"/>
      <c r="M1048033" s="19"/>
      <c r="N1048033" s="19"/>
    </row>
    <row r="1048034" spans="1:14" s="83" customFormat="1" ht="12.75">
      <c r="A1048034" s="19"/>
      <c r="B1048034" s="19"/>
      <c r="C1048034" s="19"/>
      <c r="D1048034" s="19"/>
      <c r="E1048034" s="19"/>
      <c r="F1048034" s="19"/>
      <c r="G1048034" s="19"/>
      <c r="H1048034" s="19"/>
      <c r="I1048034" s="19"/>
      <c r="J1048034" s="19"/>
      <c r="K1048034" s="19"/>
      <c r="L1048034" s="19"/>
      <c r="M1048034" s="19"/>
      <c r="N1048034" s="19"/>
    </row>
    <row r="1048035" spans="1:14" s="83" customFormat="1" ht="12.75">
      <c r="A1048035" s="19"/>
      <c r="B1048035" s="19"/>
      <c r="C1048035" s="19"/>
      <c r="D1048035" s="19"/>
      <c r="E1048035" s="19"/>
      <c r="F1048035" s="19"/>
      <c r="G1048035" s="19"/>
      <c r="H1048035" s="19"/>
      <c r="I1048035" s="19"/>
      <c r="J1048035" s="19"/>
      <c r="K1048035" s="19"/>
      <c r="L1048035" s="19"/>
      <c r="M1048035" s="19"/>
      <c r="N1048035" s="19"/>
    </row>
    <row r="1048036" spans="1:14" s="83" customFormat="1" ht="12.75">
      <c r="A1048036" s="19"/>
      <c r="B1048036" s="19"/>
      <c r="C1048036" s="19"/>
      <c r="D1048036" s="19"/>
      <c r="E1048036" s="19"/>
      <c r="F1048036" s="19"/>
      <c r="G1048036" s="19"/>
      <c r="H1048036" s="19"/>
      <c r="I1048036" s="19"/>
      <c r="J1048036" s="19"/>
      <c r="K1048036" s="19"/>
      <c r="L1048036" s="19"/>
      <c r="M1048036" s="19"/>
      <c r="N1048036" s="19"/>
    </row>
    <row r="1048037" spans="1:14" s="83" customFormat="1" ht="12.75">
      <c r="A1048037" s="19"/>
      <c r="B1048037" s="19"/>
      <c r="C1048037" s="19"/>
      <c r="D1048037" s="19"/>
      <c r="E1048037" s="19"/>
      <c r="F1048037" s="19"/>
      <c r="G1048037" s="19"/>
      <c r="H1048037" s="19"/>
      <c r="I1048037" s="19"/>
      <c r="J1048037" s="19"/>
      <c r="K1048037" s="19"/>
      <c r="L1048037" s="19"/>
      <c r="M1048037" s="19"/>
      <c r="N1048037" s="19"/>
    </row>
    <row r="1048038" spans="1:14" s="83" customFormat="1" ht="12.75">
      <c r="A1048038" s="19"/>
      <c r="B1048038" s="19"/>
      <c r="C1048038" s="19"/>
      <c r="D1048038" s="19"/>
      <c r="E1048038" s="19"/>
      <c r="F1048038" s="19"/>
      <c r="G1048038" s="19"/>
      <c r="H1048038" s="19"/>
      <c r="I1048038" s="19"/>
      <c r="J1048038" s="19"/>
      <c r="K1048038" s="19"/>
      <c r="L1048038" s="19"/>
      <c r="M1048038" s="19"/>
      <c r="N1048038" s="19"/>
    </row>
    <row r="1048039" spans="1:14" s="83" customFormat="1" ht="12.75">
      <c r="A1048039" s="19"/>
      <c r="B1048039" s="19"/>
      <c r="C1048039" s="19"/>
      <c r="D1048039" s="19"/>
      <c r="E1048039" s="19"/>
      <c r="F1048039" s="19"/>
      <c r="G1048039" s="19"/>
      <c r="H1048039" s="19"/>
      <c r="I1048039" s="19"/>
      <c r="J1048039" s="19"/>
      <c r="K1048039" s="19"/>
      <c r="L1048039" s="19"/>
      <c r="M1048039" s="19"/>
      <c r="N1048039" s="19"/>
    </row>
    <row r="1048040" spans="1:14" s="83" customFormat="1" ht="12.75">
      <c r="A1048040" s="19"/>
      <c r="B1048040" s="19"/>
      <c r="C1048040" s="19"/>
      <c r="D1048040" s="19"/>
      <c r="E1048040" s="19"/>
      <c r="F1048040" s="19"/>
      <c r="G1048040" s="19"/>
      <c r="H1048040" s="19"/>
      <c r="I1048040" s="19"/>
      <c r="J1048040" s="19"/>
      <c r="K1048040" s="19"/>
      <c r="L1048040" s="19"/>
      <c r="M1048040" s="19"/>
      <c r="N1048040" s="19"/>
    </row>
    <row r="1048041" spans="1:14" s="83" customFormat="1" ht="12.75">
      <c r="A1048041" s="19"/>
      <c r="B1048041" s="19"/>
      <c r="C1048041" s="19"/>
      <c r="D1048041" s="19"/>
      <c r="E1048041" s="19"/>
      <c r="F1048041" s="19"/>
      <c r="G1048041" s="19"/>
      <c r="H1048041" s="19"/>
      <c r="I1048041" s="19"/>
      <c r="J1048041" s="19"/>
      <c r="K1048041" s="19"/>
      <c r="L1048041" s="19"/>
      <c r="M1048041" s="19"/>
      <c r="N1048041" s="19"/>
    </row>
    <row r="1048042" spans="1:14" s="83" customFormat="1" ht="12.75">
      <c r="A1048042" s="19"/>
      <c r="B1048042" s="19"/>
      <c r="C1048042" s="19"/>
      <c r="D1048042" s="19"/>
      <c r="E1048042" s="19"/>
      <c r="F1048042" s="19"/>
      <c r="G1048042" s="19"/>
      <c r="H1048042" s="19"/>
      <c r="I1048042" s="19"/>
      <c r="J1048042" s="19"/>
      <c r="K1048042" s="19"/>
      <c r="L1048042" s="19"/>
      <c r="M1048042" s="19"/>
      <c r="N1048042" s="19"/>
    </row>
    <row r="1048043" spans="1:14" s="83" customFormat="1" ht="12.75">
      <c r="A1048043" s="19"/>
      <c r="B1048043" s="19"/>
      <c r="C1048043" s="19"/>
      <c r="D1048043" s="19"/>
      <c r="E1048043" s="19"/>
      <c r="F1048043" s="19"/>
      <c r="G1048043" s="19"/>
      <c r="H1048043" s="19"/>
      <c r="I1048043" s="19"/>
      <c r="J1048043" s="19"/>
      <c r="K1048043" s="19"/>
      <c r="L1048043" s="19"/>
      <c r="M1048043" s="19"/>
      <c r="N1048043" s="19"/>
    </row>
    <row r="1048044" spans="1:14" s="83" customFormat="1" ht="12.75">
      <c r="A1048044" s="19"/>
      <c r="B1048044" s="19"/>
      <c r="C1048044" s="19"/>
      <c r="D1048044" s="19"/>
      <c r="E1048044" s="19"/>
      <c r="F1048044" s="19"/>
      <c r="G1048044" s="19"/>
      <c r="H1048044" s="19"/>
      <c r="I1048044" s="19"/>
      <c r="J1048044" s="19"/>
      <c r="K1048044" s="19"/>
      <c r="L1048044" s="19"/>
      <c r="M1048044" s="19"/>
      <c r="N1048044" s="19"/>
    </row>
    <row r="1048045" spans="1:14" s="83" customFormat="1" ht="12.75">
      <c r="A1048045" s="19"/>
      <c r="B1048045" s="19"/>
      <c r="C1048045" s="19"/>
      <c r="D1048045" s="19"/>
      <c r="E1048045" s="19"/>
      <c r="F1048045" s="19"/>
      <c r="G1048045" s="19"/>
      <c r="H1048045" s="19"/>
      <c r="I1048045" s="19"/>
      <c r="J1048045" s="19"/>
      <c r="K1048045" s="19"/>
      <c r="L1048045" s="19"/>
      <c r="M1048045" s="19"/>
      <c r="N1048045" s="19"/>
    </row>
    <row r="1048046" spans="1:14" s="83" customFormat="1" ht="12.75">
      <c r="A1048046" s="19"/>
      <c r="B1048046" s="19"/>
      <c r="C1048046" s="19"/>
      <c r="D1048046" s="19"/>
      <c r="E1048046" s="19"/>
      <c r="F1048046" s="19"/>
      <c r="G1048046" s="19"/>
      <c r="H1048046" s="19"/>
      <c r="I1048046" s="19"/>
      <c r="J1048046" s="19"/>
      <c r="K1048046" s="19"/>
      <c r="L1048046" s="19"/>
      <c r="M1048046" s="19"/>
      <c r="N1048046" s="19"/>
    </row>
    <row r="1048047" spans="1:14" s="83" customFormat="1" ht="12.75">
      <c r="A1048047" s="19"/>
      <c r="B1048047" s="19"/>
      <c r="C1048047" s="19"/>
      <c r="D1048047" s="19"/>
      <c r="E1048047" s="19"/>
      <c r="F1048047" s="19"/>
      <c r="G1048047" s="19"/>
      <c r="H1048047" s="19"/>
      <c r="I1048047" s="19"/>
      <c r="J1048047" s="19"/>
      <c r="K1048047" s="19"/>
      <c r="L1048047" s="19"/>
      <c r="M1048047" s="19"/>
      <c r="N1048047" s="19"/>
    </row>
    <row r="1048048" spans="1:14" s="83" customFormat="1" ht="12.75">
      <c r="A1048048" s="19"/>
      <c r="B1048048" s="19"/>
      <c r="C1048048" s="19"/>
      <c r="D1048048" s="19"/>
      <c r="E1048048" s="19"/>
      <c r="F1048048" s="19"/>
      <c r="G1048048" s="19"/>
      <c r="H1048048" s="19"/>
      <c r="I1048048" s="19"/>
      <c r="J1048048" s="19"/>
      <c r="K1048048" s="19"/>
      <c r="L1048048" s="19"/>
      <c r="M1048048" s="19"/>
      <c r="N1048048" s="19"/>
    </row>
    <row r="1048049" spans="1:14" s="83" customFormat="1" ht="12.75">
      <c r="A1048049" s="19"/>
      <c r="B1048049" s="19"/>
      <c r="C1048049" s="19"/>
      <c r="D1048049" s="19"/>
      <c r="E1048049" s="19"/>
      <c r="F1048049" s="19"/>
      <c r="G1048049" s="19"/>
      <c r="H1048049" s="19"/>
      <c r="I1048049" s="19"/>
      <c r="J1048049" s="19"/>
      <c r="K1048049" s="19"/>
      <c r="L1048049" s="19"/>
      <c r="M1048049" s="19"/>
      <c r="N1048049" s="19"/>
    </row>
    <row r="1048050" spans="1:14" s="83" customFormat="1" ht="12.75">
      <c r="A1048050" s="19"/>
      <c r="B1048050" s="19"/>
      <c r="C1048050" s="19"/>
      <c r="D1048050" s="19"/>
      <c r="E1048050" s="19"/>
      <c r="F1048050" s="19"/>
      <c r="G1048050" s="19"/>
      <c r="H1048050" s="19"/>
      <c r="I1048050" s="19"/>
      <c r="J1048050" s="19"/>
      <c r="K1048050" s="19"/>
      <c r="L1048050" s="19"/>
      <c r="M1048050" s="19"/>
      <c r="N1048050" s="19"/>
    </row>
    <row r="1048051" spans="1:14" s="83" customFormat="1" ht="12.75">
      <c r="A1048051" s="19"/>
      <c r="B1048051" s="19"/>
      <c r="C1048051" s="19"/>
      <c r="D1048051" s="19"/>
      <c r="E1048051" s="19"/>
      <c r="F1048051" s="19"/>
      <c r="G1048051" s="19"/>
      <c r="H1048051" s="19"/>
      <c r="I1048051" s="19"/>
      <c r="J1048051" s="19"/>
      <c r="K1048051" s="19"/>
      <c r="L1048051" s="19"/>
      <c r="M1048051" s="19"/>
      <c r="N1048051" s="19"/>
    </row>
    <row r="1048052" spans="1:14" s="83" customFormat="1" ht="12.75">
      <c r="A1048052" s="19"/>
      <c r="B1048052" s="19"/>
      <c r="C1048052" s="19"/>
      <c r="D1048052" s="19"/>
      <c r="E1048052" s="19"/>
      <c r="F1048052" s="19"/>
      <c r="G1048052" s="19"/>
      <c r="H1048052" s="19"/>
      <c r="I1048052" s="19"/>
      <c r="J1048052" s="19"/>
      <c r="K1048052" s="19"/>
      <c r="L1048052" s="19"/>
      <c r="M1048052" s="19"/>
      <c r="N1048052" s="19"/>
    </row>
    <row r="1048053" spans="1:14" s="83" customFormat="1" ht="12.75">
      <c r="A1048053" s="19"/>
      <c r="B1048053" s="19"/>
      <c r="C1048053" s="19"/>
      <c r="D1048053" s="19"/>
      <c r="E1048053" s="19"/>
      <c r="F1048053" s="19"/>
      <c r="G1048053" s="19"/>
      <c r="H1048053" s="19"/>
      <c r="I1048053" s="19"/>
      <c r="J1048053" s="19"/>
      <c r="K1048053" s="19"/>
      <c r="L1048053" s="19"/>
      <c r="M1048053" s="19"/>
      <c r="N1048053" s="19"/>
    </row>
    <row r="1048054" spans="1:14" s="83" customFormat="1" ht="12.75">
      <c r="A1048054" s="19"/>
      <c r="B1048054" s="19"/>
      <c r="C1048054" s="19"/>
      <c r="D1048054" s="19"/>
      <c r="E1048054" s="19"/>
      <c r="F1048054" s="19"/>
      <c r="G1048054" s="19"/>
      <c r="H1048054" s="19"/>
      <c r="I1048054" s="19"/>
      <c r="J1048054" s="19"/>
      <c r="K1048054" s="19"/>
      <c r="L1048054" s="19"/>
      <c r="M1048054" s="19"/>
      <c r="N1048054" s="19"/>
    </row>
    <row r="1048055" spans="1:14" s="83" customFormat="1" ht="12.75">
      <c r="A1048055" s="19"/>
      <c r="B1048055" s="19"/>
      <c r="C1048055" s="19"/>
      <c r="D1048055" s="19"/>
      <c r="E1048055" s="19"/>
      <c r="F1048055" s="19"/>
      <c r="G1048055" s="19"/>
      <c r="H1048055" s="19"/>
      <c r="I1048055" s="19"/>
      <c r="J1048055" s="19"/>
      <c r="K1048055" s="19"/>
      <c r="L1048055" s="19"/>
      <c r="M1048055" s="19"/>
      <c r="N1048055" s="19"/>
    </row>
    <row r="1048056" spans="1:14" s="83" customFormat="1" ht="12.75">
      <c r="A1048056" s="19"/>
      <c r="B1048056" s="19"/>
      <c r="C1048056" s="19"/>
      <c r="D1048056" s="19"/>
      <c r="E1048056" s="19"/>
      <c r="F1048056" s="19"/>
      <c r="G1048056" s="19"/>
      <c r="H1048056" s="19"/>
      <c r="I1048056" s="19"/>
      <c r="J1048056" s="19"/>
      <c r="K1048056" s="19"/>
      <c r="L1048056" s="19"/>
      <c r="M1048056" s="19"/>
      <c r="N1048056" s="19"/>
    </row>
    <row r="1048057" spans="1:14" s="83" customFormat="1" ht="12.75">
      <c r="A1048057" s="19"/>
      <c r="B1048057" s="19"/>
      <c r="C1048057" s="19"/>
      <c r="D1048057" s="19"/>
      <c r="E1048057" s="19"/>
      <c r="F1048057" s="19"/>
      <c r="G1048057" s="19"/>
      <c r="H1048057" s="19"/>
      <c r="I1048057" s="19"/>
      <c r="J1048057" s="19"/>
      <c r="K1048057" s="19"/>
      <c r="L1048057" s="19"/>
      <c r="M1048057" s="19"/>
      <c r="N1048057" s="19"/>
    </row>
    <row r="1048058" spans="1:14" s="83" customFormat="1" ht="12.75">
      <c r="A1048058" s="19"/>
      <c r="B1048058" s="19"/>
      <c r="C1048058" s="19"/>
      <c r="D1048058" s="19"/>
      <c r="E1048058" s="19"/>
      <c r="F1048058" s="19"/>
      <c r="G1048058" s="19"/>
      <c r="H1048058" s="19"/>
      <c r="I1048058" s="19"/>
      <c r="J1048058" s="19"/>
      <c r="K1048058" s="19"/>
      <c r="L1048058" s="19"/>
      <c r="M1048058" s="19"/>
      <c r="N1048058" s="19"/>
    </row>
    <row r="1048059" spans="1:14" s="83" customFormat="1" ht="12.75">
      <c r="A1048059" s="19"/>
      <c r="B1048059" s="19"/>
      <c r="C1048059" s="19"/>
      <c r="D1048059" s="19"/>
      <c r="E1048059" s="19"/>
      <c r="F1048059" s="19"/>
      <c r="G1048059" s="19"/>
      <c r="H1048059" s="19"/>
      <c r="I1048059" s="19"/>
      <c r="J1048059" s="19"/>
      <c r="K1048059" s="19"/>
      <c r="L1048059" s="19"/>
      <c r="M1048059" s="19"/>
      <c r="N1048059" s="19"/>
    </row>
    <row r="1048060" spans="1:14" s="83" customFormat="1" ht="12.75">
      <c r="A1048060" s="19"/>
      <c r="B1048060" s="19"/>
      <c r="C1048060" s="19"/>
      <c r="D1048060" s="19"/>
      <c r="E1048060" s="19"/>
      <c r="F1048060" s="19"/>
      <c r="G1048060" s="19"/>
      <c r="H1048060" s="19"/>
      <c r="I1048060" s="19"/>
      <c r="J1048060" s="19"/>
      <c r="K1048060" s="19"/>
      <c r="L1048060" s="19"/>
      <c r="M1048060" s="19"/>
      <c r="N1048060" s="19"/>
    </row>
    <row r="1048061" spans="1:14" s="83" customFormat="1" ht="12.75">
      <c r="A1048061" s="19"/>
      <c r="B1048061" s="19"/>
      <c r="C1048061" s="19"/>
      <c r="D1048061" s="19"/>
      <c r="E1048061" s="19"/>
      <c r="F1048061" s="19"/>
      <c r="G1048061" s="19"/>
      <c r="H1048061" s="19"/>
      <c r="I1048061" s="19"/>
      <c r="J1048061" s="19"/>
      <c r="K1048061" s="19"/>
      <c r="L1048061" s="19"/>
      <c r="M1048061" s="19"/>
      <c r="N1048061" s="19"/>
    </row>
    <row r="1048062" spans="1:14" s="83" customFormat="1" ht="12.75">
      <c r="A1048062" s="19"/>
      <c r="B1048062" s="19"/>
      <c r="C1048062" s="19"/>
      <c r="D1048062" s="19"/>
      <c r="E1048062" s="19"/>
      <c r="F1048062" s="19"/>
      <c r="G1048062" s="19"/>
      <c r="H1048062" s="19"/>
      <c r="I1048062" s="19"/>
      <c r="J1048062" s="19"/>
      <c r="K1048062" s="19"/>
      <c r="L1048062" s="19"/>
      <c r="M1048062" s="19"/>
      <c r="N1048062" s="19"/>
    </row>
    <row r="1048063" spans="1:14" s="83" customFormat="1" ht="12.75">
      <c r="A1048063" s="19"/>
      <c r="B1048063" s="19"/>
      <c r="C1048063" s="19"/>
      <c r="D1048063" s="19"/>
      <c r="E1048063" s="19"/>
      <c r="F1048063" s="19"/>
      <c r="G1048063" s="19"/>
      <c r="H1048063" s="19"/>
      <c r="I1048063" s="19"/>
      <c r="J1048063" s="19"/>
      <c r="K1048063" s="19"/>
      <c r="L1048063" s="19"/>
      <c r="M1048063" s="19"/>
      <c r="N1048063" s="19"/>
    </row>
    <row r="1048064" spans="1:14" s="83" customFormat="1" ht="12.75">
      <c r="A1048064" s="19"/>
      <c r="B1048064" s="19"/>
      <c r="C1048064" s="19"/>
      <c r="D1048064" s="19"/>
      <c r="E1048064" s="19"/>
      <c r="F1048064" s="19"/>
      <c r="G1048064" s="19"/>
      <c r="H1048064" s="19"/>
      <c r="I1048064" s="19"/>
      <c r="J1048064" s="19"/>
      <c r="K1048064" s="19"/>
      <c r="L1048064" s="19"/>
      <c r="M1048064" s="19"/>
      <c r="N1048064" s="19"/>
    </row>
    <row r="1048065" spans="1:14" s="83" customFormat="1" ht="12.75">
      <c r="A1048065" s="19"/>
      <c r="B1048065" s="19"/>
      <c r="C1048065" s="19"/>
      <c r="D1048065" s="19"/>
      <c r="E1048065" s="19"/>
      <c r="F1048065" s="19"/>
      <c r="G1048065" s="19"/>
      <c r="H1048065" s="19"/>
      <c r="I1048065" s="19"/>
      <c r="J1048065" s="19"/>
      <c r="K1048065" s="19"/>
      <c r="L1048065" s="19"/>
      <c r="M1048065" s="19"/>
      <c r="N1048065" s="19"/>
    </row>
    <row r="1048066" spans="1:14" s="83" customFormat="1" ht="12.75">
      <c r="A1048066" s="19"/>
      <c r="B1048066" s="19"/>
      <c r="C1048066" s="19"/>
      <c r="D1048066" s="19"/>
      <c r="E1048066" s="19"/>
      <c r="F1048066" s="19"/>
      <c r="G1048066" s="19"/>
      <c r="H1048066" s="19"/>
      <c r="I1048066" s="19"/>
      <c r="J1048066" s="19"/>
      <c r="K1048066" s="19"/>
      <c r="L1048066" s="19"/>
      <c r="M1048066" s="19"/>
      <c r="N1048066" s="19"/>
    </row>
    <row r="1048067" spans="1:14" s="83" customFormat="1" ht="12.75">
      <c r="A1048067" s="19"/>
      <c r="B1048067" s="19"/>
      <c r="C1048067" s="19"/>
      <c r="D1048067" s="19"/>
      <c r="E1048067" s="19"/>
      <c r="F1048067" s="19"/>
      <c r="G1048067" s="19"/>
      <c r="H1048067" s="19"/>
      <c r="I1048067" s="19"/>
      <c r="J1048067" s="19"/>
      <c r="K1048067" s="19"/>
      <c r="L1048067" s="19"/>
      <c r="M1048067" s="19"/>
      <c r="N1048067" s="19"/>
    </row>
    <row r="1048068" spans="1:14" s="83" customFormat="1" ht="12.75">
      <c r="A1048068" s="19"/>
      <c r="B1048068" s="19"/>
      <c r="C1048068" s="19"/>
      <c r="D1048068" s="19"/>
      <c r="E1048068" s="19"/>
      <c r="F1048068" s="19"/>
      <c r="G1048068" s="19"/>
      <c r="H1048068" s="19"/>
      <c r="I1048068" s="19"/>
      <c r="J1048068" s="19"/>
      <c r="K1048068" s="19"/>
      <c r="L1048068" s="19"/>
      <c r="M1048068" s="19"/>
      <c r="N1048068" s="19"/>
    </row>
    <row r="1048069" spans="1:14" s="83" customFormat="1" ht="12.75">
      <c r="A1048069" s="19"/>
      <c r="B1048069" s="19"/>
      <c r="C1048069" s="19"/>
      <c r="D1048069" s="19"/>
      <c r="E1048069" s="19"/>
      <c r="F1048069" s="19"/>
      <c r="G1048069" s="19"/>
      <c r="H1048069" s="19"/>
      <c r="I1048069" s="19"/>
      <c r="J1048069" s="19"/>
      <c r="K1048069" s="19"/>
      <c r="L1048069" s="19"/>
      <c r="M1048069" s="19"/>
      <c r="N1048069" s="19"/>
    </row>
    <row r="1048070" spans="1:14" s="83" customFormat="1" ht="12.75">
      <c r="A1048070" s="19"/>
      <c r="B1048070" s="19"/>
      <c r="C1048070" s="19"/>
      <c r="D1048070" s="19"/>
      <c r="E1048070" s="19"/>
      <c r="F1048070" s="19"/>
      <c r="G1048070" s="19"/>
      <c r="H1048070" s="19"/>
      <c r="I1048070" s="19"/>
      <c r="J1048070" s="19"/>
      <c r="K1048070" s="19"/>
      <c r="L1048070" s="19"/>
      <c r="M1048070" s="19"/>
      <c r="N1048070" s="19"/>
    </row>
    <row r="1048071" spans="1:14" s="83" customFormat="1" ht="12.75">
      <c r="A1048071" s="19"/>
      <c r="B1048071" s="19"/>
      <c r="C1048071" s="19"/>
      <c r="D1048071" s="19"/>
      <c r="E1048071" s="19"/>
      <c r="F1048071" s="19"/>
      <c r="G1048071" s="19"/>
      <c r="H1048071" s="19"/>
      <c r="I1048071" s="19"/>
      <c r="J1048071" s="19"/>
      <c r="K1048071" s="19"/>
      <c r="L1048071" s="19"/>
      <c r="M1048071" s="19"/>
      <c r="N1048071" s="19"/>
    </row>
    <row r="1048072" spans="1:14" s="83" customFormat="1" ht="12.75">
      <c r="A1048072" s="19"/>
      <c r="B1048072" s="19"/>
      <c r="C1048072" s="19"/>
      <c r="D1048072" s="19"/>
      <c r="E1048072" s="19"/>
      <c r="F1048072" s="19"/>
      <c r="G1048072" s="19"/>
      <c r="H1048072" s="19"/>
      <c r="I1048072" s="19"/>
      <c r="J1048072" s="19"/>
      <c r="K1048072" s="19"/>
      <c r="L1048072" s="19"/>
      <c r="M1048072" s="19"/>
      <c r="N1048072" s="19"/>
    </row>
    <row r="1048073" spans="1:14" s="83" customFormat="1" ht="12.75">
      <c r="A1048073" s="19"/>
      <c r="B1048073" s="19"/>
      <c r="C1048073" s="19"/>
      <c r="D1048073" s="19"/>
      <c r="E1048073" s="19"/>
      <c r="F1048073" s="19"/>
      <c r="G1048073" s="19"/>
      <c r="H1048073" s="19"/>
      <c r="I1048073" s="19"/>
      <c r="J1048073" s="19"/>
      <c r="K1048073" s="19"/>
      <c r="L1048073" s="19"/>
      <c r="M1048073" s="19"/>
      <c r="N1048073" s="19"/>
    </row>
    <row r="1048074" spans="1:14" s="83" customFormat="1" ht="12.75">
      <c r="A1048074" s="19"/>
      <c r="B1048074" s="19"/>
      <c r="C1048074" s="19"/>
      <c r="D1048074" s="19"/>
      <c r="E1048074" s="19"/>
      <c r="F1048074" s="19"/>
      <c r="G1048074" s="19"/>
      <c r="H1048074" s="19"/>
      <c r="I1048074" s="19"/>
      <c r="J1048074" s="19"/>
      <c r="K1048074" s="19"/>
      <c r="L1048074" s="19"/>
      <c r="M1048074" s="19"/>
      <c r="N1048074" s="19"/>
    </row>
    <row r="1048075" spans="1:14" s="83" customFormat="1" ht="12.75">
      <c r="A1048075" s="19"/>
      <c r="B1048075" s="19"/>
      <c r="C1048075" s="19"/>
      <c r="D1048075" s="19"/>
      <c r="E1048075" s="19"/>
      <c r="F1048075" s="19"/>
      <c r="G1048075" s="19"/>
      <c r="H1048075" s="19"/>
      <c r="I1048075" s="19"/>
      <c r="J1048075" s="19"/>
      <c r="K1048075" s="19"/>
      <c r="L1048075" s="19"/>
      <c r="M1048075" s="19"/>
      <c r="N1048075" s="19"/>
    </row>
    <row r="1048076" spans="1:14" s="83" customFormat="1" ht="12.75">
      <c r="A1048076" s="19"/>
      <c r="B1048076" s="19"/>
      <c r="C1048076" s="19"/>
      <c r="D1048076" s="19"/>
      <c r="E1048076" s="19"/>
      <c r="F1048076" s="19"/>
      <c r="G1048076" s="19"/>
      <c r="H1048076" s="19"/>
      <c r="I1048076" s="19"/>
      <c r="J1048076" s="19"/>
      <c r="K1048076" s="19"/>
      <c r="L1048076" s="19"/>
      <c r="M1048076" s="19"/>
      <c r="N1048076" s="19"/>
    </row>
    <row r="1048077" spans="1:14" s="83" customFormat="1" ht="12.75">
      <c r="A1048077" s="19"/>
      <c r="B1048077" s="19"/>
      <c r="C1048077" s="19"/>
      <c r="D1048077" s="19"/>
      <c r="E1048077" s="19"/>
      <c r="F1048077" s="19"/>
      <c r="G1048077" s="19"/>
      <c r="H1048077" s="19"/>
      <c r="I1048077" s="19"/>
      <c r="J1048077" s="19"/>
      <c r="K1048077" s="19"/>
      <c r="L1048077" s="19"/>
      <c r="M1048077" s="19"/>
      <c r="N1048077" s="19"/>
    </row>
    <row r="1048078" spans="1:14" s="83" customFormat="1" ht="12.75">
      <c r="A1048078" s="19"/>
      <c r="B1048078" s="19"/>
      <c r="C1048078" s="19"/>
      <c r="D1048078" s="19"/>
      <c r="E1048078" s="19"/>
      <c r="F1048078" s="19"/>
      <c r="G1048078" s="19"/>
      <c r="H1048078" s="19"/>
      <c r="I1048078" s="19"/>
      <c r="J1048078" s="19"/>
      <c r="K1048078" s="19"/>
      <c r="L1048078" s="19"/>
      <c r="M1048078" s="19"/>
      <c r="N1048078" s="19"/>
    </row>
    <row r="1048079" spans="1:14" s="83" customFormat="1" ht="12.75">
      <c r="A1048079" s="19"/>
      <c r="B1048079" s="19"/>
      <c r="C1048079" s="19"/>
      <c r="D1048079" s="19"/>
      <c r="E1048079" s="19"/>
      <c r="F1048079" s="19"/>
      <c r="G1048079" s="19"/>
      <c r="H1048079" s="19"/>
      <c r="I1048079" s="19"/>
      <c r="J1048079" s="19"/>
      <c r="K1048079" s="19"/>
      <c r="L1048079" s="19"/>
      <c r="M1048079" s="19"/>
      <c r="N1048079" s="19"/>
    </row>
    <row r="1048080" spans="1:14" s="83" customFormat="1" ht="12.75">
      <c r="A1048080" s="19"/>
      <c r="B1048080" s="19"/>
      <c r="C1048080" s="19"/>
      <c r="D1048080" s="19"/>
      <c r="E1048080" s="19"/>
      <c r="F1048080" s="19"/>
      <c r="G1048080" s="19"/>
      <c r="H1048080" s="19"/>
      <c r="I1048080" s="19"/>
      <c r="J1048080" s="19"/>
      <c r="K1048080" s="19"/>
      <c r="L1048080" s="19"/>
      <c r="M1048080" s="19"/>
      <c r="N1048080" s="19"/>
    </row>
    <row r="1048081" spans="1:14" s="83" customFormat="1" ht="12.75">
      <c r="A1048081" s="19"/>
      <c r="B1048081" s="19"/>
      <c r="C1048081" s="19"/>
      <c r="D1048081" s="19"/>
      <c r="E1048081" s="19"/>
      <c r="F1048081" s="19"/>
      <c r="G1048081" s="19"/>
      <c r="H1048081" s="19"/>
      <c r="I1048081" s="19"/>
      <c r="J1048081" s="19"/>
      <c r="K1048081" s="19"/>
      <c r="L1048081" s="19"/>
      <c r="M1048081" s="19"/>
      <c r="N1048081" s="19"/>
    </row>
    <row r="1048082" spans="1:14" s="83" customFormat="1" ht="12.75">
      <c r="A1048082" s="19"/>
      <c r="B1048082" s="19"/>
      <c r="C1048082" s="19"/>
      <c r="D1048082" s="19"/>
      <c r="E1048082" s="19"/>
      <c r="F1048082" s="19"/>
      <c r="G1048082" s="19"/>
      <c r="H1048082" s="19"/>
      <c r="I1048082" s="19"/>
      <c r="J1048082" s="19"/>
      <c r="K1048082" s="19"/>
      <c r="L1048082" s="19"/>
      <c r="M1048082" s="19"/>
      <c r="N1048082" s="19"/>
    </row>
    <row r="1048083" spans="1:14" s="83" customFormat="1" ht="12.75">
      <c r="A1048083" s="19"/>
      <c r="B1048083" s="19"/>
      <c r="C1048083" s="19"/>
      <c r="D1048083" s="19"/>
      <c r="E1048083" s="19"/>
      <c r="F1048083" s="19"/>
      <c r="G1048083" s="19"/>
      <c r="H1048083" s="19"/>
      <c r="I1048083" s="19"/>
      <c r="J1048083" s="19"/>
      <c r="K1048083" s="19"/>
      <c r="L1048083" s="19"/>
      <c r="M1048083" s="19"/>
      <c r="N1048083" s="19"/>
    </row>
    <row r="1048084" spans="1:14" s="83" customFormat="1" ht="12.75">
      <c r="A1048084" s="19"/>
      <c r="B1048084" s="19"/>
      <c r="C1048084" s="19"/>
      <c r="D1048084" s="19"/>
      <c r="E1048084" s="19"/>
      <c r="F1048084" s="19"/>
      <c r="G1048084" s="19"/>
      <c r="H1048084" s="19"/>
      <c r="I1048084" s="19"/>
      <c r="J1048084" s="19"/>
      <c r="K1048084" s="19"/>
      <c r="L1048084" s="19"/>
      <c r="M1048084" s="19"/>
      <c r="N1048084" s="19"/>
    </row>
    <row r="1048085" spans="1:14" s="83" customFormat="1" ht="12.75">
      <c r="A1048085" s="19"/>
      <c r="B1048085" s="19"/>
      <c r="C1048085" s="19"/>
      <c r="D1048085" s="19"/>
      <c r="E1048085" s="19"/>
      <c r="F1048085" s="19"/>
      <c r="G1048085" s="19"/>
      <c r="H1048085" s="19"/>
      <c r="I1048085" s="19"/>
      <c r="J1048085" s="19"/>
      <c r="K1048085" s="19"/>
      <c r="L1048085" s="19"/>
      <c r="M1048085" s="19"/>
      <c r="N1048085" s="19"/>
    </row>
    <row r="1048086" spans="1:14" s="83" customFormat="1" ht="12.75">
      <c r="A1048086" s="19"/>
      <c r="B1048086" s="19"/>
      <c r="C1048086" s="19"/>
      <c r="D1048086" s="19"/>
      <c r="E1048086" s="19"/>
      <c r="F1048086" s="19"/>
      <c r="G1048086" s="19"/>
      <c r="H1048086" s="19"/>
      <c r="I1048086" s="19"/>
      <c r="J1048086" s="19"/>
      <c r="K1048086" s="19"/>
      <c r="L1048086" s="19"/>
      <c r="M1048086" s="19"/>
      <c r="N1048086" s="19"/>
    </row>
    <row r="1048087" spans="1:14" s="83" customFormat="1" ht="12.75">
      <c r="A1048087" s="19"/>
      <c r="B1048087" s="19"/>
      <c r="C1048087" s="19"/>
      <c r="D1048087" s="19"/>
      <c r="E1048087" s="19"/>
      <c r="F1048087" s="19"/>
      <c r="G1048087" s="19"/>
      <c r="H1048087" s="19"/>
      <c r="I1048087" s="19"/>
      <c r="J1048087" s="19"/>
      <c r="K1048087" s="19"/>
      <c r="L1048087" s="19"/>
      <c r="M1048087" s="19"/>
      <c r="N1048087" s="19"/>
    </row>
    <row r="1048088" spans="1:14" s="83" customFormat="1" ht="12.75">
      <c r="A1048088" s="19"/>
      <c r="B1048088" s="19"/>
      <c r="C1048088" s="19"/>
      <c r="D1048088" s="19"/>
      <c r="E1048088" s="19"/>
      <c r="F1048088" s="19"/>
      <c r="G1048088" s="19"/>
      <c r="H1048088" s="19"/>
      <c r="I1048088" s="19"/>
      <c r="J1048088" s="19"/>
      <c r="K1048088" s="19"/>
      <c r="L1048088" s="19"/>
      <c r="M1048088" s="19"/>
      <c r="N1048088" s="19"/>
    </row>
    <row r="1048089" spans="1:14" s="83" customFormat="1" ht="12.75">
      <c r="A1048089" s="19"/>
      <c r="B1048089" s="19"/>
      <c r="C1048089" s="19"/>
      <c r="D1048089" s="19"/>
      <c r="E1048089" s="19"/>
      <c r="F1048089" s="19"/>
      <c r="G1048089" s="19"/>
      <c r="H1048089" s="19"/>
      <c r="I1048089" s="19"/>
      <c r="J1048089" s="19"/>
      <c r="K1048089" s="19"/>
      <c r="L1048089" s="19"/>
      <c r="M1048089" s="19"/>
      <c r="N1048089" s="19"/>
    </row>
    <row r="1048090" spans="1:14" s="83" customFormat="1" ht="12.75">
      <c r="A1048090" s="19"/>
      <c r="B1048090" s="19"/>
      <c r="C1048090" s="19"/>
      <c r="D1048090" s="19"/>
      <c r="E1048090" s="19"/>
      <c r="F1048090" s="19"/>
      <c r="G1048090" s="19"/>
      <c r="H1048090" s="19"/>
      <c r="I1048090" s="19"/>
      <c r="J1048090" s="19"/>
      <c r="K1048090" s="19"/>
      <c r="L1048090" s="19"/>
      <c r="M1048090" s="19"/>
      <c r="N1048090" s="19"/>
    </row>
    <row r="1048091" spans="1:14" s="83" customFormat="1" ht="12.75">
      <c r="A1048091" s="19"/>
      <c r="B1048091" s="19"/>
      <c r="C1048091" s="19"/>
      <c r="D1048091" s="19"/>
      <c r="E1048091" s="19"/>
      <c r="F1048091" s="19"/>
      <c r="G1048091" s="19"/>
      <c r="H1048091" s="19"/>
      <c r="I1048091" s="19"/>
      <c r="J1048091" s="19"/>
      <c r="K1048091" s="19"/>
      <c r="L1048091" s="19"/>
      <c r="M1048091" s="19"/>
      <c r="N1048091" s="19"/>
    </row>
    <row r="1048092" spans="1:14" s="83" customFormat="1" ht="12.75">
      <c r="A1048092" s="19"/>
      <c r="B1048092" s="19"/>
      <c r="C1048092" s="19"/>
      <c r="D1048092" s="19"/>
      <c r="E1048092" s="19"/>
      <c r="F1048092" s="19"/>
      <c r="G1048092" s="19"/>
      <c r="H1048092" s="19"/>
      <c r="I1048092" s="19"/>
      <c r="J1048092" s="19"/>
      <c r="K1048092" s="19"/>
      <c r="L1048092" s="19"/>
      <c r="M1048092" s="19"/>
      <c r="N1048092" s="19"/>
    </row>
    <row r="1048093" spans="1:14" s="83" customFormat="1" ht="12.75">
      <c r="A1048093" s="19"/>
      <c r="B1048093" s="19"/>
      <c r="C1048093" s="19"/>
      <c r="D1048093" s="19"/>
      <c r="E1048093" s="19"/>
      <c r="F1048093" s="19"/>
      <c r="G1048093" s="19"/>
      <c r="H1048093" s="19"/>
      <c r="I1048093" s="19"/>
      <c r="J1048093" s="19"/>
      <c r="K1048093" s="19"/>
      <c r="L1048093" s="19"/>
      <c r="M1048093" s="19"/>
      <c r="N1048093" s="19"/>
    </row>
    <row r="1048094" spans="1:14" s="83" customFormat="1" ht="12.75">
      <c r="A1048094" s="19"/>
      <c r="B1048094" s="19"/>
      <c r="C1048094" s="19"/>
      <c r="D1048094" s="19"/>
      <c r="E1048094" s="19"/>
      <c r="F1048094" s="19"/>
      <c r="G1048094" s="19"/>
      <c r="H1048094" s="19"/>
      <c r="I1048094" s="19"/>
      <c r="J1048094" s="19"/>
      <c r="K1048094" s="19"/>
      <c r="L1048094" s="19"/>
      <c r="M1048094" s="19"/>
      <c r="N1048094" s="19"/>
    </row>
    <row r="1048095" spans="1:14" s="83" customFormat="1" ht="12.75">
      <c r="A1048095" s="19"/>
      <c r="B1048095" s="19"/>
      <c r="C1048095" s="19"/>
      <c r="D1048095" s="19"/>
      <c r="E1048095" s="19"/>
      <c r="F1048095" s="19"/>
      <c r="G1048095" s="19"/>
      <c r="H1048095" s="19"/>
      <c r="I1048095" s="19"/>
      <c r="J1048095" s="19"/>
      <c r="K1048095" s="19"/>
      <c r="L1048095" s="19"/>
      <c r="M1048095" s="19"/>
      <c r="N1048095" s="19"/>
    </row>
    <row r="1048096" spans="1:14" s="83" customFormat="1" ht="12.75">
      <c r="A1048096" s="19"/>
      <c r="B1048096" s="19"/>
      <c r="C1048096" s="19"/>
      <c r="D1048096" s="19"/>
      <c r="E1048096" s="19"/>
      <c r="F1048096" s="19"/>
      <c r="G1048096" s="19"/>
      <c r="H1048096" s="19"/>
      <c r="I1048096" s="19"/>
      <c r="J1048096" s="19"/>
      <c r="K1048096" s="19"/>
      <c r="L1048096" s="19"/>
      <c r="M1048096" s="19"/>
      <c r="N1048096" s="19"/>
    </row>
    <row r="1048097" spans="1:14" s="83" customFormat="1" ht="12.75">
      <c r="A1048097" s="19"/>
      <c r="B1048097" s="19"/>
      <c r="C1048097" s="19"/>
      <c r="D1048097" s="19"/>
      <c r="E1048097" s="19"/>
      <c r="F1048097" s="19"/>
      <c r="G1048097" s="19"/>
      <c r="H1048097" s="19"/>
      <c r="I1048097" s="19"/>
      <c r="J1048097" s="19"/>
      <c r="K1048097" s="19"/>
      <c r="L1048097" s="19"/>
      <c r="M1048097" s="19"/>
      <c r="N1048097" s="19"/>
    </row>
    <row r="1048098" spans="1:14" s="83" customFormat="1" ht="12.75">
      <c r="A1048098" s="19"/>
      <c r="B1048098" s="19"/>
      <c r="C1048098" s="19"/>
      <c r="D1048098" s="19"/>
      <c r="E1048098" s="19"/>
      <c r="F1048098" s="19"/>
      <c r="G1048098" s="19"/>
      <c r="H1048098" s="19"/>
      <c r="I1048098" s="19"/>
      <c r="J1048098" s="19"/>
      <c r="K1048098" s="19"/>
      <c r="L1048098" s="19"/>
      <c r="M1048098" s="19"/>
      <c r="N1048098" s="19"/>
    </row>
    <row r="1048099" spans="1:14" s="83" customFormat="1" ht="12.75">
      <c r="A1048099" s="19"/>
      <c r="B1048099" s="19"/>
      <c r="C1048099" s="19"/>
      <c r="D1048099" s="19"/>
      <c r="E1048099" s="19"/>
      <c r="F1048099" s="19"/>
      <c r="G1048099" s="19"/>
      <c r="H1048099" s="19"/>
      <c r="I1048099" s="19"/>
      <c r="J1048099" s="19"/>
      <c r="K1048099" s="19"/>
      <c r="L1048099" s="19"/>
      <c r="M1048099" s="19"/>
      <c r="N1048099" s="19"/>
    </row>
    <row r="1048100" spans="1:14" s="83" customFormat="1" ht="12.75">
      <c r="A1048100" s="19"/>
      <c r="B1048100" s="19"/>
      <c r="C1048100" s="19"/>
      <c r="D1048100" s="19"/>
      <c r="E1048100" s="19"/>
      <c r="F1048100" s="19"/>
      <c r="G1048100" s="19"/>
      <c r="H1048100" s="19"/>
      <c r="I1048100" s="19"/>
      <c r="J1048100" s="19"/>
      <c r="K1048100" s="19"/>
      <c r="L1048100" s="19"/>
      <c r="M1048100" s="19"/>
      <c r="N1048100" s="19"/>
    </row>
    <row r="1048101" spans="1:14" s="83" customFormat="1" ht="12.75">
      <c r="A1048101" s="19"/>
      <c r="B1048101" s="19"/>
      <c r="C1048101" s="19"/>
      <c r="D1048101" s="19"/>
      <c r="E1048101" s="19"/>
      <c r="F1048101" s="19"/>
      <c r="G1048101" s="19"/>
      <c r="H1048101" s="19"/>
      <c r="I1048101" s="19"/>
      <c r="J1048101" s="19"/>
      <c r="K1048101" s="19"/>
      <c r="L1048101" s="19"/>
      <c r="M1048101" s="19"/>
      <c r="N1048101" s="19"/>
    </row>
    <row r="1048102" spans="1:14" s="83" customFormat="1" ht="12.75">
      <c r="A1048102" s="19"/>
      <c r="B1048102" s="19"/>
      <c r="C1048102" s="19"/>
      <c r="D1048102" s="19"/>
      <c r="E1048102" s="19"/>
      <c r="F1048102" s="19"/>
      <c r="G1048102" s="19"/>
      <c r="H1048102" s="19"/>
      <c r="I1048102" s="19"/>
      <c r="J1048102" s="19"/>
      <c r="K1048102" s="19"/>
      <c r="L1048102" s="19"/>
      <c r="M1048102" s="19"/>
      <c r="N1048102" s="19"/>
    </row>
    <row r="1048103" spans="1:14" s="83" customFormat="1" ht="12.75">
      <c r="A1048103" s="19"/>
      <c r="B1048103" s="19"/>
      <c r="C1048103" s="19"/>
      <c r="D1048103" s="19"/>
      <c r="E1048103" s="19"/>
      <c r="F1048103" s="19"/>
      <c r="G1048103" s="19"/>
      <c r="H1048103" s="19"/>
      <c r="I1048103" s="19"/>
      <c r="J1048103" s="19"/>
      <c r="K1048103" s="19"/>
      <c r="L1048103" s="19"/>
      <c r="M1048103" s="19"/>
      <c r="N1048103" s="19"/>
    </row>
    <row r="1048104" spans="1:14" s="83" customFormat="1" ht="12.75">
      <c r="A1048104" s="19"/>
      <c r="B1048104" s="19"/>
      <c r="C1048104" s="19"/>
      <c r="D1048104" s="19"/>
      <c r="E1048104" s="19"/>
      <c r="F1048104" s="19"/>
      <c r="G1048104" s="19"/>
      <c r="H1048104" s="19"/>
      <c r="I1048104" s="19"/>
      <c r="J1048104" s="19"/>
      <c r="K1048104" s="19"/>
      <c r="L1048104" s="19"/>
      <c r="M1048104" s="19"/>
      <c r="N1048104" s="19"/>
    </row>
    <row r="1048105" spans="1:14" s="83" customFormat="1" ht="12.75">
      <c r="A1048105" s="19"/>
      <c r="B1048105" s="19"/>
      <c r="C1048105" s="19"/>
      <c r="D1048105" s="19"/>
      <c r="E1048105" s="19"/>
      <c r="F1048105" s="19"/>
      <c r="G1048105" s="19"/>
      <c r="H1048105" s="19"/>
      <c r="I1048105" s="19"/>
      <c r="J1048105" s="19"/>
      <c r="K1048105" s="19"/>
      <c r="L1048105" s="19"/>
      <c r="M1048105" s="19"/>
      <c r="N1048105" s="19"/>
    </row>
    <row r="1048106" spans="1:14" s="83" customFormat="1" ht="12.75">
      <c r="A1048106" s="19"/>
      <c r="B1048106" s="19"/>
      <c r="C1048106" s="19"/>
      <c r="D1048106" s="19"/>
      <c r="E1048106" s="19"/>
      <c r="F1048106" s="19"/>
      <c r="G1048106" s="19"/>
      <c r="H1048106" s="19"/>
      <c r="I1048106" s="19"/>
      <c r="J1048106" s="19"/>
      <c r="K1048106" s="19"/>
      <c r="L1048106" s="19"/>
      <c r="M1048106" s="19"/>
      <c r="N1048106" s="19"/>
    </row>
    <row r="1048107" spans="1:14" s="83" customFormat="1" ht="12.75">
      <c r="A1048107" s="19"/>
      <c r="B1048107" s="19"/>
      <c r="C1048107" s="19"/>
      <c r="D1048107" s="19"/>
      <c r="E1048107" s="19"/>
      <c r="F1048107" s="19"/>
      <c r="G1048107" s="19"/>
      <c r="H1048107" s="19"/>
      <c r="I1048107" s="19"/>
      <c r="J1048107" s="19"/>
      <c r="K1048107" s="19"/>
      <c r="L1048107" s="19"/>
      <c r="M1048107" s="19"/>
      <c r="N1048107" s="19"/>
    </row>
    <row r="1048108" spans="1:14" s="83" customFormat="1" ht="12.75">
      <c r="A1048108" s="19"/>
      <c r="B1048108" s="19"/>
      <c r="C1048108" s="19"/>
      <c r="D1048108" s="19"/>
      <c r="E1048108" s="19"/>
      <c r="F1048108" s="19"/>
      <c r="G1048108" s="19"/>
      <c r="H1048108" s="19"/>
      <c r="I1048108" s="19"/>
      <c r="J1048108" s="19"/>
      <c r="K1048108" s="19"/>
      <c r="L1048108" s="19"/>
      <c r="M1048108" s="19"/>
      <c r="N1048108" s="19"/>
    </row>
    <row r="1048109" spans="1:14" s="83" customFormat="1" ht="12.75">
      <c r="A1048109" s="19"/>
      <c r="B1048109" s="19"/>
      <c r="C1048109" s="19"/>
      <c r="D1048109" s="19"/>
      <c r="E1048109" s="19"/>
      <c r="F1048109" s="19"/>
      <c r="G1048109" s="19"/>
      <c r="H1048109" s="19"/>
      <c r="I1048109" s="19"/>
      <c r="J1048109" s="19"/>
      <c r="K1048109" s="19"/>
      <c r="L1048109" s="19"/>
      <c r="M1048109" s="19"/>
      <c r="N1048109" s="19"/>
    </row>
    <row r="1048110" spans="1:14" s="83" customFormat="1" ht="12.75">
      <c r="A1048110" s="19"/>
      <c r="B1048110" s="19"/>
      <c r="C1048110" s="19"/>
      <c r="D1048110" s="19"/>
      <c r="E1048110" s="19"/>
      <c r="F1048110" s="19"/>
      <c r="G1048110" s="19"/>
      <c r="H1048110" s="19"/>
      <c r="I1048110" s="19"/>
      <c r="J1048110" s="19"/>
      <c r="K1048110" s="19"/>
      <c r="L1048110" s="19"/>
      <c r="M1048110" s="19"/>
      <c r="N1048110" s="19"/>
    </row>
    <row r="1048111" spans="1:14" s="83" customFormat="1" ht="12.75">
      <c r="A1048111" s="19"/>
      <c r="B1048111" s="19"/>
      <c r="C1048111" s="19"/>
      <c r="D1048111" s="19"/>
      <c r="E1048111" s="19"/>
      <c r="F1048111" s="19"/>
      <c r="G1048111" s="19"/>
      <c r="H1048111" s="19"/>
      <c r="I1048111" s="19"/>
      <c r="J1048111" s="19"/>
      <c r="K1048111" s="19"/>
      <c r="L1048111" s="19"/>
      <c r="M1048111" s="19"/>
      <c r="N1048111" s="19"/>
    </row>
    <row r="1048112" spans="1:14" s="83" customFormat="1" ht="12.75">
      <c r="A1048112" s="19"/>
      <c r="B1048112" s="19"/>
      <c r="C1048112" s="19"/>
      <c r="D1048112" s="19"/>
      <c r="E1048112" s="19"/>
      <c r="F1048112" s="19"/>
      <c r="G1048112" s="19"/>
      <c r="H1048112" s="19"/>
      <c r="I1048112" s="19"/>
      <c r="J1048112" s="19"/>
      <c r="K1048112" s="19"/>
      <c r="L1048112" s="19"/>
      <c r="M1048112" s="19"/>
      <c r="N1048112" s="19"/>
    </row>
    <row r="1048113" spans="1:14" s="83" customFormat="1" ht="12.75">
      <c r="A1048113" s="19"/>
      <c r="B1048113" s="19"/>
      <c r="C1048113" s="19"/>
      <c r="D1048113" s="19"/>
      <c r="E1048113" s="19"/>
      <c r="F1048113" s="19"/>
      <c r="G1048113" s="19"/>
      <c r="H1048113" s="19"/>
      <c r="I1048113" s="19"/>
      <c r="J1048113" s="19"/>
      <c r="K1048113" s="19"/>
      <c r="L1048113" s="19"/>
      <c r="M1048113" s="19"/>
      <c r="N1048113" s="19"/>
    </row>
    <row r="1048114" spans="1:14" s="83" customFormat="1" ht="12.75">
      <c r="A1048114" s="19"/>
      <c r="B1048114" s="19"/>
      <c r="C1048114" s="19"/>
      <c r="D1048114" s="19"/>
      <c r="E1048114" s="19"/>
      <c r="F1048114" s="19"/>
      <c r="G1048114" s="19"/>
      <c r="H1048114" s="19"/>
      <c r="I1048114" s="19"/>
      <c r="J1048114" s="19"/>
      <c r="K1048114" s="19"/>
      <c r="L1048114" s="19"/>
      <c r="M1048114" s="19"/>
      <c r="N1048114" s="19"/>
    </row>
    <row r="1048115" spans="1:14" s="83" customFormat="1" ht="12.75">
      <c r="A1048115" s="19"/>
      <c r="B1048115" s="19"/>
      <c r="C1048115" s="19"/>
      <c r="D1048115" s="19"/>
      <c r="E1048115" s="19"/>
      <c r="F1048115" s="19"/>
      <c r="G1048115" s="19"/>
      <c r="H1048115" s="19"/>
      <c r="I1048115" s="19"/>
      <c r="J1048115" s="19"/>
      <c r="K1048115" s="19"/>
      <c r="L1048115" s="19"/>
      <c r="M1048115" s="19"/>
      <c r="N1048115" s="19"/>
    </row>
    <row r="1048116" spans="1:14" s="83" customFormat="1" ht="12.75">
      <c r="A1048116" s="19"/>
      <c r="B1048116" s="19"/>
      <c r="C1048116" s="19"/>
      <c r="D1048116" s="19"/>
      <c r="E1048116" s="19"/>
      <c r="F1048116" s="19"/>
      <c r="G1048116" s="19"/>
      <c r="H1048116" s="19"/>
      <c r="I1048116" s="19"/>
      <c r="J1048116" s="19"/>
      <c r="K1048116" s="19"/>
      <c r="L1048116" s="19"/>
      <c r="M1048116" s="19"/>
      <c r="N1048116" s="19"/>
    </row>
    <row r="1048117" spans="1:14" s="83" customFormat="1" ht="12.75">
      <c r="A1048117" s="19"/>
      <c r="B1048117" s="19"/>
      <c r="C1048117" s="19"/>
      <c r="D1048117" s="19"/>
      <c r="E1048117" s="19"/>
      <c r="F1048117" s="19"/>
      <c r="G1048117" s="19"/>
      <c r="H1048117" s="19"/>
      <c r="I1048117" s="19"/>
      <c r="J1048117" s="19"/>
      <c r="K1048117" s="19"/>
      <c r="L1048117" s="19"/>
      <c r="M1048117" s="19"/>
      <c r="N1048117" s="19"/>
    </row>
    <row r="1048118" spans="1:14" s="83" customFormat="1" ht="12.75">
      <c r="A1048118" s="19"/>
      <c r="B1048118" s="19"/>
      <c r="C1048118" s="19"/>
      <c r="D1048118" s="19"/>
      <c r="E1048118" s="19"/>
      <c r="F1048118" s="19"/>
      <c r="G1048118" s="19"/>
      <c r="H1048118" s="19"/>
      <c r="I1048118" s="19"/>
      <c r="J1048118" s="19"/>
      <c r="K1048118" s="19"/>
      <c r="L1048118" s="19"/>
      <c r="M1048118" s="19"/>
      <c r="N1048118" s="19"/>
    </row>
    <row r="1048119" spans="1:14" s="83" customFormat="1" ht="12.75">
      <c r="A1048119" s="19"/>
      <c r="B1048119" s="19"/>
      <c r="C1048119" s="19"/>
      <c r="D1048119" s="19"/>
      <c r="E1048119" s="19"/>
      <c r="F1048119" s="19"/>
      <c r="G1048119" s="19"/>
      <c r="H1048119" s="19"/>
      <c r="I1048119" s="19"/>
      <c r="J1048119" s="19"/>
      <c r="K1048119" s="19"/>
      <c r="L1048119" s="19"/>
      <c r="M1048119" s="19"/>
      <c r="N1048119" s="19"/>
    </row>
    <row r="1048120" spans="1:14" s="83" customFormat="1" ht="12.75">
      <c r="A1048120" s="19"/>
      <c r="B1048120" s="19"/>
      <c r="C1048120" s="19"/>
      <c r="D1048120" s="19"/>
      <c r="E1048120" s="19"/>
      <c r="F1048120" s="19"/>
      <c r="G1048120" s="19"/>
      <c r="H1048120" s="19"/>
      <c r="I1048120" s="19"/>
      <c r="J1048120" s="19"/>
      <c r="K1048120" s="19"/>
      <c r="L1048120" s="19"/>
      <c r="M1048120" s="19"/>
      <c r="N1048120" s="19"/>
    </row>
    <row r="1048121" spans="1:14" s="83" customFormat="1" ht="12.75">
      <c r="A1048121" s="19"/>
      <c r="B1048121" s="19"/>
      <c r="C1048121" s="19"/>
      <c r="D1048121" s="19"/>
      <c r="E1048121" s="19"/>
      <c r="F1048121" s="19"/>
      <c r="G1048121" s="19"/>
      <c r="H1048121" s="19"/>
      <c r="I1048121" s="19"/>
      <c r="J1048121" s="19"/>
      <c r="K1048121" s="19"/>
      <c r="L1048121" s="19"/>
      <c r="M1048121" s="19"/>
      <c r="N1048121" s="19"/>
    </row>
    <row r="1048122" spans="1:14" s="83" customFormat="1" ht="12.75">
      <c r="A1048122" s="19"/>
      <c r="B1048122" s="19"/>
      <c r="C1048122" s="19"/>
      <c r="D1048122" s="19"/>
      <c r="E1048122" s="19"/>
      <c r="F1048122" s="19"/>
      <c r="G1048122" s="19"/>
      <c r="H1048122" s="19"/>
      <c r="I1048122" s="19"/>
      <c r="J1048122" s="19"/>
      <c r="K1048122" s="19"/>
      <c r="L1048122" s="19"/>
      <c r="M1048122" s="19"/>
      <c r="N1048122" s="19"/>
    </row>
    <row r="1048123" spans="1:14" s="83" customFormat="1" ht="12.75">
      <c r="A1048123" s="19"/>
      <c r="B1048123" s="19"/>
      <c r="C1048123" s="19"/>
      <c r="D1048123" s="19"/>
      <c r="E1048123" s="19"/>
      <c r="F1048123" s="19"/>
      <c r="G1048123" s="19"/>
      <c r="H1048123" s="19"/>
      <c r="I1048123" s="19"/>
      <c r="J1048123" s="19"/>
      <c r="K1048123" s="19"/>
      <c r="L1048123" s="19"/>
      <c r="M1048123" s="19"/>
      <c r="N1048123" s="19"/>
    </row>
    <row r="1048124" spans="1:14" s="83" customFormat="1" ht="12.75">
      <c r="A1048124" s="19"/>
      <c r="B1048124" s="19"/>
      <c r="C1048124" s="19"/>
      <c r="D1048124" s="19"/>
      <c r="E1048124" s="19"/>
      <c r="F1048124" s="19"/>
      <c r="G1048124" s="19"/>
      <c r="H1048124" s="19"/>
      <c r="I1048124" s="19"/>
      <c r="J1048124" s="19"/>
      <c r="K1048124" s="19"/>
      <c r="L1048124" s="19"/>
      <c r="M1048124" s="19"/>
      <c r="N1048124" s="19"/>
    </row>
    <row r="1048125" spans="1:14" s="83" customFormat="1" ht="12.75">
      <c r="A1048125" s="19"/>
      <c r="B1048125" s="19"/>
      <c r="C1048125" s="19"/>
      <c r="D1048125" s="19"/>
      <c r="E1048125" s="19"/>
      <c r="F1048125" s="19"/>
      <c r="G1048125" s="19"/>
      <c r="H1048125" s="19"/>
      <c r="I1048125" s="19"/>
      <c r="J1048125" s="19"/>
      <c r="K1048125" s="19"/>
      <c r="L1048125" s="19"/>
      <c r="M1048125" s="19"/>
      <c r="N1048125" s="19"/>
    </row>
    <row r="1048126" spans="1:14" s="83" customFormat="1" ht="12.75">
      <c r="A1048126" s="19"/>
      <c r="B1048126" s="19"/>
      <c r="C1048126" s="19"/>
      <c r="D1048126" s="19"/>
      <c r="E1048126" s="19"/>
      <c r="F1048126" s="19"/>
      <c r="G1048126" s="19"/>
      <c r="H1048126" s="19"/>
      <c r="I1048126" s="19"/>
      <c r="J1048126" s="19"/>
      <c r="K1048126" s="19"/>
      <c r="L1048126" s="19"/>
      <c r="M1048126" s="19"/>
      <c r="N1048126" s="19"/>
    </row>
    <row r="1048127" spans="1:14" s="83" customFormat="1" ht="12.75">
      <c r="A1048127" s="19"/>
      <c r="B1048127" s="19"/>
      <c r="C1048127" s="19"/>
      <c r="D1048127" s="19"/>
      <c r="E1048127" s="19"/>
      <c r="F1048127" s="19"/>
      <c r="G1048127" s="19"/>
      <c r="H1048127" s="19"/>
      <c r="I1048127" s="19"/>
      <c r="J1048127" s="19"/>
      <c r="K1048127" s="19"/>
      <c r="L1048127" s="19"/>
      <c r="M1048127" s="19"/>
      <c r="N1048127" s="19"/>
    </row>
    <row r="1048128" spans="1:14" s="83" customFormat="1" ht="12.75">
      <c r="A1048128" s="19"/>
      <c r="B1048128" s="19"/>
      <c r="C1048128" s="19"/>
      <c r="D1048128" s="19"/>
      <c r="E1048128" s="19"/>
      <c r="F1048128" s="19"/>
      <c r="G1048128" s="19"/>
      <c r="H1048128" s="19"/>
      <c r="I1048128" s="19"/>
      <c r="J1048128" s="19"/>
      <c r="K1048128" s="19"/>
      <c r="L1048128" s="19"/>
      <c r="M1048128" s="19"/>
      <c r="N1048128" s="19"/>
    </row>
    <row r="1048129" spans="1:14" s="83" customFormat="1" ht="12.75">
      <c r="A1048129" s="19"/>
      <c r="B1048129" s="19"/>
      <c r="C1048129" s="19"/>
      <c r="D1048129" s="19"/>
      <c r="E1048129" s="19"/>
      <c r="F1048129" s="19"/>
      <c r="G1048129" s="19"/>
      <c r="H1048129" s="19"/>
      <c r="I1048129" s="19"/>
      <c r="J1048129" s="19"/>
      <c r="K1048129" s="19"/>
      <c r="L1048129" s="19"/>
      <c r="M1048129" s="19"/>
      <c r="N1048129" s="19"/>
    </row>
    <row r="1048130" spans="1:14" s="83" customFormat="1" ht="12.75">
      <c r="A1048130" s="19"/>
      <c r="B1048130" s="19"/>
      <c r="C1048130" s="19"/>
      <c r="D1048130" s="19"/>
      <c r="E1048130" s="19"/>
      <c r="F1048130" s="19"/>
      <c r="G1048130" s="19"/>
      <c r="H1048130" s="19"/>
      <c r="I1048130" s="19"/>
      <c r="J1048130" s="19"/>
      <c r="K1048130" s="19"/>
      <c r="L1048130" s="19"/>
      <c r="M1048130" s="19"/>
      <c r="N1048130" s="19"/>
    </row>
    <row r="1048131" spans="1:14" s="83" customFormat="1" ht="12.75">
      <c r="A1048131" s="19"/>
      <c r="B1048131" s="19"/>
      <c r="C1048131" s="19"/>
      <c r="D1048131" s="19"/>
      <c r="E1048131" s="19"/>
      <c r="F1048131" s="19"/>
      <c r="G1048131" s="19"/>
      <c r="H1048131" s="19"/>
      <c r="I1048131" s="19"/>
      <c r="J1048131" s="19"/>
      <c r="K1048131" s="19"/>
      <c r="L1048131" s="19"/>
      <c r="M1048131" s="19"/>
      <c r="N1048131" s="19"/>
    </row>
    <row r="1048132" spans="1:14" s="83" customFormat="1" ht="12.75">
      <c r="A1048132" s="19"/>
      <c r="B1048132" s="19"/>
      <c r="C1048132" s="19"/>
      <c r="D1048132" s="19"/>
      <c r="E1048132" s="19"/>
      <c r="F1048132" s="19"/>
      <c r="G1048132" s="19"/>
      <c r="H1048132" s="19"/>
      <c r="I1048132" s="19"/>
      <c r="J1048132" s="19"/>
      <c r="K1048132" s="19"/>
      <c r="L1048132" s="19"/>
      <c r="M1048132" s="19"/>
      <c r="N1048132" s="19"/>
    </row>
    <row r="1048133" spans="1:14" s="83" customFormat="1" ht="12.75">
      <c r="A1048133" s="19"/>
      <c r="B1048133" s="19"/>
      <c r="C1048133" s="19"/>
      <c r="D1048133" s="19"/>
      <c r="E1048133" s="19"/>
      <c r="F1048133" s="19"/>
      <c r="G1048133" s="19"/>
      <c r="H1048133" s="19"/>
      <c r="I1048133" s="19"/>
      <c r="J1048133" s="19"/>
      <c r="K1048133" s="19"/>
      <c r="L1048133" s="19"/>
      <c r="M1048133" s="19"/>
      <c r="N1048133" s="19"/>
    </row>
    <row r="1048134" spans="1:14" s="83" customFormat="1" ht="12.75">
      <c r="A1048134" s="19"/>
      <c r="B1048134" s="19"/>
      <c r="C1048134" s="19"/>
      <c r="D1048134" s="19"/>
      <c r="E1048134" s="19"/>
      <c r="F1048134" s="19"/>
      <c r="G1048134" s="19"/>
      <c r="H1048134" s="19"/>
      <c r="I1048134" s="19"/>
      <c r="J1048134" s="19"/>
      <c r="K1048134" s="19"/>
      <c r="L1048134" s="19"/>
      <c r="M1048134" s="19"/>
      <c r="N1048134" s="19"/>
    </row>
    <row r="1048135" spans="1:14" s="83" customFormat="1" ht="12.75">
      <c r="A1048135" s="19"/>
      <c r="B1048135" s="19"/>
      <c r="C1048135" s="19"/>
      <c r="D1048135" s="19"/>
      <c r="E1048135" s="19"/>
      <c r="F1048135" s="19"/>
      <c r="G1048135" s="19"/>
      <c r="H1048135" s="19"/>
      <c r="I1048135" s="19"/>
      <c r="J1048135" s="19"/>
      <c r="K1048135" s="19"/>
      <c r="L1048135" s="19"/>
      <c r="M1048135" s="19"/>
      <c r="N1048135" s="19"/>
    </row>
    <row r="1048136" spans="1:14" s="83" customFormat="1" ht="12.75">
      <c r="A1048136" s="19"/>
      <c r="B1048136" s="19"/>
      <c r="C1048136" s="19"/>
      <c r="D1048136" s="19"/>
      <c r="E1048136" s="19"/>
      <c r="F1048136" s="19"/>
      <c r="G1048136" s="19"/>
      <c r="H1048136" s="19"/>
      <c r="I1048136" s="19"/>
      <c r="J1048136" s="19"/>
      <c r="K1048136" s="19"/>
      <c r="L1048136" s="19"/>
      <c r="M1048136" s="19"/>
      <c r="N1048136" s="19"/>
    </row>
    <row r="1048137" spans="1:14" s="83" customFormat="1" ht="12.75">
      <c r="A1048137" s="19"/>
      <c r="B1048137" s="19"/>
      <c r="C1048137" s="19"/>
      <c r="D1048137" s="19"/>
      <c r="E1048137" s="19"/>
      <c r="F1048137" s="19"/>
      <c r="G1048137" s="19"/>
      <c r="H1048137" s="19"/>
      <c r="I1048137" s="19"/>
      <c r="J1048137" s="19"/>
      <c r="K1048137" s="19"/>
      <c r="L1048137" s="19"/>
      <c r="M1048137" s="19"/>
      <c r="N1048137" s="19"/>
    </row>
    <row r="1048138" spans="1:14" s="83" customFormat="1" ht="12.75">
      <c r="A1048138" s="19"/>
      <c r="B1048138" s="19"/>
      <c r="C1048138" s="19"/>
      <c r="D1048138" s="19"/>
      <c r="E1048138" s="19"/>
      <c r="F1048138" s="19"/>
      <c r="G1048138" s="19"/>
      <c r="H1048138" s="19"/>
      <c r="I1048138" s="19"/>
      <c r="J1048138" s="19"/>
      <c r="K1048138" s="19"/>
      <c r="L1048138" s="19"/>
      <c r="M1048138" s="19"/>
      <c r="N1048138" s="19"/>
    </row>
    <row r="1048139" spans="1:14" s="83" customFormat="1" ht="12.75">
      <c r="A1048139" s="19"/>
      <c r="B1048139" s="19"/>
      <c r="C1048139" s="19"/>
      <c r="D1048139" s="19"/>
      <c r="E1048139" s="19"/>
      <c r="F1048139" s="19"/>
      <c r="G1048139" s="19"/>
      <c r="H1048139" s="19"/>
      <c r="I1048139" s="19"/>
      <c r="J1048139" s="19"/>
      <c r="K1048139" s="19"/>
      <c r="L1048139" s="19"/>
      <c r="M1048139" s="19"/>
      <c r="N1048139" s="19"/>
    </row>
    <row r="1048140" spans="1:14" s="83" customFormat="1" ht="12.75">
      <c r="A1048140" s="19"/>
      <c r="B1048140" s="19"/>
      <c r="C1048140" s="19"/>
      <c r="D1048140" s="19"/>
      <c r="E1048140" s="19"/>
      <c r="F1048140" s="19"/>
      <c r="G1048140" s="19"/>
      <c r="H1048140" s="19"/>
      <c r="I1048140" s="19"/>
      <c r="J1048140" s="19"/>
      <c r="K1048140" s="19"/>
      <c r="L1048140" s="19"/>
      <c r="M1048140" s="19"/>
      <c r="N1048140" s="19"/>
    </row>
    <row r="1048141" spans="1:14" s="83" customFormat="1" ht="12.75">
      <c r="A1048141" s="19"/>
      <c r="B1048141" s="19"/>
      <c r="C1048141" s="19"/>
      <c r="D1048141" s="19"/>
      <c r="E1048141" s="19"/>
      <c r="F1048141" s="19"/>
      <c r="G1048141" s="19"/>
      <c r="H1048141" s="19"/>
      <c r="I1048141" s="19"/>
      <c r="J1048141" s="19"/>
      <c r="K1048141" s="19"/>
      <c r="L1048141" s="19"/>
      <c r="M1048141" s="19"/>
      <c r="N1048141" s="19"/>
    </row>
    <row r="1048142" spans="1:14" s="83" customFormat="1" ht="12.75">
      <c r="A1048142" s="19"/>
      <c r="B1048142" s="19"/>
      <c r="C1048142" s="19"/>
      <c r="D1048142" s="19"/>
      <c r="E1048142" s="19"/>
      <c r="F1048142" s="19"/>
      <c r="G1048142" s="19"/>
      <c r="H1048142" s="19"/>
      <c r="I1048142" s="19"/>
      <c r="J1048142" s="19"/>
      <c r="K1048142" s="19"/>
      <c r="L1048142" s="19"/>
      <c r="M1048142" s="19"/>
      <c r="N1048142" s="19"/>
    </row>
    <row r="1048143" spans="1:14" s="83" customFormat="1" ht="12.75">
      <c r="A1048143" s="19"/>
      <c r="B1048143" s="19"/>
      <c r="C1048143" s="19"/>
      <c r="D1048143" s="19"/>
      <c r="E1048143" s="19"/>
      <c r="F1048143" s="19"/>
      <c r="G1048143" s="19"/>
      <c r="H1048143" s="19"/>
      <c r="I1048143" s="19"/>
      <c r="J1048143" s="19"/>
      <c r="K1048143" s="19"/>
      <c r="L1048143" s="19"/>
      <c r="M1048143" s="19"/>
      <c r="N1048143" s="19"/>
    </row>
    <row r="1048144" spans="1:14" s="83" customFormat="1" ht="12.75">
      <c r="A1048144" s="19"/>
      <c r="B1048144" s="19"/>
      <c r="C1048144" s="19"/>
      <c r="D1048144" s="19"/>
      <c r="E1048144" s="19"/>
      <c r="F1048144" s="19"/>
      <c r="G1048144" s="19"/>
      <c r="H1048144" s="19"/>
      <c r="I1048144" s="19"/>
      <c r="J1048144" s="19"/>
      <c r="K1048144" s="19"/>
      <c r="L1048144" s="19"/>
      <c r="M1048144" s="19"/>
      <c r="N1048144" s="19"/>
    </row>
    <row r="1048145" spans="1:14" s="83" customFormat="1" ht="12.75">
      <c r="A1048145" s="19"/>
      <c r="B1048145" s="19"/>
      <c r="C1048145" s="19"/>
      <c r="D1048145" s="19"/>
      <c r="E1048145" s="19"/>
      <c r="F1048145" s="19"/>
      <c r="G1048145" s="19"/>
      <c r="H1048145" s="19"/>
      <c r="I1048145" s="19"/>
      <c r="J1048145" s="19"/>
      <c r="K1048145" s="19"/>
      <c r="L1048145" s="19"/>
      <c r="M1048145" s="19"/>
      <c r="N1048145" s="19"/>
    </row>
    <row r="1048146" spans="1:14" s="83" customFormat="1" ht="12.75">
      <c r="A1048146" s="19"/>
      <c r="B1048146" s="19"/>
      <c r="C1048146" s="19"/>
      <c r="D1048146" s="19"/>
      <c r="E1048146" s="19"/>
      <c r="F1048146" s="19"/>
      <c r="G1048146" s="19"/>
      <c r="H1048146" s="19"/>
      <c r="I1048146" s="19"/>
      <c r="J1048146" s="19"/>
      <c r="K1048146" s="19"/>
      <c r="L1048146" s="19"/>
      <c r="M1048146" s="19"/>
      <c r="N1048146" s="19"/>
    </row>
    <row r="1048147" spans="1:14" s="83" customFormat="1" ht="12.75">
      <c r="A1048147" s="19"/>
      <c r="B1048147" s="19"/>
      <c r="C1048147" s="19"/>
      <c r="D1048147" s="19"/>
      <c r="E1048147" s="19"/>
      <c r="F1048147" s="19"/>
      <c r="G1048147" s="19"/>
      <c r="H1048147" s="19"/>
      <c r="I1048147" s="19"/>
      <c r="J1048147" s="19"/>
      <c r="K1048147" s="19"/>
      <c r="L1048147" s="19"/>
      <c r="M1048147" s="19"/>
      <c r="N1048147" s="19"/>
    </row>
    <row r="1048148" spans="1:14" s="83" customFormat="1" ht="12.75">
      <c r="A1048148" s="19"/>
      <c r="B1048148" s="19"/>
      <c r="C1048148" s="19"/>
      <c r="D1048148" s="19"/>
      <c r="E1048148" s="19"/>
      <c r="F1048148" s="19"/>
      <c r="G1048148" s="19"/>
      <c r="H1048148" s="19"/>
      <c r="I1048148" s="19"/>
      <c r="J1048148" s="19"/>
      <c r="K1048148" s="19"/>
      <c r="L1048148" s="19"/>
      <c r="M1048148" s="19"/>
      <c r="N1048148" s="19"/>
    </row>
    <row r="1048149" spans="1:14" s="83" customFormat="1" ht="12.75">
      <c r="A1048149" s="19"/>
      <c r="B1048149" s="19"/>
      <c r="C1048149" s="19"/>
      <c r="D1048149" s="19"/>
      <c r="E1048149" s="19"/>
      <c r="F1048149" s="19"/>
      <c r="G1048149" s="19"/>
      <c r="H1048149" s="19"/>
      <c r="I1048149" s="19"/>
      <c r="J1048149" s="19"/>
      <c r="K1048149" s="19"/>
      <c r="L1048149" s="19"/>
      <c r="M1048149" s="19"/>
      <c r="N1048149" s="19"/>
    </row>
    <row r="1048150" spans="1:14" s="83" customFormat="1" ht="12.75">
      <c r="A1048150" s="19"/>
      <c r="B1048150" s="19"/>
      <c r="C1048150" s="19"/>
      <c r="D1048150" s="19"/>
      <c r="E1048150" s="19"/>
      <c r="F1048150" s="19"/>
      <c r="G1048150" s="19"/>
      <c r="H1048150" s="19"/>
      <c r="I1048150" s="19"/>
      <c r="J1048150" s="19"/>
      <c r="K1048150" s="19"/>
      <c r="L1048150" s="19"/>
      <c r="M1048150" s="19"/>
      <c r="N1048150" s="19"/>
    </row>
    <row r="1048151" spans="1:14" s="83" customFormat="1" ht="12.75">
      <c r="A1048151" s="19"/>
      <c r="B1048151" s="19"/>
      <c r="C1048151" s="19"/>
      <c r="D1048151" s="19"/>
      <c r="E1048151" s="19"/>
      <c r="F1048151" s="19"/>
      <c r="G1048151" s="19"/>
      <c r="H1048151" s="19"/>
      <c r="I1048151" s="19"/>
      <c r="J1048151" s="19"/>
      <c r="K1048151" s="19"/>
      <c r="L1048151" s="19"/>
      <c r="M1048151" s="19"/>
      <c r="N1048151" s="19"/>
    </row>
    <row r="1048152" spans="1:14" s="83" customFormat="1" ht="12.75">
      <c r="A1048152" s="19"/>
      <c r="B1048152" s="19"/>
      <c r="C1048152" s="19"/>
      <c r="D1048152" s="19"/>
      <c r="E1048152" s="19"/>
      <c r="F1048152" s="19"/>
      <c r="G1048152" s="19"/>
      <c r="H1048152" s="19"/>
      <c r="I1048152" s="19"/>
      <c r="J1048152" s="19"/>
      <c r="K1048152" s="19"/>
      <c r="L1048152" s="19"/>
      <c r="M1048152" s="19"/>
      <c r="N1048152" s="19"/>
    </row>
    <row r="1048153" spans="1:14" s="83" customFormat="1" ht="12.75">
      <c r="A1048153" s="19"/>
      <c r="B1048153" s="19"/>
      <c r="C1048153" s="19"/>
      <c r="D1048153" s="19"/>
      <c r="E1048153" s="19"/>
      <c r="F1048153" s="19"/>
      <c r="G1048153" s="19"/>
      <c r="H1048153" s="19"/>
      <c r="I1048153" s="19"/>
      <c r="J1048153" s="19"/>
      <c r="K1048153" s="19"/>
      <c r="L1048153" s="19"/>
      <c r="M1048153" s="19"/>
      <c r="N1048153" s="19"/>
    </row>
    <row r="1048154" spans="1:14" s="83" customFormat="1" ht="12.75">
      <c r="A1048154" s="19"/>
      <c r="B1048154" s="19"/>
      <c r="C1048154" s="19"/>
      <c r="D1048154" s="19"/>
      <c r="E1048154" s="19"/>
      <c r="F1048154" s="19"/>
      <c r="G1048154" s="19"/>
      <c r="H1048154" s="19"/>
      <c r="I1048154" s="19"/>
      <c r="J1048154" s="19"/>
      <c r="K1048154" s="19"/>
      <c r="L1048154" s="19"/>
      <c r="M1048154" s="19"/>
      <c r="N1048154" s="19"/>
    </row>
    <row r="1048155" spans="1:14" s="83" customFormat="1" ht="12.75">
      <c r="A1048155" s="19"/>
      <c r="B1048155" s="19"/>
      <c r="C1048155" s="19"/>
      <c r="D1048155" s="19"/>
      <c r="E1048155" s="19"/>
      <c r="F1048155" s="19"/>
      <c r="G1048155" s="19"/>
      <c r="H1048155" s="19"/>
      <c r="I1048155" s="19"/>
      <c r="J1048155" s="19"/>
      <c r="K1048155" s="19"/>
      <c r="L1048155" s="19"/>
      <c r="M1048155" s="19"/>
      <c r="N1048155" s="19"/>
    </row>
    <row r="1048156" spans="1:14" s="83" customFormat="1" ht="12.75">
      <c r="A1048156" s="19"/>
      <c r="B1048156" s="19"/>
      <c r="C1048156" s="19"/>
      <c r="D1048156" s="19"/>
      <c r="E1048156" s="19"/>
      <c r="F1048156" s="19"/>
      <c r="G1048156" s="19"/>
      <c r="H1048156" s="19"/>
      <c r="I1048156" s="19"/>
      <c r="J1048156" s="19"/>
      <c r="K1048156" s="19"/>
      <c r="L1048156" s="19"/>
      <c r="M1048156" s="19"/>
      <c r="N1048156" s="19"/>
    </row>
    <row r="1048157" spans="1:14" s="83" customFormat="1" ht="12.75">
      <c r="A1048157" s="19"/>
      <c r="B1048157" s="19"/>
      <c r="C1048157" s="19"/>
      <c r="D1048157" s="19"/>
      <c r="E1048157" s="19"/>
      <c r="F1048157" s="19"/>
      <c r="G1048157" s="19"/>
      <c r="H1048157" s="19"/>
      <c r="I1048157" s="19"/>
      <c r="J1048157" s="19"/>
      <c r="K1048157" s="19"/>
      <c r="L1048157" s="19"/>
      <c r="M1048157" s="19"/>
      <c r="N1048157" s="19"/>
    </row>
    <row r="1048158" spans="1:14" s="83" customFormat="1" ht="12.75">
      <c r="A1048158" s="19"/>
      <c r="B1048158" s="19"/>
      <c r="C1048158" s="19"/>
      <c r="D1048158" s="19"/>
      <c r="E1048158" s="19"/>
      <c r="F1048158" s="19"/>
      <c r="G1048158" s="19"/>
      <c r="H1048158" s="19"/>
      <c r="I1048158" s="19"/>
      <c r="J1048158" s="19"/>
      <c r="K1048158" s="19"/>
      <c r="L1048158" s="19"/>
      <c r="M1048158" s="19"/>
      <c r="N1048158" s="19"/>
    </row>
    <row r="1048159" spans="1:14" s="83" customFormat="1" ht="12.75">
      <c r="A1048159" s="19"/>
      <c r="B1048159" s="19"/>
      <c r="C1048159" s="19"/>
      <c r="D1048159" s="19"/>
      <c r="E1048159" s="19"/>
      <c r="F1048159" s="19"/>
      <c r="G1048159" s="19"/>
      <c r="H1048159" s="19"/>
      <c r="I1048159" s="19"/>
      <c r="J1048159" s="19"/>
      <c r="K1048159" s="19"/>
      <c r="L1048159" s="19"/>
      <c r="M1048159" s="19"/>
      <c r="N1048159" s="19"/>
    </row>
    <row r="1048160" spans="1:14" s="83" customFormat="1" ht="12.75">
      <c r="A1048160" s="19"/>
      <c r="B1048160" s="19"/>
      <c r="C1048160" s="19"/>
      <c r="D1048160" s="19"/>
      <c r="E1048160" s="19"/>
      <c r="F1048160" s="19"/>
      <c r="G1048160" s="19"/>
      <c r="H1048160" s="19"/>
      <c r="I1048160" s="19"/>
      <c r="J1048160" s="19"/>
      <c r="K1048160" s="19"/>
      <c r="L1048160" s="19"/>
      <c r="M1048160" s="19"/>
      <c r="N1048160" s="19"/>
    </row>
    <row r="1048161" spans="1:14" s="83" customFormat="1" ht="12.75">
      <c r="A1048161" s="19"/>
      <c r="B1048161" s="19"/>
      <c r="C1048161" s="19"/>
      <c r="D1048161" s="19"/>
      <c r="E1048161" s="19"/>
      <c r="F1048161" s="19"/>
      <c r="G1048161" s="19"/>
      <c r="H1048161" s="19"/>
      <c r="I1048161" s="19"/>
      <c r="J1048161" s="19"/>
      <c r="K1048161" s="19"/>
      <c r="L1048161" s="19"/>
      <c r="M1048161" s="19"/>
      <c r="N1048161" s="19"/>
    </row>
    <row r="1048162" spans="1:14" s="83" customFormat="1" ht="12.75">
      <c r="A1048162" s="19"/>
      <c r="B1048162" s="19"/>
      <c r="C1048162" s="19"/>
      <c r="D1048162" s="19"/>
      <c r="E1048162" s="19"/>
      <c r="F1048162" s="19"/>
      <c r="G1048162" s="19"/>
      <c r="H1048162" s="19"/>
      <c r="I1048162" s="19"/>
      <c r="J1048162" s="19"/>
      <c r="K1048162" s="19"/>
      <c r="L1048162" s="19"/>
      <c r="M1048162" s="19"/>
      <c r="N1048162" s="19"/>
    </row>
    <row r="1048163" spans="1:14" s="83" customFormat="1" ht="12.75">
      <c r="A1048163" s="19"/>
      <c r="B1048163" s="19"/>
      <c r="C1048163" s="19"/>
      <c r="D1048163" s="19"/>
      <c r="E1048163" s="19"/>
      <c r="F1048163" s="19"/>
      <c r="G1048163" s="19"/>
      <c r="H1048163" s="19"/>
      <c r="I1048163" s="19"/>
      <c r="J1048163" s="19"/>
      <c r="K1048163" s="19"/>
      <c r="L1048163" s="19"/>
      <c r="M1048163" s="19"/>
      <c r="N1048163" s="19"/>
    </row>
    <row r="1048164" spans="1:14" s="83" customFormat="1" ht="12.75">
      <c r="A1048164" s="19"/>
      <c r="B1048164" s="19"/>
      <c r="C1048164" s="19"/>
      <c r="D1048164" s="19"/>
      <c r="E1048164" s="19"/>
      <c r="F1048164" s="19"/>
      <c r="G1048164" s="19"/>
      <c r="H1048164" s="19"/>
      <c r="I1048164" s="19"/>
      <c r="J1048164" s="19"/>
      <c r="K1048164" s="19"/>
      <c r="L1048164" s="19"/>
      <c r="M1048164" s="19"/>
      <c r="N1048164" s="19"/>
    </row>
    <row r="1048165" spans="1:14" s="83" customFormat="1" ht="12.75">
      <c r="A1048165" s="19"/>
      <c r="B1048165" s="19"/>
      <c r="C1048165" s="19"/>
      <c r="D1048165" s="19"/>
      <c r="E1048165" s="19"/>
      <c r="F1048165" s="19"/>
      <c r="G1048165" s="19"/>
      <c r="H1048165" s="19"/>
      <c r="I1048165" s="19"/>
      <c r="J1048165" s="19"/>
      <c r="K1048165" s="19"/>
      <c r="L1048165" s="19"/>
      <c r="M1048165" s="19"/>
      <c r="N1048165" s="19"/>
    </row>
    <row r="1048166" spans="1:14" s="83" customFormat="1" ht="12.75">
      <c r="A1048166" s="19"/>
      <c r="B1048166" s="19"/>
      <c r="C1048166" s="19"/>
      <c r="D1048166" s="19"/>
      <c r="E1048166" s="19"/>
      <c r="F1048166" s="19"/>
      <c r="G1048166" s="19"/>
      <c r="H1048166" s="19"/>
      <c r="I1048166" s="19"/>
      <c r="J1048166" s="19"/>
      <c r="K1048166" s="19"/>
      <c r="L1048166" s="19"/>
      <c r="M1048166" s="19"/>
      <c r="N1048166" s="19"/>
    </row>
    <row r="1048167" spans="1:14" s="83" customFormat="1" ht="12.75">
      <c r="A1048167" s="19"/>
      <c r="B1048167" s="19"/>
      <c r="C1048167" s="19"/>
      <c r="D1048167" s="19"/>
      <c r="E1048167" s="19"/>
      <c r="F1048167" s="19"/>
      <c r="G1048167" s="19"/>
      <c r="H1048167" s="19"/>
      <c r="I1048167" s="19"/>
      <c r="J1048167" s="19"/>
      <c r="K1048167" s="19"/>
      <c r="L1048167" s="19"/>
      <c r="M1048167" s="19"/>
      <c r="N1048167" s="19"/>
    </row>
    <row r="1048168" spans="1:14" s="83" customFormat="1" ht="12.75">
      <c r="A1048168" s="19"/>
      <c r="B1048168" s="19"/>
      <c r="C1048168" s="19"/>
      <c r="D1048168" s="19"/>
      <c r="E1048168" s="19"/>
      <c r="F1048168" s="19"/>
      <c r="G1048168" s="19"/>
      <c r="H1048168" s="19"/>
      <c r="I1048168" s="19"/>
      <c r="J1048168" s="19"/>
      <c r="K1048168" s="19"/>
      <c r="L1048168" s="19"/>
      <c r="M1048168" s="19"/>
      <c r="N1048168" s="19"/>
    </row>
    <row r="1048169" spans="1:14" s="83" customFormat="1" ht="12.75">
      <c r="A1048169" s="19"/>
      <c r="B1048169" s="19"/>
      <c r="C1048169" s="19"/>
      <c r="D1048169" s="19"/>
      <c r="E1048169" s="19"/>
      <c r="F1048169" s="19"/>
      <c r="G1048169" s="19"/>
      <c r="H1048169" s="19"/>
      <c r="I1048169" s="19"/>
      <c r="J1048169" s="19"/>
      <c r="K1048169" s="19"/>
      <c r="L1048169" s="19"/>
      <c r="M1048169" s="19"/>
      <c r="N1048169" s="19"/>
    </row>
    <row r="1048170" spans="1:14" s="83" customFormat="1" ht="12.75">
      <c r="A1048170" s="19"/>
      <c r="B1048170" s="19"/>
      <c r="C1048170" s="19"/>
      <c r="D1048170" s="19"/>
      <c r="E1048170" s="19"/>
      <c r="F1048170" s="19"/>
      <c r="G1048170" s="19"/>
      <c r="H1048170" s="19"/>
      <c r="I1048170" s="19"/>
      <c r="J1048170" s="19"/>
      <c r="K1048170" s="19"/>
      <c r="L1048170" s="19"/>
      <c r="M1048170" s="19"/>
      <c r="N1048170" s="19"/>
    </row>
    <row r="1048171" spans="1:14" s="83" customFormat="1" ht="12.75">
      <c r="A1048171" s="19"/>
      <c r="B1048171" s="19"/>
      <c r="C1048171" s="19"/>
      <c r="D1048171" s="19"/>
      <c r="E1048171" s="19"/>
      <c r="F1048171" s="19"/>
      <c r="G1048171" s="19"/>
      <c r="H1048171" s="19"/>
      <c r="I1048171" s="19"/>
      <c r="J1048171" s="19"/>
      <c r="K1048171" s="19"/>
      <c r="L1048171" s="19"/>
      <c r="M1048171" s="19"/>
      <c r="N1048171" s="19"/>
    </row>
    <row r="1048172" spans="1:14" s="83" customFormat="1" ht="12.75">
      <c r="A1048172" s="19"/>
      <c r="B1048172" s="19"/>
      <c r="C1048172" s="19"/>
      <c r="D1048172" s="19"/>
      <c r="E1048172" s="19"/>
      <c r="F1048172" s="19"/>
      <c r="G1048172" s="19"/>
      <c r="H1048172" s="19"/>
      <c r="I1048172" s="19"/>
      <c r="J1048172" s="19"/>
      <c r="K1048172" s="19"/>
      <c r="L1048172" s="19"/>
      <c r="M1048172" s="19"/>
      <c r="N1048172" s="19"/>
    </row>
    <row r="1048173" spans="1:14" s="83" customFormat="1" ht="12.75">
      <c r="A1048173" s="19"/>
      <c r="B1048173" s="19"/>
      <c r="C1048173" s="19"/>
      <c r="D1048173" s="19"/>
      <c r="E1048173" s="19"/>
      <c r="F1048173" s="19"/>
      <c r="G1048173" s="19"/>
      <c r="H1048173" s="19"/>
      <c r="I1048173" s="19"/>
      <c r="J1048173" s="19"/>
      <c r="K1048173" s="19"/>
      <c r="L1048173" s="19"/>
      <c r="M1048173" s="19"/>
      <c r="N1048173" s="19"/>
    </row>
    <row r="1048174" spans="1:14" s="83" customFormat="1" ht="12.75">
      <c r="A1048174" s="19"/>
      <c r="B1048174" s="19"/>
      <c r="C1048174" s="19"/>
      <c r="D1048174" s="19"/>
      <c r="E1048174" s="19"/>
      <c r="F1048174" s="19"/>
      <c r="G1048174" s="19"/>
      <c r="H1048174" s="19"/>
      <c r="I1048174" s="19"/>
      <c r="J1048174" s="19"/>
      <c r="K1048174" s="19"/>
      <c r="L1048174" s="19"/>
      <c r="M1048174" s="19"/>
      <c r="N1048174" s="19"/>
    </row>
    <row r="1048175" spans="1:14" s="83" customFormat="1" ht="12.75">
      <c r="A1048175" s="19"/>
      <c r="B1048175" s="19"/>
      <c r="C1048175" s="19"/>
      <c r="D1048175" s="19"/>
      <c r="E1048175" s="19"/>
      <c r="F1048175" s="19"/>
      <c r="G1048175" s="19"/>
      <c r="H1048175" s="19"/>
      <c r="I1048175" s="19"/>
      <c r="J1048175" s="19"/>
      <c r="K1048175" s="19"/>
      <c r="L1048175" s="19"/>
      <c r="M1048175" s="19"/>
      <c r="N1048175" s="19"/>
    </row>
    <row r="1048176" spans="1:14" s="83" customFormat="1" ht="12.75">
      <c r="A1048176" s="19"/>
      <c r="B1048176" s="19"/>
      <c r="C1048176" s="19"/>
      <c r="D1048176" s="19"/>
      <c r="E1048176" s="19"/>
      <c r="F1048176" s="19"/>
      <c r="G1048176" s="19"/>
      <c r="H1048176" s="19"/>
      <c r="I1048176" s="19"/>
      <c r="J1048176" s="19"/>
      <c r="K1048176" s="19"/>
      <c r="L1048176" s="19"/>
      <c r="M1048176" s="19"/>
      <c r="N1048176" s="19"/>
    </row>
    <row r="1048177" spans="1:14" s="83" customFormat="1" ht="12.75">
      <c r="A1048177" s="19"/>
      <c r="B1048177" s="19"/>
      <c r="C1048177" s="19"/>
      <c r="D1048177" s="19"/>
      <c r="E1048177" s="19"/>
      <c r="F1048177" s="19"/>
      <c r="G1048177" s="19"/>
      <c r="H1048177" s="19"/>
      <c r="I1048177" s="19"/>
      <c r="J1048177" s="19"/>
      <c r="K1048177" s="19"/>
      <c r="L1048177" s="19"/>
      <c r="M1048177" s="19"/>
      <c r="N1048177" s="19"/>
    </row>
    <row r="1048178" spans="1:14" s="83" customFormat="1" ht="12.75">
      <c r="A1048178" s="19"/>
      <c r="B1048178" s="19"/>
      <c r="C1048178" s="19"/>
      <c r="D1048178" s="19"/>
      <c r="E1048178" s="19"/>
      <c r="F1048178" s="19"/>
      <c r="G1048178" s="19"/>
      <c r="H1048178" s="19"/>
      <c r="I1048178" s="19"/>
      <c r="J1048178" s="19"/>
      <c r="K1048178" s="19"/>
      <c r="L1048178" s="19"/>
      <c r="M1048178" s="19"/>
      <c r="N1048178" s="19"/>
    </row>
    <row r="1048179" spans="1:14" s="83" customFormat="1" ht="12.75">
      <c r="A1048179" s="19"/>
      <c r="B1048179" s="19"/>
      <c r="C1048179" s="19"/>
      <c r="D1048179" s="19"/>
      <c r="E1048179" s="19"/>
      <c r="F1048179" s="19"/>
      <c r="G1048179" s="19"/>
      <c r="H1048179" s="19"/>
      <c r="I1048179" s="19"/>
      <c r="J1048179" s="19"/>
      <c r="K1048179" s="19"/>
      <c r="L1048179" s="19"/>
      <c r="M1048179" s="19"/>
      <c r="N1048179" s="19"/>
    </row>
    <row r="1048180" spans="1:14" s="83" customFormat="1" ht="12.75">
      <c r="A1048180" s="19"/>
      <c r="B1048180" s="19"/>
      <c r="C1048180" s="19"/>
      <c r="D1048180" s="19"/>
      <c r="E1048180" s="19"/>
      <c r="F1048180" s="19"/>
      <c r="G1048180" s="19"/>
      <c r="H1048180" s="19"/>
      <c r="I1048180" s="19"/>
      <c r="J1048180" s="19"/>
      <c r="K1048180" s="19"/>
      <c r="L1048180" s="19"/>
      <c r="M1048180" s="19"/>
      <c r="N1048180" s="19"/>
    </row>
    <row r="1048181" spans="1:14" s="83" customFormat="1" ht="12.75">
      <c r="A1048181" s="19"/>
      <c r="B1048181" s="19"/>
      <c r="C1048181" s="19"/>
      <c r="D1048181" s="19"/>
      <c r="E1048181" s="19"/>
      <c r="F1048181" s="19"/>
      <c r="G1048181" s="19"/>
      <c r="H1048181" s="19"/>
      <c r="I1048181" s="19"/>
      <c r="J1048181" s="19"/>
      <c r="K1048181" s="19"/>
      <c r="L1048181" s="19"/>
      <c r="M1048181" s="19"/>
      <c r="N1048181" s="19"/>
    </row>
    <row r="1048182" spans="1:14" s="83" customFormat="1" ht="12.75">
      <c r="A1048182" s="19"/>
      <c r="B1048182" s="19"/>
      <c r="C1048182" s="19"/>
      <c r="D1048182" s="19"/>
      <c r="E1048182" s="19"/>
      <c r="F1048182" s="19"/>
      <c r="G1048182" s="19"/>
      <c r="H1048182" s="19"/>
      <c r="I1048182" s="19"/>
      <c r="J1048182" s="19"/>
      <c r="K1048182" s="19"/>
      <c r="L1048182" s="19"/>
      <c r="M1048182" s="19"/>
      <c r="N1048182" s="19"/>
    </row>
    <row r="1048183" spans="1:14" s="83" customFormat="1" ht="12.75">
      <c r="A1048183" s="19"/>
      <c r="B1048183" s="19"/>
      <c r="C1048183" s="19"/>
      <c r="D1048183" s="19"/>
      <c r="E1048183" s="19"/>
      <c r="F1048183" s="19"/>
      <c r="G1048183" s="19"/>
      <c r="H1048183" s="19"/>
      <c r="I1048183" s="19"/>
      <c r="J1048183" s="19"/>
      <c r="K1048183" s="19"/>
      <c r="L1048183" s="19"/>
      <c r="M1048183" s="19"/>
      <c r="N1048183" s="19"/>
    </row>
    <row r="1048184" spans="1:14" s="83" customFormat="1" ht="12.75">
      <c r="A1048184" s="19"/>
      <c r="B1048184" s="19"/>
      <c r="C1048184" s="19"/>
      <c r="D1048184" s="19"/>
      <c r="E1048184" s="19"/>
      <c r="F1048184" s="19"/>
      <c r="G1048184" s="19"/>
      <c r="H1048184" s="19"/>
      <c r="I1048184" s="19"/>
      <c r="J1048184" s="19"/>
      <c r="K1048184" s="19"/>
      <c r="L1048184" s="19"/>
      <c r="M1048184" s="19"/>
      <c r="N1048184" s="19"/>
    </row>
    <row r="1048185" spans="1:14" s="83" customFormat="1" ht="12.75">
      <c r="A1048185" s="19"/>
      <c r="B1048185" s="19"/>
      <c r="C1048185" s="19"/>
      <c r="D1048185" s="19"/>
      <c r="E1048185" s="19"/>
      <c r="F1048185" s="19"/>
      <c r="G1048185" s="19"/>
      <c r="H1048185" s="19"/>
      <c r="I1048185" s="19"/>
      <c r="J1048185" s="19"/>
      <c r="K1048185" s="19"/>
      <c r="L1048185" s="19"/>
      <c r="M1048185" s="19"/>
      <c r="N1048185" s="19"/>
    </row>
    <row r="1048186" spans="1:14" s="83" customFormat="1" ht="12.75">
      <c r="A1048186" s="19"/>
      <c r="B1048186" s="19"/>
      <c r="C1048186" s="19"/>
      <c r="D1048186" s="19"/>
      <c r="E1048186" s="19"/>
      <c r="F1048186" s="19"/>
      <c r="G1048186" s="19"/>
      <c r="H1048186" s="19"/>
      <c r="I1048186" s="19"/>
      <c r="J1048186" s="19"/>
      <c r="K1048186" s="19"/>
      <c r="L1048186" s="19"/>
      <c r="M1048186" s="19"/>
      <c r="N1048186" s="19"/>
    </row>
    <row r="1048187" spans="1:14" s="83" customFormat="1" ht="12.75">
      <c r="A1048187" s="19"/>
      <c r="B1048187" s="19"/>
      <c r="C1048187" s="19"/>
      <c r="D1048187" s="19"/>
      <c r="E1048187" s="19"/>
      <c r="F1048187" s="19"/>
      <c r="G1048187" s="19"/>
      <c r="H1048187" s="19"/>
      <c r="I1048187" s="19"/>
      <c r="J1048187" s="19"/>
      <c r="K1048187" s="19"/>
      <c r="L1048187" s="19"/>
      <c r="M1048187" s="19"/>
      <c r="N1048187" s="19"/>
    </row>
    <row r="1048188" spans="1:14" s="83" customFormat="1" ht="12.75">
      <c r="A1048188" s="19"/>
      <c r="B1048188" s="19"/>
      <c r="C1048188" s="19"/>
      <c r="D1048188" s="19"/>
      <c r="E1048188" s="19"/>
      <c r="F1048188" s="19"/>
      <c r="G1048188" s="19"/>
      <c r="H1048188" s="19"/>
      <c r="I1048188" s="19"/>
      <c r="J1048188" s="19"/>
      <c r="K1048188" s="19"/>
      <c r="L1048188" s="19"/>
      <c r="M1048188" s="19"/>
      <c r="N1048188" s="19"/>
    </row>
    <row r="1048189" spans="1:14" s="83" customFormat="1" ht="12.75">
      <c r="A1048189" s="19"/>
      <c r="B1048189" s="19"/>
      <c r="C1048189" s="19"/>
      <c r="D1048189" s="19"/>
      <c r="E1048189" s="19"/>
      <c r="F1048189" s="19"/>
      <c r="G1048189" s="19"/>
      <c r="H1048189" s="19"/>
      <c r="I1048189" s="19"/>
      <c r="J1048189" s="19"/>
      <c r="K1048189" s="19"/>
      <c r="L1048189" s="19"/>
      <c r="M1048189" s="19"/>
      <c r="N1048189" s="19"/>
    </row>
    <row r="1048190" spans="1:14" s="83" customFormat="1" ht="12.75">
      <c r="A1048190" s="19"/>
      <c r="B1048190" s="19"/>
      <c r="C1048190" s="19"/>
      <c r="D1048190" s="19"/>
      <c r="E1048190" s="19"/>
      <c r="F1048190" s="19"/>
      <c r="G1048190" s="19"/>
      <c r="H1048190" s="19"/>
      <c r="I1048190" s="19"/>
      <c r="J1048190" s="19"/>
      <c r="K1048190" s="19"/>
      <c r="L1048190" s="19"/>
      <c r="M1048190" s="19"/>
      <c r="N1048190" s="19"/>
    </row>
    <row r="1048191" spans="1:14" s="83" customFormat="1" ht="12.75">
      <c r="A1048191" s="19"/>
      <c r="B1048191" s="19"/>
      <c r="C1048191" s="19"/>
      <c r="D1048191" s="19"/>
      <c r="E1048191" s="19"/>
      <c r="F1048191" s="19"/>
      <c r="G1048191" s="19"/>
      <c r="H1048191" s="19"/>
      <c r="I1048191" s="19"/>
      <c r="J1048191" s="19"/>
      <c r="K1048191" s="19"/>
      <c r="L1048191" s="19"/>
      <c r="M1048191" s="19"/>
      <c r="N1048191" s="19"/>
    </row>
    <row r="1048192" spans="1:14" s="83" customFormat="1" ht="12.75">
      <c r="A1048192" s="19"/>
      <c r="B1048192" s="19"/>
      <c r="C1048192" s="19"/>
      <c r="D1048192" s="19"/>
      <c r="E1048192" s="19"/>
      <c r="F1048192" s="19"/>
      <c r="G1048192" s="19"/>
      <c r="H1048192" s="19"/>
      <c r="I1048192" s="19"/>
      <c r="J1048192" s="19"/>
      <c r="K1048192" s="19"/>
      <c r="L1048192" s="19"/>
      <c r="M1048192" s="19"/>
      <c r="N1048192" s="19"/>
    </row>
    <row r="1048193" spans="1:14" s="83" customFormat="1" ht="12.75">
      <c r="A1048193" s="19"/>
      <c r="B1048193" s="19"/>
      <c r="C1048193" s="19"/>
      <c r="D1048193" s="19"/>
      <c r="E1048193" s="19"/>
      <c r="F1048193" s="19"/>
      <c r="G1048193" s="19"/>
      <c r="H1048193" s="19"/>
      <c r="I1048193" s="19"/>
      <c r="J1048193" s="19"/>
      <c r="K1048193" s="19"/>
      <c r="L1048193" s="19"/>
      <c r="M1048193" s="19"/>
      <c r="N1048193" s="19"/>
    </row>
    <row r="1048194" spans="1:14" s="83" customFormat="1" ht="12.75">
      <c r="A1048194" s="19"/>
      <c r="B1048194" s="19"/>
      <c r="C1048194" s="19"/>
      <c r="D1048194" s="19"/>
      <c r="E1048194" s="19"/>
      <c r="F1048194" s="19"/>
      <c r="G1048194" s="19"/>
      <c r="H1048194" s="19"/>
      <c r="I1048194" s="19"/>
      <c r="J1048194" s="19"/>
      <c r="K1048194" s="19"/>
      <c r="L1048194" s="19"/>
      <c r="M1048194" s="19"/>
      <c r="N1048194" s="19"/>
    </row>
    <row r="1048195" spans="1:14" s="83" customFormat="1" ht="12.75">
      <c r="A1048195" s="19"/>
      <c r="B1048195" s="19"/>
      <c r="C1048195" s="19"/>
      <c r="D1048195" s="19"/>
      <c r="E1048195" s="19"/>
      <c r="F1048195" s="19"/>
      <c r="G1048195" s="19"/>
      <c r="H1048195" s="19"/>
      <c r="I1048195" s="19"/>
      <c r="J1048195" s="19"/>
      <c r="K1048195" s="19"/>
      <c r="L1048195" s="19"/>
      <c r="M1048195" s="19"/>
      <c r="N1048195" s="19"/>
    </row>
    <row r="1048196" spans="1:14" s="83" customFormat="1" ht="12.75">
      <c r="A1048196" s="19"/>
      <c r="B1048196" s="19"/>
      <c r="C1048196" s="19"/>
      <c r="D1048196" s="19"/>
      <c r="E1048196" s="19"/>
      <c r="F1048196" s="19"/>
      <c r="G1048196" s="19"/>
      <c r="H1048196" s="19"/>
      <c r="I1048196" s="19"/>
      <c r="J1048196" s="19"/>
      <c r="K1048196" s="19"/>
      <c r="L1048196" s="19"/>
      <c r="M1048196" s="19"/>
      <c r="N1048196" s="19"/>
    </row>
    <row r="1048197" spans="1:14" s="83" customFormat="1" ht="12.75">
      <c r="A1048197" s="19"/>
      <c r="B1048197" s="19"/>
      <c r="C1048197" s="19"/>
      <c r="D1048197" s="19"/>
      <c r="E1048197" s="19"/>
      <c r="F1048197" s="19"/>
      <c r="G1048197" s="19"/>
      <c r="H1048197" s="19"/>
      <c r="I1048197" s="19"/>
      <c r="J1048197" s="19"/>
      <c r="K1048197" s="19"/>
      <c r="L1048197" s="19"/>
      <c r="M1048197" s="19"/>
      <c r="N1048197" s="19"/>
    </row>
    <row r="1048198" spans="1:14" s="83" customFormat="1" ht="12.75">
      <c r="A1048198" s="19"/>
      <c r="B1048198" s="19"/>
      <c r="C1048198" s="19"/>
      <c r="D1048198" s="19"/>
      <c r="E1048198" s="19"/>
      <c r="F1048198" s="19"/>
      <c r="G1048198" s="19"/>
      <c r="H1048198" s="19"/>
      <c r="I1048198" s="19"/>
      <c r="J1048198" s="19"/>
      <c r="K1048198" s="19"/>
      <c r="L1048198" s="19"/>
      <c r="M1048198" s="19"/>
      <c r="N1048198" s="19"/>
    </row>
    <row r="1048199" spans="1:14" s="83" customFormat="1" ht="12.75">
      <c r="A1048199" s="19"/>
      <c r="B1048199" s="19"/>
      <c r="C1048199" s="19"/>
      <c r="D1048199" s="19"/>
      <c r="E1048199" s="19"/>
      <c r="F1048199" s="19"/>
      <c r="G1048199" s="19"/>
      <c r="H1048199" s="19"/>
      <c r="I1048199" s="19"/>
      <c r="J1048199" s="19"/>
      <c r="K1048199" s="19"/>
      <c r="L1048199" s="19"/>
      <c r="M1048199" s="19"/>
      <c r="N1048199" s="19"/>
    </row>
    <row r="1048200" spans="1:14" s="83" customFormat="1" ht="12.75">
      <c r="A1048200" s="19"/>
      <c r="B1048200" s="19"/>
      <c r="C1048200" s="19"/>
      <c r="D1048200" s="19"/>
      <c r="E1048200" s="19"/>
      <c r="F1048200" s="19"/>
      <c r="G1048200" s="19"/>
      <c r="H1048200" s="19"/>
      <c r="I1048200" s="19"/>
      <c r="J1048200" s="19"/>
      <c r="K1048200" s="19"/>
      <c r="L1048200" s="19"/>
      <c r="M1048200" s="19"/>
      <c r="N1048200" s="19"/>
    </row>
    <row r="1048201" spans="1:14" s="83" customFormat="1" ht="12.75">
      <c r="A1048201" s="19"/>
      <c r="B1048201" s="19"/>
      <c r="C1048201" s="19"/>
      <c r="D1048201" s="19"/>
      <c r="E1048201" s="19"/>
      <c r="F1048201" s="19"/>
      <c r="G1048201" s="19"/>
      <c r="H1048201" s="19"/>
      <c r="I1048201" s="19"/>
      <c r="J1048201" s="19"/>
      <c r="K1048201" s="19"/>
      <c r="L1048201" s="19"/>
      <c r="M1048201" s="19"/>
      <c r="N1048201" s="19"/>
    </row>
    <row r="1048202" spans="1:14" s="83" customFormat="1" ht="12.75">
      <c r="A1048202" s="19"/>
      <c r="B1048202" s="19"/>
      <c r="C1048202" s="19"/>
      <c r="D1048202" s="19"/>
      <c r="E1048202" s="19"/>
      <c r="F1048202" s="19"/>
      <c r="G1048202" s="19"/>
      <c r="H1048202" s="19"/>
      <c r="I1048202" s="19"/>
      <c r="J1048202" s="19"/>
      <c r="K1048202" s="19"/>
      <c r="L1048202" s="19"/>
      <c r="M1048202" s="19"/>
      <c r="N1048202" s="19"/>
    </row>
    <row r="1048203" spans="1:14" s="83" customFormat="1" ht="12.75">
      <c r="A1048203" s="19"/>
      <c r="B1048203" s="19"/>
      <c r="C1048203" s="19"/>
      <c r="D1048203" s="19"/>
      <c r="E1048203" s="19"/>
      <c r="F1048203" s="19"/>
      <c r="G1048203" s="19"/>
      <c r="H1048203" s="19"/>
      <c r="I1048203" s="19"/>
      <c r="J1048203" s="19"/>
      <c r="K1048203" s="19"/>
      <c r="L1048203" s="19"/>
      <c r="M1048203" s="19"/>
      <c r="N1048203" s="19"/>
    </row>
    <row r="1048204" spans="1:14" s="83" customFormat="1" ht="12.75">
      <c r="A1048204" s="19"/>
      <c r="B1048204" s="19"/>
      <c r="C1048204" s="19"/>
      <c r="D1048204" s="19"/>
      <c r="E1048204" s="19"/>
      <c r="F1048204" s="19"/>
      <c r="G1048204" s="19"/>
      <c r="H1048204" s="19"/>
      <c r="I1048204" s="19"/>
      <c r="J1048204" s="19"/>
      <c r="K1048204" s="19"/>
      <c r="L1048204" s="19"/>
      <c r="M1048204" s="19"/>
      <c r="N1048204" s="19"/>
    </row>
    <row r="1048205" spans="1:14" s="83" customFormat="1" ht="12.75">
      <c r="A1048205" s="19"/>
      <c r="B1048205" s="19"/>
      <c r="C1048205" s="19"/>
      <c r="D1048205" s="19"/>
      <c r="E1048205" s="19"/>
      <c r="F1048205" s="19"/>
      <c r="G1048205" s="19"/>
      <c r="H1048205" s="19"/>
      <c r="I1048205" s="19"/>
      <c r="J1048205" s="19"/>
      <c r="K1048205" s="19"/>
      <c r="L1048205" s="19"/>
      <c r="M1048205" s="19"/>
      <c r="N1048205" s="19"/>
    </row>
    <row r="1048206" spans="1:14" s="83" customFormat="1" ht="12.75">
      <c r="A1048206" s="19"/>
      <c r="B1048206" s="19"/>
      <c r="C1048206" s="19"/>
      <c r="D1048206" s="19"/>
      <c r="E1048206" s="19"/>
      <c r="F1048206" s="19"/>
      <c r="G1048206" s="19"/>
      <c r="H1048206" s="19"/>
      <c r="I1048206" s="19"/>
      <c r="J1048206" s="19"/>
      <c r="K1048206" s="19"/>
      <c r="L1048206" s="19"/>
      <c r="M1048206" s="19"/>
      <c r="N1048206" s="19"/>
    </row>
    <row r="1048207" spans="1:14" s="83" customFormat="1" ht="12.75">
      <c r="A1048207" s="19"/>
      <c r="B1048207" s="19"/>
      <c r="C1048207" s="19"/>
      <c r="D1048207" s="19"/>
      <c r="E1048207" s="19"/>
      <c r="F1048207" s="19"/>
      <c r="G1048207" s="19"/>
      <c r="H1048207" s="19"/>
      <c r="I1048207" s="19"/>
      <c r="J1048207" s="19"/>
      <c r="K1048207" s="19"/>
      <c r="L1048207" s="19"/>
      <c r="M1048207" s="19"/>
      <c r="N1048207" s="19"/>
    </row>
    <row r="1048208" spans="1:14" s="83" customFormat="1" ht="12.75">
      <c r="A1048208" s="19"/>
      <c r="B1048208" s="19"/>
      <c r="C1048208" s="19"/>
      <c r="D1048208" s="19"/>
      <c r="E1048208" s="19"/>
      <c r="F1048208" s="19"/>
      <c r="G1048208" s="19"/>
      <c r="H1048208" s="19"/>
      <c r="I1048208" s="19"/>
      <c r="J1048208" s="19"/>
      <c r="K1048208" s="19"/>
      <c r="L1048208" s="19"/>
      <c r="M1048208" s="19"/>
      <c r="N1048208" s="19"/>
    </row>
    <row r="1048209" spans="1:14" s="83" customFormat="1" ht="12.75">
      <c r="A1048209" s="19"/>
      <c r="B1048209" s="19"/>
      <c r="C1048209" s="19"/>
      <c r="D1048209" s="19"/>
      <c r="E1048209" s="19"/>
      <c r="F1048209" s="19"/>
      <c r="G1048209" s="19"/>
      <c r="H1048209" s="19"/>
      <c r="I1048209" s="19"/>
      <c r="J1048209" s="19"/>
      <c r="K1048209" s="19"/>
      <c r="L1048209" s="19"/>
      <c r="M1048209" s="19"/>
      <c r="N1048209" s="19"/>
    </row>
    <row r="1048210" spans="1:14" s="83" customFormat="1" ht="12.75">
      <c r="A1048210" s="19"/>
      <c r="B1048210" s="19"/>
      <c r="C1048210" s="19"/>
      <c r="D1048210" s="19"/>
      <c r="E1048210" s="19"/>
      <c r="F1048210" s="19"/>
      <c r="G1048210" s="19"/>
      <c r="H1048210" s="19"/>
      <c r="I1048210" s="19"/>
      <c r="J1048210" s="19"/>
      <c r="K1048210" s="19"/>
      <c r="L1048210" s="19"/>
      <c r="M1048210" s="19"/>
      <c r="N1048210" s="19"/>
    </row>
    <row r="1048211" spans="1:14" s="83" customFormat="1" ht="12.75">
      <c r="A1048211" s="19"/>
      <c r="B1048211" s="19"/>
      <c r="C1048211" s="19"/>
      <c r="D1048211" s="19"/>
      <c r="E1048211" s="19"/>
      <c r="F1048211" s="19"/>
      <c r="G1048211" s="19"/>
      <c r="H1048211" s="19"/>
      <c r="I1048211" s="19"/>
      <c r="J1048211" s="19"/>
      <c r="K1048211" s="19"/>
      <c r="L1048211" s="19"/>
      <c r="M1048211" s="19"/>
      <c r="N1048211" s="19"/>
    </row>
    <row r="1048212" spans="1:14" s="83" customFormat="1" ht="12.75">
      <c r="A1048212" s="19"/>
      <c r="B1048212" s="19"/>
      <c r="C1048212" s="19"/>
      <c r="D1048212" s="19"/>
      <c r="E1048212" s="19"/>
      <c r="F1048212" s="19"/>
      <c r="G1048212" s="19"/>
      <c r="H1048212" s="19"/>
      <c r="I1048212" s="19"/>
      <c r="J1048212" s="19"/>
      <c r="K1048212" s="19"/>
      <c r="L1048212" s="19"/>
      <c r="M1048212" s="19"/>
      <c r="N1048212" s="19"/>
    </row>
    <row r="1048213" spans="1:14" s="83" customFormat="1" ht="12.75">
      <c r="A1048213" s="19"/>
      <c r="B1048213" s="19"/>
      <c r="C1048213" s="19"/>
      <c r="D1048213" s="19"/>
      <c r="E1048213" s="19"/>
      <c r="F1048213" s="19"/>
      <c r="G1048213" s="19"/>
      <c r="H1048213" s="19"/>
      <c r="I1048213" s="19"/>
      <c r="J1048213" s="19"/>
      <c r="K1048213" s="19"/>
      <c r="L1048213" s="19"/>
      <c r="M1048213" s="19"/>
      <c r="N1048213" s="19"/>
    </row>
    <row r="1048214" spans="1:14" s="83" customFormat="1" ht="12.75">
      <c r="A1048214" s="19"/>
      <c r="B1048214" s="19"/>
      <c r="C1048214" s="19"/>
      <c r="D1048214" s="19"/>
      <c r="E1048214" s="19"/>
      <c r="F1048214" s="19"/>
      <c r="G1048214" s="19"/>
      <c r="H1048214" s="19"/>
      <c r="I1048214" s="19"/>
      <c r="J1048214" s="19"/>
      <c r="K1048214" s="19"/>
      <c r="L1048214" s="19"/>
      <c r="M1048214" s="19"/>
      <c r="N1048214" s="19"/>
    </row>
    <row r="1048215" spans="1:14" s="83" customFormat="1" ht="12.75">
      <c r="A1048215" s="19"/>
      <c r="B1048215" s="19"/>
      <c r="C1048215" s="19"/>
      <c r="D1048215" s="19"/>
      <c r="E1048215" s="19"/>
      <c r="F1048215" s="19"/>
      <c r="G1048215" s="19"/>
      <c r="H1048215" s="19"/>
      <c r="I1048215" s="19"/>
      <c r="J1048215" s="19"/>
      <c r="K1048215" s="19"/>
      <c r="L1048215" s="19"/>
      <c r="M1048215" s="19"/>
      <c r="N1048215" s="19"/>
    </row>
    <row r="1048216" spans="1:14" s="83" customFormat="1" ht="12.75">
      <c r="A1048216" s="19"/>
      <c r="B1048216" s="19"/>
      <c r="C1048216" s="19"/>
      <c r="D1048216" s="19"/>
      <c r="E1048216" s="19"/>
      <c r="F1048216" s="19"/>
      <c r="G1048216" s="19"/>
      <c r="H1048216" s="19"/>
      <c r="I1048216" s="19"/>
      <c r="J1048216" s="19"/>
      <c r="K1048216" s="19"/>
      <c r="L1048216" s="19"/>
      <c r="M1048216" s="19"/>
      <c r="N1048216" s="19"/>
    </row>
    <row r="1048217" spans="1:14" s="83" customFormat="1" ht="12.75">
      <c r="A1048217" s="19"/>
      <c r="B1048217" s="19"/>
      <c r="C1048217" s="19"/>
      <c r="D1048217" s="19"/>
      <c r="E1048217" s="19"/>
      <c r="F1048217" s="19"/>
      <c r="G1048217" s="19"/>
      <c r="H1048217" s="19"/>
      <c r="I1048217" s="19"/>
      <c r="J1048217" s="19"/>
      <c r="K1048217" s="19"/>
      <c r="L1048217" s="19"/>
      <c r="M1048217" s="19"/>
      <c r="N1048217" s="19"/>
    </row>
    <row r="1048218" spans="1:14" s="83" customFormat="1" ht="12.75">
      <c r="A1048218" s="19"/>
      <c r="B1048218" s="19"/>
      <c r="C1048218" s="19"/>
      <c r="D1048218" s="19"/>
      <c r="E1048218" s="19"/>
      <c r="F1048218" s="19"/>
      <c r="G1048218" s="19"/>
      <c r="H1048218" s="19"/>
      <c r="I1048218" s="19"/>
      <c r="J1048218" s="19"/>
      <c r="K1048218" s="19"/>
      <c r="L1048218" s="19"/>
      <c r="M1048218" s="19"/>
      <c r="N1048218" s="19"/>
    </row>
    <row r="1048219" spans="1:14" s="83" customFormat="1" ht="12.75">
      <c r="A1048219" s="19"/>
      <c r="B1048219" s="19"/>
      <c r="C1048219" s="19"/>
      <c r="D1048219" s="19"/>
      <c r="E1048219" s="19"/>
      <c r="F1048219" s="19"/>
      <c r="G1048219" s="19"/>
      <c r="H1048219" s="19"/>
      <c r="I1048219" s="19"/>
      <c r="J1048219" s="19"/>
      <c r="K1048219" s="19"/>
      <c r="L1048219" s="19"/>
      <c r="M1048219" s="19"/>
      <c r="N1048219" s="19"/>
    </row>
    <row r="1048220" spans="1:14" s="83" customFormat="1" ht="12.75">
      <c r="A1048220" s="19"/>
      <c r="B1048220" s="19"/>
      <c r="C1048220" s="19"/>
      <c r="D1048220" s="19"/>
      <c r="E1048220" s="19"/>
      <c r="F1048220" s="19"/>
      <c r="G1048220" s="19"/>
      <c r="H1048220" s="19"/>
      <c r="I1048220" s="19"/>
      <c r="J1048220" s="19"/>
      <c r="K1048220" s="19"/>
      <c r="L1048220" s="19"/>
      <c r="M1048220" s="19"/>
      <c r="N1048220" s="19"/>
    </row>
    <row r="1048221" spans="1:14" s="83" customFormat="1" ht="12.75">
      <c r="A1048221" s="19"/>
      <c r="B1048221" s="19"/>
      <c r="C1048221" s="19"/>
      <c r="D1048221" s="19"/>
      <c r="E1048221" s="19"/>
      <c r="F1048221" s="19"/>
      <c r="G1048221" s="19"/>
      <c r="H1048221" s="19"/>
      <c r="I1048221" s="19"/>
      <c r="J1048221" s="19"/>
      <c r="K1048221" s="19"/>
      <c r="L1048221" s="19"/>
      <c r="M1048221" s="19"/>
      <c r="N1048221" s="19"/>
    </row>
    <row r="1048222" spans="1:14" s="83" customFormat="1" ht="12.75">
      <c r="A1048222" s="19"/>
      <c r="B1048222" s="19"/>
      <c r="C1048222" s="19"/>
      <c r="D1048222" s="19"/>
      <c r="E1048222" s="19"/>
      <c r="F1048222" s="19"/>
      <c r="G1048222" s="19"/>
      <c r="H1048222" s="19"/>
      <c r="I1048222" s="19"/>
      <c r="J1048222" s="19"/>
      <c r="K1048222" s="19"/>
      <c r="L1048222" s="19"/>
      <c r="M1048222" s="19"/>
      <c r="N1048222" s="19"/>
    </row>
    <row r="1048223" spans="1:14" s="83" customFormat="1" ht="12.75">
      <c r="A1048223" s="19"/>
      <c r="B1048223" s="19"/>
      <c r="C1048223" s="19"/>
      <c r="D1048223" s="19"/>
      <c r="E1048223" s="19"/>
      <c r="F1048223" s="19"/>
      <c r="G1048223" s="19"/>
      <c r="H1048223" s="19"/>
      <c r="I1048223" s="19"/>
      <c r="J1048223" s="19"/>
      <c r="K1048223" s="19"/>
      <c r="L1048223" s="19"/>
      <c r="M1048223" s="19"/>
      <c r="N1048223" s="19"/>
    </row>
    <row r="1048224" spans="1:14" s="83" customFormat="1" ht="12.75">
      <c r="A1048224" s="19"/>
      <c r="B1048224" s="19"/>
      <c r="C1048224" s="19"/>
      <c r="D1048224" s="19"/>
      <c r="E1048224" s="19"/>
      <c r="F1048224" s="19"/>
      <c r="G1048224" s="19"/>
      <c r="H1048224" s="19"/>
      <c r="I1048224" s="19"/>
      <c r="J1048224" s="19"/>
      <c r="K1048224" s="19"/>
      <c r="L1048224" s="19"/>
      <c r="M1048224" s="19"/>
      <c r="N1048224" s="19"/>
    </row>
    <row r="1048225" spans="1:14" s="83" customFormat="1" ht="12.75">
      <c r="A1048225" s="19"/>
      <c r="B1048225" s="19"/>
      <c r="C1048225" s="19"/>
      <c r="D1048225" s="19"/>
      <c r="E1048225" s="19"/>
      <c r="F1048225" s="19"/>
      <c r="G1048225" s="19"/>
      <c r="H1048225" s="19"/>
      <c r="I1048225" s="19"/>
      <c r="J1048225" s="19"/>
      <c r="K1048225" s="19"/>
      <c r="L1048225" s="19"/>
      <c r="M1048225" s="19"/>
      <c r="N1048225" s="19"/>
    </row>
    <row r="1048226" spans="1:14" s="83" customFormat="1" ht="12.75">
      <c r="A1048226" s="19"/>
      <c r="B1048226" s="19"/>
      <c r="C1048226" s="19"/>
      <c r="D1048226" s="19"/>
      <c r="E1048226" s="19"/>
      <c r="F1048226" s="19"/>
      <c r="G1048226" s="19"/>
      <c r="H1048226" s="19"/>
      <c r="I1048226" s="19"/>
      <c r="J1048226" s="19"/>
      <c r="K1048226" s="19"/>
      <c r="L1048226" s="19"/>
      <c r="M1048226" s="19"/>
      <c r="N1048226" s="19"/>
    </row>
    <row r="1048227" spans="1:14" s="83" customFormat="1" ht="12.75">
      <c r="A1048227" s="19"/>
      <c r="B1048227" s="19"/>
      <c r="C1048227" s="19"/>
      <c r="D1048227" s="19"/>
      <c r="E1048227" s="19"/>
      <c r="F1048227" s="19"/>
      <c r="G1048227" s="19"/>
      <c r="H1048227" s="19"/>
      <c r="I1048227" s="19"/>
      <c r="J1048227" s="19"/>
      <c r="K1048227" s="19"/>
      <c r="L1048227" s="19"/>
      <c r="M1048227" s="19"/>
      <c r="N1048227" s="19"/>
    </row>
    <row r="1048228" spans="1:14" s="83" customFormat="1" ht="12.75">
      <c r="A1048228" s="19"/>
      <c r="B1048228" s="19"/>
      <c r="C1048228" s="19"/>
      <c r="D1048228" s="19"/>
      <c r="E1048228" s="19"/>
      <c r="F1048228" s="19"/>
      <c r="G1048228" s="19"/>
      <c r="H1048228" s="19"/>
      <c r="I1048228" s="19"/>
      <c r="J1048228" s="19"/>
      <c r="K1048228" s="19"/>
      <c r="L1048228" s="19"/>
      <c r="M1048228" s="19"/>
      <c r="N1048228" s="19"/>
    </row>
    <row r="1048229" spans="1:14" s="83" customFormat="1" ht="12.75">
      <c r="A1048229" s="19"/>
      <c r="B1048229" s="19"/>
      <c r="C1048229" s="19"/>
      <c r="D1048229" s="19"/>
      <c r="E1048229" s="19"/>
      <c r="F1048229" s="19"/>
      <c r="G1048229" s="19"/>
      <c r="H1048229" s="19"/>
      <c r="I1048229" s="19"/>
      <c r="J1048229" s="19"/>
      <c r="K1048229" s="19"/>
      <c r="L1048229" s="19"/>
      <c r="M1048229" s="19"/>
      <c r="N1048229" s="19"/>
    </row>
    <row r="1048230" spans="1:14" s="83" customFormat="1" ht="12.75">
      <c r="A1048230" s="19"/>
      <c r="B1048230" s="19"/>
      <c r="C1048230" s="19"/>
      <c r="D1048230" s="19"/>
      <c r="E1048230" s="19"/>
      <c r="F1048230" s="19"/>
      <c r="G1048230" s="19"/>
      <c r="H1048230" s="19"/>
      <c r="I1048230" s="19"/>
      <c r="J1048230" s="19"/>
      <c r="K1048230" s="19"/>
      <c r="L1048230" s="19"/>
      <c r="M1048230" s="19"/>
      <c r="N1048230" s="19"/>
    </row>
    <row r="1048231" spans="1:14" s="83" customFormat="1" ht="12.75">
      <c r="A1048231" s="19"/>
      <c r="B1048231" s="19"/>
      <c r="C1048231" s="19"/>
      <c r="D1048231" s="19"/>
      <c r="E1048231" s="19"/>
      <c r="F1048231" s="19"/>
      <c r="G1048231" s="19"/>
      <c r="H1048231" s="19"/>
      <c r="I1048231" s="19"/>
      <c r="J1048231" s="19"/>
      <c r="K1048231" s="19"/>
      <c r="L1048231" s="19"/>
      <c r="M1048231" s="19"/>
      <c r="N1048231" s="19"/>
    </row>
    <row r="1048232" spans="1:14" s="83" customFormat="1" ht="12.75">
      <c r="A1048232" s="19"/>
      <c r="B1048232" s="19"/>
      <c r="C1048232" s="19"/>
      <c r="D1048232" s="19"/>
      <c r="E1048232" s="19"/>
      <c r="F1048232" s="19"/>
      <c r="G1048232" s="19"/>
      <c r="H1048232" s="19"/>
      <c r="I1048232" s="19"/>
      <c r="J1048232" s="19"/>
      <c r="K1048232" s="19"/>
      <c r="L1048232" s="19"/>
      <c r="M1048232" s="19"/>
      <c r="N1048232" s="19"/>
    </row>
    <row r="1048233" spans="1:14" s="83" customFormat="1" ht="12.75">
      <c r="A1048233" s="19"/>
      <c r="B1048233" s="19"/>
      <c r="C1048233" s="19"/>
      <c r="D1048233" s="19"/>
      <c r="E1048233" s="19"/>
      <c r="F1048233" s="19"/>
      <c r="G1048233" s="19"/>
      <c r="H1048233" s="19"/>
      <c r="I1048233" s="19"/>
      <c r="J1048233" s="19"/>
      <c r="K1048233" s="19"/>
      <c r="L1048233" s="19"/>
      <c r="M1048233" s="19"/>
      <c r="N1048233" s="19"/>
    </row>
    <row r="1048234" spans="1:14" s="83" customFormat="1" ht="12.75">
      <c r="A1048234" s="19"/>
      <c r="B1048234" s="19"/>
      <c r="C1048234" s="19"/>
      <c r="D1048234" s="19"/>
      <c r="E1048234" s="19"/>
      <c r="F1048234" s="19"/>
      <c r="G1048234" s="19"/>
      <c r="H1048234" s="19"/>
      <c r="I1048234" s="19"/>
      <c r="J1048234" s="19"/>
      <c r="K1048234" s="19"/>
      <c r="L1048234" s="19"/>
      <c r="M1048234" s="19"/>
      <c r="N1048234" s="19"/>
    </row>
    <row r="1048235" spans="1:14" s="83" customFormat="1" ht="12.75">
      <c r="A1048235" s="19"/>
      <c r="B1048235" s="19"/>
      <c r="C1048235" s="19"/>
      <c r="D1048235" s="19"/>
      <c r="E1048235" s="19"/>
      <c r="F1048235" s="19"/>
      <c r="G1048235" s="19"/>
      <c r="H1048235" s="19"/>
      <c r="I1048235" s="19"/>
      <c r="J1048235" s="19"/>
      <c r="K1048235" s="19"/>
      <c r="L1048235" s="19"/>
      <c r="M1048235" s="19"/>
      <c r="N1048235" s="19"/>
    </row>
    <row r="1048236" spans="1:14" s="83" customFormat="1" ht="12.75">
      <c r="A1048236" s="19"/>
      <c r="B1048236" s="19"/>
      <c r="C1048236" s="19"/>
      <c r="D1048236" s="19"/>
      <c r="E1048236" s="19"/>
      <c r="F1048236" s="19"/>
      <c r="G1048236" s="19"/>
      <c r="H1048236" s="19"/>
      <c r="I1048236" s="19"/>
      <c r="J1048236" s="19"/>
      <c r="K1048236" s="19"/>
      <c r="L1048236" s="19"/>
      <c r="M1048236" s="19"/>
      <c r="N1048236" s="19"/>
    </row>
    <row r="1048237" spans="1:14" s="83" customFormat="1" ht="12.75">
      <c r="A1048237" s="19"/>
      <c r="B1048237" s="19"/>
      <c r="C1048237" s="19"/>
      <c r="D1048237" s="19"/>
      <c r="E1048237" s="19"/>
      <c r="F1048237" s="19"/>
      <c r="G1048237" s="19"/>
      <c r="H1048237" s="19"/>
      <c r="I1048237" s="19"/>
      <c r="J1048237" s="19"/>
      <c r="K1048237" s="19"/>
      <c r="L1048237" s="19"/>
      <c r="M1048237" s="19"/>
      <c r="N1048237" s="19"/>
    </row>
    <row r="1048238" spans="1:14" s="83" customFormat="1" ht="12.75">
      <c r="A1048238" s="19"/>
      <c r="B1048238" s="19"/>
      <c r="C1048238" s="19"/>
      <c r="D1048238" s="19"/>
      <c r="E1048238" s="19"/>
      <c r="F1048238" s="19"/>
      <c r="G1048238" s="19"/>
      <c r="H1048238" s="19"/>
      <c r="I1048238" s="19"/>
      <c r="J1048238" s="19"/>
      <c r="K1048238" s="19"/>
      <c r="L1048238" s="19"/>
      <c r="M1048238" s="19"/>
      <c r="N1048238" s="19"/>
    </row>
    <row r="1048239" spans="1:14" s="83" customFormat="1" ht="12.75">
      <c r="A1048239" s="19"/>
      <c r="B1048239" s="19"/>
      <c r="C1048239" s="19"/>
      <c r="D1048239" s="19"/>
      <c r="E1048239" s="19"/>
      <c r="F1048239" s="19"/>
      <c r="G1048239" s="19"/>
      <c r="H1048239" s="19"/>
      <c r="I1048239" s="19"/>
      <c r="J1048239" s="19"/>
      <c r="K1048239" s="19"/>
      <c r="L1048239" s="19"/>
      <c r="M1048239" s="19"/>
      <c r="N1048239" s="19"/>
    </row>
    <row r="1048240" spans="1:14" s="83" customFormat="1" ht="12.75">
      <c r="A1048240" s="19"/>
      <c r="B1048240" s="19"/>
      <c r="C1048240" s="19"/>
      <c r="D1048240" s="19"/>
      <c r="E1048240" s="19"/>
      <c r="F1048240" s="19"/>
      <c r="G1048240" s="19"/>
      <c r="H1048240" s="19"/>
      <c r="I1048240" s="19"/>
      <c r="J1048240" s="19"/>
      <c r="K1048240" s="19"/>
      <c r="L1048240" s="19"/>
      <c r="M1048240" s="19"/>
      <c r="N1048240" s="19"/>
    </row>
    <row r="1048241" spans="1:14" s="83" customFormat="1" ht="12.75">
      <c r="A1048241" s="19"/>
      <c r="B1048241" s="19"/>
      <c r="C1048241" s="19"/>
      <c r="D1048241" s="19"/>
      <c r="E1048241" s="19"/>
      <c r="F1048241" s="19"/>
      <c r="G1048241" s="19"/>
      <c r="H1048241" s="19"/>
      <c r="I1048241" s="19"/>
      <c r="J1048241" s="19"/>
      <c r="K1048241" s="19"/>
      <c r="L1048241" s="19"/>
      <c r="M1048241" s="19"/>
      <c r="N1048241" s="19"/>
    </row>
    <row r="1048242" spans="1:14" s="83" customFormat="1" ht="12.75">
      <c r="A1048242" s="19"/>
      <c r="B1048242" s="19"/>
      <c r="C1048242" s="19"/>
      <c r="D1048242" s="19"/>
      <c r="E1048242" s="19"/>
      <c r="F1048242" s="19"/>
      <c r="G1048242" s="19"/>
      <c r="H1048242" s="19"/>
      <c r="I1048242" s="19"/>
      <c r="J1048242" s="19"/>
      <c r="K1048242" s="19"/>
      <c r="L1048242" s="19"/>
      <c r="M1048242" s="19"/>
      <c r="N1048242" s="19"/>
    </row>
    <row r="1048243" spans="1:14" s="83" customFormat="1" ht="12.75">
      <c r="A1048243" s="19"/>
      <c r="B1048243" s="19"/>
      <c r="C1048243" s="19"/>
      <c r="D1048243" s="19"/>
      <c r="E1048243" s="19"/>
      <c r="F1048243" s="19"/>
      <c r="G1048243" s="19"/>
      <c r="H1048243" s="19"/>
      <c r="I1048243" s="19"/>
      <c r="J1048243" s="19"/>
      <c r="K1048243" s="19"/>
      <c r="L1048243" s="19"/>
      <c r="M1048243" s="19"/>
      <c r="N1048243" s="19"/>
    </row>
    <row r="1048244" spans="1:14" s="83" customFormat="1" ht="12.75">
      <c r="A1048244" s="19"/>
      <c r="B1048244" s="19"/>
      <c r="C1048244" s="19"/>
      <c r="D1048244" s="19"/>
      <c r="E1048244" s="19"/>
      <c r="F1048244" s="19"/>
      <c r="G1048244" s="19"/>
      <c r="H1048244" s="19"/>
      <c r="I1048244" s="19"/>
      <c r="J1048244" s="19"/>
      <c r="K1048244" s="19"/>
      <c r="L1048244" s="19"/>
      <c r="M1048244" s="19"/>
      <c r="N1048244" s="19"/>
    </row>
    <row r="1048245" spans="1:14" s="83" customFormat="1" ht="12.75">
      <c r="A1048245" s="19"/>
      <c r="B1048245" s="19"/>
      <c r="C1048245" s="19"/>
      <c r="D1048245" s="19"/>
      <c r="E1048245" s="19"/>
      <c r="F1048245" s="19"/>
      <c r="G1048245" s="19"/>
      <c r="H1048245" s="19"/>
      <c r="I1048245" s="19"/>
      <c r="J1048245" s="19"/>
      <c r="K1048245" s="19"/>
      <c r="L1048245" s="19"/>
      <c r="M1048245" s="19"/>
      <c r="N1048245" s="19"/>
    </row>
    <row r="1048246" spans="1:14" s="83" customFormat="1" ht="12.75">
      <c r="A1048246" s="19"/>
      <c r="B1048246" s="19"/>
      <c r="C1048246" s="19"/>
      <c r="D1048246" s="19"/>
      <c r="E1048246" s="19"/>
      <c r="F1048246" s="19"/>
      <c r="G1048246" s="19"/>
      <c r="H1048246" s="19"/>
      <c r="I1048246" s="19"/>
      <c r="J1048246" s="19"/>
      <c r="K1048246" s="19"/>
      <c r="L1048246" s="19"/>
      <c r="M1048246" s="19"/>
      <c r="N1048246" s="19"/>
    </row>
    <row r="1048247" spans="1:14" s="83" customFormat="1" ht="12.75">
      <c r="A1048247" s="19"/>
      <c r="B1048247" s="19"/>
      <c r="C1048247" s="19"/>
      <c r="D1048247" s="19"/>
      <c r="E1048247" s="19"/>
      <c r="F1048247" s="19"/>
      <c r="G1048247" s="19"/>
      <c r="H1048247" s="19"/>
      <c r="I1048247" s="19"/>
      <c r="J1048247" s="19"/>
      <c r="K1048247" s="19"/>
      <c r="L1048247" s="19"/>
      <c r="M1048247" s="19"/>
      <c r="N1048247" s="19"/>
    </row>
    <row r="1048248" spans="1:14" s="83" customFormat="1" ht="12.75">
      <c r="A1048248" s="19"/>
      <c r="B1048248" s="19"/>
      <c r="C1048248" s="19"/>
      <c r="D1048248" s="19"/>
      <c r="E1048248" s="19"/>
      <c r="F1048248" s="19"/>
      <c r="G1048248" s="19"/>
      <c r="H1048248" s="19"/>
      <c r="I1048248" s="19"/>
      <c r="J1048248" s="19"/>
      <c r="K1048248" s="19"/>
      <c r="L1048248" s="19"/>
      <c r="M1048248" s="19"/>
      <c r="N1048248" s="19"/>
    </row>
    <row r="1048249" spans="1:14" s="83" customFormat="1" ht="12.75">
      <c r="A1048249" s="19"/>
      <c r="B1048249" s="19"/>
      <c r="C1048249" s="19"/>
      <c r="D1048249" s="19"/>
      <c r="E1048249" s="19"/>
      <c r="F1048249" s="19"/>
      <c r="G1048249" s="19"/>
      <c r="H1048249" s="19"/>
      <c r="I1048249" s="19"/>
      <c r="J1048249" s="19"/>
      <c r="K1048249" s="19"/>
      <c r="L1048249" s="19"/>
      <c r="M1048249" s="19"/>
      <c r="N1048249" s="19"/>
    </row>
    <row r="1048250" spans="1:14" s="83" customFormat="1" ht="12.75">
      <c r="A1048250" s="19"/>
      <c r="B1048250" s="19"/>
      <c r="C1048250" s="19"/>
      <c r="D1048250" s="19"/>
      <c r="E1048250" s="19"/>
      <c r="F1048250" s="19"/>
      <c r="G1048250" s="19"/>
      <c r="H1048250" s="19"/>
      <c r="I1048250" s="19"/>
      <c r="J1048250" s="19"/>
      <c r="K1048250" s="19"/>
      <c r="L1048250" s="19"/>
      <c r="M1048250" s="19"/>
      <c r="N1048250" s="19"/>
    </row>
    <row r="1048251" spans="1:14" s="83" customFormat="1" ht="12.75">
      <c r="A1048251" s="19"/>
      <c r="B1048251" s="19"/>
      <c r="C1048251" s="19"/>
      <c r="D1048251" s="19"/>
      <c r="E1048251" s="19"/>
      <c r="F1048251" s="19"/>
      <c r="G1048251" s="19"/>
      <c r="H1048251" s="19"/>
      <c r="I1048251" s="19"/>
      <c r="J1048251" s="19"/>
      <c r="K1048251" s="19"/>
      <c r="L1048251" s="19"/>
      <c r="M1048251" s="19"/>
      <c r="N1048251" s="19"/>
    </row>
    <row r="1048252" spans="1:14" s="83" customFormat="1" ht="12.75">
      <c r="A1048252" s="19"/>
      <c r="B1048252" s="19"/>
      <c r="C1048252" s="19"/>
      <c r="D1048252" s="19"/>
      <c r="E1048252" s="19"/>
      <c r="F1048252" s="19"/>
      <c r="G1048252" s="19"/>
      <c r="H1048252" s="19"/>
      <c r="I1048252" s="19"/>
      <c r="J1048252" s="19"/>
      <c r="K1048252" s="19"/>
      <c r="L1048252" s="19"/>
      <c r="M1048252" s="19"/>
      <c r="N1048252" s="19"/>
    </row>
    <row r="1048253" spans="1:14" s="83" customFormat="1" ht="12.75">
      <c r="A1048253" s="19"/>
      <c r="B1048253" s="19"/>
      <c r="C1048253" s="19"/>
      <c r="D1048253" s="19"/>
      <c r="E1048253" s="19"/>
      <c r="F1048253" s="19"/>
      <c r="G1048253" s="19"/>
      <c r="H1048253" s="19"/>
      <c r="I1048253" s="19"/>
      <c r="J1048253" s="19"/>
      <c r="K1048253" s="19"/>
      <c r="L1048253" s="19"/>
      <c r="M1048253" s="19"/>
      <c r="N1048253" s="19"/>
    </row>
    <row r="1048254" spans="1:14" s="83" customFormat="1" ht="12.75">
      <c r="A1048254" s="19"/>
      <c r="B1048254" s="19"/>
      <c r="C1048254" s="19"/>
      <c r="D1048254" s="19"/>
      <c r="E1048254" s="19"/>
      <c r="F1048254" s="19"/>
      <c r="G1048254" s="19"/>
      <c r="H1048254" s="19"/>
      <c r="I1048254" s="19"/>
      <c r="J1048254" s="19"/>
      <c r="K1048254" s="19"/>
      <c r="L1048254" s="19"/>
      <c r="M1048254" s="19"/>
      <c r="N1048254" s="19"/>
    </row>
    <row r="1048255" spans="1:14" s="83" customFormat="1" ht="12.75">
      <c r="A1048255" s="19"/>
      <c r="B1048255" s="19"/>
      <c r="C1048255" s="19"/>
      <c r="D1048255" s="19"/>
      <c r="E1048255" s="19"/>
      <c r="F1048255" s="19"/>
      <c r="G1048255" s="19"/>
      <c r="H1048255" s="19"/>
      <c r="I1048255" s="19"/>
      <c r="J1048255" s="19"/>
      <c r="K1048255" s="19"/>
      <c r="L1048255" s="19"/>
      <c r="M1048255" s="19"/>
      <c r="N1048255" s="19"/>
    </row>
    <row r="1048256" spans="1:14" s="83" customFormat="1" ht="12.75">
      <c r="A1048256" s="19"/>
      <c r="B1048256" s="19"/>
      <c r="C1048256" s="19"/>
      <c r="D1048256" s="19"/>
      <c r="E1048256" s="19"/>
      <c r="F1048256" s="19"/>
      <c r="G1048256" s="19"/>
      <c r="H1048256" s="19"/>
      <c r="I1048256" s="19"/>
      <c r="J1048256" s="19"/>
      <c r="K1048256" s="19"/>
      <c r="L1048256" s="19"/>
      <c r="M1048256" s="19"/>
      <c r="N1048256" s="19"/>
    </row>
    <row r="1048257" spans="1:14" s="83" customFormat="1" ht="12.75">
      <c r="A1048257" s="19"/>
      <c r="B1048257" s="19"/>
      <c r="C1048257" s="19"/>
      <c r="D1048257" s="19"/>
      <c r="E1048257" s="19"/>
      <c r="F1048257" s="19"/>
      <c r="G1048257" s="19"/>
      <c r="H1048257" s="19"/>
      <c r="I1048257" s="19"/>
      <c r="J1048257" s="19"/>
      <c r="K1048257" s="19"/>
      <c r="L1048257" s="19"/>
      <c r="M1048257" s="19"/>
      <c r="N1048257" s="19"/>
    </row>
    <row r="1048258" spans="1:14" s="83" customFormat="1" ht="12.75">
      <c r="A1048258" s="19"/>
      <c r="B1048258" s="19"/>
      <c r="C1048258" s="19"/>
      <c r="D1048258" s="19"/>
      <c r="E1048258" s="19"/>
      <c r="F1048258" s="19"/>
      <c r="G1048258" s="19"/>
      <c r="H1048258" s="19"/>
      <c r="I1048258" s="19"/>
      <c r="J1048258" s="19"/>
      <c r="K1048258" s="19"/>
      <c r="L1048258" s="19"/>
      <c r="M1048258" s="19"/>
      <c r="N1048258" s="19"/>
    </row>
    <row r="1048259" spans="1:14" s="83" customFormat="1" ht="12.75">
      <c r="A1048259" s="19"/>
      <c r="B1048259" s="19"/>
      <c r="C1048259" s="19"/>
      <c r="D1048259" s="19"/>
      <c r="E1048259" s="19"/>
      <c r="F1048259" s="19"/>
      <c r="G1048259" s="19"/>
      <c r="H1048259" s="19"/>
      <c r="I1048259" s="19"/>
      <c r="J1048259" s="19"/>
      <c r="K1048259" s="19"/>
      <c r="L1048259" s="19"/>
      <c r="M1048259" s="19"/>
      <c r="N1048259" s="19"/>
    </row>
    <row r="1048260" spans="1:14" s="83" customFormat="1" ht="12.75">
      <c r="A1048260" s="19"/>
      <c r="B1048260" s="19"/>
      <c r="C1048260" s="19"/>
      <c r="D1048260" s="19"/>
      <c r="E1048260" s="19"/>
      <c r="F1048260" s="19"/>
      <c r="G1048260" s="19"/>
      <c r="H1048260" s="19"/>
      <c r="I1048260" s="19"/>
      <c r="J1048260" s="19"/>
      <c r="K1048260" s="19"/>
      <c r="L1048260" s="19"/>
      <c r="M1048260" s="19"/>
      <c r="N1048260" s="19"/>
    </row>
    <row r="1048261" spans="1:14" s="83" customFormat="1" ht="12.75">
      <c r="A1048261" s="19"/>
      <c r="B1048261" s="19"/>
      <c r="C1048261" s="19"/>
      <c r="D1048261" s="19"/>
      <c r="E1048261" s="19"/>
      <c r="F1048261" s="19"/>
      <c r="G1048261" s="19"/>
      <c r="H1048261" s="19"/>
      <c r="I1048261" s="19"/>
      <c r="J1048261" s="19"/>
      <c r="K1048261" s="19"/>
      <c r="L1048261" s="19"/>
      <c r="M1048261" s="19"/>
      <c r="N1048261" s="19"/>
    </row>
    <row r="1048262" spans="1:14" s="83" customFormat="1" ht="12.75">
      <c r="A1048262" s="19"/>
      <c r="B1048262" s="19"/>
      <c r="C1048262" s="19"/>
      <c r="D1048262" s="19"/>
      <c r="E1048262" s="19"/>
      <c r="F1048262" s="19"/>
      <c r="G1048262" s="19"/>
      <c r="H1048262" s="19"/>
      <c r="I1048262" s="19"/>
      <c r="J1048262" s="19"/>
      <c r="K1048262" s="19"/>
      <c r="L1048262" s="19"/>
      <c r="M1048262" s="19"/>
      <c r="N1048262" s="19"/>
    </row>
    <row r="1048263" spans="1:14" s="83" customFormat="1" ht="12.75">
      <c r="A1048263" s="19"/>
      <c r="B1048263" s="19"/>
      <c r="C1048263" s="19"/>
      <c r="D1048263" s="19"/>
      <c r="E1048263" s="19"/>
      <c r="F1048263" s="19"/>
      <c r="G1048263" s="19"/>
      <c r="H1048263" s="19"/>
      <c r="I1048263" s="19"/>
      <c r="J1048263" s="19"/>
      <c r="K1048263" s="19"/>
      <c r="L1048263" s="19"/>
      <c r="M1048263" s="19"/>
      <c r="N1048263" s="19"/>
    </row>
    <row r="1048264" spans="1:14" s="83" customFormat="1" ht="12.75">
      <c r="A1048264" s="19"/>
      <c r="B1048264" s="19"/>
      <c r="C1048264" s="19"/>
      <c r="D1048264" s="19"/>
      <c r="E1048264" s="19"/>
      <c r="F1048264" s="19"/>
      <c r="G1048264" s="19"/>
      <c r="H1048264" s="19"/>
      <c r="I1048264" s="19"/>
      <c r="J1048264" s="19"/>
      <c r="K1048264" s="19"/>
      <c r="L1048264" s="19"/>
      <c r="M1048264" s="19"/>
      <c r="N1048264" s="19"/>
    </row>
    <row r="1048265" spans="1:14" s="83" customFormat="1" ht="12.75">
      <c r="A1048265" s="19"/>
      <c r="B1048265" s="19"/>
      <c r="C1048265" s="19"/>
      <c r="D1048265" s="19"/>
      <c r="E1048265" s="19"/>
      <c r="F1048265" s="19"/>
      <c r="G1048265" s="19"/>
      <c r="H1048265" s="19"/>
      <c r="I1048265" s="19"/>
      <c r="J1048265" s="19"/>
      <c r="K1048265" s="19"/>
      <c r="L1048265" s="19"/>
      <c r="M1048265" s="19"/>
      <c r="N1048265" s="19"/>
    </row>
    <row r="1048266" spans="1:14" s="83" customFormat="1" ht="12.75">
      <c r="A1048266" s="19"/>
      <c r="B1048266" s="19"/>
      <c r="C1048266" s="19"/>
      <c r="D1048266" s="19"/>
      <c r="E1048266" s="19"/>
      <c r="F1048266" s="19"/>
      <c r="G1048266" s="19"/>
      <c r="H1048266" s="19"/>
      <c r="I1048266" s="19"/>
      <c r="J1048266" s="19"/>
      <c r="K1048266" s="19"/>
      <c r="L1048266" s="19"/>
      <c r="M1048266" s="19"/>
      <c r="N1048266" s="19"/>
    </row>
    <row r="1048267" spans="1:14" s="83" customFormat="1" ht="12.75">
      <c r="A1048267" s="19"/>
      <c r="B1048267" s="19"/>
      <c r="C1048267" s="19"/>
      <c r="D1048267" s="19"/>
      <c r="E1048267" s="19"/>
      <c r="F1048267" s="19"/>
      <c r="G1048267" s="19"/>
      <c r="H1048267" s="19"/>
      <c r="I1048267" s="19"/>
      <c r="J1048267" s="19"/>
      <c r="K1048267" s="19"/>
      <c r="L1048267" s="19"/>
      <c r="M1048267" s="19"/>
      <c r="N1048267" s="19"/>
    </row>
    <row r="1048268" spans="1:14" s="83" customFormat="1" ht="12.75">
      <c r="A1048268" s="19"/>
      <c r="B1048268" s="19"/>
      <c r="C1048268" s="19"/>
      <c r="D1048268" s="19"/>
      <c r="E1048268" s="19"/>
      <c r="F1048268" s="19"/>
      <c r="G1048268" s="19"/>
      <c r="H1048268" s="19"/>
      <c r="I1048268" s="19"/>
      <c r="J1048268" s="19"/>
      <c r="K1048268" s="19"/>
      <c r="L1048268" s="19"/>
      <c r="M1048268" s="19"/>
      <c r="N1048268" s="19"/>
    </row>
    <row r="1048269" spans="1:14" s="83" customFormat="1" ht="12.75">
      <c r="A1048269" s="19"/>
      <c r="B1048269" s="19"/>
      <c r="C1048269" s="19"/>
      <c r="D1048269" s="19"/>
      <c r="E1048269" s="19"/>
      <c r="F1048269" s="19"/>
      <c r="G1048269" s="19"/>
      <c r="H1048269" s="19"/>
      <c r="I1048269" s="19"/>
      <c r="J1048269" s="19"/>
      <c r="K1048269" s="19"/>
      <c r="L1048269" s="19"/>
      <c r="M1048269" s="19"/>
      <c r="N1048269" s="19"/>
    </row>
    <row r="1048270" spans="1:14" s="83" customFormat="1" ht="12.75">
      <c r="A1048270" s="19"/>
      <c r="B1048270" s="19"/>
      <c r="C1048270" s="19"/>
      <c r="D1048270" s="19"/>
      <c r="E1048270" s="19"/>
      <c r="F1048270" s="19"/>
      <c r="G1048270" s="19"/>
      <c r="H1048270" s="19"/>
      <c r="I1048270" s="19"/>
      <c r="J1048270" s="19"/>
      <c r="K1048270" s="19"/>
      <c r="L1048270" s="19"/>
      <c r="M1048270" s="19"/>
      <c r="N1048270" s="19"/>
    </row>
    <row r="1048271" spans="1:14" s="83" customFormat="1" ht="12.75">
      <c r="A1048271" s="19"/>
      <c r="B1048271" s="19"/>
      <c r="C1048271" s="19"/>
      <c r="D1048271" s="19"/>
      <c r="E1048271" s="19"/>
      <c r="F1048271" s="19"/>
      <c r="G1048271" s="19"/>
      <c r="H1048271" s="19"/>
      <c r="I1048271" s="19"/>
      <c r="J1048271" s="19"/>
      <c r="K1048271" s="19"/>
      <c r="L1048271" s="19"/>
      <c r="M1048271" s="19"/>
      <c r="N1048271" s="19"/>
    </row>
    <row r="1048272" spans="1:14" s="83" customFormat="1" ht="12.75">
      <c r="A1048272" s="19"/>
      <c r="B1048272" s="19"/>
      <c r="C1048272" s="19"/>
      <c r="D1048272" s="19"/>
      <c r="E1048272" s="19"/>
      <c r="F1048272" s="19"/>
      <c r="G1048272" s="19"/>
      <c r="H1048272" s="19"/>
      <c r="I1048272" s="19"/>
      <c r="J1048272" s="19"/>
      <c r="K1048272" s="19"/>
      <c r="L1048272" s="19"/>
      <c r="M1048272" s="19"/>
      <c r="N1048272" s="19"/>
    </row>
    <row r="1048273" spans="1:14" s="83" customFormat="1" ht="12.75">
      <c r="A1048273" s="19"/>
      <c r="B1048273" s="19"/>
      <c r="C1048273" s="19"/>
      <c r="D1048273" s="19"/>
      <c r="E1048273" s="19"/>
      <c r="F1048273" s="19"/>
      <c r="G1048273" s="19"/>
      <c r="H1048273" s="19"/>
      <c r="I1048273" s="19"/>
      <c r="J1048273" s="19"/>
      <c r="K1048273" s="19"/>
      <c r="L1048273" s="19"/>
      <c r="M1048273" s="19"/>
      <c r="N1048273" s="19"/>
    </row>
    <row r="1048274" spans="1:14" s="83" customFormat="1" ht="12.75">
      <c r="A1048274" s="19"/>
      <c r="B1048274" s="19"/>
      <c r="C1048274" s="19"/>
      <c r="D1048274" s="19"/>
      <c r="E1048274" s="19"/>
      <c r="F1048274" s="19"/>
      <c r="G1048274" s="19"/>
      <c r="H1048274" s="19"/>
      <c r="I1048274" s="19"/>
      <c r="J1048274" s="19"/>
      <c r="K1048274" s="19"/>
      <c r="L1048274" s="19"/>
      <c r="M1048274" s="19"/>
      <c r="N1048274" s="19"/>
    </row>
    <row r="1048275" spans="1:14" s="83" customFormat="1" ht="12.75">
      <c r="A1048275" s="19"/>
      <c r="B1048275" s="19"/>
      <c r="C1048275" s="19"/>
      <c r="D1048275" s="19"/>
      <c r="E1048275" s="19"/>
      <c r="F1048275" s="19"/>
      <c r="G1048275" s="19"/>
      <c r="H1048275" s="19"/>
      <c r="I1048275" s="19"/>
      <c r="J1048275" s="19"/>
      <c r="K1048275" s="19"/>
      <c r="L1048275" s="19"/>
      <c r="M1048275" s="19"/>
      <c r="N1048275" s="19"/>
    </row>
    <row r="1048276" spans="1:14" s="83" customFormat="1" ht="12.75">
      <c r="A1048276" s="19"/>
      <c r="B1048276" s="19"/>
      <c r="C1048276" s="19"/>
      <c r="D1048276" s="19"/>
      <c r="E1048276" s="19"/>
      <c r="F1048276" s="19"/>
      <c r="G1048276" s="19"/>
      <c r="H1048276" s="19"/>
      <c r="I1048276" s="19"/>
      <c r="J1048276" s="19"/>
      <c r="K1048276" s="19"/>
      <c r="L1048276" s="19"/>
      <c r="M1048276" s="19"/>
      <c r="N1048276" s="19"/>
    </row>
    <row r="1048277" spans="1:14" s="83" customFormat="1" ht="12.75">
      <c r="A1048277" s="19"/>
      <c r="B1048277" s="19"/>
      <c r="C1048277" s="19"/>
      <c r="D1048277" s="19"/>
      <c r="E1048277" s="19"/>
      <c r="F1048277" s="19"/>
      <c r="G1048277" s="19"/>
      <c r="H1048277" s="19"/>
      <c r="I1048277" s="19"/>
      <c r="J1048277" s="19"/>
      <c r="K1048277" s="19"/>
      <c r="L1048277" s="19"/>
      <c r="M1048277" s="19"/>
      <c r="N1048277" s="19"/>
    </row>
    <row r="1048278" spans="1:14" s="83" customFormat="1" ht="12.75">
      <c r="A1048278" s="19"/>
      <c r="B1048278" s="19"/>
      <c r="C1048278" s="19"/>
      <c r="D1048278" s="19"/>
      <c r="E1048278" s="19"/>
      <c r="F1048278" s="19"/>
      <c r="G1048278" s="19"/>
      <c r="H1048278" s="19"/>
      <c r="I1048278" s="19"/>
      <c r="J1048278" s="19"/>
      <c r="K1048278" s="19"/>
      <c r="L1048278" s="19"/>
      <c r="M1048278" s="19"/>
      <c r="N1048278" s="19"/>
    </row>
    <row r="1048279" spans="1:14" s="83" customFormat="1" ht="12.75">
      <c r="A1048279" s="19"/>
      <c r="B1048279" s="19"/>
      <c r="C1048279" s="19"/>
      <c r="D1048279" s="19"/>
      <c r="E1048279" s="19"/>
      <c r="F1048279" s="19"/>
      <c r="G1048279" s="19"/>
      <c r="H1048279" s="19"/>
      <c r="I1048279" s="19"/>
      <c r="J1048279" s="19"/>
      <c r="K1048279" s="19"/>
      <c r="L1048279" s="19"/>
      <c r="M1048279" s="19"/>
      <c r="N1048279" s="19"/>
    </row>
    <row r="1048280" spans="1:14" s="83" customFormat="1" ht="12.75">
      <c r="A1048280" s="19"/>
      <c r="B1048280" s="19"/>
      <c r="C1048280" s="19"/>
      <c r="D1048280" s="19"/>
      <c r="E1048280" s="19"/>
      <c r="F1048280" s="19"/>
      <c r="G1048280" s="19"/>
      <c r="H1048280" s="19"/>
      <c r="I1048280" s="19"/>
      <c r="J1048280" s="19"/>
      <c r="K1048280" s="19"/>
      <c r="L1048280" s="19"/>
      <c r="M1048280" s="19"/>
      <c r="N1048280" s="19"/>
    </row>
    <row r="1048281" spans="1:14" s="83" customFormat="1" ht="12.75">
      <c r="A1048281" s="19"/>
      <c r="B1048281" s="19"/>
      <c r="C1048281" s="19"/>
      <c r="D1048281" s="19"/>
      <c r="E1048281" s="19"/>
      <c r="F1048281" s="19"/>
      <c r="G1048281" s="19"/>
      <c r="H1048281" s="19"/>
      <c r="I1048281" s="19"/>
      <c r="J1048281" s="19"/>
      <c r="K1048281" s="19"/>
      <c r="L1048281" s="19"/>
      <c r="M1048281" s="19"/>
      <c r="N1048281" s="19"/>
    </row>
    <row r="1048282" spans="1:14" s="83" customFormat="1" ht="12.75">
      <c r="A1048282" s="19"/>
      <c r="B1048282" s="19"/>
      <c r="C1048282" s="19"/>
      <c r="D1048282" s="19"/>
      <c r="E1048282" s="19"/>
      <c r="F1048282" s="19"/>
      <c r="G1048282" s="19"/>
      <c r="H1048282" s="19"/>
      <c r="I1048282" s="19"/>
      <c r="J1048282" s="19"/>
      <c r="K1048282" s="19"/>
      <c r="L1048282" s="19"/>
      <c r="M1048282" s="19"/>
      <c r="N1048282" s="19"/>
    </row>
    <row r="1048283" spans="1:14" s="83" customFormat="1" ht="12.75">
      <c r="A1048283" s="19"/>
      <c r="B1048283" s="19"/>
      <c r="C1048283" s="19"/>
      <c r="D1048283" s="19"/>
      <c r="E1048283" s="19"/>
      <c r="F1048283" s="19"/>
      <c r="G1048283" s="19"/>
      <c r="H1048283" s="19"/>
      <c r="I1048283" s="19"/>
      <c r="J1048283" s="19"/>
      <c r="K1048283" s="19"/>
      <c r="L1048283" s="19"/>
      <c r="M1048283" s="19"/>
      <c r="N1048283" s="19"/>
    </row>
    <row r="1048284" spans="1:14" s="83" customFormat="1" ht="12.75">
      <c r="A1048284" s="19"/>
      <c r="B1048284" s="19"/>
      <c r="C1048284" s="19"/>
      <c r="D1048284" s="19"/>
      <c r="E1048284" s="19"/>
      <c r="F1048284" s="19"/>
      <c r="G1048284" s="19"/>
      <c r="H1048284" s="19"/>
      <c r="I1048284" s="19"/>
      <c r="J1048284" s="19"/>
      <c r="K1048284" s="19"/>
      <c r="L1048284" s="19"/>
      <c r="M1048284" s="19"/>
      <c r="N1048284" s="19"/>
    </row>
    <row r="1048285" spans="1:14" s="83" customFormat="1" ht="12.75">
      <c r="A1048285" s="19"/>
      <c r="B1048285" s="19"/>
      <c r="C1048285" s="19"/>
      <c r="D1048285" s="19"/>
      <c r="E1048285" s="19"/>
      <c r="F1048285" s="19"/>
      <c r="G1048285" s="19"/>
      <c r="H1048285" s="19"/>
      <c r="I1048285" s="19"/>
      <c r="J1048285" s="19"/>
      <c r="K1048285" s="19"/>
      <c r="L1048285" s="19"/>
      <c r="M1048285" s="19"/>
      <c r="N1048285" s="19"/>
    </row>
    <row r="1048286" spans="1:14" s="83" customFormat="1" ht="12.75">
      <c r="A1048286" s="19"/>
      <c r="B1048286" s="19"/>
      <c r="C1048286" s="19"/>
      <c r="D1048286" s="19"/>
      <c r="E1048286" s="19"/>
      <c r="F1048286" s="19"/>
      <c r="G1048286" s="19"/>
      <c r="H1048286" s="19"/>
      <c r="I1048286" s="19"/>
      <c r="J1048286" s="19"/>
      <c r="K1048286" s="19"/>
      <c r="L1048286" s="19"/>
      <c r="M1048286" s="19"/>
      <c r="N1048286" s="19"/>
    </row>
    <row r="1048287" spans="1:14" s="83" customFormat="1" ht="12.75">
      <c r="A1048287" s="19"/>
      <c r="B1048287" s="19"/>
      <c r="C1048287" s="19"/>
      <c r="D1048287" s="19"/>
      <c r="E1048287" s="19"/>
      <c r="F1048287" s="19"/>
      <c r="G1048287" s="19"/>
      <c r="H1048287" s="19"/>
      <c r="I1048287" s="19"/>
      <c r="J1048287" s="19"/>
      <c r="K1048287" s="19"/>
      <c r="L1048287" s="19"/>
      <c r="M1048287" s="19"/>
      <c r="N1048287" s="19"/>
    </row>
    <row r="1048288" spans="1:14" s="83" customFormat="1" ht="12.75">
      <c r="A1048288" s="19"/>
      <c r="B1048288" s="19"/>
      <c r="C1048288" s="19"/>
      <c r="D1048288" s="19"/>
      <c r="E1048288" s="19"/>
      <c r="F1048288" s="19"/>
      <c r="G1048288" s="19"/>
      <c r="H1048288" s="19"/>
      <c r="I1048288" s="19"/>
      <c r="J1048288" s="19"/>
      <c r="K1048288" s="19"/>
      <c r="L1048288" s="19"/>
      <c r="M1048288" s="19"/>
      <c r="N1048288" s="19"/>
    </row>
    <row r="1048289" spans="1:14" s="83" customFormat="1" ht="12.75">
      <c r="A1048289" s="19"/>
      <c r="B1048289" s="19"/>
      <c r="C1048289" s="19"/>
      <c r="D1048289" s="19"/>
      <c r="E1048289" s="19"/>
      <c r="F1048289" s="19"/>
      <c r="G1048289" s="19"/>
      <c r="H1048289" s="19"/>
      <c r="I1048289" s="19"/>
      <c r="J1048289" s="19"/>
      <c r="K1048289" s="19"/>
      <c r="L1048289" s="19"/>
      <c r="M1048289" s="19"/>
      <c r="N1048289" s="19"/>
    </row>
    <row r="1048290" spans="1:14" s="83" customFormat="1" ht="12.75">
      <c r="A1048290" s="19"/>
      <c r="B1048290" s="19"/>
      <c r="C1048290" s="19"/>
      <c r="D1048290" s="19"/>
      <c r="E1048290" s="19"/>
      <c r="F1048290" s="19"/>
      <c r="G1048290" s="19"/>
      <c r="H1048290" s="19"/>
      <c r="I1048290" s="19"/>
      <c r="J1048290" s="19"/>
      <c r="K1048290" s="19"/>
      <c r="L1048290" s="19"/>
      <c r="M1048290" s="19"/>
      <c r="N1048290" s="19"/>
    </row>
    <row r="1048291" spans="1:14" s="83" customFormat="1" ht="12.75">
      <c r="A1048291" s="19"/>
      <c r="B1048291" s="19"/>
      <c r="C1048291" s="19"/>
      <c r="D1048291" s="19"/>
      <c r="E1048291" s="19"/>
      <c r="F1048291" s="19"/>
      <c r="G1048291" s="19"/>
      <c r="H1048291" s="19"/>
      <c r="I1048291" s="19"/>
      <c r="J1048291" s="19"/>
      <c r="K1048291" s="19"/>
      <c r="L1048291" s="19"/>
      <c r="M1048291" s="19"/>
      <c r="N1048291" s="19"/>
    </row>
    <row r="1048292" spans="1:14" s="83" customFormat="1" ht="12.75">
      <c r="A1048292" s="19"/>
      <c r="B1048292" s="19"/>
      <c r="C1048292" s="19"/>
      <c r="D1048292" s="19"/>
      <c r="E1048292" s="19"/>
      <c r="F1048292" s="19"/>
      <c r="G1048292" s="19"/>
      <c r="H1048292" s="19"/>
      <c r="I1048292" s="19"/>
      <c r="J1048292" s="19"/>
      <c r="K1048292" s="19"/>
      <c r="L1048292" s="19"/>
      <c r="M1048292" s="19"/>
      <c r="N1048292" s="19"/>
    </row>
    <row r="1048293" spans="1:14" s="83" customFormat="1" ht="12.75">
      <c r="A1048293" s="19"/>
      <c r="B1048293" s="19"/>
      <c r="C1048293" s="19"/>
      <c r="D1048293" s="19"/>
      <c r="E1048293" s="19"/>
      <c r="F1048293" s="19"/>
      <c r="G1048293" s="19"/>
      <c r="H1048293" s="19"/>
      <c r="I1048293" s="19"/>
      <c r="J1048293" s="19"/>
      <c r="K1048293" s="19"/>
      <c r="L1048293" s="19"/>
      <c r="M1048293" s="19"/>
      <c r="N1048293" s="19"/>
    </row>
    <row r="1048294" spans="1:14" s="83" customFormat="1" ht="12.75">
      <c r="A1048294" s="19"/>
      <c r="B1048294" s="19"/>
      <c r="C1048294" s="19"/>
      <c r="D1048294" s="19"/>
      <c r="E1048294" s="19"/>
      <c r="F1048294" s="19"/>
      <c r="G1048294" s="19"/>
      <c r="H1048294" s="19"/>
      <c r="I1048294" s="19"/>
      <c r="J1048294" s="19"/>
      <c r="K1048294" s="19"/>
      <c r="L1048294" s="19"/>
      <c r="M1048294" s="19"/>
      <c r="N1048294" s="19"/>
    </row>
    <row r="1048295" spans="1:14" s="83" customFormat="1" ht="12.75">
      <c r="A1048295" s="19"/>
      <c r="B1048295" s="19"/>
      <c r="C1048295" s="19"/>
      <c r="D1048295" s="19"/>
      <c r="E1048295" s="19"/>
      <c r="F1048295" s="19"/>
      <c r="G1048295" s="19"/>
      <c r="H1048295" s="19"/>
      <c r="I1048295" s="19"/>
      <c r="J1048295" s="19"/>
      <c r="K1048295" s="19"/>
      <c r="L1048295" s="19"/>
      <c r="M1048295" s="19"/>
      <c r="N1048295" s="19"/>
    </row>
    <row r="1048296" spans="1:14" s="83" customFormat="1" ht="12.75">
      <c r="A1048296" s="19"/>
      <c r="B1048296" s="19"/>
      <c r="C1048296" s="19"/>
      <c r="D1048296" s="19"/>
      <c r="E1048296" s="19"/>
      <c r="F1048296" s="19"/>
      <c r="G1048296" s="19"/>
      <c r="H1048296" s="19"/>
      <c r="I1048296" s="19"/>
      <c r="J1048296" s="19"/>
      <c r="K1048296" s="19"/>
      <c r="L1048296" s="19"/>
      <c r="M1048296" s="19"/>
      <c r="N1048296" s="19"/>
    </row>
    <row r="1048297" spans="1:14" s="83" customFormat="1" ht="12.75">
      <c r="A1048297" s="19"/>
      <c r="B1048297" s="19"/>
      <c r="C1048297" s="19"/>
      <c r="D1048297" s="19"/>
      <c r="E1048297" s="19"/>
      <c r="F1048297" s="19"/>
      <c r="G1048297" s="19"/>
      <c r="H1048297" s="19"/>
      <c r="I1048297" s="19"/>
      <c r="J1048297" s="19"/>
      <c r="K1048297" s="19"/>
      <c r="L1048297" s="19"/>
      <c r="M1048297" s="19"/>
      <c r="N1048297" s="19"/>
    </row>
    <row r="1048298" spans="1:14" s="83" customFormat="1" ht="12.75">
      <c r="A1048298" s="19"/>
      <c r="B1048298" s="19"/>
      <c r="C1048298" s="19"/>
      <c r="D1048298" s="19"/>
      <c r="E1048298" s="19"/>
      <c r="F1048298" s="19"/>
      <c r="G1048298" s="19"/>
      <c r="H1048298" s="19"/>
      <c r="I1048298" s="19"/>
      <c r="J1048298" s="19"/>
      <c r="K1048298" s="19"/>
      <c r="L1048298" s="19"/>
      <c r="M1048298" s="19"/>
      <c r="N1048298" s="19"/>
    </row>
    <row r="1048299" spans="1:14" s="83" customFormat="1" ht="12.75">
      <c r="A1048299" s="19"/>
      <c r="B1048299" s="19"/>
      <c r="C1048299" s="19"/>
      <c r="D1048299" s="19"/>
      <c r="E1048299" s="19"/>
      <c r="F1048299" s="19"/>
      <c r="G1048299" s="19"/>
      <c r="H1048299" s="19"/>
      <c r="I1048299" s="19"/>
      <c r="J1048299" s="19"/>
      <c r="K1048299" s="19"/>
      <c r="L1048299" s="19"/>
      <c r="M1048299" s="19"/>
      <c r="N1048299" s="19"/>
    </row>
    <row r="1048300" spans="1:14" s="83" customFormat="1" ht="12.75">
      <c r="A1048300" s="19"/>
      <c r="B1048300" s="19"/>
      <c r="C1048300" s="19"/>
      <c r="D1048300" s="19"/>
      <c r="E1048300" s="19"/>
      <c r="F1048300" s="19"/>
      <c r="G1048300" s="19"/>
      <c r="H1048300" s="19"/>
      <c r="I1048300" s="19"/>
      <c r="J1048300" s="19"/>
      <c r="K1048300" s="19"/>
      <c r="L1048300" s="19"/>
      <c r="M1048300" s="19"/>
      <c r="N1048300" s="19"/>
    </row>
    <row r="1048301" spans="1:14" s="83" customFormat="1" ht="12.75">
      <c r="A1048301" s="19"/>
      <c r="B1048301" s="19"/>
      <c r="C1048301" s="19"/>
      <c r="D1048301" s="19"/>
      <c r="E1048301" s="19"/>
      <c r="F1048301" s="19"/>
      <c r="G1048301" s="19"/>
      <c r="H1048301" s="19"/>
      <c r="I1048301" s="19"/>
      <c r="J1048301" s="19"/>
      <c r="K1048301" s="19"/>
      <c r="L1048301" s="19"/>
      <c r="M1048301" s="19"/>
      <c r="N1048301" s="19"/>
    </row>
    <row r="1048302" spans="1:14" s="83" customFormat="1" ht="12.75">
      <c r="A1048302" s="19"/>
      <c r="B1048302" s="19"/>
      <c r="C1048302" s="19"/>
      <c r="D1048302" s="19"/>
      <c r="E1048302" s="19"/>
      <c r="F1048302" s="19"/>
      <c r="G1048302" s="19"/>
      <c r="H1048302" s="19"/>
      <c r="I1048302" s="19"/>
      <c r="J1048302" s="19"/>
      <c r="K1048302" s="19"/>
      <c r="L1048302" s="19"/>
      <c r="M1048302" s="19"/>
      <c r="N1048302" s="19"/>
    </row>
    <row r="1048303" spans="1:14" s="83" customFormat="1" ht="12.75">
      <c r="A1048303" s="19"/>
      <c r="B1048303" s="19"/>
      <c r="C1048303" s="19"/>
      <c r="D1048303" s="19"/>
      <c r="E1048303" s="19"/>
      <c r="F1048303" s="19"/>
      <c r="G1048303" s="19"/>
      <c r="H1048303" s="19"/>
      <c r="I1048303" s="19"/>
      <c r="J1048303" s="19"/>
      <c r="K1048303" s="19"/>
      <c r="L1048303" s="19"/>
      <c r="M1048303" s="19"/>
      <c r="N1048303" s="19"/>
    </row>
    <row r="1048304" spans="1:14" s="83" customFormat="1" ht="12.75">
      <c r="A1048304" s="19"/>
      <c r="B1048304" s="19"/>
      <c r="C1048304" s="19"/>
      <c r="D1048304" s="19"/>
      <c r="E1048304" s="19"/>
      <c r="F1048304" s="19"/>
      <c r="G1048304" s="19"/>
      <c r="H1048304" s="19"/>
      <c r="I1048304" s="19"/>
      <c r="J1048304" s="19"/>
      <c r="K1048304" s="19"/>
      <c r="L1048304" s="19"/>
      <c r="M1048304" s="19"/>
      <c r="N1048304" s="19"/>
    </row>
    <row r="1048305" spans="1:14" s="83" customFormat="1" ht="12.75">
      <c r="A1048305" s="19"/>
      <c r="B1048305" s="19"/>
      <c r="C1048305" s="19"/>
      <c r="D1048305" s="19"/>
      <c r="E1048305" s="19"/>
      <c r="F1048305" s="19"/>
      <c r="G1048305" s="19"/>
      <c r="H1048305" s="19"/>
      <c r="I1048305" s="19"/>
      <c r="J1048305" s="19"/>
      <c r="K1048305" s="19"/>
      <c r="L1048305" s="19"/>
      <c r="M1048305" s="19"/>
      <c r="N1048305" s="19"/>
    </row>
    <row r="1048306" spans="1:14" s="83" customFormat="1" ht="12.75">
      <c r="A1048306" s="19"/>
      <c r="B1048306" s="19"/>
      <c r="C1048306" s="19"/>
      <c r="D1048306" s="19"/>
      <c r="E1048306" s="19"/>
      <c r="F1048306" s="19"/>
      <c r="G1048306" s="19"/>
      <c r="H1048306" s="19"/>
      <c r="I1048306" s="19"/>
      <c r="J1048306" s="19"/>
      <c r="K1048306" s="19"/>
      <c r="L1048306" s="19"/>
      <c r="M1048306" s="19"/>
      <c r="N1048306" s="19"/>
    </row>
    <row r="1048307" spans="1:14" s="83" customFormat="1" ht="12.75">
      <c r="A1048307" s="19"/>
      <c r="B1048307" s="19"/>
      <c r="C1048307" s="19"/>
      <c r="D1048307" s="19"/>
      <c r="E1048307" s="19"/>
      <c r="F1048307" s="19"/>
      <c r="G1048307" s="19"/>
      <c r="H1048307" s="19"/>
      <c r="I1048307" s="19"/>
      <c r="J1048307" s="19"/>
      <c r="K1048307" s="19"/>
      <c r="L1048307" s="19"/>
      <c r="M1048307" s="19"/>
      <c r="N1048307" s="19"/>
    </row>
    <row r="1048308" spans="1:14" s="83" customFormat="1" ht="12.75">
      <c r="A1048308" s="19"/>
      <c r="B1048308" s="19"/>
      <c r="C1048308" s="19"/>
      <c r="D1048308" s="19"/>
      <c r="E1048308" s="19"/>
      <c r="F1048308" s="19"/>
      <c r="G1048308" s="19"/>
      <c r="H1048308" s="19"/>
      <c r="I1048308" s="19"/>
      <c r="J1048308" s="19"/>
      <c r="K1048308" s="19"/>
      <c r="L1048308" s="19"/>
      <c r="M1048308" s="19"/>
      <c r="N1048308" s="19"/>
    </row>
    <row r="1048309" spans="1:14" s="83" customFormat="1" ht="12.75">
      <c r="A1048309" s="19"/>
      <c r="B1048309" s="19"/>
      <c r="C1048309" s="19"/>
      <c r="D1048309" s="19"/>
      <c r="E1048309" s="19"/>
      <c r="F1048309" s="19"/>
      <c r="G1048309" s="19"/>
      <c r="H1048309" s="19"/>
      <c r="I1048309" s="19"/>
      <c r="J1048309" s="19"/>
      <c r="K1048309" s="19"/>
      <c r="L1048309" s="19"/>
      <c r="M1048309" s="19"/>
      <c r="N1048309" s="19"/>
    </row>
    <row r="1048310" spans="1:14" s="83" customFormat="1" ht="12.75">
      <c r="A1048310" s="19"/>
      <c r="B1048310" s="19"/>
      <c r="C1048310" s="19"/>
      <c r="D1048310" s="19"/>
      <c r="E1048310" s="19"/>
      <c r="F1048310" s="19"/>
      <c r="G1048310" s="19"/>
      <c r="H1048310" s="19"/>
      <c r="I1048310" s="19"/>
      <c r="J1048310" s="19"/>
      <c r="K1048310" s="19"/>
      <c r="L1048310" s="19"/>
      <c r="M1048310" s="19"/>
      <c r="N1048310" s="19"/>
    </row>
    <row r="1048311" spans="1:14" s="83" customFormat="1" ht="12.75">
      <c r="A1048311" s="19"/>
      <c r="B1048311" s="19"/>
      <c r="C1048311" s="19"/>
      <c r="D1048311" s="19"/>
      <c r="E1048311" s="19"/>
      <c r="F1048311" s="19"/>
      <c r="G1048311" s="19"/>
      <c r="H1048311" s="19"/>
      <c r="I1048311" s="19"/>
      <c r="J1048311" s="19"/>
      <c r="K1048311" s="19"/>
      <c r="L1048311" s="19"/>
      <c r="M1048311" s="19"/>
      <c r="N1048311" s="19"/>
    </row>
    <row r="1048312" spans="1:14" s="83" customFormat="1" ht="12.75">
      <c r="A1048312" s="19"/>
      <c r="B1048312" s="19"/>
      <c r="C1048312" s="19"/>
      <c r="D1048312" s="19"/>
      <c r="E1048312" s="19"/>
      <c r="F1048312" s="19"/>
      <c r="G1048312" s="19"/>
      <c r="H1048312" s="19"/>
      <c r="I1048312" s="19"/>
      <c r="J1048312" s="19"/>
      <c r="K1048312" s="19"/>
      <c r="L1048312" s="19"/>
      <c r="M1048312" s="19"/>
      <c r="N1048312" s="19"/>
    </row>
    <row r="1048313" spans="1:14" s="83" customFormat="1" ht="12.75">
      <c r="A1048313" s="19"/>
      <c r="B1048313" s="19"/>
      <c r="C1048313" s="19"/>
      <c r="D1048313" s="19"/>
      <c r="E1048313" s="19"/>
      <c r="F1048313" s="19"/>
      <c r="G1048313" s="19"/>
      <c r="H1048313" s="19"/>
      <c r="I1048313" s="19"/>
      <c r="J1048313" s="19"/>
      <c r="K1048313" s="19"/>
      <c r="L1048313" s="19"/>
      <c r="M1048313" s="19"/>
      <c r="N1048313" s="19"/>
    </row>
    <row r="1048314" spans="1:14" s="83" customFormat="1" ht="12.75">
      <c r="A1048314" s="19"/>
      <c r="B1048314" s="19"/>
      <c r="C1048314" s="19"/>
      <c r="D1048314" s="19"/>
      <c r="E1048314" s="19"/>
      <c r="F1048314" s="19"/>
      <c r="G1048314" s="19"/>
      <c r="H1048314" s="19"/>
      <c r="I1048314" s="19"/>
      <c r="J1048314" s="19"/>
      <c r="K1048314" s="19"/>
      <c r="L1048314" s="19"/>
      <c r="M1048314" s="19"/>
      <c r="N1048314" s="19"/>
    </row>
    <row r="1048315" spans="1:14" s="83" customFormat="1" ht="12.75">
      <c r="A1048315" s="19"/>
      <c r="B1048315" s="19"/>
      <c r="C1048315" s="19"/>
      <c r="D1048315" s="19"/>
      <c r="E1048315" s="19"/>
      <c r="F1048315" s="19"/>
      <c r="G1048315" s="19"/>
      <c r="H1048315" s="19"/>
      <c r="I1048315" s="19"/>
      <c r="J1048315" s="19"/>
      <c r="K1048315" s="19"/>
      <c r="L1048315" s="19"/>
      <c r="M1048315" s="19"/>
      <c r="N1048315" s="19"/>
    </row>
    <row r="1048316" spans="1:14" s="83" customFormat="1" ht="12.75">
      <c r="A1048316" s="19"/>
      <c r="B1048316" s="19"/>
      <c r="C1048316" s="19"/>
      <c r="D1048316" s="19"/>
      <c r="E1048316" s="19"/>
      <c r="F1048316" s="19"/>
      <c r="G1048316" s="19"/>
      <c r="H1048316" s="19"/>
      <c r="I1048316" s="19"/>
      <c r="J1048316" s="19"/>
      <c r="K1048316" s="19"/>
      <c r="L1048316" s="19"/>
      <c r="M1048316" s="19"/>
      <c r="N1048316" s="19"/>
    </row>
    <row r="1048317" spans="1:14" s="83" customFormat="1" ht="12.75">
      <c r="A1048317" s="19"/>
      <c r="B1048317" s="19"/>
      <c r="C1048317" s="19"/>
      <c r="D1048317" s="19"/>
      <c r="E1048317" s="19"/>
      <c r="F1048317" s="19"/>
      <c r="G1048317" s="19"/>
      <c r="H1048317" s="19"/>
      <c r="I1048317" s="19"/>
      <c r="J1048317" s="19"/>
      <c r="K1048317" s="19"/>
      <c r="L1048317" s="19"/>
      <c r="M1048317" s="19"/>
      <c r="N1048317" s="19"/>
    </row>
    <row r="1048318" spans="1:14" s="83" customFormat="1" ht="12.75">
      <c r="A1048318" s="19"/>
      <c r="B1048318" s="19"/>
      <c r="C1048318" s="19"/>
      <c r="D1048318" s="19"/>
      <c r="E1048318" s="19"/>
      <c r="F1048318" s="19"/>
      <c r="G1048318" s="19"/>
      <c r="H1048318" s="19"/>
      <c r="I1048318" s="19"/>
      <c r="J1048318" s="19"/>
      <c r="K1048318" s="19"/>
      <c r="L1048318" s="19"/>
      <c r="M1048318" s="19"/>
      <c r="N1048318" s="19"/>
    </row>
    <row r="1048319" spans="1:14" s="83" customFormat="1" ht="12.75">
      <c r="A1048319" s="19"/>
      <c r="B1048319" s="19"/>
      <c r="C1048319" s="19"/>
      <c r="D1048319" s="19"/>
      <c r="E1048319" s="19"/>
      <c r="F1048319" s="19"/>
      <c r="G1048319" s="19"/>
      <c r="H1048319" s="19"/>
      <c r="I1048319" s="19"/>
      <c r="J1048319" s="19"/>
      <c r="K1048319" s="19"/>
      <c r="L1048319" s="19"/>
      <c r="M1048319" s="19"/>
      <c r="N1048319" s="19"/>
    </row>
    <row r="1048320" spans="1:14" s="83" customFormat="1" ht="12.75">
      <c r="A1048320" s="19"/>
      <c r="B1048320" s="19"/>
      <c r="C1048320" s="19"/>
      <c r="D1048320" s="19"/>
      <c r="E1048320" s="19"/>
      <c r="F1048320" s="19"/>
      <c r="G1048320" s="19"/>
      <c r="H1048320" s="19"/>
      <c r="I1048320" s="19"/>
      <c r="J1048320" s="19"/>
      <c r="K1048320" s="19"/>
      <c r="L1048320" s="19"/>
      <c r="M1048320" s="19"/>
      <c r="N1048320" s="19"/>
    </row>
    <row r="1048321" spans="1:14" s="83" customFormat="1" ht="12.75">
      <c r="A1048321" s="19"/>
      <c r="B1048321" s="19"/>
      <c r="C1048321" s="19"/>
      <c r="D1048321" s="19"/>
      <c r="E1048321" s="19"/>
      <c r="F1048321" s="19"/>
      <c r="G1048321" s="19"/>
      <c r="H1048321" s="19"/>
      <c r="I1048321" s="19"/>
      <c r="J1048321" s="19"/>
      <c r="K1048321" s="19"/>
      <c r="L1048321" s="19"/>
      <c r="M1048321" s="19"/>
      <c r="N1048321" s="19"/>
    </row>
    <row r="1048322" spans="1:14" s="83" customFormat="1" ht="12.75">
      <c r="A1048322" s="19"/>
      <c r="B1048322" s="19"/>
      <c r="C1048322" s="19"/>
      <c r="D1048322" s="19"/>
      <c r="E1048322" s="19"/>
      <c r="F1048322" s="19"/>
      <c r="G1048322" s="19"/>
      <c r="H1048322" s="19"/>
      <c r="I1048322" s="19"/>
      <c r="J1048322" s="19"/>
      <c r="K1048322" s="19"/>
      <c r="L1048322" s="19"/>
      <c r="M1048322" s="19"/>
      <c r="N1048322" s="19"/>
    </row>
    <row r="1048323" spans="1:14" s="83" customFormat="1" ht="12.75">
      <c r="A1048323" s="19"/>
      <c r="B1048323" s="19"/>
      <c r="C1048323" s="19"/>
      <c r="D1048323" s="19"/>
      <c r="E1048323" s="19"/>
      <c r="F1048323" s="19"/>
      <c r="G1048323" s="19"/>
      <c r="H1048323" s="19"/>
      <c r="I1048323" s="19"/>
      <c r="J1048323" s="19"/>
      <c r="K1048323" s="19"/>
      <c r="L1048323" s="19"/>
      <c r="M1048323" s="19"/>
      <c r="N1048323" s="19"/>
    </row>
    <row r="1048324" spans="1:14" s="83" customFormat="1" ht="12.75">
      <c r="A1048324" s="19"/>
      <c r="B1048324" s="19"/>
      <c r="C1048324" s="19"/>
      <c r="D1048324" s="19"/>
      <c r="E1048324" s="19"/>
      <c r="F1048324" s="19"/>
      <c r="G1048324" s="19"/>
      <c r="H1048324" s="19"/>
      <c r="I1048324" s="19"/>
      <c r="J1048324" s="19"/>
      <c r="K1048324" s="19"/>
      <c r="L1048324" s="19"/>
      <c r="M1048324" s="19"/>
      <c r="N1048324" s="19"/>
    </row>
    <row r="1048325" spans="1:14" s="83" customFormat="1" ht="12.75">
      <c r="A1048325" s="19"/>
      <c r="B1048325" s="19"/>
      <c r="C1048325" s="19"/>
      <c r="D1048325" s="19"/>
      <c r="E1048325" s="19"/>
      <c r="F1048325" s="19"/>
      <c r="G1048325" s="19"/>
      <c r="H1048325" s="19"/>
      <c r="I1048325" s="19"/>
      <c r="J1048325" s="19"/>
      <c r="K1048325" s="19"/>
      <c r="L1048325" s="19"/>
      <c r="M1048325" s="19"/>
      <c r="N1048325" s="19"/>
    </row>
    <row r="1048326" spans="1:14" s="83" customFormat="1" ht="12.75">
      <c r="A1048326" s="19"/>
      <c r="B1048326" s="19"/>
      <c r="C1048326" s="19"/>
      <c r="D1048326" s="19"/>
      <c r="E1048326" s="19"/>
      <c r="F1048326" s="19"/>
      <c r="G1048326" s="19"/>
      <c r="H1048326" s="19"/>
      <c r="I1048326" s="19"/>
      <c r="J1048326" s="19"/>
      <c r="K1048326" s="19"/>
      <c r="L1048326" s="19"/>
      <c r="M1048326" s="19"/>
      <c r="N1048326" s="19"/>
    </row>
    <row r="1048327" spans="1:14" s="83" customFormat="1" ht="12.75">
      <c r="A1048327" s="19"/>
      <c r="B1048327" s="19"/>
      <c r="C1048327" s="19"/>
      <c r="D1048327" s="19"/>
      <c r="E1048327" s="19"/>
      <c r="F1048327" s="19"/>
      <c r="G1048327" s="19"/>
      <c r="H1048327" s="19"/>
      <c r="I1048327" s="19"/>
      <c r="J1048327" s="19"/>
      <c r="K1048327" s="19"/>
      <c r="L1048327" s="19"/>
      <c r="M1048327" s="19"/>
      <c r="N1048327" s="19"/>
    </row>
    <row r="1048328" spans="1:14" s="83" customFormat="1" ht="12.75">
      <c r="A1048328" s="19"/>
      <c r="B1048328" s="19"/>
      <c r="C1048328" s="19"/>
      <c r="D1048328" s="19"/>
      <c r="E1048328" s="19"/>
      <c r="F1048328" s="19"/>
      <c r="G1048328" s="19"/>
      <c r="H1048328" s="19"/>
      <c r="I1048328" s="19"/>
      <c r="J1048328" s="19"/>
      <c r="K1048328" s="19"/>
      <c r="L1048328" s="19"/>
      <c r="M1048328" s="19"/>
      <c r="N1048328" s="19"/>
    </row>
    <row r="1048329" spans="1:14" s="83" customFormat="1" ht="12.75">
      <c r="A1048329" s="19"/>
      <c r="B1048329" s="19"/>
      <c r="C1048329" s="19"/>
      <c r="D1048329" s="19"/>
      <c r="E1048329" s="19"/>
      <c r="F1048329" s="19"/>
      <c r="G1048329" s="19"/>
      <c r="H1048329" s="19"/>
      <c r="I1048329" s="19"/>
      <c r="J1048329" s="19"/>
      <c r="K1048329" s="19"/>
      <c r="L1048329" s="19"/>
      <c r="M1048329" s="19"/>
      <c r="N1048329" s="19"/>
    </row>
    <row r="1048330" spans="1:14" s="83" customFormat="1" ht="12.75">
      <c r="A1048330" s="19"/>
      <c r="B1048330" s="19"/>
      <c r="C1048330" s="19"/>
      <c r="D1048330" s="19"/>
      <c r="E1048330" s="19"/>
      <c r="F1048330" s="19"/>
      <c r="G1048330" s="19"/>
      <c r="H1048330" s="19"/>
      <c r="I1048330" s="19"/>
      <c r="J1048330" s="19"/>
      <c r="K1048330" s="19"/>
      <c r="L1048330" s="19"/>
      <c r="M1048330" s="19"/>
      <c r="N1048330" s="19"/>
    </row>
    <row r="1048331" spans="1:14" s="83" customFormat="1" ht="12.75">
      <c r="A1048331" s="19"/>
      <c r="B1048331" s="19"/>
      <c r="C1048331" s="19"/>
      <c r="D1048331" s="19"/>
      <c r="E1048331" s="19"/>
      <c r="F1048331" s="19"/>
      <c r="G1048331" s="19"/>
      <c r="H1048331" s="19"/>
      <c r="I1048331" s="19"/>
      <c r="J1048331" s="19"/>
      <c r="K1048331" s="19"/>
      <c r="L1048331" s="19"/>
      <c r="M1048331" s="19"/>
      <c r="N1048331" s="19"/>
    </row>
    <row r="1048332" spans="1:14" s="83" customFormat="1" ht="12.75">
      <c r="A1048332" s="19"/>
      <c r="B1048332" s="19"/>
      <c r="C1048332" s="19"/>
      <c r="D1048332" s="19"/>
      <c r="E1048332" s="19"/>
      <c r="F1048332" s="19"/>
      <c r="G1048332" s="19"/>
      <c r="H1048332" s="19"/>
      <c r="I1048332" s="19"/>
      <c r="J1048332" s="19"/>
      <c r="K1048332" s="19"/>
      <c r="L1048332" s="19"/>
      <c r="M1048332" s="19"/>
      <c r="N1048332" s="19"/>
    </row>
    <row r="1048333" spans="1:14" s="83" customFormat="1" ht="12.75">
      <c r="A1048333" s="19"/>
      <c r="B1048333" s="19"/>
      <c r="C1048333" s="19"/>
      <c r="D1048333" s="19"/>
      <c r="E1048333" s="19"/>
      <c r="F1048333" s="19"/>
      <c r="G1048333" s="19"/>
      <c r="H1048333" s="19"/>
      <c r="I1048333" s="19"/>
      <c r="J1048333" s="19"/>
      <c r="K1048333" s="19"/>
      <c r="L1048333" s="19"/>
      <c r="M1048333" s="19"/>
      <c r="N1048333" s="19"/>
    </row>
    <row r="1048334" spans="1:14" s="83" customFormat="1" ht="12.75">
      <c r="A1048334" s="19"/>
      <c r="B1048334" s="19"/>
      <c r="C1048334" s="19"/>
      <c r="D1048334" s="19"/>
      <c r="E1048334" s="19"/>
      <c r="F1048334" s="19"/>
      <c r="G1048334" s="19"/>
      <c r="H1048334" s="19"/>
      <c r="I1048334" s="19"/>
      <c r="J1048334" s="19"/>
      <c r="K1048334" s="19"/>
      <c r="L1048334" s="19"/>
      <c r="M1048334" s="19"/>
      <c r="N1048334" s="19"/>
    </row>
    <row r="1048335" spans="1:14" s="83" customFormat="1" ht="12.75">
      <c r="A1048335" s="19"/>
      <c r="B1048335" s="19"/>
      <c r="C1048335" s="19"/>
      <c r="D1048335" s="19"/>
      <c r="E1048335" s="19"/>
      <c r="F1048335" s="19"/>
      <c r="G1048335" s="19"/>
      <c r="H1048335" s="19"/>
      <c r="I1048335" s="19"/>
      <c r="J1048335" s="19"/>
      <c r="K1048335" s="19"/>
      <c r="L1048335" s="19"/>
      <c r="M1048335" s="19"/>
      <c r="N1048335" s="19"/>
    </row>
    <row r="1048336" spans="1:14" s="83" customFormat="1" ht="12.75">
      <c r="A1048336" s="19"/>
      <c r="B1048336" s="19"/>
      <c r="C1048336" s="19"/>
      <c r="D1048336" s="19"/>
      <c r="E1048336" s="19"/>
      <c r="F1048336" s="19"/>
      <c r="G1048336" s="19"/>
      <c r="H1048336" s="19"/>
      <c r="I1048336" s="19"/>
      <c r="J1048336" s="19"/>
      <c r="K1048336" s="19"/>
      <c r="L1048336" s="19"/>
      <c r="M1048336" s="19"/>
      <c r="N1048336" s="19"/>
    </row>
    <row r="1048337" spans="1:14" s="83" customFormat="1" ht="12.75">
      <c r="A1048337" s="19"/>
      <c r="B1048337" s="19"/>
      <c r="C1048337" s="19"/>
      <c r="D1048337" s="19"/>
      <c r="E1048337" s="19"/>
      <c r="F1048337" s="19"/>
      <c r="G1048337" s="19"/>
      <c r="H1048337" s="19"/>
      <c r="I1048337" s="19"/>
      <c r="J1048337" s="19"/>
      <c r="K1048337" s="19"/>
      <c r="L1048337" s="19"/>
      <c r="M1048337" s="19"/>
      <c r="N1048337" s="19"/>
    </row>
    <row r="1048338" spans="1:14" s="83" customFormat="1" ht="12.75">
      <c r="A1048338" s="19"/>
      <c r="B1048338" s="19"/>
      <c r="C1048338" s="19"/>
      <c r="D1048338" s="19"/>
      <c r="E1048338" s="19"/>
      <c r="F1048338" s="19"/>
      <c r="G1048338" s="19"/>
      <c r="H1048338" s="19"/>
      <c r="I1048338" s="19"/>
      <c r="J1048338" s="19"/>
      <c r="K1048338" s="19"/>
      <c r="L1048338" s="19"/>
      <c r="M1048338" s="19"/>
      <c r="N1048338" s="19"/>
    </row>
    <row r="1048339" spans="1:14" s="83" customFormat="1" ht="12.75">
      <c r="A1048339" s="19"/>
      <c r="B1048339" s="19"/>
      <c r="C1048339" s="19"/>
      <c r="D1048339" s="19"/>
      <c r="E1048339" s="19"/>
      <c r="F1048339" s="19"/>
      <c r="G1048339" s="19"/>
      <c r="H1048339" s="19"/>
      <c r="I1048339" s="19"/>
      <c r="J1048339" s="19"/>
      <c r="K1048339" s="19"/>
      <c r="L1048339" s="19"/>
      <c r="M1048339" s="19"/>
      <c r="N1048339" s="19"/>
    </row>
    <row r="1048340" spans="1:14" s="83" customFormat="1" ht="12.75">
      <c r="A1048340" s="19"/>
      <c r="B1048340" s="19"/>
      <c r="C1048340" s="19"/>
      <c r="D1048340" s="19"/>
      <c r="E1048340" s="19"/>
      <c r="F1048340" s="19"/>
      <c r="G1048340" s="19"/>
      <c r="H1048340" s="19"/>
      <c r="I1048340" s="19"/>
      <c r="J1048340" s="19"/>
      <c r="K1048340" s="19"/>
      <c r="L1048340" s="19"/>
      <c r="M1048340" s="19"/>
      <c r="N1048340" s="19"/>
    </row>
    <row r="1048341" spans="1:14" s="83" customFormat="1" ht="12.75">
      <c r="A1048341" s="19"/>
      <c r="B1048341" s="19"/>
      <c r="C1048341" s="19"/>
      <c r="D1048341" s="19"/>
      <c r="E1048341" s="19"/>
      <c r="F1048341" s="19"/>
      <c r="G1048341" s="19"/>
      <c r="H1048341" s="19"/>
      <c r="I1048341" s="19"/>
      <c r="J1048341" s="19"/>
      <c r="K1048341" s="19"/>
      <c r="L1048341" s="19"/>
      <c r="M1048341" s="19"/>
      <c r="N1048341" s="19"/>
    </row>
    <row r="1048342" spans="1:14" s="83" customFormat="1" ht="12.75">
      <c r="A1048342" s="19"/>
      <c r="B1048342" s="19"/>
      <c r="C1048342" s="19"/>
      <c r="D1048342" s="19"/>
      <c r="E1048342" s="19"/>
      <c r="F1048342" s="19"/>
      <c r="G1048342" s="19"/>
      <c r="H1048342" s="19"/>
      <c r="I1048342" s="19"/>
      <c r="J1048342" s="19"/>
      <c r="K1048342" s="19"/>
      <c r="L1048342" s="19"/>
      <c r="M1048342" s="19"/>
      <c r="N1048342" s="19"/>
    </row>
    <row r="1048343" spans="1:14" s="83" customFormat="1" ht="12.75">
      <c r="A1048343" s="19"/>
      <c r="B1048343" s="19"/>
      <c r="C1048343" s="19"/>
      <c r="D1048343" s="19"/>
      <c r="E1048343" s="19"/>
      <c r="F1048343" s="19"/>
      <c r="G1048343" s="19"/>
      <c r="H1048343" s="19"/>
      <c r="I1048343" s="19"/>
      <c r="J1048343" s="19"/>
      <c r="K1048343" s="19"/>
      <c r="L1048343" s="19"/>
      <c r="M1048343" s="19"/>
      <c r="N1048343" s="19"/>
    </row>
    <row r="1048344" spans="1:14" s="83" customFormat="1" ht="12.75">
      <c r="A1048344" s="19"/>
      <c r="B1048344" s="19"/>
      <c r="C1048344" s="19"/>
      <c r="D1048344" s="19"/>
      <c r="E1048344" s="19"/>
      <c r="F1048344" s="19"/>
      <c r="G1048344" s="19"/>
      <c r="H1048344" s="19"/>
      <c r="I1048344" s="19"/>
      <c r="J1048344" s="19"/>
      <c r="K1048344" s="19"/>
      <c r="L1048344" s="19"/>
      <c r="M1048344" s="19"/>
      <c r="N1048344" s="19"/>
    </row>
    <row r="1048345" spans="1:14" s="83" customFormat="1" ht="12.75">
      <c r="A1048345" s="19"/>
      <c r="B1048345" s="19"/>
      <c r="C1048345" s="19"/>
      <c r="D1048345" s="19"/>
      <c r="E1048345" s="19"/>
      <c r="F1048345" s="19"/>
      <c r="G1048345" s="19"/>
      <c r="H1048345" s="19"/>
      <c r="I1048345" s="19"/>
      <c r="J1048345" s="19"/>
      <c r="K1048345" s="19"/>
      <c r="L1048345" s="19"/>
      <c r="M1048345" s="19"/>
      <c r="N1048345" s="19"/>
    </row>
    <row r="1048346" spans="1:14" s="83" customFormat="1" ht="12.75">
      <c r="A1048346" s="19"/>
      <c r="B1048346" s="19"/>
      <c r="C1048346" s="19"/>
      <c r="D1048346" s="19"/>
      <c r="E1048346" s="19"/>
      <c r="F1048346" s="19"/>
      <c r="G1048346" s="19"/>
      <c r="H1048346" s="19"/>
      <c r="I1048346" s="19"/>
      <c r="J1048346" s="19"/>
      <c r="K1048346" s="19"/>
      <c r="L1048346" s="19"/>
      <c r="M1048346" s="19"/>
      <c r="N1048346" s="19"/>
    </row>
    <row r="1048347" spans="1:14" s="83" customFormat="1" ht="12.75">
      <c r="A1048347" s="19"/>
      <c r="B1048347" s="19"/>
      <c r="C1048347" s="19"/>
      <c r="D1048347" s="19"/>
      <c r="E1048347" s="19"/>
      <c r="F1048347" s="19"/>
      <c r="G1048347" s="19"/>
      <c r="H1048347" s="19"/>
      <c r="I1048347" s="19"/>
      <c r="J1048347" s="19"/>
      <c r="K1048347" s="19"/>
      <c r="L1048347" s="19"/>
      <c r="M1048347" s="19"/>
      <c r="N1048347" s="19"/>
    </row>
    <row r="1048348" spans="1:14" s="83" customFormat="1" ht="12.75">
      <c r="A1048348" s="19"/>
      <c r="B1048348" s="19"/>
      <c r="C1048348" s="19"/>
      <c r="D1048348" s="19"/>
      <c r="E1048348" s="19"/>
      <c r="F1048348" s="19"/>
      <c r="G1048348" s="19"/>
      <c r="H1048348" s="19"/>
      <c r="I1048348" s="19"/>
      <c r="J1048348" s="19"/>
      <c r="K1048348" s="19"/>
      <c r="L1048348" s="19"/>
      <c r="M1048348" s="19"/>
      <c r="N1048348" s="19"/>
    </row>
    <row r="1048349" spans="1:14" s="83" customFormat="1" ht="12.75">
      <c r="A1048349" s="19"/>
      <c r="B1048349" s="19"/>
      <c r="C1048349" s="19"/>
      <c r="D1048349" s="19"/>
      <c r="E1048349" s="19"/>
      <c r="F1048349" s="19"/>
      <c r="G1048349" s="19"/>
      <c r="H1048349" s="19"/>
      <c r="I1048349" s="19"/>
      <c r="J1048349" s="19"/>
      <c r="K1048349" s="19"/>
      <c r="L1048349" s="19"/>
      <c r="M1048349" s="19"/>
      <c r="N1048349" s="19"/>
    </row>
    <row r="1048350" spans="1:14" s="83" customFormat="1" ht="12.75">
      <c r="A1048350" s="19"/>
      <c r="B1048350" s="19"/>
      <c r="C1048350" s="19"/>
      <c r="D1048350" s="19"/>
      <c r="E1048350" s="19"/>
      <c r="F1048350" s="19"/>
      <c r="G1048350" s="19"/>
      <c r="H1048350" s="19"/>
      <c r="I1048350" s="19"/>
      <c r="J1048350" s="19"/>
      <c r="K1048350" s="19"/>
      <c r="L1048350" s="19"/>
      <c r="M1048350" s="19"/>
      <c r="N1048350" s="19"/>
    </row>
    <row r="1048351" spans="1:14" s="83" customFormat="1" ht="12.75">
      <c r="A1048351" s="19"/>
      <c r="B1048351" s="19"/>
      <c r="C1048351" s="19"/>
      <c r="D1048351" s="19"/>
      <c r="E1048351" s="19"/>
      <c r="F1048351" s="19"/>
      <c r="G1048351" s="19"/>
      <c r="H1048351" s="19"/>
      <c r="I1048351" s="19"/>
      <c r="J1048351" s="19"/>
      <c r="K1048351" s="19"/>
      <c r="L1048351" s="19"/>
      <c r="M1048351" s="19"/>
      <c r="N1048351" s="19"/>
    </row>
    <row r="1048352" spans="1:14" s="83" customFormat="1" ht="12.75">
      <c r="A1048352" s="19"/>
      <c r="B1048352" s="19"/>
      <c r="C1048352" s="19"/>
      <c r="D1048352" s="19"/>
      <c r="E1048352" s="19"/>
      <c r="F1048352" s="19"/>
      <c r="G1048352" s="19"/>
      <c r="H1048352" s="19"/>
      <c r="I1048352" s="19"/>
      <c r="J1048352" s="19"/>
      <c r="K1048352" s="19"/>
      <c r="L1048352" s="19"/>
      <c r="M1048352" s="19"/>
      <c r="N1048352" s="19"/>
    </row>
    <row r="1048353" spans="1:14" s="83" customFormat="1" ht="12.75">
      <c r="A1048353" s="19"/>
      <c r="B1048353" s="19"/>
      <c r="C1048353" s="19"/>
      <c r="D1048353" s="19"/>
      <c r="E1048353" s="19"/>
      <c r="F1048353" s="19"/>
      <c r="G1048353" s="19"/>
      <c r="H1048353" s="19"/>
      <c r="I1048353" s="19"/>
      <c r="J1048353" s="19"/>
      <c r="K1048353" s="19"/>
      <c r="L1048353" s="19"/>
      <c r="M1048353" s="19"/>
      <c r="N1048353" s="19"/>
    </row>
    <row r="1048354" spans="1:14" s="83" customFormat="1" ht="12.75">
      <c r="A1048354" s="19"/>
      <c r="B1048354" s="19"/>
      <c r="C1048354" s="19"/>
      <c r="D1048354" s="19"/>
      <c r="E1048354" s="19"/>
      <c r="F1048354" s="19"/>
      <c r="G1048354" s="19"/>
      <c r="H1048354" s="19"/>
      <c r="I1048354" s="19"/>
      <c r="J1048354" s="19"/>
      <c r="K1048354" s="19"/>
      <c r="L1048354" s="19"/>
      <c r="M1048354" s="19"/>
      <c r="N1048354" s="19"/>
    </row>
    <row r="1048355" spans="1:14" s="83" customFormat="1" ht="12.75">
      <c r="A1048355" s="19"/>
      <c r="B1048355" s="19"/>
      <c r="C1048355" s="19"/>
      <c r="D1048355" s="19"/>
      <c r="E1048355" s="19"/>
      <c r="F1048355" s="19"/>
      <c r="G1048355" s="19"/>
      <c r="H1048355" s="19"/>
      <c r="I1048355" s="19"/>
      <c r="J1048355" s="19"/>
      <c r="K1048355" s="19"/>
      <c r="L1048355" s="19"/>
      <c r="M1048355" s="19"/>
      <c r="N1048355" s="19"/>
    </row>
    <row r="1048356" spans="1:14" s="83" customFormat="1" ht="12.75">
      <c r="A1048356" s="19"/>
      <c r="B1048356" s="19"/>
      <c r="C1048356" s="19"/>
      <c r="D1048356" s="19"/>
      <c r="E1048356" s="19"/>
      <c r="F1048356" s="19"/>
      <c r="G1048356" s="19"/>
      <c r="H1048356" s="19"/>
      <c r="I1048356" s="19"/>
      <c r="J1048356" s="19"/>
      <c r="K1048356" s="19"/>
      <c r="L1048356" s="19"/>
      <c r="M1048356" s="19"/>
      <c r="N1048356" s="19"/>
    </row>
    <row r="1048357" spans="1:14" s="83" customFormat="1" ht="12.75">
      <c r="A1048357" s="19"/>
      <c r="B1048357" s="19"/>
      <c r="C1048357" s="19"/>
      <c r="D1048357" s="19"/>
      <c r="E1048357" s="19"/>
      <c r="F1048357" s="19"/>
      <c r="G1048357" s="19"/>
      <c r="H1048357" s="19"/>
      <c r="I1048357" s="19"/>
      <c r="J1048357" s="19"/>
      <c r="K1048357" s="19"/>
      <c r="L1048357" s="19"/>
      <c r="M1048357" s="19"/>
      <c r="N1048357" s="19"/>
    </row>
    <row r="1048358" spans="1:14" s="83" customFormat="1" ht="12.75">
      <c r="A1048358" s="19"/>
      <c r="B1048358" s="19"/>
      <c r="C1048358" s="19"/>
      <c r="D1048358" s="19"/>
      <c r="E1048358" s="19"/>
      <c r="F1048358" s="19"/>
      <c r="G1048358" s="19"/>
      <c r="H1048358" s="19"/>
      <c r="I1048358" s="19"/>
      <c r="J1048358" s="19"/>
      <c r="K1048358" s="19"/>
      <c r="L1048358" s="19"/>
      <c r="M1048358" s="19"/>
      <c r="N1048358" s="19"/>
    </row>
    <row r="1048359" spans="1:14" s="83" customFormat="1" ht="12.75">
      <c r="A1048359" s="19"/>
      <c r="B1048359" s="19"/>
      <c r="C1048359" s="19"/>
      <c r="D1048359" s="19"/>
      <c r="E1048359" s="19"/>
      <c r="F1048359" s="19"/>
      <c r="G1048359" s="19"/>
      <c r="H1048359" s="19"/>
      <c r="I1048359" s="19"/>
      <c r="J1048359" s="19"/>
      <c r="K1048359" s="19"/>
      <c r="L1048359" s="19"/>
      <c r="M1048359" s="19"/>
      <c r="N1048359" s="19"/>
    </row>
    <row r="1048360" spans="1:14" s="83" customFormat="1" ht="12.75">
      <c r="A1048360" s="19"/>
      <c r="B1048360" s="19"/>
      <c r="C1048360" s="19"/>
      <c r="D1048360" s="19"/>
      <c r="E1048360" s="19"/>
      <c r="F1048360" s="19"/>
      <c r="G1048360" s="19"/>
      <c r="H1048360" s="19"/>
      <c r="I1048360" s="19"/>
      <c r="J1048360" s="19"/>
      <c r="K1048360" s="19"/>
      <c r="L1048360" s="19"/>
      <c r="M1048360" s="19"/>
      <c r="N1048360" s="19"/>
    </row>
    <row r="1048361" spans="1:14" s="83" customFormat="1" ht="12.75">
      <c r="A1048361" s="19"/>
      <c r="B1048361" s="19"/>
      <c r="C1048361" s="19"/>
      <c r="D1048361" s="19"/>
      <c r="E1048361" s="19"/>
      <c r="F1048361" s="19"/>
      <c r="G1048361" s="19"/>
      <c r="H1048361" s="19"/>
      <c r="I1048361" s="19"/>
      <c r="J1048361" s="19"/>
      <c r="K1048361" s="19"/>
      <c r="L1048361" s="19"/>
      <c r="M1048361" s="19"/>
      <c r="N1048361" s="19"/>
    </row>
    <row r="1048362" spans="1:14" s="83" customFormat="1" ht="12.75">
      <c r="A1048362" s="19"/>
      <c r="B1048362" s="19"/>
      <c r="C1048362" s="19"/>
      <c r="D1048362" s="19"/>
      <c r="E1048362" s="19"/>
      <c r="F1048362" s="19"/>
      <c r="G1048362" s="19"/>
      <c r="H1048362" s="19"/>
      <c r="I1048362" s="19"/>
      <c r="J1048362" s="19"/>
      <c r="K1048362" s="19"/>
      <c r="L1048362" s="19"/>
      <c r="M1048362" s="19"/>
      <c r="N1048362" s="19"/>
    </row>
    <row r="1048363" spans="1:14" s="83" customFormat="1" ht="12.75">
      <c r="A1048363" s="19"/>
      <c r="B1048363" s="19"/>
      <c r="C1048363" s="19"/>
      <c r="D1048363" s="19"/>
      <c r="E1048363" s="19"/>
      <c r="F1048363" s="19"/>
      <c r="G1048363" s="19"/>
      <c r="H1048363" s="19"/>
      <c r="I1048363" s="19"/>
      <c r="J1048363" s="19"/>
      <c r="K1048363" s="19"/>
      <c r="L1048363" s="19"/>
      <c r="M1048363" s="19"/>
      <c r="N1048363" s="19"/>
    </row>
    <row r="1048364" spans="1:14" s="83" customFormat="1" ht="12.75">
      <c r="A1048364" s="19"/>
      <c r="B1048364" s="19"/>
      <c r="C1048364" s="19"/>
      <c r="D1048364" s="19"/>
      <c r="E1048364" s="19"/>
      <c r="F1048364" s="19"/>
      <c r="G1048364" s="19"/>
      <c r="H1048364" s="19"/>
      <c r="I1048364" s="19"/>
      <c r="J1048364" s="19"/>
      <c r="K1048364" s="19"/>
      <c r="L1048364" s="19"/>
      <c r="M1048364" s="19"/>
      <c r="N1048364" s="19"/>
    </row>
    <row r="1048365" spans="1:14" s="83" customFormat="1" ht="12.75">
      <c r="A1048365" s="19"/>
      <c r="B1048365" s="19"/>
      <c r="C1048365" s="19"/>
      <c r="D1048365" s="19"/>
      <c r="E1048365" s="19"/>
      <c r="F1048365" s="19"/>
      <c r="G1048365" s="19"/>
      <c r="H1048365" s="19"/>
      <c r="I1048365" s="19"/>
      <c r="J1048365" s="19"/>
      <c r="K1048365" s="19"/>
      <c r="L1048365" s="19"/>
      <c r="M1048365" s="19"/>
      <c r="N1048365" s="19"/>
    </row>
    <row r="1048366" spans="1:14" s="83" customFormat="1" ht="12.75">
      <c r="A1048366" s="19"/>
      <c r="B1048366" s="19"/>
      <c r="C1048366" s="19"/>
      <c r="D1048366" s="19"/>
      <c r="E1048366" s="19"/>
      <c r="F1048366" s="19"/>
      <c r="G1048366" s="19"/>
      <c r="H1048366" s="19"/>
      <c r="I1048366" s="19"/>
      <c r="J1048366" s="19"/>
      <c r="K1048366" s="19"/>
      <c r="L1048366" s="19"/>
      <c r="M1048366" s="19"/>
      <c r="N1048366" s="19"/>
    </row>
    <row r="1048367" spans="1:14" s="83" customFormat="1" ht="12.75">
      <c r="A1048367" s="19"/>
      <c r="B1048367" s="19"/>
      <c r="C1048367" s="19"/>
      <c r="D1048367" s="19"/>
      <c r="E1048367" s="19"/>
      <c r="F1048367" s="19"/>
      <c r="G1048367" s="19"/>
      <c r="H1048367" s="19"/>
      <c r="I1048367" s="19"/>
      <c r="J1048367" s="19"/>
      <c r="K1048367" s="19"/>
      <c r="L1048367" s="19"/>
      <c r="M1048367" s="19"/>
      <c r="N1048367" s="19"/>
    </row>
    <row r="1048368" spans="1:14" s="83" customFormat="1" ht="12.75">
      <c r="A1048368" s="19"/>
      <c r="B1048368" s="19"/>
      <c r="C1048368" s="19"/>
      <c r="D1048368" s="19"/>
      <c r="E1048368" s="19"/>
      <c r="F1048368" s="19"/>
      <c r="G1048368" s="19"/>
      <c r="H1048368" s="19"/>
      <c r="I1048368" s="19"/>
      <c r="J1048368" s="19"/>
      <c r="K1048368" s="19"/>
      <c r="L1048368" s="19"/>
      <c r="M1048368" s="19"/>
      <c r="N1048368" s="19"/>
    </row>
    <row r="1048369" spans="1:14" s="83" customFormat="1" ht="12.75">
      <c r="A1048369" s="19"/>
      <c r="B1048369" s="19"/>
      <c r="C1048369" s="19"/>
      <c r="D1048369" s="19"/>
      <c r="E1048369" s="19"/>
      <c r="F1048369" s="19"/>
      <c r="G1048369" s="19"/>
      <c r="H1048369" s="19"/>
      <c r="I1048369" s="19"/>
      <c r="J1048369" s="19"/>
      <c r="K1048369" s="19"/>
      <c r="L1048369" s="19"/>
      <c r="M1048369" s="19"/>
      <c r="N1048369" s="19"/>
    </row>
    <row r="1048370" spans="1:14" s="83" customFormat="1" ht="12.75">
      <c r="A1048370" s="19"/>
      <c r="B1048370" s="19"/>
      <c r="C1048370" s="19"/>
      <c r="D1048370" s="19"/>
      <c r="E1048370" s="19"/>
      <c r="F1048370" s="19"/>
      <c r="G1048370" s="19"/>
      <c r="H1048370" s="19"/>
      <c r="I1048370" s="19"/>
      <c r="J1048370" s="19"/>
      <c r="K1048370" s="19"/>
      <c r="L1048370" s="19"/>
      <c r="M1048370" s="19"/>
      <c r="N1048370" s="19"/>
    </row>
    <row r="1048371" spans="1:14" s="83" customFormat="1" ht="12.75">
      <c r="A1048371" s="19"/>
      <c r="B1048371" s="19"/>
      <c r="C1048371" s="19"/>
      <c r="D1048371" s="19"/>
      <c r="E1048371" s="19"/>
      <c r="F1048371" s="19"/>
      <c r="G1048371" s="19"/>
      <c r="H1048371" s="19"/>
      <c r="I1048371" s="19"/>
      <c r="J1048371" s="19"/>
      <c r="K1048371" s="19"/>
      <c r="L1048371" s="19"/>
      <c r="M1048371" s="19"/>
      <c r="N1048371" s="19"/>
    </row>
    <row r="1048372" spans="1:14" s="83" customFormat="1" ht="12.75">
      <c r="A1048372" s="19"/>
      <c r="B1048372" s="19"/>
      <c r="C1048372" s="19"/>
      <c r="D1048372" s="19"/>
      <c r="E1048372" s="19"/>
      <c r="F1048372" s="19"/>
      <c r="G1048372" s="19"/>
      <c r="H1048372" s="19"/>
      <c r="I1048372" s="19"/>
      <c r="J1048372" s="19"/>
      <c r="K1048372" s="19"/>
      <c r="L1048372" s="19"/>
      <c r="M1048372" s="19"/>
      <c r="N1048372" s="19"/>
    </row>
    <row r="1048373" spans="1:14" s="83" customFormat="1" ht="12.75">
      <c r="A1048373" s="19"/>
      <c r="B1048373" s="19"/>
      <c r="C1048373" s="19"/>
      <c r="D1048373" s="19"/>
      <c r="E1048373" s="19"/>
      <c r="F1048373" s="19"/>
      <c r="G1048373" s="19"/>
      <c r="H1048373" s="19"/>
      <c r="I1048373" s="19"/>
      <c r="J1048373" s="19"/>
      <c r="K1048373" s="19"/>
      <c r="L1048373" s="19"/>
      <c r="M1048373" s="19"/>
      <c r="N1048373" s="19"/>
    </row>
    <row r="1048374" spans="1:14" s="83" customFormat="1" ht="12.75">
      <c r="A1048374" s="19"/>
      <c r="B1048374" s="19"/>
      <c r="C1048374" s="19"/>
      <c r="D1048374" s="19"/>
      <c r="E1048374" s="19"/>
      <c r="F1048374" s="19"/>
      <c r="G1048374" s="19"/>
      <c r="H1048374" s="19"/>
      <c r="I1048374" s="19"/>
      <c r="J1048374" s="19"/>
      <c r="K1048374" s="19"/>
      <c r="L1048374" s="19"/>
      <c r="M1048374" s="19"/>
      <c r="N1048374" s="19"/>
    </row>
    <row r="1048375" spans="1:14" s="83" customFormat="1" ht="12.75">
      <c r="A1048375" s="19"/>
      <c r="B1048375" s="19"/>
      <c r="C1048375" s="19"/>
      <c r="D1048375" s="19"/>
      <c r="E1048375" s="19"/>
      <c r="F1048375" s="19"/>
      <c r="G1048375" s="19"/>
      <c r="H1048375" s="19"/>
      <c r="I1048375" s="19"/>
      <c r="J1048375" s="19"/>
      <c r="K1048375" s="19"/>
      <c r="L1048375" s="19"/>
      <c r="M1048375" s="19"/>
      <c r="N1048375" s="19"/>
    </row>
    <row r="1048376" spans="1:14" s="83" customFormat="1" ht="12.75">
      <c r="A1048376" s="19"/>
      <c r="B1048376" s="19"/>
      <c r="C1048376" s="19"/>
      <c r="D1048376" s="19"/>
      <c r="E1048376" s="19"/>
      <c r="F1048376" s="19"/>
      <c r="G1048376" s="19"/>
      <c r="H1048376" s="19"/>
      <c r="I1048376" s="19"/>
      <c r="J1048376" s="19"/>
      <c r="K1048376" s="19"/>
      <c r="L1048376" s="19"/>
      <c r="M1048376" s="19"/>
      <c r="N1048376" s="19"/>
    </row>
    <row r="1048377" spans="1:14" s="83" customFormat="1" ht="12.75">
      <c r="A1048377" s="19"/>
      <c r="B1048377" s="19"/>
      <c r="C1048377" s="19"/>
      <c r="D1048377" s="19"/>
      <c r="E1048377" s="19"/>
      <c r="F1048377" s="19"/>
      <c r="G1048377" s="19"/>
      <c r="H1048377" s="19"/>
      <c r="I1048377" s="19"/>
      <c r="J1048377" s="19"/>
      <c r="K1048377" s="19"/>
      <c r="L1048377" s="19"/>
      <c r="M1048377" s="19"/>
      <c r="N1048377" s="19"/>
    </row>
    <row r="1048378" spans="1:14" s="83" customFormat="1" ht="12.75">
      <c r="A1048378" s="19"/>
      <c r="B1048378" s="19"/>
      <c r="C1048378" s="19"/>
      <c r="D1048378" s="19"/>
      <c r="E1048378" s="19"/>
      <c r="F1048378" s="19"/>
      <c r="G1048378" s="19"/>
      <c r="H1048378" s="19"/>
      <c r="I1048378" s="19"/>
      <c r="J1048378" s="19"/>
      <c r="K1048378" s="19"/>
      <c r="L1048378" s="19"/>
      <c r="M1048378" s="19"/>
      <c r="N1048378" s="19"/>
    </row>
    <row r="1048379" spans="1:14" s="83" customFormat="1" ht="12.75">
      <c r="A1048379" s="19"/>
      <c r="B1048379" s="19"/>
      <c r="C1048379" s="19"/>
      <c r="D1048379" s="19"/>
      <c r="E1048379" s="19"/>
      <c r="F1048379" s="19"/>
      <c r="G1048379" s="19"/>
      <c r="H1048379" s="19"/>
      <c r="I1048379" s="19"/>
      <c r="J1048379" s="19"/>
      <c r="K1048379" s="19"/>
      <c r="L1048379" s="19"/>
      <c r="M1048379" s="19"/>
      <c r="N1048379" s="19"/>
    </row>
    <row r="1048380" spans="1:14" s="83" customFormat="1" ht="12.75">
      <c r="A1048380" s="19"/>
      <c r="B1048380" s="19"/>
      <c r="C1048380" s="19"/>
      <c r="D1048380" s="19"/>
      <c r="E1048380" s="19"/>
      <c r="F1048380" s="19"/>
      <c r="G1048380" s="19"/>
      <c r="H1048380" s="19"/>
      <c r="I1048380" s="19"/>
      <c r="J1048380" s="19"/>
      <c r="K1048380" s="19"/>
      <c r="L1048380" s="19"/>
      <c r="M1048380" s="19"/>
      <c r="N1048380" s="19"/>
    </row>
    <row r="1048381" spans="1:14" s="83" customFormat="1" ht="12.75">
      <c r="A1048381" s="19"/>
      <c r="B1048381" s="19"/>
      <c r="C1048381" s="19"/>
      <c r="D1048381" s="19"/>
      <c r="E1048381" s="19"/>
      <c r="F1048381" s="19"/>
      <c r="G1048381" s="19"/>
      <c r="H1048381" s="19"/>
      <c r="I1048381" s="19"/>
      <c r="J1048381" s="19"/>
      <c r="K1048381" s="19"/>
      <c r="L1048381" s="19"/>
      <c r="M1048381" s="19"/>
      <c r="N1048381" s="19"/>
    </row>
    <row r="1048382" spans="1:14" s="83" customFormat="1" ht="12.75">
      <c r="A1048382" s="19"/>
      <c r="B1048382" s="19"/>
      <c r="C1048382" s="19"/>
      <c r="D1048382" s="19"/>
      <c r="E1048382" s="19"/>
      <c r="F1048382" s="19"/>
      <c r="G1048382" s="19"/>
      <c r="H1048382" s="19"/>
      <c r="I1048382" s="19"/>
      <c r="J1048382" s="19"/>
      <c r="K1048382" s="19"/>
      <c r="L1048382" s="19"/>
      <c r="M1048382" s="19"/>
      <c r="N1048382" s="19"/>
    </row>
    <row r="1048383" spans="1:14" s="83" customFormat="1" ht="12.75">
      <c r="A1048383" s="19"/>
      <c r="B1048383" s="19"/>
      <c r="C1048383" s="19"/>
      <c r="D1048383" s="19"/>
      <c r="E1048383" s="19"/>
      <c r="F1048383" s="19"/>
      <c r="G1048383" s="19"/>
      <c r="H1048383" s="19"/>
      <c r="I1048383" s="19"/>
      <c r="J1048383" s="19"/>
      <c r="K1048383" s="19"/>
      <c r="L1048383" s="19"/>
      <c r="M1048383" s="19"/>
      <c r="N1048383" s="19"/>
    </row>
    <row r="1048384" spans="1:14" s="83" customFormat="1" ht="12.75">
      <c r="A1048384" s="19"/>
      <c r="B1048384" s="19"/>
      <c r="C1048384" s="19"/>
      <c r="D1048384" s="19"/>
      <c r="E1048384" s="19"/>
      <c r="F1048384" s="19"/>
      <c r="G1048384" s="19"/>
      <c r="H1048384" s="19"/>
      <c r="I1048384" s="19"/>
      <c r="J1048384" s="19"/>
      <c r="K1048384" s="19"/>
      <c r="L1048384" s="19"/>
      <c r="M1048384" s="19"/>
      <c r="N1048384" s="19"/>
    </row>
    <row r="1048385" spans="1:14" s="83" customFormat="1" ht="12.75">
      <c r="A1048385" s="19"/>
      <c r="B1048385" s="19"/>
      <c r="C1048385" s="19"/>
      <c r="D1048385" s="19"/>
      <c r="E1048385" s="19"/>
      <c r="F1048385" s="19"/>
      <c r="G1048385" s="19"/>
      <c r="H1048385" s="19"/>
      <c r="I1048385" s="19"/>
      <c r="J1048385" s="19"/>
      <c r="K1048385" s="19"/>
      <c r="L1048385" s="19"/>
      <c r="M1048385" s="19"/>
      <c r="N1048385" s="19"/>
    </row>
    <row r="1048386" spans="1:14" s="83" customFormat="1" ht="12.75">
      <c r="A1048386" s="19"/>
      <c r="B1048386" s="19"/>
      <c r="C1048386" s="19"/>
      <c r="D1048386" s="19"/>
      <c r="E1048386" s="19"/>
      <c r="F1048386" s="19"/>
      <c r="G1048386" s="19"/>
      <c r="H1048386" s="19"/>
      <c r="I1048386" s="19"/>
      <c r="J1048386" s="19"/>
      <c r="K1048386" s="19"/>
      <c r="L1048386" s="19"/>
      <c r="M1048386" s="19"/>
      <c r="N1048386" s="19"/>
    </row>
    <row r="1048387" spans="1:14" s="83" customFormat="1" ht="12.75">
      <c r="A1048387" s="19"/>
      <c r="B1048387" s="19"/>
      <c r="C1048387" s="19"/>
      <c r="D1048387" s="19"/>
      <c r="E1048387" s="19"/>
      <c r="F1048387" s="19"/>
      <c r="G1048387" s="19"/>
      <c r="H1048387" s="19"/>
      <c r="I1048387" s="19"/>
      <c r="J1048387" s="19"/>
      <c r="K1048387" s="19"/>
      <c r="L1048387" s="19"/>
      <c r="M1048387" s="19"/>
      <c r="N1048387" s="19"/>
    </row>
    <row r="1048388" spans="1:14" s="83" customFormat="1" ht="12.75">
      <c r="A1048388" s="19"/>
      <c r="B1048388" s="19"/>
      <c r="C1048388" s="19"/>
      <c r="D1048388" s="19"/>
      <c r="E1048388" s="19"/>
      <c r="F1048388" s="19"/>
      <c r="G1048388" s="19"/>
      <c r="H1048388" s="19"/>
      <c r="I1048388" s="19"/>
      <c r="J1048388" s="19"/>
      <c r="K1048388" s="19"/>
      <c r="L1048388" s="19"/>
      <c r="M1048388" s="19"/>
      <c r="N1048388" s="19"/>
    </row>
    <row r="1048389" spans="1:14" s="83" customFormat="1" ht="12.75">
      <c r="A1048389" s="19"/>
      <c r="B1048389" s="19"/>
      <c r="C1048389" s="19"/>
      <c r="D1048389" s="19"/>
      <c r="E1048389" s="19"/>
      <c r="F1048389" s="19"/>
      <c r="G1048389" s="19"/>
      <c r="H1048389" s="19"/>
      <c r="I1048389" s="19"/>
      <c r="J1048389" s="19"/>
      <c r="K1048389" s="19"/>
      <c r="L1048389" s="19"/>
      <c r="M1048389" s="19"/>
      <c r="N1048389" s="19"/>
    </row>
    <row r="1048390" spans="1:14" s="83" customFormat="1" ht="12.75">
      <c r="A1048390" s="19"/>
      <c r="B1048390" s="19"/>
      <c r="C1048390" s="19"/>
      <c r="D1048390" s="19"/>
      <c r="E1048390" s="19"/>
      <c r="F1048390" s="19"/>
      <c r="G1048390" s="19"/>
      <c r="H1048390" s="19"/>
      <c r="I1048390" s="19"/>
      <c r="J1048390" s="19"/>
      <c r="K1048390" s="19"/>
      <c r="L1048390" s="19"/>
      <c r="M1048390" s="19"/>
      <c r="N1048390" s="19"/>
    </row>
    <row r="1048391" spans="1:14" s="83" customFormat="1" ht="12.75">
      <c r="A1048391" s="19"/>
      <c r="B1048391" s="19"/>
      <c r="C1048391" s="19"/>
      <c r="D1048391" s="19"/>
      <c r="E1048391" s="19"/>
      <c r="F1048391" s="19"/>
      <c r="G1048391" s="19"/>
      <c r="H1048391" s="19"/>
      <c r="I1048391" s="19"/>
      <c r="J1048391" s="19"/>
      <c r="K1048391" s="19"/>
      <c r="L1048391" s="19"/>
      <c r="M1048391" s="19"/>
      <c r="N1048391" s="19"/>
    </row>
    <row r="1048392" spans="1:14" s="83" customFormat="1" ht="12.75">
      <c r="A1048392" s="19"/>
      <c r="B1048392" s="19"/>
      <c r="C1048392" s="19"/>
      <c r="D1048392" s="19"/>
      <c r="E1048392" s="19"/>
      <c r="F1048392" s="19"/>
      <c r="G1048392" s="19"/>
      <c r="H1048392" s="19"/>
      <c r="I1048392" s="19"/>
      <c r="J1048392" s="19"/>
      <c r="K1048392" s="19"/>
      <c r="L1048392" s="19"/>
      <c r="M1048392" s="19"/>
      <c r="N1048392" s="19"/>
    </row>
    <row r="1048393" spans="1:14" s="83" customFormat="1" ht="12.75">
      <c r="A1048393" s="19"/>
      <c r="B1048393" s="19"/>
      <c r="C1048393" s="19"/>
      <c r="D1048393" s="19"/>
      <c r="E1048393" s="19"/>
      <c r="F1048393" s="19"/>
      <c r="G1048393" s="19"/>
      <c r="H1048393" s="19"/>
      <c r="I1048393" s="19"/>
      <c r="J1048393" s="19"/>
      <c r="K1048393" s="19"/>
      <c r="L1048393" s="19"/>
      <c r="M1048393" s="19"/>
      <c r="N1048393" s="19"/>
    </row>
    <row r="1048394" spans="1:14" s="83" customFormat="1" ht="12.75">
      <c r="A1048394" s="19"/>
      <c r="B1048394" s="19"/>
      <c r="C1048394" s="19"/>
      <c r="D1048394" s="19"/>
      <c r="E1048394" s="19"/>
      <c r="F1048394" s="19"/>
      <c r="G1048394" s="19"/>
      <c r="H1048394" s="19"/>
      <c r="I1048394" s="19"/>
      <c r="J1048394" s="19"/>
      <c r="K1048394" s="19"/>
      <c r="L1048394" s="19"/>
      <c r="M1048394" s="19"/>
      <c r="N1048394" s="19"/>
    </row>
    <row r="1048395" spans="1:14" s="83" customFormat="1" ht="12.75">
      <c r="A1048395" s="19"/>
      <c r="B1048395" s="19"/>
      <c r="C1048395" s="19"/>
      <c r="D1048395" s="19"/>
      <c r="E1048395" s="19"/>
      <c r="F1048395" s="19"/>
      <c r="G1048395" s="19"/>
      <c r="H1048395" s="19"/>
      <c r="I1048395" s="19"/>
      <c r="J1048395" s="19"/>
      <c r="K1048395" s="19"/>
      <c r="L1048395" s="19"/>
      <c r="M1048395" s="19"/>
      <c r="N1048395" s="19"/>
    </row>
    <row r="1048396" spans="1:14" s="83" customFormat="1" ht="12.75">
      <c r="A1048396" s="19"/>
      <c r="B1048396" s="19"/>
      <c r="C1048396" s="19"/>
      <c r="D1048396" s="19"/>
      <c r="E1048396" s="19"/>
      <c r="F1048396" s="19"/>
      <c r="G1048396" s="19"/>
      <c r="H1048396" s="19"/>
      <c r="I1048396" s="19"/>
      <c r="J1048396" s="19"/>
      <c r="K1048396" s="19"/>
      <c r="L1048396" s="19"/>
      <c r="M1048396" s="19"/>
      <c r="N1048396" s="19"/>
    </row>
    <row r="1048397" spans="1:14" s="83" customFormat="1" ht="12.75">
      <c r="A1048397" s="19"/>
      <c r="B1048397" s="19"/>
      <c r="C1048397" s="19"/>
      <c r="D1048397" s="19"/>
      <c r="E1048397" s="19"/>
      <c r="F1048397" s="19"/>
      <c r="G1048397" s="19"/>
      <c r="H1048397" s="19"/>
      <c r="I1048397" s="19"/>
      <c r="J1048397" s="19"/>
      <c r="K1048397" s="19"/>
      <c r="L1048397" s="19"/>
      <c r="M1048397" s="19"/>
      <c r="N1048397" s="19"/>
    </row>
    <row r="1048398" spans="1:14" s="83" customFormat="1" ht="12.75">
      <c r="A1048398" s="19"/>
      <c r="B1048398" s="19"/>
      <c r="C1048398" s="19"/>
      <c r="D1048398" s="19"/>
      <c r="E1048398" s="19"/>
      <c r="F1048398" s="19"/>
      <c r="G1048398" s="19"/>
      <c r="H1048398" s="19"/>
      <c r="I1048398" s="19"/>
      <c r="J1048398" s="19"/>
      <c r="K1048398" s="19"/>
      <c r="L1048398" s="19"/>
      <c r="M1048398" s="19"/>
      <c r="N1048398" s="19"/>
    </row>
    <row r="1048399" spans="1:14" s="83" customFormat="1" ht="12.75">
      <c r="A1048399" s="19"/>
      <c r="B1048399" s="19"/>
      <c r="C1048399" s="19"/>
      <c r="D1048399" s="19"/>
      <c r="E1048399" s="19"/>
      <c r="F1048399" s="19"/>
      <c r="G1048399" s="19"/>
      <c r="H1048399" s="19"/>
      <c r="I1048399" s="19"/>
      <c r="J1048399" s="19"/>
      <c r="K1048399" s="19"/>
      <c r="L1048399" s="19"/>
      <c r="M1048399" s="19"/>
      <c r="N1048399" s="19"/>
    </row>
    <row r="1048400" spans="1:14" s="83" customFormat="1" ht="12.75">
      <c r="A1048400" s="19"/>
      <c r="B1048400" s="19"/>
      <c r="C1048400" s="19"/>
      <c r="D1048400" s="19"/>
      <c r="E1048400" s="19"/>
      <c r="F1048400" s="19"/>
      <c r="G1048400" s="19"/>
      <c r="H1048400" s="19"/>
      <c r="I1048400" s="19"/>
      <c r="J1048400" s="19"/>
      <c r="K1048400" s="19"/>
      <c r="L1048400" s="19"/>
      <c r="M1048400" s="19"/>
      <c r="N1048400" s="19"/>
    </row>
    <row r="1048401" spans="1:14" s="83" customFormat="1" ht="12.75">
      <c r="A1048401" s="19"/>
      <c r="B1048401" s="19"/>
      <c r="C1048401" s="19"/>
      <c r="D1048401" s="19"/>
      <c r="E1048401" s="19"/>
      <c r="F1048401" s="19"/>
      <c r="G1048401" s="19"/>
      <c r="H1048401" s="19"/>
      <c r="I1048401" s="19"/>
      <c r="J1048401" s="19"/>
      <c r="K1048401" s="19"/>
      <c r="L1048401" s="19"/>
      <c r="M1048401" s="19"/>
      <c r="N1048401" s="19"/>
    </row>
    <row r="1048402" spans="1:14" s="83" customFormat="1" ht="12.75">
      <c r="A1048402" s="19"/>
      <c r="B1048402" s="19"/>
      <c r="C1048402" s="19"/>
      <c r="D1048402" s="19"/>
      <c r="E1048402" s="19"/>
      <c r="F1048402" s="19"/>
      <c r="G1048402" s="19"/>
      <c r="H1048402" s="19"/>
      <c r="I1048402" s="19"/>
      <c r="J1048402" s="19"/>
      <c r="K1048402" s="19"/>
      <c r="L1048402" s="19"/>
      <c r="M1048402" s="19"/>
      <c r="N1048402" s="19"/>
    </row>
    <row r="1048403" spans="1:14" s="83" customFormat="1" ht="12.75">
      <c r="A1048403" s="19"/>
      <c r="B1048403" s="19"/>
      <c r="C1048403" s="19"/>
      <c r="D1048403" s="19"/>
      <c r="E1048403" s="19"/>
      <c r="F1048403" s="19"/>
      <c r="G1048403" s="19"/>
      <c r="H1048403" s="19"/>
      <c r="I1048403" s="19"/>
      <c r="J1048403" s="19"/>
      <c r="K1048403" s="19"/>
      <c r="L1048403" s="19"/>
      <c r="M1048403" s="19"/>
      <c r="N1048403" s="19"/>
    </row>
    <row r="1048404" spans="1:14" s="83" customFormat="1" ht="12.75">
      <c r="A1048404" s="19"/>
      <c r="B1048404" s="19"/>
      <c r="C1048404" s="19"/>
      <c r="D1048404" s="19"/>
      <c r="E1048404" s="19"/>
      <c r="F1048404" s="19"/>
      <c r="G1048404" s="19"/>
      <c r="H1048404" s="19"/>
      <c r="I1048404" s="19"/>
      <c r="J1048404" s="19"/>
      <c r="K1048404" s="19"/>
      <c r="L1048404" s="19"/>
      <c r="M1048404" s="19"/>
      <c r="N1048404" s="19"/>
    </row>
    <row r="1048405" spans="1:14" s="83" customFormat="1" ht="12.75">
      <c r="A1048405" s="19"/>
      <c r="B1048405" s="19"/>
      <c r="C1048405" s="19"/>
      <c r="D1048405" s="19"/>
      <c r="E1048405" s="19"/>
      <c r="F1048405" s="19"/>
      <c r="G1048405" s="19"/>
      <c r="H1048405" s="19"/>
      <c r="I1048405" s="19"/>
      <c r="J1048405" s="19"/>
      <c r="K1048405" s="19"/>
      <c r="L1048405" s="19"/>
      <c r="M1048405" s="19"/>
      <c r="N1048405" s="19"/>
    </row>
    <row r="1048406" spans="1:14" s="83" customFormat="1" ht="12.75">
      <c r="A1048406" s="19"/>
      <c r="B1048406" s="19"/>
      <c r="C1048406" s="19"/>
      <c r="D1048406" s="19"/>
      <c r="E1048406" s="19"/>
      <c r="F1048406" s="19"/>
      <c r="G1048406" s="19"/>
      <c r="H1048406" s="19"/>
      <c r="I1048406" s="19"/>
      <c r="J1048406" s="19"/>
      <c r="K1048406" s="19"/>
      <c r="L1048406" s="19"/>
      <c r="M1048406" s="19"/>
      <c r="N1048406" s="19"/>
    </row>
    <row r="1048407" spans="1:14" s="83" customFormat="1" ht="12.75">
      <c r="A1048407" s="19"/>
      <c r="B1048407" s="19"/>
      <c r="C1048407" s="19"/>
      <c r="D1048407" s="19"/>
      <c r="E1048407" s="19"/>
      <c r="F1048407" s="19"/>
      <c r="G1048407" s="19"/>
      <c r="H1048407" s="19"/>
      <c r="I1048407" s="19"/>
      <c r="J1048407" s="19"/>
      <c r="K1048407" s="19"/>
      <c r="L1048407" s="19"/>
      <c r="M1048407" s="19"/>
      <c r="N1048407" s="19"/>
    </row>
    <row r="1048408" spans="1:14" s="83" customFormat="1" ht="12.75">
      <c r="A1048408" s="19"/>
      <c r="B1048408" s="19"/>
      <c r="C1048408" s="19"/>
      <c r="D1048408" s="19"/>
      <c r="E1048408" s="19"/>
      <c r="F1048408" s="19"/>
      <c r="G1048408" s="19"/>
      <c r="H1048408" s="19"/>
      <c r="I1048408" s="19"/>
      <c r="J1048408" s="19"/>
      <c r="K1048408" s="19"/>
      <c r="L1048408" s="19"/>
      <c r="M1048408" s="19"/>
      <c r="N1048408" s="19"/>
    </row>
    <row r="1048409" spans="1:14" s="83" customFormat="1" ht="12.75">
      <c r="A1048409" s="19"/>
      <c r="B1048409" s="19"/>
      <c r="C1048409" s="19"/>
      <c r="D1048409" s="19"/>
      <c r="E1048409" s="19"/>
      <c r="F1048409" s="19"/>
      <c r="G1048409" s="19"/>
      <c r="H1048409" s="19"/>
      <c r="I1048409" s="19"/>
      <c r="J1048409" s="19"/>
      <c r="K1048409" s="19"/>
      <c r="L1048409" s="19"/>
      <c r="M1048409" s="19"/>
      <c r="N1048409" s="19"/>
    </row>
    <row r="1048410" spans="1:14" s="83" customFormat="1" ht="12.75">
      <c r="A1048410" s="19"/>
      <c r="B1048410" s="19"/>
      <c r="C1048410" s="19"/>
      <c r="D1048410" s="19"/>
      <c r="E1048410" s="19"/>
      <c r="F1048410" s="19"/>
      <c r="G1048410" s="19"/>
      <c r="H1048410" s="19"/>
      <c r="I1048410" s="19"/>
      <c r="J1048410" s="19"/>
      <c r="K1048410" s="19"/>
      <c r="L1048410" s="19"/>
      <c r="M1048410" s="19"/>
      <c r="N1048410" s="19"/>
    </row>
    <row r="1048411" spans="1:14" s="83" customFormat="1" ht="12.75">
      <c r="A1048411" s="19"/>
      <c r="B1048411" s="19"/>
      <c r="C1048411" s="19"/>
      <c r="D1048411" s="19"/>
      <c r="E1048411" s="19"/>
      <c r="F1048411" s="19"/>
      <c r="G1048411" s="19"/>
      <c r="H1048411" s="19"/>
      <c r="I1048411" s="19"/>
      <c r="J1048411" s="19"/>
      <c r="K1048411" s="19"/>
      <c r="L1048411" s="19"/>
      <c r="M1048411" s="19"/>
      <c r="N1048411" s="19"/>
    </row>
    <row r="1048412" spans="1:14" s="83" customFormat="1" ht="12.75">
      <c r="A1048412" s="19"/>
      <c r="B1048412" s="19"/>
      <c r="C1048412" s="19"/>
      <c r="D1048412" s="19"/>
      <c r="E1048412" s="19"/>
      <c r="F1048412" s="19"/>
      <c r="G1048412" s="19"/>
      <c r="H1048412" s="19"/>
      <c r="I1048412" s="19"/>
      <c r="J1048412" s="19"/>
      <c r="K1048412" s="19"/>
      <c r="L1048412" s="19"/>
      <c r="M1048412" s="19"/>
      <c r="N1048412" s="19"/>
    </row>
    <row r="1048413" spans="1:14" s="83" customFormat="1" ht="12.75">
      <c r="A1048413" s="19"/>
      <c r="B1048413" s="19"/>
      <c r="C1048413" s="19"/>
      <c r="D1048413" s="19"/>
      <c r="E1048413" s="19"/>
      <c r="F1048413" s="19"/>
      <c r="G1048413" s="19"/>
      <c r="H1048413" s="19"/>
      <c r="I1048413" s="19"/>
      <c r="J1048413" s="19"/>
      <c r="K1048413" s="19"/>
      <c r="L1048413" s="19"/>
      <c r="M1048413" s="19"/>
      <c r="N1048413" s="19"/>
    </row>
    <row r="1048414" spans="1:14" s="83" customFormat="1" ht="12.75">
      <c r="A1048414" s="19"/>
      <c r="B1048414" s="19"/>
      <c r="C1048414" s="19"/>
      <c r="D1048414" s="19"/>
      <c r="E1048414" s="19"/>
      <c r="F1048414" s="19"/>
      <c r="G1048414" s="19"/>
      <c r="H1048414" s="19"/>
      <c r="I1048414" s="19"/>
      <c r="J1048414" s="19"/>
      <c r="K1048414" s="19"/>
      <c r="L1048414" s="19"/>
      <c r="M1048414" s="19"/>
      <c r="N1048414" s="19"/>
    </row>
    <row r="1048415" spans="1:14" s="83" customFormat="1" ht="12.75">
      <c r="A1048415" s="19"/>
      <c r="B1048415" s="19"/>
      <c r="C1048415" s="19"/>
      <c r="D1048415" s="19"/>
      <c r="E1048415" s="19"/>
      <c r="F1048415" s="19"/>
      <c r="G1048415" s="19"/>
      <c r="H1048415" s="19"/>
      <c r="I1048415" s="19"/>
      <c r="J1048415" s="19"/>
      <c r="K1048415" s="19"/>
      <c r="L1048415" s="19"/>
      <c r="M1048415" s="19"/>
      <c r="N1048415" s="19"/>
    </row>
    <row r="1048416" spans="1:14" s="83" customFormat="1" ht="12.75">
      <c r="A1048416" s="19"/>
      <c r="B1048416" s="19"/>
      <c r="C1048416" s="19"/>
      <c r="D1048416" s="19"/>
      <c r="E1048416" s="19"/>
      <c r="F1048416" s="19"/>
      <c r="G1048416" s="19"/>
      <c r="H1048416" s="19"/>
      <c r="I1048416" s="19"/>
      <c r="J1048416" s="19"/>
      <c r="K1048416" s="19"/>
      <c r="L1048416" s="19"/>
      <c r="M1048416" s="19"/>
      <c r="N1048416" s="19"/>
    </row>
    <row r="1048417" spans="1:14" s="83" customFormat="1" ht="12.75">
      <c r="A1048417" s="19"/>
      <c r="B1048417" s="19"/>
      <c r="C1048417" s="19"/>
      <c r="D1048417" s="19"/>
      <c r="E1048417" s="19"/>
      <c r="F1048417" s="19"/>
      <c r="G1048417" s="19"/>
      <c r="H1048417" s="19"/>
      <c r="I1048417" s="19"/>
      <c r="J1048417" s="19"/>
      <c r="K1048417" s="19"/>
      <c r="L1048417" s="19"/>
      <c r="M1048417" s="19"/>
      <c r="N1048417" s="19"/>
    </row>
    <row r="1048418" spans="1:14" s="83" customFormat="1" ht="12.75">
      <c r="A1048418" s="19"/>
      <c r="B1048418" s="19"/>
      <c r="C1048418" s="19"/>
      <c r="D1048418" s="19"/>
      <c r="E1048418" s="19"/>
      <c r="F1048418" s="19"/>
      <c r="G1048418" s="19"/>
      <c r="H1048418" s="19"/>
      <c r="I1048418" s="19"/>
      <c r="J1048418" s="19"/>
      <c r="K1048418" s="19"/>
      <c r="L1048418" s="19"/>
      <c r="M1048418" s="19"/>
      <c r="N1048418" s="19"/>
    </row>
    <row r="1048419" spans="1:14" s="83" customFormat="1" ht="12.75">
      <c r="A1048419" s="19"/>
      <c r="B1048419" s="19"/>
      <c r="C1048419" s="19"/>
      <c r="D1048419" s="19"/>
      <c r="E1048419" s="19"/>
      <c r="F1048419" s="19"/>
      <c r="G1048419" s="19"/>
      <c r="H1048419" s="19"/>
      <c r="I1048419" s="19"/>
      <c r="J1048419" s="19"/>
      <c r="K1048419" s="19"/>
      <c r="L1048419" s="19"/>
      <c r="M1048419" s="19"/>
      <c r="N1048419" s="19"/>
    </row>
    <row r="1048420" spans="1:14" s="83" customFormat="1" ht="12.75">
      <c r="A1048420" s="19"/>
      <c r="B1048420" s="19"/>
      <c r="C1048420" s="19"/>
      <c r="D1048420" s="19"/>
      <c r="E1048420" s="19"/>
      <c r="F1048420" s="19"/>
      <c r="G1048420" s="19"/>
      <c r="H1048420" s="19"/>
      <c r="I1048420" s="19"/>
      <c r="J1048420" s="19"/>
      <c r="K1048420" s="19"/>
      <c r="L1048420" s="19"/>
      <c r="M1048420" s="19"/>
      <c r="N1048420" s="19"/>
    </row>
    <row r="1048421" spans="1:14" s="83" customFormat="1" ht="12.75">
      <c r="A1048421" s="19"/>
      <c r="B1048421" s="19"/>
      <c r="C1048421" s="19"/>
      <c r="D1048421" s="19"/>
      <c r="E1048421" s="19"/>
      <c r="F1048421" s="19"/>
      <c r="G1048421" s="19"/>
      <c r="H1048421" s="19"/>
      <c r="I1048421" s="19"/>
      <c r="J1048421" s="19"/>
      <c r="K1048421" s="19"/>
      <c r="L1048421" s="19"/>
      <c r="M1048421" s="19"/>
      <c r="N1048421" s="19"/>
    </row>
    <row r="1048422" spans="1:14" s="83" customFormat="1" ht="12.75">
      <c r="A1048422" s="19"/>
      <c r="B1048422" s="19"/>
      <c r="C1048422" s="19"/>
      <c r="D1048422" s="19"/>
      <c r="E1048422" s="19"/>
      <c r="F1048422" s="19"/>
      <c r="G1048422" s="19"/>
      <c r="H1048422" s="19"/>
      <c r="I1048422" s="19"/>
      <c r="J1048422" s="19"/>
      <c r="K1048422" s="19"/>
      <c r="L1048422" s="19"/>
      <c r="M1048422" s="19"/>
      <c r="N1048422" s="19"/>
    </row>
    <row r="1048423" spans="1:14" s="83" customFormat="1" ht="12.75">
      <c r="A1048423" s="19"/>
      <c r="B1048423" s="19"/>
      <c r="C1048423" s="19"/>
      <c r="D1048423" s="19"/>
      <c r="E1048423" s="19"/>
      <c r="F1048423" s="19"/>
      <c r="G1048423" s="19"/>
      <c r="H1048423" s="19"/>
      <c r="I1048423" s="19"/>
      <c r="J1048423" s="19"/>
      <c r="K1048423" s="19"/>
      <c r="L1048423" s="19"/>
      <c r="M1048423" s="19"/>
      <c r="N1048423" s="19"/>
    </row>
    <row r="1048424" spans="1:14" s="83" customFormat="1" ht="12.75">
      <c r="A1048424" s="19"/>
      <c r="B1048424" s="19"/>
      <c r="C1048424" s="19"/>
      <c r="D1048424" s="19"/>
      <c r="E1048424" s="19"/>
      <c r="F1048424" s="19"/>
      <c r="G1048424" s="19"/>
      <c r="H1048424" s="19"/>
      <c r="I1048424" s="19"/>
      <c r="J1048424" s="19"/>
      <c r="K1048424" s="19"/>
      <c r="L1048424" s="19"/>
      <c r="M1048424" s="19"/>
      <c r="N1048424" s="19"/>
    </row>
    <row r="1048425" spans="1:14" s="83" customFormat="1" ht="12.75">
      <c r="A1048425" s="19"/>
      <c r="B1048425" s="19"/>
      <c r="C1048425" s="19"/>
      <c r="D1048425" s="19"/>
      <c r="E1048425" s="19"/>
      <c r="F1048425" s="19"/>
      <c r="G1048425" s="19"/>
      <c r="H1048425" s="19"/>
      <c r="I1048425" s="19"/>
      <c r="J1048425" s="19"/>
      <c r="K1048425" s="19"/>
      <c r="L1048425" s="19"/>
      <c r="M1048425" s="19"/>
      <c r="N1048425" s="19"/>
    </row>
    <row r="1048426" spans="1:14" s="83" customFormat="1" ht="12.75">
      <c r="A1048426" s="19"/>
      <c r="B1048426" s="19"/>
      <c r="C1048426" s="19"/>
      <c r="D1048426" s="19"/>
      <c r="E1048426" s="19"/>
      <c r="F1048426" s="19"/>
      <c r="G1048426" s="19"/>
      <c r="H1048426" s="19"/>
      <c r="I1048426" s="19"/>
      <c r="J1048426" s="19"/>
      <c r="K1048426" s="19"/>
      <c r="L1048426" s="19"/>
      <c r="M1048426" s="19"/>
      <c r="N1048426" s="19"/>
    </row>
    <row r="1048427" spans="1:14" s="83" customFormat="1" ht="12.75">
      <c r="A1048427" s="19"/>
      <c r="B1048427" s="19"/>
      <c r="C1048427" s="19"/>
      <c r="D1048427" s="19"/>
      <c r="E1048427" s="19"/>
      <c r="F1048427" s="19"/>
      <c r="G1048427" s="19"/>
      <c r="H1048427" s="19"/>
      <c r="I1048427" s="19"/>
      <c r="J1048427" s="19"/>
      <c r="K1048427" s="19"/>
      <c r="L1048427" s="19"/>
      <c r="M1048427" s="19"/>
      <c r="N1048427" s="19"/>
    </row>
    <row r="1048428" spans="1:14" s="83" customFormat="1" ht="12.75">
      <c r="A1048428" s="19"/>
      <c r="B1048428" s="19"/>
      <c r="C1048428" s="19"/>
      <c r="D1048428" s="19"/>
      <c r="E1048428" s="19"/>
      <c r="F1048428" s="19"/>
      <c r="G1048428" s="19"/>
      <c r="H1048428" s="19"/>
      <c r="I1048428" s="19"/>
      <c r="J1048428" s="19"/>
      <c r="K1048428" s="19"/>
      <c r="L1048428" s="19"/>
      <c r="M1048428" s="19"/>
      <c r="N1048428" s="19"/>
    </row>
  </sheetData>
  <mergeCells count="16">
    <mergeCell ref="D1:N3"/>
    <mergeCell ref="D4:H4"/>
    <mergeCell ref="D26:E26"/>
    <mergeCell ref="F26:G26"/>
    <mergeCell ref="D27:E27"/>
    <mergeCell ref="F27:G27"/>
    <mergeCell ref="D18:E18"/>
    <mergeCell ref="F18:G19"/>
    <mergeCell ref="D19:E19"/>
    <mergeCell ref="D20:E25"/>
    <mergeCell ref="F20:G25"/>
    <mergeCell ref="N10:N14"/>
    <mergeCell ref="A8:D8"/>
    <mergeCell ref="F8:H8"/>
    <mergeCell ref="I8:M8"/>
    <mergeCell ref="N8:N9"/>
  </mergeCells>
  <conditionalFormatting sqref="A9:C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{0A8F04CA-0E8E-47D0-A77B-8A27A283C139}</x14:id>
        </ext>
      </extLst>
    </cfRule>
  </conditionalFormatting>
  <conditionalFormatting sqref="D9:J9 A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{9FED2C20-9893-49D8-BD34-4A0B8DB901F9}</x14:id>
        </ext>
      </extLst>
    </cfRule>
  </conditionalFormatting>
  <pageMargins left="0.7" right="0.7" top="0.75" bottom="0.75" header="0.3" footer="0.3"/>
  <pageSetup scale="4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8F04CA-0E8E-47D0-A77B-8A27A283C1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A9:C9</xm:sqref>
        </x14:conditionalFormatting>
        <x14:conditionalFormatting xmlns:xm="http://schemas.microsoft.com/office/excel/2006/main">
          <x14:cfRule type="dataBar" id="{9FED2C20-9893-49D8-BD34-4A0B8DB90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D9:J9 A8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12"/>
  <sheetViews>
    <sheetView view="pageBreakPreview" zoomScale="60" zoomScaleNormal="100" workbookViewId="0">
      <selection activeCell="K26" sqref="K25:K26"/>
    </sheetView>
  </sheetViews>
  <sheetFormatPr baseColWidth="10" defaultColWidth="7.85546875" defaultRowHeight="27" customHeight="1" outlineLevelRow="1"/>
  <cols>
    <col min="1" max="1" width="8" style="56" customWidth="1"/>
    <col min="2" max="2" width="19.5703125" style="56" customWidth="1"/>
    <col min="3" max="3" width="28.85546875" style="56" customWidth="1"/>
    <col min="4" max="10" width="19.5703125" style="56" customWidth="1"/>
    <col min="11" max="11" width="19.5703125" style="57" customWidth="1"/>
    <col min="12" max="13" width="19.5703125" style="58" customWidth="1"/>
    <col min="14" max="16384" width="7.85546875" style="21"/>
  </cols>
  <sheetData>
    <row r="1" spans="1:13" ht="27" customHeight="1">
      <c r="A1" s="19"/>
      <c r="B1" s="20"/>
      <c r="C1" s="20"/>
      <c r="D1" s="338" t="s">
        <v>77</v>
      </c>
      <c r="E1" s="338"/>
      <c r="F1" s="338"/>
      <c r="G1" s="338"/>
      <c r="H1" s="338"/>
      <c r="I1" s="338"/>
      <c r="J1" s="338"/>
      <c r="K1" s="338"/>
      <c r="L1" s="338"/>
      <c r="M1" s="338"/>
    </row>
    <row r="2" spans="1:13" ht="27" hidden="1" customHeight="1" outlineLevel="1">
      <c r="A2" s="154" t="s">
        <v>12</v>
      </c>
      <c r="B2" s="155"/>
      <c r="C2" s="155"/>
      <c r="D2" s="338"/>
      <c r="E2" s="338"/>
      <c r="F2" s="338"/>
      <c r="G2" s="338"/>
      <c r="H2" s="338"/>
      <c r="I2" s="338"/>
      <c r="J2" s="338"/>
      <c r="K2" s="338"/>
      <c r="L2" s="338"/>
      <c r="M2" s="338"/>
    </row>
    <row r="3" spans="1:13" s="23" customFormat="1" ht="27" hidden="1" customHeight="1" outlineLevel="1">
      <c r="A3" s="22"/>
      <c r="B3" s="22"/>
      <c r="C3" s="22"/>
      <c r="D3" s="338"/>
      <c r="E3" s="338"/>
      <c r="F3" s="338"/>
      <c r="G3" s="338"/>
      <c r="H3" s="338"/>
      <c r="I3" s="338"/>
      <c r="J3" s="338"/>
      <c r="K3" s="338"/>
      <c r="L3" s="338"/>
      <c r="M3" s="338"/>
    </row>
    <row r="4" spans="1:13" ht="27" hidden="1" customHeight="1" outlineLevel="1">
      <c r="A4" s="156" t="s">
        <v>13</v>
      </c>
      <c r="B4" s="156"/>
      <c r="C4" s="156"/>
      <c r="D4" s="338"/>
      <c r="E4" s="338"/>
      <c r="F4" s="338"/>
      <c r="G4" s="338"/>
      <c r="H4" s="338"/>
      <c r="I4" s="338"/>
      <c r="J4" s="338"/>
      <c r="K4" s="338"/>
      <c r="L4" s="338"/>
      <c r="M4" s="338"/>
    </row>
    <row r="5" spans="1:13" ht="27" hidden="1" customHeight="1" outlineLevel="1">
      <c r="A5" s="156" t="s">
        <v>14</v>
      </c>
      <c r="B5" s="156"/>
      <c r="C5" s="156"/>
      <c r="D5" s="338"/>
      <c r="E5" s="338"/>
      <c r="F5" s="338"/>
      <c r="G5" s="338"/>
      <c r="H5" s="338"/>
      <c r="I5" s="338"/>
      <c r="J5" s="338"/>
      <c r="K5" s="338"/>
      <c r="L5" s="338"/>
      <c r="M5" s="338"/>
    </row>
    <row r="6" spans="1:13" ht="27" hidden="1" customHeight="1" outlineLevel="1">
      <c r="A6" s="156" t="s">
        <v>15</v>
      </c>
      <c r="B6" s="156"/>
      <c r="C6" s="156"/>
      <c r="D6" s="338"/>
      <c r="E6" s="338"/>
      <c r="F6" s="338"/>
      <c r="G6" s="338"/>
      <c r="H6" s="338"/>
      <c r="I6" s="338"/>
      <c r="J6" s="338"/>
      <c r="K6" s="338"/>
      <c r="L6" s="338"/>
      <c r="M6" s="338"/>
    </row>
    <row r="7" spans="1:13" ht="27" hidden="1" customHeight="1" outlineLevel="1">
      <c r="A7" s="62"/>
      <c r="B7" s="62"/>
      <c r="C7" s="62"/>
      <c r="D7" s="338"/>
      <c r="E7" s="338"/>
      <c r="F7" s="338"/>
      <c r="G7" s="338"/>
      <c r="H7" s="338"/>
      <c r="I7" s="338"/>
      <c r="J7" s="338"/>
      <c r="K7" s="338"/>
      <c r="L7" s="338"/>
      <c r="M7" s="338"/>
    </row>
    <row r="8" spans="1:13" ht="27" hidden="1" customHeight="1" outlineLevel="1">
      <c r="A8" s="1" t="s">
        <v>1</v>
      </c>
      <c r="B8" s="2"/>
      <c r="C8" s="29"/>
      <c r="D8" s="311">
        <f>'DETALLE VACACIONES'!C5:H5</f>
        <v>0</v>
      </c>
      <c r="E8" s="311"/>
      <c r="F8" s="311"/>
      <c r="G8" s="311"/>
      <c r="H8" s="311"/>
      <c r="I8" s="25"/>
      <c r="J8" s="26"/>
      <c r="K8" s="27"/>
      <c r="L8" s="28"/>
      <c r="M8" s="28"/>
    </row>
    <row r="9" spans="1:13" ht="27" hidden="1" customHeight="1" outlineLevel="1">
      <c r="A9" s="31"/>
      <c r="B9" s="339" t="s">
        <v>16</v>
      </c>
      <c r="C9" s="340"/>
      <c r="D9" s="340"/>
      <c r="E9" s="340"/>
      <c r="F9" s="340"/>
      <c r="G9" s="340"/>
      <c r="H9" s="340"/>
      <c r="I9" s="341"/>
      <c r="J9" s="26"/>
      <c r="K9" s="27" t="s">
        <v>17</v>
      </c>
      <c r="L9" s="28"/>
      <c r="M9" s="28"/>
    </row>
    <row r="10" spans="1:13" ht="27" hidden="1" customHeight="1" outlineLevel="1">
      <c r="A10" s="31"/>
      <c r="B10" s="342" t="s">
        <v>18</v>
      </c>
      <c r="C10" s="343"/>
      <c r="D10" s="343"/>
      <c r="E10" s="343"/>
      <c r="F10" s="343"/>
      <c r="G10" s="343"/>
      <c r="H10" s="344"/>
      <c r="I10" s="32" t="s">
        <v>19</v>
      </c>
      <c r="J10" s="26"/>
      <c r="K10" s="33">
        <f>5*1.4</f>
        <v>7</v>
      </c>
      <c r="L10" s="28"/>
      <c r="M10" s="28"/>
    </row>
    <row r="11" spans="1:13" ht="27" hidden="1" customHeight="1" outlineLevel="1">
      <c r="A11" s="31"/>
      <c r="B11" s="345" t="s">
        <v>20</v>
      </c>
      <c r="C11" s="346"/>
      <c r="D11" s="346"/>
      <c r="E11" s="346"/>
      <c r="F11" s="346"/>
      <c r="G11" s="346"/>
      <c r="H11" s="347"/>
      <c r="I11" s="34">
        <v>200</v>
      </c>
      <c r="J11" s="26"/>
      <c r="K11" s="27"/>
      <c r="L11" s="28"/>
      <c r="M11" s="28"/>
    </row>
    <row r="12" spans="1:13" ht="27" hidden="1" customHeight="1" outlineLevel="1">
      <c r="A12" s="31"/>
      <c r="B12" s="326" t="s">
        <v>21</v>
      </c>
      <c r="C12" s="327"/>
      <c r="D12" s="327"/>
      <c r="E12" s="327"/>
      <c r="F12" s="327"/>
      <c r="G12" s="327"/>
      <c r="H12" s="328"/>
      <c r="I12" s="35">
        <f>IF(I11&lt;200,5,10)</f>
        <v>10</v>
      </c>
      <c r="J12" s="26"/>
      <c r="K12" s="27"/>
      <c r="L12" s="28"/>
      <c r="M12" s="28"/>
    </row>
    <row r="13" spans="1:13" ht="27" hidden="1" customHeight="1" outlineLevel="1">
      <c r="A13" s="31"/>
      <c r="B13" s="36"/>
      <c r="C13" s="36"/>
      <c r="D13" s="36"/>
      <c r="E13" s="36"/>
      <c r="F13" s="36"/>
      <c r="G13" s="36"/>
      <c r="H13" s="36"/>
      <c r="I13" s="36"/>
      <c r="J13" s="26"/>
      <c r="K13" s="27"/>
      <c r="L13" s="28"/>
      <c r="M13" s="28"/>
    </row>
    <row r="14" spans="1:13" ht="27" hidden="1" customHeight="1" outlineLevel="1">
      <c r="A14" s="31"/>
      <c r="B14" s="37"/>
      <c r="C14" s="37"/>
      <c r="D14" s="37"/>
      <c r="E14" s="37"/>
      <c r="F14" s="37"/>
      <c r="G14" s="37"/>
      <c r="H14" s="37"/>
      <c r="I14" s="37"/>
      <c r="J14" s="26"/>
      <c r="K14" s="27"/>
      <c r="L14" s="28"/>
      <c r="M14" s="28"/>
    </row>
    <row r="15" spans="1:13" ht="27" customHeight="1" collapsed="1">
      <c r="A15" s="329"/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</row>
    <row r="16" spans="1:13" ht="27" customHeight="1">
      <c r="A16" s="330" t="s">
        <v>22</v>
      </c>
      <c r="B16" s="331"/>
      <c r="C16" s="331"/>
      <c r="D16" s="332"/>
      <c r="E16" s="333" t="s">
        <v>23</v>
      </c>
      <c r="F16" s="334"/>
      <c r="G16" s="334"/>
      <c r="H16" s="334"/>
      <c r="I16" s="335" t="s">
        <v>24</v>
      </c>
      <c r="J16" s="335"/>
      <c r="K16" s="335"/>
      <c r="L16" s="335"/>
      <c r="M16" s="336" t="s">
        <v>25</v>
      </c>
    </row>
    <row r="17" spans="1:15" s="42" customFormat="1" ht="79.5" customHeight="1">
      <c r="A17" s="38" t="s">
        <v>3</v>
      </c>
      <c r="B17" s="38" t="s">
        <v>26</v>
      </c>
      <c r="C17" s="38" t="s">
        <v>81</v>
      </c>
      <c r="D17" s="38" t="s">
        <v>28</v>
      </c>
      <c r="E17" s="39" t="s">
        <v>29</v>
      </c>
      <c r="F17" s="39" t="s">
        <v>30</v>
      </c>
      <c r="G17" s="39" t="s">
        <v>31</v>
      </c>
      <c r="H17" s="39" t="s">
        <v>32</v>
      </c>
      <c r="I17" s="40" t="s">
        <v>33</v>
      </c>
      <c r="J17" s="40" t="s">
        <v>34</v>
      </c>
      <c r="K17" s="40" t="s">
        <v>31</v>
      </c>
      <c r="L17" s="41" t="s">
        <v>32</v>
      </c>
      <c r="M17" s="337"/>
    </row>
    <row r="18" spans="1:15" ht="39.75" customHeight="1">
      <c r="A18" s="186">
        <v>1</v>
      </c>
      <c r="B18" s="186">
        <f>'SALDO DE VACACIONES MDT'!B10</f>
        <v>1725694341</v>
      </c>
      <c r="C18" s="187" t="str">
        <f>'SALDO DE VACACIONES MDT'!C10</f>
        <v>RIVADENEIRA VILLARREAL DARWIN DANIEL</v>
      </c>
      <c r="D18" s="188">
        <f>'MUESTRA SALDO DE VACACIONES'!D8</f>
        <v>44287</v>
      </c>
      <c r="E18" s="189">
        <f>+H18+G18+F18</f>
        <v>60</v>
      </c>
      <c r="F18" s="190">
        <f>'MUESTRA SALDO DE VACACIONES'!E8</f>
        <v>0</v>
      </c>
      <c r="G18" s="191">
        <f>'MUESTRA SALDO DE VACACIONES'!F8</f>
        <v>30</v>
      </c>
      <c r="H18" s="191">
        <f>'MUESTRA SALDO DE VACACIONES'!G8</f>
        <v>30</v>
      </c>
      <c r="I18" s="191">
        <f>'SALDO DE VACACIONES MDT'!F10</f>
        <v>60</v>
      </c>
      <c r="J18" s="190">
        <f>'SALDO DE VACACIONES MDT'!J10</f>
        <v>0</v>
      </c>
      <c r="K18" s="191">
        <f>'SALDO DE VACACIONES MDT'!I10</f>
        <v>0</v>
      </c>
      <c r="L18" s="191">
        <f>+I18-J18-K18</f>
        <v>60</v>
      </c>
      <c r="M18" s="191">
        <f t="shared" ref="M18" si="0">+H18-L18</f>
        <v>-30</v>
      </c>
      <c r="N18" s="192"/>
      <c r="O18" s="192"/>
    </row>
    <row r="19" spans="1:15" ht="39.75" customHeight="1">
      <c r="A19" s="186">
        <v>2</v>
      </c>
      <c r="B19" s="186" t="str">
        <f>'SALDO DE VACACIONES MDT'!B11</f>
        <v>0706858347</v>
      </c>
      <c r="C19" s="187" t="str">
        <f>'SALDO DE VACACIONES MDT'!C11</f>
        <v>PEREZ GONZALEZ CRISTINA ELIZABETH</v>
      </c>
      <c r="D19" s="188">
        <f>'MUESTRA SALDO DE VACACIONES'!D9</f>
        <v>44713</v>
      </c>
      <c r="E19" s="189">
        <f t="shared" ref="E19:E22" si="1">+H19+G19+F19</f>
        <v>60</v>
      </c>
      <c r="F19" s="190">
        <f>'MUESTRA SALDO DE VACACIONES'!E9</f>
        <v>0</v>
      </c>
      <c r="G19" s="191">
        <f>'MUESTRA SALDO DE VACACIONES'!F9</f>
        <v>30</v>
      </c>
      <c r="H19" s="191">
        <f>'MUESTRA SALDO DE VACACIONES'!G9</f>
        <v>30</v>
      </c>
      <c r="I19" s="191">
        <f>'SALDO DE VACACIONES MDT'!F11</f>
        <v>25</v>
      </c>
      <c r="J19" s="190">
        <f>'SALDO DE VACACIONES MDT'!J11</f>
        <v>0</v>
      </c>
      <c r="K19" s="191">
        <f>'SALDO DE VACACIONES MDT'!I11</f>
        <v>0</v>
      </c>
      <c r="L19" s="191">
        <f t="shared" ref="L19:L22" si="2">+I19-J19-K19</f>
        <v>25</v>
      </c>
      <c r="M19" s="191">
        <f t="shared" ref="M19:M22" si="3">+H19-L19</f>
        <v>5</v>
      </c>
      <c r="N19" s="192"/>
      <c r="O19" s="192"/>
    </row>
    <row r="20" spans="1:15" ht="39.75" customHeight="1">
      <c r="A20" s="186">
        <v>3</v>
      </c>
      <c r="B20" s="186">
        <f>'SALDO DE VACACIONES MDT'!B12</f>
        <v>1104739709</v>
      </c>
      <c r="C20" s="187" t="str">
        <f>'SALDO DE VACACIONES MDT'!C12</f>
        <v>GUACHON MEDINA TANIA CECILIA</v>
      </c>
      <c r="D20" s="188">
        <f>'MUESTRA SALDO DE VACACIONES'!D10</f>
        <v>42767</v>
      </c>
      <c r="E20" s="189">
        <f t="shared" si="1"/>
        <v>60.000000000000007</v>
      </c>
      <c r="F20" s="190">
        <f>'MUESTRA SALDO DE VACACIONES'!E10</f>
        <v>0.63</v>
      </c>
      <c r="G20" s="191">
        <f>'MUESTRA SALDO DE VACACIONES'!F10</f>
        <v>30</v>
      </c>
      <c r="H20" s="191">
        <f>'MUESTRA SALDO DE VACACIONES'!G10</f>
        <v>29.37</v>
      </c>
      <c r="I20" s="191">
        <f>'SALDO DE VACACIONES MDT'!F12</f>
        <v>185</v>
      </c>
      <c r="J20" s="190">
        <f>'SALDO DE VACACIONES MDT'!J12</f>
        <v>54</v>
      </c>
      <c r="K20" s="191">
        <f>'SALDO DE VACACIONES MDT'!I12</f>
        <v>2.833333333333333</v>
      </c>
      <c r="L20" s="191">
        <f t="shared" si="2"/>
        <v>128.16666666666666</v>
      </c>
      <c r="M20" s="191">
        <f t="shared" si="3"/>
        <v>-98.796666666666653</v>
      </c>
      <c r="N20" s="192"/>
      <c r="O20" s="192"/>
    </row>
    <row r="21" spans="1:15" ht="39.75" customHeight="1">
      <c r="A21" s="186">
        <v>4</v>
      </c>
      <c r="B21" s="186" t="str">
        <f>'SALDO DE VACACIONES MDT'!B13</f>
        <v>0930243753</v>
      </c>
      <c r="C21" s="187" t="str">
        <f>'SALDO DE VACACIONES MDT'!C13</f>
        <v>CAMPUZANO VILLAFUERTE JOSE JAVIER</v>
      </c>
      <c r="D21" s="188">
        <f>'MUESTRA SALDO DE VACACIONES'!D11</f>
        <v>43952</v>
      </c>
      <c r="E21" s="189">
        <f t="shared" si="1"/>
        <v>60</v>
      </c>
      <c r="F21" s="190">
        <f>'MUESTRA SALDO DE VACACIONES'!E11</f>
        <v>0</v>
      </c>
      <c r="G21" s="191">
        <f>'MUESTRA SALDO DE VACACIONES'!F11</f>
        <v>30</v>
      </c>
      <c r="H21" s="191">
        <f>'MUESTRA SALDO DE VACACIONES'!G11</f>
        <v>30</v>
      </c>
      <c r="I21" s="191">
        <f>'SALDO DE VACACIONES MDT'!F13</f>
        <v>87.5</v>
      </c>
      <c r="J21" s="190">
        <f>'SALDO DE VACACIONES MDT'!J13</f>
        <v>65</v>
      </c>
      <c r="K21" s="191">
        <f>'SALDO DE VACACIONES MDT'!I13</f>
        <v>0.625</v>
      </c>
      <c r="L21" s="191">
        <f t="shared" si="2"/>
        <v>21.875</v>
      </c>
      <c r="M21" s="191">
        <f t="shared" si="3"/>
        <v>8.125</v>
      </c>
      <c r="N21" s="192"/>
      <c r="O21" s="192"/>
    </row>
    <row r="22" spans="1:15" ht="39.75" customHeight="1">
      <c r="A22" s="186">
        <v>5</v>
      </c>
      <c r="B22" s="186">
        <f>'SALDO DE VACACIONES MDT'!B14</f>
        <v>1104806730</v>
      </c>
      <c r="C22" s="187" t="str">
        <f>'SALDO DE VACACIONES MDT'!C14</f>
        <v>TORRES CALBA MAIRA ESPERANZA</v>
      </c>
      <c r="D22" s="188">
        <f>'MUESTRA SALDO DE VACACIONES'!D12</f>
        <v>44562</v>
      </c>
      <c r="E22" s="189">
        <f t="shared" si="1"/>
        <v>12.5</v>
      </c>
      <c r="F22" s="190">
        <f>'MUESTRA SALDO DE VACACIONES'!E12</f>
        <v>0</v>
      </c>
      <c r="G22" s="191">
        <f>'MUESTRA SALDO DE VACACIONES'!F12</f>
        <v>6.25</v>
      </c>
      <c r="H22" s="191">
        <f>'MUESTRA SALDO DE VACACIONES'!G12</f>
        <v>6.25</v>
      </c>
      <c r="I22" s="191">
        <f>'SALDO DE VACACIONES MDT'!F14</f>
        <v>37.5</v>
      </c>
      <c r="J22" s="190">
        <f>'SALDO DE VACACIONES MDT'!J14</f>
        <v>15</v>
      </c>
      <c r="K22" s="191">
        <f>'SALDO DE VACACIONES MDT'!I14</f>
        <v>0</v>
      </c>
      <c r="L22" s="191">
        <f t="shared" si="2"/>
        <v>22.5</v>
      </c>
      <c r="M22" s="191">
        <f t="shared" si="3"/>
        <v>-16.25</v>
      </c>
      <c r="N22" s="192"/>
      <c r="O22" s="192"/>
    </row>
    <row r="23" spans="1:15" ht="27" customHeight="1" thickBot="1">
      <c r="A23" s="43"/>
      <c r="B23" s="43"/>
      <c r="C23" s="43"/>
      <c r="D23" s="43"/>
      <c r="E23" s="43"/>
      <c r="F23" s="43"/>
      <c r="G23" s="43"/>
      <c r="H23" s="43"/>
      <c r="I23" s="45"/>
      <c r="J23" s="43"/>
      <c r="K23" s="46"/>
      <c r="L23" s="46"/>
      <c r="M23" s="44"/>
    </row>
    <row r="24" spans="1:15" ht="27" customHeight="1">
      <c r="A24" s="43"/>
      <c r="B24" s="43"/>
      <c r="C24" s="43"/>
      <c r="D24" s="43"/>
      <c r="E24" s="282" t="s">
        <v>156</v>
      </c>
      <c r="F24" s="283"/>
      <c r="G24" s="284" t="s">
        <v>157</v>
      </c>
      <c r="H24" s="285"/>
      <c r="I24" s="45"/>
      <c r="J24" s="43"/>
      <c r="K24" s="46"/>
      <c r="L24" s="46"/>
      <c r="M24" s="44"/>
    </row>
    <row r="25" spans="1:15" ht="27" customHeight="1" thickBot="1">
      <c r="A25" s="43"/>
      <c r="B25" s="43"/>
      <c r="C25" s="43"/>
      <c r="D25" s="43"/>
      <c r="E25" s="288" t="s">
        <v>158</v>
      </c>
      <c r="F25" s="289"/>
      <c r="G25" s="286"/>
      <c r="H25" s="287"/>
      <c r="I25" s="45"/>
      <c r="J25" s="43"/>
      <c r="K25" s="46"/>
      <c r="L25" s="46"/>
      <c r="M25" s="44"/>
    </row>
    <row r="26" spans="1:15" ht="27" customHeight="1">
      <c r="A26" s="43"/>
      <c r="B26" s="43"/>
      <c r="C26" s="43"/>
      <c r="D26" s="43"/>
      <c r="E26" s="262"/>
      <c r="F26" s="263"/>
      <c r="G26" s="266"/>
      <c r="H26" s="267"/>
      <c r="I26" s="43"/>
      <c r="J26" s="43"/>
      <c r="K26" s="46"/>
      <c r="L26" s="46"/>
      <c r="M26" s="44"/>
    </row>
    <row r="27" spans="1:15" ht="27" customHeight="1">
      <c r="A27" s="43"/>
      <c r="B27" s="43"/>
      <c r="C27" s="43"/>
      <c r="D27" s="43"/>
      <c r="E27" s="264"/>
      <c r="F27" s="265"/>
      <c r="G27" s="268"/>
      <c r="H27" s="269"/>
      <c r="I27" s="43"/>
      <c r="J27" s="43"/>
      <c r="K27" s="46"/>
      <c r="L27" s="46"/>
      <c r="M27" s="44"/>
    </row>
    <row r="28" spans="1:15" ht="27" customHeight="1">
      <c r="A28" s="43"/>
      <c r="B28" s="43"/>
      <c r="C28" s="43"/>
      <c r="D28" s="43"/>
      <c r="E28" s="264"/>
      <c r="F28" s="265"/>
      <c r="G28" s="268"/>
      <c r="H28" s="269"/>
      <c r="I28" s="43"/>
      <c r="J28" s="43"/>
      <c r="K28" s="46"/>
      <c r="L28" s="46"/>
      <c r="M28" s="44"/>
    </row>
    <row r="29" spans="1:15" ht="27" customHeight="1">
      <c r="A29" s="43"/>
      <c r="B29" s="43"/>
      <c r="C29" s="43"/>
      <c r="D29" s="43"/>
      <c r="E29" s="264"/>
      <c r="F29" s="265"/>
      <c r="G29" s="268"/>
      <c r="H29" s="269"/>
      <c r="I29" s="43"/>
      <c r="J29" s="43"/>
      <c r="K29" s="46"/>
      <c r="L29" s="46"/>
      <c r="M29" s="46"/>
    </row>
    <row r="30" spans="1:15" ht="9" customHeight="1">
      <c r="A30" s="43"/>
      <c r="B30" s="43"/>
      <c r="C30" s="43"/>
      <c r="D30" s="43"/>
      <c r="E30" s="264"/>
      <c r="F30" s="265"/>
      <c r="G30" s="268"/>
      <c r="H30" s="269"/>
      <c r="I30" s="43"/>
      <c r="J30" s="43"/>
      <c r="K30" s="46"/>
      <c r="L30" s="46"/>
      <c r="M30" s="46"/>
    </row>
    <row r="31" spans="1:15" ht="27" hidden="1" customHeight="1">
      <c r="A31" s="43"/>
      <c r="B31" s="43"/>
      <c r="C31" s="43"/>
      <c r="D31" s="43"/>
      <c r="E31" s="264"/>
      <c r="F31" s="265"/>
      <c r="G31" s="268"/>
      <c r="H31" s="269"/>
      <c r="I31" s="43"/>
      <c r="J31" s="43"/>
      <c r="K31" s="46"/>
      <c r="L31" s="46"/>
      <c r="M31" s="46"/>
    </row>
    <row r="32" spans="1:15" ht="27" customHeight="1">
      <c r="A32" s="43"/>
      <c r="B32" s="43"/>
      <c r="C32" s="43"/>
      <c r="D32" s="43"/>
      <c r="E32" s="270" t="s">
        <v>159</v>
      </c>
      <c r="F32" s="270"/>
      <c r="G32" s="271" t="s">
        <v>160</v>
      </c>
      <c r="H32" s="271"/>
      <c r="I32" s="43"/>
      <c r="J32" s="43"/>
      <c r="K32" s="46"/>
      <c r="L32" s="46"/>
      <c r="M32" s="46"/>
    </row>
    <row r="33" spans="1:13" ht="66" customHeight="1" thickBot="1">
      <c r="A33" s="43"/>
      <c r="B33" s="43"/>
      <c r="C33" s="43"/>
      <c r="D33" s="43"/>
      <c r="E33" s="272" t="s">
        <v>161</v>
      </c>
      <c r="F33" s="273"/>
      <c r="G33" s="274" t="s">
        <v>162</v>
      </c>
      <c r="H33" s="275"/>
      <c r="I33" s="43"/>
      <c r="J33" s="43"/>
      <c r="K33" s="46"/>
      <c r="L33" s="46"/>
      <c r="M33" s="46"/>
    </row>
    <row r="34" spans="1:13" ht="27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6"/>
      <c r="L34" s="46"/>
      <c r="M34" s="46"/>
    </row>
    <row r="35" spans="1:13" ht="27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6"/>
      <c r="L35" s="46"/>
      <c r="M35" s="46"/>
    </row>
    <row r="36" spans="1:13" ht="27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6"/>
      <c r="L36" s="46"/>
      <c r="M36" s="46"/>
    </row>
    <row r="37" spans="1:13" ht="27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6"/>
      <c r="L37" s="46"/>
      <c r="M37" s="46"/>
    </row>
    <row r="38" spans="1:13" ht="27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6"/>
      <c r="L38" s="46"/>
      <c r="M38" s="46"/>
    </row>
    <row r="39" spans="1:13" ht="27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6"/>
      <c r="L39" s="46"/>
      <c r="M39" s="46"/>
    </row>
    <row r="40" spans="1:13" ht="27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6"/>
      <c r="L40" s="46"/>
      <c r="M40" s="46"/>
    </row>
    <row r="41" spans="1:13" ht="27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6"/>
      <c r="L41" s="46"/>
      <c r="M41" s="46"/>
    </row>
    <row r="42" spans="1:13" ht="27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6"/>
      <c r="L42" s="46"/>
      <c r="M42" s="46"/>
    </row>
    <row r="43" spans="1:13" ht="27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6"/>
      <c r="L43" s="46"/>
      <c r="M43" s="46"/>
    </row>
    <row r="44" spans="1:13" ht="27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6"/>
      <c r="L44" s="46"/>
      <c r="M44" s="46"/>
    </row>
    <row r="45" spans="1:13" ht="27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6"/>
      <c r="L45" s="46"/>
      <c r="M45" s="46"/>
    </row>
    <row r="46" spans="1:13" ht="27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6"/>
      <c r="L46" s="46"/>
      <c r="M46" s="46"/>
    </row>
    <row r="47" spans="1:13" ht="27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6"/>
      <c r="L47" s="46"/>
      <c r="M47" s="46"/>
    </row>
    <row r="48" spans="1:13" ht="27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6"/>
      <c r="L48" s="46"/>
      <c r="M48" s="46"/>
    </row>
    <row r="49" spans="1:13" ht="27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6"/>
      <c r="L49" s="46"/>
      <c r="M49" s="46"/>
    </row>
    <row r="50" spans="1:13" ht="27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6"/>
      <c r="L50" s="46"/>
      <c r="M50" s="46"/>
    </row>
    <row r="51" spans="1:13" ht="27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6"/>
      <c r="L51" s="46"/>
      <c r="M51" s="46"/>
    </row>
    <row r="52" spans="1:13" ht="27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6"/>
      <c r="L52" s="46"/>
      <c r="M52" s="46"/>
    </row>
    <row r="53" spans="1:13" ht="27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6"/>
      <c r="L53" s="46"/>
      <c r="M53" s="46"/>
    </row>
    <row r="54" spans="1:13" ht="27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6"/>
      <c r="L54" s="46"/>
      <c r="M54" s="46"/>
    </row>
    <row r="55" spans="1:13" ht="27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6"/>
      <c r="L55" s="46"/>
      <c r="M55" s="46"/>
    </row>
    <row r="56" spans="1:13" ht="27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6"/>
      <c r="L56" s="46"/>
      <c r="M56" s="46"/>
    </row>
    <row r="57" spans="1:13" ht="27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6"/>
      <c r="L57" s="46"/>
      <c r="M57" s="46"/>
    </row>
    <row r="58" spans="1:13" ht="27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6"/>
      <c r="L58" s="46"/>
      <c r="M58" s="46"/>
    </row>
    <row r="59" spans="1:13" ht="27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6"/>
      <c r="L59" s="46"/>
      <c r="M59" s="46"/>
    </row>
    <row r="60" spans="1:13" ht="27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6"/>
      <c r="L60" s="46"/>
      <c r="M60" s="46"/>
    </row>
    <row r="61" spans="1:13" ht="27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6"/>
      <c r="L61" s="46"/>
      <c r="M61" s="46"/>
    </row>
    <row r="62" spans="1:13" ht="27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6"/>
      <c r="L62" s="46"/>
      <c r="M62" s="46"/>
    </row>
    <row r="63" spans="1:13" ht="27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6"/>
      <c r="L63" s="46"/>
      <c r="M63" s="46"/>
    </row>
    <row r="64" spans="1:13" ht="27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6"/>
      <c r="L64" s="46"/>
      <c r="M64" s="46"/>
    </row>
    <row r="65" spans="1:13" ht="27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6"/>
      <c r="L65" s="46"/>
      <c r="M65" s="46"/>
    </row>
    <row r="66" spans="1:13" ht="27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6"/>
      <c r="L66" s="46"/>
      <c r="M66" s="46"/>
    </row>
    <row r="67" spans="1:13" ht="27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6"/>
      <c r="L67" s="46"/>
      <c r="M67" s="46"/>
    </row>
    <row r="68" spans="1:13" ht="27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6"/>
      <c r="L68" s="46"/>
      <c r="M68" s="46"/>
    </row>
    <row r="69" spans="1:13" ht="27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6"/>
      <c r="L69" s="46"/>
      <c r="M69" s="46"/>
    </row>
    <row r="70" spans="1:13" ht="27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6"/>
      <c r="L70" s="46"/>
      <c r="M70" s="46"/>
    </row>
    <row r="71" spans="1:13" ht="27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6"/>
      <c r="L71" s="46"/>
      <c r="M71" s="46"/>
    </row>
    <row r="72" spans="1:13" ht="27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6"/>
      <c r="L72" s="46"/>
      <c r="M72" s="46"/>
    </row>
    <row r="73" spans="1:13" ht="27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6"/>
      <c r="L73" s="46"/>
      <c r="M73" s="46"/>
    </row>
    <row r="74" spans="1:13" ht="27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6"/>
      <c r="L74" s="46"/>
      <c r="M74" s="46"/>
    </row>
    <row r="75" spans="1:13" ht="27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6"/>
      <c r="L75" s="46"/>
      <c r="M75" s="46"/>
    </row>
    <row r="76" spans="1:13" ht="27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6"/>
      <c r="L76" s="46"/>
      <c r="M76" s="46"/>
    </row>
    <row r="77" spans="1:13" ht="27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6"/>
      <c r="L77" s="46"/>
      <c r="M77" s="46"/>
    </row>
    <row r="78" spans="1:13" ht="27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6"/>
      <c r="L78" s="46"/>
      <c r="M78" s="46"/>
    </row>
    <row r="79" spans="1:13" ht="27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6"/>
      <c r="L79" s="46"/>
      <c r="M79" s="46"/>
    </row>
    <row r="80" spans="1:13" ht="27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6"/>
      <c r="L80" s="46"/>
      <c r="M80" s="46"/>
    </row>
    <row r="81" spans="1:13" ht="27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6"/>
      <c r="L81" s="46"/>
      <c r="M81" s="46"/>
    </row>
    <row r="82" spans="1:13" ht="27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6"/>
      <c r="L82" s="46"/>
      <c r="M82" s="46"/>
    </row>
    <row r="83" spans="1:13" ht="27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6"/>
      <c r="L83" s="46"/>
      <c r="M83" s="46"/>
    </row>
    <row r="84" spans="1:13" ht="27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6"/>
      <c r="L84" s="46"/>
      <c r="M84" s="46"/>
    </row>
    <row r="85" spans="1:13" ht="27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6"/>
      <c r="L85" s="46"/>
      <c r="M85" s="46"/>
    </row>
    <row r="86" spans="1:13" ht="27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6"/>
      <c r="L86" s="46"/>
      <c r="M86" s="46"/>
    </row>
    <row r="87" spans="1:13" ht="27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6"/>
      <c r="L87" s="46"/>
      <c r="M87" s="46"/>
    </row>
    <row r="88" spans="1:13" ht="27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6"/>
      <c r="L88" s="46"/>
      <c r="M88" s="46"/>
    </row>
    <row r="89" spans="1:13" ht="27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6"/>
      <c r="L89" s="46"/>
      <c r="M89" s="46"/>
    </row>
    <row r="90" spans="1:13" ht="27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6"/>
      <c r="L90" s="46"/>
      <c r="M90" s="46"/>
    </row>
    <row r="91" spans="1:13" ht="27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6"/>
      <c r="L91" s="46"/>
      <c r="M91" s="46"/>
    </row>
    <row r="92" spans="1:13" ht="27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6"/>
      <c r="L92" s="46"/>
      <c r="M92" s="46"/>
    </row>
    <row r="93" spans="1:13" ht="27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6"/>
      <c r="L93" s="46"/>
      <c r="M93" s="46"/>
    </row>
    <row r="94" spans="1:13" ht="27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6"/>
      <c r="L94" s="46"/>
      <c r="M94" s="46"/>
    </row>
    <row r="95" spans="1:13" ht="27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6"/>
      <c r="L95" s="46"/>
      <c r="M95" s="46"/>
    </row>
    <row r="96" spans="1:13" ht="27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6"/>
      <c r="L96" s="46"/>
      <c r="M96" s="46"/>
    </row>
    <row r="97" spans="1:13" ht="27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6"/>
      <c r="L97" s="46"/>
      <c r="M97" s="46"/>
    </row>
    <row r="98" spans="1:13" ht="27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6"/>
      <c r="L98" s="46"/>
      <c r="M98" s="46"/>
    </row>
    <row r="99" spans="1:13" ht="27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6"/>
      <c r="L99" s="46"/>
      <c r="M99" s="46"/>
    </row>
    <row r="100" spans="1:13" ht="27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6"/>
      <c r="L100" s="46"/>
      <c r="M100" s="46"/>
    </row>
    <row r="101" spans="1:13" ht="27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6"/>
      <c r="L101" s="46"/>
      <c r="M101" s="46"/>
    </row>
    <row r="102" spans="1:13" ht="27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6"/>
      <c r="L102" s="46"/>
      <c r="M102" s="46"/>
    </row>
    <row r="103" spans="1:13" ht="27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6"/>
      <c r="L103" s="46"/>
      <c r="M103" s="46"/>
    </row>
    <row r="104" spans="1:13" ht="27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6"/>
      <c r="L104" s="46"/>
      <c r="M104" s="46"/>
    </row>
    <row r="105" spans="1:13" ht="27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6"/>
      <c r="L105" s="46"/>
      <c r="M105" s="46"/>
    </row>
    <row r="106" spans="1:13" ht="27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6"/>
      <c r="L106" s="46"/>
      <c r="M106" s="46"/>
    </row>
    <row r="107" spans="1:13" ht="27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6"/>
      <c r="L107" s="46"/>
      <c r="M107" s="46"/>
    </row>
    <row r="108" spans="1:13" ht="27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6"/>
      <c r="L108" s="46"/>
      <c r="M108" s="46"/>
    </row>
    <row r="109" spans="1:13" ht="27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6"/>
      <c r="L109" s="46"/>
      <c r="M109" s="46"/>
    </row>
    <row r="110" spans="1:13" ht="27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6"/>
      <c r="L110" s="46"/>
      <c r="M110" s="46"/>
    </row>
    <row r="111" spans="1:13" ht="27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6"/>
      <c r="L111" s="46"/>
      <c r="M111" s="46"/>
    </row>
    <row r="112" spans="1:13" ht="27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6"/>
      <c r="L112" s="46"/>
      <c r="M112" s="46"/>
    </row>
    <row r="113" spans="1:13" ht="27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6"/>
      <c r="L113" s="46"/>
      <c r="M113" s="46"/>
    </row>
    <row r="114" spans="1:13" ht="27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6"/>
      <c r="L114" s="46"/>
      <c r="M114" s="46"/>
    </row>
    <row r="115" spans="1:13" ht="27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6"/>
      <c r="L115" s="46"/>
      <c r="M115" s="46"/>
    </row>
    <row r="116" spans="1:13" ht="27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6"/>
      <c r="L116" s="46"/>
      <c r="M116" s="46"/>
    </row>
    <row r="117" spans="1:13" ht="27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6"/>
      <c r="L117" s="46"/>
      <c r="M117" s="46"/>
    </row>
    <row r="118" spans="1:13" ht="27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6"/>
      <c r="L118" s="46"/>
      <c r="M118" s="46"/>
    </row>
    <row r="119" spans="1:13" ht="27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6"/>
      <c r="L119" s="46"/>
      <c r="M119" s="46"/>
    </row>
    <row r="120" spans="1:13" ht="27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6"/>
      <c r="L120" s="46"/>
      <c r="M120" s="46"/>
    </row>
    <row r="121" spans="1:13" ht="27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6"/>
      <c r="L121" s="46"/>
      <c r="M121" s="46"/>
    </row>
    <row r="122" spans="1:13" ht="27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6"/>
      <c r="L122" s="46"/>
      <c r="M122" s="46"/>
    </row>
    <row r="123" spans="1:13" ht="27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6"/>
      <c r="L123" s="46"/>
      <c r="M123" s="46"/>
    </row>
    <row r="124" spans="1:13" ht="27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6"/>
      <c r="L124" s="46"/>
      <c r="M124" s="46"/>
    </row>
    <row r="125" spans="1:13" ht="27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6"/>
      <c r="L125" s="46"/>
      <c r="M125" s="46"/>
    </row>
    <row r="126" spans="1:13" ht="27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6"/>
      <c r="L126" s="46"/>
      <c r="M126" s="46"/>
    </row>
    <row r="127" spans="1:13" ht="27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6"/>
      <c r="L127" s="46"/>
      <c r="M127" s="46"/>
    </row>
    <row r="128" spans="1:13" ht="27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6"/>
      <c r="L128" s="46"/>
      <c r="M128" s="46"/>
    </row>
    <row r="129" spans="1:13" ht="27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6"/>
      <c r="L129" s="46"/>
      <c r="M129" s="46"/>
    </row>
    <row r="130" spans="1:13" ht="27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6"/>
      <c r="L130" s="46"/>
      <c r="M130" s="46"/>
    </row>
    <row r="131" spans="1:13" ht="27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6"/>
      <c r="L131" s="46"/>
      <c r="M131" s="46"/>
    </row>
    <row r="132" spans="1:13" ht="27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6"/>
      <c r="L132" s="46"/>
      <c r="M132" s="46"/>
    </row>
    <row r="133" spans="1:13" ht="27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6"/>
      <c r="L133" s="46"/>
      <c r="M133" s="46"/>
    </row>
    <row r="134" spans="1:13" ht="27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6"/>
      <c r="L134" s="46"/>
      <c r="M134" s="46"/>
    </row>
    <row r="135" spans="1:13" ht="27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6"/>
      <c r="L135" s="46"/>
      <c r="M135" s="46"/>
    </row>
    <row r="136" spans="1:13" ht="27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6"/>
      <c r="L136" s="46"/>
      <c r="M136" s="46"/>
    </row>
    <row r="137" spans="1:13" ht="27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6"/>
      <c r="L137" s="46"/>
      <c r="M137" s="46"/>
    </row>
    <row r="138" spans="1:13" ht="27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6"/>
      <c r="L138" s="46"/>
      <c r="M138" s="46"/>
    </row>
    <row r="139" spans="1:13" ht="27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6"/>
      <c r="L139" s="46"/>
      <c r="M139" s="46"/>
    </row>
    <row r="140" spans="1:13" ht="27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6"/>
      <c r="L140" s="46"/>
      <c r="M140" s="46"/>
    </row>
    <row r="141" spans="1:13" ht="27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6"/>
      <c r="L141" s="46"/>
      <c r="M141" s="46"/>
    </row>
    <row r="142" spans="1:13" ht="27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6"/>
      <c r="L142" s="46"/>
      <c r="M142" s="46"/>
    </row>
    <row r="143" spans="1:13" ht="27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6"/>
      <c r="L143" s="46"/>
      <c r="M143" s="46"/>
    </row>
    <row r="144" spans="1:13" ht="27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6"/>
      <c r="L144" s="46"/>
      <c r="M144" s="46"/>
    </row>
    <row r="145" spans="1:13" ht="27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6"/>
      <c r="L145" s="46"/>
      <c r="M145" s="46"/>
    </row>
    <row r="146" spans="1:13" ht="27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6"/>
      <c r="L146" s="46"/>
      <c r="M146" s="46"/>
    </row>
    <row r="147" spans="1:13" ht="27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6"/>
      <c r="L147" s="46"/>
      <c r="M147" s="46"/>
    </row>
    <row r="148" spans="1:13" ht="27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6"/>
      <c r="L148" s="46"/>
      <c r="M148" s="46"/>
    </row>
    <row r="149" spans="1:13" ht="27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6"/>
      <c r="L149" s="46"/>
      <c r="M149" s="46"/>
    </row>
    <row r="150" spans="1:13" ht="27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6"/>
      <c r="L150" s="46"/>
      <c r="M150" s="46"/>
    </row>
    <row r="151" spans="1:13" ht="27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6"/>
      <c r="L151" s="46"/>
      <c r="M151" s="46"/>
    </row>
    <row r="152" spans="1:13" ht="27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6"/>
      <c r="L152" s="46"/>
      <c r="M152" s="46"/>
    </row>
    <row r="153" spans="1:13" ht="27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6"/>
      <c r="L153" s="46"/>
      <c r="M153" s="46"/>
    </row>
    <row r="154" spans="1:13" ht="27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6"/>
      <c r="L154" s="46"/>
      <c r="M154" s="46"/>
    </row>
    <row r="155" spans="1:13" ht="27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6"/>
      <c r="L155" s="46"/>
      <c r="M155" s="46"/>
    </row>
    <row r="156" spans="1:13" ht="27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6"/>
      <c r="L156" s="46"/>
      <c r="M156" s="46"/>
    </row>
    <row r="157" spans="1:13" ht="27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6"/>
      <c r="L157" s="46"/>
      <c r="M157" s="46"/>
    </row>
    <row r="158" spans="1:13" ht="27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6"/>
      <c r="L158" s="46"/>
      <c r="M158" s="46"/>
    </row>
    <row r="159" spans="1:13" ht="27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6"/>
      <c r="L159" s="46"/>
      <c r="M159" s="46"/>
    </row>
    <row r="160" spans="1:13" ht="27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6"/>
      <c r="L160" s="46"/>
      <c r="M160" s="46"/>
    </row>
    <row r="161" spans="1:13" ht="27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6"/>
      <c r="L161" s="46"/>
      <c r="M161" s="46"/>
    </row>
    <row r="162" spans="1:13" ht="27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6"/>
      <c r="L162" s="46"/>
      <c r="M162" s="46"/>
    </row>
    <row r="163" spans="1:13" ht="27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6"/>
      <c r="L163" s="46"/>
      <c r="M163" s="46"/>
    </row>
    <row r="164" spans="1:13" ht="27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6"/>
      <c r="L164" s="46"/>
      <c r="M164" s="46"/>
    </row>
    <row r="165" spans="1:13" ht="27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6"/>
      <c r="L165" s="46"/>
      <c r="M165" s="46"/>
    </row>
    <row r="166" spans="1:13" ht="27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6"/>
      <c r="L166" s="46"/>
      <c r="M166" s="46"/>
    </row>
    <row r="167" spans="1:13" ht="27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6"/>
      <c r="L167" s="46"/>
      <c r="M167" s="46"/>
    </row>
    <row r="168" spans="1:13" ht="27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6"/>
      <c r="L168" s="46"/>
      <c r="M168" s="46"/>
    </row>
    <row r="169" spans="1:13" ht="27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6"/>
      <c r="L169" s="46"/>
      <c r="M169" s="46"/>
    </row>
    <row r="170" spans="1:13" ht="27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6"/>
      <c r="L170" s="46"/>
      <c r="M170" s="46"/>
    </row>
    <row r="171" spans="1:13" ht="27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6"/>
      <c r="L171" s="46"/>
      <c r="M171" s="46"/>
    </row>
    <row r="172" spans="1:13" ht="27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6"/>
      <c r="L172" s="46"/>
      <c r="M172" s="46"/>
    </row>
    <row r="173" spans="1:13" ht="27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6"/>
      <c r="L173" s="46"/>
      <c r="M173" s="46"/>
    </row>
    <row r="174" spans="1:13" ht="27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6"/>
      <c r="L174" s="46"/>
      <c r="M174" s="46"/>
    </row>
    <row r="175" spans="1:13" ht="27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6"/>
      <c r="L175" s="46"/>
      <c r="M175" s="46"/>
    </row>
    <row r="176" spans="1:13" ht="27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6"/>
      <c r="L176" s="46"/>
      <c r="M176" s="46"/>
    </row>
    <row r="177" spans="1:13" ht="27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6"/>
      <c r="L177" s="46"/>
      <c r="M177" s="46"/>
    </row>
    <row r="178" spans="1:13" ht="27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6"/>
      <c r="L178" s="46"/>
      <c r="M178" s="46"/>
    </row>
    <row r="179" spans="1:13" ht="27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6"/>
      <c r="L179" s="46"/>
      <c r="M179" s="46"/>
    </row>
    <row r="180" spans="1:13" ht="27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6"/>
      <c r="L180" s="46"/>
      <c r="M180" s="46"/>
    </row>
    <row r="181" spans="1:13" ht="27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6"/>
      <c r="L181" s="46"/>
      <c r="M181" s="46"/>
    </row>
    <row r="182" spans="1:13" ht="27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6"/>
      <c r="L182" s="46"/>
      <c r="M182" s="46"/>
    </row>
    <row r="183" spans="1:13" ht="27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6"/>
      <c r="L183" s="46"/>
      <c r="M183" s="46"/>
    </row>
    <row r="184" spans="1:13" ht="27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6"/>
      <c r="L184" s="46"/>
      <c r="M184" s="46"/>
    </row>
    <row r="185" spans="1:13" ht="27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6"/>
      <c r="L185" s="46"/>
      <c r="M185" s="46"/>
    </row>
    <row r="186" spans="1:13" ht="27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6"/>
      <c r="L186" s="46"/>
      <c r="M186" s="46"/>
    </row>
    <row r="187" spans="1:13" ht="27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6"/>
      <c r="L187" s="46"/>
      <c r="M187" s="46"/>
    </row>
    <row r="188" spans="1:13" ht="27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6"/>
      <c r="L188" s="46"/>
      <c r="M188" s="46"/>
    </row>
    <row r="189" spans="1:13" ht="27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6"/>
      <c r="L189" s="46"/>
      <c r="M189" s="46"/>
    </row>
    <row r="190" spans="1:13" ht="27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6"/>
      <c r="L190" s="46"/>
      <c r="M190" s="46"/>
    </row>
    <row r="191" spans="1:13" ht="27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6"/>
      <c r="L191" s="46"/>
      <c r="M191" s="46"/>
    </row>
    <row r="192" spans="1:13" ht="27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6"/>
      <c r="L192" s="46"/>
      <c r="M192" s="46"/>
    </row>
    <row r="193" spans="1:13" ht="27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6"/>
      <c r="L193" s="46"/>
      <c r="M193" s="46"/>
    </row>
    <row r="194" spans="1:13" ht="27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6"/>
      <c r="L194" s="46"/>
      <c r="M194" s="46"/>
    </row>
    <row r="195" spans="1:13" ht="27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6"/>
      <c r="L195" s="46"/>
      <c r="M195" s="46"/>
    </row>
    <row r="196" spans="1:13" ht="27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6"/>
      <c r="L196" s="46"/>
      <c r="M196" s="46"/>
    </row>
    <row r="197" spans="1:13" ht="27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6"/>
      <c r="L197" s="46"/>
      <c r="M197" s="46"/>
    </row>
    <row r="198" spans="1:13" ht="27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6"/>
      <c r="L198" s="46"/>
      <c r="M198" s="46"/>
    </row>
    <row r="199" spans="1:13" ht="27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6"/>
      <c r="L199" s="46"/>
      <c r="M199" s="46"/>
    </row>
    <row r="200" spans="1:13" ht="27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6"/>
      <c r="L200" s="46"/>
      <c r="M200" s="46"/>
    </row>
    <row r="201" spans="1:13" ht="27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6"/>
      <c r="L201" s="46"/>
      <c r="M201" s="46"/>
    </row>
    <row r="202" spans="1:13" ht="27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6"/>
      <c r="L202" s="46"/>
      <c r="M202" s="46"/>
    </row>
    <row r="203" spans="1:13" ht="27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6"/>
      <c r="L203" s="46"/>
      <c r="M203" s="46"/>
    </row>
    <row r="204" spans="1:13" ht="27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6"/>
      <c r="L204" s="46"/>
      <c r="M204" s="46"/>
    </row>
    <row r="205" spans="1:13" ht="27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6"/>
      <c r="L205" s="46"/>
      <c r="M205" s="46"/>
    </row>
    <row r="206" spans="1:13" ht="27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6"/>
      <c r="L206" s="46"/>
      <c r="M206" s="46"/>
    </row>
    <row r="207" spans="1:13" ht="27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6"/>
      <c r="L207" s="46"/>
      <c r="M207" s="46"/>
    </row>
    <row r="208" spans="1:13" ht="27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6"/>
      <c r="L208" s="46"/>
      <c r="M208" s="46"/>
    </row>
    <row r="209" spans="1:13" ht="27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6"/>
      <c r="L209" s="46"/>
      <c r="M209" s="46"/>
    </row>
    <row r="210" spans="1:13" ht="27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6"/>
      <c r="L210" s="46"/>
      <c r="M210" s="46"/>
    </row>
    <row r="211" spans="1:13" ht="27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6"/>
      <c r="L211" s="46"/>
      <c r="M211" s="46"/>
    </row>
    <row r="212" spans="1:13" ht="27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6"/>
      <c r="L212" s="46"/>
      <c r="M212" s="46"/>
    </row>
    <row r="213" spans="1:13" ht="27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6"/>
      <c r="L213" s="46"/>
      <c r="M213" s="46"/>
    </row>
    <row r="214" spans="1:13" ht="27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6"/>
      <c r="L214" s="46"/>
      <c r="M214" s="46"/>
    </row>
    <row r="215" spans="1:13" ht="27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6"/>
      <c r="L215" s="46"/>
      <c r="M215" s="46"/>
    </row>
    <row r="216" spans="1:13" ht="27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6"/>
      <c r="L216" s="46"/>
      <c r="M216" s="46"/>
    </row>
    <row r="217" spans="1:13" ht="27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6"/>
      <c r="L217" s="46"/>
      <c r="M217" s="46"/>
    </row>
    <row r="218" spans="1:13" ht="27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6"/>
      <c r="L218" s="46"/>
      <c r="M218" s="46"/>
    </row>
    <row r="219" spans="1:13" ht="27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6"/>
      <c r="L219" s="46"/>
      <c r="M219" s="46"/>
    </row>
    <row r="220" spans="1:13" ht="27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6"/>
      <c r="L220" s="46"/>
      <c r="M220" s="46"/>
    </row>
    <row r="221" spans="1:13" ht="27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6"/>
      <c r="L221" s="46"/>
      <c r="M221" s="46"/>
    </row>
    <row r="222" spans="1:13" ht="27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6"/>
      <c r="L222" s="46"/>
      <c r="M222" s="46"/>
    </row>
    <row r="223" spans="1:13" ht="27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6"/>
      <c r="L223" s="46"/>
      <c r="M223" s="46"/>
    </row>
    <row r="224" spans="1:13" ht="27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6"/>
      <c r="L224" s="46"/>
      <c r="M224" s="46"/>
    </row>
    <row r="225" spans="1:13" ht="27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6"/>
      <c r="L225" s="46"/>
      <c r="M225" s="46"/>
    </row>
    <row r="226" spans="1:13" ht="27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6"/>
      <c r="L226" s="46"/>
      <c r="M226" s="46"/>
    </row>
    <row r="227" spans="1:13" ht="27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6"/>
      <c r="L227" s="46"/>
      <c r="M227" s="46"/>
    </row>
    <row r="228" spans="1:13" ht="27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6"/>
      <c r="L228" s="46"/>
      <c r="M228" s="46"/>
    </row>
    <row r="229" spans="1:13" ht="27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6"/>
      <c r="L229" s="46"/>
      <c r="M229" s="46"/>
    </row>
    <row r="230" spans="1:13" ht="27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6"/>
      <c r="L230" s="46"/>
      <c r="M230" s="46"/>
    </row>
    <row r="231" spans="1:13" ht="27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6"/>
      <c r="L231" s="46"/>
      <c r="M231" s="46"/>
    </row>
    <row r="232" spans="1:13" ht="27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6"/>
      <c r="L232" s="46"/>
      <c r="M232" s="46"/>
    </row>
    <row r="233" spans="1:13" ht="27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6"/>
      <c r="L233" s="46"/>
      <c r="M233" s="46"/>
    </row>
    <row r="234" spans="1:13" ht="27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6"/>
      <c r="L234" s="46"/>
      <c r="M234" s="46"/>
    </row>
    <row r="235" spans="1:13" ht="27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6"/>
      <c r="L235" s="46"/>
      <c r="M235" s="46"/>
    </row>
    <row r="236" spans="1:13" ht="27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6"/>
      <c r="L236" s="46"/>
      <c r="M236" s="46"/>
    </row>
    <row r="237" spans="1:13" ht="27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6"/>
      <c r="L237" s="46"/>
      <c r="M237" s="46"/>
    </row>
    <row r="238" spans="1:13" ht="27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6"/>
      <c r="L238" s="46"/>
      <c r="M238" s="46"/>
    </row>
    <row r="239" spans="1:13" ht="27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6"/>
      <c r="L239" s="46"/>
      <c r="M239" s="46"/>
    </row>
    <row r="240" spans="1:13" ht="27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6"/>
      <c r="L240" s="46"/>
      <c r="M240" s="46"/>
    </row>
    <row r="241" spans="1:13" ht="27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6"/>
      <c r="L241" s="46"/>
      <c r="M241" s="46"/>
    </row>
    <row r="242" spans="1:13" ht="27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6"/>
      <c r="L242" s="46"/>
      <c r="M242" s="46"/>
    </row>
    <row r="243" spans="1:13" ht="27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6"/>
      <c r="L243" s="46"/>
      <c r="M243" s="46"/>
    </row>
    <row r="244" spans="1:13" ht="27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6"/>
      <c r="L244" s="46"/>
      <c r="M244" s="46"/>
    </row>
    <row r="245" spans="1:13" ht="27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6"/>
      <c r="L245" s="46"/>
      <c r="M245" s="46"/>
    </row>
    <row r="246" spans="1:13" ht="27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6"/>
      <c r="L246" s="46"/>
      <c r="M246" s="46"/>
    </row>
    <row r="247" spans="1:13" ht="27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6"/>
      <c r="L247" s="46"/>
      <c r="M247" s="46"/>
    </row>
    <row r="248" spans="1:13" ht="27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6"/>
      <c r="L248" s="46"/>
      <c r="M248" s="46"/>
    </row>
    <row r="249" spans="1:13" ht="27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6"/>
      <c r="L249" s="46"/>
      <c r="M249" s="46"/>
    </row>
    <row r="250" spans="1:13" ht="27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6"/>
      <c r="L250" s="46"/>
      <c r="M250" s="46"/>
    </row>
    <row r="251" spans="1:13" ht="27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6"/>
      <c r="L251" s="46"/>
      <c r="M251" s="46"/>
    </row>
    <row r="252" spans="1:13" ht="27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6"/>
      <c r="L252" s="46"/>
      <c r="M252" s="46"/>
    </row>
    <row r="253" spans="1:13" ht="27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6"/>
      <c r="L253" s="46"/>
      <c r="M253" s="46"/>
    </row>
    <row r="254" spans="1:13" ht="27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6"/>
      <c r="L254" s="46"/>
      <c r="M254" s="46"/>
    </row>
    <row r="255" spans="1:13" ht="27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6"/>
      <c r="L255" s="46"/>
      <c r="M255" s="46"/>
    </row>
    <row r="256" spans="1:13" ht="27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6"/>
      <c r="L256" s="46"/>
      <c r="M256" s="46"/>
    </row>
    <row r="257" spans="1:13" ht="27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6"/>
      <c r="L257" s="46"/>
      <c r="M257" s="46"/>
    </row>
    <row r="258" spans="1:13" ht="27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6"/>
      <c r="L258" s="46"/>
      <c r="M258" s="46"/>
    </row>
    <row r="259" spans="1:13" ht="27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6"/>
      <c r="L259" s="46"/>
      <c r="M259" s="46"/>
    </row>
    <row r="260" spans="1:13" ht="27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6"/>
      <c r="L260" s="46"/>
      <c r="M260" s="46"/>
    </row>
    <row r="261" spans="1:13" ht="27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6"/>
      <c r="L261" s="46"/>
      <c r="M261" s="46"/>
    </row>
    <row r="262" spans="1:13" ht="27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6"/>
      <c r="L262" s="46"/>
      <c r="M262" s="46"/>
    </row>
    <row r="263" spans="1:13" ht="27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6"/>
      <c r="L263" s="46"/>
      <c r="M263" s="46"/>
    </row>
    <row r="264" spans="1:13" ht="27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6"/>
      <c r="L264" s="46"/>
      <c r="M264" s="46"/>
    </row>
    <row r="265" spans="1:13" ht="27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6"/>
      <c r="L265" s="46"/>
      <c r="M265" s="46"/>
    </row>
    <row r="266" spans="1:13" ht="27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6"/>
      <c r="L266" s="46"/>
      <c r="M266" s="46"/>
    </row>
    <row r="267" spans="1:13" ht="27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6"/>
      <c r="L267" s="46"/>
      <c r="M267" s="46"/>
    </row>
    <row r="268" spans="1:13" ht="27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6"/>
      <c r="L268" s="46"/>
      <c r="M268" s="46"/>
    </row>
    <row r="269" spans="1:13" ht="27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6"/>
      <c r="L269" s="46"/>
      <c r="M269" s="46"/>
    </row>
    <row r="270" spans="1:13" ht="27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6"/>
      <c r="L270" s="46"/>
      <c r="M270" s="46"/>
    </row>
    <row r="271" spans="1:13" ht="27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6"/>
      <c r="L271" s="46"/>
      <c r="M271" s="46"/>
    </row>
    <row r="272" spans="1:13" ht="27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6"/>
      <c r="L272" s="46"/>
      <c r="M272" s="46"/>
    </row>
    <row r="273" spans="1:13" ht="27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6"/>
      <c r="L273" s="46"/>
      <c r="M273" s="46"/>
    </row>
    <row r="274" spans="1:13" ht="27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6"/>
      <c r="L274" s="46"/>
      <c r="M274" s="46"/>
    </row>
    <row r="275" spans="1:13" ht="27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6"/>
      <c r="L275" s="46"/>
      <c r="M275" s="46"/>
    </row>
    <row r="276" spans="1:13" ht="27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6"/>
      <c r="L276" s="46"/>
      <c r="M276" s="46"/>
    </row>
    <row r="277" spans="1:13" ht="27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6"/>
      <c r="L277" s="46"/>
      <c r="M277" s="46"/>
    </row>
    <row r="278" spans="1:13" ht="27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6"/>
      <c r="L278" s="46"/>
      <c r="M278" s="46"/>
    </row>
    <row r="279" spans="1:13" ht="27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6"/>
      <c r="L279" s="46"/>
      <c r="M279" s="46"/>
    </row>
    <row r="280" spans="1:13" ht="27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6"/>
      <c r="L280" s="46"/>
      <c r="M280" s="46"/>
    </row>
    <row r="281" spans="1:13" ht="27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6"/>
      <c r="L281" s="46"/>
      <c r="M281" s="46"/>
    </row>
    <row r="282" spans="1:13" ht="27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6"/>
      <c r="L282" s="46"/>
      <c r="M282" s="46"/>
    </row>
    <row r="283" spans="1:13" ht="27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6"/>
      <c r="L283" s="46"/>
      <c r="M283" s="46"/>
    </row>
    <row r="284" spans="1:13" ht="27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6"/>
      <c r="L284" s="46"/>
      <c r="M284" s="46"/>
    </row>
    <row r="285" spans="1:13" ht="27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6"/>
      <c r="L285" s="46"/>
      <c r="M285" s="46"/>
    </row>
    <row r="286" spans="1:13" ht="27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6"/>
      <c r="L286" s="46"/>
      <c r="M286" s="46"/>
    </row>
    <row r="287" spans="1:13" ht="27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6"/>
      <c r="L287" s="46"/>
      <c r="M287" s="46"/>
    </row>
    <row r="288" spans="1:13" ht="27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6"/>
      <c r="L288" s="46"/>
      <c r="M288" s="46"/>
    </row>
    <row r="289" spans="1:13" ht="27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6"/>
      <c r="L289" s="46"/>
      <c r="M289" s="46"/>
    </row>
    <row r="290" spans="1:13" ht="27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6"/>
      <c r="L290" s="46"/>
      <c r="M290" s="46"/>
    </row>
    <row r="291" spans="1:13" ht="27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6"/>
      <c r="L291" s="46"/>
      <c r="M291" s="46"/>
    </row>
    <row r="292" spans="1:13" ht="27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6"/>
      <c r="L292" s="46"/>
      <c r="M292" s="46"/>
    </row>
    <row r="293" spans="1:13" ht="27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6"/>
      <c r="L293" s="46"/>
      <c r="M293" s="46"/>
    </row>
    <row r="294" spans="1:13" ht="27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6"/>
      <c r="L294" s="46"/>
      <c r="M294" s="46"/>
    </row>
    <row r="295" spans="1:13" ht="27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6"/>
      <c r="L295" s="46"/>
      <c r="M295" s="46"/>
    </row>
    <row r="296" spans="1:13" ht="27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6"/>
      <c r="L296" s="46"/>
      <c r="M296" s="46"/>
    </row>
    <row r="297" spans="1:13" ht="27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6"/>
      <c r="L297" s="46"/>
      <c r="M297" s="46"/>
    </row>
    <row r="298" spans="1:13" ht="27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6"/>
      <c r="L298" s="46"/>
      <c r="M298" s="46"/>
    </row>
    <row r="299" spans="1:13" ht="27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6"/>
      <c r="L299" s="46"/>
      <c r="M299" s="46"/>
    </row>
    <row r="300" spans="1:13" ht="27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6"/>
      <c r="L300" s="46"/>
      <c r="M300" s="46"/>
    </row>
    <row r="301" spans="1:13" ht="27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6"/>
      <c r="L301" s="46"/>
      <c r="M301" s="46"/>
    </row>
    <row r="302" spans="1:13" ht="27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6"/>
      <c r="L302" s="46"/>
      <c r="M302" s="46"/>
    </row>
    <row r="303" spans="1:13" ht="27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6"/>
      <c r="L303" s="46"/>
      <c r="M303" s="46"/>
    </row>
    <row r="304" spans="1:13" ht="27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6"/>
      <c r="L304" s="46"/>
      <c r="M304" s="46"/>
    </row>
    <row r="305" spans="1:13" ht="27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6"/>
      <c r="L305" s="46"/>
      <c r="M305" s="46"/>
    </row>
    <row r="306" spans="1:13" ht="27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6"/>
      <c r="L306" s="46"/>
      <c r="M306" s="46"/>
    </row>
    <row r="307" spans="1:13" ht="27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6"/>
      <c r="L307" s="46"/>
      <c r="M307" s="46"/>
    </row>
    <row r="308" spans="1:13" ht="27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6"/>
      <c r="L308" s="46"/>
      <c r="M308" s="46"/>
    </row>
    <row r="309" spans="1:13" ht="27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6"/>
      <c r="L309" s="46"/>
      <c r="M309" s="46"/>
    </row>
    <row r="310" spans="1:13" ht="27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6"/>
      <c r="L310" s="46"/>
      <c r="M310" s="46"/>
    </row>
    <row r="311" spans="1:13" ht="27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6"/>
      <c r="L311" s="46"/>
      <c r="M311" s="46"/>
    </row>
    <row r="312" spans="1:13" ht="27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6"/>
      <c r="L312" s="46"/>
      <c r="M312" s="46"/>
    </row>
    <row r="313" spans="1:13" ht="27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6"/>
      <c r="L313" s="46"/>
      <c r="M313" s="46"/>
    </row>
    <row r="314" spans="1:13" ht="27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6"/>
      <c r="L314" s="46"/>
      <c r="M314" s="46"/>
    </row>
    <row r="315" spans="1:13" ht="27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6"/>
      <c r="L315" s="46"/>
      <c r="M315" s="46"/>
    </row>
    <row r="316" spans="1:13" ht="27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6"/>
      <c r="L316" s="46"/>
      <c r="M316" s="46"/>
    </row>
    <row r="317" spans="1:13" ht="27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6"/>
      <c r="L317" s="46"/>
      <c r="M317" s="46"/>
    </row>
    <row r="318" spans="1:13" ht="27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6"/>
      <c r="L318" s="46"/>
      <c r="M318" s="46"/>
    </row>
    <row r="319" spans="1:13" ht="27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6"/>
      <c r="L319" s="46"/>
      <c r="M319" s="46"/>
    </row>
    <row r="320" spans="1:13" ht="27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6"/>
      <c r="L320" s="46"/>
      <c r="M320" s="46"/>
    </row>
    <row r="321" spans="1:13" ht="27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6"/>
      <c r="L321" s="46"/>
      <c r="M321" s="46"/>
    </row>
    <row r="322" spans="1:13" ht="27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6"/>
      <c r="L322" s="46"/>
      <c r="M322" s="46"/>
    </row>
    <row r="323" spans="1:13" ht="27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6"/>
      <c r="L323" s="46"/>
      <c r="M323" s="46"/>
    </row>
    <row r="324" spans="1:13" ht="27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6"/>
      <c r="L324" s="46"/>
      <c r="M324" s="46"/>
    </row>
    <row r="325" spans="1:13" ht="27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6"/>
      <c r="L325" s="46"/>
      <c r="M325" s="46"/>
    </row>
    <row r="326" spans="1:13" ht="27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6"/>
      <c r="L326" s="46"/>
      <c r="M326" s="46"/>
    </row>
    <row r="327" spans="1:13" ht="27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6"/>
      <c r="L327" s="46"/>
      <c r="M327" s="46"/>
    </row>
    <row r="328" spans="1:13" ht="27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6"/>
      <c r="L328" s="46"/>
      <c r="M328" s="46"/>
    </row>
    <row r="329" spans="1:13" ht="27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6"/>
      <c r="L329" s="46"/>
      <c r="M329" s="46"/>
    </row>
    <row r="330" spans="1:13" ht="27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6"/>
      <c r="L330" s="46"/>
      <c r="M330" s="46"/>
    </row>
    <row r="331" spans="1:13" ht="27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6"/>
      <c r="L331" s="46"/>
      <c r="M331" s="46"/>
    </row>
    <row r="332" spans="1:13" ht="27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6"/>
      <c r="L332" s="46"/>
      <c r="M332" s="46"/>
    </row>
    <row r="333" spans="1:13" ht="27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6"/>
      <c r="L333" s="46"/>
      <c r="M333" s="46"/>
    </row>
    <row r="334" spans="1:13" ht="27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8"/>
      <c r="L334" s="46"/>
      <c r="M334" s="46"/>
    </row>
    <row r="335" spans="1:13" ht="27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50"/>
      <c r="L335" s="46"/>
      <c r="M335" s="46"/>
    </row>
    <row r="336" spans="1:13" ht="27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50"/>
      <c r="L336" s="46"/>
      <c r="M336" s="46"/>
    </row>
    <row r="337" spans="1:13" ht="27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50"/>
      <c r="L337" s="46"/>
      <c r="M337" s="46"/>
    </row>
    <row r="338" spans="1:13" ht="27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50"/>
      <c r="L338" s="46"/>
      <c r="M338" s="46"/>
    </row>
    <row r="339" spans="1:13" ht="27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50"/>
      <c r="L339" s="46"/>
      <c r="M339" s="46"/>
    </row>
    <row r="1041085" spans="1:13" ht="27" customHeight="1">
      <c r="A1041085" s="51"/>
      <c r="B1041085" s="51"/>
      <c r="C1041085" s="51"/>
      <c r="D1041085" s="51"/>
      <c r="E1041085" s="51"/>
      <c r="F1041085" s="51"/>
      <c r="G1041085" s="51"/>
      <c r="H1041085" s="51"/>
      <c r="I1041085" s="51"/>
      <c r="J1041085" s="51"/>
      <c r="K1041085" s="52"/>
      <c r="L1041085" s="53"/>
      <c r="M1041085" s="53"/>
    </row>
    <row r="1041086" spans="1:13" s="55" customFormat="1" ht="12.75">
      <c r="A1041086" s="24"/>
      <c r="B1041086" s="24"/>
      <c r="C1041086" s="24"/>
      <c r="D1041086" s="24"/>
      <c r="E1041086" s="24"/>
      <c r="F1041086" s="24"/>
      <c r="G1041086" s="24"/>
      <c r="H1041086" s="24"/>
      <c r="I1041086" s="24"/>
      <c r="J1041086" s="24"/>
      <c r="K1041086" s="54"/>
    </row>
    <row r="1041087" spans="1:13" s="55" customFormat="1" ht="12.75">
      <c r="A1041087" s="24"/>
      <c r="B1041087" s="24"/>
      <c r="C1041087" s="24"/>
      <c r="D1041087" s="24"/>
      <c r="E1041087" s="24"/>
      <c r="F1041087" s="24"/>
      <c r="G1041087" s="24"/>
      <c r="H1041087" s="24"/>
      <c r="I1041087" s="24"/>
      <c r="J1041087" s="24"/>
      <c r="K1041087" s="54"/>
    </row>
    <row r="1041088" spans="1:13" s="55" customFormat="1" ht="12.75">
      <c r="A1041088" s="24"/>
      <c r="B1041088" s="24"/>
      <c r="C1041088" s="24"/>
      <c r="D1041088" s="24"/>
      <c r="E1041088" s="24"/>
      <c r="F1041088" s="24"/>
      <c r="G1041088" s="24"/>
      <c r="H1041088" s="24"/>
      <c r="I1041088" s="24"/>
      <c r="J1041088" s="24"/>
      <c r="K1041088" s="54"/>
    </row>
    <row r="1041089" spans="1:11" s="55" customFormat="1" ht="12.75">
      <c r="A1041089" s="24"/>
      <c r="B1041089" s="24"/>
      <c r="C1041089" s="24"/>
      <c r="D1041089" s="24"/>
      <c r="E1041089" s="24"/>
      <c r="F1041089" s="24"/>
      <c r="G1041089" s="24"/>
      <c r="H1041089" s="24"/>
      <c r="I1041089" s="24"/>
      <c r="J1041089" s="24"/>
      <c r="K1041089" s="54"/>
    </row>
    <row r="1041090" spans="1:11" s="55" customFormat="1" ht="12.75">
      <c r="A1041090" s="24"/>
      <c r="B1041090" s="24"/>
      <c r="C1041090" s="24"/>
      <c r="D1041090" s="24"/>
      <c r="E1041090" s="24"/>
      <c r="F1041090" s="24"/>
      <c r="G1041090" s="24"/>
      <c r="H1041090" s="24"/>
      <c r="I1041090" s="24"/>
      <c r="J1041090" s="24"/>
      <c r="K1041090" s="54"/>
    </row>
    <row r="1041091" spans="1:11" s="55" customFormat="1" ht="12.75">
      <c r="A1041091" s="24"/>
      <c r="B1041091" s="24"/>
      <c r="C1041091" s="24"/>
      <c r="D1041091" s="24"/>
      <c r="E1041091" s="24"/>
      <c r="F1041091" s="24"/>
      <c r="G1041091" s="24"/>
      <c r="H1041091" s="24"/>
      <c r="I1041091" s="24"/>
      <c r="J1041091" s="24"/>
      <c r="K1041091" s="54"/>
    </row>
    <row r="1041092" spans="1:11" s="55" customFormat="1" ht="12.75">
      <c r="A1041092" s="24"/>
      <c r="B1041092" s="24"/>
      <c r="C1041092" s="24"/>
      <c r="D1041092" s="24"/>
      <c r="E1041092" s="24"/>
      <c r="F1041092" s="24"/>
      <c r="G1041092" s="24"/>
      <c r="H1041092" s="24"/>
      <c r="I1041092" s="24"/>
      <c r="J1041092" s="24"/>
      <c r="K1041092" s="54"/>
    </row>
    <row r="1041093" spans="1:11" s="55" customFormat="1" ht="12.75">
      <c r="A1041093" s="24"/>
      <c r="B1041093" s="24"/>
      <c r="C1041093" s="24"/>
      <c r="D1041093" s="24"/>
      <c r="E1041093" s="24"/>
      <c r="F1041093" s="24"/>
      <c r="G1041093" s="24"/>
      <c r="H1041093" s="24"/>
      <c r="I1041093" s="24"/>
      <c r="J1041093" s="24"/>
      <c r="K1041093" s="54"/>
    </row>
    <row r="1041094" spans="1:11" s="55" customFormat="1" ht="12.75">
      <c r="A1041094" s="24"/>
      <c r="B1041094" s="24"/>
      <c r="C1041094" s="24"/>
      <c r="D1041094" s="24"/>
      <c r="E1041094" s="24"/>
      <c r="F1041094" s="24"/>
      <c r="G1041094" s="24"/>
      <c r="H1041094" s="24"/>
      <c r="I1041094" s="24"/>
      <c r="J1041094" s="24"/>
      <c r="K1041094" s="54"/>
    </row>
    <row r="1041095" spans="1:11" s="55" customFormat="1" ht="12.75">
      <c r="A1041095" s="24"/>
      <c r="B1041095" s="24"/>
      <c r="C1041095" s="24"/>
      <c r="D1041095" s="24"/>
      <c r="E1041095" s="24"/>
      <c r="F1041095" s="24"/>
      <c r="G1041095" s="24"/>
      <c r="H1041095" s="24"/>
      <c r="I1041095" s="24"/>
      <c r="J1041095" s="24"/>
      <c r="K1041095" s="54"/>
    </row>
    <row r="1041096" spans="1:11" s="55" customFormat="1" ht="12.75">
      <c r="A1041096" s="24"/>
      <c r="B1041096" s="24"/>
      <c r="C1041096" s="24"/>
      <c r="D1041096" s="24"/>
      <c r="E1041096" s="24"/>
      <c r="F1041096" s="24"/>
      <c r="G1041096" s="24"/>
      <c r="H1041096" s="24"/>
      <c r="I1041096" s="24"/>
      <c r="J1041096" s="24"/>
      <c r="K1041096" s="54"/>
    </row>
    <row r="1041097" spans="1:11" s="55" customFormat="1" ht="12.75">
      <c r="A1041097" s="24"/>
      <c r="B1041097" s="24"/>
      <c r="C1041097" s="24"/>
      <c r="D1041097" s="24"/>
      <c r="E1041097" s="24"/>
      <c r="F1041097" s="24"/>
      <c r="G1041097" s="24"/>
      <c r="H1041097" s="24"/>
      <c r="I1041097" s="24"/>
      <c r="J1041097" s="24"/>
      <c r="K1041097" s="54"/>
    </row>
    <row r="1041098" spans="1:11" s="55" customFormat="1" ht="12.75">
      <c r="A1041098" s="24"/>
      <c r="B1041098" s="24"/>
      <c r="C1041098" s="24"/>
      <c r="D1041098" s="24"/>
      <c r="E1041098" s="24"/>
      <c r="F1041098" s="24"/>
      <c r="G1041098" s="24"/>
      <c r="H1041098" s="24"/>
      <c r="I1041098" s="24"/>
      <c r="J1041098" s="24"/>
      <c r="K1041098" s="54"/>
    </row>
    <row r="1041099" spans="1:11" s="55" customFormat="1" ht="12.75">
      <c r="A1041099" s="24"/>
      <c r="B1041099" s="24"/>
      <c r="C1041099" s="24"/>
      <c r="D1041099" s="24"/>
      <c r="E1041099" s="24"/>
      <c r="F1041099" s="24"/>
      <c r="G1041099" s="24"/>
      <c r="H1041099" s="24"/>
      <c r="I1041099" s="24"/>
      <c r="J1041099" s="24"/>
      <c r="K1041099" s="54"/>
    </row>
    <row r="1041100" spans="1:11" s="55" customFormat="1" ht="12.75">
      <c r="A1041100" s="24"/>
      <c r="B1041100" s="24"/>
      <c r="C1041100" s="24"/>
      <c r="D1041100" s="24"/>
      <c r="E1041100" s="24"/>
      <c r="F1041100" s="24"/>
      <c r="G1041100" s="24"/>
      <c r="H1041100" s="24"/>
      <c r="I1041100" s="24"/>
      <c r="J1041100" s="24"/>
      <c r="K1041100" s="54"/>
    </row>
    <row r="1041101" spans="1:11" s="55" customFormat="1" ht="12.75">
      <c r="A1041101" s="24"/>
      <c r="B1041101" s="24"/>
      <c r="C1041101" s="24"/>
      <c r="D1041101" s="24"/>
      <c r="E1041101" s="24"/>
      <c r="F1041101" s="24"/>
      <c r="G1041101" s="24"/>
      <c r="H1041101" s="24"/>
      <c r="I1041101" s="24"/>
      <c r="J1041101" s="24"/>
      <c r="K1041101" s="54"/>
    </row>
    <row r="1041102" spans="1:11" s="55" customFormat="1" ht="12.75">
      <c r="A1041102" s="24"/>
      <c r="B1041102" s="24"/>
      <c r="C1041102" s="24"/>
      <c r="D1041102" s="24"/>
      <c r="E1041102" s="24"/>
      <c r="F1041102" s="24"/>
      <c r="G1041102" s="24"/>
      <c r="H1041102" s="24"/>
      <c r="I1041102" s="24"/>
      <c r="J1041102" s="24"/>
      <c r="K1041102" s="54"/>
    </row>
    <row r="1041103" spans="1:11" s="55" customFormat="1" ht="12.75">
      <c r="A1041103" s="24"/>
      <c r="B1041103" s="24"/>
      <c r="C1041103" s="24"/>
      <c r="D1041103" s="24"/>
      <c r="E1041103" s="24"/>
      <c r="F1041103" s="24"/>
      <c r="G1041103" s="24"/>
      <c r="H1041103" s="24"/>
      <c r="I1041103" s="24"/>
      <c r="J1041103" s="24"/>
      <c r="K1041103" s="54"/>
    </row>
    <row r="1041104" spans="1:11" s="55" customFormat="1" ht="12.75">
      <c r="A1041104" s="24"/>
      <c r="B1041104" s="24"/>
      <c r="C1041104" s="24"/>
      <c r="D1041104" s="24"/>
      <c r="E1041104" s="24"/>
      <c r="F1041104" s="24"/>
      <c r="G1041104" s="24"/>
      <c r="H1041104" s="24"/>
      <c r="I1041104" s="24"/>
      <c r="J1041104" s="24"/>
      <c r="K1041104" s="54"/>
    </row>
    <row r="1041105" spans="1:11" s="55" customFormat="1" ht="12.75">
      <c r="A1041105" s="24"/>
      <c r="B1041105" s="24"/>
      <c r="C1041105" s="24"/>
      <c r="D1041105" s="24"/>
      <c r="E1041105" s="24"/>
      <c r="F1041105" s="24"/>
      <c r="G1041105" s="24"/>
      <c r="H1041105" s="24"/>
      <c r="I1041105" s="24"/>
      <c r="J1041105" s="24"/>
      <c r="K1041105" s="54"/>
    </row>
    <row r="1041106" spans="1:11" s="55" customFormat="1" ht="12.75">
      <c r="A1041106" s="24"/>
      <c r="B1041106" s="24"/>
      <c r="C1041106" s="24"/>
      <c r="D1041106" s="24"/>
      <c r="E1041106" s="24"/>
      <c r="F1041106" s="24"/>
      <c r="G1041106" s="24"/>
      <c r="H1041106" s="24"/>
      <c r="I1041106" s="24"/>
      <c r="J1041106" s="24"/>
      <c r="K1041106" s="54"/>
    </row>
    <row r="1041107" spans="1:11" s="55" customFormat="1" ht="12.75">
      <c r="A1041107" s="24"/>
      <c r="B1041107" s="24"/>
      <c r="C1041107" s="24"/>
      <c r="D1041107" s="24"/>
      <c r="E1041107" s="24"/>
      <c r="F1041107" s="24"/>
      <c r="G1041107" s="24"/>
      <c r="H1041107" s="24"/>
      <c r="I1041107" s="24"/>
      <c r="J1041107" s="24"/>
      <c r="K1041107" s="54"/>
    </row>
    <row r="1041108" spans="1:11" s="55" customFormat="1" ht="12.75">
      <c r="A1041108" s="24"/>
      <c r="B1041108" s="24"/>
      <c r="C1041108" s="24"/>
      <c r="D1041108" s="24"/>
      <c r="E1041108" s="24"/>
      <c r="F1041108" s="24"/>
      <c r="G1041108" s="24"/>
      <c r="H1041108" s="24"/>
      <c r="I1041108" s="24"/>
      <c r="J1041108" s="24"/>
      <c r="K1041108" s="54"/>
    </row>
    <row r="1041109" spans="1:11" s="55" customFormat="1" ht="12.75">
      <c r="A1041109" s="24"/>
      <c r="B1041109" s="24"/>
      <c r="C1041109" s="24"/>
      <c r="D1041109" s="24"/>
      <c r="E1041109" s="24"/>
      <c r="F1041109" s="24"/>
      <c r="G1041109" s="24"/>
      <c r="H1041109" s="24"/>
      <c r="I1041109" s="24"/>
      <c r="J1041109" s="24"/>
      <c r="K1041109" s="54"/>
    </row>
    <row r="1041110" spans="1:11" s="55" customFormat="1" ht="12.75">
      <c r="A1041110" s="24"/>
      <c r="B1041110" s="24"/>
      <c r="C1041110" s="24"/>
      <c r="D1041110" s="24"/>
      <c r="E1041110" s="24"/>
      <c r="F1041110" s="24"/>
      <c r="G1041110" s="24"/>
      <c r="H1041110" s="24"/>
      <c r="I1041110" s="24"/>
      <c r="J1041110" s="24"/>
      <c r="K1041110" s="54"/>
    </row>
    <row r="1041111" spans="1:11" s="55" customFormat="1" ht="12.75">
      <c r="A1041111" s="24"/>
      <c r="B1041111" s="24"/>
      <c r="C1041111" s="24"/>
      <c r="D1041111" s="24"/>
      <c r="E1041111" s="24"/>
      <c r="F1041111" s="24"/>
      <c r="G1041111" s="24"/>
      <c r="H1041111" s="24"/>
      <c r="I1041111" s="24"/>
      <c r="J1041111" s="24"/>
      <c r="K1041111" s="54"/>
    </row>
    <row r="1041112" spans="1:11" s="55" customFormat="1" ht="12.75">
      <c r="A1041112" s="24"/>
      <c r="B1041112" s="24"/>
      <c r="C1041112" s="24"/>
      <c r="D1041112" s="24"/>
      <c r="E1041112" s="24"/>
      <c r="F1041112" s="24"/>
      <c r="G1041112" s="24"/>
      <c r="H1041112" s="24"/>
      <c r="I1041112" s="24"/>
      <c r="J1041112" s="24"/>
      <c r="K1041112" s="54"/>
    </row>
    <row r="1041113" spans="1:11" s="55" customFormat="1" ht="12.75">
      <c r="A1041113" s="24"/>
      <c r="B1041113" s="24"/>
      <c r="C1041113" s="24"/>
      <c r="D1041113" s="24"/>
      <c r="E1041113" s="24"/>
      <c r="F1041113" s="24"/>
      <c r="G1041113" s="24"/>
      <c r="H1041113" s="24"/>
      <c r="I1041113" s="24"/>
      <c r="J1041113" s="24"/>
      <c r="K1041113" s="54"/>
    </row>
    <row r="1041114" spans="1:11" s="55" customFormat="1" ht="12.75">
      <c r="A1041114" s="24"/>
      <c r="B1041114" s="24"/>
      <c r="C1041114" s="24"/>
      <c r="D1041114" s="24"/>
      <c r="E1041114" s="24"/>
      <c r="F1041114" s="24"/>
      <c r="G1041114" s="24"/>
      <c r="H1041114" s="24"/>
      <c r="I1041114" s="24"/>
      <c r="J1041114" s="24"/>
      <c r="K1041114" s="54"/>
    </row>
    <row r="1041115" spans="1:11" s="55" customFormat="1" ht="12.75">
      <c r="A1041115" s="24"/>
      <c r="B1041115" s="24"/>
      <c r="C1041115" s="24"/>
      <c r="D1041115" s="24"/>
      <c r="E1041115" s="24"/>
      <c r="F1041115" s="24"/>
      <c r="G1041115" s="24"/>
      <c r="H1041115" s="24"/>
      <c r="I1041115" s="24"/>
      <c r="J1041115" s="24"/>
      <c r="K1041115" s="54"/>
    </row>
    <row r="1041116" spans="1:11" s="55" customFormat="1" ht="12.75">
      <c r="A1041116" s="24"/>
      <c r="B1041116" s="24"/>
      <c r="C1041116" s="24"/>
      <c r="D1041116" s="24"/>
      <c r="E1041116" s="24"/>
      <c r="F1041116" s="24"/>
      <c r="G1041116" s="24"/>
      <c r="H1041116" s="24"/>
      <c r="I1041116" s="24"/>
      <c r="J1041116" s="24"/>
      <c r="K1041116" s="54"/>
    </row>
    <row r="1041117" spans="1:11" s="55" customFormat="1" ht="12.75">
      <c r="A1041117" s="24"/>
      <c r="B1041117" s="24"/>
      <c r="C1041117" s="24"/>
      <c r="D1041117" s="24"/>
      <c r="E1041117" s="24"/>
      <c r="F1041117" s="24"/>
      <c r="G1041117" s="24"/>
      <c r="H1041117" s="24"/>
      <c r="I1041117" s="24"/>
      <c r="J1041117" s="24"/>
      <c r="K1041117" s="54"/>
    </row>
    <row r="1041118" spans="1:11" s="55" customFormat="1" ht="12.75">
      <c r="A1041118" s="24"/>
      <c r="B1041118" s="24"/>
      <c r="C1041118" s="24"/>
      <c r="D1041118" s="24"/>
      <c r="E1041118" s="24"/>
      <c r="F1041118" s="24"/>
      <c r="G1041118" s="24"/>
      <c r="H1041118" s="24"/>
      <c r="I1041118" s="24"/>
      <c r="J1041118" s="24"/>
      <c r="K1041118" s="54"/>
    </row>
    <row r="1041119" spans="1:11" s="55" customFormat="1" ht="12.75">
      <c r="A1041119" s="24"/>
      <c r="B1041119" s="24"/>
      <c r="C1041119" s="24"/>
      <c r="D1041119" s="24"/>
      <c r="E1041119" s="24"/>
      <c r="F1041119" s="24"/>
      <c r="G1041119" s="24"/>
      <c r="H1041119" s="24"/>
      <c r="I1041119" s="24"/>
      <c r="J1041119" s="24"/>
      <c r="K1041119" s="54"/>
    </row>
    <row r="1041120" spans="1:11" s="55" customFormat="1" ht="12.75">
      <c r="A1041120" s="24"/>
      <c r="B1041120" s="24"/>
      <c r="C1041120" s="24"/>
      <c r="D1041120" s="24"/>
      <c r="E1041120" s="24"/>
      <c r="F1041120" s="24"/>
      <c r="G1041120" s="24"/>
      <c r="H1041120" s="24"/>
      <c r="I1041120" s="24"/>
      <c r="J1041120" s="24"/>
      <c r="K1041120" s="54"/>
    </row>
    <row r="1041121" spans="1:11" s="55" customFormat="1" ht="12.75">
      <c r="A1041121" s="24"/>
      <c r="B1041121" s="24"/>
      <c r="C1041121" s="24"/>
      <c r="D1041121" s="24"/>
      <c r="E1041121" s="24"/>
      <c r="F1041121" s="24"/>
      <c r="G1041121" s="24"/>
      <c r="H1041121" s="24"/>
      <c r="I1041121" s="24"/>
      <c r="J1041121" s="24"/>
      <c r="K1041121" s="54"/>
    </row>
    <row r="1041122" spans="1:11" s="55" customFormat="1" ht="12.75">
      <c r="A1041122" s="24"/>
      <c r="B1041122" s="24"/>
      <c r="C1041122" s="24"/>
      <c r="D1041122" s="24"/>
      <c r="E1041122" s="24"/>
      <c r="F1041122" s="24"/>
      <c r="G1041122" s="24"/>
      <c r="H1041122" s="24"/>
      <c r="I1041122" s="24"/>
      <c r="J1041122" s="24"/>
      <c r="K1041122" s="54"/>
    </row>
    <row r="1041123" spans="1:11" s="55" customFormat="1" ht="12.75">
      <c r="A1041123" s="24"/>
      <c r="B1041123" s="24"/>
      <c r="C1041123" s="24"/>
      <c r="D1041123" s="24"/>
      <c r="E1041123" s="24"/>
      <c r="F1041123" s="24"/>
      <c r="G1041123" s="24"/>
      <c r="H1041123" s="24"/>
      <c r="I1041123" s="24"/>
      <c r="J1041123" s="24"/>
      <c r="K1041123" s="54"/>
    </row>
    <row r="1041124" spans="1:11" s="55" customFormat="1" ht="12.75">
      <c r="A1041124" s="24"/>
      <c r="B1041124" s="24"/>
      <c r="C1041124" s="24"/>
      <c r="D1041124" s="24"/>
      <c r="E1041124" s="24"/>
      <c r="F1041124" s="24"/>
      <c r="G1041124" s="24"/>
      <c r="H1041124" s="24"/>
      <c r="I1041124" s="24"/>
      <c r="J1041124" s="24"/>
      <c r="K1041124" s="54"/>
    </row>
    <row r="1041125" spans="1:11" s="55" customFormat="1" ht="12.75">
      <c r="A1041125" s="24"/>
      <c r="B1041125" s="24"/>
      <c r="C1041125" s="24"/>
      <c r="D1041125" s="24"/>
      <c r="E1041125" s="24"/>
      <c r="F1041125" s="24"/>
      <c r="G1041125" s="24"/>
      <c r="H1041125" s="24"/>
      <c r="I1041125" s="24"/>
      <c r="J1041125" s="24"/>
      <c r="K1041125" s="54"/>
    </row>
    <row r="1041126" spans="1:11" s="55" customFormat="1" ht="12.75">
      <c r="A1041126" s="24"/>
      <c r="B1041126" s="24"/>
      <c r="C1041126" s="24"/>
      <c r="D1041126" s="24"/>
      <c r="E1041126" s="24"/>
      <c r="F1041126" s="24"/>
      <c r="G1041126" s="24"/>
      <c r="H1041126" s="24"/>
      <c r="I1041126" s="24"/>
      <c r="J1041126" s="24"/>
      <c r="K1041126" s="54"/>
    </row>
    <row r="1041127" spans="1:11" s="55" customFormat="1" ht="12.75">
      <c r="A1041127" s="24"/>
      <c r="B1041127" s="24"/>
      <c r="C1041127" s="24"/>
      <c r="D1041127" s="24"/>
      <c r="E1041127" s="24"/>
      <c r="F1041127" s="24"/>
      <c r="G1041127" s="24"/>
      <c r="H1041127" s="24"/>
      <c r="I1041127" s="24"/>
      <c r="J1041127" s="24"/>
      <c r="K1041127" s="54"/>
    </row>
    <row r="1041128" spans="1:11" s="55" customFormat="1" ht="12.75">
      <c r="A1041128" s="24"/>
      <c r="B1041128" s="24"/>
      <c r="C1041128" s="24"/>
      <c r="D1041128" s="24"/>
      <c r="E1041128" s="24"/>
      <c r="F1041128" s="24"/>
      <c r="G1041128" s="24"/>
      <c r="H1041128" s="24"/>
      <c r="I1041128" s="24"/>
      <c r="J1041128" s="24"/>
      <c r="K1041128" s="54"/>
    </row>
    <row r="1041129" spans="1:11" s="55" customFormat="1" ht="12.75">
      <c r="A1041129" s="24"/>
      <c r="B1041129" s="24"/>
      <c r="C1041129" s="24"/>
      <c r="D1041129" s="24"/>
      <c r="E1041129" s="24"/>
      <c r="F1041129" s="24"/>
      <c r="G1041129" s="24"/>
      <c r="H1041129" s="24"/>
      <c r="I1041129" s="24"/>
      <c r="J1041129" s="24"/>
      <c r="K1041129" s="54"/>
    </row>
    <row r="1041130" spans="1:11" s="55" customFormat="1" ht="12.75">
      <c r="A1041130" s="24"/>
      <c r="B1041130" s="24"/>
      <c r="C1041130" s="24"/>
      <c r="D1041130" s="24"/>
      <c r="E1041130" s="24"/>
      <c r="F1041130" s="24"/>
      <c r="G1041130" s="24"/>
      <c r="H1041130" s="24"/>
      <c r="I1041130" s="24"/>
      <c r="J1041130" s="24"/>
      <c r="K1041130" s="54"/>
    </row>
    <row r="1041131" spans="1:11" s="55" customFormat="1" ht="12.75">
      <c r="A1041131" s="24"/>
      <c r="B1041131" s="24"/>
      <c r="C1041131" s="24"/>
      <c r="D1041131" s="24"/>
      <c r="E1041131" s="24"/>
      <c r="F1041131" s="24"/>
      <c r="G1041131" s="24"/>
      <c r="H1041131" s="24"/>
      <c r="I1041131" s="24"/>
      <c r="J1041131" s="24"/>
      <c r="K1041131" s="54"/>
    </row>
    <row r="1041132" spans="1:11" s="55" customFormat="1" ht="12.75">
      <c r="A1041132" s="24"/>
      <c r="B1041132" s="24"/>
      <c r="C1041132" s="24"/>
      <c r="D1041132" s="24"/>
      <c r="E1041132" s="24"/>
      <c r="F1041132" s="24"/>
      <c r="G1041132" s="24"/>
      <c r="H1041132" s="24"/>
      <c r="I1041132" s="24"/>
      <c r="J1041132" s="24"/>
      <c r="K1041132" s="54"/>
    </row>
    <row r="1041133" spans="1:11" s="55" customFormat="1" ht="12.75">
      <c r="A1041133" s="24"/>
      <c r="B1041133" s="24"/>
      <c r="C1041133" s="24"/>
      <c r="D1041133" s="24"/>
      <c r="E1041133" s="24"/>
      <c r="F1041133" s="24"/>
      <c r="G1041133" s="24"/>
      <c r="H1041133" s="24"/>
      <c r="I1041133" s="24"/>
      <c r="J1041133" s="24"/>
      <c r="K1041133" s="54"/>
    </row>
    <row r="1041134" spans="1:11" s="55" customFormat="1" ht="12.75">
      <c r="A1041134" s="24"/>
      <c r="B1041134" s="24"/>
      <c r="C1041134" s="24"/>
      <c r="D1041134" s="24"/>
      <c r="E1041134" s="24"/>
      <c r="F1041134" s="24"/>
      <c r="G1041134" s="24"/>
      <c r="H1041134" s="24"/>
      <c r="I1041134" s="24"/>
      <c r="J1041134" s="24"/>
      <c r="K1041134" s="54"/>
    </row>
    <row r="1041135" spans="1:11" s="55" customFormat="1" ht="12.75">
      <c r="A1041135" s="24"/>
      <c r="B1041135" s="24"/>
      <c r="C1041135" s="24"/>
      <c r="D1041135" s="24"/>
      <c r="E1041135" s="24"/>
      <c r="F1041135" s="24"/>
      <c r="G1041135" s="24"/>
      <c r="H1041135" s="24"/>
      <c r="I1041135" s="24"/>
      <c r="J1041135" s="24"/>
      <c r="K1041135" s="54"/>
    </row>
    <row r="1041136" spans="1:11" s="55" customFormat="1" ht="12.75">
      <c r="A1041136" s="24"/>
      <c r="B1041136" s="24"/>
      <c r="C1041136" s="24"/>
      <c r="D1041136" s="24"/>
      <c r="E1041136" s="24"/>
      <c r="F1041136" s="24"/>
      <c r="G1041136" s="24"/>
      <c r="H1041136" s="24"/>
      <c r="I1041136" s="24"/>
      <c r="J1041136" s="24"/>
      <c r="K1041136" s="54"/>
    </row>
    <row r="1041137" spans="1:11" s="55" customFormat="1" ht="12.75">
      <c r="A1041137" s="24"/>
      <c r="B1041137" s="24"/>
      <c r="C1041137" s="24"/>
      <c r="D1041137" s="24"/>
      <c r="E1041137" s="24"/>
      <c r="F1041137" s="24"/>
      <c r="G1041137" s="24"/>
      <c r="H1041137" s="24"/>
      <c r="I1041137" s="24"/>
      <c r="J1041137" s="24"/>
      <c r="K1041137" s="54"/>
    </row>
    <row r="1041138" spans="1:11" s="55" customFormat="1" ht="12.75">
      <c r="A1041138" s="24"/>
      <c r="B1041138" s="24"/>
      <c r="C1041138" s="24"/>
      <c r="D1041138" s="24"/>
      <c r="E1041138" s="24"/>
      <c r="F1041138" s="24"/>
      <c r="G1041138" s="24"/>
      <c r="H1041138" s="24"/>
      <c r="I1041138" s="24"/>
      <c r="J1041138" s="24"/>
      <c r="K1041138" s="54"/>
    </row>
    <row r="1041139" spans="1:11" s="55" customFormat="1" ht="12.75">
      <c r="A1041139" s="24"/>
      <c r="B1041139" s="24"/>
      <c r="C1041139" s="24"/>
      <c r="D1041139" s="24"/>
      <c r="E1041139" s="24"/>
      <c r="F1041139" s="24"/>
      <c r="G1041139" s="24"/>
      <c r="H1041139" s="24"/>
      <c r="I1041139" s="24"/>
      <c r="J1041139" s="24"/>
      <c r="K1041139" s="54"/>
    </row>
    <row r="1041140" spans="1:11" s="55" customFormat="1" ht="12.75">
      <c r="A1041140" s="24"/>
      <c r="B1041140" s="24"/>
      <c r="C1041140" s="24"/>
      <c r="D1041140" s="24"/>
      <c r="E1041140" s="24"/>
      <c r="F1041140" s="24"/>
      <c r="G1041140" s="24"/>
      <c r="H1041140" s="24"/>
      <c r="I1041140" s="24"/>
      <c r="J1041140" s="24"/>
      <c r="K1041140" s="54"/>
    </row>
    <row r="1041141" spans="1:11" s="55" customFormat="1" ht="12.75">
      <c r="A1041141" s="24"/>
      <c r="B1041141" s="24"/>
      <c r="C1041141" s="24"/>
      <c r="D1041141" s="24"/>
      <c r="E1041141" s="24"/>
      <c r="F1041141" s="24"/>
      <c r="G1041141" s="24"/>
      <c r="H1041141" s="24"/>
      <c r="I1041141" s="24"/>
      <c r="J1041141" s="24"/>
      <c r="K1041141" s="54"/>
    </row>
    <row r="1041142" spans="1:11" s="55" customFormat="1" ht="12.75">
      <c r="A1041142" s="24"/>
      <c r="B1041142" s="24"/>
      <c r="C1041142" s="24"/>
      <c r="D1041142" s="24"/>
      <c r="E1041142" s="24"/>
      <c r="F1041142" s="24"/>
      <c r="G1041142" s="24"/>
      <c r="H1041142" s="24"/>
      <c r="I1041142" s="24"/>
      <c r="J1041142" s="24"/>
      <c r="K1041142" s="54"/>
    </row>
    <row r="1041143" spans="1:11" s="55" customFormat="1" ht="12.75">
      <c r="A1041143" s="24"/>
      <c r="B1041143" s="24"/>
      <c r="C1041143" s="24"/>
      <c r="D1041143" s="24"/>
      <c r="E1041143" s="24"/>
      <c r="F1041143" s="24"/>
      <c r="G1041143" s="24"/>
      <c r="H1041143" s="24"/>
      <c r="I1041143" s="24"/>
      <c r="J1041143" s="24"/>
      <c r="K1041143" s="54"/>
    </row>
    <row r="1041144" spans="1:11" s="55" customFormat="1" ht="12.75">
      <c r="A1041144" s="24"/>
      <c r="B1041144" s="24"/>
      <c r="C1041144" s="24"/>
      <c r="D1041144" s="24"/>
      <c r="E1041144" s="24"/>
      <c r="F1041144" s="24"/>
      <c r="G1041144" s="24"/>
      <c r="H1041144" s="24"/>
      <c r="I1041144" s="24"/>
      <c r="J1041144" s="24"/>
      <c r="K1041144" s="54"/>
    </row>
    <row r="1041145" spans="1:11" s="55" customFormat="1" ht="12.75">
      <c r="A1041145" s="24"/>
      <c r="B1041145" s="24"/>
      <c r="C1041145" s="24"/>
      <c r="D1041145" s="24"/>
      <c r="E1041145" s="24"/>
      <c r="F1041145" s="24"/>
      <c r="G1041145" s="24"/>
      <c r="H1041145" s="24"/>
      <c r="I1041145" s="24"/>
      <c r="J1041145" s="24"/>
      <c r="K1041145" s="54"/>
    </row>
    <row r="1041146" spans="1:11" s="55" customFormat="1" ht="12.75">
      <c r="A1041146" s="24"/>
      <c r="B1041146" s="24"/>
      <c r="C1041146" s="24"/>
      <c r="D1041146" s="24"/>
      <c r="E1041146" s="24"/>
      <c r="F1041146" s="24"/>
      <c r="G1041146" s="24"/>
      <c r="H1041146" s="24"/>
      <c r="I1041146" s="24"/>
      <c r="J1041146" s="24"/>
      <c r="K1041146" s="54"/>
    </row>
    <row r="1041147" spans="1:11" s="55" customFormat="1" ht="12.75">
      <c r="A1041147" s="24"/>
      <c r="B1041147" s="24"/>
      <c r="C1041147" s="24"/>
      <c r="D1041147" s="24"/>
      <c r="E1041147" s="24"/>
      <c r="F1041147" s="24"/>
      <c r="G1041147" s="24"/>
      <c r="H1041147" s="24"/>
      <c r="I1041147" s="24"/>
      <c r="J1041147" s="24"/>
      <c r="K1041147" s="54"/>
    </row>
    <row r="1041148" spans="1:11" s="55" customFormat="1" ht="12.75">
      <c r="A1041148" s="24"/>
      <c r="B1041148" s="24"/>
      <c r="C1041148" s="24"/>
      <c r="D1041148" s="24"/>
      <c r="E1041148" s="24"/>
      <c r="F1041148" s="24"/>
      <c r="G1041148" s="24"/>
      <c r="H1041148" s="24"/>
      <c r="I1041148" s="24"/>
      <c r="J1041148" s="24"/>
      <c r="K1041148" s="54"/>
    </row>
    <row r="1041149" spans="1:11" s="55" customFormat="1" ht="12.75">
      <c r="A1041149" s="24"/>
      <c r="B1041149" s="24"/>
      <c r="C1041149" s="24"/>
      <c r="D1041149" s="24"/>
      <c r="E1041149" s="24"/>
      <c r="F1041149" s="24"/>
      <c r="G1041149" s="24"/>
      <c r="H1041149" s="24"/>
      <c r="I1041149" s="24"/>
      <c r="J1041149" s="24"/>
      <c r="K1041149" s="54"/>
    </row>
    <row r="1041150" spans="1:11" s="55" customFormat="1" ht="12.75">
      <c r="A1041150" s="24"/>
      <c r="B1041150" s="24"/>
      <c r="C1041150" s="24"/>
      <c r="D1041150" s="24"/>
      <c r="E1041150" s="24"/>
      <c r="F1041150" s="24"/>
      <c r="G1041150" s="24"/>
      <c r="H1041150" s="24"/>
      <c r="I1041150" s="24"/>
      <c r="J1041150" s="24"/>
      <c r="K1041150" s="54"/>
    </row>
    <row r="1041151" spans="1:11" s="55" customFormat="1" ht="12.75">
      <c r="A1041151" s="24"/>
      <c r="B1041151" s="24"/>
      <c r="C1041151" s="24"/>
      <c r="D1041151" s="24"/>
      <c r="E1041151" s="24"/>
      <c r="F1041151" s="24"/>
      <c r="G1041151" s="24"/>
      <c r="H1041151" s="24"/>
      <c r="I1041151" s="24"/>
      <c r="J1041151" s="24"/>
      <c r="K1041151" s="54"/>
    </row>
    <row r="1041152" spans="1:11" s="55" customFormat="1" ht="12.75">
      <c r="A1041152" s="24"/>
      <c r="B1041152" s="24"/>
      <c r="C1041152" s="24"/>
      <c r="D1041152" s="24"/>
      <c r="E1041152" s="24"/>
      <c r="F1041152" s="24"/>
      <c r="G1041152" s="24"/>
      <c r="H1041152" s="24"/>
      <c r="I1041152" s="24"/>
      <c r="J1041152" s="24"/>
      <c r="K1041152" s="54"/>
    </row>
    <row r="1041153" spans="1:11" s="55" customFormat="1" ht="12.75">
      <c r="A1041153" s="24"/>
      <c r="B1041153" s="24"/>
      <c r="C1041153" s="24"/>
      <c r="D1041153" s="24"/>
      <c r="E1041153" s="24"/>
      <c r="F1041153" s="24"/>
      <c r="G1041153" s="24"/>
      <c r="H1041153" s="24"/>
      <c r="I1041153" s="24"/>
      <c r="J1041153" s="24"/>
      <c r="K1041153" s="54"/>
    </row>
    <row r="1041154" spans="1:11" s="55" customFormat="1" ht="12.75">
      <c r="A1041154" s="24"/>
      <c r="B1041154" s="24"/>
      <c r="C1041154" s="24"/>
      <c r="D1041154" s="24"/>
      <c r="E1041154" s="24"/>
      <c r="F1041154" s="24"/>
      <c r="G1041154" s="24"/>
      <c r="H1041154" s="24"/>
      <c r="I1041154" s="24"/>
      <c r="J1041154" s="24"/>
      <c r="K1041154" s="54"/>
    </row>
    <row r="1041155" spans="1:11" s="55" customFormat="1" ht="12.75">
      <c r="A1041155" s="24"/>
      <c r="B1041155" s="24"/>
      <c r="C1041155" s="24"/>
      <c r="D1041155" s="24"/>
      <c r="E1041155" s="24"/>
      <c r="F1041155" s="24"/>
      <c r="G1041155" s="24"/>
      <c r="H1041155" s="24"/>
      <c r="I1041155" s="24"/>
      <c r="J1041155" s="24"/>
      <c r="K1041155" s="54"/>
    </row>
    <row r="1041156" spans="1:11" s="55" customFormat="1" ht="12.75">
      <c r="A1041156" s="24"/>
      <c r="B1041156" s="24"/>
      <c r="C1041156" s="24"/>
      <c r="D1041156" s="24"/>
      <c r="E1041156" s="24"/>
      <c r="F1041156" s="24"/>
      <c r="G1041156" s="24"/>
      <c r="H1041156" s="24"/>
      <c r="I1041156" s="24"/>
      <c r="J1041156" s="24"/>
      <c r="K1041156" s="54"/>
    </row>
    <row r="1041157" spans="1:11" s="55" customFormat="1" ht="12.75">
      <c r="A1041157" s="24"/>
      <c r="B1041157" s="24"/>
      <c r="C1041157" s="24"/>
      <c r="D1041157" s="24"/>
      <c r="E1041157" s="24"/>
      <c r="F1041157" s="24"/>
      <c r="G1041157" s="24"/>
      <c r="H1041157" s="24"/>
      <c r="I1041157" s="24"/>
      <c r="J1041157" s="24"/>
      <c r="K1041157" s="54"/>
    </row>
    <row r="1041158" spans="1:11" s="55" customFormat="1" ht="12.75">
      <c r="A1041158" s="24"/>
      <c r="B1041158" s="24"/>
      <c r="C1041158" s="24"/>
      <c r="D1041158" s="24"/>
      <c r="E1041158" s="24"/>
      <c r="F1041158" s="24"/>
      <c r="G1041158" s="24"/>
      <c r="H1041158" s="24"/>
      <c r="I1041158" s="24"/>
      <c r="J1041158" s="24"/>
      <c r="K1041158" s="54"/>
    </row>
    <row r="1041159" spans="1:11" s="55" customFormat="1" ht="12.75">
      <c r="A1041159" s="24"/>
      <c r="B1041159" s="24"/>
      <c r="C1041159" s="24"/>
      <c r="D1041159" s="24"/>
      <c r="E1041159" s="24"/>
      <c r="F1041159" s="24"/>
      <c r="G1041159" s="24"/>
      <c r="H1041159" s="24"/>
      <c r="I1041159" s="24"/>
      <c r="J1041159" s="24"/>
      <c r="K1041159" s="54"/>
    </row>
    <row r="1041160" spans="1:11" s="55" customFormat="1" ht="12.75">
      <c r="A1041160" s="24"/>
      <c r="B1041160" s="24"/>
      <c r="C1041160" s="24"/>
      <c r="D1041160" s="24"/>
      <c r="E1041160" s="24"/>
      <c r="F1041160" s="24"/>
      <c r="G1041160" s="24"/>
      <c r="H1041160" s="24"/>
      <c r="I1041160" s="24"/>
      <c r="J1041160" s="24"/>
      <c r="K1041160" s="54"/>
    </row>
    <row r="1041161" spans="1:11" s="55" customFormat="1" ht="12.75">
      <c r="A1041161" s="24"/>
      <c r="B1041161" s="24"/>
      <c r="C1041161" s="24"/>
      <c r="D1041161" s="24"/>
      <c r="E1041161" s="24"/>
      <c r="F1041161" s="24"/>
      <c r="G1041161" s="24"/>
      <c r="H1041161" s="24"/>
      <c r="I1041161" s="24"/>
      <c r="J1041161" s="24"/>
      <c r="K1041161" s="54"/>
    </row>
    <row r="1041162" spans="1:11" s="55" customFormat="1" ht="12.75">
      <c r="A1041162" s="24"/>
      <c r="B1041162" s="24"/>
      <c r="C1041162" s="24"/>
      <c r="D1041162" s="24"/>
      <c r="E1041162" s="24"/>
      <c r="F1041162" s="24"/>
      <c r="G1041162" s="24"/>
      <c r="H1041162" s="24"/>
      <c r="I1041162" s="24"/>
      <c r="J1041162" s="24"/>
      <c r="K1041162" s="54"/>
    </row>
    <row r="1041163" spans="1:11" s="55" customFormat="1" ht="12.75">
      <c r="A1041163" s="24"/>
      <c r="B1041163" s="24"/>
      <c r="C1041163" s="24"/>
      <c r="D1041163" s="24"/>
      <c r="E1041163" s="24"/>
      <c r="F1041163" s="24"/>
      <c r="G1041163" s="24"/>
      <c r="H1041163" s="24"/>
      <c r="I1041163" s="24"/>
      <c r="J1041163" s="24"/>
      <c r="K1041163" s="54"/>
    </row>
    <row r="1041164" spans="1:11" s="55" customFormat="1" ht="12.75">
      <c r="A1041164" s="24"/>
      <c r="B1041164" s="24"/>
      <c r="C1041164" s="24"/>
      <c r="D1041164" s="24"/>
      <c r="E1041164" s="24"/>
      <c r="F1041164" s="24"/>
      <c r="G1041164" s="24"/>
      <c r="H1041164" s="24"/>
      <c r="I1041164" s="24"/>
      <c r="J1041164" s="24"/>
      <c r="K1041164" s="54"/>
    </row>
    <row r="1041165" spans="1:11" s="55" customFormat="1" ht="12.75">
      <c r="A1041165" s="24"/>
      <c r="B1041165" s="24"/>
      <c r="C1041165" s="24"/>
      <c r="D1041165" s="24"/>
      <c r="E1041165" s="24"/>
      <c r="F1041165" s="24"/>
      <c r="G1041165" s="24"/>
      <c r="H1041165" s="24"/>
      <c r="I1041165" s="24"/>
      <c r="J1041165" s="24"/>
      <c r="K1041165" s="54"/>
    </row>
    <row r="1041166" spans="1:11" s="55" customFormat="1" ht="12.75">
      <c r="A1041166" s="24"/>
      <c r="B1041166" s="24"/>
      <c r="C1041166" s="24"/>
      <c r="D1041166" s="24"/>
      <c r="E1041166" s="24"/>
      <c r="F1041166" s="24"/>
      <c r="G1041166" s="24"/>
      <c r="H1041166" s="24"/>
      <c r="I1041166" s="24"/>
      <c r="J1041166" s="24"/>
      <c r="K1041166" s="54"/>
    </row>
    <row r="1041167" spans="1:11" s="55" customFormat="1" ht="12.75">
      <c r="A1041167" s="24"/>
      <c r="B1041167" s="24"/>
      <c r="C1041167" s="24"/>
      <c r="D1041167" s="24"/>
      <c r="E1041167" s="24"/>
      <c r="F1041167" s="24"/>
      <c r="G1041167" s="24"/>
      <c r="H1041167" s="24"/>
      <c r="I1041167" s="24"/>
      <c r="J1041167" s="24"/>
      <c r="K1041167" s="54"/>
    </row>
    <row r="1041168" spans="1:11" s="55" customFormat="1" ht="12.75">
      <c r="A1041168" s="24"/>
      <c r="B1041168" s="24"/>
      <c r="C1041168" s="24"/>
      <c r="D1041168" s="24"/>
      <c r="E1041168" s="24"/>
      <c r="F1041168" s="24"/>
      <c r="G1041168" s="24"/>
      <c r="H1041168" s="24"/>
      <c r="I1041168" s="24"/>
      <c r="J1041168" s="24"/>
      <c r="K1041168" s="54"/>
    </row>
    <row r="1041169" spans="1:11" s="55" customFormat="1" ht="12.75">
      <c r="A1041169" s="24"/>
      <c r="B1041169" s="24"/>
      <c r="C1041169" s="24"/>
      <c r="D1041169" s="24"/>
      <c r="E1041169" s="24"/>
      <c r="F1041169" s="24"/>
      <c r="G1041169" s="24"/>
      <c r="H1041169" s="24"/>
      <c r="I1041169" s="24"/>
      <c r="J1041169" s="24"/>
      <c r="K1041169" s="54"/>
    </row>
    <row r="1041170" spans="1:11" s="55" customFormat="1" ht="12.75">
      <c r="A1041170" s="24"/>
      <c r="B1041170" s="24"/>
      <c r="C1041170" s="24"/>
      <c r="D1041170" s="24"/>
      <c r="E1041170" s="24"/>
      <c r="F1041170" s="24"/>
      <c r="G1041170" s="24"/>
      <c r="H1041170" s="24"/>
      <c r="I1041170" s="24"/>
      <c r="J1041170" s="24"/>
      <c r="K1041170" s="54"/>
    </row>
    <row r="1041171" spans="1:11" s="55" customFormat="1" ht="12.75">
      <c r="A1041171" s="24"/>
      <c r="B1041171" s="24"/>
      <c r="C1041171" s="24"/>
      <c r="D1041171" s="24"/>
      <c r="E1041171" s="24"/>
      <c r="F1041171" s="24"/>
      <c r="G1041171" s="24"/>
      <c r="H1041171" s="24"/>
      <c r="I1041171" s="24"/>
      <c r="J1041171" s="24"/>
      <c r="K1041171" s="54"/>
    </row>
    <row r="1041172" spans="1:11" s="55" customFormat="1" ht="12.75">
      <c r="A1041172" s="24"/>
      <c r="B1041172" s="24"/>
      <c r="C1041172" s="24"/>
      <c r="D1041172" s="24"/>
      <c r="E1041172" s="24"/>
      <c r="F1041172" s="24"/>
      <c r="G1041172" s="24"/>
      <c r="H1041172" s="24"/>
      <c r="I1041172" s="24"/>
      <c r="J1041172" s="24"/>
      <c r="K1041172" s="54"/>
    </row>
    <row r="1041173" spans="1:11" s="55" customFormat="1" ht="12.75">
      <c r="A1041173" s="24"/>
      <c r="B1041173" s="24"/>
      <c r="C1041173" s="24"/>
      <c r="D1041173" s="24"/>
      <c r="E1041173" s="24"/>
      <c r="F1041173" s="24"/>
      <c r="G1041173" s="24"/>
      <c r="H1041173" s="24"/>
      <c r="I1041173" s="24"/>
      <c r="J1041173" s="24"/>
      <c r="K1041173" s="54"/>
    </row>
    <row r="1041174" spans="1:11" s="55" customFormat="1" ht="12.75">
      <c r="A1041174" s="24"/>
      <c r="B1041174" s="24"/>
      <c r="C1041174" s="24"/>
      <c r="D1041174" s="24"/>
      <c r="E1041174" s="24"/>
      <c r="F1041174" s="24"/>
      <c r="G1041174" s="24"/>
      <c r="H1041174" s="24"/>
      <c r="I1041174" s="24"/>
      <c r="J1041174" s="24"/>
      <c r="K1041174" s="54"/>
    </row>
    <row r="1041175" spans="1:11" s="55" customFormat="1" ht="12.75">
      <c r="A1041175" s="24"/>
      <c r="B1041175" s="24"/>
      <c r="C1041175" s="24"/>
      <c r="D1041175" s="24"/>
      <c r="E1041175" s="24"/>
      <c r="F1041175" s="24"/>
      <c r="G1041175" s="24"/>
      <c r="H1041175" s="24"/>
      <c r="I1041175" s="24"/>
      <c r="J1041175" s="24"/>
      <c r="K1041175" s="54"/>
    </row>
    <row r="1041176" spans="1:11" s="55" customFormat="1" ht="12.75">
      <c r="A1041176" s="24"/>
      <c r="B1041176" s="24"/>
      <c r="C1041176" s="24"/>
      <c r="D1041176" s="24"/>
      <c r="E1041176" s="24"/>
      <c r="F1041176" s="24"/>
      <c r="G1041176" s="24"/>
      <c r="H1041176" s="24"/>
      <c r="I1041176" s="24"/>
      <c r="J1041176" s="24"/>
      <c r="K1041176" s="54"/>
    </row>
    <row r="1041177" spans="1:11" s="55" customFormat="1" ht="12.75">
      <c r="A1041177" s="24"/>
      <c r="B1041177" s="24"/>
      <c r="C1041177" s="24"/>
      <c r="D1041177" s="24"/>
      <c r="E1041177" s="24"/>
      <c r="F1041177" s="24"/>
      <c r="G1041177" s="24"/>
      <c r="H1041177" s="24"/>
      <c r="I1041177" s="24"/>
      <c r="J1041177" s="24"/>
      <c r="K1041177" s="54"/>
    </row>
    <row r="1041178" spans="1:11" s="55" customFormat="1" ht="12.75">
      <c r="A1041178" s="24"/>
      <c r="B1041178" s="24"/>
      <c r="C1041178" s="24"/>
      <c r="D1041178" s="24"/>
      <c r="E1041178" s="24"/>
      <c r="F1041178" s="24"/>
      <c r="G1041178" s="24"/>
      <c r="H1041178" s="24"/>
      <c r="I1041178" s="24"/>
      <c r="J1041178" s="24"/>
      <c r="K1041178" s="54"/>
    </row>
    <row r="1041179" spans="1:11" s="55" customFormat="1" ht="12.75">
      <c r="A1041179" s="24"/>
      <c r="B1041179" s="24"/>
      <c r="C1041179" s="24"/>
      <c r="D1041179" s="24"/>
      <c r="E1041179" s="24"/>
      <c r="F1041179" s="24"/>
      <c r="G1041179" s="24"/>
      <c r="H1041179" s="24"/>
      <c r="I1041179" s="24"/>
      <c r="J1041179" s="24"/>
      <c r="K1041179" s="54"/>
    </row>
    <row r="1041180" spans="1:11" s="55" customFormat="1" ht="12.75">
      <c r="A1041180" s="24"/>
      <c r="B1041180" s="24"/>
      <c r="C1041180" s="24"/>
      <c r="D1041180" s="24"/>
      <c r="E1041180" s="24"/>
      <c r="F1041180" s="24"/>
      <c r="G1041180" s="24"/>
      <c r="H1041180" s="24"/>
      <c r="I1041180" s="24"/>
      <c r="J1041180" s="24"/>
      <c r="K1041180" s="54"/>
    </row>
    <row r="1041181" spans="1:11" s="55" customFormat="1" ht="12.75">
      <c r="A1041181" s="24"/>
      <c r="B1041181" s="24"/>
      <c r="C1041181" s="24"/>
      <c r="D1041181" s="24"/>
      <c r="E1041181" s="24"/>
      <c r="F1041181" s="24"/>
      <c r="G1041181" s="24"/>
      <c r="H1041181" s="24"/>
      <c r="I1041181" s="24"/>
      <c r="J1041181" s="24"/>
      <c r="K1041181" s="54"/>
    </row>
    <row r="1041182" spans="1:11" s="55" customFormat="1" ht="12.75">
      <c r="A1041182" s="24"/>
      <c r="B1041182" s="24"/>
      <c r="C1041182" s="24"/>
      <c r="D1041182" s="24"/>
      <c r="E1041182" s="24"/>
      <c r="F1041182" s="24"/>
      <c r="G1041182" s="24"/>
      <c r="H1041182" s="24"/>
      <c r="I1041182" s="24"/>
      <c r="J1041182" s="24"/>
      <c r="K1041182" s="54"/>
    </row>
    <row r="1041183" spans="1:11" s="55" customFormat="1" ht="12.75">
      <c r="A1041183" s="24"/>
      <c r="B1041183" s="24"/>
      <c r="C1041183" s="24"/>
      <c r="D1041183" s="24"/>
      <c r="E1041183" s="24"/>
      <c r="F1041183" s="24"/>
      <c r="G1041183" s="24"/>
      <c r="H1041183" s="24"/>
      <c r="I1041183" s="24"/>
      <c r="J1041183" s="24"/>
      <c r="K1041183" s="54"/>
    </row>
    <row r="1041184" spans="1:11" s="55" customFormat="1" ht="12.75">
      <c r="A1041184" s="24"/>
      <c r="B1041184" s="24"/>
      <c r="C1041184" s="24"/>
      <c r="D1041184" s="24"/>
      <c r="E1041184" s="24"/>
      <c r="F1041184" s="24"/>
      <c r="G1041184" s="24"/>
      <c r="H1041184" s="24"/>
      <c r="I1041184" s="24"/>
      <c r="J1041184" s="24"/>
      <c r="K1041184" s="54"/>
    </row>
    <row r="1041185" spans="1:11" s="55" customFormat="1" ht="12.75">
      <c r="A1041185" s="24"/>
      <c r="B1041185" s="24"/>
      <c r="C1041185" s="24"/>
      <c r="D1041185" s="24"/>
      <c r="E1041185" s="24"/>
      <c r="F1041185" s="24"/>
      <c r="G1041185" s="24"/>
      <c r="H1041185" s="24"/>
      <c r="I1041185" s="24"/>
      <c r="J1041185" s="24"/>
      <c r="K1041185" s="54"/>
    </row>
    <row r="1041186" spans="1:11" s="55" customFormat="1" ht="12.75">
      <c r="A1041186" s="24"/>
      <c r="B1041186" s="24"/>
      <c r="C1041186" s="24"/>
      <c r="D1041186" s="24"/>
      <c r="E1041186" s="24"/>
      <c r="F1041186" s="24"/>
      <c r="G1041186" s="24"/>
      <c r="H1041186" s="24"/>
      <c r="I1041186" s="24"/>
      <c r="J1041186" s="24"/>
      <c r="K1041186" s="54"/>
    </row>
    <row r="1041187" spans="1:11" s="55" customFormat="1" ht="12.75">
      <c r="A1041187" s="24"/>
      <c r="B1041187" s="24"/>
      <c r="C1041187" s="24"/>
      <c r="D1041187" s="24"/>
      <c r="E1041187" s="24"/>
      <c r="F1041187" s="24"/>
      <c r="G1041187" s="24"/>
      <c r="H1041187" s="24"/>
      <c r="I1041187" s="24"/>
      <c r="J1041187" s="24"/>
      <c r="K1041187" s="54"/>
    </row>
    <row r="1041188" spans="1:11" s="55" customFormat="1" ht="12.75">
      <c r="A1041188" s="24"/>
      <c r="B1041188" s="24"/>
      <c r="C1041188" s="24"/>
      <c r="D1041188" s="24"/>
      <c r="E1041188" s="24"/>
      <c r="F1041188" s="24"/>
      <c r="G1041188" s="24"/>
      <c r="H1041188" s="24"/>
      <c r="I1041188" s="24"/>
      <c r="J1041188" s="24"/>
      <c r="K1041188" s="54"/>
    </row>
    <row r="1041189" spans="1:11" s="55" customFormat="1" ht="12.75">
      <c r="A1041189" s="24"/>
      <c r="B1041189" s="24"/>
      <c r="C1041189" s="24"/>
      <c r="D1041189" s="24"/>
      <c r="E1041189" s="24"/>
      <c r="F1041189" s="24"/>
      <c r="G1041189" s="24"/>
      <c r="H1041189" s="24"/>
      <c r="I1041189" s="24"/>
      <c r="J1041189" s="24"/>
      <c r="K1041189" s="54"/>
    </row>
    <row r="1041190" spans="1:11" s="55" customFormat="1" ht="12.75">
      <c r="A1041190" s="24"/>
      <c r="B1041190" s="24"/>
      <c r="C1041190" s="24"/>
      <c r="D1041190" s="24"/>
      <c r="E1041190" s="24"/>
      <c r="F1041190" s="24"/>
      <c r="G1041190" s="24"/>
      <c r="H1041190" s="24"/>
      <c r="I1041190" s="24"/>
      <c r="J1041190" s="24"/>
      <c r="K1041190" s="54"/>
    </row>
    <row r="1041191" spans="1:11" s="55" customFormat="1" ht="12.75">
      <c r="A1041191" s="24"/>
      <c r="B1041191" s="24"/>
      <c r="C1041191" s="24"/>
      <c r="D1041191" s="24"/>
      <c r="E1041191" s="24"/>
      <c r="F1041191" s="24"/>
      <c r="G1041191" s="24"/>
      <c r="H1041191" s="24"/>
      <c r="I1041191" s="24"/>
      <c r="J1041191" s="24"/>
      <c r="K1041191" s="54"/>
    </row>
    <row r="1041192" spans="1:11" s="55" customFormat="1" ht="12.75">
      <c r="A1041192" s="24"/>
      <c r="B1041192" s="24"/>
      <c r="C1041192" s="24"/>
      <c r="D1041192" s="24"/>
      <c r="E1041192" s="24"/>
      <c r="F1041192" s="24"/>
      <c r="G1041192" s="24"/>
      <c r="H1041192" s="24"/>
      <c r="I1041192" s="24"/>
      <c r="J1041192" s="24"/>
      <c r="K1041192" s="54"/>
    </row>
    <row r="1041193" spans="1:11" s="55" customFormat="1" ht="12.75">
      <c r="A1041193" s="24"/>
      <c r="B1041193" s="24"/>
      <c r="C1041193" s="24"/>
      <c r="D1041193" s="24"/>
      <c r="E1041193" s="24"/>
      <c r="F1041193" s="24"/>
      <c r="G1041193" s="24"/>
      <c r="H1041193" s="24"/>
      <c r="I1041193" s="24"/>
      <c r="J1041193" s="24"/>
      <c r="K1041193" s="54"/>
    </row>
    <row r="1041194" spans="1:11" s="55" customFormat="1" ht="12.75">
      <c r="A1041194" s="24"/>
      <c r="B1041194" s="24"/>
      <c r="C1041194" s="24"/>
      <c r="D1041194" s="24"/>
      <c r="E1041194" s="24"/>
      <c r="F1041194" s="24"/>
      <c r="G1041194" s="24"/>
      <c r="H1041194" s="24"/>
      <c r="I1041194" s="24"/>
      <c r="J1041194" s="24"/>
      <c r="K1041194" s="54"/>
    </row>
    <row r="1041195" spans="1:11" s="55" customFormat="1" ht="12.75">
      <c r="A1041195" s="24"/>
      <c r="B1041195" s="24"/>
      <c r="C1041195" s="24"/>
      <c r="D1041195" s="24"/>
      <c r="E1041195" s="24"/>
      <c r="F1041195" s="24"/>
      <c r="G1041195" s="24"/>
      <c r="H1041195" s="24"/>
      <c r="I1041195" s="24"/>
      <c r="J1041195" s="24"/>
      <c r="K1041195" s="54"/>
    </row>
    <row r="1041196" spans="1:11" s="55" customFormat="1" ht="12.75">
      <c r="A1041196" s="24"/>
      <c r="B1041196" s="24"/>
      <c r="C1041196" s="24"/>
      <c r="D1041196" s="24"/>
      <c r="E1041196" s="24"/>
      <c r="F1041196" s="24"/>
      <c r="G1041196" s="24"/>
      <c r="H1041196" s="24"/>
      <c r="I1041196" s="24"/>
      <c r="J1041196" s="24"/>
      <c r="K1041196" s="54"/>
    </row>
    <row r="1041197" spans="1:11" s="55" customFormat="1" ht="12.75">
      <c r="A1041197" s="24"/>
      <c r="B1041197" s="24"/>
      <c r="C1041197" s="24"/>
      <c r="D1041197" s="24"/>
      <c r="E1041197" s="24"/>
      <c r="F1041197" s="24"/>
      <c r="G1041197" s="24"/>
      <c r="H1041197" s="24"/>
      <c r="I1041197" s="24"/>
      <c r="J1041197" s="24"/>
      <c r="K1041197" s="54"/>
    </row>
    <row r="1041198" spans="1:11" s="55" customFormat="1" ht="12.75">
      <c r="A1041198" s="24"/>
      <c r="B1041198" s="24"/>
      <c r="C1041198" s="24"/>
      <c r="D1041198" s="24"/>
      <c r="E1041198" s="24"/>
      <c r="F1041198" s="24"/>
      <c r="G1041198" s="24"/>
      <c r="H1041198" s="24"/>
      <c r="I1041198" s="24"/>
      <c r="J1041198" s="24"/>
      <c r="K1041198" s="54"/>
    </row>
    <row r="1041199" spans="1:11" s="55" customFormat="1" ht="12.75">
      <c r="A1041199" s="24"/>
      <c r="B1041199" s="24"/>
      <c r="C1041199" s="24"/>
      <c r="D1041199" s="24"/>
      <c r="E1041199" s="24"/>
      <c r="F1041199" s="24"/>
      <c r="G1041199" s="24"/>
      <c r="H1041199" s="24"/>
      <c r="I1041199" s="24"/>
      <c r="J1041199" s="24"/>
      <c r="K1041199" s="54"/>
    </row>
    <row r="1041200" spans="1:11" s="55" customFormat="1" ht="12.75">
      <c r="A1041200" s="24"/>
      <c r="B1041200" s="24"/>
      <c r="C1041200" s="24"/>
      <c r="D1041200" s="24"/>
      <c r="E1041200" s="24"/>
      <c r="F1041200" s="24"/>
      <c r="G1041200" s="24"/>
      <c r="H1041200" s="24"/>
      <c r="I1041200" s="24"/>
      <c r="J1041200" s="24"/>
      <c r="K1041200" s="54"/>
    </row>
    <row r="1041201" spans="1:11" s="55" customFormat="1" ht="12.75">
      <c r="A1041201" s="24"/>
      <c r="B1041201" s="24"/>
      <c r="C1041201" s="24"/>
      <c r="D1041201" s="24"/>
      <c r="E1041201" s="24"/>
      <c r="F1041201" s="24"/>
      <c r="G1041201" s="24"/>
      <c r="H1041201" s="24"/>
      <c r="I1041201" s="24"/>
      <c r="J1041201" s="24"/>
      <c r="K1041201" s="54"/>
    </row>
    <row r="1041202" spans="1:11" s="55" customFormat="1" ht="12.75">
      <c r="A1041202" s="24"/>
      <c r="B1041202" s="24"/>
      <c r="C1041202" s="24"/>
      <c r="D1041202" s="24"/>
      <c r="E1041202" s="24"/>
      <c r="F1041202" s="24"/>
      <c r="G1041202" s="24"/>
      <c r="H1041202" s="24"/>
      <c r="I1041202" s="24"/>
      <c r="J1041202" s="24"/>
      <c r="K1041202" s="54"/>
    </row>
    <row r="1041203" spans="1:11" s="55" customFormat="1" ht="12.75">
      <c r="A1041203" s="24"/>
      <c r="B1041203" s="24"/>
      <c r="C1041203" s="24"/>
      <c r="D1041203" s="24"/>
      <c r="E1041203" s="24"/>
      <c r="F1041203" s="24"/>
      <c r="G1041203" s="24"/>
      <c r="H1041203" s="24"/>
      <c r="I1041203" s="24"/>
      <c r="J1041203" s="24"/>
      <c r="K1041203" s="54"/>
    </row>
    <row r="1041204" spans="1:11" s="55" customFormat="1" ht="12.75">
      <c r="A1041204" s="24"/>
      <c r="B1041204" s="24"/>
      <c r="C1041204" s="24"/>
      <c r="D1041204" s="24"/>
      <c r="E1041204" s="24"/>
      <c r="F1041204" s="24"/>
      <c r="G1041204" s="24"/>
      <c r="H1041204" s="24"/>
      <c r="I1041204" s="24"/>
      <c r="J1041204" s="24"/>
      <c r="K1041204" s="54"/>
    </row>
    <row r="1041205" spans="1:11" s="55" customFormat="1" ht="12.75">
      <c r="A1041205" s="24"/>
      <c r="B1041205" s="24"/>
      <c r="C1041205" s="24"/>
      <c r="D1041205" s="24"/>
      <c r="E1041205" s="24"/>
      <c r="F1041205" s="24"/>
      <c r="G1041205" s="24"/>
      <c r="H1041205" s="24"/>
      <c r="I1041205" s="24"/>
      <c r="J1041205" s="24"/>
      <c r="K1041205" s="54"/>
    </row>
    <row r="1041206" spans="1:11" s="55" customFormat="1" ht="12.75">
      <c r="A1041206" s="24"/>
      <c r="B1041206" s="24"/>
      <c r="C1041206" s="24"/>
      <c r="D1041206" s="24"/>
      <c r="E1041206" s="24"/>
      <c r="F1041206" s="24"/>
      <c r="G1041206" s="24"/>
      <c r="H1041206" s="24"/>
      <c r="I1041206" s="24"/>
      <c r="J1041206" s="24"/>
      <c r="K1041206" s="54"/>
    </row>
    <row r="1041207" spans="1:11" s="55" customFormat="1" ht="12.75">
      <c r="A1041207" s="24"/>
      <c r="B1041207" s="24"/>
      <c r="C1041207" s="24"/>
      <c r="D1041207" s="24"/>
      <c r="E1041207" s="24"/>
      <c r="F1041207" s="24"/>
      <c r="G1041207" s="24"/>
      <c r="H1041207" s="24"/>
      <c r="I1041207" s="24"/>
      <c r="J1041207" s="24"/>
      <c r="K1041207" s="54"/>
    </row>
    <row r="1041208" spans="1:11" s="55" customFormat="1" ht="12.75">
      <c r="A1041208" s="24"/>
      <c r="B1041208" s="24"/>
      <c r="C1041208" s="24"/>
      <c r="D1041208" s="24"/>
      <c r="E1041208" s="24"/>
      <c r="F1041208" s="24"/>
      <c r="G1041208" s="24"/>
      <c r="H1041208" s="24"/>
      <c r="I1041208" s="24"/>
      <c r="J1041208" s="24"/>
      <c r="K1041208" s="54"/>
    </row>
    <row r="1041209" spans="1:11" s="55" customFormat="1" ht="12.75">
      <c r="A1041209" s="24"/>
      <c r="B1041209" s="24"/>
      <c r="C1041209" s="24"/>
      <c r="D1041209" s="24"/>
      <c r="E1041209" s="24"/>
      <c r="F1041209" s="24"/>
      <c r="G1041209" s="24"/>
      <c r="H1041209" s="24"/>
      <c r="I1041209" s="24"/>
      <c r="J1041209" s="24"/>
      <c r="K1041209" s="54"/>
    </row>
    <row r="1041210" spans="1:11" s="55" customFormat="1" ht="12.75">
      <c r="A1041210" s="24"/>
      <c r="B1041210" s="24"/>
      <c r="C1041210" s="24"/>
      <c r="D1041210" s="24"/>
      <c r="E1041210" s="24"/>
      <c r="F1041210" s="24"/>
      <c r="G1041210" s="24"/>
      <c r="H1041210" s="24"/>
      <c r="I1041210" s="24"/>
      <c r="J1041210" s="24"/>
      <c r="K1041210" s="54"/>
    </row>
    <row r="1041211" spans="1:11" s="55" customFormat="1" ht="12.75">
      <c r="A1041211" s="24"/>
      <c r="B1041211" s="24"/>
      <c r="C1041211" s="24"/>
      <c r="D1041211" s="24"/>
      <c r="E1041211" s="24"/>
      <c r="F1041211" s="24"/>
      <c r="G1041211" s="24"/>
      <c r="H1041211" s="24"/>
      <c r="I1041211" s="24"/>
      <c r="J1041211" s="24"/>
      <c r="K1041211" s="54"/>
    </row>
    <row r="1041212" spans="1:11" s="55" customFormat="1" ht="12.75">
      <c r="A1041212" s="24"/>
      <c r="B1041212" s="24"/>
      <c r="C1041212" s="24"/>
      <c r="D1041212" s="24"/>
      <c r="E1041212" s="24"/>
      <c r="F1041212" s="24"/>
      <c r="G1041212" s="24"/>
      <c r="H1041212" s="24"/>
      <c r="I1041212" s="24"/>
      <c r="J1041212" s="24"/>
      <c r="K1041212" s="54"/>
    </row>
    <row r="1041213" spans="1:11" s="55" customFormat="1" ht="12.75">
      <c r="A1041213" s="24"/>
      <c r="B1041213" s="24"/>
      <c r="C1041213" s="24"/>
      <c r="D1041213" s="24"/>
      <c r="E1041213" s="24"/>
      <c r="F1041213" s="24"/>
      <c r="G1041213" s="24"/>
      <c r="H1041213" s="24"/>
      <c r="I1041213" s="24"/>
      <c r="J1041213" s="24"/>
      <c r="K1041213" s="54"/>
    </row>
    <row r="1041214" spans="1:11" s="55" customFormat="1" ht="12.75">
      <c r="A1041214" s="24"/>
      <c r="B1041214" s="24"/>
      <c r="C1041214" s="24"/>
      <c r="D1041214" s="24"/>
      <c r="E1041214" s="24"/>
      <c r="F1041214" s="24"/>
      <c r="G1041214" s="24"/>
      <c r="H1041214" s="24"/>
      <c r="I1041214" s="24"/>
      <c r="J1041214" s="24"/>
      <c r="K1041214" s="54"/>
    </row>
    <row r="1041215" spans="1:11" s="55" customFormat="1" ht="12.75">
      <c r="A1041215" s="24"/>
      <c r="B1041215" s="24"/>
      <c r="C1041215" s="24"/>
      <c r="D1041215" s="24"/>
      <c r="E1041215" s="24"/>
      <c r="F1041215" s="24"/>
      <c r="G1041215" s="24"/>
      <c r="H1041215" s="24"/>
      <c r="I1041215" s="24"/>
      <c r="J1041215" s="24"/>
      <c r="K1041215" s="54"/>
    </row>
    <row r="1041216" spans="1:11" s="55" customFormat="1" ht="12.75">
      <c r="A1041216" s="24"/>
      <c r="B1041216" s="24"/>
      <c r="C1041216" s="24"/>
      <c r="D1041216" s="24"/>
      <c r="E1041216" s="24"/>
      <c r="F1041216" s="24"/>
      <c r="G1041216" s="24"/>
      <c r="H1041216" s="24"/>
      <c r="I1041216" s="24"/>
      <c r="J1041216" s="24"/>
      <c r="K1041216" s="54"/>
    </row>
    <row r="1041217" spans="1:11" s="55" customFormat="1" ht="12.75">
      <c r="A1041217" s="24"/>
      <c r="B1041217" s="24"/>
      <c r="C1041217" s="24"/>
      <c r="D1041217" s="24"/>
      <c r="E1041217" s="24"/>
      <c r="F1041217" s="24"/>
      <c r="G1041217" s="24"/>
      <c r="H1041217" s="24"/>
      <c r="I1041217" s="24"/>
      <c r="J1041217" s="24"/>
      <c r="K1041217" s="54"/>
    </row>
    <row r="1041218" spans="1:11" s="55" customFormat="1" ht="12.75">
      <c r="A1041218" s="24"/>
      <c r="B1041218" s="24"/>
      <c r="C1041218" s="24"/>
      <c r="D1041218" s="24"/>
      <c r="E1041218" s="24"/>
      <c r="F1041218" s="24"/>
      <c r="G1041218" s="24"/>
      <c r="H1041218" s="24"/>
      <c r="I1041218" s="24"/>
      <c r="J1041218" s="24"/>
      <c r="K1041218" s="54"/>
    </row>
    <row r="1041219" spans="1:11" s="55" customFormat="1" ht="12.75">
      <c r="A1041219" s="24"/>
      <c r="B1041219" s="24"/>
      <c r="C1041219" s="24"/>
      <c r="D1041219" s="24"/>
      <c r="E1041219" s="24"/>
      <c r="F1041219" s="24"/>
      <c r="G1041219" s="24"/>
      <c r="H1041219" s="24"/>
      <c r="I1041219" s="24"/>
      <c r="J1041219" s="24"/>
      <c r="K1041219" s="54"/>
    </row>
    <row r="1041220" spans="1:11" s="55" customFormat="1" ht="12.75">
      <c r="A1041220" s="24"/>
      <c r="B1041220" s="24"/>
      <c r="C1041220" s="24"/>
      <c r="D1041220" s="24"/>
      <c r="E1041220" s="24"/>
      <c r="F1041220" s="24"/>
      <c r="G1041220" s="24"/>
      <c r="H1041220" s="24"/>
      <c r="I1041220" s="24"/>
      <c r="J1041220" s="24"/>
      <c r="K1041220" s="54"/>
    </row>
    <row r="1041221" spans="1:11" s="55" customFormat="1" ht="12.75">
      <c r="A1041221" s="24"/>
      <c r="B1041221" s="24"/>
      <c r="C1041221" s="24"/>
      <c r="D1041221" s="24"/>
      <c r="E1041221" s="24"/>
      <c r="F1041221" s="24"/>
      <c r="G1041221" s="24"/>
      <c r="H1041221" s="24"/>
      <c r="I1041221" s="24"/>
      <c r="J1041221" s="24"/>
      <c r="K1041221" s="54"/>
    </row>
    <row r="1041222" spans="1:11" s="55" customFormat="1" ht="12.75">
      <c r="A1041222" s="24"/>
      <c r="B1041222" s="24"/>
      <c r="C1041222" s="24"/>
      <c r="D1041222" s="24"/>
      <c r="E1041222" s="24"/>
      <c r="F1041222" s="24"/>
      <c r="G1041222" s="24"/>
      <c r="H1041222" s="24"/>
      <c r="I1041222" s="24"/>
      <c r="J1041222" s="24"/>
      <c r="K1041222" s="54"/>
    </row>
    <row r="1041223" spans="1:11" s="55" customFormat="1" ht="12.75">
      <c r="A1041223" s="24"/>
      <c r="B1041223" s="24"/>
      <c r="C1041223" s="24"/>
      <c r="D1041223" s="24"/>
      <c r="E1041223" s="24"/>
      <c r="F1041223" s="24"/>
      <c r="G1041223" s="24"/>
      <c r="H1041223" s="24"/>
      <c r="I1041223" s="24"/>
      <c r="J1041223" s="24"/>
      <c r="K1041223" s="54"/>
    </row>
    <row r="1041224" spans="1:11" s="55" customFormat="1" ht="12.75">
      <c r="A1041224" s="24"/>
      <c r="B1041224" s="24"/>
      <c r="C1041224" s="24"/>
      <c r="D1041224" s="24"/>
      <c r="E1041224" s="24"/>
      <c r="F1041224" s="24"/>
      <c r="G1041224" s="24"/>
      <c r="H1041224" s="24"/>
      <c r="I1041224" s="24"/>
      <c r="J1041224" s="24"/>
      <c r="K1041224" s="54"/>
    </row>
    <row r="1041225" spans="1:11" s="55" customFormat="1" ht="12.75">
      <c r="A1041225" s="24"/>
      <c r="B1041225" s="24"/>
      <c r="C1041225" s="24"/>
      <c r="D1041225" s="24"/>
      <c r="E1041225" s="24"/>
      <c r="F1041225" s="24"/>
      <c r="G1041225" s="24"/>
      <c r="H1041225" s="24"/>
      <c r="I1041225" s="24"/>
      <c r="J1041225" s="24"/>
      <c r="K1041225" s="54"/>
    </row>
    <row r="1041226" spans="1:11" s="55" customFormat="1" ht="12.75">
      <c r="A1041226" s="24"/>
      <c r="B1041226" s="24"/>
      <c r="C1041226" s="24"/>
      <c r="D1041226" s="24"/>
      <c r="E1041226" s="24"/>
      <c r="F1041226" s="24"/>
      <c r="G1041226" s="24"/>
      <c r="H1041226" s="24"/>
      <c r="I1041226" s="24"/>
      <c r="J1041226" s="24"/>
      <c r="K1041226" s="54"/>
    </row>
    <row r="1041227" spans="1:11" s="55" customFormat="1" ht="12.75">
      <c r="A1041227" s="24"/>
      <c r="B1041227" s="24"/>
      <c r="C1041227" s="24"/>
      <c r="D1041227" s="24"/>
      <c r="E1041227" s="24"/>
      <c r="F1041227" s="24"/>
      <c r="G1041227" s="24"/>
      <c r="H1041227" s="24"/>
      <c r="I1041227" s="24"/>
      <c r="J1041227" s="24"/>
      <c r="K1041227" s="54"/>
    </row>
    <row r="1041228" spans="1:11" s="55" customFormat="1" ht="12.75">
      <c r="A1041228" s="24"/>
      <c r="B1041228" s="24"/>
      <c r="C1041228" s="24"/>
      <c r="D1041228" s="24"/>
      <c r="E1041228" s="24"/>
      <c r="F1041228" s="24"/>
      <c r="G1041228" s="24"/>
      <c r="H1041228" s="24"/>
      <c r="I1041228" s="24"/>
      <c r="J1041228" s="24"/>
      <c r="K1041228" s="54"/>
    </row>
    <row r="1041229" spans="1:11" s="55" customFormat="1" ht="12.75">
      <c r="A1041229" s="24"/>
      <c r="B1041229" s="24"/>
      <c r="C1041229" s="24"/>
      <c r="D1041229" s="24"/>
      <c r="E1041229" s="24"/>
      <c r="F1041229" s="24"/>
      <c r="G1041229" s="24"/>
      <c r="H1041229" s="24"/>
      <c r="I1041229" s="24"/>
      <c r="J1041229" s="24"/>
      <c r="K1041229" s="54"/>
    </row>
    <row r="1041230" spans="1:11" s="55" customFormat="1" ht="12.75">
      <c r="A1041230" s="24"/>
      <c r="B1041230" s="24"/>
      <c r="C1041230" s="24"/>
      <c r="D1041230" s="24"/>
      <c r="E1041230" s="24"/>
      <c r="F1041230" s="24"/>
      <c r="G1041230" s="24"/>
      <c r="H1041230" s="24"/>
      <c r="I1041230" s="24"/>
      <c r="J1041230" s="24"/>
      <c r="K1041230" s="54"/>
    </row>
    <row r="1041231" spans="1:11" s="55" customFormat="1" ht="12.75">
      <c r="A1041231" s="24"/>
      <c r="B1041231" s="24"/>
      <c r="C1041231" s="24"/>
      <c r="D1041231" s="24"/>
      <c r="E1041231" s="24"/>
      <c r="F1041231" s="24"/>
      <c r="G1041231" s="24"/>
      <c r="H1041231" s="24"/>
      <c r="I1041231" s="24"/>
      <c r="J1041231" s="24"/>
      <c r="K1041231" s="54"/>
    </row>
    <row r="1041232" spans="1:11" s="55" customFormat="1" ht="12.75">
      <c r="A1041232" s="24"/>
      <c r="B1041232" s="24"/>
      <c r="C1041232" s="24"/>
      <c r="D1041232" s="24"/>
      <c r="E1041232" s="24"/>
      <c r="F1041232" s="24"/>
      <c r="G1041232" s="24"/>
      <c r="H1041232" s="24"/>
      <c r="I1041232" s="24"/>
      <c r="J1041232" s="24"/>
      <c r="K1041232" s="54"/>
    </row>
    <row r="1041233" spans="1:11" s="55" customFormat="1" ht="12.75">
      <c r="A1041233" s="24"/>
      <c r="B1041233" s="24"/>
      <c r="C1041233" s="24"/>
      <c r="D1041233" s="24"/>
      <c r="E1041233" s="24"/>
      <c r="F1041233" s="24"/>
      <c r="G1041233" s="24"/>
      <c r="H1041233" s="24"/>
      <c r="I1041233" s="24"/>
      <c r="J1041233" s="24"/>
      <c r="K1041233" s="54"/>
    </row>
    <row r="1041234" spans="1:11" s="55" customFormat="1" ht="12.75">
      <c r="A1041234" s="24"/>
      <c r="B1041234" s="24"/>
      <c r="C1041234" s="24"/>
      <c r="D1041234" s="24"/>
      <c r="E1041234" s="24"/>
      <c r="F1041234" s="24"/>
      <c r="G1041234" s="24"/>
      <c r="H1041234" s="24"/>
      <c r="I1041234" s="24"/>
      <c r="J1041234" s="24"/>
      <c r="K1041234" s="54"/>
    </row>
    <row r="1041235" spans="1:11" s="55" customFormat="1" ht="12.75">
      <c r="A1041235" s="24"/>
      <c r="B1041235" s="24"/>
      <c r="C1041235" s="24"/>
      <c r="D1041235" s="24"/>
      <c r="E1041235" s="24"/>
      <c r="F1041235" s="24"/>
      <c r="G1041235" s="24"/>
      <c r="H1041235" s="24"/>
      <c r="I1041235" s="24"/>
      <c r="J1041235" s="24"/>
      <c r="K1041235" s="54"/>
    </row>
    <row r="1041236" spans="1:11" s="55" customFormat="1" ht="12.75">
      <c r="A1041236" s="24"/>
      <c r="B1041236" s="24"/>
      <c r="C1041236" s="24"/>
      <c r="D1041236" s="24"/>
      <c r="E1041236" s="24"/>
      <c r="F1041236" s="24"/>
      <c r="G1041236" s="24"/>
      <c r="H1041236" s="24"/>
      <c r="I1041236" s="24"/>
      <c r="J1041236" s="24"/>
      <c r="K1041236" s="54"/>
    </row>
    <row r="1041237" spans="1:11" s="55" customFormat="1" ht="12.75">
      <c r="A1041237" s="24"/>
      <c r="B1041237" s="24"/>
      <c r="C1041237" s="24"/>
      <c r="D1041237" s="24"/>
      <c r="E1041237" s="24"/>
      <c r="F1041237" s="24"/>
      <c r="G1041237" s="24"/>
      <c r="H1041237" s="24"/>
      <c r="I1041237" s="24"/>
      <c r="J1041237" s="24"/>
      <c r="K1041237" s="54"/>
    </row>
    <row r="1041238" spans="1:11" s="55" customFormat="1" ht="12.75">
      <c r="A1041238" s="24"/>
      <c r="B1041238" s="24"/>
      <c r="C1041238" s="24"/>
      <c r="D1041238" s="24"/>
      <c r="E1041238" s="24"/>
      <c r="F1041238" s="24"/>
      <c r="G1041238" s="24"/>
      <c r="H1041238" s="24"/>
      <c r="I1041238" s="24"/>
      <c r="J1041238" s="24"/>
      <c r="K1041238" s="54"/>
    </row>
    <row r="1041239" spans="1:11" s="55" customFormat="1" ht="12.75">
      <c r="A1041239" s="24"/>
      <c r="B1041239" s="24"/>
      <c r="C1041239" s="24"/>
      <c r="D1041239" s="24"/>
      <c r="E1041239" s="24"/>
      <c r="F1041239" s="24"/>
      <c r="G1041239" s="24"/>
      <c r="H1041239" s="24"/>
      <c r="I1041239" s="24"/>
      <c r="J1041239" s="24"/>
      <c r="K1041239" s="54"/>
    </row>
    <row r="1041240" spans="1:11" s="55" customFormat="1" ht="12.75">
      <c r="A1041240" s="24"/>
      <c r="B1041240" s="24"/>
      <c r="C1041240" s="24"/>
      <c r="D1041240" s="24"/>
      <c r="E1041240" s="24"/>
      <c r="F1041240" s="24"/>
      <c r="G1041240" s="24"/>
      <c r="H1041240" s="24"/>
      <c r="I1041240" s="24"/>
      <c r="J1041240" s="24"/>
      <c r="K1041240" s="54"/>
    </row>
    <row r="1041241" spans="1:11" s="55" customFormat="1" ht="12.75">
      <c r="A1041241" s="24"/>
      <c r="B1041241" s="24"/>
      <c r="C1041241" s="24"/>
      <c r="D1041241" s="24"/>
      <c r="E1041241" s="24"/>
      <c r="F1041241" s="24"/>
      <c r="G1041241" s="24"/>
      <c r="H1041241" s="24"/>
      <c r="I1041241" s="24"/>
      <c r="J1041241" s="24"/>
      <c r="K1041241" s="54"/>
    </row>
    <row r="1041242" spans="1:11" s="55" customFormat="1" ht="12.75">
      <c r="A1041242" s="24"/>
      <c r="B1041242" s="24"/>
      <c r="C1041242" s="24"/>
      <c r="D1041242" s="24"/>
      <c r="E1041242" s="24"/>
      <c r="F1041242" s="24"/>
      <c r="G1041242" s="24"/>
      <c r="H1041242" s="24"/>
      <c r="I1041242" s="24"/>
      <c r="J1041242" s="24"/>
      <c r="K1041242" s="54"/>
    </row>
    <row r="1041243" spans="1:11" s="55" customFormat="1" ht="12.75">
      <c r="A1041243" s="24"/>
      <c r="B1041243" s="24"/>
      <c r="C1041243" s="24"/>
      <c r="D1041243" s="24"/>
      <c r="E1041243" s="24"/>
      <c r="F1041243" s="24"/>
      <c r="G1041243" s="24"/>
      <c r="H1041243" s="24"/>
      <c r="I1041243" s="24"/>
      <c r="J1041243" s="24"/>
      <c r="K1041243" s="54"/>
    </row>
    <row r="1041244" spans="1:11" s="55" customFormat="1" ht="12.75">
      <c r="A1041244" s="24"/>
      <c r="B1041244" s="24"/>
      <c r="C1041244" s="24"/>
      <c r="D1041244" s="24"/>
      <c r="E1041244" s="24"/>
      <c r="F1041244" s="24"/>
      <c r="G1041244" s="24"/>
      <c r="H1041244" s="24"/>
      <c r="I1041244" s="24"/>
      <c r="J1041244" s="24"/>
      <c r="K1041244" s="54"/>
    </row>
    <row r="1041245" spans="1:11" s="55" customFormat="1" ht="12.75">
      <c r="A1041245" s="24"/>
      <c r="B1041245" s="24"/>
      <c r="C1041245" s="24"/>
      <c r="D1041245" s="24"/>
      <c r="E1041245" s="24"/>
      <c r="F1041245" s="24"/>
      <c r="G1041245" s="24"/>
      <c r="H1041245" s="24"/>
      <c r="I1041245" s="24"/>
      <c r="J1041245" s="24"/>
      <c r="K1041245" s="54"/>
    </row>
    <row r="1041246" spans="1:11" s="55" customFormat="1" ht="12.75">
      <c r="A1041246" s="24"/>
      <c r="B1041246" s="24"/>
      <c r="C1041246" s="24"/>
      <c r="D1041246" s="24"/>
      <c r="E1041246" s="24"/>
      <c r="F1041246" s="24"/>
      <c r="G1041246" s="24"/>
      <c r="H1041246" s="24"/>
      <c r="I1041246" s="24"/>
      <c r="J1041246" s="24"/>
      <c r="K1041246" s="54"/>
    </row>
    <row r="1041247" spans="1:11" s="55" customFormat="1" ht="12.75">
      <c r="A1041247" s="24"/>
      <c r="B1041247" s="24"/>
      <c r="C1041247" s="24"/>
      <c r="D1041247" s="24"/>
      <c r="E1041247" s="24"/>
      <c r="F1041247" s="24"/>
      <c r="G1041247" s="24"/>
      <c r="H1041247" s="24"/>
      <c r="I1041247" s="24"/>
      <c r="J1041247" s="24"/>
      <c r="K1041247" s="54"/>
    </row>
    <row r="1041248" spans="1:11" s="55" customFormat="1" ht="12.75">
      <c r="A1041248" s="24"/>
      <c r="B1041248" s="24"/>
      <c r="C1041248" s="24"/>
      <c r="D1041248" s="24"/>
      <c r="E1041248" s="24"/>
      <c r="F1041248" s="24"/>
      <c r="G1041248" s="24"/>
      <c r="H1041248" s="24"/>
      <c r="I1041248" s="24"/>
      <c r="J1041248" s="24"/>
      <c r="K1041248" s="54"/>
    </row>
    <row r="1041249" spans="1:11" s="55" customFormat="1" ht="12.75">
      <c r="A1041249" s="24"/>
      <c r="B1041249" s="24"/>
      <c r="C1041249" s="24"/>
      <c r="D1041249" s="24"/>
      <c r="E1041249" s="24"/>
      <c r="F1041249" s="24"/>
      <c r="G1041249" s="24"/>
      <c r="H1041249" s="24"/>
      <c r="I1041249" s="24"/>
      <c r="J1041249" s="24"/>
      <c r="K1041249" s="54"/>
    </row>
    <row r="1041250" spans="1:11" s="55" customFormat="1" ht="12.75">
      <c r="A1041250" s="24"/>
      <c r="B1041250" s="24"/>
      <c r="C1041250" s="24"/>
      <c r="D1041250" s="24"/>
      <c r="E1041250" s="24"/>
      <c r="F1041250" s="24"/>
      <c r="G1041250" s="24"/>
      <c r="H1041250" s="24"/>
      <c r="I1041250" s="24"/>
      <c r="J1041250" s="24"/>
      <c r="K1041250" s="54"/>
    </row>
    <row r="1041251" spans="1:11" s="55" customFormat="1" ht="12.75">
      <c r="A1041251" s="24"/>
      <c r="B1041251" s="24"/>
      <c r="C1041251" s="24"/>
      <c r="D1041251" s="24"/>
      <c r="E1041251" s="24"/>
      <c r="F1041251" s="24"/>
      <c r="G1041251" s="24"/>
      <c r="H1041251" s="24"/>
      <c r="I1041251" s="24"/>
      <c r="J1041251" s="24"/>
      <c r="K1041251" s="54"/>
    </row>
    <row r="1041252" spans="1:11" s="55" customFormat="1" ht="12.75">
      <c r="A1041252" s="24"/>
      <c r="B1041252" s="24"/>
      <c r="C1041252" s="24"/>
      <c r="D1041252" s="24"/>
      <c r="E1041252" s="24"/>
      <c r="F1041252" s="24"/>
      <c r="G1041252" s="24"/>
      <c r="H1041252" s="24"/>
      <c r="I1041252" s="24"/>
      <c r="J1041252" s="24"/>
      <c r="K1041252" s="54"/>
    </row>
    <row r="1041253" spans="1:11" s="55" customFormat="1" ht="12.75">
      <c r="A1041253" s="24"/>
      <c r="B1041253" s="24"/>
      <c r="C1041253" s="24"/>
      <c r="D1041253" s="24"/>
      <c r="E1041253" s="24"/>
      <c r="F1041253" s="24"/>
      <c r="G1041253" s="24"/>
      <c r="H1041253" s="24"/>
      <c r="I1041253" s="24"/>
      <c r="J1041253" s="24"/>
      <c r="K1041253" s="54"/>
    </row>
    <row r="1041254" spans="1:11" s="55" customFormat="1" ht="12.75">
      <c r="A1041254" s="24"/>
      <c r="B1041254" s="24"/>
      <c r="C1041254" s="24"/>
      <c r="D1041254" s="24"/>
      <c r="E1041254" s="24"/>
      <c r="F1041254" s="24"/>
      <c r="G1041254" s="24"/>
      <c r="H1041254" s="24"/>
      <c r="I1041254" s="24"/>
      <c r="J1041254" s="24"/>
      <c r="K1041254" s="54"/>
    </row>
    <row r="1041255" spans="1:11" s="55" customFormat="1" ht="12.75">
      <c r="A1041255" s="24"/>
      <c r="B1041255" s="24"/>
      <c r="C1041255" s="24"/>
      <c r="D1041255" s="24"/>
      <c r="E1041255" s="24"/>
      <c r="F1041255" s="24"/>
      <c r="G1041255" s="24"/>
      <c r="H1041255" s="24"/>
      <c r="I1041255" s="24"/>
      <c r="J1041255" s="24"/>
      <c r="K1041255" s="54"/>
    </row>
    <row r="1041256" spans="1:11" s="55" customFormat="1" ht="12.75">
      <c r="A1041256" s="24"/>
      <c r="B1041256" s="24"/>
      <c r="C1041256" s="24"/>
      <c r="D1041256" s="24"/>
      <c r="E1041256" s="24"/>
      <c r="F1041256" s="24"/>
      <c r="G1041256" s="24"/>
      <c r="H1041256" s="24"/>
      <c r="I1041256" s="24"/>
      <c r="J1041256" s="24"/>
      <c r="K1041256" s="54"/>
    </row>
    <row r="1041257" spans="1:11" s="55" customFormat="1" ht="12.75">
      <c r="A1041257" s="24"/>
      <c r="B1041257" s="24"/>
      <c r="C1041257" s="24"/>
      <c r="D1041257" s="24"/>
      <c r="E1041257" s="24"/>
      <c r="F1041257" s="24"/>
      <c r="G1041257" s="24"/>
      <c r="H1041257" s="24"/>
      <c r="I1041257" s="24"/>
      <c r="J1041257" s="24"/>
      <c r="K1041257" s="54"/>
    </row>
    <row r="1041258" spans="1:11" s="55" customFormat="1" ht="12.75">
      <c r="A1041258" s="24"/>
      <c r="B1041258" s="24"/>
      <c r="C1041258" s="24"/>
      <c r="D1041258" s="24"/>
      <c r="E1041258" s="24"/>
      <c r="F1041258" s="24"/>
      <c r="G1041258" s="24"/>
      <c r="H1041258" s="24"/>
      <c r="I1041258" s="24"/>
      <c r="J1041258" s="24"/>
      <c r="K1041258" s="54"/>
    </row>
    <row r="1041259" spans="1:11" s="55" customFormat="1" ht="12.75">
      <c r="A1041259" s="24"/>
      <c r="B1041259" s="24"/>
      <c r="C1041259" s="24"/>
      <c r="D1041259" s="24"/>
      <c r="E1041259" s="24"/>
      <c r="F1041259" s="24"/>
      <c r="G1041259" s="24"/>
      <c r="H1041259" s="24"/>
      <c r="I1041259" s="24"/>
      <c r="J1041259" s="24"/>
      <c r="K1041259" s="54"/>
    </row>
    <row r="1041260" spans="1:11" s="55" customFormat="1" ht="12.75">
      <c r="A1041260" s="24"/>
      <c r="B1041260" s="24"/>
      <c r="C1041260" s="24"/>
      <c r="D1041260" s="24"/>
      <c r="E1041260" s="24"/>
      <c r="F1041260" s="24"/>
      <c r="G1041260" s="24"/>
      <c r="H1041260" s="24"/>
      <c r="I1041260" s="24"/>
      <c r="J1041260" s="24"/>
      <c r="K1041260" s="54"/>
    </row>
    <row r="1041261" spans="1:11" s="55" customFormat="1" ht="12.75">
      <c r="A1041261" s="24"/>
      <c r="B1041261" s="24"/>
      <c r="C1041261" s="24"/>
      <c r="D1041261" s="24"/>
      <c r="E1041261" s="24"/>
      <c r="F1041261" s="24"/>
      <c r="G1041261" s="24"/>
      <c r="H1041261" s="24"/>
      <c r="I1041261" s="24"/>
      <c r="J1041261" s="24"/>
      <c r="K1041261" s="54"/>
    </row>
    <row r="1041262" spans="1:11" s="55" customFormat="1" ht="12.75">
      <c r="A1041262" s="24"/>
      <c r="B1041262" s="24"/>
      <c r="C1041262" s="24"/>
      <c r="D1041262" s="24"/>
      <c r="E1041262" s="24"/>
      <c r="F1041262" s="24"/>
      <c r="G1041262" s="24"/>
      <c r="H1041262" s="24"/>
      <c r="I1041262" s="24"/>
      <c r="J1041262" s="24"/>
      <c r="K1041262" s="54"/>
    </row>
    <row r="1041263" spans="1:11" s="55" customFormat="1" ht="12.75">
      <c r="A1041263" s="24"/>
      <c r="B1041263" s="24"/>
      <c r="C1041263" s="24"/>
      <c r="D1041263" s="24"/>
      <c r="E1041263" s="24"/>
      <c r="F1041263" s="24"/>
      <c r="G1041263" s="24"/>
      <c r="H1041263" s="24"/>
      <c r="I1041263" s="24"/>
      <c r="J1041263" s="24"/>
      <c r="K1041263" s="54"/>
    </row>
    <row r="1041264" spans="1:11" s="55" customFormat="1" ht="12.75">
      <c r="A1041264" s="24"/>
      <c r="B1041264" s="24"/>
      <c r="C1041264" s="24"/>
      <c r="D1041264" s="24"/>
      <c r="E1041264" s="24"/>
      <c r="F1041264" s="24"/>
      <c r="G1041264" s="24"/>
      <c r="H1041264" s="24"/>
      <c r="I1041264" s="24"/>
      <c r="J1041264" s="24"/>
      <c r="K1041264" s="54"/>
    </row>
    <row r="1041265" spans="1:11" s="55" customFormat="1" ht="12.75">
      <c r="A1041265" s="24"/>
      <c r="B1041265" s="24"/>
      <c r="C1041265" s="24"/>
      <c r="D1041265" s="24"/>
      <c r="E1041265" s="24"/>
      <c r="F1041265" s="24"/>
      <c r="G1041265" s="24"/>
      <c r="H1041265" s="24"/>
      <c r="I1041265" s="24"/>
      <c r="J1041265" s="24"/>
      <c r="K1041265" s="54"/>
    </row>
    <row r="1041266" spans="1:11" s="55" customFormat="1" ht="12.75">
      <c r="A1041266" s="24"/>
      <c r="B1041266" s="24"/>
      <c r="C1041266" s="24"/>
      <c r="D1041266" s="24"/>
      <c r="E1041266" s="24"/>
      <c r="F1041266" s="24"/>
      <c r="G1041266" s="24"/>
      <c r="H1041266" s="24"/>
      <c r="I1041266" s="24"/>
      <c r="J1041266" s="24"/>
      <c r="K1041266" s="54"/>
    </row>
    <row r="1041267" spans="1:11" s="55" customFormat="1" ht="12.75">
      <c r="A1041267" s="24"/>
      <c r="B1041267" s="24"/>
      <c r="C1041267" s="24"/>
      <c r="D1041267" s="24"/>
      <c r="E1041267" s="24"/>
      <c r="F1041267" s="24"/>
      <c r="G1041267" s="24"/>
      <c r="H1041267" s="24"/>
      <c r="I1041267" s="24"/>
      <c r="J1041267" s="24"/>
      <c r="K1041267" s="54"/>
    </row>
    <row r="1041268" spans="1:11" s="55" customFormat="1" ht="12.75">
      <c r="A1041268" s="24"/>
      <c r="B1041268" s="24"/>
      <c r="C1041268" s="24"/>
      <c r="D1041268" s="24"/>
      <c r="E1041268" s="24"/>
      <c r="F1041268" s="24"/>
      <c r="G1041268" s="24"/>
      <c r="H1041268" s="24"/>
      <c r="I1041268" s="24"/>
      <c r="J1041268" s="24"/>
      <c r="K1041268" s="54"/>
    </row>
    <row r="1041269" spans="1:11" s="55" customFormat="1" ht="12.75">
      <c r="A1041269" s="24"/>
      <c r="B1041269" s="24"/>
      <c r="C1041269" s="24"/>
      <c r="D1041269" s="24"/>
      <c r="E1041269" s="24"/>
      <c r="F1041269" s="24"/>
      <c r="G1041269" s="24"/>
      <c r="H1041269" s="24"/>
      <c r="I1041269" s="24"/>
      <c r="J1041269" s="24"/>
      <c r="K1041269" s="54"/>
    </row>
    <row r="1041270" spans="1:11" s="55" customFormat="1" ht="12.75">
      <c r="A1041270" s="24"/>
      <c r="B1041270" s="24"/>
      <c r="C1041270" s="24"/>
      <c r="D1041270" s="24"/>
      <c r="E1041270" s="24"/>
      <c r="F1041270" s="24"/>
      <c r="G1041270" s="24"/>
      <c r="H1041270" s="24"/>
      <c r="I1041270" s="24"/>
      <c r="J1041270" s="24"/>
      <c r="K1041270" s="54"/>
    </row>
    <row r="1041271" spans="1:11" s="55" customFormat="1" ht="12.75">
      <c r="A1041271" s="24"/>
      <c r="B1041271" s="24"/>
      <c r="C1041271" s="24"/>
      <c r="D1041271" s="24"/>
      <c r="E1041271" s="24"/>
      <c r="F1041271" s="24"/>
      <c r="G1041271" s="24"/>
      <c r="H1041271" s="24"/>
      <c r="I1041271" s="24"/>
      <c r="J1041271" s="24"/>
      <c r="K1041271" s="54"/>
    </row>
    <row r="1041272" spans="1:11" s="55" customFormat="1" ht="12.75">
      <c r="A1041272" s="24"/>
      <c r="B1041272" s="24"/>
      <c r="C1041272" s="24"/>
      <c r="D1041272" s="24"/>
      <c r="E1041272" s="24"/>
      <c r="F1041272" s="24"/>
      <c r="G1041272" s="24"/>
      <c r="H1041272" s="24"/>
      <c r="I1041272" s="24"/>
      <c r="J1041272" s="24"/>
      <c r="K1041272" s="54"/>
    </row>
    <row r="1041273" spans="1:11" s="55" customFormat="1" ht="12.75">
      <c r="A1041273" s="24"/>
      <c r="B1041273" s="24"/>
      <c r="C1041273" s="24"/>
      <c r="D1041273" s="24"/>
      <c r="E1041273" s="24"/>
      <c r="F1041273" s="24"/>
      <c r="G1041273" s="24"/>
      <c r="H1041273" s="24"/>
      <c r="I1041273" s="24"/>
      <c r="J1041273" s="24"/>
      <c r="K1041273" s="54"/>
    </row>
    <row r="1041274" spans="1:11" s="55" customFormat="1" ht="12.75">
      <c r="A1041274" s="24"/>
      <c r="B1041274" s="24"/>
      <c r="C1041274" s="24"/>
      <c r="D1041274" s="24"/>
      <c r="E1041274" s="24"/>
      <c r="F1041274" s="24"/>
      <c r="G1041274" s="24"/>
      <c r="H1041274" s="24"/>
      <c r="I1041274" s="24"/>
      <c r="J1041274" s="24"/>
      <c r="K1041274" s="54"/>
    </row>
    <row r="1041275" spans="1:11" s="55" customFormat="1" ht="12.75">
      <c r="A1041275" s="24"/>
      <c r="B1041275" s="24"/>
      <c r="C1041275" s="24"/>
      <c r="D1041275" s="24"/>
      <c r="E1041275" s="24"/>
      <c r="F1041275" s="24"/>
      <c r="G1041275" s="24"/>
      <c r="H1041275" s="24"/>
      <c r="I1041275" s="24"/>
      <c r="J1041275" s="24"/>
      <c r="K1041275" s="54"/>
    </row>
    <row r="1041276" spans="1:11" s="55" customFormat="1" ht="12.75">
      <c r="A1041276" s="24"/>
      <c r="B1041276" s="24"/>
      <c r="C1041276" s="24"/>
      <c r="D1041276" s="24"/>
      <c r="E1041276" s="24"/>
      <c r="F1041276" s="24"/>
      <c r="G1041276" s="24"/>
      <c r="H1041276" s="24"/>
      <c r="I1041276" s="24"/>
      <c r="J1041276" s="24"/>
      <c r="K1041276" s="54"/>
    </row>
    <row r="1041277" spans="1:11" s="55" customFormat="1" ht="12.75">
      <c r="A1041277" s="24"/>
      <c r="B1041277" s="24"/>
      <c r="C1041277" s="24"/>
      <c r="D1041277" s="24"/>
      <c r="E1041277" s="24"/>
      <c r="F1041277" s="24"/>
      <c r="G1041277" s="24"/>
      <c r="H1041277" s="24"/>
      <c r="I1041277" s="24"/>
      <c r="J1041277" s="24"/>
      <c r="K1041277" s="54"/>
    </row>
    <row r="1041278" spans="1:11" s="55" customFormat="1" ht="12.75">
      <c r="A1041278" s="24"/>
      <c r="B1041278" s="24"/>
      <c r="C1041278" s="24"/>
      <c r="D1041278" s="24"/>
      <c r="E1041278" s="24"/>
      <c r="F1041278" s="24"/>
      <c r="G1041278" s="24"/>
      <c r="H1041278" s="24"/>
      <c r="I1041278" s="24"/>
      <c r="J1041278" s="24"/>
      <c r="K1041278" s="54"/>
    </row>
    <row r="1041279" spans="1:11" s="55" customFormat="1" ht="12.75">
      <c r="A1041279" s="24"/>
      <c r="B1041279" s="24"/>
      <c r="C1041279" s="24"/>
      <c r="D1041279" s="24"/>
      <c r="E1041279" s="24"/>
      <c r="F1041279" s="24"/>
      <c r="G1041279" s="24"/>
      <c r="H1041279" s="24"/>
      <c r="I1041279" s="24"/>
      <c r="J1041279" s="24"/>
      <c r="K1041279" s="54"/>
    </row>
    <row r="1041280" spans="1:11" s="55" customFormat="1" ht="12.75">
      <c r="A1041280" s="24"/>
      <c r="B1041280" s="24"/>
      <c r="C1041280" s="24"/>
      <c r="D1041280" s="24"/>
      <c r="E1041280" s="24"/>
      <c r="F1041280" s="24"/>
      <c r="G1041280" s="24"/>
      <c r="H1041280" s="24"/>
      <c r="I1041280" s="24"/>
      <c r="J1041280" s="24"/>
      <c r="K1041280" s="54"/>
    </row>
    <row r="1041281" spans="1:11" s="55" customFormat="1" ht="12.75">
      <c r="A1041281" s="24"/>
      <c r="B1041281" s="24"/>
      <c r="C1041281" s="24"/>
      <c r="D1041281" s="24"/>
      <c r="E1041281" s="24"/>
      <c r="F1041281" s="24"/>
      <c r="G1041281" s="24"/>
      <c r="H1041281" s="24"/>
      <c r="I1041281" s="24"/>
      <c r="J1041281" s="24"/>
      <c r="K1041281" s="54"/>
    </row>
    <row r="1041282" spans="1:11" s="55" customFormat="1" ht="12.75">
      <c r="A1041282" s="24"/>
      <c r="B1041282" s="24"/>
      <c r="C1041282" s="24"/>
      <c r="D1041282" s="24"/>
      <c r="E1041282" s="24"/>
      <c r="F1041282" s="24"/>
      <c r="G1041282" s="24"/>
      <c r="H1041282" s="24"/>
      <c r="I1041282" s="24"/>
      <c r="J1041282" s="24"/>
      <c r="K1041282" s="54"/>
    </row>
    <row r="1041283" spans="1:11" s="55" customFormat="1" ht="12.75">
      <c r="A1041283" s="24"/>
      <c r="B1041283" s="24"/>
      <c r="C1041283" s="24"/>
      <c r="D1041283" s="24"/>
      <c r="E1041283" s="24"/>
      <c r="F1041283" s="24"/>
      <c r="G1041283" s="24"/>
      <c r="H1041283" s="24"/>
      <c r="I1041283" s="24"/>
      <c r="J1041283" s="24"/>
      <c r="K1041283" s="54"/>
    </row>
    <row r="1041284" spans="1:11" s="55" customFormat="1" ht="12.75">
      <c r="A1041284" s="24"/>
      <c r="B1041284" s="24"/>
      <c r="C1041284" s="24"/>
      <c r="D1041284" s="24"/>
      <c r="E1041284" s="24"/>
      <c r="F1041284" s="24"/>
      <c r="G1041284" s="24"/>
      <c r="H1041284" s="24"/>
      <c r="I1041284" s="24"/>
      <c r="J1041284" s="24"/>
      <c r="K1041284" s="54"/>
    </row>
    <row r="1041285" spans="1:11" s="55" customFormat="1" ht="12.75">
      <c r="A1041285" s="24"/>
      <c r="B1041285" s="24"/>
      <c r="C1041285" s="24"/>
      <c r="D1041285" s="24"/>
      <c r="E1041285" s="24"/>
      <c r="F1041285" s="24"/>
      <c r="G1041285" s="24"/>
      <c r="H1041285" s="24"/>
      <c r="I1041285" s="24"/>
      <c r="J1041285" s="24"/>
      <c r="K1041285" s="54"/>
    </row>
    <row r="1041286" spans="1:11" s="55" customFormat="1" ht="12.75">
      <c r="A1041286" s="24"/>
      <c r="B1041286" s="24"/>
      <c r="C1041286" s="24"/>
      <c r="D1041286" s="24"/>
      <c r="E1041286" s="24"/>
      <c r="F1041286" s="24"/>
      <c r="G1041286" s="24"/>
      <c r="H1041286" s="24"/>
      <c r="I1041286" s="24"/>
      <c r="J1041286" s="24"/>
      <c r="K1041286" s="54"/>
    </row>
    <row r="1041287" spans="1:11" s="55" customFormat="1" ht="12.75">
      <c r="A1041287" s="24"/>
      <c r="B1041287" s="24"/>
      <c r="C1041287" s="24"/>
      <c r="D1041287" s="24"/>
      <c r="E1041287" s="24"/>
      <c r="F1041287" s="24"/>
      <c r="G1041287" s="24"/>
      <c r="H1041287" s="24"/>
      <c r="I1041287" s="24"/>
      <c r="J1041287" s="24"/>
      <c r="K1041287" s="54"/>
    </row>
    <row r="1041288" spans="1:11" s="55" customFormat="1" ht="12.75">
      <c r="A1041288" s="24"/>
      <c r="B1041288" s="24"/>
      <c r="C1041288" s="24"/>
      <c r="D1041288" s="24"/>
      <c r="E1041288" s="24"/>
      <c r="F1041288" s="24"/>
      <c r="G1041288" s="24"/>
      <c r="H1041288" s="24"/>
      <c r="I1041288" s="24"/>
      <c r="J1041288" s="24"/>
      <c r="K1041288" s="54"/>
    </row>
    <row r="1041289" spans="1:11" s="55" customFormat="1" ht="12.75">
      <c r="A1041289" s="24"/>
      <c r="B1041289" s="24"/>
      <c r="C1041289" s="24"/>
      <c r="D1041289" s="24"/>
      <c r="E1041289" s="24"/>
      <c r="F1041289" s="24"/>
      <c r="G1041289" s="24"/>
      <c r="H1041289" s="24"/>
      <c r="I1041289" s="24"/>
      <c r="J1041289" s="24"/>
      <c r="K1041289" s="54"/>
    </row>
    <row r="1041290" spans="1:11" s="55" customFormat="1" ht="12.75">
      <c r="A1041290" s="24"/>
      <c r="B1041290" s="24"/>
      <c r="C1041290" s="24"/>
      <c r="D1041290" s="24"/>
      <c r="E1041290" s="24"/>
      <c r="F1041290" s="24"/>
      <c r="G1041290" s="24"/>
      <c r="H1041290" s="24"/>
      <c r="I1041290" s="24"/>
      <c r="J1041290" s="24"/>
      <c r="K1041290" s="54"/>
    </row>
    <row r="1041291" spans="1:11" s="55" customFormat="1" ht="12.75">
      <c r="A1041291" s="24"/>
      <c r="B1041291" s="24"/>
      <c r="C1041291" s="24"/>
      <c r="D1041291" s="24"/>
      <c r="E1041291" s="24"/>
      <c r="F1041291" s="24"/>
      <c r="G1041291" s="24"/>
      <c r="H1041291" s="24"/>
      <c r="I1041291" s="24"/>
      <c r="J1041291" s="24"/>
      <c r="K1041291" s="54"/>
    </row>
    <row r="1041292" spans="1:11" s="55" customFormat="1" ht="12.75">
      <c r="A1041292" s="24"/>
      <c r="B1041292" s="24"/>
      <c r="C1041292" s="24"/>
      <c r="D1041292" s="24"/>
      <c r="E1041292" s="24"/>
      <c r="F1041292" s="24"/>
      <c r="G1041292" s="24"/>
      <c r="H1041292" s="24"/>
      <c r="I1041292" s="24"/>
      <c r="J1041292" s="24"/>
      <c r="K1041292" s="54"/>
    </row>
    <row r="1041293" spans="1:11" s="55" customFormat="1" ht="12.75">
      <c r="A1041293" s="24"/>
      <c r="B1041293" s="24"/>
      <c r="C1041293" s="24"/>
      <c r="D1041293" s="24"/>
      <c r="E1041293" s="24"/>
      <c r="F1041293" s="24"/>
      <c r="G1041293" s="24"/>
      <c r="H1041293" s="24"/>
      <c r="I1041293" s="24"/>
      <c r="J1041293" s="24"/>
      <c r="K1041293" s="54"/>
    </row>
    <row r="1041294" spans="1:11" s="55" customFormat="1" ht="12.75">
      <c r="A1041294" s="24"/>
      <c r="B1041294" s="24"/>
      <c r="C1041294" s="24"/>
      <c r="D1041294" s="24"/>
      <c r="E1041294" s="24"/>
      <c r="F1041294" s="24"/>
      <c r="G1041294" s="24"/>
      <c r="H1041294" s="24"/>
      <c r="I1041294" s="24"/>
      <c r="J1041294" s="24"/>
      <c r="K1041294" s="54"/>
    </row>
    <row r="1041295" spans="1:11" s="55" customFormat="1" ht="12.75">
      <c r="A1041295" s="24"/>
      <c r="B1041295" s="24"/>
      <c r="C1041295" s="24"/>
      <c r="D1041295" s="24"/>
      <c r="E1041295" s="24"/>
      <c r="F1041295" s="24"/>
      <c r="G1041295" s="24"/>
      <c r="H1041295" s="24"/>
      <c r="I1041295" s="24"/>
      <c r="J1041295" s="24"/>
      <c r="K1041295" s="54"/>
    </row>
    <row r="1041296" spans="1:11" s="55" customFormat="1" ht="12.75">
      <c r="A1041296" s="24"/>
      <c r="B1041296" s="24"/>
      <c r="C1041296" s="24"/>
      <c r="D1041296" s="24"/>
      <c r="E1041296" s="24"/>
      <c r="F1041296" s="24"/>
      <c r="G1041296" s="24"/>
      <c r="H1041296" s="24"/>
      <c r="I1041296" s="24"/>
      <c r="J1041296" s="24"/>
      <c r="K1041296" s="54"/>
    </row>
    <row r="1041297" spans="1:11" s="55" customFormat="1" ht="12.75">
      <c r="A1041297" s="24"/>
      <c r="B1041297" s="24"/>
      <c r="C1041297" s="24"/>
      <c r="D1041297" s="24"/>
      <c r="E1041297" s="24"/>
      <c r="F1041297" s="24"/>
      <c r="G1041297" s="24"/>
      <c r="H1041297" s="24"/>
      <c r="I1041297" s="24"/>
      <c r="J1041297" s="24"/>
      <c r="K1041297" s="54"/>
    </row>
    <row r="1041298" spans="1:11" s="55" customFormat="1" ht="12.75">
      <c r="A1041298" s="24"/>
      <c r="B1041298" s="24"/>
      <c r="C1041298" s="24"/>
      <c r="D1041298" s="24"/>
      <c r="E1041298" s="24"/>
      <c r="F1041298" s="24"/>
      <c r="G1041298" s="24"/>
      <c r="H1041298" s="24"/>
      <c r="I1041298" s="24"/>
      <c r="J1041298" s="24"/>
      <c r="K1041298" s="54"/>
    </row>
    <row r="1041299" spans="1:11" s="55" customFormat="1" ht="12.75">
      <c r="A1041299" s="24"/>
      <c r="B1041299" s="24"/>
      <c r="C1041299" s="24"/>
      <c r="D1041299" s="24"/>
      <c r="E1041299" s="24"/>
      <c r="F1041299" s="24"/>
      <c r="G1041299" s="24"/>
      <c r="H1041299" s="24"/>
      <c r="I1041299" s="24"/>
      <c r="J1041299" s="24"/>
      <c r="K1041299" s="54"/>
    </row>
    <row r="1041300" spans="1:11" s="55" customFormat="1" ht="12.75">
      <c r="A1041300" s="24"/>
      <c r="B1041300" s="24"/>
      <c r="C1041300" s="24"/>
      <c r="D1041300" s="24"/>
      <c r="E1041300" s="24"/>
      <c r="F1041300" s="24"/>
      <c r="G1041300" s="24"/>
      <c r="H1041300" s="24"/>
      <c r="I1041300" s="24"/>
      <c r="J1041300" s="24"/>
      <c r="K1041300" s="54"/>
    </row>
    <row r="1041301" spans="1:11" s="55" customFormat="1" ht="12.75">
      <c r="A1041301" s="24"/>
      <c r="B1041301" s="24"/>
      <c r="C1041301" s="24"/>
      <c r="D1041301" s="24"/>
      <c r="E1041301" s="24"/>
      <c r="F1041301" s="24"/>
      <c r="G1041301" s="24"/>
      <c r="H1041301" s="24"/>
      <c r="I1041301" s="24"/>
      <c r="J1041301" s="24"/>
      <c r="K1041301" s="54"/>
    </row>
    <row r="1041302" spans="1:11" s="55" customFormat="1" ht="12.75">
      <c r="A1041302" s="24"/>
      <c r="B1041302" s="24"/>
      <c r="C1041302" s="24"/>
      <c r="D1041302" s="24"/>
      <c r="E1041302" s="24"/>
      <c r="F1041302" s="24"/>
      <c r="G1041302" s="24"/>
      <c r="H1041302" s="24"/>
      <c r="I1041302" s="24"/>
      <c r="J1041302" s="24"/>
      <c r="K1041302" s="54"/>
    </row>
    <row r="1041303" spans="1:11" s="55" customFormat="1" ht="12.75">
      <c r="A1041303" s="24"/>
      <c r="B1041303" s="24"/>
      <c r="C1041303" s="24"/>
      <c r="D1041303" s="24"/>
      <c r="E1041303" s="24"/>
      <c r="F1041303" s="24"/>
      <c r="G1041303" s="24"/>
      <c r="H1041303" s="24"/>
      <c r="I1041303" s="24"/>
      <c r="J1041303" s="24"/>
      <c r="K1041303" s="54"/>
    </row>
    <row r="1041304" spans="1:11" s="55" customFormat="1" ht="12.75">
      <c r="A1041304" s="24"/>
      <c r="B1041304" s="24"/>
      <c r="C1041304" s="24"/>
      <c r="D1041304" s="24"/>
      <c r="E1041304" s="24"/>
      <c r="F1041304" s="24"/>
      <c r="G1041304" s="24"/>
      <c r="H1041304" s="24"/>
      <c r="I1041304" s="24"/>
      <c r="J1041304" s="24"/>
      <c r="K1041304" s="54"/>
    </row>
    <row r="1041305" spans="1:11" s="55" customFormat="1" ht="12.75">
      <c r="A1041305" s="24"/>
      <c r="B1041305" s="24"/>
      <c r="C1041305" s="24"/>
      <c r="D1041305" s="24"/>
      <c r="E1041305" s="24"/>
      <c r="F1041305" s="24"/>
      <c r="G1041305" s="24"/>
      <c r="H1041305" s="24"/>
      <c r="I1041305" s="24"/>
      <c r="J1041305" s="24"/>
      <c r="K1041305" s="54"/>
    </row>
    <row r="1041306" spans="1:11" s="55" customFormat="1" ht="12.75">
      <c r="A1041306" s="24"/>
      <c r="B1041306" s="24"/>
      <c r="C1041306" s="24"/>
      <c r="D1041306" s="24"/>
      <c r="E1041306" s="24"/>
      <c r="F1041306" s="24"/>
      <c r="G1041306" s="24"/>
      <c r="H1041306" s="24"/>
      <c r="I1041306" s="24"/>
      <c r="J1041306" s="24"/>
      <c r="K1041306" s="54"/>
    </row>
    <row r="1041307" spans="1:11" s="55" customFormat="1" ht="12.75">
      <c r="A1041307" s="24"/>
      <c r="B1041307" s="24"/>
      <c r="C1041307" s="24"/>
      <c r="D1041307" s="24"/>
      <c r="E1041307" s="24"/>
      <c r="F1041307" s="24"/>
      <c r="G1041307" s="24"/>
      <c r="H1041307" s="24"/>
      <c r="I1041307" s="24"/>
      <c r="J1041307" s="24"/>
      <c r="K1041307" s="54"/>
    </row>
    <row r="1041308" spans="1:11" s="55" customFormat="1" ht="12.75">
      <c r="A1041308" s="24"/>
      <c r="B1041308" s="24"/>
      <c r="C1041308" s="24"/>
      <c r="D1041308" s="24"/>
      <c r="E1041308" s="24"/>
      <c r="F1041308" s="24"/>
      <c r="G1041308" s="24"/>
      <c r="H1041308" s="24"/>
      <c r="I1041308" s="24"/>
      <c r="J1041308" s="24"/>
      <c r="K1041308" s="54"/>
    </row>
    <row r="1041309" spans="1:11" s="55" customFormat="1" ht="12.75">
      <c r="A1041309" s="24"/>
      <c r="B1041309" s="24"/>
      <c r="C1041309" s="24"/>
      <c r="D1041309" s="24"/>
      <c r="E1041309" s="24"/>
      <c r="F1041309" s="24"/>
      <c r="G1041309" s="24"/>
      <c r="H1041309" s="24"/>
      <c r="I1041309" s="24"/>
      <c r="J1041309" s="24"/>
      <c r="K1041309" s="54"/>
    </row>
    <row r="1041310" spans="1:11" s="55" customFormat="1" ht="12.75">
      <c r="A1041310" s="24"/>
      <c r="B1041310" s="24"/>
      <c r="C1041310" s="24"/>
      <c r="D1041310" s="24"/>
      <c r="E1041310" s="24"/>
      <c r="F1041310" s="24"/>
      <c r="G1041310" s="24"/>
      <c r="H1041310" s="24"/>
      <c r="I1041310" s="24"/>
      <c r="J1041310" s="24"/>
      <c r="K1041310" s="54"/>
    </row>
    <row r="1041311" spans="1:11" s="55" customFormat="1" ht="12.75">
      <c r="A1041311" s="24"/>
      <c r="B1041311" s="24"/>
      <c r="C1041311" s="24"/>
      <c r="D1041311" s="24"/>
      <c r="E1041311" s="24"/>
      <c r="F1041311" s="24"/>
      <c r="G1041311" s="24"/>
      <c r="H1041311" s="24"/>
      <c r="I1041311" s="24"/>
      <c r="J1041311" s="24"/>
      <c r="K1041311" s="54"/>
    </row>
    <row r="1041312" spans="1:11" s="55" customFormat="1" ht="12.75">
      <c r="A1041312" s="24"/>
      <c r="B1041312" s="24"/>
      <c r="C1041312" s="24"/>
      <c r="D1041312" s="24"/>
      <c r="E1041312" s="24"/>
      <c r="F1041312" s="24"/>
      <c r="G1041312" s="24"/>
      <c r="H1041312" s="24"/>
      <c r="I1041312" s="24"/>
      <c r="J1041312" s="24"/>
      <c r="K1041312" s="54"/>
    </row>
    <row r="1041313" spans="1:11" s="55" customFormat="1" ht="12.75">
      <c r="A1041313" s="24"/>
      <c r="B1041313" s="24"/>
      <c r="C1041313" s="24"/>
      <c r="D1041313" s="24"/>
      <c r="E1041313" s="24"/>
      <c r="F1041313" s="24"/>
      <c r="G1041313" s="24"/>
      <c r="H1041313" s="24"/>
      <c r="I1041313" s="24"/>
      <c r="J1041313" s="24"/>
      <c r="K1041313" s="54"/>
    </row>
    <row r="1041314" spans="1:11" s="55" customFormat="1" ht="12.75">
      <c r="A1041314" s="24"/>
      <c r="B1041314" s="24"/>
      <c r="C1041314" s="24"/>
      <c r="D1041314" s="24"/>
      <c r="E1041314" s="24"/>
      <c r="F1041314" s="24"/>
      <c r="G1041314" s="24"/>
      <c r="H1041314" s="24"/>
      <c r="I1041314" s="24"/>
      <c r="J1041314" s="24"/>
      <c r="K1041314" s="54"/>
    </row>
    <row r="1041315" spans="1:11" s="55" customFormat="1" ht="12.75">
      <c r="A1041315" s="24"/>
      <c r="B1041315" s="24"/>
      <c r="C1041315" s="24"/>
      <c r="D1041315" s="24"/>
      <c r="E1041315" s="24"/>
      <c r="F1041315" s="24"/>
      <c r="G1041315" s="24"/>
      <c r="H1041315" s="24"/>
      <c r="I1041315" s="24"/>
      <c r="J1041315" s="24"/>
      <c r="K1041315" s="54"/>
    </row>
    <row r="1041316" spans="1:11" s="55" customFormat="1" ht="12.75">
      <c r="A1041316" s="24"/>
      <c r="B1041316" s="24"/>
      <c r="C1041316" s="24"/>
      <c r="D1041316" s="24"/>
      <c r="E1041316" s="24"/>
      <c r="F1041316" s="24"/>
      <c r="G1041316" s="24"/>
      <c r="H1041316" s="24"/>
      <c r="I1041316" s="24"/>
      <c r="J1041316" s="24"/>
      <c r="K1041316" s="54"/>
    </row>
    <row r="1041317" spans="1:11" s="55" customFormat="1" ht="12.75">
      <c r="A1041317" s="24"/>
      <c r="B1041317" s="24"/>
      <c r="C1041317" s="24"/>
      <c r="D1041317" s="24"/>
      <c r="E1041317" s="24"/>
      <c r="F1041317" s="24"/>
      <c r="G1041317" s="24"/>
      <c r="H1041317" s="24"/>
      <c r="I1041317" s="24"/>
      <c r="J1041317" s="24"/>
      <c r="K1041317" s="54"/>
    </row>
    <row r="1041318" spans="1:11" s="55" customFormat="1" ht="12.75">
      <c r="A1041318" s="24"/>
      <c r="B1041318" s="24"/>
      <c r="C1041318" s="24"/>
      <c r="D1041318" s="24"/>
      <c r="E1041318" s="24"/>
      <c r="F1041318" s="24"/>
      <c r="G1041318" s="24"/>
      <c r="H1041318" s="24"/>
      <c r="I1041318" s="24"/>
      <c r="J1041318" s="24"/>
      <c r="K1041318" s="54"/>
    </row>
    <row r="1041319" spans="1:11" s="55" customFormat="1" ht="12.75">
      <c r="A1041319" s="24"/>
      <c r="B1041319" s="24"/>
      <c r="C1041319" s="24"/>
      <c r="D1041319" s="24"/>
      <c r="E1041319" s="24"/>
      <c r="F1041319" s="24"/>
      <c r="G1041319" s="24"/>
      <c r="H1041319" s="24"/>
      <c r="I1041319" s="24"/>
      <c r="J1041319" s="24"/>
      <c r="K1041319" s="54"/>
    </row>
    <row r="1041320" spans="1:11" s="55" customFormat="1" ht="12.75">
      <c r="A1041320" s="24"/>
      <c r="B1041320" s="24"/>
      <c r="C1041320" s="24"/>
      <c r="D1041320" s="24"/>
      <c r="E1041320" s="24"/>
      <c r="F1041320" s="24"/>
      <c r="G1041320" s="24"/>
      <c r="H1041320" s="24"/>
      <c r="I1041320" s="24"/>
      <c r="J1041320" s="24"/>
      <c r="K1041320" s="54"/>
    </row>
    <row r="1041321" spans="1:11" s="55" customFormat="1" ht="12.75">
      <c r="A1041321" s="24"/>
      <c r="B1041321" s="24"/>
      <c r="C1041321" s="24"/>
      <c r="D1041321" s="24"/>
      <c r="E1041321" s="24"/>
      <c r="F1041321" s="24"/>
      <c r="G1041321" s="24"/>
      <c r="H1041321" s="24"/>
      <c r="I1041321" s="24"/>
      <c r="J1041321" s="24"/>
      <c r="K1041321" s="54"/>
    </row>
    <row r="1041322" spans="1:11" s="55" customFormat="1" ht="12.75">
      <c r="A1041322" s="24"/>
      <c r="B1041322" s="24"/>
      <c r="C1041322" s="24"/>
      <c r="D1041322" s="24"/>
      <c r="E1041322" s="24"/>
      <c r="F1041322" s="24"/>
      <c r="G1041322" s="24"/>
      <c r="H1041322" s="24"/>
      <c r="I1041322" s="24"/>
      <c r="J1041322" s="24"/>
      <c r="K1041322" s="54"/>
    </row>
    <row r="1041323" spans="1:11" s="55" customFormat="1" ht="12.75">
      <c r="A1041323" s="24"/>
      <c r="B1041323" s="24"/>
      <c r="C1041323" s="24"/>
      <c r="D1041323" s="24"/>
      <c r="E1041323" s="24"/>
      <c r="F1041323" s="24"/>
      <c r="G1041323" s="24"/>
      <c r="H1041323" s="24"/>
      <c r="I1041323" s="24"/>
      <c r="J1041323" s="24"/>
      <c r="K1041323" s="54"/>
    </row>
    <row r="1041324" spans="1:11" s="55" customFormat="1" ht="12.75">
      <c r="A1041324" s="24"/>
      <c r="B1041324" s="24"/>
      <c r="C1041324" s="24"/>
      <c r="D1041324" s="24"/>
      <c r="E1041324" s="24"/>
      <c r="F1041324" s="24"/>
      <c r="G1041324" s="24"/>
      <c r="H1041324" s="24"/>
      <c r="I1041324" s="24"/>
      <c r="J1041324" s="24"/>
      <c r="K1041324" s="54"/>
    </row>
    <row r="1041325" spans="1:11" s="55" customFormat="1" ht="12.75">
      <c r="A1041325" s="24"/>
      <c r="B1041325" s="24"/>
      <c r="C1041325" s="24"/>
      <c r="D1041325" s="24"/>
      <c r="E1041325" s="24"/>
      <c r="F1041325" s="24"/>
      <c r="G1041325" s="24"/>
      <c r="H1041325" s="24"/>
      <c r="I1041325" s="24"/>
      <c r="J1041325" s="24"/>
      <c r="K1041325" s="54"/>
    </row>
    <row r="1041326" spans="1:11" s="55" customFormat="1" ht="12.75">
      <c r="A1041326" s="24"/>
      <c r="B1041326" s="24"/>
      <c r="C1041326" s="24"/>
      <c r="D1041326" s="24"/>
      <c r="E1041326" s="24"/>
      <c r="F1041326" s="24"/>
      <c r="G1041326" s="24"/>
      <c r="H1041326" s="24"/>
      <c r="I1041326" s="24"/>
      <c r="J1041326" s="24"/>
      <c r="K1041326" s="54"/>
    </row>
    <row r="1041327" spans="1:11" s="55" customFormat="1" ht="12.75">
      <c r="A1041327" s="24"/>
      <c r="B1041327" s="24"/>
      <c r="C1041327" s="24"/>
      <c r="D1041327" s="24"/>
      <c r="E1041327" s="24"/>
      <c r="F1041327" s="24"/>
      <c r="G1041327" s="24"/>
      <c r="H1041327" s="24"/>
      <c r="I1041327" s="24"/>
      <c r="J1041327" s="24"/>
      <c r="K1041327" s="54"/>
    </row>
    <row r="1041328" spans="1:11" s="55" customFormat="1" ht="12.75">
      <c r="A1041328" s="24"/>
      <c r="B1041328" s="24"/>
      <c r="C1041328" s="24"/>
      <c r="D1041328" s="24"/>
      <c r="E1041328" s="24"/>
      <c r="F1041328" s="24"/>
      <c r="G1041328" s="24"/>
      <c r="H1041328" s="24"/>
      <c r="I1041328" s="24"/>
      <c r="J1041328" s="24"/>
      <c r="K1041328" s="54"/>
    </row>
    <row r="1041329" spans="1:11" s="55" customFormat="1" ht="12.75">
      <c r="A1041329" s="24"/>
      <c r="B1041329" s="24"/>
      <c r="C1041329" s="24"/>
      <c r="D1041329" s="24"/>
      <c r="E1041329" s="24"/>
      <c r="F1041329" s="24"/>
      <c r="G1041329" s="24"/>
      <c r="H1041329" s="24"/>
      <c r="I1041329" s="24"/>
      <c r="J1041329" s="24"/>
      <c r="K1041329" s="54"/>
    </row>
    <row r="1041330" spans="1:11" s="55" customFormat="1" ht="12.75">
      <c r="A1041330" s="24"/>
      <c r="B1041330" s="24"/>
      <c r="C1041330" s="24"/>
      <c r="D1041330" s="24"/>
      <c r="E1041330" s="24"/>
      <c r="F1041330" s="24"/>
      <c r="G1041330" s="24"/>
      <c r="H1041330" s="24"/>
      <c r="I1041330" s="24"/>
      <c r="J1041330" s="24"/>
      <c r="K1041330" s="54"/>
    </row>
    <row r="1041331" spans="1:11" s="55" customFormat="1" ht="12.75">
      <c r="A1041331" s="24"/>
      <c r="B1041331" s="24"/>
      <c r="C1041331" s="24"/>
      <c r="D1041331" s="24"/>
      <c r="E1041331" s="24"/>
      <c r="F1041331" s="24"/>
      <c r="G1041331" s="24"/>
      <c r="H1041331" s="24"/>
      <c r="I1041331" s="24"/>
      <c r="J1041331" s="24"/>
      <c r="K1041331" s="54"/>
    </row>
    <row r="1041332" spans="1:11" s="55" customFormat="1" ht="12.75">
      <c r="A1041332" s="24"/>
      <c r="B1041332" s="24"/>
      <c r="C1041332" s="24"/>
      <c r="D1041332" s="24"/>
      <c r="E1041332" s="24"/>
      <c r="F1041332" s="24"/>
      <c r="G1041332" s="24"/>
      <c r="H1041332" s="24"/>
      <c r="I1041332" s="24"/>
      <c r="J1041332" s="24"/>
      <c r="K1041332" s="54"/>
    </row>
    <row r="1041333" spans="1:11" s="55" customFormat="1" ht="12.75">
      <c r="A1041333" s="24"/>
      <c r="B1041333" s="24"/>
      <c r="C1041333" s="24"/>
      <c r="D1041333" s="24"/>
      <c r="E1041333" s="24"/>
      <c r="F1041333" s="24"/>
      <c r="G1041333" s="24"/>
      <c r="H1041333" s="24"/>
      <c r="I1041333" s="24"/>
      <c r="J1041333" s="24"/>
      <c r="K1041333" s="54"/>
    </row>
    <row r="1041334" spans="1:11" s="55" customFormat="1" ht="12.75">
      <c r="A1041334" s="24"/>
      <c r="B1041334" s="24"/>
      <c r="C1041334" s="24"/>
      <c r="D1041334" s="24"/>
      <c r="E1041334" s="24"/>
      <c r="F1041334" s="24"/>
      <c r="G1041334" s="24"/>
      <c r="H1041334" s="24"/>
      <c r="I1041334" s="24"/>
      <c r="J1041334" s="24"/>
      <c r="K1041334" s="54"/>
    </row>
    <row r="1041335" spans="1:11" s="55" customFormat="1" ht="12.75">
      <c r="A1041335" s="24"/>
      <c r="B1041335" s="24"/>
      <c r="C1041335" s="24"/>
      <c r="D1041335" s="24"/>
      <c r="E1041335" s="24"/>
      <c r="F1041335" s="24"/>
      <c r="G1041335" s="24"/>
      <c r="H1041335" s="24"/>
      <c r="I1041335" s="24"/>
      <c r="J1041335" s="24"/>
      <c r="K1041335" s="54"/>
    </row>
    <row r="1041336" spans="1:11" s="55" customFormat="1" ht="12.75">
      <c r="A1041336" s="24"/>
      <c r="B1041336" s="24"/>
      <c r="C1041336" s="24"/>
      <c r="D1041336" s="24"/>
      <c r="E1041336" s="24"/>
      <c r="F1041336" s="24"/>
      <c r="G1041336" s="24"/>
      <c r="H1041336" s="24"/>
      <c r="I1041336" s="24"/>
      <c r="J1041336" s="24"/>
      <c r="K1041336" s="54"/>
    </row>
    <row r="1041337" spans="1:11" s="55" customFormat="1" ht="12.75">
      <c r="A1041337" s="24"/>
      <c r="B1041337" s="24"/>
      <c r="C1041337" s="24"/>
      <c r="D1041337" s="24"/>
      <c r="E1041337" s="24"/>
      <c r="F1041337" s="24"/>
      <c r="G1041337" s="24"/>
      <c r="H1041337" s="24"/>
      <c r="I1041337" s="24"/>
      <c r="J1041337" s="24"/>
      <c r="K1041337" s="54"/>
    </row>
    <row r="1041338" spans="1:11" s="55" customFormat="1" ht="12.75">
      <c r="A1041338" s="24"/>
      <c r="B1041338" s="24"/>
      <c r="C1041338" s="24"/>
      <c r="D1041338" s="24"/>
      <c r="E1041338" s="24"/>
      <c r="F1041338" s="24"/>
      <c r="G1041338" s="24"/>
      <c r="H1041338" s="24"/>
      <c r="I1041338" s="24"/>
      <c r="J1041338" s="24"/>
      <c r="K1041338" s="54"/>
    </row>
    <row r="1041339" spans="1:11" s="55" customFormat="1" ht="12.75">
      <c r="A1041339" s="24"/>
      <c r="B1041339" s="24"/>
      <c r="C1041339" s="24"/>
      <c r="D1041339" s="24"/>
      <c r="E1041339" s="24"/>
      <c r="F1041339" s="24"/>
      <c r="G1041339" s="24"/>
      <c r="H1041339" s="24"/>
      <c r="I1041339" s="24"/>
      <c r="J1041339" s="24"/>
      <c r="K1041339" s="54"/>
    </row>
    <row r="1041340" spans="1:11" s="55" customFormat="1" ht="12.75">
      <c r="A1041340" s="24"/>
      <c r="B1041340" s="24"/>
      <c r="C1041340" s="24"/>
      <c r="D1041340" s="24"/>
      <c r="E1041340" s="24"/>
      <c r="F1041340" s="24"/>
      <c r="G1041340" s="24"/>
      <c r="H1041340" s="24"/>
      <c r="I1041340" s="24"/>
      <c r="J1041340" s="24"/>
      <c r="K1041340" s="54"/>
    </row>
    <row r="1041341" spans="1:11" s="55" customFormat="1" ht="12.75">
      <c r="A1041341" s="24"/>
      <c r="B1041341" s="24"/>
      <c r="C1041341" s="24"/>
      <c r="D1041341" s="24"/>
      <c r="E1041341" s="24"/>
      <c r="F1041341" s="24"/>
      <c r="G1041341" s="24"/>
      <c r="H1041341" s="24"/>
      <c r="I1041341" s="24"/>
      <c r="J1041341" s="24"/>
      <c r="K1041341" s="54"/>
    </row>
    <row r="1041342" spans="1:11" s="55" customFormat="1" ht="12.75">
      <c r="A1041342" s="24"/>
      <c r="B1041342" s="24"/>
      <c r="C1041342" s="24"/>
      <c r="D1041342" s="24"/>
      <c r="E1041342" s="24"/>
      <c r="F1041342" s="24"/>
      <c r="G1041342" s="24"/>
      <c r="H1041342" s="24"/>
      <c r="I1041342" s="24"/>
      <c r="J1041342" s="24"/>
      <c r="K1041342" s="54"/>
    </row>
    <row r="1041343" spans="1:11" s="55" customFormat="1" ht="12.75">
      <c r="A1041343" s="24"/>
      <c r="B1041343" s="24"/>
      <c r="C1041343" s="24"/>
      <c r="D1041343" s="24"/>
      <c r="E1041343" s="24"/>
      <c r="F1041343" s="24"/>
      <c r="G1041343" s="24"/>
      <c r="H1041343" s="24"/>
      <c r="I1041343" s="24"/>
      <c r="J1041343" s="24"/>
      <c r="K1041343" s="54"/>
    </row>
    <row r="1041344" spans="1:11" s="55" customFormat="1" ht="12.75">
      <c r="A1041344" s="24"/>
      <c r="B1041344" s="24"/>
      <c r="C1041344" s="24"/>
      <c r="D1041344" s="24"/>
      <c r="E1041344" s="24"/>
      <c r="F1041344" s="24"/>
      <c r="G1041344" s="24"/>
      <c r="H1041344" s="24"/>
      <c r="I1041344" s="24"/>
      <c r="J1041344" s="24"/>
      <c r="K1041344" s="54"/>
    </row>
    <row r="1041345" spans="1:11" s="55" customFormat="1" ht="12.75">
      <c r="A1041345" s="24"/>
      <c r="B1041345" s="24"/>
      <c r="C1041345" s="24"/>
      <c r="D1041345" s="24"/>
      <c r="E1041345" s="24"/>
      <c r="F1041345" s="24"/>
      <c r="G1041345" s="24"/>
      <c r="H1041345" s="24"/>
      <c r="I1041345" s="24"/>
      <c r="J1041345" s="24"/>
      <c r="K1041345" s="54"/>
    </row>
    <row r="1041346" spans="1:11" s="55" customFormat="1" ht="12.75">
      <c r="A1041346" s="24"/>
      <c r="B1041346" s="24"/>
      <c r="C1041346" s="24"/>
      <c r="D1041346" s="24"/>
      <c r="E1041346" s="24"/>
      <c r="F1041346" s="24"/>
      <c r="G1041346" s="24"/>
      <c r="H1041346" s="24"/>
      <c r="I1041346" s="24"/>
      <c r="J1041346" s="24"/>
      <c r="K1041346" s="54"/>
    </row>
    <row r="1041347" spans="1:11" s="55" customFormat="1" ht="12.75">
      <c r="A1041347" s="24"/>
      <c r="B1041347" s="24"/>
      <c r="C1041347" s="24"/>
      <c r="D1041347" s="24"/>
      <c r="E1041347" s="24"/>
      <c r="F1041347" s="24"/>
      <c r="G1041347" s="24"/>
      <c r="H1041347" s="24"/>
      <c r="I1041347" s="24"/>
      <c r="J1041347" s="24"/>
      <c r="K1041347" s="54"/>
    </row>
    <row r="1041348" spans="1:11" s="55" customFormat="1" ht="12.75">
      <c r="A1041348" s="24"/>
      <c r="B1041348" s="24"/>
      <c r="C1041348" s="24"/>
      <c r="D1041348" s="24"/>
      <c r="E1041348" s="24"/>
      <c r="F1041348" s="24"/>
      <c r="G1041348" s="24"/>
      <c r="H1041348" s="24"/>
      <c r="I1041348" s="24"/>
      <c r="J1041348" s="24"/>
      <c r="K1041348" s="54"/>
    </row>
    <row r="1041349" spans="1:11" s="55" customFormat="1" ht="12.75">
      <c r="A1041349" s="24"/>
      <c r="B1041349" s="24"/>
      <c r="C1041349" s="24"/>
      <c r="D1041349" s="24"/>
      <c r="E1041349" s="24"/>
      <c r="F1041349" s="24"/>
      <c r="G1041349" s="24"/>
      <c r="H1041349" s="24"/>
      <c r="I1041349" s="24"/>
      <c r="J1041349" s="24"/>
      <c r="K1041349" s="54"/>
    </row>
    <row r="1041350" spans="1:11" s="55" customFormat="1" ht="12.75">
      <c r="A1041350" s="24"/>
      <c r="B1041350" s="24"/>
      <c r="C1041350" s="24"/>
      <c r="D1041350" s="24"/>
      <c r="E1041350" s="24"/>
      <c r="F1041350" s="24"/>
      <c r="G1041350" s="24"/>
      <c r="H1041350" s="24"/>
      <c r="I1041350" s="24"/>
      <c r="J1041350" s="24"/>
      <c r="K1041350" s="54"/>
    </row>
    <row r="1041351" spans="1:11" s="55" customFormat="1" ht="12.75">
      <c r="A1041351" s="24"/>
      <c r="B1041351" s="24"/>
      <c r="C1041351" s="24"/>
      <c r="D1041351" s="24"/>
      <c r="E1041351" s="24"/>
      <c r="F1041351" s="24"/>
      <c r="G1041351" s="24"/>
      <c r="H1041351" s="24"/>
      <c r="I1041351" s="24"/>
      <c r="J1041351" s="24"/>
      <c r="K1041351" s="54"/>
    </row>
    <row r="1041352" spans="1:11" s="55" customFormat="1" ht="12.75">
      <c r="A1041352" s="24"/>
      <c r="B1041352" s="24"/>
      <c r="C1041352" s="24"/>
      <c r="D1041352" s="24"/>
      <c r="E1041352" s="24"/>
      <c r="F1041352" s="24"/>
      <c r="G1041352" s="24"/>
      <c r="H1041352" s="24"/>
      <c r="I1041352" s="24"/>
      <c r="J1041352" s="24"/>
      <c r="K1041352" s="54"/>
    </row>
    <row r="1041353" spans="1:11" s="55" customFormat="1" ht="12.75">
      <c r="A1041353" s="24"/>
      <c r="B1041353" s="24"/>
      <c r="C1041353" s="24"/>
      <c r="D1041353" s="24"/>
      <c r="E1041353" s="24"/>
      <c r="F1041353" s="24"/>
      <c r="G1041353" s="24"/>
      <c r="H1041353" s="24"/>
      <c r="I1041353" s="24"/>
      <c r="J1041353" s="24"/>
      <c r="K1041353" s="54"/>
    </row>
    <row r="1041354" spans="1:11" s="55" customFormat="1" ht="12.75">
      <c r="A1041354" s="24"/>
      <c r="B1041354" s="24"/>
      <c r="C1041354" s="24"/>
      <c r="D1041354" s="24"/>
      <c r="E1041354" s="24"/>
      <c r="F1041354" s="24"/>
      <c r="G1041354" s="24"/>
      <c r="H1041354" s="24"/>
      <c r="I1041354" s="24"/>
      <c r="J1041354" s="24"/>
      <c r="K1041354" s="54"/>
    </row>
    <row r="1041355" spans="1:11" s="55" customFormat="1" ht="12.75">
      <c r="A1041355" s="24"/>
      <c r="B1041355" s="24"/>
      <c r="C1041355" s="24"/>
      <c r="D1041355" s="24"/>
      <c r="E1041355" s="24"/>
      <c r="F1041355" s="24"/>
      <c r="G1041355" s="24"/>
      <c r="H1041355" s="24"/>
      <c r="I1041355" s="24"/>
      <c r="J1041355" s="24"/>
      <c r="K1041355" s="54"/>
    </row>
    <row r="1041356" spans="1:11" s="55" customFormat="1" ht="12.75">
      <c r="A1041356" s="24"/>
      <c r="B1041356" s="24"/>
      <c r="C1041356" s="24"/>
      <c r="D1041356" s="24"/>
      <c r="E1041356" s="24"/>
      <c r="F1041356" s="24"/>
      <c r="G1041356" s="24"/>
      <c r="H1041356" s="24"/>
      <c r="I1041356" s="24"/>
      <c r="J1041356" s="24"/>
      <c r="K1041356" s="54"/>
    </row>
    <row r="1041357" spans="1:11" s="55" customFormat="1" ht="12.75">
      <c r="A1041357" s="24"/>
      <c r="B1041357" s="24"/>
      <c r="C1041357" s="24"/>
      <c r="D1041357" s="24"/>
      <c r="E1041357" s="24"/>
      <c r="F1041357" s="24"/>
      <c r="G1041357" s="24"/>
      <c r="H1041357" s="24"/>
      <c r="I1041357" s="24"/>
      <c r="J1041357" s="24"/>
      <c r="K1041357" s="54"/>
    </row>
    <row r="1041358" spans="1:11" s="55" customFormat="1" ht="12.75">
      <c r="A1041358" s="24"/>
      <c r="B1041358" s="24"/>
      <c r="C1041358" s="24"/>
      <c r="D1041358" s="24"/>
      <c r="E1041358" s="24"/>
      <c r="F1041358" s="24"/>
      <c r="G1041358" s="24"/>
      <c r="H1041358" s="24"/>
      <c r="I1041358" s="24"/>
      <c r="J1041358" s="24"/>
      <c r="K1041358" s="54"/>
    </row>
    <row r="1041359" spans="1:11" s="55" customFormat="1" ht="12.75">
      <c r="A1041359" s="24"/>
      <c r="B1041359" s="24"/>
      <c r="C1041359" s="24"/>
      <c r="D1041359" s="24"/>
      <c r="E1041359" s="24"/>
      <c r="F1041359" s="24"/>
      <c r="G1041359" s="24"/>
      <c r="H1041359" s="24"/>
      <c r="I1041359" s="24"/>
      <c r="J1041359" s="24"/>
      <c r="K1041359" s="54"/>
    </row>
    <row r="1041360" spans="1:11" s="55" customFormat="1" ht="12.75">
      <c r="A1041360" s="24"/>
      <c r="B1041360" s="24"/>
      <c r="C1041360" s="24"/>
      <c r="D1041360" s="24"/>
      <c r="E1041360" s="24"/>
      <c r="F1041360" s="24"/>
      <c r="G1041360" s="24"/>
      <c r="H1041360" s="24"/>
      <c r="I1041360" s="24"/>
      <c r="J1041360" s="24"/>
      <c r="K1041360" s="54"/>
    </row>
    <row r="1041361" spans="1:11" s="55" customFormat="1" ht="12.75">
      <c r="A1041361" s="24"/>
      <c r="B1041361" s="24"/>
      <c r="C1041361" s="24"/>
      <c r="D1041361" s="24"/>
      <c r="E1041361" s="24"/>
      <c r="F1041361" s="24"/>
      <c r="G1041361" s="24"/>
      <c r="H1041361" s="24"/>
      <c r="I1041361" s="24"/>
      <c r="J1041361" s="24"/>
      <c r="K1041361" s="54"/>
    </row>
    <row r="1041362" spans="1:11" s="55" customFormat="1" ht="12.75">
      <c r="A1041362" s="24"/>
      <c r="B1041362" s="24"/>
      <c r="C1041362" s="24"/>
      <c r="D1041362" s="24"/>
      <c r="E1041362" s="24"/>
      <c r="F1041362" s="24"/>
      <c r="G1041362" s="24"/>
      <c r="H1041362" s="24"/>
      <c r="I1041362" s="24"/>
      <c r="J1041362" s="24"/>
      <c r="K1041362" s="54"/>
    </row>
    <row r="1041363" spans="1:11" s="55" customFormat="1" ht="12.75">
      <c r="A1041363" s="24"/>
      <c r="B1041363" s="24"/>
      <c r="C1041363" s="24"/>
      <c r="D1041363" s="24"/>
      <c r="E1041363" s="24"/>
      <c r="F1041363" s="24"/>
      <c r="G1041363" s="24"/>
      <c r="H1041363" s="24"/>
      <c r="I1041363" s="24"/>
      <c r="J1041363" s="24"/>
      <c r="K1041363" s="54"/>
    </row>
    <row r="1041364" spans="1:11" s="55" customFormat="1" ht="12.75">
      <c r="A1041364" s="24"/>
      <c r="B1041364" s="24"/>
      <c r="C1041364" s="24"/>
      <c r="D1041364" s="24"/>
      <c r="E1041364" s="24"/>
      <c r="F1041364" s="24"/>
      <c r="G1041364" s="24"/>
      <c r="H1041364" s="24"/>
      <c r="I1041364" s="24"/>
      <c r="J1041364" s="24"/>
      <c r="K1041364" s="54"/>
    </row>
    <row r="1041365" spans="1:11" s="55" customFormat="1" ht="12.75">
      <c r="A1041365" s="24"/>
      <c r="B1041365" s="24"/>
      <c r="C1041365" s="24"/>
      <c r="D1041365" s="24"/>
      <c r="E1041365" s="24"/>
      <c r="F1041365" s="24"/>
      <c r="G1041365" s="24"/>
      <c r="H1041365" s="24"/>
      <c r="I1041365" s="24"/>
      <c r="J1041365" s="24"/>
      <c r="K1041365" s="54"/>
    </row>
    <row r="1041366" spans="1:11" s="55" customFormat="1" ht="12.75">
      <c r="A1041366" s="24"/>
      <c r="B1041366" s="24"/>
      <c r="C1041366" s="24"/>
      <c r="D1041366" s="24"/>
      <c r="E1041366" s="24"/>
      <c r="F1041366" s="24"/>
      <c r="G1041366" s="24"/>
      <c r="H1041366" s="24"/>
      <c r="I1041366" s="24"/>
      <c r="J1041366" s="24"/>
      <c r="K1041366" s="54"/>
    </row>
    <row r="1041367" spans="1:11" s="55" customFormat="1" ht="12.75">
      <c r="A1041367" s="24"/>
      <c r="B1041367" s="24"/>
      <c r="C1041367" s="24"/>
      <c r="D1041367" s="24"/>
      <c r="E1041367" s="24"/>
      <c r="F1041367" s="24"/>
      <c r="G1041367" s="24"/>
      <c r="H1041367" s="24"/>
      <c r="I1041367" s="24"/>
      <c r="J1041367" s="24"/>
      <c r="K1041367" s="54"/>
    </row>
    <row r="1041368" spans="1:11" s="55" customFormat="1" ht="12.75">
      <c r="A1041368" s="24"/>
      <c r="B1041368" s="24"/>
      <c r="C1041368" s="24"/>
      <c r="D1041368" s="24"/>
      <c r="E1041368" s="24"/>
      <c r="F1041368" s="24"/>
      <c r="G1041368" s="24"/>
      <c r="H1041368" s="24"/>
      <c r="I1041368" s="24"/>
      <c r="J1041368" s="24"/>
      <c r="K1041368" s="54"/>
    </row>
    <row r="1041369" spans="1:11" s="55" customFormat="1" ht="12.75">
      <c r="A1041369" s="24"/>
      <c r="B1041369" s="24"/>
      <c r="C1041369" s="24"/>
      <c r="D1041369" s="24"/>
      <c r="E1041369" s="24"/>
      <c r="F1041369" s="24"/>
      <c r="G1041369" s="24"/>
      <c r="H1041369" s="24"/>
      <c r="I1041369" s="24"/>
      <c r="J1041369" s="24"/>
      <c r="K1041369" s="54"/>
    </row>
    <row r="1041370" spans="1:11" s="55" customFormat="1" ht="12.75">
      <c r="A1041370" s="24"/>
      <c r="B1041370" s="24"/>
      <c r="C1041370" s="24"/>
      <c r="D1041370" s="24"/>
      <c r="E1041370" s="24"/>
      <c r="F1041370" s="24"/>
      <c r="G1041370" s="24"/>
      <c r="H1041370" s="24"/>
      <c r="I1041370" s="24"/>
      <c r="J1041370" s="24"/>
      <c r="K1041370" s="54"/>
    </row>
    <row r="1041371" spans="1:11" s="55" customFormat="1" ht="12.75">
      <c r="A1041371" s="24"/>
      <c r="B1041371" s="24"/>
      <c r="C1041371" s="24"/>
      <c r="D1041371" s="24"/>
      <c r="E1041371" s="24"/>
      <c r="F1041371" s="24"/>
      <c r="G1041371" s="24"/>
      <c r="H1041371" s="24"/>
      <c r="I1041371" s="24"/>
      <c r="J1041371" s="24"/>
      <c r="K1041371" s="54"/>
    </row>
    <row r="1041372" spans="1:11" s="55" customFormat="1" ht="12.75">
      <c r="A1041372" s="24"/>
      <c r="B1041372" s="24"/>
      <c r="C1041372" s="24"/>
      <c r="D1041372" s="24"/>
      <c r="E1041372" s="24"/>
      <c r="F1041372" s="24"/>
      <c r="G1041372" s="24"/>
      <c r="H1041372" s="24"/>
      <c r="I1041372" s="24"/>
      <c r="J1041372" s="24"/>
      <c r="K1041372" s="54"/>
    </row>
    <row r="1041373" spans="1:11" s="55" customFormat="1" ht="12.75">
      <c r="A1041373" s="24"/>
      <c r="B1041373" s="24"/>
      <c r="C1041373" s="24"/>
      <c r="D1041373" s="24"/>
      <c r="E1041373" s="24"/>
      <c r="F1041373" s="24"/>
      <c r="G1041373" s="24"/>
      <c r="H1041373" s="24"/>
      <c r="I1041373" s="24"/>
      <c r="J1041373" s="24"/>
      <c r="K1041373" s="54"/>
    </row>
    <row r="1041374" spans="1:11" s="55" customFormat="1" ht="12.75">
      <c r="A1041374" s="24"/>
      <c r="B1041374" s="24"/>
      <c r="C1041374" s="24"/>
      <c r="D1041374" s="24"/>
      <c r="E1041374" s="24"/>
      <c r="F1041374" s="24"/>
      <c r="G1041374" s="24"/>
      <c r="H1041374" s="24"/>
      <c r="I1041374" s="24"/>
      <c r="J1041374" s="24"/>
      <c r="K1041374" s="54"/>
    </row>
    <row r="1041375" spans="1:11" s="55" customFormat="1" ht="12.75">
      <c r="A1041375" s="24"/>
      <c r="B1041375" s="24"/>
      <c r="C1041375" s="24"/>
      <c r="D1041375" s="24"/>
      <c r="E1041375" s="24"/>
      <c r="F1041375" s="24"/>
      <c r="G1041375" s="24"/>
      <c r="H1041375" s="24"/>
      <c r="I1041375" s="24"/>
      <c r="J1041375" s="24"/>
      <c r="K1041375" s="54"/>
    </row>
    <row r="1041376" spans="1:11" s="55" customFormat="1" ht="12.75">
      <c r="A1041376" s="24"/>
      <c r="B1041376" s="24"/>
      <c r="C1041376" s="24"/>
      <c r="D1041376" s="24"/>
      <c r="E1041376" s="24"/>
      <c r="F1041376" s="24"/>
      <c r="G1041376" s="24"/>
      <c r="H1041376" s="24"/>
      <c r="I1041376" s="24"/>
      <c r="J1041376" s="24"/>
      <c r="K1041376" s="54"/>
    </row>
    <row r="1041377" spans="1:11" s="55" customFormat="1" ht="12.75">
      <c r="A1041377" s="24"/>
      <c r="B1041377" s="24"/>
      <c r="C1041377" s="24"/>
      <c r="D1041377" s="24"/>
      <c r="E1041377" s="24"/>
      <c r="F1041377" s="24"/>
      <c r="G1041377" s="24"/>
      <c r="H1041377" s="24"/>
      <c r="I1041377" s="24"/>
      <c r="J1041377" s="24"/>
      <c r="K1041377" s="54"/>
    </row>
    <row r="1041378" spans="1:11" s="55" customFormat="1" ht="12.75">
      <c r="A1041378" s="24"/>
      <c r="B1041378" s="24"/>
      <c r="C1041378" s="24"/>
      <c r="D1041378" s="24"/>
      <c r="E1041378" s="24"/>
      <c r="F1041378" s="24"/>
      <c r="G1041378" s="24"/>
      <c r="H1041378" s="24"/>
      <c r="I1041378" s="24"/>
      <c r="J1041378" s="24"/>
      <c r="K1041378" s="54"/>
    </row>
    <row r="1041379" spans="1:11" s="55" customFormat="1" ht="12.75">
      <c r="A1041379" s="24"/>
      <c r="B1041379" s="24"/>
      <c r="C1041379" s="24"/>
      <c r="D1041379" s="24"/>
      <c r="E1041379" s="24"/>
      <c r="F1041379" s="24"/>
      <c r="G1041379" s="24"/>
      <c r="H1041379" s="24"/>
      <c r="I1041379" s="24"/>
      <c r="J1041379" s="24"/>
      <c r="K1041379" s="54"/>
    </row>
    <row r="1041380" spans="1:11" s="55" customFormat="1" ht="12.75">
      <c r="A1041380" s="24"/>
      <c r="B1041380" s="24"/>
      <c r="C1041380" s="24"/>
      <c r="D1041380" s="24"/>
      <c r="E1041380" s="24"/>
      <c r="F1041380" s="24"/>
      <c r="G1041380" s="24"/>
      <c r="H1041380" s="24"/>
      <c r="I1041380" s="24"/>
      <c r="J1041380" s="24"/>
      <c r="K1041380" s="54"/>
    </row>
    <row r="1041381" spans="1:11" s="55" customFormat="1" ht="12.75">
      <c r="A1041381" s="24"/>
      <c r="B1041381" s="24"/>
      <c r="C1041381" s="24"/>
      <c r="D1041381" s="24"/>
      <c r="E1041381" s="24"/>
      <c r="F1041381" s="24"/>
      <c r="G1041381" s="24"/>
      <c r="H1041381" s="24"/>
      <c r="I1041381" s="24"/>
      <c r="J1041381" s="24"/>
      <c r="K1041381" s="54"/>
    </row>
    <row r="1041382" spans="1:11" s="55" customFormat="1" ht="12.75">
      <c r="A1041382" s="24"/>
      <c r="B1041382" s="24"/>
      <c r="C1041382" s="24"/>
      <c r="D1041382" s="24"/>
      <c r="E1041382" s="24"/>
      <c r="F1041382" s="24"/>
      <c r="G1041382" s="24"/>
      <c r="H1041382" s="24"/>
      <c r="I1041382" s="24"/>
      <c r="J1041382" s="24"/>
      <c r="K1041382" s="54"/>
    </row>
    <row r="1041383" spans="1:11" s="55" customFormat="1" ht="12.75">
      <c r="A1041383" s="24"/>
      <c r="B1041383" s="24"/>
      <c r="C1041383" s="24"/>
      <c r="D1041383" s="24"/>
      <c r="E1041383" s="24"/>
      <c r="F1041383" s="24"/>
      <c r="G1041383" s="24"/>
      <c r="H1041383" s="24"/>
      <c r="I1041383" s="24"/>
      <c r="J1041383" s="24"/>
      <c r="K1041383" s="54"/>
    </row>
    <row r="1041384" spans="1:11" s="55" customFormat="1" ht="12.75">
      <c r="A1041384" s="24"/>
      <c r="B1041384" s="24"/>
      <c r="C1041384" s="24"/>
      <c r="D1041384" s="24"/>
      <c r="E1041384" s="24"/>
      <c r="F1041384" s="24"/>
      <c r="G1041384" s="24"/>
      <c r="H1041384" s="24"/>
      <c r="I1041384" s="24"/>
      <c r="J1041384" s="24"/>
      <c r="K1041384" s="54"/>
    </row>
    <row r="1041385" spans="1:11" s="55" customFormat="1" ht="12.75">
      <c r="A1041385" s="24"/>
      <c r="B1041385" s="24"/>
      <c r="C1041385" s="24"/>
      <c r="D1041385" s="24"/>
      <c r="E1041385" s="24"/>
      <c r="F1041385" s="24"/>
      <c r="G1041385" s="24"/>
      <c r="H1041385" s="24"/>
      <c r="I1041385" s="24"/>
      <c r="J1041385" s="24"/>
      <c r="K1041385" s="54"/>
    </row>
    <row r="1041386" spans="1:11" s="55" customFormat="1" ht="12.75">
      <c r="A1041386" s="24"/>
      <c r="B1041386" s="24"/>
      <c r="C1041386" s="24"/>
      <c r="D1041386" s="24"/>
      <c r="E1041386" s="24"/>
      <c r="F1041386" s="24"/>
      <c r="G1041386" s="24"/>
      <c r="H1041386" s="24"/>
      <c r="I1041386" s="24"/>
      <c r="J1041386" s="24"/>
      <c r="K1041386" s="54"/>
    </row>
    <row r="1041387" spans="1:11" s="55" customFormat="1" ht="12.75">
      <c r="A1041387" s="24"/>
      <c r="B1041387" s="24"/>
      <c r="C1041387" s="24"/>
      <c r="D1041387" s="24"/>
      <c r="E1041387" s="24"/>
      <c r="F1041387" s="24"/>
      <c r="G1041387" s="24"/>
      <c r="H1041387" s="24"/>
      <c r="I1041387" s="24"/>
      <c r="J1041387" s="24"/>
      <c r="K1041387" s="54"/>
    </row>
    <row r="1041388" spans="1:11" s="55" customFormat="1" ht="12.75">
      <c r="A1041388" s="24"/>
      <c r="B1041388" s="24"/>
      <c r="C1041388" s="24"/>
      <c r="D1041388" s="24"/>
      <c r="E1041388" s="24"/>
      <c r="F1041388" s="24"/>
      <c r="G1041388" s="24"/>
      <c r="H1041388" s="24"/>
      <c r="I1041388" s="24"/>
      <c r="J1041388" s="24"/>
      <c r="K1041388" s="54"/>
    </row>
    <row r="1041389" spans="1:11" s="55" customFormat="1" ht="12.75">
      <c r="A1041389" s="24"/>
      <c r="B1041389" s="24"/>
      <c r="C1041389" s="24"/>
      <c r="D1041389" s="24"/>
      <c r="E1041389" s="24"/>
      <c r="F1041389" s="24"/>
      <c r="G1041389" s="24"/>
      <c r="H1041389" s="24"/>
      <c r="I1041389" s="24"/>
      <c r="J1041389" s="24"/>
      <c r="K1041389" s="54"/>
    </row>
    <row r="1041390" spans="1:11" s="55" customFormat="1" ht="12.75">
      <c r="A1041390" s="24"/>
      <c r="B1041390" s="24"/>
      <c r="C1041390" s="24"/>
      <c r="D1041390" s="24"/>
      <c r="E1041390" s="24"/>
      <c r="F1041390" s="24"/>
      <c r="G1041390" s="24"/>
      <c r="H1041390" s="24"/>
      <c r="I1041390" s="24"/>
      <c r="J1041390" s="24"/>
      <c r="K1041390" s="54"/>
    </row>
    <row r="1041391" spans="1:11" s="55" customFormat="1" ht="12.75">
      <c r="A1041391" s="24"/>
      <c r="B1041391" s="24"/>
      <c r="C1041391" s="24"/>
      <c r="D1041391" s="24"/>
      <c r="E1041391" s="24"/>
      <c r="F1041391" s="24"/>
      <c r="G1041391" s="24"/>
      <c r="H1041391" s="24"/>
      <c r="I1041391" s="24"/>
      <c r="J1041391" s="24"/>
      <c r="K1041391" s="54"/>
    </row>
    <row r="1041392" spans="1:11" s="55" customFormat="1" ht="12.75">
      <c r="A1041392" s="24"/>
      <c r="B1041392" s="24"/>
      <c r="C1041392" s="24"/>
      <c r="D1041392" s="24"/>
      <c r="E1041392" s="24"/>
      <c r="F1041392" s="24"/>
      <c r="G1041392" s="24"/>
      <c r="H1041392" s="24"/>
      <c r="I1041392" s="24"/>
      <c r="J1041392" s="24"/>
      <c r="K1041392" s="54"/>
    </row>
    <row r="1041393" spans="1:11" s="55" customFormat="1" ht="12.75">
      <c r="A1041393" s="24"/>
      <c r="B1041393" s="24"/>
      <c r="C1041393" s="24"/>
      <c r="D1041393" s="24"/>
      <c r="E1041393" s="24"/>
      <c r="F1041393" s="24"/>
      <c r="G1041393" s="24"/>
      <c r="H1041393" s="24"/>
      <c r="I1041393" s="24"/>
      <c r="J1041393" s="24"/>
      <c r="K1041393" s="54"/>
    </row>
    <row r="1041394" spans="1:11" s="55" customFormat="1" ht="12.75">
      <c r="A1041394" s="24"/>
      <c r="B1041394" s="24"/>
      <c r="C1041394" s="24"/>
      <c r="D1041394" s="24"/>
      <c r="E1041394" s="24"/>
      <c r="F1041394" s="24"/>
      <c r="G1041394" s="24"/>
      <c r="H1041394" s="24"/>
      <c r="I1041394" s="24"/>
      <c r="J1041394" s="24"/>
      <c r="K1041394" s="54"/>
    </row>
    <row r="1041395" spans="1:11" s="55" customFormat="1" ht="12.75">
      <c r="A1041395" s="24"/>
      <c r="B1041395" s="24"/>
      <c r="C1041395" s="24"/>
      <c r="D1041395" s="24"/>
      <c r="E1041395" s="24"/>
      <c r="F1041395" s="24"/>
      <c r="G1041395" s="24"/>
      <c r="H1041395" s="24"/>
      <c r="I1041395" s="24"/>
      <c r="J1041395" s="24"/>
      <c r="K1041395" s="54"/>
    </row>
    <row r="1041396" spans="1:11" s="55" customFormat="1" ht="12.75">
      <c r="A1041396" s="24"/>
      <c r="B1041396" s="24"/>
      <c r="C1041396" s="24"/>
      <c r="D1041396" s="24"/>
      <c r="E1041396" s="24"/>
      <c r="F1041396" s="24"/>
      <c r="G1041396" s="24"/>
      <c r="H1041396" s="24"/>
      <c r="I1041396" s="24"/>
      <c r="J1041396" s="24"/>
      <c r="K1041396" s="54"/>
    </row>
    <row r="1041397" spans="1:11" s="55" customFormat="1" ht="12.75">
      <c r="A1041397" s="24"/>
      <c r="B1041397" s="24"/>
      <c r="C1041397" s="24"/>
      <c r="D1041397" s="24"/>
      <c r="E1041397" s="24"/>
      <c r="F1041397" s="24"/>
      <c r="G1041397" s="24"/>
      <c r="H1041397" s="24"/>
      <c r="I1041397" s="24"/>
      <c r="J1041397" s="24"/>
      <c r="K1041397" s="54"/>
    </row>
    <row r="1041398" spans="1:11" s="55" customFormat="1" ht="12.75">
      <c r="A1041398" s="24"/>
      <c r="B1041398" s="24"/>
      <c r="C1041398" s="24"/>
      <c r="D1041398" s="24"/>
      <c r="E1041398" s="24"/>
      <c r="F1041398" s="24"/>
      <c r="G1041398" s="24"/>
      <c r="H1041398" s="24"/>
      <c r="I1041398" s="24"/>
      <c r="J1041398" s="24"/>
      <c r="K1041398" s="54"/>
    </row>
    <row r="1041399" spans="1:11" s="55" customFormat="1" ht="12.75">
      <c r="A1041399" s="24"/>
      <c r="B1041399" s="24"/>
      <c r="C1041399" s="24"/>
      <c r="D1041399" s="24"/>
      <c r="E1041399" s="24"/>
      <c r="F1041399" s="24"/>
      <c r="G1041399" s="24"/>
      <c r="H1041399" s="24"/>
      <c r="I1041399" s="24"/>
      <c r="J1041399" s="24"/>
      <c r="K1041399" s="54"/>
    </row>
    <row r="1041400" spans="1:11" s="55" customFormat="1" ht="12.75">
      <c r="A1041400" s="24"/>
      <c r="B1041400" s="24"/>
      <c r="C1041400" s="24"/>
      <c r="D1041400" s="24"/>
      <c r="E1041400" s="24"/>
      <c r="F1041400" s="24"/>
      <c r="G1041400" s="24"/>
      <c r="H1041400" s="24"/>
      <c r="I1041400" s="24"/>
      <c r="J1041400" s="24"/>
      <c r="K1041400" s="54"/>
    </row>
    <row r="1041401" spans="1:11" s="55" customFormat="1" ht="12.75">
      <c r="A1041401" s="24"/>
      <c r="B1041401" s="24"/>
      <c r="C1041401" s="24"/>
      <c r="D1041401" s="24"/>
      <c r="E1041401" s="24"/>
      <c r="F1041401" s="24"/>
      <c r="G1041401" s="24"/>
      <c r="H1041401" s="24"/>
      <c r="I1041401" s="24"/>
      <c r="J1041401" s="24"/>
      <c r="K1041401" s="54"/>
    </row>
    <row r="1041402" spans="1:11" s="55" customFormat="1" ht="12.75">
      <c r="A1041402" s="24"/>
      <c r="B1041402" s="24"/>
      <c r="C1041402" s="24"/>
      <c r="D1041402" s="24"/>
      <c r="E1041402" s="24"/>
      <c r="F1041402" s="24"/>
      <c r="G1041402" s="24"/>
      <c r="H1041402" s="24"/>
      <c r="I1041402" s="24"/>
      <c r="J1041402" s="24"/>
      <c r="K1041402" s="54"/>
    </row>
    <row r="1041403" spans="1:11" s="55" customFormat="1" ht="12.75">
      <c r="A1041403" s="24"/>
      <c r="B1041403" s="24"/>
      <c r="C1041403" s="24"/>
      <c r="D1041403" s="24"/>
      <c r="E1041403" s="24"/>
      <c r="F1041403" s="24"/>
      <c r="G1041403" s="24"/>
      <c r="H1041403" s="24"/>
      <c r="I1041403" s="24"/>
      <c r="J1041403" s="24"/>
      <c r="K1041403" s="54"/>
    </row>
    <row r="1041404" spans="1:11" s="55" customFormat="1" ht="12.75">
      <c r="A1041404" s="24"/>
      <c r="B1041404" s="24"/>
      <c r="C1041404" s="24"/>
      <c r="D1041404" s="24"/>
      <c r="E1041404" s="24"/>
      <c r="F1041404" s="24"/>
      <c r="G1041404" s="24"/>
      <c r="H1041404" s="24"/>
      <c r="I1041404" s="24"/>
      <c r="J1041404" s="24"/>
      <c r="K1041404" s="54"/>
    </row>
    <row r="1041405" spans="1:11" s="55" customFormat="1" ht="12.75">
      <c r="A1041405" s="24"/>
      <c r="B1041405" s="24"/>
      <c r="C1041405" s="24"/>
      <c r="D1041405" s="24"/>
      <c r="E1041405" s="24"/>
      <c r="F1041405" s="24"/>
      <c r="G1041405" s="24"/>
      <c r="H1041405" s="24"/>
      <c r="I1041405" s="24"/>
      <c r="J1041405" s="24"/>
      <c r="K1041405" s="54"/>
    </row>
    <row r="1041406" spans="1:11" s="55" customFormat="1" ht="12.75">
      <c r="A1041406" s="24"/>
      <c r="B1041406" s="24"/>
      <c r="C1041406" s="24"/>
      <c r="D1041406" s="24"/>
      <c r="E1041406" s="24"/>
      <c r="F1041406" s="24"/>
      <c r="G1041406" s="24"/>
      <c r="H1041406" s="24"/>
      <c r="I1041406" s="24"/>
      <c r="J1041406" s="24"/>
      <c r="K1041406" s="54"/>
    </row>
    <row r="1041407" spans="1:11" s="55" customFormat="1" ht="12.75">
      <c r="A1041407" s="24"/>
      <c r="B1041407" s="24"/>
      <c r="C1041407" s="24"/>
      <c r="D1041407" s="24"/>
      <c r="E1041407" s="24"/>
      <c r="F1041407" s="24"/>
      <c r="G1041407" s="24"/>
      <c r="H1041407" s="24"/>
      <c r="I1041407" s="24"/>
      <c r="J1041407" s="24"/>
      <c r="K1041407" s="54"/>
    </row>
    <row r="1041408" spans="1:11" s="55" customFormat="1" ht="12.75">
      <c r="A1041408" s="24"/>
      <c r="B1041408" s="24"/>
      <c r="C1041408" s="24"/>
      <c r="D1041408" s="24"/>
      <c r="E1041408" s="24"/>
      <c r="F1041408" s="24"/>
      <c r="G1041408" s="24"/>
      <c r="H1041408" s="24"/>
      <c r="I1041408" s="24"/>
      <c r="J1041408" s="24"/>
      <c r="K1041408" s="54"/>
    </row>
    <row r="1041409" spans="1:11" s="55" customFormat="1" ht="12.75">
      <c r="A1041409" s="24"/>
      <c r="B1041409" s="24"/>
      <c r="C1041409" s="24"/>
      <c r="D1041409" s="24"/>
      <c r="E1041409" s="24"/>
      <c r="F1041409" s="24"/>
      <c r="G1041409" s="24"/>
      <c r="H1041409" s="24"/>
      <c r="I1041409" s="24"/>
      <c r="J1041409" s="24"/>
      <c r="K1041409" s="54"/>
    </row>
    <row r="1041410" spans="1:11" s="55" customFormat="1" ht="12.75">
      <c r="A1041410" s="24"/>
      <c r="B1041410" s="24"/>
      <c r="C1041410" s="24"/>
      <c r="D1041410" s="24"/>
      <c r="E1041410" s="24"/>
      <c r="F1041410" s="24"/>
      <c r="G1041410" s="24"/>
      <c r="H1041410" s="24"/>
      <c r="I1041410" s="24"/>
      <c r="J1041410" s="24"/>
      <c r="K1041410" s="54"/>
    </row>
    <row r="1041411" spans="1:11" s="55" customFormat="1" ht="12.75">
      <c r="A1041411" s="24"/>
      <c r="B1041411" s="24"/>
      <c r="C1041411" s="24"/>
      <c r="D1041411" s="24"/>
      <c r="E1041411" s="24"/>
      <c r="F1041411" s="24"/>
      <c r="G1041411" s="24"/>
      <c r="H1041411" s="24"/>
      <c r="I1041411" s="24"/>
      <c r="J1041411" s="24"/>
      <c r="K1041411" s="54"/>
    </row>
    <row r="1041412" spans="1:11" s="55" customFormat="1" ht="12.75">
      <c r="A1041412" s="24"/>
      <c r="B1041412" s="24"/>
      <c r="C1041412" s="24"/>
      <c r="D1041412" s="24"/>
      <c r="E1041412" s="24"/>
      <c r="F1041412" s="24"/>
      <c r="G1041412" s="24"/>
      <c r="H1041412" s="24"/>
      <c r="I1041412" s="24"/>
      <c r="J1041412" s="24"/>
      <c r="K1041412" s="54"/>
    </row>
    <row r="1041413" spans="1:11" s="55" customFormat="1" ht="12.75">
      <c r="A1041413" s="24"/>
      <c r="B1041413" s="24"/>
      <c r="C1041413" s="24"/>
      <c r="D1041413" s="24"/>
      <c r="E1041413" s="24"/>
      <c r="F1041413" s="24"/>
      <c r="G1041413" s="24"/>
      <c r="H1041413" s="24"/>
      <c r="I1041413" s="24"/>
      <c r="J1041413" s="24"/>
      <c r="K1041413" s="54"/>
    </row>
    <row r="1041414" spans="1:11" s="55" customFormat="1" ht="12.75">
      <c r="A1041414" s="24"/>
      <c r="B1041414" s="24"/>
      <c r="C1041414" s="24"/>
      <c r="D1041414" s="24"/>
      <c r="E1041414" s="24"/>
      <c r="F1041414" s="24"/>
      <c r="G1041414" s="24"/>
      <c r="H1041414" s="24"/>
      <c r="I1041414" s="24"/>
      <c r="J1041414" s="24"/>
      <c r="K1041414" s="54"/>
    </row>
    <row r="1041415" spans="1:11" s="55" customFormat="1" ht="12.75">
      <c r="A1041415" s="24"/>
      <c r="B1041415" s="24"/>
      <c r="C1041415" s="24"/>
      <c r="D1041415" s="24"/>
      <c r="E1041415" s="24"/>
      <c r="F1041415" s="24"/>
      <c r="G1041415" s="24"/>
      <c r="H1041415" s="24"/>
      <c r="I1041415" s="24"/>
      <c r="J1041415" s="24"/>
      <c r="K1041415" s="54"/>
    </row>
    <row r="1041416" spans="1:11" s="55" customFormat="1" ht="12.75">
      <c r="A1041416" s="24"/>
      <c r="B1041416" s="24"/>
      <c r="C1041416" s="24"/>
      <c r="D1041416" s="24"/>
      <c r="E1041416" s="24"/>
      <c r="F1041416" s="24"/>
      <c r="G1041416" s="24"/>
      <c r="H1041416" s="24"/>
      <c r="I1041416" s="24"/>
      <c r="J1041416" s="24"/>
      <c r="K1041416" s="54"/>
    </row>
    <row r="1041417" spans="1:11" s="55" customFormat="1" ht="12.75">
      <c r="A1041417" s="24"/>
      <c r="B1041417" s="24"/>
      <c r="C1041417" s="24"/>
      <c r="D1041417" s="24"/>
      <c r="E1041417" s="24"/>
      <c r="F1041417" s="24"/>
      <c r="G1041417" s="24"/>
      <c r="H1041417" s="24"/>
      <c r="I1041417" s="24"/>
      <c r="J1041417" s="24"/>
      <c r="K1041417" s="54"/>
    </row>
    <row r="1041418" spans="1:11" s="55" customFormat="1" ht="12.75">
      <c r="A1041418" s="24"/>
      <c r="B1041418" s="24"/>
      <c r="C1041418" s="24"/>
      <c r="D1041418" s="24"/>
      <c r="E1041418" s="24"/>
      <c r="F1041418" s="24"/>
      <c r="G1041418" s="24"/>
      <c r="H1041418" s="24"/>
      <c r="I1041418" s="24"/>
      <c r="J1041418" s="24"/>
      <c r="K1041418" s="54"/>
    </row>
    <row r="1041419" spans="1:11" s="55" customFormat="1" ht="12.75">
      <c r="A1041419" s="24"/>
      <c r="B1041419" s="24"/>
      <c r="C1041419" s="24"/>
      <c r="D1041419" s="24"/>
      <c r="E1041419" s="24"/>
      <c r="F1041419" s="24"/>
      <c r="G1041419" s="24"/>
      <c r="H1041419" s="24"/>
      <c r="I1041419" s="24"/>
      <c r="J1041419" s="24"/>
      <c r="K1041419" s="54"/>
    </row>
    <row r="1041420" spans="1:11" s="55" customFormat="1" ht="12.75">
      <c r="A1041420" s="24"/>
      <c r="B1041420" s="24"/>
      <c r="C1041420" s="24"/>
      <c r="D1041420" s="24"/>
      <c r="E1041420" s="24"/>
      <c r="F1041420" s="24"/>
      <c r="G1041420" s="24"/>
      <c r="H1041420" s="24"/>
      <c r="I1041420" s="24"/>
      <c r="J1041420" s="24"/>
      <c r="K1041420" s="54"/>
    </row>
    <row r="1041421" spans="1:11" s="55" customFormat="1" ht="12.75">
      <c r="A1041421" s="24"/>
      <c r="B1041421" s="24"/>
      <c r="C1041421" s="24"/>
      <c r="D1041421" s="24"/>
      <c r="E1041421" s="24"/>
      <c r="F1041421" s="24"/>
      <c r="G1041421" s="24"/>
      <c r="H1041421" s="24"/>
      <c r="I1041421" s="24"/>
      <c r="J1041421" s="24"/>
      <c r="K1041421" s="54"/>
    </row>
    <row r="1041422" spans="1:11" s="55" customFormat="1" ht="12.75">
      <c r="A1041422" s="24"/>
      <c r="B1041422" s="24"/>
      <c r="C1041422" s="24"/>
      <c r="D1041422" s="24"/>
      <c r="E1041422" s="24"/>
      <c r="F1041422" s="24"/>
      <c r="G1041422" s="24"/>
      <c r="H1041422" s="24"/>
      <c r="I1041422" s="24"/>
      <c r="J1041422" s="24"/>
      <c r="K1041422" s="54"/>
    </row>
    <row r="1041423" spans="1:11" s="55" customFormat="1" ht="12.75">
      <c r="A1041423" s="24"/>
      <c r="B1041423" s="24"/>
      <c r="C1041423" s="24"/>
      <c r="D1041423" s="24"/>
      <c r="E1041423" s="24"/>
      <c r="F1041423" s="24"/>
      <c r="G1041423" s="24"/>
      <c r="H1041423" s="24"/>
      <c r="I1041423" s="24"/>
      <c r="J1041423" s="24"/>
      <c r="K1041423" s="54"/>
    </row>
    <row r="1041424" spans="1:11" s="55" customFormat="1" ht="12.75">
      <c r="A1041424" s="24"/>
      <c r="B1041424" s="24"/>
      <c r="C1041424" s="24"/>
      <c r="D1041424" s="24"/>
      <c r="E1041424" s="24"/>
      <c r="F1041424" s="24"/>
      <c r="G1041424" s="24"/>
      <c r="H1041424" s="24"/>
      <c r="I1041424" s="24"/>
      <c r="J1041424" s="24"/>
      <c r="K1041424" s="54"/>
    </row>
    <row r="1041425" spans="1:11" s="55" customFormat="1" ht="12.75">
      <c r="A1041425" s="24"/>
      <c r="B1041425" s="24"/>
      <c r="C1041425" s="24"/>
      <c r="D1041425" s="24"/>
      <c r="E1041425" s="24"/>
      <c r="F1041425" s="24"/>
      <c r="G1041425" s="24"/>
      <c r="H1041425" s="24"/>
      <c r="I1041425" s="24"/>
      <c r="J1041425" s="24"/>
      <c r="K1041425" s="54"/>
    </row>
    <row r="1041426" spans="1:11" s="55" customFormat="1" ht="12.75">
      <c r="A1041426" s="24"/>
      <c r="B1041426" s="24"/>
      <c r="C1041426" s="24"/>
      <c r="D1041426" s="24"/>
      <c r="E1041426" s="24"/>
      <c r="F1041426" s="24"/>
      <c r="G1041426" s="24"/>
      <c r="H1041426" s="24"/>
      <c r="I1041426" s="24"/>
      <c r="J1041426" s="24"/>
      <c r="K1041426" s="54"/>
    </row>
    <row r="1041427" spans="1:11" s="55" customFormat="1" ht="12.75">
      <c r="A1041427" s="24"/>
      <c r="B1041427" s="24"/>
      <c r="C1041427" s="24"/>
      <c r="D1041427" s="24"/>
      <c r="E1041427" s="24"/>
      <c r="F1041427" s="24"/>
      <c r="G1041427" s="24"/>
      <c r="H1041427" s="24"/>
      <c r="I1041427" s="24"/>
      <c r="J1041427" s="24"/>
      <c r="K1041427" s="54"/>
    </row>
    <row r="1041428" spans="1:11" s="55" customFormat="1" ht="12.75">
      <c r="A1041428" s="24"/>
      <c r="B1041428" s="24"/>
      <c r="C1041428" s="24"/>
      <c r="D1041428" s="24"/>
      <c r="E1041428" s="24"/>
      <c r="F1041428" s="24"/>
      <c r="G1041428" s="24"/>
      <c r="H1041428" s="24"/>
      <c r="I1041428" s="24"/>
      <c r="J1041428" s="24"/>
      <c r="K1041428" s="54"/>
    </row>
    <row r="1041429" spans="1:11" s="55" customFormat="1" ht="12.75">
      <c r="A1041429" s="24"/>
      <c r="B1041429" s="24"/>
      <c r="C1041429" s="24"/>
      <c r="D1041429" s="24"/>
      <c r="E1041429" s="24"/>
      <c r="F1041429" s="24"/>
      <c r="G1041429" s="24"/>
      <c r="H1041429" s="24"/>
      <c r="I1041429" s="24"/>
      <c r="J1041429" s="24"/>
      <c r="K1041429" s="54"/>
    </row>
    <row r="1041430" spans="1:11" s="55" customFormat="1" ht="12.75">
      <c r="A1041430" s="24"/>
      <c r="B1041430" s="24"/>
      <c r="C1041430" s="24"/>
      <c r="D1041430" s="24"/>
      <c r="E1041430" s="24"/>
      <c r="F1041430" s="24"/>
      <c r="G1041430" s="24"/>
      <c r="H1041430" s="24"/>
      <c r="I1041430" s="24"/>
      <c r="J1041430" s="24"/>
      <c r="K1041430" s="54"/>
    </row>
    <row r="1041431" spans="1:11" s="55" customFormat="1" ht="12.75">
      <c r="A1041431" s="24"/>
      <c r="B1041431" s="24"/>
      <c r="C1041431" s="24"/>
      <c r="D1041431" s="24"/>
      <c r="E1041431" s="24"/>
      <c r="F1041431" s="24"/>
      <c r="G1041431" s="24"/>
      <c r="H1041431" s="24"/>
      <c r="I1041431" s="24"/>
      <c r="J1041431" s="24"/>
      <c r="K1041431" s="54"/>
    </row>
    <row r="1041432" spans="1:11" s="55" customFormat="1" ht="12.75">
      <c r="A1041432" s="24"/>
      <c r="B1041432" s="24"/>
      <c r="C1041432" s="24"/>
      <c r="D1041432" s="24"/>
      <c r="E1041432" s="24"/>
      <c r="F1041432" s="24"/>
      <c r="G1041432" s="24"/>
      <c r="H1041432" s="24"/>
      <c r="I1041432" s="24"/>
      <c r="J1041432" s="24"/>
      <c r="K1041432" s="54"/>
    </row>
    <row r="1041433" spans="1:11" s="55" customFormat="1" ht="12.75">
      <c r="A1041433" s="24"/>
      <c r="B1041433" s="24"/>
      <c r="C1041433" s="24"/>
      <c r="D1041433" s="24"/>
      <c r="E1041433" s="24"/>
      <c r="F1041433" s="24"/>
      <c r="G1041433" s="24"/>
      <c r="H1041433" s="24"/>
      <c r="I1041433" s="24"/>
      <c r="J1041433" s="24"/>
      <c r="K1041433" s="54"/>
    </row>
    <row r="1041434" spans="1:11" s="55" customFormat="1" ht="12.75">
      <c r="A1041434" s="24"/>
      <c r="B1041434" s="24"/>
      <c r="C1041434" s="24"/>
      <c r="D1041434" s="24"/>
      <c r="E1041434" s="24"/>
      <c r="F1041434" s="24"/>
      <c r="G1041434" s="24"/>
      <c r="H1041434" s="24"/>
      <c r="I1041434" s="24"/>
      <c r="J1041434" s="24"/>
      <c r="K1041434" s="54"/>
    </row>
    <row r="1041435" spans="1:11" s="55" customFormat="1" ht="12.75">
      <c r="A1041435" s="24"/>
      <c r="B1041435" s="24"/>
      <c r="C1041435" s="24"/>
      <c r="D1041435" s="24"/>
      <c r="E1041435" s="24"/>
      <c r="F1041435" s="24"/>
      <c r="G1041435" s="24"/>
      <c r="H1041435" s="24"/>
      <c r="I1041435" s="24"/>
      <c r="J1041435" s="24"/>
      <c r="K1041435" s="54"/>
    </row>
    <row r="1041436" spans="1:11" s="55" customFormat="1" ht="12.75">
      <c r="A1041436" s="24"/>
      <c r="B1041436" s="24"/>
      <c r="C1041436" s="24"/>
      <c r="D1041436" s="24"/>
      <c r="E1041436" s="24"/>
      <c r="F1041436" s="24"/>
      <c r="G1041436" s="24"/>
      <c r="H1041436" s="24"/>
      <c r="I1041436" s="24"/>
      <c r="J1041436" s="24"/>
      <c r="K1041436" s="54"/>
    </row>
    <row r="1041437" spans="1:11" s="55" customFormat="1" ht="12.75">
      <c r="A1041437" s="24"/>
      <c r="B1041437" s="24"/>
      <c r="C1041437" s="24"/>
      <c r="D1041437" s="24"/>
      <c r="E1041437" s="24"/>
      <c r="F1041437" s="24"/>
      <c r="G1041437" s="24"/>
      <c r="H1041437" s="24"/>
      <c r="I1041437" s="24"/>
      <c r="J1041437" s="24"/>
      <c r="K1041437" s="54"/>
    </row>
    <row r="1041438" spans="1:11" s="55" customFormat="1" ht="12.75">
      <c r="A1041438" s="24"/>
      <c r="B1041438" s="24"/>
      <c r="C1041438" s="24"/>
      <c r="D1041438" s="24"/>
      <c r="E1041438" s="24"/>
      <c r="F1041438" s="24"/>
      <c r="G1041438" s="24"/>
      <c r="H1041438" s="24"/>
      <c r="I1041438" s="24"/>
      <c r="J1041438" s="24"/>
      <c r="K1041438" s="54"/>
    </row>
    <row r="1041439" spans="1:11" s="55" customFormat="1" ht="12.75">
      <c r="A1041439" s="24"/>
      <c r="B1041439" s="24"/>
      <c r="C1041439" s="24"/>
      <c r="D1041439" s="24"/>
      <c r="E1041439" s="24"/>
      <c r="F1041439" s="24"/>
      <c r="G1041439" s="24"/>
      <c r="H1041439" s="24"/>
      <c r="I1041439" s="24"/>
      <c r="J1041439" s="24"/>
      <c r="K1041439" s="54"/>
    </row>
    <row r="1041440" spans="1:11" s="55" customFormat="1" ht="12.75">
      <c r="A1041440" s="24"/>
      <c r="B1041440" s="24"/>
      <c r="C1041440" s="24"/>
      <c r="D1041440" s="24"/>
      <c r="E1041440" s="24"/>
      <c r="F1041440" s="24"/>
      <c r="G1041440" s="24"/>
      <c r="H1041440" s="24"/>
      <c r="I1041440" s="24"/>
      <c r="J1041440" s="24"/>
      <c r="K1041440" s="54"/>
    </row>
    <row r="1041441" spans="1:11" s="55" customFormat="1" ht="12.75">
      <c r="A1041441" s="24"/>
      <c r="B1041441" s="24"/>
      <c r="C1041441" s="24"/>
      <c r="D1041441" s="24"/>
      <c r="E1041441" s="24"/>
      <c r="F1041441" s="24"/>
      <c r="G1041441" s="24"/>
      <c r="H1041441" s="24"/>
      <c r="I1041441" s="24"/>
      <c r="J1041441" s="24"/>
      <c r="K1041441" s="54"/>
    </row>
    <row r="1041442" spans="1:11" s="55" customFormat="1" ht="12.75">
      <c r="A1041442" s="24"/>
      <c r="B1041442" s="24"/>
      <c r="C1041442" s="24"/>
      <c r="D1041442" s="24"/>
      <c r="E1041442" s="24"/>
      <c r="F1041442" s="24"/>
      <c r="G1041442" s="24"/>
      <c r="H1041442" s="24"/>
      <c r="I1041442" s="24"/>
      <c r="J1041442" s="24"/>
      <c r="K1041442" s="54"/>
    </row>
    <row r="1041443" spans="1:11" s="55" customFormat="1" ht="12.75">
      <c r="A1041443" s="24"/>
      <c r="B1041443" s="24"/>
      <c r="C1041443" s="24"/>
      <c r="D1041443" s="24"/>
      <c r="E1041443" s="24"/>
      <c r="F1041443" s="24"/>
      <c r="G1041443" s="24"/>
      <c r="H1041443" s="24"/>
      <c r="I1041443" s="24"/>
      <c r="J1041443" s="24"/>
      <c r="K1041443" s="54"/>
    </row>
    <row r="1041444" spans="1:11" s="55" customFormat="1" ht="12.75">
      <c r="A1041444" s="24"/>
      <c r="B1041444" s="24"/>
      <c r="C1041444" s="24"/>
      <c r="D1041444" s="24"/>
      <c r="E1041444" s="24"/>
      <c r="F1041444" s="24"/>
      <c r="G1041444" s="24"/>
      <c r="H1041444" s="24"/>
      <c r="I1041444" s="24"/>
      <c r="J1041444" s="24"/>
      <c r="K1041444" s="54"/>
    </row>
    <row r="1041445" spans="1:11" s="55" customFormat="1" ht="12.75">
      <c r="A1041445" s="24"/>
      <c r="B1041445" s="24"/>
      <c r="C1041445" s="24"/>
      <c r="D1041445" s="24"/>
      <c r="E1041445" s="24"/>
      <c r="F1041445" s="24"/>
      <c r="G1041445" s="24"/>
      <c r="H1041445" s="24"/>
      <c r="I1041445" s="24"/>
      <c r="J1041445" s="24"/>
      <c r="K1041445" s="54"/>
    </row>
    <row r="1041446" spans="1:11" s="55" customFormat="1" ht="12.75">
      <c r="A1041446" s="24"/>
      <c r="B1041446" s="24"/>
      <c r="C1041446" s="24"/>
      <c r="D1041446" s="24"/>
      <c r="E1041446" s="24"/>
      <c r="F1041446" s="24"/>
      <c r="G1041446" s="24"/>
      <c r="H1041446" s="24"/>
      <c r="I1041446" s="24"/>
      <c r="J1041446" s="24"/>
      <c r="K1041446" s="54"/>
    </row>
    <row r="1041447" spans="1:11" s="55" customFormat="1" ht="12.75">
      <c r="A1041447" s="24"/>
      <c r="B1041447" s="24"/>
      <c r="C1041447" s="24"/>
      <c r="D1041447" s="24"/>
      <c r="E1041447" s="24"/>
      <c r="F1041447" s="24"/>
      <c r="G1041447" s="24"/>
      <c r="H1041447" s="24"/>
      <c r="I1041447" s="24"/>
      <c r="J1041447" s="24"/>
      <c r="K1041447" s="54"/>
    </row>
    <row r="1041448" spans="1:11" s="55" customFormat="1" ht="12.75">
      <c r="A1041448" s="24"/>
      <c r="B1041448" s="24"/>
      <c r="C1041448" s="24"/>
      <c r="D1041448" s="24"/>
      <c r="E1041448" s="24"/>
      <c r="F1041448" s="24"/>
      <c r="G1041448" s="24"/>
      <c r="H1041448" s="24"/>
      <c r="I1041448" s="24"/>
      <c r="J1041448" s="24"/>
      <c r="K1041448" s="54"/>
    </row>
    <row r="1041449" spans="1:11" s="55" customFormat="1" ht="12.75">
      <c r="A1041449" s="24"/>
      <c r="B1041449" s="24"/>
      <c r="C1041449" s="24"/>
      <c r="D1041449" s="24"/>
      <c r="E1041449" s="24"/>
      <c r="F1041449" s="24"/>
      <c r="G1041449" s="24"/>
      <c r="H1041449" s="24"/>
      <c r="I1041449" s="24"/>
      <c r="J1041449" s="24"/>
      <c r="K1041449" s="54"/>
    </row>
    <row r="1041450" spans="1:11" s="55" customFormat="1" ht="12.75">
      <c r="A1041450" s="24"/>
      <c r="B1041450" s="24"/>
      <c r="C1041450" s="24"/>
      <c r="D1041450" s="24"/>
      <c r="E1041450" s="24"/>
      <c r="F1041450" s="24"/>
      <c r="G1041450" s="24"/>
      <c r="H1041450" s="24"/>
      <c r="I1041450" s="24"/>
      <c r="J1041450" s="24"/>
      <c r="K1041450" s="54"/>
    </row>
    <row r="1041451" spans="1:11" s="55" customFormat="1" ht="12.75">
      <c r="A1041451" s="24"/>
      <c r="B1041451" s="24"/>
      <c r="C1041451" s="24"/>
      <c r="D1041451" s="24"/>
      <c r="E1041451" s="24"/>
      <c r="F1041451" s="24"/>
      <c r="G1041451" s="24"/>
      <c r="H1041451" s="24"/>
      <c r="I1041451" s="24"/>
      <c r="J1041451" s="24"/>
      <c r="K1041451" s="54"/>
    </row>
    <row r="1041452" spans="1:11" s="55" customFormat="1" ht="12.75">
      <c r="A1041452" s="24"/>
      <c r="B1041452" s="24"/>
      <c r="C1041452" s="24"/>
      <c r="D1041452" s="24"/>
      <c r="E1041452" s="24"/>
      <c r="F1041452" s="24"/>
      <c r="G1041452" s="24"/>
      <c r="H1041452" s="24"/>
      <c r="I1041452" s="24"/>
      <c r="J1041452" s="24"/>
      <c r="K1041452" s="54"/>
    </row>
    <row r="1041453" spans="1:11" s="55" customFormat="1" ht="12.75">
      <c r="A1041453" s="24"/>
      <c r="B1041453" s="24"/>
      <c r="C1041453" s="24"/>
      <c r="D1041453" s="24"/>
      <c r="E1041453" s="24"/>
      <c r="F1041453" s="24"/>
      <c r="G1041453" s="24"/>
      <c r="H1041453" s="24"/>
      <c r="I1041453" s="24"/>
      <c r="J1041453" s="24"/>
      <c r="K1041453" s="54"/>
    </row>
    <row r="1041454" spans="1:11" s="55" customFormat="1" ht="12.75">
      <c r="A1041454" s="24"/>
      <c r="B1041454" s="24"/>
      <c r="C1041454" s="24"/>
      <c r="D1041454" s="24"/>
      <c r="E1041454" s="24"/>
      <c r="F1041454" s="24"/>
      <c r="G1041454" s="24"/>
      <c r="H1041454" s="24"/>
      <c r="I1041454" s="24"/>
      <c r="J1041454" s="24"/>
      <c r="K1041454" s="54"/>
    </row>
    <row r="1041455" spans="1:11" s="55" customFormat="1" ht="12.75">
      <c r="A1041455" s="24"/>
      <c r="B1041455" s="24"/>
      <c r="C1041455" s="24"/>
      <c r="D1041455" s="24"/>
      <c r="E1041455" s="24"/>
      <c r="F1041455" s="24"/>
      <c r="G1041455" s="24"/>
      <c r="H1041455" s="24"/>
      <c r="I1041455" s="24"/>
      <c r="J1041455" s="24"/>
      <c r="K1041455" s="54"/>
    </row>
    <row r="1041456" spans="1:11" s="55" customFormat="1" ht="12.75">
      <c r="A1041456" s="24"/>
      <c r="B1041456" s="24"/>
      <c r="C1041456" s="24"/>
      <c r="D1041456" s="24"/>
      <c r="E1041456" s="24"/>
      <c r="F1041456" s="24"/>
      <c r="G1041456" s="24"/>
      <c r="H1041456" s="24"/>
      <c r="I1041456" s="24"/>
      <c r="J1041456" s="24"/>
      <c r="K1041456" s="54"/>
    </row>
    <row r="1041457" spans="1:11" s="55" customFormat="1" ht="12.75">
      <c r="A1041457" s="24"/>
      <c r="B1041457" s="24"/>
      <c r="C1041457" s="24"/>
      <c r="D1041457" s="24"/>
      <c r="E1041457" s="24"/>
      <c r="F1041457" s="24"/>
      <c r="G1041457" s="24"/>
      <c r="H1041457" s="24"/>
      <c r="I1041457" s="24"/>
      <c r="J1041457" s="24"/>
      <c r="K1041457" s="54"/>
    </row>
    <row r="1041458" spans="1:11" s="55" customFormat="1" ht="12.75">
      <c r="A1041458" s="24"/>
      <c r="B1041458" s="24"/>
      <c r="C1041458" s="24"/>
      <c r="D1041458" s="24"/>
      <c r="E1041458" s="24"/>
      <c r="F1041458" s="24"/>
      <c r="G1041458" s="24"/>
      <c r="H1041458" s="24"/>
      <c r="I1041458" s="24"/>
      <c r="J1041458" s="24"/>
      <c r="K1041458" s="54"/>
    </row>
    <row r="1041459" spans="1:11" s="55" customFormat="1" ht="12.75">
      <c r="A1041459" s="24"/>
      <c r="B1041459" s="24"/>
      <c r="C1041459" s="24"/>
      <c r="D1041459" s="24"/>
      <c r="E1041459" s="24"/>
      <c r="F1041459" s="24"/>
      <c r="G1041459" s="24"/>
      <c r="H1041459" s="24"/>
      <c r="I1041459" s="24"/>
      <c r="J1041459" s="24"/>
      <c r="K1041459" s="54"/>
    </row>
    <row r="1041460" spans="1:11" s="55" customFormat="1" ht="12.75">
      <c r="A1041460" s="24"/>
      <c r="B1041460" s="24"/>
      <c r="C1041460" s="24"/>
      <c r="D1041460" s="24"/>
      <c r="E1041460" s="24"/>
      <c r="F1041460" s="24"/>
      <c r="G1041460" s="24"/>
      <c r="H1041460" s="24"/>
      <c r="I1041460" s="24"/>
      <c r="J1041460" s="24"/>
      <c r="K1041460" s="54"/>
    </row>
    <row r="1041461" spans="1:11" s="55" customFormat="1" ht="12.75">
      <c r="A1041461" s="24"/>
      <c r="B1041461" s="24"/>
      <c r="C1041461" s="24"/>
      <c r="D1041461" s="24"/>
      <c r="E1041461" s="24"/>
      <c r="F1041461" s="24"/>
      <c r="G1041461" s="24"/>
      <c r="H1041461" s="24"/>
      <c r="I1041461" s="24"/>
      <c r="J1041461" s="24"/>
      <c r="K1041461" s="54"/>
    </row>
    <row r="1041462" spans="1:11" s="55" customFormat="1" ht="12.75">
      <c r="A1041462" s="24"/>
      <c r="B1041462" s="24"/>
      <c r="C1041462" s="24"/>
      <c r="D1041462" s="24"/>
      <c r="E1041462" s="24"/>
      <c r="F1041462" s="24"/>
      <c r="G1041462" s="24"/>
      <c r="H1041462" s="24"/>
      <c r="I1041462" s="24"/>
      <c r="J1041462" s="24"/>
      <c r="K1041462" s="54"/>
    </row>
    <row r="1041463" spans="1:11" s="55" customFormat="1" ht="12.75">
      <c r="A1041463" s="24"/>
      <c r="B1041463" s="24"/>
      <c r="C1041463" s="24"/>
      <c r="D1041463" s="24"/>
      <c r="E1041463" s="24"/>
      <c r="F1041463" s="24"/>
      <c r="G1041463" s="24"/>
      <c r="H1041463" s="24"/>
      <c r="I1041463" s="24"/>
      <c r="J1041463" s="24"/>
      <c r="K1041463" s="54"/>
    </row>
    <row r="1041464" spans="1:11" s="55" customFormat="1" ht="12.75">
      <c r="A1041464" s="24"/>
      <c r="B1041464" s="24"/>
      <c r="C1041464" s="24"/>
      <c r="D1041464" s="24"/>
      <c r="E1041464" s="24"/>
      <c r="F1041464" s="24"/>
      <c r="G1041464" s="24"/>
      <c r="H1041464" s="24"/>
      <c r="I1041464" s="24"/>
      <c r="J1041464" s="24"/>
      <c r="K1041464" s="54"/>
    </row>
    <row r="1041465" spans="1:11" s="55" customFormat="1" ht="12.75">
      <c r="A1041465" s="24"/>
      <c r="B1041465" s="24"/>
      <c r="C1041465" s="24"/>
      <c r="D1041465" s="24"/>
      <c r="E1041465" s="24"/>
      <c r="F1041465" s="24"/>
      <c r="G1041465" s="24"/>
      <c r="H1041465" s="24"/>
      <c r="I1041465" s="24"/>
      <c r="J1041465" s="24"/>
      <c r="K1041465" s="54"/>
    </row>
    <row r="1041466" spans="1:11" s="55" customFormat="1" ht="12.75">
      <c r="A1041466" s="24"/>
      <c r="B1041466" s="24"/>
      <c r="C1041466" s="24"/>
      <c r="D1041466" s="24"/>
      <c r="E1041466" s="24"/>
      <c r="F1041466" s="24"/>
      <c r="G1041466" s="24"/>
      <c r="H1041466" s="24"/>
      <c r="I1041466" s="24"/>
      <c r="J1041466" s="24"/>
      <c r="K1041466" s="54"/>
    </row>
    <row r="1041467" spans="1:11" s="55" customFormat="1" ht="12.75">
      <c r="A1041467" s="24"/>
      <c r="B1041467" s="24"/>
      <c r="C1041467" s="24"/>
      <c r="D1041467" s="24"/>
      <c r="E1041467" s="24"/>
      <c r="F1041467" s="24"/>
      <c r="G1041467" s="24"/>
      <c r="H1041467" s="24"/>
      <c r="I1041467" s="24"/>
      <c r="J1041467" s="24"/>
      <c r="K1041467" s="54"/>
    </row>
    <row r="1041468" spans="1:11" s="55" customFormat="1" ht="12.75">
      <c r="A1041468" s="24"/>
      <c r="B1041468" s="24"/>
      <c r="C1041468" s="24"/>
      <c r="D1041468" s="24"/>
      <c r="E1041468" s="24"/>
      <c r="F1041468" s="24"/>
      <c r="G1041468" s="24"/>
      <c r="H1041468" s="24"/>
      <c r="I1041468" s="24"/>
      <c r="J1041468" s="24"/>
      <c r="K1041468" s="54"/>
    </row>
    <row r="1041469" spans="1:11" s="55" customFormat="1" ht="12.75">
      <c r="A1041469" s="24"/>
      <c r="B1041469" s="24"/>
      <c r="C1041469" s="24"/>
      <c r="D1041469" s="24"/>
      <c r="E1041469" s="24"/>
      <c r="F1041469" s="24"/>
      <c r="G1041469" s="24"/>
      <c r="H1041469" s="24"/>
      <c r="I1041469" s="24"/>
      <c r="J1041469" s="24"/>
      <c r="K1041469" s="54"/>
    </row>
    <row r="1041470" spans="1:11" s="55" customFormat="1" ht="12.75">
      <c r="A1041470" s="24"/>
      <c r="B1041470" s="24"/>
      <c r="C1041470" s="24"/>
      <c r="D1041470" s="24"/>
      <c r="E1041470" s="24"/>
      <c r="F1041470" s="24"/>
      <c r="G1041470" s="24"/>
      <c r="H1041470" s="24"/>
      <c r="I1041470" s="24"/>
      <c r="J1041470" s="24"/>
      <c r="K1041470" s="54"/>
    </row>
    <row r="1041471" spans="1:11" s="55" customFormat="1" ht="12.75">
      <c r="A1041471" s="24"/>
      <c r="B1041471" s="24"/>
      <c r="C1041471" s="24"/>
      <c r="D1041471" s="24"/>
      <c r="E1041471" s="24"/>
      <c r="F1041471" s="24"/>
      <c r="G1041471" s="24"/>
      <c r="H1041471" s="24"/>
      <c r="I1041471" s="24"/>
      <c r="J1041471" s="24"/>
      <c r="K1041471" s="54"/>
    </row>
    <row r="1041472" spans="1:11" s="55" customFormat="1" ht="12.75">
      <c r="A1041472" s="24"/>
      <c r="B1041472" s="24"/>
      <c r="C1041472" s="24"/>
      <c r="D1041472" s="24"/>
      <c r="E1041472" s="24"/>
      <c r="F1041472" s="24"/>
      <c r="G1041472" s="24"/>
      <c r="H1041472" s="24"/>
      <c r="I1041472" s="24"/>
      <c r="J1041472" s="24"/>
      <c r="K1041472" s="54"/>
    </row>
    <row r="1041473" spans="1:11" s="55" customFormat="1" ht="12.75">
      <c r="A1041473" s="24"/>
      <c r="B1041473" s="24"/>
      <c r="C1041473" s="24"/>
      <c r="D1041473" s="24"/>
      <c r="E1041473" s="24"/>
      <c r="F1041473" s="24"/>
      <c r="G1041473" s="24"/>
      <c r="H1041473" s="24"/>
      <c r="I1041473" s="24"/>
      <c r="J1041473" s="24"/>
      <c r="K1041473" s="54"/>
    </row>
    <row r="1041474" spans="1:11" s="55" customFormat="1" ht="12.75">
      <c r="A1041474" s="24"/>
      <c r="B1041474" s="24"/>
      <c r="C1041474" s="24"/>
      <c r="D1041474" s="24"/>
      <c r="E1041474" s="24"/>
      <c r="F1041474" s="24"/>
      <c r="G1041474" s="24"/>
      <c r="H1041474" s="24"/>
      <c r="I1041474" s="24"/>
      <c r="J1041474" s="24"/>
      <c r="K1041474" s="54"/>
    </row>
    <row r="1041475" spans="1:11" s="55" customFormat="1" ht="12.75">
      <c r="A1041475" s="24"/>
      <c r="B1041475" s="24"/>
      <c r="C1041475" s="24"/>
      <c r="D1041475" s="24"/>
      <c r="E1041475" s="24"/>
      <c r="F1041475" s="24"/>
      <c r="G1041475" s="24"/>
      <c r="H1041475" s="24"/>
      <c r="I1041475" s="24"/>
      <c r="J1041475" s="24"/>
      <c r="K1041475" s="54"/>
    </row>
    <row r="1041476" spans="1:11" s="55" customFormat="1" ht="12.75">
      <c r="A1041476" s="24"/>
      <c r="B1041476" s="24"/>
      <c r="C1041476" s="24"/>
      <c r="D1041476" s="24"/>
      <c r="E1041476" s="24"/>
      <c r="F1041476" s="24"/>
      <c r="G1041476" s="24"/>
      <c r="H1041476" s="24"/>
      <c r="I1041476" s="24"/>
      <c r="J1041476" s="24"/>
      <c r="K1041476" s="54"/>
    </row>
    <row r="1041477" spans="1:11" s="55" customFormat="1" ht="12.75">
      <c r="A1041477" s="24"/>
      <c r="B1041477" s="24"/>
      <c r="C1041477" s="24"/>
      <c r="D1041477" s="24"/>
      <c r="E1041477" s="24"/>
      <c r="F1041477" s="24"/>
      <c r="G1041477" s="24"/>
      <c r="H1041477" s="24"/>
      <c r="I1041477" s="24"/>
      <c r="J1041477" s="24"/>
      <c r="K1041477" s="54"/>
    </row>
    <row r="1041478" spans="1:11" s="55" customFormat="1" ht="12.75">
      <c r="A1041478" s="24"/>
      <c r="B1041478" s="24"/>
      <c r="C1041478" s="24"/>
      <c r="D1041478" s="24"/>
      <c r="E1041478" s="24"/>
      <c r="F1041478" s="24"/>
      <c r="G1041478" s="24"/>
      <c r="H1041478" s="24"/>
      <c r="I1041478" s="24"/>
      <c r="J1041478" s="24"/>
      <c r="K1041478" s="54"/>
    </row>
    <row r="1041479" spans="1:11" s="55" customFormat="1" ht="12.75">
      <c r="A1041479" s="24"/>
      <c r="B1041479" s="24"/>
      <c r="C1041479" s="24"/>
      <c r="D1041479" s="24"/>
      <c r="E1041479" s="24"/>
      <c r="F1041479" s="24"/>
      <c r="G1041479" s="24"/>
      <c r="H1041479" s="24"/>
      <c r="I1041479" s="24"/>
      <c r="J1041479" s="24"/>
      <c r="K1041479" s="54"/>
    </row>
    <row r="1041480" spans="1:11" s="55" customFormat="1" ht="12.75">
      <c r="A1041480" s="24"/>
      <c r="B1041480" s="24"/>
      <c r="C1041480" s="24"/>
      <c r="D1041480" s="24"/>
      <c r="E1041480" s="24"/>
      <c r="F1041480" s="24"/>
      <c r="G1041480" s="24"/>
      <c r="H1041480" s="24"/>
      <c r="I1041480" s="24"/>
      <c r="J1041480" s="24"/>
      <c r="K1041480" s="54"/>
    </row>
    <row r="1041481" spans="1:11" s="55" customFormat="1" ht="12.75">
      <c r="A1041481" s="24"/>
      <c r="B1041481" s="24"/>
      <c r="C1041481" s="24"/>
      <c r="D1041481" s="24"/>
      <c r="E1041481" s="24"/>
      <c r="F1041481" s="24"/>
      <c r="G1041481" s="24"/>
      <c r="H1041481" s="24"/>
      <c r="I1041481" s="24"/>
      <c r="J1041481" s="24"/>
      <c r="K1041481" s="54"/>
    </row>
    <row r="1041482" spans="1:11" s="55" customFormat="1" ht="12.75">
      <c r="A1041482" s="24"/>
      <c r="B1041482" s="24"/>
      <c r="C1041482" s="24"/>
      <c r="D1041482" s="24"/>
      <c r="E1041482" s="24"/>
      <c r="F1041482" s="24"/>
      <c r="G1041482" s="24"/>
      <c r="H1041482" s="24"/>
      <c r="I1041482" s="24"/>
      <c r="J1041482" s="24"/>
      <c r="K1041482" s="54"/>
    </row>
    <row r="1041483" spans="1:11" s="55" customFormat="1" ht="12.75">
      <c r="A1041483" s="24"/>
      <c r="B1041483" s="24"/>
      <c r="C1041483" s="24"/>
      <c r="D1041483" s="24"/>
      <c r="E1041483" s="24"/>
      <c r="F1041483" s="24"/>
      <c r="G1041483" s="24"/>
      <c r="H1041483" s="24"/>
      <c r="I1041483" s="24"/>
      <c r="J1041483" s="24"/>
      <c r="K1041483" s="54"/>
    </row>
    <row r="1041484" spans="1:11" s="55" customFormat="1" ht="12.75">
      <c r="A1041484" s="24"/>
      <c r="B1041484" s="24"/>
      <c r="C1041484" s="24"/>
      <c r="D1041484" s="24"/>
      <c r="E1041484" s="24"/>
      <c r="F1041484" s="24"/>
      <c r="G1041484" s="24"/>
      <c r="H1041484" s="24"/>
      <c r="I1041484" s="24"/>
      <c r="J1041484" s="24"/>
      <c r="K1041484" s="54"/>
    </row>
    <row r="1041485" spans="1:11" s="55" customFormat="1" ht="12.75">
      <c r="A1041485" s="24"/>
      <c r="B1041485" s="24"/>
      <c r="C1041485" s="24"/>
      <c r="D1041485" s="24"/>
      <c r="E1041485" s="24"/>
      <c r="F1041485" s="24"/>
      <c r="G1041485" s="24"/>
      <c r="H1041485" s="24"/>
      <c r="I1041485" s="24"/>
      <c r="J1041485" s="24"/>
      <c r="K1041485" s="54"/>
    </row>
    <row r="1041486" spans="1:11" s="55" customFormat="1" ht="12.75">
      <c r="A1041486" s="24"/>
      <c r="B1041486" s="24"/>
      <c r="C1041486" s="24"/>
      <c r="D1041486" s="24"/>
      <c r="E1041486" s="24"/>
      <c r="F1041486" s="24"/>
      <c r="G1041486" s="24"/>
      <c r="H1041486" s="24"/>
      <c r="I1041486" s="24"/>
      <c r="J1041486" s="24"/>
      <c r="K1041486" s="54"/>
    </row>
    <row r="1041487" spans="1:11" s="55" customFormat="1" ht="12.75">
      <c r="A1041487" s="24"/>
      <c r="B1041487" s="24"/>
      <c r="C1041487" s="24"/>
      <c r="D1041487" s="24"/>
      <c r="E1041487" s="24"/>
      <c r="F1041487" s="24"/>
      <c r="G1041487" s="24"/>
      <c r="H1041487" s="24"/>
      <c r="I1041487" s="24"/>
      <c r="J1041487" s="24"/>
      <c r="K1041487" s="54"/>
    </row>
    <row r="1041488" spans="1:11" s="55" customFormat="1" ht="12.75">
      <c r="A1041488" s="24"/>
      <c r="B1041488" s="24"/>
      <c r="C1041488" s="24"/>
      <c r="D1041488" s="24"/>
      <c r="E1041488" s="24"/>
      <c r="F1041488" s="24"/>
      <c r="G1041488" s="24"/>
      <c r="H1041488" s="24"/>
      <c r="I1041488" s="24"/>
      <c r="J1041488" s="24"/>
      <c r="K1041488" s="54"/>
    </row>
    <row r="1041489" spans="1:11" s="55" customFormat="1" ht="12.75">
      <c r="A1041489" s="24"/>
      <c r="B1041489" s="24"/>
      <c r="C1041489" s="24"/>
      <c r="D1041489" s="24"/>
      <c r="E1041489" s="24"/>
      <c r="F1041489" s="24"/>
      <c r="G1041489" s="24"/>
      <c r="H1041489" s="24"/>
      <c r="I1041489" s="24"/>
      <c r="J1041489" s="24"/>
      <c r="K1041489" s="54"/>
    </row>
    <row r="1041490" spans="1:11" s="55" customFormat="1" ht="12.75">
      <c r="A1041490" s="24"/>
      <c r="B1041490" s="24"/>
      <c r="C1041490" s="24"/>
      <c r="D1041490" s="24"/>
      <c r="E1041490" s="24"/>
      <c r="F1041490" s="24"/>
      <c r="G1041490" s="24"/>
      <c r="H1041490" s="24"/>
      <c r="I1041490" s="24"/>
      <c r="J1041490" s="24"/>
      <c r="K1041490" s="54"/>
    </row>
    <row r="1041491" spans="1:11" s="55" customFormat="1" ht="12.75">
      <c r="A1041491" s="24"/>
      <c r="B1041491" s="24"/>
      <c r="C1041491" s="24"/>
      <c r="D1041491" s="24"/>
      <c r="E1041491" s="24"/>
      <c r="F1041491" s="24"/>
      <c r="G1041491" s="24"/>
      <c r="H1041491" s="24"/>
      <c r="I1041491" s="24"/>
      <c r="J1041491" s="24"/>
      <c r="K1041491" s="54"/>
    </row>
    <row r="1041492" spans="1:11" s="55" customFormat="1" ht="12.75">
      <c r="A1041492" s="24"/>
      <c r="B1041492" s="24"/>
      <c r="C1041492" s="24"/>
      <c r="D1041492" s="24"/>
      <c r="E1041492" s="24"/>
      <c r="F1041492" s="24"/>
      <c r="G1041492" s="24"/>
      <c r="H1041492" s="24"/>
      <c r="I1041492" s="24"/>
      <c r="J1041492" s="24"/>
      <c r="K1041492" s="54"/>
    </row>
    <row r="1041493" spans="1:11" s="55" customFormat="1" ht="12.75">
      <c r="A1041493" s="24"/>
      <c r="B1041493" s="24"/>
      <c r="C1041493" s="24"/>
      <c r="D1041493" s="24"/>
      <c r="E1041493" s="24"/>
      <c r="F1041493" s="24"/>
      <c r="G1041493" s="24"/>
      <c r="H1041493" s="24"/>
      <c r="I1041493" s="24"/>
      <c r="J1041493" s="24"/>
      <c r="K1041493" s="54"/>
    </row>
    <row r="1041494" spans="1:11" s="55" customFormat="1" ht="12.75">
      <c r="A1041494" s="24"/>
      <c r="B1041494" s="24"/>
      <c r="C1041494" s="24"/>
      <c r="D1041494" s="24"/>
      <c r="E1041494" s="24"/>
      <c r="F1041494" s="24"/>
      <c r="G1041494" s="24"/>
      <c r="H1041494" s="24"/>
      <c r="I1041494" s="24"/>
      <c r="J1041494" s="24"/>
      <c r="K1041494" s="54"/>
    </row>
    <row r="1041495" spans="1:11" s="55" customFormat="1" ht="12.75">
      <c r="A1041495" s="24"/>
      <c r="B1041495" s="24"/>
      <c r="C1041495" s="24"/>
      <c r="D1041495" s="24"/>
      <c r="E1041495" s="24"/>
      <c r="F1041495" s="24"/>
      <c r="G1041495" s="24"/>
      <c r="H1041495" s="24"/>
      <c r="I1041495" s="24"/>
      <c r="J1041495" s="24"/>
      <c r="K1041495" s="54"/>
    </row>
    <row r="1041496" spans="1:11" s="55" customFormat="1" ht="12.75">
      <c r="A1041496" s="24"/>
      <c r="B1041496" s="24"/>
      <c r="C1041496" s="24"/>
      <c r="D1041496" s="24"/>
      <c r="E1041496" s="24"/>
      <c r="F1041496" s="24"/>
      <c r="G1041496" s="24"/>
      <c r="H1041496" s="24"/>
      <c r="I1041496" s="24"/>
      <c r="J1041496" s="24"/>
      <c r="K1041496" s="54"/>
    </row>
    <row r="1041497" spans="1:11" s="55" customFormat="1" ht="12.75">
      <c r="A1041497" s="24"/>
      <c r="B1041497" s="24"/>
      <c r="C1041497" s="24"/>
      <c r="D1041497" s="24"/>
      <c r="E1041497" s="24"/>
      <c r="F1041497" s="24"/>
      <c r="G1041497" s="24"/>
      <c r="H1041497" s="24"/>
      <c r="I1041497" s="24"/>
      <c r="J1041497" s="24"/>
      <c r="K1041497" s="54"/>
    </row>
    <row r="1041498" spans="1:11" s="55" customFormat="1" ht="12.75">
      <c r="A1041498" s="24"/>
      <c r="B1041498" s="24"/>
      <c r="C1041498" s="24"/>
      <c r="D1041498" s="24"/>
      <c r="E1041498" s="24"/>
      <c r="F1041498" s="24"/>
      <c r="G1041498" s="24"/>
      <c r="H1041498" s="24"/>
      <c r="I1041498" s="24"/>
      <c r="J1041498" s="24"/>
      <c r="K1041498" s="54"/>
    </row>
    <row r="1041499" spans="1:11" s="55" customFormat="1" ht="12.75">
      <c r="A1041499" s="24"/>
      <c r="B1041499" s="24"/>
      <c r="C1041499" s="24"/>
      <c r="D1041499" s="24"/>
      <c r="E1041499" s="24"/>
      <c r="F1041499" s="24"/>
      <c r="G1041499" s="24"/>
      <c r="H1041499" s="24"/>
      <c r="I1041499" s="24"/>
      <c r="J1041499" s="24"/>
      <c r="K1041499" s="54"/>
    </row>
    <row r="1041500" spans="1:11" s="55" customFormat="1" ht="12.75">
      <c r="A1041500" s="24"/>
      <c r="B1041500" s="24"/>
      <c r="C1041500" s="24"/>
      <c r="D1041500" s="24"/>
      <c r="E1041500" s="24"/>
      <c r="F1041500" s="24"/>
      <c r="G1041500" s="24"/>
      <c r="H1041500" s="24"/>
      <c r="I1041500" s="24"/>
      <c r="J1041500" s="24"/>
      <c r="K1041500" s="54"/>
    </row>
    <row r="1041501" spans="1:11" s="55" customFormat="1" ht="12.75">
      <c r="A1041501" s="24"/>
      <c r="B1041501" s="24"/>
      <c r="C1041501" s="24"/>
      <c r="D1041501" s="24"/>
      <c r="E1041501" s="24"/>
      <c r="F1041501" s="24"/>
      <c r="G1041501" s="24"/>
      <c r="H1041501" s="24"/>
      <c r="I1041501" s="24"/>
      <c r="J1041501" s="24"/>
      <c r="K1041501" s="54"/>
    </row>
    <row r="1041502" spans="1:11" s="55" customFormat="1" ht="12.75">
      <c r="A1041502" s="24"/>
      <c r="B1041502" s="24"/>
      <c r="C1041502" s="24"/>
      <c r="D1041502" s="24"/>
      <c r="E1041502" s="24"/>
      <c r="F1041502" s="24"/>
      <c r="G1041502" s="24"/>
      <c r="H1041502" s="24"/>
      <c r="I1041502" s="24"/>
      <c r="J1041502" s="24"/>
      <c r="K1041502" s="54"/>
    </row>
    <row r="1041503" spans="1:11" s="55" customFormat="1" ht="12.75">
      <c r="A1041503" s="24"/>
      <c r="B1041503" s="24"/>
      <c r="C1041503" s="24"/>
      <c r="D1041503" s="24"/>
      <c r="E1041503" s="24"/>
      <c r="F1041503" s="24"/>
      <c r="G1041503" s="24"/>
      <c r="H1041503" s="24"/>
      <c r="I1041503" s="24"/>
      <c r="J1041503" s="24"/>
      <c r="K1041503" s="54"/>
    </row>
    <row r="1041504" spans="1:11" s="55" customFormat="1" ht="12.75">
      <c r="A1041504" s="24"/>
      <c r="B1041504" s="24"/>
      <c r="C1041504" s="24"/>
      <c r="D1041504" s="24"/>
      <c r="E1041504" s="24"/>
      <c r="F1041504" s="24"/>
      <c r="G1041504" s="24"/>
      <c r="H1041504" s="24"/>
      <c r="I1041504" s="24"/>
      <c r="J1041504" s="24"/>
      <c r="K1041504" s="54"/>
    </row>
    <row r="1041505" spans="1:11" s="55" customFormat="1" ht="12.75">
      <c r="A1041505" s="24"/>
      <c r="B1041505" s="24"/>
      <c r="C1041505" s="24"/>
      <c r="D1041505" s="24"/>
      <c r="E1041505" s="24"/>
      <c r="F1041505" s="24"/>
      <c r="G1041505" s="24"/>
      <c r="H1041505" s="24"/>
      <c r="I1041505" s="24"/>
      <c r="J1041505" s="24"/>
      <c r="K1041505" s="54"/>
    </row>
    <row r="1041506" spans="1:11" s="55" customFormat="1" ht="12.75">
      <c r="A1041506" s="24"/>
      <c r="B1041506" s="24"/>
      <c r="C1041506" s="24"/>
      <c r="D1041506" s="24"/>
      <c r="E1041506" s="24"/>
      <c r="F1041506" s="24"/>
      <c r="G1041506" s="24"/>
      <c r="H1041506" s="24"/>
      <c r="I1041506" s="24"/>
      <c r="J1041506" s="24"/>
      <c r="K1041506" s="54"/>
    </row>
    <row r="1041507" spans="1:11" s="55" customFormat="1" ht="12.75">
      <c r="A1041507" s="24"/>
      <c r="B1041507" s="24"/>
      <c r="C1041507" s="24"/>
      <c r="D1041507" s="24"/>
      <c r="E1041507" s="24"/>
      <c r="F1041507" s="24"/>
      <c r="G1041507" s="24"/>
      <c r="H1041507" s="24"/>
      <c r="I1041507" s="24"/>
      <c r="J1041507" s="24"/>
      <c r="K1041507" s="54"/>
    </row>
    <row r="1041508" spans="1:11" s="55" customFormat="1" ht="12.75">
      <c r="A1041508" s="24"/>
      <c r="B1041508" s="24"/>
      <c r="C1041508" s="24"/>
      <c r="D1041508" s="24"/>
      <c r="E1041508" s="24"/>
      <c r="F1041508" s="24"/>
      <c r="G1041508" s="24"/>
      <c r="H1041508" s="24"/>
      <c r="I1041508" s="24"/>
      <c r="J1041508" s="24"/>
      <c r="K1041508" s="54"/>
    </row>
    <row r="1041509" spans="1:11" s="55" customFormat="1" ht="12.75">
      <c r="A1041509" s="24"/>
      <c r="B1041509" s="24"/>
      <c r="C1041509" s="24"/>
      <c r="D1041509" s="24"/>
      <c r="E1041509" s="24"/>
      <c r="F1041509" s="24"/>
      <c r="G1041509" s="24"/>
      <c r="H1041509" s="24"/>
      <c r="I1041509" s="24"/>
      <c r="J1041509" s="24"/>
      <c r="K1041509" s="54"/>
    </row>
    <row r="1041510" spans="1:11" s="55" customFormat="1" ht="12.75">
      <c r="A1041510" s="24"/>
      <c r="B1041510" s="24"/>
      <c r="C1041510" s="24"/>
      <c r="D1041510" s="24"/>
      <c r="E1041510" s="24"/>
      <c r="F1041510" s="24"/>
      <c r="G1041510" s="24"/>
      <c r="H1041510" s="24"/>
      <c r="I1041510" s="24"/>
      <c r="J1041510" s="24"/>
      <c r="K1041510" s="54"/>
    </row>
    <row r="1041511" spans="1:11" s="55" customFormat="1" ht="12.75">
      <c r="A1041511" s="24"/>
      <c r="B1041511" s="24"/>
      <c r="C1041511" s="24"/>
      <c r="D1041511" s="24"/>
      <c r="E1041511" s="24"/>
      <c r="F1041511" s="24"/>
      <c r="G1041511" s="24"/>
      <c r="H1041511" s="24"/>
      <c r="I1041511" s="24"/>
      <c r="J1041511" s="24"/>
      <c r="K1041511" s="54"/>
    </row>
    <row r="1041512" spans="1:11" s="55" customFormat="1" ht="12.75">
      <c r="A1041512" s="24"/>
      <c r="B1041512" s="24"/>
      <c r="C1041512" s="24"/>
      <c r="D1041512" s="24"/>
      <c r="E1041512" s="24"/>
      <c r="F1041512" s="24"/>
      <c r="G1041512" s="24"/>
      <c r="H1041512" s="24"/>
      <c r="I1041512" s="24"/>
      <c r="J1041512" s="24"/>
      <c r="K1041512" s="54"/>
    </row>
    <row r="1041513" spans="1:11" s="55" customFormat="1" ht="12.75">
      <c r="A1041513" s="24"/>
      <c r="B1041513" s="24"/>
      <c r="C1041513" s="24"/>
      <c r="D1041513" s="24"/>
      <c r="E1041513" s="24"/>
      <c r="F1041513" s="24"/>
      <c r="G1041513" s="24"/>
      <c r="H1041513" s="24"/>
      <c r="I1041513" s="24"/>
      <c r="J1041513" s="24"/>
      <c r="K1041513" s="54"/>
    </row>
    <row r="1041514" spans="1:11" s="55" customFormat="1" ht="12.75">
      <c r="A1041514" s="24"/>
      <c r="B1041514" s="24"/>
      <c r="C1041514" s="24"/>
      <c r="D1041514" s="24"/>
      <c r="E1041514" s="24"/>
      <c r="F1041514" s="24"/>
      <c r="G1041514" s="24"/>
      <c r="H1041514" s="24"/>
      <c r="I1041514" s="24"/>
      <c r="J1041514" s="24"/>
      <c r="K1041514" s="54"/>
    </row>
    <row r="1041515" spans="1:11" s="55" customFormat="1" ht="12.75">
      <c r="A1041515" s="24"/>
      <c r="B1041515" s="24"/>
      <c r="C1041515" s="24"/>
      <c r="D1041515" s="24"/>
      <c r="E1041515" s="24"/>
      <c r="F1041515" s="24"/>
      <c r="G1041515" s="24"/>
      <c r="H1041515" s="24"/>
      <c r="I1041515" s="24"/>
      <c r="J1041515" s="24"/>
      <c r="K1041515" s="54"/>
    </row>
    <row r="1041516" spans="1:11" s="55" customFormat="1" ht="12.75">
      <c r="A1041516" s="24"/>
      <c r="B1041516" s="24"/>
      <c r="C1041516" s="24"/>
      <c r="D1041516" s="24"/>
      <c r="E1041516" s="24"/>
      <c r="F1041516" s="24"/>
      <c r="G1041516" s="24"/>
      <c r="H1041516" s="24"/>
      <c r="I1041516" s="24"/>
      <c r="J1041516" s="24"/>
      <c r="K1041516" s="54"/>
    </row>
    <row r="1041517" spans="1:11" s="55" customFormat="1" ht="12.75">
      <c r="A1041517" s="24"/>
      <c r="B1041517" s="24"/>
      <c r="C1041517" s="24"/>
      <c r="D1041517" s="24"/>
      <c r="E1041517" s="24"/>
      <c r="F1041517" s="24"/>
      <c r="G1041517" s="24"/>
      <c r="H1041517" s="24"/>
      <c r="I1041517" s="24"/>
      <c r="J1041517" s="24"/>
      <c r="K1041517" s="54"/>
    </row>
    <row r="1041518" spans="1:11" s="55" customFormat="1" ht="12.75">
      <c r="A1041518" s="24"/>
      <c r="B1041518" s="24"/>
      <c r="C1041518" s="24"/>
      <c r="D1041518" s="24"/>
      <c r="E1041518" s="24"/>
      <c r="F1041518" s="24"/>
      <c r="G1041518" s="24"/>
      <c r="H1041518" s="24"/>
      <c r="I1041518" s="24"/>
      <c r="J1041518" s="24"/>
      <c r="K1041518" s="54"/>
    </row>
    <row r="1041519" spans="1:11" s="55" customFormat="1" ht="12.75">
      <c r="A1041519" s="24"/>
      <c r="B1041519" s="24"/>
      <c r="C1041519" s="24"/>
      <c r="D1041519" s="24"/>
      <c r="E1041519" s="24"/>
      <c r="F1041519" s="24"/>
      <c r="G1041519" s="24"/>
      <c r="H1041519" s="24"/>
      <c r="I1041519" s="24"/>
      <c r="J1041519" s="24"/>
      <c r="K1041519" s="54"/>
    </row>
    <row r="1041520" spans="1:11" s="55" customFormat="1" ht="12.75">
      <c r="A1041520" s="24"/>
      <c r="B1041520" s="24"/>
      <c r="C1041520" s="24"/>
      <c r="D1041520" s="24"/>
      <c r="E1041520" s="24"/>
      <c r="F1041520" s="24"/>
      <c r="G1041520" s="24"/>
      <c r="H1041520" s="24"/>
      <c r="I1041520" s="24"/>
      <c r="J1041520" s="24"/>
      <c r="K1041520" s="54"/>
    </row>
    <row r="1041521" spans="1:11" s="55" customFormat="1" ht="12.75">
      <c r="A1041521" s="24"/>
      <c r="B1041521" s="24"/>
      <c r="C1041521" s="24"/>
      <c r="D1041521" s="24"/>
      <c r="E1041521" s="24"/>
      <c r="F1041521" s="24"/>
      <c r="G1041521" s="24"/>
      <c r="H1041521" s="24"/>
      <c r="I1041521" s="24"/>
      <c r="J1041521" s="24"/>
      <c r="K1041521" s="54"/>
    </row>
    <row r="1041522" spans="1:11" s="55" customFormat="1" ht="12.75">
      <c r="A1041522" s="24"/>
      <c r="B1041522" s="24"/>
      <c r="C1041522" s="24"/>
      <c r="D1041522" s="24"/>
      <c r="E1041522" s="24"/>
      <c r="F1041522" s="24"/>
      <c r="G1041522" s="24"/>
      <c r="H1041522" s="24"/>
      <c r="I1041522" s="24"/>
      <c r="J1041522" s="24"/>
      <c r="K1041522" s="54"/>
    </row>
    <row r="1041523" spans="1:11" s="55" customFormat="1" ht="12.75">
      <c r="A1041523" s="24"/>
      <c r="B1041523" s="24"/>
      <c r="C1041523" s="24"/>
      <c r="D1041523" s="24"/>
      <c r="E1041523" s="24"/>
      <c r="F1041523" s="24"/>
      <c r="G1041523" s="24"/>
      <c r="H1041523" s="24"/>
      <c r="I1041523" s="24"/>
      <c r="J1041523" s="24"/>
      <c r="K1041523" s="54"/>
    </row>
    <row r="1041524" spans="1:11" s="55" customFormat="1" ht="12.75">
      <c r="A1041524" s="24"/>
      <c r="B1041524" s="24"/>
      <c r="C1041524" s="24"/>
      <c r="D1041524" s="24"/>
      <c r="E1041524" s="24"/>
      <c r="F1041524" s="24"/>
      <c r="G1041524" s="24"/>
      <c r="H1041524" s="24"/>
      <c r="I1041524" s="24"/>
      <c r="J1041524" s="24"/>
      <c r="K1041524" s="54"/>
    </row>
    <row r="1041525" spans="1:11" s="55" customFormat="1" ht="12.75">
      <c r="A1041525" s="24"/>
      <c r="B1041525" s="24"/>
      <c r="C1041525" s="24"/>
      <c r="D1041525" s="24"/>
      <c r="E1041525" s="24"/>
      <c r="F1041525" s="24"/>
      <c r="G1041525" s="24"/>
      <c r="H1041525" s="24"/>
      <c r="I1041525" s="24"/>
      <c r="J1041525" s="24"/>
      <c r="K1041525" s="54"/>
    </row>
    <row r="1041526" spans="1:11" s="55" customFormat="1" ht="12.75">
      <c r="A1041526" s="24"/>
      <c r="B1041526" s="24"/>
      <c r="C1041526" s="24"/>
      <c r="D1041526" s="24"/>
      <c r="E1041526" s="24"/>
      <c r="F1041526" s="24"/>
      <c r="G1041526" s="24"/>
      <c r="H1041526" s="24"/>
      <c r="I1041526" s="24"/>
      <c r="J1041526" s="24"/>
      <c r="K1041526" s="54"/>
    </row>
    <row r="1041527" spans="1:11" s="55" customFormat="1" ht="12.75">
      <c r="A1041527" s="24"/>
      <c r="B1041527" s="24"/>
      <c r="C1041527" s="24"/>
      <c r="D1041527" s="24"/>
      <c r="E1041527" s="24"/>
      <c r="F1041527" s="24"/>
      <c r="G1041527" s="24"/>
      <c r="H1041527" s="24"/>
      <c r="I1041527" s="24"/>
      <c r="J1041527" s="24"/>
      <c r="K1041527" s="54"/>
    </row>
    <row r="1041528" spans="1:11" s="55" customFormat="1" ht="12.75">
      <c r="A1041528" s="24"/>
      <c r="B1041528" s="24"/>
      <c r="C1041528" s="24"/>
      <c r="D1041528" s="24"/>
      <c r="E1041528" s="24"/>
      <c r="F1041528" s="24"/>
      <c r="G1041528" s="24"/>
      <c r="H1041528" s="24"/>
      <c r="I1041528" s="24"/>
      <c r="J1041528" s="24"/>
      <c r="K1041528" s="54"/>
    </row>
    <row r="1041529" spans="1:11" s="55" customFormat="1" ht="12.75">
      <c r="A1041529" s="24"/>
      <c r="B1041529" s="24"/>
      <c r="C1041529" s="24"/>
      <c r="D1041529" s="24"/>
      <c r="E1041529" s="24"/>
      <c r="F1041529" s="24"/>
      <c r="G1041529" s="24"/>
      <c r="H1041529" s="24"/>
      <c r="I1041529" s="24"/>
      <c r="J1041529" s="24"/>
      <c r="K1041529" s="54"/>
    </row>
    <row r="1041530" spans="1:11" s="55" customFormat="1" ht="12.75">
      <c r="A1041530" s="24"/>
      <c r="B1041530" s="24"/>
      <c r="C1041530" s="24"/>
      <c r="D1041530" s="24"/>
      <c r="E1041530" s="24"/>
      <c r="F1041530" s="24"/>
      <c r="G1041530" s="24"/>
      <c r="H1041530" s="24"/>
      <c r="I1041530" s="24"/>
      <c r="J1041530" s="24"/>
      <c r="K1041530" s="54"/>
    </row>
    <row r="1041531" spans="1:11" s="55" customFormat="1" ht="12.75">
      <c r="A1041531" s="24"/>
      <c r="B1041531" s="24"/>
      <c r="C1041531" s="24"/>
      <c r="D1041531" s="24"/>
      <c r="E1041531" s="24"/>
      <c r="F1041531" s="24"/>
      <c r="G1041531" s="24"/>
      <c r="H1041531" s="24"/>
      <c r="I1041531" s="24"/>
      <c r="J1041531" s="24"/>
      <c r="K1041531" s="54"/>
    </row>
    <row r="1041532" spans="1:11" s="55" customFormat="1" ht="12.75">
      <c r="A1041532" s="24"/>
      <c r="B1041532" s="24"/>
      <c r="C1041532" s="24"/>
      <c r="D1041532" s="24"/>
      <c r="E1041532" s="24"/>
      <c r="F1041532" s="24"/>
      <c r="G1041532" s="24"/>
      <c r="H1041532" s="24"/>
      <c r="I1041532" s="24"/>
      <c r="J1041532" s="24"/>
      <c r="K1041532" s="54"/>
    </row>
    <row r="1041533" spans="1:11" s="55" customFormat="1" ht="12.75">
      <c r="A1041533" s="24"/>
      <c r="B1041533" s="24"/>
      <c r="C1041533" s="24"/>
      <c r="D1041533" s="24"/>
      <c r="E1041533" s="24"/>
      <c r="F1041533" s="24"/>
      <c r="G1041533" s="24"/>
      <c r="H1041533" s="24"/>
      <c r="I1041533" s="24"/>
      <c r="J1041533" s="24"/>
      <c r="K1041533" s="54"/>
    </row>
    <row r="1041534" spans="1:11" s="55" customFormat="1" ht="12.75">
      <c r="A1041534" s="24"/>
      <c r="B1041534" s="24"/>
      <c r="C1041534" s="24"/>
      <c r="D1041534" s="24"/>
      <c r="E1041534" s="24"/>
      <c r="F1041534" s="24"/>
      <c r="G1041534" s="24"/>
      <c r="H1041534" s="24"/>
      <c r="I1041534" s="24"/>
      <c r="J1041534" s="24"/>
      <c r="K1041534" s="54"/>
    </row>
    <row r="1041535" spans="1:11" s="55" customFormat="1" ht="12.75">
      <c r="A1041535" s="24"/>
      <c r="B1041535" s="24"/>
      <c r="C1041535" s="24"/>
      <c r="D1041535" s="24"/>
      <c r="E1041535" s="24"/>
      <c r="F1041535" s="24"/>
      <c r="G1041535" s="24"/>
      <c r="H1041535" s="24"/>
      <c r="I1041535" s="24"/>
      <c r="J1041535" s="24"/>
      <c r="K1041535" s="54"/>
    </row>
    <row r="1041536" spans="1:11" s="55" customFormat="1" ht="12.75">
      <c r="A1041536" s="24"/>
      <c r="B1041536" s="24"/>
      <c r="C1041536" s="24"/>
      <c r="D1041536" s="24"/>
      <c r="E1041536" s="24"/>
      <c r="F1041536" s="24"/>
      <c r="G1041536" s="24"/>
      <c r="H1041536" s="24"/>
      <c r="I1041536" s="24"/>
      <c r="J1041536" s="24"/>
      <c r="K1041536" s="54"/>
    </row>
    <row r="1041537" spans="1:11" s="55" customFormat="1" ht="12.75">
      <c r="A1041537" s="24"/>
      <c r="B1041537" s="24"/>
      <c r="C1041537" s="24"/>
      <c r="D1041537" s="24"/>
      <c r="E1041537" s="24"/>
      <c r="F1041537" s="24"/>
      <c r="G1041537" s="24"/>
      <c r="H1041537" s="24"/>
      <c r="I1041537" s="24"/>
      <c r="J1041537" s="24"/>
      <c r="K1041537" s="54"/>
    </row>
    <row r="1041538" spans="1:11" s="55" customFormat="1" ht="12.75">
      <c r="A1041538" s="24"/>
      <c r="B1041538" s="24"/>
      <c r="C1041538" s="24"/>
      <c r="D1041538" s="24"/>
      <c r="E1041538" s="24"/>
      <c r="F1041538" s="24"/>
      <c r="G1041538" s="24"/>
      <c r="H1041538" s="24"/>
      <c r="I1041538" s="24"/>
      <c r="J1041538" s="24"/>
      <c r="K1041538" s="54"/>
    </row>
    <row r="1041539" spans="1:11" s="55" customFormat="1" ht="12.75">
      <c r="A1041539" s="24"/>
      <c r="B1041539" s="24"/>
      <c r="C1041539" s="24"/>
      <c r="D1041539" s="24"/>
      <c r="E1041539" s="24"/>
      <c r="F1041539" s="24"/>
      <c r="G1041539" s="24"/>
      <c r="H1041539" s="24"/>
      <c r="I1041539" s="24"/>
      <c r="J1041539" s="24"/>
      <c r="K1041539" s="54"/>
    </row>
    <row r="1041540" spans="1:11" s="55" customFormat="1" ht="12.75">
      <c r="A1041540" s="24"/>
      <c r="B1041540" s="24"/>
      <c r="C1041540" s="24"/>
      <c r="D1041540" s="24"/>
      <c r="E1041540" s="24"/>
      <c r="F1041540" s="24"/>
      <c r="G1041540" s="24"/>
      <c r="H1041540" s="24"/>
      <c r="I1041540" s="24"/>
      <c r="J1041540" s="24"/>
      <c r="K1041540" s="54"/>
    </row>
    <row r="1041541" spans="1:11" s="55" customFormat="1" ht="12.75">
      <c r="A1041541" s="24"/>
      <c r="B1041541" s="24"/>
      <c r="C1041541" s="24"/>
      <c r="D1041541" s="24"/>
      <c r="E1041541" s="24"/>
      <c r="F1041541" s="24"/>
      <c r="G1041541" s="24"/>
      <c r="H1041541" s="24"/>
      <c r="I1041541" s="24"/>
      <c r="J1041541" s="24"/>
      <c r="K1041541" s="54"/>
    </row>
    <row r="1041542" spans="1:11" s="55" customFormat="1" ht="12.75">
      <c r="A1041542" s="24"/>
      <c r="B1041542" s="24"/>
      <c r="C1041542" s="24"/>
      <c r="D1041542" s="24"/>
      <c r="E1041542" s="24"/>
      <c r="F1041542" s="24"/>
      <c r="G1041542" s="24"/>
      <c r="H1041542" s="24"/>
      <c r="I1041542" s="24"/>
      <c r="J1041542" s="24"/>
      <c r="K1041542" s="54"/>
    </row>
    <row r="1041543" spans="1:11" s="55" customFormat="1" ht="12.75">
      <c r="A1041543" s="24"/>
      <c r="B1041543" s="24"/>
      <c r="C1041543" s="24"/>
      <c r="D1041543" s="24"/>
      <c r="E1041543" s="24"/>
      <c r="F1041543" s="24"/>
      <c r="G1041543" s="24"/>
      <c r="H1041543" s="24"/>
      <c r="I1041543" s="24"/>
      <c r="J1041543" s="24"/>
      <c r="K1041543" s="54"/>
    </row>
    <row r="1041544" spans="1:11" s="55" customFormat="1" ht="12.75">
      <c r="A1041544" s="24"/>
      <c r="B1041544" s="24"/>
      <c r="C1041544" s="24"/>
      <c r="D1041544" s="24"/>
      <c r="E1041544" s="24"/>
      <c r="F1041544" s="24"/>
      <c r="G1041544" s="24"/>
      <c r="H1041544" s="24"/>
      <c r="I1041544" s="24"/>
      <c r="J1041544" s="24"/>
      <c r="K1041544" s="54"/>
    </row>
    <row r="1041545" spans="1:11" s="55" customFormat="1" ht="12.75">
      <c r="A1041545" s="24"/>
      <c r="B1041545" s="24"/>
      <c r="C1041545" s="24"/>
      <c r="D1041545" s="24"/>
      <c r="E1041545" s="24"/>
      <c r="F1041545" s="24"/>
      <c r="G1041545" s="24"/>
      <c r="H1041545" s="24"/>
      <c r="I1041545" s="24"/>
      <c r="J1041545" s="24"/>
      <c r="K1041545" s="54"/>
    </row>
    <row r="1041546" spans="1:11" s="55" customFormat="1" ht="12.75">
      <c r="A1041546" s="24"/>
      <c r="B1041546" s="24"/>
      <c r="C1041546" s="24"/>
      <c r="D1041546" s="24"/>
      <c r="E1041546" s="24"/>
      <c r="F1041546" s="24"/>
      <c r="G1041546" s="24"/>
      <c r="H1041546" s="24"/>
      <c r="I1041546" s="24"/>
      <c r="J1041546" s="24"/>
      <c r="K1041546" s="54"/>
    </row>
    <row r="1041547" spans="1:11" s="55" customFormat="1" ht="12.75">
      <c r="A1041547" s="24"/>
      <c r="B1041547" s="24"/>
      <c r="C1041547" s="24"/>
      <c r="D1041547" s="24"/>
      <c r="E1041547" s="24"/>
      <c r="F1041547" s="24"/>
      <c r="G1041547" s="24"/>
      <c r="H1041547" s="24"/>
      <c r="I1041547" s="24"/>
      <c r="J1041547" s="24"/>
      <c r="K1041547" s="54"/>
    </row>
    <row r="1041548" spans="1:11" s="55" customFormat="1" ht="12.75">
      <c r="A1041548" s="24"/>
      <c r="B1041548" s="24"/>
      <c r="C1041548" s="24"/>
      <c r="D1041548" s="24"/>
      <c r="E1041548" s="24"/>
      <c r="F1041548" s="24"/>
      <c r="G1041548" s="24"/>
      <c r="H1041548" s="24"/>
      <c r="I1041548" s="24"/>
      <c r="J1041548" s="24"/>
      <c r="K1041548" s="54"/>
    </row>
    <row r="1041549" spans="1:11" s="55" customFormat="1" ht="12.75">
      <c r="A1041549" s="24"/>
      <c r="B1041549" s="24"/>
      <c r="C1041549" s="24"/>
      <c r="D1041549" s="24"/>
      <c r="E1041549" s="24"/>
      <c r="F1041549" s="24"/>
      <c r="G1041549" s="24"/>
      <c r="H1041549" s="24"/>
      <c r="I1041549" s="24"/>
      <c r="J1041549" s="24"/>
      <c r="K1041549" s="54"/>
    </row>
    <row r="1041550" spans="1:11" s="55" customFormat="1" ht="12.75">
      <c r="A1041550" s="24"/>
      <c r="B1041550" s="24"/>
      <c r="C1041550" s="24"/>
      <c r="D1041550" s="24"/>
      <c r="E1041550" s="24"/>
      <c r="F1041550" s="24"/>
      <c r="G1041550" s="24"/>
      <c r="H1041550" s="24"/>
      <c r="I1041550" s="24"/>
      <c r="J1041550" s="24"/>
      <c r="K1041550" s="54"/>
    </row>
    <row r="1041551" spans="1:11" s="55" customFormat="1" ht="12.75">
      <c r="A1041551" s="24"/>
      <c r="B1041551" s="24"/>
      <c r="C1041551" s="24"/>
      <c r="D1041551" s="24"/>
      <c r="E1041551" s="24"/>
      <c r="F1041551" s="24"/>
      <c r="G1041551" s="24"/>
      <c r="H1041551" s="24"/>
      <c r="I1041551" s="24"/>
      <c r="J1041551" s="24"/>
      <c r="K1041551" s="54"/>
    </row>
    <row r="1041552" spans="1:11" s="55" customFormat="1" ht="12.75">
      <c r="A1041552" s="24"/>
      <c r="B1041552" s="24"/>
      <c r="C1041552" s="24"/>
      <c r="D1041552" s="24"/>
      <c r="E1041552" s="24"/>
      <c r="F1041552" s="24"/>
      <c r="G1041552" s="24"/>
      <c r="H1041552" s="24"/>
      <c r="I1041552" s="24"/>
      <c r="J1041552" s="24"/>
      <c r="K1041552" s="54"/>
    </row>
    <row r="1041553" spans="1:11" s="55" customFormat="1" ht="12.75">
      <c r="A1041553" s="24"/>
      <c r="B1041553" s="24"/>
      <c r="C1041553" s="24"/>
      <c r="D1041553" s="24"/>
      <c r="E1041553" s="24"/>
      <c r="F1041553" s="24"/>
      <c r="G1041553" s="24"/>
      <c r="H1041553" s="24"/>
      <c r="I1041553" s="24"/>
      <c r="J1041553" s="24"/>
      <c r="K1041553" s="54"/>
    </row>
    <row r="1041554" spans="1:11" s="55" customFormat="1" ht="12.75">
      <c r="A1041554" s="24"/>
      <c r="B1041554" s="24"/>
      <c r="C1041554" s="24"/>
      <c r="D1041554" s="24"/>
      <c r="E1041554" s="24"/>
      <c r="F1041554" s="24"/>
      <c r="G1041554" s="24"/>
      <c r="H1041554" s="24"/>
      <c r="I1041554" s="24"/>
      <c r="J1041554" s="24"/>
      <c r="K1041554" s="54"/>
    </row>
    <row r="1041555" spans="1:11" s="55" customFormat="1" ht="12.75">
      <c r="A1041555" s="24"/>
      <c r="B1041555" s="24"/>
      <c r="C1041555" s="24"/>
      <c r="D1041555" s="24"/>
      <c r="E1041555" s="24"/>
      <c r="F1041555" s="24"/>
      <c r="G1041555" s="24"/>
      <c r="H1041555" s="24"/>
      <c r="I1041555" s="24"/>
      <c r="J1041555" s="24"/>
      <c r="K1041555" s="54"/>
    </row>
    <row r="1041556" spans="1:11" s="55" customFormat="1" ht="12.75">
      <c r="A1041556" s="24"/>
      <c r="B1041556" s="24"/>
      <c r="C1041556" s="24"/>
      <c r="D1041556" s="24"/>
      <c r="E1041556" s="24"/>
      <c r="F1041556" s="24"/>
      <c r="G1041556" s="24"/>
      <c r="H1041556" s="24"/>
      <c r="I1041556" s="24"/>
      <c r="J1041556" s="24"/>
      <c r="K1041556" s="54"/>
    </row>
    <row r="1041557" spans="1:11" s="55" customFormat="1" ht="12.75">
      <c r="A1041557" s="24"/>
      <c r="B1041557" s="24"/>
      <c r="C1041557" s="24"/>
      <c r="D1041557" s="24"/>
      <c r="E1041557" s="24"/>
      <c r="F1041557" s="24"/>
      <c r="G1041557" s="24"/>
      <c r="H1041557" s="24"/>
      <c r="I1041557" s="24"/>
      <c r="J1041557" s="24"/>
      <c r="K1041557" s="54"/>
    </row>
    <row r="1041558" spans="1:11" s="55" customFormat="1" ht="12.75">
      <c r="A1041558" s="24"/>
      <c r="B1041558" s="24"/>
      <c r="C1041558" s="24"/>
      <c r="D1041558" s="24"/>
      <c r="E1041558" s="24"/>
      <c r="F1041558" s="24"/>
      <c r="G1041558" s="24"/>
      <c r="H1041558" s="24"/>
      <c r="I1041558" s="24"/>
      <c r="J1041558" s="24"/>
      <c r="K1041558" s="54"/>
    </row>
    <row r="1041559" spans="1:11" s="55" customFormat="1" ht="12.75">
      <c r="A1041559" s="24"/>
      <c r="B1041559" s="24"/>
      <c r="C1041559" s="24"/>
      <c r="D1041559" s="24"/>
      <c r="E1041559" s="24"/>
      <c r="F1041559" s="24"/>
      <c r="G1041559" s="24"/>
      <c r="H1041559" s="24"/>
      <c r="I1041559" s="24"/>
      <c r="J1041559" s="24"/>
      <c r="K1041559" s="54"/>
    </row>
    <row r="1041560" spans="1:11" s="55" customFormat="1" ht="12.75">
      <c r="A1041560" s="24"/>
      <c r="B1041560" s="24"/>
      <c r="C1041560" s="24"/>
      <c r="D1041560" s="24"/>
      <c r="E1041560" s="24"/>
      <c r="F1041560" s="24"/>
      <c r="G1041560" s="24"/>
      <c r="H1041560" s="24"/>
      <c r="I1041560" s="24"/>
      <c r="J1041560" s="24"/>
      <c r="K1041560" s="54"/>
    </row>
    <row r="1041561" spans="1:11" s="55" customFormat="1" ht="12.75">
      <c r="A1041561" s="24"/>
      <c r="B1041561" s="24"/>
      <c r="C1041561" s="24"/>
      <c r="D1041561" s="24"/>
      <c r="E1041561" s="24"/>
      <c r="F1041561" s="24"/>
      <c r="G1041561" s="24"/>
      <c r="H1041561" s="24"/>
      <c r="I1041561" s="24"/>
      <c r="J1041561" s="24"/>
      <c r="K1041561" s="54"/>
    </row>
    <row r="1041562" spans="1:11" s="55" customFormat="1" ht="12.75">
      <c r="A1041562" s="24"/>
      <c r="B1041562" s="24"/>
      <c r="C1041562" s="24"/>
      <c r="D1041562" s="24"/>
      <c r="E1041562" s="24"/>
      <c r="F1041562" s="24"/>
      <c r="G1041562" s="24"/>
      <c r="H1041562" s="24"/>
      <c r="I1041562" s="24"/>
      <c r="J1041562" s="24"/>
      <c r="K1041562" s="54"/>
    </row>
    <row r="1041563" spans="1:11" s="55" customFormat="1" ht="12.75">
      <c r="A1041563" s="24"/>
      <c r="B1041563" s="24"/>
      <c r="C1041563" s="24"/>
      <c r="D1041563" s="24"/>
      <c r="E1041563" s="24"/>
      <c r="F1041563" s="24"/>
      <c r="G1041563" s="24"/>
      <c r="H1041563" s="24"/>
      <c r="I1041563" s="24"/>
      <c r="J1041563" s="24"/>
      <c r="K1041563" s="54"/>
    </row>
    <row r="1041564" spans="1:11" s="55" customFormat="1" ht="12.75">
      <c r="A1041564" s="24"/>
      <c r="B1041564" s="24"/>
      <c r="C1041564" s="24"/>
      <c r="D1041564" s="24"/>
      <c r="E1041564" s="24"/>
      <c r="F1041564" s="24"/>
      <c r="G1041564" s="24"/>
      <c r="H1041564" s="24"/>
      <c r="I1041564" s="24"/>
      <c r="J1041564" s="24"/>
      <c r="K1041564" s="54"/>
    </row>
    <row r="1041565" spans="1:11" s="55" customFormat="1" ht="12.75">
      <c r="A1041565" s="24"/>
      <c r="B1041565" s="24"/>
      <c r="C1041565" s="24"/>
      <c r="D1041565" s="24"/>
      <c r="E1041565" s="24"/>
      <c r="F1041565" s="24"/>
      <c r="G1041565" s="24"/>
      <c r="H1041565" s="24"/>
      <c r="I1041565" s="24"/>
      <c r="J1041565" s="24"/>
      <c r="K1041565" s="54"/>
    </row>
    <row r="1041566" spans="1:11" s="55" customFormat="1" ht="12.75">
      <c r="A1041566" s="24"/>
      <c r="B1041566" s="24"/>
      <c r="C1041566" s="24"/>
      <c r="D1041566" s="24"/>
      <c r="E1041566" s="24"/>
      <c r="F1041566" s="24"/>
      <c r="G1041566" s="24"/>
      <c r="H1041566" s="24"/>
      <c r="I1041566" s="24"/>
      <c r="J1041566" s="24"/>
      <c r="K1041566" s="54"/>
    </row>
    <row r="1041567" spans="1:11" s="55" customFormat="1" ht="12.75">
      <c r="A1041567" s="24"/>
      <c r="B1041567" s="24"/>
      <c r="C1041567" s="24"/>
      <c r="D1041567" s="24"/>
      <c r="E1041567" s="24"/>
      <c r="F1041567" s="24"/>
      <c r="G1041567" s="24"/>
      <c r="H1041567" s="24"/>
      <c r="I1041567" s="24"/>
      <c r="J1041567" s="24"/>
      <c r="K1041567" s="54"/>
    </row>
    <row r="1041568" spans="1:11" s="55" customFormat="1" ht="12.75">
      <c r="A1041568" s="24"/>
      <c r="B1041568" s="24"/>
      <c r="C1041568" s="24"/>
      <c r="D1041568" s="24"/>
      <c r="E1041568" s="24"/>
      <c r="F1041568" s="24"/>
      <c r="G1041568" s="24"/>
      <c r="H1041568" s="24"/>
      <c r="I1041568" s="24"/>
      <c r="J1041568" s="24"/>
      <c r="K1041568" s="54"/>
    </row>
    <row r="1041569" spans="1:11" s="55" customFormat="1" ht="12.75">
      <c r="A1041569" s="24"/>
      <c r="B1041569" s="24"/>
      <c r="C1041569" s="24"/>
      <c r="D1041569" s="24"/>
      <c r="E1041569" s="24"/>
      <c r="F1041569" s="24"/>
      <c r="G1041569" s="24"/>
      <c r="H1041569" s="24"/>
      <c r="I1041569" s="24"/>
      <c r="J1041569" s="24"/>
      <c r="K1041569" s="54"/>
    </row>
    <row r="1041570" spans="1:11" s="55" customFormat="1" ht="12.75">
      <c r="A1041570" s="24"/>
      <c r="B1041570" s="24"/>
      <c r="C1041570" s="24"/>
      <c r="D1041570" s="24"/>
      <c r="E1041570" s="24"/>
      <c r="F1041570" s="24"/>
      <c r="G1041570" s="24"/>
      <c r="H1041570" s="24"/>
      <c r="I1041570" s="24"/>
      <c r="J1041570" s="24"/>
      <c r="K1041570" s="54"/>
    </row>
    <row r="1041571" spans="1:11" s="55" customFormat="1" ht="12.75">
      <c r="A1041571" s="24"/>
      <c r="B1041571" s="24"/>
      <c r="C1041571" s="24"/>
      <c r="D1041571" s="24"/>
      <c r="E1041571" s="24"/>
      <c r="F1041571" s="24"/>
      <c r="G1041571" s="24"/>
      <c r="H1041571" s="24"/>
      <c r="I1041571" s="24"/>
      <c r="J1041571" s="24"/>
      <c r="K1041571" s="54"/>
    </row>
    <row r="1041572" spans="1:11" s="55" customFormat="1" ht="12.75">
      <c r="A1041572" s="24"/>
      <c r="B1041572" s="24"/>
      <c r="C1041572" s="24"/>
      <c r="D1041572" s="24"/>
      <c r="E1041572" s="24"/>
      <c r="F1041572" s="24"/>
      <c r="G1041572" s="24"/>
      <c r="H1041572" s="24"/>
      <c r="I1041572" s="24"/>
      <c r="J1041572" s="24"/>
      <c r="K1041572" s="54"/>
    </row>
    <row r="1041573" spans="1:11" s="55" customFormat="1" ht="12.75">
      <c r="A1041573" s="24"/>
      <c r="B1041573" s="24"/>
      <c r="C1041573" s="24"/>
      <c r="D1041573" s="24"/>
      <c r="E1041573" s="24"/>
      <c r="F1041573" s="24"/>
      <c r="G1041573" s="24"/>
      <c r="H1041573" s="24"/>
      <c r="I1041573" s="24"/>
      <c r="J1041573" s="24"/>
      <c r="K1041573" s="54"/>
    </row>
    <row r="1041574" spans="1:11" s="55" customFormat="1" ht="12.75">
      <c r="A1041574" s="24"/>
      <c r="B1041574" s="24"/>
      <c r="C1041574" s="24"/>
      <c r="D1041574" s="24"/>
      <c r="E1041574" s="24"/>
      <c r="F1041574" s="24"/>
      <c r="G1041574" s="24"/>
      <c r="H1041574" s="24"/>
      <c r="I1041574" s="24"/>
      <c r="J1041574" s="24"/>
      <c r="K1041574" s="54"/>
    </row>
    <row r="1041575" spans="1:11" s="55" customFormat="1" ht="12.75">
      <c r="A1041575" s="24"/>
      <c r="B1041575" s="24"/>
      <c r="C1041575" s="24"/>
      <c r="D1041575" s="24"/>
      <c r="E1041575" s="24"/>
      <c r="F1041575" s="24"/>
      <c r="G1041575" s="24"/>
      <c r="H1041575" s="24"/>
      <c r="I1041575" s="24"/>
      <c r="J1041575" s="24"/>
      <c r="K1041575" s="54"/>
    </row>
    <row r="1041576" spans="1:11" s="55" customFormat="1" ht="12.75">
      <c r="A1041576" s="24"/>
      <c r="B1041576" s="24"/>
      <c r="C1041576" s="24"/>
      <c r="D1041576" s="24"/>
      <c r="E1041576" s="24"/>
      <c r="F1041576" s="24"/>
      <c r="G1041576" s="24"/>
      <c r="H1041576" s="24"/>
      <c r="I1041576" s="24"/>
      <c r="J1041576" s="24"/>
      <c r="K1041576" s="54"/>
    </row>
    <row r="1041577" spans="1:11" s="55" customFormat="1" ht="12.75">
      <c r="A1041577" s="24"/>
      <c r="B1041577" s="24"/>
      <c r="C1041577" s="24"/>
      <c r="D1041577" s="24"/>
      <c r="E1041577" s="24"/>
      <c r="F1041577" s="24"/>
      <c r="G1041577" s="24"/>
      <c r="H1041577" s="24"/>
      <c r="I1041577" s="24"/>
      <c r="J1041577" s="24"/>
      <c r="K1041577" s="54"/>
    </row>
    <row r="1041578" spans="1:11" s="55" customFormat="1" ht="12.75">
      <c r="A1041578" s="24"/>
      <c r="B1041578" s="24"/>
      <c r="C1041578" s="24"/>
      <c r="D1041578" s="24"/>
      <c r="E1041578" s="24"/>
      <c r="F1041578" s="24"/>
      <c r="G1041578" s="24"/>
      <c r="H1041578" s="24"/>
      <c r="I1041578" s="24"/>
      <c r="J1041578" s="24"/>
      <c r="K1041578" s="54"/>
    </row>
    <row r="1041579" spans="1:11" s="55" customFormat="1" ht="12.75">
      <c r="A1041579" s="24"/>
      <c r="B1041579" s="24"/>
      <c r="C1041579" s="24"/>
      <c r="D1041579" s="24"/>
      <c r="E1041579" s="24"/>
      <c r="F1041579" s="24"/>
      <c r="G1041579" s="24"/>
      <c r="H1041579" s="24"/>
      <c r="I1041579" s="24"/>
      <c r="J1041579" s="24"/>
      <c r="K1041579" s="54"/>
    </row>
    <row r="1041580" spans="1:11" s="55" customFormat="1" ht="12.75">
      <c r="A1041580" s="24"/>
      <c r="B1041580" s="24"/>
      <c r="C1041580" s="24"/>
      <c r="D1041580" s="24"/>
      <c r="E1041580" s="24"/>
      <c r="F1041580" s="24"/>
      <c r="G1041580" s="24"/>
      <c r="H1041580" s="24"/>
      <c r="I1041580" s="24"/>
      <c r="J1041580" s="24"/>
      <c r="K1041580" s="54"/>
    </row>
    <row r="1041581" spans="1:11" s="55" customFormat="1" ht="12.75">
      <c r="A1041581" s="24"/>
      <c r="B1041581" s="24"/>
      <c r="C1041581" s="24"/>
      <c r="D1041581" s="24"/>
      <c r="E1041581" s="24"/>
      <c r="F1041581" s="24"/>
      <c r="G1041581" s="24"/>
      <c r="H1041581" s="24"/>
      <c r="I1041581" s="24"/>
      <c r="J1041581" s="24"/>
      <c r="K1041581" s="54"/>
    </row>
    <row r="1041582" spans="1:11" s="55" customFormat="1" ht="12.75">
      <c r="A1041582" s="24"/>
      <c r="B1041582" s="24"/>
      <c r="C1041582" s="24"/>
      <c r="D1041582" s="24"/>
      <c r="E1041582" s="24"/>
      <c r="F1041582" s="24"/>
      <c r="G1041582" s="24"/>
      <c r="H1041582" s="24"/>
      <c r="I1041582" s="24"/>
      <c r="J1041582" s="24"/>
      <c r="K1041582" s="54"/>
    </row>
    <row r="1041583" spans="1:11" s="55" customFormat="1" ht="12.75">
      <c r="A1041583" s="24"/>
      <c r="B1041583" s="24"/>
      <c r="C1041583" s="24"/>
      <c r="D1041583" s="24"/>
      <c r="E1041583" s="24"/>
      <c r="F1041583" s="24"/>
      <c r="G1041583" s="24"/>
      <c r="H1041583" s="24"/>
      <c r="I1041583" s="24"/>
      <c r="J1041583" s="24"/>
      <c r="K1041583" s="54"/>
    </row>
    <row r="1041584" spans="1:11" s="55" customFormat="1" ht="12.75">
      <c r="A1041584" s="24"/>
      <c r="B1041584" s="24"/>
      <c r="C1041584" s="24"/>
      <c r="D1041584" s="24"/>
      <c r="E1041584" s="24"/>
      <c r="F1041584" s="24"/>
      <c r="G1041584" s="24"/>
      <c r="H1041584" s="24"/>
      <c r="I1041584" s="24"/>
      <c r="J1041584" s="24"/>
      <c r="K1041584" s="54"/>
    </row>
    <row r="1041585" spans="1:11" s="55" customFormat="1" ht="12.75">
      <c r="A1041585" s="24"/>
      <c r="B1041585" s="24"/>
      <c r="C1041585" s="24"/>
      <c r="D1041585" s="24"/>
      <c r="E1041585" s="24"/>
      <c r="F1041585" s="24"/>
      <c r="G1041585" s="24"/>
      <c r="H1041585" s="24"/>
      <c r="I1041585" s="24"/>
      <c r="J1041585" s="24"/>
      <c r="K1041585" s="54"/>
    </row>
    <row r="1041586" spans="1:11" s="55" customFormat="1" ht="12.75">
      <c r="A1041586" s="24"/>
      <c r="B1041586" s="24"/>
      <c r="C1041586" s="24"/>
      <c r="D1041586" s="24"/>
      <c r="E1041586" s="24"/>
      <c r="F1041586" s="24"/>
      <c r="G1041586" s="24"/>
      <c r="H1041586" s="24"/>
      <c r="I1041586" s="24"/>
      <c r="J1041586" s="24"/>
      <c r="K1041586" s="54"/>
    </row>
    <row r="1041587" spans="1:11" s="55" customFormat="1" ht="12.75">
      <c r="A1041587" s="24"/>
      <c r="B1041587" s="24"/>
      <c r="C1041587" s="24"/>
      <c r="D1041587" s="24"/>
      <c r="E1041587" s="24"/>
      <c r="F1041587" s="24"/>
      <c r="G1041587" s="24"/>
      <c r="H1041587" s="24"/>
      <c r="I1041587" s="24"/>
      <c r="J1041587" s="24"/>
      <c r="K1041587" s="54"/>
    </row>
    <row r="1041588" spans="1:11" s="55" customFormat="1" ht="12.75">
      <c r="A1041588" s="24"/>
      <c r="B1041588" s="24"/>
      <c r="C1041588" s="24"/>
      <c r="D1041588" s="24"/>
      <c r="E1041588" s="24"/>
      <c r="F1041588" s="24"/>
      <c r="G1041588" s="24"/>
      <c r="H1041588" s="24"/>
      <c r="I1041588" s="24"/>
      <c r="J1041588" s="24"/>
      <c r="K1041588" s="54"/>
    </row>
    <row r="1041589" spans="1:11" s="55" customFormat="1" ht="12.75">
      <c r="A1041589" s="24"/>
      <c r="B1041589" s="24"/>
      <c r="C1041589" s="24"/>
      <c r="D1041589" s="24"/>
      <c r="E1041589" s="24"/>
      <c r="F1041589" s="24"/>
      <c r="G1041589" s="24"/>
      <c r="H1041589" s="24"/>
      <c r="I1041589" s="24"/>
      <c r="J1041589" s="24"/>
      <c r="K1041589" s="54"/>
    </row>
    <row r="1041590" spans="1:11" s="55" customFormat="1" ht="12.75">
      <c r="A1041590" s="24"/>
      <c r="B1041590" s="24"/>
      <c r="C1041590" s="24"/>
      <c r="D1041590" s="24"/>
      <c r="E1041590" s="24"/>
      <c r="F1041590" s="24"/>
      <c r="G1041590" s="24"/>
      <c r="H1041590" s="24"/>
      <c r="I1041590" s="24"/>
      <c r="J1041590" s="24"/>
      <c r="K1041590" s="54"/>
    </row>
    <row r="1041591" spans="1:11" s="55" customFormat="1" ht="12.75">
      <c r="A1041591" s="24"/>
      <c r="B1041591" s="24"/>
      <c r="C1041591" s="24"/>
      <c r="D1041591" s="24"/>
      <c r="E1041591" s="24"/>
      <c r="F1041591" s="24"/>
      <c r="G1041591" s="24"/>
      <c r="H1041591" s="24"/>
      <c r="I1041591" s="24"/>
      <c r="J1041591" s="24"/>
      <c r="K1041591" s="54"/>
    </row>
    <row r="1041592" spans="1:11" s="55" customFormat="1" ht="12.75">
      <c r="A1041592" s="24"/>
      <c r="B1041592" s="24"/>
      <c r="C1041592" s="24"/>
      <c r="D1041592" s="24"/>
      <c r="E1041592" s="24"/>
      <c r="F1041592" s="24"/>
      <c r="G1041592" s="24"/>
      <c r="H1041592" s="24"/>
      <c r="I1041592" s="24"/>
      <c r="J1041592" s="24"/>
      <c r="K1041592" s="54"/>
    </row>
    <row r="1041593" spans="1:11" s="55" customFormat="1" ht="12.75">
      <c r="A1041593" s="24"/>
      <c r="B1041593" s="24"/>
      <c r="C1041593" s="24"/>
      <c r="D1041593" s="24"/>
      <c r="E1041593" s="24"/>
      <c r="F1041593" s="24"/>
      <c r="G1041593" s="24"/>
      <c r="H1041593" s="24"/>
      <c r="I1041593" s="24"/>
      <c r="J1041593" s="24"/>
      <c r="K1041593" s="54"/>
    </row>
    <row r="1041594" spans="1:11" s="55" customFormat="1" ht="12.75">
      <c r="A1041594" s="24"/>
      <c r="B1041594" s="24"/>
      <c r="C1041594" s="24"/>
      <c r="D1041594" s="24"/>
      <c r="E1041594" s="24"/>
      <c r="F1041594" s="24"/>
      <c r="G1041594" s="24"/>
      <c r="H1041594" s="24"/>
      <c r="I1041594" s="24"/>
      <c r="J1041594" s="24"/>
      <c r="K1041594" s="54"/>
    </row>
    <row r="1041595" spans="1:11" s="55" customFormat="1" ht="12.75">
      <c r="A1041595" s="24"/>
      <c r="B1041595" s="24"/>
      <c r="C1041595" s="24"/>
      <c r="D1041595" s="24"/>
      <c r="E1041595" s="24"/>
      <c r="F1041595" s="24"/>
      <c r="G1041595" s="24"/>
      <c r="H1041595" s="24"/>
      <c r="I1041595" s="24"/>
      <c r="J1041595" s="24"/>
      <c r="K1041595" s="54"/>
    </row>
    <row r="1041596" spans="1:11" s="55" customFormat="1" ht="12.75">
      <c r="A1041596" s="24"/>
      <c r="B1041596" s="24"/>
      <c r="C1041596" s="24"/>
      <c r="D1041596" s="24"/>
      <c r="E1041596" s="24"/>
      <c r="F1041596" s="24"/>
      <c r="G1041596" s="24"/>
      <c r="H1041596" s="24"/>
      <c r="I1041596" s="24"/>
      <c r="J1041596" s="24"/>
      <c r="K1041596" s="54"/>
    </row>
    <row r="1041597" spans="1:11" s="55" customFormat="1" ht="12.75">
      <c r="A1041597" s="24"/>
      <c r="B1041597" s="24"/>
      <c r="C1041597" s="24"/>
      <c r="D1041597" s="24"/>
      <c r="E1041597" s="24"/>
      <c r="F1041597" s="24"/>
      <c r="G1041597" s="24"/>
      <c r="H1041597" s="24"/>
      <c r="I1041597" s="24"/>
      <c r="J1041597" s="24"/>
      <c r="K1041597" s="54"/>
    </row>
    <row r="1041598" spans="1:11" s="55" customFormat="1" ht="12.75">
      <c r="A1041598" s="24"/>
      <c r="B1041598" s="24"/>
      <c r="C1041598" s="24"/>
      <c r="D1041598" s="24"/>
      <c r="E1041598" s="24"/>
      <c r="F1041598" s="24"/>
      <c r="G1041598" s="24"/>
      <c r="H1041598" s="24"/>
      <c r="I1041598" s="24"/>
      <c r="J1041598" s="24"/>
      <c r="K1041598" s="54"/>
    </row>
    <row r="1041599" spans="1:11" s="55" customFormat="1" ht="12.75">
      <c r="A1041599" s="24"/>
      <c r="B1041599" s="24"/>
      <c r="C1041599" s="24"/>
      <c r="D1041599" s="24"/>
      <c r="E1041599" s="24"/>
      <c r="F1041599" s="24"/>
      <c r="G1041599" s="24"/>
      <c r="H1041599" s="24"/>
      <c r="I1041599" s="24"/>
      <c r="J1041599" s="24"/>
      <c r="K1041599" s="54"/>
    </row>
    <row r="1041600" spans="1:11" s="55" customFormat="1" ht="12.75">
      <c r="A1041600" s="24"/>
      <c r="B1041600" s="24"/>
      <c r="C1041600" s="24"/>
      <c r="D1041600" s="24"/>
      <c r="E1041600" s="24"/>
      <c r="F1041600" s="24"/>
      <c r="G1041600" s="24"/>
      <c r="H1041600" s="24"/>
      <c r="I1041600" s="24"/>
      <c r="J1041600" s="24"/>
      <c r="K1041600" s="54"/>
    </row>
    <row r="1041601" spans="1:11" s="55" customFormat="1" ht="12.75">
      <c r="A1041601" s="24"/>
      <c r="B1041601" s="24"/>
      <c r="C1041601" s="24"/>
      <c r="D1041601" s="24"/>
      <c r="E1041601" s="24"/>
      <c r="F1041601" s="24"/>
      <c r="G1041601" s="24"/>
      <c r="H1041601" s="24"/>
      <c r="I1041601" s="24"/>
      <c r="J1041601" s="24"/>
      <c r="K1041601" s="54"/>
    </row>
    <row r="1041602" spans="1:11" s="55" customFormat="1" ht="12.75">
      <c r="A1041602" s="24"/>
      <c r="B1041602" s="24"/>
      <c r="C1041602" s="24"/>
      <c r="D1041602" s="24"/>
      <c r="E1041602" s="24"/>
      <c r="F1041602" s="24"/>
      <c r="G1041602" s="24"/>
      <c r="H1041602" s="24"/>
      <c r="I1041602" s="24"/>
      <c r="J1041602" s="24"/>
      <c r="K1041602" s="54"/>
    </row>
    <row r="1041603" spans="1:11" s="55" customFormat="1" ht="12.75">
      <c r="A1041603" s="24"/>
      <c r="B1041603" s="24"/>
      <c r="C1041603" s="24"/>
      <c r="D1041603" s="24"/>
      <c r="E1041603" s="24"/>
      <c r="F1041603" s="24"/>
      <c r="G1041603" s="24"/>
      <c r="H1041603" s="24"/>
      <c r="I1041603" s="24"/>
      <c r="J1041603" s="24"/>
      <c r="K1041603" s="54"/>
    </row>
    <row r="1041604" spans="1:11" s="55" customFormat="1" ht="12.75">
      <c r="A1041604" s="24"/>
      <c r="B1041604" s="24"/>
      <c r="C1041604" s="24"/>
      <c r="D1041604" s="24"/>
      <c r="E1041604" s="24"/>
      <c r="F1041604" s="24"/>
      <c r="G1041604" s="24"/>
      <c r="H1041604" s="24"/>
      <c r="I1041604" s="24"/>
      <c r="J1041604" s="24"/>
      <c r="K1041604" s="54"/>
    </row>
    <row r="1041605" spans="1:11" s="55" customFormat="1" ht="12.75">
      <c r="A1041605" s="24"/>
      <c r="B1041605" s="24"/>
      <c r="C1041605" s="24"/>
      <c r="D1041605" s="24"/>
      <c r="E1041605" s="24"/>
      <c r="F1041605" s="24"/>
      <c r="G1041605" s="24"/>
      <c r="H1041605" s="24"/>
      <c r="I1041605" s="24"/>
      <c r="J1041605" s="24"/>
      <c r="K1041605" s="54"/>
    </row>
    <row r="1041606" spans="1:11" s="55" customFormat="1" ht="12.75">
      <c r="A1041606" s="24"/>
      <c r="B1041606" s="24"/>
      <c r="C1041606" s="24"/>
      <c r="D1041606" s="24"/>
      <c r="E1041606" s="24"/>
      <c r="F1041606" s="24"/>
      <c r="G1041606" s="24"/>
      <c r="H1041606" s="24"/>
      <c r="I1041606" s="24"/>
      <c r="J1041606" s="24"/>
      <c r="K1041606" s="54"/>
    </row>
    <row r="1041607" spans="1:11" s="55" customFormat="1" ht="12.75">
      <c r="A1041607" s="24"/>
      <c r="B1041607" s="24"/>
      <c r="C1041607" s="24"/>
      <c r="D1041607" s="24"/>
      <c r="E1041607" s="24"/>
      <c r="F1041607" s="24"/>
      <c r="G1041607" s="24"/>
      <c r="H1041607" s="24"/>
      <c r="I1041607" s="24"/>
      <c r="J1041607" s="24"/>
      <c r="K1041607" s="54"/>
    </row>
    <row r="1041608" spans="1:11" s="55" customFormat="1" ht="12.75">
      <c r="A1041608" s="24"/>
      <c r="B1041608" s="24"/>
      <c r="C1041608" s="24"/>
      <c r="D1041608" s="24"/>
      <c r="E1041608" s="24"/>
      <c r="F1041608" s="24"/>
      <c r="G1041608" s="24"/>
      <c r="H1041608" s="24"/>
      <c r="I1041608" s="24"/>
      <c r="J1041608" s="24"/>
      <c r="K1041608" s="54"/>
    </row>
    <row r="1041609" spans="1:11" s="55" customFormat="1" ht="12.75">
      <c r="A1041609" s="24"/>
      <c r="B1041609" s="24"/>
      <c r="C1041609" s="24"/>
      <c r="D1041609" s="24"/>
      <c r="E1041609" s="24"/>
      <c r="F1041609" s="24"/>
      <c r="G1041609" s="24"/>
      <c r="H1041609" s="24"/>
      <c r="I1041609" s="24"/>
      <c r="J1041609" s="24"/>
      <c r="K1041609" s="54"/>
    </row>
    <row r="1041610" spans="1:11" s="55" customFormat="1" ht="12.75">
      <c r="A1041610" s="24"/>
      <c r="B1041610" s="24"/>
      <c r="C1041610" s="24"/>
      <c r="D1041610" s="24"/>
      <c r="E1041610" s="24"/>
      <c r="F1041610" s="24"/>
      <c r="G1041610" s="24"/>
      <c r="H1041610" s="24"/>
      <c r="I1041610" s="24"/>
      <c r="J1041610" s="24"/>
      <c r="K1041610" s="54"/>
    </row>
    <row r="1041611" spans="1:11" s="55" customFormat="1" ht="12.75">
      <c r="A1041611" s="24"/>
      <c r="B1041611" s="24"/>
      <c r="C1041611" s="24"/>
      <c r="D1041611" s="24"/>
      <c r="E1041611" s="24"/>
      <c r="F1041611" s="24"/>
      <c r="G1041611" s="24"/>
      <c r="H1041611" s="24"/>
      <c r="I1041611" s="24"/>
      <c r="J1041611" s="24"/>
      <c r="K1041611" s="54"/>
    </row>
    <row r="1041612" spans="1:11" s="55" customFormat="1" ht="12.75">
      <c r="A1041612" s="24"/>
      <c r="B1041612" s="24"/>
      <c r="C1041612" s="24"/>
      <c r="D1041612" s="24"/>
      <c r="E1041612" s="24"/>
      <c r="F1041612" s="24"/>
      <c r="G1041612" s="24"/>
      <c r="H1041612" s="24"/>
      <c r="I1041612" s="24"/>
      <c r="J1041612" s="24"/>
      <c r="K1041612" s="54"/>
    </row>
    <row r="1041613" spans="1:11" s="55" customFormat="1" ht="12.75">
      <c r="A1041613" s="24"/>
      <c r="B1041613" s="24"/>
      <c r="C1041613" s="24"/>
      <c r="D1041613" s="24"/>
      <c r="E1041613" s="24"/>
      <c r="F1041613" s="24"/>
      <c r="G1041613" s="24"/>
      <c r="H1041613" s="24"/>
      <c r="I1041613" s="24"/>
      <c r="J1041613" s="24"/>
      <c r="K1041613" s="54"/>
    </row>
    <row r="1041614" spans="1:11" s="55" customFormat="1" ht="12.75">
      <c r="A1041614" s="24"/>
      <c r="B1041614" s="24"/>
      <c r="C1041614" s="24"/>
      <c r="D1041614" s="24"/>
      <c r="E1041614" s="24"/>
      <c r="F1041614" s="24"/>
      <c r="G1041614" s="24"/>
      <c r="H1041614" s="24"/>
      <c r="I1041614" s="24"/>
      <c r="J1041614" s="24"/>
      <c r="K1041614" s="54"/>
    </row>
    <row r="1041615" spans="1:11" s="55" customFormat="1" ht="12.75">
      <c r="A1041615" s="24"/>
      <c r="B1041615" s="24"/>
      <c r="C1041615" s="24"/>
      <c r="D1041615" s="24"/>
      <c r="E1041615" s="24"/>
      <c r="F1041615" s="24"/>
      <c r="G1041615" s="24"/>
      <c r="H1041615" s="24"/>
      <c r="I1041615" s="24"/>
      <c r="J1041615" s="24"/>
      <c r="K1041615" s="54"/>
    </row>
    <row r="1041616" spans="1:11" s="55" customFormat="1" ht="12.75">
      <c r="A1041616" s="24"/>
      <c r="B1041616" s="24"/>
      <c r="C1041616" s="24"/>
      <c r="D1041616" s="24"/>
      <c r="E1041616" s="24"/>
      <c r="F1041616" s="24"/>
      <c r="G1041616" s="24"/>
      <c r="H1041616" s="24"/>
      <c r="I1041616" s="24"/>
      <c r="J1041616" s="24"/>
      <c r="K1041616" s="54"/>
    </row>
    <row r="1041617" spans="1:11" s="55" customFormat="1" ht="12.75">
      <c r="A1041617" s="24"/>
      <c r="B1041617" s="24"/>
      <c r="C1041617" s="24"/>
      <c r="D1041617" s="24"/>
      <c r="E1041617" s="24"/>
      <c r="F1041617" s="24"/>
      <c r="G1041617" s="24"/>
      <c r="H1041617" s="24"/>
      <c r="I1041617" s="24"/>
      <c r="J1041617" s="24"/>
      <c r="K1041617" s="54"/>
    </row>
    <row r="1041618" spans="1:11" s="55" customFormat="1" ht="12.75">
      <c r="A1041618" s="24"/>
      <c r="B1041618" s="24"/>
      <c r="C1041618" s="24"/>
      <c r="D1041618" s="24"/>
      <c r="E1041618" s="24"/>
      <c r="F1041618" s="24"/>
      <c r="G1041618" s="24"/>
      <c r="H1041618" s="24"/>
      <c r="I1041618" s="24"/>
      <c r="J1041618" s="24"/>
      <c r="K1041618" s="54"/>
    </row>
    <row r="1041619" spans="1:11" s="55" customFormat="1" ht="12.75">
      <c r="A1041619" s="24"/>
      <c r="B1041619" s="24"/>
      <c r="C1041619" s="24"/>
      <c r="D1041619" s="24"/>
      <c r="E1041619" s="24"/>
      <c r="F1041619" s="24"/>
      <c r="G1041619" s="24"/>
      <c r="H1041619" s="24"/>
      <c r="I1041619" s="24"/>
      <c r="J1041619" s="24"/>
      <c r="K1041619" s="54"/>
    </row>
    <row r="1041620" spans="1:11" s="55" customFormat="1" ht="12.75">
      <c r="A1041620" s="24"/>
      <c r="B1041620" s="24"/>
      <c r="C1041620" s="24"/>
      <c r="D1041620" s="24"/>
      <c r="E1041620" s="24"/>
      <c r="F1041620" s="24"/>
      <c r="G1041620" s="24"/>
      <c r="H1041620" s="24"/>
      <c r="I1041620" s="24"/>
      <c r="J1041620" s="24"/>
      <c r="K1041620" s="54"/>
    </row>
    <row r="1041621" spans="1:11" s="55" customFormat="1" ht="12.75">
      <c r="A1041621" s="24"/>
      <c r="B1041621" s="24"/>
      <c r="C1041621" s="24"/>
      <c r="D1041621" s="24"/>
      <c r="E1041621" s="24"/>
      <c r="F1041621" s="24"/>
      <c r="G1041621" s="24"/>
      <c r="H1041621" s="24"/>
      <c r="I1041621" s="24"/>
      <c r="J1041621" s="24"/>
      <c r="K1041621" s="54"/>
    </row>
    <row r="1041622" spans="1:11" s="55" customFormat="1" ht="12.75">
      <c r="A1041622" s="24"/>
      <c r="B1041622" s="24"/>
      <c r="C1041622" s="24"/>
      <c r="D1041622" s="24"/>
      <c r="E1041622" s="24"/>
      <c r="F1041622" s="24"/>
      <c r="G1041622" s="24"/>
      <c r="H1041622" s="24"/>
      <c r="I1041622" s="24"/>
      <c r="J1041622" s="24"/>
      <c r="K1041622" s="54"/>
    </row>
    <row r="1041623" spans="1:11" s="55" customFormat="1" ht="12.75">
      <c r="A1041623" s="24"/>
      <c r="B1041623" s="24"/>
      <c r="C1041623" s="24"/>
      <c r="D1041623" s="24"/>
      <c r="E1041623" s="24"/>
      <c r="F1041623" s="24"/>
      <c r="G1041623" s="24"/>
      <c r="H1041623" s="24"/>
      <c r="I1041623" s="24"/>
      <c r="J1041623" s="24"/>
      <c r="K1041623" s="54"/>
    </row>
    <row r="1041624" spans="1:11" s="55" customFormat="1" ht="12.75">
      <c r="A1041624" s="24"/>
      <c r="B1041624" s="24"/>
      <c r="C1041624" s="24"/>
      <c r="D1041624" s="24"/>
      <c r="E1041624" s="24"/>
      <c r="F1041624" s="24"/>
      <c r="G1041624" s="24"/>
      <c r="H1041624" s="24"/>
      <c r="I1041624" s="24"/>
      <c r="J1041624" s="24"/>
      <c r="K1041624" s="54"/>
    </row>
    <row r="1041625" spans="1:11" s="55" customFormat="1" ht="12.75">
      <c r="A1041625" s="24"/>
      <c r="B1041625" s="24"/>
      <c r="C1041625" s="24"/>
      <c r="D1041625" s="24"/>
      <c r="E1041625" s="24"/>
      <c r="F1041625" s="24"/>
      <c r="G1041625" s="24"/>
      <c r="H1041625" s="24"/>
      <c r="I1041625" s="24"/>
      <c r="J1041625" s="24"/>
      <c r="K1041625" s="54"/>
    </row>
    <row r="1041626" spans="1:11" s="55" customFormat="1" ht="12.75">
      <c r="A1041626" s="24"/>
      <c r="B1041626" s="24"/>
      <c r="C1041626" s="24"/>
      <c r="D1041626" s="24"/>
      <c r="E1041626" s="24"/>
      <c r="F1041626" s="24"/>
      <c r="G1041626" s="24"/>
      <c r="H1041626" s="24"/>
      <c r="I1041626" s="24"/>
      <c r="J1041626" s="24"/>
      <c r="K1041626" s="54"/>
    </row>
    <row r="1041627" spans="1:11" s="55" customFormat="1" ht="12.75">
      <c r="A1041627" s="24"/>
      <c r="B1041627" s="24"/>
      <c r="C1041627" s="24"/>
      <c r="D1041627" s="24"/>
      <c r="E1041627" s="24"/>
      <c r="F1041627" s="24"/>
      <c r="G1041627" s="24"/>
      <c r="H1041627" s="24"/>
      <c r="I1041627" s="24"/>
      <c r="J1041627" s="24"/>
      <c r="K1041627" s="54"/>
    </row>
    <row r="1041628" spans="1:11" s="55" customFormat="1" ht="12.75">
      <c r="A1041628" s="24"/>
      <c r="B1041628" s="24"/>
      <c r="C1041628" s="24"/>
      <c r="D1041628" s="24"/>
      <c r="E1041628" s="24"/>
      <c r="F1041628" s="24"/>
      <c r="G1041628" s="24"/>
      <c r="H1041628" s="24"/>
      <c r="I1041628" s="24"/>
      <c r="J1041628" s="24"/>
      <c r="K1041628" s="54"/>
    </row>
    <row r="1041629" spans="1:11" s="55" customFormat="1" ht="12.75">
      <c r="A1041629" s="24"/>
      <c r="B1041629" s="24"/>
      <c r="C1041629" s="24"/>
      <c r="D1041629" s="24"/>
      <c r="E1041629" s="24"/>
      <c r="F1041629" s="24"/>
      <c r="G1041629" s="24"/>
      <c r="H1041629" s="24"/>
      <c r="I1041629" s="24"/>
      <c r="J1041629" s="24"/>
      <c r="K1041629" s="54"/>
    </row>
    <row r="1041630" spans="1:11" s="55" customFormat="1" ht="12.75">
      <c r="A1041630" s="24"/>
      <c r="B1041630" s="24"/>
      <c r="C1041630" s="24"/>
      <c r="D1041630" s="24"/>
      <c r="E1041630" s="24"/>
      <c r="F1041630" s="24"/>
      <c r="G1041630" s="24"/>
      <c r="H1041630" s="24"/>
      <c r="I1041630" s="24"/>
      <c r="J1041630" s="24"/>
      <c r="K1041630" s="54"/>
    </row>
    <row r="1041631" spans="1:11" s="55" customFormat="1" ht="12.75">
      <c r="A1041631" s="24"/>
      <c r="B1041631" s="24"/>
      <c r="C1041631" s="24"/>
      <c r="D1041631" s="24"/>
      <c r="E1041631" s="24"/>
      <c r="F1041631" s="24"/>
      <c r="G1041631" s="24"/>
      <c r="H1041631" s="24"/>
      <c r="I1041631" s="24"/>
      <c r="J1041631" s="24"/>
      <c r="K1041631" s="54"/>
    </row>
    <row r="1041632" spans="1:11" s="55" customFormat="1" ht="12.75">
      <c r="A1041632" s="24"/>
      <c r="B1041632" s="24"/>
      <c r="C1041632" s="24"/>
      <c r="D1041632" s="24"/>
      <c r="E1041632" s="24"/>
      <c r="F1041632" s="24"/>
      <c r="G1041632" s="24"/>
      <c r="H1041632" s="24"/>
      <c r="I1041632" s="24"/>
      <c r="J1041632" s="24"/>
      <c r="K1041632" s="54"/>
    </row>
    <row r="1041633" spans="1:11" s="55" customFormat="1" ht="12.75">
      <c r="A1041633" s="24"/>
      <c r="B1041633" s="24"/>
      <c r="C1041633" s="24"/>
      <c r="D1041633" s="24"/>
      <c r="E1041633" s="24"/>
      <c r="F1041633" s="24"/>
      <c r="G1041633" s="24"/>
      <c r="H1041633" s="24"/>
      <c r="I1041633" s="24"/>
      <c r="J1041633" s="24"/>
      <c r="K1041633" s="54"/>
    </row>
    <row r="1041634" spans="1:11" s="55" customFormat="1" ht="12.75">
      <c r="A1041634" s="24"/>
      <c r="B1041634" s="24"/>
      <c r="C1041634" s="24"/>
      <c r="D1041634" s="24"/>
      <c r="E1041634" s="24"/>
      <c r="F1041634" s="24"/>
      <c r="G1041634" s="24"/>
      <c r="H1041634" s="24"/>
      <c r="I1041634" s="24"/>
      <c r="J1041634" s="24"/>
      <c r="K1041634" s="54"/>
    </row>
    <row r="1041635" spans="1:11" s="55" customFormat="1" ht="12.75">
      <c r="A1041635" s="24"/>
      <c r="B1041635" s="24"/>
      <c r="C1041635" s="24"/>
      <c r="D1041635" s="24"/>
      <c r="E1041635" s="24"/>
      <c r="F1041635" s="24"/>
      <c r="G1041635" s="24"/>
      <c r="H1041635" s="24"/>
      <c r="I1041635" s="24"/>
      <c r="J1041635" s="24"/>
      <c r="K1041635" s="54"/>
    </row>
    <row r="1041636" spans="1:11" s="55" customFormat="1" ht="12.75">
      <c r="A1041636" s="24"/>
      <c r="B1041636" s="24"/>
      <c r="C1041636" s="24"/>
      <c r="D1041636" s="24"/>
      <c r="E1041636" s="24"/>
      <c r="F1041636" s="24"/>
      <c r="G1041636" s="24"/>
      <c r="H1041636" s="24"/>
      <c r="I1041636" s="24"/>
      <c r="J1041636" s="24"/>
      <c r="K1041636" s="54"/>
    </row>
    <row r="1041637" spans="1:11" s="55" customFormat="1" ht="12.75">
      <c r="A1041637" s="24"/>
      <c r="B1041637" s="24"/>
      <c r="C1041637" s="24"/>
      <c r="D1041637" s="24"/>
      <c r="E1041637" s="24"/>
      <c r="F1041637" s="24"/>
      <c r="G1041637" s="24"/>
      <c r="H1041637" s="24"/>
      <c r="I1041637" s="24"/>
      <c r="J1041637" s="24"/>
      <c r="K1041637" s="54"/>
    </row>
    <row r="1041638" spans="1:11" s="55" customFormat="1" ht="12.75">
      <c r="A1041638" s="24"/>
      <c r="B1041638" s="24"/>
      <c r="C1041638" s="24"/>
      <c r="D1041638" s="24"/>
      <c r="E1041638" s="24"/>
      <c r="F1041638" s="24"/>
      <c r="G1041638" s="24"/>
      <c r="H1041638" s="24"/>
      <c r="I1041638" s="24"/>
      <c r="J1041638" s="24"/>
      <c r="K1041638" s="54"/>
    </row>
    <row r="1041639" spans="1:11" s="55" customFormat="1" ht="12.75">
      <c r="A1041639" s="24"/>
      <c r="B1041639" s="24"/>
      <c r="C1041639" s="24"/>
      <c r="D1041639" s="24"/>
      <c r="E1041639" s="24"/>
      <c r="F1041639" s="24"/>
      <c r="G1041639" s="24"/>
      <c r="H1041639" s="24"/>
      <c r="I1041639" s="24"/>
      <c r="J1041639" s="24"/>
      <c r="K1041639" s="54"/>
    </row>
    <row r="1041640" spans="1:11" s="55" customFormat="1" ht="12.75">
      <c r="A1041640" s="24"/>
      <c r="B1041640" s="24"/>
      <c r="C1041640" s="24"/>
      <c r="D1041640" s="24"/>
      <c r="E1041640" s="24"/>
      <c r="F1041640" s="24"/>
      <c r="G1041640" s="24"/>
      <c r="H1041640" s="24"/>
      <c r="I1041640" s="24"/>
      <c r="J1041640" s="24"/>
      <c r="K1041640" s="54"/>
    </row>
    <row r="1041641" spans="1:11" s="55" customFormat="1" ht="12.75">
      <c r="A1041641" s="24"/>
      <c r="B1041641" s="24"/>
      <c r="C1041641" s="24"/>
      <c r="D1041641" s="24"/>
      <c r="E1041641" s="24"/>
      <c r="F1041641" s="24"/>
      <c r="G1041641" s="24"/>
      <c r="H1041641" s="24"/>
      <c r="I1041641" s="24"/>
      <c r="J1041641" s="24"/>
      <c r="K1041641" s="54"/>
    </row>
    <row r="1041642" spans="1:11" s="55" customFormat="1" ht="12.75">
      <c r="A1041642" s="24"/>
      <c r="B1041642" s="24"/>
      <c r="C1041642" s="24"/>
      <c r="D1041642" s="24"/>
      <c r="E1041642" s="24"/>
      <c r="F1041642" s="24"/>
      <c r="G1041642" s="24"/>
      <c r="H1041642" s="24"/>
      <c r="I1041642" s="24"/>
      <c r="J1041642" s="24"/>
      <c r="K1041642" s="54"/>
    </row>
    <row r="1041643" spans="1:11" s="55" customFormat="1" ht="12.75">
      <c r="A1041643" s="24"/>
      <c r="B1041643" s="24"/>
      <c r="C1041643" s="24"/>
      <c r="D1041643" s="24"/>
      <c r="E1041643" s="24"/>
      <c r="F1041643" s="24"/>
      <c r="G1041643" s="24"/>
      <c r="H1041643" s="24"/>
      <c r="I1041643" s="24"/>
      <c r="J1041643" s="24"/>
      <c r="K1041643" s="54"/>
    </row>
    <row r="1041644" spans="1:11" s="55" customFormat="1" ht="12.75">
      <c r="A1041644" s="24"/>
      <c r="B1041644" s="24"/>
      <c r="C1041644" s="24"/>
      <c r="D1041644" s="24"/>
      <c r="E1041644" s="24"/>
      <c r="F1041644" s="24"/>
      <c r="G1041644" s="24"/>
      <c r="H1041644" s="24"/>
      <c r="I1041644" s="24"/>
      <c r="J1041644" s="24"/>
      <c r="K1041644" s="54"/>
    </row>
    <row r="1041645" spans="1:11" s="55" customFormat="1" ht="12.75">
      <c r="A1041645" s="24"/>
      <c r="B1041645" s="24"/>
      <c r="C1041645" s="24"/>
      <c r="D1041645" s="24"/>
      <c r="E1041645" s="24"/>
      <c r="F1041645" s="24"/>
      <c r="G1041645" s="24"/>
      <c r="H1041645" s="24"/>
      <c r="I1041645" s="24"/>
      <c r="J1041645" s="24"/>
      <c r="K1041645" s="54"/>
    </row>
    <row r="1041646" spans="1:11" s="55" customFormat="1" ht="12.75">
      <c r="A1041646" s="24"/>
      <c r="B1041646" s="24"/>
      <c r="C1041646" s="24"/>
      <c r="D1041646" s="24"/>
      <c r="E1041646" s="24"/>
      <c r="F1041646" s="24"/>
      <c r="G1041646" s="24"/>
      <c r="H1041646" s="24"/>
      <c r="I1041646" s="24"/>
      <c r="J1041646" s="24"/>
      <c r="K1041646" s="54"/>
    </row>
    <row r="1041647" spans="1:11" s="55" customFormat="1" ht="12.75">
      <c r="A1041647" s="24"/>
      <c r="B1041647" s="24"/>
      <c r="C1041647" s="24"/>
      <c r="D1041647" s="24"/>
      <c r="E1041647" s="24"/>
      <c r="F1041647" s="24"/>
      <c r="G1041647" s="24"/>
      <c r="H1041647" s="24"/>
      <c r="I1041647" s="24"/>
      <c r="J1041647" s="24"/>
      <c r="K1041647" s="54"/>
    </row>
    <row r="1041648" spans="1:11" s="55" customFormat="1" ht="12.75">
      <c r="A1041648" s="24"/>
      <c r="B1041648" s="24"/>
      <c r="C1041648" s="24"/>
      <c r="D1041648" s="24"/>
      <c r="E1041648" s="24"/>
      <c r="F1041648" s="24"/>
      <c r="G1041648" s="24"/>
      <c r="H1041648" s="24"/>
      <c r="I1041648" s="24"/>
      <c r="J1041648" s="24"/>
      <c r="K1041648" s="54"/>
    </row>
    <row r="1041649" spans="1:11" s="55" customFormat="1" ht="12.75">
      <c r="A1041649" s="24"/>
      <c r="B1041649" s="24"/>
      <c r="C1041649" s="24"/>
      <c r="D1041649" s="24"/>
      <c r="E1041649" s="24"/>
      <c r="F1041649" s="24"/>
      <c r="G1041649" s="24"/>
      <c r="H1041649" s="24"/>
      <c r="I1041649" s="24"/>
      <c r="J1041649" s="24"/>
      <c r="K1041649" s="54"/>
    </row>
    <row r="1041650" spans="1:11" s="55" customFormat="1" ht="12.75">
      <c r="A1041650" s="24"/>
      <c r="B1041650" s="24"/>
      <c r="C1041650" s="24"/>
      <c r="D1041650" s="24"/>
      <c r="E1041650" s="24"/>
      <c r="F1041650" s="24"/>
      <c r="G1041650" s="24"/>
      <c r="H1041650" s="24"/>
      <c r="I1041650" s="24"/>
      <c r="J1041650" s="24"/>
      <c r="K1041650" s="54"/>
    </row>
    <row r="1041651" spans="1:11" s="55" customFormat="1" ht="12.75">
      <c r="A1041651" s="24"/>
      <c r="B1041651" s="24"/>
      <c r="C1041651" s="24"/>
      <c r="D1041651" s="24"/>
      <c r="E1041651" s="24"/>
      <c r="F1041651" s="24"/>
      <c r="G1041651" s="24"/>
      <c r="H1041651" s="24"/>
      <c r="I1041651" s="24"/>
      <c r="J1041651" s="24"/>
      <c r="K1041651" s="54"/>
    </row>
    <row r="1041652" spans="1:11" s="55" customFormat="1" ht="12.75">
      <c r="A1041652" s="24"/>
      <c r="B1041652" s="24"/>
      <c r="C1041652" s="24"/>
      <c r="D1041652" s="24"/>
      <c r="E1041652" s="24"/>
      <c r="F1041652" s="24"/>
      <c r="G1041652" s="24"/>
      <c r="H1041652" s="24"/>
      <c r="I1041652" s="24"/>
      <c r="J1041652" s="24"/>
      <c r="K1041652" s="54"/>
    </row>
    <row r="1041653" spans="1:11" s="55" customFormat="1" ht="12.75">
      <c r="A1041653" s="24"/>
      <c r="B1041653" s="24"/>
      <c r="C1041653" s="24"/>
      <c r="D1041653" s="24"/>
      <c r="E1041653" s="24"/>
      <c r="F1041653" s="24"/>
      <c r="G1041653" s="24"/>
      <c r="H1041653" s="24"/>
      <c r="I1041653" s="24"/>
      <c r="J1041653" s="24"/>
      <c r="K1041653" s="54"/>
    </row>
    <row r="1041654" spans="1:11" s="55" customFormat="1" ht="12.75">
      <c r="A1041654" s="24"/>
      <c r="B1041654" s="24"/>
      <c r="C1041654" s="24"/>
      <c r="D1041654" s="24"/>
      <c r="E1041654" s="24"/>
      <c r="F1041654" s="24"/>
      <c r="G1041654" s="24"/>
      <c r="H1041654" s="24"/>
      <c r="I1041654" s="24"/>
      <c r="J1041654" s="24"/>
      <c r="K1041654" s="54"/>
    </row>
    <row r="1041655" spans="1:11" s="55" customFormat="1" ht="12.75">
      <c r="A1041655" s="24"/>
      <c r="B1041655" s="24"/>
      <c r="C1041655" s="24"/>
      <c r="D1041655" s="24"/>
      <c r="E1041655" s="24"/>
      <c r="F1041655" s="24"/>
      <c r="G1041655" s="24"/>
      <c r="H1041655" s="24"/>
      <c r="I1041655" s="24"/>
      <c r="J1041655" s="24"/>
      <c r="K1041655" s="54"/>
    </row>
    <row r="1041656" spans="1:11" s="55" customFormat="1" ht="12.75">
      <c r="A1041656" s="24"/>
      <c r="B1041656" s="24"/>
      <c r="C1041656" s="24"/>
      <c r="D1041656" s="24"/>
      <c r="E1041656" s="24"/>
      <c r="F1041656" s="24"/>
      <c r="G1041656" s="24"/>
      <c r="H1041656" s="24"/>
      <c r="I1041656" s="24"/>
      <c r="J1041656" s="24"/>
      <c r="K1041656" s="54"/>
    </row>
    <row r="1041657" spans="1:11" s="55" customFormat="1" ht="12.75">
      <c r="A1041657" s="24"/>
      <c r="B1041657" s="24"/>
      <c r="C1041657" s="24"/>
      <c r="D1041657" s="24"/>
      <c r="E1041657" s="24"/>
      <c r="F1041657" s="24"/>
      <c r="G1041657" s="24"/>
      <c r="H1041657" s="24"/>
      <c r="I1041657" s="24"/>
      <c r="J1041657" s="24"/>
      <c r="K1041657" s="54"/>
    </row>
    <row r="1041658" spans="1:11" s="55" customFormat="1" ht="12.75">
      <c r="A1041658" s="24"/>
      <c r="B1041658" s="24"/>
      <c r="C1041658" s="24"/>
      <c r="D1041658" s="24"/>
      <c r="E1041658" s="24"/>
      <c r="F1041658" s="24"/>
      <c r="G1041658" s="24"/>
      <c r="H1041658" s="24"/>
      <c r="I1041658" s="24"/>
      <c r="J1041658" s="24"/>
      <c r="K1041658" s="54"/>
    </row>
    <row r="1041659" spans="1:11" s="55" customFormat="1" ht="12.75">
      <c r="A1041659" s="24"/>
      <c r="B1041659" s="24"/>
      <c r="C1041659" s="24"/>
      <c r="D1041659" s="24"/>
      <c r="E1041659" s="24"/>
      <c r="F1041659" s="24"/>
      <c r="G1041659" s="24"/>
      <c r="H1041659" s="24"/>
      <c r="I1041659" s="24"/>
      <c r="J1041659" s="24"/>
      <c r="K1041659" s="54"/>
    </row>
    <row r="1041660" spans="1:11" s="55" customFormat="1" ht="12.75">
      <c r="A1041660" s="24"/>
      <c r="B1041660" s="24"/>
      <c r="C1041660" s="24"/>
      <c r="D1041660" s="24"/>
      <c r="E1041660" s="24"/>
      <c r="F1041660" s="24"/>
      <c r="G1041660" s="24"/>
      <c r="H1041660" s="24"/>
      <c r="I1041660" s="24"/>
      <c r="J1041660" s="24"/>
      <c r="K1041660" s="54"/>
    </row>
    <row r="1041661" spans="1:11" s="55" customFormat="1" ht="12.75">
      <c r="A1041661" s="24"/>
      <c r="B1041661" s="24"/>
      <c r="C1041661" s="24"/>
      <c r="D1041661" s="24"/>
      <c r="E1041661" s="24"/>
      <c r="F1041661" s="24"/>
      <c r="G1041661" s="24"/>
      <c r="H1041661" s="24"/>
      <c r="I1041661" s="24"/>
      <c r="J1041661" s="24"/>
      <c r="K1041661" s="54"/>
    </row>
    <row r="1041662" spans="1:11" s="55" customFormat="1" ht="12.75">
      <c r="A1041662" s="24"/>
      <c r="B1041662" s="24"/>
      <c r="C1041662" s="24"/>
      <c r="D1041662" s="24"/>
      <c r="E1041662" s="24"/>
      <c r="F1041662" s="24"/>
      <c r="G1041662" s="24"/>
      <c r="H1041662" s="24"/>
      <c r="I1041662" s="24"/>
      <c r="J1041662" s="24"/>
      <c r="K1041662" s="54"/>
    </row>
    <row r="1041663" spans="1:11" s="55" customFormat="1" ht="12.75">
      <c r="A1041663" s="24"/>
      <c r="B1041663" s="24"/>
      <c r="C1041663" s="24"/>
      <c r="D1041663" s="24"/>
      <c r="E1041663" s="24"/>
      <c r="F1041663" s="24"/>
      <c r="G1041663" s="24"/>
      <c r="H1041663" s="24"/>
      <c r="I1041663" s="24"/>
      <c r="J1041663" s="24"/>
      <c r="K1041663" s="54"/>
    </row>
    <row r="1041664" spans="1:11" s="55" customFormat="1" ht="12.75">
      <c r="A1041664" s="24"/>
      <c r="B1041664" s="24"/>
      <c r="C1041664" s="24"/>
      <c r="D1041664" s="24"/>
      <c r="E1041664" s="24"/>
      <c r="F1041664" s="24"/>
      <c r="G1041664" s="24"/>
      <c r="H1041664" s="24"/>
      <c r="I1041664" s="24"/>
      <c r="J1041664" s="24"/>
      <c r="K1041664" s="54"/>
    </row>
    <row r="1041665" spans="1:11" s="55" customFormat="1" ht="12.75">
      <c r="A1041665" s="24"/>
      <c r="B1041665" s="24"/>
      <c r="C1041665" s="24"/>
      <c r="D1041665" s="24"/>
      <c r="E1041665" s="24"/>
      <c r="F1041665" s="24"/>
      <c r="G1041665" s="24"/>
      <c r="H1041665" s="24"/>
      <c r="I1041665" s="24"/>
      <c r="J1041665" s="24"/>
      <c r="K1041665" s="54"/>
    </row>
    <row r="1041666" spans="1:11" s="55" customFormat="1" ht="12.75">
      <c r="A1041666" s="24"/>
      <c r="B1041666" s="24"/>
      <c r="C1041666" s="24"/>
      <c r="D1041666" s="24"/>
      <c r="E1041666" s="24"/>
      <c r="F1041666" s="24"/>
      <c r="G1041666" s="24"/>
      <c r="H1041666" s="24"/>
      <c r="I1041666" s="24"/>
      <c r="J1041666" s="24"/>
      <c r="K1041666" s="54"/>
    </row>
    <row r="1041667" spans="1:11" s="55" customFormat="1" ht="12.75">
      <c r="A1041667" s="24"/>
      <c r="B1041667" s="24"/>
      <c r="C1041667" s="24"/>
      <c r="D1041667" s="24"/>
      <c r="E1041667" s="24"/>
      <c r="F1041667" s="24"/>
      <c r="G1041667" s="24"/>
      <c r="H1041667" s="24"/>
      <c r="I1041667" s="24"/>
      <c r="J1041667" s="24"/>
      <c r="K1041667" s="54"/>
    </row>
    <row r="1041668" spans="1:11" s="55" customFormat="1" ht="12.75">
      <c r="A1041668" s="24"/>
      <c r="B1041668" s="24"/>
      <c r="C1041668" s="24"/>
      <c r="D1041668" s="24"/>
      <c r="E1041668" s="24"/>
      <c r="F1041668" s="24"/>
      <c r="G1041668" s="24"/>
      <c r="H1041668" s="24"/>
      <c r="I1041668" s="24"/>
      <c r="J1041668" s="24"/>
      <c r="K1041668" s="54"/>
    </row>
    <row r="1041669" spans="1:11" s="55" customFormat="1" ht="12.75">
      <c r="A1041669" s="24"/>
      <c r="B1041669" s="24"/>
      <c r="C1041669" s="24"/>
      <c r="D1041669" s="24"/>
      <c r="E1041669" s="24"/>
      <c r="F1041669" s="24"/>
      <c r="G1041669" s="24"/>
      <c r="H1041669" s="24"/>
      <c r="I1041669" s="24"/>
      <c r="J1041669" s="24"/>
      <c r="K1041669" s="54"/>
    </row>
    <row r="1041670" spans="1:11" s="55" customFormat="1" ht="12.75">
      <c r="A1041670" s="24"/>
      <c r="B1041670" s="24"/>
      <c r="C1041670" s="24"/>
      <c r="D1041670" s="24"/>
      <c r="E1041670" s="24"/>
      <c r="F1041670" s="24"/>
      <c r="G1041670" s="24"/>
      <c r="H1041670" s="24"/>
      <c r="I1041670" s="24"/>
      <c r="J1041670" s="24"/>
      <c r="K1041670" s="54"/>
    </row>
    <row r="1041671" spans="1:11" s="55" customFormat="1" ht="12.75">
      <c r="A1041671" s="24"/>
      <c r="B1041671" s="24"/>
      <c r="C1041671" s="24"/>
      <c r="D1041671" s="24"/>
      <c r="E1041671" s="24"/>
      <c r="F1041671" s="24"/>
      <c r="G1041671" s="24"/>
      <c r="H1041671" s="24"/>
      <c r="I1041671" s="24"/>
      <c r="J1041671" s="24"/>
      <c r="K1041671" s="54"/>
    </row>
    <row r="1041672" spans="1:11" s="55" customFormat="1" ht="12.75">
      <c r="A1041672" s="24"/>
      <c r="B1041672" s="24"/>
      <c r="C1041672" s="24"/>
      <c r="D1041672" s="24"/>
      <c r="E1041672" s="24"/>
      <c r="F1041672" s="24"/>
      <c r="G1041672" s="24"/>
      <c r="H1041672" s="24"/>
      <c r="I1041672" s="24"/>
      <c r="J1041672" s="24"/>
      <c r="K1041672" s="54"/>
    </row>
    <row r="1041673" spans="1:11" s="55" customFormat="1" ht="12.75">
      <c r="A1041673" s="24"/>
      <c r="B1041673" s="24"/>
      <c r="C1041673" s="24"/>
      <c r="D1041673" s="24"/>
      <c r="E1041673" s="24"/>
      <c r="F1041673" s="24"/>
      <c r="G1041673" s="24"/>
      <c r="H1041673" s="24"/>
      <c r="I1041673" s="24"/>
      <c r="J1041673" s="24"/>
      <c r="K1041673" s="54"/>
    </row>
    <row r="1041674" spans="1:11" s="55" customFormat="1" ht="12.75">
      <c r="A1041674" s="24"/>
      <c r="B1041674" s="24"/>
      <c r="C1041674" s="24"/>
      <c r="D1041674" s="24"/>
      <c r="E1041674" s="24"/>
      <c r="F1041674" s="24"/>
      <c r="G1041674" s="24"/>
      <c r="H1041674" s="24"/>
      <c r="I1041674" s="24"/>
      <c r="J1041674" s="24"/>
      <c r="K1041674" s="54"/>
    </row>
    <row r="1041675" spans="1:11" s="55" customFormat="1" ht="12.75">
      <c r="A1041675" s="24"/>
      <c r="B1041675" s="24"/>
      <c r="C1041675" s="24"/>
      <c r="D1041675" s="24"/>
      <c r="E1041675" s="24"/>
      <c r="F1041675" s="24"/>
      <c r="G1041675" s="24"/>
      <c r="H1041675" s="24"/>
      <c r="I1041675" s="24"/>
      <c r="J1041675" s="24"/>
      <c r="K1041675" s="54"/>
    </row>
    <row r="1041676" spans="1:11" s="55" customFormat="1" ht="12.75">
      <c r="A1041676" s="24"/>
      <c r="B1041676" s="24"/>
      <c r="C1041676" s="24"/>
      <c r="D1041676" s="24"/>
      <c r="E1041676" s="24"/>
      <c r="F1041676" s="24"/>
      <c r="G1041676" s="24"/>
      <c r="H1041676" s="24"/>
      <c r="I1041676" s="24"/>
      <c r="J1041676" s="24"/>
      <c r="K1041676" s="54"/>
    </row>
    <row r="1041677" spans="1:11" s="55" customFormat="1" ht="12.75">
      <c r="A1041677" s="24"/>
      <c r="B1041677" s="24"/>
      <c r="C1041677" s="24"/>
      <c r="D1041677" s="24"/>
      <c r="E1041677" s="24"/>
      <c r="F1041677" s="24"/>
      <c r="G1041677" s="24"/>
      <c r="H1041677" s="24"/>
      <c r="I1041677" s="24"/>
      <c r="J1041677" s="24"/>
      <c r="K1041677" s="54"/>
    </row>
    <row r="1041678" spans="1:11" s="55" customFormat="1" ht="12.75">
      <c r="A1041678" s="24"/>
      <c r="B1041678" s="24"/>
      <c r="C1041678" s="24"/>
      <c r="D1041678" s="24"/>
      <c r="E1041678" s="24"/>
      <c r="F1041678" s="24"/>
      <c r="G1041678" s="24"/>
      <c r="H1041678" s="24"/>
      <c r="I1041678" s="24"/>
      <c r="J1041678" s="24"/>
      <c r="K1041678" s="54"/>
    </row>
    <row r="1041679" spans="1:11" s="55" customFormat="1" ht="12.75">
      <c r="A1041679" s="24"/>
      <c r="B1041679" s="24"/>
      <c r="C1041679" s="24"/>
      <c r="D1041679" s="24"/>
      <c r="E1041679" s="24"/>
      <c r="F1041679" s="24"/>
      <c r="G1041679" s="24"/>
      <c r="H1041679" s="24"/>
      <c r="I1041679" s="24"/>
      <c r="J1041679" s="24"/>
      <c r="K1041679" s="54"/>
    </row>
    <row r="1041680" spans="1:11" s="55" customFormat="1" ht="12.75">
      <c r="A1041680" s="24"/>
      <c r="B1041680" s="24"/>
      <c r="C1041680" s="24"/>
      <c r="D1041680" s="24"/>
      <c r="E1041680" s="24"/>
      <c r="F1041680" s="24"/>
      <c r="G1041680" s="24"/>
      <c r="H1041680" s="24"/>
      <c r="I1041680" s="24"/>
      <c r="J1041680" s="24"/>
      <c r="K1041680" s="54"/>
    </row>
    <row r="1041681" spans="1:11" s="55" customFormat="1" ht="12.75">
      <c r="A1041681" s="24"/>
      <c r="B1041681" s="24"/>
      <c r="C1041681" s="24"/>
      <c r="D1041681" s="24"/>
      <c r="E1041681" s="24"/>
      <c r="F1041681" s="24"/>
      <c r="G1041681" s="24"/>
      <c r="H1041681" s="24"/>
      <c r="I1041681" s="24"/>
      <c r="J1041681" s="24"/>
      <c r="K1041681" s="54"/>
    </row>
    <row r="1041682" spans="1:11" s="55" customFormat="1" ht="12.75">
      <c r="A1041682" s="24"/>
      <c r="B1041682" s="24"/>
      <c r="C1041682" s="24"/>
      <c r="D1041682" s="24"/>
      <c r="E1041682" s="24"/>
      <c r="F1041682" s="24"/>
      <c r="G1041682" s="24"/>
      <c r="H1041682" s="24"/>
      <c r="I1041682" s="24"/>
      <c r="J1041682" s="24"/>
      <c r="K1041682" s="54"/>
    </row>
    <row r="1041683" spans="1:11" s="55" customFormat="1" ht="12.75">
      <c r="A1041683" s="24"/>
      <c r="B1041683" s="24"/>
      <c r="C1041683" s="24"/>
      <c r="D1041683" s="24"/>
      <c r="E1041683" s="24"/>
      <c r="F1041683" s="24"/>
      <c r="G1041683" s="24"/>
      <c r="H1041683" s="24"/>
      <c r="I1041683" s="24"/>
      <c r="J1041683" s="24"/>
      <c r="K1041683" s="54"/>
    </row>
    <row r="1041684" spans="1:11" s="55" customFormat="1" ht="12.75">
      <c r="A1041684" s="24"/>
      <c r="B1041684" s="24"/>
      <c r="C1041684" s="24"/>
      <c r="D1041684" s="24"/>
      <c r="E1041684" s="24"/>
      <c r="F1041684" s="24"/>
      <c r="G1041684" s="24"/>
      <c r="H1041684" s="24"/>
      <c r="I1041684" s="24"/>
      <c r="J1041684" s="24"/>
      <c r="K1041684" s="54"/>
    </row>
    <row r="1041685" spans="1:11" s="55" customFormat="1" ht="12.75">
      <c r="A1041685" s="24"/>
      <c r="B1041685" s="24"/>
      <c r="C1041685" s="24"/>
      <c r="D1041685" s="24"/>
      <c r="E1041685" s="24"/>
      <c r="F1041685" s="24"/>
      <c r="G1041685" s="24"/>
      <c r="H1041685" s="24"/>
      <c r="I1041685" s="24"/>
      <c r="J1041685" s="24"/>
      <c r="K1041685" s="54"/>
    </row>
    <row r="1041686" spans="1:11" s="55" customFormat="1" ht="12.75">
      <c r="A1041686" s="24"/>
      <c r="B1041686" s="24"/>
      <c r="C1041686" s="24"/>
      <c r="D1041686" s="24"/>
      <c r="E1041686" s="24"/>
      <c r="F1041686" s="24"/>
      <c r="G1041686" s="24"/>
      <c r="H1041686" s="24"/>
      <c r="I1041686" s="24"/>
      <c r="J1041686" s="24"/>
      <c r="K1041686" s="54"/>
    </row>
    <row r="1041687" spans="1:11" s="55" customFormat="1" ht="12.75">
      <c r="A1041687" s="24"/>
      <c r="B1041687" s="24"/>
      <c r="C1041687" s="24"/>
      <c r="D1041687" s="24"/>
      <c r="E1041687" s="24"/>
      <c r="F1041687" s="24"/>
      <c r="G1041687" s="24"/>
      <c r="H1041687" s="24"/>
      <c r="I1041687" s="24"/>
      <c r="J1041687" s="24"/>
      <c r="K1041687" s="54"/>
    </row>
    <row r="1041688" spans="1:11" s="55" customFormat="1" ht="12.75">
      <c r="A1041688" s="24"/>
      <c r="B1041688" s="24"/>
      <c r="C1041688" s="24"/>
      <c r="D1041688" s="24"/>
      <c r="E1041688" s="24"/>
      <c r="F1041688" s="24"/>
      <c r="G1041688" s="24"/>
      <c r="H1041688" s="24"/>
      <c r="I1041688" s="24"/>
      <c r="J1041688" s="24"/>
      <c r="K1041688" s="54"/>
    </row>
    <row r="1041689" spans="1:11" s="55" customFormat="1" ht="12.75">
      <c r="A1041689" s="24"/>
      <c r="B1041689" s="24"/>
      <c r="C1041689" s="24"/>
      <c r="D1041689" s="24"/>
      <c r="E1041689" s="24"/>
      <c r="F1041689" s="24"/>
      <c r="G1041689" s="24"/>
      <c r="H1041689" s="24"/>
      <c r="I1041689" s="24"/>
      <c r="J1041689" s="24"/>
      <c r="K1041689" s="54"/>
    </row>
    <row r="1041690" spans="1:11" s="55" customFormat="1" ht="12.75">
      <c r="A1041690" s="24"/>
      <c r="B1041690" s="24"/>
      <c r="C1041690" s="24"/>
      <c r="D1041690" s="24"/>
      <c r="E1041690" s="24"/>
      <c r="F1041690" s="24"/>
      <c r="G1041690" s="24"/>
      <c r="H1041690" s="24"/>
      <c r="I1041690" s="24"/>
      <c r="J1041690" s="24"/>
      <c r="K1041690" s="54"/>
    </row>
    <row r="1041691" spans="1:11" s="55" customFormat="1" ht="12.75">
      <c r="A1041691" s="24"/>
      <c r="B1041691" s="24"/>
      <c r="C1041691" s="24"/>
      <c r="D1041691" s="24"/>
      <c r="E1041691" s="24"/>
      <c r="F1041691" s="24"/>
      <c r="G1041691" s="24"/>
      <c r="H1041691" s="24"/>
      <c r="I1041691" s="24"/>
      <c r="J1041691" s="24"/>
      <c r="K1041691" s="54"/>
    </row>
    <row r="1041692" spans="1:11" s="55" customFormat="1" ht="12.75">
      <c r="A1041692" s="24"/>
      <c r="B1041692" s="24"/>
      <c r="C1041692" s="24"/>
      <c r="D1041692" s="24"/>
      <c r="E1041692" s="24"/>
      <c r="F1041692" s="24"/>
      <c r="G1041692" s="24"/>
      <c r="H1041692" s="24"/>
      <c r="I1041692" s="24"/>
      <c r="J1041692" s="24"/>
      <c r="K1041692" s="54"/>
    </row>
    <row r="1041693" spans="1:11" s="55" customFormat="1" ht="12.75">
      <c r="A1041693" s="24"/>
      <c r="B1041693" s="24"/>
      <c r="C1041693" s="24"/>
      <c r="D1041693" s="24"/>
      <c r="E1041693" s="24"/>
      <c r="F1041693" s="24"/>
      <c r="G1041693" s="24"/>
      <c r="H1041693" s="24"/>
      <c r="I1041693" s="24"/>
      <c r="J1041693" s="24"/>
      <c r="K1041693" s="54"/>
    </row>
    <row r="1041694" spans="1:11" s="55" customFormat="1" ht="12.75">
      <c r="A1041694" s="24"/>
      <c r="B1041694" s="24"/>
      <c r="C1041694" s="24"/>
      <c r="D1041694" s="24"/>
      <c r="E1041694" s="24"/>
      <c r="F1041694" s="24"/>
      <c r="G1041694" s="24"/>
      <c r="H1041694" s="24"/>
      <c r="I1041694" s="24"/>
      <c r="J1041694" s="24"/>
      <c r="K1041694" s="54"/>
    </row>
    <row r="1041695" spans="1:11" s="55" customFormat="1" ht="12.75">
      <c r="A1041695" s="24"/>
      <c r="B1041695" s="24"/>
      <c r="C1041695" s="24"/>
      <c r="D1041695" s="24"/>
      <c r="E1041695" s="24"/>
      <c r="F1041695" s="24"/>
      <c r="G1041695" s="24"/>
      <c r="H1041695" s="24"/>
      <c r="I1041695" s="24"/>
      <c r="J1041695" s="24"/>
      <c r="K1041695" s="54"/>
    </row>
    <row r="1041696" spans="1:11" s="55" customFormat="1" ht="12.75">
      <c r="A1041696" s="24"/>
      <c r="B1041696" s="24"/>
      <c r="C1041696" s="24"/>
      <c r="D1041696" s="24"/>
      <c r="E1041696" s="24"/>
      <c r="F1041696" s="24"/>
      <c r="G1041696" s="24"/>
      <c r="H1041696" s="24"/>
      <c r="I1041696" s="24"/>
      <c r="J1041696" s="24"/>
      <c r="K1041696" s="54"/>
    </row>
    <row r="1041697" spans="1:11" s="55" customFormat="1" ht="12.75">
      <c r="A1041697" s="24"/>
      <c r="B1041697" s="24"/>
      <c r="C1041697" s="24"/>
      <c r="D1041697" s="24"/>
      <c r="E1041697" s="24"/>
      <c r="F1041697" s="24"/>
      <c r="G1041697" s="24"/>
      <c r="H1041697" s="24"/>
      <c r="I1041697" s="24"/>
      <c r="J1041697" s="24"/>
      <c r="K1041697" s="54"/>
    </row>
    <row r="1041698" spans="1:11" s="55" customFormat="1" ht="12.75">
      <c r="A1041698" s="24"/>
      <c r="B1041698" s="24"/>
      <c r="C1041698" s="24"/>
      <c r="D1041698" s="24"/>
      <c r="E1041698" s="24"/>
      <c r="F1041698" s="24"/>
      <c r="G1041698" s="24"/>
      <c r="H1041698" s="24"/>
      <c r="I1041698" s="24"/>
      <c r="J1041698" s="24"/>
      <c r="K1041698" s="54"/>
    </row>
    <row r="1041699" spans="1:11" s="55" customFormat="1" ht="12.75">
      <c r="A1041699" s="24"/>
      <c r="B1041699" s="24"/>
      <c r="C1041699" s="24"/>
      <c r="D1041699" s="24"/>
      <c r="E1041699" s="24"/>
      <c r="F1041699" s="24"/>
      <c r="G1041699" s="24"/>
      <c r="H1041699" s="24"/>
      <c r="I1041699" s="24"/>
      <c r="J1041699" s="24"/>
      <c r="K1041699" s="54"/>
    </row>
    <row r="1041700" spans="1:11" s="55" customFormat="1" ht="12.75">
      <c r="A1041700" s="24"/>
      <c r="B1041700" s="24"/>
      <c r="C1041700" s="24"/>
      <c r="D1041700" s="24"/>
      <c r="E1041700" s="24"/>
      <c r="F1041700" s="24"/>
      <c r="G1041700" s="24"/>
      <c r="H1041700" s="24"/>
      <c r="I1041700" s="24"/>
      <c r="J1041700" s="24"/>
      <c r="K1041700" s="54"/>
    </row>
    <row r="1041701" spans="1:11" s="55" customFormat="1" ht="12.75">
      <c r="A1041701" s="24"/>
      <c r="B1041701" s="24"/>
      <c r="C1041701" s="24"/>
      <c r="D1041701" s="24"/>
      <c r="E1041701" s="24"/>
      <c r="F1041701" s="24"/>
      <c r="G1041701" s="24"/>
      <c r="H1041701" s="24"/>
      <c r="I1041701" s="24"/>
      <c r="J1041701" s="24"/>
      <c r="K1041701" s="54"/>
    </row>
    <row r="1041702" spans="1:11" s="55" customFormat="1" ht="12.75">
      <c r="A1041702" s="24"/>
      <c r="B1041702" s="24"/>
      <c r="C1041702" s="24"/>
      <c r="D1041702" s="24"/>
      <c r="E1041702" s="24"/>
      <c r="F1041702" s="24"/>
      <c r="G1041702" s="24"/>
      <c r="H1041702" s="24"/>
      <c r="I1041702" s="24"/>
      <c r="J1041702" s="24"/>
      <c r="K1041702" s="54"/>
    </row>
    <row r="1041703" spans="1:11" s="55" customFormat="1" ht="12.75">
      <c r="A1041703" s="24"/>
      <c r="B1041703" s="24"/>
      <c r="C1041703" s="24"/>
      <c r="D1041703" s="24"/>
      <c r="E1041703" s="24"/>
      <c r="F1041703" s="24"/>
      <c r="G1041703" s="24"/>
      <c r="H1041703" s="24"/>
      <c r="I1041703" s="24"/>
      <c r="J1041703" s="24"/>
      <c r="K1041703" s="54"/>
    </row>
    <row r="1041704" spans="1:11" s="55" customFormat="1" ht="12.75">
      <c r="A1041704" s="24"/>
      <c r="B1041704" s="24"/>
      <c r="C1041704" s="24"/>
      <c r="D1041704" s="24"/>
      <c r="E1041704" s="24"/>
      <c r="F1041704" s="24"/>
      <c r="G1041704" s="24"/>
      <c r="H1041704" s="24"/>
      <c r="I1041704" s="24"/>
      <c r="J1041704" s="24"/>
      <c r="K1041704" s="54"/>
    </row>
    <row r="1041705" spans="1:11" s="55" customFormat="1" ht="12.75">
      <c r="A1041705" s="24"/>
      <c r="B1041705" s="24"/>
      <c r="C1041705" s="24"/>
      <c r="D1041705" s="24"/>
      <c r="E1041705" s="24"/>
      <c r="F1041705" s="24"/>
      <c r="G1041705" s="24"/>
      <c r="H1041705" s="24"/>
      <c r="I1041705" s="24"/>
      <c r="J1041705" s="24"/>
      <c r="K1041705" s="54"/>
    </row>
    <row r="1041706" spans="1:11" s="55" customFormat="1" ht="12.75">
      <c r="A1041706" s="24"/>
      <c r="B1041706" s="24"/>
      <c r="C1041706" s="24"/>
      <c r="D1041706" s="24"/>
      <c r="E1041706" s="24"/>
      <c r="F1041706" s="24"/>
      <c r="G1041706" s="24"/>
      <c r="H1041706" s="24"/>
      <c r="I1041706" s="24"/>
      <c r="J1041706" s="24"/>
      <c r="K1041706" s="54"/>
    </row>
    <row r="1041707" spans="1:11" s="55" customFormat="1" ht="12.75">
      <c r="A1041707" s="24"/>
      <c r="B1041707" s="24"/>
      <c r="C1041707" s="24"/>
      <c r="D1041707" s="24"/>
      <c r="E1041707" s="24"/>
      <c r="F1041707" s="24"/>
      <c r="G1041707" s="24"/>
      <c r="H1041707" s="24"/>
      <c r="I1041707" s="24"/>
      <c r="J1041707" s="24"/>
      <c r="K1041707" s="54"/>
    </row>
    <row r="1041708" spans="1:11" s="55" customFormat="1" ht="12.75">
      <c r="A1041708" s="24"/>
      <c r="B1041708" s="24"/>
      <c r="C1041708" s="24"/>
      <c r="D1041708" s="24"/>
      <c r="E1041708" s="24"/>
      <c r="F1041708" s="24"/>
      <c r="G1041708" s="24"/>
      <c r="H1041708" s="24"/>
      <c r="I1041708" s="24"/>
      <c r="J1041708" s="24"/>
      <c r="K1041708" s="54"/>
    </row>
    <row r="1041709" spans="1:11" s="55" customFormat="1" ht="12.75">
      <c r="A1041709" s="24"/>
      <c r="B1041709" s="24"/>
      <c r="C1041709" s="24"/>
      <c r="D1041709" s="24"/>
      <c r="E1041709" s="24"/>
      <c r="F1041709" s="24"/>
      <c r="G1041709" s="24"/>
      <c r="H1041709" s="24"/>
      <c r="I1041709" s="24"/>
      <c r="J1041709" s="24"/>
      <c r="K1041709" s="54"/>
    </row>
    <row r="1041710" spans="1:11" s="55" customFormat="1" ht="12.75">
      <c r="A1041710" s="24"/>
      <c r="B1041710" s="24"/>
      <c r="C1041710" s="24"/>
      <c r="D1041710" s="24"/>
      <c r="E1041710" s="24"/>
      <c r="F1041710" s="24"/>
      <c r="G1041710" s="24"/>
      <c r="H1041710" s="24"/>
      <c r="I1041710" s="24"/>
      <c r="J1041710" s="24"/>
      <c r="K1041710" s="54"/>
    </row>
    <row r="1041711" spans="1:11" s="55" customFormat="1" ht="12.75">
      <c r="A1041711" s="24"/>
      <c r="B1041711" s="24"/>
      <c r="C1041711" s="24"/>
      <c r="D1041711" s="24"/>
      <c r="E1041711" s="24"/>
      <c r="F1041711" s="24"/>
      <c r="G1041711" s="24"/>
      <c r="H1041711" s="24"/>
      <c r="I1041711" s="24"/>
      <c r="J1041711" s="24"/>
      <c r="K1041711" s="54"/>
    </row>
    <row r="1041712" spans="1:11" s="55" customFormat="1" ht="12.75">
      <c r="A1041712" s="24"/>
      <c r="B1041712" s="24"/>
      <c r="C1041712" s="24"/>
      <c r="D1041712" s="24"/>
      <c r="E1041712" s="24"/>
      <c r="F1041712" s="24"/>
      <c r="G1041712" s="24"/>
      <c r="H1041712" s="24"/>
      <c r="I1041712" s="24"/>
      <c r="J1041712" s="24"/>
      <c r="K1041712" s="54"/>
    </row>
    <row r="1041713" spans="1:11" s="55" customFormat="1" ht="12.75">
      <c r="A1041713" s="24"/>
      <c r="B1041713" s="24"/>
      <c r="C1041713" s="24"/>
      <c r="D1041713" s="24"/>
      <c r="E1041713" s="24"/>
      <c r="F1041713" s="24"/>
      <c r="G1041713" s="24"/>
      <c r="H1041713" s="24"/>
      <c r="I1041713" s="24"/>
      <c r="J1041713" s="24"/>
      <c r="K1041713" s="54"/>
    </row>
    <row r="1041714" spans="1:11" s="55" customFormat="1" ht="12.75">
      <c r="A1041714" s="24"/>
      <c r="B1041714" s="24"/>
      <c r="C1041714" s="24"/>
      <c r="D1041714" s="24"/>
      <c r="E1041714" s="24"/>
      <c r="F1041714" s="24"/>
      <c r="G1041714" s="24"/>
      <c r="H1041714" s="24"/>
      <c r="I1041714" s="24"/>
      <c r="J1041714" s="24"/>
      <c r="K1041714" s="54"/>
    </row>
    <row r="1041715" spans="1:11" s="55" customFormat="1" ht="12.75">
      <c r="A1041715" s="24"/>
      <c r="B1041715" s="24"/>
      <c r="C1041715" s="24"/>
      <c r="D1041715" s="24"/>
      <c r="E1041715" s="24"/>
      <c r="F1041715" s="24"/>
      <c r="G1041715" s="24"/>
      <c r="H1041715" s="24"/>
      <c r="I1041715" s="24"/>
      <c r="J1041715" s="24"/>
      <c r="K1041715" s="54"/>
    </row>
    <row r="1041716" spans="1:11" s="55" customFormat="1" ht="12.75">
      <c r="A1041716" s="24"/>
      <c r="B1041716" s="24"/>
      <c r="C1041716" s="24"/>
      <c r="D1041716" s="24"/>
      <c r="E1041716" s="24"/>
      <c r="F1041716" s="24"/>
      <c r="G1041716" s="24"/>
      <c r="H1041716" s="24"/>
      <c r="I1041716" s="24"/>
      <c r="J1041716" s="24"/>
      <c r="K1041716" s="54"/>
    </row>
    <row r="1041717" spans="1:11" s="55" customFormat="1" ht="12.75">
      <c r="A1041717" s="24"/>
      <c r="B1041717" s="24"/>
      <c r="C1041717" s="24"/>
      <c r="D1041717" s="24"/>
      <c r="E1041717" s="24"/>
      <c r="F1041717" s="24"/>
      <c r="G1041717" s="24"/>
      <c r="H1041717" s="24"/>
      <c r="I1041717" s="24"/>
      <c r="J1041717" s="24"/>
      <c r="K1041717" s="54"/>
    </row>
    <row r="1041718" spans="1:11" s="55" customFormat="1" ht="12.75">
      <c r="A1041718" s="24"/>
      <c r="B1041718" s="24"/>
      <c r="C1041718" s="24"/>
      <c r="D1041718" s="24"/>
      <c r="E1041718" s="24"/>
      <c r="F1041718" s="24"/>
      <c r="G1041718" s="24"/>
      <c r="H1041718" s="24"/>
      <c r="I1041718" s="24"/>
      <c r="J1041718" s="24"/>
      <c r="K1041718" s="54"/>
    </row>
    <row r="1041719" spans="1:11" s="55" customFormat="1" ht="12.75">
      <c r="A1041719" s="24"/>
      <c r="B1041719" s="24"/>
      <c r="C1041719" s="24"/>
      <c r="D1041719" s="24"/>
      <c r="E1041719" s="24"/>
      <c r="F1041719" s="24"/>
      <c r="G1041719" s="24"/>
      <c r="H1041719" s="24"/>
      <c r="I1041719" s="24"/>
      <c r="J1041719" s="24"/>
      <c r="K1041719" s="54"/>
    </row>
    <row r="1041720" spans="1:11" s="55" customFormat="1" ht="12.75">
      <c r="A1041720" s="24"/>
      <c r="B1041720" s="24"/>
      <c r="C1041720" s="24"/>
      <c r="D1041720" s="24"/>
      <c r="E1041720" s="24"/>
      <c r="F1041720" s="24"/>
      <c r="G1041720" s="24"/>
      <c r="H1041720" s="24"/>
      <c r="I1041720" s="24"/>
      <c r="J1041720" s="24"/>
      <c r="K1041720" s="54"/>
    </row>
    <row r="1041721" spans="1:11" s="55" customFormat="1" ht="12.75">
      <c r="A1041721" s="24"/>
      <c r="B1041721" s="24"/>
      <c r="C1041721" s="24"/>
      <c r="D1041721" s="24"/>
      <c r="E1041721" s="24"/>
      <c r="F1041721" s="24"/>
      <c r="G1041721" s="24"/>
      <c r="H1041721" s="24"/>
      <c r="I1041721" s="24"/>
      <c r="J1041721" s="24"/>
      <c r="K1041721" s="54"/>
    </row>
    <row r="1041722" spans="1:11" s="55" customFormat="1" ht="12.75">
      <c r="A1041722" s="24"/>
      <c r="B1041722" s="24"/>
      <c r="C1041722" s="24"/>
      <c r="D1041722" s="24"/>
      <c r="E1041722" s="24"/>
      <c r="F1041722" s="24"/>
      <c r="G1041722" s="24"/>
      <c r="H1041722" s="24"/>
      <c r="I1041722" s="24"/>
      <c r="J1041722" s="24"/>
      <c r="K1041722" s="54"/>
    </row>
    <row r="1041723" spans="1:11" s="55" customFormat="1" ht="12.75">
      <c r="A1041723" s="24"/>
      <c r="B1041723" s="24"/>
      <c r="C1041723" s="24"/>
      <c r="D1041723" s="24"/>
      <c r="E1041723" s="24"/>
      <c r="F1041723" s="24"/>
      <c r="G1041723" s="24"/>
      <c r="H1041723" s="24"/>
      <c r="I1041723" s="24"/>
      <c r="J1041723" s="24"/>
      <c r="K1041723" s="54"/>
    </row>
    <row r="1041724" spans="1:11" s="55" customFormat="1" ht="12.75">
      <c r="A1041724" s="24"/>
      <c r="B1041724" s="24"/>
      <c r="C1041724" s="24"/>
      <c r="D1041724" s="24"/>
      <c r="E1041724" s="24"/>
      <c r="F1041724" s="24"/>
      <c r="G1041724" s="24"/>
      <c r="H1041724" s="24"/>
      <c r="I1041724" s="24"/>
      <c r="J1041724" s="24"/>
      <c r="K1041724" s="54"/>
    </row>
    <row r="1041725" spans="1:11" s="55" customFormat="1" ht="12.75">
      <c r="A1041725" s="24"/>
      <c r="B1041725" s="24"/>
      <c r="C1041725" s="24"/>
      <c r="D1041725" s="24"/>
      <c r="E1041725" s="24"/>
      <c r="F1041725" s="24"/>
      <c r="G1041725" s="24"/>
      <c r="H1041725" s="24"/>
      <c r="I1041725" s="24"/>
      <c r="J1041725" s="24"/>
      <c r="K1041725" s="54"/>
    </row>
    <row r="1041726" spans="1:11" s="55" customFormat="1" ht="12.75">
      <c r="A1041726" s="24"/>
      <c r="B1041726" s="24"/>
      <c r="C1041726" s="24"/>
      <c r="D1041726" s="24"/>
      <c r="E1041726" s="24"/>
      <c r="F1041726" s="24"/>
      <c r="G1041726" s="24"/>
      <c r="H1041726" s="24"/>
      <c r="I1041726" s="24"/>
      <c r="J1041726" s="24"/>
      <c r="K1041726" s="54"/>
    </row>
    <row r="1041727" spans="1:11" s="55" customFormat="1" ht="12.75">
      <c r="A1041727" s="24"/>
      <c r="B1041727" s="24"/>
      <c r="C1041727" s="24"/>
      <c r="D1041727" s="24"/>
      <c r="E1041727" s="24"/>
      <c r="F1041727" s="24"/>
      <c r="G1041727" s="24"/>
      <c r="H1041727" s="24"/>
      <c r="I1041727" s="24"/>
      <c r="J1041727" s="24"/>
      <c r="K1041727" s="54"/>
    </row>
    <row r="1041728" spans="1:11" s="55" customFormat="1" ht="12.75">
      <c r="A1041728" s="24"/>
      <c r="B1041728" s="24"/>
      <c r="C1041728" s="24"/>
      <c r="D1041728" s="24"/>
      <c r="E1041728" s="24"/>
      <c r="F1041728" s="24"/>
      <c r="G1041728" s="24"/>
      <c r="H1041728" s="24"/>
      <c r="I1041728" s="24"/>
      <c r="J1041728" s="24"/>
      <c r="K1041728" s="54"/>
    </row>
    <row r="1041729" spans="1:11" s="55" customFormat="1" ht="12.75">
      <c r="A1041729" s="24"/>
      <c r="B1041729" s="24"/>
      <c r="C1041729" s="24"/>
      <c r="D1041729" s="24"/>
      <c r="E1041729" s="24"/>
      <c r="F1041729" s="24"/>
      <c r="G1041729" s="24"/>
      <c r="H1041729" s="24"/>
      <c r="I1041729" s="24"/>
      <c r="J1041729" s="24"/>
      <c r="K1041729" s="54"/>
    </row>
    <row r="1041730" spans="1:11" s="55" customFormat="1" ht="12.75">
      <c r="A1041730" s="24"/>
      <c r="B1041730" s="24"/>
      <c r="C1041730" s="24"/>
      <c r="D1041730" s="24"/>
      <c r="E1041730" s="24"/>
      <c r="F1041730" s="24"/>
      <c r="G1041730" s="24"/>
      <c r="H1041730" s="24"/>
      <c r="I1041730" s="24"/>
      <c r="J1041730" s="24"/>
      <c r="K1041730" s="54"/>
    </row>
    <row r="1041731" spans="1:11" s="55" customFormat="1" ht="12.75">
      <c r="A1041731" s="24"/>
      <c r="B1041731" s="24"/>
      <c r="C1041731" s="24"/>
      <c r="D1041731" s="24"/>
      <c r="E1041731" s="24"/>
      <c r="F1041731" s="24"/>
      <c r="G1041731" s="24"/>
      <c r="H1041731" s="24"/>
      <c r="I1041731" s="24"/>
      <c r="J1041731" s="24"/>
      <c r="K1041731" s="54"/>
    </row>
    <row r="1041732" spans="1:11" s="55" customFormat="1" ht="12.75">
      <c r="A1041732" s="24"/>
      <c r="B1041732" s="24"/>
      <c r="C1041732" s="24"/>
      <c r="D1041732" s="24"/>
      <c r="E1041732" s="24"/>
      <c r="F1041732" s="24"/>
      <c r="G1041732" s="24"/>
      <c r="H1041732" s="24"/>
      <c r="I1041732" s="24"/>
      <c r="J1041732" s="24"/>
      <c r="K1041732" s="54"/>
    </row>
    <row r="1041733" spans="1:11" s="55" customFormat="1" ht="12.75">
      <c r="A1041733" s="24"/>
      <c r="B1041733" s="24"/>
      <c r="C1041733" s="24"/>
      <c r="D1041733" s="24"/>
      <c r="E1041733" s="24"/>
      <c r="F1041733" s="24"/>
      <c r="G1041733" s="24"/>
      <c r="H1041733" s="24"/>
      <c r="I1041733" s="24"/>
      <c r="J1041733" s="24"/>
      <c r="K1041733" s="54"/>
    </row>
    <row r="1041734" spans="1:11" s="55" customFormat="1" ht="12.75">
      <c r="A1041734" s="24"/>
      <c r="B1041734" s="24"/>
      <c r="C1041734" s="24"/>
      <c r="D1041734" s="24"/>
      <c r="E1041734" s="24"/>
      <c r="F1041734" s="24"/>
      <c r="G1041734" s="24"/>
      <c r="H1041734" s="24"/>
      <c r="I1041734" s="24"/>
      <c r="J1041734" s="24"/>
      <c r="K1041734" s="54"/>
    </row>
    <row r="1041735" spans="1:11" s="55" customFormat="1" ht="12.75">
      <c r="A1041735" s="24"/>
      <c r="B1041735" s="24"/>
      <c r="C1041735" s="24"/>
      <c r="D1041735" s="24"/>
      <c r="E1041735" s="24"/>
      <c r="F1041735" s="24"/>
      <c r="G1041735" s="24"/>
      <c r="H1041735" s="24"/>
      <c r="I1041735" s="24"/>
      <c r="J1041735" s="24"/>
      <c r="K1041735" s="54"/>
    </row>
    <row r="1041736" spans="1:11" s="55" customFormat="1" ht="12.75">
      <c r="A1041736" s="24"/>
      <c r="B1041736" s="24"/>
      <c r="C1041736" s="24"/>
      <c r="D1041736" s="24"/>
      <c r="E1041736" s="24"/>
      <c r="F1041736" s="24"/>
      <c r="G1041736" s="24"/>
      <c r="H1041736" s="24"/>
      <c r="I1041736" s="24"/>
      <c r="J1041736" s="24"/>
      <c r="K1041736" s="54"/>
    </row>
    <row r="1041737" spans="1:11" s="55" customFormat="1" ht="12.75">
      <c r="A1041737" s="24"/>
      <c r="B1041737" s="24"/>
      <c r="C1041737" s="24"/>
      <c r="D1041737" s="24"/>
      <c r="E1041737" s="24"/>
      <c r="F1041737" s="24"/>
      <c r="G1041737" s="24"/>
      <c r="H1041737" s="24"/>
      <c r="I1041737" s="24"/>
      <c r="J1041737" s="24"/>
      <c r="K1041737" s="54"/>
    </row>
    <row r="1041738" spans="1:11" s="55" customFormat="1" ht="12.75">
      <c r="A1041738" s="24"/>
      <c r="B1041738" s="24"/>
      <c r="C1041738" s="24"/>
      <c r="D1041738" s="24"/>
      <c r="E1041738" s="24"/>
      <c r="F1041738" s="24"/>
      <c r="G1041738" s="24"/>
      <c r="H1041738" s="24"/>
      <c r="I1041738" s="24"/>
      <c r="J1041738" s="24"/>
      <c r="K1041738" s="54"/>
    </row>
    <row r="1041739" spans="1:11" s="55" customFormat="1" ht="12.75">
      <c r="A1041739" s="24"/>
      <c r="B1041739" s="24"/>
      <c r="C1041739" s="24"/>
      <c r="D1041739" s="24"/>
      <c r="E1041739" s="24"/>
      <c r="F1041739" s="24"/>
      <c r="G1041739" s="24"/>
      <c r="H1041739" s="24"/>
      <c r="I1041739" s="24"/>
      <c r="J1041739" s="24"/>
      <c r="K1041739" s="54"/>
    </row>
    <row r="1041740" spans="1:11" s="55" customFormat="1" ht="12.75">
      <c r="A1041740" s="24"/>
      <c r="B1041740" s="24"/>
      <c r="C1041740" s="24"/>
      <c r="D1041740" s="24"/>
      <c r="E1041740" s="24"/>
      <c r="F1041740" s="24"/>
      <c r="G1041740" s="24"/>
      <c r="H1041740" s="24"/>
      <c r="I1041740" s="24"/>
      <c r="J1041740" s="24"/>
      <c r="K1041740" s="54"/>
    </row>
    <row r="1041741" spans="1:11" s="55" customFormat="1" ht="12.75">
      <c r="A1041741" s="24"/>
      <c r="B1041741" s="24"/>
      <c r="C1041741" s="24"/>
      <c r="D1041741" s="24"/>
      <c r="E1041741" s="24"/>
      <c r="F1041741" s="24"/>
      <c r="G1041741" s="24"/>
      <c r="H1041741" s="24"/>
      <c r="I1041741" s="24"/>
      <c r="J1041741" s="24"/>
      <c r="K1041741" s="54"/>
    </row>
    <row r="1041742" spans="1:11" s="55" customFormat="1" ht="12.75">
      <c r="A1041742" s="24"/>
      <c r="B1041742" s="24"/>
      <c r="C1041742" s="24"/>
      <c r="D1041742" s="24"/>
      <c r="E1041742" s="24"/>
      <c r="F1041742" s="24"/>
      <c r="G1041742" s="24"/>
      <c r="H1041742" s="24"/>
      <c r="I1041742" s="24"/>
      <c r="J1041742" s="24"/>
      <c r="K1041742" s="54"/>
    </row>
    <row r="1041743" spans="1:11" s="55" customFormat="1" ht="12.75">
      <c r="A1041743" s="24"/>
      <c r="B1041743" s="24"/>
      <c r="C1041743" s="24"/>
      <c r="D1041743" s="24"/>
      <c r="E1041743" s="24"/>
      <c r="F1041743" s="24"/>
      <c r="G1041743" s="24"/>
      <c r="H1041743" s="24"/>
      <c r="I1041743" s="24"/>
      <c r="J1041743" s="24"/>
      <c r="K1041743" s="54"/>
    </row>
    <row r="1041744" spans="1:11" s="55" customFormat="1" ht="12.75">
      <c r="A1041744" s="24"/>
      <c r="B1041744" s="24"/>
      <c r="C1041744" s="24"/>
      <c r="D1041744" s="24"/>
      <c r="E1041744" s="24"/>
      <c r="F1041744" s="24"/>
      <c r="G1041744" s="24"/>
      <c r="H1041744" s="24"/>
      <c r="I1041744" s="24"/>
      <c r="J1041744" s="24"/>
      <c r="K1041744" s="54"/>
    </row>
    <row r="1041745" spans="1:11" s="55" customFormat="1" ht="12.75">
      <c r="A1041745" s="24"/>
      <c r="B1041745" s="24"/>
      <c r="C1041745" s="24"/>
      <c r="D1041745" s="24"/>
      <c r="E1041745" s="24"/>
      <c r="F1041745" s="24"/>
      <c r="G1041745" s="24"/>
      <c r="H1041745" s="24"/>
      <c r="I1041745" s="24"/>
      <c r="J1041745" s="24"/>
      <c r="K1041745" s="54"/>
    </row>
    <row r="1041746" spans="1:11" s="55" customFormat="1" ht="12.75">
      <c r="A1041746" s="24"/>
      <c r="B1041746" s="24"/>
      <c r="C1041746" s="24"/>
      <c r="D1041746" s="24"/>
      <c r="E1041746" s="24"/>
      <c r="F1041746" s="24"/>
      <c r="G1041746" s="24"/>
      <c r="H1041746" s="24"/>
      <c r="I1041746" s="24"/>
      <c r="J1041746" s="24"/>
      <c r="K1041746" s="54"/>
    </row>
    <row r="1041747" spans="1:11" s="55" customFormat="1" ht="12.75">
      <c r="A1041747" s="24"/>
      <c r="B1041747" s="24"/>
      <c r="C1041747" s="24"/>
      <c r="D1041747" s="24"/>
      <c r="E1041747" s="24"/>
      <c r="F1041747" s="24"/>
      <c r="G1041747" s="24"/>
      <c r="H1041747" s="24"/>
      <c r="I1041747" s="24"/>
      <c r="J1041747" s="24"/>
      <c r="K1041747" s="54"/>
    </row>
    <row r="1041748" spans="1:11" s="55" customFormat="1" ht="12.75">
      <c r="A1041748" s="24"/>
      <c r="B1041748" s="24"/>
      <c r="C1041748" s="24"/>
      <c r="D1041748" s="24"/>
      <c r="E1041748" s="24"/>
      <c r="F1041748" s="24"/>
      <c r="G1041748" s="24"/>
      <c r="H1041748" s="24"/>
      <c r="I1041748" s="24"/>
      <c r="J1041748" s="24"/>
      <c r="K1041748" s="54"/>
    </row>
    <row r="1041749" spans="1:11" s="55" customFormat="1" ht="12.75">
      <c r="A1041749" s="24"/>
      <c r="B1041749" s="24"/>
      <c r="C1041749" s="24"/>
      <c r="D1041749" s="24"/>
      <c r="E1041749" s="24"/>
      <c r="F1041749" s="24"/>
      <c r="G1041749" s="24"/>
      <c r="H1041749" s="24"/>
      <c r="I1041749" s="24"/>
      <c r="J1041749" s="24"/>
      <c r="K1041749" s="54"/>
    </row>
    <row r="1041750" spans="1:11" s="55" customFormat="1" ht="12.75">
      <c r="A1041750" s="24"/>
      <c r="B1041750" s="24"/>
      <c r="C1041750" s="24"/>
      <c r="D1041750" s="24"/>
      <c r="E1041750" s="24"/>
      <c r="F1041750" s="24"/>
      <c r="G1041750" s="24"/>
      <c r="H1041750" s="24"/>
      <c r="I1041750" s="24"/>
      <c r="J1041750" s="24"/>
      <c r="K1041750" s="54"/>
    </row>
    <row r="1041751" spans="1:11" s="55" customFormat="1" ht="12.75">
      <c r="A1041751" s="24"/>
      <c r="B1041751" s="24"/>
      <c r="C1041751" s="24"/>
      <c r="D1041751" s="24"/>
      <c r="E1041751" s="24"/>
      <c r="F1041751" s="24"/>
      <c r="G1041751" s="24"/>
      <c r="H1041751" s="24"/>
      <c r="I1041751" s="24"/>
      <c r="J1041751" s="24"/>
      <c r="K1041751" s="54"/>
    </row>
    <row r="1041752" spans="1:11" s="55" customFormat="1" ht="12.75">
      <c r="A1041752" s="24"/>
      <c r="B1041752" s="24"/>
      <c r="C1041752" s="24"/>
      <c r="D1041752" s="24"/>
      <c r="E1041752" s="24"/>
      <c r="F1041752" s="24"/>
      <c r="G1041752" s="24"/>
      <c r="H1041752" s="24"/>
      <c r="I1041752" s="24"/>
      <c r="J1041752" s="24"/>
      <c r="K1041752" s="54"/>
    </row>
    <row r="1041753" spans="1:11" s="55" customFormat="1" ht="12.75">
      <c r="A1041753" s="24"/>
      <c r="B1041753" s="24"/>
      <c r="C1041753" s="24"/>
      <c r="D1041753" s="24"/>
      <c r="E1041753" s="24"/>
      <c r="F1041753" s="24"/>
      <c r="G1041753" s="24"/>
      <c r="H1041753" s="24"/>
      <c r="I1041753" s="24"/>
      <c r="J1041753" s="24"/>
      <c r="K1041753" s="54"/>
    </row>
    <row r="1041754" spans="1:11" s="55" customFormat="1" ht="12.75">
      <c r="A1041754" s="24"/>
      <c r="B1041754" s="24"/>
      <c r="C1041754" s="24"/>
      <c r="D1041754" s="24"/>
      <c r="E1041754" s="24"/>
      <c r="F1041754" s="24"/>
      <c r="G1041754" s="24"/>
      <c r="H1041754" s="24"/>
      <c r="I1041754" s="24"/>
      <c r="J1041754" s="24"/>
      <c r="K1041754" s="54"/>
    </row>
    <row r="1041755" spans="1:11" s="55" customFormat="1" ht="12.75">
      <c r="A1041755" s="24"/>
      <c r="B1041755" s="24"/>
      <c r="C1041755" s="24"/>
      <c r="D1041755" s="24"/>
      <c r="E1041755" s="24"/>
      <c r="F1041755" s="24"/>
      <c r="G1041755" s="24"/>
      <c r="H1041755" s="24"/>
      <c r="I1041755" s="24"/>
      <c r="J1041755" s="24"/>
      <c r="K1041755" s="54"/>
    </row>
    <row r="1041756" spans="1:11" s="55" customFormat="1" ht="12.75">
      <c r="A1041756" s="24"/>
      <c r="B1041756" s="24"/>
      <c r="C1041756" s="24"/>
      <c r="D1041756" s="24"/>
      <c r="E1041756" s="24"/>
      <c r="F1041756" s="24"/>
      <c r="G1041756" s="24"/>
      <c r="H1041756" s="24"/>
      <c r="I1041756" s="24"/>
      <c r="J1041756" s="24"/>
      <c r="K1041756" s="54"/>
    </row>
    <row r="1041757" spans="1:11" s="55" customFormat="1" ht="12.75">
      <c r="A1041757" s="24"/>
      <c r="B1041757" s="24"/>
      <c r="C1041757" s="24"/>
      <c r="D1041757" s="24"/>
      <c r="E1041757" s="24"/>
      <c r="F1041757" s="24"/>
      <c r="G1041757" s="24"/>
      <c r="H1041757" s="24"/>
      <c r="I1041757" s="24"/>
      <c r="J1041757" s="24"/>
      <c r="K1041757" s="54"/>
    </row>
    <row r="1041758" spans="1:11" s="55" customFormat="1" ht="12.75">
      <c r="A1041758" s="24"/>
      <c r="B1041758" s="24"/>
      <c r="C1041758" s="24"/>
      <c r="D1041758" s="24"/>
      <c r="E1041758" s="24"/>
      <c r="F1041758" s="24"/>
      <c r="G1041758" s="24"/>
      <c r="H1041758" s="24"/>
      <c r="I1041758" s="24"/>
      <c r="J1041758" s="24"/>
      <c r="K1041758" s="54"/>
    </row>
    <row r="1041759" spans="1:11" s="55" customFormat="1" ht="12.75">
      <c r="A1041759" s="24"/>
      <c r="B1041759" s="24"/>
      <c r="C1041759" s="24"/>
      <c r="D1041759" s="24"/>
      <c r="E1041759" s="24"/>
      <c r="F1041759" s="24"/>
      <c r="G1041759" s="24"/>
      <c r="H1041759" s="24"/>
      <c r="I1041759" s="24"/>
      <c r="J1041759" s="24"/>
      <c r="K1041759" s="54"/>
    </row>
    <row r="1041760" spans="1:11" s="55" customFormat="1" ht="12.75">
      <c r="A1041760" s="24"/>
      <c r="B1041760" s="24"/>
      <c r="C1041760" s="24"/>
      <c r="D1041760" s="24"/>
      <c r="E1041760" s="24"/>
      <c r="F1041760" s="24"/>
      <c r="G1041760" s="24"/>
      <c r="H1041760" s="24"/>
      <c r="I1041760" s="24"/>
      <c r="J1041760" s="24"/>
      <c r="K1041760" s="54"/>
    </row>
    <row r="1041761" spans="1:11" s="55" customFormat="1" ht="12.75">
      <c r="A1041761" s="24"/>
      <c r="B1041761" s="24"/>
      <c r="C1041761" s="24"/>
      <c r="D1041761" s="24"/>
      <c r="E1041761" s="24"/>
      <c r="F1041761" s="24"/>
      <c r="G1041761" s="24"/>
      <c r="H1041761" s="24"/>
      <c r="I1041761" s="24"/>
      <c r="J1041761" s="24"/>
      <c r="K1041761" s="54"/>
    </row>
    <row r="1041762" spans="1:11" s="55" customFormat="1" ht="12.75">
      <c r="A1041762" s="24"/>
      <c r="B1041762" s="24"/>
      <c r="C1041762" s="24"/>
      <c r="D1041762" s="24"/>
      <c r="E1041762" s="24"/>
      <c r="F1041762" s="24"/>
      <c r="G1041762" s="24"/>
      <c r="H1041762" s="24"/>
      <c r="I1041762" s="24"/>
      <c r="J1041762" s="24"/>
      <c r="K1041762" s="54"/>
    </row>
    <row r="1041763" spans="1:11" s="55" customFormat="1" ht="12.75">
      <c r="A1041763" s="24"/>
      <c r="B1041763" s="24"/>
      <c r="C1041763" s="24"/>
      <c r="D1041763" s="24"/>
      <c r="E1041763" s="24"/>
      <c r="F1041763" s="24"/>
      <c r="G1041763" s="24"/>
      <c r="H1041763" s="24"/>
      <c r="I1041763" s="24"/>
      <c r="J1041763" s="24"/>
      <c r="K1041763" s="54"/>
    </row>
    <row r="1041764" spans="1:11" s="55" customFormat="1" ht="12.75">
      <c r="A1041764" s="24"/>
      <c r="B1041764" s="24"/>
      <c r="C1041764" s="24"/>
      <c r="D1041764" s="24"/>
      <c r="E1041764" s="24"/>
      <c r="F1041764" s="24"/>
      <c r="G1041764" s="24"/>
      <c r="H1041764" s="24"/>
      <c r="I1041764" s="24"/>
      <c r="J1041764" s="24"/>
      <c r="K1041764" s="54"/>
    </row>
    <row r="1041765" spans="1:11" s="55" customFormat="1" ht="12.75">
      <c r="A1041765" s="24"/>
      <c r="B1041765" s="24"/>
      <c r="C1041765" s="24"/>
      <c r="D1041765" s="24"/>
      <c r="E1041765" s="24"/>
      <c r="F1041765" s="24"/>
      <c r="G1041765" s="24"/>
      <c r="H1041765" s="24"/>
      <c r="I1041765" s="24"/>
      <c r="J1041765" s="24"/>
      <c r="K1041765" s="54"/>
    </row>
    <row r="1041766" spans="1:11" s="55" customFormat="1" ht="12.75">
      <c r="A1041766" s="24"/>
      <c r="B1041766" s="24"/>
      <c r="C1041766" s="24"/>
      <c r="D1041766" s="24"/>
      <c r="E1041766" s="24"/>
      <c r="F1041766" s="24"/>
      <c r="G1041766" s="24"/>
      <c r="H1041766" s="24"/>
      <c r="I1041766" s="24"/>
      <c r="J1041766" s="24"/>
      <c r="K1041766" s="54"/>
    </row>
    <row r="1041767" spans="1:11" s="55" customFormat="1" ht="12.75">
      <c r="A1041767" s="24"/>
      <c r="B1041767" s="24"/>
      <c r="C1041767" s="24"/>
      <c r="D1041767" s="24"/>
      <c r="E1041767" s="24"/>
      <c r="F1041767" s="24"/>
      <c r="G1041767" s="24"/>
      <c r="H1041767" s="24"/>
      <c r="I1041767" s="24"/>
      <c r="J1041767" s="24"/>
      <c r="K1041767" s="54"/>
    </row>
    <row r="1041768" spans="1:11" s="55" customFormat="1" ht="12.75">
      <c r="A1041768" s="24"/>
      <c r="B1041768" s="24"/>
      <c r="C1041768" s="24"/>
      <c r="D1041768" s="24"/>
      <c r="E1041768" s="24"/>
      <c r="F1041768" s="24"/>
      <c r="G1041768" s="24"/>
      <c r="H1041768" s="24"/>
      <c r="I1041768" s="24"/>
      <c r="J1041768" s="24"/>
      <c r="K1041768" s="54"/>
    </row>
    <row r="1041769" spans="1:11" s="55" customFormat="1" ht="12.75">
      <c r="A1041769" s="24"/>
      <c r="B1041769" s="24"/>
      <c r="C1041769" s="24"/>
      <c r="D1041769" s="24"/>
      <c r="E1041769" s="24"/>
      <c r="F1041769" s="24"/>
      <c r="G1041769" s="24"/>
      <c r="H1041769" s="24"/>
      <c r="I1041769" s="24"/>
      <c r="J1041769" s="24"/>
      <c r="K1041769" s="54"/>
    </row>
    <row r="1041770" spans="1:11" s="55" customFormat="1" ht="12.75">
      <c r="A1041770" s="24"/>
      <c r="B1041770" s="24"/>
      <c r="C1041770" s="24"/>
      <c r="D1041770" s="24"/>
      <c r="E1041770" s="24"/>
      <c r="F1041770" s="24"/>
      <c r="G1041770" s="24"/>
      <c r="H1041770" s="24"/>
      <c r="I1041770" s="24"/>
      <c r="J1041770" s="24"/>
      <c r="K1041770" s="54"/>
    </row>
    <row r="1041771" spans="1:11" s="55" customFormat="1" ht="12.75">
      <c r="A1041771" s="24"/>
      <c r="B1041771" s="24"/>
      <c r="C1041771" s="24"/>
      <c r="D1041771" s="24"/>
      <c r="E1041771" s="24"/>
      <c r="F1041771" s="24"/>
      <c r="G1041771" s="24"/>
      <c r="H1041771" s="24"/>
      <c r="I1041771" s="24"/>
      <c r="J1041771" s="24"/>
      <c r="K1041771" s="54"/>
    </row>
    <row r="1041772" spans="1:11" s="55" customFormat="1" ht="12.75">
      <c r="A1041772" s="24"/>
      <c r="B1041772" s="24"/>
      <c r="C1041772" s="24"/>
      <c r="D1041772" s="24"/>
      <c r="E1041772" s="24"/>
      <c r="F1041772" s="24"/>
      <c r="G1041772" s="24"/>
      <c r="H1041772" s="24"/>
      <c r="I1041772" s="24"/>
      <c r="J1041772" s="24"/>
      <c r="K1041772" s="54"/>
    </row>
    <row r="1041773" spans="1:11" s="55" customFormat="1" ht="12.75">
      <c r="A1041773" s="24"/>
      <c r="B1041773" s="24"/>
      <c r="C1041773" s="24"/>
      <c r="D1041773" s="24"/>
      <c r="E1041773" s="24"/>
      <c r="F1041773" s="24"/>
      <c r="G1041773" s="24"/>
      <c r="H1041773" s="24"/>
      <c r="I1041773" s="24"/>
      <c r="J1041773" s="24"/>
      <c r="K1041773" s="54"/>
    </row>
    <row r="1041774" spans="1:11" s="55" customFormat="1" ht="12.75">
      <c r="A1041774" s="24"/>
      <c r="B1041774" s="24"/>
      <c r="C1041774" s="24"/>
      <c r="D1041774" s="24"/>
      <c r="E1041774" s="24"/>
      <c r="F1041774" s="24"/>
      <c r="G1041774" s="24"/>
      <c r="H1041774" s="24"/>
      <c r="I1041774" s="24"/>
      <c r="J1041774" s="24"/>
      <c r="K1041774" s="54"/>
    </row>
    <row r="1041775" spans="1:11" s="55" customFormat="1" ht="12.75">
      <c r="A1041775" s="24"/>
      <c r="B1041775" s="24"/>
      <c r="C1041775" s="24"/>
      <c r="D1041775" s="24"/>
      <c r="E1041775" s="24"/>
      <c r="F1041775" s="24"/>
      <c r="G1041775" s="24"/>
      <c r="H1041775" s="24"/>
      <c r="I1041775" s="24"/>
      <c r="J1041775" s="24"/>
      <c r="K1041775" s="54"/>
    </row>
    <row r="1041776" spans="1:11" s="55" customFormat="1" ht="12.75">
      <c r="A1041776" s="24"/>
      <c r="B1041776" s="24"/>
      <c r="C1041776" s="24"/>
      <c r="D1041776" s="24"/>
      <c r="E1041776" s="24"/>
      <c r="F1041776" s="24"/>
      <c r="G1041776" s="24"/>
      <c r="H1041776" s="24"/>
      <c r="I1041776" s="24"/>
      <c r="J1041776" s="24"/>
      <c r="K1041776" s="54"/>
    </row>
    <row r="1041777" spans="1:11" s="55" customFormat="1" ht="12.75">
      <c r="A1041777" s="24"/>
      <c r="B1041777" s="24"/>
      <c r="C1041777" s="24"/>
      <c r="D1041777" s="24"/>
      <c r="E1041777" s="24"/>
      <c r="F1041777" s="24"/>
      <c r="G1041777" s="24"/>
      <c r="H1041777" s="24"/>
      <c r="I1041777" s="24"/>
      <c r="J1041777" s="24"/>
      <c r="K1041777" s="54"/>
    </row>
    <row r="1041778" spans="1:11" s="55" customFormat="1" ht="12.75">
      <c r="A1041778" s="24"/>
      <c r="B1041778" s="24"/>
      <c r="C1041778" s="24"/>
      <c r="D1041778" s="24"/>
      <c r="E1041778" s="24"/>
      <c r="F1041778" s="24"/>
      <c r="G1041778" s="24"/>
      <c r="H1041778" s="24"/>
      <c r="I1041778" s="24"/>
      <c r="J1041778" s="24"/>
      <c r="K1041778" s="54"/>
    </row>
    <row r="1041779" spans="1:11" s="55" customFormat="1" ht="12.75">
      <c r="A1041779" s="24"/>
      <c r="B1041779" s="24"/>
      <c r="C1041779" s="24"/>
      <c r="D1041779" s="24"/>
      <c r="E1041779" s="24"/>
      <c r="F1041779" s="24"/>
      <c r="G1041779" s="24"/>
      <c r="H1041779" s="24"/>
      <c r="I1041779" s="24"/>
      <c r="J1041779" s="24"/>
      <c r="K1041779" s="54"/>
    </row>
    <row r="1041780" spans="1:11" s="55" customFormat="1" ht="12.75">
      <c r="A1041780" s="24"/>
      <c r="B1041780" s="24"/>
      <c r="C1041780" s="24"/>
      <c r="D1041780" s="24"/>
      <c r="E1041780" s="24"/>
      <c r="F1041780" s="24"/>
      <c r="G1041780" s="24"/>
      <c r="H1041780" s="24"/>
      <c r="I1041780" s="24"/>
      <c r="J1041780" s="24"/>
      <c r="K1041780" s="54"/>
    </row>
    <row r="1041781" spans="1:11" s="55" customFormat="1" ht="12.75">
      <c r="A1041781" s="24"/>
      <c r="B1041781" s="24"/>
      <c r="C1041781" s="24"/>
      <c r="D1041781" s="24"/>
      <c r="E1041781" s="24"/>
      <c r="F1041781" s="24"/>
      <c r="G1041781" s="24"/>
      <c r="H1041781" s="24"/>
      <c r="I1041781" s="24"/>
      <c r="J1041781" s="24"/>
      <c r="K1041781" s="54"/>
    </row>
    <row r="1041782" spans="1:11" s="55" customFormat="1" ht="12.75">
      <c r="A1041782" s="24"/>
      <c r="B1041782" s="24"/>
      <c r="C1041782" s="24"/>
      <c r="D1041782" s="24"/>
      <c r="E1041782" s="24"/>
      <c r="F1041782" s="24"/>
      <c r="G1041782" s="24"/>
      <c r="H1041782" s="24"/>
      <c r="I1041782" s="24"/>
      <c r="J1041782" s="24"/>
      <c r="K1041782" s="54"/>
    </row>
    <row r="1041783" spans="1:11" s="55" customFormat="1" ht="12.75">
      <c r="A1041783" s="24"/>
      <c r="B1041783" s="24"/>
      <c r="C1041783" s="24"/>
      <c r="D1041783" s="24"/>
      <c r="E1041783" s="24"/>
      <c r="F1041783" s="24"/>
      <c r="G1041783" s="24"/>
      <c r="H1041783" s="24"/>
      <c r="I1041783" s="24"/>
      <c r="J1041783" s="24"/>
      <c r="K1041783" s="54"/>
    </row>
    <row r="1041784" spans="1:11" s="55" customFormat="1" ht="12.75">
      <c r="A1041784" s="24"/>
      <c r="B1041784" s="24"/>
      <c r="C1041784" s="24"/>
      <c r="D1041784" s="24"/>
      <c r="E1041784" s="24"/>
      <c r="F1041784" s="24"/>
      <c r="G1041784" s="24"/>
      <c r="H1041784" s="24"/>
      <c r="I1041784" s="24"/>
      <c r="J1041784" s="24"/>
      <c r="K1041784" s="54"/>
    </row>
    <row r="1041785" spans="1:11" s="55" customFormat="1" ht="12.75">
      <c r="A1041785" s="24"/>
      <c r="B1041785" s="24"/>
      <c r="C1041785" s="24"/>
      <c r="D1041785" s="24"/>
      <c r="E1041785" s="24"/>
      <c r="F1041785" s="24"/>
      <c r="G1041785" s="24"/>
      <c r="H1041785" s="24"/>
      <c r="I1041785" s="24"/>
      <c r="J1041785" s="24"/>
      <c r="K1041785" s="54"/>
    </row>
    <row r="1041786" spans="1:11" s="55" customFormat="1" ht="12.75">
      <c r="A1041786" s="24"/>
      <c r="B1041786" s="24"/>
      <c r="C1041786" s="24"/>
      <c r="D1041786" s="24"/>
      <c r="E1041786" s="24"/>
      <c r="F1041786" s="24"/>
      <c r="G1041786" s="24"/>
      <c r="H1041786" s="24"/>
      <c r="I1041786" s="24"/>
      <c r="J1041786" s="24"/>
      <c r="K1041786" s="54"/>
    </row>
    <row r="1041787" spans="1:11" s="55" customFormat="1" ht="12.75">
      <c r="A1041787" s="24"/>
      <c r="B1041787" s="24"/>
      <c r="C1041787" s="24"/>
      <c r="D1041787" s="24"/>
      <c r="E1041787" s="24"/>
      <c r="F1041787" s="24"/>
      <c r="G1041787" s="24"/>
      <c r="H1041787" s="24"/>
      <c r="I1041787" s="24"/>
      <c r="J1041787" s="24"/>
      <c r="K1041787" s="54"/>
    </row>
    <row r="1041788" spans="1:11" s="55" customFormat="1" ht="12.75">
      <c r="A1041788" s="24"/>
      <c r="B1041788" s="24"/>
      <c r="C1041788" s="24"/>
      <c r="D1041788" s="24"/>
      <c r="E1041788" s="24"/>
      <c r="F1041788" s="24"/>
      <c r="G1041788" s="24"/>
      <c r="H1041788" s="24"/>
      <c r="I1041788" s="24"/>
      <c r="J1041788" s="24"/>
      <c r="K1041788" s="54"/>
    </row>
    <row r="1041789" spans="1:11" s="55" customFormat="1" ht="12.75">
      <c r="A1041789" s="24"/>
      <c r="B1041789" s="24"/>
      <c r="C1041789" s="24"/>
      <c r="D1041789" s="24"/>
      <c r="E1041789" s="24"/>
      <c r="F1041789" s="24"/>
      <c r="G1041789" s="24"/>
      <c r="H1041789" s="24"/>
      <c r="I1041789" s="24"/>
      <c r="J1041789" s="24"/>
      <c r="K1041789" s="54"/>
    </row>
    <row r="1041790" spans="1:11" s="55" customFormat="1" ht="12.75">
      <c r="A1041790" s="24"/>
      <c r="B1041790" s="24"/>
      <c r="C1041790" s="24"/>
      <c r="D1041790" s="24"/>
      <c r="E1041790" s="24"/>
      <c r="F1041790" s="24"/>
      <c r="G1041790" s="24"/>
      <c r="H1041790" s="24"/>
      <c r="I1041790" s="24"/>
      <c r="J1041790" s="24"/>
      <c r="K1041790" s="54"/>
    </row>
    <row r="1041791" spans="1:11" s="55" customFormat="1" ht="12.75">
      <c r="A1041791" s="24"/>
      <c r="B1041791" s="24"/>
      <c r="C1041791" s="24"/>
      <c r="D1041791" s="24"/>
      <c r="E1041791" s="24"/>
      <c r="F1041791" s="24"/>
      <c r="G1041791" s="24"/>
      <c r="H1041791" s="24"/>
      <c r="I1041791" s="24"/>
      <c r="J1041791" s="24"/>
      <c r="K1041791" s="54"/>
    </row>
    <row r="1041792" spans="1:11" s="55" customFormat="1" ht="12.75">
      <c r="A1041792" s="24"/>
      <c r="B1041792" s="24"/>
      <c r="C1041792" s="24"/>
      <c r="D1041792" s="24"/>
      <c r="E1041792" s="24"/>
      <c r="F1041792" s="24"/>
      <c r="G1041792" s="24"/>
      <c r="H1041792" s="24"/>
      <c r="I1041792" s="24"/>
      <c r="J1041792" s="24"/>
      <c r="K1041792" s="54"/>
    </row>
    <row r="1041793" spans="1:11" s="55" customFormat="1" ht="12.75">
      <c r="A1041793" s="24"/>
      <c r="B1041793" s="24"/>
      <c r="C1041793" s="24"/>
      <c r="D1041793" s="24"/>
      <c r="E1041793" s="24"/>
      <c r="F1041793" s="24"/>
      <c r="G1041793" s="24"/>
      <c r="H1041793" s="24"/>
      <c r="I1041793" s="24"/>
      <c r="J1041793" s="24"/>
      <c r="K1041793" s="54"/>
    </row>
    <row r="1041794" spans="1:11" s="55" customFormat="1" ht="12.75">
      <c r="A1041794" s="24"/>
      <c r="B1041794" s="24"/>
      <c r="C1041794" s="24"/>
      <c r="D1041794" s="24"/>
      <c r="E1041794" s="24"/>
      <c r="F1041794" s="24"/>
      <c r="G1041794" s="24"/>
      <c r="H1041794" s="24"/>
      <c r="I1041794" s="24"/>
      <c r="J1041794" s="24"/>
      <c r="K1041794" s="54"/>
    </row>
    <row r="1041795" spans="1:11" s="55" customFormat="1" ht="12.75">
      <c r="A1041795" s="24"/>
      <c r="B1041795" s="24"/>
      <c r="C1041795" s="24"/>
      <c r="D1041795" s="24"/>
      <c r="E1041795" s="24"/>
      <c r="F1041795" s="24"/>
      <c r="G1041795" s="24"/>
      <c r="H1041795" s="24"/>
      <c r="I1041795" s="24"/>
      <c r="J1041795" s="24"/>
      <c r="K1041795" s="54"/>
    </row>
    <row r="1041796" spans="1:11" s="55" customFormat="1" ht="12.75">
      <c r="A1041796" s="24"/>
      <c r="B1041796" s="24"/>
      <c r="C1041796" s="24"/>
      <c r="D1041796" s="24"/>
      <c r="E1041796" s="24"/>
      <c r="F1041796" s="24"/>
      <c r="G1041796" s="24"/>
      <c r="H1041796" s="24"/>
      <c r="I1041796" s="24"/>
      <c r="J1041796" s="24"/>
      <c r="K1041796" s="54"/>
    </row>
    <row r="1041797" spans="1:11" s="55" customFormat="1" ht="12.75">
      <c r="A1041797" s="24"/>
      <c r="B1041797" s="24"/>
      <c r="C1041797" s="24"/>
      <c r="D1041797" s="24"/>
      <c r="E1041797" s="24"/>
      <c r="F1041797" s="24"/>
      <c r="G1041797" s="24"/>
      <c r="H1041797" s="24"/>
      <c r="I1041797" s="24"/>
      <c r="J1041797" s="24"/>
      <c r="K1041797" s="54"/>
    </row>
    <row r="1041798" spans="1:11" s="55" customFormat="1" ht="12.75">
      <c r="A1041798" s="24"/>
      <c r="B1041798" s="24"/>
      <c r="C1041798" s="24"/>
      <c r="D1041798" s="24"/>
      <c r="E1041798" s="24"/>
      <c r="F1041798" s="24"/>
      <c r="G1041798" s="24"/>
      <c r="H1041798" s="24"/>
      <c r="I1041798" s="24"/>
      <c r="J1041798" s="24"/>
      <c r="K1041798" s="54"/>
    </row>
    <row r="1041799" spans="1:11" s="55" customFormat="1" ht="12.75">
      <c r="A1041799" s="24"/>
      <c r="B1041799" s="24"/>
      <c r="C1041799" s="24"/>
      <c r="D1041799" s="24"/>
      <c r="E1041799" s="24"/>
      <c r="F1041799" s="24"/>
      <c r="G1041799" s="24"/>
      <c r="H1041799" s="24"/>
      <c r="I1041799" s="24"/>
      <c r="J1041799" s="24"/>
      <c r="K1041799" s="54"/>
    </row>
    <row r="1041800" spans="1:11" s="55" customFormat="1" ht="12.75">
      <c r="A1041800" s="24"/>
      <c r="B1041800" s="24"/>
      <c r="C1041800" s="24"/>
      <c r="D1041800" s="24"/>
      <c r="E1041800" s="24"/>
      <c r="F1041800" s="24"/>
      <c r="G1041800" s="24"/>
      <c r="H1041800" s="24"/>
      <c r="I1041800" s="24"/>
      <c r="J1041800" s="24"/>
      <c r="K1041800" s="54"/>
    </row>
    <row r="1041801" spans="1:11" s="55" customFormat="1" ht="12.75">
      <c r="A1041801" s="24"/>
      <c r="B1041801" s="24"/>
      <c r="C1041801" s="24"/>
      <c r="D1041801" s="24"/>
      <c r="E1041801" s="24"/>
      <c r="F1041801" s="24"/>
      <c r="G1041801" s="24"/>
      <c r="H1041801" s="24"/>
      <c r="I1041801" s="24"/>
      <c r="J1041801" s="24"/>
      <c r="K1041801" s="54"/>
    </row>
    <row r="1041802" spans="1:11" s="55" customFormat="1" ht="12.75">
      <c r="A1041802" s="24"/>
      <c r="B1041802" s="24"/>
      <c r="C1041802" s="24"/>
      <c r="D1041802" s="24"/>
      <c r="E1041802" s="24"/>
      <c r="F1041802" s="24"/>
      <c r="G1041802" s="24"/>
      <c r="H1041802" s="24"/>
      <c r="I1041802" s="24"/>
      <c r="J1041802" s="24"/>
      <c r="K1041802" s="54"/>
    </row>
    <row r="1041803" spans="1:11" s="55" customFormat="1" ht="12.75">
      <c r="A1041803" s="24"/>
      <c r="B1041803" s="24"/>
      <c r="C1041803" s="24"/>
      <c r="D1041803" s="24"/>
      <c r="E1041803" s="24"/>
      <c r="F1041803" s="24"/>
      <c r="G1041803" s="24"/>
      <c r="H1041803" s="24"/>
      <c r="I1041803" s="24"/>
      <c r="J1041803" s="24"/>
      <c r="K1041803" s="54"/>
    </row>
    <row r="1041804" spans="1:11" s="55" customFormat="1" ht="12.75">
      <c r="A1041804" s="24"/>
      <c r="B1041804" s="24"/>
      <c r="C1041804" s="24"/>
      <c r="D1041804" s="24"/>
      <c r="E1041804" s="24"/>
      <c r="F1041804" s="24"/>
      <c r="G1041804" s="24"/>
      <c r="H1041804" s="24"/>
      <c r="I1041804" s="24"/>
      <c r="J1041804" s="24"/>
      <c r="K1041804" s="54"/>
    </row>
    <row r="1041805" spans="1:11" s="55" customFormat="1" ht="12.75">
      <c r="A1041805" s="24"/>
      <c r="B1041805" s="24"/>
      <c r="C1041805" s="24"/>
      <c r="D1041805" s="24"/>
      <c r="E1041805" s="24"/>
      <c r="F1041805" s="24"/>
      <c r="G1041805" s="24"/>
      <c r="H1041805" s="24"/>
      <c r="I1041805" s="24"/>
      <c r="J1041805" s="24"/>
      <c r="K1041805" s="54"/>
    </row>
    <row r="1041806" spans="1:11" s="55" customFormat="1" ht="12.75">
      <c r="A1041806" s="24"/>
      <c r="B1041806" s="24"/>
      <c r="C1041806" s="24"/>
      <c r="D1041806" s="24"/>
      <c r="E1041806" s="24"/>
      <c r="F1041806" s="24"/>
      <c r="G1041806" s="24"/>
      <c r="H1041806" s="24"/>
      <c r="I1041806" s="24"/>
      <c r="J1041806" s="24"/>
      <c r="K1041806" s="54"/>
    </row>
    <row r="1041807" spans="1:11" s="55" customFormat="1" ht="12.75">
      <c r="A1041807" s="24"/>
      <c r="B1041807" s="24"/>
      <c r="C1041807" s="24"/>
      <c r="D1041807" s="24"/>
      <c r="E1041807" s="24"/>
      <c r="F1041807" s="24"/>
      <c r="G1041807" s="24"/>
      <c r="H1041807" s="24"/>
      <c r="I1041807" s="24"/>
      <c r="J1041807" s="24"/>
      <c r="K1041807" s="54"/>
    </row>
    <row r="1041808" spans="1:11" s="55" customFormat="1" ht="12.75">
      <c r="A1041808" s="24"/>
      <c r="B1041808" s="24"/>
      <c r="C1041808" s="24"/>
      <c r="D1041808" s="24"/>
      <c r="E1041808" s="24"/>
      <c r="F1041808" s="24"/>
      <c r="G1041808" s="24"/>
      <c r="H1041808" s="24"/>
      <c r="I1041808" s="24"/>
      <c r="J1041808" s="24"/>
      <c r="K1041808" s="54"/>
    </row>
    <row r="1041809" spans="1:11" s="55" customFormat="1" ht="12.75">
      <c r="A1041809" s="24"/>
      <c r="B1041809" s="24"/>
      <c r="C1041809" s="24"/>
      <c r="D1041809" s="24"/>
      <c r="E1041809" s="24"/>
      <c r="F1041809" s="24"/>
      <c r="G1041809" s="24"/>
      <c r="H1041809" s="24"/>
      <c r="I1041809" s="24"/>
      <c r="J1041809" s="24"/>
      <c r="K1041809" s="54"/>
    </row>
    <row r="1041810" spans="1:11" s="55" customFormat="1" ht="12.75">
      <c r="A1041810" s="24"/>
      <c r="B1041810" s="24"/>
      <c r="C1041810" s="24"/>
      <c r="D1041810" s="24"/>
      <c r="E1041810" s="24"/>
      <c r="F1041810" s="24"/>
      <c r="G1041810" s="24"/>
      <c r="H1041810" s="24"/>
      <c r="I1041810" s="24"/>
      <c r="J1041810" s="24"/>
      <c r="K1041810" s="54"/>
    </row>
    <row r="1041811" spans="1:11" s="55" customFormat="1" ht="12.75">
      <c r="A1041811" s="24"/>
      <c r="B1041811" s="24"/>
      <c r="C1041811" s="24"/>
      <c r="D1041811" s="24"/>
      <c r="E1041811" s="24"/>
      <c r="F1041811" s="24"/>
      <c r="G1041811" s="24"/>
      <c r="H1041811" s="24"/>
      <c r="I1041811" s="24"/>
      <c r="J1041811" s="24"/>
      <c r="K1041811" s="54"/>
    </row>
    <row r="1041812" spans="1:11" s="55" customFormat="1" ht="12.75">
      <c r="A1041812" s="24"/>
      <c r="B1041812" s="24"/>
      <c r="C1041812" s="24"/>
      <c r="D1041812" s="24"/>
      <c r="E1041812" s="24"/>
      <c r="F1041812" s="24"/>
      <c r="G1041812" s="24"/>
      <c r="H1041812" s="24"/>
      <c r="I1041812" s="24"/>
      <c r="J1041812" s="24"/>
      <c r="K1041812" s="54"/>
    </row>
    <row r="1041813" spans="1:11" s="55" customFormat="1" ht="12.75">
      <c r="A1041813" s="24"/>
      <c r="B1041813" s="24"/>
      <c r="C1041813" s="24"/>
      <c r="D1041813" s="24"/>
      <c r="E1041813" s="24"/>
      <c r="F1041813" s="24"/>
      <c r="G1041813" s="24"/>
      <c r="H1041813" s="24"/>
      <c r="I1041813" s="24"/>
      <c r="J1041813" s="24"/>
      <c r="K1041813" s="54"/>
    </row>
    <row r="1041814" spans="1:11" s="55" customFormat="1" ht="12.75">
      <c r="A1041814" s="24"/>
      <c r="B1041814" s="24"/>
      <c r="C1041814" s="24"/>
      <c r="D1041814" s="24"/>
      <c r="E1041814" s="24"/>
      <c r="F1041814" s="24"/>
      <c r="G1041814" s="24"/>
      <c r="H1041814" s="24"/>
      <c r="I1041814" s="24"/>
      <c r="J1041814" s="24"/>
      <c r="K1041814" s="54"/>
    </row>
    <row r="1041815" spans="1:11" s="55" customFormat="1" ht="12.75">
      <c r="A1041815" s="24"/>
      <c r="B1041815" s="24"/>
      <c r="C1041815" s="24"/>
      <c r="D1041815" s="24"/>
      <c r="E1041815" s="24"/>
      <c r="F1041815" s="24"/>
      <c r="G1041815" s="24"/>
      <c r="H1041815" s="24"/>
      <c r="I1041815" s="24"/>
      <c r="J1041815" s="24"/>
      <c r="K1041815" s="54"/>
    </row>
    <row r="1041816" spans="1:11" s="55" customFormat="1" ht="12.75">
      <c r="A1041816" s="24"/>
      <c r="B1041816" s="24"/>
      <c r="C1041816" s="24"/>
      <c r="D1041816" s="24"/>
      <c r="E1041816" s="24"/>
      <c r="F1041816" s="24"/>
      <c r="G1041816" s="24"/>
      <c r="H1041816" s="24"/>
      <c r="I1041816" s="24"/>
      <c r="J1041816" s="24"/>
      <c r="K1041816" s="54"/>
    </row>
    <row r="1041817" spans="1:11" s="55" customFormat="1" ht="12.75">
      <c r="A1041817" s="24"/>
      <c r="B1041817" s="24"/>
      <c r="C1041817" s="24"/>
      <c r="D1041817" s="24"/>
      <c r="E1041817" s="24"/>
      <c r="F1041817" s="24"/>
      <c r="G1041817" s="24"/>
      <c r="H1041817" s="24"/>
      <c r="I1041817" s="24"/>
      <c r="J1041817" s="24"/>
      <c r="K1041817" s="54"/>
    </row>
    <row r="1041818" spans="1:11" s="55" customFormat="1" ht="12.75">
      <c r="A1041818" s="24"/>
      <c r="B1041818" s="24"/>
      <c r="C1041818" s="24"/>
      <c r="D1041818" s="24"/>
      <c r="E1041818" s="24"/>
      <c r="F1041818" s="24"/>
      <c r="G1041818" s="24"/>
      <c r="H1041818" s="24"/>
      <c r="I1041818" s="24"/>
      <c r="J1041818" s="24"/>
      <c r="K1041818" s="54"/>
    </row>
    <row r="1041819" spans="1:11" s="55" customFormat="1" ht="12.75">
      <c r="A1041819" s="24"/>
      <c r="B1041819" s="24"/>
      <c r="C1041819" s="24"/>
      <c r="D1041819" s="24"/>
      <c r="E1041819" s="24"/>
      <c r="F1041819" s="24"/>
      <c r="G1041819" s="24"/>
      <c r="H1041819" s="24"/>
      <c r="I1041819" s="24"/>
      <c r="J1041819" s="24"/>
      <c r="K1041819" s="54"/>
    </row>
    <row r="1041820" spans="1:11" s="55" customFormat="1" ht="12.75">
      <c r="A1041820" s="24"/>
      <c r="B1041820" s="24"/>
      <c r="C1041820" s="24"/>
      <c r="D1041820" s="24"/>
      <c r="E1041820" s="24"/>
      <c r="F1041820" s="24"/>
      <c r="G1041820" s="24"/>
      <c r="H1041820" s="24"/>
      <c r="I1041820" s="24"/>
      <c r="J1041820" s="24"/>
      <c r="K1041820" s="54"/>
    </row>
    <row r="1041821" spans="1:11" s="55" customFormat="1" ht="12.75">
      <c r="A1041821" s="24"/>
      <c r="B1041821" s="24"/>
      <c r="C1041821" s="24"/>
      <c r="D1041821" s="24"/>
      <c r="E1041821" s="24"/>
      <c r="F1041821" s="24"/>
      <c r="G1041821" s="24"/>
      <c r="H1041821" s="24"/>
      <c r="I1041821" s="24"/>
      <c r="J1041821" s="24"/>
      <c r="K1041821" s="54"/>
    </row>
    <row r="1041822" spans="1:11" s="55" customFormat="1" ht="12.75">
      <c r="A1041822" s="24"/>
      <c r="B1041822" s="24"/>
      <c r="C1041822" s="24"/>
      <c r="D1041822" s="24"/>
      <c r="E1041822" s="24"/>
      <c r="F1041822" s="24"/>
      <c r="G1041822" s="24"/>
      <c r="H1041822" s="24"/>
      <c r="I1041822" s="24"/>
      <c r="J1041822" s="24"/>
      <c r="K1041822" s="54"/>
    </row>
    <row r="1041823" spans="1:11" s="55" customFormat="1" ht="12.75">
      <c r="A1041823" s="24"/>
      <c r="B1041823" s="24"/>
      <c r="C1041823" s="24"/>
      <c r="D1041823" s="24"/>
      <c r="E1041823" s="24"/>
      <c r="F1041823" s="24"/>
      <c r="G1041823" s="24"/>
      <c r="H1041823" s="24"/>
      <c r="I1041823" s="24"/>
      <c r="J1041823" s="24"/>
      <c r="K1041823" s="54"/>
    </row>
    <row r="1041824" spans="1:11" s="55" customFormat="1" ht="12.75">
      <c r="A1041824" s="24"/>
      <c r="B1041824" s="24"/>
      <c r="C1041824" s="24"/>
      <c r="D1041824" s="24"/>
      <c r="E1041824" s="24"/>
      <c r="F1041824" s="24"/>
      <c r="G1041824" s="24"/>
      <c r="H1041824" s="24"/>
      <c r="I1041824" s="24"/>
      <c r="J1041824" s="24"/>
      <c r="K1041824" s="54"/>
    </row>
    <row r="1041825" spans="1:11" s="55" customFormat="1" ht="12.75">
      <c r="A1041825" s="24"/>
      <c r="B1041825" s="24"/>
      <c r="C1041825" s="24"/>
      <c r="D1041825" s="24"/>
      <c r="E1041825" s="24"/>
      <c r="F1041825" s="24"/>
      <c r="G1041825" s="24"/>
      <c r="H1041825" s="24"/>
      <c r="I1041825" s="24"/>
      <c r="J1041825" s="24"/>
      <c r="K1041825" s="54"/>
    </row>
    <row r="1041826" spans="1:11" s="55" customFormat="1" ht="12.75">
      <c r="A1041826" s="24"/>
      <c r="B1041826" s="24"/>
      <c r="C1041826" s="24"/>
      <c r="D1041826" s="24"/>
      <c r="E1041826" s="24"/>
      <c r="F1041826" s="24"/>
      <c r="G1041826" s="24"/>
      <c r="H1041826" s="24"/>
      <c r="I1041826" s="24"/>
      <c r="J1041826" s="24"/>
      <c r="K1041826" s="54"/>
    </row>
    <row r="1041827" spans="1:11" s="55" customFormat="1" ht="12.75">
      <c r="A1041827" s="24"/>
      <c r="B1041827" s="24"/>
      <c r="C1041827" s="24"/>
      <c r="D1041827" s="24"/>
      <c r="E1041827" s="24"/>
      <c r="F1041827" s="24"/>
      <c r="G1041827" s="24"/>
      <c r="H1041827" s="24"/>
      <c r="I1041827" s="24"/>
      <c r="J1041827" s="24"/>
      <c r="K1041827" s="54"/>
    </row>
    <row r="1041828" spans="1:11" s="55" customFormat="1" ht="12.75">
      <c r="A1041828" s="24"/>
      <c r="B1041828" s="24"/>
      <c r="C1041828" s="24"/>
      <c r="D1041828" s="24"/>
      <c r="E1041828" s="24"/>
      <c r="F1041828" s="24"/>
      <c r="G1041828" s="24"/>
      <c r="H1041828" s="24"/>
      <c r="I1041828" s="24"/>
      <c r="J1041828" s="24"/>
      <c r="K1041828" s="54"/>
    </row>
    <row r="1041829" spans="1:11" s="55" customFormat="1" ht="12.75">
      <c r="A1041829" s="24"/>
      <c r="B1041829" s="24"/>
      <c r="C1041829" s="24"/>
      <c r="D1041829" s="24"/>
      <c r="E1041829" s="24"/>
      <c r="F1041829" s="24"/>
      <c r="G1041829" s="24"/>
      <c r="H1041829" s="24"/>
      <c r="I1041829" s="24"/>
      <c r="J1041829" s="24"/>
      <c r="K1041829" s="54"/>
    </row>
    <row r="1041830" spans="1:11" s="55" customFormat="1" ht="12.75">
      <c r="A1041830" s="24"/>
      <c r="B1041830" s="24"/>
      <c r="C1041830" s="24"/>
      <c r="D1041830" s="24"/>
      <c r="E1041830" s="24"/>
      <c r="F1041830" s="24"/>
      <c r="G1041830" s="24"/>
      <c r="H1041830" s="24"/>
      <c r="I1041830" s="24"/>
      <c r="J1041830" s="24"/>
      <c r="K1041830" s="54"/>
    </row>
    <row r="1041831" spans="1:11" s="55" customFormat="1" ht="12.75">
      <c r="A1041831" s="24"/>
      <c r="B1041831" s="24"/>
      <c r="C1041831" s="24"/>
      <c r="D1041831" s="24"/>
      <c r="E1041831" s="24"/>
      <c r="F1041831" s="24"/>
      <c r="G1041831" s="24"/>
      <c r="H1041831" s="24"/>
      <c r="I1041831" s="24"/>
      <c r="J1041831" s="24"/>
      <c r="K1041831" s="54"/>
    </row>
    <row r="1041832" spans="1:11" s="55" customFormat="1" ht="12.75">
      <c r="A1041832" s="24"/>
      <c r="B1041832" s="24"/>
      <c r="C1041832" s="24"/>
      <c r="D1041832" s="24"/>
      <c r="E1041832" s="24"/>
      <c r="F1041832" s="24"/>
      <c r="G1041832" s="24"/>
      <c r="H1041832" s="24"/>
      <c r="I1041832" s="24"/>
      <c r="J1041832" s="24"/>
      <c r="K1041832" s="54"/>
    </row>
    <row r="1041833" spans="1:11" s="55" customFormat="1" ht="12.75">
      <c r="A1041833" s="24"/>
      <c r="B1041833" s="24"/>
      <c r="C1041833" s="24"/>
      <c r="D1041833" s="24"/>
      <c r="E1041833" s="24"/>
      <c r="F1041833" s="24"/>
      <c r="G1041833" s="24"/>
      <c r="H1041833" s="24"/>
      <c r="I1041833" s="24"/>
      <c r="J1041833" s="24"/>
      <c r="K1041833" s="54"/>
    </row>
    <row r="1041834" spans="1:11" s="55" customFormat="1" ht="12.75">
      <c r="A1041834" s="24"/>
      <c r="B1041834" s="24"/>
      <c r="C1041834" s="24"/>
      <c r="D1041834" s="24"/>
      <c r="E1041834" s="24"/>
      <c r="F1041834" s="24"/>
      <c r="G1041834" s="24"/>
      <c r="H1041834" s="24"/>
      <c r="I1041834" s="24"/>
      <c r="J1041834" s="24"/>
      <c r="K1041834" s="54"/>
    </row>
    <row r="1041835" spans="1:11" s="55" customFormat="1" ht="12.75">
      <c r="A1041835" s="24"/>
      <c r="B1041835" s="24"/>
      <c r="C1041835" s="24"/>
      <c r="D1041835" s="24"/>
      <c r="E1041835" s="24"/>
      <c r="F1041835" s="24"/>
      <c r="G1041835" s="24"/>
      <c r="H1041835" s="24"/>
      <c r="I1041835" s="24"/>
      <c r="J1041835" s="24"/>
      <c r="K1041835" s="54"/>
    </row>
    <row r="1041836" spans="1:11" s="55" customFormat="1" ht="12.75">
      <c r="A1041836" s="24"/>
      <c r="B1041836" s="24"/>
      <c r="C1041836" s="24"/>
      <c r="D1041836" s="24"/>
      <c r="E1041836" s="24"/>
      <c r="F1041836" s="24"/>
      <c r="G1041836" s="24"/>
      <c r="H1041836" s="24"/>
      <c r="I1041836" s="24"/>
      <c r="J1041836" s="24"/>
      <c r="K1041836" s="54"/>
    </row>
    <row r="1041837" spans="1:11" s="55" customFormat="1" ht="12.75">
      <c r="A1041837" s="24"/>
      <c r="B1041837" s="24"/>
      <c r="C1041837" s="24"/>
      <c r="D1041837" s="24"/>
      <c r="E1041837" s="24"/>
      <c r="F1041837" s="24"/>
      <c r="G1041837" s="24"/>
      <c r="H1041837" s="24"/>
      <c r="I1041837" s="24"/>
      <c r="J1041837" s="24"/>
      <c r="K1041837" s="54"/>
    </row>
    <row r="1041838" spans="1:11" s="55" customFormat="1" ht="12.75">
      <c r="A1041838" s="24"/>
      <c r="B1041838" s="24"/>
      <c r="C1041838" s="24"/>
      <c r="D1041838" s="24"/>
      <c r="E1041838" s="24"/>
      <c r="F1041838" s="24"/>
      <c r="G1041838" s="24"/>
      <c r="H1041838" s="24"/>
      <c r="I1041838" s="24"/>
      <c r="J1041838" s="24"/>
      <c r="K1041838" s="54"/>
    </row>
    <row r="1041839" spans="1:11" s="55" customFormat="1" ht="12.75">
      <c r="A1041839" s="24"/>
      <c r="B1041839" s="24"/>
      <c r="C1041839" s="24"/>
      <c r="D1041839" s="24"/>
      <c r="E1041839" s="24"/>
      <c r="F1041839" s="24"/>
      <c r="G1041839" s="24"/>
      <c r="H1041839" s="24"/>
      <c r="I1041839" s="24"/>
      <c r="J1041839" s="24"/>
      <c r="K1041839" s="54"/>
    </row>
    <row r="1041840" spans="1:11" s="55" customFormat="1" ht="12.75">
      <c r="A1041840" s="24"/>
      <c r="B1041840" s="24"/>
      <c r="C1041840" s="24"/>
      <c r="D1041840" s="24"/>
      <c r="E1041840" s="24"/>
      <c r="F1041840" s="24"/>
      <c r="G1041840" s="24"/>
      <c r="H1041840" s="24"/>
      <c r="I1041840" s="24"/>
      <c r="J1041840" s="24"/>
      <c r="K1041840" s="54"/>
    </row>
    <row r="1041841" spans="1:11" s="55" customFormat="1" ht="12.75">
      <c r="A1041841" s="24"/>
      <c r="B1041841" s="24"/>
      <c r="C1041841" s="24"/>
      <c r="D1041841" s="24"/>
      <c r="E1041841" s="24"/>
      <c r="F1041841" s="24"/>
      <c r="G1041841" s="24"/>
      <c r="H1041841" s="24"/>
      <c r="I1041841" s="24"/>
      <c r="J1041841" s="24"/>
      <c r="K1041841" s="54"/>
    </row>
    <row r="1041842" spans="1:11" s="55" customFormat="1" ht="12.75">
      <c r="A1041842" s="24"/>
      <c r="B1041842" s="24"/>
      <c r="C1041842" s="24"/>
      <c r="D1041842" s="24"/>
      <c r="E1041842" s="24"/>
      <c r="F1041842" s="24"/>
      <c r="G1041842" s="24"/>
      <c r="H1041842" s="24"/>
      <c r="I1041842" s="24"/>
      <c r="J1041842" s="24"/>
      <c r="K1041842" s="54"/>
    </row>
    <row r="1041843" spans="1:11" s="55" customFormat="1" ht="12.75">
      <c r="A1041843" s="24"/>
      <c r="B1041843" s="24"/>
      <c r="C1041843" s="24"/>
      <c r="D1041843" s="24"/>
      <c r="E1041843" s="24"/>
      <c r="F1041843" s="24"/>
      <c r="G1041843" s="24"/>
      <c r="H1041843" s="24"/>
      <c r="I1041843" s="24"/>
      <c r="J1041843" s="24"/>
      <c r="K1041843" s="54"/>
    </row>
    <row r="1041844" spans="1:11" s="55" customFormat="1" ht="12.75">
      <c r="A1041844" s="24"/>
      <c r="B1041844" s="24"/>
      <c r="C1041844" s="24"/>
      <c r="D1041844" s="24"/>
      <c r="E1041844" s="24"/>
      <c r="F1041844" s="24"/>
      <c r="G1041844" s="24"/>
      <c r="H1041844" s="24"/>
      <c r="I1041844" s="24"/>
      <c r="J1041844" s="24"/>
      <c r="K1041844" s="54"/>
    </row>
    <row r="1041845" spans="1:11" s="55" customFormat="1" ht="12.75">
      <c r="A1041845" s="24"/>
      <c r="B1041845" s="24"/>
      <c r="C1041845" s="24"/>
      <c r="D1041845" s="24"/>
      <c r="E1041845" s="24"/>
      <c r="F1041845" s="24"/>
      <c r="G1041845" s="24"/>
      <c r="H1041845" s="24"/>
      <c r="I1041845" s="24"/>
      <c r="J1041845" s="24"/>
      <c r="K1041845" s="54"/>
    </row>
    <row r="1041846" spans="1:11" s="55" customFormat="1" ht="12.75">
      <c r="A1041846" s="24"/>
      <c r="B1041846" s="24"/>
      <c r="C1041846" s="24"/>
      <c r="D1041846" s="24"/>
      <c r="E1041846" s="24"/>
      <c r="F1041846" s="24"/>
      <c r="G1041846" s="24"/>
      <c r="H1041846" s="24"/>
      <c r="I1041846" s="24"/>
      <c r="J1041846" s="24"/>
      <c r="K1041846" s="54"/>
    </row>
    <row r="1041847" spans="1:11" s="55" customFormat="1" ht="12.75">
      <c r="A1041847" s="24"/>
      <c r="B1041847" s="24"/>
      <c r="C1041847" s="24"/>
      <c r="D1041847" s="24"/>
      <c r="E1041847" s="24"/>
      <c r="F1041847" s="24"/>
      <c r="G1041847" s="24"/>
      <c r="H1041847" s="24"/>
      <c r="I1041847" s="24"/>
      <c r="J1041847" s="24"/>
      <c r="K1041847" s="54"/>
    </row>
    <row r="1041848" spans="1:11" s="55" customFormat="1" ht="12.75">
      <c r="A1041848" s="24"/>
      <c r="B1041848" s="24"/>
      <c r="C1041848" s="24"/>
      <c r="D1041848" s="24"/>
      <c r="E1041848" s="24"/>
      <c r="F1041848" s="24"/>
      <c r="G1041848" s="24"/>
      <c r="H1041848" s="24"/>
      <c r="I1041848" s="24"/>
      <c r="J1041848" s="24"/>
      <c r="K1041848" s="54"/>
    </row>
    <row r="1041849" spans="1:11" s="55" customFormat="1" ht="12.75">
      <c r="A1041849" s="24"/>
      <c r="B1041849" s="24"/>
      <c r="C1041849" s="24"/>
      <c r="D1041849" s="24"/>
      <c r="E1041849" s="24"/>
      <c r="F1041849" s="24"/>
      <c r="G1041849" s="24"/>
      <c r="H1041849" s="24"/>
      <c r="I1041849" s="24"/>
      <c r="J1041849" s="24"/>
      <c r="K1041849" s="54"/>
    </row>
    <row r="1041850" spans="1:11" s="55" customFormat="1" ht="12.75">
      <c r="A1041850" s="24"/>
      <c r="B1041850" s="24"/>
      <c r="C1041850" s="24"/>
      <c r="D1041850" s="24"/>
      <c r="E1041850" s="24"/>
      <c r="F1041850" s="24"/>
      <c r="G1041850" s="24"/>
      <c r="H1041850" s="24"/>
      <c r="I1041850" s="24"/>
      <c r="J1041850" s="24"/>
      <c r="K1041850" s="54"/>
    </row>
    <row r="1041851" spans="1:11" s="55" customFormat="1" ht="12.75">
      <c r="A1041851" s="24"/>
      <c r="B1041851" s="24"/>
      <c r="C1041851" s="24"/>
      <c r="D1041851" s="24"/>
      <c r="E1041851" s="24"/>
      <c r="F1041851" s="24"/>
      <c r="G1041851" s="24"/>
      <c r="H1041851" s="24"/>
      <c r="I1041851" s="24"/>
      <c r="J1041851" s="24"/>
      <c r="K1041851" s="54"/>
    </row>
    <row r="1041852" spans="1:11" s="55" customFormat="1" ht="12.75">
      <c r="A1041852" s="24"/>
      <c r="B1041852" s="24"/>
      <c r="C1041852" s="24"/>
      <c r="D1041852" s="24"/>
      <c r="E1041852" s="24"/>
      <c r="F1041852" s="24"/>
      <c r="G1041852" s="24"/>
      <c r="H1041852" s="24"/>
      <c r="I1041852" s="24"/>
      <c r="J1041852" s="24"/>
      <c r="K1041852" s="54"/>
    </row>
    <row r="1041853" spans="1:11" s="55" customFormat="1" ht="12.75">
      <c r="A1041853" s="24"/>
      <c r="B1041853" s="24"/>
      <c r="C1041853" s="24"/>
      <c r="D1041853" s="24"/>
      <c r="E1041853" s="24"/>
      <c r="F1041853" s="24"/>
      <c r="G1041853" s="24"/>
      <c r="H1041853" s="24"/>
      <c r="I1041853" s="24"/>
      <c r="J1041853" s="24"/>
      <c r="K1041853" s="54"/>
    </row>
    <row r="1041854" spans="1:11" s="55" customFormat="1" ht="12.75">
      <c r="A1041854" s="24"/>
      <c r="B1041854" s="24"/>
      <c r="C1041854" s="24"/>
      <c r="D1041854" s="24"/>
      <c r="E1041854" s="24"/>
      <c r="F1041854" s="24"/>
      <c r="G1041854" s="24"/>
      <c r="H1041854" s="24"/>
      <c r="I1041854" s="24"/>
      <c r="J1041854" s="24"/>
      <c r="K1041854" s="54"/>
    </row>
    <row r="1041855" spans="1:11" s="55" customFormat="1" ht="12.75">
      <c r="A1041855" s="24"/>
      <c r="B1041855" s="24"/>
      <c r="C1041855" s="24"/>
      <c r="D1041855" s="24"/>
      <c r="E1041855" s="24"/>
      <c r="F1041855" s="24"/>
      <c r="G1041855" s="24"/>
      <c r="H1041855" s="24"/>
      <c r="I1041855" s="24"/>
      <c r="J1041855" s="24"/>
      <c r="K1041855" s="54"/>
    </row>
    <row r="1041856" spans="1:11" s="55" customFormat="1" ht="12.75">
      <c r="A1041856" s="24"/>
      <c r="B1041856" s="24"/>
      <c r="C1041856" s="24"/>
      <c r="D1041856" s="24"/>
      <c r="E1041856" s="24"/>
      <c r="F1041856" s="24"/>
      <c r="G1041856" s="24"/>
      <c r="H1041856" s="24"/>
      <c r="I1041856" s="24"/>
      <c r="J1041856" s="24"/>
      <c r="K1041856" s="54"/>
    </row>
    <row r="1041857" spans="1:11" s="55" customFormat="1" ht="12.75">
      <c r="A1041857" s="24"/>
      <c r="B1041857" s="24"/>
      <c r="C1041857" s="24"/>
      <c r="D1041857" s="24"/>
      <c r="E1041857" s="24"/>
      <c r="F1041857" s="24"/>
      <c r="G1041857" s="24"/>
      <c r="H1041857" s="24"/>
      <c r="I1041857" s="24"/>
      <c r="J1041857" s="24"/>
      <c r="K1041857" s="54"/>
    </row>
    <row r="1041858" spans="1:11" s="55" customFormat="1" ht="12.75">
      <c r="A1041858" s="24"/>
      <c r="B1041858" s="24"/>
      <c r="C1041858" s="24"/>
      <c r="D1041858" s="24"/>
      <c r="E1041858" s="24"/>
      <c r="F1041858" s="24"/>
      <c r="G1041858" s="24"/>
      <c r="H1041858" s="24"/>
      <c r="I1041858" s="24"/>
      <c r="J1041858" s="24"/>
      <c r="K1041858" s="54"/>
    </row>
    <row r="1041859" spans="1:11" s="55" customFormat="1" ht="12.75">
      <c r="A1041859" s="24"/>
      <c r="B1041859" s="24"/>
      <c r="C1041859" s="24"/>
      <c r="D1041859" s="24"/>
      <c r="E1041859" s="24"/>
      <c r="F1041859" s="24"/>
      <c r="G1041859" s="24"/>
      <c r="H1041859" s="24"/>
      <c r="I1041859" s="24"/>
      <c r="J1041859" s="24"/>
      <c r="K1041859" s="54"/>
    </row>
    <row r="1041860" spans="1:11" s="55" customFormat="1" ht="12.75">
      <c r="A1041860" s="24"/>
      <c r="B1041860" s="24"/>
      <c r="C1041860" s="24"/>
      <c r="D1041860" s="24"/>
      <c r="E1041860" s="24"/>
      <c r="F1041860" s="24"/>
      <c r="G1041860" s="24"/>
      <c r="H1041860" s="24"/>
      <c r="I1041860" s="24"/>
      <c r="J1041860" s="24"/>
      <c r="K1041860" s="54"/>
    </row>
    <row r="1041861" spans="1:11" s="55" customFormat="1" ht="12.75">
      <c r="A1041861" s="24"/>
      <c r="B1041861" s="24"/>
      <c r="C1041861" s="24"/>
      <c r="D1041861" s="24"/>
      <c r="E1041861" s="24"/>
      <c r="F1041861" s="24"/>
      <c r="G1041861" s="24"/>
      <c r="H1041861" s="24"/>
      <c r="I1041861" s="24"/>
      <c r="J1041861" s="24"/>
      <c r="K1041861" s="54"/>
    </row>
    <row r="1041862" spans="1:11" s="55" customFormat="1" ht="12.75">
      <c r="A1041862" s="24"/>
      <c r="B1041862" s="24"/>
      <c r="C1041862" s="24"/>
      <c r="D1041862" s="24"/>
      <c r="E1041862" s="24"/>
      <c r="F1041862" s="24"/>
      <c r="G1041862" s="24"/>
      <c r="H1041862" s="24"/>
      <c r="I1041862" s="24"/>
      <c r="J1041862" s="24"/>
      <c r="K1041862" s="54"/>
    </row>
    <row r="1041863" spans="1:11" s="55" customFormat="1" ht="12.75">
      <c r="A1041863" s="24"/>
      <c r="B1041863" s="24"/>
      <c r="C1041863" s="24"/>
      <c r="D1041863" s="24"/>
      <c r="E1041863" s="24"/>
      <c r="F1041863" s="24"/>
      <c r="G1041863" s="24"/>
      <c r="H1041863" s="24"/>
      <c r="I1041863" s="24"/>
      <c r="J1041863" s="24"/>
      <c r="K1041863" s="54"/>
    </row>
    <row r="1041864" spans="1:11" s="55" customFormat="1" ht="12.75">
      <c r="A1041864" s="24"/>
      <c r="B1041864" s="24"/>
      <c r="C1041864" s="24"/>
      <c r="D1041864" s="24"/>
      <c r="E1041864" s="24"/>
      <c r="F1041864" s="24"/>
      <c r="G1041864" s="24"/>
      <c r="H1041864" s="24"/>
      <c r="I1041864" s="24"/>
      <c r="J1041864" s="24"/>
      <c r="K1041864" s="54"/>
    </row>
    <row r="1041865" spans="1:11" s="55" customFormat="1" ht="12.75">
      <c r="A1041865" s="24"/>
      <c r="B1041865" s="24"/>
      <c r="C1041865" s="24"/>
      <c r="D1041865" s="24"/>
      <c r="E1041865" s="24"/>
      <c r="F1041865" s="24"/>
      <c r="G1041865" s="24"/>
      <c r="H1041865" s="24"/>
      <c r="I1041865" s="24"/>
      <c r="J1041865" s="24"/>
      <c r="K1041865" s="54"/>
    </row>
    <row r="1041866" spans="1:11" s="55" customFormat="1" ht="12.75">
      <c r="A1041866" s="24"/>
      <c r="B1041866" s="24"/>
      <c r="C1041866" s="24"/>
      <c r="D1041866" s="24"/>
      <c r="E1041866" s="24"/>
      <c r="F1041866" s="24"/>
      <c r="G1041866" s="24"/>
      <c r="H1041866" s="24"/>
      <c r="I1041866" s="24"/>
      <c r="J1041866" s="24"/>
      <c r="K1041866" s="54"/>
    </row>
    <row r="1041867" spans="1:11" s="55" customFormat="1" ht="12.75">
      <c r="A1041867" s="24"/>
      <c r="B1041867" s="24"/>
      <c r="C1041867" s="24"/>
      <c r="D1041867" s="24"/>
      <c r="E1041867" s="24"/>
      <c r="F1041867" s="24"/>
      <c r="G1041867" s="24"/>
      <c r="H1041867" s="24"/>
      <c r="I1041867" s="24"/>
      <c r="J1041867" s="24"/>
      <c r="K1041867" s="54"/>
    </row>
    <row r="1041868" spans="1:11" s="55" customFormat="1" ht="12.75">
      <c r="A1041868" s="24"/>
      <c r="B1041868" s="24"/>
      <c r="C1041868" s="24"/>
      <c r="D1041868" s="24"/>
      <c r="E1041868" s="24"/>
      <c r="F1041868" s="24"/>
      <c r="G1041868" s="24"/>
      <c r="H1041868" s="24"/>
      <c r="I1041868" s="24"/>
      <c r="J1041868" s="24"/>
      <c r="K1041868" s="54"/>
    </row>
    <row r="1041869" spans="1:11" s="55" customFormat="1" ht="12.75">
      <c r="A1041869" s="24"/>
      <c r="B1041869" s="24"/>
      <c r="C1041869" s="24"/>
      <c r="D1041869" s="24"/>
      <c r="E1041869" s="24"/>
      <c r="F1041869" s="24"/>
      <c r="G1041869" s="24"/>
      <c r="H1041869" s="24"/>
      <c r="I1041869" s="24"/>
      <c r="J1041869" s="24"/>
      <c r="K1041869" s="54"/>
    </row>
    <row r="1041870" spans="1:11" s="55" customFormat="1" ht="12.75">
      <c r="A1041870" s="24"/>
      <c r="B1041870" s="24"/>
      <c r="C1041870" s="24"/>
      <c r="D1041870" s="24"/>
      <c r="E1041870" s="24"/>
      <c r="F1041870" s="24"/>
      <c r="G1041870" s="24"/>
      <c r="H1041870" s="24"/>
      <c r="I1041870" s="24"/>
      <c r="J1041870" s="24"/>
      <c r="K1041870" s="54"/>
    </row>
    <row r="1041871" spans="1:11" s="55" customFormat="1" ht="12.75">
      <c r="A1041871" s="24"/>
      <c r="B1041871" s="24"/>
      <c r="C1041871" s="24"/>
      <c r="D1041871" s="24"/>
      <c r="E1041871" s="24"/>
      <c r="F1041871" s="24"/>
      <c r="G1041871" s="24"/>
      <c r="H1041871" s="24"/>
      <c r="I1041871" s="24"/>
      <c r="J1041871" s="24"/>
      <c r="K1041871" s="54"/>
    </row>
    <row r="1041872" spans="1:11" s="55" customFormat="1" ht="12.75">
      <c r="A1041872" s="24"/>
      <c r="B1041872" s="24"/>
      <c r="C1041872" s="24"/>
      <c r="D1041872" s="24"/>
      <c r="E1041872" s="24"/>
      <c r="F1041872" s="24"/>
      <c r="G1041872" s="24"/>
      <c r="H1041872" s="24"/>
      <c r="I1041872" s="24"/>
      <c r="J1041872" s="24"/>
      <c r="K1041872" s="54"/>
    </row>
    <row r="1041873" spans="1:11" s="55" customFormat="1" ht="12.75">
      <c r="A1041873" s="24"/>
      <c r="B1041873" s="24"/>
      <c r="C1041873" s="24"/>
      <c r="D1041873" s="24"/>
      <c r="E1041873" s="24"/>
      <c r="F1041873" s="24"/>
      <c r="G1041873" s="24"/>
      <c r="H1041873" s="24"/>
      <c r="I1041873" s="24"/>
      <c r="J1041873" s="24"/>
      <c r="K1041873" s="54"/>
    </row>
    <row r="1041874" spans="1:11" s="55" customFormat="1" ht="12.75">
      <c r="A1041874" s="24"/>
      <c r="B1041874" s="24"/>
      <c r="C1041874" s="24"/>
      <c r="D1041874" s="24"/>
      <c r="E1041874" s="24"/>
      <c r="F1041874" s="24"/>
      <c r="G1041874" s="24"/>
      <c r="H1041874" s="24"/>
      <c r="I1041874" s="24"/>
      <c r="J1041874" s="24"/>
      <c r="K1041874" s="54"/>
    </row>
    <row r="1041875" spans="1:11" s="55" customFormat="1" ht="12.75">
      <c r="A1041875" s="24"/>
      <c r="B1041875" s="24"/>
      <c r="C1041875" s="24"/>
      <c r="D1041875" s="24"/>
      <c r="E1041875" s="24"/>
      <c r="F1041875" s="24"/>
      <c r="G1041875" s="24"/>
      <c r="H1041875" s="24"/>
      <c r="I1041875" s="24"/>
      <c r="J1041875" s="24"/>
      <c r="K1041875" s="54"/>
    </row>
    <row r="1041876" spans="1:11" s="55" customFormat="1" ht="12.75">
      <c r="A1041876" s="24"/>
      <c r="B1041876" s="24"/>
      <c r="C1041876" s="24"/>
      <c r="D1041876" s="24"/>
      <c r="E1041876" s="24"/>
      <c r="F1041876" s="24"/>
      <c r="G1041876" s="24"/>
      <c r="H1041876" s="24"/>
      <c r="I1041876" s="24"/>
      <c r="J1041876" s="24"/>
      <c r="K1041876" s="54"/>
    </row>
    <row r="1041877" spans="1:11" s="55" customFormat="1" ht="12.75">
      <c r="A1041877" s="24"/>
      <c r="B1041877" s="24"/>
      <c r="C1041877" s="24"/>
      <c r="D1041877" s="24"/>
      <c r="E1041877" s="24"/>
      <c r="F1041877" s="24"/>
      <c r="G1041877" s="24"/>
      <c r="H1041877" s="24"/>
      <c r="I1041877" s="24"/>
      <c r="J1041877" s="24"/>
      <c r="K1041877" s="54"/>
    </row>
    <row r="1041878" spans="1:11" s="55" customFormat="1" ht="12.75">
      <c r="A1041878" s="24"/>
      <c r="B1041878" s="24"/>
      <c r="C1041878" s="24"/>
      <c r="D1041878" s="24"/>
      <c r="E1041878" s="24"/>
      <c r="F1041878" s="24"/>
      <c r="G1041878" s="24"/>
      <c r="H1041878" s="24"/>
      <c r="I1041878" s="24"/>
      <c r="J1041878" s="24"/>
      <c r="K1041878" s="54"/>
    </row>
    <row r="1041879" spans="1:11" s="55" customFormat="1" ht="12.75">
      <c r="A1041879" s="24"/>
      <c r="B1041879" s="24"/>
      <c r="C1041879" s="24"/>
      <c r="D1041879" s="24"/>
      <c r="E1041879" s="24"/>
      <c r="F1041879" s="24"/>
      <c r="G1041879" s="24"/>
      <c r="H1041879" s="24"/>
      <c r="I1041879" s="24"/>
      <c r="J1041879" s="24"/>
      <c r="K1041879" s="54"/>
    </row>
    <row r="1041880" spans="1:11" s="55" customFormat="1" ht="12.75">
      <c r="A1041880" s="24"/>
      <c r="B1041880" s="24"/>
      <c r="C1041880" s="24"/>
      <c r="D1041880" s="24"/>
      <c r="E1041880" s="24"/>
      <c r="F1041880" s="24"/>
      <c r="G1041880" s="24"/>
      <c r="H1041880" s="24"/>
      <c r="I1041880" s="24"/>
      <c r="J1041880" s="24"/>
      <c r="K1041880" s="54"/>
    </row>
    <row r="1041881" spans="1:11" s="55" customFormat="1" ht="12.75">
      <c r="A1041881" s="24"/>
      <c r="B1041881" s="24"/>
      <c r="C1041881" s="24"/>
      <c r="D1041881" s="24"/>
      <c r="E1041881" s="24"/>
      <c r="F1041881" s="24"/>
      <c r="G1041881" s="24"/>
      <c r="H1041881" s="24"/>
      <c r="I1041881" s="24"/>
      <c r="J1041881" s="24"/>
      <c r="K1041881" s="54"/>
    </row>
    <row r="1041882" spans="1:11" s="55" customFormat="1" ht="12.75">
      <c r="A1041882" s="24"/>
      <c r="B1041882" s="24"/>
      <c r="C1041882" s="24"/>
      <c r="D1041882" s="24"/>
      <c r="E1041882" s="24"/>
      <c r="F1041882" s="24"/>
      <c r="G1041882" s="24"/>
      <c r="H1041882" s="24"/>
      <c r="I1041882" s="24"/>
      <c r="J1041882" s="24"/>
      <c r="K1041882" s="54"/>
    </row>
    <row r="1041883" spans="1:11" s="55" customFormat="1" ht="12.75">
      <c r="A1041883" s="24"/>
      <c r="B1041883" s="24"/>
      <c r="C1041883" s="24"/>
      <c r="D1041883" s="24"/>
      <c r="E1041883" s="24"/>
      <c r="F1041883" s="24"/>
      <c r="G1041883" s="24"/>
      <c r="H1041883" s="24"/>
      <c r="I1041883" s="24"/>
      <c r="J1041883" s="24"/>
      <c r="K1041883" s="54"/>
    </row>
    <row r="1041884" spans="1:11" s="55" customFormat="1" ht="12.75">
      <c r="A1041884" s="24"/>
      <c r="B1041884" s="24"/>
      <c r="C1041884" s="24"/>
      <c r="D1041884" s="24"/>
      <c r="E1041884" s="24"/>
      <c r="F1041884" s="24"/>
      <c r="G1041884" s="24"/>
      <c r="H1041884" s="24"/>
      <c r="I1041884" s="24"/>
      <c r="J1041884" s="24"/>
      <c r="K1041884" s="54"/>
    </row>
    <row r="1041885" spans="1:11" s="55" customFormat="1" ht="12.75">
      <c r="A1041885" s="24"/>
      <c r="B1041885" s="24"/>
      <c r="C1041885" s="24"/>
      <c r="D1041885" s="24"/>
      <c r="E1041885" s="24"/>
      <c r="F1041885" s="24"/>
      <c r="G1041885" s="24"/>
      <c r="H1041885" s="24"/>
      <c r="I1041885" s="24"/>
      <c r="J1041885" s="24"/>
      <c r="K1041885" s="54"/>
    </row>
    <row r="1041886" spans="1:11" s="55" customFormat="1" ht="12.75">
      <c r="A1041886" s="24"/>
      <c r="B1041886" s="24"/>
      <c r="C1041886" s="24"/>
      <c r="D1041886" s="24"/>
      <c r="E1041886" s="24"/>
      <c r="F1041886" s="24"/>
      <c r="G1041886" s="24"/>
      <c r="H1041886" s="24"/>
      <c r="I1041886" s="24"/>
      <c r="J1041886" s="24"/>
      <c r="K1041886" s="54"/>
    </row>
    <row r="1041887" spans="1:11" s="55" customFormat="1" ht="12.75">
      <c r="A1041887" s="24"/>
      <c r="B1041887" s="24"/>
      <c r="C1041887" s="24"/>
      <c r="D1041887" s="24"/>
      <c r="E1041887" s="24"/>
      <c r="F1041887" s="24"/>
      <c r="G1041887" s="24"/>
      <c r="H1041887" s="24"/>
      <c r="I1041887" s="24"/>
      <c r="J1041887" s="24"/>
      <c r="K1041887" s="54"/>
    </row>
    <row r="1041888" spans="1:11" s="55" customFormat="1" ht="12.75">
      <c r="A1041888" s="24"/>
      <c r="B1041888" s="24"/>
      <c r="C1041888" s="24"/>
      <c r="D1041888" s="24"/>
      <c r="E1041888" s="24"/>
      <c r="F1041888" s="24"/>
      <c r="G1041888" s="24"/>
      <c r="H1041888" s="24"/>
      <c r="I1041888" s="24"/>
      <c r="J1041888" s="24"/>
      <c r="K1041888" s="54"/>
    </row>
    <row r="1041889" spans="1:11" s="55" customFormat="1" ht="12.75">
      <c r="A1041889" s="24"/>
      <c r="B1041889" s="24"/>
      <c r="C1041889" s="24"/>
      <c r="D1041889" s="24"/>
      <c r="E1041889" s="24"/>
      <c r="F1041889" s="24"/>
      <c r="G1041889" s="24"/>
      <c r="H1041889" s="24"/>
      <c r="I1041889" s="24"/>
      <c r="J1041889" s="24"/>
      <c r="K1041889" s="54"/>
    </row>
    <row r="1041890" spans="1:11" s="55" customFormat="1" ht="12.75">
      <c r="A1041890" s="24"/>
      <c r="B1041890" s="24"/>
      <c r="C1041890" s="24"/>
      <c r="D1041890" s="24"/>
      <c r="E1041890" s="24"/>
      <c r="F1041890" s="24"/>
      <c r="G1041890" s="24"/>
      <c r="H1041890" s="24"/>
      <c r="I1041890" s="24"/>
      <c r="J1041890" s="24"/>
      <c r="K1041890" s="54"/>
    </row>
    <row r="1041891" spans="1:11" s="55" customFormat="1" ht="12.75">
      <c r="A1041891" s="24"/>
      <c r="B1041891" s="24"/>
      <c r="C1041891" s="24"/>
      <c r="D1041891" s="24"/>
      <c r="E1041891" s="24"/>
      <c r="F1041891" s="24"/>
      <c r="G1041891" s="24"/>
      <c r="H1041891" s="24"/>
      <c r="I1041891" s="24"/>
      <c r="J1041891" s="24"/>
      <c r="K1041891" s="54"/>
    </row>
    <row r="1041892" spans="1:11" s="55" customFormat="1" ht="12.75">
      <c r="A1041892" s="24"/>
      <c r="B1041892" s="24"/>
      <c r="C1041892" s="24"/>
      <c r="D1041892" s="24"/>
      <c r="E1041892" s="24"/>
      <c r="F1041892" s="24"/>
      <c r="G1041892" s="24"/>
      <c r="H1041892" s="24"/>
      <c r="I1041892" s="24"/>
      <c r="J1041892" s="24"/>
      <c r="K1041892" s="54"/>
    </row>
    <row r="1041893" spans="1:11" s="55" customFormat="1" ht="12.75">
      <c r="A1041893" s="24"/>
      <c r="B1041893" s="24"/>
      <c r="C1041893" s="24"/>
      <c r="D1041893" s="24"/>
      <c r="E1041893" s="24"/>
      <c r="F1041893" s="24"/>
      <c r="G1041893" s="24"/>
      <c r="H1041893" s="24"/>
      <c r="I1041893" s="24"/>
      <c r="J1041893" s="24"/>
      <c r="K1041893" s="54"/>
    </row>
    <row r="1041894" spans="1:11" s="55" customFormat="1" ht="12.75">
      <c r="A1041894" s="24"/>
      <c r="B1041894" s="24"/>
      <c r="C1041894" s="24"/>
      <c r="D1041894" s="24"/>
      <c r="E1041894" s="24"/>
      <c r="F1041894" s="24"/>
      <c r="G1041894" s="24"/>
      <c r="H1041894" s="24"/>
      <c r="I1041894" s="24"/>
      <c r="J1041894" s="24"/>
      <c r="K1041894" s="54"/>
    </row>
    <row r="1041895" spans="1:11" s="55" customFormat="1" ht="12.75">
      <c r="A1041895" s="24"/>
      <c r="B1041895" s="24"/>
      <c r="C1041895" s="24"/>
      <c r="D1041895" s="24"/>
      <c r="E1041895" s="24"/>
      <c r="F1041895" s="24"/>
      <c r="G1041895" s="24"/>
      <c r="H1041895" s="24"/>
      <c r="I1041895" s="24"/>
      <c r="J1041895" s="24"/>
      <c r="K1041895" s="54"/>
    </row>
    <row r="1041896" spans="1:11" s="55" customFormat="1" ht="12.75">
      <c r="A1041896" s="24"/>
      <c r="B1041896" s="24"/>
      <c r="C1041896" s="24"/>
      <c r="D1041896" s="24"/>
      <c r="E1041896" s="24"/>
      <c r="F1041896" s="24"/>
      <c r="G1041896" s="24"/>
      <c r="H1041896" s="24"/>
      <c r="I1041896" s="24"/>
      <c r="J1041896" s="24"/>
      <c r="K1041896" s="54"/>
    </row>
    <row r="1041897" spans="1:11" s="55" customFormat="1" ht="12.75">
      <c r="A1041897" s="24"/>
      <c r="B1041897" s="24"/>
      <c r="C1041897" s="24"/>
      <c r="D1041897" s="24"/>
      <c r="E1041897" s="24"/>
      <c r="F1041897" s="24"/>
      <c r="G1041897" s="24"/>
      <c r="H1041897" s="24"/>
      <c r="I1041897" s="24"/>
      <c r="J1041897" s="24"/>
      <c r="K1041897" s="54"/>
    </row>
    <row r="1041898" spans="1:11" s="55" customFormat="1" ht="12.75">
      <c r="A1041898" s="24"/>
      <c r="B1041898" s="24"/>
      <c r="C1041898" s="24"/>
      <c r="D1041898" s="24"/>
      <c r="E1041898" s="24"/>
      <c r="F1041898" s="24"/>
      <c r="G1041898" s="24"/>
      <c r="H1041898" s="24"/>
      <c r="I1041898" s="24"/>
      <c r="J1041898" s="24"/>
      <c r="K1041898" s="54"/>
    </row>
    <row r="1041899" spans="1:11" s="55" customFormat="1" ht="12.75">
      <c r="A1041899" s="24"/>
      <c r="B1041899" s="24"/>
      <c r="C1041899" s="24"/>
      <c r="D1041899" s="24"/>
      <c r="E1041899" s="24"/>
      <c r="F1041899" s="24"/>
      <c r="G1041899" s="24"/>
      <c r="H1041899" s="24"/>
      <c r="I1041899" s="24"/>
      <c r="J1041899" s="24"/>
      <c r="K1041899" s="54"/>
    </row>
    <row r="1041900" spans="1:11" s="55" customFormat="1" ht="12.75">
      <c r="A1041900" s="24"/>
      <c r="B1041900" s="24"/>
      <c r="C1041900" s="24"/>
      <c r="D1041900" s="24"/>
      <c r="E1041900" s="24"/>
      <c r="F1041900" s="24"/>
      <c r="G1041900" s="24"/>
      <c r="H1041900" s="24"/>
      <c r="I1041900" s="24"/>
      <c r="J1041900" s="24"/>
      <c r="K1041900" s="54"/>
    </row>
    <row r="1041901" spans="1:11" s="55" customFormat="1" ht="12.75">
      <c r="A1041901" s="24"/>
      <c r="B1041901" s="24"/>
      <c r="C1041901" s="24"/>
      <c r="D1041901" s="24"/>
      <c r="E1041901" s="24"/>
      <c r="F1041901" s="24"/>
      <c r="G1041901" s="24"/>
      <c r="H1041901" s="24"/>
      <c r="I1041901" s="24"/>
      <c r="J1041901" s="24"/>
      <c r="K1041901" s="54"/>
    </row>
    <row r="1041902" spans="1:11" s="55" customFormat="1" ht="12.75">
      <c r="A1041902" s="24"/>
      <c r="B1041902" s="24"/>
      <c r="C1041902" s="24"/>
      <c r="D1041902" s="24"/>
      <c r="E1041902" s="24"/>
      <c r="F1041902" s="24"/>
      <c r="G1041902" s="24"/>
      <c r="H1041902" s="24"/>
      <c r="I1041902" s="24"/>
      <c r="J1041902" s="24"/>
      <c r="K1041902" s="54"/>
    </row>
    <row r="1041903" spans="1:11" s="55" customFormat="1" ht="12.75">
      <c r="A1041903" s="24"/>
      <c r="B1041903" s="24"/>
      <c r="C1041903" s="24"/>
      <c r="D1041903" s="24"/>
      <c r="E1041903" s="24"/>
      <c r="F1041903" s="24"/>
      <c r="G1041903" s="24"/>
      <c r="H1041903" s="24"/>
      <c r="I1041903" s="24"/>
      <c r="J1041903" s="24"/>
      <c r="K1041903" s="54"/>
    </row>
    <row r="1041904" spans="1:11" s="55" customFormat="1" ht="12.75">
      <c r="A1041904" s="24"/>
      <c r="B1041904" s="24"/>
      <c r="C1041904" s="24"/>
      <c r="D1041904" s="24"/>
      <c r="E1041904" s="24"/>
      <c r="F1041904" s="24"/>
      <c r="G1041904" s="24"/>
      <c r="H1041904" s="24"/>
      <c r="I1041904" s="24"/>
      <c r="J1041904" s="24"/>
      <c r="K1041904" s="54"/>
    </row>
    <row r="1041905" spans="1:11" s="55" customFormat="1" ht="12.75">
      <c r="A1041905" s="24"/>
      <c r="B1041905" s="24"/>
      <c r="C1041905" s="24"/>
      <c r="D1041905" s="24"/>
      <c r="E1041905" s="24"/>
      <c r="F1041905" s="24"/>
      <c r="G1041905" s="24"/>
      <c r="H1041905" s="24"/>
      <c r="I1041905" s="24"/>
      <c r="J1041905" s="24"/>
      <c r="K1041905" s="54"/>
    </row>
    <row r="1041906" spans="1:11" s="55" customFormat="1" ht="12.75">
      <c r="A1041906" s="24"/>
      <c r="B1041906" s="24"/>
      <c r="C1041906" s="24"/>
      <c r="D1041906" s="24"/>
      <c r="E1041906" s="24"/>
      <c r="F1041906" s="24"/>
      <c r="G1041906" s="24"/>
      <c r="H1041906" s="24"/>
      <c r="I1041906" s="24"/>
      <c r="J1041906" s="24"/>
      <c r="K1041906" s="54"/>
    </row>
    <row r="1041907" spans="1:11" s="55" customFormat="1" ht="12.75">
      <c r="A1041907" s="24"/>
      <c r="B1041907" s="24"/>
      <c r="C1041907" s="24"/>
      <c r="D1041907" s="24"/>
      <c r="E1041907" s="24"/>
      <c r="F1041907" s="24"/>
      <c r="G1041907" s="24"/>
      <c r="H1041907" s="24"/>
      <c r="I1041907" s="24"/>
      <c r="J1041907" s="24"/>
      <c r="K1041907" s="54"/>
    </row>
    <row r="1041908" spans="1:11" s="55" customFormat="1" ht="12.75">
      <c r="A1041908" s="24"/>
      <c r="B1041908" s="24"/>
      <c r="C1041908" s="24"/>
      <c r="D1041908" s="24"/>
      <c r="E1041908" s="24"/>
      <c r="F1041908" s="24"/>
      <c r="G1041908" s="24"/>
      <c r="H1041908" s="24"/>
      <c r="I1041908" s="24"/>
      <c r="J1041908" s="24"/>
      <c r="K1041908" s="54"/>
    </row>
    <row r="1041909" spans="1:11" s="55" customFormat="1" ht="12.75">
      <c r="A1041909" s="24"/>
      <c r="B1041909" s="24"/>
      <c r="C1041909" s="24"/>
      <c r="D1041909" s="24"/>
      <c r="E1041909" s="24"/>
      <c r="F1041909" s="24"/>
      <c r="G1041909" s="24"/>
      <c r="H1041909" s="24"/>
      <c r="I1041909" s="24"/>
      <c r="J1041909" s="24"/>
      <c r="K1041909" s="54"/>
    </row>
    <row r="1041910" spans="1:11" s="55" customFormat="1" ht="12.75">
      <c r="A1041910" s="24"/>
      <c r="B1041910" s="24"/>
      <c r="C1041910" s="24"/>
      <c r="D1041910" s="24"/>
      <c r="E1041910" s="24"/>
      <c r="F1041910" s="24"/>
      <c r="G1041910" s="24"/>
      <c r="H1041910" s="24"/>
      <c r="I1041910" s="24"/>
      <c r="J1041910" s="24"/>
      <c r="K1041910" s="54"/>
    </row>
    <row r="1041911" spans="1:11" s="55" customFormat="1" ht="12.75">
      <c r="A1041911" s="24"/>
      <c r="B1041911" s="24"/>
      <c r="C1041911" s="24"/>
      <c r="D1041911" s="24"/>
      <c r="E1041911" s="24"/>
      <c r="F1041911" s="24"/>
      <c r="G1041911" s="24"/>
      <c r="H1041911" s="24"/>
      <c r="I1041911" s="24"/>
      <c r="J1041911" s="24"/>
      <c r="K1041911" s="54"/>
    </row>
    <row r="1041912" spans="1:11" s="55" customFormat="1" ht="12.75">
      <c r="A1041912" s="24"/>
      <c r="B1041912" s="24"/>
      <c r="C1041912" s="24"/>
      <c r="D1041912" s="24"/>
      <c r="E1041912" s="24"/>
      <c r="F1041912" s="24"/>
      <c r="G1041912" s="24"/>
      <c r="H1041912" s="24"/>
      <c r="I1041912" s="24"/>
      <c r="J1041912" s="24"/>
      <c r="K1041912" s="54"/>
    </row>
    <row r="1041913" spans="1:11" s="55" customFormat="1" ht="12.75">
      <c r="A1041913" s="24"/>
      <c r="B1041913" s="24"/>
      <c r="C1041913" s="24"/>
      <c r="D1041913" s="24"/>
      <c r="E1041913" s="24"/>
      <c r="F1041913" s="24"/>
      <c r="G1041913" s="24"/>
      <c r="H1041913" s="24"/>
      <c r="I1041913" s="24"/>
      <c r="J1041913" s="24"/>
      <c r="K1041913" s="54"/>
    </row>
    <row r="1041914" spans="1:11" s="55" customFormat="1" ht="12.75">
      <c r="A1041914" s="24"/>
      <c r="B1041914" s="24"/>
      <c r="C1041914" s="24"/>
      <c r="D1041914" s="24"/>
      <c r="E1041914" s="24"/>
      <c r="F1041914" s="24"/>
      <c r="G1041914" s="24"/>
      <c r="H1041914" s="24"/>
      <c r="I1041914" s="24"/>
      <c r="J1041914" s="24"/>
      <c r="K1041914" s="54"/>
    </row>
    <row r="1041915" spans="1:11" s="55" customFormat="1" ht="12.75">
      <c r="A1041915" s="24"/>
      <c r="B1041915" s="24"/>
      <c r="C1041915" s="24"/>
      <c r="D1041915" s="24"/>
      <c r="E1041915" s="24"/>
      <c r="F1041915" s="24"/>
      <c r="G1041915" s="24"/>
      <c r="H1041915" s="24"/>
      <c r="I1041915" s="24"/>
      <c r="J1041915" s="24"/>
      <c r="K1041915" s="54"/>
    </row>
    <row r="1041916" spans="1:11" s="55" customFormat="1" ht="12.75">
      <c r="A1041916" s="24"/>
      <c r="B1041916" s="24"/>
      <c r="C1041916" s="24"/>
      <c r="D1041916" s="24"/>
      <c r="E1041916" s="24"/>
      <c r="F1041916" s="24"/>
      <c r="G1041916" s="24"/>
      <c r="H1041916" s="24"/>
      <c r="I1041916" s="24"/>
      <c r="J1041916" s="24"/>
      <c r="K1041916" s="54"/>
    </row>
    <row r="1041917" spans="1:11" s="55" customFormat="1" ht="12.75">
      <c r="A1041917" s="24"/>
      <c r="B1041917" s="24"/>
      <c r="C1041917" s="24"/>
      <c r="D1041917" s="24"/>
      <c r="E1041917" s="24"/>
      <c r="F1041917" s="24"/>
      <c r="G1041917" s="24"/>
      <c r="H1041917" s="24"/>
      <c r="I1041917" s="24"/>
      <c r="J1041917" s="24"/>
      <c r="K1041917" s="54"/>
    </row>
    <row r="1041918" spans="1:11" s="55" customFormat="1" ht="12.75">
      <c r="A1041918" s="24"/>
      <c r="B1041918" s="24"/>
      <c r="C1041918" s="24"/>
      <c r="D1041918" s="24"/>
      <c r="E1041918" s="24"/>
      <c r="F1041918" s="24"/>
      <c r="G1041918" s="24"/>
      <c r="H1041918" s="24"/>
      <c r="I1041918" s="24"/>
      <c r="J1041918" s="24"/>
      <c r="K1041918" s="54"/>
    </row>
    <row r="1041919" spans="1:11" s="55" customFormat="1" ht="12.75">
      <c r="A1041919" s="24"/>
      <c r="B1041919" s="24"/>
      <c r="C1041919" s="24"/>
      <c r="D1041919" s="24"/>
      <c r="E1041919" s="24"/>
      <c r="F1041919" s="24"/>
      <c r="G1041919" s="24"/>
      <c r="H1041919" s="24"/>
      <c r="I1041919" s="24"/>
      <c r="J1041919" s="24"/>
      <c r="K1041919" s="54"/>
    </row>
    <row r="1041920" spans="1:11" s="55" customFormat="1" ht="12.75">
      <c r="A1041920" s="24"/>
      <c r="B1041920" s="24"/>
      <c r="C1041920" s="24"/>
      <c r="D1041920" s="24"/>
      <c r="E1041920" s="24"/>
      <c r="F1041920" s="24"/>
      <c r="G1041920" s="24"/>
      <c r="H1041920" s="24"/>
      <c r="I1041920" s="24"/>
      <c r="J1041920" s="24"/>
      <c r="K1041920" s="54"/>
    </row>
    <row r="1041921" spans="1:11" s="55" customFormat="1" ht="12.75">
      <c r="A1041921" s="24"/>
      <c r="B1041921" s="24"/>
      <c r="C1041921" s="24"/>
      <c r="D1041921" s="24"/>
      <c r="E1041921" s="24"/>
      <c r="F1041921" s="24"/>
      <c r="G1041921" s="24"/>
      <c r="H1041921" s="24"/>
      <c r="I1041921" s="24"/>
      <c r="J1041921" s="24"/>
      <c r="K1041921" s="54"/>
    </row>
    <row r="1041922" spans="1:11" s="55" customFormat="1" ht="12.75">
      <c r="A1041922" s="24"/>
      <c r="B1041922" s="24"/>
      <c r="C1041922" s="24"/>
      <c r="D1041922" s="24"/>
      <c r="E1041922" s="24"/>
      <c r="F1041922" s="24"/>
      <c r="G1041922" s="24"/>
      <c r="H1041922" s="24"/>
      <c r="I1041922" s="24"/>
      <c r="J1041922" s="24"/>
      <c r="K1041922" s="54"/>
    </row>
    <row r="1041923" spans="1:11" s="55" customFormat="1" ht="12.75">
      <c r="A1041923" s="24"/>
      <c r="B1041923" s="24"/>
      <c r="C1041923" s="24"/>
      <c r="D1041923" s="24"/>
      <c r="E1041923" s="24"/>
      <c r="F1041923" s="24"/>
      <c r="G1041923" s="24"/>
      <c r="H1041923" s="24"/>
      <c r="I1041923" s="24"/>
      <c r="J1041923" s="24"/>
      <c r="K1041923" s="54"/>
    </row>
    <row r="1041924" spans="1:11" s="55" customFormat="1" ht="12.75">
      <c r="A1041924" s="24"/>
      <c r="B1041924" s="24"/>
      <c r="C1041924" s="24"/>
      <c r="D1041924" s="24"/>
      <c r="E1041924" s="24"/>
      <c r="F1041924" s="24"/>
      <c r="G1041924" s="24"/>
      <c r="H1041924" s="24"/>
      <c r="I1041924" s="24"/>
      <c r="J1041924" s="24"/>
      <c r="K1041924" s="54"/>
    </row>
    <row r="1041925" spans="1:11" s="55" customFormat="1" ht="12.75">
      <c r="A1041925" s="24"/>
      <c r="B1041925" s="24"/>
      <c r="C1041925" s="24"/>
      <c r="D1041925" s="24"/>
      <c r="E1041925" s="24"/>
      <c r="F1041925" s="24"/>
      <c r="G1041925" s="24"/>
      <c r="H1041925" s="24"/>
      <c r="I1041925" s="24"/>
      <c r="J1041925" s="24"/>
      <c r="K1041925" s="54"/>
    </row>
    <row r="1041926" spans="1:11" s="55" customFormat="1" ht="12.75">
      <c r="A1041926" s="24"/>
      <c r="B1041926" s="24"/>
      <c r="C1041926" s="24"/>
      <c r="D1041926" s="24"/>
      <c r="E1041926" s="24"/>
      <c r="F1041926" s="24"/>
      <c r="G1041926" s="24"/>
      <c r="H1041926" s="24"/>
      <c r="I1041926" s="24"/>
      <c r="J1041926" s="24"/>
      <c r="K1041926" s="54"/>
    </row>
    <row r="1041927" spans="1:11" s="55" customFormat="1" ht="12.75">
      <c r="A1041927" s="24"/>
      <c r="B1041927" s="24"/>
      <c r="C1041927" s="24"/>
      <c r="D1041927" s="24"/>
      <c r="E1041927" s="24"/>
      <c r="F1041927" s="24"/>
      <c r="G1041927" s="24"/>
      <c r="H1041927" s="24"/>
      <c r="I1041927" s="24"/>
      <c r="J1041927" s="24"/>
      <c r="K1041927" s="54"/>
    </row>
    <row r="1041928" spans="1:11" s="55" customFormat="1" ht="12.75">
      <c r="A1041928" s="24"/>
      <c r="B1041928" s="24"/>
      <c r="C1041928" s="24"/>
      <c r="D1041928" s="24"/>
      <c r="E1041928" s="24"/>
      <c r="F1041928" s="24"/>
      <c r="G1041928" s="24"/>
      <c r="H1041928" s="24"/>
      <c r="I1041928" s="24"/>
      <c r="J1041928" s="24"/>
      <c r="K1041928" s="54"/>
    </row>
    <row r="1041929" spans="1:11" s="55" customFormat="1" ht="12.75">
      <c r="A1041929" s="24"/>
      <c r="B1041929" s="24"/>
      <c r="C1041929" s="24"/>
      <c r="D1041929" s="24"/>
      <c r="E1041929" s="24"/>
      <c r="F1041929" s="24"/>
      <c r="G1041929" s="24"/>
      <c r="H1041929" s="24"/>
      <c r="I1041929" s="24"/>
      <c r="J1041929" s="24"/>
      <c r="K1041929" s="54"/>
    </row>
    <row r="1041930" spans="1:11" s="55" customFormat="1" ht="12.75">
      <c r="A1041930" s="24"/>
      <c r="B1041930" s="24"/>
      <c r="C1041930" s="24"/>
      <c r="D1041930" s="24"/>
      <c r="E1041930" s="24"/>
      <c r="F1041930" s="24"/>
      <c r="G1041930" s="24"/>
      <c r="H1041930" s="24"/>
      <c r="I1041930" s="24"/>
      <c r="J1041930" s="24"/>
      <c r="K1041930" s="54"/>
    </row>
    <row r="1041931" spans="1:11" s="55" customFormat="1" ht="12.75">
      <c r="A1041931" s="24"/>
      <c r="B1041931" s="24"/>
      <c r="C1041931" s="24"/>
      <c r="D1041931" s="24"/>
      <c r="E1041931" s="24"/>
      <c r="F1041931" s="24"/>
      <c r="G1041931" s="24"/>
      <c r="H1041931" s="24"/>
      <c r="I1041931" s="24"/>
      <c r="J1041931" s="24"/>
      <c r="K1041931" s="54"/>
    </row>
    <row r="1041932" spans="1:11" s="55" customFormat="1" ht="12.75">
      <c r="A1041932" s="24"/>
      <c r="B1041932" s="24"/>
      <c r="C1041932" s="24"/>
      <c r="D1041932" s="24"/>
      <c r="E1041932" s="24"/>
      <c r="F1041932" s="24"/>
      <c r="G1041932" s="24"/>
      <c r="H1041932" s="24"/>
      <c r="I1041932" s="24"/>
      <c r="J1041932" s="24"/>
      <c r="K1041932" s="54"/>
    </row>
    <row r="1041933" spans="1:11" s="55" customFormat="1" ht="12.75">
      <c r="A1041933" s="24"/>
      <c r="B1041933" s="24"/>
      <c r="C1041933" s="24"/>
      <c r="D1041933" s="24"/>
      <c r="E1041933" s="24"/>
      <c r="F1041933" s="24"/>
      <c r="G1041933" s="24"/>
      <c r="H1041933" s="24"/>
      <c r="I1041933" s="24"/>
      <c r="J1041933" s="24"/>
      <c r="K1041933" s="54"/>
    </row>
    <row r="1041934" spans="1:11" s="55" customFormat="1" ht="12.75">
      <c r="A1041934" s="24"/>
      <c r="B1041934" s="24"/>
      <c r="C1041934" s="24"/>
      <c r="D1041934" s="24"/>
      <c r="E1041934" s="24"/>
      <c r="F1041934" s="24"/>
      <c r="G1041934" s="24"/>
      <c r="H1041934" s="24"/>
      <c r="I1041934" s="24"/>
      <c r="J1041934" s="24"/>
      <c r="K1041934" s="54"/>
    </row>
    <row r="1041935" spans="1:11" s="55" customFormat="1" ht="12.75">
      <c r="A1041935" s="24"/>
      <c r="B1041935" s="24"/>
      <c r="C1041935" s="24"/>
      <c r="D1041935" s="24"/>
      <c r="E1041935" s="24"/>
      <c r="F1041935" s="24"/>
      <c r="G1041935" s="24"/>
      <c r="H1041935" s="24"/>
      <c r="I1041935" s="24"/>
      <c r="J1041935" s="24"/>
      <c r="K1041935" s="54"/>
    </row>
    <row r="1041936" spans="1:11" s="55" customFormat="1" ht="12.75">
      <c r="A1041936" s="24"/>
      <c r="B1041936" s="24"/>
      <c r="C1041936" s="24"/>
      <c r="D1041936" s="24"/>
      <c r="E1041936" s="24"/>
      <c r="F1041936" s="24"/>
      <c r="G1041936" s="24"/>
      <c r="H1041936" s="24"/>
      <c r="I1041936" s="24"/>
      <c r="J1041936" s="24"/>
      <c r="K1041936" s="54"/>
    </row>
    <row r="1041937" spans="1:11" s="55" customFormat="1" ht="12.75">
      <c r="A1041937" s="24"/>
      <c r="B1041937" s="24"/>
      <c r="C1041937" s="24"/>
      <c r="D1041937" s="24"/>
      <c r="E1041937" s="24"/>
      <c r="F1041937" s="24"/>
      <c r="G1041937" s="24"/>
      <c r="H1041937" s="24"/>
      <c r="I1041937" s="24"/>
      <c r="J1041937" s="24"/>
      <c r="K1041937" s="54"/>
    </row>
    <row r="1041938" spans="1:11" s="55" customFormat="1" ht="12.75">
      <c r="A1041938" s="24"/>
      <c r="B1041938" s="24"/>
      <c r="C1041938" s="24"/>
      <c r="D1041938" s="24"/>
      <c r="E1041938" s="24"/>
      <c r="F1041938" s="24"/>
      <c r="G1041938" s="24"/>
      <c r="H1041938" s="24"/>
      <c r="I1041938" s="24"/>
      <c r="J1041938" s="24"/>
      <c r="K1041938" s="54"/>
    </row>
    <row r="1041939" spans="1:11" s="55" customFormat="1" ht="12.75">
      <c r="A1041939" s="24"/>
      <c r="B1041939" s="24"/>
      <c r="C1041939" s="24"/>
      <c r="D1041939" s="24"/>
      <c r="E1041939" s="24"/>
      <c r="F1041939" s="24"/>
      <c r="G1041939" s="24"/>
      <c r="H1041939" s="24"/>
      <c r="I1041939" s="24"/>
      <c r="J1041939" s="24"/>
      <c r="K1041939" s="54"/>
    </row>
    <row r="1041940" spans="1:11" s="55" customFormat="1" ht="12.75">
      <c r="A1041940" s="24"/>
      <c r="B1041940" s="24"/>
      <c r="C1041940" s="24"/>
      <c r="D1041940" s="24"/>
      <c r="E1041940" s="24"/>
      <c r="F1041940" s="24"/>
      <c r="G1041940" s="24"/>
      <c r="H1041940" s="24"/>
      <c r="I1041940" s="24"/>
      <c r="J1041940" s="24"/>
      <c r="K1041940" s="54"/>
    </row>
    <row r="1041941" spans="1:11" s="55" customFormat="1" ht="12.75">
      <c r="A1041941" s="24"/>
      <c r="B1041941" s="24"/>
      <c r="C1041941" s="24"/>
      <c r="D1041941" s="24"/>
      <c r="E1041941" s="24"/>
      <c r="F1041941" s="24"/>
      <c r="G1041941" s="24"/>
      <c r="H1041941" s="24"/>
      <c r="I1041941" s="24"/>
      <c r="J1041941" s="24"/>
      <c r="K1041941" s="54"/>
    </row>
    <row r="1041942" spans="1:11" s="55" customFormat="1" ht="12.75">
      <c r="A1041942" s="24"/>
      <c r="B1041942" s="24"/>
      <c r="C1041942" s="24"/>
      <c r="D1041942" s="24"/>
      <c r="E1041942" s="24"/>
      <c r="F1041942" s="24"/>
      <c r="G1041942" s="24"/>
      <c r="H1041942" s="24"/>
      <c r="I1041942" s="24"/>
      <c r="J1041942" s="24"/>
      <c r="K1041942" s="54"/>
    </row>
    <row r="1041943" spans="1:11" s="55" customFormat="1" ht="12.75">
      <c r="A1041943" s="24"/>
      <c r="B1041943" s="24"/>
      <c r="C1041943" s="24"/>
      <c r="D1041943" s="24"/>
      <c r="E1041943" s="24"/>
      <c r="F1041943" s="24"/>
      <c r="G1041943" s="24"/>
      <c r="H1041943" s="24"/>
      <c r="I1041943" s="24"/>
      <c r="J1041943" s="24"/>
      <c r="K1041943" s="54"/>
    </row>
    <row r="1041944" spans="1:11" s="55" customFormat="1" ht="12.75">
      <c r="A1041944" s="24"/>
      <c r="B1041944" s="24"/>
      <c r="C1041944" s="24"/>
      <c r="D1041944" s="24"/>
      <c r="E1041944" s="24"/>
      <c r="F1041944" s="24"/>
      <c r="G1041944" s="24"/>
      <c r="H1041944" s="24"/>
      <c r="I1041944" s="24"/>
      <c r="J1041944" s="24"/>
      <c r="K1041944" s="54"/>
    </row>
    <row r="1041945" spans="1:11" s="55" customFormat="1" ht="12.75">
      <c r="A1041945" s="24"/>
      <c r="B1041945" s="24"/>
      <c r="C1041945" s="24"/>
      <c r="D1041945" s="24"/>
      <c r="E1041945" s="24"/>
      <c r="F1041945" s="24"/>
      <c r="G1041945" s="24"/>
      <c r="H1041945" s="24"/>
      <c r="I1041945" s="24"/>
      <c r="J1041945" s="24"/>
      <c r="K1041945" s="54"/>
    </row>
    <row r="1041946" spans="1:11" s="55" customFormat="1" ht="12.75">
      <c r="A1041946" s="24"/>
      <c r="B1041946" s="24"/>
      <c r="C1041946" s="24"/>
      <c r="D1041946" s="24"/>
      <c r="E1041946" s="24"/>
      <c r="F1041946" s="24"/>
      <c r="G1041946" s="24"/>
      <c r="H1041946" s="24"/>
      <c r="I1041946" s="24"/>
      <c r="J1041946" s="24"/>
      <c r="K1041946" s="54"/>
    </row>
    <row r="1041947" spans="1:11" s="55" customFormat="1" ht="12.75">
      <c r="A1041947" s="24"/>
      <c r="B1041947" s="24"/>
      <c r="C1041947" s="24"/>
      <c r="D1041947" s="24"/>
      <c r="E1041947" s="24"/>
      <c r="F1041947" s="24"/>
      <c r="G1041947" s="24"/>
      <c r="H1041947" s="24"/>
      <c r="I1041947" s="24"/>
      <c r="J1041947" s="24"/>
      <c r="K1041947" s="54"/>
    </row>
    <row r="1041948" spans="1:11" s="55" customFormat="1" ht="12.75">
      <c r="A1041948" s="24"/>
      <c r="B1041948" s="24"/>
      <c r="C1041948" s="24"/>
      <c r="D1041948" s="24"/>
      <c r="E1041948" s="24"/>
      <c r="F1041948" s="24"/>
      <c r="G1041948" s="24"/>
      <c r="H1041948" s="24"/>
      <c r="I1041948" s="24"/>
      <c r="J1041948" s="24"/>
      <c r="K1041948" s="54"/>
    </row>
    <row r="1041949" spans="1:11" s="55" customFormat="1" ht="12.75">
      <c r="A1041949" s="24"/>
      <c r="B1041949" s="24"/>
      <c r="C1041949" s="24"/>
      <c r="D1041949" s="24"/>
      <c r="E1041949" s="24"/>
      <c r="F1041949" s="24"/>
      <c r="G1041949" s="24"/>
      <c r="H1041949" s="24"/>
      <c r="I1041949" s="24"/>
      <c r="J1041949" s="24"/>
      <c r="K1041949" s="54"/>
    </row>
    <row r="1041950" spans="1:11" s="55" customFormat="1" ht="12.75">
      <c r="A1041950" s="24"/>
      <c r="B1041950" s="24"/>
      <c r="C1041950" s="24"/>
      <c r="D1041950" s="24"/>
      <c r="E1041950" s="24"/>
      <c r="F1041950" s="24"/>
      <c r="G1041950" s="24"/>
      <c r="H1041950" s="24"/>
      <c r="I1041950" s="24"/>
      <c r="J1041950" s="24"/>
      <c r="K1041950" s="54"/>
    </row>
    <row r="1041951" spans="1:11" s="55" customFormat="1" ht="12.75">
      <c r="A1041951" s="24"/>
      <c r="B1041951" s="24"/>
      <c r="C1041951" s="24"/>
      <c r="D1041951" s="24"/>
      <c r="E1041951" s="24"/>
      <c r="F1041951" s="24"/>
      <c r="G1041951" s="24"/>
      <c r="H1041951" s="24"/>
      <c r="I1041951" s="24"/>
      <c r="J1041951" s="24"/>
      <c r="K1041951" s="54"/>
    </row>
    <row r="1041952" spans="1:11" s="55" customFormat="1" ht="12.75">
      <c r="A1041952" s="24"/>
      <c r="B1041952" s="24"/>
      <c r="C1041952" s="24"/>
      <c r="D1041952" s="24"/>
      <c r="E1041952" s="24"/>
      <c r="F1041952" s="24"/>
      <c r="G1041952" s="24"/>
      <c r="H1041952" s="24"/>
      <c r="I1041952" s="24"/>
      <c r="J1041952" s="24"/>
      <c r="K1041952" s="54"/>
    </row>
    <row r="1041953" spans="1:11" s="55" customFormat="1" ht="12.75">
      <c r="A1041953" s="24"/>
      <c r="B1041953" s="24"/>
      <c r="C1041953" s="24"/>
      <c r="D1041953" s="24"/>
      <c r="E1041953" s="24"/>
      <c r="F1041953" s="24"/>
      <c r="G1041953" s="24"/>
      <c r="H1041953" s="24"/>
      <c r="I1041953" s="24"/>
      <c r="J1041953" s="24"/>
      <c r="K1041953" s="54"/>
    </row>
    <row r="1041954" spans="1:11" s="55" customFormat="1" ht="12.75">
      <c r="A1041954" s="24"/>
      <c r="B1041954" s="24"/>
      <c r="C1041954" s="24"/>
      <c r="D1041954" s="24"/>
      <c r="E1041954" s="24"/>
      <c r="F1041954" s="24"/>
      <c r="G1041954" s="24"/>
      <c r="H1041954" s="24"/>
      <c r="I1041954" s="24"/>
      <c r="J1041954" s="24"/>
      <c r="K1041954" s="54"/>
    </row>
    <row r="1041955" spans="1:11" s="55" customFormat="1" ht="12.75">
      <c r="A1041955" s="24"/>
      <c r="B1041955" s="24"/>
      <c r="C1041955" s="24"/>
      <c r="D1041955" s="24"/>
      <c r="E1041955" s="24"/>
      <c r="F1041955" s="24"/>
      <c r="G1041955" s="24"/>
      <c r="H1041955" s="24"/>
      <c r="I1041955" s="24"/>
      <c r="J1041955" s="24"/>
      <c r="K1041955" s="54"/>
    </row>
    <row r="1041956" spans="1:11" s="55" customFormat="1" ht="12.75">
      <c r="A1041956" s="24"/>
      <c r="B1041956" s="24"/>
      <c r="C1041956" s="24"/>
      <c r="D1041956" s="24"/>
      <c r="E1041956" s="24"/>
      <c r="F1041956" s="24"/>
      <c r="G1041956" s="24"/>
      <c r="H1041956" s="24"/>
      <c r="I1041956" s="24"/>
      <c r="J1041956" s="24"/>
      <c r="K1041956" s="54"/>
    </row>
    <row r="1041957" spans="1:11" s="55" customFormat="1" ht="12.75">
      <c r="A1041957" s="24"/>
      <c r="B1041957" s="24"/>
      <c r="C1041957" s="24"/>
      <c r="D1041957" s="24"/>
      <c r="E1041957" s="24"/>
      <c r="F1041957" s="24"/>
      <c r="G1041957" s="24"/>
      <c r="H1041957" s="24"/>
      <c r="I1041957" s="24"/>
      <c r="J1041957" s="24"/>
      <c r="K1041957" s="54"/>
    </row>
    <row r="1041958" spans="1:11" s="55" customFormat="1" ht="12.75">
      <c r="A1041958" s="24"/>
      <c r="B1041958" s="24"/>
      <c r="C1041958" s="24"/>
      <c r="D1041958" s="24"/>
      <c r="E1041958" s="24"/>
      <c r="F1041958" s="24"/>
      <c r="G1041958" s="24"/>
      <c r="H1041958" s="24"/>
      <c r="I1041958" s="24"/>
      <c r="J1041958" s="24"/>
      <c r="K1041958" s="54"/>
    </row>
    <row r="1041959" spans="1:11" s="55" customFormat="1" ht="12.75">
      <c r="A1041959" s="24"/>
      <c r="B1041959" s="24"/>
      <c r="C1041959" s="24"/>
      <c r="D1041959" s="24"/>
      <c r="E1041959" s="24"/>
      <c r="F1041959" s="24"/>
      <c r="G1041959" s="24"/>
      <c r="H1041959" s="24"/>
      <c r="I1041959" s="24"/>
      <c r="J1041959" s="24"/>
      <c r="K1041959" s="54"/>
    </row>
    <row r="1041960" spans="1:11" s="55" customFormat="1" ht="12.75">
      <c r="A1041960" s="24"/>
      <c r="B1041960" s="24"/>
      <c r="C1041960" s="24"/>
      <c r="D1041960" s="24"/>
      <c r="E1041960" s="24"/>
      <c r="F1041960" s="24"/>
      <c r="G1041960" s="24"/>
      <c r="H1041960" s="24"/>
      <c r="I1041960" s="24"/>
      <c r="J1041960" s="24"/>
      <c r="K1041960" s="54"/>
    </row>
    <row r="1041961" spans="1:11" s="55" customFormat="1" ht="12.75">
      <c r="A1041961" s="24"/>
      <c r="B1041961" s="24"/>
      <c r="C1041961" s="24"/>
      <c r="D1041961" s="24"/>
      <c r="E1041961" s="24"/>
      <c r="F1041961" s="24"/>
      <c r="G1041961" s="24"/>
      <c r="H1041961" s="24"/>
      <c r="I1041961" s="24"/>
      <c r="J1041961" s="24"/>
      <c r="K1041961" s="54"/>
    </row>
    <row r="1041962" spans="1:11" s="55" customFormat="1" ht="12.75">
      <c r="A1041962" s="24"/>
      <c r="B1041962" s="24"/>
      <c r="C1041962" s="24"/>
      <c r="D1041962" s="24"/>
      <c r="E1041962" s="24"/>
      <c r="F1041962" s="24"/>
      <c r="G1041962" s="24"/>
      <c r="H1041962" s="24"/>
      <c r="I1041962" s="24"/>
      <c r="J1041962" s="24"/>
      <c r="K1041962" s="54"/>
    </row>
    <row r="1041963" spans="1:11" s="55" customFormat="1" ht="12.75">
      <c r="A1041963" s="24"/>
      <c r="B1041963" s="24"/>
      <c r="C1041963" s="24"/>
      <c r="D1041963" s="24"/>
      <c r="E1041963" s="24"/>
      <c r="F1041963" s="24"/>
      <c r="G1041963" s="24"/>
      <c r="H1041963" s="24"/>
      <c r="I1041963" s="24"/>
      <c r="J1041963" s="24"/>
      <c r="K1041963" s="54"/>
    </row>
    <row r="1041964" spans="1:11" s="55" customFormat="1" ht="12.75">
      <c r="A1041964" s="24"/>
      <c r="B1041964" s="24"/>
      <c r="C1041964" s="24"/>
      <c r="D1041964" s="24"/>
      <c r="E1041964" s="24"/>
      <c r="F1041964" s="24"/>
      <c r="G1041964" s="24"/>
      <c r="H1041964" s="24"/>
      <c r="I1041964" s="24"/>
      <c r="J1041964" s="24"/>
      <c r="K1041964" s="54"/>
    </row>
    <row r="1041965" spans="1:11" s="55" customFormat="1" ht="12.75">
      <c r="A1041965" s="24"/>
      <c r="B1041965" s="24"/>
      <c r="C1041965" s="24"/>
      <c r="D1041965" s="24"/>
      <c r="E1041965" s="24"/>
      <c r="F1041965" s="24"/>
      <c r="G1041965" s="24"/>
      <c r="H1041965" s="24"/>
      <c r="I1041965" s="24"/>
      <c r="J1041965" s="24"/>
      <c r="K1041965" s="54"/>
    </row>
    <row r="1041966" spans="1:11" s="55" customFormat="1" ht="12.75">
      <c r="A1041966" s="24"/>
      <c r="B1041966" s="24"/>
      <c r="C1041966" s="24"/>
      <c r="D1041966" s="24"/>
      <c r="E1041966" s="24"/>
      <c r="F1041966" s="24"/>
      <c r="G1041966" s="24"/>
      <c r="H1041966" s="24"/>
      <c r="I1041966" s="24"/>
      <c r="J1041966" s="24"/>
      <c r="K1041966" s="54"/>
    </row>
    <row r="1041967" spans="1:11" s="55" customFormat="1" ht="12.75">
      <c r="A1041967" s="24"/>
      <c r="B1041967" s="24"/>
      <c r="C1041967" s="24"/>
      <c r="D1041967" s="24"/>
      <c r="E1041967" s="24"/>
      <c r="F1041967" s="24"/>
      <c r="G1041967" s="24"/>
      <c r="H1041967" s="24"/>
      <c r="I1041967" s="24"/>
      <c r="J1041967" s="24"/>
      <c r="K1041967" s="54"/>
    </row>
    <row r="1041968" spans="1:11" s="55" customFormat="1" ht="12.75">
      <c r="A1041968" s="24"/>
      <c r="B1041968" s="24"/>
      <c r="C1041968" s="24"/>
      <c r="D1041968" s="24"/>
      <c r="E1041968" s="24"/>
      <c r="F1041968" s="24"/>
      <c r="G1041968" s="24"/>
      <c r="H1041968" s="24"/>
      <c r="I1041968" s="24"/>
      <c r="J1041968" s="24"/>
      <c r="K1041968" s="54"/>
    </row>
    <row r="1041969" spans="1:11" s="55" customFormat="1" ht="12.75">
      <c r="A1041969" s="24"/>
      <c r="B1041969" s="24"/>
      <c r="C1041969" s="24"/>
      <c r="D1041969" s="24"/>
      <c r="E1041969" s="24"/>
      <c r="F1041969" s="24"/>
      <c r="G1041969" s="24"/>
      <c r="H1041969" s="24"/>
      <c r="I1041969" s="24"/>
      <c r="J1041969" s="24"/>
      <c r="K1041969" s="54"/>
    </row>
    <row r="1041970" spans="1:11" s="55" customFormat="1" ht="12.75">
      <c r="A1041970" s="24"/>
      <c r="B1041970" s="24"/>
      <c r="C1041970" s="24"/>
      <c r="D1041970" s="24"/>
      <c r="E1041970" s="24"/>
      <c r="F1041970" s="24"/>
      <c r="G1041970" s="24"/>
      <c r="H1041970" s="24"/>
      <c r="I1041970" s="24"/>
      <c r="J1041970" s="24"/>
      <c r="K1041970" s="54"/>
    </row>
    <row r="1041971" spans="1:11" s="55" customFormat="1" ht="12.75">
      <c r="A1041971" s="24"/>
      <c r="B1041971" s="24"/>
      <c r="C1041971" s="24"/>
      <c r="D1041971" s="24"/>
      <c r="E1041971" s="24"/>
      <c r="F1041971" s="24"/>
      <c r="G1041971" s="24"/>
      <c r="H1041971" s="24"/>
      <c r="I1041971" s="24"/>
      <c r="J1041971" s="24"/>
      <c r="K1041971" s="54"/>
    </row>
    <row r="1041972" spans="1:11" s="55" customFormat="1" ht="12.75">
      <c r="A1041972" s="24"/>
      <c r="B1041972" s="24"/>
      <c r="C1041972" s="24"/>
      <c r="D1041972" s="24"/>
      <c r="E1041972" s="24"/>
      <c r="F1041972" s="24"/>
      <c r="G1041972" s="24"/>
      <c r="H1041972" s="24"/>
      <c r="I1041972" s="24"/>
      <c r="J1041972" s="24"/>
      <c r="K1041972" s="54"/>
    </row>
    <row r="1041973" spans="1:11" s="55" customFormat="1" ht="12.75">
      <c r="A1041973" s="24"/>
      <c r="B1041973" s="24"/>
      <c r="C1041973" s="24"/>
      <c r="D1041973" s="24"/>
      <c r="E1041973" s="24"/>
      <c r="F1041973" s="24"/>
      <c r="G1041973" s="24"/>
      <c r="H1041973" s="24"/>
      <c r="I1041973" s="24"/>
      <c r="J1041973" s="24"/>
      <c r="K1041973" s="54"/>
    </row>
    <row r="1041974" spans="1:11" s="55" customFormat="1" ht="12.75">
      <c r="A1041974" s="24"/>
      <c r="B1041974" s="24"/>
      <c r="C1041974" s="24"/>
      <c r="D1041974" s="24"/>
      <c r="E1041974" s="24"/>
      <c r="F1041974" s="24"/>
      <c r="G1041974" s="24"/>
      <c r="H1041974" s="24"/>
      <c r="I1041974" s="24"/>
      <c r="J1041974" s="24"/>
      <c r="K1041974" s="54"/>
    </row>
    <row r="1041975" spans="1:11" s="55" customFormat="1" ht="12.75">
      <c r="A1041975" s="24"/>
      <c r="B1041975" s="24"/>
      <c r="C1041975" s="24"/>
      <c r="D1041975" s="24"/>
      <c r="E1041975" s="24"/>
      <c r="F1041975" s="24"/>
      <c r="G1041975" s="24"/>
      <c r="H1041975" s="24"/>
      <c r="I1041975" s="24"/>
      <c r="J1041975" s="24"/>
      <c r="K1041975" s="54"/>
    </row>
    <row r="1041976" spans="1:11" s="55" customFormat="1" ht="12.75">
      <c r="A1041976" s="24"/>
      <c r="B1041976" s="24"/>
      <c r="C1041976" s="24"/>
      <c r="D1041976" s="24"/>
      <c r="E1041976" s="24"/>
      <c r="F1041976" s="24"/>
      <c r="G1041976" s="24"/>
      <c r="H1041976" s="24"/>
      <c r="I1041976" s="24"/>
      <c r="J1041976" s="24"/>
      <c r="K1041976" s="54"/>
    </row>
    <row r="1041977" spans="1:11" s="55" customFormat="1" ht="12.75">
      <c r="A1041977" s="24"/>
      <c r="B1041977" s="24"/>
      <c r="C1041977" s="24"/>
      <c r="D1041977" s="24"/>
      <c r="E1041977" s="24"/>
      <c r="F1041977" s="24"/>
      <c r="G1041977" s="24"/>
      <c r="H1041977" s="24"/>
      <c r="I1041977" s="24"/>
      <c r="J1041977" s="24"/>
      <c r="K1041977" s="54"/>
    </row>
    <row r="1041978" spans="1:11" s="55" customFormat="1" ht="12.75">
      <c r="A1041978" s="24"/>
      <c r="B1041978" s="24"/>
      <c r="C1041978" s="24"/>
      <c r="D1041978" s="24"/>
      <c r="E1041978" s="24"/>
      <c r="F1041978" s="24"/>
      <c r="G1041978" s="24"/>
      <c r="H1041978" s="24"/>
      <c r="I1041978" s="24"/>
      <c r="J1041978" s="24"/>
      <c r="K1041978" s="54"/>
    </row>
    <row r="1041979" spans="1:11" s="55" customFormat="1" ht="12.75">
      <c r="A1041979" s="24"/>
      <c r="B1041979" s="24"/>
      <c r="C1041979" s="24"/>
      <c r="D1041979" s="24"/>
      <c r="E1041979" s="24"/>
      <c r="F1041979" s="24"/>
      <c r="G1041979" s="24"/>
      <c r="H1041979" s="24"/>
      <c r="I1041979" s="24"/>
      <c r="J1041979" s="24"/>
      <c r="K1041979" s="54"/>
    </row>
    <row r="1041980" spans="1:11" s="55" customFormat="1" ht="12.75">
      <c r="A1041980" s="24"/>
      <c r="B1041980" s="24"/>
      <c r="C1041980" s="24"/>
      <c r="D1041980" s="24"/>
      <c r="E1041980" s="24"/>
      <c r="F1041980" s="24"/>
      <c r="G1041980" s="24"/>
      <c r="H1041980" s="24"/>
      <c r="I1041980" s="24"/>
      <c r="J1041980" s="24"/>
      <c r="K1041980" s="54"/>
    </row>
    <row r="1041981" spans="1:11" s="55" customFormat="1" ht="12.75">
      <c r="A1041981" s="24"/>
      <c r="B1041981" s="24"/>
      <c r="C1041981" s="24"/>
      <c r="D1041981" s="24"/>
      <c r="E1041981" s="24"/>
      <c r="F1041981" s="24"/>
      <c r="G1041981" s="24"/>
      <c r="H1041981" s="24"/>
      <c r="I1041981" s="24"/>
      <c r="J1041981" s="24"/>
      <c r="K1041981" s="54"/>
    </row>
    <row r="1041982" spans="1:11" s="55" customFormat="1" ht="12.75">
      <c r="A1041982" s="24"/>
      <c r="B1041982" s="24"/>
      <c r="C1041982" s="24"/>
      <c r="D1041982" s="24"/>
      <c r="E1041982" s="24"/>
      <c r="F1041982" s="24"/>
      <c r="G1041982" s="24"/>
      <c r="H1041982" s="24"/>
      <c r="I1041982" s="24"/>
      <c r="J1041982" s="24"/>
      <c r="K1041982" s="54"/>
    </row>
    <row r="1041983" spans="1:11" s="55" customFormat="1" ht="12.75">
      <c r="A1041983" s="24"/>
      <c r="B1041983" s="24"/>
      <c r="C1041983" s="24"/>
      <c r="D1041983" s="24"/>
      <c r="E1041983" s="24"/>
      <c r="F1041983" s="24"/>
      <c r="G1041983" s="24"/>
      <c r="H1041983" s="24"/>
      <c r="I1041983" s="24"/>
      <c r="J1041983" s="24"/>
      <c r="K1041983" s="54"/>
    </row>
    <row r="1041984" spans="1:11" s="55" customFormat="1" ht="12.75">
      <c r="A1041984" s="24"/>
      <c r="B1041984" s="24"/>
      <c r="C1041984" s="24"/>
      <c r="D1041984" s="24"/>
      <c r="E1041984" s="24"/>
      <c r="F1041984" s="24"/>
      <c r="G1041984" s="24"/>
      <c r="H1041984" s="24"/>
      <c r="I1041984" s="24"/>
      <c r="J1041984" s="24"/>
      <c r="K1041984" s="54"/>
    </row>
    <row r="1041985" spans="1:11" s="55" customFormat="1" ht="12.75">
      <c r="A1041985" s="24"/>
      <c r="B1041985" s="24"/>
      <c r="C1041985" s="24"/>
      <c r="D1041985" s="24"/>
      <c r="E1041985" s="24"/>
      <c r="F1041985" s="24"/>
      <c r="G1041985" s="24"/>
      <c r="H1041985" s="24"/>
      <c r="I1041985" s="24"/>
      <c r="J1041985" s="24"/>
      <c r="K1041985" s="54"/>
    </row>
    <row r="1041986" spans="1:11" s="55" customFormat="1" ht="12.75">
      <c r="A1041986" s="24"/>
      <c r="B1041986" s="24"/>
      <c r="C1041986" s="24"/>
      <c r="D1041986" s="24"/>
      <c r="E1041986" s="24"/>
      <c r="F1041986" s="24"/>
      <c r="G1041986" s="24"/>
      <c r="H1041986" s="24"/>
      <c r="I1041986" s="24"/>
      <c r="J1041986" s="24"/>
      <c r="K1041986" s="54"/>
    </row>
    <row r="1041987" spans="1:11" s="55" customFormat="1" ht="12.75">
      <c r="A1041987" s="24"/>
      <c r="B1041987" s="24"/>
      <c r="C1041987" s="24"/>
      <c r="D1041987" s="24"/>
      <c r="E1041987" s="24"/>
      <c r="F1041987" s="24"/>
      <c r="G1041987" s="24"/>
      <c r="H1041987" s="24"/>
      <c r="I1041987" s="24"/>
      <c r="J1041987" s="24"/>
      <c r="K1041987" s="54"/>
    </row>
    <row r="1041988" spans="1:11" s="55" customFormat="1" ht="12.75">
      <c r="A1041988" s="24"/>
      <c r="B1041988" s="24"/>
      <c r="C1041988" s="24"/>
      <c r="D1041988" s="24"/>
      <c r="E1041988" s="24"/>
      <c r="F1041988" s="24"/>
      <c r="G1041988" s="24"/>
      <c r="H1041988" s="24"/>
      <c r="I1041988" s="24"/>
      <c r="J1041988" s="24"/>
      <c r="K1041988" s="54"/>
    </row>
    <row r="1041989" spans="1:11" s="55" customFormat="1" ht="12.75">
      <c r="A1041989" s="24"/>
      <c r="B1041989" s="24"/>
      <c r="C1041989" s="24"/>
      <c r="D1041989" s="24"/>
      <c r="E1041989" s="24"/>
      <c r="F1041989" s="24"/>
      <c r="G1041989" s="24"/>
      <c r="H1041989" s="24"/>
      <c r="I1041989" s="24"/>
      <c r="J1041989" s="24"/>
      <c r="K1041989" s="54"/>
    </row>
    <row r="1041990" spans="1:11" s="55" customFormat="1" ht="12.75">
      <c r="A1041990" s="24"/>
      <c r="B1041990" s="24"/>
      <c r="C1041990" s="24"/>
      <c r="D1041990" s="24"/>
      <c r="E1041990" s="24"/>
      <c r="F1041990" s="24"/>
      <c r="G1041990" s="24"/>
      <c r="H1041990" s="24"/>
      <c r="I1041990" s="24"/>
      <c r="J1041990" s="24"/>
      <c r="K1041990" s="54"/>
    </row>
    <row r="1041991" spans="1:11" s="55" customFormat="1" ht="12.75">
      <c r="A1041991" s="24"/>
      <c r="B1041991" s="24"/>
      <c r="C1041991" s="24"/>
      <c r="D1041991" s="24"/>
      <c r="E1041991" s="24"/>
      <c r="F1041991" s="24"/>
      <c r="G1041991" s="24"/>
      <c r="H1041991" s="24"/>
      <c r="I1041991" s="24"/>
      <c r="J1041991" s="24"/>
      <c r="K1041991" s="54"/>
    </row>
    <row r="1041992" spans="1:11" s="55" customFormat="1" ht="12.75">
      <c r="A1041992" s="24"/>
      <c r="B1041992" s="24"/>
      <c r="C1041992" s="24"/>
      <c r="D1041992" s="24"/>
      <c r="E1041992" s="24"/>
      <c r="F1041992" s="24"/>
      <c r="G1041992" s="24"/>
      <c r="H1041992" s="24"/>
      <c r="I1041992" s="24"/>
      <c r="J1041992" s="24"/>
      <c r="K1041992" s="54"/>
    </row>
    <row r="1041993" spans="1:11" s="55" customFormat="1" ht="12.75">
      <c r="A1041993" s="24"/>
      <c r="B1041993" s="24"/>
      <c r="C1041993" s="24"/>
      <c r="D1041993" s="24"/>
      <c r="E1041993" s="24"/>
      <c r="F1041993" s="24"/>
      <c r="G1041993" s="24"/>
      <c r="H1041993" s="24"/>
      <c r="I1041993" s="24"/>
      <c r="J1041993" s="24"/>
      <c r="K1041993" s="54"/>
    </row>
    <row r="1041994" spans="1:11" s="55" customFormat="1" ht="12.75">
      <c r="A1041994" s="24"/>
      <c r="B1041994" s="24"/>
      <c r="C1041994" s="24"/>
      <c r="D1041994" s="24"/>
      <c r="E1041994" s="24"/>
      <c r="F1041994" s="24"/>
      <c r="G1041994" s="24"/>
      <c r="H1041994" s="24"/>
      <c r="I1041994" s="24"/>
      <c r="J1041994" s="24"/>
      <c r="K1041994" s="54"/>
    </row>
    <row r="1041995" spans="1:11" s="55" customFormat="1" ht="12.75">
      <c r="A1041995" s="24"/>
      <c r="B1041995" s="24"/>
      <c r="C1041995" s="24"/>
      <c r="D1041995" s="24"/>
      <c r="E1041995" s="24"/>
      <c r="F1041995" s="24"/>
      <c r="G1041995" s="24"/>
      <c r="H1041995" s="24"/>
      <c r="I1041995" s="24"/>
      <c r="J1041995" s="24"/>
      <c r="K1041995" s="54"/>
    </row>
    <row r="1041996" spans="1:11" s="55" customFormat="1" ht="12.75">
      <c r="A1041996" s="24"/>
      <c r="B1041996" s="24"/>
      <c r="C1041996" s="24"/>
      <c r="D1041996" s="24"/>
      <c r="E1041996" s="24"/>
      <c r="F1041996" s="24"/>
      <c r="G1041996" s="24"/>
      <c r="H1041996" s="24"/>
      <c r="I1041996" s="24"/>
      <c r="J1041996" s="24"/>
      <c r="K1041996" s="54"/>
    </row>
    <row r="1041997" spans="1:11" s="55" customFormat="1" ht="12.75">
      <c r="A1041997" s="24"/>
      <c r="B1041997" s="24"/>
      <c r="C1041997" s="24"/>
      <c r="D1041997" s="24"/>
      <c r="E1041997" s="24"/>
      <c r="F1041997" s="24"/>
      <c r="G1041997" s="24"/>
      <c r="H1041997" s="24"/>
      <c r="I1041997" s="24"/>
      <c r="J1041997" s="24"/>
      <c r="K1041997" s="54"/>
    </row>
    <row r="1041998" spans="1:11" s="55" customFormat="1" ht="12.75">
      <c r="A1041998" s="24"/>
      <c r="B1041998" s="24"/>
      <c r="C1041998" s="24"/>
      <c r="D1041998" s="24"/>
      <c r="E1041998" s="24"/>
      <c r="F1041998" s="24"/>
      <c r="G1041998" s="24"/>
      <c r="H1041998" s="24"/>
      <c r="I1041998" s="24"/>
      <c r="J1041998" s="24"/>
      <c r="K1041998" s="54"/>
    </row>
    <row r="1041999" spans="1:11" s="55" customFormat="1" ht="12.75">
      <c r="A1041999" s="24"/>
      <c r="B1041999" s="24"/>
      <c r="C1041999" s="24"/>
      <c r="D1041999" s="24"/>
      <c r="E1041999" s="24"/>
      <c r="F1041999" s="24"/>
      <c r="G1041999" s="24"/>
      <c r="H1041999" s="24"/>
      <c r="I1041999" s="24"/>
      <c r="J1041999" s="24"/>
      <c r="K1041999" s="54"/>
    </row>
    <row r="1042000" spans="1:11" s="55" customFormat="1" ht="12.75">
      <c r="A1042000" s="24"/>
      <c r="B1042000" s="24"/>
      <c r="C1042000" s="24"/>
      <c r="D1042000" s="24"/>
      <c r="E1042000" s="24"/>
      <c r="F1042000" s="24"/>
      <c r="G1042000" s="24"/>
      <c r="H1042000" s="24"/>
      <c r="I1042000" s="24"/>
      <c r="J1042000" s="24"/>
      <c r="K1042000" s="54"/>
    </row>
    <row r="1042001" spans="1:11" s="55" customFormat="1" ht="12.75">
      <c r="A1042001" s="24"/>
      <c r="B1042001" s="24"/>
      <c r="C1042001" s="24"/>
      <c r="D1042001" s="24"/>
      <c r="E1042001" s="24"/>
      <c r="F1042001" s="24"/>
      <c r="G1042001" s="24"/>
      <c r="H1042001" s="24"/>
      <c r="I1042001" s="24"/>
      <c r="J1042001" s="24"/>
      <c r="K1042001" s="54"/>
    </row>
    <row r="1042002" spans="1:11" s="55" customFormat="1" ht="12.75">
      <c r="A1042002" s="24"/>
      <c r="B1042002" s="24"/>
      <c r="C1042002" s="24"/>
      <c r="D1042002" s="24"/>
      <c r="E1042002" s="24"/>
      <c r="F1042002" s="24"/>
      <c r="G1042002" s="24"/>
      <c r="H1042002" s="24"/>
      <c r="I1042002" s="24"/>
      <c r="J1042002" s="24"/>
      <c r="K1042002" s="54"/>
    </row>
    <row r="1042003" spans="1:11" s="55" customFormat="1" ht="12.75">
      <c r="A1042003" s="24"/>
      <c r="B1042003" s="24"/>
      <c r="C1042003" s="24"/>
      <c r="D1042003" s="24"/>
      <c r="E1042003" s="24"/>
      <c r="F1042003" s="24"/>
      <c r="G1042003" s="24"/>
      <c r="H1042003" s="24"/>
      <c r="I1042003" s="24"/>
      <c r="J1042003" s="24"/>
      <c r="K1042003" s="54"/>
    </row>
    <row r="1042004" spans="1:11" s="55" customFormat="1" ht="12.75">
      <c r="A1042004" s="24"/>
      <c r="B1042004" s="24"/>
      <c r="C1042004" s="24"/>
      <c r="D1042004" s="24"/>
      <c r="E1042004" s="24"/>
      <c r="F1042004" s="24"/>
      <c r="G1042004" s="24"/>
      <c r="H1042004" s="24"/>
      <c r="I1042004" s="24"/>
      <c r="J1042004" s="24"/>
      <c r="K1042004" s="54"/>
    </row>
    <row r="1042005" spans="1:11" s="55" customFormat="1" ht="12.75">
      <c r="A1042005" s="24"/>
      <c r="B1042005" s="24"/>
      <c r="C1042005" s="24"/>
      <c r="D1042005" s="24"/>
      <c r="E1042005" s="24"/>
      <c r="F1042005" s="24"/>
      <c r="G1042005" s="24"/>
      <c r="H1042005" s="24"/>
      <c r="I1042005" s="24"/>
      <c r="J1042005" s="24"/>
      <c r="K1042005" s="54"/>
    </row>
    <row r="1042006" spans="1:11" s="55" customFormat="1" ht="12.75">
      <c r="A1042006" s="24"/>
      <c r="B1042006" s="24"/>
      <c r="C1042006" s="24"/>
      <c r="D1042006" s="24"/>
      <c r="E1042006" s="24"/>
      <c r="F1042006" s="24"/>
      <c r="G1042006" s="24"/>
      <c r="H1042006" s="24"/>
      <c r="I1042006" s="24"/>
      <c r="J1042006" s="24"/>
      <c r="K1042006" s="54"/>
    </row>
    <row r="1042007" spans="1:11" s="55" customFormat="1" ht="12.75">
      <c r="A1042007" s="24"/>
      <c r="B1042007" s="24"/>
      <c r="C1042007" s="24"/>
      <c r="D1042007" s="24"/>
      <c r="E1042007" s="24"/>
      <c r="F1042007" s="24"/>
      <c r="G1042007" s="24"/>
      <c r="H1042007" s="24"/>
      <c r="I1042007" s="24"/>
      <c r="J1042007" s="24"/>
      <c r="K1042007" s="54"/>
    </row>
    <row r="1042008" spans="1:11" s="55" customFormat="1" ht="12.75">
      <c r="A1042008" s="24"/>
      <c r="B1042008" s="24"/>
      <c r="C1042008" s="24"/>
      <c r="D1042008" s="24"/>
      <c r="E1042008" s="24"/>
      <c r="F1042008" s="24"/>
      <c r="G1042008" s="24"/>
      <c r="H1042008" s="24"/>
      <c r="I1042008" s="24"/>
      <c r="J1042008" s="24"/>
      <c r="K1042008" s="54"/>
    </row>
    <row r="1042009" spans="1:11" s="55" customFormat="1" ht="12.75">
      <c r="A1042009" s="24"/>
      <c r="B1042009" s="24"/>
      <c r="C1042009" s="24"/>
      <c r="D1042009" s="24"/>
      <c r="E1042009" s="24"/>
      <c r="F1042009" s="24"/>
      <c r="G1042009" s="24"/>
      <c r="H1042009" s="24"/>
      <c r="I1042009" s="24"/>
      <c r="J1042009" s="24"/>
      <c r="K1042009" s="54"/>
    </row>
    <row r="1042010" spans="1:11" s="55" customFormat="1" ht="12.75">
      <c r="A1042010" s="24"/>
      <c r="B1042010" s="24"/>
      <c r="C1042010" s="24"/>
      <c r="D1042010" s="24"/>
      <c r="E1042010" s="24"/>
      <c r="F1042010" s="24"/>
      <c r="G1042010" s="24"/>
      <c r="H1042010" s="24"/>
      <c r="I1042010" s="24"/>
      <c r="J1042010" s="24"/>
      <c r="K1042010" s="54"/>
    </row>
    <row r="1042011" spans="1:11" s="55" customFormat="1" ht="12.75">
      <c r="A1042011" s="24"/>
      <c r="B1042011" s="24"/>
      <c r="C1042011" s="24"/>
      <c r="D1042011" s="24"/>
      <c r="E1042011" s="24"/>
      <c r="F1042011" s="24"/>
      <c r="G1042011" s="24"/>
      <c r="H1042011" s="24"/>
      <c r="I1042011" s="24"/>
      <c r="J1042011" s="24"/>
      <c r="K1042011" s="54"/>
    </row>
    <row r="1042012" spans="1:11" s="55" customFormat="1" ht="12.75">
      <c r="A1042012" s="24"/>
      <c r="B1042012" s="24"/>
      <c r="C1042012" s="24"/>
      <c r="D1042012" s="24"/>
      <c r="E1042012" s="24"/>
      <c r="F1042012" s="24"/>
      <c r="G1042012" s="24"/>
      <c r="H1042012" s="24"/>
      <c r="I1042012" s="24"/>
      <c r="J1042012" s="24"/>
      <c r="K1042012" s="54"/>
    </row>
    <row r="1042013" spans="1:11" s="55" customFormat="1" ht="12.75">
      <c r="A1042013" s="24"/>
      <c r="B1042013" s="24"/>
      <c r="C1042013" s="24"/>
      <c r="D1042013" s="24"/>
      <c r="E1042013" s="24"/>
      <c r="F1042013" s="24"/>
      <c r="G1042013" s="24"/>
      <c r="H1042013" s="24"/>
      <c r="I1042013" s="24"/>
      <c r="J1042013" s="24"/>
      <c r="K1042013" s="54"/>
    </row>
    <row r="1042014" spans="1:11" s="55" customFormat="1" ht="12.75">
      <c r="A1042014" s="24"/>
      <c r="B1042014" s="24"/>
      <c r="C1042014" s="24"/>
      <c r="D1042014" s="24"/>
      <c r="E1042014" s="24"/>
      <c r="F1042014" s="24"/>
      <c r="G1042014" s="24"/>
      <c r="H1042014" s="24"/>
      <c r="I1042014" s="24"/>
      <c r="J1042014" s="24"/>
      <c r="K1042014" s="54"/>
    </row>
    <row r="1042015" spans="1:11" s="55" customFormat="1" ht="12.75">
      <c r="A1042015" s="24"/>
      <c r="B1042015" s="24"/>
      <c r="C1042015" s="24"/>
      <c r="D1042015" s="24"/>
      <c r="E1042015" s="24"/>
      <c r="F1042015" s="24"/>
      <c r="G1042015" s="24"/>
      <c r="H1042015" s="24"/>
      <c r="I1042015" s="24"/>
      <c r="J1042015" s="24"/>
      <c r="K1042015" s="54"/>
    </row>
    <row r="1042016" spans="1:11" s="55" customFormat="1" ht="12.75">
      <c r="A1042016" s="24"/>
      <c r="B1042016" s="24"/>
      <c r="C1042016" s="24"/>
      <c r="D1042016" s="24"/>
      <c r="E1042016" s="24"/>
      <c r="F1042016" s="24"/>
      <c r="G1042016" s="24"/>
      <c r="H1042016" s="24"/>
      <c r="I1042016" s="24"/>
      <c r="J1042016" s="24"/>
      <c r="K1042016" s="54"/>
    </row>
    <row r="1042017" spans="1:11" s="55" customFormat="1" ht="12.75">
      <c r="A1042017" s="24"/>
      <c r="B1042017" s="24"/>
      <c r="C1042017" s="24"/>
      <c r="D1042017" s="24"/>
      <c r="E1042017" s="24"/>
      <c r="F1042017" s="24"/>
      <c r="G1042017" s="24"/>
      <c r="H1042017" s="24"/>
      <c r="I1042017" s="24"/>
      <c r="J1042017" s="24"/>
      <c r="K1042017" s="54"/>
    </row>
    <row r="1042018" spans="1:11" s="55" customFormat="1" ht="12.75">
      <c r="A1042018" s="24"/>
      <c r="B1042018" s="24"/>
      <c r="C1042018" s="24"/>
      <c r="D1042018" s="24"/>
      <c r="E1042018" s="24"/>
      <c r="F1042018" s="24"/>
      <c r="G1042018" s="24"/>
      <c r="H1042018" s="24"/>
      <c r="I1042018" s="24"/>
      <c r="J1042018" s="24"/>
      <c r="K1042018" s="54"/>
    </row>
    <row r="1042019" spans="1:11" s="55" customFormat="1" ht="12.75">
      <c r="A1042019" s="24"/>
      <c r="B1042019" s="24"/>
      <c r="C1042019" s="24"/>
      <c r="D1042019" s="24"/>
      <c r="E1042019" s="24"/>
      <c r="F1042019" s="24"/>
      <c r="G1042019" s="24"/>
      <c r="H1042019" s="24"/>
      <c r="I1042019" s="24"/>
      <c r="J1042019" s="24"/>
      <c r="K1042019" s="54"/>
    </row>
    <row r="1042020" spans="1:11" s="55" customFormat="1" ht="12.75">
      <c r="A1042020" s="24"/>
      <c r="B1042020" s="24"/>
      <c r="C1042020" s="24"/>
      <c r="D1042020" s="24"/>
      <c r="E1042020" s="24"/>
      <c r="F1042020" s="24"/>
      <c r="G1042020" s="24"/>
      <c r="H1042020" s="24"/>
      <c r="I1042020" s="24"/>
      <c r="J1042020" s="24"/>
      <c r="K1042020" s="54"/>
    </row>
    <row r="1042021" spans="1:11" s="55" customFormat="1" ht="12.75">
      <c r="A1042021" s="24"/>
      <c r="B1042021" s="24"/>
      <c r="C1042021" s="24"/>
      <c r="D1042021" s="24"/>
      <c r="E1042021" s="24"/>
      <c r="F1042021" s="24"/>
      <c r="G1042021" s="24"/>
      <c r="H1042021" s="24"/>
      <c r="I1042021" s="24"/>
      <c r="J1042021" s="24"/>
      <c r="K1042021" s="54"/>
    </row>
    <row r="1042022" spans="1:11" s="55" customFormat="1" ht="12.75">
      <c r="A1042022" s="24"/>
      <c r="B1042022" s="24"/>
      <c r="C1042022" s="24"/>
      <c r="D1042022" s="24"/>
      <c r="E1042022" s="24"/>
      <c r="F1042022" s="24"/>
      <c r="G1042022" s="24"/>
      <c r="H1042022" s="24"/>
      <c r="I1042022" s="24"/>
      <c r="J1042022" s="24"/>
      <c r="K1042022" s="54"/>
    </row>
    <row r="1042023" spans="1:11" s="55" customFormat="1" ht="12.75">
      <c r="A1042023" s="24"/>
      <c r="B1042023" s="24"/>
      <c r="C1042023" s="24"/>
      <c r="D1042023" s="24"/>
      <c r="E1042023" s="24"/>
      <c r="F1042023" s="24"/>
      <c r="G1042023" s="24"/>
      <c r="H1042023" s="24"/>
      <c r="I1042023" s="24"/>
      <c r="J1042023" s="24"/>
      <c r="K1042023" s="54"/>
    </row>
    <row r="1042024" spans="1:11" s="55" customFormat="1" ht="12.75">
      <c r="A1042024" s="24"/>
      <c r="B1042024" s="24"/>
      <c r="C1042024" s="24"/>
      <c r="D1042024" s="24"/>
      <c r="E1042024" s="24"/>
      <c r="F1042024" s="24"/>
      <c r="G1042024" s="24"/>
      <c r="H1042024" s="24"/>
      <c r="I1042024" s="24"/>
      <c r="J1042024" s="24"/>
      <c r="K1042024" s="54"/>
    </row>
    <row r="1042025" spans="1:11" s="55" customFormat="1" ht="12.75">
      <c r="A1042025" s="24"/>
      <c r="B1042025" s="24"/>
      <c r="C1042025" s="24"/>
      <c r="D1042025" s="24"/>
      <c r="E1042025" s="24"/>
      <c r="F1042025" s="24"/>
      <c r="G1042025" s="24"/>
      <c r="H1042025" s="24"/>
      <c r="I1042025" s="24"/>
      <c r="J1042025" s="24"/>
      <c r="K1042025" s="54"/>
    </row>
    <row r="1042026" spans="1:11" s="55" customFormat="1" ht="12.75">
      <c r="A1042026" s="24"/>
      <c r="B1042026" s="24"/>
      <c r="C1042026" s="24"/>
      <c r="D1042026" s="24"/>
      <c r="E1042026" s="24"/>
      <c r="F1042026" s="24"/>
      <c r="G1042026" s="24"/>
      <c r="H1042026" s="24"/>
      <c r="I1042026" s="24"/>
      <c r="J1042026" s="24"/>
      <c r="K1042026" s="54"/>
    </row>
    <row r="1042027" spans="1:11" s="55" customFormat="1" ht="12.75">
      <c r="A1042027" s="24"/>
      <c r="B1042027" s="24"/>
      <c r="C1042027" s="24"/>
      <c r="D1042027" s="24"/>
      <c r="E1042027" s="24"/>
      <c r="F1042027" s="24"/>
      <c r="G1042027" s="24"/>
      <c r="H1042027" s="24"/>
      <c r="I1042027" s="24"/>
      <c r="J1042027" s="24"/>
      <c r="K1042027" s="54"/>
    </row>
    <row r="1042028" spans="1:11" s="55" customFormat="1" ht="12.75">
      <c r="A1042028" s="24"/>
      <c r="B1042028" s="24"/>
      <c r="C1042028" s="24"/>
      <c r="D1042028" s="24"/>
      <c r="E1042028" s="24"/>
      <c r="F1042028" s="24"/>
      <c r="G1042028" s="24"/>
      <c r="H1042028" s="24"/>
      <c r="I1042028" s="24"/>
      <c r="J1042028" s="24"/>
      <c r="K1042028" s="54"/>
    </row>
    <row r="1042029" spans="1:11" s="55" customFormat="1" ht="12.75">
      <c r="A1042029" s="24"/>
      <c r="B1042029" s="24"/>
      <c r="C1042029" s="24"/>
      <c r="D1042029" s="24"/>
      <c r="E1042029" s="24"/>
      <c r="F1042029" s="24"/>
      <c r="G1042029" s="24"/>
      <c r="H1042029" s="24"/>
      <c r="I1042029" s="24"/>
      <c r="J1042029" s="24"/>
      <c r="K1042029" s="54"/>
    </row>
    <row r="1042030" spans="1:11" s="55" customFormat="1" ht="12.75">
      <c r="A1042030" s="24"/>
      <c r="B1042030" s="24"/>
      <c r="C1042030" s="24"/>
      <c r="D1042030" s="24"/>
      <c r="E1042030" s="24"/>
      <c r="F1042030" s="24"/>
      <c r="G1042030" s="24"/>
      <c r="H1042030" s="24"/>
      <c r="I1042030" s="24"/>
      <c r="J1042030" s="24"/>
      <c r="K1042030" s="54"/>
    </row>
    <row r="1042031" spans="1:11" s="55" customFormat="1" ht="12.75">
      <c r="A1042031" s="24"/>
      <c r="B1042031" s="24"/>
      <c r="C1042031" s="24"/>
      <c r="D1042031" s="24"/>
      <c r="E1042031" s="24"/>
      <c r="F1042031" s="24"/>
      <c r="G1042031" s="24"/>
      <c r="H1042031" s="24"/>
      <c r="I1042031" s="24"/>
      <c r="J1042031" s="24"/>
      <c r="K1042031" s="54"/>
    </row>
    <row r="1042032" spans="1:11" s="55" customFormat="1" ht="12.75">
      <c r="A1042032" s="24"/>
      <c r="B1042032" s="24"/>
      <c r="C1042032" s="24"/>
      <c r="D1042032" s="24"/>
      <c r="E1042032" s="24"/>
      <c r="F1042032" s="24"/>
      <c r="G1042032" s="24"/>
      <c r="H1042032" s="24"/>
      <c r="I1042032" s="24"/>
      <c r="J1042032" s="24"/>
      <c r="K1042032" s="54"/>
    </row>
    <row r="1042033" spans="1:11" s="55" customFormat="1" ht="12.75">
      <c r="A1042033" s="24"/>
      <c r="B1042033" s="24"/>
      <c r="C1042033" s="24"/>
      <c r="D1042033" s="24"/>
      <c r="E1042033" s="24"/>
      <c r="F1042033" s="24"/>
      <c r="G1042033" s="24"/>
      <c r="H1042033" s="24"/>
      <c r="I1042033" s="24"/>
      <c r="J1042033" s="24"/>
      <c r="K1042033" s="54"/>
    </row>
    <row r="1042034" spans="1:11" s="55" customFormat="1" ht="12.75">
      <c r="A1042034" s="24"/>
      <c r="B1042034" s="24"/>
      <c r="C1042034" s="24"/>
      <c r="D1042034" s="24"/>
      <c r="E1042034" s="24"/>
      <c r="F1042034" s="24"/>
      <c r="G1042034" s="24"/>
      <c r="H1042034" s="24"/>
      <c r="I1042034" s="24"/>
      <c r="J1042034" s="24"/>
      <c r="K1042034" s="54"/>
    </row>
    <row r="1042035" spans="1:11" s="55" customFormat="1" ht="12.75">
      <c r="A1042035" s="24"/>
      <c r="B1042035" s="24"/>
      <c r="C1042035" s="24"/>
      <c r="D1042035" s="24"/>
      <c r="E1042035" s="24"/>
      <c r="F1042035" s="24"/>
      <c r="G1042035" s="24"/>
      <c r="H1042035" s="24"/>
      <c r="I1042035" s="24"/>
      <c r="J1042035" s="24"/>
      <c r="K1042035" s="54"/>
    </row>
    <row r="1042036" spans="1:11" s="55" customFormat="1" ht="12.75">
      <c r="A1042036" s="24"/>
      <c r="B1042036" s="24"/>
      <c r="C1042036" s="24"/>
      <c r="D1042036" s="24"/>
      <c r="E1042036" s="24"/>
      <c r="F1042036" s="24"/>
      <c r="G1042036" s="24"/>
      <c r="H1042036" s="24"/>
      <c r="I1042036" s="24"/>
      <c r="J1042036" s="24"/>
      <c r="K1042036" s="54"/>
    </row>
    <row r="1042037" spans="1:11" s="55" customFormat="1" ht="12.75">
      <c r="A1042037" s="24"/>
      <c r="B1042037" s="24"/>
      <c r="C1042037" s="24"/>
      <c r="D1042037" s="24"/>
      <c r="E1042037" s="24"/>
      <c r="F1042037" s="24"/>
      <c r="G1042037" s="24"/>
      <c r="H1042037" s="24"/>
      <c r="I1042037" s="24"/>
      <c r="J1042037" s="24"/>
      <c r="K1042037" s="54"/>
    </row>
    <row r="1042038" spans="1:11" s="55" customFormat="1" ht="12.75">
      <c r="A1042038" s="24"/>
      <c r="B1042038" s="24"/>
      <c r="C1042038" s="24"/>
      <c r="D1042038" s="24"/>
      <c r="E1042038" s="24"/>
      <c r="F1042038" s="24"/>
      <c r="G1042038" s="24"/>
      <c r="H1042038" s="24"/>
      <c r="I1042038" s="24"/>
      <c r="J1042038" s="24"/>
      <c r="K1042038" s="54"/>
    </row>
    <row r="1042039" spans="1:11" s="55" customFormat="1" ht="12.75">
      <c r="A1042039" s="24"/>
      <c r="B1042039" s="24"/>
      <c r="C1042039" s="24"/>
      <c r="D1042039" s="24"/>
      <c r="E1042039" s="24"/>
      <c r="F1042039" s="24"/>
      <c r="G1042039" s="24"/>
      <c r="H1042039" s="24"/>
      <c r="I1042039" s="24"/>
      <c r="J1042039" s="24"/>
      <c r="K1042039" s="54"/>
    </row>
    <row r="1042040" spans="1:11" s="55" customFormat="1" ht="12.75">
      <c r="A1042040" s="24"/>
      <c r="B1042040" s="24"/>
      <c r="C1042040" s="24"/>
      <c r="D1042040" s="24"/>
      <c r="E1042040" s="24"/>
      <c r="F1042040" s="24"/>
      <c r="G1042040" s="24"/>
      <c r="H1042040" s="24"/>
      <c r="I1042040" s="24"/>
      <c r="J1042040" s="24"/>
      <c r="K1042040" s="54"/>
    </row>
    <row r="1042041" spans="1:11" s="55" customFormat="1" ht="12.75">
      <c r="A1042041" s="24"/>
      <c r="B1042041" s="24"/>
      <c r="C1042041" s="24"/>
      <c r="D1042041" s="24"/>
      <c r="E1042041" s="24"/>
      <c r="F1042041" s="24"/>
      <c r="G1042041" s="24"/>
      <c r="H1042041" s="24"/>
      <c r="I1042041" s="24"/>
      <c r="J1042041" s="24"/>
      <c r="K1042041" s="54"/>
    </row>
    <row r="1042042" spans="1:11" s="55" customFormat="1" ht="12.75">
      <c r="A1042042" s="24"/>
      <c r="B1042042" s="24"/>
      <c r="C1042042" s="24"/>
      <c r="D1042042" s="24"/>
      <c r="E1042042" s="24"/>
      <c r="F1042042" s="24"/>
      <c r="G1042042" s="24"/>
      <c r="H1042042" s="24"/>
      <c r="I1042042" s="24"/>
      <c r="J1042042" s="24"/>
      <c r="K1042042" s="54"/>
    </row>
    <row r="1042043" spans="1:11" s="55" customFormat="1" ht="12.75">
      <c r="A1042043" s="24"/>
      <c r="B1042043" s="24"/>
      <c r="C1042043" s="24"/>
      <c r="D1042043" s="24"/>
      <c r="E1042043" s="24"/>
      <c r="F1042043" s="24"/>
      <c r="G1042043" s="24"/>
      <c r="H1042043" s="24"/>
      <c r="I1042043" s="24"/>
      <c r="J1042043" s="24"/>
      <c r="K1042043" s="54"/>
    </row>
    <row r="1042044" spans="1:11" s="55" customFormat="1" ht="12.75">
      <c r="A1042044" s="24"/>
      <c r="B1042044" s="24"/>
      <c r="C1042044" s="24"/>
      <c r="D1042044" s="24"/>
      <c r="E1042044" s="24"/>
      <c r="F1042044" s="24"/>
      <c r="G1042044" s="24"/>
      <c r="H1042044" s="24"/>
      <c r="I1042044" s="24"/>
      <c r="J1042044" s="24"/>
      <c r="K1042044" s="54"/>
    </row>
    <row r="1042045" spans="1:11" s="55" customFormat="1" ht="12.75">
      <c r="A1042045" s="24"/>
      <c r="B1042045" s="24"/>
      <c r="C1042045" s="24"/>
      <c r="D1042045" s="24"/>
      <c r="E1042045" s="24"/>
      <c r="F1042045" s="24"/>
      <c r="G1042045" s="24"/>
      <c r="H1042045" s="24"/>
      <c r="I1042045" s="24"/>
      <c r="J1042045" s="24"/>
      <c r="K1042045" s="54"/>
    </row>
    <row r="1042046" spans="1:11" s="55" customFormat="1" ht="12.75">
      <c r="A1042046" s="24"/>
      <c r="B1042046" s="24"/>
      <c r="C1042046" s="24"/>
      <c r="D1042046" s="24"/>
      <c r="E1042046" s="24"/>
      <c r="F1042046" s="24"/>
      <c r="G1042046" s="24"/>
      <c r="H1042046" s="24"/>
      <c r="I1042046" s="24"/>
      <c r="J1042046" s="24"/>
      <c r="K1042046" s="54"/>
    </row>
    <row r="1042047" spans="1:11" s="55" customFormat="1" ht="12.75">
      <c r="A1042047" s="24"/>
      <c r="B1042047" s="24"/>
      <c r="C1042047" s="24"/>
      <c r="D1042047" s="24"/>
      <c r="E1042047" s="24"/>
      <c r="F1042047" s="24"/>
      <c r="G1042047" s="24"/>
      <c r="H1042047" s="24"/>
      <c r="I1042047" s="24"/>
      <c r="J1042047" s="24"/>
      <c r="K1042047" s="54"/>
    </row>
    <row r="1042048" spans="1:11" s="55" customFormat="1" ht="12.75">
      <c r="A1042048" s="24"/>
      <c r="B1042048" s="24"/>
      <c r="C1042048" s="24"/>
      <c r="D1042048" s="24"/>
      <c r="E1042048" s="24"/>
      <c r="F1042048" s="24"/>
      <c r="G1042048" s="24"/>
      <c r="H1042048" s="24"/>
      <c r="I1042048" s="24"/>
      <c r="J1042048" s="24"/>
      <c r="K1042048" s="54"/>
    </row>
    <row r="1042049" spans="1:11" s="55" customFormat="1" ht="12.75">
      <c r="A1042049" s="24"/>
      <c r="B1042049" s="24"/>
      <c r="C1042049" s="24"/>
      <c r="D1042049" s="24"/>
      <c r="E1042049" s="24"/>
      <c r="F1042049" s="24"/>
      <c r="G1042049" s="24"/>
      <c r="H1042049" s="24"/>
      <c r="I1042049" s="24"/>
      <c r="J1042049" s="24"/>
      <c r="K1042049" s="54"/>
    </row>
    <row r="1042050" spans="1:11" s="55" customFormat="1" ht="12.75">
      <c r="A1042050" s="24"/>
      <c r="B1042050" s="24"/>
      <c r="C1042050" s="24"/>
      <c r="D1042050" s="24"/>
      <c r="E1042050" s="24"/>
      <c r="F1042050" s="24"/>
      <c r="G1042050" s="24"/>
      <c r="H1042050" s="24"/>
      <c r="I1042050" s="24"/>
      <c r="J1042050" s="24"/>
      <c r="K1042050" s="54"/>
    </row>
    <row r="1042051" spans="1:11" s="55" customFormat="1" ht="12.75">
      <c r="A1042051" s="24"/>
      <c r="B1042051" s="24"/>
      <c r="C1042051" s="24"/>
      <c r="D1042051" s="24"/>
      <c r="E1042051" s="24"/>
      <c r="F1042051" s="24"/>
      <c r="G1042051" s="24"/>
      <c r="H1042051" s="24"/>
      <c r="I1042051" s="24"/>
      <c r="J1042051" s="24"/>
      <c r="K1042051" s="54"/>
    </row>
    <row r="1042052" spans="1:11" s="55" customFormat="1" ht="12.75">
      <c r="A1042052" s="24"/>
      <c r="B1042052" s="24"/>
      <c r="C1042052" s="24"/>
      <c r="D1042052" s="24"/>
      <c r="E1042052" s="24"/>
      <c r="F1042052" s="24"/>
      <c r="G1042052" s="24"/>
      <c r="H1042052" s="24"/>
      <c r="I1042052" s="24"/>
      <c r="J1042052" s="24"/>
      <c r="K1042052" s="54"/>
    </row>
    <row r="1042053" spans="1:11" s="55" customFormat="1" ht="12.75">
      <c r="A1042053" s="24"/>
      <c r="B1042053" s="24"/>
      <c r="C1042053" s="24"/>
      <c r="D1042053" s="24"/>
      <c r="E1042053" s="24"/>
      <c r="F1042053" s="24"/>
      <c r="G1042053" s="24"/>
      <c r="H1042053" s="24"/>
      <c r="I1042053" s="24"/>
      <c r="J1042053" s="24"/>
      <c r="K1042053" s="54"/>
    </row>
    <row r="1042054" spans="1:11" s="55" customFormat="1" ht="12.75">
      <c r="A1042054" s="24"/>
      <c r="B1042054" s="24"/>
      <c r="C1042054" s="24"/>
      <c r="D1042054" s="24"/>
      <c r="E1042054" s="24"/>
      <c r="F1042054" s="24"/>
      <c r="G1042054" s="24"/>
      <c r="H1042054" s="24"/>
      <c r="I1042054" s="24"/>
      <c r="J1042054" s="24"/>
      <c r="K1042054" s="54"/>
    </row>
    <row r="1042055" spans="1:11" s="55" customFormat="1" ht="12.75">
      <c r="A1042055" s="24"/>
      <c r="B1042055" s="24"/>
      <c r="C1042055" s="24"/>
      <c r="D1042055" s="24"/>
      <c r="E1042055" s="24"/>
      <c r="F1042055" s="24"/>
      <c r="G1042055" s="24"/>
      <c r="H1042055" s="24"/>
      <c r="I1042055" s="24"/>
      <c r="J1042055" s="24"/>
      <c r="K1042055" s="54"/>
    </row>
    <row r="1042056" spans="1:11" s="55" customFormat="1" ht="12.75">
      <c r="A1042056" s="24"/>
      <c r="B1042056" s="24"/>
      <c r="C1042056" s="24"/>
      <c r="D1042056" s="24"/>
      <c r="E1042056" s="24"/>
      <c r="F1042056" s="24"/>
      <c r="G1042056" s="24"/>
      <c r="H1042056" s="24"/>
      <c r="I1042056" s="24"/>
      <c r="J1042056" s="24"/>
      <c r="K1042056" s="54"/>
    </row>
    <row r="1042057" spans="1:11" s="55" customFormat="1" ht="12.75">
      <c r="A1042057" s="24"/>
      <c r="B1042057" s="24"/>
      <c r="C1042057" s="24"/>
      <c r="D1042057" s="24"/>
      <c r="E1042057" s="24"/>
      <c r="F1042057" s="24"/>
      <c r="G1042057" s="24"/>
      <c r="H1042057" s="24"/>
      <c r="I1042057" s="24"/>
      <c r="J1042057" s="24"/>
      <c r="K1042057" s="54"/>
    </row>
    <row r="1042058" spans="1:11" s="55" customFormat="1" ht="12.75">
      <c r="A1042058" s="24"/>
      <c r="B1042058" s="24"/>
      <c r="C1042058" s="24"/>
      <c r="D1042058" s="24"/>
      <c r="E1042058" s="24"/>
      <c r="F1042058" s="24"/>
      <c r="G1042058" s="24"/>
      <c r="H1042058" s="24"/>
      <c r="I1042058" s="24"/>
      <c r="J1042058" s="24"/>
      <c r="K1042058" s="54"/>
    </row>
    <row r="1042059" spans="1:11" s="55" customFormat="1" ht="12.75">
      <c r="A1042059" s="24"/>
      <c r="B1042059" s="24"/>
      <c r="C1042059" s="24"/>
      <c r="D1042059" s="24"/>
      <c r="E1042059" s="24"/>
      <c r="F1042059" s="24"/>
      <c r="G1042059" s="24"/>
      <c r="H1042059" s="24"/>
      <c r="I1042059" s="24"/>
      <c r="J1042059" s="24"/>
      <c r="K1042059" s="54"/>
    </row>
    <row r="1042060" spans="1:11" s="55" customFormat="1" ht="12.75">
      <c r="A1042060" s="24"/>
      <c r="B1042060" s="24"/>
      <c r="C1042060" s="24"/>
      <c r="D1042060" s="24"/>
      <c r="E1042060" s="24"/>
      <c r="F1042060" s="24"/>
      <c r="G1042060" s="24"/>
      <c r="H1042060" s="24"/>
      <c r="I1042060" s="24"/>
      <c r="J1042060" s="24"/>
      <c r="K1042060" s="54"/>
    </row>
    <row r="1042061" spans="1:11" s="55" customFormat="1" ht="12.75">
      <c r="A1042061" s="24"/>
      <c r="B1042061" s="24"/>
      <c r="C1042061" s="24"/>
      <c r="D1042061" s="24"/>
      <c r="E1042061" s="24"/>
      <c r="F1042061" s="24"/>
      <c r="G1042061" s="24"/>
      <c r="H1042061" s="24"/>
      <c r="I1042061" s="24"/>
      <c r="J1042061" s="24"/>
      <c r="K1042061" s="54"/>
    </row>
    <row r="1042062" spans="1:11" s="55" customFormat="1" ht="12.75">
      <c r="A1042062" s="24"/>
      <c r="B1042062" s="24"/>
      <c r="C1042062" s="24"/>
      <c r="D1042062" s="24"/>
      <c r="E1042062" s="24"/>
      <c r="F1042062" s="24"/>
      <c r="G1042062" s="24"/>
      <c r="H1042062" s="24"/>
      <c r="I1042062" s="24"/>
      <c r="J1042062" s="24"/>
      <c r="K1042062" s="54"/>
    </row>
    <row r="1042063" spans="1:11" s="55" customFormat="1" ht="12.75">
      <c r="A1042063" s="24"/>
      <c r="B1042063" s="24"/>
      <c r="C1042063" s="24"/>
      <c r="D1042063" s="24"/>
      <c r="E1042063" s="24"/>
      <c r="F1042063" s="24"/>
      <c r="G1042063" s="24"/>
      <c r="H1042063" s="24"/>
      <c r="I1042063" s="24"/>
      <c r="J1042063" s="24"/>
      <c r="K1042063" s="54"/>
    </row>
    <row r="1042064" spans="1:11" s="55" customFormat="1" ht="12.75">
      <c r="A1042064" s="24"/>
      <c r="B1042064" s="24"/>
      <c r="C1042064" s="24"/>
      <c r="D1042064" s="24"/>
      <c r="E1042064" s="24"/>
      <c r="F1042064" s="24"/>
      <c r="G1042064" s="24"/>
      <c r="H1042064" s="24"/>
      <c r="I1042064" s="24"/>
      <c r="J1042064" s="24"/>
      <c r="K1042064" s="54"/>
    </row>
    <row r="1042065" spans="1:11" s="55" customFormat="1" ht="12.75">
      <c r="A1042065" s="24"/>
      <c r="B1042065" s="24"/>
      <c r="C1042065" s="24"/>
      <c r="D1042065" s="24"/>
      <c r="E1042065" s="24"/>
      <c r="F1042065" s="24"/>
      <c r="G1042065" s="24"/>
      <c r="H1042065" s="24"/>
      <c r="I1042065" s="24"/>
      <c r="J1042065" s="24"/>
      <c r="K1042065" s="54"/>
    </row>
    <row r="1042066" spans="1:11" s="55" customFormat="1" ht="12.75">
      <c r="A1042066" s="24"/>
      <c r="B1042066" s="24"/>
      <c r="C1042066" s="24"/>
      <c r="D1042066" s="24"/>
      <c r="E1042066" s="24"/>
      <c r="F1042066" s="24"/>
      <c r="G1042066" s="24"/>
      <c r="H1042066" s="24"/>
      <c r="I1042066" s="24"/>
      <c r="J1042066" s="24"/>
      <c r="K1042066" s="54"/>
    </row>
    <row r="1042067" spans="1:11" s="55" customFormat="1" ht="12.75">
      <c r="A1042067" s="24"/>
      <c r="B1042067" s="24"/>
      <c r="C1042067" s="24"/>
      <c r="D1042067" s="24"/>
      <c r="E1042067" s="24"/>
      <c r="F1042067" s="24"/>
      <c r="G1042067" s="24"/>
      <c r="H1042067" s="24"/>
      <c r="I1042067" s="24"/>
      <c r="J1042067" s="24"/>
      <c r="K1042067" s="54"/>
    </row>
    <row r="1042068" spans="1:11" s="55" customFormat="1" ht="12.75">
      <c r="A1042068" s="24"/>
      <c r="B1042068" s="24"/>
      <c r="C1042068" s="24"/>
      <c r="D1042068" s="24"/>
      <c r="E1042068" s="24"/>
      <c r="F1042068" s="24"/>
      <c r="G1042068" s="24"/>
      <c r="H1042068" s="24"/>
      <c r="I1042068" s="24"/>
      <c r="J1042068" s="24"/>
      <c r="K1042068" s="54"/>
    </row>
    <row r="1042069" spans="1:11" s="55" customFormat="1" ht="12.75">
      <c r="A1042069" s="24"/>
      <c r="B1042069" s="24"/>
      <c r="C1042069" s="24"/>
      <c r="D1042069" s="24"/>
      <c r="E1042069" s="24"/>
      <c r="F1042069" s="24"/>
      <c r="G1042069" s="24"/>
      <c r="H1042069" s="24"/>
      <c r="I1042069" s="24"/>
      <c r="J1042069" s="24"/>
      <c r="K1042069" s="54"/>
    </row>
    <row r="1042070" spans="1:11" s="55" customFormat="1" ht="12.75">
      <c r="A1042070" s="24"/>
      <c r="B1042070" s="24"/>
      <c r="C1042070" s="24"/>
      <c r="D1042070" s="24"/>
      <c r="E1042070" s="24"/>
      <c r="F1042070" s="24"/>
      <c r="G1042070" s="24"/>
      <c r="H1042070" s="24"/>
      <c r="I1042070" s="24"/>
      <c r="J1042070" s="24"/>
      <c r="K1042070" s="54"/>
    </row>
    <row r="1042071" spans="1:11" s="55" customFormat="1" ht="12.75">
      <c r="A1042071" s="24"/>
      <c r="B1042071" s="24"/>
      <c r="C1042071" s="24"/>
      <c r="D1042071" s="24"/>
      <c r="E1042071" s="24"/>
      <c r="F1042071" s="24"/>
      <c r="G1042071" s="24"/>
      <c r="H1042071" s="24"/>
      <c r="I1042071" s="24"/>
      <c r="J1042071" s="24"/>
      <c r="K1042071" s="54"/>
    </row>
    <row r="1042072" spans="1:11" s="55" customFormat="1" ht="12.75">
      <c r="A1042072" s="24"/>
      <c r="B1042072" s="24"/>
      <c r="C1042072" s="24"/>
      <c r="D1042072" s="24"/>
      <c r="E1042072" s="24"/>
      <c r="F1042072" s="24"/>
      <c r="G1042072" s="24"/>
      <c r="H1042072" s="24"/>
      <c r="I1042072" s="24"/>
      <c r="J1042072" s="24"/>
      <c r="K1042072" s="54"/>
    </row>
    <row r="1042073" spans="1:11" s="55" customFormat="1" ht="12.75">
      <c r="A1042073" s="24"/>
      <c r="B1042073" s="24"/>
      <c r="C1042073" s="24"/>
      <c r="D1042073" s="24"/>
      <c r="E1042073" s="24"/>
      <c r="F1042073" s="24"/>
      <c r="G1042073" s="24"/>
      <c r="H1042073" s="24"/>
      <c r="I1042073" s="24"/>
      <c r="J1042073" s="24"/>
      <c r="K1042073" s="54"/>
    </row>
    <row r="1042074" spans="1:11" s="55" customFormat="1" ht="12.75">
      <c r="A1042074" s="24"/>
      <c r="B1042074" s="24"/>
      <c r="C1042074" s="24"/>
      <c r="D1042074" s="24"/>
      <c r="E1042074" s="24"/>
      <c r="F1042074" s="24"/>
      <c r="G1042074" s="24"/>
      <c r="H1042074" s="24"/>
      <c r="I1042074" s="24"/>
      <c r="J1042074" s="24"/>
      <c r="K1042074" s="54"/>
    </row>
    <row r="1042075" spans="1:11" s="55" customFormat="1" ht="12.75">
      <c r="A1042075" s="24"/>
      <c r="B1042075" s="24"/>
      <c r="C1042075" s="24"/>
      <c r="D1042075" s="24"/>
      <c r="E1042075" s="24"/>
      <c r="F1042075" s="24"/>
      <c r="G1042075" s="24"/>
      <c r="H1042075" s="24"/>
      <c r="I1042075" s="24"/>
      <c r="J1042075" s="24"/>
      <c r="K1042075" s="54"/>
    </row>
    <row r="1042076" spans="1:11" s="55" customFormat="1" ht="12.75">
      <c r="A1042076" s="24"/>
      <c r="B1042076" s="24"/>
      <c r="C1042076" s="24"/>
      <c r="D1042076" s="24"/>
      <c r="E1042076" s="24"/>
      <c r="F1042076" s="24"/>
      <c r="G1042076" s="24"/>
      <c r="H1042076" s="24"/>
      <c r="I1042076" s="24"/>
      <c r="J1042076" s="24"/>
      <c r="K1042076" s="54"/>
    </row>
    <row r="1042077" spans="1:11" s="55" customFormat="1" ht="12.75">
      <c r="A1042077" s="24"/>
      <c r="B1042077" s="24"/>
      <c r="C1042077" s="24"/>
      <c r="D1042077" s="24"/>
      <c r="E1042077" s="24"/>
      <c r="F1042077" s="24"/>
      <c r="G1042077" s="24"/>
      <c r="H1042077" s="24"/>
      <c r="I1042077" s="24"/>
      <c r="J1042077" s="24"/>
      <c r="K1042077" s="54"/>
    </row>
    <row r="1042078" spans="1:11" s="55" customFormat="1" ht="12.75">
      <c r="A1042078" s="24"/>
      <c r="B1042078" s="24"/>
      <c r="C1042078" s="24"/>
      <c r="D1042078" s="24"/>
      <c r="E1042078" s="24"/>
      <c r="F1042078" s="24"/>
      <c r="G1042078" s="24"/>
      <c r="H1042078" s="24"/>
      <c r="I1042078" s="24"/>
      <c r="J1042078" s="24"/>
      <c r="K1042078" s="54"/>
    </row>
    <row r="1042079" spans="1:11" s="55" customFormat="1" ht="12.75">
      <c r="A1042079" s="24"/>
      <c r="B1042079" s="24"/>
      <c r="C1042079" s="24"/>
      <c r="D1042079" s="24"/>
      <c r="E1042079" s="24"/>
      <c r="F1042079" s="24"/>
      <c r="G1042079" s="24"/>
      <c r="H1042079" s="24"/>
      <c r="I1042079" s="24"/>
      <c r="J1042079" s="24"/>
      <c r="K1042079" s="54"/>
    </row>
    <row r="1042080" spans="1:11" s="55" customFormat="1" ht="12.75">
      <c r="A1042080" s="24"/>
      <c r="B1042080" s="24"/>
      <c r="C1042080" s="24"/>
      <c r="D1042080" s="24"/>
      <c r="E1042080" s="24"/>
      <c r="F1042080" s="24"/>
      <c r="G1042080" s="24"/>
      <c r="H1042080" s="24"/>
      <c r="I1042080" s="24"/>
      <c r="J1042080" s="24"/>
      <c r="K1042080" s="54"/>
    </row>
    <row r="1042081" spans="1:11" s="55" customFormat="1" ht="12.75">
      <c r="A1042081" s="24"/>
      <c r="B1042081" s="24"/>
      <c r="C1042081" s="24"/>
      <c r="D1042081" s="24"/>
      <c r="E1042081" s="24"/>
      <c r="F1042081" s="24"/>
      <c r="G1042081" s="24"/>
      <c r="H1042081" s="24"/>
      <c r="I1042081" s="24"/>
      <c r="J1042081" s="24"/>
      <c r="K1042081" s="54"/>
    </row>
    <row r="1042082" spans="1:11" s="55" customFormat="1" ht="12.75">
      <c r="A1042082" s="24"/>
      <c r="B1042082" s="24"/>
      <c r="C1042082" s="24"/>
      <c r="D1042082" s="24"/>
      <c r="E1042082" s="24"/>
      <c r="F1042082" s="24"/>
      <c r="G1042082" s="24"/>
      <c r="H1042082" s="24"/>
      <c r="I1042082" s="24"/>
      <c r="J1042082" s="24"/>
      <c r="K1042082" s="54"/>
    </row>
    <row r="1042083" spans="1:11" s="55" customFormat="1" ht="12.75">
      <c r="A1042083" s="24"/>
      <c r="B1042083" s="24"/>
      <c r="C1042083" s="24"/>
      <c r="D1042083" s="24"/>
      <c r="E1042083" s="24"/>
      <c r="F1042083" s="24"/>
      <c r="G1042083" s="24"/>
      <c r="H1042083" s="24"/>
      <c r="I1042083" s="24"/>
      <c r="J1042083" s="24"/>
      <c r="K1042083" s="54"/>
    </row>
    <row r="1042084" spans="1:11" s="55" customFormat="1" ht="12.75">
      <c r="A1042084" s="24"/>
      <c r="B1042084" s="24"/>
      <c r="C1042084" s="24"/>
      <c r="D1042084" s="24"/>
      <c r="E1042084" s="24"/>
      <c r="F1042084" s="24"/>
      <c r="G1042084" s="24"/>
      <c r="H1042084" s="24"/>
      <c r="I1042084" s="24"/>
      <c r="J1042084" s="24"/>
      <c r="K1042084" s="54"/>
    </row>
    <row r="1042085" spans="1:11" s="55" customFormat="1" ht="12.75">
      <c r="A1042085" s="24"/>
      <c r="B1042085" s="24"/>
      <c r="C1042085" s="24"/>
      <c r="D1042085" s="24"/>
      <c r="E1042085" s="24"/>
      <c r="F1042085" s="24"/>
      <c r="G1042085" s="24"/>
      <c r="H1042085" s="24"/>
      <c r="I1042085" s="24"/>
      <c r="J1042085" s="24"/>
      <c r="K1042085" s="54"/>
    </row>
    <row r="1042086" spans="1:11" s="55" customFormat="1" ht="12.75">
      <c r="A1042086" s="24"/>
      <c r="B1042086" s="24"/>
      <c r="C1042086" s="24"/>
      <c r="D1042086" s="24"/>
      <c r="E1042086" s="24"/>
      <c r="F1042086" s="24"/>
      <c r="G1042086" s="24"/>
      <c r="H1042086" s="24"/>
      <c r="I1042086" s="24"/>
      <c r="J1042086" s="24"/>
      <c r="K1042086" s="54"/>
    </row>
    <row r="1042087" spans="1:11" s="55" customFormat="1" ht="12.75">
      <c r="A1042087" s="24"/>
      <c r="B1042087" s="24"/>
      <c r="C1042087" s="24"/>
      <c r="D1042087" s="24"/>
      <c r="E1042087" s="24"/>
      <c r="F1042087" s="24"/>
      <c r="G1042087" s="24"/>
      <c r="H1042087" s="24"/>
      <c r="I1042087" s="24"/>
      <c r="J1042087" s="24"/>
      <c r="K1042087" s="54"/>
    </row>
    <row r="1042088" spans="1:11" s="55" customFormat="1" ht="12.75">
      <c r="A1042088" s="24"/>
      <c r="B1042088" s="24"/>
      <c r="C1042088" s="24"/>
      <c r="D1042088" s="24"/>
      <c r="E1042088" s="24"/>
      <c r="F1042088" s="24"/>
      <c r="G1042088" s="24"/>
      <c r="H1042088" s="24"/>
      <c r="I1042088" s="24"/>
      <c r="J1042088" s="24"/>
      <c r="K1042088" s="54"/>
    </row>
    <row r="1042089" spans="1:11" s="55" customFormat="1" ht="12.75">
      <c r="A1042089" s="24"/>
      <c r="B1042089" s="24"/>
      <c r="C1042089" s="24"/>
      <c r="D1042089" s="24"/>
      <c r="E1042089" s="24"/>
      <c r="F1042089" s="24"/>
      <c r="G1042089" s="24"/>
      <c r="H1042089" s="24"/>
      <c r="I1042089" s="24"/>
      <c r="J1042089" s="24"/>
      <c r="K1042089" s="54"/>
    </row>
    <row r="1042090" spans="1:11" s="55" customFormat="1" ht="12.75">
      <c r="A1042090" s="24"/>
      <c r="B1042090" s="24"/>
      <c r="C1042090" s="24"/>
      <c r="D1042090" s="24"/>
      <c r="E1042090" s="24"/>
      <c r="F1042090" s="24"/>
      <c r="G1042090" s="24"/>
      <c r="H1042090" s="24"/>
      <c r="I1042090" s="24"/>
      <c r="J1042090" s="24"/>
      <c r="K1042090" s="54"/>
    </row>
    <row r="1042091" spans="1:11" s="55" customFormat="1" ht="12.75">
      <c r="A1042091" s="24"/>
      <c r="B1042091" s="24"/>
      <c r="C1042091" s="24"/>
      <c r="D1042091" s="24"/>
      <c r="E1042091" s="24"/>
      <c r="F1042091" s="24"/>
      <c r="G1042091" s="24"/>
      <c r="H1042091" s="24"/>
      <c r="I1042091" s="24"/>
      <c r="J1042091" s="24"/>
      <c r="K1042091" s="54"/>
    </row>
    <row r="1042092" spans="1:11" s="55" customFormat="1" ht="12.75">
      <c r="A1042092" s="24"/>
      <c r="B1042092" s="24"/>
      <c r="C1042092" s="24"/>
      <c r="D1042092" s="24"/>
      <c r="E1042092" s="24"/>
      <c r="F1042092" s="24"/>
      <c r="G1042092" s="24"/>
      <c r="H1042092" s="24"/>
      <c r="I1042092" s="24"/>
      <c r="J1042092" s="24"/>
      <c r="K1042092" s="54"/>
    </row>
    <row r="1042093" spans="1:11" s="55" customFormat="1" ht="12.75">
      <c r="A1042093" s="24"/>
      <c r="B1042093" s="24"/>
      <c r="C1042093" s="24"/>
      <c r="D1042093" s="24"/>
      <c r="E1042093" s="24"/>
      <c r="F1042093" s="24"/>
      <c r="G1042093" s="24"/>
      <c r="H1042093" s="24"/>
      <c r="I1042093" s="24"/>
      <c r="J1042093" s="24"/>
      <c r="K1042093" s="54"/>
    </row>
    <row r="1042094" spans="1:11" s="55" customFormat="1" ht="12.75">
      <c r="A1042094" s="24"/>
      <c r="B1042094" s="24"/>
      <c r="C1042094" s="24"/>
      <c r="D1042094" s="24"/>
      <c r="E1042094" s="24"/>
      <c r="F1042094" s="24"/>
      <c r="G1042094" s="24"/>
      <c r="H1042094" s="24"/>
      <c r="I1042094" s="24"/>
      <c r="J1042094" s="24"/>
      <c r="K1042094" s="54"/>
    </row>
    <row r="1042095" spans="1:11" s="55" customFormat="1" ht="12.75">
      <c r="A1042095" s="24"/>
      <c r="B1042095" s="24"/>
      <c r="C1042095" s="24"/>
      <c r="D1042095" s="24"/>
      <c r="E1042095" s="24"/>
      <c r="F1042095" s="24"/>
      <c r="G1042095" s="24"/>
      <c r="H1042095" s="24"/>
      <c r="I1042095" s="24"/>
      <c r="J1042095" s="24"/>
      <c r="K1042095" s="54"/>
    </row>
    <row r="1042096" spans="1:11" s="55" customFormat="1" ht="12.75">
      <c r="A1042096" s="24"/>
      <c r="B1042096" s="24"/>
      <c r="C1042096" s="24"/>
      <c r="D1042096" s="24"/>
      <c r="E1042096" s="24"/>
      <c r="F1042096" s="24"/>
      <c r="G1042096" s="24"/>
      <c r="H1042096" s="24"/>
      <c r="I1042096" s="24"/>
      <c r="J1042096" s="24"/>
      <c r="K1042096" s="54"/>
    </row>
    <row r="1042097" spans="1:11" s="55" customFormat="1" ht="12.75">
      <c r="A1042097" s="24"/>
      <c r="B1042097" s="24"/>
      <c r="C1042097" s="24"/>
      <c r="D1042097" s="24"/>
      <c r="E1042097" s="24"/>
      <c r="F1042097" s="24"/>
      <c r="G1042097" s="24"/>
      <c r="H1042097" s="24"/>
      <c r="I1042097" s="24"/>
      <c r="J1042097" s="24"/>
      <c r="K1042097" s="54"/>
    </row>
    <row r="1042098" spans="1:11" s="55" customFormat="1" ht="12.75">
      <c r="A1042098" s="24"/>
      <c r="B1042098" s="24"/>
      <c r="C1042098" s="24"/>
      <c r="D1042098" s="24"/>
      <c r="E1042098" s="24"/>
      <c r="F1042098" s="24"/>
      <c r="G1042098" s="24"/>
      <c r="H1042098" s="24"/>
      <c r="I1042098" s="24"/>
      <c r="J1042098" s="24"/>
      <c r="K1042098" s="54"/>
    </row>
    <row r="1042099" spans="1:11" s="55" customFormat="1" ht="12.75">
      <c r="A1042099" s="24"/>
      <c r="B1042099" s="24"/>
      <c r="C1042099" s="24"/>
      <c r="D1042099" s="24"/>
      <c r="E1042099" s="24"/>
      <c r="F1042099" s="24"/>
      <c r="G1042099" s="24"/>
      <c r="H1042099" s="24"/>
      <c r="I1042099" s="24"/>
      <c r="J1042099" s="24"/>
      <c r="K1042099" s="54"/>
    </row>
    <row r="1042100" spans="1:11" s="55" customFormat="1" ht="12.75">
      <c r="A1042100" s="24"/>
      <c r="B1042100" s="24"/>
      <c r="C1042100" s="24"/>
      <c r="D1042100" s="24"/>
      <c r="E1042100" s="24"/>
      <c r="F1042100" s="24"/>
      <c r="G1042100" s="24"/>
      <c r="H1042100" s="24"/>
      <c r="I1042100" s="24"/>
      <c r="J1042100" s="24"/>
      <c r="K1042100" s="54"/>
    </row>
    <row r="1042101" spans="1:11" s="55" customFormat="1" ht="12.75">
      <c r="A1042101" s="24"/>
      <c r="B1042101" s="24"/>
      <c r="C1042101" s="24"/>
      <c r="D1042101" s="24"/>
      <c r="E1042101" s="24"/>
      <c r="F1042101" s="24"/>
      <c r="G1042101" s="24"/>
      <c r="H1042101" s="24"/>
      <c r="I1042101" s="24"/>
      <c r="J1042101" s="24"/>
      <c r="K1042101" s="54"/>
    </row>
    <row r="1042102" spans="1:11" s="55" customFormat="1" ht="12.75">
      <c r="A1042102" s="24"/>
      <c r="B1042102" s="24"/>
      <c r="C1042102" s="24"/>
      <c r="D1042102" s="24"/>
      <c r="E1042102" s="24"/>
      <c r="F1042102" s="24"/>
      <c r="G1042102" s="24"/>
      <c r="H1042102" s="24"/>
      <c r="I1042102" s="24"/>
      <c r="J1042102" s="24"/>
      <c r="K1042102" s="54"/>
    </row>
    <row r="1042103" spans="1:11" s="55" customFormat="1" ht="12.75">
      <c r="A1042103" s="24"/>
      <c r="B1042103" s="24"/>
      <c r="C1042103" s="24"/>
      <c r="D1042103" s="24"/>
      <c r="E1042103" s="24"/>
      <c r="F1042103" s="24"/>
      <c r="G1042103" s="24"/>
      <c r="H1042103" s="24"/>
      <c r="I1042103" s="24"/>
      <c r="J1042103" s="24"/>
      <c r="K1042103" s="54"/>
    </row>
    <row r="1042104" spans="1:11" s="55" customFormat="1" ht="12.75">
      <c r="A1042104" s="24"/>
      <c r="B1042104" s="24"/>
      <c r="C1042104" s="24"/>
      <c r="D1042104" s="24"/>
      <c r="E1042104" s="24"/>
      <c r="F1042104" s="24"/>
      <c r="G1042104" s="24"/>
      <c r="H1042104" s="24"/>
      <c r="I1042104" s="24"/>
      <c r="J1042104" s="24"/>
      <c r="K1042104" s="54"/>
    </row>
    <row r="1042105" spans="1:11" s="55" customFormat="1" ht="12.75">
      <c r="A1042105" s="24"/>
      <c r="B1042105" s="24"/>
      <c r="C1042105" s="24"/>
      <c r="D1042105" s="24"/>
      <c r="E1042105" s="24"/>
      <c r="F1042105" s="24"/>
      <c r="G1042105" s="24"/>
      <c r="H1042105" s="24"/>
      <c r="I1042105" s="24"/>
      <c r="J1042105" s="24"/>
      <c r="K1042105" s="54"/>
    </row>
    <row r="1042106" spans="1:11" s="55" customFormat="1" ht="12.75">
      <c r="A1042106" s="24"/>
      <c r="B1042106" s="24"/>
      <c r="C1042106" s="24"/>
      <c r="D1042106" s="24"/>
      <c r="E1042106" s="24"/>
      <c r="F1042106" s="24"/>
      <c r="G1042106" s="24"/>
      <c r="H1042106" s="24"/>
      <c r="I1042106" s="24"/>
      <c r="J1042106" s="24"/>
      <c r="K1042106" s="54"/>
    </row>
    <row r="1042107" spans="1:11" s="55" customFormat="1" ht="12.75">
      <c r="A1042107" s="24"/>
      <c r="B1042107" s="24"/>
      <c r="C1042107" s="24"/>
      <c r="D1042107" s="24"/>
      <c r="E1042107" s="24"/>
      <c r="F1042107" s="24"/>
      <c r="G1042107" s="24"/>
      <c r="H1042107" s="24"/>
      <c r="I1042107" s="24"/>
      <c r="J1042107" s="24"/>
      <c r="K1042107" s="54"/>
    </row>
    <row r="1042108" spans="1:11" s="55" customFormat="1" ht="12.75">
      <c r="A1042108" s="24"/>
      <c r="B1042108" s="24"/>
      <c r="C1042108" s="24"/>
      <c r="D1042108" s="24"/>
      <c r="E1042108" s="24"/>
      <c r="F1042108" s="24"/>
      <c r="G1042108" s="24"/>
      <c r="H1042108" s="24"/>
      <c r="I1042108" s="24"/>
      <c r="J1042108" s="24"/>
      <c r="K1042108" s="54"/>
    </row>
    <row r="1042109" spans="1:11" s="55" customFormat="1" ht="12.75">
      <c r="A1042109" s="24"/>
      <c r="B1042109" s="24"/>
      <c r="C1042109" s="24"/>
      <c r="D1042109" s="24"/>
      <c r="E1042109" s="24"/>
      <c r="F1042109" s="24"/>
      <c r="G1042109" s="24"/>
      <c r="H1042109" s="24"/>
      <c r="I1042109" s="24"/>
      <c r="J1042109" s="24"/>
      <c r="K1042109" s="54"/>
    </row>
    <row r="1042110" spans="1:11" s="55" customFormat="1" ht="12.75">
      <c r="A1042110" s="24"/>
      <c r="B1042110" s="24"/>
      <c r="C1042110" s="24"/>
      <c r="D1042110" s="24"/>
      <c r="E1042110" s="24"/>
      <c r="F1042110" s="24"/>
      <c r="G1042110" s="24"/>
      <c r="H1042110" s="24"/>
      <c r="I1042110" s="24"/>
      <c r="J1042110" s="24"/>
      <c r="K1042110" s="54"/>
    </row>
    <row r="1042111" spans="1:11" s="55" customFormat="1" ht="12.75">
      <c r="A1042111" s="24"/>
      <c r="B1042111" s="24"/>
      <c r="C1042111" s="24"/>
      <c r="D1042111" s="24"/>
      <c r="E1042111" s="24"/>
      <c r="F1042111" s="24"/>
      <c r="G1042111" s="24"/>
      <c r="H1042111" s="24"/>
      <c r="I1042111" s="24"/>
      <c r="J1042111" s="24"/>
      <c r="K1042111" s="54"/>
    </row>
    <row r="1042112" spans="1:11" s="55" customFormat="1" ht="12.75">
      <c r="A1042112" s="24"/>
      <c r="B1042112" s="24"/>
      <c r="C1042112" s="24"/>
      <c r="D1042112" s="24"/>
      <c r="E1042112" s="24"/>
      <c r="F1042112" s="24"/>
      <c r="G1042112" s="24"/>
      <c r="H1042112" s="24"/>
      <c r="I1042112" s="24"/>
      <c r="J1042112" s="24"/>
      <c r="K1042112" s="54"/>
    </row>
    <row r="1042113" spans="1:11" s="55" customFormat="1" ht="12.75">
      <c r="A1042113" s="24"/>
      <c r="B1042113" s="24"/>
      <c r="C1042113" s="24"/>
      <c r="D1042113" s="24"/>
      <c r="E1042113" s="24"/>
      <c r="F1042113" s="24"/>
      <c r="G1042113" s="24"/>
      <c r="H1042113" s="24"/>
      <c r="I1042113" s="24"/>
      <c r="J1042113" s="24"/>
      <c r="K1042113" s="54"/>
    </row>
    <row r="1042114" spans="1:11" s="55" customFormat="1" ht="12.75">
      <c r="A1042114" s="24"/>
      <c r="B1042114" s="24"/>
      <c r="C1042114" s="24"/>
      <c r="D1042114" s="24"/>
      <c r="E1042114" s="24"/>
      <c r="F1042114" s="24"/>
      <c r="G1042114" s="24"/>
      <c r="H1042114" s="24"/>
      <c r="I1042114" s="24"/>
      <c r="J1042114" s="24"/>
      <c r="K1042114" s="54"/>
    </row>
    <row r="1042115" spans="1:11" s="55" customFormat="1" ht="12.75">
      <c r="A1042115" s="24"/>
      <c r="B1042115" s="24"/>
      <c r="C1042115" s="24"/>
      <c r="D1042115" s="24"/>
      <c r="E1042115" s="24"/>
      <c r="F1042115" s="24"/>
      <c r="G1042115" s="24"/>
      <c r="H1042115" s="24"/>
      <c r="I1042115" s="24"/>
      <c r="J1042115" s="24"/>
      <c r="K1042115" s="54"/>
    </row>
    <row r="1042116" spans="1:11" s="55" customFormat="1" ht="12.75">
      <c r="A1042116" s="24"/>
      <c r="B1042116" s="24"/>
      <c r="C1042116" s="24"/>
      <c r="D1042116" s="24"/>
      <c r="E1042116" s="24"/>
      <c r="F1042116" s="24"/>
      <c r="G1042116" s="24"/>
      <c r="H1042116" s="24"/>
      <c r="I1042116" s="24"/>
      <c r="J1042116" s="24"/>
      <c r="K1042116" s="54"/>
    </row>
    <row r="1042117" spans="1:11" s="55" customFormat="1" ht="12.75">
      <c r="A1042117" s="24"/>
      <c r="B1042117" s="24"/>
      <c r="C1042117" s="24"/>
      <c r="D1042117" s="24"/>
      <c r="E1042117" s="24"/>
      <c r="F1042117" s="24"/>
      <c r="G1042117" s="24"/>
      <c r="H1042117" s="24"/>
      <c r="I1042117" s="24"/>
      <c r="J1042117" s="24"/>
      <c r="K1042117" s="54"/>
    </row>
    <row r="1042118" spans="1:11" s="55" customFormat="1" ht="12.75">
      <c r="A1042118" s="24"/>
      <c r="B1042118" s="24"/>
      <c r="C1042118" s="24"/>
      <c r="D1042118" s="24"/>
      <c r="E1042118" s="24"/>
      <c r="F1042118" s="24"/>
      <c r="G1042118" s="24"/>
      <c r="H1042118" s="24"/>
      <c r="I1042118" s="24"/>
      <c r="J1042118" s="24"/>
      <c r="K1042118" s="54"/>
    </row>
    <row r="1042119" spans="1:11" s="55" customFormat="1" ht="12.75">
      <c r="A1042119" s="24"/>
      <c r="B1042119" s="24"/>
      <c r="C1042119" s="24"/>
      <c r="D1042119" s="24"/>
      <c r="E1042119" s="24"/>
      <c r="F1042119" s="24"/>
      <c r="G1042119" s="24"/>
      <c r="H1042119" s="24"/>
      <c r="I1042119" s="24"/>
      <c r="J1042119" s="24"/>
      <c r="K1042119" s="54"/>
    </row>
    <row r="1042120" spans="1:11" s="55" customFormat="1" ht="12.75">
      <c r="A1042120" s="24"/>
      <c r="B1042120" s="24"/>
      <c r="C1042120" s="24"/>
      <c r="D1042120" s="24"/>
      <c r="E1042120" s="24"/>
      <c r="F1042120" s="24"/>
      <c r="G1042120" s="24"/>
      <c r="H1042120" s="24"/>
      <c r="I1042120" s="24"/>
      <c r="J1042120" s="24"/>
      <c r="K1042120" s="54"/>
    </row>
    <row r="1042121" spans="1:11" s="55" customFormat="1" ht="12.75">
      <c r="A1042121" s="24"/>
      <c r="B1042121" s="24"/>
      <c r="C1042121" s="24"/>
      <c r="D1042121" s="24"/>
      <c r="E1042121" s="24"/>
      <c r="F1042121" s="24"/>
      <c r="G1042121" s="24"/>
      <c r="H1042121" s="24"/>
      <c r="I1042121" s="24"/>
      <c r="J1042121" s="24"/>
      <c r="K1042121" s="54"/>
    </row>
    <row r="1042122" spans="1:11" s="55" customFormat="1" ht="12.75">
      <c r="A1042122" s="24"/>
      <c r="B1042122" s="24"/>
      <c r="C1042122" s="24"/>
      <c r="D1042122" s="24"/>
      <c r="E1042122" s="24"/>
      <c r="F1042122" s="24"/>
      <c r="G1042122" s="24"/>
      <c r="H1042122" s="24"/>
      <c r="I1042122" s="24"/>
      <c r="J1042122" s="24"/>
      <c r="K1042122" s="54"/>
    </row>
    <row r="1042123" spans="1:11" s="55" customFormat="1" ht="12.75">
      <c r="A1042123" s="24"/>
      <c r="B1042123" s="24"/>
      <c r="C1042123" s="24"/>
      <c r="D1042123" s="24"/>
      <c r="E1042123" s="24"/>
      <c r="F1042123" s="24"/>
      <c r="G1042123" s="24"/>
      <c r="H1042123" s="24"/>
      <c r="I1042123" s="24"/>
      <c r="J1042123" s="24"/>
      <c r="K1042123" s="54"/>
    </row>
    <row r="1042124" spans="1:11" s="55" customFormat="1" ht="12.75">
      <c r="A1042124" s="24"/>
      <c r="B1042124" s="24"/>
      <c r="C1042124" s="24"/>
      <c r="D1042124" s="24"/>
      <c r="E1042124" s="24"/>
      <c r="F1042124" s="24"/>
      <c r="G1042124" s="24"/>
      <c r="H1042124" s="24"/>
      <c r="I1042124" s="24"/>
      <c r="J1042124" s="24"/>
      <c r="K1042124" s="54"/>
    </row>
    <row r="1042125" spans="1:11" s="55" customFormat="1" ht="12.75">
      <c r="A1042125" s="24"/>
      <c r="B1042125" s="24"/>
      <c r="C1042125" s="24"/>
      <c r="D1042125" s="24"/>
      <c r="E1042125" s="24"/>
      <c r="F1042125" s="24"/>
      <c r="G1042125" s="24"/>
      <c r="H1042125" s="24"/>
      <c r="I1042125" s="24"/>
      <c r="J1042125" s="24"/>
      <c r="K1042125" s="54"/>
    </row>
    <row r="1042126" spans="1:11" s="55" customFormat="1" ht="12.75">
      <c r="A1042126" s="24"/>
      <c r="B1042126" s="24"/>
      <c r="C1042126" s="24"/>
      <c r="D1042126" s="24"/>
      <c r="E1042126" s="24"/>
      <c r="F1042126" s="24"/>
      <c r="G1042126" s="24"/>
      <c r="H1042126" s="24"/>
      <c r="I1042126" s="24"/>
      <c r="J1042126" s="24"/>
      <c r="K1042126" s="54"/>
    </row>
    <row r="1042127" spans="1:11" s="55" customFormat="1" ht="12.75">
      <c r="A1042127" s="24"/>
      <c r="B1042127" s="24"/>
      <c r="C1042127" s="24"/>
      <c r="D1042127" s="24"/>
      <c r="E1042127" s="24"/>
      <c r="F1042127" s="24"/>
      <c r="G1042127" s="24"/>
      <c r="H1042127" s="24"/>
      <c r="I1042127" s="24"/>
      <c r="J1042127" s="24"/>
      <c r="K1042127" s="54"/>
    </row>
    <row r="1042128" spans="1:11" s="55" customFormat="1" ht="12.75">
      <c r="A1042128" s="24"/>
      <c r="B1042128" s="24"/>
      <c r="C1042128" s="24"/>
      <c r="D1042128" s="24"/>
      <c r="E1042128" s="24"/>
      <c r="F1042128" s="24"/>
      <c r="G1042128" s="24"/>
      <c r="H1042128" s="24"/>
      <c r="I1042128" s="24"/>
      <c r="J1042128" s="24"/>
      <c r="K1042128" s="54"/>
    </row>
    <row r="1042129" spans="1:11" s="55" customFormat="1" ht="12.75">
      <c r="A1042129" s="24"/>
      <c r="B1042129" s="24"/>
      <c r="C1042129" s="24"/>
      <c r="D1042129" s="24"/>
      <c r="E1042129" s="24"/>
      <c r="F1042129" s="24"/>
      <c r="G1042129" s="24"/>
      <c r="H1042129" s="24"/>
      <c r="I1042129" s="24"/>
      <c r="J1042129" s="24"/>
      <c r="K1042129" s="54"/>
    </row>
    <row r="1042130" spans="1:11" s="55" customFormat="1" ht="12.75">
      <c r="A1042130" s="24"/>
      <c r="B1042130" s="24"/>
      <c r="C1042130" s="24"/>
      <c r="D1042130" s="24"/>
      <c r="E1042130" s="24"/>
      <c r="F1042130" s="24"/>
      <c r="G1042130" s="24"/>
      <c r="H1042130" s="24"/>
      <c r="I1042130" s="24"/>
      <c r="J1042130" s="24"/>
      <c r="K1042130" s="54"/>
    </row>
    <row r="1042131" spans="1:11" s="55" customFormat="1" ht="12.75">
      <c r="A1042131" s="24"/>
      <c r="B1042131" s="24"/>
      <c r="C1042131" s="24"/>
      <c r="D1042131" s="24"/>
      <c r="E1042131" s="24"/>
      <c r="F1042131" s="24"/>
      <c r="G1042131" s="24"/>
      <c r="H1042131" s="24"/>
      <c r="I1042131" s="24"/>
      <c r="J1042131" s="24"/>
      <c r="K1042131" s="54"/>
    </row>
    <row r="1042132" spans="1:11" s="55" customFormat="1" ht="12.75">
      <c r="A1042132" s="24"/>
      <c r="B1042132" s="24"/>
      <c r="C1042132" s="24"/>
      <c r="D1042132" s="24"/>
      <c r="E1042132" s="24"/>
      <c r="F1042132" s="24"/>
      <c r="G1042132" s="24"/>
      <c r="H1042132" s="24"/>
      <c r="I1042132" s="24"/>
      <c r="J1042132" s="24"/>
      <c r="K1042132" s="54"/>
    </row>
    <row r="1042133" spans="1:11" s="55" customFormat="1" ht="12.75">
      <c r="A1042133" s="24"/>
      <c r="B1042133" s="24"/>
      <c r="C1042133" s="24"/>
      <c r="D1042133" s="24"/>
      <c r="E1042133" s="24"/>
      <c r="F1042133" s="24"/>
      <c r="G1042133" s="24"/>
      <c r="H1042133" s="24"/>
      <c r="I1042133" s="24"/>
      <c r="J1042133" s="24"/>
      <c r="K1042133" s="54"/>
    </row>
    <row r="1042134" spans="1:11" s="55" customFormat="1" ht="12.75">
      <c r="A1042134" s="24"/>
      <c r="B1042134" s="24"/>
      <c r="C1042134" s="24"/>
      <c r="D1042134" s="24"/>
      <c r="E1042134" s="24"/>
      <c r="F1042134" s="24"/>
      <c r="G1042134" s="24"/>
      <c r="H1042134" s="24"/>
      <c r="I1042134" s="24"/>
      <c r="J1042134" s="24"/>
      <c r="K1042134" s="54"/>
    </row>
    <row r="1042135" spans="1:11" s="55" customFormat="1" ht="12.75">
      <c r="A1042135" s="24"/>
      <c r="B1042135" s="24"/>
      <c r="C1042135" s="24"/>
      <c r="D1042135" s="24"/>
      <c r="E1042135" s="24"/>
      <c r="F1042135" s="24"/>
      <c r="G1042135" s="24"/>
      <c r="H1042135" s="24"/>
      <c r="I1042135" s="24"/>
      <c r="J1042135" s="24"/>
      <c r="K1042135" s="54"/>
    </row>
    <row r="1042136" spans="1:11" s="55" customFormat="1" ht="12.75">
      <c r="A1042136" s="24"/>
      <c r="B1042136" s="24"/>
      <c r="C1042136" s="24"/>
      <c r="D1042136" s="24"/>
      <c r="E1042136" s="24"/>
      <c r="F1042136" s="24"/>
      <c r="G1042136" s="24"/>
      <c r="H1042136" s="24"/>
      <c r="I1042136" s="24"/>
      <c r="J1042136" s="24"/>
      <c r="K1042136" s="54"/>
    </row>
    <row r="1042137" spans="1:11" s="55" customFormat="1" ht="12.75">
      <c r="A1042137" s="24"/>
      <c r="B1042137" s="24"/>
      <c r="C1042137" s="24"/>
      <c r="D1042137" s="24"/>
      <c r="E1042137" s="24"/>
      <c r="F1042137" s="24"/>
      <c r="G1042137" s="24"/>
      <c r="H1042137" s="24"/>
      <c r="I1042137" s="24"/>
      <c r="J1042137" s="24"/>
      <c r="K1042137" s="54"/>
    </row>
    <row r="1042138" spans="1:11" s="55" customFormat="1" ht="12.75">
      <c r="A1042138" s="24"/>
      <c r="B1042138" s="24"/>
      <c r="C1042138" s="24"/>
      <c r="D1042138" s="24"/>
      <c r="E1042138" s="24"/>
      <c r="F1042138" s="24"/>
      <c r="G1042138" s="24"/>
      <c r="H1042138" s="24"/>
      <c r="I1042138" s="24"/>
      <c r="J1042138" s="24"/>
      <c r="K1042138" s="54"/>
    </row>
    <row r="1042139" spans="1:11" s="55" customFormat="1" ht="12.75">
      <c r="A1042139" s="24"/>
      <c r="B1042139" s="24"/>
      <c r="C1042139" s="24"/>
      <c r="D1042139" s="24"/>
      <c r="E1042139" s="24"/>
      <c r="F1042139" s="24"/>
      <c r="G1042139" s="24"/>
      <c r="H1042139" s="24"/>
      <c r="I1042139" s="24"/>
      <c r="J1042139" s="24"/>
      <c r="K1042139" s="54"/>
    </row>
    <row r="1042140" spans="1:11" s="55" customFormat="1" ht="12.75">
      <c r="A1042140" s="24"/>
      <c r="B1042140" s="24"/>
      <c r="C1042140" s="24"/>
      <c r="D1042140" s="24"/>
      <c r="E1042140" s="24"/>
      <c r="F1042140" s="24"/>
      <c r="G1042140" s="24"/>
      <c r="H1042140" s="24"/>
      <c r="I1042140" s="24"/>
      <c r="J1042140" s="24"/>
      <c r="K1042140" s="54"/>
    </row>
    <row r="1042141" spans="1:11" s="55" customFormat="1" ht="12.75">
      <c r="A1042141" s="24"/>
      <c r="B1042141" s="24"/>
      <c r="C1042141" s="24"/>
      <c r="D1042141" s="24"/>
      <c r="E1042141" s="24"/>
      <c r="F1042141" s="24"/>
      <c r="G1042141" s="24"/>
      <c r="H1042141" s="24"/>
      <c r="I1042141" s="24"/>
      <c r="J1042141" s="24"/>
      <c r="K1042141" s="54"/>
    </row>
    <row r="1042142" spans="1:11" s="55" customFormat="1" ht="12.75">
      <c r="A1042142" s="24"/>
      <c r="B1042142" s="24"/>
      <c r="C1042142" s="24"/>
      <c r="D1042142" s="24"/>
      <c r="E1042142" s="24"/>
      <c r="F1042142" s="24"/>
      <c r="G1042142" s="24"/>
      <c r="H1042142" s="24"/>
      <c r="I1042142" s="24"/>
      <c r="J1042142" s="24"/>
      <c r="K1042142" s="54"/>
    </row>
    <row r="1042143" spans="1:11" s="55" customFormat="1" ht="12.75">
      <c r="A1042143" s="24"/>
      <c r="B1042143" s="24"/>
      <c r="C1042143" s="24"/>
      <c r="D1042143" s="24"/>
      <c r="E1042143" s="24"/>
      <c r="F1042143" s="24"/>
      <c r="G1042143" s="24"/>
      <c r="H1042143" s="24"/>
      <c r="I1042143" s="24"/>
      <c r="J1042143" s="24"/>
      <c r="K1042143" s="54"/>
    </row>
    <row r="1042144" spans="1:11" s="55" customFormat="1" ht="12.75">
      <c r="A1042144" s="24"/>
      <c r="B1042144" s="24"/>
      <c r="C1042144" s="24"/>
      <c r="D1042144" s="24"/>
      <c r="E1042144" s="24"/>
      <c r="F1042144" s="24"/>
      <c r="G1042144" s="24"/>
      <c r="H1042144" s="24"/>
      <c r="I1042144" s="24"/>
      <c r="J1042144" s="24"/>
      <c r="K1042144" s="54"/>
    </row>
    <row r="1042145" spans="1:11" s="55" customFormat="1" ht="12.75">
      <c r="A1042145" s="24"/>
      <c r="B1042145" s="24"/>
      <c r="C1042145" s="24"/>
      <c r="D1042145" s="24"/>
      <c r="E1042145" s="24"/>
      <c r="F1042145" s="24"/>
      <c r="G1042145" s="24"/>
      <c r="H1042145" s="24"/>
      <c r="I1042145" s="24"/>
      <c r="J1042145" s="24"/>
      <c r="K1042145" s="54"/>
    </row>
    <row r="1042146" spans="1:11" s="55" customFormat="1" ht="12.75">
      <c r="A1042146" s="24"/>
      <c r="B1042146" s="24"/>
      <c r="C1042146" s="24"/>
      <c r="D1042146" s="24"/>
      <c r="E1042146" s="24"/>
      <c r="F1042146" s="24"/>
      <c r="G1042146" s="24"/>
      <c r="H1042146" s="24"/>
      <c r="I1042146" s="24"/>
      <c r="J1042146" s="24"/>
      <c r="K1042146" s="54"/>
    </row>
    <row r="1042147" spans="1:11" s="55" customFormat="1" ht="12.75">
      <c r="A1042147" s="24"/>
      <c r="B1042147" s="24"/>
      <c r="C1042147" s="24"/>
      <c r="D1042147" s="24"/>
      <c r="E1042147" s="24"/>
      <c r="F1042147" s="24"/>
      <c r="G1042147" s="24"/>
      <c r="H1042147" s="24"/>
      <c r="I1042147" s="24"/>
      <c r="J1042147" s="24"/>
      <c r="K1042147" s="54"/>
    </row>
    <row r="1042148" spans="1:11" s="55" customFormat="1" ht="12.75">
      <c r="A1042148" s="24"/>
      <c r="B1042148" s="24"/>
      <c r="C1042148" s="24"/>
      <c r="D1042148" s="24"/>
      <c r="E1042148" s="24"/>
      <c r="F1042148" s="24"/>
      <c r="G1042148" s="24"/>
      <c r="H1042148" s="24"/>
      <c r="I1042148" s="24"/>
      <c r="J1042148" s="24"/>
      <c r="K1042148" s="54"/>
    </row>
    <row r="1042149" spans="1:11" s="55" customFormat="1" ht="12.75">
      <c r="A1042149" s="24"/>
      <c r="B1042149" s="24"/>
      <c r="C1042149" s="24"/>
      <c r="D1042149" s="24"/>
      <c r="E1042149" s="24"/>
      <c r="F1042149" s="24"/>
      <c r="G1042149" s="24"/>
      <c r="H1042149" s="24"/>
      <c r="I1042149" s="24"/>
      <c r="J1042149" s="24"/>
      <c r="K1042149" s="54"/>
    </row>
    <row r="1042150" spans="1:11" s="55" customFormat="1" ht="12.75">
      <c r="A1042150" s="24"/>
      <c r="B1042150" s="24"/>
      <c r="C1042150" s="24"/>
      <c r="D1042150" s="24"/>
      <c r="E1042150" s="24"/>
      <c r="F1042150" s="24"/>
      <c r="G1042150" s="24"/>
      <c r="H1042150" s="24"/>
      <c r="I1042150" s="24"/>
      <c r="J1042150" s="24"/>
      <c r="K1042150" s="54"/>
    </row>
    <row r="1042151" spans="1:11" s="55" customFormat="1" ht="12.75">
      <c r="A1042151" s="24"/>
      <c r="B1042151" s="24"/>
      <c r="C1042151" s="24"/>
      <c r="D1042151" s="24"/>
      <c r="E1042151" s="24"/>
      <c r="F1042151" s="24"/>
      <c r="G1042151" s="24"/>
      <c r="H1042151" s="24"/>
      <c r="I1042151" s="24"/>
      <c r="J1042151" s="24"/>
      <c r="K1042151" s="54"/>
    </row>
    <row r="1042152" spans="1:11" s="55" customFormat="1" ht="12.75">
      <c r="A1042152" s="24"/>
      <c r="B1042152" s="24"/>
      <c r="C1042152" s="24"/>
      <c r="D1042152" s="24"/>
      <c r="E1042152" s="24"/>
      <c r="F1042152" s="24"/>
      <c r="G1042152" s="24"/>
      <c r="H1042152" s="24"/>
      <c r="I1042152" s="24"/>
      <c r="J1042152" s="24"/>
      <c r="K1042152" s="54"/>
    </row>
    <row r="1042153" spans="1:11" s="55" customFormat="1" ht="12.75">
      <c r="A1042153" s="24"/>
      <c r="B1042153" s="24"/>
      <c r="C1042153" s="24"/>
      <c r="D1042153" s="24"/>
      <c r="E1042153" s="24"/>
      <c r="F1042153" s="24"/>
      <c r="G1042153" s="24"/>
      <c r="H1042153" s="24"/>
      <c r="I1042153" s="24"/>
      <c r="J1042153" s="24"/>
      <c r="K1042153" s="54"/>
    </row>
    <row r="1042154" spans="1:11" s="55" customFormat="1" ht="12.75">
      <c r="A1042154" s="24"/>
      <c r="B1042154" s="24"/>
      <c r="C1042154" s="24"/>
      <c r="D1042154" s="24"/>
      <c r="E1042154" s="24"/>
      <c r="F1042154" s="24"/>
      <c r="G1042154" s="24"/>
      <c r="H1042154" s="24"/>
      <c r="I1042154" s="24"/>
      <c r="J1042154" s="24"/>
      <c r="K1042154" s="54"/>
    </row>
    <row r="1042155" spans="1:11" s="55" customFormat="1" ht="12.75">
      <c r="A1042155" s="24"/>
      <c r="B1042155" s="24"/>
      <c r="C1042155" s="24"/>
      <c r="D1042155" s="24"/>
      <c r="E1042155" s="24"/>
      <c r="F1042155" s="24"/>
      <c r="G1042155" s="24"/>
      <c r="H1042155" s="24"/>
      <c r="I1042155" s="24"/>
      <c r="J1042155" s="24"/>
      <c r="K1042155" s="54"/>
    </row>
    <row r="1042156" spans="1:11" s="55" customFormat="1" ht="12.75">
      <c r="A1042156" s="24"/>
      <c r="B1042156" s="24"/>
      <c r="C1042156" s="24"/>
      <c r="D1042156" s="24"/>
      <c r="E1042156" s="24"/>
      <c r="F1042156" s="24"/>
      <c r="G1042156" s="24"/>
      <c r="H1042156" s="24"/>
      <c r="I1042156" s="24"/>
      <c r="J1042156" s="24"/>
      <c r="K1042156" s="54"/>
    </row>
    <row r="1042157" spans="1:11" s="55" customFormat="1" ht="12.75">
      <c r="A1042157" s="24"/>
      <c r="B1042157" s="24"/>
      <c r="C1042157" s="24"/>
      <c r="D1042157" s="24"/>
      <c r="E1042157" s="24"/>
      <c r="F1042157" s="24"/>
      <c r="G1042157" s="24"/>
      <c r="H1042157" s="24"/>
      <c r="I1042157" s="24"/>
      <c r="J1042157" s="24"/>
      <c r="K1042157" s="54"/>
    </row>
    <row r="1042158" spans="1:11" s="55" customFormat="1" ht="12.75">
      <c r="A1042158" s="24"/>
      <c r="B1042158" s="24"/>
      <c r="C1042158" s="24"/>
      <c r="D1042158" s="24"/>
      <c r="E1042158" s="24"/>
      <c r="F1042158" s="24"/>
      <c r="G1042158" s="24"/>
      <c r="H1042158" s="24"/>
      <c r="I1042158" s="24"/>
      <c r="J1042158" s="24"/>
      <c r="K1042158" s="54"/>
    </row>
    <row r="1042159" spans="1:11" s="55" customFormat="1" ht="12.75">
      <c r="A1042159" s="24"/>
      <c r="B1042159" s="24"/>
      <c r="C1042159" s="24"/>
      <c r="D1042159" s="24"/>
      <c r="E1042159" s="24"/>
      <c r="F1042159" s="24"/>
      <c r="G1042159" s="24"/>
      <c r="H1042159" s="24"/>
      <c r="I1042159" s="24"/>
      <c r="J1042159" s="24"/>
      <c r="K1042159" s="54"/>
    </row>
    <row r="1042160" spans="1:11" s="55" customFormat="1" ht="12.75">
      <c r="A1042160" s="24"/>
      <c r="B1042160" s="24"/>
      <c r="C1042160" s="24"/>
      <c r="D1042160" s="24"/>
      <c r="E1042160" s="24"/>
      <c r="F1042160" s="24"/>
      <c r="G1042160" s="24"/>
      <c r="H1042160" s="24"/>
      <c r="I1042160" s="24"/>
      <c r="J1042160" s="24"/>
      <c r="K1042160" s="54"/>
    </row>
    <row r="1042161" spans="1:11" s="55" customFormat="1" ht="12.75">
      <c r="A1042161" s="24"/>
      <c r="B1042161" s="24"/>
      <c r="C1042161" s="24"/>
      <c r="D1042161" s="24"/>
      <c r="E1042161" s="24"/>
      <c r="F1042161" s="24"/>
      <c r="G1042161" s="24"/>
      <c r="H1042161" s="24"/>
      <c r="I1042161" s="24"/>
      <c r="J1042161" s="24"/>
      <c r="K1042161" s="54"/>
    </row>
    <row r="1042162" spans="1:11" s="55" customFormat="1" ht="12.75">
      <c r="A1042162" s="24"/>
      <c r="B1042162" s="24"/>
      <c r="C1042162" s="24"/>
      <c r="D1042162" s="24"/>
      <c r="E1042162" s="24"/>
      <c r="F1042162" s="24"/>
      <c r="G1042162" s="24"/>
      <c r="H1042162" s="24"/>
      <c r="I1042162" s="24"/>
      <c r="J1042162" s="24"/>
      <c r="K1042162" s="54"/>
    </row>
    <row r="1042163" spans="1:11" s="55" customFormat="1" ht="12.75">
      <c r="A1042163" s="24"/>
      <c r="B1042163" s="24"/>
      <c r="C1042163" s="24"/>
      <c r="D1042163" s="24"/>
      <c r="E1042163" s="24"/>
      <c r="F1042163" s="24"/>
      <c r="G1042163" s="24"/>
      <c r="H1042163" s="24"/>
      <c r="I1042163" s="24"/>
      <c r="J1042163" s="24"/>
      <c r="K1042163" s="54"/>
    </row>
    <row r="1042164" spans="1:11" s="55" customFormat="1" ht="12.75">
      <c r="A1042164" s="24"/>
      <c r="B1042164" s="24"/>
      <c r="C1042164" s="24"/>
      <c r="D1042164" s="24"/>
      <c r="E1042164" s="24"/>
      <c r="F1042164" s="24"/>
      <c r="G1042164" s="24"/>
      <c r="H1042164" s="24"/>
      <c r="I1042164" s="24"/>
      <c r="J1042164" s="24"/>
      <c r="K1042164" s="54"/>
    </row>
    <row r="1042165" spans="1:11" s="55" customFormat="1" ht="12.75">
      <c r="A1042165" s="24"/>
      <c r="B1042165" s="24"/>
      <c r="C1042165" s="24"/>
      <c r="D1042165" s="24"/>
      <c r="E1042165" s="24"/>
      <c r="F1042165" s="24"/>
      <c r="G1042165" s="24"/>
      <c r="H1042165" s="24"/>
      <c r="I1042165" s="24"/>
      <c r="J1042165" s="24"/>
      <c r="K1042165" s="54"/>
    </row>
    <row r="1042166" spans="1:11" s="55" customFormat="1" ht="12.75">
      <c r="A1042166" s="24"/>
      <c r="B1042166" s="24"/>
      <c r="C1042166" s="24"/>
      <c r="D1042166" s="24"/>
      <c r="E1042166" s="24"/>
      <c r="F1042166" s="24"/>
      <c r="G1042166" s="24"/>
      <c r="H1042166" s="24"/>
      <c r="I1042166" s="24"/>
      <c r="J1042166" s="24"/>
      <c r="K1042166" s="54"/>
    </row>
    <row r="1042167" spans="1:11" s="55" customFormat="1" ht="12.75">
      <c r="A1042167" s="24"/>
      <c r="B1042167" s="24"/>
      <c r="C1042167" s="24"/>
      <c r="D1042167" s="24"/>
      <c r="E1042167" s="24"/>
      <c r="F1042167" s="24"/>
      <c r="G1042167" s="24"/>
      <c r="H1042167" s="24"/>
      <c r="I1042167" s="24"/>
      <c r="J1042167" s="24"/>
      <c r="K1042167" s="54"/>
    </row>
    <row r="1042168" spans="1:11" s="55" customFormat="1" ht="12.75">
      <c r="A1042168" s="24"/>
      <c r="B1042168" s="24"/>
      <c r="C1042168" s="24"/>
      <c r="D1042168" s="24"/>
      <c r="E1042168" s="24"/>
      <c r="F1042168" s="24"/>
      <c r="G1042168" s="24"/>
      <c r="H1042168" s="24"/>
      <c r="I1042168" s="24"/>
      <c r="J1042168" s="24"/>
      <c r="K1042168" s="54"/>
    </row>
    <row r="1042169" spans="1:11" s="55" customFormat="1" ht="12.75">
      <c r="A1042169" s="24"/>
      <c r="B1042169" s="24"/>
      <c r="C1042169" s="24"/>
      <c r="D1042169" s="24"/>
      <c r="E1042169" s="24"/>
      <c r="F1042169" s="24"/>
      <c r="G1042169" s="24"/>
      <c r="H1042169" s="24"/>
      <c r="I1042169" s="24"/>
      <c r="J1042169" s="24"/>
      <c r="K1042169" s="54"/>
    </row>
    <row r="1042170" spans="1:11" s="55" customFormat="1" ht="12.75">
      <c r="A1042170" s="24"/>
      <c r="B1042170" s="24"/>
      <c r="C1042170" s="24"/>
      <c r="D1042170" s="24"/>
      <c r="E1042170" s="24"/>
      <c r="F1042170" s="24"/>
      <c r="G1042170" s="24"/>
      <c r="H1042170" s="24"/>
      <c r="I1042170" s="24"/>
      <c r="J1042170" s="24"/>
      <c r="K1042170" s="54"/>
    </row>
    <row r="1042171" spans="1:11" s="55" customFormat="1" ht="12.75">
      <c r="A1042171" s="24"/>
      <c r="B1042171" s="24"/>
      <c r="C1042171" s="24"/>
      <c r="D1042171" s="24"/>
      <c r="E1042171" s="24"/>
      <c r="F1042171" s="24"/>
      <c r="G1042171" s="24"/>
      <c r="H1042171" s="24"/>
      <c r="I1042171" s="24"/>
      <c r="J1042171" s="24"/>
      <c r="K1042171" s="54"/>
    </row>
    <row r="1042172" spans="1:11" s="55" customFormat="1" ht="12.75">
      <c r="A1042172" s="24"/>
      <c r="B1042172" s="24"/>
      <c r="C1042172" s="24"/>
      <c r="D1042172" s="24"/>
      <c r="E1042172" s="24"/>
      <c r="F1042172" s="24"/>
      <c r="G1042172" s="24"/>
      <c r="H1042172" s="24"/>
      <c r="I1042172" s="24"/>
      <c r="J1042172" s="24"/>
      <c r="K1042172" s="54"/>
    </row>
    <row r="1042173" spans="1:11" s="55" customFormat="1" ht="12.75">
      <c r="A1042173" s="24"/>
      <c r="B1042173" s="24"/>
      <c r="C1042173" s="24"/>
      <c r="D1042173" s="24"/>
      <c r="E1042173" s="24"/>
      <c r="F1042173" s="24"/>
      <c r="G1042173" s="24"/>
      <c r="H1042173" s="24"/>
      <c r="I1042173" s="24"/>
      <c r="J1042173" s="24"/>
      <c r="K1042173" s="54"/>
    </row>
    <row r="1042174" spans="1:11" s="55" customFormat="1" ht="12.75">
      <c r="A1042174" s="24"/>
      <c r="B1042174" s="24"/>
      <c r="C1042174" s="24"/>
      <c r="D1042174" s="24"/>
      <c r="E1042174" s="24"/>
      <c r="F1042174" s="24"/>
      <c r="G1042174" s="24"/>
      <c r="H1042174" s="24"/>
      <c r="I1042174" s="24"/>
      <c r="J1042174" s="24"/>
      <c r="K1042174" s="54"/>
    </row>
    <row r="1042175" spans="1:11" s="55" customFormat="1" ht="12.75">
      <c r="A1042175" s="24"/>
      <c r="B1042175" s="24"/>
      <c r="C1042175" s="24"/>
      <c r="D1042175" s="24"/>
      <c r="E1042175" s="24"/>
      <c r="F1042175" s="24"/>
      <c r="G1042175" s="24"/>
      <c r="H1042175" s="24"/>
      <c r="I1042175" s="24"/>
      <c r="J1042175" s="24"/>
      <c r="K1042175" s="54"/>
    </row>
    <row r="1042176" spans="1:11" s="55" customFormat="1" ht="12.75">
      <c r="A1042176" s="24"/>
      <c r="B1042176" s="24"/>
      <c r="C1042176" s="24"/>
      <c r="D1042176" s="24"/>
      <c r="E1042176" s="24"/>
      <c r="F1042176" s="24"/>
      <c r="G1042176" s="24"/>
      <c r="H1042176" s="24"/>
      <c r="I1042176" s="24"/>
      <c r="J1042176" s="24"/>
      <c r="K1042176" s="54"/>
    </row>
    <row r="1042177" spans="1:11" s="55" customFormat="1" ht="12.75">
      <c r="A1042177" s="24"/>
      <c r="B1042177" s="24"/>
      <c r="C1042177" s="24"/>
      <c r="D1042177" s="24"/>
      <c r="E1042177" s="24"/>
      <c r="F1042177" s="24"/>
      <c r="G1042177" s="24"/>
      <c r="H1042177" s="24"/>
      <c r="I1042177" s="24"/>
      <c r="J1042177" s="24"/>
      <c r="K1042177" s="54"/>
    </row>
    <row r="1042178" spans="1:11" s="55" customFormat="1" ht="12.75">
      <c r="A1042178" s="24"/>
      <c r="B1042178" s="24"/>
      <c r="C1042178" s="24"/>
      <c r="D1042178" s="24"/>
      <c r="E1042178" s="24"/>
      <c r="F1042178" s="24"/>
      <c r="G1042178" s="24"/>
      <c r="H1042178" s="24"/>
      <c r="I1042178" s="24"/>
      <c r="J1042178" s="24"/>
      <c r="K1042178" s="54"/>
    </row>
    <row r="1042179" spans="1:11" s="55" customFormat="1" ht="12.75">
      <c r="A1042179" s="24"/>
      <c r="B1042179" s="24"/>
      <c r="C1042179" s="24"/>
      <c r="D1042179" s="24"/>
      <c r="E1042179" s="24"/>
      <c r="F1042179" s="24"/>
      <c r="G1042179" s="24"/>
      <c r="H1042179" s="24"/>
      <c r="I1042179" s="24"/>
      <c r="J1042179" s="24"/>
      <c r="K1042179" s="54"/>
    </row>
    <row r="1042180" spans="1:11" s="55" customFormat="1" ht="12.75">
      <c r="A1042180" s="24"/>
      <c r="B1042180" s="24"/>
      <c r="C1042180" s="24"/>
      <c r="D1042180" s="24"/>
      <c r="E1042180" s="24"/>
      <c r="F1042180" s="24"/>
      <c r="G1042180" s="24"/>
      <c r="H1042180" s="24"/>
      <c r="I1042180" s="24"/>
      <c r="J1042180" s="24"/>
      <c r="K1042180" s="54"/>
    </row>
    <row r="1042181" spans="1:11" s="55" customFormat="1" ht="12.75">
      <c r="A1042181" s="24"/>
      <c r="B1042181" s="24"/>
      <c r="C1042181" s="24"/>
      <c r="D1042181" s="24"/>
      <c r="E1042181" s="24"/>
      <c r="F1042181" s="24"/>
      <c r="G1042181" s="24"/>
      <c r="H1042181" s="24"/>
      <c r="I1042181" s="24"/>
      <c r="J1042181" s="24"/>
      <c r="K1042181" s="54"/>
    </row>
    <row r="1042182" spans="1:11" s="55" customFormat="1" ht="12.75">
      <c r="A1042182" s="24"/>
      <c r="B1042182" s="24"/>
      <c r="C1042182" s="24"/>
      <c r="D1042182" s="24"/>
      <c r="E1042182" s="24"/>
      <c r="F1042182" s="24"/>
      <c r="G1042182" s="24"/>
      <c r="H1042182" s="24"/>
      <c r="I1042182" s="24"/>
      <c r="J1042182" s="24"/>
      <c r="K1042182" s="54"/>
    </row>
    <row r="1042183" spans="1:11" s="55" customFormat="1" ht="12.75">
      <c r="A1042183" s="24"/>
      <c r="B1042183" s="24"/>
      <c r="C1042183" s="24"/>
      <c r="D1042183" s="24"/>
      <c r="E1042183" s="24"/>
      <c r="F1042183" s="24"/>
      <c r="G1042183" s="24"/>
      <c r="H1042183" s="24"/>
      <c r="I1042183" s="24"/>
      <c r="J1042183" s="24"/>
      <c r="K1042183" s="54"/>
    </row>
    <row r="1042184" spans="1:11" s="55" customFormat="1" ht="12.75">
      <c r="A1042184" s="24"/>
      <c r="B1042184" s="24"/>
      <c r="C1042184" s="24"/>
      <c r="D1042184" s="24"/>
      <c r="E1042184" s="24"/>
      <c r="F1042184" s="24"/>
      <c r="G1042184" s="24"/>
      <c r="H1042184" s="24"/>
      <c r="I1042184" s="24"/>
      <c r="J1042184" s="24"/>
      <c r="K1042184" s="54"/>
    </row>
    <row r="1042185" spans="1:11" s="55" customFormat="1" ht="12.75">
      <c r="A1042185" s="24"/>
      <c r="B1042185" s="24"/>
      <c r="C1042185" s="24"/>
      <c r="D1042185" s="24"/>
      <c r="E1042185" s="24"/>
      <c r="F1042185" s="24"/>
      <c r="G1042185" s="24"/>
      <c r="H1042185" s="24"/>
      <c r="I1042185" s="24"/>
      <c r="J1042185" s="24"/>
      <c r="K1042185" s="54"/>
    </row>
    <row r="1042186" spans="1:11" s="55" customFormat="1" ht="12.75">
      <c r="A1042186" s="24"/>
      <c r="B1042186" s="24"/>
      <c r="C1042186" s="24"/>
      <c r="D1042186" s="24"/>
      <c r="E1042186" s="24"/>
      <c r="F1042186" s="24"/>
      <c r="G1042186" s="24"/>
      <c r="H1042186" s="24"/>
      <c r="I1042186" s="24"/>
      <c r="J1042186" s="24"/>
      <c r="K1042186" s="54"/>
    </row>
    <row r="1042187" spans="1:11" s="55" customFormat="1" ht="12.75">
      <c r="A1042187" s="24"/>
      <c r="B1042187" s="24"/>
      <c r="C1042187" s="24"/>
      <c r="D1042187" s="24"/>
      <c r="E1042187" s="24"/>
      <c r="F1042187" s="24"/>
      <c r="G1042187" s="24"/>
      <c r="H1042187" s="24"/>
      <c r="I1042187" s="24"/>
      <c r="J1042187" s="24"/>
      <c r="K1042187" s="54"/>
    </row>
    <row r="1042188" spans="1:11" s="55" customFormat="1" ht="12.75">
      <c r="A1042188" s="24"/>
      <c r="B1042188" s="24"/>
      <c r="C1042188" s="24"/>
      <c r="D1042188" s="24"/>
      <c r="E1042188" s="24"/>
      <c r="F1042188" s="24"/>
      <c r="G1042188" s="24"/>
      <c r="H1042188" s="24"/>
      <c r="I1042188" s="24"/>
      <c r="J1042188" s="24"/>
      <c r="K1042188" s="54"/>
    </row>
    <row r="1042189" spans="1:11" s="55" customFormat="1" ht="12.75">
      <c r="A1042189" s="24"/>
      <c r="B1042189" s="24"/>
      <c r="C1042189" s="24"/>
      <c r="D1042189" s="24"/>
      <c r="E1042189" s="24"/>
      <c r="F1042189" s="24"/>
      <c r="G1042189" s="24"/>
      <c r="H1042189" s="24"/>
      <c r="I1042189" s="24"/>
      <c r="J1042189" s="24"/>
      <c r="K1042189" s="54"/>
    </row>
    <row r="1042190" spans="1:11" s="55" customFormat="1" ht="12.75">
      <c r="A1042190" s="24"/>
      <c r="B1042190" s="24"/>
      <c r="C1042190" s="24"/>
      <c r="D1042190" s="24"/>
      <c r="E1042190" s="24"/>
      <c r="F1042190" s="24"/>
      <c r="G1042190" s="24"/>
      <c r="H1042190" s="24"/>
      <c r="I1042190" s="24"/>
      <c r="J1042190" s="24"/>
      <c r="K1042190" s="54"/>
    </row>
    <row r="1042191" spans="1:11" s="55" customFormat="1" ht="12.75">
      <c r="A1042191" s="24"/>
      <c r="B1042191" s="24"/>
      <c r="C1042191" s="24"/>
      <c r="D1042191" s="24"/>
      <c r="E1042191" s="24"/>
      <c r="F1042191" s="24"/>
      <c r="G1042191" s="24"/>
      <c r="H1042191" s="24"/>
      <c r="I1042191" s="24"/>
      <c r="J1042191" s="24"/>
      <c r="K1042191" s="54"/>
    </row>
    <row r="1042192" spans="1:11" s="55" customFormat="1" ht="12.75">
      <c r="A1042192" s="24"/>
      <c r="B1042192" s="24"/>
      <c r="C1042192" s="24"/>
      <c r="D1042192" s="24"/>
      <c r="E1042192" s="24"/>
      <c r="F1042192" s="24"/>
      <c r="G1042192" s="24"/>
      <c r="H1042192" s="24"/>
      <c r="I1042192" s="24"/>
      <c r="J1042192" s="24"/>
      <c r="K1042192" s="54"/>
    </row>
    <row r="1042193" spans="1:11" s="55" customFormat="1" ht="12.75">
      <c r="A1042193" s="24"/>
      <c r="B1042193" s="24"/>
      <c r="C1042193" s="24"/>
      <c r="D1042193" s="24"/>
      <c r="E1042193" s="24"/>
      <c r="F1042193" s="24"/>
      <c r="G1042193" s="24"/>
      <c r="H1042193" s="24"/>
      <c r="I1042193" s="24"/>
      <c r="J1042193" s="24"/>
      <c r="K1042193" s="54"/>
    </row>
    <row r="1042194" spans="1:11" s="55" customFormat="1" ht="12.75">
      <c r="A1042194" s="24"/>
      <c r="B1042194" s="24"/>
      <c r="C1042194" s="24"/>
      <c r="D1042194" s="24"/>
      <c r="E1042194" s="24"/>
      <c r="F1042194" s="24"/>
      <c r="G1042194" s="24"/>
      <c r="H1042194" s="24"/>
      <c r="I1042194" s="24"/>
      <c r="J1042194" s="24"/>
      <c r="K1042194" s="54"/>
    </row>
    <row r="1042195" spans="1:11" s="55" customFormat="1" ht="12.75">
      <c r="A1042195" s="24"/>
      <c r="B1042195" s="24"/>
      <c r="C1042195" s="24"/>
      <c r="D1042195" s="24"/>
      <c r="E1042195" s="24"/>
      <c r="F1042195" s="24"/>
      <c r="G1042195" s="24"/>
      <c r="H1042195" s="24"/>
      <c r="I1042195" s="24"/>
      <c r="J1042195" s="24"/>
      <c r="K1042195" s="54"/>
    </row>
    <row r="1042196" spans="1:11" s="55" customFormat="1" ht="12.75">
      <c r="A1042196" s="24"/>
      <c r="B1042196" s="24"/>
      <c r="C1042196" s="24"/>
      <c r="D1042196" s="24"/>
      <c r="E1042196" s="24"/>
      <c r="F1042196" s="24"/>
      <c r="G1042196" s="24"/>
      <c r="H1042196" s="24"/>
      <c r="I1042196" s="24"/>
      <c r="J1042196" s="24"/>
      <c r="K1042196" s="54"/>
    </row>
    <row r="1042197" spans="1:11" s="55" customFormat="1" ht="12.75">
      <c r="A1042197" s="24"/>
      <c r="B1042197" s="24"/>
      <c r="C1042197" s="24"/>
      <c r="D1042197" s="24"/>
      <c r="E1042197" s="24"/>
      <c r="F1042197" s="24"/>
      <c r="G1042197" s="24"/>
      <c r="H1042197" s="24"/>
      <c r="I1042197" s="24"/>
      <c r="J1042197" s="24"/>
      <c r="K1042197" s="54"/>
    </row>
    <row r="1042198" spans="1:11" s="55" customFormat="1" ht="12.75">
      <c r="A1042198" s="24"/>
      <c r="B1042198" s="24"/>
      <c r="C1042198" s="24"/>
      <c r="D1042198" s="24"/>
      <c r="E1042198" s="24"/>
      <c r="F1042198" s="24"/>
      <c r="G1042198" s="24"/>
      <c r="H1042198" s="24"/>
      <c r="I1042198" s="24"/>
      <c r="J1042198" s="24"/>
      <c r="K1042198" s="54"/>
    </row>
    <row r="1042199" spans="1:11" s="55" customFormat="1" ht="12.75">
      <c r="A1042199" s="24"/>
      <c r="B1042199" s="24"/>
      <c r="C1042199" s="24"/>
      <c r="D1042199" s="24"/>
      <c r="E1042199" s="24"/>
      <c r="F1042199" s="24"/>
      <c r="G1042199" s="24"/>
      <c r="H1042199" s="24"/>
      <c r="I1042199" s="24"/>
      <c r="J1042199" s="24"/>
      <c r="K1042199" s="54"/>
    </row>
    <row r="1042200" spans="1:11" s="55" customFormat="1" ht="12.75">
      <c r="A1042200" s="24"/>
      <c r="B1042200" s="24"/>
      <c r="C1042200" s="24"/>
      <c r="D1042200" s="24"/>
      <c r="E1042200" s="24"/>
      <c r="F1042200" s="24"/>
      <c r="G1042200" s="24"/>
      <c r="H1042200" s="24"/>
      <c r="I1042200" s="24"/>
      <c r="J1042200" s="24"/>
      <c r="K1042200" s="54"/>
    </row>
    <row r="1042201" spans="1:11" s="55" customFormat="1" ht="12.75">
      <c r="A1042201" s="24"/>
      <c r="B1042201" s="24"/>
      <c r="C1042201" s="24"/>
      <c r="D1042201" s="24"/>
      <c r="E1042201" s="24"/>
      <c r="F1042201" s="24"/>
      <c r="G1042201" s="24"/>
      <c r="H1042201" s="24"/>
      <c r="I1042201" s="24"/>
      <c r="J1042201" s="24"/>
      <c r="K1042201" s="54"/>
    </row>
    <row r="1042202" spans="1:11" s="55" customFormat="1" ht="12.75">
      <c r="A1042202" s="24"/>
      <c r="B1042202" s="24"/>
      <c r="C1042202" s="24"/>
      <c r="D1042202" s="24"/>
      <c r="E1042202" s="24"/>
      <c r="F1042202" s="24"/>
      <c r="G1042202" s="24"/>
      <c r="H1042202" s="24"/>
      <c r="I1042202" s="24"/>
      <c r="J1042202" s="24"/>
      <c r="K1042202" s="54"/>
    </row>
    <row r="1042203" spans="1:11" s="55" customFormat="1" ht="12.75">
      <c r="A1042203" s="24"/>
      <c r="B1042203" s="24"/>
      <c r="C1042203" s="24"/>
      <c r="D1042203" s="24"/>
      <c r="E1042203" s="24"/>
      <c r="F1042203" s="24"/>
      <c r="G1042203" s="24"/>
      <c r="H1042203" s="24"/>
      <c r="I1042203" s="24"/>
      <c r="J1042203" s="24"/>
      <c r="K1042203" s="54"/>
    </row>
    <row r="1042204" spans="1:11" s="55" customFormat="1" ht="12.75">
      <c r="A1042204" s="24"/>
      <c r="B1042204" s="24"/>
      <c r="C1042204" s="24"/>
      <c r="D1042204" s="24"/>
      <c r="E1042204" s="24"/>
      <c r="F1042204" s="24"/>
      <c r="G1042204" s="24"/>
      <c r="H1042204" s="24"/>
      <c r="I1042204" s="24"/>
      <c r="J1042204" s="24"/>
      <c r="K1042204" s="54"/>
    </row>
    <row r="1042205" spans="1:11" s="55" customFormat="1" ht="12.75">
      <c r="A1042205" s="24"/>
      <c r="B1042205" s="24"/>
      <c r="C1042205" s="24"/>
      <c r="D1042205" s="24"/>
      <c r="E1042205" s="24"/>
      <c r="F1042205" s="24"/>
      <c r="G1042205" s="24"/>
      <c r="H1042205" s="24"/>
      <c r="I1042205" s="24"/>
      <c r="J1042205" s="24"/>
      <c r="K1042205" s="54"/>
    </row>
    <row r="1042206" spans="1:11" s="55" customFormat="1" ht="12.75">
      <c r="A1042206" s="24"/>
      <c r="B1042206" s="24"/>
      <c r="C1042206" s="24"/>
      <c r="D1042206" s="24"/>
      <c r="E1042206" s="24"/>
      <c r="F1042206" s="24"/>
      <c r="G1042206" s="24"/>
      <c r="H1042206" s="24"/>
      <c r="I1042206" s="24"/>
      <c r="J1042206" s="24"/>
      <c r="K1042206" s="54"/>
    </row>
    <row r="1042207" spans="1:11" s="55" customFormat="1" ht="12.75">
      <c r="A1042207" s="24"/>
      <c r="B1042207" s="24"/>
      <c r="C1042207" s="24"/>
      <c r="D1042207" s="24"/>
      <c r="E1042207" s="24"/>
      <c r="F1042207" s="24"/>
      <c r="G1042207" s="24"/>
      <c r="H1042207" s="24"/>
      <c r="I1042207" s="24"/>
      <c r="J1042207" s="24"/>
      <c r="K1042207" s="54"/>
    </row>
    <row r="1042208" spans="1:11" s="55" customFormat="1" ht="12.75">
      <c r="A1042208" s="24"/>
      <c r="B1042208" s="24"/>
      <c r="C1042208" s="24"/>
      <c r="D1042208" s="24"/>
      <c r="E1042208" s="24"/>
      <c r="F1042208" s="24"/>
      <c r="G1042208" s="24"/>
      <c r="H1042208" s="24"/>
      <c r="I1042208" s="24"/>
      <c r="J1042208" s="24"/>
      <c r="K1042208" s="54"/>
    </row>
    <row r="1042209" spans="1:11" s="55" customFormat="1" ht="12.75">
      <c r="A1042209" s="24"/>
      <c r="B1042209" s="24"/>
      <c r="C1042209" s="24"/>
      <c r="D1042209" s="24"/>
      <c r="E1042209" s="24"/>
      <c r="F1042209" s="24"/>
      <c r="G1042209" s="24"/>
      <c r="H1042209" s="24"/>
      <c r="I1042209" s="24"/>
      <c r="J1042209" s="24"/>
      <c r="K1042209" s="54"/>
    </row>
    <row r="1042210" spans="1:11" s="55" customFormat="1" ht="12.75">
      <c r="A1042210" s="24"/>
      <c r="B1042210" s="24"/>
      <c r="C1042210" s="24"/>
      <c r="D1042210" s="24"/>
      <c r="E1042210" s="24"/>
      <c r="F1042210" s="24"/>
      <c r="G1042210" s="24"/>
      <c r="H1042210" s="24"/>
      <c r="I1042210" s="24"/>
      <c r="J1042210" s="24"/>
      <c r="K1042210" s="54"/>
    </row>
    <row r="1042211" spans="1:11" s="55" customFormat="1" ht="12.75">
      <c r="A1042211" s="24"/>
      <c r="B1042211" s="24"/>
      <c r="C1042211" s="24"/>
      <c r="D1042211" s="24"/>
      <c r="E1042211" s="24"/>
      <c r="F1042211" s="24"/>
      <c r="G1042211" s="24"/>
      <c r="H1042211" s="24"/>
      <c r="I1042211" s="24"/>
      <c r="J1042211" s="24"/>
      <c r="K1042211" s="54"/>
    </row>
    <row r="1042212" spans="1:11" s="55" customFormat="1" ht="12.75">
      <c r="A1042212" s="24"/>
      <c r="B1042212" s="24"/>
      <c r="C1042212" s="24"/>
      <c r="D1042212" s="24"/>
      <c r="E1042212" s="24"/>
      <c r="F1042212" s="24"/>
      <c r="G1042212" s="24"/>
      <c r="H1042212" s="24"/>
      <c r="I1042212" s="24"/>
      <c r="J1042212" s="24"/>
      <c r="K1042212" s="54"/>
    </row>
    <row r="1042213" spans="1:11" s="55" customFormat="1" ht="12.75">
      <c r="A1042213" s="24"/>
      <c r="B1042213" s="24"/>
      <c r="C1042213" s="24"/>
      <c r="D1042213" s="24"/>
      <c r="E1042213" s="24"/>
      <c r="F1042213" s="24"/>
      <c r="G1042213" s="24"/>
      <c r="H1042213" s="24"/>
      <c r="I1042213" s="24"/>
      <c r="J1042213" s="24"/>
      <c r="K1042213" s="54"/>
    </row>
    <row r="1042214" spans="1:11" s="55" customFormat="1" ht="12.75">
      <c r="A1042214" s="24"/>
      <c r="B1042214" s="24"/>
      <c r="C1042214" s="24"/>
      <c r="D1042214" s="24"/>
      <c r="E1042214" s="24"/>
      <c r="F1042214" s="24"/>
      <c r="G1042214" s="24"/>
      <c r="H1042214" s="24"/>
      <c r="I1042214" s="24"/>
      <c r="J1042214" s="24"/>
      <c r="K1042214" s="54"/>
    </row>
    <row r="1042215" spans="1:11" s="55" customFormat="1" ht="12.75">
      <c r="A1042215" s="24"/>
      <c r="B1042215" s="24"/>
      <c r="C1042215" s="24"/>
      <c r="D1042215" s="24"/>
      <c r="E1042215" s="24"/>
      <c r="F1042215" s="24"/>
      <c r="G1042215" s="24"/>
      <c r="H1042215" s="24"/>
      <c r="I1042215" s="24"/>
      <c r="J1042215" s="24"/>
      <c r="K1042215" s="54"/>
    </row>
    <row r="1042216" spans="1:11" s="55" customFormat="1" ht="12.75">
      <c r="A1042216" s="24"/>
      <c r="B1042216" s="24"/>
      <c r="C1042216" s="24"/>
      <c r="D1042216" s="24"/>
      <c r="E1042216" s="24"/>
      <c r="F1042216" s="24"/>
      <c r="G1042216" s="24"/>
      <c r="H1042216" s="24"/>
      <c r="I1042216" s="24"/>
      <c r="J1042216" s="24"/>
      <c r="K1042216" s="54"/>
    </row>
    <row r="1042217" spans="1:11" s="55" customFormat="1" ht="12.75">
      <c r="A1042217" s="24"/>
      <c r="B1042217" s="24"/>
      <c r="C1042217" s="24"/>
      <c r="D1042217" s="24"/>
      <c r="E1042217" s="24"/>
      <c r="F1042217" s="24"/>
      <c r="G1042217" s="24"/>
      <c r="H1042217" s="24"/>
      <c r="I1042217" s="24"/>
      <c r="J1042217" s="24"/>
      <c r="K1042217" s="54"/>
    </row>
    <row r="1042218" spans="1:11" s="55" customFormat="1" ht="12.75">
      <c r="A1042218" s="24"/>
      <c r="B1042218" s="24"/>
      <c r="C1042218" s="24"/>
      <c r="D1042218" s="24"/>
      <c r="E1042218" s="24"/>
      <c r="F1042218" s="24"/>
      <c r="G1042218" s="24"/>
      <c r="H1042218" s="24"/>
      <c r="I1042218" s="24"/>
      <c r="J1042218" s="24"/>
      <c r="K1042218" s="54"/>
    </row>
    <row r="1042219" spans="1:11" s="55" customFormat="1" ht="12.75">
      <c r="A1042219" s="24"/>
      <c r="B1042219" s="24"/>
      <c r="C1042219" s="24"/>
      <c r="D1042219" s="24"/>
      <c r="E1042219" s="24"/>
      <c r="F1042219" s="24"/>
      <c r="G1042219" s="24"/>
      <c r="H1042219" s="24"/>
      <c r="I1042219" s="24"/>
      <c r="J1042219" s="24"/>
      <c r="K1042219" s="54"/>
    </row>
    <row r="1042220" spans="1:11" s="55" customFormat="1" ht="12.75">
      <c r="A1042220" s="24"/>
      <c r="B1042220" s="24"/>
      <c r="C1042220" s="24"/>
      <c r="D1042220" s="24"/>
      <c r="E1042220" s="24"/>
      <c r="F1042220" s="24"/>
      <c r="G1042220" s="24"/>
      <c r="H1042220" s="24"/>
      <c r="I1042220" s="24"/>
      <c r="J1042220" s="24"/>
      <c r="K1042220" s="54"/>
    </row>
    <row r="1042221" spans="1:11" s="55" customFormat="1" ht="12.75">
      <c r="A1042221" s="24"/>
      <c r="B1042221" s="24"/>
      <c r="C1042221" s="24"/>
      <c r="D1042221" s="24"/>
      <c r="E1042221" s="24"/>
      <c r="F1042221" s="24"/>
      <c r="G1042221" s="24"/>
      <c r="H1042221" s="24"/>
      <c r="I1042221" s="24"/>
      <c r="J1042221" s="24"/>
      <c r="K1042221" s="54"/>
    </row>
    <row r="1042222" spans="1:11" s="55" customFormat="1" ht="12.75">
      <c r="A1042222" s="24"/>
      <c r="B1042222" s="24"/>
      <c r="C1042222" s="24"/>
      <c r="D1042222" s="24"/>
      <c r="E1042222" s="24"/>
      <c r="F1042222" s="24"/>
      <c r="G1042222" s="24"/>
      <c r="H1042222" s="24"/>
      <c r="I1042222" s="24"/>
      <c r="J1042222" s="24"/>
      <c r="K1042222" s="54"/>
    </row>
    <row r="1042223" spans="1:11" s="55" customFormat="1" ht="12.75">
      <c r="A1042223" s="24"/>
      <c r="B1042223" s="24"/>
      <c r="C1042223" s="24"/>
      <c r="D1042223" s="24"/>
      <c r="E1042223" s="24"/>
      <c r="F1042223" s="24"/>
      <c r="G1042223" s="24"/>
      <c r="H1042223" s="24"/>
      <c r="I1042223" s="24"/>
      <c r="J1042223" s="24"/>
      <c r="K1042223" s="54"/>
    </row>
    <row r="1042224" spans="1:11" s="55" customFormat="1" ht="12.75">
      <c r="A1042224" s="24"/>
      <c r="B1042224" s="24"/>
      <c r="C1042224" s="24"/>
      <c r="D1042224" s="24"/>
      <c r="E1042224" s="24"/>
      <c r="F1042224" s="24"/>
      <c r="G1042224" s="24"/>
      <c r="H1042224" s="24"/>
      <c r="I1042224" s="24"/>
      <c r="J1042224" s="24"/>
      <c r="K1042224" s="54"/>
    </row>
    <row r="1042225" spans="1:11" s="55" customFormat="1" ht="12.75">
      <c r="A1042225" s="24"/>
      <c r="B1042225" s="24"/>
      <c r="C1042225" s="24"/>
      <c r="D1042225" s="24"/>
      <c r="E1042225" s="24"/>
      <c r="F1042225" s="24"/>
      <c r="G1042225" s="24"/>
      <c r="H1042225" s="24"/>
      <c r="I1042225" s="24"/>
      <c r="J1042225" s="24"/>
      <c r="K1042225" s="54"/>
    </row>
    <row r="1042226" spans="1:11" s="55" customFormat="1" ht="12.75">
      <c r="A1042226" s="24"/>
      <c r="B1042226" s="24"/>
      <c r="C1042226" s="24"/>
      <c r="D1042226" s="24"/>
      <c r="E1042226" s="24"/>
      <c r="F1042226" s="24"/>
      <c r="G1042226" s="24"/>
      <c r="H1042226" s="24"/>
      <c r="I1042226" s="24"/>
      <c r="J1042226" s="24"/>
      <c r="K1042226" s="54"/>
    </row>
    <row r="1042227" spans="1:11" s="55" customFormat="1" ht="12.75">
      <c r="A1042227" s="24"/>
      <c r="B1042227" s="24"/>
      <c r="C1042227" s="24"/>
      <c r="D1042227" s="24"/>
      <c r="E1042227" s="24"/>
      <c r="F1042227" s="24"/>
      <c r="G1042227" s="24"/>
      <c r="H1042227" s="24"/>
      <c r="I1042227" s="24"/>
      <c r="J1042227" s="24"/>
      <c r="K1042227" s="54"/>
    </row>
    <row r="1042228" spans="1:11" s="55" customFormat="1" ht="12.75">
      <c r="A1042228" s="24"/>
      <c r="B1042228" s="24"/>
      <c r="C1042228" s="24"/>
      <c r="D1042228" s="24"/>
      <c r="E1042228" s="24"/>
      <c r="F1042228" s="24"/>
      <c r="G1042228" s="24"/>
      <c r="H1042228" s="24"/>
      <c r="I1042228" s="24"/>
      <c r="J1042228" s="24"/>
      <c r="K1042228" s="54"/>
    </row>
    <row r="1042229" spans="1:11" s="55" customFormat="1" ht="12.75">
      <c r="A1042229" s="24"/>
      <c r="B1042229" s="24"/>
      <c r="C1042229" s="24"/>
      <c r="D1042229" s="24"/>
      <c r="E1042229" s="24"/>
      <c r="F1042229" s="24"/>
      <c r="G1042229" s="24"/>
      <c r="H1042229" s="24"/>
      <c r="I1042229" s="24"/>
      <c r="J1042229" s="24"/>
      <c r="K1042229" s="54"/>
    </row>
    <row r="1042230" spans="1:11" s="55" customFormat="1" ht="12.75">
      <c r="A1042230" s="24"/>
      <c r="B1042230" s="24"/>
      <c r="C1042230" s="24"/>
      <c r="D1042230" s="24"/>
      <c r="E1042230" s="24"/>
      <c r="F1042230" s="24"/>
      <c r="G1042230" s="24"/>
      <c r="H1042230" s="24"/>
      <c r="I1042230" s="24"/>
      <c r="J1042230" s="24"/>
      <c r="K1042230" s="54"/>
    </row>
    <row r="1042231" spans="1:11" s="55" customFormat="1" ht="12.75">
      <c r="A1042231" s="24"/>
      <c r="B1042231" s="24"/>
      <c r="C1042231" s="24"/>
      <c r="D1042231" s="24"/>
      <c r="E1042231" s="24"/>
      <c r="F1042231" s="24"/>
      <c r="G1042231" s="24"/>
      <c r="H1042231" s="24"/>
      <c r="I1042231" s="24"/>
      <c r="J1042231" s="24"/>
      <c r="K1042231" s="54"/>
    </row>
    <row r="1042232" spans="1:11" s="55" customFormat="1" ht="12.75">
      <c r="A1042232" s="24"/>
      <c r="B1042232" s="24"/>
      <c r="C1042232" s="24"/>
      <c r="D1042232" s="24"/>
      <c r="E1042232" s="24"/>
      <c r="F1042232" s="24"/>
      <c r="G1042232" s="24"/>
      <c r="H1042232" s="24"/>
      <c r="I1042232" s="24"/>
      <c r="J1042232" s="24"/>
      <c r="K1042232" s="54"/>
    </row>
    <row r="1042233" spans="1:11" s="55" customFormat="1" ht="12.75">
      <c r="A1042233" s="24"/>
      <c r="B1042233" s="24"/>
      <c r="C1042233" s="24"/>
      <c r="D1042233" s="24"/>
      <c r="E1042233" s="24"/>
      <c r="F1042233" s="24"/>
      <c r="G1042233" s="24"/>
      <c r="H1042233" s="24"/>
      <c r="I1042233" s="24"/>
      <c r="J1042233" s="24"/>
      <c r="K1042233" s="54"/>
    </row>
    <row r="1042234" spans="1:11" s="55" customFormat="1" ht="12.75">
      <c r="A1042234" s="24"/>
      <c r="B1042234" s="24"/>
      <c r="C1042234" s="24"/>
      <c r="D1042234" s="24"/>
      <c r="E1042234" s="24"/>
      <c r="F1042234" s="24"/>
      <c r="G1042234" s="24"/>
      <c r="H1042234" s="24"/>
      <c r="I1042234" s="24"/>
      <c r="J1042234" s="24"/>
      <c r="K1042234" s="54"/>
    </row>
    <row r="1042235" spans="1:11" s="55" customFormat="1" ht="12.75">
      <c r="A1042235" s="24"/>
      <c r="B1042235" s="24"/>
      <c r="C1042235" s="24"/>
      <c r="D1042235" s="24"/>
      <c r="E1042235" s="24"/>
      <c r="F1042235" s="24"/>
      <c r="G1042235" s="24"/>
      <c r="H1042235" s="24"/>
      <c r="I1042235" s="24"/>
      <c r="J1042235" s="24"/>
      <c r="K1042235" s="54"/>
    </row>
    <row r="1042236" spans="1:11" s="55" customFormat="1" ht="12.75">
      <c r="A1042236" s="24"/>
      <c r="B1042236" s="24"/>
      <c r="C1042236" s="24"/>
      <c r="D1042236" s="24"/>
      <c r="E1042236" s="24"/>
      <c r="F1042236" s="24"/>
      <c r="G1042236" s="24"/>
      <c r="H1042236" s="24"/>
      <c r="I1042236" s="24"/>
      <c r="J1042236" s="24"/>
      <c r="K1042236" s="54"/>
    </row>
    <row r="1042237" spans="1:11" s="55" customFormat="1" ht="12.75">
      <c r="A1042237" s="24"/>
      <c r="B1042237" s="24"/>
      <c r="C1042237" s="24"/>
      <c r="D1042237" s="24"/>
      <c r="E1042237" s="24"/>
      <c r="F1042237" s="24"/>
      <c r="G1042237" s="24"/>
      <c r="H1042237" s="24"/>
      <c r="I1042237" s="24"/>
      <c r="J1042237" s="24"/>
      <c r="K1042237" s="54"/>
    </row>
    <row r="1042238" spans="1:11" s="55" customFormat="1" ht="12.75">
      <c r="A1042238" s="24"/>
      <c r="B1042238" s="24"/>
      <c r="C1042238" s="24"/>
      <c r="D1042238" s="24"/>
      <c r="E1042238" s="24"/>
      <c r="F1042238" s="24"/>
      <c r="G1042238" s="24"/>
      <c r="H1042238" s="24"/>
      <c r="I1042238" s="24"/>
      <c r="J1042238" s="24"/>
      <c r="K1042238" s="54"/>
    </row>
    <row r="1042239" spans="1:11" s="55" customFormat="1" ht="12.75">
      <c r="A1042239" s="24"/>
      <c r="B1042239" s="24"/>
      <c r="C1042239" s="24"/>
      <c r="D1042239" s="24"/>
      <c r="E1042239" s="24"/>
      <c r="F1042239" s="24"/>
      <c r="G1042239" s="24"/>
      <c r="H1042239" s="24"/>
      <c r="I1042239" s="24"/>
      <c r="J1042239" s="24"/>
      <c r="K1042239" s="54"/>
    </row>
    <row r="1042240" spans="1:11" s="55" customFormat="1" ht="12.75">
      <c r="A1042240" s="24"/>
      <c r="B1042240" s="24"/>
      <c r="C1042240" s="24"/>
      <c r="D1042240" s="24"/>
      <c r="E1042240" s="24"/>
      <c r="F1042240" s="24"/>
      <c r="G1042240" s="24"/>
      <c r="H1042240" s="24"/>
      <c r="I1042240" s="24"/>
      <c r="J1042240" s="24"/>
      <c r="K1042240" s="54"/>
    </row>
    <row r="1042241" spans="1:11" s="55" customFormat="1" ht="12.75">
      <c r="A1042241" s="24"/>
      <c r="B1042241" s="24"/>
      <c r="C1042241" s="24"/>
      <c r="D1042241" s="24"/>
      <c r="E1042241" s="24"/>
      <c r="F1042241" s="24"/>
      <c r="G1042241" s="24"/>
      <c r="H1042241" s="24"/>
      <c r="I1042241" s="24"/>
      <c r="J1042241" s="24"/>
      <c r="K1042241" s="54"/>
    </row>
    <row r="1042242" spans="1:11" s="55" customFormat="1" ht="12.75">
      <c r="A1042242" s="24"/>
      <c r="B1042242" s="24"/>
      <c r="C1042242" s="24"/>
      <c r="D1042242" s="24"/>
      <c r="E1042242" s="24"/>
      <c r="F1042242" s="24"/>
      <c r="G1042242" s="24"/>
      <c r="H1042242" s="24"/>
      <c r="I1042242" s="24"/>
      <c r="J1042242" s="24"/>
      <c r="K1042242" s="54"/>
    </row>
    <row r="1042243" spans="1:11" s="55" customFormat="1" ht="12.75">
      <c r="A1042243" s="24"/>
      <c r="B1042243" s="24"/>
      <c r="C1042243" s="24"/>
      <c r="D1042243" s="24"/>
      <c r="E1042243" s="24"/>
      <c r="F1042243" s="24"/>
      <c r="G1042243" s="24"/>
      <c r="H1042243" s="24"/>
      <c r="I1042243" s="24"/>
      <c r="J1042243" s="24"/>
      <c r="K1042243" s="54"/>
    </row>
    <row r="1042244" spans="1:11" s="55" customFormat="1" ht="12.75">
      <c r="A1042244" s="24"/>
      <c r="B1042244" s="24"/>
      <c r="C1042244" s="24"/>
      <c r="D1042244" s="24"/>
      <c r="E1042244" s="24"/>
      <c r="F1042244" s="24"/>
      <c r="G1042244" s="24"/>
      <c r="H1042244" s="24"/>
      <c r="I1042244" s="24"/>
      <c r="J1042244" s="24"/>
      <c r="K1042244" s="54"/>
    </row>
    <row r="1042245" spans="1:11" s="55" customFormat="1" ht="12.75">
      <c r="A1042245" s="24"/>
      <c r="B1042245" s="24"/>
      <c r="C1042245" s="24"/>
      <c r="D1042245" s="24"/>
      <c r="E1042245" s="24"/>
      <c r="F1042245" s="24"/>
      <c r="G1042245" s="24"/>
      <c r="H1042245" s="24"/>
      <c r="I1042245" s="24"/>
      <c r="J1042245" s="24"/>
      <c r="K1042245" s="54"/>
    </row>
    <row r="1042246" spans="1:11" s="55" customFormat="1" ht="12.75">
      <c r="A1042246" s="24"/>
      <c r="B1042246" s="24"/>
      <c r="C1042246" s="24"/>
      <c r="D1042246" s="24"/>
      <c r="E1042246" s="24"/>
      <c r="F1042246" s="24"/>
      <c r="G1042246" s="24"/>
      <c r="H1042246" s="24"/>
      <c r="I1042246" s="24"/>
      <c r="J1042246" s="24"/>
      <c r="K1042246" s="54"/>
    </row>
    <row r="1042247" spans="1:11" s="55" customFormat="1" ht="12.75">
      <c r="A1042247" s="24"/>
      <c r="B1042247" s="24"/>
      <c r="C1042247" s="24"/>
      <c r="D1042247" s="24"/>
      <c r="E1042247" s="24"/>
      <c r="F1042247" s="24"/>
      <c r="G1042247" s="24"/>
      <c r="H1042247" s="24"/>
      <c r="I1042247" s="24"/>
      <c r="J1042247" s="24"/>
      <c r="K1042247" s="54"/>
    </row>
    <row r="1042248" spans="1:11" s="55" customFormat="1" ht="12.75">
      <c r="A1042248" s="24"/>
      <c r="B1042248" s="24"/>
      <c r="C1042248" s="24"/>
      <c r="D1042248" s="24"/>
      <c r="E1042248" s="24"/>
      <c r="F1042248" s="24"/>
      <c r="G1042248" s="24"/>
      <c r="H1042248" s="24"/>
      <c r="I1042248" s="24"/>
      <c r="J1042248" s="24"/>
      <c r="K1042248" s="54"/>
    </row>
    <row r="1042249" spans="1:11" s="55" customFormat="1" ht="12.75">
      <c r="A1042249" s="24"/>
      <c r="B1042249" s="24"/>
      <c r="C1042249" s="24"/>
      <c r="D1042249" s="24"/>
      <c r="E1042249" s="24"/>
      <c r="F1042249" s="24"/>
      <c r="G1042249" s="24"/>
      <c r="H1042249" s="24"/>
      <c r="I1042249" s="24"/>
      <c r="J1042249" s="24"/>
      <c r="K1042249" s="54"/>
    </row>
    <row r="1042250" spans="1:11" s="55" customFormat="1" ht="12.75">
      <c r="A1042250" s="24"/>
      <c r="B1042250" s="24"/>
      <c r="C1042250" s="24"/>
      <c r="D1042250" s="24"/>
      <c r="E1042250" s="24"/>
      <c r="F1042250" s="24"/>
      <c r="G1042250" s="24"/>
      <c r="H1042250" s="24"/>
      <c r="I1042250" s="24"/>
      <c r="J1042250" s="24"/>
      <c r="K1042250" s="54"/>
    </row>
    <row r="1042251" spans="1:11" s="55" customFormat="1" ht="12.75">
      <c r="A1042251" s="24"/>
      <c r="B1042251" s="24"/>
      <c r="C1042251" s="24"/>
      <c r="D1042251" s="24"/>
      <c r="E1042251" s="24"/>
      <c r="F1042251" s="24"/>
      <c r="G1042251" s="24"/>
      <c r="H1042251" s="24"/>
      <c r="I1042251" s="24"/>
      <c r="J1042251" s="24"/>
      <c r="K1042251" s="54"/>
    </row>
    <row r="1042252" spans="1:11" s="55" customFormat="1" ht="12.75">
      <c r="A1042252" s="24"/>
      <c r="B1042252" s="24"/>
      <c r="C1042252" s="24"/>
      <c r="D1042252" s="24"/>
      <c r="E1042252" s="24"/>
      <c r="F1042252" s="24"/>
      <c r="G1042252" s="24"/>
      <c r="H1042252" s="24"/>
      <c r="I1042252" s="24"/>
      <c r="J1042252" s="24"/>
      <c r="K1042252" s="54"/>
    </row>
    <row r="1042253" spans="1:11" s="55" customFormat="1" ht="12.75">
      <c r="A1042253" s="24"/>
      <c r="B1042253" s="24"/>
      <c r="C1042253" s="24"/>
      <c r="D1042253" s="24"/>
      <c r="E1042253" s="24"/>
      <c r="F1042253" s="24"/>
      <c r="G1042253" s="24"/>
      <c r="H1042253" s="24"/>
      <c r="I1042253" s="24"/>
      <c r="J1042253" s="24"/>
      <c r="K1042253" s="54"/>
    </row>
    <row r="1042254" spans="1:11" s="55" customFormat="1" ht="12.75">
      <c r="A1042254" s="24"/>
      <c r="B1042254" s="24"/>
      <c r="C1042254" s="24"/>
      <c r="D1042254" s="24"/>
      <c r="E1042254" s="24"/>
      <c r="F1042254" s="24"/>
      <c r="G1042254" s="24"/>
      <c r="H1042254" s="24"/>
      <c r="I1042254" s="24"/>
      <c r="J1042254" s="24"/>
      <c r="K1042254" s="54"/>
    </row>
    <row r="1042255" spans="1:11" s="55" customFormat="1" ht="12.75">
      <c r="A1042255" s="24"/>
      <c r="B1042255" s="24"/>
      <c r="C1042255" s="24"/>
      <c r="D1042255" s="24"/>
      <c r="E1042255" s="24"/>
      <c r="F1042255" s="24"/>
      <c r="G1042255" s="24"/>
      <c r="H1042255" s="24"/>
      <c r="I1042255" s="24"/>
      <c r="J1042255" s="24"/>
      <c r="K1042255" s="54"/>
    </row>
    <row r="1042256" spans="1:11" s="55" customFormat="1" ht="12.75">
      <c r="A1042256" s="24"/>
      <c r="B1042256" s="24"/>
      <c r="C1042256" s="24"/>
      <c r="D1042256" s="24"/>
      <c r="E1042256" s="24"/>
      <c r="F1042256" s="24"/>
      <c r="G1042256" s="24"/>
      <c r="H1042256" s="24"/>
      <c r="I1042256" s="24"/>
      <c r="J1042256" s="24"/>
      <c r="K1042256" s="54"/>
    </row>
    <row r="1042257" spans="1:11" s="55" customFormat="1" ht="12.75">
      <c r="A1042257" s="24"/>
      <c r="B1042257" s="24"/>
      <c r="C1042257" s="24"/>
      <c r="D1042257" s="24"/>
      <c r="E1042257" s="24"/>
      <c r="F1042257" s="24"/>
      <c r="G1042257" s="24"/>
      <c r="H1042257" s="24"/>
      <c r="I1042257" s="24"/>
      <c r="J1042257" s="24"/>
      <c r="K1042257" s="54"/>
    </row>
    <row r="1042258" spans="1:11" s="55" customFormat="1" ht="12.75">
      <c r="A1042258" s="24"/>
      <c r="B1042258" s="24"/>
      <c r="C1042258" s="24"/>
      <c r="D1042258" s="24"/>
      <c r="E1042258" s="24"/>
      <c r="F1042258" s="24"/>
      <c r="G1042258" s="24"/>
      <c r="H1042258" s="24"/>
      <c r="I1042258" s="24"/>
      <c r="J1042258" s="24"/>
      <c r="K1042258" s="54"/>
    </row>
    <row r="1042259" spans="1:11" s="55" customFormat="1" ht="12.75">
      <c r="A1042259" s="24"/>
      <c r="B1042259" s="24"/>
      <c r="C1042259" s="24"/>
      <c r="D1042259" s="24"/>
      <c r="E1042259" s="24"/>
      <c r="F1042259" s="24"/>
      <c r="G1042259" s="24"/>
      <c r="H1042259" s="24"/>
      <c r="I1042259" s="24"/>
      <c r="J1042259" s="24"/>
      <c r="K1042259" s="54"/>
    </row>
    <row r="1042260" spans="1:11" s="55" customFormat="1" ht="12.75">
      <c r="A1042260" s="24"/>
      <c r="B1042260" s="24"/>
      <c r="C1042260" s="24"/>
      <c r="D1042260" s="24"/>
      <c r="E1042260" s="24"/>
      <c r="F1042260" s="24"/>
      <c r="G1042260" s="24"/>
      <c r="H1042260" s="24"/>
      <c r="I1042260" s="24"/>
      <c r="J1042260" s="24"/>
      <c r="K1042260" s="54"/>
    </row>
    <row r="1042261" spans="1:11" s="55" customFormat="1" ht="12.75">
      <c r="A1042261" s="24"/>
      <c r="B1042261" s="24"/>
      <c r="C1042261" s="24"/>
      <c r="D1042261" s="24"/>
      <c r="E1042261" s="24"/>
      <c r="F1042261" s="24"/>
      <c r="G1042261" s="24"/>
      <c r="H1042261" s="24"/>
      <c r="I1042261" s="24"/>
      <c r="J1042261" s="24"/>
      <c r="K1042261" s="54"/>
    </row>
    <row r="1042262" spans="1:11" s="55" customFormat="1" ht="12.75">
      <c r="A1042262" s="24"/>
      <c r="B1042262" s="24"/>
      <c r="C1042262" s="24"/>
      <c r="D1042262" s="24"/>
      <c r="E1042262" s="24"/>
      <c r="F1042262" s="24"/>
      <c r="G1042262" s="24"/>
      <c r="H1042262" s="24"/>
      <c r="I1042262" s="24"/>
      <c r="J1042262" s="24"/>
      <c r="K1042262" s="54"/>
    </row>
    <row r="1042263" spans="1:11" s="55" customFormat="1" ht="12.75">
      <c r="A1042263" s="24"/>
      <c r="B1042263" s="24"/>
      <c r="C1042263" s="24"/>
      <c r="D1042263" s="24"/>
      <c r="E1042263" s="24"/>
      <c r="F1042263" s="24"/>
      <c r="G1042263" s="24"/>
      <c r="H1042263" s="24"/>
      <c r="I1042263" s="24"/>
      <c r="J1042263" s="24"/>
      <c r="K1042263" s="54"/>
    </row>
    <row r="1042264" spans="1:11" s="55" customFormat="1" ht="12.75">
      <c r="A1042264" s="24"/>
      <c r="B1042264" s="24"/>
      <c r="C1042264" s="24"/>
      <c r="D1042264" s="24"/>
      <c r="E1042264" s="24"/>
      <c r="F1042264" s="24"/>
      <c r="G1042264" s="24"/>
      <c r="H1042264" s="24"/>
      <c r="I1042264" s="24"/>
      <c r="J1042264" s="24"/>
      <c r="K1042264" s="54"/>
    </row>
    <row r="1042265" spans="1:11" s="55" customFormat="1" ht="12.75">
      <c r="A1042265" s="24"/>
      <c r="B1042265" s="24"/>
      <c r="C1042265" s="24"/>
      <c r="D1042265" s="24"/>
      <c r="E1042265" s="24"/>
      <c r="F1042265" s="24"/>
      <c r="G1042265" s="24"/>
      <c r="H1042265" s="24"/>
      <c r="I1042265" s="24"/>
      <c r="J1042265" s="24"/>
      <c r="K1042265" s="54"/>
    </row>
    <row r="1042266" spans="1:11" s="55" customFormat="1" ht="12.75">
      <c r="A1042266" s="24"/>
      <c r="B1042266" s="24"/>
      <c r="C1042266" s="24"/>
      <c r="D1042266" s="24"/>
      <c r="E1042266" s="24"/>
      <c r="F1042266" s="24"/>
      <c r="G1042266" s="24"/>
      <c r="H1042266" s="24"/>
      <c r="I1042266" s="24"/>
      <c r="J1042266" s="24"/>
      <c r="K1042266" s="54"/>
    </row>
    <row r="1042267" spans="1:11" s="55" customFormat="1" ht="12.75">
      <c r="A1042267" s="24"/>
      <c r="B1042267" s="24"/>
      <c r="C1042267" s="24"/>
      <c r="D1042267" s="24"/>
      <c r="E1042267" s="24"/>
      <c r="F1042267" s="24"/>
      <c r="G1042267" s="24"/>
      <c r="H1042267" s="24"/>
      <c r="I1042267" s="24"/>
      <c r="J1042267" s="24"/>
      <c r="K1042267" s="54"/>
    </row>
    <row r="1042268" spans="1:11" s="55" customFormat="1" ht="12.75">
      <c r="A1042268" s="24"/>
      <c r="B1042268" s="24"/>
      <c r="C1042268" s="24"/>
      <c r="D1042268" s="24"/>
      <c r="E1042268" s="24"/>
      <c r="F1042268" s="24"/>
      <c r="G1042268" s="24"/>
      <c r="H1042268" s="24"/>
      <c r="I1042268" s="24"/>
      <c r="J1042268" s="24"/>
      <c r="K1042268" s="54"/>
    </row>
    <row r="1042269" spans="1:11" s="55" customFormat="1" ht="12.75">
      <c r="A1042269" s="24"/>
      <c r="B1042269" s="24"/>
      <c r="C1042269" s="24"/>
      <c r="D1042269" s="24"/>
      <c r="E1042269" s="24"/>
      <c r="F1042269" s="24"/>
      <c r="G1042269" s="24"/>
      <c r="H1042269" s="24"/>
      <c r="I1042269" s="24"/>
      <c r="J1042269" s="24"/>
      <c r="K1042269" s="54"/>
    </row>
    <row r="1042270" spans="1:11" s="55" customFormat="1" ht="12.75">
      <c r="A1042270" s="24"/>
      <c r="B1042270" s="24"/>
      <c r="C1042270" s="24"/>
      <c r="D1042270" s="24"/>
      <c r="E1042270" s="24"/>
      <c r="F1042270" s="24"/>
      <c r="G1042270" s="24"/>
      <c r="H1042270" s="24"/>
      <c r="I1042270" s="24"/>
      <c r="J1042270" s="24"/>
      <c r="K1042270" s="54"/>
    </row>
    <row r="1042271" spans="1:11" s="55" customFormat="1" ht="12.75">
      <c r="A1042271" s="24"/>
      <c r="B1042271" s="24"/>
      <c r="C1042271" s="24"/>
      <c r="D1042271" s="24"/>
      <c r="E1042271" s="24"/>
      <c r="F1042271" s="24"/>
      <c r="G1042271" s="24"/>
      <c r="H1042271" s="24"/>
      <c r="I1042271" s="24"/>
      <c r="J1042271" s="24"/>
      <c r="K1042271" s="54"/>
    </row>
    <row r="1042272" spans="1:11" s="55" customFormat="1" ht="12.75">
      <c r="A1042272" s="24"/>
      <c r="B1042272" s="24"/>
      <c r="C1042272" s="24"/>
      <c r="D1042272" s="24"/>
      <c r="E1042272" s="24"/>
      <c r="F1042272" s="24"/>
      <c r="G1042272" s="24"/>
      <c r="H1042272" s="24"/>
      <c r="I1042272" s="24"/>
      <c r="J1042272" s="24"/>
      <c r="K1042272" s="54"/>
    </row>
    <row r="1042273" spans="1:11" s="55" customFormat="1" ht="12.75">
      <c r="A1042273" s="24"/>
      <c r="B1042273" s="24"/>
      <c r="C1042273" s="24"/>
      <c r="D1042273" s="24"/>
      <c r="E1042273" s="24"/>
      <c r="F1042273" s="24"/>
      <c r="G1042273" s="24"/>
      <c r="H1042273" s="24"/>
      <c r="I1042273" s="24"/>
      <c r="J1042273" s="24"/>
      <c r="K1042273" s="54"/>
    </row>
    <row r="1042274" spans="1:11" s="55" customFormat="1" ht="12.75">
      <c r="A1042274" s="24"/>
      <c r="B1042274" s="24"/>
      <c r="C1042274" s="24"/>
      <c r="D1042274" s="24"/>
      <c r="E1042274" s="24"/>
      <c r="F1042274" s="24"/>
      <c r="G1042274" s="24"/>
      <c r="H1042274" s="24"/>
      <c r="I1042274" s="24"/>
      <c r="J1042274" s="24"/>
      <c r="K1042274" s="54"/>
    </row>
    <row r="1042275" spans="1:11" s="55" customFormat="1" ht="12.75">
      <c r="A1042275" s="24"/>
      <c r="B1042275" s="24"/>
      <c r="C1042275" s="24"/>
      <c r="D1042275" s="24"/>
      <c r="E1042275" s="24"/>
      <c r="F1042275" s="24"/>
      <c r="G1042275" s="24"/>
      <c r="H1042275" s="24"/>
      <c r="I1042275" s="24"/>
      <c r="J1042275" s="24"/>
      <c r="K1042275" s="54"/>
    </row>
    <row r="1042276" spans="1:11" s="55" customFormat="1" ht="12.75">
      <c r="A1042276" s="24"/>
      <c r="B1042276" s="24"/>
      <c r="C1042276" s="24"/>
      <c r="D1042276" s="24"/>
      <c r="E1042276" s="24"/>
      <c r="F1042276" s="24"/>
      <c r="G1042276" s="24"/>
      <c r="H1042276" s="24"/>
      <c r="I1042276" s="24"/>
      <c r="J1042276" s="24"/>
      <c r="K1042276" s="54"/>
    </row>
    <row r="1042277" spans="1:11" s="55" customFormat="1" ht="12.75">
      <c r="A1042277" s="24"/>
      <c r="B1042277" s="24"/>
      <c r="C1042277" s="24"/>
      <c r="D1042277" s="24"/>
      <c r="E1042277" s="24"/>
      <c r="F1042277" s="24"/>
      <c r="G1042277" s="24"/>
      <c r="H1042277" s="24"/>
      <c r="I1042277" s="24"/>
      <c r="J1042277" s="24"/>
      <c r="K1042277" s="54"/>
    </row>
    <row r="1042278" spans="1:11" s="55" customFormat="1" ht="12.75">
      <c r="A1042278" s="24"/>
      <c r="B1042278" s="24"/>
      <c r="C1042278" s="24"/>
      <c r="D1042278" s="24"/>
      <c r="E1042278" s="24"/>
      <c r="F1042278" s="24"/>
      <c r="G1042278" s="24"/>
      <c r="H1042278" s="24"/>
      <c r="I1042278" s="24"/>
      <c r="J1042278" s="24"/>
      <c r="K1042278" s="54"/>
    </row>
    <row r="1042279" spans="1:11" s="55" customFormat="1" ht="12.75">
      <c r="A1042279" s="24"/>
      <c r="B1042279" s="24"/>
      <c r="C1042279" s="24"/>
      <c r="D1042279" s="24"/>
      <c r="E1042279" s="24"/>
      <c r="F1042279" s="24"/>
      <c r="G1042279" s="24"/>
      <c r="H1042279" s="24"/>
      <c r="I1042279" s="24"/>
      <c r="J1042279" s="24"/>
      <c r="K1042279" s="54"/>
    </row>
    <row r="1042280" spans="1:11" s="55" customFormat="1" ht="12.75">
      <c r="A1042280" s="24"/>
      <c r="B1042280" s="24"/>
      <c r="C1042280" s="24"/>
      <c r="D1042280" s="24"/>
      <c r="E1042280" s="24"/>
      <c r="F1042280" s="24"/>
      <c r="G1042280" s="24"/>
      <c r="H1042280" s="24"/>
      <c r="I1042280" s="24"/>
      <c r="J1042280" s="24"/>
      <c r="K1042280" s="54"/>
    </row>
    <row r="1042281" spans="1:11" s="55" customFormat="1" ht="12.75">
      <c r="A1042281" s="24"/>
      <c r="B1042281" s="24"/>
      <c r="C1042281" s="24"/>
      <c r="D1042281" s="24"/>
      <c r="E1042281" s="24"/>
      <c r="F1042281" s="24"/>
      <c r="G1042281" s="24"/>
      <c r="H1042281" s="24"/>
      <c r="I1042281" s="24"/>
      <c r="J1042281" s="24"/>
      <c r="K1042281" s="54"/>
    </row>
    <row r="1042282" spans="1:11" s="55" customFormat="1" ht="12.75">
      <c r="A1042282" s="24"/>
      <c r="B1042282" s="24"/>
      <c r="C1042282" s="24"/>
      <c r="D1042282" s="24"/>
      <c r="E1042282" s="24"/>
      <c r="F1042282" s="24"/>
      <c r="G1042282" s="24"/>
      <c r="H1042282" s="24"/>
      <c r="I1042282" s="24"/>
      <c r="J1042282" s="24"/>
      <c r="K1042282" s="54"/>
    </row>
    <row r="1042283" spans="1:11" s="55" customFormat="1" ht="12.75">
      <c r="A1042283" s="24"/>
      <c r="B1042283" s="24"/>
      <c r="C1042283" s="24"/>
      <c r="D1042283" s="24"/>
      <c r="E1042283" s="24"/>
      <c r="F1042283" s="24"/>
      <c r="G1042283" s="24"/>
      <c r="H1042283" s="24"/>
      <c r="I1042283" s="24"/>
      <c r="J1042283" s="24"/>
      <c r="K1042283" s="54"/>
    </row>
    <row r="1042284" spans="1:11" s="55" customFormat="1" ht="12.75">
      <c r="A1042284" s="24"/>
      <c r="B1042284" s="24"/>
      <c r="C1042284" s="24"/>
      <c r="D1042284" s="24"/>
      <c r="E1042284" s="24"/>
      <c r="F1042284" s="24"/>
      <c r="G1042284" s="24"/>
      <c r="H1042284" s="24"/>
      <c r="I1042284" s="24"/>
      <c r="J1042284" s="24"/>
      <c r="K1042284" s="54"/>
    </row>
    <row r="1042285" spans="1:11" s="55" customFormat="1" ht="12.75">
      <c r="A1042285" s="24"/>
      <c r="B1042285" s="24"/>
      <c r="C1042285" s="24"/>
      <c r="D1042285" s="24"/>
      <c r="E1042285" s="24"/>
      <c r="F1042285" s="24"/>
      <c r="G1042285" s="24"/>
      <c r="H1042285" s="24"/>
      <c r="I1042285" s="24"/>
      <c r="J1042285" s="24"/>
      <c r="K1042285" s="54"/>
    </row>
    <row r="1042286" spans="1:11" s="55" customFormat="1" ht="12.75">
      <c r="A1042286" s="24"/>
      <c r="B1042286" s="24"/>
      <c r="C1042286" s="24"/>
      <c r="D1042286" s="24"/>
      <c r="E1042286" s="24"/>
      <c r="F1042286" s="24"/>
      <c r="G1042286" s="24"/>
      <c r="H1042286" s="24"/>
      <c r="I1042286" s="24"/>
      <c r="J1042286" s="24"/>
      <c r="K1042286" s="54"/>
    </row>
    <row r="1042287" spans="1:11" s="55" customFormat="1" ht="12.75">
      <c r="A1042287" s="24"/>
      <c r="B1042287" s="24"/>
      <c r="C1042287" s="24"/>
      <c r="D1042287" s="24"/>
      <c r="E1042287" s="24"/>
      <c r="F1042287" s="24"/>
      <c r="G1042287" s="24"/>
      <c r="H1042287" s="24"/>
      <c r="I1042287" s="24"/>
      <c r="J1042287" s="24"/>
      <c r="K1042287" s="54"/>
    </row>
    <row r="1042288" spans="1:11" s="55" customFormat="1" ht="12.75">
      <c r="A1042288" s="24"/>
      <c r="B1042288" s="24"/>
      <c r="C1042288" s="24"/>
      <c r="D1042288" s="24"/>
      <c r="E1042288" s="24"/>
      <c r="F1042288" s="24"/>
      <c r="G1042288" s="24"/>
      <c r="H1042288" s="24"/>
      <c r="I1042288" s="24"/>
      <c r="J1042288" s="24"/>
      <c r="K1042288" s="54"/>
    </row>
    <row r="1042289" spans="1:11" s="55" customFormat="1" ht="12.75">
      <c r="A1042289" s="24"/>
      <c r="B1042289" s="24"/>
      <c r="C1042289" s="24"/>
      <c r="D1042289" s="24"/>
      <c r="E1042289" s="24"/>
      <c r="F1042289" s="24"/>
      <c r="G1042289" s="24"/>
      <c r="H1042289" s="24"/>
      <c r="I1042289" s="24"/>
      <c r="J1042289" s="24"/>
      <c r="K1042289" s="54"/>
    </row>
    <row r="1042290" spans="1:11" s="55" customFormat="1" ht="12.75">
      <c r="A1042290" s="24"/>
      <c r="B1042290" s="24"/>
      <c r="C1042290" s="24"/>
      <c r="D1042290" s="24"/>
      <c r="E1042290" s="24"/>
      <c r="F1042290" s="24"/>
      <c r="G1042290" s="24"/>
      <c r="H1042290" s="24"/>
      <c r="I1042290" s="24"/>
      <c r="J1042290" s="24"/>
      <c r="K1042290" s="54"/>
    </row>
    <row r="1042291" spans="1:11" s="55" customFormat="1" ht="12.75">
      <c r="A1042291" s="24"/>
      <c r="B1042291" s="24"/>
      <c r="C1042291" s="24"/>
      <c r="D1042291" s="24"/>
      <c r="E1042291" s="24"/>
      <c r="F1042291" s="24"/>
      <c r="G1042291" s="24"/>
      <c r="H1042291" s="24"/>
      <c r="I1042291" s="24"/>
      <c r="J1042291" s="24"/>
      <c r="K1042291" s="54"/>
    </row>
    <row r="1042292" spans="1:11" s="55" customFormat="1" ht="12.75">
      <c r="A1042292" s="24"/>
      <c r="B1042292" s="24"/>
      <c r="C1042292" s="24"/>
      <c r="D1042292" s="24"/>
      <c r="E1042292" s="24"/>
      <c r="F1042292" s="24"/>
      <c r="G1042292" s="24"/>
      <c r="H1042292" s="24"/>
      <c r="I1042292" s="24"/>
      <c r="J1042292" s="24"/>
      <c r="K1042292" s="54"/>
    </row>
    <row r="1042293" spans="1:11" s="55" customFormat="1" ht="12.75">
      <c r="A1042293" s="24"/>
      <c r="B1042293" s="24"/>
      <c r="C1042293" s="24"/>
      <c r="D1042293" s="24"/>
      <c r="E1042293" s="24"/>
      <c r="F1042293" s="24"/>
      <c r="G1042293" s="24"/>
      <c r="H1042293" s="24"/>
      <c r="I1042293" s="24"/>
      <c r="J1042293" s="24"/>
      <c r="K1042293" s="54"/>
    </row>
    <row r="1042294" spans="1:11" s="55" customFormat="1" ht="12.75">
      <c r="A1042294" s="24"/>
      <c r="B1042294" s="24"/>
      <c r="C1042294" s="24"/>
      <c r="D1042294" s="24"/>
      <c r="E1042294" s="24"/>
      <c r="F1042294" s="24"/>
      <c r="G1042294" s="24"/>
      <c r="H1042294" s="24"/>
      <c r="I1042294" s="24"/>
      <c r="J1042294" s="24"/>
      <c r="K1042294" s="54"/>
    </row>
    <row r="1042295" spans="1:11" s="55" customFormat="1" ht="12.75">
      <c r="A1042295" s="24"/>
      <c r="B1042295" s="24"/>
      <c r="C1042295" s="24"/>
      <c r="D1042295" s="24"/>
      <c r="E1042295" s="24"/>
      <c r="F1042295" s="24"/>
      <c r="G1042295" s="24"/>
      <c r="H1042295" s="24"/>
      <c r="I1042295" s="24"/>
      <c r="J1042295" s="24"/>
      <c r="K1042295" s="54"/>
    </row>
    <row r="1042296" spans="1:11" s="55" customFormat="1" ht="12.75">
      <c r="A1042296" s="24"/>
      <c r="B1042296" s="24"/>
      <c r="C1042296" s="24"/>
      <c r="D1042296" s="24"/>
      <c r="E1042296" s="24"/>
      <c r="F1042296" s="24"/>
      <c r="G1042296" s="24"/>
      <c r="H1042296" s="24"/>
      <c r="I1042296" s="24"/>
      <c r="J1042296" s="24"/>
      <c r="K1042296" s="54"/>
    </row>
    <row r="1042297" spans="1:11" s="55" customFormat="1" ht="12.75">
      <c r="A1042297" s="24"/>
      <c r="B1042297" s="24"/>
      <c r="C1042297" s="24"/>
      <c r="D1042297" s="24"/>
      <c r="E1042297" s="24"/>
      <c r="F1042297" s="24"/>
      <c r="G1042297" s="24"/>
      <c r="H1042297" s="24"/>
      <c r="I1042297" s="24"/>
      <c r="J1042297" s="24"/>
      <c r="K1042297" s="54"/>
    </row>
    <row r="1042298" spans="1:11" s="55" customFormat="1" ht="12.75">
      <c r="A1042298" s="24"/>
      <c r="B1042298" s="24"/>
      <c r="C1042298" s="24"/>
      <c r="D1042298" s="24"/>
      <c r="E1042298" s="24"/>
      <c r="F1042298" s="24"/>
      <c r="G1042298" s="24"/>
      <c r="H1042298" s="24"/>
      <c r="I1042298" s="24"/>
      <c r="J1042298" s="24"/>
      <c r="K1042298" s="54"/>
    </row>
    <row r="1042299" spans="1:11" s="55" customFormat="1" ht="12.75">
      <c r="A1042299" s="24"/>
      <c r="B1042299" s="24"/>
      <c r="C1042299" s="24"/>
      <c r="D1042299" s="24"/>
      <c r="E1042299" s="24"/>
      <c r="F1042299" s="24"/>
      <c r="G1042299" s="24"/>
      <c r="H1042299" s="24"/>
      <c r="I1042299" s="24"/>
      <c r="J1042299" s="24"/>
      <c r="K1042299" s="54"/>
    </row>
    <row r="1042300" spans="1:11" s="55" customFormat="1" ht="12.75">
      <c r="A1042300" s="24"/>
      <c r="B1042300" s="24"/>
      <c r="C1042300" s="24"/>
      <c r="D1042300" s="24"/>
      <c r="E1042300" s="24"/>
      <c r="F1042300" s="24"/>
      <c r="G1042300" s="24"/>
      <c r="H1042300" s="24"/>
      <c r="I1042300" s="24"/>
      <c r="J1042300" s="24"/>
      <c r="K1042300" s="54"/>
    </row>
    <row r="1042301" spans="1:11" s="55" customFormat="1" ht="12.75">
      <c r="A1042301" s="24"/>
      <c r="B1042301" s="24"/>
      <c r="C1042301" s="24"/>
      <c r="D1042301" s="24"/>
      <c r="E1042301" s="24"/>
      <c r="F1042301" s="24"/>
      <c r="G1042301" s="24"/>
      <c r="H1042301" s="24"/>
      <c r="I1042301" s="24"/>
      <c r="J1042301" s="24"/>
      <c r="K1042301" s="54"/>
    </row>
    <row r="1042302" spans="1:11" s="55" customFormat="1" ht="12.75">
      <c r="A1042302" s="24"/>
      <c r="B1042302" s="24"/>
      <c r="C1042302" s="24"/>
      <c r="D1042302" s="24"/>
      <c r="E1042302" s="24"/>
      <c r="F1042302" s="24"/>
      <c r="G1042302" s="24"/>
      <c r="H1042302" s="24"/>
      <c r="I1042302" s="24"/>
      <c r="J1042302" s="24"/>
      <c r="K1042302" s="54"/>
    </row>
    <row r="1042303" spans="1:11" s="55" customFormat="1" ht="12.75">
      <c r="A1042303" s="24"/>
      <c r="B1042303" s="24"/>
      <c r="C1042303" s="24"/>
      <c r="D1042303" s="24"/>
      <c r="E1042303" s="24"/>
      <c r="F1042303" s="24"/>
      <c r="G1042303" s="24"/>
      <c r="H1042303" s="24"/>
      <c r="I1042303" s="24"/>
      <c r="J1042303" s="24"/>
      <c r="K1042303" s="54"/>
    </row>
    <row r="1042304" spans="1:11" s="55" customFormat="1" ht="12.75">
      <c r="A1042304" s="24"/>
      <c r="B1042304" s="24"/>
      <c r="C1042304" s="24"/>
      <c r="D1042304" s="24"/>
      <c r="E1042304" s="24"/>
      <c r="F1042304" s="24"/>
      <c r="G1042304" s="24"/>
      <c r="H1042304" s="24"/>
      <c r="I1042304" s="24"/>
      <c r="J1042304" s="24"/>
      <c r="K1042304" s="54"/>
    </row>
    <row r="1042305" spans="1:11" s="55" customFormat="1" ht="12.75">
      <c r="A1042305" s="24"/>
      <c r="B1042305" s="24"/>
      <c r="C1042305" s="24"/>
      <c r="D1042305" s="24"/>
      <c r="E1042305" s="24"/>
      <c r="F1042305" s="24"/>
      <c r="G1042305" s="24"/>
      <c r="H1042305" s="24"/>
      <c r="I1042305" s="24"/>
      <c r="J1042305" s="24"/>
      <c r="K1042305" s="54"/>
    </row>
    <row r="1042306" spans="1:11" s="55" customFormat="1" ht="12.75">
      <c r="A1042306" s="24"/>
      <c r="B1042306" s="24"/>
      <c r="C1042306" s="24"/>
      <c r="D1042306" s="24"/>
      <c r="E1042306" s="24"/>
      <c r="F1042306" s="24"/>
      <c r="G1042306" s="24"/>
      <c r="H1042306" s="24"/>
      <c r="I1042306" s="24"/>
      <c r="J1042306" s="24"/>
      <c r="K1042306" s="54"/>
    </row>
    <row r="1042307" spans="1:11" s="55" customFormat="1" ht="12.75">
      <c r="A1042307" s="24"/>
      <c r="B1042307" s="24"/>
      <c r="C1042307" s="24"/>
      <c r="D1042307" s="24"/>
      <c r="E1042307" s="24"/>
      <c r="F1042307" s="24"/>
      <c r="G1042307" s="24"/>
      <c r="H1042307" s="24"/>
      <c r="I1042307" s="24"/>
      <c r="J1042307" s="24"/>
      <c r="K1042307" s="54"/>
    </row>
    <row r="1042308" spans="1:11" s="55" customFormat="1" ht="12.75">
      <c r="A1042308" s="24"/>
      <c r="B1042308" s="24"/>
      <c r="C1042308" s="24"/>
      <c r="D1042308" s="24"/>
      <c r="E1042308" s="24"/>
      <c r="F1042308" s="24"/>
      <c r="G1042308" s="24"/>
      <c r="H1042308" s="24"/>
      <c r="I1042308" s="24"/>
      <c r="J1042308" s="24"/>
      <c r="K1042308" s="54"/>
    </row>
    <row r="1042309" spans="1:11" s="55" customFormat="1" ht="12.75">
      <c r="A1042309" s="24"/>
      <c r="B1042309" s="24"/>
      <c r="C1042309" s="24"/>
      <c r="D1042309" s="24"/>
      <c r="E1042309" s="24"/>
      <c r="F1042309" s="24"/>
      <c r="G1042309" s="24"/>
      <c r="H1042309" s="24"/>
      <c r="I1042309" s="24"/>
      <c r="J1042309" s="24"/>
      <c r="K1042309" s="54"/>
    </row>
    <row r="1042310" spans="1:11" s="55" customFormat="1" ht="12.75">
      <c r="A1042310" s="24"/>
      <c r="B1042310" s="24"/>
      <c r="C1042310" s="24"/>
      <c r="D1042310" s="24"/>
      <c r="E1042310" s="24"/>
      <c r="F1042310" s="24"/>
      <c r="G1042310" s="24"/>
      <c r="H1042310" s="24"/>
      <c r="I1042310" s="24"/>
      <c r="J1042310" s="24"/>
      <c r="K1042310" s="54"/>
    </row>
    <row r="1042311" spans="1:11" s="55" customFormat="1" ht="12.75">
      <c r="A1042311" s="24"/>
      <c r="B1042311" s="24"/>
      <c r="C1042311" s="24"/>
      <c r="D1042311" s="24"/>
      <c r="E1042311" s="24"/>
      <c r="F1042311" s="24"/>
      <c r="G1042311" s="24"/>
      <c r="H1042311" s="24"/>
      <c r="I1042311" s="24"/>
      <c r="J1042311" s="24"/>
      <c r="K1042311" s="54"/>
    </row>
    <row r="1042312" spans="1:11" s="55" customFormat="1" ht="12.75">
      <c r="A1042312" s="24"/>
      <c r="B1042312" s="24"/>
      <c r="C1042312" s="24"/>
      <c r="D1042312" s="24"/>
      <c r="E1042312" s="24"/>
      <c r="F1042312" s="24"/>
      <c r="G1042312" s="24"/>
      <c r="H1042312" s="24"/>
      <c r="I1042312" s="24"/>
      <c r="J1042312" s="24"/>
      <c r="K1042312" s="54"/>
    </row>
    <row r="1042313" spans="1:11" s="55" customFormat="1" ht="12.75">
      <c r="A1042313" s="24"/>
      <c r="B1042313" s="24"/>
      <c r="C1042313" s="24"/>
      <c r="D1042313" s="24"/>
      <c r="E1042313" s="24"/>
      <c r="F1042313" s="24"/>
      <c r="G1042313" s="24"/>
      <c r="H1042313" s="24"/>
      <c r="I1042313" s="24"/>
      <c r="J1042313" s="24"/>
      <c r="K1042313" s="54"/>
    </row>
    <row r="1042314" spans="1:11" s="55" customFormat="1" ht="12.75">
      <c r="A1042314" s="24"/>
      <c r="B1042314" s="24"/>
      <c r="C1042314" s="24"/>
      <c r="D1042314" s="24"/>
      <c r="E1042314" s="24"/>
      <c r="F1042314" s="24"/>
      <c r="G1042314" s="24"/>
      <c r="H1042314" s="24"/>
      <c r="I1042314" s="24"/>
      <c r="J1042314" s="24"/>
      <c r="K1042314" s="54"/>
    </row>
    <row r="1042315" spans="1:11" s="55" customFormat="1" ht="12.75">
      <c r="A1042315" s="24"/>
      <c r="B1042315" s="24"/>
      <c r="C1042315" s="24"/>
      <c r="D1042315" s="24"/>
      <c r="E1042315" s="24"/>
      <c r="F1042315" s="24"/>
      <c r="G1042315" s="24"/>
      <c r="H1042315" s="24"/>
      <c r="I1042315" s="24"/>
      <c r="J1042315" s="24"/>
      <c r="K1042315" s="54"/>
    </row>
    <row r="1042316" spans="1:11" s="55" customFormat="1" ht="12.75">
      <c r="A1042316" s="24"/>
      <c r="B1042316" s="24"/>
      <c r="C1042316" s="24"/>
      <c r="D1042316" s="24"/>
      <c r="E1042316" s="24"/>
      <c r="F1042316" s="24"/>
      <c r="G1042316" s="24"/>
      <c r="H1042316" s="24"/>
      <c r="I1042316" s="24"/>
      <c r="J1042316" s="24"/>
      <c r="K1042316" s="54"/>
    </row>
    <row r="1042317" spans="1:11" s="55" customFormat="1" ht="12.75">
      <c r="A1042317" s="24"/>
      <c r="B1042317" s="24"/>
      <c r="C1042317" s="24"/>
      <c r="D1042317" s="24"/>
      <c r="E1042317" s="24"/>
      <c r="F1042317" s="24"/>
      <c r="G1042317" s="24"/>
      <c r="H1042317" s="24"/>
      <c r="I1042317" s="24"/>
      <c r="J1042317" s="24"/>
      <c r="K1042317" s="54"/>
    </row>
    <row r="1042318" spans="1:11" s="55" customFormat="1" ht="12.75">
      <c r="A1042318" s="24"/>
      <c r="B1042318" s="24"/>
      <c r="C1042318" s="24"/>
      <c r="D1042318" s="24"/>
      <c r="E1042318" s="24"/>
      <c r="F1042318" s="24"/>
      <c r="G1042318" s="24"/>
      <c r="H1042318" s="24"/>
      <c r="I1042318" s="24"/>
      <c r="J1042318" s="24"/>
      <c r="K1042318" s="54"/>
    </row>
    <row r="1042319" spans="1:11" s="55" customFormat="1" ht="12.75">
      <c r="A1042319" s="24"/>
      <c r="B1042319" s="24"/>
      <c r="C1042319" s="24"/>
      <c r="D1042319" s="24"/>
      <c r="E1042319" s="24"/>
      <c r="F1042319" s="24"/>
      <c r="G1042319" s="24"/>
      <c r="H1042319" s="24"/>
      <c r="I1042319" s="24"/>
      <c r="J1042319" s="24"/>
      <c r="K1042319" s="54"/>
    </row>
    <row r="1042320" spans="1:11" s="55" customFormat="1" ht="12.75">
      <c r="A1042320" s="24"/>
      <c r="B1042320" s="24"/>
      <c r="C1042320" s="24"/>
      <c r="D1042320" s="24"/>
      <c r="E1042320" s="24"/>
      <c r="F1042320" s="24"/>
      <c r="G1042320" s="24"/>
      <c r="H1042320" s="24"/>
      <c r="I1042320" s="24"/>
      <c r="J1042320" s="24"/>
      <c r="K1042320" s="54"/>
    </row>
    <row r="1042321" spans="1:11" s="55" customFormat="1" ht="12.75">
      <c r="A1042321" s="24"/>
      <c r="B1042321" s="24"/>
      <c r="C1042321" s="24"/>
      <c r="D1042321" s="24"/>
      <c r="E1042321" s="24"/>
      <c r="F1042321" s="24"/>
      <c r="G1042321" s="24"/>
      <c r="H1042321" s="24"/>
      <c r="I1042321" s="24"/>
      <c r="J1042321" s="24"/>
      <c r="K1042321" s="54"/>
    </row>
    <row r="1042322" spans="1:11" s="55" customFormat="1" ht="12.75">
      <c r="A1042322" s="24"/>
      <c r="B1042322" s="24"/>
      <c r="C1042322" s="24"/>
      <c r="D1042322" s="24"/>
      <c r="E1042322" s="24"/>
      <c r="F1042322" s="24"/>
      <c r="G1042322" s="24"/>
      <c r="H1042322" s="24"/>
      <c r="I1042322" s="24"/>
      <c r="J1042322" s="24"/>
      <c r="K1042322" s="54"/>
    </row>
    <row r="1042323" spans="1:11" s="55" customFormat="1" ht="12.75">
      <c r="A1042323" s="24"/>
      <c r="B1042323" s="24"/>
      <c r="C1042323" s="24"/>
      <c r="D1042323" s="24"/>
      <c r="E1042323" s="24"/>
      <c r="F1042323" s="24"/>
      <c r="G1042323" s="24"/>
      <c r="H1042323" s="24"/>
      <c r="I1042323" s="24"/>
      <c r="J1042323" s="24"/>
      <c r="K1042323" s="54"/>
    </row>
    <row r="1042324" spans="1:11" s="55" customFormat="1" ht="12.75">
      <c r="A1042324" s="24"/>
      <c r="B1042324" s="24"/>
      <c r="C1042324" s="24"/>
      <c r="D1042324" s="24"/>
      <c r="E1042324" s="24"/>
      <c r="F1042324" s="24"/>
      <c r="G1042324" s="24"/>
      <c r="H1042324" s="24"/>
      <c r="I1042324" s="24"/>
      <c r="J1042324" s="24"/>
      <c r="K1042324" s="54"/>
    </row>
    <row r="1042325" spans="1:11" s="55" customFormat="1" ht="12.75">
      <c r="A1042325" s="24"/>
      <c r="B1042325" s="24"/>
      <c r="C1042325" s="24"/>
      <c r="D1042325" s="24"/>
      <c r="E1042325" s="24"/>
      <c r="F1042325" s="24"/>
      <c r="G1042325" s="24"/>
      <c r="H1042325" s="24"/>
      <c r="I1042325" s="24"/>
      <c r="J1042325" s="24"/>
      <c r="K1042325" s="54"/>
    </row>
    <row r="1042326" spans="1:11" s="55" customFormat="1" ht="12.75">
      <c r="A1042326" s="24"/>
      <c r="B1042326" s="24"/>
      <c r="C1042326" s="24"/>
      <c r="D1042326" s="24"/>
      <c r="E1042326" s="24"/>
      <c r="F1042326" s="24"/>
      <c r="G1042326" s="24"/>
      <c r="H1042326" s="24"/>
      <c r="I1042326" s="24"/>
      <c r="J1042326" s="24"/>
      <c r="K1042326" s="54"/>
    </row>
    <row r="1042327" spans="1:11" s="55" customFormat="1" ht="12.75">
      <c r="A1042327" s="24"/>
      <c r="B1042327" s="24"/>
      <c r="C1042327" s="24"/>
      <c r="D1042327" s="24"/>
      <c r="E1042327" s="24"/>
      <c r="F1042327" s="24"/>
      <c r="G1042327" s="24"/>
      <c r="H1042327" s="24"/>
      <c r="I1042327" s="24"/>
      <c r="J1042327" s="24"/>
      <c r="K1042327" s="54"/>
    </row>
    <row r="1042328" spans="1:11" s="55" customFormat="1" ht="12.75">
      <c r="A1042328" s="24"/>
      <c r="B1042328" s="24"/>
      <c r="C1042328" s="24"/>
      <c r="D1042328" s="24"/>
      <c r="E1042328" s="24"/>
      <c r="F1042328" s="24"/>
      <c r="G1042328" s="24"/>
      <c r="H1042328" s="24"/>
      <c r="I1042328" s="24"/>
      <c r="J1042328" s="24"/>
      <c r="K1042328" s="54"/>
    </row>
    <row r="1042329" spans="1:11" s="55" customFormat="1" ht="12.75">
      <c r="A1042329" s="24"/>
      <c r="B1042329" s="24"/>
      <c r="C1042329" s="24"/>
      <c r="D1042329" s="24"/>
      <c r="E1042329" s="24"/>
      <c r="F1042329" s="24"/>
      <c r="G1042329" s="24"/>
      <c r="H1042329" s="24"/>
      <c r="I1042329" s="24"/>
      <c r="J1042329" s="24"/>
      <c r="K1042329" s="54"/>
    </row>
    <row r="1042330" spans="1:11" s="55" customFormat="1" ht="12.75">
      <c r="A1042330" s="24"/>
      <c r="B1042330" s="24"/>
      <c r="C1042330" s="24"/>
      <c r="D1042330" s="24"/>
      <c r="E1042330" s="24"/>
      <c r="F1042330" s="24"/>
      <c r="G1042330" s="24"/>
      <c r="H1042330" s="24"/>
      <c r="I1042330" s="24"/>
      <c r="J1042330" s="24"/>
      <c r="K1042330" s="54"/>
    </row>
    <row r="1042331" spans="1:11" s="55" customFormat="1" ht="12.75">
      <c r="A1042331" s="24"/>
      <c r="B1042331" s="24"/>
      <c r="C1042331" s="24"/>
      <c r="D1042331" s="24"/>
      <c r="E1042331" s="24"/>
      <c r="F1042331" s="24"/>
      <c r="G1042331" s="24"/>
      <c r="H1042331" s="24"/>
      <c r="I1042331" s="24"/>
      <c r="J1042331" s="24"/>
      <c r="K1042331" s="54"/>
    </row>
    <row r="1042332" spans="1:11" s="55" customFormat="1" ht="12.75">
      <c r="A1042332" s="24"/>
      <c r="B1042332" s="24"/>
      <c r="C1042332" s="24"/>
      <c r="D1042332" s="24"/>
      <c r="E1042332" s="24"/>
      <c r="F1042332" s="24"/>
      <c r="G1042332" s="24"/>
      <c r="H1042332" s="24"/>
      <c r="I1042332" s="24"/>
      <c r="J1042332" s="24"/>
      <c r="K1042332" s="54"/>
    </row>
    <row r="1042333" spans="1:11" s="55" customFormat="1" ht="12.75">
      <c r="A1042333" s="24"/>
      <c r="B1042333" s="24"/>
      <c r="C1042333" s="24"/>
      <c r="D1042333" s="24"/>
      <c r="E1042333" s="24"/>
      <c r="F1042333" s="24"/>
      <c r="G1042333" s="24"/>
      <c r="H1042333" s="24"/>
      <c r="I1042333" s="24"/>
      <c r="J1042333" s="24"/>
      <c r="K1042333" s="54"/>
    </row>
    <row r="1042334" spans="1:11" s="55" customFormat="1" ht="12.75">
      <c r="A1042334" s="24"/>
      <c r="B1042334" s="24"/>
      <c r="C1042334" s="24"/>
      <c r="D1042334" s="24"/>
      <c r="E1042334" s="24"/>
      <c r="F1042334" s="24"/>
      <c r="G1042334" s="24"/>
      <c r="H1042334" s="24"/>
      <c r="I1042334" s="24"/>
      <c r="J1042334" s="24"/>
      <c r="K1042334" s="54"/>
    </row>
    <row r="1042335" spans="1:11" s="55" customFormat="1" ht="12.75">
      <c r="A1042335" s="24"/>
      <c r="B1042335" s="24"/>
      <c r="C1042335" s="24"/>
      <c r="D1042335" s="24"/>
      <c r="E1042335" s="24"/>
      <c r="F1042335" s="24"/>
      <c r="G1042335" s="24"/>
      <c r="H1042335" s="24"/>
      <c r="I1042335" s="24"/>
      <c r="J1042335" s="24"/>
      <c r="K1042335" s="54"/>
    </row>
    <row r="1042336" spans="1:11" s="55" customFormat="1" ht="12.75">
      <c r="A1042336" s="24"/>
      <c r="B1042336" s="24"/>
      <c r="C1042336" s="24"/>
      <c r="D1042336" s="24"/>
      <c r="E1042336" s="24"/>
      <c r="F1042336" s="24"/>
      <c r="G1042336" s="24"/>
      <c r="H1042336" s="24"/>
      <c r="I1042336" s="24"/>
      <c r="J1042336" s="24"/>
      <c r="K1042336" s="54"/>
    </row>
    <row r="1042337" spans="1:11" s="55" customFormat="1" ht="12.75">
      <c r="A1042337" s="24"/>
      <c r="B1042337" s="24"/>
      <c r="C1042337" s="24"/>
      <c r="D1042337" s="24"/>
      <c r="E1042337" s="24"/>
      <c r="F1042337" s="24"/>
      <c r="G1042337" s="24"/>
      <c r="H1042337" s="24"/>
      <c r="I1042337" s="24"/>
      <c r="J1042337" s="24"/>
      <c r="K1042337" s="54"/>
    </row>
    <row r="1042338" spans="1:11" s="55" customFormat="1" ht="12.75">
      <c r="A1042338" s="24"/>
      <c r="B1042338" s="24"/>
      <c r="C1042338" s="24"/>
      <c r="D1042338" s="24"/>
      <c r="E1042338" s="24"/>
      <c r="F1042338" s="24"/>
      <c r="G1042338" s="24"/>
      <c r="H1042338" s="24"/>
      <c r="I1042338" s="24"/>
      <c r="J1042338" s="24"/>
      <c r="K1042338" s="54"/>
    </row>
    <row r="1042339" spans="1:11" s="55" customFormat="1" ht="12.75">
      <c r="A1042339" s="24"/>
      <c r="B1042339" s="24"/>
      <c r="C1042339" s="24"/>
      <c r="D1042339" s="24"/>
      <c r="E1042339" s="24"/>
      <c r="F1042339" s="24"/>
      <c r="G1042339" s="24"/>
      <c r="H1042339" s="24"/>
      <c r="I1042339" s="24"/>
      <c r="J1042339" s="24"/>
      <c r="K1042339" s="54"/>
    </row>
    <row r="1042340" spans="1:11" s="55" customFormat="1" ht="12.75">
      <c r="A1042340" s="24"/>
      <c r="B1042340" s="24"/>
      <c r="C1042340" s="24"/>
      <c r="D1042340" s="24"/>
      <c r="E1042340" s="24"/>
      <c r="F1042340" s="24"/>
      <c r="G1042340" s="24"/>
      <c r="H1042340" s="24"/>
      <c r="I1042340" s="24"/>
      <c r="J1042340" s="24"/>
      <c r="K1042340" s="54"/>
    </row>
    <row r="1042341" spans="1:11" s="55" customFormat="1" ht="12.75">
      <c r="A1042341" s="24"/>
      <c r="B1042341" s="24"/>
      <c r="C1042341" s="24"/>
      <c r="D1042341" s="24"/>
      <c r="E1042341" s="24"/>
      <c r="F1042341" s="24"/>
      <c r="G1042341" s="24"/>
      <c r="H1042341" s="24"/>
      <c r="I1042341" s="24"/>
      <c r="J1042341" s="24"/>
      <c r="K1042341" s="54"/>
    </row>
    <row r="1042342" spans="1:11" s="55" customFormat="1" ht="12.75">
      <c r="A1042342" s="24"/>
      <c r="B1042342" s="24"/>
      <c r="C1042342" s="24"/>
      <c r="D1042342" s="24"/>
      <c r="E1042342" s="24"/>
      <c r="F1042342" s="24"/>
      <c r="G1042342" s="24"/>
      <c r="H1042342" s="24"/>
      <c r="I1042342" s="24"/>
      <c r="J1042342" s="24"/>
      <c r="K1042342" s="54"/>
    </row>
    <row r="1042343" spans="1:11" s="55" customFormat="1" ht="12.75">
      <c r="A1042343" s="24"/>
      <c r="B1042343" s="24"/>
      <c r="C1042343" s="24"/>
      <c r="D1042343" s="24"/>
      <c r="E1042343" s="24"/>
      <c r="F1042343" s="24"/>
      <c r="G1042343" s="24"/>
      <c r="H1042343" s="24"/>
      <c r="I1042343" s="24"/>
      <c r="J1042343" s="24"/>
      <c r="K1042343" s="54"/>
    </row>
    <row r="1042344" spans="1:11" s="55" customFormat="1" ht="12.75">
      <c r="A1042344" s="24"/>
      <c r="B1042344" s="24"/>
      <c r="C1042344" s="24"/>
      <c r="D1042344" s="24"/>
      <c r="E1042344" s="24"/>
      <c r="F1042344" s="24"/>
      <c r="G1042344" s="24"/>
      <c r="H1042344" s="24"/>
      <c r="I1042344" s="24"/>
      <c r="J1042344" s="24"/>
      <c r="K1042344" s="54"/>
    </row>
    <row r="1042345" spans="1:11" s="55" customFormat="1" ht="12.75">
      <c r="A1042345" s="24"/>
      <c r="B1042345" s="24"/>
      <c r="C1042345" s="24"/>
      <c r="D1042345" s="24"/>
      <c r="E1042345" s="24"/>
      <c r="F1042345" s="24"/>
      <c r="G1042345" s="24"/>
      <c r="H1042345" s="24"/>
      <c r="I1042345" s="24"/>
      <c r="J1042345" s="24"/>
      <c r="K1042345" s="54"/>
    </row>
    <row r="1042346" spans="1:11" s="55" customFormat="1" ht="12.75">
      <c r="A1042346" s="24"/>
      <c r="B1042346" s="24"/>
      <c r="C1042346" s="24"/>
      <c r="D1042346" s="24"/>
      <c r="E1042346" s="24"/>
      <c r="F1042346" s="24"/>
      <c r="G1042346" s="24"/>
      <c r="H1042346" s="24"/>
      <c r="I1042346" s="24"/>
      <c r="J1042346" s="24"/>
      <c r="K1042346" s="54"/>
    </row>
    <row r="1042347" spans="1:11" s="55" customFormat="1" ht="12.75">
      <c r="A1042347" s="24"/>
      <c r="B1042347" s="24"/>
      <c r="C1042347" s="24"/>
      <c r="D1042347" s="24"/>
      <c r="E1042347" s="24"/>
      <c r="F1042347" s="24"/>
      <c r="G1042347" s="24"/>
      <c r="H1042347" s="24"/>
      <c r="I1042347" s="24"/>
      <c r="J1042347" s="24"/>
      <c r="K1042347" s="54"/>
    </row>
    <row r="1042348" spans="1:11" s="55" customFormat="1" ht="12.75">
      <c r="A1042348" s="24"/>
      <c r="B1042348" s="24"/>
      <c r="C1042348" s="24"/>
      <c r="D1042348" s="24"/>
      <c r="E1042348" s="24"/>
      <c r="F1042348" s="24"/>
      <c r="G1042348" s="24"/>
      <c r="H1042348" s="24"/>
      <c r="I1042348" s="24"/>
      <c r="J1042348" s="24"/>
      <c r="K1042348" s="54"/>
    </row>
    <row r="1042349" spans="1:11" s="55" customFormat="1" ht="12.75">
      <c r="A1042349" s="24"/>
      <c r="B1042349" s="24"/>
      <c r="C1042349" s="24"/>
      <c r="D1042349" s="24"/>
      <c r="E1042349" s="24"/>
      <c r="F1042349" s="24"/>
      <c r="G1042349" s="24"/>
      <c r="H1042349" s="24"/>
      <c r="I1042349" s="24"/>
      <c r="J1042349" s="24"/>
      <c r="K1042349" s="54"/>
    </row>
    <row r="1042350" spans="1:11" s="55" customFormat="1" ht="12.75">
      <c r="A1042350" s="24"/>
      <c r="B1042350" s="24"/>
      <c r="C1042350" s="24"/>
      <c r="D1042350" s="24"/>
      <c r="E1042350" s="24"/>
      <c r="F1042350" s="24"/>
      <c r="G1042350" s="24"/>
      <c r="H1042350" s="24"/>
      <c r="I1042350" s="24"/>
      <c r="J1042350" s="24"/>
      <c r="K1042350" s="54"/>
    </row>
    <row r="1042351" spans="1:11" s="55" customFormat="1" ht="12.75">
      <c r="A1042351" s="24"/>
      <c r="B1042351" s="24"/>
      <c r="C1042351" s="24"/>
      <c r="D1042351" s="24"/>
      <c r="E1042351" s="24"/>
      <c r="F1042351" s="24"/>
      <c r="G1042351" s="24"/>
      <c r="H1042351" s="24"/>
      <c r="I1042351" s="24"/>
      <c r="J1042351" s="24"/>
      <c r="K1042351" s="54"/>
    </row>
    <row r="1042352" spans="1:11" s="55" customFormat="1" ht="12.75">
      <c r="A1042352" s="24"/>
      <c r="B1042352" s="24"/>
      <c r="C1042352" s="24"/>
      <c r="D1042352" s="24"/>
      <c r="E1042352" s="24"/>
      <c r="F1042352" s="24"/>
      <c r="G1042352" s="24"/>
      <c r="H1042352" s="24"/>
      <c r="I1042352" s="24"/>
      <c r="J1042352" s="24"/>
      <c r="K1042352" s="54"/>
    </row>
    <row r="1042353" spans="1:11" s="55" customFormat="1" ht="12.75">
      <c r="A1042353" s="24"/>
      <c r="B1042353" s="24"/>
      <c r="C1042353" s="24"/>
      <c r="D1042353" s="24"/>
      <c r="E1042353" s="24"/>
      <c r="F1042353" s="24"/>
      <c r="G1042353" s="24"/>
      <c r="H1042353" s="24"/>
      <c r="I1042353" s="24"/>
      <c r="J1042353" s="24"/>
      <c r="K1042353" s="54"/>
    </row>
    <row r="1042354" spans="1:11" s="55" customFormat="1" ht="12.75">
      <c r="A1042354" s="24"/>
      <c r="B1042354" s="24"/>
      <c r="C1042354" s="24"/>
      <c r="D1042354" s="24"/>
      <c r="E1042354" s="24"/>
      <c r="F1042354" s="24"/>
      <c r="G1042354" s="24"/>
      <c r="H1042354" s="24"/>
      <c r="I1042354" s="24"/>
      <c r="J1042354" s="24"/>
      <c r="K1042354" s="54"/>
    </row>
    <row r="1042355" spans="1:11" s="55" customFormat="1" ht="12.75">
      <c r="A1042355" s="24"/>
      <c r="B1042355" s="24"/>
      <c r="C1042355" s="24"/>
      <c r="D1042355" s="24"/>
      <c r="E1042355" s="24"/>
      <c r="F1042355" s="24"/>
      <c r="G1042355" s="24"/>
      <c r="H1042355" s="24"/>
      <c r="I1042355" s="24"/>
      <c r="J1042355" s="24"/>
      <c r="K1042355" s="54"/>
    </row>
    <row r="1042356" spans="1:11" s="55" customFormat="1" ht="12.75">
      <c r="A1042356" s="24"/>
      <c r="B1042356" s="24"/>
      <c r="C1042356" s="24"/>
      <c r="D1042356" s="24"/>
      <c r="E1042356" s="24"/>
      <c r="F1042356" s="24"/>
      <c r="G1042356" s="24"/>
      <c r="H1042356" s="24"/>
      <c r="I1042356" s="24"/>
      <c r="J1042356" s="24"/>
      <c r="K1042356" s="54"/>
    </row>
    <row r="1042357" spans="1:11" s="55" customFormat="1" ht="12.75">
      <c r="A1042357" s="24"/>
      <c r="B1042357" s="24"/>
      <c r="C1042357" s="24"/>
      <c r="D1042357" s="24"/>
      <c r="E1042357" s="24"/>
      <c r="F1042357" s="24"/>
      <c r="G1042357" s="24"/>
      <c r="H1042357" s="24"/>
      <c r="I1042357" s="24"/>
      <c r="J1042357" s="24"/>
      <c r="K1042357" s="54"/>
    </row>
    <row r="1042358" spans="1:11" s="55" customFormat="1" ht="12.75">
      <c r="A1042358" s="24"/>
      <c r="B1042358" s="24"/>
      <c r="C1042358" s="24"/>
      <c r="D1042358" s="24"/>
      <c r="E1042358" s="24"/>
      <c r="F1042358" s="24"/>
      <c r="G1042358" s="24"/>
      <c r="H1042358" s="24"/>
      <c r="I1042358" s="24"/>
      <c r="J1042358" s="24"/>
      <c r="K1042358" s="54"/>
    </row>
    <row r="1042359" spans="1:11" s="55" customFormat="1" ht="12.75">
      <c r="A1042359" s="24"/>
      <c r="B1042359" s="24"/>
      <c r="C1042359" s="24"/>
      <c r="D1042359" s="24"/>
      <c r="E1042359" s="24"/>
      <c r="F1042359" s="24"/>
      <c r="G1042359" s="24"/>
      <c r="H1042359" s="24"/>
      <c r="I1042359" s="24"/>
      <c r="J1042359" s="24"/>
      <c r="K1042359" s="54"/>
    </row>
    <row r="1042360" spans="1:11" s="55" customFormat="1" ht="12.75">
      <c r="A1042360" s="24"/>
      <c r="B1042360" s="24"/>
      <c r="C1042360" s="24"/>
      <c r="D1042360" s="24"/>
      <c r="E1042360" s="24"/>
      <c r="F1042360" s="24"/>
      <c r="G1042360" s="24"/>
      <c r="H1042360" s="24"/>
      <c r="I1042360" s="24"/>
      <c r="J1042360" s="24"/>
      <c r="K1042360" s="54"/>
    </row>
    <row r="1042361" spans="1:11" s="55" customFormat="1" ht="12.75">
      <c r="A1042361" s="24"/>
      <c r="B1042361" s="24"/>
      <c r="C1042361" s="24"/>
      <c r="D1042361" s="24"/>
      <c r="E1042361" s="24"/>
      <c r="F1042361" s="24"/>
      <c r="G1042361" s="24"/>
      <c r="H1042361" s="24"/>
      <c r="I1042361" s="24"/>
      <c r="J1042361" s="24"/>
      <c r="K1042361" s="54"/>
    </row>
    <row r="1042362" spans="1:11" s="55" customFormat="1" ht="12.75">
      <c r="A1042362" s="24"/>
      <c r="B1042362" s="24"/>
      <c r="C1042362" s="24"/>
      <c r="D1042362" s="24"/>
      <c r="E1042362" s="24"/>
      <c r="F1042362" s="24"/>
      <c r="G1042362" s="24"/>
      <c r="H1042362" s="24"/>
      <c r="I1042362" s="24"/>
      <c r="J1042362" s="24"/>
      <c r="K1042362" s="54"/>
    </row>
    <row r="1042363" spans="1:11" s="55" customFormat="1" ht="12.75">
      <c r="A1042363" s="24"/>
      <c r="B1042363" s="24"/>
      <c r="C1042363" s="24"/>
      <c r="D1042363" s="24"/>
      <c r="E1042363" s="24"/>
      <c r="F1042363" s="24"/>
      <c r="G1042363" s="24"/>
      <c r="H1042363" s="24"/>
      <c r="I1042363" s="24"/>
      <c r="J1042363" s="24"/>
      <c r="K1042363" s="54"/>
    </row>
    <row r="1042364" spans="1:11" s="55" customFormat="1" ht="12.75">
      <c r="A1042364" s="24"/>
      <c r="B1042364" s="24"/>
      <c r="C1042364" s="24"/>
      <c r="D1042364" s="24"/>
      <c r="E1042364" s="24"/>
      <c r="F1042364" s="24"/>
      <c r="G1042364" s="24"/>
      <c r="H1042364" s="24"/>
      <c r="I1042364" s="24"/>
      <c r="J1042364" s="24"/>
      <c r="K1042364" s="54"/>
    </row>
    <row r="1042365" spans="1:11" s="55" customFormat="1" ht="12.75">
      <c r="A1042365" s="24"/>
      <c r="B1042365" s="24"/>
      <c r="C1042365" s="24"/>
      <c r="D1042365" s="24"/>
      <c r="E1042365" s="24"/>
      <c r="F1042365" s="24"/>
      <c r="G1042365" s="24"/>
      <c r="H1042365" s="24"/>
      <c r="I1042365" s="24"/>
      <c r="J1042365" s="24"/>
      <c r="K1042365" s="54"/>
    </row>
    <row r="1042366" spans="1:11" s="55" customFormat="1" ht="12.75">
      <c r="A1042366" s="24"/>
      <c r="B1042366" s="24"/>
      <c r="C1042366" s="24"/>
      <c r="D1042366" s="24"/>
      <c r="E1042366" s="24"/>
      <c r="F1042366" s="24"/>
      <c r="G1042366" s="24"/>
      <c r="H1042366" s="24"/>
      <c r="I1042366" s="24"/>
      <c r="J1042366" s="24"/>
      <c r="K1042366" s="54"/>
    </row>
    <row r="1042367" spans="1:11" s="55" customFormat="1" ht="12.75">
      <c r="A1042367" s="24"/>
      <c r="B1042367" s="24"/>
      <c r="C1042367" s="24"/>
      <c r="D1042367" s="24"/>
      <c r="E1042367" s="24"/>
      <c r="F1042367" s="24"/>
      <c r="G1042367" s="24"/>
      <c r="H1042367" s="24"/>
      <c r="I1042367" s="24"/>
      <c r="J1042367" s="24"/>
      <c r="K1042367" s="54"/>
    </row>
    <row r="1042368" spans="1:11" s="55" customFormat="1" ht="12.75">
      <c r="A1042368" s="24"/>
      <c r="B1042368" s="24"/>
      <c r="C1042368" s="24"/>
      <c r="D1042368" s="24"/>
      <c r="E1042368" s="24"/>
      <c r="F1042368" s="24"/>
      <c r="G1042368" s="24"/>
      <c r="H1042368" s="24"/>
      <c r="I1042368" s="24"/>
      <c r="J1042368" s="24"/>
      <c r="K1042368" s="54"/>
    </row>
    <row r="1042369" spans="1:11" s="55" customFormat="1" ht="12.75">
      <c r="A1042369" s="24"/>
      <c r="B1042369" s="24"/>
      <c r="C1042369" s="24"/>
      <c r="D1042369" s="24"/>
      <c r="E1042369" s="24"/>
      <c r="F1042369" s="24"/>
      <c r="G1042369" s="24"/>
      <c r="H1042369" s="24"/>
      <c r="I1042369" s="24"/>
      <c r="J1042369" s="24"/>
      <c r="K1042369" s="54"/>
    </row>
    <row r="1042370" spans="1:11" s="55" customFormat="1" ht="12.75">
      <c r="A1042370" s="24"/>
      <c r="B1042370" s="24"/>
      <c r="C1042370" s="24"/>
      <c r="D1042370" s="24"/>
      <c r="E1042370" s="24"/>
      <c r="F1042370" s="24"/>
      <c r="G1042370" s="24"/>
      <c r="H1042370" s="24"/>
      <c r="I1042370" s="24"/>
      <c r="J1042370" s="24"/>
      <c r="K1042370" s="54"/>
    </row>
    <row r="1042371" spans="1:11" s="55" customFormat="1" ht="12.75">
      <c r="A1042371" s="24"/>
      <c r="B1042371" s="24"/>
      <c r="C1042371" s="24"/>
      <c r="D1042371" s="24"/>
      <c r="E1042371" s="24"/>
      <c r="F1042371" s="24"/>
      <c r="G1042371" s="24"/>
      <c r="H1042371" s="24"/>
      <c r="I1042371" s="24"/>
      <c r="J1042371" s="24"/>
      <c r="K1042371" s="54"/>
    </row>
    <row r="1042372" spans="1:11" s="55" customFormat="1" ht="12.75">
      <c r="A1042372" s="24"/>
      <c r="B1042372" s="24"/>
      <c r="C1042372" s="24"/>
      <c r="D1042372" s="24"/>
      <c r="E1042372" s="24"/>
      <c r="F1042372" s="24"/>
      <c r="G1042372" s="24"/>
      <c r="H1042372" s="24"/>
      <c r="I1042372" s="24"/>
      <c r="J1042372" s="24"/>
      <c r="K1042372" s="54"/>
    </row>
    <row r="1042373" spans="1:11" s="55" customFormat="1" ht="12.75">
      <c r="A1042373" s="24"/>
      <c r="B1042373" s="24"/>
      <c r="C1042373" s="24"/>
      <c r="D1042373" s="24"/>
      <c r="E1042373" s="24"/>
      <c r="F1042373" s="24"/>
      <c r="G1042373" s="24"/>
      <c r="H1042373" s="24"/>
      <c r="I1042373" s="24"/>
      <c r="J1042373" s="24"/>
      <c r="K1042373" s="54"/>
    </row>
    <row r="1042374" spans="1:11" s="55" customFormat="1" ht="12.75">
      <c r="A1042374" s="24"/>
      <c r="B1042374" s="24"/>
      <c r="C1042374" s="24"/>
      <c r="D1042374" s="24"/>
      <c r="E1042374" s="24"/>
      <c r="F1042374" s="24"/>
      <c r="G1042374" s="24"/>
      <c r="H1042374" s="24"/>
      <c r="I1042374" s="24"/>
      <c r="J1042374" s="24"/>
      <c r="K1042374" s="54"/>
    </row>
    <row r="1042375" spans="1:11" s="55" customFormat="1" ht="12.75">
      <c r="A1042375" s="24"/>
      <c r="B1042375" s="24"/>
      <c r="C1042375" s="24"/>
      <c r="D1042375" s="24"/>
      <c r="E1042375" s="24"/>
      <c r="F1042375" s="24"/>
      <c r="G1042375" s="24"/>
      <c r="H1042375" s="24"/>
      <c r="I1042375" s="24"/>
      <c r="J1042375" s="24"/>
      <c r="K1042375" s="54"/>
    </row>
    <row r="1042376" spans="1:11" s="55" customFormat="1" ht="12.75">
      <c r="A1042376" s="24"/>
      <c r="B1042376" s="24"/>
      <c r="C1042376" s="24"/>
      <c r="D1042376" s="24"/>
      <c r="E1042376" s="24"/>
      <c r="F1042376" s="24"/>
      <c r="G1042376" s="24"/>
      <c r="H1042376" s="24"/>
      <c r="I1042376" s="24"/>
      <c r="J1042376" s="24"/>
      <c r="K1042376" s="54"/>
    </row>
    <row r="1042377" spans="1:11" s="55" customFormat="1" ht="12.75">
      <c r="A1042377" s="24"/>
      <c r="B1042377" s="24"/>
      <c r="C1042377" s="24"/>
      <c r="D1042377" s="24"/>
      <c r="E1042377" s="24"/>
      <c r="F1042377" s="24"/>
      <c r="G1042377" s="24"/>
      <c r="H1042377" s="24"/>
      <c r="I1042377" s="24"/>
      <c r="J1042377" s="24"/>
      <c r="K1042377" s="54"/>
    </row>
    <row r="1042378" spans="1:11" s="55" customFormat="1" ht="12.75">
      <c r="A1042378" s="24"/>
      <c r="B1042378" s="24"/>
      <c r="C1042378" s="24"/>
      <c r="D1042378" s="24"/>
      <c r="E1042378" s="24"/>
      <c r="F1042378" s="24"/>
      <c r="G1042378" s="24"/>
      <c r="H1042378" s="24"/>
      <c r="I1042378" s="24"/>
      <c r="J1042378" s="24"/>
      <c r="K1042378" s="54"/>
    </row>
    <row r="1042379" spans="1:11" s="55" customFormat="1" ht="12.75">
      <c r="A1042379" s="24"/>
      <c r="B1042379" s="24"/>
      <c r="C1042379" s="24"/>
      <c r="D1042379" s="24"/>
      <c r="E1042379" s="24"/>
      <c r="F1042379" s="24"/>
      <c r="G1042379" s="24"/>
      <c r="H1042379" s="24"/>
      <c r="I1042379" s="24"/>
      <c r="J1042379" s="24"/>
      <c r="K1042379" s="54"/>
    </row>
    <row r="1042380" spans="1:11" s="55" customFormat="1" ht="12.75">
      <c r="A1042380" s="24"/>
      <c r="B1042380" s="24"/>
      <c r="C1042380" s="24"/>
      <c r="D1042380" s="24"/>
      <c r="E1042380" s="24"/>
      <c r="F1042380" s="24"/>
      <c r="G1042380" s="24"/>
      <c r="H1042380" s="24"/>
      <c r="I1042380" s="24"/>
      <c r="J1042380" s="24"/>
      <c r="K1042380" s="54"/>
    </row>
    <row r="1042381" spans="1:11" s="55" customFormat="1" ht="12.75">
      <c r="A1042381" s="24"/>
      <c r="B1042381" s="24"/>
      <c r="C1042381" s="24"/>
      <c r="D1042381" s="24"/>
      <c r="E1042381" s="24"/>
      <c r="F1042381" s="24"/>
      <c r="G1042381" s="24"/>
      <c r="H1042381" s="24"/>
      <c r="I1042381" s="24"/>
      <c r="J1042381" s="24"/>
      <c r="K1042381" s="54"/>
    </row>
    <row r="1042382" spans="1:11" s="55" customFormat="1" ht="12.75">
      <c r="A1042382" s="24"/>
      <c r="B1042382" s="24"/>
      <c r="C1042382" s="24"/>
      <c r="D1042382" s="24"/>
      <c r="E1042382" s="24"/>
      <c r="F1042382" s="24"/>
      <c r="G1042382" s="24"/>
      <c r="H1042382" s="24"/>
      <c r="I1042382" s="24"/>
      <c r="J1042382" s="24"/>
      <c r="K1042382" s="54"/>
    </row>
    <row r="1042383" spans="1:11" s="55" customFormat="1" ht="12.75">
      <c r="A1042383" s="24"/>
      <c r="B1042383" s="24"/>
      <c r="C1042383" s="24"/>
      <c r="D1042383" s="24"/>
      <c r="E1042383" s="24"/>
      <c r="F1042383" s="24"/>
      <c r="G1042383" s="24"/>
      <c r="H1042383" s="24"/>
      <c r="I1042383" s="24"/>
      <c r="J1042383" s="24"/>
      <c r="K1042383" s="54"/>
    </row>
    <row r="1042384" spans="1:11" s="55" customFormat="1" ht="12.75">
      <c r="A1042384" s="24"/>
      <c r="B1042384" s="24"/>
      <c r="C1042384" s="24"/>
      <c r="D1042384" s="24"/>
      <c r="E1042384" s="24"/>
      <c r="F1042384" s="24"/>
      <c r="G1042384" s="24"/>
      <c r="H1042384" s="24"/>
      <c r="I1042384" s="24"/>
      <c r="J1042384" s="24"/>
      <c r="K1042384" s="54"/>
    </row>
    <row r="1042385" spans="1:11" s="55" customFormat="1" ht="12.75">
      <c r="A1042385" s="24"/>
      <c r="B1042385" s="24"/>
      <c r="C1042385" s="24"/>
      <c r="D1042385" s="24"/>
      <c r="E1042385" s="24"/>
      <c r="F1042385" s="24"/>
      <c r="G1042385" s="24"/>
      <c r="H1042385" s="24"/>
      <c r="I1042385" s="24"/>
      <c r="J1042385" s="24"/>
      <c r="K1042385" s="54"/>
    </row>
    <row r="1042386" spans="1:11" s="55" customFormat="1" ht="12.75">
      <c r="A1042386" s="24"/>
      <c r="B1042386" s="24"/>
      <c r="C1042386" s="24"/>
      <c r="D1042386" s="24"/>
      <c r="E1042386" s="24"/>
      <c r="F1042386" s="24"/>
      <c r="G1042386" s="24"/>
      <c r="H1042386" s="24"/>
      <c r="I1042386" s="24"/>
      <c r="J1042386" s="24"/>
      <c r="K1042386" s="54"/>
    </row>
    <row r="1042387" spans="1:11" s="55" customFormat="1" ht="12.75">
      <c r="A1042387" s="24"/>
      <c r="B1042387" s="24"/>
      <c r="C1042387" s="24"/>
      <c r="D1042387" s="24"/>
      <c r="E1042387" s="24"/>
      <c r="F1042387" s="24"/>
      <c r="G1042387" s="24"/>
      <c r="H1042387" s="24"/>
      <c r="I1042387" s="24"/>
      <c r="J1042387" s="24"/>
      <c r="K1042387" s="54"/>
    </row>
    <row r="1042388" spans="1:11" s="55" customFormat="1" ht="12.75">
      <c r="A1042388" s="24"/>
      <c r="B1042388" s="24"/>
      <c r="C1042388" s="24"/>
      <c r="D1042388" s="24"/>
      <c r="E1042388" s="24"/>
      <c r="F1042388" s="24"/>
      <c r="G1042388" s="24"/>
      <c r="H1042388" s="24"/>
      <c r="I1042388" s="24"/>
      <c r="J1042388" s="24"/>
      <c r="K1042388" s="54"/>
    </row>
    <row r="1042389" spans="1:11" s="55" customFormat="1" ht="12.75">
      <c r="A1042389" s="24"/>
      <c r="B1042389" s="24"/>
      <c r="C1042389" s="24"/>
      <c r="D1042389" s="24"/>
      <c r="E1042389" s="24"/>
      <c r="F1042389" s="24"/>
      <c r="G1042389" s="24"/>
      <c r="H1042389" s="24"/>
      <c r="I1042389" s="24"/>
      <c r="J1042389" s="24"/>
      <c r="K1042389" s="54"/>
    </row>
    <row r="1042390" spans="1:11" s="55" customFormat="1" ht="12.75">
      <c r="A1042390" s="24"/>
      <c r="B1042390" s="24"/>
      <c r="C1042390" s="24"/>
      <c r="D1042390" s="24"/>
      <c r="E1042390" s="24"/>
      <c r="F1042390" s="24"/>
      <c r="G1042390" s="24"/>
      <c r="H1042390" s="24"/>
      <c r="I1042390" s="24"/>
      <c r="J1042390" s="24"/>
      <c r="K1042390" s="54"/>
    </row>
    <row r="1042391" spans="1:11" s="55" customFormat="1" ht="12.75">
      <c r="A1042391" s="24"/>
      <c r="B1042391" s="24"/>
      <c r="C1042391" s="24"/>
      <c r="D1042391" s="24"/>
      <c r="E1042391" s="24"/>
      <c r="F1042391" s="24"/>
      <c r="G1042391" s="24"/>
      <c r="H1042391" s="24"/>
      <c r="I1042391" s="24"/>
      <c r="J1042391" s="24"/>
      <c r="K1042391" s="54"/>
    </row>
    <row r="1042392" spans="1:11" s="55" customFormat="1" ht="12.75">
      <c r="A1042392" s="24"/>
      <c r="B1042392" s="24"/>
      <c r="C1042392" s="24"/>
      <c r="D1042392" s="24"/>
      <c r="E1042392" s="24"/>
      <c r="F1042392" s="24"/>
      <c r="G1042392" s="24"/>
      <c r="H1042392" s="24"/>
      <c r="I1042392" s="24"/>
      <c r="J1042392" s="24"/>
      <c r="K1042392" s="54"/>
    </row>
    <row r="1042393" spans="1:11" s="55" customFormat="1" ht="12.75">
      <c r="A1042393" s="24"/>
      <c r="B1042393" s="24"/>
      <c r="C1042393" s="24"/>
      <c r="D1042393" s="24"/>
      <c r="E1042393" s="24"/>
      <c r="F1042393" s="24"/>
      <c r="G1042393" s="24"/>
      <c r="H1042393" s="24"/>
      <c r="I1042393" s="24"/>
      <c r="J1042393" s="24"/>
      <c r="K1042393" s="54"/>
    </row>
    <row r="1042394" spans="1:11" s="55" customFormat="1" ht="12.75">
      <c r="A1042394" s="24"/>
      <c r="B1042394" s="24"/>
      <c r="C1042394" s="24"/>
      <c r="D1042394" s="24"/>
      <c r="E1042394" s="24"/>
      <c r="F1042394" s="24"/>
      <c r="G1042394" s="24"/>
      <c r="H1042394" s="24"/>
      <c r="I1042394" s="24"/>
      <c r="J1042394" s="24"/>
      <c r="K1042394" s="54"/>
    </row>
    <row r="1042395" spans="1:11" s="55" customFormat="1" ht="12.75">
      <c r="A1042395" s="24"/>
      <c r="B1042395" s="24"/>
      <c r="C1042395" s="24"/>
      <c r="D1042395" s="24"/>
      <c r="E1042395" s="24"/>
      <c r="F1042395" s="24"/>
      <c r="G1042395" s="24"/>
      <c r="H1042395" s="24"/>
      <c r="I1042395" s="24"/>
      <c r="J1042395" s="24"/>
      <c r="K1042395" s="54"/>
    </row>
    <row r="1042396" spans="1:11" s="55" customFormat="1" ht="12.75">
      <c r="A1042396" s="24"/>
      <c r="B1042396" s="24"/>
      <c r="C1042396" s="24"/>
      <c r="D1042396" s="24"/>
      <c r="E1042396" s="24"/>
      <c r="F1042396" s="24"/>
      <c r="G1042396" s="24"/>
      <c r="H1042396" s="24"/>
      <c r="I1042396" s="24"/>
      <c r="J1042396" s="24"/>
      <c r="K1042396" s="54"/>
    </row>
    <row r="1042397" spans="1:11" s="55" customFormat="1" ht="12.75">
      <c r="A1042397" s="24"/>
      <c r="B1042397" s="24"/>
      <c r="C1042397" s="24"/>
      <c r="D1042397" s="24"/>
      <c r="E1042397" s="24"/>
      <c r="F1042397" s="24"/>
      <c r="G1042397" s="24"/>
      <c r="H1042397" s="24"/>
      <c r="I1042397" s="24"/>
      <c r="J1042397" s="24"/>
      <c r="K1042397" s="54"/>
    </row>
    <row r="1042398" spans="1:11" s="55" customFormat="1" ht="12.75">
      <c r="A1042398" s="24"/>
      <c r="B1042398" s="24"/>
      <c r="C1042398" s="24"/>
      <c r="D1042398" s="24"/>
      <c r="E1042398" s="24"/>
      <c r="F1042398" s="24"/>
      <c r="G1042398" s="24"/>
      <c r="H1042398" s="24"/>
      <c r="I1042398" s="24"/>
      <c r="J1042398" s="24"/>
      <c r="K1042398" s="54"/>
    </row>
    <row r="1042399" spans="1:11" s="55" customFormat="1" ht="12.75">
      <c r="A1042399" s="24"/>
      <c r="B1042399" s="24"/>
      <c r="C1042399" s="24"/>
      <c r="D1042399" s="24"/>
      <c r="E1042399" s="24"/>
      <c r="F1042399" s="24"/>
      <c r="G1042399" s="24"/>
      <c r="H1042399" s="24"/>
      <c r="I1042399" s="24"/>
      <c r="J1042399" s="24"/>
      <c r="K1042399" s="54"/>
    </row>
    <row r="1042400" spans="1:11" s="55" customFormat="1" ht="12.75">
      <c r="A1042400" s="24"/>
      <c r="B1042400" s="24"/>
      <c r="C1042400" s="24"/>
      <c r="D1042400" s="24"/>
      <c r="E1042400" s="24"/>
      <c r="F1042400" s="24"/>
      <c r="G1042400" s="24"/>
      <c r="H1042400" s="24"/>
      <c r="I1042400" s="24"/>
      <c r="J1042400" s="24"/>
      <c r="K1042400" s="54"/>
    </row>
    <row r="1042401" spans="1:11" s="55" customFormat="1" ht="12.75">
      <c r="A1042401" s="24"/>
      <c r="B1042401" s="24"/>
      <c r="C1042401" s="24"/>
      <c r="D1042401" s="24"/>
      <c r="E1042401" s="24"/>
      <c r="F1042401" s="24"/>
      <c r="G1042401" s="24"/>
      <c r="H1042401" s="24"/>
      <c r="I1042401" s="24"/>
      <c r="J1042401" s="24"/>
      <c r="K1042401" s="54"/>
    </row>
    <row r="1042402" spans="1:11" s="55" customFormat="1" ht="12.75">
      <c r="A1042402" s="24"/>
      <c r="B1042402" s="24"/>
      <c r="C1042402" s="24"/>
      <c r="D1042402" s="24"/>
      <c r="E1042402" s="24"/>
      <c r="F1042402" s="24"/>
      <c r="G1042402" s="24"/>
      <c r="H1042402" s="24"/>
      <c r="I1042402" s="24"/>
      <c r="J1042402" s="24"/>
      <c r="K1042402" s="54"/>
    </row>
    <row r="1042403" spans="1:11" s="55" customFormat="1" ht="12.75">
      <c r="A1042403" s="24"/>
      <c r="B1042403" s="24"/>
      <c r="C1042403" s="24"/>
      <c r="D1042403" s="24"/>
      <c r="E1042403" s="24"/>
      <c r="F1042403" s="24"/>
      <c r="G1042403" s="24"/>
      <c r="H1042403" s="24"/>
      <c r="I1042403" s="24"/>
      <c r="J1042403" s="24"/>
      <c r="K1042403" s="54"/>
    </row>
    <row r="1042404" spans="1:11" s="55" customFormat="1" ht="12.75">
      <c r="A1042404" s="24"/>
      <c r="B1042404" s="24"/>
      <c r="C1042404" s="24"/>
      <c r="D1042404" s="24"/>
      <c r="E1042404" s="24"/>
      <c r="F1042404" s="24"/>
      <c r="G1042404" s="24"/>
      <c r="H1042404" s="24"/>
      <c r="I1042404" s="24"/>
      <c r="J1042404" s="24"/>
      <c r="K1042404" s="54"/>
    </row>
    <row r="1042405" spans="1:11" s="55" customFormat="1" ht="12.75">
      <c r="A1042405" s="24"/>
      <c r="B1042405" s="24"/>
      <c r="C1042405" s="24"/>
      <c r="D1042405" s="24"/>
      <c r="E1042405" s="24"/>
      <c r="F1042405" s="24"/>
      <c r="G1042405" s="24"/>
      <c r="H1042405" s="24"/>
      <c r="I1042405" s="24"/>
      <c r="J1042405" s="24"/>
      <c r="K1042405" s="54"/>
    </row>
    <row r="1042406" spans="1:11" s="55" customFormat="1" ht="12.75">
      <c r="A1042406" s="24"/>
      <c r="B1042406" s="24"/>
      <c r="C1042406" s="24"/>
      <c r="D1042406" s="24"/>
      <c r="E1042406" s="24"/>
      <c r="F1042406" s="24"/>
      <c r="G1042406" s="24"/>
      <c r="H1042406" s="24"/>
      <c r="I1042406" s="24"/>
      <c r="J1042406" s="24"/>
      <c r="K1042406" s="54"/>
    </row>
    <row r="1042407" spans="1:11" s="55" customFormat="1" ht="12.75">
      <c r="A1042407" s="24"/>
      <c r="B1042407" s="24"/>
      <c r="C1042407" s="24"/>
      <c r="D1042407" s="24"/>
      <c r="E1042407" s="24"/>
      <c r="F1042407" s="24"/>
      <c r="G1042407" s="24"/>
      <c r="H1042407" s="24"/>
      <c r="I1042407" s="24"/>
      <c r="J1042407" s="24"/>
      <c r="K1042407" s="54"/>
    </row>
    <row r="1042408" spans="1:11" s="55" customFormat="1" ht="12.75">
      <c r="A1042408" s="24"/>
      <c r="B1042408" s="24"/>
      <c r="C1042408" s="24"/>
      <c r="D1042408" s="24"/>
      <c r="E1042408" s="24"/>
      <c r="F1042408" s="24"/>
      <c r="G1042408" s="24"/>
      <c r="H1042408" s="24"/>
      <c r="I1042408" s="24"/>
      <c r="J1042408" s="24"/>
      <c r="K1042408" s="54"/>
    </row>
    <row r="1042409" spans="1:11" s="55" customFormat="1" ht="12.75">
      <c r="A1042409" s="24"/>
      <c r="B1042409" s="24"/>
      <c r="C1042409" s="24"/>
      <c r="D1042409" s="24"/>
      <c r="E1042409" s="24"/>
      <c r="F1042409" s="24"/>
      <c r="G1042409" s="24"/>
      <c r="H1042409" s="24"/>
      <c r="I1042409" s="24"/>
      <c r="J1042409" s="24"/>
      <c r="K1042409" s="54"/>
    </row>
    <row r="1042410" spans="1:11" s="55" customFormat="1" ht="12.75">
      <c r="A1042410" s="24"/>
      <c r="B1042410" s="24"/>
      <c r="C1042410" s="24"/>
      <c r="D1042410" s="24"/>
      <c r="E1042410" s="24"/>
      <c r="F1042410" s="24"/>
      <c r="G1042410" s="24"/>
      <c r="H1042410" s="24"/>
      <c r="I1042410" s="24"/>
      <c r="J1042410" s="24"/>
      <c r="K1042410" s="54"/>
    </row>
    <row r="1042411" spans="1:11" s="55" customFormat="1" ht="12.75">
      <c r="A1042411" s="24"/>
      <c r="B1042411" s="24"/>
      <c r="C1042411" s="24"/>
      <c r="D1042411" s="24"/>
      <c r="E1042411" s="24"/>
      <c r="F1042411" s="24"/>
      <c r="G1042411" s="24"/>
      <c r="H1042411" s="24"/>
      <c r="I1042411" s="24"/>
      <c r="J1042411" s="24"/>
      <c r="K1042411" s="54"/>
    </row>
    <row r="1042412" spans="1:11" s="55" customFormat="1" ht="12.75">
      <c r="A1042412" s="24"/>
      <c r="B1042412" s="24"/>
      <c r="C1042412" s="24"/>
      <c r="D1042412" s="24"/>
      <c r="E1042412" s="24"/>
      <c r="F1042412" s="24"/>
      <c r="G1042412" s="24"/>
      <c r="H1042412" s="24"/>
      <c r="I1042412" s="24"/>
      <c r="J1042412" s="24"/>
      <c r="K1042412" s="54"/>
    </row>
    <row r="1042413" spans="1:11" s="55" customFormat="1" ht="12.75">
      <c r="A1042413" s="24"/>
      <c r="B1042413" s="24"/>
      <c r="C1042413" s="24"/>
      <c r="D1042413" s="24"/>
      <c r="E1042413" s="24"/>
      <c r="F1042413" s="24"/>
      <c r="G1042413" s="24"/>
      <c r="H1042413" s="24"/>
      <c r="I1042413" s="24"/>
      <c r="J1042413" s="24"/>
      <c r="K1042413" s="54"/>
    </row>
    <row r="1042414" spans="1:11" s="55" customFormat="1" ht="12.75">
      <c r="A1042414" s="24"/>
      <c r="B1042414" s="24"/>
      <c r="C1042414" s="24"/>
      <c r="D1042414" s="24"/>
      <c r="E1042414" s="24"/>
      <c r="F1042414" s="24"/>
      <c r="G1042414" s="24"/>
      <c r="H1042414" s="24"/>
      <c r="I1042414" s="24"/>
      <c r="J1042414" s="24"/>
      <c r="K1042414" s="54"/>
    </row>
    <row r="1042415" spans="1:11" s="55" customFormat="1" ht="12.75">
      <c r="A1042415" s="24"/>
      <c r="B1042415" s="24"/>
      <c r="C1042415" s="24"/>
      <c r="D1042415" s="24"/>
      <c r="E1042415" s="24"/>
      <c r="F1042415" s="24"/>
      <c r="G1042415" s="24"/>
      <c r="H1042415" s="24"/>
      <c r="I1042415" s="24"/>
      <c r="J1042415" s="24"/>
      <c r="K1042415" s="54"/>
    </row>
    <row r="1042416" spans="1:11" s="55" customFormat="1" ht="12.75">
      <c r="A1042416" s="24"/>
      <c r="B1042416" s="24"/>
      <c r="C1042416" s="24"/>
      <c r="D1042416" s="24"/>
      <c r="E1042416" s="24"/>
      <c r="F1042416" s="24"/>
      <c r="G1042416" s="24"/>
      <c r="H1042416" s="24"/>
      <c r="I1042416" s="24"/>
      <c r="J1042416" s="24"/>
      <c r="K1042416" s="54"/>
    </row>
    <row r="1042417" spans="1:11" s="55" customFormat="1" ht="12.75">
      <c r="A1042417" s="24"/>
      <c r="B1042417" s="24"/>
      <c r="C1042417" s="24"/>
      <c r="D1042417" s="24"/>
      <c r="E1042417" s="24"/>
      <c r="F1042417" s="24"/>
      <c r="G1042417" s="24"/>
      <c r="H1042417" s="24"/>
      <c r="I1042417" s="24"/>
      <c r="J1042417" s="24"/>
      <c r="K1042417" s="54"/>
    </row>
    <row r="1042418" spans="1:11" s="55" customFormat="1" ht="12.75">
      <c r="A1042418" s="24"/>
      <c r="B1042418" s="24"/>
      <c r="C1042418" s="24"/>
      <c r="D1042418" s="24"/>
      <c r="E1042418" s="24"/>
      <c r="F1042418" s="24"/>
      <c r="G1042418" s="24"/>
      <c r="H1042418" s="24"/>
      <c r="I1042418" s="24"/>
      <c r="J1042418" s="24"/>
      <c r="K1042418" s="54"/>
    </row>
    <row r="1042419" spans="1:11" s="55" customFormat="1" ht="12.75">
      <c r="A1042419" s="24"/>
      <c r="B1042419" s="24"/>
      <c r="C1042419" s="24"/>
      <c r="D1042419" s="24"/>
      <c r="E1042419" s="24"/>
      <c r="F1042419" s="24"/>
      <c r="G1042419" s="24"/>
      <c r="H1042419" s="24"/>
      <c r="I1042419" s="24"/>
      <c r="J1042419" s="24"/>
      <c r="K1042419" s="54"/>
    </row>
    <row r="1042420" spans="1:11" s="55" customFormat="1" ht="12.75">
      <c r="A1042420" s="24"/>
      <c r="B1042420" s="24"/>
      <c r="C1042420" s="24"/>
      <c r="D1042420" s="24"/>
      <c r="E1042420" s="24"/>
      <c r="F1042420" s="24"/>
      <c r="G1042420" s="24"/>
      <c r="H1042420" s="24"/>
      <c r="I1042420" s="24"/>
      <c r="J1042420" s="24"/>
      <c r="K1042420" s="54"/>
    </row>
    <row r="1042421" spans="1:11" s="55" customFormat="1" ht="12.75">
      <c r="A1042421" s="24"/>
      <c r="B1042421" s="24"/>
      <c r="C1042421" s="24"/>
      <c r="D1042421" s="24"/>
      <c r="E1042421" s="24"/>
      <c r="F1042421" s="24"/>
      <c r="G1042421" s="24"/>
      <c r="H1042421" s="24"/>
      <c r="I1042421" s="24"/>
      <c r="J1042421" s="24"/>
      <c r="K1042421" s="54"/>
    </row>
    <row r="1042422" spans="1:11" s="55" customFormat="1" ht="12.75">
      <c r="A1042422" s="24"/>
      <c r="B1042422" s="24"/>
      <c r="C1042422" s="24"/>
      <c r="D1042422" s="24"/>
      <c r="E1042422" s="24"/>
      <c r="F1042422" s="24"/>
      <c r="G1042422" s="24"/>
      <c r="H1042422" s="24"/>
      <c r="I1042422" s="24"/>
      <c r="J1042422" s="24"/>
      <c r="K1042422" s="54"/>
    </row>
    <row r="1042423" spans="1:11" s="55" customFormat="1" ht="12.75">
      <c r="A1042423" s="24"/>
      <c r="B1042423" s="24"/>
      <c r="C1042423" s="24"/>
      <c r="D1042423" s="24"/>
      <c r="E1042423" s="24"/>
      <c r="F1042423" s="24"/>
      <c r="G1042423" s="24"/>
      <c r="H1042423" s="24"/>
      <c r="I1042423" s="24"/>
      <c r="J1042423" s="24"/>
      <c r="K1042423" s="54"/>
    </row>
    <row r="1042424" spans="1:11" s="55" customFormat="1" ht="12.75">
      <c r="A1042424" s="24"/>
      <c r="B1042424" s="24"/>
      <c r="C1042424" s="24"/>
      <c r="D1042424" s="24"/>
      <c r="E1042424" s="24"/>
      <c r="F1042424" s="24"/>
      <c r="G1042424" s="24"/>
      <c r="H1042424" s="24"/>
      <c r="I1042424" s="24"/>
      <c r="J1042424" s="24"/>
      <c r="K1042424" s="54"/>
    </row>
    <row r="1042425" spans="1:11" s="55" customFormat="1" ht="12.75">
      <c r="A1042425" s="24"/>
      <c r="B1042425" s="24"/>
      <c r="C1042425" s="24"/>
      <c r="D1042425" s="24"/>
      <c r="E1042425" s="24"/>
      <c r="F1042425" s="24"/>
      <c r="G1042425" s="24"/>
      <c r="H1042425" s="24"/>
      <c r="I1042425" s="24"/>
      <c r="J1042425" s="24"/>
      <c r="K1042425" s="54"/>
    </row>
    <row r="1042426" spans="1:11" s="55" customFormat="1" ht="12.75">
      <c r="A1042426" s="24"/>
      <c r="B1042426" s="24"/>
      <c r="C1042426" s="24"/>
      <c r="D1042426" s="24"/>
      <c r="E1042426" s="24"/>
      <c r="F1042426" s="24"/>
      <c r="G1042426" s="24"/>
      <c r="H1042426" s="24"/>
      <c r="I1042426" s="24"/>
      <c r="J1042426" s="24"/>
      <c r="K1042426" s="54"/>
    </row>
    <row r="1042427" spans="1:11" s="55" customFormat="1" ht="12.75">
      <c r="A1042427" s="24"/>
      <c r="B1042427" s="24"/>
      <c r="C1042427" s="24"/>
      <c r="D1042427" s="24"/>
      <c r="E1042427" s="24"/>
      <c r="F1042427" s="24"/>
      <c r="G1042427" s="24"/>
      <c r="H1042427" s="24"/>
      <c r="I1042427" s="24"/>
      <c r="J1042427" s="24"/>
      <c r="K1042427" s="54"/>
    </row>
    <row r="1042428" spans="1:11" s="55" customFormat="1" ht="12.75">
      <c r="A1042428" s="24"/>
      <c r="B1042428" s="24"/>
      <c r="C1042428" s="24"/>
      <c r="D1042428" s="24"/>
      <c r="E1042428" s="24"/>
      <c r="F1042428" s="24"/>
      <c r="G1042428" s="24"/>
      <c r="H1042428" s="24"/>
      <c r="I1042428" s="24"/>
      <c r="J1042428" s="24"/>
      <c r="K1042428" s="54"/>
    </row>
    <row r="1042429" spans="1:11" s="55" customFormat="1" ht="12.75">
      <c r="A1042429" s="24"/>
      <c r="B1042429" s="24"/>
      <c r="C1042429" s="24"/>
      <c r="D1042429" s="24"/>
      <c r="E1042429" s="24"/>
      <c r="F1042429" s="24"/>
      <c r="G1042429" s="24"/>
      <c r="H1042429" s="24"/>
      <c r="I1042429" s="24"/>
      <c r="J1042429" s="24"/>
      <c r="K1042429" s="54"/>
    </row>
    <row r="1042430" spans="1:11" s="55" customFormat="1" ht="12.75">
      <c r="A1042430" s="24"/>
      <c r="B1042430" s="24"/>
      <c r="C1042430" s="24"/>
      <c r="D1042430" s="24"/>
      <c r="E1042430" s="24"/>
      <c r="F1042430" s="24"/>
      <c r="G1042430" s="24"/>
      <c r="H1042430" s="24"/>
      <c r="I1042430" s="24"/>
      <c r="J1042430" s="24"/>
      <c r="K1042430" s="54"/>
    </row>
    <row r="1042431" spans="1:11" s="55" customFormat="1" ht="12.75">
      <c r="A1042431" s="24"/>
      <c r="B1042431" s="24"/>
      <c r="C1042431" s="24"/>
      <c r="D1042431" s="24"/>
      <c r="E1042431" s="24"/>
      <c r="F1042431" s="24"/>
      <c r="G1042431" s="24"/>
      <c r="H1042431" s="24"/>
      <c r="I1042431" s="24"/>
      <c r="J1042431" s="24"/>
      <c r="K1042431" s="54"/>
    </row>
    <row r="1042432" spans="1:11" s="55" customFormat="1" ht="12.75">
      <c r="A1042432" s="24"/>
      <c r="B1042432" s="24"/>
      <c r="C1042432" s="24"/>
      <c r="D1042432" s="24"/>
      <c r="E1042432" s="24"/>
      <c r="F1042432" s="24"/>
      <c r="G1042432" s="24"/>
      <c r="H1042432" s="24"/>
      <c r="I1042432" s="24"/>
      <c r="J1042432" s="24"/>
      <c r="K1042432" s="54"/>
    </row>
    <row r="1042433" spans="1:11" s="55" customFormat="1" ht="12.75">
      <c r="A1042433" s="24"/>
      <c r="B1042433" s="24"/>
      <c r="C1042433" s="24"/>
      <c r="D1042433" s="24"/>
      <c r="E1042433" s="24"/>
      <c r="F1042433" s="24"/>
      <c r="G1042433" s="24"/>
      <c r="H1042433" s="24"/>
      <c r="I1042433" s="24"/>
      <c r="J1042433" s="24"/>
      <c r="K1042433" s="54"/>
    </row>
    <row r="1042434" spans="1:11" s="55" customFormat="1" ht="12.75">
      <c r="A1042434" s="24"/>
      <c r="B1042434" s="24"/>
      <c r="C1042434" s="24"/>
      <c r="D1042434" s="24"/>
      <c r="E1042434" s="24"/>
      <c r="F1042434" s="24"/>
      <c r="G1042434" s="24"/>
      <c r="H1042434" s="24"/>
      <c r="I1042434" s="24"/>
      <c r="J1042434" s="24"/>
      <c r="K1042434" s="54"/>
    </row>
    <row r="1042435" spans="1:11" s="55" customFormat="1" ht="12.75">
      <c r="A1042435" s="24"/>
      <c r="B1042435" s="24"/>
      <c r="C1042435" s="24"/>
      <c r="D1042435" s="24"/>
      <c r="E1042435" s="24"/>
      <c r="F1042435" s="24"/>
      <c r="G1042435" s="24"/>
      <c r="H1042435" s="24"/>
      <c r="I1042435" s="24"/>
      <c r="J1042435" s="24"/>
      <c r="K1042435" s="54"/>
    </row>
    <row r="1042436" spans="1:11" s="55" customFormat="1" ht="12.75">
      <c r="A1042436" s="24"/>
      <c r="B1042436" s="24"/>
      <c r="C1042436" s="24"/>
      <c r="D1042436" s="24"/>
      <c r="E1042436" s="24"/>
      <c r="F1042436" s="24"/>
      <c r="G1042436" s="24"/>
      <c r="H1042436" s="24"/>
      <c r="I1042436" s="24"/>
      <c r="J1042436" s="24"/>
      <c r="K1042436" s="54"/>
    </row>
    <row r="1042437" spans="1:11" s="55" customFormat="1" ht="12.75">
      <c r="A1042437" s="24"/>
      <c r="B1042437" s="24"/>
      <c r="C1042437" s="24"/>
      <c r="D1042437" s="24"/>
      <c r="E1042437" s="24"/>
      <c r="F1042437" s="24"/>
      <c r="G1042437" s="24"/>
      <c r="H1042437" s="24"/>
      <c r="I1042437" s="24"/>
      <c r="J1042437" s="24"/>
      <c r="K1042437" s="54"/>
    </row>
    <row r="1042438" spans="1:11" s="55" customFormat="1" ht="12.75">
      <c r="A1042438" s="24"/>
      <c r="B1042438" s="24"/>
      <c r="C1042438" s="24"/>
      <c r="D1042438" s="24"/>
      <c r="E1042438" s="24"/>
      <c r="F1042438" s="24"/>
      <c r="G1042438" s="24"/>
      <c r="H1042438" s="24"/>
      <c r="I1042438" s="24"/>
      <c r="J1042438" s="24"/>
      <c r="K1042438" s="54"/>
    </row>
    <row r="1042439" spans="1:11" s="55" customFormat="1" ht="12.75">
      <c r="A1042439" s="24"/>
      <c r="B1042439" s="24"/>
      <c r="C1042439" s="24"/>
      <c r="D1042439" s="24"/>
      <c r="E1042439" s="24"/>
      <c r="F1042439" s="24"/>
      <c r="G1042439" s="24"/>
      <c r="H1042439" s="24"/>
      <c r="I1042439" s="24"/>
      <c r="J1042439" s="24"/>
      <c r="K1042439" s="54"/>
    </row>
    <row r="1042440" spans="1:11" s="55" customFormat="1" ht="12.75">
      <c r="A1042440" s="24"/>
      <c r="B1042440" s="24"/>
      <c r="C1042440" s="24"/>
      <c r="D1042440" s="24"/>
      <c r="E1042440" s="24"/>
      <c r="F1042440" s="24"/>
      <c r="G1042440" s="24"/>
      <c r="H1042440" s="24"/>
      <c r="I1042440" s="24"/>
      <c r="J1042440" s="24"/>
      <c r="K1042440" s="54"/>
    </row>
    <row r="1042441" spans="1:11" s="55" customFormat="1" ht="12.75">
      <c r="A1042441" s="24"/>
      <c r="B1042441" s="24"/>
      <c r="C1042441" s="24"/>
      <c r="D1042441" s="24"/>
      <c r="E1042441" s="24"/>
      <c r="F1042441" s="24"/>
      <c r="G1042441" s="24"/>
      <c r="H1042441" s="24"/>
      <c r="I1042441" s="24"/>
      <c r="J1042441" s="24"/>
      <c r="K1042441" s="54"/>
    </row>
    <row r="1042442" spans="1:11" s="55" customFormat="1" ht="12.75">
      <c r="A1042442" s="24"/>
      <c r="B1042442" s="24"/>
      <c r="C1042442" s="24"/>
      <c r="D1042442" s="24"/>
      <c r="E1042442" s="24"/>
      <c r="F1042442" s="24"/>
      <c r="G1042442" s="24"/>
      <c r="H1042442" s="24"/>
      <c r="I1042442" s="24"/>
      <c r="J1042442" s="24"/>
      <c r="K1042442" s="54"/>
    </row>
    <row r="1042443" spans="1:11" s="55" customFormat="1" ht="12.75">
      <c r="A1042443" s="24"/>
      <c r="B1042443" s="24"/>
      <c r="C1042443" s="24"/>
      <c r="D1042443" s="24"/>
      <c r="E1042443" s="24"/>
      <c r="F1042443" s="24"/>
      <c r="G1042443" s="24"/>
      <c r="H1042443" s="24"/>
      <c r="I1042443" s="24"/>
      <c r="J1042443" s="24"/>
      <c r="K1042443" s="54"/>
    </row>
    <row r="1042444" spans="1:11" s="55" customFormat="1" ht="12.75">
      <c r="A1042444" s="24"/>
      <c r="B1042444" s="24"/>
      <c r="C1042444" s="24"/>
      <c r="D1042444" s="24"/>
      <c r="E1042444" s="24"/>
      <c r="F1042444" s="24"/>
      <c r="G1042444" s="24"/>
      <c r="H1042444" s="24"/>
      <c r="I1042444" s="24"/>
      <c r="J1042444" s="24"/>
      <c r="K1042444" s="54"/>
    </row>
    <row r="1042445" spans="1:11" s="55" customFormat="1" ht="12.75">
      <c r="A1042445" s="24"/>
      <c r="B1042445" s="24"/>
      <c r="C1042445" s="24"/>
      <c r="D1042445" s="24"/>
      <c r="E1042445" s="24"/>
      <c r="F1042445" s="24"/>
      <c r="G1042445" s="24"/>
      <c r="H1042445" s="24"/>
      <c r="I1042445" s="24"/>
      <c r="J1042445" s="24"/>
      <c r="K1042445" s="54"/>
    </row>
    <row r="1042446" spans="1:11" s="55" customFormat="1" ht="12.75">
      <c r="A1042446" s="24"/>
      <c r="B1042446" s="24"/>
      <c r="C1042446" s="24"/>
      <c r="D1042446" s="24"/>
      <c r="E1042446" s="24"/>
      <c r="F1042446" s="24"/>
      <c r="G1042446" s="24"/>
      <c r="H1042446" s="24"/>
      <c r="I1042446" s="24"/>
      <c r="J1042446" s="24"/>
      <c r="K1042446" s="54"/>
    </row>
    <row r="1042447" spans="1:11" s="55" customFormat="1" ht="12.75">
      <c r="A1042447" s="24"/>
      <c r="B1042447" s="24"/>
      <c r="C1042447" s="24"/>
      <c r="D1042447" s="24"/>
      <c r="E1042447" s="24"/>
      <c r="F1042447" s="24"/>
      <c r="G1042447" s="24"/>
      <c r="H1042447" s="24"/>
      <c r="I1042447" s="24"/>
      <c r="J1042447" s="24"/>
      <c r="K1042447" s="54"/>
    </row>
    <row r="1042448" spans="1:11" s="55" customFormat="1" ht="12.75">
      <c r="A1042448" s="24"/>
      <c r="B1042448" s="24"/>
      <c r="C1042448" s="24"/>
      <c r="D1042448" s="24"/>
      <c r="E1042448" s="24"/>
      <c r="F1042448" s="24"/>
      <c r="G1042448" s="24"/>
      <c r="H1042448" s="24"/>
      <c r="I1042448" s="24"/>
      <c r="J1042448" s="24"/>
      <c r="K1042448" s="54"/>
    </row>
    <row r="1042449" spans="1:11" s="55" customFormat="1" ht="12.75">
      <c r="A1042449" s="24"/>
      <c r="B1042449" s="24"/>
      <c r="C1042449" s="24"/>
      <c r="D1042449" s="24"/>
      <c r="E1042449" s="24"/>
      <c r="F1042449" s="24"/>
      <c r="G1042449" s="24"/>
      <c r="H1042449" s="24"/>
      <c r="I1042449" s="24"/>
      <c r="J1042449" s="24"/>
      <c r="K1042449" s="54"/>
    </row>
    <row r="1042450" spans="1:11" s="55" customFormat="1" ht="12.75">
      <c r="A1042450" s="24"/>
      <c r="B1042450" s="24"/>
      <c r="C1042450" s="24"/>
      <c r="D1042450" s="24"/>
      <c r="E1042450" s="24"/>
      <c r="F1042450" s="24"/>
      <c r="G1042450" s="24"/>
      <c r="H1042450" s="24"/>
      <c r="I1042450" s="24"/>
      <c r="J1042450" s="24"/>
      <c r="K1042450" s="54"/>
    </row>
    <row r="1042451" spans="1:11" s="55" customFormat="1" ht="12.75">
      <c r="A1042451" s="24"/>
      <c r="B1042451" s="24"/>
      <c r="C1042451" s="24"/>
      <c r="D1042451" s="24"/>
      <c r="E1042451" s="24"/>
      <c r="F1042451" s="24"/>
      <c r="G1042451" s="24"/>
      <c r="H1042451" s="24"/>
      <c r="I1042451" s="24"/>
      <c r="J1042451" s="24"/>
      <c r="K1042451" s="54"/>
    </row>
    <row r="1042452" spans="1:11" s="55" customFormat="1" ht="12.75">
      <c r="A1042452" s="24"/>
      <c r="B1042452" s="24"/>
      <c r="C1042452" s="24"/>
      <c r="D1042452" s="24"/>
      <c r="E1042452" s="24"/>
      <c r="F1042452" s="24"/>
      <c r="G1042452" s="24"/>
      <c r="H1042452" s="24"/>
      <c r="I1042452" s="24"/>
      <c r="J1042452" s="24"/>
      <c r="K1042452" s="54"/>
    </row>
    <row r="1042453" spans="1:11" s="55" customFormat="1" ht="12.75">
      <c r="A1042453" s="24"/>
      <c r="B1042453" s="24"/>
      <c r="C1042453" s="24"/>
      <c r="D1042453" s="24"/>
      <c r="E1042453" s="24"/>
      <c r="F1042453" s="24"/>
      <c r="G1042453" s="24"/>
      <c r="H1042453" s="24"/>
      <c r="I1042453" s="24"/>
      <c r="J1042453" s="24"/>
      <c r="K1042453" s="54"/>
    </row>
    <row r="1042454" spans="1:11" s="55" customFormat="1" ht="12.75">
      <c r="A1042454" s="24"/>
      <c r="B1042454" s="24"/>
      <c r="C1042454" s="24"/>
      <c r="D1042454" s="24"/>
      <c r="E1042454" s="24"/>
      <c r="F1042454" s="24"/>
      <c r="G1042454" s="24"/>
      <c r="H1042454" s="24"/>
      <c r="I1042454" s="24"/>
      <c r="J1042454" s="24"/>
      <c r="K1042454" s="54"/>
    </row>
    <row r="1042455" spans="1:11" s="55" customFormat="1" ht="12.75">
      <c r="A1042455" s="24"/>
      <c r="B1042455" s="24"/>
      <c r="C1042455" s="24"/>
      <c r="D1042455" s="24"/>
      <c r="E1042455" s="24"/>
      <c r="F1042455" s="24"/>
      <c r="G1042455" s="24"/>
      <c r="H1042455" s="24"/>
      <c r="I1042455" s="24"/>
      <c r="J1042455" s="24"/>
      <c r="K1042455" s="54"/>
    </row>
    <row r="1042456" spans="1:11" s="55" customFormat="1" ht="12.75">
      <c r="A1042456" s="24"/>
      <c r="B1042456" s="24"/>
      <c r="C1042456" s="24"/>
      <c r="D1042456" s="24"/>
      <c r="E1042456" s="24"/>
      <c r="F1042456" s="24"/>
      <c r="G1042456" s="24"/>
      <c r="H1042456" s="24"/>
      <c r="I1042456" s="24"/>
      <c r="J1042456" s="24"/>
      <c r="K1042456" s="54"/>
    </row>
    <row r="1042457" spans="1:11" s="55" customFormat="1" ht="12.75">
      <c r="A1042457" s="24"/>
      <c r="B1042457" s="24"/>
      <c r="C1042457" s="24"/>
      <c r="D1042457" s="24"/>
      <c r="E1042457" s="24"/>
      <c r="F1042457" s="24"/>
      <c r="G1042457" s="24"/>
      <c r="H1042457" s="24"/>
      <c r="I1042457" s="24"/>
      <c r="J1042457" s="24"/>
      <c r="K1042457" s="54"/>
    </row>
    <row r="1042458" spans="1:11" s="55" customFormat="1" ht="12.75">
      <c r="A1042458" s="24"/>
      <c r="B1042458" s="24"/>
      <c r="C1042458" s="24"/>
      <c r="D1042458" s="24"/>
      <c r="E1042458" s="24"/>
      <c r="F1042458" s="24"/>
      <c r="G1042458" s="24"/>
      <c r="H1042458" s="24"/>
      <c r="I1042458" s="24"/>
      <c r="J1042458" s="24"/>
      <c r="K1042458" s="54"/>
    </row>
    <row r="1042459" spans="1:11" s="55" customFormat="1" ht="12.75">
      <c r="A1042459" s="24"/>
      <c r="B1042459" s="24"/>
      <c r="C1042459" s="24"/>
      <c r="D1042459" s="24"/>
      <c r="E1042459" s="24"/>
      <c r="F1042459" s="24"/>
      <c r="G1042459" s="24"/>
      <c r="H1042459" s="24"/>
      <c r="I1042459" s="24"/>
      <c r="J1042459" s="24"/>
      <c r="K1042459" s="54"/>
    </row>
    <row r="1042460" spans="1:11" s="55" customFormat="1" ht="12.75">
      <c r="A1042460" s="24"/>
      <c r="B1042460" s="24"/>
      <c r="C1042460" s="24"/>
      <c r="D1042460" s="24"/>
      <c r="E1042460" s="24"/>
      <c r="F1042460" s="24"/>
      <c r="G1042460" s="24"/>
      <c r="H1042460" s="24"/>
      <c r="I1042460" s="24"/>
      <c r="J1042460" s="24"/>
      <c r="K1042460" s="54"/>
    </row>
    <row r="1042461" spans="1:11" s="55" customFormat="1" ht="12.75">
      <c r="A1042461" s="24"/>
      <c r="B1042461" s="24"/>
      <c r="C1042461" s="24"/>
      <c r="D1042461" s="24"/>
      <c r="E1042461" s="24"/>
      <c r="F1042461" s="24"/>
      <c r="G1042461" s="24"/>
      <c r="H1042461" s="24"/>
      <c r="I1042461" s="24"/>
      <c r="J1042461" s="24"/>
      <c r="K1042461" s="54"/>
    </row>
    <row r="1042462" spans="1:11" s="55" customFormat="1" ht="12.75">
      <c r="A1042462" s="24"/>
      <c r="B1042462" s="24"/>
      <c r="C1042462" s="24"/>
      <c r="D1042462" s="24"/>
      <c r="E1042462" s="24"/>
      <c r="F1042462" s="24"/>
      <c r="G1042462" s="24"/>
      <c r="H1042462" s="24"/>
      <c r="I1042462" s="24"/>
      <c r="J1042462" s="24"/>
      <c r="K1042462" s="54"/>
    </row>
    <row r="1042463" spans="1:11" s="55" customFormat="1" ht="12.75">
      <c r="A1042463" s="24"/>
      <c r="B1042463" s="24"/>
      <c r="C1042463" s="24"/>
      <c r="D1042463" s="24"/>
      <c r="E1042463" s="24"/>
      <c r="F1042463" s="24"/>
      <c r="G1042463" s="24"/>
      <c r="H1042463" s="24"/>
      <c r="I1042463" s="24"/>
      <c r="J1042463" s="24"/>
      <c r="K1042463" s="54"/>
    </row>
    <row r="1042464" spans="1:11" s="55" customFormat="1" ht="12.75">
      <c r="A1042464" s="24"/>
      <c r="B1042464" s="24"/>
      <c r="C1042464" s="24"/>
      <c r="D1042464" s="24"/>
      <c r="E1042464" s="24"/>
      <c r="F1042464" s="24"/>
      <c r="G1042464" s="24"/>
      <c r="H1042464" s="24"/>
      <c r="I1042464" s="24"/>
      <c r="J1042464" s="24"/>
      <c r="K1042464" s="54"/>
    </row>
    <row r="1042465" spans="1:11" s="55" customFormat="1" ht="12.75">
      <c r="A1042465" s="24"/>
      <c r="B1042465" s="24"/>
      <c r="C1042465" s="24"/>
      <c r="D1042465" s="24"/>
      <c r="E1042465" s="24"/>
      <c r="F1042465" s="24"/>
      <c r="G1042465" s="24"/>
      <c r="H1042465" s="24"/>
      <c r="I1042465" s="24"/>
      <c r="J1042465" s="24"/>
      <c r="K1042465" s="54"/>
    </row>
    <row r="1042466" spans="1:11" s="55" customFormat="1" ht="12.75">
      <c r="A1042466" s="24"/>
      <c r="B1042466" s="24"/>
      <c r="C1042466" s="24"/>
      <c r="D1042466" s="24"/>
      <c r="E1042466" s="24"/>
      <c r="F1042466" s="24"/>
      <c r="G1042466" s="24"/>
      <c r="H1042466" s="24"/>
      <c r="I1042466" s="24"/>
      <c r="J1042466" s="24"/>
      <c r="K1042466" s="54"/>
    </row>
    <row r="1042467" spans="1:11" s="55" customFormat="1" ht="12.75">
      <c r="A1042467" s="24"/>
      <c r="B1042467" s="24"/>
      <c r="C1042467" s="24"/>
      <c r="D1042467" s="24"/>
      <c r="E1042467" s="24"/>
      <c r="F1042467" s="24"/>
      <c r="G1042467" s="24"/>
      <c r="H1042467" s="24"/>
      <c r="I1042467" s="24"/>
      <c r="J1042467" s="24"/>
      <c r="K1042467" s="54"/>
    </row>
    <row r="1042468" spans="1:11" s="55" customFormat="1" ht="12.75">
      <c r="A1042468" s="24"/>
      <c r="B1042468" s="24"/>
      <c r="C1042468" s="24"/>
      <c r="D1042468" s="24"/>
      <c r="E1042468" s="24"/>
      <c r="F1042468" s="24"/>
      <c r="G1042468" s="24"/>
      <c r="H1042468" s="24"/>
      <c r="I1042468" s="24"/>
      <c r="J1042468" s="24"/>
      <c r="K1042468" s="54"/>
    </row>
    <row r="1042469" spans="1:11" s="55" customFormat="1" ht="12.75">
      <c r="A1042469" s="24"/>
      <c r="B1042469" s="24"/>
      <c r="C1042469" s="24"/>
      <c r="D1042469" s="24"/>
      <c r="E1042469" s="24"/>
      <c r="F1042469" s="24"/>
      <c r="G1042469" s="24"/>
      <c r="H1042469" s="24"/>
      <c r="I1042469" s="24"/>
      <c r="J1042469" s="24"/>
      <c r="K1042469" s="54"/>
    </row>
    <row r="1042470" spans="1:11" s="55" customFormat="1" ht="12.75">
      <c r="A1042470" s="24"/>
      <c r="B1042470" s="24"/>
      <c r="C1042470" s="24"/>
      <c r="D1042470" s="24"/>
      <c r="E1042470" s="24"/>
      <c r="F1042470" s="24"/>
      <c r="G1042470" s="24"/>
      <c r="H1042470" s="24"/>
      <c r="I1042470" s="24"/>
      <c r="J1042470" s="24"/>
      <c r="K1042470" s="54"/>
    </row>
    <row r="1042471" spans="1:11" s="55" customFormat="1" ht="12.75">
      <c r="A1042471" s="24"/>
      <c r="B1042471" s="24"/>
      <c r="C1042471" s="24"/>
      <c r="D1042471" s="24"/>
      <c r="E1042471" s="24"/>
      <c r="F1042471" s="24"/>
      <c r="G1042471" s="24"/>
      <c r="H1042471" s="24"/>
      <c r="I1042471" s="24"/>
      <c r="J1042471" s="24"/>
      <c r="K1042471" s="54"/>
    </row>
    <row r="1042472" spans="1:11" s="55" customFormat="1" ht="12.75">
      <c r="A1042472" s="24"/>
      <c r="B1042472" s="24"/>
      <c r="C1042472" s="24"/>
      <c r="D1042472" s="24"/>
      <c r="E1042472" s="24"/>
      <c r="F1042472" s="24"/>
      <c r="G1042472" s="24"/>
      <c r="H1042472" s="24"/>
      <c r="I1042472" s="24"/>
      <c r="J1042472" s="24"/>
      <c r="K1042472" s="54"/>
    </row>
    <row r="1042473" spans="1:11" s="55" customFormat="1" ht="12.75">
      <c r="A1042473" s="24"/>
      <c r="B1042473" s="24"/>
      <c r="C1042473" s="24"/>
      <c r="D1042473" s="24"/>
      <c r="E1042473" s="24"/>
      <c r="F1042473" s="24"/>
      <c r="G1042473" s="24"/>
      <c r="H1042473" s="24"/>
      <c r="I1042473" s="24"/>
      <c r="J1042473" s="24"/>
      <c r="K1042473" s="54"/>
    </row>
    <row r="1042474" spans="1:11" s="55" customFormat="1" ht="12.75">
      <c r="A1042474" s="24"/>
      <c r="B1042474" s="24"/>
      <c r="C1042474" s="24"/>
      <c r="D1042474" s="24"/>
      <c r="E1042474" s="24"/>
      <c r="F1042474" s="24"/>
      <c r="G1042474" s="24"/>
      <c r="H1042474" s="24"/>
      <c r="I1042474" s="24"/>
      <c r="J1042474" s="24"/>
      <c r="K1042474" s="54"/>
    </row>
    <row r="1042475" spans="1:11" s="55" customFormat="1" ht="12.75">
      <c r="A1042475" s="24"/>
      <c r="B1042475" s="24"/>
      <c r="C1042475" s="24"/>
      <c r="D1042475" s="24"/>
      <c r="E1042475" s="24"/>
      <c r="F1042475" s="24"/>
      <c r="G1042475" s="24"/>
      <c r="H1042475" s="24"/>
      <c r="I1042475" s="24"/>
      <c r="J1042475" s="24"/>
      <c r="K1042475" s="54"/>
    </row>
    <row r="1042476" spans="1:11" s="55" customFormat="1" ht="12.75">
      <c r="A1042476" s="24"/>
      <c r="B1042476" s="24"/>
      <c r="C1042476" s="24"/>
      <c r="D1042476" s="24"/>
      <c r="E1042476" s="24"/>
      <c r="F1042476" s="24"/>
      <c r="G1042476" s="24"/>
      <c r="H1042476" s="24"/>
      <c r="I1042476" s="24"/>
      <c r="J1042476" s="24"/>
      <c r="K1042476" s="54"/>
    </row>
    <row r="1042477" spans="1:11" s="55" customFormat="1" ht="12.75">
      <c r="A1042477" s="24"/>
      <c r="B1042477" s="24"/>
      <c r="C1042477" s="24"/>
      <c r="D1042477" s="24"/>
      <c r="E1042477" s="24"/>
      <c r="F1042477" s="24"/>
      <c r="G1042477" s="24"/>
      <c r="H1042477" s="24"/>
      <c r="I1042477" s="24"/>
      <c r="J1042477" s="24"/>
      <c r="K1042477" s="54"/>
    </row>
    <row r="1042478" spans="1:11" s="55" customFormat="1" ht="12.75">
      <c r="A1042478" s="24"/>
      <c r="B1042478" s="24"/>
      <c r="C1042478" s="24"/>
      <c r="D1042478" s="24"/>
      <c r="E1042478" s="24"/>
      <c r="F1042478" s="24"/>
      <c r="G1042478" s="24"/>
      <c r="H1042478" s="24"/>
      <c r="I1042478" s="24"/>
      <c r="J1042478" s="24"/>
      <c r="K1042478" s="54"/>
    </row>
    <row r="1042479" spans="1:11" s="55" customFormat="1" ht="12.75">
      <c r="A1042479" s="24"/>
      <c r="B1042479" s="24"/>
      <c r="C1042479" s="24"/>
      <c r="D1042479" s="24"/>
      <c r="E1042479" s="24"/>
      <c r="F1042479" s="24"/>
      <c r="G1042479" s="24"/>
      <c r="H1042479" s="24"/>
      <c r="I1042479" s="24"/>
      <c r="J1042479" s="24"/>
      <c r="K1042479" s="54"/>
    </row>
    <row r="1042480" spans="1:11" s="55" customFormat="1" ht="12.75">
      <c r="A1042480" s="24"/>
      <c r="B1042480" s="24"/>
      <c r="C1042480" s="24"/>
      <c r="D1042480" s="24"/>
      <c r="E1042480" s="24"/>
      <c r="F1042480" s="24"/>
      <c r="G1042480" s="24"/>
      <c r="H1042480" s="24"/>
      <c r="I1042480" s="24"/>
      <c r="J1042480" s="24"/>
      <c r="K1042480" s="54"/>
    </row>
    <row r="1042481" spans="1:11" s="55" customFormat="1" ht="12.75">
      <c r="A1042481" s="24"/>
      <c r="B1042481" s="24"/>
      <c r="C1042481" s="24"/>
      <c r="D1042481" s="24"/>
      <c r="E1042481" s="24"/>
      <c r="F1042481" s="24"/>
      <c r="G1042481" s="24"/>
      <c r="H1042481" s="24"/>
      <c r="I1042481" s="24"/>
      <c r="J1042481" s="24"/>
      <c r="K1042481" s="54"/>
    </row>
    <row r="1042482" spans="1:11" s="55" customFormat="1" ht="12.75">
      <c r="A1042482" s="24"/>
      <c r="B1042482" s="24"/>
      <c r="C1042482" s="24"/>
      <c r="D1042482" s="24"/>
      <c r="E1042482" s="24"/>
      <c r="F1042482" s="24"/>
      <c r="G1042482" s="24"/>
      <c r="H1042482" s="24"/>
      <c r="I1042482" s="24"/>
      <c r="J1042482" s="24"/>
      <c r="K1042482" s="54"/>
    </row>
    <row r="1042483" spans="1:11" s="55" customFormat="1" ht="12.75">
      <c r="A1042483" s="24"/>
      <c r="B1042483" s="24"/>
      <c r="C1042483" s="24"/>
      <c r="D1042483" s="24"/>
      <c r="E1042483" s="24"/>
      <c r="F1042483" s="24"/>
      <c r="G1042483" s="24"/>
      <c r="H1042483" s="24"/>
      <c r="I1042483" s="24"/>
      <c r="J1042483" s="24"/>
      <c r="K1042483" s="54"/>
    </row>
    <row r="1042484" spans="1:11" s="55" customFormat="1" ht="12.75">
      <c r="A1042484" s="24"/>
      <c r="B1042484" s="24"/>
      <c r="C1042484" s="24"/>
      <c r="D1042484" s="24"/>
      <c r="E1042484" s="24"/>
      <c r="F1042484" s="24"/>
      <c r="G1042484" s="24"/>
      <c r="H1042484" s="24"/>
      <c r="I1042484" s="24"/>
      <c r="J1042484" s="24"/>
      <c r="K1042484" s="54"/>
    </row>
    <row r="1042485" spans="1:11" s="55" customFormat="1" ht="12.75">
      <c r="A1042485" s="24"/>
      <c r="B1042485" s="24"/>
      <c r="C1042485" s="24"/>
      <c r="D1042485" s="24"/>
      <c r="E1042485" s="24"/>
      <c r="F1042485" s="24"/>
      <c r="G1042485" s="24"/>
      <c r="H1042485" s="24"/>
      <c r="I1042485" s="24"/>
      <c r="J1042485" s="24"/>
      <c r="K1042485" s="54"/>
    </row>
    <row r="1042486" spans="1:11" s="55" customFormat="1" ht="12.75">
      <c r="A1042486" s="24"/>
      <c r="B1042486" s="24"/>
      <c r="C1042486" s="24"/>
      <c r="D1042486" s="24"/>
      <c r="E1042486" s="24"/>
      <c r="F1042486" s="24"/>
      <c r="G1042486" s="24"/>
      <c r="H1042486" s="24"/>
      <c r="I1042486" s="24"/>
      <c r="J1042486" s="24"/>
      <c r="K1042486" s="54"/>
    </row>
    <row r="1042487" spans="1:11" s="55" customFormat="1" ht="12.75">
      <c r="A1042487" s="24"/>
      <c r="B1042487" s="24"/>
      <c r="C1042487" s="24"/>
      <c r="D1042487" s="24"/>
      <c r="E1042487" s="24"/>
      <c r="F1042487" s="24"/>
      <c r="G1042487" s="24"/>
      <c r="H1042487" s="24"/>
      <c r="I1042487" s="24"/>
      <c r="J1042487" s="24"/>
      <c r="K1042487" s="54"/>
    </row>
    <row r="1042488" spans="1:11" s="55" customFormat="1" ht="12.75">
      <c r="A1042488" s="24"/>
      <c r="B1042488" s="24"/>
      <c r="C1042488" s="24"/>
      <c r="D1042488" s="24"/>
      <c r="E1042488" s="24"/>
      <c r="F1042488" s="24"/>
      <c r="G1042488" s="24"/>
      <c r="H1042488" s="24"/>
      <c r="I1042488" s="24"/>
      <c r="J1042488" s="24"/>
      <c r="K1042488" s="54"/>
    </row>
    <row r="1042489" spans="1:11" s="55" customFormat="1" ht="12.75">
      <c r="A1042489" s="24"/>
      <c r="B1042489" s="24"/>
      <c r="C1042489" s="24"/>
      <c r="D1042489" s="24"/>
      <c r="E1042489" s="24"/>
      <c r="F1042489" s="24"/>
      <c r="G1042489" s="24"/>
      <c r="H1042489" s="24"/>
      <c r="I1042489" s="24"/>
      <c r="J1042489" s="24"/>
      <c r="K1042489" s="54"/>
    </row>
    <row r="1042490" spans="1:11" s="55" customFormat="1" ht="12.75">
      <c r="A1042490" s="24"/>
      <c r="B1042490" s="24"/>
      <c r="C1042490" s="24"/>
      <c r="D1042490" s="24"/>
      <c r="E1042490" s="24"/>
      <c r="F1042490" s="24"/>
      <c r="G1042490" s="24"/>
      <c r="H1042490" s="24"/>
      <c r="I1042490" s="24"/>
      <c r="J1042490" s="24"/>
      <c r="K1042490" s="54"/>
    </row>
    <row r="1042491" spans="1:11" s="55" customFormat="1" ht="12.75">
      <c r="A1042491" s="24"/>
      <c r="B1042491" s="24"/>
      <c r="C1042491" s="24"/>
      <c r="D1042491" s="24"/>
      <c r="E1042491" s="24"/>
      <c r="F1042491" s="24"/>
      <c r="G1042491" s="24"/>
      <c r="H1042491" s="24"/>
      <c r="I1042491" s="24"/>
      <c r="J1042491" s="24"/>
      <c r="K1042491" s="54"/>
    </row>
    <row r="1042492" spans="1:11" s="55" customFormat="1" ht="12.75">
      <c r="A1042492" s="24"/>
      <c r="B1042492" s="24"/>
      <c r="C1042492" s="24"/>
      <c r="D1042492" s="24"/>
      <c r="E1042492" s="24"/>
      <c r="F1042492" s="24"/>
      <c r="G1042492" s="24"/>
      <c r="H1042492" s="24"/>
      <c r="I1042492" s="24"/>
      <c r="J1042492" s="24"/>
      <c r="K1042492" s="54"/>
    </row>
    <row r="1042493" spans="1:11" s="55" customFormat="1" ht="12.75">
      <c r="A1042493" s="24"/>
      <c r="B1042493" s="24"/>
      <c r="C1042493" s="24"/>
      <c r="D1042493" s="24"/>
      <c r="E1042493" s="24"/>
      <c r="F1042493" s="24"/>
      <c r="G1042493" s="24"/>
      <c r="H1042493" s="24"/>
      <c r="I1042493" s="24"/>
      <c r="J1042493" s="24"/>
      <c r="K1042493" s="54"/>
    </row>
    <row r="1042494" spans="1:11" s="55" customFormat="1" ht="12.75">
      <c r="A1042494" s="24"/>
      <c r="B1042494" s="24"/>
      <c r="C1042494" s="24"/>
      <c r="D1042494" s="24"/>
      <c r="E1042494" s="24"/>
      <c r="F1042494" s="24"/>
      <c r="G1042494" s="24"/>
      <c r="H1042494" s="24"/>
      <c r="I1042494" s="24"/>
      <c r="J1042494" s="24"/>
      <c r="K1042494" s="54"/>
    </row>
    <row r="1042495" spans="1:11" s="55" customFormat="1" ht="12.75">
      <c r="A1042495" s="24"/>
      <c r="B1042495" s="24"/>
      <c r="C1042495" s="24"/>
      <c r="D1042495" s="24"/>
      <c r="E1042495" s="24"/>
      <c r="F1042495" s="24"/>
      <c r="G1042495" s="24"/>
      <c r="H1042495" s="24"/>
      <c r="I1042495" s="24"/>
      <c r="J1042495" s="24"/>
      <c r="K1042495" s="54"/>
    </row>
    <row r="1042496" spans="1:11" s="55" customFormat="1" ht="12.75">
      <c r="A1042496" s="24"/>
      <c r="B1042496" s="24"/>
      <c r="C1042496" s="24"/>
      <c r="D1042496" s="24"/>
      <c r="E1042496" s="24"/>
      <c r="F1042496" s="24"/>
      <c r="G1042496" s="24"/>
      <c r="H1042496" s="24"/>
      <c r="I1042496" s="24"/>
      <c r="J1042496" s="24"/>
      <c r="K1042496" s="54"/>
    </row>
    <row r="1042497" spans="1:11" s="55" customFormat="1" ht="12.75">
      <c r="A1042497" s="24"/>
      <c r="B1042497" s="24"/>
      <c r="C1042497" s="24"/>
      <c r="D1042497" s="24"/>
      <c r="E1042497" s="24"/>
      <c r="F1042497" s="24"/>
      <c r="G1042497" s="24"/>
      <c r="H1042497" s="24"/>
      <c r="I1042497" s="24"/>
      <c r="J1042497" s="24"/>
      <c r="K1042497" s="54"/>
    </row>
    <row r="1042498" spans="1:11" s="55" customFormat="1" ht="12.75">
      <c r="A1042498" s="24"/>
      <c r="B1042498" s="24"/>
      <c r="C1042498" s="24"/>
      <c r="D1042498" s="24"/>
      <c r="E1042498" s="24"/>
      <c r="F1042498" s="24"/>
      <c r="G1042498" s="24"/>
      <c r="H1042498" s="24"/>
      <c r="I1042498" s="24"/>
      <c r="J1042498" s="24"/>
      <c r="K1042498" s="54"/>
    </row>
    <row r="1042499" spans="1:11" s="55" customFormat="1" ht="12.75">
      <c r="A1042499" s="24"/>
      <c r="B1042499" s="24"/>
      <c r="C1042499" s="24"/>
      <c r="D1042499" s="24"/>
      <c r="E1042499" s="24"/>
      <c r="F1042499" s="24"/>
      <c r="G1042499" s="24"/>
      <c r="H1042499" s="24"/>
      <c r="I1042499" s="24"/>
      <c r="J1042499" s="24"/>
      <c r="K1042499" s="54"/>
    </row>
    <row r="1042500" spans="1:11" s="55" customFormat="1" ht="12.75">
      <c r="A1042500" s="24"/>
      <c r="B1042500" s="24"/>
      <c r="C1042500" s="24"/>
      <c r="D1042500" s="24"/>
      <c r="E1042500" s="24"/>
      <c r="F1042500" s="24"/>
      <c r="G1042500" s="24"/>
      <c r="H1042500" s="24"/>
      <c r="I1042500" s="24"/>
      <c r="J1042500" s="24"/>
      <c r="K1042500" s="54"/>
    </row>
    <row r="1042501" spans="1:11" s="55" customFormat="1" ht="12.75">
      <c r="A1042501" s="24"/>
      <c r="B1042501" s="24"/>
      <c r="C1042501" s="24"/>
      <c r="D1042501" s="24"/>
      <c r="E1042501" s="24"/>
      <c r="F1042501" s="24"/>
      <c r="G1042501" s="24"/>
      <c r="H1042501" s="24"/>
      <c r="I1042501" s="24"/>
      <c r="J1042501" s="24"/>
      <c r="K1042501" s="54"/>
    </row>
    <row r="1042502" spans="1:11" s="55" customFormat="1" ht="12.75">
      <c r="A1042502" s="24"/>
      <c r="B1042502" s="24"/>
      <c r="C1042502" s="24"/>
      <c r="D1042502" s="24"/>
      <c r="E1042502" s="24"/>
      <c r="F1042502" s="24"/>
      <c r="G1042502" s="24"/>
      <c r="H1042502" s="24"/>
      <c r="I1042502" s="24"/>
      <c r="J1042502" s="24"/>
      <c r="K1042502" s="54"/>
    </row>
    <row r="1042503" spans="1:11" s="55" customFormat="1" ht="12.75">
      <c r="A1042503" s="24"/>
      <c r="B1042503" s="24"/>
      <c r="C1042503" s="24"/>
      <c r="D1042503" s="24"/>
      <c r="E1042503" s="24"/>
      <c r="F1042503" s="24"/>
      <c r="G1042503" s="24"/>
      <c r="H1042503" s="24"/>
      <c r="I1042503" s="24"/>
      <c r="J1042503" s="24"/>
      <c r="K1042503" s="54"/>
    </row>
    <row r="1042504" spans="1:11" s="55" customFormat="1" ht="12.75">
      <c r="A1042504" s="24"/>
      <c r="B1042504" s="24"/>
      <c r="C1042504" s="24"/>
      <c r="D1042504" s="24"/>
      <c r="E1042504" s="24"/>
      <c r="F1042504" s="24"/>
      <c r="G1042504" s="24"/>
      <c r="H1042504" s="24"/>
      <c r="I1042504" s="24"/>
      <c r="J1042504" s="24"/>
      <c r="K1042504" s="54"/>
    </row>
    <row r="1042505" spans="1:11" s="55" customFormat="1" ht="12.75">
      <c r="A1042505" s="24"/>
      <c r="B1042505" s="24"/>
      <c r="C1042505" s="24"/>
      <c r="D1042505" s="24"/>
      <c r="E1042505" s="24"/>
      <c r="F1042505" s="24"/>
      <c r="G1042505" s="24"/>
      <c r="H1042505" s="24"/>
      <c r="I1042505" s="24"/>
      <c r="J1042505" s="24"/>
      <c r="K1042505" s="54"/>
    </row>
    <row r="1042506" spans="1:11" s="55" customFormat="1" ht="12.75">
      <c r="A1042506" s="24"/>
      <c r="B1042506" s="24"/>
      <c r="C1042506" s="24"/>
      <c r="D1042506" s="24"/>
      <c r="E1042506" s="24"/>
      <c r="F1042506" s="24"/>
      <c r="G1042506" s="24"/>
      <c r="H1042506" s="24"/>
      <c r="I1042506" s="24"/>
      <c r="J1042506" s="24"/>
      <c r="K1042506" s="54"/>
    </row>
    <row r="1042507" spans="1:11" s="55" customFormat="1" ht="12.75">
      <c r="A1042507" s="24"/>
      <c r="B1042507" s="24"/>
      <c r="C1042507" s="24"/>
      <c r="D1042507" s="24"/>
      <c r="E1042507" s="24"/>
      <c r="F1042507" s="24"/>
      <c r="G1042507" s="24"/>
      <c r="H1042507" s="24"/>
      <c r="I1042507" s="24"/>
      <c r="J1042507" s="24"/>
      <c r="K1042507" s="54"/>
    </row>
    <row r="1042508" spans="1:11" s="55" customFormat="1" ht="12.75">
      <c r="A1042508" s="24"/>
      <c r="B1042508" s="24"/>
      <c r="C1042508" s="24"/>
      <c r="D1042508" s="24"/>
      <c r="E1042508" s="24"/>
      <c r="F1042508" s="24"/>
      <c r="G1042508" s="24"/>
      <c r="H1042508" s="24"/>
      <c r="I1042508" s="24"/>
      <c r="J1042508" s="24"/>
      <c r="K1042508" s="54"/>
    </row>
    <row r="1042509" spans="1:11" s="55" customFormat="1" ht="12.75">
      <c r="A1042509" s="24"/>
      <c r="B1042509" s="24"/>
      <c r="C1042509" s="24"/>
      <c r="D1042509" s="24"/>
      <c r="E1042509" s="24"/>
      <c r="F1042509" s="24"/>
      <c r="G1042509" s="24"/>
      <c r="H1042509" s="24"/>
      <c r="I1042509" s="24"/>
      <c r="J1042509" s="24"/>
      <c r="K1042509" s="54"/>
    </row>
    <row r="1042510" spans="1:11" s="55" customFormat="1" ht="12.75">
      <c r="A1042510" s="24"/>
      <c r="B1042510" s="24"/>
      <c r="C1042510" s="24"/>
      <c r="D1042510" s="24"/>
      <c r="E1042510" s="24"/>
      <c r="F1042510" s="24"/>
      <c r="G1042510" s="24"/>
      <c r="H1042510" s="24"/>
      <c r="I1042510" s="24"/>
      <c r="J1042510" s="24"/>
      <c r="K1042510" s="54"/>
    </row>
    <row r="1042511" spans="1:11" s="55" customFormat="1" ht="12.75">
      <c r="A1042511" s="24"/>
      <c r="B1042511" s="24"/>
      <c r="C1042511" s="24"/>
      <c r="D1042511" s="24"/>
      <c r="E1042511" s="24"/>
      <c r="F1042511" s="24"/>
      <c r="G1042511" s="24"/>
      <c r="H1042511" s="24"/>
      <c r="I1042511" s="24"/>
      <c r="J1042511" s="24"/>
      <c r="K1042511" s="54"/>
    </row>
    <row r="1042512" spans="1:11" s="55" customFormat="1" ht="12.75">
      <c r="A1042512" s="24"/>
      <c r="B1042512" s="24"/>
      <c r="C1042512" s="24"/>
      <c r="D1042512" s="24"/>
      <c r="E1042512" s="24"/>
      <c r="F1042512" s="24"/>
      <c r="G1042512" s="24"/>
      <c r="H1042512" s="24"/>
      <c r="I1042512" s="24"/>
      <c r="J1042512" s="24"/>
      <c r="K1042512" s="54"/>
    </row>
    <row r="1042513" spans="1:11" s="55" customFormat="1" ht="12.75">
      <c r="A1042513" s="24"/>
      <c r="B1042513" s="24"/>
      <c r="C1042513" s="24"/>
      <c r="D1042513" s="24"/>
      <c r="E1042513" s="24"/>
      <c r="F1042513" s="24"/>
      <c r="G1042513" s="24"/>
      <c r="H1042513" s="24"/>
      <c r="I1042513" s="24"/>
      <c r="J1042513" s="24"/>
      <c r="K1042513" s="54"/>
    </row>
    <row r="1042514" spans="1:11" s="55" customFormat="1" ht="12.75">
      <c r="A1042514" s="24"/>
      <c r="B1042514" s="24"/>
      <c r="C1042514" s="24"/>
      <c r="D1042514" s="24"/>
      <c r="E1042514" s="24"/>
      <c r="F1042514" s="24"/>
      <c r="G1042514" s="24"/>
      <c r="H1042514" s="24"/>
      <c r="I1042514" s="24"/>
      <c r="J1042514" s="24"/>
      <c r="K1042514" s="54"/>
    </row>
    <row r="1042515" spans="1:11" s="55" customFormat="1" ht="12.75">
      <c r="A1042515" s="24"/>
      <c r="B1042515" s="24"/>
      <c r="C1042515" s="24"/>
      <c r="D1042515" s="24"/>
      <c r="E1042515" s="24"/>
      <c r="F1042515" s="24"/>
      <c r="G1042515" s="24"/>
      <c r="H1042515" s="24"/>
      <c r="I1042515" s="24"/>
      <c r="J1042515" s="24"/>
      <c r="K1042515" s="54"/>
    </row>
    <row r="1042516" spans="1:11" s="55" customFormat="1" ht="12.75">
      <c r="A1042516" s="24"/>
      <c r="B1042516" s="24"/>
      <c r="C1042516" s="24"/>
      <c r="D1042516" s="24"/>
      <c r="E1042516" s="24"/>
      <c r="F1042516" s="24"/>
      <c r="G1042516" s="24"/>
      <c r="H1042516" s="24"/>
      <c r="I1042516" s="24"/>
      <c r="J1042516" s="24"/>
      <c r="K1042516" s="54"/>
    </row>
    <row r="1042517" spans="1:11" s="55" customFormat="1" ht="12.75">
      <c r="A1042517" s="24"/>
      <c r="B1042517" s="24"/>
      <c r="C1042517" s="24"/>
      <c r="D1042517" s="24"/>
      <c r="E1042517" s="24"/>
      <c r="F1042517" s="24"/>
      <c r="G1042517" s="24"/>
      <c r="H1042517" s="24"/>
      <c r="I1042517" s="24"/>
      <c r="J1042517" s="24"/>
      <c r="K1042517" s="54"/>
    </row>
    <row r="1042518" spans="1:11" s="55" customFormat="1" ht="12.75">
      <c r="A1042518" s="24"/>
      <c r="B1042518" s="24"/>
      <c r="C1042518" s="24"/>
      <c r="D1042518" s="24"/>
      <c r="E1042518" s="24"/>
      <c r="F1042518" s="24"/>
      <c r="G1042518" s="24"/>
      <c r="H1042518" s="24"/>
      <c r="I1042518" s="24"/>
      <c r="J1042518" s="24"/>
      <c r="K1042518" s="54"/>
    </row>
    <row r="1042519" spans="1:11" s="55" customFormat="1" ht="12.75">
      <c r="A1042519" s="24"/>
      <c r="B1042519" s="24"/>
      <c r="C1042519" s="24"/>
      <c r="D1042519" s="24"/>
      <c r="E1042519" s="24"/>
      <c r="F1042519" s="24"/>
      <c r="G1042519" s="24"/>
      <c r="H1042519" s="24"/>
      <c r="I1042519" s="24"/>
      <c r="J1042519" s="24"/>
      <c r="K1042519" s="54"/>
    </row>
    <row r="1042520" spans="1:11" s="55" customFormat="1" ht="12.75">
      <c r="A1042520" s="24"/>
      <c r="B1042520" s="24"/>
      <c r="C1042520" s="24"/>
      <c r="D1042520" s="24"/>
      <c r="E1042520" s="24"/>
      <c r="F1042520" s="24"/>
      <c r="G1042520" s="24"/>
      <c r="H1042520" s="24"/>
      <c r="I1042520" s="24"/>
      <c r="J1042520" s="24"/>
      <c r="K1042520" s="54"/>
    </row>
    <row r="1042521" spans="1:11" s="55" customFormat="1" ht="12.75">
      <c r="A1042521" s="24"/>
      <c r="B1042521" s="24"/>
      <c r="C1042521" s="24"/>
      <c r="D1042521" s="24"/>
      <c r="E1042521" s="24"/>
      <c r="F1042521" s="24"/>
      <c r="G1042521" s="24"/>
      <c r="H1042521" s="24"/>
      <c r="I1042521" s="24"/>
      <c r="J1042521" s="24"/>
      <c r="K1042521" s="54"/>
    </row>
    <row r="1042522" spans="1:11" s="55" customFormat="1" ht="12.75">
      <c r="A1042522" s="24"/>
      <c r="B1042522" s="24"/>
      <c r="C1042522" s="24"/>
      <c r="D1042522" s="24"/>
      <c r="E1042522" s="24"/>
      <c r="F1042522" s="24"/>
      <c r="G1042522" s="24"/>
      <c r="H1042522" s="24"/>
      <c r="I1042522" s="24"/>
      <c r="J1042522" s="24"/>
      <c r="K1042522" s="54"/>
    </row>
    <row r="1042523" spans="1:11" s="55" customFormat="1" ht="12.75">
      <c r="A1042523" s="24"/>
      <c r="B1042523" s="24"/>
      <c r="C1042523" s="24"/>
      <c r="D1042523" s="24"/>
      <c r="E1042523" s="24"/>
      <c r="F1042523" s="24"/>
      <c r="G1042523" s="24"/>
      <c r="H1042523" s="24"/>
      <c r="I1042523" s="24"/>
      <c r="J1042523" s="24"/>
      <c r="K1042523" s="54"/>
    </row>
    <row r="1042524" spans="1:11" s="55" customFormat="1" ht="12.75">
      <c r="A1042524" s="24"/>
      <c r="B1042524" s="24"/>
      <c r="C1042524" s="24"/>
      <c r="D1042524" s="24"/>
      <c r="E1042524" s="24"/>
      <c r="F1042524" s="24"/>
      <c r="G1042524" s="24"/>
      <c r="H1042524" s="24"/>
      <c r="I1042524" s="24"/>
      <c r="J1042524" s="24"/>
      <c r="K1042524" s="54"/>
    </row>
    <row r="1042525" spans="1:11" s="55" customFormat="1" ht="12.75">
      <c r="A1042525" s="24"/>
      <c r="B1042525" s="24"/>
      <c r="C1042525" s="24"/>
      <c r="D1042525" s="24"/>
      <c r="E1042525" s="24"/>
      <c r="F1042525" s="24"/>
      <c r="G1042525" s="24"/>
      <c r="H1042525" s="24"/>
      <c r="I1042525" s="24"/>
      <c r="J1042525" s="24"/>
      <c r="K1042525" s="54"/>
    </row>
    <row r="1042526" spans="1:11" s="55" customFormat="1" ht="12.75">
      <c r="A1042526" s="24"/>
      <c r="B1042526" s="24"/>
      <c r="C1042526" s="24"/>
      <c r="D1042526" s="24"/>
      <c r="E1042526" s="24"/>
      <c r="F1042526" s="24"/>
      <c r="G1042526" s="24"/>
      <c r="H1042526" s="24"/>
      <c r="I1042526" s="24"/>
      <c r="J1042526" s="24"/>
      <c r="K1042526" s="54"/>
    </row>
    <row r="1042527" spans="1:11" s="55" customFormat="1" ht="12.75">
      <c r="A1042527" s="24"/>
      <c r="B1042527" s="24"/>
      <c r="C1042527" s="24"/>
      <c r="D1042527" s="24"/>
      <c r="E1042527" s="24"/>
      <c r="F1042527" s="24"/>
      <c r="G1042527" s="24"/>
      <c r="H1042527" s="24"/>
      <c r="I1042527" s="24"/>
      <c r="J1042527" s="24"/>
      <c r="K1042527" s="54"/>
    </row>
    <row r="1042528" spans="1:11" s="55" customFormat="1" ht="12.75">
      <c r="A1042528" s="24"/>
      <c r="B1042528" s="24"/>
      <c r="C1042528" s="24"/>
      <c r="D1042528" s="24"/>
      <c r="E1042528" s="24"/>
      <c r="F1042528" s="24"/>
      <c r="G1042528" s="24"/>
      <c r="H1042528" s="24"/>
      <c r="I1042528" s="24"/>
      <c r="J1042528" s="24"/>
      <c r="K1042528" s="54"/>
    </row>
    <row r="1042529" spans="1:11" s="55" customFormat="1" ht="12.75">
      <c r="A1042529" s="24"/>
      <c r="B1042529" s="24"/>
      <c r="C1042529" s="24"/>
      <c r="D1042529" s="24"/>
      <c r="E1042529" s="24"/>
      <c r="F1042529" s="24"/>
      <c r="G1042529" s="24"/>
      <c r="H1042529" s="24"/>
      <c r="I1042529" s="24"/>
      <c r="J1042529" s="24"/>
      <c r="K1042529" s="54"/>
    </row>
    <row r="1042530" spans="1:11" s="55" customFormat="1" ht="12.75">
      <c r="A1042530" s="24"/>
      <c r="B1042530" s="24"/>
      <c r="C1042530" s="24"/>
      <c r="D1042530" s="24"/>
      <c r="E1042530" s="24"/>
      <c r="F1042530" s="24"/>
      <c r="G1042530" s="24"/>
      <c r="H1042530" s="24"/>
      <c r="I1042530" s="24"/>
      <c r="J1042530" s="24"/>
      <c r="K1042530" s="54"/>
    </row>
    <row r="1042531" spans="1:11" s="55" customFormat="1" ht="12.75">
      <c r="A1042531" s="24"/>
      <c r="B1042531" s="24"/>
      <c r="C1042531" s="24"/>
      <c r="D1042531" s="24"/>
      <c r="E1042531" s="24"/>
      <c r="F1042531" s="24"/>
      <c r="G1042531" s="24"/>
      <c r="H1042531" s="24"/>
      <c r="I1042531" s="24"/>
      <c r="J1042531" s="24"/>
      <c r="K1042531" s="54"/>
    </row>
    <row r="1042532" spans="1:11" s="55" customFormat="1" ht="12.75">
      <c r="A1042532" s="24"/>
      <c r="B1042532" s="24"/>
      <c r="C1042532" s="24"/>
      <c r="D1042532" s="24"/>
      <c r="E1042532" s="24"/>
      <c r="F1042532" s="24"/>
      <c r="G1042532" s="24"/>
      <c r="H1042532" s="24"/>
      <c r="I1042532" s="24"/>
      <c r="J1042532" s="24"/>
      <c r="K1042532" s="54"/>
    </row>
    <row r="1042533" spans="1:11" s="55" customFormat="1" ht="12.75">
      <c r="A1042533" s="24"/>
      <c r="B1042533" s="24"/>
      <c r="C1042533" s="24"/>
      <c r="D1042533" s="24"/>
      <c r="E1042533" s="24"/>
      <c r="F1042533" s="24"/>
      <c r="G1042533" s="24"/>
      <c r="H1042533" s="24"/>
      <c r="I1042533" s="24"/>
      <c r="J1042533" s="24"/>
      <c r="K1042533" s="54"/>
    </row>
    <row r="1042534" spans="1:11" s="55" customFormat="1" ht="12.75">
      <c r="A1042534" s="24"/>
      <c r="B1042534" s="24"/>
      <c r="C1042534" s="24"/>
      <c r="D1042534" s="24"/>
      <c r="E1042534" s="24"/>
      <c r="F1042534" s="24"/>
      <c r="G1042534" s="24"/>
      <c r="H1042534" s="24"/>
      <c r="I1042534" s="24"/>
      <c r="J1042534" s="24"/>
      <c r="K1042534" s="54"/>
    </row>
    <row r="1042535" spans="1:11" s="55" customFormat="1" ht="12.75">
      <c r="A1042535" s="24"/>
      <c r="B1042535" s="24"/>
      <c r="C1042535" s="24"/>
      <c r="D1042535" s="24"/>
      <c r="E1042535" s="24"/>
      <c r="F1042535" s="24"/>
      <c r="G1042535" s="24"/>
      <c r="H1042535" s="24"/>
      <c r="I1042535" s="24"/>
      <c r="J1042535" s="24"/>
      <c r="K1042535" s="54"/>
    </row>
    <row r="1042536" spans="1:11" s="55" customFormat="1" ht="12.75">
      <c r="A1042536" s="24"/>
      <c r="B1042536" s="24"/>
      <c r="C1042536" s="24"/>
      <c r="D1042536" s="24"/>
      <c r="E1042536" s="24"/>
      <c r="F1042536" s="24"/>
      <c r="G1042536" s="24"/>
      <c r="H1042536" s="24"/>
      <c r="I1042536" s="24"/>
      <c r="J1042536" s="24"/>
      <c r="K1042536" s="54"/>
    </row>
    <row r="1042537" spans="1:11" s="55" customFormat="1" ht="12.75">
      <c r="A1042537" s="24"/>
      <c r="B1042537" s="24"/>
      <c r="C1042537" s="24"/>
      <c r="D1042537" s="24"/>
      <c r="E1042537" s="24"/>
      <c r="F1042537" s="24"/>
      <c r="G1042537" s="24"/>
      <c r="H1042537" s="24"/>
      <c r="I1042537" s="24"/>
      <c r="J1042537" s="24"/>
      <c r="K1042537" s="54"/>
    </row>
    <row r="1042538" spans="1:11" s="55" customFormat="1" ht="12.75">
      <c r="A1042538" s="24"/>
      <c r="B1042538" s="24"/>
      <c r="C1042538" s="24"/>
      <c r="D1042538" s="24"/>
      <c r="E1042538" s="24"/>
      <c r="F1042538" s="24"/>
      <c r="G1042538" s="24"/>
      <c r="H1042538" s="24"/>
      <c r="I1042538" s="24"/>
      <c r="J1042538" s="24"/>
      <c r="K1042538" s="54"/>
    </row>
    <row r="1042539" spans="1:11" s="55" customFormat="1" ht="12.75">
      <c r="A1042539" s="24"/>
      <c r="B1042539" s="24"/>
      <c r="C1042539" s="24"/>
      <c r="D1042539" s="24"/>
      <c r="E1042539" s="24"/>
      <c r="F1042539" s="24"/>
      <c r="G1042539" s="24"/>
      <c r="H1042539" s="24"/>
      <c r="I1042539" s="24"/>
      <c r="J1042539" s="24"/>
      <c r="K1042539" s="54"/>
    </row>
    <row r="1042540" spans="1:11" s="55" customFormat="1" ht="12.75">
      <c r="A1042540" s="24"/>
      <c r="B1042540" s="24"/>
      <c r="C1042540" s="24"/>
      <c r="D1042540" s="24"/>
      <c r="E1042540" s="24"/>
      <c r="F1042540" s="24"/>
      <c r="G1042540" s="24"/>
      <c r="H1042540" s="24"/>
      <c r="I1042540" s="24"/>
      <c r="J1042540" s="24"/>
      <c r="K1042540" s="54"/>
    </row>
    <row r="1042541" spans="1:11" s="55" customFormat="1" ht="12.75">
      <c r="A1042541" s="24"/>
      <c r="B1042541" s="24"/>
      <c r="C1042541" s="24"/>
      <c r="D1042541" s="24"/>
      <c r="E1042541" s="24"/>
      <c r="F1042541" s="24"/>
      <c r="G1042541" s="24"/>
      <c r="H1042541" s="24"/>
      <c r="I1042541" s="24"/>
      <c r="J1042541" s="24"/>
      <c r="K1042541" s="54"/>
    </row>
    <row r="1042542" spans="1:11" s="55" customFormat="1" ht="12.75">
      <c r="A1042542" s="24"/>
      <c r="B1042542" s="24"/>
      <c r="C1042542" s="24"/>
      <c r="D1042542" s="24"/>
      <c r="E1042542" s="24"/>
      <c r="F1042542" s="24"/>
      <c r="G1042542" s="24"/>
      <c r="H1042542" s="24"/>
      <c r="I1042542" s="24"/>
      <c r="J1042542" s="24"/>
      <c r="K1042542" s="54"/>
    </row>
    <row r="1042543" spans="1:11" s="55" customFormat="1" ht="12.75">
      <c r="A1042543" s="24"/>
      <c r="B1042543" s="24"/>
      <c r="C1042543" s="24"/>
      <c r="D1042543" s="24"/>
      <c r="E1042543" s="24"/>
      <c r="F1042543" s="24"/>
      <c r="G1042543" s="24"/>
      <c r="H1042543" s="24"/>
      <c r="I1042543" s="24"/>
      <c r="J1042543" s="24"/>
      <c r="K1042543" s="54"/>
    </row>
    <row r="1042544" spans="1:11" s="55" customFormat="1" ht="12.75">
      <c r="A1042544" s="24"/>
      <c r="B1042544" s="24"/>
      <c r="C1042544" s="24"/>
      <c r="D1042544" s="24"/>
      <c r="E1042544" s="24"/>
      <c r="F1042544" s="24"/>
      <c r="G1042544" s="24"/>
      <c r="H1042544" s="24"/>
      <c r="I1042544" s="24"/>
      <c r="J1042544" s="24"/>
      <c r="K1042544" s="54"/>
    </row>
    <row r="1042545" spans="1:11" s="55" customFormat="1" ht="12.75">
      <c r="A1042545" s="24"/>
      <c r="B1042545" s="24"/>
      <c r="C1042545" s="24"/>
      <c r="D1042545" s="24"/>
      <c r="E1042545" s="24"/>
      <c r="F1042545" s="24"/>
      <c r="G1042545" s="24"/>
      <c r="H1042545" s="24"/>
      <c r="I1042545" s="24"/>
      <c r="J1042545" s="24"/>
      <c r="K1042545" s="54"/>
    </row>
    <row r="1042546" spans="1:11" s="55" customFormat="1" ht="12.75">
      <c r="A1042546" s="24"/>
      <c r="B1042546" s="24"/>
      <c r="C1042546" s="24"/>
      <c r="D1042546" s="24"/>
      <c r="E1042546" s="24"/>
      <c r="F1042546" s="24"/>
      <c r="G1042546" s="24"/>
      <c r="H1042546" s="24"/>
      <c r="I1042546" s="24"/>
      <c r="J1042546" s="24"/>
      <c r="K1042546" s="54"/>
    </row>
    <row r="1042547" spans="1:11" s="55" customFormat="1" ht="12.75">
      <c r="A1042547" s="24"/>
      <c r="B1042547" s="24"/>
      <c r="C1042547" s="24"/>
      <c r="D1042547" s="24"/>
      <c r="E1042547" s="24"/>
      <c r="F1042547" s="24"/>
      <c r="G1042547" s="24"/>
      <c r="H1042547" s="24"/>
      <c r="I1042547" s="24"/>
      <c r="J1042547" s="24"/>
      <c r="K1042547" s="54"/>
    </row>
    <row r="1042548" spans="1:11" s="55" customFormat="1" ht="12.75">
      <c r="A1042548" s="24"/>
      <c r="B1042548" s="24"/>
      <c r="C1042548" s="24"/>
      <c r="D1042548" s="24"/>
      <c r="E1042548" s="24"/>
      <c r="F1042548" s="24"/>
      <c r="G1042548" s="24"/>
      <c r="H1042548" s="24"/>
      <c r="I1042548" s="24"/>
      <c r="J1042548" s="24"/>
      <c r="K1042548" s="54"/>
    </row>
    <row r="1042549" spans="1:11" s="55" customFormat="1" ht="12.75">
      <c r="A1042549" s="24"/>
      <c r="B1042549" s="24"/>
      <c r="C1042549" s="24"/>
      <c r="D1042549" s="24"/>
      <c r="E1042549" s="24"/>
      <c r="F1042549" s="24"/>
      <c r="G1042549" s="24"/>
      <c r="H1042549" s="24"/>
      <c r="I1042549" s="24"/>
      <c r="J1042549" s="24"/>
      <c r="K1042549" s="54"/>
    </row>
    <row r="1042550" spans="1:11" s="55" customFormat="1" ht="12.75">
      <c r="A1042550" s="24"/>
      <c r="B1042550" s="24"/>
      <c r="C1042550" s="24"/>
      <c r="D1042550" s="24"/>
      <c r="E1042550" s="24"/>
      <c r="F1042550" s="24"/>
      <c r="G1042550" s="24"/>
      <c r="H1042550" s="24"/>
      <c r="I1042550" s="24"/>
      <c r="J1042550" s="24"/>
      <c r="K1042550" s="54"/>
    </row>
    <row r="1042551" spans="1:11" s="55" customFormat="1" ht="12.75">
      <c r="A1042551" s="24"/>
      <c r="B1042551" s="24"/>
      <c r="C1042551" s="24"/>
      <c r="D1042551" s="24"/>
      <c r="E1042551" s="24"/>
      <c r="F1042551" s="24"/>
      <c r="G1042551" s="24"/>
      <c r="H1042551" s="24"/>
      <c r="I1042551" s="24"/>
      <c r="J1042551" s="24"/>
      <c r="K1042551" s="54"/>
    </row>
    <row r="1042552" spans="1:11" s="55" customFormat="1" ht="12.75">
      <c r="A1042552" s="24"/>
      <c r="B1042552" s="24"/>
      <c r="C1042552" s="24"/>
      <c r="D1042552" s="24"/>
      <c r="E1042552" s="24"/>
      <c r="F1042552" s="24"/>
      <c r="G1042552" s="24"/>
      <c r="H1042552" s="24"/>
      <c r="I1042552" s="24"/>
      <c r="J1042552" s="24"/>
      <c r="K1042552" s="54"/>
    </row>
    <row r="1042553" spans="1:11" s="55" customFormat="1" ht="12.75">
      <c r="A1042553" s="24"/>
      <c r="B1042553" s="24"/>
      <c r="C1042553" s="24"/>
      <c r="D1042553" s="24"/>
      <c r="E1042553" s="24"/>
      <c r="F1042553" s="24"/>
      <c r="G1042553" s="24"/>
      <c r="H1042553" s="24"/>
      <c r="I1042553" s="24"/>
      <c r="J1042553" s="24"/>
      <c r="K1042553" s="54"/>
    </row>
    <row r="1042554" spans="1:11" s="55" customFormat="1" ht="12.75">
      <c r="A1042554" s="24"/>
      <c r="B1042554" s="24"/>
      <c r="C1042554" s="24"/>
      <c r="D1042554" s="24"/>
      <c r="E1042554" s="24"/>
      <c r="F1042554" s="24"/>
      <c r="G1042554" s="24"/>
      <c r="H1042554" s="24"/>
      <c r="I1042554" s="24"/>
      <c r="J1042554" s="24"/>
      <c r="K1042554" s="54"/>
    </row>
    <row r="1042555" spans="1:11" s="55" customFormat="1" ht="12.75">
      <c r="A1042555" s="24"/>
      <c r="B1042555" s="24"/>
      <c r="C1042555" s="24"/>
      <c r="D1042555" s="24"/>
      <c r="E1042555" s="24"/>
      <c r="F1042555" s="24"/>
      <c r="G1042555" s="24"/>
      <c r="H1042555" s="24"/>
      <c r="I1042555" s="24"/>
      <c r="J1042555" s="24"/>
      <c r="K1042555" s="54"/>
    </row>
    <row r="1042556" spans="1:11" s="55" customFormat="1" ht="12.75">
      <c r="A1042556" s="24"/>
      <c r="B1042556" s="24"/>
      <c r="C1042556" s="24"/>
      <c r="D1042556" s="24"/>
      <c r="E1042556" s="24"/>
      <c r="F1042556" s="24"/>
      <c r="G1042556" s="24"/>
      <c r="H1042556" s="24"/>
      <c r="I1042556" s="24"/>
      <c r="J1042556" s="24"/>
      <c r="K1042556" s="54"/>
    </row>
    <row r="1042557" spans="1:11" s="55" customFormat="1" ht="12.75">
      <c r="A1042557" s="24"/>
      <c r="B1042557" s="24"/>
      <c r="C1042557" s="24"/>
      <c r="D1042557" s="24"/>
      <c r="E1042557" s="24"/>
      <c r="F1042557" s="24"/>
      <c r="G1042557" s="24"/>
      <c r="H1042557" s="24"/>
      <c r="I1042557" s="24"/>
      <c r="J1042557" s="24"/>
      <c r="K1042557" s="54"/>
    </row>
    <row r="1042558" spans="1:11" s="55" customFormat="1" ht="12.75">
      <c r="A1042558" s="24"/>
      <c r="B1042558" s="24"/>
      <c r="C1042558" s="24"/>
      <c r="D1042558" s="24"/>
      <c r="E1042558" s="24"/>
      <c r="F1042558" s="24"/>
      <c r="G1042558" s="24"/>
      <c r="H1042558" s="24"/>
      <c r="I1042558" s="24"/>
      <c r="J1042558" s="24"/>
      <c r="K1042558" s="54"/>
    </row>
    <row r="1042559" spans="1:11" s="55" customFormat="1" ht="12.75">
      <c r="A1042559" s="24"/>
      <c r="B1042559" s="24"/>
      <c r="C1042559" s="24"/>
      <c r="D1042559" s="24"/>
      <c r="E1042559" s="24"/>
      <c r="F1042559" s="24"/>
      <c r="G1042559" s="24"/>
      <c r="H1042559" s="24"/>
      <c r="I1042559" s="24"/>
      <c r="J1042559" s="24"/>
      <c r="K1042559" s="54"/>
    </row>
    <row r="1042560" spans="1:11" s="55" customFormat="1" ht="12.75">
      <c r="A1042560" s="24"/>
      <c r="B1042560" s="24"/>
      <c r="C1042560" s="24"/>
      <c r="D1042560" s="24"/>
      <c r="E1042560" s="24"/>
      <c r="F1042560" s="24"/>
      <c r="G1042560" s="24"/>
      <c r="H1042560" s="24"/>
      <c r="I1042560" s="24"/>
      <c r="J1042560" s="24"/>
      <c r="K1042560" s="54"/>
    </row>
    <row r="1042561" spans="1:11" s="55" customFormat="1" ht="12.75">
      <c r="A1042561" s="24"/>
      <c r="B1042561" s="24"/>
      <c r="C1042561" s="24"/>
      <c r="D1042561" s="24"/>
      <c r="E1042561" s="24"/>
      <c r="F1042561" s="24"/>
      <c r="G1042561" s="24"/>
      <c r="H1042561" s="24"/>
      <c r="I1042561" s="24"/>
      <c r="J1042561" s="24"/>
      <c r="K1042561" s="54"/>
    </row>
    <row r="1042562" spans="1:11" s="55" customFormat="1" ht="12.75">
      <c r="A1042562" s="24"/>
      <c r="B1042562" s="24"/>
      <c r="C1042562" s="24"/>
      <c r="D1042562" s="24"/>
      <c r="E1042562" s="24"/>
      <c r="F1042562" s="24"/>
      <c r="G1042562" s="24"/>
      <c r="H1042562" s="24"/>
      <c r="I1042562" s="24"/>
      <c r="J1042562" s="24"/>
      <c r="K1042562" s="54"/>
    </row>
    <row r="1042563" spans="1:11" s="55" customFormat="1" ht="12.75">
      <c r="A1042563" s="24"/>
      <c r="B1042563" s="24"/>
      <c r="C1042563" s="24"/>
      <c r="D1042563" s="24"/>
      <c r="E1042563" s="24"/>
      <c r="F1042563" s="24"/>
      <c r="G1042563" s="24"/>
      <c r="H1042563" s="24"/>
      <c r="I1042563" s="24"/>
      <c r="J1042563" s="24"/>
      <c r="K1042563" s="54"/>
    </row>
    <row r="1042564" spans="1:11" s="55" customFormat="1" ht="12.75">
      <c r="A1042564" s="24"/>
      <c r="B1042564" s="24"/>
      <c r="C1042564" s="24"/>
      <c r="D1042564" s="24"/>
      <c r="E1042564" s="24"/>
      <c r="F1042564" s="24"/>
      <c r="G1042564" s="24"/>
      <c r="H1042564" s="24"/>
      <c r="I1042564" s="24"/>
      <c r="J1042564" s="24"/>
      <c r="K1042564" s="54"/>
    </row>
    <row r="1042565" spans="1:11" s="55" customFormat="1" ht="12.75">
      <c r="A1042565" s="24"/>
      <c r="B1042565" s="24"/>
      <c r="C1042565" s="24"/>
      <c r="D1042565" s="24"/>
      <c r="E1042565" s="24"/>
      <c r="F1042565" s="24"/>
      <c r="G1042565" s="24"/>
      <c r="H1042565" s="24"/>
      <c r="I1042565" s="24"/>
      <c r="J1042565" s="24"/>
      <c r="K1042565" s="54"/>
    </row>
    <row r="1042566" spans="1:11" s="55" customFormat="1" ht="12.75">
      <c r="A1042566" s="24"/>
      <c r="B1042566" s="24"/>
      <c r="C1042566" s="24"/>
      <c r="D1042566" s="24"/>
      <c r="E1042566" s="24"/>
      <c r="F1042566" s="24"/>
      <c r="G1042566" s="24"/>
      <c r="H1042566" s="24"/>
      <c r="I1042566" s="24"/>
      <c r="J1042566" s="24"/>
      <c r="K1042566" s="54"/>
    </row>
    <row r="1042567" spans="1:11" s="55" customFormat="1" ht="12.75">
      <c r="A1042567" s="24"/>
      <c r="B1042567" s="24"/>
      <c r="C1042567" s="24"/>
      <c r="D1042567" s="24"/>
      <c r="E1042567" s="24"/>
      <c r="F1042567" s="24"/>
      <c r="G1042567" s="24"/>
      <c r="H1042567" s="24"/>
      <c r="I1042567" s="24"/>
      <c r="J1042567" s="24"/>
      <c r="K1042567" s="54"/>
    </row>
    <row r="1042568" spans="1:11" s="55" customFormat="1" ht="12.75">
      <c r="A1042568" s="24"/>
      <c r="B1042568" s="24"/>
      <c r="C1042568" s="24"/>
      <c r="D1042568" s="24"/>
      <c r="E1042568" s="24"/>
      <c r="F1042568" s="24"/>
      <c r="G1042568" s="24"/>
      <c r="H1042568" s="24"/>
      <c r="I1042568" s="24"/>
      <c r="J1042568" s="24"/>
      <c r="K1042568" s="54"/>
    </row>
    <row r="1042569" spans="1:11" s="55" customFormat="1" ht="12.75">
      <c r="A1042569" s="24"/>
      <c r="B1042569" s="24"/>
      <c r="C1042569" s="24"/>
      <c r="D1042569" s="24"/>
      <c r="E1042569" s="24"/>
      <c r="F1042569" s="24"/>
      <c r="G1042569" s="24"/>
      <c r="H1042569" s="24"/>
      <c r="I1042569" s="24"/>
      <c r="J1042569" s="24"/>
      <c r="K1042569" s="54"/>
    </row>
    <row r="1042570" spans="1:11" s="55" customFormat="1" ht="12.75">
      <c r="A1042570" s="24"/>
      <c r="B1042570" s="24"/>
      <c r="C1042570" s="24"/>
      <c r="D1042570" s="24"/>
      <c r="E1042570" s="24"/>
      <c r="F1042570" s="24"/>
      <c r="G1042570" s="24"/>
      <c r="H1042570" s="24"/>
      <c r="I1042570" s="24"/>
      <c r="J1042570" s="24"/>
      <c r="K1042570" s="54"/>
    </row>
    <row r="1042571" spans="1:11" s="55" customFormat="1" ht="12.75">
      <c r="A1042571" s="24"/>
      <c r="B1042571" s="24"/>
      <c r="C1042571" s="24"/>
      <c r="D1042571" s="24"/>
      <c r="E1042571" s="24"/>
      <c r="F1042571" s="24"/>
      <c r="G1042571" s="24"/>
      <c r="H1042571" s="24"/>
      <c r="I1042571" s="24"/>
      <c r="J1042571" s="24"/>
      <c r="K1042571" s="54"/>
    </row>
    <row r="1042572" spans="1:11" s="55" customFormat="1" ht="12.75">
      <c r="A1042572" s="24"/>
      <c r="B1042572" s="24"/>
      <c r="C1042572" s="24"/>
      <c r="D1042572" s="24"/>
      <c r="E1042572" s="24"/>
      <c r="F1042572" s="24"/>
      <c r="G1042572" s="24"/>
      <c r="H1042572" s="24"/>
      <c r="I1042572" s="24"/>
      <c r="J1042572" s="24"/>
      <c r="K1042572" s="54"/>
    </row>
    <row r="1042573" spans="1:11" s="55" customFormat="1" ht="12.75">
      <c r="A1042573" s="24"/>
      <c r="B1042573" s="24"/>
      <c r="C1042573" s="24"/>
      <c r="D1042573" s="24"/>
      <c r="E1042573" s="24"/>
      <c r="F1042573" s="24"/>
      <c r="G1042573" s="24"/>
      <c r="H1042573" s="24"/>
      <c r="I1042573" s="24"/>
      <c r="J1042573" s="24"/>
      <c r="K1042573" s="54"/>
    </row>
    <row r="1042574" spans="1:11" s="55" customFormat="1" ht="12.75">
      <c r="A1042574" s="24"/>
      <c r="B1042574" s="24"/>
      <c r="C1042574" s="24"/>
      <c r="D1042574" s="24"/>
      <c r="E1042574" s="24"/>
      <c r="F1042574" s="24"/>
      <c r="G1042574" s="24"/>
      <c r="H1042574" s="24"/>
      <c r="I1042574" s="24"/>
      <c r="J1042574" s="24"/>
      <c r="K1042574" s="54"/>
    </row>
    <row r="1042575" spans="1:11" s="55" customFormat="1" ht="12.75">
      <c r="A1042575" s="24"/>
      <c r="B1042575" s="24"/>
      <c r="C1042575" s="24"/>
      <c r="D1042575" s="24"/>
      <c r="E1042575" s="24"/>
      <c r="F1042575" s="24"/>
      <c r="G1042575" s="24"/>
      <c r="H1042575" s="24"/>
      <c r="I1042575" s="24"/>
      <c r="J1042575" s="24"/>
      <c r="K1042575" s="54"/>
    </row>
    <row r="1042576" spans="1:11" s="55" customFormat="1" ht="12.75">
      <c r="A1042576" s="24"/>
      <c r="B1042576" s="24"/>
      <c r="C1042576" s="24"/>
      <c r="D1042576" s="24"/>
      <c r="E1042576" s="24"/>
      <c r="F1042576" s="24"/>
      <c r="G1042576" s="24"/>
      <c r="H1042576" s="24"/>
      <c r="I1042576" s="24"/>
      <c r="J1042576" s="24"/>
      <c r="K1042576" s="54"/>
    </row>
    <row r="1042577" spans="1:11" s="55" customFormat="1" ht="12.75">
      <c r="A1042577" s="24"/>
      <c r="B1042577" s="24"/>
      <c r="C1042577" s="24"/>
      <c r="D1042577" s="24"/>
      <c r="E1042577" s="24"/>
      <c r="F1042577" s="24"/>
      <c r="G1042577" s="24"/>
      <c r="H1042577" s="24"/>
      <c r="I1042577" s="24"/>
      <c r="J1042577" s="24"/>
      <c r="K1042577" s="54"/>
    </row>
    <row r="1042578" spans="1:11" s="55" customFormat="1" ht="12.75">
      <c r="A1042578" s="24"/>
      <c r="B1042578" s="24"/>
      <c r="C1042578" s="24"/>
      <c r="D1042578" s="24"/>
      <c r="E1042578" s="24"/>
      <c r="F1042578" s="24"/>
      <c r="G1042578" s="24"/>
      <c r="H1042578" s="24"/>
      <c r="I1042578" s="24"/>
      <c r="J1042578" s="24"/>
      <c r="K1042578" s="54"/>
    </row>
    <row r="1042579" spans="1:11" s="55" customFormat="1" ht="12.75">
      <c r="A1042579" s="24"/>
      <c r="B1042579" s="24"/>
      <c r="C1042579" s="24"/>
      <c r="D1042579" s="24"/>
      <c r="E1042579" s="24"/>
      <c r="F1042579" s="24"/>
      <c r="G1042579" s="24"/>
      <c r="H1042579" s="24"/>
      <c r="I1042579" s="24"/>
      <c r="J1042579" s="24"/>
      <c r="K1042579" s="54"/>
    </row>
    <row r="1042580" spans="1:11" s="55" customFormat="1" ht="12.75">
      <c r="A1042580" s="24"/>
      <c r="B1042580" s="24"/>
      <c r="C1042580" s="24"/>
      <c r="D1042580" s="24"/>
      <c r="E1042580" s="24"/>
      <c r="F1042580" s="24"/>
      <c r="G1042580" s="24"/>
      <c r="H1042580" s="24"/>
      <c r="I1042580" s="24"/>
      <c r="J1042580" s="24"/>
      <c r="K1042580" s="54"/>
    </row>
    <row r="1042581" spans="1:11" s="55" customFormat="1" ht="12.75">
      <c r="A1042581" s="24"/>
      <c r="B1042581" s="24"/>
      <c r="C1042581" s="24"/>
      <c r="D1042581" s="24"/>
      <c r="E1042581" s="24"/>
      <c r="F1042581" s="24"/>
      <c r="G1042581" s="24"/>
      <c r="H1042581" s="24"/>
      <c r="I1042581" s="24"/>
      <c r="J1042581" s="24"/>
      <c r="K1042581" s="54"/>
    </row>
    <row r="1042582" spans="1:11" s="55" customFormat="1" ht="12.75">
      <c r="A1042582" s="24"/>
      <c r="B1042582" s="24"/>
      <c r="C1042582" s="24"/>
      <c r="D1042582" s="24"/>
      <c r="E1042582" s="24"/>
      <c r="F1042582" s="24"/>
      <c r="G1042582" s="24"/>
      <c r="H1042582" s="24"/>
      <c r="I1042582" s="24"/>
      <c r="J1042582" s="24"/>
      <c r="K1042582" s="54"/>
    </row>
    <row r="1042583" spans="1:11" s="55" customFormat="1" ht="12.75">
      <c r="A1042583" s="24"/>
      <c r="B1042583" s="24"/>
      <c r="C1042583" s="24"/>
      <c r="D1042583" s="24"/>
      <c r="E1042583" s="24"/>
      <c r="F1042583" s="24"/>
      <c r="G1042583" s="24"/>
      <c r="H1042583" s="24"/>
      <c r="I1042583" s="24"/>
      <c r="J1042583" s="24"/>
      <c r="K1042583" s="54"/>
    </row>
    <row r="1042584" spans="1:11" s="55" customFormat="1" ht="12.75">
      <c r="A1042584" s="24"/>
      <c r="B1042584" s="24"/>
      <c r="C1042584" s="24"/>
      <c r="D1042584" s="24"/>
      <c r="E1042584" s="24"/>
      <c r="F1042584" s="24"/>
      <c r="G1042584" s="24"/>
      <c r="H1042584" s="24"/>
      <c r="I1042584" s="24"/>
      <c r="J1042584" s="24"/>
      <c r="K1042584" s="54"/>
    </row>
    <row r="1042585" spans="1:11" s="55" customFormat="1" ht="12.75">
      <c r="A1042585" s="24"/>
      <c r="B1042585" s="24"/>
      <c r="C1042585" s="24"/>
      <c r="D1042585" s="24"/>
      <c r="E1042585" s="24"/>
      <c r="F1042585" s="24"/>
      <c r="G1042585" s="24"/>
      <c r="H1042585" s="24"/>
      <c r="I1042585" s="24"/>
      <c r="J1042585" s="24"/>
      <c r="K1042585" s="54"/>
    </row>
    <row r="1042586" spans="1:11" s="55" customFormat="1" ht="12.75">
      <c r="A1042586" s="24"/>
      <c r="B1042586" s="24"/>
      <c r="C1042586" s="24"/>
      <c r="D1042586" s="24"/>
      <c r="E1042586" s="24"/>
      <c r="F1042586" s="24"/>
      <c r="G1042586" s="24"/>
      <c r="H1042586" s="24"/>
      <c r="I1042586" s="24"/>
      <c r="J1042586" s="24"/>
      <c r="K1042586" s="54"/>
    </row>
    <row r="1042587" spans="1:11" s="55" customFormat="1" ht="12.75">
      <c r="A1042587" s="24"/>
      <c r="B1042587" s="24"/>
      <c r="C1042587" s="24"/>
      <c r="D1042587" s="24"/>
      <c r="E1042587" s="24"/>
      <c r="F1042587" s="24"/>
      <c r="G1042587" s="24"/>
      <c r="H1042587" s="24"/>
      <c r="I1042587" s="24"/>
      <c r="J1042587" s="24"/>
      <c r="K1042587" s="54"/>
    </row>
    <row r="1042588" spans="1:11" s="55" customFormat="1" ht="12.75">
      <c r="A1042588" s="24"/>
      <c r="B1042588" s="24"/>
      <c r="C1042588" s="24"/>
      <c r="D1042588" s="24"/>
      <c r="E1042588" s="24"/>
      <c r="F1042588" s="24"/>
      <c r="G1042588" s="24"/>
      <c r="H1042588" s="24"/>
      <c r="I1042588" s="24"/>
      <c r="J1042588" s="24"/>
      <c r="K1042588" s="54"/>
    </row>
    <row r="1042589" spans="1:11" s="55" customFormat="1" ht="12.75">
      <c r="A1042589" s="24"/>
      <c r="B1042589" s="24"/>
      <c r="C1042589" s="24"/>
      <c r="D1042589" s="24"/>
      <c r="E1042589" s="24"/>
      <c r="F1042589" s="24"/>
      <c r="G1042589" s="24"/>
      <c r="H1042589" s="24"/>
      <c r="I1042589" s="24"/>
      <c r="J1042589" s="24"/>
      <c r="K1042589" s="54"/>
    </row>
    <row r="1042590" spans="1:11" s="55" customFormat="1" ht="12.75">
      <c r="A1042590" s="24"/>
      <c r="B1042590" s="24"/>
      <c r="C1042590" s="24"/>
      <c r="D1042590" s="24"/>
      <c r="E1042590" s="24"/>
      <c r="F1042590" s="24"/>
      <c r="G1042590" s="24"/>
      <c r="H1042590" s="24"/>
      <c r="I1042590" s="24"/>
      <c r="J1042590" s="24"/>
      <c r="K1042590" s="54"/>
    </row>
    <row r="1042591" spans="1:11" s="55" customFormat="1" ht="12.75">
      <c r="A1042591" s="24"/>
      <c r="B1042591" s="24"/>
      <c r="C1042591" s="24"/>
      <c r="D1042591" s="24"/>
      <c r="E1042591" s="24"/>
      <c r="F1042591" s="24"/>
      <c r="G1042591" s="24"/>
      <c r="H1042591" s="24"/>
      <c r="I1042591" s="24"/>
      <c r="J1042591" s="24"/>
      <c r="K1042591" s="54"/>
    </row>
    <row r="1042592" spans="1:11" s="55" customFormat="1" ht="12.75">
      <c r="A1042592" s="24"/>
      <c r="B1042592" s="24"/>
      <c r="C1042592" s="24"/>
      <c r="D1042592" s="24"/>
      <c r="E1042592" s="24"/>
      <c r="F1042592" s="24"/>
      <c r="G1042592" s="24"/>
      <c r="H1042592" s="24"/>
      <c r="I1042592" s="24"/>
      <c r="J1042592" s="24"/>
      <c r="K1042592" s="54"/>
    </row>
    <row r="1042593" spans="1:11" s="55" customFormat="1" ht="12.75">
      <c r="A1042593" s="24"/>
      <c r="B1042593" s="24"/>
      <c r="C1042593" s="24"/>
      <c r="D1042593" s="24"/>
      <c r="E1042593" s="24"/>
      <c r="F1042593" s="24"/>
      <c r="G1042593" s="24"/>
      <c r="H1042593" s="24"/>
      <c r="I1042593" s="24"/>
      <c r="J1042593" s="24"/>
      <c r="K1042593" s="54"/>
    </row>
    <row r="1042594" spans="1:11" s="55" customFormat="1" ht="12.75">
      <c r="A1042594" s="24"/>
      <c r="B1042594" s="24"/>
      <c r="C1042594" s="24"/>
      <c r="D1042594" s="24"/>
      <c r="E1042594" s="24"/>
      <c r="F1042594" s="24"/>
      <c r="G1042594" s="24"/>
      <c r="H1042594" s="24"/>
      <c r="I1042594" s="24"/>
      <c r="J1042594" s="24"/>
      <c r="K1042594" s="54"/>
    </row>
    <row r="1042595" spans="1:11" s="55" customFormat="1" ht="12.75">
      <c r="A1042595" s="24"/>
      <c r="B1042595" s="24"/>
      <c r="C1042595" s="24"/>
      <c r="D1042595" s="24"/>
      <c r="E1042595" s="24"/>
      <c r="F1042595" s="24"/>
      <c r="G1042595" s="24"/>
      <c r="H1042595" s="24"/>
      <c r="I1042595" s="24"/>
      <c r="J1042595" s="24"/>
      <c r="K1042595" s="54"/>
    </row>
    <row r="1042596" spans="1:11" s="55" customFormat="1" ht="12.75">
      <c r="A1042596" s="24"/>
      <c r="B1042596" s="24"/>
      <c r="C1042596" s="24"/>
      <c r="D1042596" s="24"/>
      <c r="E1042596" s="24"/>
      <c r="F1042596" s="24"/>
      <c r="G1042596" s="24"/>
      <c r="H1042596" s="24"/>
      <c r="I1042596" s="24"/>
      <c r="J1042596" s="24"/>
      <c r="K1042596" s="54"/>
    </row>
    <row r="1042597" spans="1:11" s="55" customFormat="1" ht="12.75">
      <c r="A1042597" s="24"/>
      <c r="B1042597" s="24"/>
      <c r="C1042597" s="24"/>
      <c r="D1042597" s="24"/>
      <c r="E1042597" s="24"/>
      <c r="F1042597" s="24"/>
      <c r="G1042597" s="24"/>
      <c r="H1042597" s="24"/>
      <c r="I1042597" s="24"/>
      <c r="J1042597" s="24"/>
      <c r="K1042597" s="54"/>
    </row>
    <row r="1042598" spans="1:11" s="55" customFormat="1" ht="12.75">
      <c r="A1042598" s="24"/>
      <c r="B1042598" s="24"/>
      <c r="C1042598" s="24"/>
      <c r="D1042598" s="24"/>
      <c r="E1042598" s="24"/>
      <c r="F1042598" s="24"/>
      <c r="G1042598" s="24"/>
      <c r="H1042598" s="24"/>
      <c r="I1042598" s="24"/>
      <c r="J1042598" s="24"/>
      <c r="K1042598" s="54"/>
    </row>
    <row r="1042599" spans="1:11" s="55" customFormat="1" ht="12.75">
      <c r="A1042599" s="24"/>
      <c r="B1042599" s="24"/>
      <c r="C1042599" s="24"/>
      <c r="D1042599" s="24"/>
      <c r="E1042599" s="24"/>
      <c r="F1042599" s="24"/>
      <c r="G1042599" s="24"/>
      <c r="H1042599" s="24"/>
      <c r="I1042599" s="24"/>
      <c r="J1042599" s="24"/>
      <c r="K1042599" s="54"/>
    </row>
    <row r="1042600" spans="1:11" s="55" customFormat="1" ht="12.75">
      <c r="A1042600" s="24"/>
      <c r="B1042600" s="24"/>
      <c r="C1042600" s="24"/>
      <c r="D1042600" s="24"/>
      <c r="E1042600" s="24"/>
      <c r="F1042600" s="24"/>
      <c r="G1042600" s="24"/>
      <c r="H1042600" s="24"/>
      <c r="I1042600" s="24"/>
      <c r="J1042600" s="24"/>
      <c r="K1042600" s="54"/>
    </row>
    <row r="1042601" spans="1:11" s="55" customFormat="1" ht="12.75">
      <c r="A1042601" s="24"/>
      <c r="B1042601" s="24"/>
      <c r="C1042601" s="24"/>
      <c r="D1042601" s="24"/>
      <c r="E1042601" s="24"/>
      <c r="F1042601" s="24"/>
      <c r="G1042601" s="24"/>
      <c r="H1042601" s="24"/>
      <c r="I1042601" s="24"/>
      <c r="J1042601" s="24"/>
      <c r="K1042601" s="54"/>
    </row>
    <row r="1042602" spans="1:11" s="55" customFormat="1" ht="12.75">
      <c r="A1042602" s="24"/>
      <c r="B1042602" s="24"/>
      <c r="C1042602" s="24"/>
      <c r="D1042602" s="24"/>
      <c r="E1042602" s="24"/>
      <c r="F1042602" s="24"/>
      <c r="G1042602" s="24"/>
      <c r="H1042602" s="24"/>
      <c r="I1042602" s="24"/>
      <c r="J1042602" s="24"/>
      <c r="K1042602" s="54"/>
    </row>
    <row r="1042603" spans="1:11" s="55" customFormat="1" ht="12.75">
      <c r="A1042603" s="24"/>
      <c r="B1042603" s="24"/>
      <c r="C1042603" s="24"/>
      <c r="D1042603" s="24"/>
      <c r="E1042603" s="24"/>
      <c r="F1042603" s="24"/>
      <c r="G1042603" s="24"/>
      <c r="H1042603" s="24"/>
      <c r="I1042603" s="24"/>
      <c r="J1042603" s="24"/>
      <c r="K1042603" s="54"/>
    </row>
    <row r="1042604" spans="1:11" s="55" customFormat="1" ht="12.75">
      <c r="A1042604" s="24"/>
      <c r="B1042604" s="24"/>
      <c r="C1042604" s="24"/>
      <c r="D1042604" s="24"/>
      <c r="E1042604" s="24"/>
      <c r="F1042604" s="24"/>
      <c r="G1042604" s="24"/>
      <c r="H1042604" s="24"/>
      <c r="I1042604" s="24"/>
      <c r="J1042604" s="24"/>
      <c r="K1042604" s="54"/>
    </row>
    <row r="1042605" spans="1:11" s="55" customFormat="1" ht="12.75">
      <c r="A1042605" s="24"/>
      <c r="B1042605" s="24"/>
      <c r="C1042605" s="24"/>
      <c r="D1042605" s="24"/>
      <c r="E1042605" s="24"/>
      <c r="F1042605" s="24"/>
      <c r="G1042605" s="24"/>
      <c r="H1042605" s="24"/>
      <c r="I1042605" s="24"/>
      <c r="J1042605" s="24"/>
      <c r="K1042605" s="54"/>
    </row>
    <row r="1042606" spans="1:11" s="55" customFormat="1" ht="12.75">
      <c r="A1042606" s="24"/>
      <c r="B1042606" s="24"/>
      <c r="C1042606" s="24"/>
      <c r="D1042606" s="24"/>
      <c r="E1042606" s="24"/>
      <c r="F1042606" s="24"/>
      <c r="G1042606" s="24"/>
      <c r="H1042606" s="24"/>
      <c r="I1042606" s="24"/>
      <c r="J1042606" s="24"/>
      <c r="K1042606" s="54"/>
    </row>
    <row r="1042607" spans="1:11" s="55" customFormat="1" ht="12.75">
      <c r="A1042607" s="24"/>
      <c r="B1042607" s="24"/>
      <c r="C1042607" s="24"/>
      <c r="D1042607" s="24"/>
      <c r="E1042607" s="24"/>
      <c r="F1042607" s="24"/>
      <c r="G1042607" s="24"/>
      <c r="H1042607" s="24"/>
      <c r="I1042607" s="24"/>
      <c r="J1042607" s="24"/>
      <c r="K1042607" s="54"/>
    </row>
    <row r="1042608" spans="1:11" s="55" customFormat="1" ht="12.75">
      <c r="A1042608" s="24"/>
      <c r="B1042608" s="24"/>
      <c r="C1042608" s="24"/>
      <c r="D1042608" s="24"/>
      <c r="E1042608" s="24"/>
      <c r="F1042608" s="24"/>
      <c r="G1042608" s="24"/>
      <c r="H1042608" s="24"/>
      <c r="I1042608" s="24"/>
      <c r="J1042608" s="24"/>
      <c r="K1042608" s="54"/>
    </row>
    <row r="1042609" spans="1:11" s="55" customFormat="1" ht="12.75">
      <c r="A1042609" s="24"/>
      <c r="B1042609" s="24"/>
      <c r="C1042609" s="24"/>
      <c r="D1042609" s="24"/>
      <c r="E1042609" s="24"/>
      <c r="F1042609" s="24"/>
      <c r="G1042609" s="24"/>
      <c r="H1042609" s="24"/>
      <c r="I1042609" s="24"/>
      <c r="J1042609" s="24"/>
      <c r="K1042609" s="54"/>
    </row>
    <row r="1042610" spans="1:11" s="55" customFormat="1" ht="12.75">
      <c r="A1042610" s="24"/>
      <c r="B1042610" s="24"/>
      <c r="C1042610" s="24"/>
      <c r="D1042610" s="24"/>
      <c r="E1042610" s="24"/>
      <c r="F1042610" s="24"/>
      <c r="G1042610" s="24"/>
      <c r="H1042610" s="24"/>
      <c r="I1042610" s="24"/>
      <c r="J1042610" s="24"/>
      <c r="K1042610" s="54"/>
    </row>
    <row r="1042611" spans="1:11" s="55" customFormat="1" ht="12.75">
      <c r="A1042611" s="24"/>
      <c r="B1042611" s="24"/>
      <c r="C1042611" s="24"/>
      <c r="D1042611" s="24"/>
      <c r="E1042611" s="24"/>
      <c r="F1042611" s="24"/>
      <c r="G1042611" s="24"/>
      <c r="H1042611" s="24"/>
      <c r="I1042611" s="24"/>
      <c r="J1042611" s="24"/>
      <c r="K1042611" s="54"/>
    </row>
    <row r="1042612" spans="1:11" s="55" customFormat="1" ht="12.75">
      <c r="A1042612" s="24"/>
      <c r="B1042612" s="24"/>
      <c r="C1042612" s="24"/>
      <c r="D1042612" s="24"/>
      <c r="E1042612" s="24"/>
      <c r="F1042612" s="24"/>
      <c r="G1042612" s="24"/>
      <c r="H1042612" s="24"/>
      <c r="I1042612" s="24"/>
      <c r="J1042612" s="24"/>
      <c r="K1042612" s="54"/>
    </row>
    <row r="1042613" spans="1:11" s="55" customFormat="1" ht="12.75">
      <c r="A1042613" s="24"/>
      <c r="B1042613" s="24"/>
      <c r="C1042613" s="24"/>
      <c r="D1042613" s="24"/>
      <c r="E1042613" s="24"/>
      <c r="F1042613" s="24"/>
      <c r="G1042613" s="24"/>
      <c r="H1042613" s="24"/>
      <c r="I1042613" s="24"/>
      <c r="J1042613" s="24"/>
      <c r="K1042613" s="54"/>
    </row>
    <row r="1042614" spans="1:11" s="55" customFormat="1" ht="12.75">
      <c r="A1042614" s="24"/>
      <c r="B1042614" s="24"/>
      <c r="C1042614" s="24"/>
      <c r="D1042614" s="24"/>
      <c r="E1042614" s="24"/>
      <c r="F1042614" s="24"/>
      <c r="G1042614" s="24"/>
      <c r="H1042614" s="24"/>
      <c r="I1042614" s="24"/>
      <c r="J1042614" s="24"/>
      <c r="K1042614" s="54"/>
    </row>
    <row r="1042615" spans="1:11" s="55" customFormat="1" ht="12.75">
      <c r="A1042615" s="24"/>
      <c r="B1042615" s="24"/>
      <c r="C1042615" s="24"/>
      <c r="D1042615" s="24"/>
      <c r="E1042615" s="24"/>
      <c r="F1042615" s="24"/>
      <c r="G1042615" s="24"/>
      <c r="H1042615" s="24"/>
      <c r="I1042615" s="24"/>
      <c r="J1042615" s="24"/>
      <c r="K1042615" s="54"/>
    </row>
    <row r="1042616" spans="1:11" s="55" customFormat="1" ht="12.75">
      <c r="A1042616" s="24"/>
      <c r="B1042616" s="24"/>
      <c r="C1042616" s="24"/>
      <c r="D1042616" s="24"/>
      <c r="E1042616" s="24"/>
      <c r="F1042616" s="24"/>
      <c r="G1042616" s="24"/>
      <c r="H1042616" s="24"/>
      <c r="I1042616" s="24"/>
      <c r="J1042616" s="24"/>
      <c r="K1042616" s="54"/>
    </row>
    <row r="1042617" spans="1:11" s="55" customFormat="1" ht="12.75">
      <c r="A1042617" s="24"/>
      <c r="B1042617" s="24"/>
      <c r="C1042617" s="24"/>
      <c r="D1042617" s="24"/>
      <c r="E1042617" s="24"/>
      <c r="F1042617" s="24"/>
      <c r="G1042617" s="24"/>
      <c r="H1042617" s="24"/>
      <c r="I1042617" s="24"/>
      <c r="J1042617" s="24"/>
      <c r="K1042617" s="54"/>
    </row>
    <row r="1042618" spans="1:11" s="55" customFormat="1" ht="12.75">
      <c r="A1042618" s="24"/>
      <c r="B1042618" s="24"/>
      <c r="C1042618" s="24"/>
      <c r="D1042618" s="24"/>
      <c r="E1042618" s="24"/>
      <c r="F1042618" s="24"/>
      <c r="G1042618" s="24"/>
      <c r="H1042618" s="24"/>
      <c r="I1042618" s="24"/>
      <c r="J1042618" s="24"/>
      <c r="K1042618" s="54"/>
    </row>
    <row r="1042619" spans="1:11" s="55" customFormat="1" ht="12.75">
      <c r="A1042619" s="24"/>
      <c r="B1042619" s="24"/>
      <c r="C1042619" s="24"/>
      <c r="D1042619" s="24"/>
      <c r="E1042619" s="24"/>
      <c r="F1042619" s="24"/>
      <c r="G1042619" s="24"/>
      <c r="H1042619" s="24"/>
      <c r="I1042619" s="24"/>
      <c r="J1042619" s="24"/>
      <c r="K1042619" s="54"/>
    </row>
    <row r="1042620" spans="1:11" s="55" customFormat="1" ht="12.75">
      <c r="A1042620" s="24"/>
      <c r="B1042620" s="24"/>
      <c r="C1042620" s="24"/>
      <c r="D1042620" s="24"/>
      <c r="E1042620" s="24"/>
      <c r="F1042620" s="24"/>
      <c r="G1042620" s="24"/>
      <c r="H1042620" s="24"/>
      <c r="I1042620" s="24"/>
      <c r="J1042620" s="24"/>
      <c r="K1042620" s="54"/>
    </row>
    <row r="1042621" spans="1:11" s="55" customFormat="1" ht="12.75">
      <c r="A1042621" s="24"/>
      <c r="B1042621" s="24"/>
      <c r="C1042621" s="24"/>
      <c r="D1042621" s="24"/>
      <c r="E1042621" s="24"/>
      <c r="F1042621" s="24"/>
      <c r="G1042621" s="24"/>
      <c r="H1042621" s="24"/>
      <c r="I1042621" s="24"/>
      <c r="J1042621" s="24"/>
      <c r="K1042621" s="54"/>
    </row>
    <row r="1042622" spans="1:11" s="55" customFormat="1" ht="12.75">
      <c r="A1042622" s="24"/>
      <c r="B1042622" s="24"/>
      <c r="C1042622" s="24"/>
      <c r="D1042622" s="24"/>
      <c r="E1042622" s="24"/>
      <c r="F1042622" s="24"/>
      <c r="G1042622" s="24"/>
      <c r="H1042622" s="24"/>
      <c r="I1042622" s="24"/>
      <c r="J1042622" s="24"/>
      <c r="K1042622" s="54"/>
    </row>
    <row r="1042623" spans="1:11" s="55" customFormat="1" ht="12.75">
      <c r="A1042623" s="24"/>
      <c r="B1042623" s="24"/>
      <c r="C1042623" s="24"/>
      <c r="D1042623" s="24"/>
      <c r="E1042623" s="24"/>
      <c r="F1042623" s="24"/>
      <c r="G1042623" s="24"/>
      <c r="H1042623" s="24"/>
      <c r="I1042623" s="24"/>
      <c r="J1042623" s="24"/>
      <c r="K1042623" s="54"/>
    </row>
    <row r="1042624" spans="1:11" s="55" customFormat="1" ht="12.75">
      <c r="A1042624" s="24"/>
      <c r="B1042624" s="24"/>
      <c r="C1042624" s="24"/>
      <c r="D1042624" s="24"/>
      <c r="E1042624" s="24"/>
      <c r="F1042624" s="24"/>
      <c r="G1042624" s="24"/>
      <c r="H1042624" s="24"/>
      <c r="I1042624" s="24"/>
      <c r="J1042624" s="24"/>
      <c r="K1042624" s="54"/>
    </row>
    <row r="1042625" spans="1:11" s="55" customFormat="1" ht="12.75">
      <c r="A1042625" s="24"/>
      <c r="B1042625" s="24"/>
      <c r="C1042625" s="24"/>
      <c r="D1042625" s="24"/>
      <c r="E1042625" s="24"/>
      <c r="F1042625" s="24"/>
      <c r="G1042625" s="24"/>
      <c r="H1042625" s="24"/>
      <c r="I1042625" s="24"/>
      <c r="J1042625" s="24"/>
      <c r="K1042625" s="54"/>
    </row>
    <row r="1042626" spans="1:11" s="55" customFormat="1" ht="12.75">
      <c r="A1042626" s="24"/>
      <c r="B1042626" s="24"/>
      <c r="C1042626" s="24"/>
      <c r="D1042626" s="24"/>
      <c r="E1042626" s="24"/>
      <c r="F1042626" s="24"/>
      <c r="G1042626" s="24"/>
      <c r="H1042626" s="24"/>
      <c r="I1042626" s="24"/>
      <c r="J1042626" s="24"/>
      <c r="K1042626" s="54"/>
    </row>
    <row r="1042627" spans="1:11" s="55" customFormat="1" ht="12.75">
      <c r="A1042627" s="24"/>
      <c r="B1042627" s="24"/>
      <c r="C1042627" s="24"/>
      <c r="D1042627" s="24"/>
      <c r="E1042627" s="24"/>
      <c r="F1042627" s="24"/>
      <c r="G1042627" s="24"/>
      <c r="H1042627" s="24"/>
      <c r="I1042627" s="24"/>
      <c r="J1042627" s="24"/>
      <c r="K1042627" s="54"/>
    </row>
    <row r="1042628" spans="1:11" s="55" customFormat="1" ht="12.75">
      <c r="A1042628" s="24"/>
      <c r="B1042628" s="24"/>
      <c r="C1042628" s="24"/>
      <c r="D1042628" s="24"/>
      <c r="E1042628" s="24"/>
      <c r="F1042628" s="24"/>
      <c r="G1042628" s="24"/>
      <c r="H1042628" s="24"/>
      <c r="I1042628" s="24"/>
      <c r="J1042628" s="24"/>
      <c r="K1042628" s="54"/>
    </row>
    <row r="1042629" spans="1:11" s="55" customFormat="1" ht="12.75">
      <c r="A1042629" s="24"/>
      <c r="B1042629" s="24"/>
      <c r="C1042629" s="24"/>
      <c r="D1042629" s="24"/>
      <c r="E1042629" s="24"/>
      <c r="F1042629" s="24"/>
      <c r="G1042629" s="24"/>
      <c r="H1042629" s="24"/>
      <c r="I1042629" s="24"/>
      <c r="J1042629" s="24"/>
      <c r="K1042629" s="54"/>
    </row>
    <row r="1042630" spans="1:11" s="55" customFormat="1" ht="12.75">
      <c r="A1042630" s="24"/>
      <c r="B1042630" s="24"/>
      <c r="C1042630" s="24"/>
      <c r="D1042630" s="24"/>
      <c r="E1042630" s="24"/>
      <c r="F1042630" s="24"/>
      <c r="G1042630" s="24"/>
      <c r="H1042630" s="24"/>
      <c r="I1042630" s="24"/>
      <c r="J1042630" s="24"/>
      <c r="K1042630" s="54"/>
    </row>
    <row r="1042631" spans="1:11" s="55" customFormat="1" ht="12.75">
      <c r="A1042631" s="24"/>
      <c r="B1042631" s="24"/>
      <c r="C1042631" s="24"/>
      <c r="D1042631" s="24"/>
      <c r="E1042631" s="24"/>
      <c r="F1042631" s="24"/>
      <c r="G1042631" s="24"/>
      <c r="H1042631" s="24"/>
      <c r="I1042631" s="24"/>
      <c r="J1042631" s="24"/>
      <c r="K1042631" s="54"/>
    </row>
    <row r="1042632" spans="1:11" s="55" customFormat="1" ht="12.75">
      <c r="A1042632" s="24"/>
      <c r="B1042632" s="24"/>
      <c r="C1042632" s="24"/>
      <c r="D1042632" s="24"/>
      <c r="E1042632" s="24"/>
      <c r="F1042632" s="24"/>
      <c r="G1042632" s="24"/>
      <c r="H1042632" s="24"/>
      <c r="I1042632" s="24"/>
      <c r="J1042632" s="24"/>
      <c r="K1042632" s="54"/>
    </row>
    <row r="1042633" spans="1:11" s="55" customFormat="1" ht="12.75">
      <c r="A1042633" s="24"/>
      <c r="B1042633" s="24"/>
      <c r="C1042633" s="24"/>
      <c r="D1042633" s="24"/>
      <c r="E1042633" s="24"/>
      <c r="F1042633" s="24"/>
      <c r="G1042633" s="24"/>
      <c r="H1042633" s="24"/>
      <c r="I1042633" s="24"/>
      <c r="J1042633" s="24"/>
      <c r="K1042633" s="54"/>
    </row>
    <row r="1042634" spans="1:11" s="55" customFormat="1" ht="12.75">
      <c r="A1042634" s="24"/>
      <c r="B1042634" s="24"/>
      <c r="C1042634" s="24"/>
      <c r="D1042634" s="24"/>
      <c r="E1042634" s="24"/>
      <c r="F1042634" s="24"/>
      <c r="G1042634" s="24"/>
      <c r="H1042634" s="24"/>
      <c r="I1042634" s="24"/>
      <c r="J1042634" s="24"/>
      <c r="K1042634" s="54"/>
    </row>
    <row r="1042635" spans="1:11" s="55" customFormat="1" ht="12.75">
      <c r="A1042635" s="24"/>
      <c r="B1042635" s="24"/>
      <c r="C1042635" s="24"/>
      <c r="D1042635" s="24"/>
      <c r="E1042635" s="24"/>
      <c r="F1042635" s="24"/>
      <c r="G1042635" s="24"/>
      <c r="H1042635" s="24"/>
      <c r="I1042635" s="24"/>
      <c r="J1042635" s="24"/>
      <c r="K1042635" s="54"/>
    </row>
    <row r="1042636" spans="1:11" s="55" customFormat="1" ht="12.75">
      <c r="A1042636" s="24"/>
      <c r="B1042636" s="24"/>
      <c r="C1042636" s="24"/>
      <c r="D1042636" s="24"/>
      <c r="E1042636" s="24"/>
      <c r="F1042636" s="24"/>
      <c r="G1042636" s="24"/>
      <c r="H1042636" s="24"/>
      <c r="I1042636" s="24"/>
      <c r="J1042636" s="24"/>
      <c r="K1042636" s="54"/>
    </row>
    <row r="1042637" spans="1:11" s="55" customFormat="1" ht="12.75">
      <c r="A1042637" s="24"/>
      <c r="B1042637" s="24"/>
      <c r="C1042637" s="24"/>
      <c r="D1042637" s="24"/>
      <c r="E1042637" s="24"/>
      <c r="F1042637" s="24"/>
      <c r="G1042637" s="24"/>
      <c r="H1042637" s="24"/>
      <c r="I1042637" s="24"/>
      <c r="J1042637" s="24"/>
      <c r="K1042637" s="54"/>
    </row>
    <row r="1042638" spans="1:11" s="55" customFormat="1" ht="12.75">
      <c r="A1042638" s="24"/>
      <c r="B1042638" s="24"/>
      <c r="C1042638" s="24"/>
      <c r="D1042638" s="24"/>
      <c r="E1042638" s="24"/>
      <c r="F1042638" s="24"/>
      <c r="G1042638" s="24"/>
      <c r="H1042638" s="24"/>
      <c r="I1042638" s="24"/>
      <c r="J1042638" s="24"/>
      <c r="K1042638" s="54"/>
    </row>
    <row r="1042639" spans="1:11" s="55" customFormat="1" ht="12.75">
      <c r="A1042639" s="24"/>
      <c r="B1042639" s="24"/>
      <c r="C1042639" s="24"/>
      <c r="D1042639" s="24"/>
      <c r="E1042639" s="24"/>
      <c r="F1042639" s="24"/>
      <c r="G1042639" s="24"/>
      <c r="H1042639" s="24"/>
      <c r="I1042639" s="24"/>
      <c r="J1042639" s="24"/>
      <c r="K1042639" s="54"/>
    </row>
    <row r="1042640" spans="1:11" s="55" customFormat="1" ht="12.75">
      <c r="A1042640" s="24"/>
      <c r="B1042640" s="24"/>
      <c r="C1042640" s="24"/>
      <c r="D1042640" s="24"/>
      <c r="E1042640" s="24"/>
      <c r="F1042640" s="24"/>
      <c r="G1042640" s="24"/>
      <c r="H1042640" s="24"/>
      <c r="I1042640" s="24"/>
      <c r="J1042640" s="24"/>
      <c r="K1042640" s="54"/>
    </row>
    <row r="1042641" spans="1:11" s="55" customFormat="1" ht="12.75">
      <c r="A1042641" s="24"/>
      <c r="B1042641" s="24"/>
      <c r="C1042641" s="24"/>
      <c r="D1042641" s="24"/>
      <c r="E1042641" s="24"/>
      <c r="F1042641" s="24"/>
      <c r="G1042641" s="24"/>
      <c r="H1042641" s="24"/>
      <c r="I1042641" s="24"/>
      <c r="J1042641" s="24"/>
      <c r="K1042641" s="54"/>
    </row>
    <row r="1042642" spans="1:11" s="55" customFormat="1" ht="12.75">
      <c r="A1042642" s="24"/>
      <c r="B1042642" s="24"/>
      <c r="C1042642" s="24"/>
      <c r="D1042642" s="24"/>
      <c r="E1042642" s="24"/>
      <c r="F1042642" s="24"/>
      <c r="G1042642" s="24"/>
      <c r="H1042642" s="24"/>
      <c r="I1042642" s="24"/>
      <c r="J1042642" s="24"/>
      <c r="K1042642" s="54"/>
    </row>
    <row r="1042643" spans="1:11" s="55" customFormat="1" ht="12.75">
      <c r="A1042643" s="24"/>
      <c r="B1042643" s="24"/>
      <c r="C1042643" s="24"/>
      <c r="D1042643" s="24"/>
      <c r="E1042643" s="24"/>
      <c r="F1042643" s="24"/>
      <c r="G1042643" s="24"/>
      <c r="H1042643" s="24"/>
      <c r="I1042643" s="24"/>
      <c r="J1042643" s="24"/>
      <c r="K1042643" s="54"/>
    </row>
    <row r="1042644" spans="1:11" s="55" customFormat="1" ht="12.75">
      <c r="A1042644" s="24"/>
      <c r="B1042644" s="24"/>
      <c r="C1042644" s="24"/>
      <c r="D1042644" s="24"/>
      <c r="E1042644" s="24"/>
      <c r="F1042644" s="24"/>
      <c r="G1042644" s="24"/>
      <c r="H1042644" s="24"/>
      <c r="I1042644" s="24"/>
      <c r="J1042644" s="24"/>
      <c r="K1042644" s="54"/>
    </row>
    <row r="1042645" spans="1:11" s="55" customFormat="1" ht="12.75">
      <c r="A1042645" s="24"/>
      <c r="B1042645" s="24"/>
      <c r="C1042645" s="24"/>
      <c r="D1042645" s="24"/>
      <c r="E1042645" s="24"/>
      <c r="F1042645" s="24"/>
      <c r="G1042645" s="24"/>
      <c r="H1042645" s="24"/>
      <c r="I1042645" s="24"/>
      <c r="J1042645" s="24"/>
      <c r="K1042645" s="54"/>
    </row>
    <row r="1042646" spans="1:11" s="55" customFormat="1" ht="12.75">
      <c r="A1042646" s="24"/>
      <c r="B1042646" s="24"/>
      <c r="C1042646" s="24"/>
      <c r="D1042646" s="24"/>
      <c r="E1042646" s="24"/>
      <c r="F1042646" s="24"/>
      <c r="G1042646" s="24"/>
      <c r="H1042646" s="24"/>
      <c r="I1042646" s="24"/>
      <c r="J1042646" s="24"/>
      <c r="K1042646" s="54"/>
    </row>
    <row r="1042647" spans="1:11" s="55" customFormat="1" ht="12.75">
      <c r="A1042647" s="24"/>
      <c r="B1042647" s="24"/>
      <c r="C1042647" s="24"/>
      <c r="D1042647" s="24"/>
      <c r="E1042647" s="24"/>
      <c r="F1042647" s="24"/>
      <c r="G1042647" s="24"/>
      <c r="H1042647" s="24"/>
      <c r="I1042647" s="24"/>
      <c r="J1042647" s="24"/>
      <c r="K1042647" s="54"/>
    </row>
    <row r="1042648" spans="1:11" s="55" customFormat="1" ht="12.75">
      <c r="A1042648" s="24"/>
      <c r="B1042648" s="24"/>
      <c r="C1042648" s="24"/>
      <c r="D1042648" s="24"/>
      <c r="E1042648" s="24"/>
      <c r="F1042648" s="24"/>
      <c r="G1042648" s="24"/>
      <c r="H1042648" s="24"/>
      <c r="I1042648" s="24"/>
      <c r="J1042648" s="24"/>
      <c r="K1042648" s="54"/>
    </row>
    <row r="1042649" spans="1:11" s="55" customFormat="1" ht="12.75">
      <c r="A1042649" s="24"/>
      <c r="B1042649" s="24"/>
      <c r="C1042649" s="24"/>
      <c r="D1042649" s="24"/>
      <c r="E1042649" s="24"/>
      <c r="F1042649" s="24"/>
      <c r="G1042649" s="24"/>
      <c r="H1042649" s="24"/>
      <c r="I1042649" s="24"/>
      <c r="J1042649" s="24"/>
      <c r="K1042649" s="54"/>
    </row>
    <row r="1042650" spans="1:11" s="55" customFormat="1" ht="12.75">
      <c r="A1042650" s="24"/>
      <c r="B1042650" s="24"/>
      <c r="C1042650" s="24"/>
      <c r="D1042650" s="24"/>
      <c r="E1042650" s="24"/>
      <c r="F1042650" s="24"/>
      <c r="G1042650" s="24"/>
      <c r="H1042650" s="24"/>
      <c r="I1042650" s="24"/>
      <c r="J1042650" s="24"/>
      <c r="K1042650" s="54"/>
    </row>
    <row r="1042651" spans="1:11" s="55" customFormat="1" ht="12.75">
      <c r="A1042651" s="24"/>
      <c r="B1042651" s="24"/>
      <c r="C1042651" s="24"/>
      <c r="D1042651" s="24"/>
      <c r="E1042651" s="24"/>
      <c r="F1042651" s="24"/>
      <c r="G1042651" s="24"/>
      <c r="H1042651" s="24"/>
      <c r="I1042651" s="24"/>
      <c r="J1042651" s="24"/>
      <c r="K1042651" s="54"/>
    </row>
    <row r="1042652" spans="1:11" s="55" customFormat="1" ht="12.75">
      <c r="A1042652" s="24"/>
      <c r="B1042652" s="24"/>
      <c r="C1042652" s="24"/>
      <c r="D1042652" s="24"/>
      <c r="E1042652" s="24"/>
      <c r="F1042652" s="24"/>
      <c r="G1042652" s="24"/>
      <c r="H1042652" s="24"/>
      <c r="I1042652" s="24"/>
      <c r="J1042652" s="24"/>
      <c r="K1042652" s="54"/>
    </row>
    <row r="1042653" spans="1:11" s="55" customFormat="1" ht="12.75">
      <c r="A1042653" s="24"/>
      <c r="B1042653" s="24"/>
      <c r="C1042653" s="24"/>
      <c r="D1042653" s="24"/>
      <c r="E1042653" s="24"/>
      <c r="F1042653" s="24"/>
      <c r="G1042653" s="24"/>
      <c r="H1042653" s="24"/>
      <c r="I1042653" s="24"/>
      <c r="J1042653" s="24"/>
      <c r="K1042653" s="54"/>
    </row>
    <row r="1042654" spans="1:11" s="55" customFormat="1" ht="12.75">
      <c r="A1042654" s="24"/>
      <c r="B1042654" s="24"/>
      <c r="C1042654" s="24"/>
      <c r="D1042654" s="24"/>
      <c r="E1042654" s="24"/>
      <c r="F1042654" s="24"/>
      <c r="G1042654" s="24"/>
      <c r="H1042654" s="24"/>
      <c r="I1042654" s="24"/>
      <c r="J1042654" s="24"/>
      <c r="K1042654" s="54"/>
    </row>
    <row r="1042655" spans="1:11" s="55" customFormat="1" ht="12.75">
      <c r="A1042655" s="24"/>
      <c r="B1042655" s="24"/>
      <c r="C1042655" s="24"/>
      <c r="D1042655" s="24"/>
      <c r="E1042655" s="24"/>
      <c r="F1042655" s="24"/>
      <c r="G1042655" s="24"/>
      <c r="H1042655" s="24"/>
      <c r="I1042655" s="24"/>
      <c r="J1042655" s="24"/>
      <c r="K1042655" s="54"/>
    </row>
    <row r="1042656" spans="1:11" s="55" customFormat="1" ht="12.75">
      <c r="A1042656" s="24"/>
      <c r="B1042656" s="24"/>
      <c r="C1042656" s="24"/>
      <c r="D1042656" s="24"/>
      <c r="E1042656" s="24"/>
      <c r="F1042656" s="24"/>
      <c r="G1042656" s="24"/>
      <c r="H1042656" s="24"/>
      <c r="I1042656" s="24"/>
      <c r="J1042656" s="24"/>
      <c r="K1042656" s="54"/>
    </row>
    <row r="1042657" spans="1:11" s="55" customFormat="1" ht="12.75">
      <c r="A1042657" s="24"/>
      <c r="B1042657" s="24"/>
      <c r="C1042657" s="24"/>
      <c r="D1042657" s="24"/>
      <c r="E1042657" s="24"/>
      <c r="F1042657" s="24"/>
      <c r="G1042657" s="24"/>
      <c r="H1042657" s="24"/>
      <c r="I1042657" s="24"/>
      <c r="J1042657" s="24"/>
      <c r="K1042657" s="54"/>
    </row>
    <row r="1042658" spans="1:11" s="55" customFormat="1" ht="12.75">
      <c r="A1042658" s="24"/>
      <c r="B1042658" s="24"/>
      <c r="C1042658" s="24"/>
      <c r="D1042658" s="24"/>
      <c r="E1042658" s="24"/>
      <c r="F1042658" s="24"/>
      <c r="G1042658" s="24"/>
      <c r="H1042658" s="24"/>
      <c r="I1042658" s="24"/>
      <c r="J1042658" s="24"/>
      <c r="K1042658" s="54"/>
    </row>
    <row r="1042659" spans="1:11" s="55" customFormat="1" ht="12.75">
      <c r="A1042659" s="24"/>
      <c r="B1042659" s="24"/>
      <c r="C1042659" s="24"/>
      <c r="D1042659" s="24"/>
      <c r="E1042659" s="24"/>
      <c r="F1042659" s="24"/>
      <c r="G1042659" s="24"/>
      <c r="H1042659" s="24"/>
      <c r="I1042659" s="24"/>
      <c r="J1042659" s="24"/>
      <c r="K1042659" s="54"/>
    </row>
    <row r="1042660" spans="1:11" s="55" customFormat="1" ht="12.75">
      <c r="A1042660" s="24"/>
      <c r="B1042660" s="24"/>
      <c r="C1042660" s="24"/>
      <c r="D1042660" s="24"/>
      <c r="E1042660" s="24"/>
      <c r="F1042660" s="24"/>
      <c r="G1042660" s="24"/>
      <c r="H1042660" s="24"/>
      <c r="I1042660" s="24"/>
      <c r="J1042660" s="24"/>
      <c r="K1042660" s="54"/>
    </row>
    <row r="1042661" spans="1:11" s="55" customFormat="1" ht="12.75">
      <c r="A1042661" s="24"/>
      <c r="B1042661" s="24"/>
      <c r="C1042661" s="24"/>
      <c r="D1042661" s="24"/>
      <c r="E1042661" s="24"/>
      <c r="F1042661" s="24"/>
      <c r="G1042661" s="24"/>
      <c r="H1042661" s="24"/>
      <c r="I1042661" s="24"/>
      <c r="J1042661" s="24"/>
      <c r="K1042661" s="54"/>
    </row>
    <row r="1042662" spans="1:11" s="55" customFormat="1" ht="12.75">
      <c r="A1042662" s="24"/>
      <c r="B1042662" s="24"/>
      <c r="C1042662" s="24"/>
      <c r="D1042662" s="24"/>
      <c r="E1042662" s="24"/>
      <c r="F1042662" s="24"/>
      <c r="G1042662" s="24"/>
      <c r="H1042662" s="24"/>
      <c r="I1042662" s="24"/>
      <c r="J1042662" s="24"/>
      <c r="K1042662" s="54"/>
    </row>
    <row r="1042663" spans="1:11" s="55" customFormat="1" ht="12.75">
      <c r="A1042663" s="24"/>
      <c r="B1042663" s="24"/>
      <c r="C1042663" s="24"/>
      <c r="D1042663" s="24"/>
      <c r="E1042663" s="24"/>
      <c r="F1042663" s="24"/>
      <c r="G1042663" s="24"/>
      <c r="H1042663" s="24"/>
      <c r="I1042663" s="24"/>
      <c r="J1042663" s="24"/>
      <c r="K1042663" s="54"/>
    </row>
    <row r="1042664" spans="1:11" s="55" customFormat="1" ht="12.75">
      <c r="A1042664" s="24"/>
      <c r="B1042664" s="24"/>
      <c r="C1042664" s="24"/>
      <c r="D1042664" s="24"/>
      <c r="E1042664" s="24"/>
      <c r="F1042664" s="24"/>
      <c r="G1042664" s="24"/>
      <c r="H1042664" s="24"/>
      <c r="I1042664" s="24"/>
      <c r="J1042664" s="24"/>
      <c r="K1042664" s="54"/>
    </row>
    <row r="1042665" spans="1:11" s="55" customFormat="1" ht="12.75">
      <c r="A1042665" s="24"/>
      <c r="B1042665" s="24"/>
      <c r="C1042665" s="24"/>
      <c r="D1042665" s="24"/>
      <c r="E1042665" s="24"/>
      <c r="F1042665" s="24"/>
      <c r="G1042665" s="24"/>
      <c r="H1042665" s="24"/>
      <c r="I1042665" s="24"/>
      <c r="J1042665" s="24"/>
      <c r="K1042665" s="54"/>
    </row>
    <row r="1042666" spans="1:11" s="55" customFormat="1" ht="12.75">
      <c r="A1042666" s="24"/>
      <c r="B1042666" s="24"/>
      <c r="C1042666" s="24"/>
      <c r="D1042666" s="24"/>
      <c r="E1042666" s="24"/>
      <c r="F1042666" s="24"/>
      <c r="G1042666" s="24"/>
      <c r="H1042666" s="24"/>
      <c r="I1042666" s="24"/>
      <c r="J1042666" s="24"/>
      <c r="K1042666" s="54"/>
    </row>
    <row r="1042667" spans="1:11" s="55" customFormat="1" ht="12.75">
      <c r="A1042667" s="24"/>
      <c r="B1042667" s="24"/>
      <c r="C1042667" s="24"/>
      <c r="D1042667" s="24"/>
      <c r="E1042667" s="24"/>
      <c r="F1042667" s="24"/>
      <c r="G1042667" s="24"/>
      <c r="H1042667" s="24"/>
      <c r="I1042667" s="24"/>
      <c r="J1042667" s="24"/>
      <c r="K1042667" s="54"/>
    </row>
    <row r="1042668" spans="1:11" s="55" customFormat="1" ht="12.75">
      <c r="A1042668" s="24"/>
      <c r="B1042668" s="24"/>
      <c r="C1042668" s="24"/>
      <c r="D1042668" s="24"/>
      <c r="E1042668" s="24"/>
      <c r="F1042668" s="24"/>
      <c r="G1042668" s="24"/>
      <c r="H1042668" s="24"/>
      <c r="I1042668" s="24"/>
      <c r="J1042668" s="24"/>
      <c r="K1042668" s="54"/>
    </row>
    <row r="1042669" spans="1:11" s="55" customFormat="1" ht="12.75">
      <c r="A1042669" s="24"/>
      <c r="B1042669" s="24"/>
      <c r="C1042669" s="24"/>
      <c r="D1042669" s="24"/>
      <c r="E1042669" s="24"/>
      <c r="F1042669" s="24"/>
      <c r="G1042669" s="24"/>
      <c r="H1042669" s="24"/>
      <c r="I1042669" s="24"/>
      <c r="J1042669" s="24"/>
      <c r="K1042669" s="54"/>
    </row>
    <row r="1042670" spans="1:11" s="55" customFormat="1" ht="12.75">
      <c r="A1042670" s="24"/>
      <c r="B1042670" s="24"/>
      <c r="C1042670" s="24"/>
      <c r="D1042670" s="24"/>
      <c r="E1042670" s="24"/>
      <c r="F1042670" s="24"/>
      <c r="G1042670" s="24"/>
      <c r="H1042670" s="24"/>
      <c r="I1042670" s="24"/>
      <c r="J1042670" s="24"/>
      <c r="K1042670" s="54"/>
    </row>
    <row r="1042671" spans="1:11" s="55" customFormat="1" ht="12.75">
      <c r="A1042671" s="24"/>
      <c r="B1042671" s="24"/>
      <c r="C1042671" s="24"/>
      <c r="D1042671" s="24"/>
      <c r="E1042671" s="24"/>
      <c r="F1042671" s="24"/>
      <c r="G1042671" s="24"/>
      <c r="H1042671" s="24"/>
      <c r="I1042671" s="24"/>
      <c r="J1042671" s="24"/>
      <c r="K1042671" s="54"/>
    </row>
    <row r="1042672" spans="1:11" s="55" customFormat="1" ht="12.75">
      <c r="A1042672" s="24"/>
      <c r="B1042672" s="24"/>
      <c r="C1042672" s="24"/>
      <c r="D1042672" s="24"/>
      <c r="E1042672" s="24"/>
      <c r="F1042672" s="24"/>
      <c r="G1042672" s="24"/>
      <c r="H1042672" s="24"/>
      <c r="I1042672" s="24"/>
      <c r="J1042672" s="24"/>
      <c r="K1042672" s="54"/>
    </row>
    <row r="1042673" spans="1:11" s="55" customFormat="1" ht="12.75">
      <c r="A1042673" s="24"/>
      <c r="B1042673" s="24"/>
      <c r="C1042673" s="24"/>
      <c r="D1042673" s="24"/>
      <c r="E1042673" s="24"/>
      <c r="F1042673" s="24"/>
      <c r="G1042673" s="24"/>
      <c r="H1042673" s="24"/>
      <c r="I1042673" s="24"/>
      <c r="J1042673" s="24"/>
      <c r="K1042673" s="54"/>
    </row>
    <row r="1042674" spans="1:11" s="55" customFormat="1" ht="12.75">
      <c r="A1042674" s="24"/>
      <c r="B1042674" s="24"/>
      <c r="C1042674" s="24"/>
      <c r="D1042674" s="24"/>
      <c r="E1042674" s="24"/>
      <c r="F1042674" s="24"/>
      <c r="G1042674" s="24"/>
      <c r="H1042674" s="24"/>
      <c r="I1042674" s="24"/>
      <c r="J1042674" s="24"/>
      <c r="K1042674" s="54"/>
    </row>
    <row r="1042675" spans="1:11" s="55" customFormat="1" ht="12.75">
      <c r="A1042675" s="24"/>
      <c r="B1042675" s="24"/>
      <c r="C1042675" s="24"/>
      <c r="D1042675" s="24"/>
      <c r="E1042675" s="24"/>
      <c r="F1042675" s="24"/>
      <c r="G1042675" s="24"/>
      <c r="H1042675" s="24"/>
      <c r="I1042675" s="24"/>
      <c r="J1042675" s="24"/>
      <c r="K1042675" s="54"/>
    </row>
    <row r="1042676" spans="1:11" s="55" customFormat="1" ht="12.75">
      <c r="A1042676" s="24"/>
      <c r="B1042676" s="24"/>
      <c r="C1042676" s="24"/>
      <c r="D1042676" s="24"/>
      <c r="E1042676" s="24"/>
      <c r="F1042676" s="24"/>
      <c r="G1042676" s="24"/>
      <c r="H1042676" s="24"/>
      <c r="I1042676" s="24"/>
      <c r="J1042676" s="24"/>
      <c r="K1042676" s="54"/>
    </row>
    <row r="1042677" spans="1:11" s="55" customFormat="1" ht="12.75">
      <c r="A1042677" s="24"/>
      <c r="B1042677" s="24"/>
      <c r="C1042677" s="24"/>
      <c r="D1042677" s="24"/>
      <c r="E1042677" s="24"/>
      <c r="F1042677" s="24"/>
      <c r="G1042677" s="24"/>
      <c r="H1042677" s="24"/>
      <c r="I1042677" s="24"/>
      <c r="J1042677" s="24"/>
      <c r="K1042677" s="54"/>
    </row>
    <row r="1042678" spans="1:11" s="55" customFormat="1" ht="12.75">
      <c r="A1042678" s="24"/>
      <c r="B1042678" s="24"/>
      <c r="C1042678" s="24"/>
      <c r="D1042678" s="24"/>
      <c r="E1042678" s="24"/>
      <c r="F1042678" s="24"/>
      <c r="G1042678" s="24"/>
      <c r="H1042678" s="24"/>
      <c r="I1042678" s="24"/>
      <c r="J1042678" s="24"/>
      <c r="K1042678" s="54"/>
    </row>
    <row r="1042679" spans="1:11" s="55" customFormat="1" ht="12.75">
      <c r="A1042679" s="24"/>
      <c r="B1042679" s="24"/>
      <c r="C1042679" s="24"/>
      <c r="D1042679" s="24"/>
      <c r="E1042679" s="24"/>
      <c r="F1042679" s="24"/>
      <c r="G1042679" s="24"/>
      <c r="H1042679" s="24"/>
      <c r="I1042679" s="24"/>
      <c r="J1042679" s="24"/>
      <c r="K1042679" s="54"/>
    </row>
    <row r="1042680" spans="1:11" s="55" customFormat="1" ht="12.75">
      <c r="A1042680" s="24"/>
      <c r="B1042680" s="24"/>
      <c r="C1042680" s="24"/>
      <c r="D1042680" s="24"/>
      <c r="E1042680" s="24"/>
      <c r="F1042680" s="24"/>
      <c r="G1042680" s="24"/>
      <c r="H1042680" s="24"/>
      <c r="I1042680" s="24"/>
      <c r="J1042680" s="24"/>
      <c r="K1042680" s="54"/>
    </row>
    <row r="1042681" spans="1:11" s="55" customFormat="1" ht="12.75">
      <c r="A1042681" s="24"/>
      <c r="B1042681" s="24"/>
      <c r="C1042681" s="24"/>
      <c r="D1042681" s="24"/>
      <c r="E1042681" s="24"/>
      <c r="F1042681" s="24"/>
      <c r="G1042681" s="24"/>
      <c r="H1042681" s="24"/>
      <c r="I1042681" s="24"/>
      <c r="J1042681" s="24"/>
      <c r="K1042681" s="54"/>
    </row>
    <row r="1042682" spans="1:11" s="55" customFormat="1" ht="12.75">
      <c r="A1042682" s="24"/>
      <c r="B1042682" s="24"/>
      <c r="C1042682" s="24"/>
      <c r="D1042682" s="24"/>
      <c r="E1042682" s="24"/>
      <c r="F1042682" s="24"/>
      <c r="G1042682" s="24"/>
      <c r="H1042682" s="24"/>
      <c r="I1042682" s="24"/>
      <c r="J1042682" s="24"/>
      <c r="K1042682" s="54"/>
    </row>
    <row r="1042683" spans="1:11" s="55" customFormat="1" ht="12.75">
      <c r="A1042683" s="24"/>
      <c r="B1042683" s="24"/>
      <c r="C1042683" s="24"/>
      <c r="D1042683" s="24"/>
      <c r="E1042683" s="24"/>
      <c r="F1042683" s="24"/>
      <c r="G1042683" s="24"/>
      <c r="H1042683" s="24"/>
      <c r="I1042683" s="24"/>
      <c r="J1042683" s="24"/>
      <c r="K1042683" s="54"/>
    </row>
    <row r="1042684" spans="1:11" s="55" customFormat="1" ht="12.75">
      <c r="A1042684" s="24"/>
      <c r="B1042684" s="24"/>
      <c r="C1042684" s="24"/>
      <c r="D1042684" s="24"/>
      <c r="E1042684" s="24"/>
      <c r="F1042684" s="24"/>
      <c r="G1042684" s="24"/>
      <c r="H1042684" s="24"/>
      <c r="I1042684" s="24"/>
      <c r="J1042684" s="24"/>
      <c r="K1042684" s="54"/>
    </row>
    <row r="1042685" spans="1:11" s="55" customFormat="1" ht="12.75">
      <c r="A1042685" s="24"/>
      <c r="B1042685" s="24"/>
      <c r="C1042685" s="24"/>
      <c r="D1042685" s="24"/>
      <c r="E1042685" s="24"/>
      <c r="F1042685" s="24"/>
      <c r="G1042685" s="24"/>
      <c r="H1042685" s="24"/>
      <c r="I1042685" s="24"/>
      <c r="J1042685" s="24"/>
      <c r="K1042685" s="54"/>
    </row>
    <row r="1042686" spans="1:11" s="55" customFormat="1" ht="12.75">
      <c r="A1042686" s="24"/>
      <c r="B1042686" s="24"/>
      <c r="C1042686" s="24"/>
      <c r="D1042686" s="24"/>
      <c r="E1042686" s="24"/>
      <c r="F1042686" s="24"/>
      <c r="G1042686" s="24"/>
      <c r="H1042686" s="24"/>
      <c r="I1042686" s="24"/>
      <c r="J1042686" s="24"/>
      <c r="K1042686" s="54"/>
    </row>
    <row r="1042687" spans="1:11" s="55" customFormat="1" ht="12.75">
      <c r="A1042687" s="24"/>
      <c r="B1042687" s="24"/>
      <c r="C1042687" s="24"/>
      <c r="D1042687" s="24"/>
      <c r="E1042687" s="24"/>
      <c r="F1042687" s="24"/>
      <c r="G1042687" s="24"/>
      <c r="H1042687" s="24"/>
      <c r="I1042687" s="24"/>
      <c r="J1042687" s="24"/>
      <c r="K1042687" s="54"/>
    </row>
    <row r="1042688" spans="1:11" s="55" customFormat="1" ht="12.75">
      <c r="A1042688" s="24"/>
      <c r="B1042688" s="24"/>
      <c r="C1042688" s="24"/>
      <c r="D1042688" s="24"/>
      <c r="E1042688" s="24"/>
      <c r="F1042688" s="24"/>
      <c r="G1042688" s="24"/>
      <c r="H1042688" s="24"/>
      <c r="I1042688" s="24"/>
      <c r="J1042688" s="24"/>
      <c r="K1042688" s="54"/>
    </row>
    <row r="1042689" spans="1:11" s="55" customFormat="1" ht="12.75">
      <c r="A1042689" s="24"/>
      <c r="B1042689" s="24"/>
      <c r="C1042689" s="24"/>
      <c r="D1042689" s="24"/>
      <c r="E1042689" s="24"/>
      <c r="F1042689" s="24"/>
      <c r="G1042689" s="24"/>
      <c r="H1042689" s="24"/>
      <c r="I1042689" s="24"/>
      <c r="J1042689" s="24"/>
      <c r="K1042689" s="54"/>
    </row>
    <row r="1042690" spans="1:11" s="55" customFormat="1" ht="12.75">
      <c r="A1042690" s="24"/>
      <c r="B1042690" s="24"/>
      <c r="C1042690" s="24"/>
      <c r="D1042690" s="24"/>
      <c r="E1042690" s="24"/>
      <c r="F1042690" s="24"/>
      <c r="G1042690" s="24"/>
      <c r="H1042690" s="24"/>
      <c r="I1042690" s="24"/>
      <c r="J1042690" s="24"/>
      <c r="K1042690" s="54"/>
    </row>
    <row r="1042691" spans="1:11" s="55" customFormat="1" ht="12.75">
      <c r="A1042691" s="24"/>
      <c r="B1042691" s="24"/>
      <c r="C1042691" s="24"/>
      <c r="D1042691" s="24"/>
      <c r="E1042691" s="24"/>
      <c r="F1042691" s="24"/>
      <c r="G1042691" s="24"/>
      <c r="H1042691" s="24"/>
      <c r="I1042691" s="24"/>
      <c r="J1042691" s="24"/>
      <c r="K1042691" s="54"/>
    </row>
    <row r="1042692" spans="1:11" s="55" customFormat="1" ht="12.75">
      <c r="A1042692" s="24"/>
      <c r="B1042692" s="24"/>
      <c r="C1042692" s="24"/>
      <c r="D1042692" s="24"/>
      <c r="E1042692" s="24"/>
      <c r="F1042692" s="24"/>
      <c r="G1042692" s="24"/>
      <c r="H1042692" s="24"/>
      <c r="I1042692" s="24"/>
      <c r="J1042692" s="24"/>
      <c r="K1042692" s="54"/>
    </row>
    <row r="1042693" spans="1:11" s="55" customFormat="1" ht="12.75">
      <c r="A1042693" s="24"/>
      <c r="B1042693" s="24"/>
      <c r="C1042693" s="24"/>
      <c r="D1042693" s="24"/>
      <c r="E1042693" s="24"/>
      <c r="F1042693" s="24"/>
      <c r="G1042693" s="24"/>
      <c r="H1042693" s="24"/>
      <c r="I1042693" s="24"/>
      <c r="J1042693" s="24"/>
      <c r="K1042693" s="54"/>
    </row>
    <row r="1042694" spans="1:11" s="55" customFormat="1" ht="12.75">
      <c r="A1042694" s="24"/>
      <c r="B1042694" s="24"/>
      <c r="C1042694" s="24"/>
      <c r="D1042694" s="24"/>
      <c r="E1042694" s="24"/>
      <c r="F1042694" s="24"/>
      <c r="G1042694" s="24"/>
      <c r="H1042694" s="24"/>
      <c r="I1042694" s="24"/>
      <c r="J1042694" s="24"/>
      <c r="K1042694" s="54"/>
    </row>
    <row r="1042695" spans="1:11" s="55" customFormat="1" ht="12.75">
      <c r="A1042695" s="24"/>
      <c r="B1042695" s="24"/>
      <c r="C1042695" s="24"/>
      <c r="D1042695" s="24"/>
      <c r="E1042695" s="24"/>
      <c r="F1042695" s="24"/>
      <c r="G1042695" s="24"/>
      <c r="H1042695" s="24"/>
      <c r="I1042695" s="24"/>
      <c r="J1042695" s="24"/>
      <c r="K1042695" s="54"/>
    </row>
    <row r="1042696" spans="1:11" s="55" customFormat="1" ht="12.75">
      <c r="A1042696" s="24"/>
      <c r="B1042696" s="24"/>
      <c r="C1042696" s="24"/>
      <c r="D1042696" s="24"/>
      <c r="E1042696" s="24"/>
      <c r="F1042696" s="24"/>
      <c r="G1042696" s="24"/>
      <c r="H1042696" s="24"/>
      <c r="I1042696" s="24"/>
      <c r="J1042696" s="24"/>
      <c r="K1042696" s="54"/>
    </row>
    <row r="1042697" spans="1:11" s="55" customFormat="1" ht="12.75">
      <c r="A1042697" s="24"/>
      <c r="B1042697" s="24"/>
      <c r="C1042697" s="24"/>
      <c r="D1042697" s="24"/>
      <c r="E1042697" s="24"/>
      <c r="F1042697" s="24"/>
      <c r="G1042697" s="24"/>
      <c r="H1042697" s="24"/>
      <c r="I1042697" s="24"/>
      <c r="J1042697" s="24"/>
      <c r="K1042697" s="54"/>
    </row>
    <row r="1042698" spans="1:11" s="55" customFormat="1" ht="12.75">
      <c r="A1042698" s="24"/>
      <c r="B1042698" s="24"/>
      <c r="C1042698" s="24"/>
      <c r="D1042698" s="24"/>
      <c r="E1042698" s="24"/>
      <c r="F1042698" s="24"/>
      <c r="G1042698" s="24"/>
      <c r="H1042698" s="24"/>
      <c r="I1042698" s="24"/>
      <c r="J1042698" s="24"/>
      <c r="K1042698" s="54"/>
    </row>
    <row r="1042699" spans="1:11" s="55" customFormat="1" ht="12.75">
      <c r="A1042699" s="24"/>
      <c r="B1042699" s="24"/>
      <c r="C1042699" s="24"/>
      <c r="D1042699" s="24"/>
      <c r="E1042699" s="24"/>
      <c r="F1042699" s="24"/>
      <c r="G1042699" s="24"/>
      <c r="H1042699" s="24"/>
      <c r="I1042699" s="24"/>
      <c r="J1042699" s="24"/>
      <c r="K1042699" s="54"/>
    </row>
    <row r="1042700" spans="1:11" s="55" customFormat="1" ht="12.75">
      <c r="A1042700" s="24"/>
      <c r="B1042700" s="24"/>
      <c r="C1042700" s="24"/>
      <c r="D1042700" s="24"/>
      <c r="E1042700" s="24"/>
      <c r="F1042700" s="24"/>
      <c r="G1042700" s="24"/>
      <c r="H1042700" s="24"/>
      <c r="I1042700" s="24"/>
      <c r="J1042700" s="24"/>
      <c r="K1042700" s="54"/>
    </row>
    <row r="1042701" spans="1:11" s="55" customFormat="1" ht="12.75">
      <c r="A1042701" s="24"/>
      <c r="B1042701" s="24"/>
      <c r="C1042701" s="24"/>
      <c r="D1042701" s="24"/>
      <c r="E1042701" s="24"/>
      <c r="F1042701" s="24"/>
      <c r="G1042701" s="24"/>
      <c r="H1042701" s="24"/>
      <c r="I1042701" s="24"/>
      <c r="J1042701" s="24"/>
      <c r="K1042701" s="54"/>
    </row>
    <row r="1042702" spans="1:11" s="55" customFormat="1" ht="12.75">
      <c r="A1042702" s="24"/>
      <c r="B1042702" s="24"/>
      <c r="C1042702" s="24"/>
      <c r="D1042702" s="24"/>
      <c r="E1042702" s="24"/>
      <c r="F1042702" s="24"/>
      <c r="G1042702" s="24"/>
      <c r="H1042702" s="24"/>
      <c r="I1042702" s="24"/>
      <c r="J1042702" s="24"/>
      <c r="K1042702" s="54"/>
    </row>
    <row r="1042703" spans="1:11" s="55" customFormat="1" ht="12.75">
      <c r="A1042703" s="24"/>
      <c r="B1042703" s="24"/>
      <c r="C1042703" s="24"/>
      <c r="D1042703" s="24"/>
      <c r="E1042703" s="24"/>
      <c r="F1042703" s="24"/>
      <c r="G1042703" s="24"/>
      <c r="H1042703" s="24"/>
      <c r="I1042703" s="24"/>
      <c r="J1042703" s="24"/>
      <c r="K1042703" s="54"/>
    </row>
    <row r="1042704" spans="1:11" s="55" customFormat="1" ht="12.75">
      <c r="A1042704" s="24"/>
      <c r="B1042704" s="24"/>
      <c r="C1042704" s="24"/>
      <c r="D1042704" s="24"/>
      <c r="E1042704" s="24"/>
      <c r="F1042704" s="24"/>
      <c r="G1042704" s="24"/>
      <c r="H1042704" s="24"/>
      <c r="I1042704" s="24"/>
      <c r="J1042704" s="24"/>
      <c r="K1042704" s="54"/>
    </row>
    <row r="1042705" spans="1:11" s="55" customFormat="1" ht="12.75">
      <c r="A1042705" s="24"/>
      <c r="B1042705" s="24"/>
      <c r="C1042705" s="24"/>
      <c r="D1042705" s="24"/>
      <c r="E1042705" s="24"/>
      <c r="F1042705" s="24"/>
      <c r="G1042705" s="24"/>
      <c r="H1042705" s="24"/>
      <c r="I1042705" s="24"/>
      <c r="J1042705" s="24"/>
      <c r="K1042705" s="54"/>
    </row>
    <row r="1042706" spans="1:11" s="55" customFormat="1" ht="12.75">
      <c r="A1042706" s="24"/>
      <c r="B1042706" s="24"/>
      <c r="C1042706" s="24"/>
      <c r="D1042706" s="24"/>
      <c r="E1042706" s="24"/>
      <c r="F1042706" s="24"/>
      <c r="G1042706" s="24"/>
      <c r="H1042706" s="24"/>
      <c r="I1042706" s="24"/>
      <c r="J1042706" s="24"/>
      <c r="K1042706" s="54"/>
    </row>
    <row r="1042707" spans="1:11" s="55" customFormat="1" ht="12.75">
      <c r="A1042707" s="24"/>
      <c r="B1042707" s="24"/>
      <c r="C1042707" s="24"/>
      <c r="D1042707" s="24"/>
      <c r="E1042707" s="24"/>
      <c r="F1042707" s="24"/>
      <c r="G1042707" s="24"/>
      <c r="H1042707" s="24"/>
      <c r="I1042707" s="24"/>
      <c r="J1042707" s="24"/>
      <c r="K1042707" s="54"/>
    </row>
    <row r="1042708" spans="1:11" s="55" customFormat="1" ht="12.75">
      <c r="A1042708" s="24"/>
      <c r="B1042708" s="24"/>
      <c r="C1042708" s="24"/>
      <c r="D1042708" s="24"/>
      <c r="E1042708" s="24"/>
      <c r="F1042708" s="24"/>
      <c r="G1042708" s="24"/>
      <c r="H1042708" s="24"/>
      <c r="I1042708" s="24"/>
      <c r="J1042708" s="24"/>
      <c r="K1042708" s="54"/>
    </row>
    <row r="1042709" spans="1:11" s="55" customFormat="1" ht="12.75">
      <c r="A1042709" s="24"/>
      <c r="B1042709" s="24"/>
      <c r="C1042709" s="24"/>
      <c r="D1042709" s="24"/>
      <c r="E1042709" s="24"/>
      <c r="F1042709" s="24"/>
      <c r="G1042709" s="24"/>
      <c r="H1042709" s="24"/>
      <c r="I1042709" s="24"/>
      <c r="J1042709" s="24"/>
      <c r="K1042709" s="54"/>
    </row>
    <row r="1042710" spans="1:11" s="55" customFormat="1" ht="12.75">
      <c r="A1042710" s="24"/>
      <c r="B1042710" s="24"/>
      <c r="C1042710" s="24"/>
      <c r="D1042710" s="24"/>
      <c r="E1042710" s="24"/>
      <c r="F1042710" s="24"/>
      <c r="G1042710" s="24"/>
      <c r="H1042710" s="24"/>
      <c r="I1042710" s="24"/>
      <c r="J1042710" s="24"/>
      <c r="K1042710" s="54"/>
    </row>
    <row r="1042711" spans="1:11" s="55" customFormat="1" ht="12.75">
      <c r="A1042711" s="24"/>
      <c r="B1042711" s="24"/>
      <c r="C1042711" s="24"/>
      <c r="D1042711" s="24"/>
      <c r="E1042711" s="24"/>
      <c r="F1042711" s="24"/>
      <c r="G1042711" s="24"/>
      <c r="H1042711" s="24"/>
      <c r="I1042711" s="24"/>
      <c r="J1042711" s="24"/>
      <c r="K1042711" s="54"/>
    </row>
    <row r="1042712" spans="1:11" s="55" customFormat="1" ht="12.75">
      <c r="A1042712" s="24"/>
      <c r="B1042712" s="24"/>
      <c r="C1042712" s="24"/>
      <c r="D1042712" s="24"/>
      <c r="E1042712" s="24"/>
      <c r="F1042712" s="24"/>
      <c r="G1042712" s="24"/>
      <c r="H1042712" s="24"/>
      <c r="I1042712" s="24"/>
      <c r="J1042712" s="24"/>
      <c r="K1042712" s="54"/>
    </row>
    <row r="1042713" spans="1:11" s="55" customFormat="1" ht="12.75">
      <c r="A1042713" s="24"/>
      <c r="B1042713" s="24"/>
      <c r="C1042713" s="24"/>
      <c r="D1042713" s="24"/>
      <c r="E1042713" s="24"/>
      <c r="F1042713" s="24"/>
      <c r="G1042713" s="24"/>
      <c r="H1042713" s="24"/>
      <c r="I1042713" s="24"/>
      <c r="J1042713" s="24"/>
      <c r="K1042713" s="54"/>
    </row>
    <row r="1042714" spans="1:11" s="55" customFormat="1" ht="12.75">
      <c r="A1042714" s="24"/>
      <c r="B1042714" s="24"/>
      <c r="C1042714" s="24"/>
      <c r="D1042714" s="24"/>
      <c r="E1042714" s="24"/>
      <c r="F1042714" s="24"/>
      <c r="G1042714" s="24"/>
      <c r="H1042714" s="24"/>
      <c r="I1042714" s="24"/>
      <c r="J1042714" s="24"/>
      <c r="K1042714" s="54"/>
    </row>
    <row r="1042715" spans="1:11" s="55" customFormat="1" ht="12.75">
      <c r="A1042715" s="24"/>
      <c r="B1042715" s="24"/>
      <c r="C1042715" s="24"/>
      <c r="D1042715" s="24"/>
      <c r="E1042715" s="24"/>
      <c r="F1042715" s="24"/>
      <c r="G1042715" s="24"/>
      <c r="H1042715" s="24"/>
      <c r="I1042715" s="24"/>
      <c r="J1042715" s="24"/>
      <c r="K1042715" s="54"/>
    </row>
    <row r="1042716" spans="1:11" s="55" customFormat="1" ht="12.75">
      <c r="A1042716" s="24"/>
      <c r="B1042716" s="24"/>
      <c r="C1042716" s="24"/>
      <c r="D1042716" s="24"/>
      <c r="E1042716" s="24"/>
      <c r="F1042716" s="24"/>
      <c r="G1042716" s="24"/>
      <c r="H1042716" s="24"/>
      <c r="I1042716" s="24"/>
      <c r="J1042716" s="24"/>
      <c r="K1042716" s="54"/>
    </row>
    <row r="1042717" spans="1:11" s="55" customFormat="1" ht="12.75">
      <c r="A1042717" s="24"/>
      <c r="B1042717" s="24"/>
      <c r="C1042717" s="24"/>
      <c r="D1042717" s="24"/>
      <c r="E1042717" s="24"/>
      <c r="F1042717" s="24"/>
      <c r="G1042717" s="24"/>
      <c r="H1042717" s="24"/>
      <c r="I1042717" s="24"/>
      <c r="J1042717" s="24"/>
      <c r="K1042717" s="54"/>
    </row>
    <row r="1042718" spans="1:11" s="55" customFormat="1" ht="12.75">
      <c r="A1042718" s="24"/>
      <c r="B1042718" s="24"/>
      <c r="C1042718" s="24"/>
      <c r="D1042718" s="24"/>
      <c r="E1042718" s="24"/>
      <c r="F1042718" s="24"/>
      <c r="G1042718" s="24"/>
      <c r="H1042718" s="24"/>
      <c r="I1042718" s="24"/>
      <c r="J1042718" s="24"/>
      <c r="K1042718" s="54"/>
    </row>
    <row r="1042719" spans="1:11" s="55" customFormat="1" ht="12.75">
      <c r="A1042719" s="24"/>
      <c r="B1042719" s="24"/>
      <c r="C1042719" s="24"/>
      <c r="D1042719" s="24"/>
      <c r="E1042719" s="24"/>
      <c r="F1042719" s="24"/>
      <c r="G1042719" s="24"/>
      <c r="H1042719" s="24"/>
      <c r="I1042719" s="24"/>
      <c r="J1042719" s="24"/>
      <c r="K1042719" s="54"/>
    </row>
    <row r="1042720" spans="1:11" s="55" customFormat="1" ht="12.75">
      <c r="A1042720" s="24"/>
      <c r="B1042720" s="24"/>
      <c r="C1042720" s="24"/>
      <c r="D1042720" s="24"/>
      <c r="E1042720" s="24"/>
      <c r="F1042720" s="24"/>
      <c r="G1042720" s="24"/>
      <c r="H1042720" s="24"/>
      <c r="I1042720" s="24"/>
      <c r="J1042720" s="24"/>
      <c r="K1042720" s="54"/>
    </row>
    <row r="1042721" spans="1:11" s="55" customFormat="1" ht="12.75">
      <c r="A1042721" s="24"/>
      <c r="B1042721" s="24"/>
      <c r="C1042721" s="24"/>
      <c r="D1042721" s="24"/>
      <c r="E1042721" s="24"/>
      <c r="F1042721" s="24"/>
      <c r="G1042721" s="24"/>
      <c r="H1042721" s="24"/>
      <c r="I1042721" s="24"/>
      <c r="J1042721" s="24"/>
      <c r="K1042721" s="54"/>
    </row>
    <row r="1042722" spans="1:11" s="55" customFormat="1" ht="12.75">
      <c r="A1042722" s="24"/>
      <c r="B1042722" s="24"/>
      <c r="C1042722" s="24"/>
      <c r="D1042722" s="24"/>
      <c r="E1042722" s="24"/>
      <c r="F1042722" s="24"/>
      <c r="G1042722" s="24"/>
      <c r="H1042722" s="24"/>
      <c r="I1042722" s="24"/>
      <c r="J1042722" s="24"/>
      <c r="K1042722" s="54"/>
    </row>
    <row r="1042723" spans="1:11" s="55" customFormat="1" ht="12.75">
      <c r="A1042723" s="24"/>
      <c r="B1042723" s="24"/>
      <c r="C1042723" s="24"/>
      <c r="D1042723" s="24"/>
      <c r="E1042723" s="24"/>
      <c r="F1042723" s="24"/>
      <c r="G1042723" s="24"/>
      <c r="H1042723" s="24"/>
      <c r="I1042723" s="24"/>
      <c r="J1042723" s="24"/>
      <c r="K1042723" s="54"/>
    </row>
    <row r="1042724" spans="1:11" s="55" customFormat="1" ht="12.75">
      <c r="A1042724" s="24"/>
      <c r="B1042724" s="24"/>
      <c r="C1042724" s="24"/>
      <c r="D1042724" s="24"/>
      <c r="E1042724" s="24"/>
      <c r="F1042724" s="24"/>
      <c r="G1042724" s="24"/>
      <c r="H1042724" s="24"/>
      <c r="I1042724" s="24"/>
      <c r="J1042724" s="24"/>
      <c r="K1042724" s="54"/>
    </row>
    <row r="1042725" spans="1:11" s="55" customFormat="1" ht="12.75">
      <c r="A1042725" s="24"/>
      <c r="B1042725" s="24"/>
      <c r="C1042725" s="24"/>
      <c r="D1042725" s="24"/>
      <c r="E1042725" s="24"/>
      <c r="F1042725" s="24"/>
      <c r="G1042725" s="24"/>
      <c r="H1042725" s="24"/>
      <c r="I1042725" s="24"/>
      <c r="J1042725" s="24"/>
      <c r="K1042725" s="54"/>
    </row>
    <row r="1042726" spans="1:11" s="55" customFormat="1" ht="12.75">
      <c r="A1042726" s="24"/>
      <c r="B1042726" s="24"/>
      <c r="C1042726" s="24"/>
      <c r="D1042726" s="24"/>
      <c r="E1042726" s="24"/>
      <c r="F1042726" s="24"/>
      <c r="G1042726" s="24"/>
      <c r="H1042726" s="24"/>
      <c r="I1042726" s="24"/>
      <c r="J1042726" s="24"/>
      <c r="K1042726" s="54"/>
    </row>
    <row r="1042727" spans="1:11" s="55" customFormat="1" ht="12.75">
      <c r="A1042727" s="24"/>
      <c r="B1042727" s="24"/>
      <c r="C1042727" s="24"/>
      <c r="D1042727" s="24"/>
      <c r="E1042727" s="24"/>
      <c r="F1042727" s="24"/>
      <c r="G1042727" s="24"/>
      <c r="H1042727" s="24"/>
      <c r="I1042727" s="24"/>
      <c r="J1042727" s="24"/>
      <c r="K1042727" s="54"/>
    </row>
    <row r="1042728" spans="1:11" s="55" customFormat="1" ht="12.75">
      <c r="A1042728" s="24"/>
      <c r="B1042728" s="24"/>
      <c r="C1042728" s="24"/>
      <c r="D1042728" s="24"/>
      <c r="E1042728" s="24"/>
      <c r="F1042728" s="24"/>
      <c r="G1042728" s="24"/>
      <c r="H1042728" s="24"/>
      <c r="I1042728" s="24"/>
      <c r="J1042728" s="24"/>
      <c r="K1042728" s="54"/>
    </row>
    <row r="1042729" spans="1:11" s="55" customFormat="1" ht="12.75">
      <c r="A1042729" s="24"/>
      <c r="B1042729" s="24"/>
      <c r="C1042729" s="24"/>
      <c r="D1042729" s="24"/>
      <c r="E1042729" s="24"/>
      <c r="F1042729" s="24"/>
      <c r="G1042729" s="24"/>
      <c r="H1042729" s="24"/>
      <c r="I1042729" s="24"/>
      <c r="J1042729" s="24"/>
      <c r="K1042729" s="54"/>
    </row>
    <row r="1042730" spans="1:11" s="55" customFormat="1" ht="12.75">
      <c r="A1042730" s="24"/>
      <c r="B1042730" s="24"/>
      <c r="C1042730" s="24"/>
      <c r="D1042730" s="24"/>
      <c r="E1042730" s="24"/>
      <c r="F1042730" s="24"/>
      <c r="G1042730" s="24"/>
      <c r="H1042730" s="24"/>
      <c r="I1042730" s="24"/>
      <c r="J1042730" s="24"/>
      <c r="K1042730" s="54"/>
    </row>
    <row r="1042731" spans="1:11" s="55" customFormat="1" ht="12.75">
      <c r="A1042731" s="24"/>
      <c r="B1042731" s="24"/>
      <c r="C1042731" s="24"/>
      <c r="D1042731" s="24"/>
      <c r="E1042731" s="24"/>
      <c r="F1042731" s="24"/>
      <c r="G1042731" s="24"/>
      <c r="H1042731" s="24"/>
      <c r="I1042731" s="24"/>
      <c r="J1042731" s="24"/>
      <c r="K1042731" s="54"/>
    </row>
    <row r="1042732" spans="1:11" s="55" customFormat="1" ht="12.75">
      <c r="A1042732" s="24"/>
      <c r="B1042732" s="24"/>
      <c r="C1042732" s="24"/>
      <c r="D1042732" s="24"/>
      <c r="E1042732" s="24"/>
      <c r="F1042732" s="24"/>
      <c r="G1042732" s="24"/>
      <c r="H1042732" s="24"/>
      <c r="I1042732" s="24"/>
      <c r="J1042732" s="24"/>
      <c r="K1042732" s="54"/>
    </row>
    <row r="1042733" spans="1:11" s="55" customFormat="1" ht="12.75">
      <c r="A1042733" s="24"/>
      <c r="B1042733" s="24"/>
      <c r="C1042733" s="24"/>
      <c r="D1042733" s="24"/>
      <c r="E1042733" s="24"/>
      <c r="F1042733" s="24"/>
      <c r="G1042733" s="24"/>
      <c r="H1042733" s="24"/>
      <c r="I1042733" s="24"/>
      <c r="J1042733" s="24"/>
      <c r="K1042733" s="54"/>
    </row>
    <row r="1042734" spans="1:11" s="55" customFormat="1" ht="12.75">
      <c r="A1042734" s="24"/>
      <c r="B1042734" s="24"/>
      <c r="C1042734" s="24"/>
      <c r="D1042734" s="24"/>
      <c r="E1042734" s="24"/>
      <c r="F1042734" s="24"/>
      <c r="G1042734" s="24"/>
      <c r="H1042734" s="24"/>
      <c r="I1042734" s="24"/>
      <c r="J1042734" s="24"/>
      <c r="K1042734" s="54"/>
    </row>
    <row r="1042735" spans="1:11" s="55" customFormat="1" ht="12.75">
      <c r="A1042735" s="24"/>
      <c r="B1042735" s="24"/>
      <c r="C1042735" s="24"/>
      <c r="D1042735" s="24"/>
      <c r="E1042735" s="24"/>
      <c r="F1042735" s="24"/>
      <c r="G1042735" s="24"/>
      <c r="H1042735" s="24"/>
      <c r="I1042735" s="24"/>
      <c r="J1042735" s="24"/>
      <c r="K1042735" s="54"/>
    </row>
    <row r="1042736" spans="1:11" s="55" customFormat="1" ht="12.75">
      <c r="A1042736" s="24"/>
      <c r="B1042736" s="24"/>
      <c r="C1042736" s="24"/>
      <c r="D1042736" s="24"/>
      <c r="E1042736" s="24"/>
      <c r="F1042736" s="24"/>
      <c r="G1042736" s="24"/>
      <c r="H1042736" s="24"/>
      <c r="I1042736" s="24"/>
      <c r="J1042736" s="24"/>
      <c r="K1042736" s="54"/>
    </row>
    <row r="1042737" spans="1:11" s="55" customFormat="1" ht="12.75">
      <c r="A1042737" s="24"/>
      <c r="B1042737" s="24"/>
      <c r="C1042737" s="24"/>
      <c r="D1042737" s="24"/>
      <c r="E1042737" s="24"/>
      <c r="F1042737" s="24"/>
      <c r="G1042737" s="24"/>
      <c r="H1042737" s="24"/>
      <c r="I1042737" s="24"/>
      <c r="J1042737" s="24"/>
      <c r="K1042737" s="54"/>
    </row>
    <row r="1042738" spans="1:11" s="55" customFormat="1" ht="12.75">
      <c r="A1042738" s="24"/>
      <c r="B1042738" s="24"/>
      <c r="C1042738" s="24"/>
      <c r="D1042738" s="24"/>
      <c r="E1042738" s="24"/>
      <c r="F1042738" s="24"/>
      <c r="G1042738" s="24"/>
      <c r="H1042738" s="24"/>
      <c r="I1042738" s="24"/>
      <c r="J1042738" s="24"/>
      <c r="K1042738" s="54"/>
    </row>
    <row r="1042739" spans="1:11" s="55" customFormat="1" ht="12.75">
      <c r="A1042739" s="24"/>
      <c r="B1042739" s="24"/>
      <c r="C1042739" s="24"/>
      <c r="D1042739" s="24"/>
      <c r="E1042739" s="24"/>
      <c r="F1042739" s="24"/>
      <c r="G1042739" s="24"/>
      <c r="H1042739" s="24"/>
      <c r="I1042739" s="24"/>
      <c r="J1042739" s="24"/>
      <c r="K1042739" s="54"/>
    </row>
    <row r="1042740" spans="1:11" s="55" customFormat="1" ht="12.75">
      <c r="A1042740" s="24"/>
      <c r="B1042740" s="24"/>
      <c r="C1042740" s="24"/>
      <c r="D1042740" s="24"/>
      <c r="E1042740" s="24"/>
      <c r="F1042740" s="24"/>
      <c r="G1042740" s="24"/>
      <c r="H1042740" s="24"/>
      <c r="I1042740" s="24"/>
      <c r="J1042740" s="24"/>
      <c r="K1042740" s="54"/>
    </row>
    <row r="1042741" spans="1:11" s="55" customFormat="1" ht="12.75">
      <c r="A1042741" s="24"/>
      <c r="B1042741" s="24"/>
      <c r="C1042741" s="24"/>
      <c r="D1042741" s="24"/>
      <c r="E1042741" s="24"/>
      <c r="F1042741" s="24"/>
      <c r="G1042741" s="24"/>
      <c r="H1042741" s="24"/>
      <c r="I1042741" s="24"/>
      <c r="J1042741" s="24"/>
      <c r="K1042741" s="54"/>
    </row>
    <row r="1042742" spans="1:11" s="55" customFormat="1" ht="12.75">
      <c r="A1042742" s="24"/>
      <c r="B1042742" s="24"/>
      <c r="C1042742" s="24"/>
      <c r="D1042742" s="24"/>
      <c r="E1042742" s="24"/>
      <c r="F1042742" s="24"/>
      <c r="G1042742" s="24"/>
      <c r="H1042742" s="24"/>
      <c r="I1042742" s="24"/>
      <c r="J1042742" s="24"/>
      <c r="K1042742" s="54"/>
    </row>
    <row r="1042743" spans="1:11" s="55" customFormat="1" ht="12.75">
      <c r="A1042743" s="24"/>
      <c r="B1042743" s="24"/>
      <c r="C1042743" s="24"/>
      <c r="D1042743" s="24"/>
      <c r="E1042743" s="24"/>
      <c r="F1042743" s="24"/>
      <c r="G1042743" s="24"/>
      <c r="H1042743" s="24"/>
      <c r="I1042743" s="24"/>
      <c r="J1042743" s="24"/>
      <c r="K1042743" s="54"/>
    </row>
    <row r="1042744" spans="1:11" s="55" customFormat="1" ht="12.75">
      <c r="A1042744" s="24"/>
      <c r="B1042744" s="24"/>
      <c r="C1042744" s="24"/>
      <c r="D1042744" s="24"/>
      <c r="E1042744" s="24"/>
      <c r="F1042744" s="24"/>
      <c r="G1042744" s="24"/>
      <c r="H1042744" s="24"/>
      <c r="I1042744" s="24"/>
      <c r="J1042744" s="24"/>
      <c r="K1042744" s="54"/>
    </row>
    <row r="1042745" spans="1:11" s="55" customFormat="1" ht="12.75">
      <c r="A1042745" s="24"/>
      <c r="B1042745" s="24"/>
      <c r="C1042745" s="24"/>
      <c r="D1042745" s="24"/>
      <c r="E1042745" s="24"/>
      <c r="F1042745" s="24"/>
      <c r="G1042745" s="24"/>
      <c r="H1042745" s="24"/>
      <c r="I1042745" s="24"/>
      <c r="J1042745" s="24"/>
      <c r="K1042745" s="54"/>
    </row>
    <row r="1042746" spans="1:11" s="55" customFormat="1" ht="12.75">
      <c r="A1042746" s="24"/>
      <c r="B1042746" s="24"/>
      <c r="C1042746" s="24"/>
      <c r="D1042746" s="24"/>
      <c r="E1042746" s="24"/>
      <c r="F1042746" s="24"/>
      <c r="G1042746" s="24"/>
      <c r="H1042746" s="24"/>
      <c r="I1042746" s="24"/>
      <c r="J1042746" s="24"/>
      <c r="K1042746" s="54"/>
    </row>
    <row r="1042747" spans="1:11" s="55" customFormat="1" ht="12.75">
      <c r="A1042747" s="24"/>
      <c r="B1042747" s="24"/>
      <c r="C1042747" s="24"/>
      <c r="D1042747" s="24"/>
      <c r="E1042747" s="24"/>
      <c r="F1042747" s="24"/>
      <c r="G1042747" s="24"/>
      <c r="H1042747" s="24"/>
      <c r="I1042747" s="24"/>
      <c r="J1042747" s="24"/>
      <c r="K1042747" s="54"/>
    </row>
    <row r="1042748" spans="1:11" s="55" customFormat="1" ht="12.75">
      <c r="A1042748" s="24"/>
      <c r="B1042748" s="24"/>
      <c r="C1042748" s="24"/>
      <c r="D1042748" s="24"/>
      <c r="E1042748" s="24"/>
      <c r="F1042748" s="24"/>
      <c r="G1042748" s="24"/>
      <c r="H1042748" s="24"/>
      <c r="I1042748" s="24"/>
      <c r="J1042748" s="24"/>
      <c r="K1042748" s="54"/>
    </row>
    <row r="1042749" spans="1:11" s="55" customFormat="1" ht="12.75">
      <c r="A1042749" s="24"/>
      <c r="B1042749" s="24"/>
      <c r="C1042749" s="24"/>
      <c r="D1042749" s="24"/>
      <c r="E1042749" s="24"/>
      <c r="F1042749" s="24"/>
      <c r="G1042749" s="24"/>
      <c r="H1042749" s="24"/>
      <c r="I1042749" s="24"/>
      <c r="J1042749" s="24"/>
      <c r="K1042749" s="54"/>
    </row>
    <row r="1042750" spans="1:11" s="55" customFormat="1" ht="12.75">
      <c r="A1042750" s="24"/>
      <c r="B1042750" s="24"/>
      <c r="C1042750" s="24"/>
      <c r="D1042750" s="24"/>
      <c r="E1042750" s="24"/>
      <c r="F1042750" s="24"/>
      <c r="G1042750" s="24"/>
      <c r="H1042750" s="24"/>
      <c r="I1042750" s="24"/>
      <c r="J1042750" s="24"/>
      <c r="K1042750" s="54"/>
    </row>
    <row r="1042751" spans="1:11" s="55" customFormat="1" ht="12.75">
      <c r="A1042751" s="24"/>
      <c r="B1042751" s="24"/>
      <c r="C1042751" s="24"/>
      <c r="D1042751" s="24"/>
      <c r="E1042751" s="24"/>
      <c r="F1042751" s="24"/>
      <c r="G1042751" s="24"/>
      <c r="H1042751" s="24"/>
      <c r="I1042751" s="24"/>
      <c r="J1042751" s="24"/>
      <c r="K1042751" s="54"/>
    </row>
    <row r="1042752" spans="1:11" s="55" customFormat="1" ht="12.75">
      <c r="A1042752" s="24"/>
      <c r="B1042752" s="24"/>
      <c r="C1042752" s="24"/>
      <c r="D1042752" s="24"/>
      <c r="E1042752" s="24"/>
      <c r="F1042752" s="24"/>
      <c r="G1042752" s="24"/>
      <c r="H1042752" s="24"/>
      <c r="I1042752" s="24"/>
      <c r="J1042752" s="24"/>
      <c r="K1042752" s="54"/>
    </row>
    <row r="1042753" spans="1:11" s="55" customFormat="1" ht="12.75">
      <c r="A1042753" s="24"/>
      <c r="B1042753" s="24"/>
      <c r="C1042753" s="24"/>
      <c r="D1042753" s="24"/>
      <c r="E1042753" s="24"/>
      <c r="F1042753" s="24"/>
      <c r="G1042753" s="24"/>
      <c r="H1042753" s="24"/>
      <c r="I1042753" s="24"/>
      <c r="J1042753" s="24"/>
      <c r="K1042753" s="54"/>
    </row>
    <row r="1042754" spans="1:11" s="55" customFormat="1" ht="12.75">
      <c r="A1042754" s="24"/>
      <c r="B1042754" s="24"/>
      <c r="C1042754" s="24"/>
      <c r="D1042754" s="24"/>
      <c r="E1042754" s="24"/>
      <c r="F1042754" s="24"/>
      <c r="G1042754" s="24"/>
      <c r="H1042754" s="24"/>
      <c r="I1042754" s="24"/>
      <c r="J1042754" s="24"/>
      <c r="K1042754" s="54"/>
    </row>
    <row r="1042755" spans="1:11" s="55" customFormat="1" ht="12.75">
      <c r="A1042755" s="24"/>
      <c r="B1042755" s="24"/>
      <c r="C1042755" s="24"/>
      <c r="D1042755" s="24"/>
      <c r="E1042755" s="24"/>
      <c r="F1042755" s="24"/>
      <c r="G1042755" s="24"/>
      <c r="H1042755" s="24"/>
      <c r="I1042755" s="24"/>
      <c r="J1042755" s="24"/>
      <c r="K1042755" s="54"/>
    </row>
    <row r="1042756" spans="1:11" s="55" customFormat="1" ht="12.75">
      <c r="A1042756" s="24"/>
      <c r="B1042756" s="24"/>
      <c r="C1042756" s="24"/>
      <c r="D1042756" s="24"/>
      <c r="E1042756" s="24"/>
      <c r="F1042756" s="24"/>
      <c r="G1042756" s="24"/>
      <c r="H1042756" s="24"/>
      <c r="I1042756" s="24"/>
      <c r="J1042756" s="24"/>
      <c r="K1042756" s="54"/>
    </row>
    <row r="1042757" spans="1:11" s="55" customFormat="1" ht="12.75">
      <c r="A1042757" s="24"/>
      <c r="B1042757" s="24"/>
      <c r="C1042757" s="24"/>
      <c r="D1042757" s="24"/>
      <c r="E1042757" s="24"/>
      <c r="F1042757" s="24"/>
      <c r="G1042757" s="24"/>
      <c r="H1042757" s="24"/>
      <c r="I1042757" s="24"/>
      <c r="J1042757" s="24"/>
      <c r="K1042757" s="54"/>
    </row>
    <row r="1042758" spans="1:11" s="55" customFormat="1" ht="12.75">
      <c r="A1042758" s="24"/>
      <c r="B1042758" s="24"/>
      <c r="C1042758" s="24"/>
      <c r="D1042758" s="24"/>
      <c r="E1042758" s="24"/>
      <c r="F1042758" s="24"/>
      <c r="G1042758" s="24"/>
      <c r="H1042758" s="24"/>
      <c r="I1042758" s="24"/>
      <c r="J1042758" s="24"/>
      <c r="K1042758" s="54"/>
    </row>
    <row r="1042759" spans="1:11" s="55" customFormat="1" ht="12.75">
      <c r="A1042759" s="24"/>
      <c r="B1042759" s="24"/>
      <c r="C1042759" s="24"/>
      <c r="D1042759" s="24"/>
      <c r="E1042759" s="24"/>
      <c r="F1042759" s="24"/>
      <c r="G1042759" s="24"/>
      <c r="H1042759" s="24"/>
      <c r="I1042759" s="24"/>
      <c r="J1042759" s="24"/>
      <c r="K1042759" s="54"/>
    </row>
    <row r="1042760" spans="1:11" s="55" customFormat="1" ht="12.75">
      <c r="A1042760" s="24"/>
      <c r="B1042760" s="24"/>
      <c r="C1042760" s="24"/>
      <c r="D1042760" s="24"/>
      <c r="E1042760" s="24"/>
      <c r="F1042760" s="24"/>
      <c r="G1042760" s="24"/>
      <c r="H1042760" s="24"/>
      <c r="I1042760" s="24"/>
      <c r="J1042760" s="24"/>
      <c r="K1042760" s="54"/>
    </row>
    <row r="1042761" spans="1:11" s="55" customFormat="1" ht="12.75">
      <c r="A1042761" s="24"/>
      <c r="B1042761" s="24"/>
      <c r="C1042761" s="24"/>
      <c r="D1042761" s="24"/>
      <c r="E1042761" s="24"/>
      <c r="F1042761" s="24"/>
      <c r="G1042761" s="24"/>
      <c r="H1042761" s="24"/>
      <c r="I1042761" s="24"/>
      <c r="J1042761" s="24"/>
      <c r="K1042761" s="54"/>
    </row>
    <row r="1042762" spans="1:11" s="55" customFormat="1" ht="12.75">
      <c r="A1042762" s="24"/>
      <c r="B1042762" s="24"/>
      <c r="C1042762" s="24"/>
      <c r="D1042762" s="24"/>
      <c r="E1042762" s="24"/>
      <c r="F1042762" s="24"/>
      <c r="G1042762" s="24"/>
      <c r="H1042762" s="24"/>
      <c r="I1042762" s="24"/>
      <c r="J1042762" s="24"/>
      <c r="K1042762" s="54"/>
    </row>
    <row r="1042763" spans="1:11" s="55" customFormat="1" ht="12.75">
      <c r="A1042763" s="24"/>
      <c r="B1042763" s="24"/>
      <c r="C1042763" s="24"/>
      <c r="D1042763" s="24"/>
      <c r="E1042763" s="24"/>
      <c r="F1042763" s="24"/>
      <c r="G1042763" s="24"/>
      <c r="H1042763" s="24"/>
      <c r="I1042763" s="24"/>
      <c r="J1042763" s="24"/>
      <c r="K1042763" s="54"/>
    </row>
    <row r="1042764" spans="1:11" s="55" customFormat="1" ht="12.75">
      <c r="A1042764" s="24"/>
      <c r="B1042764" s="24"/>
      <c r="C1042764" s="24"/>
      <c r="D1042764" s="24"/>
      <c r="E1042764" s="24"/>
      <c r="F1042764" s="24"/>
      <c r="G1042764" s="24"/>
      <c r="H1042764" s="24"/>
      <c r="I1042764" s="24"/>
      <c r="J1042764" s="24"/>
      <c r="K1042764" s="54"/>
    </row>
    <row r="1042765" spans="1:11" s="55" customFormat="1" ht="12.75">
      <c r="A1042765" s="24"/>
      <c r="B1042765" s="24"/>
      <c r="C1042765" s="24"/>
      <c r="D1042765" s="24"/>
      <c r="E1042765" s="24"/>
      <c r="F1042765" s="24"/>
      <c r="G1042765" s="24"/>
      <c r="H1042765" s="24"/>
      <c r="I1042765" s="24"/>
      <c r="J1042765" s="24"/>
      <c r="K1042765" s="54"/>
    </row>
    <row r="1042766" spans="1:11" s="55" customFormat="1" ht="12.75">
      <c r="A1042766" s="24"/>
      <c r="B1042766" s="24"/>
      <c r="C1042766" s="24"/>
      <c r="D1042766" s="24"/>
      <c r="E1042766" s="24"/>
      <c r="F1042766" s="24"/>
      <c r="G1042766" s="24"/>
      <c r="H1042766" s="24"/>
      <c r="I1042766" s="24"/>
      <c r="J1042766" s="24"/>
      <c r="K1042766" s="54"/>
    </row>
    <row r="1042767" spans="1:11" s="55" customFormat="1" ht="12.75">
      <c r="A1042767" s="24"/>
      <c r="B1042767" s="24"/>
      <c r="C1042767" s="24"/>
      <c r="D1042767" s="24"/>
      <c r="E1042767" s="24"/>
      <c r="F1042767" s="24"/>
      <c r="G1042767" s="24"/>
      <c r="H1042767" s="24"/>
      <c r="I1042767" s="24"/>
      <c r="J1042767" s="24"/>
      <c r="K1042767" s="54"/>
    </row>
    <row r="1042768" spans="1:11" s="55" customFormat="1" ht="12.75">
      <c r="A1042768" s="24"/>
      <c r="B1042768" s="24"/>
      <c r="C1042768" s="24"/>
      <c r="D1042768" s="24"/>
      <c r="E1042768" s="24"/>
      <c r="F1042768" s="24"/>
      <c r="G1042768" s="24"/>
      <c r="H1042768" s="24"/>
      <c r="I1042768" s="24"/>
      <c r="J1042768" s="24"/>
      <c r="K1042768" s="54"/>
    </row>
    <row r="1042769" spans="1:11" s="55" customFormat="1" ht="12.75">
      <c r="A1042769" s="24"/>
      <c r="B1042769" s="24"/>
      <c r="C1042769" s="24"/>
      <c r="D1042769" s="24"/>
      <c r="E1042769" s="24"/>
      <c r="F1042769" s="24"/>
      <c r="G1042769" s="24"/>
      <c r="H1042769" s="24"/>
      <c r="I1042769" s="24"/>
      <c r="J1042769" s="24"/>
      <c r="K1042769" s="54"/>
    </row>
    <row r="1042770" spans="1:11" s="55" customFormat="1" ht="12.75">
      <c r="A1042770" s="24"/>
      <c r="B1042770" s="24"/>
      <c r="C1042770" s="24"/>
      <c r="D1042770" s="24"/>
      <c r="E1042770" s="24"/>
      <c r="F1042770" s="24"/>
      <c r="G1042770" s="24"/>
      <c r="H1042770" s="24"/>
      <c r="I1042770" s="24"/>
      <c r="J1042770" s="24"/>
      <c r="K1042770" s="54"/>
    </row>
    <row r="1042771" spans="1:11" s="55" customFormat="1" ht="12.75">
      <c r="A1042771" s="24"/>
      <c r="B1042771" s="24"/>
      <c r="C1042771" s="24"/>
      <c r="D1042771" s="24"/>
      <c r="E1042771" s="24"/>
      <c r="F1042771" s="24"/>
      <c r="G1042771" s="24"/>
      <c r="H1042771" s="24"/>
      <c r="I1042771" s="24"/>
      <c r="J1042771" s="24"/>
      <c r="K1042771" s="54"/>
    </row>
    <row r="1042772" spans="1:11" s="55" customFormat="1" ht="12.75">
      <c r="A1042772" s="24"/>
      <c r="B1042772" s="24"/>
      <c r="C1042772" s="24"/>
      <c r="D1042772" s="24"/>
      <c r="E1042772" s="24"/>
      <c r="F1042772" s="24"/>
      <c r="G1042772" s="24"/>
      <c r="H1042772" s="24"/>
      <c r="I1042772" s="24"/>
      <c r="J1042772" s="24"/>
      <c r="K1042772" s="54"/>
    </row>
    <row r="1042773" spans="1:11" s="55" customFormat="1" ht="12.75">
      <c r="A1042773" s="24"/>
      <c r="B1042773" s="24"/>
      <c r="C1042773" s="24"/>
      <c r="D1042773" s="24"/>
      <c r="E1042773" s="24"/>
      <c r="F1042773" s="24"/>
      <c r="G1042773" s="24"/>
      <c r="H1042773" s="24"/>
      <c r="I1042773" s="24"/>
      <c r="J1042773" s="24"/>
      <c r="K1042773" s="54"/>
    </row>
    <row r="1042774" spans="1:11" s="55" customFormat="1" ht="12.75">
      <c r="A1042774" s="24"/>
      <c r="B1042774" s="24"/>
      <c r="C1042774" s="24"/>
      <c r="D1042774" s="24"/>
      <c r="E1042774" s="24"/>
      <c r="F1042774" s="24"/>
      <c r="G1042774" s="24"/>
      <c r="H1042774" s="24"/>
      <c r="I1042774" s="24"/>
      <c r="J1042774" s="24"/>
      <c r="K1042774" s="54"/>
    </row>
    <row r="1042775" spans="1:11" s="55" customFormat="1" ht="12.75">
      <c r="A1042775" s="24"/>
      <c r="B1042775" s="24"/>
      <c r="C1042775" s="24"/>
      <c r="D1042775" s="24"/>
      <c r="E1042775" s="24"/>
      <c r="F1042775" s="24"/>
      <c r="G1042775" s="24"/>
      <c r="H1042775" s="24"/>
      <c r="I1042775" s="24"/>
      <c r="J1042775" s="24"/>
      <c r="K1042775" s="54"/>
    </row>
    <row r="1042776" spans="1:11" s="55" customFormat="1" ht="12.75">
      <c r="A1042776" s="24"/>
      <c r="B1042776" s="24"/>
      <c r="C1042776" s="24"/>
      <c r="D1042776" s="24"/>
      <c r="E1042776" s="24"/>
      <c r="F1042776" s="24"/>
      <c r="G1042776" s="24"/>
      <c r="H1042776" s="24"/>
      <c r="I1042776" s="24"/>
      <c r="J1042776" s="24"/>
      <c r="K1042776" s="54"/>
    </row>
    <row r="1042777" spans="1:11" s="55" customFormat="1" ht="12.75">
      <c r="A1042777" s="24"/>
      <c r="B1042777" s="24"/>
      <c r="C1042777" s="24"/>
      <c r="D1042777" s="24"/>
      <c r="E1042777" s="24"/>
      <c r="F1042777" s="24"/>
      <c r="G1042777" s="24"/>
      <c r="H1042777" s="24"/>
      <c r="I1042777" s="24"/>
      <c r="J1042777" s="24"/>
      <c r="K1042777" s="54"/>
    </row>
    <row r="1042778" spans="1:11" s="55" customFormat="1" ht="12.75">
      <c r="A1042778" s="24"/>
      <c r="B1042778" s="24"/>
      <c r="C1042778" s="24"/>
      <c r="D1042778" s="24"/>
      <c r="E1042778" s="24"/>
      <c r="F1042778" s="24"/>
      <c r="G1042778" s="24"/>
      <c r="H1042778" s="24"/>
      <c r="I1042778" s="24"/>
      <c r="J1042778" s="24"/>
      <c r="K1042778" s="54"/>
    </row>
    <row r="1042779" spans="1:11" s="55" customFormat="1" ht="12.75">
      <c r="A1042779" s="24"/>
      <c r="B1042779" s="24"/>
      <c r="C1042779" s="24"/>
      <c r="D1042779" s="24"/>
      <c r="E1042779" s="24"/>
      <c r="F1042779" s="24"/>
      <c r="G1042779" s="24"/>
      <c r="H1042779" s="24"/>
      <c r="I1042779" s="24"/>
      <c r="J1042779" s="24"/>
      <c r="K1042779" s="54"/>
    </row>
    <row r="1042780" spans="1:11" s="55" customFormat="1" ht="12.75">
      <c r="A1042780" s="24"/>
      <c r="B1042780" s="24"/>
      <c r="C1042780" s="24"/>
      <c r="D1042780" s="24"/>
      <c r="E1042780" s="24"/>
      <c r="F1042780" s="24"/>
      <c r="G1042780" s="24"/>
      <c r="H1042780" s="24"/>
      <c r="I1042780" s="24"/>
      <c r="J1042780" s="24"/>
      <c r="K1042780" s="54"/>
    </row>
    <row r="1042781" spans="1:11" s="55" customFormat="1" ht="12.75">
      <c r="A1042781" s="24"/>
      <c r="B1042781" s="24"/>
      <c r="C1042781" s="24"/>
      <c r="D1042781" s="24"/>
      <c r="E1042781" s="24"/>
      <c r="F1042781" s="24"/>
      <c r="G1042781" s="24"/>
      <c r="H1042781" s="24"/>
      <c r="I1042781" s="24"/>
      <c r="J1042781" s="24"/>
      <c r="K1042781" s="54"/>
    </row>
    <row r="1042782" spans="1:11" s="55" customFormat="1" ht="12.75">
      <c r="A1042782" s="24"/>
      <c r="B1042782" s="24"/>
      <c r="C1042782" s="24"/>
      <c r="D1042782" s="24"/>
      <c r="E1042782" s="24"/>
      <c r="F1042782" s="24"/>
      <c r="G1042782" s="24"/>
      <c r="H1042782" s="24"/>
      <c r="I1042782" s="24"/>
      <c r="J1042782" s="24"/>
      <c r="K1042782" s="54"/>
    </row>
    <row r="1042783" spans="1:11" s="55" customFormat="1" ht="12.75">
      <c r="A1042783" s="24"/>
      <c r="B1042783" s="24"/>
      <c r="C1042783" s="24"/>
      <c r="D1042783" s="24"/>
      <c r="E1042783" s="24"/>
      <c r="F1042783" s="24"/>
      <c r="G1042783" s="24"/>
      <c r="H1042783" s="24"/>
      <c r="I1042783" s="24"/>
      <c r="J1042783" s="24"/>
      <c r="K1042783" s="54"/>
    </row>
    <row r="1042784" spans="1:11" s="55" customFormat="1" ht="12.75">
      <c r="A1042784" s="24"/>
      <c r="B1042784" s="24"/>
      <c r="C1042784" s="24"/>
      <c r="D1042784" s="24"/>
      <c r="E1042784" s="24"/>
      <c r="F1042784" s="24"/>
      <c r="G1042784" s="24"/>
      <c r="H1042784" s="24"/>
      <c r="I1042784" s="24"/>
      <c r="J1042784" s="24"/>
      <c r="K1042784" s="54"/>
    </row>
    <row r="1042785" spans="1:11" s="55" customFormat="1" ht="12.75">
      <c r="A1042785" s="24"/>
      <c r="B1042785" s="24"/>
      <c r="C1042785" s="24"/>
      <c r="D1042785" s="24"/>
      <c r="E1042785" s="24"/>
      <c r="F1042785" s="24"/>
      <c r="G1042785" s="24"/>
      <c r="H1042785" s="24"/>
      <c r="I1042785" s="24"/>
      <c r="J1042785" s="24"/>
      <c r="K1042785" s="54"/>
    </row>
    <row r="1042786" spans="1:11" s="55" customFormat="1" ht="12.75">
      <c r="A1042786" s="24"/>
      <c r="B1042786" s="24"/>
      <c r="C1042786" s="24"/>
      <c r="D1042786" s="24"/>
      <c r="E1042786" s="24"/>
      <c r="F1042786" s="24"/>
      <c r="G1042786" s="24"/>
      <c r="H1042786" s="24"/>
      <c r="I1042786" s="24"/>
      <c r="J1042786" s="24"/>
      <c r="K1042786" s="54"/>
    </row>
    <row r="1042787" spans="1:11" s="55" customFormat="1" ht="12.75">
      <c r="A1042787" s="24"/>
      <c r="B1042787" s="24"/>
      <c r="C1042787" s="24"/>
      <c r="D1042787" s="24"/>
      <c r="E1042787" s="24"/>
      <c r="F1042787" s="24"/>
      <c r="G1042787" s="24"/>
      <c r="H1042787" s="24"/>
      <c r="I1042787" s="24"/>
      <c r="J1042787" s="24"/>
      <c r="K1042787" s="54"/>
    </row>
    <row r="1042788" spans="1:11" s="55" customFormat="1" ht="12.75">
      <c r="A1042788" s="24"/>
      <c r="B1042788" s="24"/>
      <c r="C1042788" s="24"/>
      <c r="D1042788" s="24"/>
      <c r="E1042788" s="24"/>
      <c r="F1042788" s="24"/>
      <c r="G1042788" s="24"/>
      <c r="H1042788" s="24"/>
      <c r="I1042788" s="24"/>
      <c r="J1042788" s="24"/>
      <c r="K1042788" s="54"/>
    </row>
    <row r="1042789" spans="1:11" s="55" customFormat="1" ht="12.75">
      <c r="A1042789" s="24"/>
      <c r="B1042789" s="24"/>
      <c r="C1042789" s="24"/>
      <c r="D1042789" s="24"/>
      <c r="E1042789" s="24"/>
      <c r="F1042789" s="24"/>
      <c r="G1042789" s="24"/>
      <c r="H1042789" s="24"/>
      <c r="I1042789" s="24"/>
      <c r="J1042789" s="24"/>
      <c r="K1042789" s="54"/>
    </row>
    <row r="1042790" spans="1:11" s="55" customFormat="1" ht="12.75">
      <c r="A1042790" s="24"/>
      <c r="B1042790" s="24"/>
      <c r="C1042790" s="24"/>
      <c r="D1042790" s="24"/>
      <c r="E1042790" s="24"/>
      <c r="F1042790" s="24"/>
      <c r="G1042790" s="24"/>
      <c r="H1042790" s="24"/>
      <c r="I1042790" s="24"/>
      <c r="J1042790" s="24"/>
      <c r="K1042790" s="54"/>
    </row>
    <row r="1042791" spans="1:11" s="55" customFormat="1" ht="12.75">
      <c r="A1042791" s="24"/>
      <c r="B1042791" s="24"/>
      <c r="C1042791" s="24"/>
      <c r="D1042791" s="24"/>
      <c r="E1042791" s="24"/>
      <c r="F1042791" s="24"/>
      <c r="G1042791" s="24"/>
      <c r="H1042791" s="24"/>
      <c r="I1042791" s="24"/>
      <c r="J1042791" s="24"/>
      <c r="K1042791" s="54"/>
    </row>
    <row r="1042792" spans="1:11" s="55" customFormat="1" ht="12.75">
      <c r="A1042792" s="24"/>
      <c r="B1042792" s="24"/>
      <c r="C1042792" s="24"/>
      <c r="D1042792" s="24"/>
      <c r="E1042792" s="24"/>
      <c r="F1042792" s="24"/>
      <c r="G1042792" s="24"/>
      <c r="H1042792" s="24"/>
      <c r="I1042792" s="24"/>
      <c r="J1042792" s="24"/>
      <c r="K1042792" s="54"/>
    </row>
    <row r="1042793" spans="1:11" s="55" customFormat="1" ht="12.75">
      <c r="A1042793" s="24"/>
      <c r="B1042793" s="24"/>
      <c r="C1042793" s="24"/>
      <c r="D1042793" s="24"/>
      <c r="E1042793" s="24"/>
      <c r="F1042793" s="24"/>
      <c r="G1042793" s="24"/>
      <c r="H1042793" s="24"/>
      <c r="I1042793" s="24"/>
      <c r="J1042793" s="24"/>
      <c r="K1042793" s="54"/>
    </row>
    <row r="1042794" spans="1:11" s="55" customFormat="1" ht="12.75">
      <c r="A1042794" s="24"/>
      <c r="B1042794" s="24"/>
      <c r="C1042794" s="24"/>
      <c r="D1042794" s="24"/>
      <c r="E1042794" s="24"/>
      <c r="F1042794" s="24"/>
      <c r="G1042794" s="24"/>
      <c r="H1042794" s="24"/>
      <c r="I1042794" s="24"/>
      <c r="J1042794" s="24"/>
      <c r="K1042794" s="54"/>
    </row>
    <row r="1042795" spans="1:11" s="55" customFormat="1" ht="12.75">
      <c r="A1042795" s="24"/>
      <c r="B1042795" s="24"/>
      <c r="C1042795" s="24"/>
      <c r="D1042795" s="24"/>
      <c r="E1042795" s="24"/>
      <c r="F1042795" s="24"/>
      <c r="G1042795" s="24"/>
      <c r="H1042795" s="24"/>
      <c r="I1042795" s="24"/>
      <c r="J1042795" s="24"/>
      <c r="K1042795" s="54"/>
    </row>
    <row r="1042796" spans="1:11" s="55" customFormat="1" ht="12.75">
      <c r="A1042796" s="24"/>
      <c r="B1042796" s="24"/>
      <c r="C1042796" s="24"/>
      <c r="D1042796" s="24"/>
      <c r="E1042796" s="24"/>
      <c r="F1042796" s="24"/>
      <c r="G1042796" s="24"/>
      <c r="H1042796" s="24"/>
      <c r="I1042796" s="24"/>
      <c r="J1042796" s="24"/>
      <c r="K1042796" s="54"/>
    </row>
    <row r="1042797" spans="1:11" s="55" customFormat="1" ht="12.75">
      <c r="A1042797" s="24"/>
      <c r="B1042797" s="24"/>
      <c r="C1042797" s="24"/>
      <c r="D1042797" s="24"/>
      <c r="E1042797" s="24"/>
      <c r="F1042797" s="24"/>
      <c r="G1042797" s="24"/>
      <c r="H1042797" s="24"/>
      <c r="I1042797" s="24"/>
      <c r="J1042797" s="24"/>
      <c r="K1042797" s="54"/>
    </row>
    <row r="1042798" spans="1:11" s="55" customFormat="1" ht="12.75">
      <c r="A1042798" s="24"/>
      <c r="B1042798" s="24"/>
      <c r="C1042798" s="24"/>
      <c r="D1042798" s="24"/>
      <c r="E1042798" s="24"/>
      <c r="F1042798" s="24"/>
      <c r="G1042798" s="24"/>
      <c r="H1042798" s="24"/>
      <c r="I1042798" s="24"/>
      <c r="J1042798" s="24"/>
      <c r="K1042798" s="54"/>
    </row>
    <row r="1042799" spans="1:11" s="55" customFormat="1" ht="12.75">
      <c r="A1042799" s="24"/>
      <c r="B1042799" s="24"/>
      <c r="C1042799" s="24"/>
      <c r="D1042799" s="24"/>
      <c r="E1042799" s="24"/>
      <c r="F1042799" s="24"/>
      <c r="G1042799" s="24"/>
      <c r="H1042799" s="24"/>
      <c r="I1042799" s="24"/>
      <c r="J1042799" s="24"/>
      <c r="K1042799" s="54"/>
    </row>
    <row r="1042800" spans="1:11" s="55" customFormat="1" ht="12.75">
      <c r="A1042800" s="24"/>
      <c r="B1042800" s="24"/>
      <c r="C1042800" s="24"/>
      <c r="D1042800" s="24"/>
      <c r="E1042800" s="24"/>
      <c r="F1042800" s="24"/>
      <c r="G1042800" s="24"/>
      <c r="H1042800" s="24"/>
      <c r="I1042800" s="24"/>
      <c r="J1042800" s="24"/>
      <c r="K1042800" s="54"/>
    </row>
    <row r="1042801" spans="1:11" s="55" customFormat="1" ht="12.75">
      <c r="A1042801" s="24"/>
      <c r="B1042801" s="24"/>
      <c r="C1042801" s="24"/>
      <c r="D1042801" s="24"/>
      <c r="E1042801" s="24"/>
      <c r="F1042801" s="24"/>
      <c r="G1042801" s="24"/>
      <c r="H1042801" s="24"/>
      <c r="I1042801" s="24"/>
      <c r="J1042801" s="24"/>
      <c r="K1042801" s="54"/>
    </row>
    <row r="1042802" spans="1:11" s="55" customFormat="1" ht="12.75">
      <c r="A1042802" s="24"/>
      <c r="B1042802" s="24"/>
      <c r="C1042802" s="24"/>
      <c r="D1042802" s="24"/>
      <c r="E1042802" s="24"/>
      <c r="F1042802" s="24"/>
      <c r="G1042802" s="24"/>
      <c r="H1042802" s="24"/>
      <c r="I1042802" s="24"/>
      <c r="J1042802" s="24"/>
      <c r="K1042802" s="54"/>
    </row>
    <row r="1042803" spans="1:11" s="55" customFormat="1" ht="12.75">
      <c r="A1042803" s="24"/>
      <c r="B1042803" s="24"/>
      <c r="C1042803" s="24"/>
      <c r="D1042803" s="24"/>
      <c r="E1042803" s="24"/>
      <c r="F1042803" s="24"/>
      <c r="G1042803" s="24"/>
      <c r="H1042803" s="24"/>
      <c r="I1042803" s="24"/>
      <c r="J1042803" s="24"/>
      <c r="K1042803" s="54"/>
    </row>
    <row r="1042804" spans="1:11" s="55" customFormat="1" ht="12.75">
      <c r="A1042804" s="24"/>
      <c r="B1042804" s="24"/>
      <c r="C1042804" s="24"/>
      <c r="D1042804" s="24"/>
      <c r="E1042804" s="24"/>
      <c r="F1042804" s="24"/>
      <c r="G1042804" s="24"/>
      <c r="H1042804" s="24"/>
      <c r="I1042804" s="24"/>
      <c r="J1042804" s="24"/>
      <c r="K1042804" s="54"/>
    </row>
    <row r="1042805" spans="1:11" s="55" customFormat="1" ht="12.75">
      <c r="A1042805" s="24"/>
      <c r="B1042805" s="24"/>
      <c r="C1042805" s="24"/>
      <c r="D1042805" s="24"/>
      <c r="E1042805" s="24"/>
      <c r="F1042805" s="24"/>
      <c r="G1042805" s="24"/>
      <c r="H1042805" s="24"/>
      <c r="I1042805" s="24"/>
      <c r="J1042805" s="24"/>
      <c r="K1042805" s="54"/>
    </row>
    <row r="1042806" spans="1:11" s="55" customFormat="1" ht="12.75">
      <c r="A1042806" s="24"/>
      <c r="B1042806" s="24"/>
      <c r="C1042806" s="24"/>
      <c r="D1042806" s="24"/>
      <c r="E1042806" s="24"/>
      <c r="F1042806" s="24"/>
      <c r="G1042806" s="24"/>
      <c r="H1042806" s="24"/>
      <c r="I1042806" s="24"/>
      <c r="J1042806" s="24"/>
      <c r="K1042806" s="54"/>
    </row>
    <row r="1042807" spans="1:11" s="55" customFormat="1" ht="12.75">
      <c r="A1042807" s="24"/>
      <c r="B1042807" s="24"/>
      <c r="C1042807" s="24"/>
      <c r="D1042807" s="24"/>
      <c r="E1042807" s="24"/>
      <c r="F1042807" s="24"/>
      <c r="G1042807" s="24"/>
      <c r="H1042807" s="24"/>
      <c r="I1042807" s="24"/>
      <c r="J1042807" s="24"/>
      <c r="K1042807" s="54"/>
    </row>
    <row r="1042808" spans="1:11" s="55" customFormat="1" ht="12.75">
      <c r="A1042808" s="24"/>
      <c r="B1042808" s="24"/>
      <c r="C1042808" s="24"/>
      <c r="D1042808" s="24"/>
      <c r="E1042808" s="24"/>
      <c r="F1042808" s="24"/>
      <c r="G1042808" s="24"/>
      <c r="H1042808" s="24"/>
      <c r="I1042808" s="24"/>
      <c r="J1042808" s="24"/>
      <c r="K1042808" s="54"/>
    </row>
    <row r="1042809" spans="1:11" s="55" customFormat="1" ht="12.75">
      <c r="A1042809" s="24"/>
      <c r="B1042809" s="24"/>
      <c r="C1042809" s="24"/>
      <c r="D1042809" s="24"/>
      <c r="E1042809" s="24"/>
      <c r="F1042809" s="24"/>
      <c r="G1042809" s="24"/>
      <c r="H1042809" s="24"/>
      <c r="I1042809" s="24"/>
      <c r="J1042809" s="24"/>
      <c r="K1042809" s="54"/>
    </row>
    <row r="1042810" spans="1:11" s="55" customFormat="1" ht="12.75">
      <c r="A1042810" s="24"/>
      <c r="B1042810" s="24"/>
      <c r="C1042810" s="24"/>
      <c r="D1042810" s="24"/>
      <c r="E1042810" s="24"/>
      <c r="F1042810" s="24"/>
      <c r="G1042810" s="24"/>
      <c r="H1042810" s="24"/>
      <c r="I1042810" s="24"/>
      <c r="J1042810" s="24"/>
      <c r="K1042810" s="54"/>
    </row>
    <row r="1042811" spans="1:11" s="55" customFormat="1" ht="12.75">
      <c r="A1042811" s="24"/>
      <c r="B1042811" s="24"/>
      <c r="C1042811" s="24"/>
      <c r="D1042811" s="24"/>
      <c r="E1042811" s="24"/>
      <c r="F1042811" s="24"/>
      <c r="G1042811" s="24"/>
      <c r="H1042811" s="24"/>
      <c r="I1042811" s="24"/>
      <c r="J1042811" s="24"/>
      <c r="K1042811" s="54"/>
    </row>
    <row r="1042812" spans="1:11" s="55" customFormat="1" ht="12.75">
      <c r="A1042812" s="24"/>
      <c r="B1042812" s="24"/>
      <c r="C1042812" s="24"/>
      <c r="D1042812" s="24"/>
      <c r="E1042812" s="24"/>
      <c r="F1042812" s="24"/>
      <c r="G1042812" s="24"/>
      <c r="H1042812" s="24"/>
      <c r="I1042812" s="24"/>
      <c r="J1042812" s="24"/>
      <c r="K1042812" s="54"/>
    </row>
    <row r="1042813" spans="1:11" s="55" customFormat="1" ht="12.75">
      <c r="A1042813" s="24"/>
      <c r="B1042813" s="24"/>
      <c r="C1042813" s="24"/>
      <c r="D1042813" s="24"/>
      <c r="E1042813" s="24"/>
      <c r="F1042813" s="24"/>
      <c r="G1042813" s="24"/>
      <c r="H1042813" s="24"/>
      <c r="I1042813" s="24"/>
      <c r="J1042813" s="24"/>
      <c r="K1042813" s="54"/>
    </row>
    <row r="1042814" spans="1:11" s="55" customFormat="1" ht="12.75">
      <c r="A1042814" s="24"/>
      <c r="B1042814" s="24"/>
      <c r="C1042814" s="24"/>
      <c r="D1042814" s="24"/>
      <c r="E1042814" s="24"/>
      <c r="F1042814" s="24"/>
      <c r="G1042814" s="24"/>
      <c r="H1042814" s="24"/>
      <c r="I1042814" s="24"/>
      <c r="J1042814" s="24"/>
      <c r="K1042814" s="54"/>
    </row>
    <row r="1042815" spans="1:11" s="55" customFormat="1" ht="12.75">
      <c r="A1042815" s="24"/>
      <c r="B1042815" s="24"/>
      <c r="C1042815" s="24"/>
      <c r="D1042815" s="24"/>
      <c r="E1042815" s="24"/>
      <c r="F1042815" s="24"/>
      <c r="G1042815" s="24"/>
      <c r="H1042815" s="24"/>
      <c r="I1042815" s="24"/>
      <c r="J1042815" s="24"/>
      <c r="K1042815" s="54"/>
    </row>
    <row r="1042816" spans="1:11" s="55" customFormat="1" ht="12.75">
      <c r="A1042816" s="24"/>
      <c r="B1042816" s="24"/>
      <c r="C1042816" s="24"/>
      <c r="D1042816" s="24"/>
      <c r="E1042816" s="24"/>
      <c r="F1042816" s="24"/>
      <c r="G1042816" s="24"/>
      <c r="H1042816" s="24"/>
      <c r="I1042816" s="24"/>
      <c r="J1042816" s="24"/>
      <c r="K1042816" s="54"/>
    </row>
    <row r="1042817" spans="1:11" s="55" customFormat="1" ht="12.75">
      <c r="A1042817" s="24"/>
      <c r="B1042817" s="24"/>
      <c r="C1042817" s="24"/>
      <c r="D1042817" s="24"/>
      <c r="E1042817" s="24"/>
      <c r="F1042817" s="24"/>
      <c r="G1042817" s="24"/>
      <c r="H1042817" s="24"/>
      <c r="I1042817" s="24"/>
      <c r="J1042817" s="24"/>
      <c r="K1042817" s="54"/>
    </row>
    <row r="1042818" spans="1:11" s="55" customFormat="1" ht="12.75">
      <c r="A1042818" s="24"/>
      <c r="B1042818" s="24"/>
      <c r="C1042818" s="24"/>
      <c r="D1042818" s="24"/>
      <c r="E1042818" s="24"/>
      <c r="F1042818" s="24"/>
      <c r="G1042818" s="24"/>
      <c r="H1042818" s="24"/>
      <c r="I1042818" s="24"/>
      <c r="J1042818" s="24"/>
      <c r="K1042818" s="54"/>
    </row>
    <row r="1042819" spans="1:11" s="55" customFormat="1" ht="12.75">
      <c r="A1042819" s="24"/>
      <c r="B1042819" s="24"/>
      <c r="C1042819" s="24"/>
      <c r="D1042819" s="24"/>
      <c r="E1042819" s="24"/>
      <c r="F1042819" s="24"/>
      <c r="G1042819" s="24"/>
      <c r="H1042819" s="24"/>
      <c r="I1042819" s="24"/>
      <c r="J1042819" s="24"/>
      <c r="K1042819" s="54"/>
    </row>
    <row r="1042820" spans="1:11" s="55" customFormat="1" ht="12.75">
      <c r="A1042820" s="24"/>
      <c r="B1042820" s="24"/>
      <c r="C1042820" s="24"/>
      <c r="D1042820" s="24"/>
      <c r="E1042820" s="24"/>
      <c r="F1042820" s="24"/>
      <c r="G1042820" s="24"/>
      <c r="H1042820" s="24"/>
      <c r="I1042820" s="24"/>
      <c r="J1042820" s="24"/>
      <c r="K1042820" s="54"/>
    </row>
    <row r="1042821" spans="1:11" s="55" customFormat="1" ht="12.75">
      <c r="A1042821" s="24"/>
      <c r="B1042821" s="24"/>
      <c r="C1042821" s="24"/>
      <c r="D1042821" s="24"/>
      <c r="E1042821" s="24"/>
      <c r="F1042821" s="24"/>
      <c r="G1042821" s="24"/>
      <c r="H1042821" s="24"/>
      <c r="I1042821" s="24"/>
      <c r="J1042821" s="24"/>
      <c r="K1042821" s="54"/>
    </row>
    <row r="1042822" spans="1:11" s="55" customFormat="1" ht="12.75">
      <c r="A1042822" s="24"/>
      <c r="B1042822" s="24"/>
      <c r="C1042822" s="24"/>
      <c r="D1042822" s="24"/>
      <c r="E1042822" s="24"/>
      <c r="F1042822" s="24"/>
      <c r="G1042822" s="24"/>
      <c r="H1042822" s="24"/>
      <c r="I1042822" s="24"/>
      <c r="J1042822" s="24"/>
      <c r="K1042822" s="54"/>
    </row>
    <row r="1042823" spans="1:11" s="55" customFormat="1" ht="12.75">
      <c r="A1042823" s="24"/>
      <c r="B1042823" s="24"/>
      <c r="C1042823" s="24"/>
      <c r="D1042823" s="24"/>
      <c r="E1042823" s="24"/>
      <c r="F1042823" s="24"/>
      <c r="G1042823" s="24"/>
      <c r="H1042823" s="24"/>
      <c r="I1042823" s="24"/>
      <c r="J1042823" s="24"/>
      <c r="K1042823" s="54"/>
    </row>
    <row r="1042824" spans="1:11" s="55" customFormat="1" ht="12.75">
      <c r="A1042824" s="24"/>
      <c r="B1042824" s="24"/>
      <c r="C1042824" s="24"/>
      <c r="D1042824" s="24"/>
      <c r="E1042824" s="24"/>
      <c r="F1042824" s="24"/>
      <c r="G1042824" s="24"/>
      <c r="H1042824" s="24"/>
      <c r="I1042824" s="24"/>
      <c r="J1042824" s="24"/>
      <c r="K1042824" s="54"/>
    </row>
    <row r="1042825" spans="1:11" s="55" customFormat="1" ht="12.75">
      <c r="A1042825" s="24"/>
      <c r="B1042825" s="24"/>
      <c r="C1042825" s="24"/>
      <c r="D1042825" s="24"/>
      <c r="E1042825" s="24"/>
      <c r="F1042825" s="24"/>
      <c r="G1042825" s="24"/>
      <c r="H1042825" s="24"/>
      <c r="I1042825" s="24"/>
      <c r="J1042825" s="24"/>
      <c r="K1042825" s="54"/>
    </row>
    <row r="1042826" spans="1:11" s="55" customFormat="1" ht="12.75">
      <c r="A1042826" s="24"/>
      <c r="B1042826" s="24"/>
      <c r="C1042826" s="24"/>
      <c r="D1042826" s="24"/>
      <c r="E1042826" s="24"/>
      <c r="F1042826" s="24"/>
      <c r="G1042826" s="24"/>
      <c r="H1042826" s="24"/>
      <c r="I1042826" s="24"/>
      <c r="J1042826" s="24"/>
      <c r="K1042826" s="54"/>
    </row>
    <row r="1042827" spans="1:11" s="55" customFormat="1" ht="12.75">
      <c r="A1042827" s="24"/>
      <c r="B1042827" s="24"/>
      <c r="C1042827" s="24"/>
      <c r="D1042827" s="24"/>
      <c r="E1042827" s="24"/>
      <c r="F1042827" s="24"/>
      <c r="G1042827" s="24"/>
      <c r="H1042827" s="24"/>
      <c r="I1042827" s="24"/>
      <c r="J1042827" s="24"/>
      <c r="K1042827" s="54"/>
    </row>
    <row r="1042828" spans="1:11" s="55" customFormat="1" ht="12.75">
      <c r="A1042828" s="24"/>
      <c r="B1042828" s="24"/>
      <c r="C1042828" s="24"/>
      <c r="D1042828" s="24"/>
      <c r="E1042828" s="24"/>
      <c r="F1042828" s="24"/>
      <c r="G1042828" s="24"/>
      <c r="H1042828" s="24"/>
      <c r="I1042828" s="24"/>
      <c r="J1042828" s="24"/>
      <c r="K1042828" s="54"/>
    </row>
    <row r="1042829" spans="1:11" s="55" customFormat="1" ht="12.75">
      <c r="A1042829" s="24"/>
      <c r="B1042829" s="24"/>
      <c r="C1042829" s="24"/>
      <c r="D1042829" s="24"/>
      <c r="E1042829" s="24"/>
      <c r="F1042829" s="24"/>
      <c r="G1042829" s="24"/>
      <c r="H1042829" s="24"/>
      <c r="I1042829" s="24"/>
      <c r="J1042829" s="24"/>
      <c r="K1042829" s="54"/>
    </row>
    <row r="1042830" spans="1:11" s="55" customFormat="1" ht="12.75">
      <c r="A1042830" s="24"/>
      <c r="B1042830" s="24"/>
      <c r="C1042830" s="24"/>
      <c r="D1042830" s="24"/>
      <c r="E1042830" s="24"/>
      <c r="F1042830" s="24"/>
      <c r="G1042830" s="24"/>
      <c r="H1042830" s="24"/>
      <c r="I1042830" s="24"/>
      <c r="J1042830" s="24"/>
      <c r="K1042830" s="54"/>
    </row>
    <row r="1042831" spans="1:11" s="55" customFormat="1" ht="12.75">
      <c r="A1042831" s="24"/>
      <c r="B1042831" s="24"/>
      <c r="C1042831" s="24"/>
      <c r="D1042831" s="24"/>
      <c r="E1042831" s="24"/>
      <c r="F1042831" s="24"/>
      <c r="G1042831" s="24"/>
      <c r="H1042831" s="24"/>
      <c r="I1042831" s="24"/>
      <c r="J1042831" s="24"/>
      <c r="K1042831" s="54"/>
    </row>
    <row r="1042832" spans="1:11" s="55" customFormat="1" ht="12.75">
      <c r="A1042832" s="24"/>
      <c r="B1042832" s="24"/>
      <c r="C1042832" s="24"/>
      <c r="D1042832" s="24"/>
      <c r="E1042832" s="24"/>
      <c r="F1042832" s="24"/>
      <c r="G1042832" s="24"/>
      <c r="H1042832" s="24"/>
      <c r="I1042832" s="24"/>
      <c r="J1042832" s="24"/>
      <c r="K1042832" s="54"/>
    </row>
    <row r="1042833" spans="1:11" s="55" customFormat="1" ht="12.75">
      <c r="A1042833" s="24"/>
      <c r="B1042833" s="24"/>
      <c r="C1042833" s="24"/>
      <c r="D1042833" s="24"/>
      <c r="E1042833" s="24"/>
      <c r="F1042833" s="24"/>
      <c r="G1042833" s="24"/>
      <c r="H1042833" s="24"/>
      <c r="I1042833" s="24"/>
      <c r="J1042833" s="24"/>
      <c r="K1042833" s="54"/>
    </row>
    <row r="1042834" spans="1:11" s="55" customFormat="1" ht="12.75">
      <c r="A1042834" s="24"/>
      <c r="B1042834" s="24"/>
      <c r="C1042834" s="24"/>
      <c r="D1042834" s="24"/>
      <c r="E1042834" s="24"/>
      <c r="F1042834" s="24"/>
      <c r="G1042834" s="24"/>
      <c r="H1042834" s="24"/>
      <c r="I1042834" s="24"/>
      <c r="J1042834" s="24"/>
      <c r="K1042834" s="54"/>
    </row>
    <row r="1042835" spans="1:11" s="55" customFormat="1" ht="12.75">
      <c r="A1042835" s="24"/>
      <c r="B1042835" s="24"/>
      <c r="C1042835" s="24"/>
      <c r="D1042835" s="24"/>
      <c r="E1042835" s="24"/>
      <c r="F1042835" s="24"/>
      <c r="G1042835" s="24"/>
      <c r="H1042835" s="24"/>
      <c r="I1042835" s="24"/>
      <c r="J1042835" s="24"/>
      <c r="K1042835" s="54"/>
    </row>
    <row r="1042836" spans="1:11" s="55" customFormat="1" ht="12.75">
      <c r="A1042836" s="24"/>
      <c r="B1042836" s="24"/>
      <c r="C1042836" s="24"/>
      <c r="D1042836" s="24"/>
      <c r="E1042836" s="24"/>
      <c r="F1042836" s="24"/>
      <c r="G1042836" s="24"/>
      <c r="H1042836" s="24"/>
      <c r="I1042836" s="24"/>
      <c r="J1042836" s="24"/>
      <c r="K1042836" s="54"/>
    </row>
    <row r="1042837" spans="1:11" s="55" customFormat="1" ht="12.75">
      <c r="A1042837" s="24"/>
      <c r="B1042837" s="24"/>
      <c r="C1042837" s="24"/>
      <c r="D1042837" s="24"/>
      <c r="E1042837" s="24"/>
      <c r="F1042837" s="24"/>
      <c r="G1042837" s="24"/>
      <c r="H1042837" s="24"/>
      <c r="I1042837" s="24"/>
      <c r="J1042837" s="24"/>
      <c r="K1042837" s="54"/>
    </row>
    <row r="1042838" spans="1:11" s="55" customFormat="1" ht="12.75">
      <c r="A1042838" s="24"/>
      <c r="B1042838" s="24"/>
      <c r="C1042838" s="24"/>
      <c r="D1042838" s="24"/>
      <c r="E1042838" s="24"/>
      <c r="F1042838" s="24"/>
      <c r="G1042838" s="24"/>
      <c r="H1042838" s="24"/>
      <c r="I1042838" s="24"/>
      <c r="J1042838" s="24"/>
      <c r="K1042838" s="54"/>
    </row>
    <row r="1042839" spans="1:11" s="55" customFormat="1" ht="12.75">
      <c r="A1042839" s="24"/>
      <c r="B1042839" s="24"/>
      <c r="C1042839" s="24"/>
      <c r="D1042839" s="24"/>
      <c r="E1042839" s="24"/>
      <c r="F1042839" s="24"/>
      <c r="G1042839" s="24"/>
      <c r="H1042839" s="24"/>
      <c r="I1042839" s="24"/>
      <c r="J1042839" s="24"/>
      <c r="K1042839" s="54"/>
    </row>
    <row r="1042840" spans="1:11" s="55" customFormat="1" ht="12.75">
      <c r="A1042840" s="24"/>
      <c r="B1042840" s="24"/>
      <c r="C1042840" s="24"/>
      <c r="D1042840" s="24"/>
      <c r="E1042840" s="24"/>
      <c r="F1042840" s="24"/>
      <c r="G1042840" s="24"/>
      <c r="H1042840" s="24"/>
      <c r="I1042840" s="24"/>
      <c r="J1042840" s="24"/>
      <c r="K1042840" s="54"/>
    </row>
    <row r="1042841" spans="1:11" s="55" customFormat="1" ht="12.75">
      <c r="A1042841" s="24"/>
      <c r="B1042841" s="24"/>
      <c r="C1042841" s="24"/>
      <c r="D1042841" s="24"/>
      <c r="E1042841" s="24"/>
      <c r="F1042841" s="24"/>
      <c r="G1042841" s="24"/>
      <c r="H1042841" s="24"/>
      <c r="I1042841" s="24"/>
      <c r="J1042841" s="24"/>
      <c r="K1042841" s="54"/>
    </row>
    <row r="1042842" spans="1:11" s="55" customFormat="1" ht="12.75">
      <c r="A1042842" s="24"/>
      <c r="B1042842" s="24"/>
      <c r="C1042842" s="24"/>
      <c r="D1042842" s="24"/>
      <c r="E1042842" s="24"/>
      <c r="F1042842" s="24"/>
      <c r="G1042842" s="24"/>
      <c r="H1042842" s="24"/>
      <c r="I1042842" s="24"/>
      <c r="J1042842" s="24"/>
      <c r="K1042842" s="54"/>
    </row>
    <row r="1042843" spans="1:11" s="55" customFormat="1" ht="12.75">
      <c r="A1042843" s="24"/>
      <c r="B1042843" s="24"/>
      <c r="C1042843" s="24"/>
      <c r="D1042843" s="24"/>
      <c r="E1042843" s="24"/>
      <c r="F1042843" s="24"/>
      <c r="G1042843" s="24"/>
      <c r="H1042843" s="24"/>
      <c r="I1042843" s="24"/>
      <c r="J1042843" s="24"/>
      <c r="K1042843" s="54"/>
    </row>
    <row r="1042844" spans="1:11" s="55" customFormat="1" ht="12.75">
      <c r="A1042844" s="24"/>
      <c r="B1042844" s="24"/>
      <c r="C1042844" s="24"/>
      <c r="D1042844" s="24"/>
      <c r="E1042844" s="24"/>
      <c r="F1042844" s="24"/>
      <c r="G1042844" s="24"/>
      <c r="H1042844" s="24"/>
      <c r="I1042844" s="24"/>
      <c r="J1042844" s="24"/>
      <c r="K1042844" s="54"/>
    </row>
    <row r="1042845" spans="1:11" s="55" customFormat="1" ht="12.75">
      <c r="A1042845" s="24"/>
      <c r="B1042845" s="24"/>
      <c r="C1042845" s="24"/>
      <c r="D1042845" s="24"/>
      <c r="E1042845" s="24"/>
      <c r="F1042845" s="24"/>
      <c r="G1042845" s="24"/>
      <c r="H1042845" s="24"/>
      <c r="I1042845" s="24"/>
      <c r="J1042845" s="24"/>
      <c r="K1042845" s="54"/>
    </row>
    <row r="1042846" spans="1:11" s="55" customFormat="1" ht="12.75">
      <c r="A1042846" s="24"/>
      <c r="B1042846" s="24"/>
      <c r="C1042846" s="24"/>
      <c r="D1042846" s="24"/>
      <c r="E1042846" s="24"/>
      <c r="F1042846" s="24"/>
      <c r="G1042846" s="24"/>
      <c r="H1042846" s="24"/>
      <c r="I1042846" s="24"/>
      <c r="J1042846" s="24"/>
      <c r="K1042846" s="54"/>
    </row>
    <row r="1042847" spans="1:11" s="55" customFormat="1" ht="12.75">
      <c r="A1042847" s="24"/>
      <c r="B1042847" s="24"/>
      <c r="C1042847" s="24"/>
      <c r="D1042847" s="24"/>
      <c r="E1042847" s="24"/>
      <c r="F1042847" s="24"/>
      <c r="G1042847" s="24"/>
      <c r="H1042847" s="24"/>
      <c r="I1042847" s="24"/>
      <c r="J1042847" s="24"/>
      <c r="K1042847" s="54"/>
    </row>
    <row r="1042848" spans="1:11" s="55" customFormat="1" ht="12.75">
      <c r="A1042848" s="24"/>
      <c r="B1042848" s="24"/>
      <c r="C1042848" s="24"/>
      <c r="D1042848" s="24"/>
      <c r="E1042848" s="24"/>
      <c r="F1042848" s="24"/>
      <c r="G1042848" s="24"/>
      <c r="H1042848" s="24"/>
      <c r="I1042848" s="24"/>
      <c r="J1042848" s="24"/>
      <c r="K1042848" s="54"/>
    </row>
    <row r="1042849" spans="1:11" s="55" customFormat="1" ht="12.75">
      <c r="A1042849" s="24"/>
      <c r="B1042849" s="24"/>
      <c r="C1042849" s="24"/>
      <c r="D1042849" s="24"/>
      <c r="E1042849" s="24"/>
      <c r="F1042849" s="24"/>
      <c r="G1042849" s="24"/>
      <c r="H1042849" s="24"/>
      <c r="I1042849" s="24"/>
      <c r="J1042849" s="24"/>
      <c r="K1042849" s="54"/>
    </row>
    <row r="1042850" spans="1:11" s="55" customFormat="1" ht="12.75">
      <c r="A1042850" s="24"/>
      <c r="B1042850" s="24"/>
      <c r="C1042850" s="24"/>
      <c r="D1042850" s="24"/>
      <c r="E1042850" s="24"/>
      <c r="F1042850" s="24"/>
      <c r="G1042850" s="24"/>
      <c r="H1042850" s="24"/>
      <c r="I1042850" s="24"/>
      <c r="J1042850" s="24"/>
      <c r="K1042850" s="54"/>
    </row>
    <row r="1042851" spans="1:11" s="55" customFormat="1" ht="12.75">
      <c r="A1042851" s="24"/>
      <c r="B1042851" s="24"/>
      <c r="C1042851" s="24"/>
      <c r="D1042851" s="24"/>
      <c r="E1042851" s="24"/>
      <c r="F1042851" s="24"/>
      <c r="G1042851" s="24"/>
      <c r="H1042851" s="24"/>
      <c r="I1042851" s="24"/>
      <c r="J1042851" s="24"/>
      <c r="K1042851" s="54"/>
    </row>
    <row r="1042852" spans="1:11" s="55" customFormat="1" ht="12.75">
      <c r="A1042852" s="24"/>
      <c r="B1042852" s="24"/>
      <c r="C1042852" s="24"/>
      <c r="D1042852" s="24"/>
      <c r="E1042852" s="24"/>
      <c r="F1042852" s="24"/>
      <c r="G1042852" s="24"/>
      <c r="H1042852" s="24"/>
      <c r="I1042852" s="24"/>
      <c r="J1042852" s="24"/>
      <c r="K1042852" s="54"/>
    </row>
    <row r="1042853" spans="1:11" s="55" customFormat="1" ht="12.75">
      <c r="A1042853" s="24"/>
      <c r="B1042853" s="24"/>
      <c r="C1042853" s="24"/>
      <c r="D1042853" s="24"/>
      <c r="E1042853" s="24"/>
      <c r="F1042853" s="24"/>
      <c r="G1042853" s="24"/>
      <c r="H1042853" s="24"/>
      <c r="I1042853" s="24"/>
      <c r="J1042853" s="24"/>
      <c r="K1042853" s="54"/>
    </row>
    <row r="1042854" spans="1:11" s="55" customFormat="1" ht="12.75">
      <c r="A1042854" s="24"/>
      <c r="B1042854" s="24"/>
      <c r="C1042854" s="24"/>
      <c r="D1042854" s="24"/>
      <c r="E1042854" s="24"/>
      <c r="F1042854" s="24"/>
      <c r="G1042854" s="24"/>
      <c r="H1042854" s="24"/>
      <c r="I1042854" s="24"/>
      <c r="J1042854" s="24"/>
      <c r="K1042854" s="54"/>
    </row>
    <row r="1042855" spans="1:11" s="55" customFormat="1" ht="12.75">
      <c r="A1042855" s="24"/>
      <c r="B1042855" s="24"/>
      <c r="C1042855" s="24"/>
      <c r="D1042855" s="24"/>
      <c r="E1042855" s="24"/>
      <c r="F1042855" s="24"/>
      <c r="G1042855" s="24"/>
      <c r="H1042855" s="24"/>
      <c r="I1042855" s="24"/>
      <c r="J1042855" s="24"/>
      <c r="K1042855" s="54"/>
    </row>
    <row r="1042856" spans="1:11" s="55" customFormat="1" ht="12.75">
      <c r="A1042856" s="24"/>
      <c r="B1042856" s="24"/>
      <c r="C1042856" s="24"/>
      <c r="D1042856" s="24"/>
      <c r="E1042856" s="24"/>
      <c r="F1042856" s="24"/>
      <c r="G1042856" s="24"/>
      <c r="H1042856" s="24"/>
      <c r="I1042856" s="24"/>
      <c r="J1042856" s="24"/>
      <c r="K1042856" s="54"/>
    </row>
    <row r="1042857" spans="1:11" s="55" customFormat="1" ht="12.75">
      <c r="A1042857" s="24"/>
      <c r="B1042857" s="24"/>
      <c r="C1042857" s="24"/>
      <c r="D1042857" s="24"/>
      <c r="E1042857" s="24"/>
      <c r="F1042857" s="24"/>
      <c r="G1042857" s="24"/>
      <c r="H1042857" s="24"/>
      <c r="I1042857" s="24"/>
      <c r="J1042857" s="24"/>
      <c r="K1042857" s="54"/>
    </row>
    <row r="1042858" spans="1:11" s="55" customFormat="1" ht="12.75">
      <c r="A1042858" s="24"/>
      <c r="B1042858" s="24"/>
      <c r="C1042858" s="24"/>
      <c r="D1042858" s="24"/>
      <c r="E1042858" s="24"/>
      <c r="F1042858" s="24"/>
      <c r="G1042858" s="24"/>
      <c r="H1042858" s="24"/>
      <c r="I1042858" s="24"/>
      <c r="J1042858" s="24"/>
      <c r="K1042858" s="54"/>
    </row>
    <row r="1042859" spans="1:11" s="55" customFormat="1" ht="12.75">
      <c r="A1042859" s="24"/>
      <c r="B1042859" s="24"/>
      <c r="C1042859" s="24"/>
      <c r="D1042859" s="24"/>
      <c r="E1042859" s="24"/>
      <c r="F1042859" s="24"/>
      <c r="G1042859" s="24"/>
      <c r="H1042859" s="24"/>
      <c r="I1042859" s="24"/>
      <c r="J1042859" s="24"/>
      <c r="K1042859" s="54"/>
    </row>
    <row r="1042860" spans="1:11" s="55" customFormat="1" ht="12.75">
      <c r="A1042860" s="24"/>
      <c r="B1042860" s="24"/>
      <c r="C1042860" s="24"/>
      <c r="D1042860" s="24"/>
      <c r="E1042860" s="24"/>
      <c r="F1042860" s="24"/>
      <c r="G1042860" s="24"/>
      <c r="H1042860" s="24"/>
      <c r="I1042860" s="24"/>
      <c r="J1042860" s="24"/>
      <c r="K1042860" s="54"/>
    </row>
    <row r="1042861" spans="1:11" s="55" customFormat="1" ht="12.75">
      <c r="A1042861" s="24"/>
      <c r="B1042861" s="24"/>
      <c r="C1042861" s="24"/>
      <c r="D1042861" s="24"/>
      <c r="E1042861" s="24"/>
      <c r="F1042861" s="24"/>
      <c r="G1042861" s="24"/>
      <c r="H1042861" s="24"/>
      <c r="I1042861" s="24"/>
      <c r="J1042861" s="24"/>
      <c r="K1042861" s="54"/>
    </row>
    <row r="1042862" spans="1:11" s="55" customFormat="1" ht="12.75">
      <c r="A1042862" s="24"/>
      <c r="B1042862" s="24"/>
      <c r="C1042862" s="24"/>
      <c r="D1042862" s="24"/>
      <c r="E1042862" s="24"/>
      <c r="F1042862" s="24"/>
      <c r="G1042862" s="24"/>
      <c r="H1042862" s="24"/>
      <c r="I1042862" s="24"/>
      <c r="J1042862" s="24"/>
      <c r="K1042862" s="54"/>
    </row>
    <row r="1042863" spans="1:11" s="55" customFormat="1" ht="12.75">
      <c r="A1042863" s="24"/>
      <c r="B1042863" s="24"/>
      <c r="C1042863" s="24"/>
      <c r="D1042863" s="24"/>
      <c r="E1042863" s="24"/>
      <c r="F1042863" s="24"/>
      <c r="G1042863" s="24"/>
      <c r="H1042863" s="24"/>
      <c r="I1042863" s="24"/>
      <c r="J1042863" s="24"/>
      <c r="K1042863" s="54"/>
    </row>
    <row r="1042864" spans="1:11" s="55" customFormat="1" ht="12.75">
      <c r="A1042864" s="24"/>
      <c r="B1042864" s="24"/>
      <c r="C1042864" s="24"/>
      <c r="D1042864" s="24"/>
      <c r="E1042864" s="24"/>
      <c r="F1042864" s="24"/>
      <c r="G1042864" s="24"/>
      <c r="H1042864" s="24"/>
      <c r="I1042864" s="24"/>
      <c r="J1042864" s="24"/>
      <c r="K1042864" s="54"/>
    </row>
    <row r="1042865" spans="1:11" s="55" customFormat="1" ht="12.75">
      <c r="A1042865" s="24"/>
      <c r="B1042865" s="24"/>
      <c r="C1042865" s="24"/>
      <c r="D1042865" s="24"/>
      <c r="E1042865" s="24"/>
      <c r="F1042865" s="24"/>
      <c r="G1042865" s="24"/>
      <c r="H1042865" s="24"/>
      <c r="I1042865" s="24"/>
      <c r="J1042865" s="24"/>
      <c r="K1042865" s="54"/>
    </row>
    <row r="1042866" spans="1:11" s="55" customFormat="1" ht="12.75">
      <c r="A1042866" s="24"/>
      <c r="B1042866" s="24"/>
      <c r="C1042866" s="24"/>
      <c r="D1042866" s="24"/>
      <c r="E1042866" s="24"/>
      <c r="F1042866" s="24"/>
      <c r="G1042866" s="24"/>
      <c r="H1042866" s="24"/>
      <c r="I1042866" s="24"/>
      <c r="J1042866" s="24"/>
      <c r="K1042866" s="54"/>
    </row>
    <row r="1042867" spans="1:11" s="55" customFormat="1" ht="12.75">
      <c r="A1042867" s="24"/>
      <c r="B1042867" s="24"/>
      <c r="C1042867" s="24"/>
      <c r="D1042867" s="24"/>
      <c r="E1042867" s="24"/>
      <c r="F1042867" s="24"/>
      <c r="G1042867" s="24"/>
      <c r="H1042867" s="24"/>
      <c r="I1042867" s="24"/>
      <c r="J1042867" s="24"/>
      <c r="K1042867" s="54"/>
    </row>
    <row r="1042868" spans="1:11" s="55" customFormat="1" ht="12.75">
      <c r="A1042868" s="24"/>
      <c r="B1042868" s="24"/>
      <c r="C1042868" s="24"/>
      <c r="D1042868" s="24"/>
      <c r="E1042868" s="24"/>
      <c r="F1042868" s="24"/>
      <c r="G1042868" s="24"/>
      <c r="H1042868" s="24"/>
      <c r="I1042868" s="24"/>
      <c r="J1042868" s="24"/>
      <c r="K1042868" s="54"/>
    </row>
    <row r="1042869" spans="1:11" s="55" customFormat="1" ht="12.75">
      <c r="A1042869" s="24"/>
      <c r="B1042869" s="24"/>
      <c r="C1042869" s="24"/>
      <c r="D1042869" s="24"/>
      <c r="E1042869" s="24"/>
      <c r="F1042869" s="24"/>
      <c r="G1042869" s="24"/>
      <c r="H1042869" s="24"/>
      <c r="I1042869" s="24"/>
      <c r="J1042869" s="24"/>
      <c r="K1042869" s="54"/>
    </row>
    <row r="1042870" spans="1:11" s="55" customFormat="1" ht="12.75">
      <c r="A1042870" s="24"/>
      <c r="B1042870" s="24"/>
      <c r="C1042870" s="24"/>
      <c r="D1042870" s="24"/>
      <c r="E1042870" s="24"/>
      <c r="F1042870" s="24"/>
      <c r="G1042870" s="24"/>
      <c r="H1042870" s="24"/>
      <c r="I1042870" s="24"/>
      <c r="J1042870" s="24"/>
      <c r="K1042870" s="54"/>
    </row>
    <row r="1042871" spans="1:11" s="55" customFormat="1" ht="12.75">
      <c r="A1042871" s="24"/>
      <c r="B1042871" s="24"/>
      <c r="C1042871" s="24"/>
      <c r="D1042871" s="24"/>
      <c r="E1042871" s="24"/>
      <c r="F1042871" s="24"/>
      <c r="G1042871" s="24"/>
      <c r="H1042871" s="24"/>
      <c r="I1042871" s="24"/>
      <c r="J1042871" s="24"/>
      <c r="K1042871" s="54"/>
    </row>
    <row r="1042872" spans="1:11" s="55" customFormat="1" ht="12.75">
      <c r="A1042872" s="24"/>
      <c r="B1042872" s="24"/>
      <c r="C1042872" s="24"/>
      <c r="D1042872" s="24"/>
      <c r="E1042872" s="24"/>
      <c r="F1042872" s="24"/>
      <c r="G1042872" s="24"/>
      <c r="H1042872" s="24"/>
      <c r="I1042872" s="24"/>
      <c r="J1042872" s="24"/>
      <c r="K1042872" s="54"/>
    </row>
    <row r="1042873" spans="1:11" s="55" customFormat="1" ht="12.75">
      <c r="A1042873" s="24"/>
      <c r="B1042873" s="24"/>
      <c r="C1042873" s="24"/>
      <c r="D1042873" s="24"/>
      <c r="E1042873" s="24"/>
      <c r="F1042873" s="24"/>
      <c r="G1042873" s="24"/>
      <c r="H1042873" s="24"/>
      <c r="I1042873" s="24"/>
      <c r="J1042873" s="24"/>
      <c r="K1042873" s="54"/>
    </row>
    <row r="1042874" spans="1:11" s="55" customFormat="1" ht="12.75">
      <c r="A1042874" s="24"/>
      <c r="B1042874" s="24"/>
      <c r="C1042874" s="24"/>
      <c r="D1042874" s="24"/>
      <c r="E1042874" s="24"/>
      <c r="F1042874" s="24"/>
      <c r="G1042874" s="24"/>
      <c r="H1042874" s="24"/>
      <c r="I1042874" s="24"/>
      <c r="J1042874" s="24"/>
      <c r="K1042874" s="54"/>
    </row>
    <row r="1042875" spans="1:11" s="55" customFormat="1" ht="12.75">
      <c r="A1042875" s="24"/>
      <c r="B1042875" s="24"/>
      <c r="C1042875" s="24"/>
      <c r="D1042875" s="24"/>
      <c r="E1042875" s="24"/>
      <c r="F1042875" s="24"/>
      <c r="G1042875" s="24"/>
      <c r="H1042875" s="24"/>
      <c r="I1042875" s="24"/>
      <c r="J1042875" s="24"/>
      <c r="K1042875" s="54"/>
    </row>
    <row r="1042876" spans="1:11" s="55" customFormat="1" ht="12.75">
      <c r="A1042876" s="24"/>
      <c r="B1042876" s="24"/>
      <c r="C1042876" s="24"/>
      <c r="D1042876" s="24"/>
      <c r="E1042876" s="24"/>
      <c r="F1042876" s="24"/>
      <c r="G1042876" s="24"/>
      <c r="H1042876" s="24"/>
      <c r="I1042876" s="24"/>
      <c r="J1042876" s="24"/>
      <c r="K1042876" s="54"/>
    </row>
    <row r="1042877" spans="1:11" s="55" customFormat="1" ht="12.75">
      <c r="A1042877" s="24"/>
      <c r="B1042877" s="24"/>
      <c r="C1042877" s="24"/>
      <c r="D1042877" s="24"/>
      <c r="E1042877" s="24"/>
      <c r="F1042877" s="24"/>
      <c r="G1042877" s="24"/>
      <c r="H1042877" s="24"/>
      <c r="I1042877" s="24"/>
      <c r="J1042877" s="24"/>
      <c r="K1042877" s="54"/>
    </row>
    <row r="1042878" spans="1:11" s="55" customFormat="1" ht="12.75">
      <c r="A1042878" s="24"/>
      <c r="B1042878" s="24"/>
      <c r="C1042878" s="24"/>
      <c r="D1042878" s="24"/>
      <c r="E1042878" s="24"/>
      <c r="F1042878" s="24"/>
      <c r="G1042878" s="24"/>
      <c r="H1042878" s="24"/>
      <c r="I1042878" s="24"/>
      <c r="J1042878" s="24"/>
      <c r="K1042878" s="54"/>
    </row>
    <row r="1042879" spans="1:11" s="55" customFormat="1" ht="12.75">
      <c r="A1042879" s="24"/>
      <c r="B1042879" s="24"/>
      <c r="C1042879" s="24"/>
      <c r="D1042879" s="24"/>
      <c r="E1042879" s="24"/>
      <c r="F1042879" s="24"/>
      <c r="G1042879" s="24"/>
      <c r="H1042879" s="24"/>
      <c r="I1042879" s="24"/>
      <c r="J1042879" s="24"/>
      <c r="K1042879" s="54"/>
    </row>
    <row r="1042880" spans="1:11" s="55" customFormat="1" ht="12.75">
      <c r="A1042880" s="24"/>
      <c r="B1042880" s="24"/>
      <c r="C1042880" s="24"/>
      <c r="D1042880" s="24"/>
      <c r="E1042880" s="24"/>
      <c r="F1042880" s="24"/>
      <c r="G1042880" s="24"/>
      <c r="H1042880" s="24"/>
      <c r="I1042880" s="24"/>
      <c r="J1042880" s="24"/>
      <c r="K1042880" s="54"/>
    </row>
    <row r="1042881" spans="1:11" s="55" customFormat="1" ht="12.75">
      <c r="A1042881" s="24"/>
      <c r="B1042881" s="24"/>
      <c r="C1042881" s="24"/>
      <c r="D1042881" s="24"/>
      <c r="E1042881" s="24"/>
      <c r="F1042881" s="24"/>
      <c r="G1042881" s="24"/>
      <c r="H1042881" s="24"/>
      <c r="I1042881" s="24"/>
      <c r="J1042881" s="24"/>
      <c r="K1042881" s="54"/>
    </row>
    <row r="1042882" spans="1:11" s="55" customFormat="1" ht="12.75">
      <c r="A1042882" s="24"/>
      <c r="B1042882" s="24"/>
      <c r="C1042882" s="24"/>
      <c r="D1042882" s="24"/>
      <c r="E1042882" s="24"/>
      <c r="F1042882" s="24"/>
      <c r="G1042882" s="24"/>
      <c r="H1042882" s="24"/>
      <c r="I1042882" s="24"/>
      <c r="J1042882" s="24"/>
      <c r="K1042882" s="54"/>
    </row>
    <row r="1042883" spans="1:11" s="55" customFormat="1" ht="12.75">
      <c r="A1042883" s="24"/>
      <c r="B1042883" s="24"/>
      <c r="C1042883" s="24"/>
      <c r="D1042883" s="24"/>
      <c r="E1042883" s="24"/>
      <c r="F1042883" s="24"/>
      <c r="G1042883" s="24"/>
      <c r="H1042883" s="24"/>
      <c r="I1042883" s="24"/>
      <c r="J1042883" s="24"/>
      <c r="K1042883" s="54"/>
    </row>
    <row r="1042884" spans="1:11" s="55" customFormat="1" ht="12.75">
      <c r="A1042884" s="24"/>
      <c r="B1042884" s="24"/>
      <c r="C1042884" s="24"/>
      <c r="D1042884" s="24"/>
      <c r="E1042884" s="24"/>
      <c r="F1042884" s="24"/>
      <c r="G1042884" s="24"/>
      <c r="H1042884" s="24"/>
      <c r="I1042884" s="24"/>
      <c r="J1042884" s="24"/>
      <c r="K1042884" s="54"/>
    </row>
    <row r="1042885" spans="1:11" s="55" customFormat="1" ht="12.75">
      <c r="A1042885" s="24"/>
      <c r="B1042885" s="24"/>
      <c r="C1042885" s="24"/>
      <c r="D1042885" s="24"/>
      <c r="E1042885" s="24"/>
      <c r="F1042885" s="24"/>
      <c r="G1042885" s="24"/>
      <c r="H1042885" s="24"/>
      <c r="I1042885" s="24"/>
      <c r="J1042885" s="24"/>
      <c r="K1042885" s="54"/>
    </row>
    <row r="1042886" spans="1:11" s="55" customFormat="1" ht="12.75">
      <c r="A1042886" s="24"/>
      <c r="B1042886" s="24"/>
      <c r="C1042886" s="24"/>
      <c r="D1042886" s="24"/>
      <c r="E1042886" s="24"/>
      <c r="F1042886" s="24"/>
      <c r="G1042886" s="24"/>
      <c r="H1042886" s="24"/>
      <c r="I1042886" s="24"/>
      <c r="J1042886" s="24"/>
      <c r="K1042886" s="54"/>
    </row>
    <row r="1042887" spans="1:11" s="55" customFormat="1" ht="12.75">
      <c r="A1042887" s="24"/>
      <c r="B1042887" s="24"/>
      <c r="C1042887" s="24"/>
      <c r="D1042887" s="24"/>
      <c r="E1042887" s="24"/>
      <c r="F1042887" s="24"/>
      <c r="G1042887" s="24"/>
      <c r="H1042887" s="24"/>
      <c r="I1042887" s="24"/>
      <c r="J1042887" s="24"/>
      <c r="K1042887" s="54"/>
    </row>
    <row r="1042888" spans="1:11" s="55" customFormat="1" ht="12.75">
      <c r="A1042888" s="24"/>
      <c r="B1042888" s="24"/>
      <c r="C1042888" s="24"/>
      <c r="D1042888" s="24"/>
      <c r="E1042888" s="24"/>
      <c r="F1042888" s="24"/>
      <c r="G1042888" s="24"/>
      <c r="H1042888" s="24"/>
      <c r="I1042888" s="24"/>
      <c r="J1042888" s="24"/>
      <c r="K1042888" s="54"/>
    </row>
    <row r="1042889" spans="1:11" s="55" customFormat="1" ht="12.75">
      <c r="A1042889" s="24"/>
      <c r="B1042889" s="24"/>
      <c r="C1042889" s="24"/>
      <c r="D1042889" s="24"/>
      <c r="E1042889" s="24"/>
      <c r="F1042889" s="24"/>
      <c r="G1042889" s="24"/>
      <c r="H1042889" s="24"/>
      <c r="I1042889" s="24"/>
      <c r="J1042889" s="24"/>
      <c r="K1042889" s="54"/>
    </row>
    <row r="1042890" spans="1:11" s="55" customFormat="1" ht="12.75">
      <c r="A1042890" s="24"/>
      <c r="B1042890" s="24"/>
      <c r="C1042890" s="24"/>
      <c r="D1042890" s="24"/>
      <c r="E1042890" s="24"/>
      <c r="F1042890" s="24"/>
      <c r="G1042890" s="24"/>
      <c r="H1042890" s="24"/>
      <c r="I1042890" s="24"/>
      <c r="J1042890" s="24"/>
      <c r="K1042890" s="54"/>
    </row>
    <row r="1042891" spans="1:11" s="55" customFormat="1" ht="12.75">
      <c r="A1042891" s="24"/>
      <c r="B1042891" s="24"/>
      <c r="C1042891" s="24"/>
      <c r="D1042891" s="24"/>
      <c r="E1042891" s="24"/>
      <c r="F1042891" s="24"/>
      <c r="G1042891" s="24"/>
      <c r="H1042891" s="24"/>
      <c r="I1042891" s="24"/>
      <c r="J1042891" s="24"/>
      <c r="K1042891" s="54"/>
    </row>
    <row r="1042892" spans="1:11" s="55" customFormat="1" ht="12.75">
      <c r="A1042892" s="24"/>
      <c r="B1042892" s="24"/>
      <c r="C1042892" s="24"/>
      <c r="D1042892" s="24"/>
      <c r="E1042892" s="24"/>
      <c r="F1042892" s="24"/>
      <c r="G1042892" s="24"/>
      <c r="H1042892" s="24"/>
      <c r="I1042892" s="24"/>
      <c r="J1042892" s="24"/>
      <c r="K1042892" s="54"/>
    </row>
    <row r="1042893" spans="1:11" s="55" customFormat="1" ht="12.75">
      <c r="A1042893" s="24"/>
      <c r="B1042893" s="24"/>
      <c r="C1042893" s="24"/>
      <c r="D1042893" s="24"/>
      <c r="E1042893" s="24"/>
      <c r="F1042893" s="24"/>
      <c r="G1042893" s="24"/>
      <c r="H1042893" s="24"/>
      <c r="I1042893" s="24"/>
      <c r="J1042893" s="24"/>
      <c r="K1042893" s="54"/>
    </row>
    <row r="1042894" spans="1:11" s="55" customFormat="1" ht="12.75">
      <c r="A1042894" s="24"/>
      <c r="B1042894" s="24"/>
      <c r="C1042894" s="24"/>
      <c r="D1042894" s="24"/>
      <c r="E1042894" s="24"/>
      <c r="F1042894" s="24"/>
      <c r="G1042894" s="24"/>
      <c r="H1042894" s="24"/>
      <c r="I1042894" s="24"/>
      <c r="J1042894" s="24"/>
      <c r="K1042894" s="54"/>
    </row>
    <row r="1042895" spans="1:11" s="55" customFormat="1" ht="12.75">
      <c r="A1042895" s="24"/>
      <c r="B1042895" s="24"/>
      <c r="C1042895" s="24"/>
      <c r="D1042895" s="24"/>
      <c r="E1042895" s="24"/>
      <c r="F1042895" s="24"/>
      <c r="G1042895" s="24"/>
      <c r="H1042895" s="24"/>
      <c r="I1042895" s="24"/>
      <c r="J1042895" s="24"/>
      <c r="K1042895" s="54"/>
    </row>
    <row r="1042896" spans="1:11" s="55" customFormat="1" ht="12.75">
      <c r="A1042896" s="24"/>
      <c r="B1042896" s="24"/>
      <c r="C1042896" s="24"/>
      <c r="D1042896" s="24"/>
      <c r="E1042896" s="24"/>
      <c r="F1042896" s="24"/>
      <c r="G1042896" s="24"/>
      <c r="H1042896" s="24"/>
      <c r="I1042896" s="24"/>
      <c r="J1042896" s="24"/>
      <c r="K1042896" s="54"/>
    </row>
    <row r="1042897" spans="1:11" s="55" customFormat="1" ht="12.75">
      <c r="A1042897" s="24"/>
      <c r="B1042897" s="24"/>
      <c r="C1042897" s="24"/>
      <c r="D1042897" s="24"/>
      <c r="E1042897" s="24"/>
      <c r="F1042897" s="24"/>
      <c r="G1042897" s="24"/>
      <c r="H1042897" s="24"/>
      <c r="I1042897" s="24"/>
      <c r="J1042897" s="24"/>
      <c r="K1042897" s="54"/>
    </row>
    <row r="1042898" spans="1:11" s="55" customFormat="1" ht="12.75">
      <c r="A1042898" s="24"/>
      <c r="B1042898" s="24"/>
      <c r="C1042898" s="24"/>
      <c r="D1042898" s="24"/>
      <c r="E1042898" s="24"/>
      <c r="F1042898" s="24"/>
      <c r="G1042898" s="24"/>
      <c r="H1042898" s="24"/>
      <c r="I1042898" s="24"/>
      <c r="J1042898" s="24"/>
      <c r="K1042898" s="54"/>
    </row>
    <row r="1042899" spans="1:11" s="55" customFormat="1" ht="12.75">
      <c r="A1042899" s="24"/>
      <c r="B1042899" s="24"/>
      <c r="C1042899" s="24"/>
      <c r="D1042899" s="24"/>
      <c r="E1042899" s="24"/>
      <c r="F1042899" s="24"/>
      <c r="G1042899" s="24"/>
      <c r="H1042899" s="24"/>
      <c r="I1042899" s="24"/>
      <c r="J1042899" s="24"/>
      <c r="K1042899" s="54"/>
    </row>
    <row r="1042900" spans="1:11" s="55" customFormat="1" ht="12.75">
      <c r="A1042900" s="24"/>
      <c r="B1042900" s="24"/>
      <c r="C1042900" s="24"/>
      <c r="D1042900" s="24"/>
      <c r="E1042900" s="24"/>
      <c r="F1042900" s="24"/>
      <c r="G1042900" s="24"/>
      <c r="H1042900" s="24"/>
      <c r="I1042900" s="24"/>
      <c r="J1042900" s="24"/>
      <c r="K1042900" s="54"/>
    </row>
    <row r="1042901" spans="1:11" s="55" customFormat="1" ht="12.75">
      <c r="A1042901" s="24"/>
      <c r="B1042901" s="24"/>
      <c r="C1042901" s="24"/>
      <c r="D1042901" s="24"/>
      <c r="E1042901" s="24"/>
      <c r="F1042901" s="24"/>
      <c r="G1042901" s="24"/>
      <c r="H1042901" s="24"/>
      <c r="I1042901" s="24"/>
      <c r="J1042901" s="24"/>
      <c r="K1042901" s="54"/>
    </row>
    <row r="1042902" spans="1:11" s="55" customFormat="1" ht="12.75">
      <c r="A1042902" s="24"/>
      <c r="B1042902" s="24"/>
      <c r="C1042902" s="24"/>
      <c r="D1042902" s="24"/>
      <c r="E1042902" s="24"/>
      <c r="F1042902" s="24"/>
      <c r="G1042902" s="24"/>
      <c r="H1042902" s="24"/>
      <c r="I1042902" s="24"/>
      <c r="J1042902" s="24"/>
      <c r="K1042902" s="54"/>
    </row>
    <row r="1042903" spans="1:11" s="55" customFormat="1" ht="12.75">
      <c r="A1042903" s="24"/>
      <c r="B1042903" s="24"/>
      <c r="C1042903" s="24"/>
      <c r="D1042903" s="24"/>
      <c r="E1042903" s="24"/>
      <c r="F1042903" s="24"/>
      <c r="G1042903" s="24"/>
      <c r="H1042903" s="24"/>
      <c r="I1042903" s="24"/>
      <c r="J1042903" s="24"/>
      <c r="K1042903" s="54"/>
    </row>
    <row r="1042904" spans="1:11" s="55" customFormat="1" ht="12.75">
      <c r="A1042904" s="24"/>
      <c r="B1042904" s="24"/>
      <c r="C1042904" s="24"/>
      <c r="D1042904" s="24"/>
      <c r="E1042904" s="24"/>
      <c r="F1042904" s="24"/>
      <c r="G1042904" s="24"/>
      <c r="H1042904" s="24"/>
      <c r="I1042904" s="24"/>
      <c r="J1042904" s="24"/>
      <c r="K1042904" s="54"/>
    </row>
    <row r="1042905" spans="1:11" s="55" customFormat="1" ht="12.75">
      <c r="A1042905" s="24"/>
      <c r="B1042905" s="24"/>
      <c r="C1042905" s="24"/>
      <c r="D1042905" s="24"/>
      <c r="E1042905" s="24"/>
      <c r="F1042905" s="24"/>
      <c r="G1042905" s="24"/>
      <c r="H1042905" s="24"/>
      <c r="I1042905" s="24"/>
      <c r="J1042905" s="24"/>
      <c r="K1042905" s="54"/>
    </row>
    <row r="1042906" spans="1:11" s="55" customFormat="1" ht="12.75">
      <c r="A1042906" s="24"/>
      <c r="B1042906" s="24"/>
      <c r="C1042906" s="24"/>
      <c r="D1042906" s="24"/>
      <c r="E1042906" s="24"/>
      <c r="F1042906" s="24"/>
      <c r="G1042906" s="24"/>
      <c r="H1042906" s="24"/>
      <c r="I1042906" s="24"/>
      <c r="J1042906" s="24"/>
      <c r="K1042906" s="54"/>
    </row>
    <row r="1042907" spans="1:11" s="55" customFormat="1" ht="12.75">
      <c r="A1042907" s="24"/>
      <c r="B1042907" s="24"/>
      <c r="C1042907" s="24"/>
      <c r="D1042907" s="24"/>
      <c r="E1042907" s="24"/>
      <c r="F1042907" s="24"/>
      <c r="G1042907" s="24"/>
      <c r="H1042907" s="24"/>
      <c r="I1042907" s="24"/>
      <c r="J1042907" s="24"/>
      <c r="K1042907" s="54"/>
    </row>
    <row r="1042908" spans="1:11" s="55" customFormat="1" ht="12.75">
      <c r="A1042908" s="24"/>
      <c r="B1042908" s="24"/>
      <c r="C1042908" s="24"/>
      <c r="D1042908" s="24"/>
      <c r="E1042908" s="24"/>
      <c r="F1042908" s="24"/>
      <c r="G1042908" s="24"/>
      <c r="H1042908" s="24"/>
      <c r="I1042908" s="24"/>
      <c r="J1042908" s="24"/>
      <c r="K1042908" s="54"/>
    </row>
    <row r="1042909" spans="1:11" s="55" customFormat="1" ht="12.75">
      <c r="A1042909" s="24"/>
      <c r="B1042909" s="24"/>
      <c r="C1042909" s="24"/>
      <c r="D1042909" s="24"/>
      <c r="E1042909" s="24"/>
      <c r="F1042909" s="24"/>
      <c r="G1042909" s="24"/>
      <c r="H1042909" s="24"/>
      <c r="I1042909" s="24"/>
      <c r="J1042909" s="24"/>
      <c r="K1042909" s="54"/>
    </row>
    <row r="1042910" spans="1:11" s="55" customFormat="1" ht="12.75">
      <c r="A1042910" s="24"/>
      <c r="B1042910" s="24"/>
      <c r="C1042910" s="24"/>
      <c r="D1042910" s="24"/>
      <c r="E1042910" s="24"/>
      <c r="F1042910" s="24"/>
      <c r="G1042910" s="24"/>
      <c r="H1042910" s="24"/>
      <c r="I1042910" s="24"/>
      <c r="J1042910" s="24"/>
      <c r="K1042910" s="54"/>
    </row>
    <row r="1042911" spans="1:11" s="55" customFormat="1" ht="12.75">
      <c r="A1042911" s="24"/>
      <c r="B1042911" s="24"/>
      <c r="C1042911" s="24"/>
      <c r="D1042911" s="24"/>
      <c r="E1042911" s="24"/>
      <c r="F1042911" s="24"/>
      <c r="G1042911" s="24"/>
      <c r="H1042911" s="24"/>
      <c r="I1042911" s="24"/>
      <c r="J1042911" s="24"/>
      <c r="K1042911" s="54"/>
    </row>
    <row r="1042912" spans="1:11" s="55" customFormat="1" ht="12.75">
      <c r="A1042912" s="24"/>
      <c r="B1042912" s="24"/>
      <c r="C1042912" s="24"/>
      <c r="D1042912" s="24"/>
      <c r="E1042912" s="24"/>
      <c r="F1042912" s="24"/>
      <c r="G1042912" s="24"/>
      <c r="H1042912" s="24"/>
      <c r="I1042912" s="24"/>
      <c r="J1042912" s="24"/>
      <c r="K1042912" s="54"/>
    </row>
    <row r="1042913" spans="1:11" s="55" customFormat="1" ht="12.75">
      <c r="A1042913" s="24"/>
      <c r="B1042913" s="24"/>
      <c r="C1042913" s="24"/>
      <c r="D1042913" s="24"/>
      <c r="E1042913" s="24"/>
      <c r="F1042913" s="24"/>
      <c r="G1042913" s="24"/>
      <c r="H1042913" s="24"/>
      <c r="I1042913" s="24"/>
      <c r="J1042913" s="24"/>
      <c r="K1042913" s="54"/>
    </row>
    <row r="1042914" spans="1:11" s="55" customFormat="1" ht="12.75">
      <c r="A1042914" s="24"/>
      <c r="B1042914" s="24"/>
      <c r="C1042914" s="24"/>
      <c r="D1042914" s="24"/>
      <c r="E1042914" s="24"/>
      <c r="F1042914" s="24"/>
      <c r="G1042914" s="24"/>
      <c r="H1042914" s="24"/>
      <c r="I1042914" s="24"/>
      <c r="J1042914" s="24"/>
      <c r="K1042914" s="54"/>
    </row>
    <row r="1042915" spans="1:11" s="55" customFormat="1" ht="12.75">
      <c r="A1042915" s="24"/>
      <c r="B1042915" s="24"/>
      <c r="C1042915" s="24"/>
      <c r="D1042915" s="24"/>
      <c r="E1042915" s="24"/>
      <c r="F1042915" s="24"/>
      <c r="G1042915" s="24"/>
      <c r="H1042915" s="24"/>
      <c r="I1042915" s="24"/>
      <c r="J1042915" s="24"/>
      <c r="K1042915" s="54"/>
    </row>
    <row r="1042916" spans="1:11" s="55" customFormat="1" ht="12.75">
      <c r="A1042916" s="24"/>
      <c r="B1042916" s="24"/>
      <c r="C1042916" s="24"/>
      <c r="D1042916" s="24"/>
      <c r="E1042916" s="24"/>
      <c r="F1042916" s="24"/>
      <c r="G1042916" s="24"/>
      <c r="H1042916" s="24"/>
      <c r="I1042916" s="24"/>
      <c r="J1042916" s="24"/>
      <c r="K1042916" s="54"/>
    </row>
    <row r="1042917" spans="1:11" s="55" customFormat="1" ht="12.75">
      <c r="A1042917" s="24"/>
      <c r="B1042917" s="24"/>
      <c r="C1042917" s="24"/>
      <c r="D1042917" s="24"/>
      <c r="E1042917" s="24"/>
      <c r="F1042917" s="24"/>
      <c r="G1042917" s="24"/>
      <c r="H1042917" s="24"/>
      <c r="I1042917" s="24"/>
      <c r="J1042917" s="24"/>
      <c r="K1042917" s="54"/>
    </row>
    <row r="1042918" spans="1:11" s="55" customFormat="1" ht="12.75">
      <c r="A1042918" s="24"/>
      <c r="B1042918" s="24"/>
      <c r="C1042918" s="24"/>
      <c r="D1042918" s="24"/>
      <c r="E1042918" s="24"/>
      <c r="F1042918" s="24"/>
      <c r="G1042918" s="24"/>
      <c r="H1042918" s="24"/>
      <c r="I1042918" s="24"/>
      <c r="J1042918" s="24"/>
      <c r="K1042918" s="54"/>
    </row>
    <row r="1042919" spans="1:11" s="55" customFormat="1" ht="12.75">
      <c r="A1042919" s="24"/>
      <c r="B1042919" s="24"/>
      <c r="C1042919" s="24"/>
      <c r="D1042919" s="24"/>
      <c r="E1042919" s="24"/>
      <c r="F1042919" s="24"/>
      <c r="G1042919" s="24"/>
      <c r="H1042919" s="24"/>
      <c r="I1042919" s="24"/>
      <c r="J1042919" s="24"/>
      <c r="K1042919" s="54"/>
    </row>
    <row r="1042920" spans="1:11" s="55" customFormat="1" ht="12.75">
      <c r="A1042920" s="24"/>
      <c r="B1042920" s="24"/>
      <c r="C1042920" s="24"/>
      <c r="D1042920" s="24"/>
      <c r="E1042920" s="24"/>
      <c r="F1042920" s="24"/>
      <c r="G1042920" s="24"/>
      <c r="H1042920" s="24"/>
      <c r="I1042920" s="24"/>
      <c r="J1042920" s="24"/>
      <c r="K1042920" s="54"/>
    </row>
    <row r="1042921" spans="1:11" s="55" customFormat="1" ht="12.75">
      <c r="A1042921" s="24"/>
      <c r="B1042921" s="24"/>
      <c r="C1042921" s="24"/>
      <c r="D1042921" s="24"/>
      <c r="E1042921" s="24"/>
      <c r="F1042921" s="24"/>
      <c r="G1042921" s="24"/>
      <c r="H1042921" s="24"/>
      <c r="I1042921" s="24"/>
      <c r="J1042921" s="24"/>
      <c r="K1042921" s="54"/>
    </row>
    <row r="1042922" spans="1:11" s="55" customFormat="1" ht="12.75">
      <c r="A1042922" s="24"/>
      <c r="B1042922" s="24"/>
      <c r="C1042922" s="24"/>
      <c r="D1042922" s="24"/>
      <c r="E1042922" s="24"/>
      <c r="F1042922" s="24"/>
      <c r="G1042922" s="24"/>
      <c r="H1042922" s="24"/>
      <c r="I1042922" s="24"/>
      <c r="J1042922" s="24"/>
      <c r="K1042922" s="54"/>
    </row>
    <row r="1042923" spans="1:11" s="55" customFormat="1" ht="12.75">
      <c r="A1042923" s="24"/>
      <c r="B1042923" s="24"/>
      <c r="C1042923" s="24"/>
      <c r="D1042923" s="24"/>
      <c r="E1042923" s="24"/>
      <c r="F1042923" s="24"/>
      <c r="G1042923" s="24"/>
      <c r="H1042923" s="24"/>
      <c r="I1042923" s="24"/>
      <c r="J1042923" s="24"/>
      <c r="K1042923" s="54"/>
    </row>
    <row r="1042924" spans="1:11" s="55" customFormat="1" ht="12.75">
      <c r="A1042924" s="24"/>
      <c r="B1042924" s="24"/>
      <c r="C1042924" s="24"/>
      <c r="D1042924" s="24"/>
      <c r="E1042924" s="24"/>
      <c r="F1042924" s="24"/>
      <c r="G1042924" s="24"/>
      <c r="H1042924" s="24"/>
      <c r="I1042924" s="24"/>
      <c r="J1042924" s="24"/>
      <c r="K1042924" s="54"/>
    </row>
    <row r="1042925" spans="1:11" s="55" customFormat="1" ht="12.75">
      <c r="A1042925" s="24"/>
      <c r="B1042925" s="24"/>
      <c r="C1042925" s="24"/>
      <c r="D1042925" s="24"/>
      <c r="E1042925" s="24"/>
      <c r="F1042925" s="24"/>
      <c r="G1042925" s="24"/>
      <c r="H1042925" s="24"/>
      <c r="I1042925" s="24"/>
      <c r="J1042925" s="24"/>
      <c r="K1042925" s="54"/>
    </row>
    <row r="1042926" spans="1:11" s="55" customFormat="1" ht="12.75">
      <c r="A1042926" s="24"/>
      <c r="B1042926" s="24"/>
      <c r="C1042926" s="24"/>
      <c r="D1042926" s="24"/>
      <c r="E1042926" s="24"/>
      <c r="F1042926" s="24"/>
      <c r="G1042926" s="24"/>
      <c r="H1042926" s="24"/>
      <c r="I1042926" s="24"/>
      <c r="J1042926" s="24"/>
      <c r="K1042926" s="54"/>
    </row>
    <row r="1042927" spans="1:11" s="55" customFormat="1" ht="12.75">
      <c r="A1042927" s="24"/>
      <c r="B1042927" s="24"/>
      <c r="C1042927" s="24"/>
      <c r="D1042927" s="24"/>
      <c r="E1042927" s="24"/>
      <c r="F1042927" s="24"/>
      <c r="G1042927" s="24"/>
      <c r="H1042927" s="24"/>
      <c r="I1042927" s="24"/>
      <c r="J1042927" s="24"/>
      <c r="K1042927" s="54"/>
    </row>
    <row r="1042928" spans="1:11" s="55" customFormat="1" ht="12.75">
      <c r="A1042928" s="24"/>
      <c r="B1042928" s="24"/>
      <c r="C1042928" s="24"/>
      <c r="D1042928" s="24"/>
      <c r="E1042928" s="24"/>
      <c r="F1042928" s="24"/>
      <c r="G1042928" s="24"/>
      <c r="H1042928" s="24"/>
      <c r="I1042928" s="24"/>
      <c r="J1042928" s="24"/>
      <c r="K1042928" s="54"/>
    </row>
    <row r="1042929" spans="1:11" s="55" customFormat="1" ht="12.75">
      <c r="A1042929" s="24"/>
      <c r="B1042929" s="24"/>
      <c r="C1042929" s="24"/>
      <c r="D1042929" s="24"/>
      <c r="E1042929" s="24"/>
      <c r="F1042929" s="24"/>
      <c r="G1042929" s="24"/>
      <c r="H1042929" s="24"/>
      <c r="I1042929" s="24"/>
      <c r="J1042929" s="24"/>
      <c r="K1042929" s="54"/>
    </row>
    <row r="1042930" spans="1:11" s="55" customFormat="1" ht="12.75">
      <c r="A1042930" s="24"/>
      <c r="B1042930" s="24"/>
      <c r="C1042930" s="24"/>
      <c r="D1042930" s="24"/>
      <c r="E1042930" s="24"/>
      <c r="F1042930" s="24"/>
      <c r="G1042930" s="24"/>
      <c r="H1042930" s="24"/>
      <c r="I1042930" s="24"/>
      <c r="J1042930" s="24"/>
      <c r="K1042930" s="54"/>
    </row>
    <row r="1042931" spans="1:11" s="55" customFormat="1" ht="12.75">
      <c r="A1042931" s="24"/>
      <c r="B1042931" s="24"/>
      <c r="C1042931" s="24"/>
      <c r="D1042931" s="24"/>
      <c r="E1042931" s="24"/>
      <c r="F1042931" s="24"/>
      <c r="G1042931" s="24"/>
      <c r="H1042931" s="24"/>
      <c r="I1042931" s="24"/>
      <c r="J1042931" s="24"/>
      <c r="K1042931" s="54"/>
    </row>
    <row r="1042932" spans="1:11" s="55" customFormat="1" ht="12.75">
      <c r="A1042932" s="24"/>
      <c r="B1042932" s="24"/>
      <c r="C1042932" s="24"/>
      <c r="D1042932" s="24"/>
      <c r="E1042932" s="24"/>
      <c r="F1042932" s="24"/>
      <c r="G1042932" s="24"/>
      <c r="H1042932" s="24"/>
      <c r="I1042932" s="24"/>
      <c r="J1042932" s="24"/>
      <c r="K1042932" s="54"/>
    </row>
    <row r="1042933" spans="1:11" s="55" customFormat="1" ht="12.75">
      <c r="A1042933" s="24"/>
      <c r="B1042933" s="24"/>
      <c r="C1042933" s="24"/>
      <c r="D1042933" s="24"/>
      <c r="E1042933" s="24"/>
      <c r="F1042933" s="24"/>
      <c r="G1042933" s="24"/>
      <c r="H1042933" s="24"/>
      <c r="I1042933" s="24"/>
      <c r="J1042933" s="24"/>
      <c r="K1042933" s="54"/>
    </row>
    <row r="1042934" spans="1:11" s="55" customFormat="1" ht="12.75">
      <c r="A1042934" s="24"/>
      <c r="B1042934" s="24"/>
      <c r="C1042934" s="24"/>
      <c r="D1042934" s="24"/>
      <c r="E1042934" s="24"/>
      <c r="F1042934" s="24"/>
      <c r="G1042934" s="24"/>
      <c r="H1042934" s="24"/>
      <c r="I1042934" s="24"/>
      <c r="J1042934" s="24"/>
      <c r="K1042934" s="54"/>
    </row>
    <row r="1042935" spans="1:11" s="55" customFormat="1" ht="12.75">
      <c r="A1042935" s="24"/>
      <c r="B1042935" s="24"/>
      <c r="C1042935" s="24"/>
      <c r="D1042935" s="24"/>
      <c r="E1042935" s="24"/>
      <c r="F1042935" s="24"/>
      <c r="G1042935" s="24"/>
      <c r="H1042935" s="24"/>
      <c r="I1042935" s="24"/>
      <c r="J1042935" s="24"/>
      <c r="K1042935" s="54"/>
    </row>
    <row r="1042936" spans="1:11" s="55" customFormat="1" ht="12.75">
      <c r="A1042936" s="24"/>
      <c r="B1042936" s="24"/>
      <c r="C1042936" s="24"/>
      <c r="D1042936" s="24"/>
      <c r="E1042936" s="24"/>
      <c r="F1042936" s="24"/>
      <c r="G1042936" s="24"/>
      <c r="H1042936" s="24"/>
      <c r="I1042936" s="24"/>
      <c r="J1042936" s="24"/>
      <c r="K1042936" s="54"/>
    </row>
    <row r="1042937" spans="1:11" s="55" customFormat="1" ht="12.75">
      <c r="A1042937" s="24"/>
      <c r="B1042937" s="24"/>
      <c r="C1042937" s="24"/>
      <c r="D1042937" s="24"/>
      <c r="E1042937" s="24"/>
      <c r="F1042937" s="24"/>
      <c r="G1042937" s="24"/>
      <c r="H1042937" s="24"/>
      <c r="I1042937" s="24"/>
      <c r="J1042937" s="24"/>
      <c r="K1042937" s="54"/>
    </row>
    <row r="1042938" spans="1:11" s="55" customFormat="1" ht="12.75">
      <c r="A1042938" s="24"/>
      <c r="B1042938" s="24"/>
      <c r="C1042938" s="24"/>
      <c r="D1042938" s="24"/>
      <c r="E1042938" s="24"/>
      <c r="F1042938" s="24"/>
      <c r="G1042938" s="24"/>
      <c r="H1042938" s="24"/>
      <c r="I1042938" s="24"/>
      <c r="J1042938" s="24"/>
      <c r="K1042938" s="54"/>
    </row>
    <row r="1042939" spans="1:11" s="55" customFormat="1" ht="12.75">
      <c r="A1042939" s="24"/>
      <c r="B1042939" s="24"/>
      <c r="C1042939" s="24"/>
      <c r="D1042939" s="24"/>
      <c r="E1042939" s="24"/>
      <c r="F1042939" s="24"/>
      <c r="G1042939" s="24"/>
      <c r="H1042939" s="24"/>
      <c r="I1042939" s="24"/>
      <c r="J1042939" s="24"/>
      <c r="K1042939" s="54"/>
    </row>
    <row r="1042940" spans="1:11" s="55" customFormat="1" ht="12.75">
      <c r="A1042940" s="24"/>
      <c r="B1042940" s="24"/>
      <c r="C1042940" s="24"/>
      <c r="D1042940" s="24"/>
      <c r="E1042940" s="24"/>
      <c r="F1042940" s="24"/>
      <c r="G1042940" s="24"/>
      <c r="H1042940" s="24"/>
      <c r="I1042940" s="24"/>
      <c r="J1042940" s="24"/>
      <c r="K1042940" s="54"/>
    </row>
    <row r="1042941" spans="1:11" s="55" customFormat="1" ht="12.75">
      <c r="A1042941" s="24"/>
      <c r="B1042941" s="24"/>
      <c r="C1042941" s="24"/>
      <c r="D1042941" s="24"/>
      <c r="E1042941" s="24"/>
      <c r="F1042941" s="24"/>
      <c r="G1042941" s="24"/>
      <c r="H1042941" s="24"/>
      <c r="I1042941" s="24"/>
      <c r="J1042941" s="24"/>
      <c r="K1042941" s="54"/>
    </row>
    <row r="1042942" spans="1:11" s="55" customFormat="1" ht="12.75">
      <c r="A1042942" s="24"/>
      <c r="B1042942" s="24"/>
      <c r="C1042942" s="24"/>
      <c r="D1042942" s="24"/>
      <c r="E1042942" s="24"/>
      <c r="F1042942" s="24"/>
      <c r="G1042942" s="24"/>
      <c r="H1042942" s="24"/>
      <c r="I1042942" s="24"/>
      <c r="J1042942" s="24"/>
      <c r="K1042942" s="54"/>
    </row>
    <row r="1042943" spans="1:11" s="55" customFormat="1" ht="12.75">
      <c r="A1042943" s="24"/>
      <c r="B1042943" s="24"/>
      <c r="C1042943" s="24"/>
      <c r="D1042943" s="24"/>
      <c r="E1042943" s="24"/>
      <c r="F1042943" s="24"/>
      <c r="G1042943" s="24"/>
      <c r="H1042943" s="24"/>
      <c r="I1042943" s="24"/>
      <c r="J1042943" s="24"/>
      <c r="K1042943" s="54"/>
    </row>
    <row r="1042944" spans="1:11" s="55" customFormat="1" ht="12.75">
      <c r="A1042944" s="24"/>
      <c r="B1042944" s="24"/>
      <c r="C1042944" s="24"/>
      <c r="D1042944" s="24"/>
      <c r="E1042944" s="24"/>
      <c r="F1042944" s="24"/>
      <c r="G1042944" s="24"/>
      <c r="H1042944" s="24"/>
      <c r="I1042944" s="24"/>
      <c r="J1042944" s="24"/>
      <c r="K1042944" s="54"/>
    </row>
    <row r="1042945" spans="1:11" s="55" customFormat="1" ht="12.75">
      <c r="A1042945" s="24"/>
      <c r="B1042945" s="24"/>
      <c r="C1042945" s="24"/>
      <c r="D1042945" s="24"/>
      <c r="E1042945" s="24"/>
      <c r="F1042945" s="24"/>
      <c r="G1042945" s="24"/>
      <c r="H1042945" s="24"/>
      <c r="I1042945" s="24"/>
      <c r="J1042945" s="24"/>
      <c r="K1042945" s="54"/>
    </row>
    <row r="1042946" spans="1:11" s="55" customFormat="1" ht="12.75">
      <c r="A1042946" s="24"/>
      <c r="B1042946" s="24"/>
      <c r="C1042946" s="24"/>
      <c r="D1042946" s="24"/>
      <c r="E1042946" s="24"/>
      <c r="F1042946" s="24"/>
      <c r="G1042946" s="24"/>
      <c r="H1042946" s="24"/>
      <c r="I1042946" s="24"/>
      <c r="J1042946" s="24"/>
      <c r="K1042946" s="54"/>
    </row>
    <row r="1042947" spans="1:11" s="55" customFormat="1" ht="12.75">
      <c r="A1042947" s="24"/>
      <c r="B1042947" s="24"/>
      <c r="C1042947" s="24"/>
      <c r="D1042947" s="24"/>
      <c r="E1042947" s="24"/>
      <c r="F1042947" s="24"/>
      <c r="G1042947" s="24"/>
      <c r="H1042947" s="24"/>
      <c r="I1042947" s="24"/>
      <c r="J1042947" s="24"/>
      <c r="K1042947" s="54"/>
    </row>
    <row r="1042948" spans="1:11" s="55" customFormat="1" ht="12.75">
      <c r="A1042948" s="24"/>
      <c r="B1042948" s="24"/>
      <c r="C1042948" s="24"/>
      <c r="D1042948" s="24"/>
      <c r="E1042948" s="24"/>
      <c r="F1042948" s="24"/>
      <c r="G1042948" s="24"/>
      <c r="H1042948" s="24"/>
      <c r="I1042948" s="24"/>
      <c r="J1042948" s="24"/>
      <c r="K1042948" s="54"/>
    </row>
    <row r="1042949" spans="1:11" s="55" customFormat="1" ht="12.75">
      <c r="A1042949" s="24"/>
      <c r="B1042949" s="24"/>
      <c r="C1042949" s="24"/>
      <c r="D1042949" s="24"/>
      <c r="E1042949" s="24"/>
      <c r="F1042949" s="24"/>
      <c r="G1042949" s="24"/>
      <c r="H1042949" s="24"/>
      <c r="I1042949" s="24"/>
      <c r="J1042949" s="24"/>
      <c r="K1042949" s="54"/>
    </row>
    <row r="1042950" spans="1:11" s="55" customFormat="1" ht="12.75">
      <c r="A1042950" s="24"/>
      <c r="B1042950" s="24"/>
      <c r="C1042950" s="24"/>
      <c r="D1042950" s="24"/>
      <c r="E1042950" s="24"/>
      <c r="F1042950" s="24"/>
      <c r="G1042950" s="24"/>
      <c r="H1042950" s="24"/>
      <c r="I1042950" s="24"/>
      <c r="J1042950" s="24"/>
      <c r="K1042950" s="54"/>
    </row>
    <row r="1042951" spans="1:11" s="55" customFormat="1" ht="12.75">
      <c r="A1042951" s="24"/>
      <c r="B1042951" s="24"/>
      <c r="C1042951" s="24"/>
      <c r="D1042951" s="24"/>
      <c r="E1042951" s="24"/>
      <c r="F1042951" s="24"/>
      <c r="G1042951" s="24"/>
      <c r="H1042951" s="24"/>
      <c r="I1042951" s="24"/>
      <c r="J1042951" s="24"/>
      <c r="K1042951" s="54"/>
    </row>
    <row r="1042952" spans="1:11" s="55" customFormat="1" ht="12.75">
      <c r="A1042952" s="24"/>
      <c r="B1042952" s="24"/>
      <c r="C1042952" s="24"/>
      <c r="D1042952" s="24"/>
      <c r="E1042952" s="24"/>
      <c r="F1042952" s="24"/>
      <c r="G1042952" s="24"/>
      <c r="H1042952" s="24"/>
      <c r="I1042952" s="24"/>
      <c r="J1042952" s="24"/>
      <c r="K1042952" s="54"/>
    </row>
    <row r="1042953" spans="1:11" s="55" customFormat="1" ht="12.75">
      <c r="A1042953" s="24"/>
      <c r="B1042953" s="24"/>
      <c r="C1042953" s="24"/>
      <c r="D1042953" s="24"/>
      <c r="E1042953" s="24"/>
      <c r="F1042953" s="24"/>
      <c r="G1042953" s="24"/>
      <c r="H1042953" s="24"/>
      <c r="I1042953" s="24"/>
      <c r="J1042953" s="24"/>
      <c r="K1042953" s="54"/>
    </row>
    <row r="1042954" spans="1:11" s="55" customFormat="1" ht="12.75">
      <c r="A1042954" s="24"/>
      <c r="B1042954" s="24"/>
      <c r="C1042954" s="24"/>
      <c r="D1042954" s="24"/>
      <c r="E1042954" s="24"/>
      <c r="F1042954" s="24"/>
      <c r="G1042954" s="24"/>
      <c r="H1042954" s="24"/>
      <c r="I1042954" s="24"/>
      <c r="J1042954" s="24"/>
      <c r="K1042954" s="54"/>
    </row>
    <row r="1042955" spans="1:11" s="55" customFormat="1" ht="12.75">
      <c r="A1042955" s="24"/>
      <c r="B1042955" s="24"/>
      <c r="C1042955" s="24"/>
      <c r="D1042955" s="24"/>
      <c r="E1042955" s="24"/>
      <c r="F1042955" s="24"/>
      <c r="G1042955" s="24"/>
      <c r="H1042955" s="24"/>
      <c r="I1042955" s="24"/>
      <c r="J1042955" s="24"/>
      <c r="K1042955" s="54"/>
    </row>
    <row r="1042956" spans="1:11" s="55" customFormat="1" ht="12.75">
      <c r="A1042956" s="24"/>
      <c r="B1042956" s="24"/>
      <c r="C1042956" s="24"/>
      <c r="D1042956" s="24"/>
      <c r="E1042956" s="24"/>
      <c r="F1042956" s="24"/>
      <c r="G1042956" s="24"/>
      <c r="H1042956" s="24"/>
      <c r="I1042956" s="24"/>
      <c r="J1042956" s="24"/>
      <c r="K1042956" s="54"/>
    </row>
    <row r="1042957" spans="1:11" s="55" customFormat="1" ht="12.75">
      <c r="A1042957" s="24"/>
      <c r="B1042957" s="24"/>
      <c r="C1042957" s="24"/>
      <c r="D1042957" s="24"/>
      <c r="E1042957" s="24"/>
      <c r="F1042957" s="24"/>
      <c r="G1042957" s="24"/>
      <c r="H1042957" s="24"/>
      <c r="I1042957" s="24"/>
      <c r="J1042957" s="24"/>
      <c r="K1042957" s="54"/>
    </row>
    <row r="1042958" spans="1:11" s="55" customFormat="1" ht="12.75">
      <c r="A1042958" s="24"/>
      <c r="B1042958" s="24"/>
      <c r="C1042958" s="24"/>
      <c r="D1042958" s="24"/>
      <c r="E1042958" s="24"/>
      <c r="F1042958" s="24"/>
      <c r="G1042958" s="24"/>
      <c r="H1042958" s="24"/>
      <c r="I1042958" s="24"/>
      <c r="J1042958" s="24"/>
      <c r="K1042958" s="54"/>
    </row>
    <row r="1042959" spans="1:11" s="55" customFormat="1" ht="12.75">
      <c r="A1042959" s="24"/>
      <c r="B1042959" s="24"/>
      <c r="C1042959" s="24"/>
      <c r="D1042959" s="24"/>
      <c r="E1042959" s="24"/>
      <c r="F1042959" s="24"/>
      <c r="G1042959" s="24"/>
      <c r="H1042959" s="24"/>
      <c r="I1042959" s="24"/>
      <c r="J1042959" s="24"/>
      <c r="K1042959" s="54"/>
    </row>
    <row r="1042960" spans="1:11" s="55" customFormat="1" ht="12.75">
      <c r="A1042960" s="24"/>
      <c r="B1042960" s="24"/>
      <c r="C1042960" s="24"/>
      <c r="D1042960" s="24"/>
      <c r="E1042960" s="24"/>
      <c r="F1042960" s="24"/>
      <c r="G1042960" s="24"/>
      <c r="H1042960" s="24"/>
      <c r="I1042960" s="24"/>
      <c r="J1042960" s="24"/>
      <c r="K1042960" s="54"/>
    </row>
    <row r="1042961" spans="1:11" s="55" customFormat="1" ht="12.75">
      <c r="A1042961" s="24"/>
      <c r="B1042961" s="24"/>
      <c r="C1042961" s="24"/>
      <c r="D1042961" s="24"/>
      <c r="E1042961" s="24"/>
      <c r="F1042961" s="24"/>
      <c r="G1042961" s="24"/>
      <c r="H1042961" s="24"/>
      <c r="I1042961" s="24"/>
      <c r="J1042961" s="24"/>
      <c r="K1042961" s="54"/>
    </row>
    <row r="1042962" spans="1:11" s="55" customFormat="1" ht="12.75">
      <c r="A1042962" s="24"/>
      <c r="B1042962" s="24"/>
      <c r="C1042962" s="24"/>
      <c r="D1042962" s="24"/>
      <c r="E1042962" s="24"/>
      <c r="F1042962" s="24"/>
      <c r="G1042962" s="24"/>
      <c r="H1042962" s="24"/>
      <c r="I1042962" s="24"/>
      <c r="J1042962" s="24"/>
      <c r="K1042962" s="54"/>
    </row>
    <row r="1042963" spans="1:11" s="55" customFormat="1" ht="12.75">
      <c r="A1042963" s="24"/>
      <c r="B1042963" s="24"/>
      <c r="C1042963" s="24"/>
      <c r="D1042963" s="24"/>
      <c r="E1042963" s="24"/>
      <c r="F1042963" s="24"/>
      <c r="G1042963" s="24"/>
      <c r="H1042963" s="24"/>
      <c r="I1042963" s="24"/>
      <c r="J1042963" s="24"/>
      <c r="K1042963" s="54"/>
    </row>
    <row r="1042964" spans="1:11" s="55" customFormat="1" ht="12.75">
      <c r="A1042964" s="24"/>
      <c r="B1042964" s="24"/>
      <c r="C1042964" s="24"/>
      <c r="D1042964" s="24"/>
      <c r="E1042964" s="24"/>
      <c r="F1042964" s="24"/>
      <c r="G1042964" s="24"/>
      <c r="H1042964" s="24"/>
      <c r="I1042964" s="24"/>
      <c r="J1042964" s="24"/>
      <c r="K1042964" s="54"/>
    </row>
    <row r="1042965" spans="1:11" s="55" customFormat="1" ht="12.75">
      <c r="A1042965" s="24"/>
      <c r="B1042965" s="24"/>
      <c r="C1042965" s="24"/>
      <c r="D1042965" s="24"/>
      <c r="E1042965" s="24"/>
      <c r="F1042965" s="24"/>
      <c r="G1042965" s="24"/>
      <c r="H1042965" s="24"/>
      <c r="I1042965" s="24"/>
      <c r="J1042965" s="24"/>
      <c r="K1042965" s="54"/>
    </row>
    <row r="1042966" spans="1:11" s="55" customFormat="1" ht="12.75">
      <c r="A1042966" s="24"/>
      <c r="B1042966" s="24"/>
      <c r="C1042966" s="24"/>
      <c r="D1042966" s="24"/>
      <c r="E1042966" s="24"/>
      <c r="F1042966" s="24"/>
      <c r="G1042966" s="24"/>
      <c r="H1042966" s="24"/>
      <c r="I1042966" s="24"/>
      <c r="J1042966" s="24"/>
      <c r="K1042966" s="54"/>
    </row>
    <row r="1042967" spans="1:11" s="55" customFormat="1" ht="12.75">
      <c r="A1042967" s="24"/>
      <c r="B1042967" s="24"/>
      <c r="C1042967" s="24"/>
      <c r="D1042967" s="24"/>
      <c r="E1042967" s="24"/>
      <c r="F1042967" s="24"/>
      <c r="G1042967" s="24"/>
      <c r="H1042967" s="24"/>
      <c r="I1042967" s="24"/>
      <c r="J1042967" s="24"/>
      <c r="K1042967" s="54"/>
    </row>
    <row r="1042968" spans="1:11" s="55" customFormat="1" ht="12.75">
      <c r="A1042968" s="24"/>
      <c r="B1042968" s="24"/>
      <c r="C1042968" s="24"/>
      <c r="D1042968" s="24"/>
      <c r="E1042968" s="24"/>
      <c r="F1042968" s="24"/>
      <c r="G1042968" s="24"/>
      <c r="H1042968" s="24"/>
      <c r="I1042968" s="24"/>
      <c r="J1042968" s="24"/>
      <c r="K1042968" s="54"/>
    </row>
    <row r="1042969" spans="1:11" s="55" customFormat="1" ht="12.75">
      <c r="A1042969" s="24"/>
      <c r="B1042969" s="24"/>
      <c r="C1042969" s="24"/>
      <c r="D1042969" s="24"/>
      <c r="E1042969" s="24"/>
      <c r="F1042969" s="24"/>
      <c r="G1042969" s="24"/>
      <c r="H1042969" s="24"/>
      <c r="I1042969" s="24"/>
      <c r="J1042969" s="24"/>
      <c r="K1042969" s="54"/>
    </row>
    <row r="1042970" spans="1:11" s="55" customFormat="1" ht="12.75">
      <c r="A1042970" s="24"/>
      <c r="B1042970" s="24"/>
      <c r="C1042970" s="24"/>
      <c r="D1042970" s="24"/>
      <c r="E1042970" s="24"/>
      <c r="F1042970" s="24"/>
      <c r="G1042970" s="24"/>
      <c r="H1042970" s="24"/>
      <c r="I1042970" s="24"/>
      <c r="J1042970" s="24"/>
      <c r="K1042970" s="54"/>
    </row>
    <row r="1042971" spans="1:11" s="55" customFormat="1" ht="12.75">
      <c r="A1042971" s="24"/>
      <c r="B1042971" s="24"/>
      <c r="C1042971" s="24"/>
      <c r="D1042971" s="24"/>
      <c r="E1042971" s="24"/>
      <c r="F1042971" s="24"/>
      <c r="G1042971" s="24"/>
      <c r="H1042971" s="24"/>
      <c r="I1042971" s="24"/>
      <c r="J1042971" s="24"/>
      <c r="K1042971" s="54"/>
    </row>
    <row r="1042972" spans="1:11" s="55" customFormat="1" ht="12.75">
      <c r="A1042972" s="24"/>
      <c r="B1042972" s="24"/>
      <c r="C1042972" s="24"/>
      <c r="D1042972" s="24"/>
      <c r="E1042972" s="24"/>
      <c r="F1042972" s="24"/>
      <c r="G1042972" s="24"/>
      <c r="H1042972" s="24"/>
      <c r="I1042972" s="24"/>
      <c r="J1042972" s="24"/>
      <c r="K1042972" s="54"/>
    </row>
    <row r="1042973" spans="1:11" s="55" customFormat="1" ht="12.75">
      <c r="A1042973" s="24"/>
      <c r="B1042973" s="24"/>
      <c r="C1042973" s="24"/>
      <c r="D1042973" s="24"/>
      <c r="E1042973" s="24"/>
      <c r="F1042973" s="24"/>
      <c r="G1042973" s="24"/>
      <c r="H1042973" s="24"/>
      <c r="I1042973" s="24"/>
      <c r="J1042973" s="24"/>
      <c r="K1042973" s="54"/>
    </row>
    <row r="1042974" spans="1:11" s="55" customFormat="1" ht="12.75">
      <c r="A1042974" s="24"/>
      <c r="B1042974" s="24"/>
      <c r="C1042974" s="24"/>
      <c r="D1042974" s="24"/>
      <c r="E1042974" s="24"/>
      <c r="F1042974" s="24"/>
      <c r="G1042974" s="24"/>
      <c r="H1042974" s="24"/>
      <c r="I1042974" s="24"/>
      <c r="J1042974" s="24"/>
      <c r="K1042974" s="54"/>
    </row>
    <row r="1042975" spans="1:11" s="55" customFormat="1" ht="12.75">
      <c r="A1042975" s="24"/>
      <c r="B1042975" s="24"/>
      <c r="C1042975" s="24"/>
      <c r="D1042975" s="24"/>
      <c r="E1042975" s="24"/>
      <c r="F1042975" s="24"/>
      <c r="G1042975" s="24"/>
      <c r="H1042975" s="24"/>
      <c r="I1042975" s="24"/>
      <c r="J1042975" s="24"/>
      <c r="K1042975" s="54"/>
    </row>
    <row r="1042976" spans="1:11" s="55" customFormat="1" ht="12.75">
      <c r="A1042976" s="24"/>
      <c r="B1042976" s="24"/>
      <c r="C1042976" s="24"/>
      <c r="D1042976" s="24"/>
      <c r="E1042976" s="24"/>
      <c r="F1042976" s="24"/>
      <c r="G1042976" s="24"/>
      <c r="H1042976" s="24"/>
      <c r="I1042976" s="24"/>
      <c r="J1042976" s="24"/>
      <c r="K1042976" s="54"/>
    </row>
    <row r="1042977" spans="1:11" s="55" customFormat="1" ht="12.75">
      <c r="A1042977" s="24"/>
      <c r="B1042977" s="24"/>
      <c r="C1042977" s="24"/>
      <c r="D1042977" s="24"/>
      <c r="E1042977" s="24"/>
      <c r="F1042977" s="24"/>
      <c r="G1042977" s="24"/>
      <c r="H1042977" s="24"/>
      <c r="I1042977" s="24"/>
      <c r="J1042977" s="24"/>
      <c r="K1042977" s="54"/>
    </row>
    <row r="1042978" spans="1:11" s="55" customFormat="1" ht="12.75">
      <c r="A1042978" s="24"/>
      <c r="B1042978" s="24"/>
      <c r="C1042978" s="24"/>
      <c r="D1042978" s="24"/>
      <c r="E1042978" s="24"/>
      <c r="F1042978" s="24"/>
      <c r="G1042978" s="24"/>
      <c r="H1042978" s="24"/>
      <c r="I1042978" s="24"/>
      <c r="J1042978" s="24"/>
      <c r="K1042978" s="54"/>
    </row>
    <row r="1042979" spans="1:11" s="55" customFormat="1" ht="12.75">
      <c r="A1042979" s="24"/>
      <c r="B1042979" s="24"/>
      <c r="C1042979" s="24"/>
      <c r="D1042979" s="24"/>
      <c r="E1042979" s="24"/>
      <c r="F1042979" s="24"/>
      <c r="G1042979" s="24"/>
      <c r="H1042979" s="24"/>
      <c r="I1042979" s="24"/>
      <c r="J1042979" s="24"/>
      <c r="K1042979" s="54"/>
    </row>
    <row r="1042980" spans="1:11" s="55" customFormat="1" ht="12.75">
      <c r="A1042980" s="24"/>
      <c r="B1042980" s="24"/>
      <c r="C1042980" s="24"/>
      <c r="D1042980" s="24"/>
      <c r="E1042980" s="24"/>
      <c r="F1042980" s="24"/>
      <c r="G1042980" s="24"/>
      <c r="H1042980" s="24"/>
      <c r="I1042980" s="24"/>
      <c r="J1042980" s="24"/>
      <c r="K1042980" s="54"/>
    </row>
    <row r="1042981" spans="1:11" s="55" customFormat="1" ht="12.75">
      <c r="A1042981" s="24"/>
      <c r="B1042981" s="24"/>
      <c r="C1042981" s="24"/>
      <c r="D1042981" s="24"/>
      <c r="E1042981" s="24"/>
      <c r="F1042981" s="24"/>
      <c r="G1042981" s="24"/>
      <c r="H1042981" s="24"/>
      <c r="I1042981" s="24"/>
      <c r="J1042981" s="24"/>
      <c r="K1042981" s="54"/>
    </row>
    <row r="1042982" spans="1:11" s="55" customFormat="1" ht="12.75">
      <c r="A1042982" s="24"/>
      <c r="B1042982" s="24"/>
      <c r="C1042982" s="24"/>
      <c r="D1042982" s="24"/>
      <c r="E1042982" s="24"/>
      <c r="F1042982" s="24"/>
      <c r="G1042982" s="24"/>
      <c r="H1042982" s="24"/>
      <c r="I1042982" s="24"/>
      <c r="J1042982" s="24"/>
      <c r="K1042982" s="54"/>
    </row>
    <row r="1042983" spans="1:11" s="55" customFormat="1" ht="12.75">
      <c r="A1042983" s="24"/>
      <c r="B1042983" s="24"/>
      <c r="C1042983" s="24"/>
      <c r="D1042983" s="24"/>
      <c r="E1042983" s="24"/>
      <c r="F1042983" s="24"/>
      <c r="G1042983" s="24"/>
      <c r="H1042983" s="24"/>
      <c r="I1042983" s="24"/>
      <c r="J1042983" s="24"/>
      <c r="K1042983" s="54"/>
    </row>
    <row r="1042984" spans="1:11" s="55" customFormat="1" ht="12.75">
      <c r="A1042984" s="24"/>
      <c r="B1042984" s="24"/>
      <c r="C1042984" s="24"/>
      <c r="D1042984" s="24"/>
      <c r="E1042984" s="24"/>
      <c r="F1042984" s="24"/>
      <c r="G1042984" s="24"/>
      <c r="H1042984" s="24"/>
      <c r="I1042984" s="24"/>
      <c r="J1042984" s="24"/>
      <c r="K1042984" s="54"/>
    </row>
    <row r="1042985" spans="1:11" s="55" customFormat="1" ht="12.75">
      <c r="A1042985" s="24"/>
      <c r="B1042985" s="24"/>
      <c r="C1042985" s="24"/>
      <c r="D1042985" s="24"/>
      <c r="E1042985" s="24"/>
      <c r="F1042985" s="24"/>
      <c r="G1042985" s="24"/>
      <c r="H1042985" s="24"/>
      <c r="I1042985" s="24"/>
      <c r="J1042985" s="24"/>
      <c r="K1042985" s="54"/>
    </row>
    <row r="1042986" spans="1:11" s="55" customFormat="1" ht="12.75">
      <c r="A1042986" s="24"/>
      <c r="B1042986" s="24"/>
      <c r="C1042986" s="24"/>
      <c r="D1042986" s="24"/>
      <c r="E1042986" s="24"/>
      <c r="F1042986" s="24"/>
      <c r="G1042986" s="24"/>
      <c r="H1042986" s="24"/>
      <c r="I1042986" s="24"/>
      <c r="J1042986" s="24"/>
      <c r="K1042986" s="54"/>
    </row>
    <row r="1042987" spans="1:11" s="55" customFormat="1" ht="12.75">
      <c r="A1042987" s="24"/>
      <c r="B1042987" s="24"/>
      <c r="C1042987" s="24"/>
      <c r="D1042987" s="24"/>
      <c r="E1042987" s="24"/>
      <c r="F1042987" s="24"/>
      <c r="G1042987" s="24"/>
      <c r="H1042987" s="24"/>
      <c r="I1042987" s="24"/>
      <c r="J1042987" s="24"/>
      <c r="K1042987" s="54"/>
    </row>
    <row r="1042988" spans="1:11" s="55" customFormat="1" ht="12.75">
      <c r="A1042988" s="24"/>
      <c r="B1042988" s="24"/>
      <c r="C1042988" s="24"/>
      <c r="D1042988" s="24"/>
      <c r="E1042988" s="24"/>
      <c r="F1042988" s="24"/>
      <c r="G1042988" s="24"/>
      <c r="H1042988" s="24"/>
      <c r="I1042988" s="24"/>
      <c r="J1042988" s="24"/>
      <c r="K1042988" s="54"/>
    </row>
    <row r="1042989" spans="1:11" s="55" customFormat="1" ht="12.75">
      <c r="A1042989" s="24"/>
      <c r="B1042989" s="24"/>
      <c r="C1042989" s="24"/>
      <c r="D1042989" s="24"/>
      <c r="E1042989" s="24"/>
      <c r="F1042989" s="24"/>
      <c r="G1042989" s="24"/>
      <c r="H1042989" s="24"/>
      <c r="I1042989" s="24"/>
      <c r="J1042989" s="24"/>
      <c r="K1042989" s="54"/>
    </row>
    <row r="1042990" spans="1:11" s="55" customFormat="1" ht="12.75">
      <c r="A1042990" s="24"/>
      <c r="B1042990" s="24"/>
      <c r="C1042990" s="24"/>
      <c r="D1042990" s="24"/>
      <c r="E1042990" s="24"/>
      <c r="F1042990" s="24"/>
      <c r="G1042990" s="24"/>
      <c r="H1042990" s="24"/>
      <c r="I1042990" s="24"/>
      <c r="J1042990" s="24"/>
      <c r="K1042990" s="54"/>
    </row>
    <row r="1042991" spans="1:11" s="55" customFormat="1" ht="12.75">
      <c r="A1042991" s="24"/>
      <c r="B1042991" s="24"/>
      <c r="C1042991" s="24"/>
      <c r="D1042991" s="24"/>
      <c r="E1042991" s="24"/>
      <c r="F1042991" s="24"/>
      <c r="G1042991" s="24"/>
      <c r="H1042991" s="24"/>
      <c r="I1042991" s="24"/>
      <c r="J1042991" s="24"/>
      <c r="K1042991" s="54"/>
    </row>
    <row r="1042992" spans="1:11" s="55" customFormat="1" ht="12.75">
      <c r="A1042992" s="24"/>
      <c r="B1042992" s="24"/>
      <c r="C1042992" s="24"/>
      <c r="D1042992" s="24"/>
      <c r="E1042992" s="24"/>
      <c r="F1042992" s="24"/>
      <c r="G1042992" s="24"/>
      <c r="H1042992" s="24"/>
      <c r="I1042992" s="24"/>
      <c r="J1042992" s="24"/>
      <c r="K1042992" s="54"/>
    </row>
    <row r="1042993" spans="1:11" s="55" customFormat="1" ht="12.75">
      <c r="A1042993" s="24"/>
      <c r="B1042993" s="24"/>
      <c r="C1042993" s="24"/>
      <c r="D1042993" s="24"/>
      <c r="E1042993" s="24"/>
      <c r="F1042993" s="24"/>
      <c r="G1042993" s="24"/>
      <c r="H1042993" s="24"/>
      <c r="I1042993" s="24"/>
      <c r="J1042993" s="24"/>
      <c r="K1042993" s="54"/>
    </row>
    <row r="1042994" spans="1:11" s="55" customFormat="1" ht="12.75">
      <c r="A1042994" s="24"/>
      <c r="B1042994" s="24"/>
      <c r="C1042994" s="24"/>
      <c r="D1042994" s="24"/>
      <c r="E1042994" s="24"/>
      <c r="F1042994" s="24"/>
      <c r="G1042994" s="24"/>
      <c r="H1042994" s="24"/>
      <c r="I1042994" s="24"/>
      <c r="J1042994" s="24"/>
      <c r="K1042994" s="54"/>
    </row>
    <row r="1042995" spans="1:11" s="55" customFormat="1" ht="12.75">
      <c r="A1042995" s="24"/>
      <c r="B1042995" s="24"/>
      <c r="C1042995" s="24"/>
      <c r="D1042995" s="24"/>
      <c r="E1042995" s="24"/>
      <c r="F1042995" s="24"/>
      <c r="G1042995" s="24"/>
      <c r="H1042995" s="24"/>
      <c r="I1042995" s="24"/>
      <c r="J1042995" s="24"/>
      <c r="K1042995" s="54"/>
    </row>
    <row r="1042996" spans="1:11" s="55" customFormat="1" ht="12.75">
      <c r="A1042996" s="24"/>
      <c r="B1042996" s="24"/>
      <c r="C1042996" s="24"/>
      <c r="D1042996" s="24"/>
      <c r="E1042996" s="24"/>
      <c r="F1042996" s="24"/>
      <c r="G1042996" s="24"/>
      <c r="H1042996" s="24"/>
      <c r="I1042996" s="24"/>
      <c r="J1042996" s="24"/>
      <c r="K1042996" s="54"/>
    </row>
    <row r="1042997" spans="1:11" s="55" customFormat="1" ht="12.75">
      <c r="A1042997" s="24"/>
      <c r="B1042997" s="24"/>
      <c r="C1042997" s="24"/>
      <c r="D1042997" s="24"/>
      <c r="E1042997" s="24"/>
      <c r="F1042997" s="24"/>
      <c r="G1042997" s="24"/>
      <c r="H1042997" s="24"/>
      <c r="I1042997" s="24"/>
      <c r="J1042997" s="24"/>
      <c r="K1042997" s="54"/>
    </row>
    <row r="1042998" spans="1:11" s="55" customFormat="1" ht="12.75">
      <c r="A1042998" s="24"/>
      <c r="B1042998" s="24"/>
      <c r="C1042998" s="24"/>
      <c r="D1042998" s="24"/>
      <c r="E1042998" s="24"/>
      <c r="F1042998" s="24"/>
      <c r="G1042998" s="24"/>
      <c r="H1042998" s="24"/>
      <c r="I1042998" s="24"/>
      <c r="J1042998" s="24"/>
      <c r="K1042998" s="54"/>
    </row>
    <row r="1042999" spans="1:11" s="55" customFormat="1" ht="12.75">
      <c r="A1042999" s="24"/>
      <c r="B1042999" s="24"/>
      <c r="C1042999" s="24"/>
      <c r="D1042999" s="24"/>
      <c r="E1042999" s="24"/>
      <c r="F1042999" s="24"/>
      <c r="G1042999" s="24"/>
      <c r="H1042999" s="24"/>
      <c r="I1042999" s="24"/>
      <c r="J1042999" s="24"/>
      <c r="K1042999" s="54"/>
    </row>
    <row r="1043000" spans="1:11" s="55" customFormat="1" ht="12.75">
      <c r="A1043000" s="24"/>
      <c r="B1043000" s="24"/>
      <c r="C1043000" s="24"/>
      <c r="D1043000" s="24"/>
      <c r="E1043000" s="24"/>
      <c r="F1043000" s="24"/>
      <c r="G1043000" s="24"/>
      <c r="H1043000" s="24"/>
      <c r="I1043000" s="24"/>
      <c r="J1043000" s="24"/>
      <c r="K1043000" s="54"/>
    </row>
    <row r="1043001" spans="1:11" s="55" customFormat="1" ht="12.75">
      <c r="A1043001" s="24"/>
      <c r="B1043001" s="24"/>
      <c r="C1043001" s="24"/>
      <c r="D1043001" s="24"/>
      <c r="E1043001" s="24"/>
      <c r="F1043001" s="24"/>
      <c r="G1043001" s="24"/>
      <c r="H1043001" s="24"/>
      <c r="I1043001" s="24"/>
      <c r="J1043001" s="24"/>
      <c r="K1043001" s="54"/>
    </row>
    <row r="1043002" spans="1:11" s="55" customFormat="1" ht="12.75">
      <c r="A1043002" s="24"/>
      <c r="B1043002" s="24"/>
      <c r="C1043002" s="24"/>
      <c r="D1043002" s="24"/>
      <c r="E1043002" s="24"/>
      <c r="F1043002" s="24"/>
      <c r="G1043002" s="24"/>
      <c r="H1043002" s="24"/>
      <c r="I1043002" s="24"/>
      <c r="J1043002" s="24"/>
      <c r="K1043002" s="54"/>
    </row>
    <row r="1043003" spans="1:11" s="55" customFormat="1" ht="12.75">
      <c r="A1043003" s="24"/>
      <c r="B1043003" s="24"/>
      <c r="C1043003" s="24"/>
      <c r="D1043003" s="24"/>
      <c r="E1043003" s="24"/>
      <c r="F1043003" s="24"/>
      <c r="G1043003" s="24"/>
      <c r="H1043003" s="24"/>
      <c r="I1043003" s="24"/>
      <c r="J1043003" s="24"/>
      <c r="K1043003" s="54"/>
    </row>
    <row r="1043004" spans="1:11" s="55" customFormat="1" ht="12.75">
      <c r="A1043004" s="24"/>
      <c r="B1043004" s="24"/>
      <c r="C1043004" s="24"/>
      <c r="D1043004" s="24"/>
      <c r="E1043004" s="24"/>
      <c r="F1043004" s="24"/>
      <c r="G1043004" s="24"/>
      <c r="H1043004" s="24"/>
      <c r="I1043004" s="24"/>
      <c r="J1043004" s="24"/>
      <c r="K1043004" s="54"/>
    </row>
    <row r="1043005" spans="1:11" s="55" customFormat="1" ht="12.75">
      <c r="A1043005" s="24"/>
      <c r="B1043005" s="24"/>
      <c r="C1043005" s="24"/>
      <c r="D1043005" s="24"/>
      <c r="E1043005" s="24"/>
      <c r="F1043005" s="24"/>
      <c r="G1043005" s="24"/>
      <c r="H1043005" s="24"/>
      <c r="I1043005" s="24"/>
      <c r="J1043005" s="24"/>
      <c r="K1043005" s="54"/>
    </row>
    <row r="1043006" spans="1:11" s="55" customFormat="1" ht="12.75">
      <c r="A1043006" s="24"/>
      <c r="B1043006" s="24"/>
      <c r="C1043006" s="24"/>
      <c r="D1043006" s="24"/>
      <c r="E1043006" s="24"/>
      <c r="F1043006" s="24"/>
      <c r="G1043006" s="24"/>
      <c r="H1043006" s="24"/>
      <c r="I1043006" s="24"/>
      <c r="J1043006" s="24"/>
      <c r="K1043006" s="54"/>
    </row>
    <row r="1043007" spans="1:11" s="55" customFormat="1" ht="12.75">
      <c r="A1043007" s="24"/>
      <c r="B1043007" s="24"/>
      <c r="C1043007" s="24"/>
      <c r="D1043007" s="24"/>
      <c r="E1043007" s="24"/>
      <c r="F1043007" s="24"/>
      <c r="G1043007" s="24"/>
      <c r="H1043007" s="24"/>
      <c r="I1043007" s="24"/>
      <c r="J1043007" s="24"/>
      <c r="K1043007" s="54"/>
    </row>
    <row r="1043008" spans="1:11" s="55" customFormat="1" ht="12.75">
      <c r="A1043008" s="24"/>
      <c r="B1043008" s="24"/>
      <c r="C1043008" s="24"/>
      <c r="D1043008" s="24"/>
      <c r="E1043008" s="24"/>
      <c r="F1043008" s="24"/>
      <c r="G1043008" s="24"/>
      <c r="H1043008" s="24"/>
      <c r="I1043008" s="24"/>
      <c r="J1043008" s="24"/>
      <c r="K1043008" s="54"/>
    </row>
    <row r="1043009" spans="1:11" s="55" customFormat="1" ht="12.75">
      <c r="A1043009" s="24"/>
      <c r="B1043009" s="24"/>
      <c r="C1043009" s="24"/>
      <c r="D1043009" s="24"/>
      <c r="E1043009" s="24"/>
      <c r="F1043009" s="24"/>
      <c r="G1043009" s="24"/>
      <c r="H1043009" s="24"/>
      <c r="I1043009" s="24"/>
      <c r="J1043009" s="24"/>
      <c r="K1043009" s="54"/>
    </row>
    <row r="1043010" spans="1:11" s="55" customFormat="1" ht="12.75">
      <c r="A1043010" s="24"/>
      <c r="B1043010" s="24"/>
      <c r="C1043010" s="24"/>
      <c r="D1043010" s="24"/>
      <c r="E1043010" s="24"/>
      <c r="F1043010" s="24"/>
      <c r="G1043010" s="24"/>
      <c r="H1043010" s="24"/>
      <c r="I1043010" s="24"/>
      <c r="J1043010" s="24"/>
      <c r="K1043010" s="54"/>
    </row>
    <row r="1043011" spans="1:11" s="55" customFormat="1" ht="12.75">
      <c r="A1043011" s="24"/>
      <c r="B1043011" s="24"/>
      <c r="C1043011" s="24"/>
      <c r="D1043011" s="24"/>
      <c r="E1043011" s="24"/>
      <c r="F1043011" s="24"/>
      <c r="G1043011" s="24"/>
      <c r="H1043011" s="24"/>
      <c r="I1043011" s="24"/>
      <c r="J1043011" s="24"/>
      <c r="K1043011" s="54"/>
    </row>
    <row r="1043012" spans="1:11" s="55" customFormat="1" ht="12.75">
      <c r="A1043012" s="24"/>
      <c r="B1043012" s="24"/>
      <c r="C1043012" s="24"/>
      <c r="D1043012" s="24"/>
      <c r="E1043012" s="24"/>
      <c r="F1043012" s="24"/>
      <c r="G1043012" s="24"/>
      <c r="H1043012" s="24"/>
      <c r="I1043012" s="24"/>
      <c r="J1043012" s="24"/>
      <c r="K1043012" s="54"/>
    </row>
    <row r="1043013" spans="1:11" s="55" customFormat="1" ht="12.75">
      <c r="A1043013" s="24"/>
      <c r="B1043013" s="24"/>
      <c r="C1043013" s="24"/>
      <c r="D1043013" s="24"/>
      <c r="E1043013" s="24"/>
      <c r="F1043013" s="24"/>
      <c r="G1043013" s="24"/>
      <c r="H1043013" s="24"/>
      <c r="I1043013" s="24"/>
      <c r="J1043013" s="24"/>
      <c r="K1043013" s="54"/>
    </row>
    <row r="1043014" spans="1:11" s="55" customFormat="1" ht="12.75">
      <c r="A1043014" s="24"/>
      <c r="B1043014" s="24"/>
      <c r="C1043014" s="24"/>
      <c r="D1043014" s="24"/>
      <c r="E1043014" s="24"/>
      <c r="F1043014" s="24"/>
      <c r="G1043014" s="24"/>
      <c r="H1043014" s="24"/>
      <c r="I1043014" s="24"/>
      <c r="J1043014" s="24"/>
      <c r="K1043014" s="54"/>
    </row>
    <row r="1043015" spans="1:11" s="55" customFormat="1" ht="12.75">
      <c r="A1043015" s="24"/>
      <c r="B1043015" s="24"/>
      <c r="C1043015" s="24"/>
      <c r="D1043015" s="24"/>
      <c r="E1043015" s="24"/>
      <c r="F1043015" s="24"/>
      <c r="G1043015" s="24"/>
      <c r="H1043015" s="24"/>
      <c r="I1043015" s="24"/>
      <c r="J1043015" s="24"/>
      <c r="K1043015" s="54"/>
    </row>
    <row r="1043016" spans="1:11" s="55" customFormat="1" ht="12.75">
      <c r="A1043016" s="24"/>
      <c r="B1043016" s="24"/>
      <c r="C1043016" s="24"/>
      <c r="D1043016" s="24"/>
      <c r="E1043016" s="24"/>
      <c r="F1043016" s="24"/>
      <c r="G1043016" s="24"/>
      <c r="H1043016" s="24"/>
      <c r="I1043016" s="24"/>
      <c r="J1043016" s="24"/>
      <c r="K1043016" s="54"/>
    </row>
    <row r="1043017" spans="1:11" s="55" customFormat="1" ht="12.75">
      <c r="A1043017" s="24"/>
      <c r="B1043017" s="24"/>
      <c r="C1043017" s="24"/>
      <c r="D1043017" s="24"/>
      <c r="E1043017" s="24"/>
      <c r="F1043017" s="24"/>
      <c r="G1043017" s="24"/>
      <c r="H1043017" s="24"/>
      <c r="I1043017" s="24"/>
      <c r="J1043017" s="24"/>
      <c r="K1043017" s="54"/>
    </row>
    <row r="1043018" spans="1:11" s="55" customFormat="1" ht="12.75">
      <c r="A1043018" s="24"/>
      <c r="B1043018" s="24"/>
      <c r="C1043018" s="24"/>
      <c r="D1043018" s="24"/>
      <c r="E1043018" s="24"/>
      <c r="F1043018" s="24"/>
      <c r="G1043018" s="24"/>
      <c r="H1043018" s="24"/>
      <c r="I1043018" s="24"/>
      <c r="J1043018" s="24"/>
      <c r="K1043018" s="54"/>
    </row>
    <row r="1043019" spans="1:11" s="55" customFormat="1" ht="12.75">
      <c r="A1043019" s="24"/>
      <c r="B1043019" s="24"/>
      <c r="C1043019" s="24"/>
      <c r="D1043019" s="24"/>
      <c r="E1043019" s="24"/>
      <c r="F1043019" s="24"/>
      <c r="G1043019" s="24"/>
      <c r="H1043019" s="24"/>
      <c r="I1043019" s="24"/>
      <c r="J1043019" s="24"/>
      <c r="K1043019" s="54"/>
    </row>
    <row r="1043020" spans="1:11" s="55" customFormat="1" ht="12.75">
      <c r="A1043020" s="24"/>
      <c r="B1043020" s="24"/>
      <c r="C1043020" s="24"/>
      <c r="D1043020" s="24"/>
      <c r="E1043020" s="24"/>
      <c r="F1043020" s="24"/>
      <c r="G1043020" s="24"/>
      <c r="H1043020" s="24"/>
      <c r="I1043020" s="24"/>
      <c r="J1043020" s="24"/>
      <c r="K1043020" s="54"/>
    </row>
    <row r="1043021" spans="1:11" s="55" customFormat="1" ht="12.75">
      <c r="A1043021" s="24"/>
      <c r="B1043021" s="24"/>
      <c r="C1043021" s="24"/>
      <c r="D1043021" s="24"/>
      <c r="E1043021" s="24"/>
      <c r="F1043021" s="24"/>
      <c r="G1043021" s="24"/>
      <c r="H1043021" s="24"/>
      <c r="I1043021" s="24"/>
      <c r="J1043021" s="24"/>
      <c r="K1043021" s="54"/>
    </row>
    <row r="1043022" spans="1:11" s="55" customFormat="1" ht="12.75">
      <c r="A1043022" s="24"/>
      <c r="B1043022" s="24"/>
      <c r="C1043022" s="24"/>
      <c r="D1043022" s="24"/>
      <c r="E1043022" s="24"/>
      <c r="F1043022" s="24"/>
      <c r="G1043022" s="24"/>
      <c r="H1043022" s="24"/>
      <c r="I1043022" s="24"/>
      <c r="J1043022" s="24"/>
      <c r="K1043022" s="54"/>
    </row>
    <row r="1043023" spans="1:11" s="55" customFormat="1" ht="12.75">
      <c r="A1043023" s="24"/>
      <c r="B1043023" s="24"/>
      <c r="C1043023" s="24"/>
      <c r="D1043023" s="24"/>
      <c r="E1043023" s="24"/>
      <c r="F1043023" s="24"/>
      <c r="G1043023" s="24"/>
      <c r="H1043023" s="24"/>
      <c r="I1043023" s="24"/>
      <c r="J1043023" s="24"/>
      <c r="K1043023" s="54"/>
    </row>
    <row r="1043024" spans="1:11" s="55" customFormat="1" ht="12.75">
      <c r="A1043024" s="24"/>
      <c r="B1043024" s="24"/>
      <c r="C1043024" s="24"/>
      <c r="D1043024" s="24"/>
      <c r="E1043024" s="24"/>
      <c r="F1043024" s="24"/>
      <c r="G1043024" s="24"/>
      <c r="H1043024" s="24"/>
      <c r="I1043024" s="24"/>
      <c r="J1043024" s="24"/>
      <c r="K1043024" s="54"/>
    </row>
    <row r="1043025" spans="1:11" s="55" customFormat="1" ht="12.75">
      <c r="A1043025" s="24"/>
      <c r="B1043025" s="24"/>
      <c r="C1043025" s="24"/>
      <c r="D1043025" s="24"/>
      <c r="E1043025" s="24"/>
      <c r="F1043025" s="24"/>
      <c r="G1043025" s="24"/>
      <c r="H1043025" s="24"/>
      <c r="I1043025" s="24"/>
      <c r="J1043025" s="24"/>
      <c r="K1043025" s="54"/>
    </row>
    <row r="1043026" spans="1:11" s="55" customFormat="1" ht="12.75">
      <c r="A1043026" s="24"/>
      <c r="B1043026" s="24"/>
      <c r="C1043026" s="24"/>
      <c r="D1043026" s="24"/>
      <c r="E1043026" s="24"/>
      <c r="F1043026" s="24"/>
      <c r="G1043026" s="24"/>
      <c r="H1043026" s="24"/>
      <c r="I1043026" s="24"/>
      <c r="J1043026" s="24"/>
      <c r="K1043026" s="54"/>
    </row>
    <row r="1043027" spans="1:11" s="55" customFormat="1" ht="12.75">
      <c r="A1043027" s="24"/>
      <c r="B1043027" s="24"/>
      <c r="C1043027" s="24"/>
      <c r="D1043027" s="24"/>
      <c r="E1043027" s="24"/>
      <c r="F1043027" s="24"/>
      <c r="G1043027" s="24"/>
      <c r="H1043027" s="24"/>
      <c r="I1043027" s="24"/>
      <c r="J1043027" s="24"/>
      <c r="K1043027" s="54"/>
    </row>
    <row r="1043028" spans="1:11" s="55" customFormat="1" ht="12.75">
      <c r="A1043028" s="24"/>
      <c r="B1043028" s="24"/>
      <c r="C1043028" s="24"/>
      <c r="D1043028" s="24"/>
      <c r="E1043028" s="24"/>
      <c r="F1043028" s="24"/>
      <c r="G1043028" s="24"/>
      <c r="H1043028" s="24"/>
      <c r="I1043028" s="24"/>
      <c r="J1043028" s="24"/>
      <c r="K1043028" s="54"/>
    </row>
    <row r="1043029" spans="1:11" s="55" customFormat="1" ht="12.75">
      <c r="A1043029" s="24"/>
      <c r="B1043029" s="24"/>
      <c r="C1043029" s="24"/>
      <c r="D1043029" s="24"/>
      <c r="E1043029" s="24"/>
      <c r="F1043029" s="24"/>
      <c r="G1043029" s="24"/>
      <c r="H1043029" s="24"/>
      <c r="I1043029" s="24"/>
      <c r="J1043029" s="24"/>
      <c r="K1043029" s="54"/>
    </row>
    <row r="1043030" spans="1:11" s="55" customFormat="1" ht="12.75">
      <c r="A1043030" s="24"/>
      <c r="B1043030" s="24"/>
      <c r="C1043030" s="24"/>
      <c r="D1043030" s="24"/>
      <c r="E1043030" s="24"/>
      <c r="F1043030" s="24"/>
      <c r="G1043030" s="24"/>
      <c r="H1043030" s="24"/>
      <c r="I1043030" s="24"/>
      <c r="J1043030" s="24"/>
      <c r="K1043030" s="54"/>
    </row>
    <row r="1043031" spans="1:11" s="55" customFormat="1" ht="12.75">
      <c r="A1043031" s="24"/>
      <c r="B1043031" s="24"/>
      <c r="C1043031" s="24"/>
      <c r="D1043031" s="24"/>
      <c r="E1043031" s="24"/>
      <c r="F1043031" s="24"/>
      <c r="G1043031" s="24"/>
      <c r="H1043031" s="24"/>
      <c r="I1043031" s="24"/>
      <c r="J1043031" s="24"/>
      <c r="K1043031" s="54"/>
    </row>
    <row r="1043032" spans="1:11" s="55" customFormat="1" ht="12.75">
      <c r="A1043032" s="24"/>
      <c r="B1043032" s="24"/>
      <c r="C1043032" s="24"/>
      <c r="D1043032" s="24"/>
      <c r="E1043032" s="24"/>
      <c r="F1043032" s="24"/>
      <c r="G1043032" s="24"/>
      <c r="H1043032" s="24"/>
      <c r="I1043032" s="24"/>
      <c r="J1043032" s="24"/>
      <c r="K1043032" s="54"/>
    </row>
    <row r="1043033" spans="1:11" s="55" customFormat="1" ht="12.75">
      <c r="A1043033" s="24"/>
      <c r="B1043033" s="24"/>
      <c r="C1043033" s="24"/>
      <c r="D1043033" s="24"/>
      <c r="E1043033" s="24"/>
      <c r="F1043033" s="24"/>
      <c r="G1043033" s="24"/>
      <c r="H1043033" s="24"/>
      <c r="I1043033" s="24"/>
      <c r="J1043033" s="24"/>
      <c r="K1043033" s="54"/>
    </row>
    <row r="1043034" spans="1:11" s="55" customFormat="1" ht="12.75">
      <c r="A1043034" s="24"/>
      <c r="B1043034" s="24"/>
      <c r="C1043034" s="24"/>
      <c r="D1043034" s="24"/>
      <c r="E1043034" s="24"/>
      <c r="F1043034" s="24"/>
      <c r="G1043034" s="24"/>
      <c r="H1043034" s="24"/>
      <c r="I1043034" s="24"/>
      <c r="J1043034" s="24"/>
      <c r="K1043034" s="54"/>
    </row>
    <row r="1043035" spans="1:11" s="55" customFormat="1" ht="12.75">
      <c r="A1043035" s="24"/>
      <c r="B1043035" s="24"/>
      <c r="C1043035" s="24"/>
      <c r="D1043035" s="24"/>
      <c r="E1043035" s="24"/>
      <c r="F1043035" s="24"/>
      <c r="G1043035" s="24"/>
      <c r="H1043035" s="24"/>
      <c r="I1043035" s="24"/>
      <c r="J1043035" s="24"/>
      <c r="K1043035" s="54"/>
    </row>
    <row r="1043036" spans="1:11" s="55" customFormat="1" ht="12.75">
      <c r="A1043036" s="24"/>
      <c r="B1043036" s="24"/>
      <c r="C1043036" s="24"/>
      <c r="D1043036" s="24"/>
      <c r="E1043036" s="24"/>
      <c r="F1043036" s="24"/>
      <c r="G1043036" s="24"/>
      <c r="H1043036" s="24"/>
      <c r="I1043036" s="24"/>
      <c r="J1043036" s="24"/>
      <c r="K1043036" s="54"/>
    </row>
    <row r="1043037" spans="1:11" s="55" customFormat="1" ht="12.75">
      <c r="A1043037" s="24"/>
      <c r="B1043037" s="24"/>
      <c r="C1043037" s="24"/>
      <c r="D1043037" s="24"/>
      <c r="E1043037" s="24"/>
      <c r="F1043037" s="24"/>
      <c r="G1043037" s="24"/>
      <c r="H1043037" s="24"/>
      <c r="I1043037" s="24"/>
      <c r="J1043037" s="24"/>
      <c r="K1043037" s="54"/>
    </row>
    <row r="1043038" spans="1:11" s="55" customFormat="1" ht="12.75">
      <c r="A1043038" s="24"/>
      <c r="B1043038" s="24"/>
      <c r="C1043038" s="24"/>
      <c r="D1043038" s="24"/>
      <c r="E1043038" s="24"/>
      <c r="F1043038" s="24"/>
      <c r="G1043038" s="24"/>
      <c r="H1043038" s="24"/>
      <c r="I1043038" s="24"/>
      <c r="J1043038" s="24"/>
      <c r="K1043038" s="54"/>
    </row>
    <row r="1043039" spans="1:11" s="55" customFormat="1" ht="12.75">
      <c r="A1043039" s="24"/>
      <c r="B1043039" s="24"/>
      <c r="C1043039" s="24"/>
      <c r="D1043039" s="24"/>
      <c r="E1043039" s="24"/>
      <c r="F1043039" s="24"/>
      <c r="G1043039" s="24"/>
      <c r="H1043039" s="24"/>
      <c r="I1043039" s="24"/>
      <c r="J1043039" s="24"/>
      <c r="K1043039" s="54"/>
    </row>
    <row r="1043040" spans="1:11" s="55" customFormat="1" ht="12.75">
      <c r="A1043040" s="24"/>
      <c r="B1043040" s="24"/>
      <c r="C1043040" s="24"/>
      <c r="D1043040" s="24"/>
      <c r="E1043040" s="24"/>
      <c r="F1043040" s="24"/>
      <c r="G1043040" s="24"/>
      <c r="H1043040" s="24"/>
      <c r="I1043040" s="24"/>
      <c r="J1043040" s="24"/>
      <c r="K1043040" s="54"/>
    </row>
    <row r="1043041" spans="1:11" s="55" customFormat="1" ht="12.75">
      <c r="A1043041" s="24"/>
      <c r="B1043041" s="24"/>
      <c r="C1043041" s="24"/>
      <c r="D1043041" s="24"/>
      <c r="E1043041" s="24"/>
      <c r="F1043041" s="24"/>
      <c r="G1043041" s="24"/>
      <c r="H1043041" s="24"/>
      <c r="I1043041" s="24"/>
      <c r="J1043041" s="24"/>
      <c r="K1043041" s="54"/>
    </row>
    <row r="1043042" spans="1:11" s="55" customFormat="1" ht="12.75">
      <c r="A1043042" s="24"/>
      <c r="B1043042" s="24"/>
      <c r="C1043042" s="24"/>
      <c r="D1043042" s="24"/>
      <c r="E1043042" s="24"/>
      <c r="F1043042" s="24"/>
      <c r="G1043042" s="24"/>
      <c r="H1043042" s="24"/>
      <c r="I1043042" s="24"/>
      <c r="J1043042" s="24"/>
      <c r="K1043042" s="54"/>
    </row>
    <row r="1043043" spans="1:11" s="55" customFormat="1" ht="12.75">
      <c r="A1043043" s="24"/>
      <c r="B1043043" s="24"/>
      <c r="C1043043" s="24"/>
      <c r="D1043043" s="24"/>
      <c r="E1043043" s="24"/>
      <c r="F1043043" s="24"/>
      <c r="G1043043" s="24"/>
      <c r="H1043043" s="24"/>
      <c r="I1043043" s="24"/>
      <c r="J1043043" s="24"/>
      <c r="K1043043" s="54"/>
    </row>
    <row r="1043044" spans="1:11" s="55" customFormat="1" ht="12.75">
      <c r="A1043044" s="24"/>
      <c r="B1043044" s="24"/>
      <c r="C1043044" s="24"/>
      <c r="D1043044" s="24"/>
      <c r="E1043044" s="24"/>
      <c r="F1043044" s="24"/>
      <c r="G1043044" s="24"/>
      <c r="H1043044" s="24"/>
      <c r="I1043044" s="24"/>
      <c r="J1043044" s="24"/>
      <c r="K1043044" s="54"/>
    </row>
    <row r="1043045" spans="1:11" s="55" customFormat="1" ht="12.75">
      <c r="A1043045" s="24"/>
      <c r="B1043045" s="24"/>
      <c r="C1043045" s="24"/>
      <c r="D1043045" s="24"/>
      <c r="E1043045" s="24"/>
      <c r="F1043045" s="24"/>
      <c r="G1043045" s="24"/>
      <c r="H1043045" s="24"/>
      <c r="I1043045" s="24"/>
      <c r="J1043045" s="24"/>
      <c r="K1043045" s="54"/>
    </row>
    <row r="1043046" spans="1:11" s="55" customFormat="1" ht="12.75">
      <c r="A1043046" s="24"/>
      <c r="B1043046" s="24"/>
      <c r="C1043046" s="24"/>
      <c r="D1043046" s="24"/>
      <c r="E1043046" s="24"/>
      <c r="F1043046" s="24"/>
      <c r="G1043046" s="24"/>
      <c r="H1043046" s="24"/>
      <c r="I1043046" s="24"/>
      <c r="J1043046" s="24"/>
      <c r="K1043046" s="54"/>
    </row>
    <row r="1043047" spans="1:11" s="55" customFormat="1" ht="12.75">
      <c r="A1043047" s="24"/>
      <c r="B1043047" s="24"/>
      <c r="C1043047" s="24"/>
      <c r="D1043047" s="24"/>
      <c r="E1043047" s="24"/>
      <c r="F1043047" s="24"/>
      <c r="G1043047" s="24"/>
      <c r="H1043047" s="24"/>
      <c r="I1043047" s="24"/>
      <c r="J1043047" s="24"/>
      <c r="K1043047" s="54"/>
    </row>
    <row r="1043048" spans="1:11" s="55" customFormat="1" ht="12.75">
      <c r="A1043048" s="24"/>
      <c r="B1043048" s="24"/>
      <c r="C1043048" s="24"/>
      <c r="D1043048" s="24"/>
      <c r="E1043048" s="24"/>
      <c r="F1043048" s="24"/>
      <c r="G1043048" s="24"/>
      <c r="H1043048" s="24"/>
      <c r="I1043048" s="24"/>
      <c r="J1043048" s="24"/>
      <c r="K1043048" s="54"/>
    </row>
    <row r="1043049" spans="1:11" s="55" customFormat="1" ht="12.75">
      <c r="A1043049" s="24"/>
      <c r="B1043049" s="24"/>
      <c r="C1043049" s="24"/>
      <c r="D1043049" s="24"/>
      <c r="E1043049" s="24"/>
      <c r="F1043049" s="24"/>
      <c r="G1043049" s="24"/>
      <c r="H1043049" s="24"/>
      <c r="I1043049" s="24"/>
      <c r="J1043049" s="24"/>
      <c r="K1043049" s="54"/>
    </row>
    <row r="1043050" spans="1:11" s="55" customFormat="1" ht="12.75">
      <c r="A1043050" s="24"/>
      <c r="B1043050" s="24"/>
      <c r="C1043050" s="24"/>
      <c r="D1043050" s="24"/>
      <c r="E1043050" s="24"/>
      <c r="F1043050" s="24"/>
      <c r="G1043050" s="24"/>
      <c r="H1043050" s="24"/>
      <c r="I1043050" s="24"/>
      <c r="J1043050" s="24"/>
      <c r="K1043050" s="54"/>
    </row>
    <row r="1043051" spans="1:11" s="55" customFormat="1" ht="12.75">
      <c r="A1043051" s="24"/>
      <c r="B1043051" s="24"/>
      <c r="C1043051" s="24"/>
      <c r="D1043051" s="24"/>
      <c r="E1043051" s="24"/>
      <c r="F1043051" s="24"/>
      <c r="G1043051" s="24"/>
      <c r="H1043051" s="24"/>
      <c r="I1043051" s="24"/>
      <c r="J1043051" s="24"/>
      <c r="K1043051" s="54"/>
    </row>
    <row r="1043052" spans="1:11" s="55" customFormat="1" ht="12.75">
      <c r="A1043052" s="24"/>
      <c r="B1043052" s="24"/>
      <c r="C1043052" s="24"/>
      <c r="D1043052" s="24"/>
      <c r="E1043052" s="24"/>
      <c r="F1043052" s="24"/>
      <c r="G1043052" s="24"/>
      <c r="H1043052" s="24"/>
      <c r="I1043052" s="24"/>
      <c r="J1043052" s="24"/>
      <c r="K1043052" s="54"/>
    </row>
    <row r="1043053" spans="1:11" s="55" customFormat="1" ht="12.75">
      <c r="A1043053" s="24"/>
      <c r="B1043053" s="24"/>
      <c r="C1043053" s="24"/>
      <c r="D1043053" s="24"/>
      <c r="E1043053" s="24"/>
      <c r="F1043053" s="24"/>
      <c r="G1043053" s="24"/>
      <c r="H1043053" s="24"/>
      <c r="I1043053" s="24"/>
      <c r="J1043053" s="24"/>
      <c r="K1043053" s="54"/>
    </row>
    <row r="1043054" spans="1:11" s="55" customFormat="1" ht="12.75">
      <c r="A1043054" s="24"/>
      <c r="B1043054" s="24"/>
      <c r="C1043054" s="24"/>
      <c r="D1043054" s="24"/>
      <c r="E1043054" s="24"/>
      <c r="F1043054" s="24"/>
      <c r="G1043054" s="24"/>
      <c r="H1043054" s="24"/>
      <c r="I1043054" s="24"/>
      <c r="J1043054" s="24"/>
      <c r="K1043054" s="54"/>
    </row>
    <row r="1043055" spans="1:11" s="55" customFormat="1" ht="12.75">
      <c r="A1043055" s="24"/>
      <c r="B1043055" s="24"/>
      <c r="C1043055" s="24"/>
      <c r="D1043055" s="24"/>
      <c r="E1043055" s="24"/>
      <c r="F1043055" s="24"/>
      <c r="G1043055" s="24"/>
      <c r="H1043055" s="24"/>
      <c r="I1043055" s="24"/>
      <c r="J1043055" s="24"/>
      <c r="K1043055" s="54"/>
    </row>
    <row r="1043056" spans="1:11" s="55" customFormat="1" ht="12.75">
      <c r="A1043056" s="24"/>
      <c r="B1043056" s="24"/>
      <c r="C1043056" s="24"/>
      <c r="D1043056" s="24"/>
      <c r="E1043056" s="24"/>
      <c r="F1043056" s="24"/>
      <c r="G1043056" s="24"/>
      <c r="H1043056" s="24"/>
      <c r="I1043056" s="24"/>
      <c r="J1043056" s="24"/>
      <c r="K1043056" s="54"/>
    </row>
    <row r="1043057" spans="1:11" s="55" customFormat="1" ht="12.75">
      <c r="A1043057" s="24"/>
      <c r="B1043057" s="24"/>
      <c r="C1043057" s="24"/>
      <c r="D1043057" s="24"/>
      <c r="E1043057" s="24"/>
      <c r="F1043057" s="24"/>
      <c r="G1043057" s="24"/>
      <c r="H1043057" s="24"/>
      <c r="I1043057" s="24"/>
      <c r="J1043057" s="24"/>
      <c r="K1043057" s="54"/>
    </row>
    <row r="1043058" spans="1:11" s="55" customFormat="1" ht="12.75">
      <c r="A1043058" s="24"/>
      <c r="B1043058" s="24"/>
      <c r="C1043058" s="24"/>
      <c r="D1043058" s="24"/>
      <c r="E1043058" s="24"/>
      <c r="F1043058" s="24"/>
      <c r="G1043058" s="24"/>
      <c r="H1043058" s="24"/>
      <c r="I1043058" s="24"/>
      <c r="J1043058" s="24"/>
      <c r="K1043058" s="54"/>
    </row>
    <row r="1043059" spans="1:11" s="55" customFormat="1" ht="12.75">
      <c r="A1043059" s="24"/>
      <c r="B1043059" s="24"/>
      <c r="C1043059" s="24"/>
      <c r="D1043059" s="24"/>
      <c r="E1043059" s="24"/>
      <c r="F1043059" s="24"/>
      <c r="G1043059" s="24"/>
      <c r="H1043059" s="24"/>
      <c r="I1043059" s="24"/>
      <c r="J1043059" s="24"/>
      <c r="K1043059" s="54"/>
    </row>
    <row r="1043060" spans="1:11" s="55" customFormat="1" ht="12.75">
      <c r="A1043060" s="24"/>
      <c r="B1043060" s="24"/>
      <c r="C1043060" s="24"/>
      <c r="D1043060" s="24"/>
      <c r="E1043060" s="24"/>
      <c r="F1043060" s="24"/>
      <c r="G1043060" s="24"/>
      <c r="H1043060" s="24"/>
      <c r="I1043060" s="24"/>
      <c r="J1043060" s="24"/>
      <c r="K1043060" s="54"/>
    </row>
    <row r="1043061" spans="1:11" s="55" customFormat="1" ht="12.75">
      <c r="A1043061" s="24"/>
      <c r="B1043061" s="24"/>
      <c r="C1043061" s="24"/>
      <c r="D1043061" s="24"/>
      <c r="E1043061" s="24"/>
      <c r="F1043061" s="24"/>
      <c r="G1043061" s="24"/>
      <c r="H1043061" s="24"/>
      <c r="I1043061" s="24"/>
      <c r="J1043061" s="24"/>
      <c r="K1043061" s="54"/>
    </row>
    <row r="1043062" spans="1:11" s="55" customFormat="1" ht="12.75">
      <c r="A1043062" s="24"/>
      <c r="B1043062" s="24"/>
      <c r="C1043062" s="24"/>
      <c r="D1043062" s="24"/>
      <c r="E1043062" s="24"/>
      <c r="F1043062" s="24"/>
      <c r="G1043062" s="24"/>
      <c r="H1043062" s="24"/>
      <c r="I1043062" s="24"/>
      <c r="J1043062" s="24"/>
      <c r="K1043062" s="54"/>
    </row>
    <row r="1043063" spans="1:11" s="55" customFormat="1" ht="12.75">
      <c r="A1043063" s="24"/>
      <c r="B1043063" s="24"/>
      <c r="C1043063" s="24"/>
      <c r="D1043063" s="24"/>
      <c r="E1043063" s="24"/>
      <c r="F1043063" s="24"/>
      <c r="G1043063" s="24"/>
      <c r="H1043063" s="24"/>
      <c r="I1043063" s="24"/>
      <c r="J1043063" s="24"/>
      <c r="K1043063" s="54"/>
    </row>
    <row r="1043064" spans="1:11" s="55" customFormat="1" ht="12.75">
      <c r="A1043064" s="24"/>
      <c r="B1043064" s="24"/>
      <c r="C1043064" s="24"/>
      <c r="D1043064" s="24"/>
      <c r="E1043064" s="24"/>
      <c r="F1043064" s="24"/>
      <c r="G1043064" s="24"/>
      <c r="H1043064" s="24"/>
      <c r="I1043064" s="24"/>
      <c r="J1043064" s="24"/>
      <c r="K1043064" s="54"/>
    </row>
    <row r="1043065" spans="1:11" s="55" customFormat="1" ht="12.75">
      <c r="A1043065" s="24"/>
      <c r="B1043065" s="24"/>
      <c r="C1043065" s="24"/>
      <c r="D1043065" s="24"/>
      <c r="E1043065" s="24"/>
      <c r="F1043065" s="24"/>
      <c r="G1043065" s="24"/>
      <c r="H1043065" s="24"/>
      <c r="I1043065" s="24"/>
      <c r="J1043065" s="24"/>
      <c r="K1043065" s="54"/>
    </row>
    <row r="1043066" spans="1:11" s="55" customFormat="1" ht="12.75">
      <c r="A1043066" s="24"/>
      <c r="B1043066" s="24"/>
      <c r="C1043066" s="24"/>
      <c r="D1043066" s="24"/>
      <c r="E1043066" s="24"/>
      <c r="F1043066" s="24"/>
      <c r="G1043066" s="24"/>
      <c r="H1043066" s="24"/>
      <c r="I1043066" s="24"/>
      <c r="J1043066" s="24"/>
      <c r="K1043066" s="54"/>
    </row>
    <row r="1043067" spans="1:11" s="55" customFormat="1" ht="12.75">
      <c r="A1043067" s="24"/>
      <c r="B1043067" s="24"/>
      <c r="C1043067" s="24"/>
      <c r="D1043067" s="24"/>
      <c r="E1043067" s="24"/>
      <c r="F1043067" s="24"/>
      <c r="G1043067" s="24"/>
      <c r="H1043067" s="24"/>
      <c r="I1043067" s="24"/>
      <c r="J1043067" s="24"/>
      <c r="K1043067" s="54"/>
    </row>
    <row r="1043068" spans="1:11" s="55" customFormat="1" ht="12.75">
      <c r="A1043068" s="24"/>
      <c r="B1043068" s="24"/>
      <c r="C1043068" s="24"/>
      <c r="D1043068" s="24"/>
      <c r="E1043068" s="24"/>
      <c r="F1043068" s="24"/>
      <c r="G1043068" s="24"/>
      <c r="H1043068" s="24"/>
      <c r="I1043068" s="24"/>
      <c r="J1043068" s="24"/>
      <c r="K1043068" s="54"/>
    </row>
    <row r="1043069" spans="1:11" s="55" customFormat="1" ht="12.75">
      <c r="A1043069" s="24"/>
      <c r="B1043069" s="24"/>
      <c r="C1043069" s="24"/>
      <c r="D1043069" s="24"/>
      <c r="E1043069" s="24"/>
      <c r="F1043069" s="24"/>
      <c r="G1043069" s="24"/>
      <c r="H1043069" s="24"/>
      <c r="I1043069" s="24"/>
      <c r="J1043069" s="24"/>
      <c r="K1043069" s="54"/>
    </row>
    <row r="1043070" spans="1:11" s="55" customFormat="1" ht="12.75">
      <c r="A1043070" s="24"/>
      <c r="B1043070" s="24"/>
      <c r="C1043070" s="24"/>
      <c r="D1043070" s="24"/>
      <c r="E1043070" s="24"/>
      <c r="F1043070" s="24"/>
      <c r="G1043070" s="24"/>
      <c r="H1043070" s="24"/>
      <c r="I1043070" s="24"/>
      <c r="J1043070" s="24"/>
      <c r="K1043070" s="54"/>
    </row>
    <row r="1043071" spans="1:11" s="55" customFormat="1" ht="12.75">
      <c r="A1043071" s="24"/>
      <c r="B1043071" s="24"/>
      <c r="C1043071" s="24"/>
      <c r="D1043071" s="24"/>
      <c r="E1043071" s="24"/>
      <c r="F1043071" s="24"/>
      <c r="G1043071" s="24"/>
      <c r="H1043071" s="24"/>
      <c r="I1043071" s="24"/>
      <c r="J1043071" s="24"/>
      <c r="K1043071" s="54"/>
    </row>
    <row r="1043072" spans="1:11" s="55" customFormat="1" ht="12.75">
      <c r="A1043072" s="24"/>
      <c r="B1043072" s="24"/>
      <c r="C1043072" s="24"/>
      <c r="D1043072" s="24"/>
      <c r="E1043072" s="24"/>
      <c r="F1043072" s="24"/>
      <c r="G1043072" s="24"/>
      <c r="H1043072" s="24"/>
      <c r="I1043072" s="24"/>
      <c r="J1043072" s="24"/>
      <c r="K1043072" s="54"/>
    </row>
    <row r="1043073" spans="1:11" s="55" customFormat="1" ht="12.75">
      <c r="A1043073" s="24"/>
      <c r="B1043073" s="24"/>
      <c r="C1043073" s="24"/>
      <c r="D1043073" s="24"/>
      <c r="E1043073" s="24"/>
      <c r="F1043073" s="24"/>
      <c r="G1043073" s="24"/>
      <c r="H1043073" s="24"/>
      <c r="I1043073" s="24"/>
      <c r="J1043073" s="24"/>
      <c r="K1043073" s="54"/>
    </row>
    <row r="1043074" spans="1:11" s="55" customFormat="1" ht="12.75">
      <c r="A1043074" s="24"/>
      <c r="B1043074" s="24"/>
      <c r="C1043074" s="24"/>
      <c r="D1043074" s="24"/>
      <c r="E1043074" s="24"/>
      <c r="F1043074" s="24"/>
      <c r="G1043074" s="24"/>
      <c r="H1043074" s="24"/>
      <c r="I1043074" s="24"/>
      <c r="J1043074" s="24"/>
      <c r="K1043074" s="54"/>
    </row>
    <row r="1043075" spans="1:11" s="55" customFormat="1" ht="12.75">
      <c r="A1043075" s="24"/>
      <c r="B1043075" s="24"/>
      <c r="C1043075" s="24"/>
      <c r="D1043075" s="24"/>
      <c r="E1043075" s="24"/>
      <c r="F1043075" s="24"/>
      <c r="G1043075" s="24"/>
      <c r="H1043075" s="24"/>
      <c r="I1043075" s="24"/>
      <c r="J1043075" s="24"/>
      <c r="K1043075" s="54"/>
    </row>
    <row r="1043076" spans="1:11" s="55" customFormat="1" ht="12.75">
      <c r="A1043076" s="24"/>
      <c r="B1043076" s="24"/>
      <c r="C1043076" s="24"/>
      <c r="D1043076" s="24"/>
      <c r="E1043076" s="24"/>
      <c r="F1043076" s="24"/>
      <c r="G1043076" s="24"/>
      <c r="H1043076" s="24"/>
      <c r="I1043076" s="24"/>
      <c r="J1043076" s="24"/>
      <c r="K1043076" s="54"/>
    </row>
    <row r="1043077" spans="1:11" s="55" customFormat="1" ht="12.75">
      <c r="A1043077" s="24"/>
      <c r="B1043077" s="24"/>
      <c r="C1043077" s="24"/>
      <c r="D1043077" s="24"/>
      <c r="E1043077" s="24"/>
      <c r="F1043077" s="24"/>
      <c r="G1043077" s="24"/>
      <c r="H1043077" s="24"/>
      <c r="I1043077" s="24"/>
      <c r="J1043077" s="24"/>
      <c r="K1043077" s="54"/>
    </row>
    <row r="1043078" spans="1:11" s="55" customFormat="1" ht="12.75">
      <c r="A1043078" s="24"/>
      <c r="B1043078" s="24"/>
      <c r="C1043078" s="24"/>
      <c r="D1043078" s="24"/>
      <c r="E1043078" s="24"/>
      <c r="F1043078" s="24"/>
      <c r="G1043078" s="24"/>
      <c r="H1043078" s="24"/>
      <c r="I1043078" s="24"/>
      <c r="J1043078" s="24"/>
      <c r="K1043078" s="54"/>
    </row>
    <row r="1043079" spans="1:11" s="55" customFormat="1" ht="12.75">
      <c r="A1043079" s="24"/>
      <c r="B1043079" s="24"/>
      <c r="C1043079" s="24"/>
      <c r="D1043079" s="24"/>
      <c r="E1043079" s="24"/>
      <c r="F1043079" s="24"/>
      <c r="G1043079" s="24"/>
      <c r="H1043079" s="24"/>
      <c r="I1043079" s="24"/>
      <c r="J1043079" s="24"/>
      <c r="K1043079" s="54"/>
    </row>
    <row r="1043080" spans="1:11" s="55" customFormat="1" ht="12.75">
      <c r="A1043080" s="24"/>
      <c r="B1043080" s="24"/>
      <c r="C1043080" s="24"/>
      <c r="D1043080" s="24"/>
      <c r="E1043080" s="24"/>
      <c r="F1043080" s="24"/>
      <c r="G1043080" s="24"/>
      <c r="H1043080" s="24"/>
      <c r="I1043080" s="24"/>
      <c r="J1043080" s="24"/>
      <c r="K1043080" s="54"/>
    </row>
    <row r="1043081" spans="1:11" s="55" customFormat="1" ht="12.75">
      <c r="A1043081" s="24"/>
      <c r="B1043081" s="24"/>
      <c r="C1043081" s="24"/>
      <c r="D1043081" s="24"/>
      <c r="E1043081" s="24"/>
      <c r="F1043081" s="24"/>
      <c r="G1043081" s="24"/>
      <c r="H1043081" s="24"/>
      <c r="I1043081" s="24"/>
      <c r="J1043081" s="24"/>
      <c r="K1043081" s="54"/>
    </row>
    <row r="1043082" spans="1:11" s="55" customFormat="1" ht="12.75">
      <c r="A1043082" s="24"/>
      <c r="B1043082" s="24"/>
      <c r="C1043082" s="24"/>
      <c r="D1043082" s="24"/>
      <c r="E1043082" s="24"/>
      <c r="F1043082" s="24"/>
      <c r="G1043082" s="24"/>
      <c r="H1043082" s="24"/>
      <c r="I1043082" s="24"/>
      <c r="J1043082" s="24"/>
      <c r="K1043082" s="54"/>
    </row>
    <row r="1043083" spans="1:11" s="55" customFormat="1" ht="12.75">
      <c r="A1043083" s="24"/>
      <c r="B1043083" s="24"/>
      <c r="C1043083" s="24"/>
      <c r="D1043083" s="24"/>
      <c r="E1043083" s="24"/>
      <c r="F1043083" s="24"/>
      <c r="G1043083" s="24"/>
      <c r="H1043083" s="24"/>
      <c r="I1043083" s="24"/>
      <c r="J1043083" s="24"/>
      <c r="K1043083" s="54"/>
    </row>
    <row r="1043084" spans="1:11" s="55" customFormat="1" ht="12.75">
      <c r="A1043084" s="24"/>
      <c r="B1043084" s="24"/>
      <c r="C1043084" s="24"/>
      <c r="D1043084" s="24"/>
      <c r="E1043084" s="24"/>
      <c r="F1043084" s="24"/>
      <c r="G1043084" s="24"/>
      <c r="H1043084" s="24"/>
      <c r="I1043084" s="24"/>
      <c r="J1043084" s="24"/>
      <c r="K1043084" s="54"/>
    </row>
    <row r="1043085" spans="1:11" s="55" customFormat="1" ht="12.75">
      <c r="A1043085" s="24"/>
      <c r="B1043085" s="24"/>
      <c r="C1043085" s="24"/>
      <c r="D1043085" s="24"/>
      <c r="E1043085" s="24"/>
      <c r="F1043085" s="24"/>
      <c r="G1043085" s="24"/>
      <c r="H1043085" s="24"/>
      <c r="I1043085" s="24"/>
      <c r="J1043085" s="24"/>
      <c r="K1043085" s="54"/>
    </row>
    <row r="1043086" spans="1:11" s="55" customFormat="1" ht="12.75">
      <c r="A1043086" s="24"/>
      <c r="B1043086" s="24"/>
      <c r="C1043086" s="24"/>
      <c r="D1043086" s="24"/>
      <c r="E1043086" s="24"/>
      <c r="F1043086" s="24"/>
      <c r="G1043086" s="24"/>
      <c r="H1043086" s="24"/>
      <c r="I1043086" s="24"/>
      <c r="J1043086" s="24"/>
      <c r="K1043086" s="54"/>
    </row>
    <row r="1043087" spans="1:11" s="55" customFormat="1" ht="12.75">
      <c r="A1043087" s="24"/>
      <c r="B1043087" s="24"/>
      <c r="C1043087" s="24"/>
      <c r="D1043087" s="24"/>
      <c r="E1043087" s="24"/>
      <c r="F1043087" s="24"/>
      <c r="G1043087" s="24"/>
      <c r="H1043087" s="24"/>
      <c r="I1043087" s="24"/>
      <c r="J1043087" s="24"/>
      <c r="K1043087" s="54"/>
    </row>
    <row r="1043088" spans="1:11" s="55" customFormat="1" ht="12.75">
      <c r="A1043088" s="24"/>
      <c r="B1043088" s="24"/>
      <c r="C1043088" s="24"/>
      <c r="D1043088" s="24"/>
      <c r="E1043088" s="24"/>
      <c r="F1043088" s="24"/>
      <c r="G1043088" s="24"/>
      <c r="H1043088" s="24"/>
      <c r="I1043088" s="24"/>
      <c r="J1043088" s="24"/>
      <c r="K1043088" s="54"/>
    </row>
    <row r="1043089" spans="1:11" s="55" customFormat="1" ht="12.75">
      <c r="A1043089" s="24"/>
      <c r="B1043089" s="24"/>
      <c r="C1043089" s="24"/>
      <c r="D1043089" s="24"/>
      <c r="E1043089" s="24"/>
      <c r="F1043089" s="24"/>
      <c r="G1043089" s="24"/>
      <c r="H1043089" s="24"/>
      <c r="I1043089" s="24"/>
      <c r="J1043089" s="24"/>
      <c r="K1043089" s="54"/>
    </row>
    <row r="1043090" spans="1:11" s="55" customFormat="1" ht="12.75">
      <c r="A1043090" s="24"/>
      <c r="B1043090" s="24"/>
      <c r="C1043090" s="24"/>
      <c r="D1043090" s="24"/>
      <c r="E1043090" s="24"/>
      <c r="F1043090" s="24"/>
      <c r="G1043090" s="24"/>
      <c r="H1043090" s="24"/>
      <c r="I1043090" s="24"/>
      <c r="J1043090" s="24"/>
      <c r="K1043090" s="54"/>
    </row>
    <row r="1043091" spans="1:11" s="55" customFormat="1" ht="12.75">
      <c r="A1043091" s="24"/>
      <c r="B1043091" s="24"/>
      <c r="C1043091" s="24"/>
      <c r="D1043091" s="24"/>
      <c r="E1043091" s="24"/>
      <c r="F1043091" s="24"/>
      <c r="G1043091" s="24"/>
      <c r="H1043091" s="24"/>
      <c r="I1043091" s="24"/>
      <c r="J1043091" s="24"/>
      <c r="K1043091" s="54"/>
    </row>
    <row r="1043092" spans="1:11" s="55" customFormat="1" ht="12.75">
      <c r="A1043092" s="24"/>
      <c r="B1043092" s="24"/>
      <c r="C1043092" s="24"/>
      <c r="D1043092" s="24"/>
      <c r="E1043092" s="24"/>
      <c r="F1043092" s="24"/>
      <c r="G1043092" s="24"/>
      <c r="H1043092" s="24"/>
      <c r="I1043092" s="24"/>
      <c r="J1043092" s="24"/>
      <c r="K1043092" s="54"/>
    </row>
    <row r="1043093" spans="1:11" s="55" customFormat="1" ht="12.75">
      <c r="A1043093" s="24"/>
      <c r="B1043093" s="24"/>
      <c r="C1043093" s="24"/>
      <c r="D1043093" s="24"/>
      <c r="E1043093" s="24"/>
      <c r="F1043093" s="24"/>
      <c r="G1043093" s="24"/>
      <c r="H1043093" s="24"/>
      <c r="I1043093" s="24"/>
      <c r="J1043093" s="24"/>
      <c r="K1043093" s="54"/>
    </row>
    <row r="1043094" spans="1:11" s="55" customFormat="1" ht="12.75">
      <c r="A1043094" s="24"/>
      <c r="B1043094" s="24"/>
      <c r="C1043094" s="24"/>
      <c r="D1043094" s="24"/>
      <c r="E1043094" s="24"/>
      <c r="F1043094" s="24"/>
      <c r="G1043094" s="24"/>
      <c r="H1043094" s="24"/>
      <c r="I1043094" s="24"/>
      <c r="J1043094" s="24"/>
      <c r="K1043094" s="54"/>
    </row>
    <row r="1043095" spans="1:11" s="55" customFormat="1" ht="12.75">
      <c r="A1043095" s="24"/>
      <c r="B1043095" s="24"/>
      <c r="C1043095" s="24"/>
      <c r="D1043095" s="24"/>
      <c r="E1043095" s="24"/>
      <c r="F1043095" s="24"/>
      <c r="G1043095" s="24"/>
      <c r="H1043095" s="24"/>
      <c r="I1043095" s="24"/>
      <c r="J1043095" s="24"/>
      <c r="K1043095" s="54"/>
    </row>
    <row r="1043096" spans="1:11" s="55" customFormat="1" ht="12.75">
      <c r="A1043096" s="24"/>
      <c r="B1043096" s="24"/>
      <c r="C1043096" s="24"/>
      <c r="D1043096" s="24"/>
      <c r="E1043096" s="24"/>
      <c r="F1043096" s="24"/>
      <c r="G1043096" s="24"/>
      <c r="H1043096" s="24"/>
      <c r="I1043096" s="24"/>
      <c r="J1043096" s="24"/>
      <c r="K1043096" s="54"/>
    </row>
    <row r="1043097" spans="1:11" s="55" customFormat="1" ht="12.75">
      <c r="A1043097" s="24"/>
      <c r="B1043097" s="24"/>
      <c r="C1043097" s="24"/>
      <c r="D1043097" s="24"/>
      <c r="E1043097" s="24"/>
      <c r="F1043097" s="24"/>
      <c r="G1043097" s="24"/>
      <c r="H1043097" s="24"/>
      <c r="I1043097" s="24"/>
      <c r="J1043097" s="24"/>
      <c r="K1043097" s="54"/>
    </row>
    <row r="1043098" spans="1:11" s="55" customFormat="1" ht="12.75">
      <c r="A1043098" s="24"/>
      <c r="B1043098" s="24"/>
      <c r="C1043098" s="24"/>
      <c r="D1043098" s="24"/>
      <c r="E1043098" s="24"/>
      <c r="F1043098" s="24"/>
      <c r="G1043098" s="24"/>
      <c r="H1043098" s="24"/>
      <c r="I1043098" s="24"/>
      <c r="J1043098" s="24"/>
      <c r="K1043098" s="54"/>
    </row>
    <row r="1043099" spans="1:11" s="55" customFormat="1" ht="12.75">
      <c r="A1043099" s="24"/>
      <c r="B1043099" s="24"/>
      <c r="C1043099" s="24"/>
      <c r="D1043099" s="24"/>
      <c r="E1043099" s="24"/>
      <c r="F1043099" s="24"/>
      <c r="G1043099" s="24"/>
      <c r="H1043099" s="24"/>
      <c r="I1043099" s="24"/>
      <c r="J1043099" s="24"/>
      <c r="K1043099" s="54"/>
    </row>
    <row r="1043100" spans="1:11" s="55" customFormat="1" ht="12.75">
      <c r="A1043100" s="24"/>
      <c r="B1043100" s="24"/>
      <c r="C1043100" s="24"/>
      <c r="D1043100" s="24"/>
      <c r="E1043100" s="24"/>
      <c r="F1043100" s="24"/>
      <c r="G1043100" s="24"/>
      <c r="H1043100" s="24"/>
      <c r="I1043100" s="24"/>
      <c r="J1043100" s="24"/>
      <c r="K1043100" s="54"/>
    </row>
    <row r="1043101" spans="1:11" s="55" customFormat="1" ht="12.75">
      <c r="A1043101" s="24"/>
      <c r="B1043101" s="24"/>
      <c r="C1043101" s="24"/>
      <c r="D1043101" s="24"/>
      <c r="E1043101" s="24"/>
      <c r="F1043101" s="24"/>
      <c r="G1043101" s="24"/>
      <c r="H1043101" s="24"/>
      <c r="I1043101" s="24"/>
      <c r="J1043101" s="24"/>
      <c r="K1043101" s="54"/>
    </row>
    <row r="1043102" spans="1:11" s="55" customFormat="1" ht="12.75">
      <c r="A1043102" s="24"/>
      <c r="B1043102" s="24"/>
      <c r="C1043102" s="24"/>
      <c r="D1043102" s="24"/>
      <c r="E1043102" s="24"/>
      <c r="F1043102" s="24"/>
      <c r="G1043102" s="24"/>
      <c r="H1043102" s="24"/>
      <c r="I1043102" s="24"/>
      <c r="J1043102" s="24"/>
      <c r="K1043102" s="54"/>
    </row>
    <row r="1043103" spans="1:11" s="55" customFormat="1" ht="12.75">
      <c r="A1043103" s="24"/>
      <c r="B1043103" s="24"/>
      <c r="C1043103" s="24"/>
      <c r="D1043103" s="24"/>
      <c r="E1043103" s="24"/>
      <c r="F1043103" s="24"/>
      <c r="G1043103" s="24"/>
      <c r="H1043103" s="24"/>
      <c r="I1043103" s="24"/>
      <c r="J1043103" s="24"/>
      <c r="K1043103" s="54"/>
    </row>
    <row r="1043104" spans="1:11" s="55" customFormat="1" ht="12.75">
      <c r="A1043104" s="24"/>
      <c r="B1043104" s="24"/>
      <c r="C1043104" s="24"/>
      <c r="D1043104" s="24"/>
      <c r="E1043104" s="24"/>
      <c r="F1043104" s="24"/>
      <c r="G1043104" s="24"/>
      <c r="H1043104" s="24"/>
      <c r="I1043104" s="24"/>
      <c r="J1043104" s="24"/>
      <c r="K1043104" s="54"/>
    </row>
    <row r="1043105" spans="1:11" s="55" customFormat="1" ht="12.75">
      <c r="A1043105" s="24"/>
      <c r="B1043105" s="24"/>
      <c r="C1043105" s="24"/>
      <c r="D1043105" s="24"/>
      <c r="E1043105" s="24"/>
      <c r="F1043105" s="24"/>
      <c r="G1043105" s="24"/>
      <c r="H1043105" s="24"/>
      <c r="I1043105" s="24"/>
      <c r="J1043105" s="24"/>
      <c r="K1043105" s="54"/>
    </row>
    <row r="1043106" spans="1:11" s="55" customFormat="1" ht="12.75">
      <c r="A1043106" s="24"/>
      <c r="B1043106" s="24"/>
      <c r="C1043106" s="24"/>
      <c r="D1043106" s="24"/>
      <c r="E1043106" s="24"/>
      <c r="F1043106" s="24"/>
      <c r="G1043106" s="24"/>
      <c r="H1043106" s="24"/>
      <c r="I1043106" s="24"/>
      <c r="J1043106" s="24"/>
      <c r="K1043106" s="54"/>
    </row>
    <row r="1043107" spans="1:11" s="55" customFormat="1" ht="12.75">
      <c r="A1043107" s="24"/>
      <c r="B1043107" s="24"/>
      <c r="C1043107" s="24"/>
      <c r="D1043107" s="24"/>
      <c r="E1043107" s="24"/>
      <c r="F1043107" s="24"/>
      <c r="G1043107" s="24"/>
      <c r="H1043107" s="24"/>
      <c r="I1043107" s="24"/>
      <c r="J1043107" s="24"/>
      <c r="K1043107" s="54"/>
    </row>
    <row r="1043108" spans="1:11" s="55" customFormat="1" ht="12.75">
      <c r="A1043108" s="24"/>
      <c r="B1043108" s="24"/>
      <c r="C1043108" s="24"/>
      <c r="D1043108" s="24"/>
      <c r="E1043108" s="24"/>
      <c r="F1043108" s="24"/>
      <c r="G1043108" s="24"/>
      <c r="H1043108" s="24"/>
      <c r="I1043108" s="24"/>
      <c r="J1043108" s="24"/>
      <c r="K1043108" s="54"/>
    </row>
    <row r="1043109" spans="1:11" s="55" customFormat="1" ht="12.75">
      <c r="A1043109" s="24"/>
      <c r="B1043109" s="24"/>
      <c r="C1043109" s="24"/>
      <c r="D1043109" s="24"/>
      <c r="E1043109" s="24"/>
      <c r="F1043109" s="24"/>
      <c r="G1043109" s="24"/>
      <c r="H1043109" s="24"/>
      <c r="I1043109" s="24"/>
      <c r="J1043109" s="24"/>
      <c r="K1043109" s="54"/>
    </row>
    <row r="1043110" spans="1:11" s="55" customFormat="1" ht="12.75">
      <c r="A1043110" s="24"/>
      <c r="B1043110" s="24"/>
      <c r="C1043110" s="24"/>
      <c r="D1043110" s="24"/>
      <c r="E1043110" s="24"/>
      <c r="F1043110" s="24"/>
      <c r="G1043110" s="24"/>
      <c r="H1043110" s="24"/>
      <c r="I1043110" s="24"/>
      <c r="J1043110" s="24"/>
      <c r="K1043110" s="54"/>
    </row>
    <row r="1043111" spans="1:11" s="55" customFormat="1" ht="12.75">
      <c r="A1043111" s="24"/>
      <c r="B1043111" s="24"/>
      <c r="C1043111" s="24"/>
      <c r="D1043111" s="24"/>
      <c r="E1043111" s="24"/>
      <c r="F1043111" s="24"/>
      <c r="G1043111" s="24"/>
      <c r="H1043111" s="24"/>
      <c r="I1043111" s="24"/>
      <c r="J1043111" s="24"/>
      <c r="K1043111" s="54"/>
    </row>
    <row r="1043112" spans="1:11" s="55" customFormat="1" ht="12.75">
      <c r="A1043112" s="24"/>
      <c r="B1043112" s="24"/>
      <c r="C1043112" s="24"/>
      <c r="D1043112" s="24"/>
      <c r="E1043112" s="24"/>
      <c r="F1043112" s="24"/>
      <c r="G1043112" s="24"/>
      <c r="H1043112" s="24"/>
      <c r="I1043112" s="24"/>
      <c r="J1043112" s="24"/>
      <c r="K1043112" s="54"/>
    </row>
    <row r="1043113" spans="1:11" s="55" customFormat="1" ht="12.75">
      <c r="A1043113" s="24"/>
      <c r="B1043113" s="24"/>
      <c r="C1043113" s="24"/>
      <c r="D1043113" s="24"/>
      <c r="E1043113" s="24"/>
      <c r="F1043113" s="24"/>
      <c r="G1043113" s="24"/>
      <c r="H1043113" s="24"/>
      <c r="I1043113" s="24"/>
      <c r="J1043113" s="24"/>
      <c r="K1043113" s="54"/>
    </row>
    <row r="1043114" spans="1:11" s="55" customFormat="1" ht="12.75">
      <c r="A1043114" s="24"/>
      <c r="B1043114" s="24"/>
      <c r="C1043114" s="24"/>
      <c r="D1043114" s="24"/>
      <c r="E1043114" s="24"/>
      <c r="F1043114" s="24"/>
      <c r="G1043114" s="24"/>
      <c r="H1043114" s="24"/>
      <c r="I1043114" s="24"/>
      <c r="J1043114" s="24"/>
      <c r="K1043114" s="54"/>
    </row>
    <row r="1043115" spans="1:11" s="55" customFormat="1" ht="12.75">
      <c r="A1043115" s="24"/>
      <c r="B1043115" s="24"/>
      <c r="C1043115" s="24"/>
      <c r="D1043115" s="24"/>
      <c r="E1043115" s="24"/>
      <c r="F1043115" s="24"/>
      <c r="G1043115" s="24"/>
      <c r="H1043115" s="24"/>
      <c r="I1043115" s="24"/>
      <c r="J1043115" s="24"/>
      <c r="K1043115" s="54"/>
    </row>
    <row r="1043116" spans="1:11" s="55" customFormat="1" ht="12.75">
      <c r="A1043116" s="24"/>
      <c r="B1043116" s="24"/>
      <c r="C1043116" s="24"/>
      <c r="D1043116" s="24"/>
      <c r="E1043116" s="24"/>
      <c r="F1043116" s="24"/>
      <c r="G1043116" s="24"/>
      <c r="H1043116" s="24"/>
      <c r="I1043116" s="24"/>
      <c r="J1043116" s="24"/>
      <c r="K1043116" s="54"/>
    </row>
    <row r="1043117" spans="1:11" s="55" customFormat="1" ht="12.75">
      <c r="A1043117" s="24"/>
      <c r="B1043117" s="24"/>
      <c r="C1043117" s="24"/>
      <c r="D1043117" s="24"/>
      <c r="E1043117" s="24"/>
      <c r="F1043117" s="24"/>
      <c r="G1043117" s="24"/>
      <c r="H1043117" s="24"/>
      <c r="I1043117" s="24"/>
      <c r="J1043117" s="24"/>
      <c r="K1043117" s="54"/>
    </row>
    <row r="1043118" spans="1:11" s="55" customFormat="1" ht="12.75">
      <c r="A1043118" s="24"/>
      <c r="B1043118" s="24"/>
      <c r="C1043118" s="24"/>
      <c r="D1043118" s="24"/>
      <c r="E1043118" s="24"/>
      <c r="F1043118" s="24"/>
      <c r="G1043118" s="24"/>
      <c r="H1043118" s="24"/>
      <c r="I1043118" s="24"/>
      <c r="J1043118" s="24"/>
      <c r="K1043118" s="54"/>
    </row>
    <row r="1043119" spans="1:11" s="55" customFormat="1" ht="12.75">
      <c r="A1043119" s="24"/>
      <c r="B1043119" s="24"/>
      <c r="C1043119" s="24"/>
      <c r="D1043119" s="24"/>
      <c r="E1043119" s="24"/>
      <c r="F1043119" s="24"/>
      <c r="G1043119" s="24"/>
      <c r="H1043119" s="24"/>
      <c r="I1043119" s="24"/>
      <c r="J1043119" s="24"/>
      <c r="K1043119" s="54"/>
    </row>
    <row r="1043120" spans="1:11" s="55" customFormat="1" ht="12.75">
      <c r="A1043120" s="24"/>
      <c r="B1043120" s="24"/>
      <c r="C1043120" s="24"/>
      <c r="D1043120" s="24"/>
      <c r="E1043120" s="24"/>
      <c r="F1043120" s="24"/>
      <c r="G1043120" s="24"/>
      <c r="H1043120" s="24"/>
      <c r="I1043120" s="24"/>
      <c r="J1043120" s="24"/>
      <c r="K1043120" s="54"/>
    </row>
    <row r="1043121" spans="1:11" s="55" customFormat="1" ht="12.75">
      <c r="A1043121" s="24"/>
      <c r="B1043121" s="24"/>
      <c r="C1043121" s="24"/>
      <c r="D1043121" s="24"/>
      <c r="E1043121" s="24"/>
      <c r="F1043121" s="24"/>
      <c r="G1043121" s="24"/>
      <c r="H1043121" s="24"/>
      <c r="I1043121" s="24"/>
      <c r="J1043121" s="24"/>
      <c r="K1043121" s="54"/>
    </row>
    <row r="1043122" spans="1:11" s="55" customFormat="1" ht="12.75">
      <c r="A1043122" s="24"/>
      <c r="B1043122" s="24"/>
      <c r="C1043122" s="24"/>
      <c r="D1043122" s="24"/>
      <c r="E1043122" s="24"/>
      <c r="F1043122" s="24"/>
      <c r="G1043122" s="24"/>
      <c r="H1043122" s="24"/>
      <c r="I1043122" s="24"/>
      <c r="J1043122" s="24"/>
      <c r="K1043122" s="54"/>
    </row>
    <row r="1043123" spans="1:11" s="55" customFormat="1" ht="12.75">
      <c r="A1043123" s="24"/>
      <c r="B1043123" s="24"/>
      <c r="C1043123" s="24"/>
      <c r="D1043123" s="24"/>
      <c r="E1043123" s="24"/>
      <c r="F1043123" s="24"/>
      <c r="G1043123" s="24"/>
      <c r="H1043123" s="24"/>
      <c r="I1043123" s="24"/>
      <c r="J1043123" s="24"/>
      <c r="K1043123" s="54"/>
    </row>
    <row r="1043124" spans="1:11" s="55" customFormat="1" ht="12.75">
      <c r="A1043124" s="24"/>
      <c r="B1043124" s="24"/>
      <c r="C1043124" s="24"/>
      <c r="D1043124" s="24"/>
      <c r="E1043124" s="24"/>
      <c r="F1043124" s="24"/>
      <c r="G1043124" s="24"/>
      <c r="H1043124" s="24"/>
      <c r="I1043124" s="24"/>
      <c r="J1043124" s="24"/>
      <c r="K1043124" s="54"/>
    </row>
    <row r="1043125" spans="1:11" s="55" customFormat="1" ht="12.75">
      <c r="A1043125" s="24"/>
      <c r="B1043125" s="24"/>
      <c r="C1043125" s="24"/>
      <c r="D1043125" s="24"/>
      <c r="E1043125" s="24"/>
      <c r="F1043125" s="24"/>
      <c r="G1043125" s="24"/>
      <c r="H1043125" s="24"/>
      <c r="I1043125" s="24"/>
      <c r="J1043125" s="24"/>
      <c r="K1043125" s="54"/>
    </row>
    <row r="1043126" spans="1:11" s="55" customFormat="1" ht="12.75">
      <c r="A1043126" s="24"/>
      <c r="B1043126" s="24"/>
      <c r="C1043126" s="24"/>
      <c r="D1043126" s="24"/>
      <c r="E1043126" s="24"/>
      <c r="F1043126" s="24"/>
      <c r="G1043126" s="24"/>
      <c r="H1043126" s="24"/>
      <c r="I1043126" s="24"/>
      <c r="J1043126" s="24"/>
      <c r="K1043126" s="54"/>
    </row>
    <row r="1043127" spans="1:11" s="55" customFormat="1" ht="12.75">
      <c r="A1043127" s="24"/>
      <c r="B1043127" s="24"/>
      <c r="C1043127" s="24"/>
      <c r="D1043127" s="24"/>
      <c r="E1043127" s="24"/>
      <c r="F1043127" s="24"/>
      <c r="G1043127" s="24"/>
      <c r="H1043127" s="24"/>
      <c r="I1043127" s="24"/>
      <c r="J1043127" s="24"/>
      <c r="K1043127" s="54"/>
    </row>
    <row r="1043128" spans="1:11" s="55" customFormat="1" ht="12.75">
      <c r="A1043128" s="24"/>
      <c r="B1043128" s="24"/>
      <c r="C1043128" s="24"/>
      <c r="D1043128" s="24"/>
      <c r="E1043128" s="24"/>
      <c r="F1043128" s="24"/>
      <c r="G1043128" s="24"/>
      <c r="H1043128" s="24"/>
      <c r="I1043128" s="24"/>
      <c r="J1043128" s="24"/>
      <c r="K1043128" s="54"/>
    </row>
    <row r="1043129" spans="1:11" s="55" customFormat="1" ht="12.75">
      <c r="A1043129" s="24"/>
      <c r="B1043129" s="24"/>
      <c r="C1043129" s="24"/>
      <c r="D1043129" s="24"/>
      <c r="E1043129" s="24"/>
      <c r="F1043129" s="24"/>
      <c r="G1043129" s="24"/>
      <c r="H1043129" s="24"/>
      <c r="I1043129" s="24"/>
      <c r="J1043129" s="24"/>
      <c r="K1043129" s="54"/>
    </row>
    <row r="1043130" spans="1:11" s="55" customFormat="1" ht="12.75">
      <c r="A1043130" s="24"/>
      <c r="B1043130" s="24"/>
      <c r="C1043130" s="24"/>
      <c r="D1043130" s="24"/>
      <c r="E1043130" s="24"/>
      <c r="F1043130" s="24"/>
      <c r="G1043130" s="24"/>
      <c r="H1043130" s="24"/>
      <c r="I1043130" s="24"/>
      <c r="J1043130" s="24"/>
      <c r="K1043130" s="54"/>
    </row>
    <row r="1043131" spans="1:11" s="55" customFormat="1" ht="12.75">
      <c r="A1043131" s="24"/>
      <c r="B1043131" s="24"/>
      <c r="C1043131" s="24"/>
      <c r="D1043131" s="24"/>
      <c r="E1043131" s="24"/>
      <c r="F1043131" s="24"/>
      <c r="G1043131" s="24"/>
      <c r="H1043131" s="24"/>
      <c r="I1043131" s="24"/>
      <c r="J1043131" s="24"/>
      <c r="K1043131" s="54"/>
    </row>
    <row r="1043132" spans="1:11" s="55" customFormat="1" ht="12.75">
      <c r="A1043132" s="24"/>
      <c r="B1043132" s="24"/>
      <c r="C1043132" s="24"/>
      <c r="D1043132" s="24"/>
      <c r="E1043132" s="24"/>
      <c r="F1043132" s="24"/>
      <c r="G1043132" s="24"/>
      <c r="H1043132" s="24"/>
      <c r="I1043132" s="24"/>
      <c r="J1043132" s="24"/>
      <c r="K1043132" s="54"/>
    </row>
    <row r="1043133" spans="1:11" s="55" customFormat="1" ht="12.75">
      <c r="A1043133" s="24"/>
      <c r="B1043133" s="24"/>
      <c r="C1043133" s="24"/>
      <c r="D1043133" s="24"/>
      <c r="E1043133" s="24"/>
      <c r="F1043133" s="24"/>
      <c r="G1043133" s="24"/>
      <c r="H1043133" s="24"/>
      <c r="I1043133" s="24"/>
      <c r="J1043133" s="24"/>
      <c r="K1043133" s="54"/>
    </row>
    <row r="1043134" spans="1:11" s="55" customFormat="1" ht="12.75">
      <c r="A1043134" s="24"/>
      <c r="B1043134" s="24"/>
      <c r="C1043134" s="24"/>
      <c r="D1043134" s="24"/>
      <c r="E1043134" s="24"/>
      <c r="F1043134" s="24"/>
      <c r="G1043134" s="24"/>
      <c r="H1043134" s="24"/>
      <c r="I1043134" s="24"/>
      <c r="J1043134" s="24"/>
      <c r="K1043134" s="54"/>
    </row>
    <row r="1043135" spans="1:11" s="55" customFormat="1" ht="12.75">
      <c r="A1043135" s="24"/>
      <c r="B1043135" s="24"/>
      <c r="C1043135" s="24"/>
      <c r="D1043135" s="24"/>
      <c r="E1043135" s="24"/>
      <c r="F1043135" s="24"/>
      <c r="G1043135" s="24"/>
      <c r="H1043135" s="24"/>
      <c r="I1043135" s="24"/>
      <c r="J1043135" s="24"/>
      <c r="K1043135" s="54"/>
    </row>
    <row r="1043136" spans="1:11" s="55" customFormat="1" ht="12.75">
      <c r="A1043136" s="24"/>
      <c r="B1043136" s="24"/>
      <c r="C1043136" s="24"/>
      <c r="D1043136" s="24"/>
      <c r="E1043136" s="24"/>
      <c r="F1043136" s="24"/>
      <c r="G1043136" s="24"/>
      <c r="H1043136" s="24"/>
      <c r="I1043136" s="24"/>
      <c r="J1043136" s="24"/>
      <c r="K1043136" s="54"/>
    </row>
    <row r="1043137" spans="1:11" s="55" customFormat="1" ht="12.75">
      <c r="A1043137" s="24"/>
      <c r="B1043137" s="24"/>
      <c r="C1043137" s="24"/>
      <c r="D1043137" s="24"/>
      <c r="E1043137" s="24"/>
      <c r="F1043137" s="24"/>
      <c r="G1043137" s="24"/>
      <c r="H1043137" s="24"/>
      <c r="I1043137" s="24"/>
      <c r="J1043137" s="24"/>
      <c r="K1043137" s="54"/>
    </row>
    <row r="1043138" spans="1:11" s="55" customFormat="1" ht="12.75">
      <c r="A1043138" s="24"/>
      <c r="B1043138" s="24"/>
      <c r="C1043138" s="24"/>
      <c r="D1043138" s="24"/>
      <c r="E1043138" s="24"/>
      <c r="F1043138" s="24"/>
      <c r="G1043138" s="24"/>
      <c r="H1043138" s="24"/>
      <c r="I1043138" s="24"/>
      <c r="J1043138" s="24"/>
      <c r="K1043138" s="54"/>
    </row>
    <row r="1043139" spans="1:11" s="55" customFormat="1" ht="12.75">
      <c r="A1043139" s="24"/>
      <c r="B1043139" s="24"/>
      <c r="C1043139" s="24"/>
      <c r="D1043139" s="24"/>
      <c r="E1043139" s="24"/>
      <c r="F1043139" s="24"/>
      <c r="G1043139" s="24"/>
      <c r="H1043139" s="24"/>
      <c r="I1043139" s="24"/>
      <c r="J1043139" s="24"/>
      <c r="K1043139" s="54"/>
    </row>
    <row r="1043140" spans="1:11" s="55" customFormat="1" ht="12.75">
      <c r="A1043140" s="24"/>
      <c r="B1043140" s="24"/>
      <c r="C1043140" s="24"/>
      <c r="D1043140" s="24"/>
      <c r="E1043140" s="24"/>
      <c r="F1043140" s="24"/>
      <c r="G1043140" s="24"/>
      <c r="H1043140" s="24"/>
      <c r="I1043140" s="24"/>
      <c r="J1043140" s="24"/>
      <c r="K1043140" s="54"/>
    </row>
    <row r="1043141" spans="1:11" s="55" customFormat="1" ht="12.75">
      <c r="A1043141" s="24"/>
      <c r="B1043141" s="24"/>
      <c r="C1043141" s="24"/>
      <c r="D1043141" s="24"/>
      <c r="E1043141" s="24"/>
      <c r="F1043141" s="24"/>
      <c r="G1043141" s="24"/>
      <c r="H1043141" s="24"/>
      <c r="I1043141" s="24"/>
      <c r="J1043141" s="24"/>
      <c r="K1043141" s="54"/>
    </row>
    <row r="1043142" spans="1:11" s="55" customFormat="1" ht="12.75">
      <c r="A1043142" s="24"/>
      <c r="B1043142" s="24"/>
      <c r="C1043142" s="24"/>
      <c r="D1043142" s="24"/>
      <c r="E1043142" s="24"/>
      <c r="F1043142" s="24"/>
      <c r="G1043142" s="24"/>
      <c r="H1043142" s="24"/>
      <c r="I1043142" s="24"/>
      <c r="J1043142" s="24"/>
      <c r="K1043142" s="54"/>
    </row>
    <row r="1043143" spans="1:11" s="55" customFormat="1" ht="12.75">
      <c r="A1043143" s="24"/>
      <c r="B1043143" s="24"/>
      <c r="C1043143" s="24"/>
      <c r="D1043143" s="24"/>
      <c r="E1043143" s="24"/>
      <c r="F1043143" s="24"/>
      <c r="G1043143" s="24"/>
      <c r="H1043143" s="24"/>
      <c r="I1043143" s="24"/>
      <c r="J1043143" s="24"/>
      <c r="K1043143" s="54"/>
    </row>
    <row r="1043144" spans="1:11" s="55" customFormat="1" ht="12.75">
      <c r="A1043144" s="24"/>
      <c r="B1043144" s="24"/>
      <c r="C1043144" s="24"/>
      <c r="D1043144" s="24"/>
      <c r="E1043144" s="24"/>
      <c r="F1043144" s="24"/>
      <c r="G1043144" s="24"/>
      <c r="H1043144" s="24"/>
      <c r="I1043144" s="24"/>
      <c r="J1043144" s="24"/>
      <c r="K1043144" s="54"/>
    </row>
    <row r="1043145" spans="1:11" s="55" customFormat="1" ht="12.75">
      <c r="A1043145" s="24"/>
      <c r="B1043145" s="24"/>
      <c r="C1043145" s="24"/>
      <c r="D1043145" s="24"/>
      <c r="E1043145" s="24"/>
      <c r="F1043145" s="24"/>
      <c r="G1043145" s="24"/>
      <c r="H1043145" s="24"/>
      <c r="I1043145" s="24"/>
      <c r="J1043145" s="24"/>
      <c r="K1043145" s="54"/>
    </row>
    <row r="1043146" spans="1:11" s="55" customFormat="1" ht="12.75">
      <c r="A1043146" s="24"/>
      <c r="B1043146" s="24"/>
      <c r="C1043146" s="24"/>
      <c r="D1043146" s="24"/>
      <c r="E1043146" s="24"/>
      <c r="F1043146" s="24"/>
      <c r="G1043146" s="24"/>
      <c r="H1043146" s="24"/>
      <c r="I1043146" s="24"/>
      <c r="J1043146" s="24"/>
      <c r="K1043146" s="54"/>
    </row>
    <row r="1043147" spans="1:11" s="55" customFormat="1" ht="12.75">
      <c r="A1043147" s="24"/>
      <c r="B1043147" s="24"/>
      <c r="C1043147" s="24"/>
      <c r="D1043147" s="24"/>
      <c r="E1043147" s="24"/>
      <c r="F1043147" s="24"/>
      <c r="G1043147" s="24"/>
      <c r="H1043147" s="24"/>
      <c r="I1043147" s="24"/>
      <c r="J1043147" s="24"/>
      <c r="K1043147" s="54"/>
    </row>
    <row r="1043148" spans="1:11" s="55" customFormat="1" ht="12.75">
      <c r="A1043148" s="24"/>
      <c r="B1043148" s="24"/>
      <c r="C1043148" s="24"/>
      <c r="D1043148" s="24"/>
      <c r="E1043148" s="24"/>
      <c r="F1043148" s="24"/>
      <c r="G1043148" s="24"/>
      <c r="H1043148" s="24"/>
      <c r="I1043148" s="24"/>
      <c r="J1043148" s="24"/>
      <c r="K1043148" s="54"/>
    </row>
    <row r="1043149" spans="1:11" s="55" customFormat="1" ht="12.75">
      <c r="A1043149" s="24"/>
      <c r="B1043149" s="24"/>
      <c r="C1043149" s="24"/>
      <c r="D1043149" s="24"/>
      <c r="E1043149" s="24"/>
      <c r="F1043149" s="24"/>
      <c r="G1043149" s="24"/>
      <c r="H1043149" s="24"/>
      <c r="I1043149" s="24"/>
      <c r="J1043149" s="24"/>
      <c r="K1043149" s="54"/>
    </row>
    <row r="1043150" spans="1:11" s="55" customFormat="1" ht="12.75">
      <c r="A1043150" s="24"/>
      <c r="B1043150" s="24"/>
      <c r="C1043150" s="24"/>
      <c r="D1043150" s="24"/>
      <c r="E1043150" s="24"/>
      <c r="F1043150" s="24"/>
      <c r="G1043150" s="24"/>
      <c r="H1043150" s="24"/>
      <c r="I1043150" s="24"/>
      <c r="J1043150" s="24"/>
      <c r="K1043150" s="54"/>
    </row>
    <row r="1043151" spans="1:11" s="55" customFormat="1" ht="12.75">
      <c r="A1043151" s="24"/>
      <c r="B1043151" s="24"/>
      <c r="C1043151" s="24"/>
      <c r="D1043151" s="24"/>
      <c r="E1043151" s="24"/>
      <c r="F1043151" s="24"/>
      <c r="G1043151" s="24"/>
      <c r="H1043151" s="24"/>
      <c r="I1043151" s="24"/>
      <c r="J1043151" s="24"/>
      <c r="K1043151" s="54"/>
    </row>
    <row r="1043152" spans="1:11" s="55" customFormat="1" ht="12.75">
      <c r="A1043152" s="24"/>
      <c r="B1043152" s="24"/>
      <c r="C1043152" s="24"/>
      <c r="D1043152" s="24"/>
      <c r="E1043152" s="24"/>
      <c r="F1043152" s="24"/>
      <c r="G1043152" s="24"/>
      <c r="H1043152" s="24"/>
      <c r="I1043152" s="24"/>
      <c r="J1043152" s="24"/>
      <c r="K1043152" s="54"/>
    </row>
    <row r="1043153" spans="1:11" s="55" customFormat="1" ht="12.75">
      <c r="A1043153" s="24"/>
      <c r="B1043153" s="24"/>
      <c r="C1043153" s="24"/>
      <c r="D1043153" s="24"/>
      <c r="E1043153" s="24"/>
      <c r="F1043153" s="24"/>
      <c r="G1043153" s="24"/>
      <c r="H1043153" s="24"/>
      <c r="I1043153" s="24"/>
      <c r="J1043153" s="24"/>
      <c r="K1043153" s="54"/>
    </row>
    <row r="1043154" spans="1:11" s="55" customFormat="1" ht="12.75">
      <c r="A1043154" s="24"/>
      <c r="B1043154" s="24"/>
      <c r="C1043154" s="24"/>
      <c r="D1043154" s="24"/>
      <c r="E1043154" s="24"/>
      <c r="F1043154" s="24"/>
      <c r="G1043154" s="24"/>
      <c r="H1043154" s="24"/>
      <c r="I1043154" s="24"/>
      <c r="J1043154" s="24"/>
      <c r="K1043154" s="54"/>
    </row>
    <row r="1043155" spans="1:11" s="55" customFormat="1" ht="12.75">
      <c r="A1043155" s="24"/>
      <c r="B1043155" s="24"/>
      <c r="C1043155" s="24"/>
      <c r="D1043155" s="24"/>
      <c r="E1043155" s="24"/>
      <c r="F1043155" s="24"/>
      <c r="G1043155" s="24"/>
      <c r="H1043155" s="24"/>
      <c r="I1043155" s="24"/>
      <c r="J1043155" s="24"/>
      <c r="K1043155" s="54"/>
    </row>
    <row r="1043156" spans="1:11" s="55" customFormat="1" ht="12.75">
      <c r="A1043156" s="24"/>
      <c r="B1043156" s="24"/>
      <c r="C1043156" s="24"/>
      <c r="D1043156" s="24"/>
      <c r="E1043156" s="24"/>
      <c r="F1043156" s="24"/>
      <c r="G1043156" s="24"/>
      <c r="H1043156" s="24"/>
      <c r="I1043156" s="24"/>
      <c r="J1043156" s="24"/>
      <c r="K1043156" s="54"/>
    </row>
    <row r="1043157" spans="1:11" s="55" customFormat="1" ht="12.75">
      <c r="A1043157" s="24"/>
      <c r="B1043157" s="24"/>
      <c r="C1043157" s="24"/>
      <c r="D1043157" s="24"/>
      <c r="E1043157" s="24"/>
      <c r="F1043157" s="24"/>
      <c r="G1043157" s="24"/>
      <c r="H1043157" s="24"/>
      <c r="I1043157" s="24"/>
      <c r="J1043157" s="24"/>
      <c r="K1043157" s="54"/>
    </row>
    <row r="1043158" spans="1:11" s="55" customFormat="1" ht="12.75">
      <c r="A1043158" s="24"/>
      <c r="B1043158" s="24"/>
      <c r="C1043158" s="24"/>
      <c r="D1043158" s="24"/>
      <c r="E1043158" s="24"/>
      <c r="F1043158" s="24"/>
      <c r="G1043158" s="24"/>
      <c r="H1043158" s="24"/>
      <c r="I1043158" s="24"/>
      <c r="J1043158" s="24"/>
      <c r="K1043158" s="54"/>
    </row>
    <row r="1043159" spans="1:11" s="55" customFormat="1" ht="12.75">
      <c r="A1043159" s="24"/>
      <c r="B1043159" s="24"/>
      <c r="C1043159" s="24"/>
      <c r="D1043159" s="24"/>
      <c r="E1043159" s="24"/>
      <c r="F1043159" s="24"/>
      <c r="G1043159" s="24"/>
      <c r="H1043159" s="24"/>
      <c r="I1043159" s="24"/>
      <c r="J1043159" s="24"/>
      <c r="K1043159" s="54"/>
    </row>
    <row r="1043160" spans="1:11" s="55" customFormat="1" ht="12.75">
      <c r="A1043160" s="24"/>
      <c r="B1043160" s="24"/>
      <c r="C1043160" s="24"/>
      <c r="D1043160" s="24"/>
      <c r="E1043160" s="24"/>
      <c r="F1043160" s="24"/>
      <c r="G1043160" s="24"/>
      <c r="H1043160" s="24"/>
      <c r="I1043160" s="24"/>
      <c r="J1043160" s="24"/>
      <c r="K1043160" s="54"/>
    </row>
    <row r="1043161" spans="1:11" s="55" customFormat="1" ht="12.75">
      <c r="A1043161" s="24"/>
      <c r="B1043161" s="24"/>
      <c r="C1043161" s="24"/>
      <c r="D1043161" s="24"/>
      <c r="E1043161" s="24"/>
      <c r="F1043161" s="24"/>
      <c r="G1043161" s="24"/>
      <c r="H1043161" s="24"/>
      <c r="I1043161" s="24"/>
      <c r="J1043161" s="24"/>
      <c r="K1043161" s="54"/>
    </row>
    <row r="1043162" spans="1:11" s="55" customFormat="1" ht="12.75">
      <c r="A1043162" s="24"/>
      <c r="B1043162" s="24"/>
      <c r="C1043162" s="24"/>
      <c r="D1043162" s="24"/>
      <c r="E1043162" s="24"/>
      <c r="F1043162" s="24"/>
      <c r="G1043162" s="24"/>
      <c r="H1043162" s="24"/>
      <c r="I1043162" s="24"/>
      <c r="J1043162" s="24"/>
      <c r="K1043162" s="54"/>
    </row>
    <row r="1043163" spans="1:11" s="55" customFormat="1" ht="12.75">
      <c r="A1043163" s="24"/>
      <c r="B1043163" s="24"/>
      <c r="C1043163" s="24"/>
      <c r="D1043163" s="24"/>
      <c r="E1043163" s="24"/>
      <c r="F1043163" s="24"/>
      <c r="G1043163" s="24"/>
      <c r="H1043163" s="24"/>
      <c r="I1043163" s="24"/>
      <c r="J1043163" s="24"/>
      <c r="K1043163" s="54"/>
    </row>
    <row r="1043164" spans="1:11" s="55" customFormat="1" ht="12.75">
      <c r="A1043164" s="24"/>
      <c r="B1043164" s="24"/>
      <c r="C1043164" s="24"/>
      <c r="D1043164" s="24"/>
      <c r="E1043164" s="24"/>
      <c r="F1043164" s="24"/>
      <c r="G1043164" s="24"/>
      <c r="H1043164" s="24"/>
      <c r="I1043164" s="24"/>
      <c r="J1043164" s="24"/>
      <c r="K1043164" s="54"/>
    </row>
    <row r="1043165" spans="1:11" s="55" customFormat="1" ht="12.75">
      <c r="A1043165" s="24"/>
      <c r="B1043165" s="24"/>
      <c r="C1043165" s="24"/>
      <c r="D1043165" s="24"/>
      <c r="E1043165" s="24"/>
      <c r="F1043165" s="24"/>
      <c r="G1043165" s="24"/>
      <c r="H1043165" s="24"/>
      <c r="I1043165" s="24"/>
      <c r="J1043165" s="24"/>
      <c r="K1043165" s="54"/>
    </row>
    <row r="1043166" spans="1:11" s="55" customFormat="1" ht="12.75">
      <c r="A1043166" s="24"/>
      <c r="B1043166" s="24"/>
      <c r="C1043166" s="24"/>
      <c r="D1043166" s="24"/>
      <c r="E1043166" s="24"/>
      <c r="F1043166" s="24"/>
      <c r="G1043166" s="24"/>
      <c r="H1043166" s="24"/>
      <c r="I1043166" s="24"/>
      <c r="J1043166" s="24"/>
      <c r="K1043166" s="54"/>
    </row>
    <row r="1043167" spans="1:11" s="55" customFormat="1" ht="12.75">
      <c r="A1043167" s="24"/>
      <c r="B1043167" s="24"/>
      <c r="C1043167" s="24"/>
      <c r="D1043167" s="24"/>
      <c r="E1043167" s="24"/>
      <c r="F1043167" s="24"/>
      <c r="G1043167" s="24"/>
      <c r="H1043167" s="24"/>
      <c r="I1043167" s="24"/>
      <c r="J1043167" s="24"/>
      <c r="K1043167" s="54"/>
    </row>
    <row r="1043168" spans="1:11" s="55" customFormat="1" ht="12.75">
      <c r="A1043168" s="24"/>
      <c r="B1043168" s="24"/>
      <c r="C1043168" s="24"/>
      <c r="D1043168" s="24"/>
      <c r="E1043168" s="24"/>
      <c r="F1043168" s="24"/>
      <c r="G1043168" s="24"/>
      <c r="H1043168" s="24"/>
      <c r="I1043168" s="24"/>
      <c r="J1043168" s="24"/>
      <c r="K1043168" s="54"/>
    </row>
    <row r="1043169" spans="1:11" s="55" customFormat="1" ht="12.75">
      <c r="A1043169" s="24"/>
      <c r="B1043169" s="24"/>
      <c r="C1043169" s="24"/>
      <c r="D1043169" s="24"/>
      <c r="E1043169" s="24"/>
      <c r="F1043169" s="24"/>
      <c r="G1043169" s="24"/>
      <c r="H1043169" s="24"/>
      <c r="I1043169" s="24"/>
      <c r="J1043169" s="24"/>
      <c r="K1043169" s="54"/>
    </row>
    <row r="1043170" spans="1:11" s="55" customFormat="1" ht="12.75">
      <c r="A1043170" s="24"/>
      <c r="B1043170" s="24"/>
      <c r="C1043170" s="24"/>
      <c r="D1043170" s="24"/>
      <c r="E1043170" s="24"/>
      <c r="F1043170" s="24"/>
      <c r="G1043170" s="24"/>
      <c r="H1043170" s="24"/>
      <c r="I1043170" s="24"/>
      <c r="J1043170" s="24"/>
      <c r="K1043170" s="54"/>
    </row>
    <row r="1043171" spans="1:11" s="55" customFormat="1" ht="12.75">
      <c r="A1043171" s="24"/>
      <c r="B1043171" s="24"/>
      <c r="C1043171" s="24"/>
      <c r="D1043171" s="24"/>
      <c r="E1043171" s="24"/>
      <c r="F1043171" s="24"/>
      <c r="G1043171" s="24"/>
      <c r="H1043171" s="24"/>
      <c r="I1043171" s="24"/>
      <c r="J1043171" s="24"/>
      <c r="K1043171" s="54"/>
    </row>
    <row r="1043172" spans="1:11" s="55" customFormat="1" ht="12.75">
      <c r="A1043172" s="24"/>
      <c r="B1043172" s="24"/>
      <c r="C1043172" s="24"/>
      <c r="D1043172" s="24"/>
      <c r="E1043172" s="24"/>
      <c r="F1043172" s="24"/>
      <c r="G1043172" s="24"/>
      <c r="H1043172" s="24"/>
      <c r="I1043172" s="24"/>
      <c r="J1043172" s="24"/>
      <c r="K1043172" s="54"/>
    </row>
    <row r="1043173" spans="1:11" s="55" customFormat="1" ht="12.75">
      <c r="A1043173" s="24"/>
      <c r="B1043173" s="24"/>
      <c r="C1043173" s="24"/>
      <c r="D1043173" s="24"/>
      <c r="E1043173" s="24"/>
      <c r="F1043173" s="24"/>
      <c r="G1043173" s="24"/>
      <c r="H1043173" s="24"/>
      <c r="I1043173" s="24"/>
      <c r="J1043173" s="24"/>
      <c r="K1043173" s="54"/>
    </row>
    <row r="1043174" spans="1:11" s="55" customFormat="1" ht="12.75">
      <c r="A1043174" s="24"/>
      <c r="B1043174" s="24"/>
      <c r="C1043174" s="24"/>
      <c r="D1043174" s="24"/>
      <c r="E1043174" s="24"/>
      <c r="F1043174" s="24"/>
      <c r="G1043174" s="24"/>
      <c r="H1043174" s="24"/>
      <c r="I1043174" s="24"/>
      <c r="J1043174" s="24"/>
      <c r="K1043174" s="54"/>
    </row>
    <row r="1043175" spans="1:11" s="55" customFormat="1" ht="12.75">
      <c r="A1043175" s="24"/>
      <c r="B1043175" s="24"/>
      <c r="C1043175" s="24"/>
      <c r="D1043175" s="24"/>
      <c r="E1043175" s="24"/>
      <c r="F1043175" s="24"/>
      <c r="G1043175" s="24"/>
      <c r="H1043175" s="24"/>
      <c r="I1043175" s="24"/>
      <c r="J1043175" s="24"/>
      <c r="K1043175" s="54"/>
    </row>
    <row r="1043176" spans="1:11" s="55" customFormat="1" ht="12.75">
      <c r="A1043176" s="24"/>
      <c r="B1043176" s="24"/>
      <c r="C1043176" s="24"/>
      <c r="D1043176" s="24"/>
      <c r="E1043176" s="24"/>
      <c r="F1043176" s="24"/>
      <c r="G1043176" s="24"/>
      <c r="H1043176" s="24"/>
      <c r="I1043176" s="24"/>
      <c r="J1043176" s="24"/>
      <c r="K1043176" s="54"/>
    </row>
    <row r="1043177" spans="1:11" s="55" customFormat="1" ht="12.75">
      <c r="A1043177" s="24"/>
      <c r="B1043177" s="24"/>
      <c r="C1043177" s="24"/>
      <c r="D1043177" s="24"/>
      <c r="E1043177" s="24"/>
      <c r="F1043177" s="24"/>
      <c r="G1043177" s="24"/>
      <c r="H1043177" s="24"/>
      <c r="I1043177" s="24"/>
      <c r="J1043177" s="24"/>
      <c r="K1043177" s="54"/>
    </row>
    <row r="1043178" spans="1:11" s="55" customFormat="1" ht="12.75">
      <c r="A1043178" s="24"/>
      <c r="B1043178" s="24"/>
      <c r="C1043178" s="24"/>
      <c r="D1043178" s="24"/>
      <c r="E1043178" s="24"/>
      <c r="F1043178" s="24"/>
      <c r="G1043178" s="24"/>
      <c r="H1043178" s="24"/>
      <c r="I1043178" s="24"/>
      <c r="J1043178" s="24"/>
      <c r="K1043178" s="54"/>
    </row>
    <row r="1043179" spans="1:11" s="55" customFormat="1" ht="12.75">
      <c r="A1043179" s="24"/>
      <c r="B1043179" s="24"/>
      <c r="C1043179" s="24"/>
      <c r="D1043179" s="24"/>
      <c r="E1043179" s="24"/>
      <c r="F1043179" s="24"/>
      <c r="G1043179" s="24"/>
      <c r="H1043179" s="24"/>
      <c r="I1043179" s="24"/>
      <c r="J1043179" s="24"/>
      <c r="K1043179" s="54"/>
    </row>
    <row r="1043180" spans="1:11" s="55" customFormat="1" ht="12.75">
      <c r="A1043180" s="24"/>
      <c r="B1043180" s="24"/>
      <c r="C1043180" s="24"/>
      <c r="D1043180" s="24"/>
      <c r="E1043180" s="24"/>
      <c r="F1043180" s="24"/>
      <c r="G1043180" s="24"/>
      <c r="H1043180" s="24"/>
      <c r="I1043180" s="24"/>
      <c r="J1043180" s="24"/>
      <c r="K1043180" s="54"/>
    </row>
    <row r="1043181" spans="1:11" s="55" customFormat="1" ht="12.75">
      <c r="A1043181" s="24"/>
      <c r="B1043181" s="24"/>
      <c r="C1043181" s="24"/>
      <c r="D1043181" s="24"/>
      <c r="E1043181" s="24"/>
      <c r="F1043181" s="24"/>
      <c r="G1043181" s="24"/>
      <c r="H1043181" s="24"/>
      <c r="I1043181" s="24"/>
      <c r="J1043181" s="24"/>
      <c r="K1043181" s="54"/>
    </row>
    <row r="1043182" spans="1:11" s="55" customFormat="1" ht="12.75">
      <c r="A1043182" s="24"/>
      <c r="B1043182" s="24"/>
      <c r="C1043182" s="24"/>
      <c r="D1043182" s="24"/>
      <c r="E1043182" s="24"/>
      <c r="F1043182" s="24"/>
      <c r="G1043182" s="24"/>
      <c r="H1043182" s="24"/>
      <c r="I1043182" s="24"/>
      <c r="J1043182" s="24"/>
      <c r="K1043182" s="54"/>
    </row>
    <row r="1043183" spans="1:11" s="55" customFormat="1" ht="12.75">
      <c r="A1043183" s="24"/>
      <c r="B1043183" s="24"/>
      <c r="C1043183" s="24"/>
      <c r="D1043183" s="24"/>
      <c r="E1043183" s="24"/>
      <c r="F1043183" s="24"/>
      <c r="G1043183" s="24"/>
      <c r="H1043183" s="24"/>
      <c r="I1043183" s="24"/>
      <c r="J1043183" s="24"/>
      <c r="K1043183" s="54"/>
    </row>
    <row r="1043184" spans="1:11" s="55" customFormat="1" ht="12.75">
      <c r="A1043184" s="24"/>
      <c r="B1043184" s="24"/>
      <c r="C1043184" s="24"/>
      <c r="D1043184" s="24"/>
      <c r="E1043184" s="24"/>
      <c r="F1043184" s="24"/>
      <c r="G1043184" s="24"/>
      <c r="H1043184" s="24"/>
      <c r="I1043184" s="24"/>
      <c r="J1043184" s="24"/>
      <c r="K1043184" s="54"/>
    </row>
    <row r="1043185" spans="1:11" s="55" customFormat="1" ht="12.75">
      <c r="A1043185" s="24"/>
      <c r="B1043185" s="24"/>
      <c r="C1043185" s="24"/>
      <c r="D1043185" s="24"/>
      <c r="E1043185" s="24"/>
      <c r="F1043185" s="24"/>
      <c r="G1043185" s="24"/>
      <c r="H1043185" s="24"/>
      <c r="I1043185" s="24"/>
      <c r="J1043185" s="24"/>
      <c r="K1043185" s="54"/>
    </row>
    <row r="1043186" spans="1:11" s="55" customFormat="1" ht="12.75">
      <c r="A1043186" s="24"/>
      <c r="B1043186" s="24"/>
      <c r="C1043186" s="24"/>
      <c r="D1043186" s="24"/>
      <c r="E1043186" s="24"/>
      <c r="F1043186" s="24"/>
      <c r="G1043186" s="24"/>
      <c r="H1043186" s="24"/>
      <c r="I1043186" s="24"/>
      <c r="J1043186" s="24"/>
      <c r="K1043186" s="54"/>
    </row>
    <row r="1043187" spans="1:11" s="55" customFormat="1" ht="12.75">
      <c r="A1043187" s="24"/>
      <c r="B1043187" s="24"/>
      <c r="C1043187" s="24"/>
      <c r="D1043187" s="24"/>
      <c r="E1043187" s="24"/>
      <c r="F1043187" s="24"/>
      <c r="G1043187" s="24"/>
      <c r="H1043187" s="24"/>
      <c r="I1043187" s="24"/>
      <c r="J1043187" s="24"/>
      <c r="K1043187" s="54"/>
    </row>
    <row r="1043188" spans="1:11" s="55" customFormat="1" ht="12.75">
      <c r="A1043188" s="24"/>
      <c r="B1043188" s="24"/>
      <c r="C1043188" s="24"/>
      <c r="D1043188" s="24"/>
      <c r="E1043188" s="24"/>
      <c r="F1043188" s="24"/>
      <c r="G1043188" s="24"/>
      <c r="H1043188" s="24"/>
      <c r="I1043188" s="24"/>
      <c r="J1043188" s="24"/>
      <c r="K1043188" s="54"/>
    </row>
    <row r="1043189" spans="1:11" s="55" customFormat="1" ht="12.75">
      <c r="A1043189" s="24"/>
      <c r="B1043189" s="24"/>
      <c r="C1043189" s="24"/>
      <c r="D1043189" s="24"/>
      <c r="E1043189" s="24"/>
      <c r="F1043189" s="24"/>
      <c r="G1043189" s="24"/>
      <c r="H1043189" s="24"/>
      <c r="I1043189" s="24"/>
      <c r="J1043189" s="24"/>
      <c r="K1043189" s="54"/>
    </row>
    <row r="1043190" spans="1:11" s="55" customFormat="1" ht="12.75">
      <c r="A1043190" s="24"/>
      <c r="B1043190" s="24"/>
      <c r="C1043190" s="24"/>
      <c r="D1043190" s="24"/>
      <c r="E1043190" s="24"/>
      <c r="F1043190" s="24"/>
      <c r="G1043190" s="24"/>
      <c r="H1043190" s="24"/>
      <c r="I1043190" s="24"/>
      <c r="J1043190" s="24"/>
      <c r="K1043190" s="54"/>
    </row>
    <row r="1043191" spans="1:11" s="55" customFormat="1" ht="12.75">
      <c r="A1043191" s="24"/>
      <c r="B1043191" s="24"/>
      <c r="C1043191" s="24"/>
      <c r="D1043191" s="24"/>
      <c r="E1043191" s="24"/>
      <c r="F1043191" s="24"/>
      <c r="G1043191" s="24"/>
      <c r="H1043191" s="24"/>
      <c r="I1043191" s="24"/>
      <c r="J1043191" s="24"/>
      <c r="K1043191" s="54"/>
    </row>
    <row r="1043192" spans="1:11" s="55" customFormat="1" ht="12.75">
      <c r="A1043192" s="24"/>
      <c r="B1043192" s="24"/>
      <c r="C1043192" s="24"/>
      <c r="D1043192" s="24"/>
      <c r="E1043192" s="24"/>
      <c r="F1043192" s="24"/>
      <c r="G1043192" s="24"/>
      <c r="H1043192" s="24"/>
      <c r="I1043192" s="24"/>
      <c r="J1043192" s="24"/>
      <c r="K1043192" s="54"/>
    </row>
    <row r="1043193" spans="1:11" s="55" customFormat="1" ht="12.75">
      <c r="A1043193" s="24"/>
      <c r="B1043193" s="24"/>
      <c r="C1043193" s="24"/>
      <c r="D1043193" s="24"/>
      <c r="E1043193" s="24"/>
      <c r="F1043193" s="24"/>
      <c r="G1043193" s="24"/>
      <c r="H1043193" s="24"/>
      <c r="I1043193" s="24"/>
      <c r="J1043193" s="24"/>
      <c r="K1043193" s="54"/>
    </row>
    <row r="1043194" spans="1:11" s="55" customFormat="1" ht="12.75">
      <c r="A1043194" s="24"/>
      <c r="B1043194" s="24"/>
      <c r="C1043194" s="24"/>
      <c r="D1043194" s="24"/>
      <c r="E1043194" s="24"/>
      <c r="F1043194" s="24"/>
      <c r="G1043194" s="24"/>
      <c r="H1043194" s="24"/>
      <c r="I1043194" s="24"/>
      <c r="J1043194" s="24"/>
      <c r="K1043194" s="54"/>
    </row>
    <row r="1043195" spans="1:11" s="55" customFormat="1" ht="12.75">
      <c r="A1043195" s="24"/>
      <c r="B1043195" s="24"/>
      <c r="C1043195" s="24"/>
      <c r="D1043195" s="24"/>
      <c r="E1043195" s="24"/>
      <c r="F1043195" s="24"/>
      <c r="G1043195" s="24"/>
      <c r="H1043195" s="24"/>
      <c r="I1043195" s="24"/>
      <c r="J1043195" s="24"/>
      <c r="K1043195" s="54"/>
    </row>
    <row r="1043196" spans="1:11" s="55" customFormat="1" ht="12.75">
      <c r="A1043196" s="24"/>
      <c r="B1043196" s="24"/>
      <c r="C1043196" s="24"/>
      <c r="D1043196" s="24"/>
      <c r="E1043196" s="24"/>
      <c r="F1043196" s="24"/>
      <c r="G1043196" s="24"/>
      <c r="H1043196" s="24"/>
      <c r="I1043196" s="24"/>
      <c r="J1043196" s="24"/>
      <c r="K1043196" s="54"/>
    </row>
    <row r="1043197" spans="1:11" s="55" customFormat="1" ht="12.75">
      <c r="A1043197" s="24"/>
      <c r="B1043197" s="24"/>
      <c r="C1043197" s="24"/>
      <c r="D1043197" s="24"/>
      <c r="E1043197" s="24"/>
      <c r="F1043197" s="24"/>
      <c r="G1043197" s="24"/>
      <c r="H1043197" s="24"/>
      <c r="I1043197" s="24"/>
      <c r="J1043197" s="24"/>
      <c r="K1043197" s="54"/>
    </row>
    <row r="1043198" spans="1:11" s="55" customFormat="1" ht="12.75">
      <c r="A1043198" s="24"/>
      <c r="B1043198" s="24"/>
      <c r="C1043198" s="24"/>
      <c r="D1043198" s="24"/>
      <c r="E1043198" s="24"/>
      <c r="F1043198" s="24"/>
      <c r="G1043198" s="24"/>
      <c r="H1043198" s="24"/>
      <c r="I1043198" s="24"/>
      <c r="J1043198" s="24"/>
      <c r="K1043198" s="54"/>
    </row>
    <row r="1043199" spans="1:11" s="55" customFormat="1" ht="12.75">
      <c r="A1043199" s="24"/>
      <c r="B1043199" s="24"/>
      <c r="C1043199" s="24"/>
      <c r="D1043199" s="24"/>
      <c r="E1043199" s="24"/>
      <c r="F1043199" s="24"/>
      <c r="G1043199" s="24"/>
      <c r="H1043199" s="24"/>
      <c r="I1043199" s="24"/>
      <c r="J1043199" s="24"/>
      <c r="K1043199" s="54"/>
    </row>
    <row r="1043200" spans="1:11" s="55" customFormat="1" ht="12.75">
      <c r="A1043200" s="24"/>
      <c r="B1043200" s="24"/>
      <c r="C1043200" s="24"/>
      <c r="D1043200" s="24"/>
      <c r="E1043200" s="24"/>
      <c r="F1043200" s="24"/>
      <c r="G1043200" s="24"/>
      <c r="H1043200" s="24"/>
      <c r="I1043200" s="24"/>
      <c r="J1043200" s="24"/>
      <c r="K1043200" s="54"/>
    </row>
    <row r="1043201" spans="1:11" s="55" customFormat="1" ht="12.75">
      <c r="A1043201" s="24"/>
      <c r="B1043201" s="24"/>
      <c r="C1043201" s="24"/>
      <c r="D1043201" s="24"/>
      <c r="E1043201" s="24"/>
      <c r="F1043201" s="24"/>
      <c r="G1043201" s="24"/>
      <c r="H1043201" s="24"/>
      <c r="I1043201" s="24"/>
      <c r="J1043201" s="24"/>
      <c r="K1043201" s="54"/>
    </row>
    <row r="1043202" spans="1:11" s="55" customFormat="1" ht="12.75">
      <c r="A1043202" s="24"/>
      <c r="B1043202" s="24"/>
      <c r="C1043202" s="24"/>
      <c r="D1043202" s="24"/>
      <c r="E1043202" s="24"/>
      <c r="F1043202" s="24"/>
      <c r="G1043202" s="24"/>
      <c r="H1043202" s="24"/>
      <c r="I1043202" s="24"/>
      <c r="J1043202" s="24"/>
      <c r="K1043202" s="54"/>
    </row>
    <row r="1043203" spans="1:11" s="55" customFormat="1" ht="12.75">
      <c r="A1043203" s="24"/>
      <c r="B1043203" s="24"/>
      <c r="C1043203" s="24"/>
      <c r="D1043203" s="24"/>
      <c r="E1043203" s="24"/>
      <c r="F1043203" s="24"/>
      <c r="G1043203" s="24"/>
      <c r="H1043203" s="24"/>
      <c r="I1043203" s="24"/>
      <c r="J1043203" s="24"/>
      <c r="K1043203" s="54"/>
    </row>
    <row r="1043204" spans="1:11" s="55" customFormat="1" ht="12.75">
      <c r="A1043204" s="24"/>
      <c r="B1043204" s="24"/>
      <c r="C1043204" s="24"/>
      <c r="D1043204" s="24"/>
      <c r="E1043204" s="24"/>
      <c r="F1043204" s="24"/>
      <c r="G1043204" s="24"/>
      <c r="H1043204" s="24"/>
      <c r="I1043204" s="24"/>
      <c r="J1043204" s="24"/>
      <c r="K1043204" s="54"/>
    </row>
    <row r="1043205" spans="1:11" s="55" customFormat="1" ht="12.75">
      <c r="A1043205" s="24"/>
      <c r="B1043205" s="24"/>
      <c r="C1043205" s="24"/>
      <c r="D1043205" s="24"/>
      <c r="E1043205" s="24"/>
      <c r="F1043205" s="24"/>
      <c r="G1043205" s="24"/>
      <c r="H1043205" s="24"/>
      <c r="I1043205" s="24"/>
      <c r="J1043205" s="24"/>
      <c r="K1043205" s="54"/>
    </row>
    <row r="1043206" spans="1:11" s="55" customFormat="1" ht="12.75">
      <c r="A1043206" s="24"/>
      <c r="B1043206" s="24"/>
      <c r="C1043206" s="24"/>
      <c r="D1043206" s="24"/>
      <c r="E1043206" s="24"/>
      <c r="F1043206" s="24"/>
      <c r="G1043206" s="24"/>
      <c r="H1043206" s="24"/>
      <c r="I1043206" s="24"/>
      <c r="J1043206" s="24"/>
      <c r="K1043206" s="54"/>
    </row>
    <row r="1043207" spans="1:11" s="55" customFormat="1" ht="12.75">
      <c r="A1043207" s="24"/>
      <c r="B1043207" s="24"/>
      <c r="C1043207" s="24"/>
      <c r="D1043207" s="24"/>
      <c r="E1043207" s="24"/>
      <c r="F1043207" s="24"/>
      <c r="G1043207" s="24"/>
      <c r="H1043207" s="24"/>
      <c r="I1043207" s="24"/>
      <c r="J1043207" s="24"/>
      <c r="K1043207" s="54"/>
    </row>
    <row r="1043208" spans="1:11" s="55" customFormat="1" ht="12.75">
      <c r="A1043208" s="24"/>
      <c r="B1043208" s="24"/>
      <c r="C1043208" s="24"/>
      <c r="D1043208" s="24"/>
      <c r="E1043208" s="24"/>
      <c r="F1043208" s="24"/>
      <c r="G1043208" s="24"/>
      <c r="H1043208" s="24"/>
      <c r="I1043208" s="24"/>
      <c r="J1043208" s="24"/>
      <c r="K1043208" s="54"/>
    </row>
    <row r="1043209" spans="1:11" s="55" customFormat="1" ht="12.75">
      <c r="A1043209" s="24"/>
      <c r="B1043209" s="24"/>
      <c r="C1043209" s="24"/>
      <c r="D1043209" s="24"/>
      <c r="E1043209" s="24"/>
      <c r="F1043209" s="24"/>
      <c r="G1043209" s="24"/>
      <c r="H1043209" s="24"/>
      <c r="I1043209" s="24"/>
      <c r="J1043209" s="24"/>
      <c r="K1043209" s="54"/>
    </row>
    <row r="1043210" spans="1:11" s="55" customFormat="1" ht="12.75">
      <c r="A1043210" s="24"/>
      <c r="B1043210" s="24"/>
      <c r="C1043210" s="24"/>
      <c r="D1043210" s="24"/>
      <c r="E1043210" s="24"/>
      <c r="F1043210" s="24"/>
      <c r="G1043210" s="24"/>
      <c r="H1043210" s="24"/>
      <c r="I1043210" s="24"/>
      <c r="J1043210" s="24"/>
      <c r="K1043210" s="54"/>
    </row>
    <row r="1043211" spans="1:11" s="55" customFormat="1" ht="12.75">
      <c r="A1043211" s="24"/>
      <c r="B1043211" s="24"/>
      <c r="C1043211" s="24"/>
      <c r="D1043211" s="24"/>
      <c r="E1043211" s="24"/>
      <c r="F1043211" s="24"/>
      <c r="G1043211" s="24"/>
      <c r="H1043211" s="24"/>
      <c r="I1043211" s="24"/>
      <c r="J1043211" s="24"/>
      <c r="K1043211" s="54"/>
    </row>
    <row r="1043212" spans="1:11" s="55" customFormat="1" ht="12.75">
      <c r="A1043212" s="24"/>
      <c r="B1043212" s="24"/>
      <c r="C1043212" s="24"/>
      <c r="D1043212" s="24"/>
      <c r="E1043212" s="24"/>
      <c r="F1043212" s="24"/>
      <c r="G1043212" s="24"/>
      <c r="H1043212" s="24"/>
      <c r="I1043212" s="24"/>
      <c r="J1043212" s="24"/>
      <c r="K1043212" s="54"/>
    </row>
    <row r="1043213" spans="1:11" s="55" customFormat="1" ht="12.75">
      <c r="A1043213" s="24"/>
      <c r="B1043213" s="24"/>
      <c r="C1043213" s="24"/>
      <c r="D1043213" s="24"/>
      <c r="E1043213" s="24"/>
      <c r="F1043213" s="24"/>
      <c r="G1043213" s="24"/>
      <c r="H1043213" s="24"/>
      <c r="I1043213" s="24"/>
      <c r="J1043213" s="24"/>
      <c r="K1043213" s="54"/>
    </row>
    <row r="1043214" spans="1:11" s="55" customFormat="1" ht="12.75">
      <c r="A1043214" s="24"/>
      <c r="B1043214" s="24"/>
      <c r="C1043214" s="24"/>
      <c r="D1043214" s="24"/>
      <c r="E1043214" s="24"/>
      <c r="F1043214" s="24"/>
      <c r="G1043214" s="24"/>
      <c r="H1043214" s="24"/>
      <c r="I1043214" s="24"/>
      <c r="J1043214" s="24"/>
      <c r="K1043214" s="54"/>
    </row>
    <row r="1043215" spans="1:11" s="55" customFormat="1" ht="12.75">
      <c r="A1043215" s="24"/>
      <c r="B1043215" s="24"/>
      <c r="C1043215" s="24"/>
      <c r="D1043215" s="24"/>
      <c r="E1043215" s="24"/>
      <c r="F1043215" s="24"/>
      <c r="G1043215" s="24"/>
      <c r="H1043215" s="24"/>
      <c r="I1043215" s="24"/>
      <c r="J1043215" s="24"/>
      <c r="K1043215" s="54"/>
    </row>
    <row r="1043216" spans="1:11" s="55" customFormat="1" ht="12.75">
      <c r="A1043216" s="24"/>
      <c r="B1043216" s="24"/>
      <c r="C1043216" s="24"/>
      <c r="D1043216" s="24"/>
      <c r="E1043216" s="24"/>
      <c r="F1043216" s="24"/>
      <c r="G1043216" s="24"/>
      <c r="H1043216" s="24"/>
      <c r="I1043216" s="24"/>
      <c r="J1043216" s="24"/>
      <c r="K1043216" s="54"/>
    </row>
    <row r="1043217" spans="1:11" s="55" customFormat="1" ht="12.75">
      <c r="A1043217" s="24"/>
      <c r="B1043217" s="24"/>
      <c r="C1043217" s="24"/>
      <c r="D1043217" s="24"/>
      <c r="E1043217" s="24"/>
      <c r="F1043217" s="24"/>
      <c r="G1043217" s="24"/>
      <c r="H1043217" s="24"/>
      <c r="I1043217" s="24"/>
      <c r="J1043217" s="24"/>
      <c r="K1043217" s="54"/>
    </row>
    <row r="1043218" spans="1:11" s="55" customFormat="1" ht="12.75">
      <c r="A1043218" s="24"/>
      <c r="B1043218" s="24"/>
      <c r="C1043218" s="24"/>
      <c r="D1043218" s="24"/>
      <c r="E1043218" s="24"/>
      <c r="F1043218" s="24"/>
      <c r="G1043218" s="24"/>
      <c r="H1043218" s="24"/>
      <c r="I1043218" s="24"/>
      <c r="J1043218" s="24"/>
      <c r="K1043218" s="54"/>
    </row>
    <row r="1043219" spans="1:11" s="55" customFormat="1" ht="12.75">
      <c r="A1043219" s="24"/>
      <c r="B1043219" s="24"/>
      <c r="C1043219" s="24"/>
      <c r="D1043219" s="24"/>
      <c r="E1043219" s="24"/>
      <c r="F1043219" s="24"/>
      <c r="G1043219" s="24"/>
      <c r="H1043219" s="24"/>
      <c r="I1043219" s="24"/>
      <c r="J1043219" s="24"/>
      <c r="K1043219" s="54"/>
    </row>
    <row r="1043220" spans="1:11" s="55" customFormat="1" ht="12.75">
      <c r="A1043220" s="24"/>
      <c r="B1043220" s="24"/>
      <c r="C1043220" s="24"/>
      <c r="D1043220" s="24"/>
      <c r="E1043220" s="24"/>
      <c r="F1043220" s="24"/>
      <c r="G1043220" s="24"/>
      <c r="H1043220" s="24"/>
      <c r="I1043220" s="24"/>
      <c r="J1043220" s="24"/>
      <c r="K1043220" s="54"/>
    </row>
    <row r="1043221" spans="1:11" s="55" customFormat="1" ht="12.75">
      <c r="A1043221" s="24"/>
      <c r="B1043221" s="24"/>
      <c r="C1043221" s="24"/>
      <c r="D1043221" s="24"/>
      <c r="E1043221" s="24"/>
      <c r="F1043221" s="24"/>
      <c r="G1043221" s="24"/>
      <c r="H1043221" s="24"/>
      <c r="I1043221" s="24"/>
      <c r="J1043221" s="24"/>
      <c r="K1043221" s="54"/>
    </row>
    <row r="1043222" spans="1:11" s="55" customFormat="1" ht="12.75">
      <c r="A1043222" s="24"/>
      <c r="B1043222" s="24"/>
      <c r="C1043222" s="24"/>
      <c r="D1043222" s="24"/>
      <c r="E1043222" s="24"/>
      <c r="F1043222" s="24"/>
      <c r="G1043222" s="24"/>
      <c r="H1043222" s="24"/>
      <c r="I1043222" s="24"/>
      <c r="J1043222" s="24"/>
      <c r="K1043222" s="54"/>
    </row>
    <row r="1043223" spans="1:11" s="55" customFormat="1" ht="12.75">
      <c r="A1043223" s="24"/>
      <c r="B1043223" s="24"/>
      <c r="C1043223" s="24"/>
      <c r="D1043223" s="24"/>
      <c r="E1043223" s="24"/>
      <c r="F1043223" s="24"/>
      <c r="G1043223" s="24"/>
      <c r="H1043223" s="24"/>
      <c r="I1043223" s="24"/>
      <c r="J1043223" s="24"/>
      <c r="K1043223" s="54"/>
    </row>
    <row r="1043224" spans="1:11" s="55" customFormat="1" ht="12.75">
      <c r="A1043224" s="24"/>
      <c r="B1043224" s="24"/>
      <c r="C1043224" s="24"/>
      <c r="D1043224" s="24"/>
      <c r="E1043224" s="24"/>
      <c r="F1043224" s="24"/>
      <c r="G1043224" s="24"/>
      <c r="H1043224" s="24"/>
      <c r="I1043224" s="24"/>
      <c r="J1043224" s="24"/>
      <c r="K1043224" s="54"/>
    </row>
    <row r="1043225" spans="1:11" s="55" customFormat="1" ht="12.75">
      <c r="A1043225" s="24"/>
      <c r="B1043225" s="24"/>
      <c r="C1043225" s="24"/>
      <c r="D1043225" s="24"/>
      <c r="E1043225" s="24"/>
      <c r="F1043225" s="24"/>
      <c r="G1043225" s="24"/>
      <c r="H1043225" s="24"/>
      <c r="I1043225" s="24"/>
      <c r="J1043225" s="24"/>
      <c r="K1043225" s="54"/>
    </row>
    <row r="1043226" spans="1:11" s="55" customFormat="1" ht="12.75">
      <c r="A1043226" s="24"/>
      <c r="B1043226" s="24"/>
      <c r="C1043226" s="24"/>
      <c r="D1043226" s="24"/>
      <c r="E1043226" s="24"/>
      <c r="F1043226" s="24"/>
      <c r="G1043226" s="24"/>
      <c r="H1043226" s="24"/>
      <c r="I1043226" s="24"/>
      <c r="J1043226" s="24"/>
      <c r="K1043226" s="54"/>
    </row>
    <row r="1043227" spans="1:11" s="55" customFormat="1" ht="12.75">
      <c r="A1043227" s="24"/>
      <c r="B1043227" s="24"/>
      <c r="C1043227" s="24"/>
      <c r="D1043227" s="24"/>
      <c r="E1043227" s="24"/>
      <c r="F1043227" s="24"/>
      <c r="G1043227" s="24"/>
      <c r="H1043227" s="24"/>
      <c r="I1043227" s="24"/>
      <c r="J1043227" s="24"/>
      <c r="K1043227" s="54"/>
    </row>
    <row r="1043228" spans="1:11" s="55" customFormat="1" ht="12.75">
      <c r="A1043228" s="24"/>
      <c r="B1043228" s="24"/>
      <c r="C1043228" s="24"/>
      <c r="D1043228" s="24"/>
      <c r="E1043228" s="24"/>
      <c r="F1043228" s="24"/>
      <c r="G1043228" s="24"/>
      <c r="H1043228" s="24"/>
      <c r="I1043228" s="24"/>
      <c r="J1043228" s="24"/>
      <c r="K1043228" s="54"/>
    </row>
    <row r="1043229" spans="1:11" s="55" customFormat="1" ht="12.75">
      <c r="A1043229" s="24"/>
      <c r="B1043229" s="24"/>
      <c r="C1043229" s="24"/>
      <c r="D1043229" s="24"/>
      <c r="E1043229" s="24"/>
      <c r="F1043229" s="24"/>
      <c r="G1043229" s="24"/>
      <c r="H1043229" s="24"/>
      <c r="I1043229" s="24"/>
      <c r="J1043229" s="24"/>
      <c r="K1043229" s="54"/>
    </row>
    <row r="1043230" spans="1:11" s="55" customFormat="1" ht="12.75">
      <c r="A1043230" s="24"/>
      <c r="B1043230" s="24"/>
      <c r="C1043230" s="24"/>
      <c r="D1043230" s="24"/>
      <c r="E1043230" s="24"/>
      <c r="F1043230" s="24"/>
      <c r="G1043230" s="24"/>
      <c r="H1043230" s="24"/>
      <c r="I1043230" s="24"/>
      <c r="J1043230" s="24"/>
      <c r="K1043230" s="54"/>
    </row>
    <row r="1043231" spans="1:11" s="55" customFormat="1" ht="12.75">
      <c r="A1043231" s="24"/>
      <c r="B1043231" s="24"/>
      <c r="C1043231" s="24"/>
      <c r="D1043231" s="24"/>
      <c r="E1043231" s="24"/>
      <c r="F1043231" s="24"/>
      <c r="G1043231" s="24"/>
      <c r="H1043231" s="24"/>
      <c r="I1043231" s="24"/>
      <c r="J1043231" s="24"/>
      <c r="K1043231" s="54"/>
    </row>
    <row r="1043232" spans="1:11" s="55" customFormat="1" ht="12.75">
      <c r="A1043232" s="24"/>
      <c r="B1043232" s="24"/>
      <c r="C1043232" s="24"/>
      <c r="D1043232" s="24"/>
      <c r="E1043232" s="24"/>
      <c r="F1043232" s="24"/>
      <c r="G1043232" s="24"/>
      <c r="H1043232" s="24"/>
      <c r="I1043232" s="24"/>
      <c r="J1043232" s="24"/>
      <c r="K1043232" s="54"/>
    </row>
    <row r="1043233" spans="1:11" s="55" customFormat="1" ht="12.75">
      <c r="A1043233" s="24"/>
      <c r="B1043233" s="24"/>
      <c r="C1043233" s="24"/>
      <c r="D1043233" s="24"/>
      <c r="E1043233" s="24"/>
      <c r="F1043233" s="24"/>
      <c r="G1043233" s="24"/>
      <c r="H1043233" s="24"/>
      <c r="I1043233" s="24"/>
      <c r="J1043233" s="24"/>
      <c r="K1043233" s="54"/>
    </row>
    <row r="1043234" spans="1:11" s="55" customFormat="1" ht="12.75">
      <c r="A1043234" s="24"/>
      <c r="B1043234" s="24"/>
      <c r="C1043234" s="24"/>
      <c r="D1043234" s="24"/>
      <c r="E1043234" s="24"/>
      <c r="F1043234" s="24"/>
      <c r="G1043234" s="24"/>
      <c r="H1043234" s="24"/>
      <c r="I1043234" s="24"/>
      <c r="J1043234" s="24"/>
      <c r="K1043234" s="54"/>
    </row>
    <row r="1043235" spans="1:11" s="55" customFormat="1" ht="12.75">
      <c r="A1043235" s="24"/>
      <c r="B1043235" s="24"/>
      <c r="C1043235" s="24"/>
      <c r="D1043235" s="24"/>
      <c r="E1043235" s="24"/>
      <c r="F1043235" s="24"/>
      <c r="G1043235" s="24"/>
      <c r="H1043235" s="24"/>
      <c r="I1043235" s="24"/>
      <c r="J1043235" s="24"/>
      <c r="K1043235" s="54"/>
    </row>
    <row r="1043236" spans="1:11" s="55" customFormat="1" ht="12.75">
      <c r="A1043236" s="24"/>
      <c r="B1043236" s="24"/>
      <c r="C1043236" s="24"/>
      <c r="D1043236" s="24"/>
      <c r="E1043236" s="24"/>
      <c r="F1043236" s="24"/>
      <c r="G1043236" s="24"/>
      <c r="H1043236" s="24"/>
      <c r="I1043236" s="24"/>
      <c r="J1043236" s="24"/>
      <c r="K1043236" s="54"/>
    </row>
    <row r="1043237" spans="1:11" s="55" customFormat="1" ht="12.75">
      <c r="A1043237" s="24"/>
      <c r="B1043237" s="24"/>
      <c r="C1043237" s="24"/>
      <c r="D1043237" s="24"/>
      <c r="E1043237" s="24"/>
      <c r="F1043237" s="24"/>
      <c r="G1043237" s="24"/>
      <c r="H1043237" s="24"/>
      <c r="I1043237" s="24"/>
      <c r="J1043237" s="24"/>
      <c r="K1043237" s="54"/>
    </row>
    <row r="1043238" spans="1:11" s="55" customFormat="1" ht="12.75">
      <c r="A1043238" s="24"/>
      <c r="B1043238" s="24"/>
      <c r="C1043238" s="24"/>
      <c r="D1043238" s="24"/>
      <c r="E1043238" s="24"/>
      <c r="F1043238" s="24"/>
      <c r="G1043238" s="24"/>
      <c r="H1043238" s="24"/>
      <c r="I1043238" s="24"/>
      <c r="J1043238" s="24"/>
      <c r="K1043238" s="54"/>
    </row>
    <row r="1043239" spans="1:11" s="55" customFormat="1" ht="12.75">
      <c r="A1043239" s="24"/>
      <c r="B1043239" s="24"/>
      <c r="C1043239" s="24"/>
      <c r="D1043239" s="24"/>
      <c r="E1043239" s="24"/>
      <c r="F1043239" s="24"/>
      <c r="G1043239" s="24"/>
      <c r="H1043239" s="24"/>
      <c r="I1043239" s="24"/>
      <c r="J1043239" s="24"/>
      <c r="K1043239" s="54"/>
    </row>
    <row r="1043240" spans="1:11" s="55" customFormat="1" ht="12.75">
      <c r="A1043240" s="24"/>
      <c r="B1043240" s="24"/>
      <c r="C1043240" s="24"/>
      <c r="D1043240" s="24"/>
      <c r="E1043240" s="24"/>
      <c r="F1043240" s="24"/>
      <c r="G1043240" s="24"/>
      <c r="H1043240" s="24"/>
      <c r="I1043240" s="24"/>
      <c r="J1043240" s="24"/>
      <c r="K1043240" s="54"/>
    </row>
    <row r="1043241" spans="1:11" s="55" customFormat="1" ht="12.75">
      <c r="A1043241" s="24"/>
      <c r="B1043241" s="24"/>
      <c r="C1043241" s="24"/>
      <c r="D1043241" s="24"/>
      <c r="E1043241" s="24"/>
      <c r="F1043241" s="24"/>
      <c r="G1043241" s="24"/>
      <c r="H1043241" s="24"/>
      <c r="I1043241" s="24"/>
      <c r="J1043241" s="24"/>
      <c r="K1043241" s="54"/>
    </row>
    <row r="1043242" spans="1:11" s="55" customFormat="1" ht="12.75">
      <c r="A1043242" s="24"/>
      <c r="B1043242" s="24"/>
      <c r="C1043242" s="24"/>
      <c r="D1043242" s="24"/>
      <c r="E1043242" s="24"/>
      <c r="F1043242" s="24"/>
      <c r="G1043242" s="24"/>
      <c r="H1043242" s="24"/>
      <c r="I1043242" s="24"/>
      <c r="J1043242" s="24"/>
      <c r="K1043242" s="54"/>
    </row>
    <row r="1043243" spans="1:11" s="55" customFormat="1" ht="12.75">
      <c r="A1043243" s="24"/>
      <c r="B1043243" s="24"/>
      <c r="C1043243" s="24"/>
      <c r="D1043243" s="24"/>
      <c r="E1043243" s="24"/>
      <c r="F1043243" s="24"/>
      <c r="G1043243" s="24"/>
      <c r="H1043243" s="24"/>
      <c r="I1043243" s="24"/>
      <c r="J1043243" s="24"/>
      <c r="K1043243" s="54"/>
    </row>
    <row r="1043244" spans="1:11" s="55" customFormat="1" ht="12.75">
      <c r="A1043244" s="24"/>
      <c r="B1043244" s="24"/>
      <c r="C1043244" s="24"/>
      <c r="D1043244" s="24"/>
      <c r="E1043244" s="24"/>
      <c r="F1043244" s="24"/>
      <c r="G1043244" s="24"/>
      <c r="H1043244" s="24"/>
      <c r="I1043244" s="24"/>
      <c r="J1043244" s="24"/>
      <c r="K1043244" s="54"/>
    </row>
    <row r="1043245" spans="1:11" s="55" customFormat="1" ht="12.75">
      <c r="A1043245" s="24"/>
      <c r="B1043245" s="24"/>
      <c r="C1043245" s="24"/>
      <c r="D1043245" s="24"/>
      <c r="E1043245" s="24"/>
      <c r="F1043245" s="24"/>
      <c r="G1043245" s="24"/>
      <c r="H1043245" s="24"/>
      <c r="I1043245" s="24"/>
      <c r="J1043245" s="24"/>
      <c r="K1043245" s="54"/>
    </row>
    <row r="1043246" spans="1:11" s="55" customFormat="1" ht="12.75">
      <c r="A1043246" s="24"/>
      <c r="B1043246" s="24"/>
      <c r="C1043246" s="24"/>
      <c r="D1043246" s="24"/>
      <c r="E1043246" s="24"/>
      <c r="F1043246" s="24"/>
      <c r="G1043246" s="24"/>
      <c r="H1043246" s="24"/>
      <c r="I1043246" s="24"/>
      <c r="J1043246" s="24"/>
      <c r="K1043246" s="54"/>
    </row>
    <row r="1043247" spans="1:11" s="55" customFormat="1" ht="12.75">
      <c r="A1043247" s="24"/>
      <c r="B1043247" s="24"/>
      <c r="C1043247" s="24"/>
      <c r="D1043247" s="24"/>
      <c r="E1043247" s="24"/>
      <c r="F1043247" s="24"/>
      <c r="G1043247" s="24"/>
      <c r="H1043247" s="24"/>
      <c r="I1043247" s="24"/>
      <c r="J1043247" s="24"/>
      <c r="K1043247" s="54"/>
    </row>
    <row r="1043248" spans="1:11" s="55" customFormat="1" ht="12.75">
      <c r="A1043248" s="24"/>
      <c r="B1043248" s="24"/>
      <c r="C1043248" s="24"/>
      <c r="D1043248" s="24"/>
      <c r="E1043248" s="24"/>
      <c r="F1043248" s="24"/>
      <c r="G1043248" s="24"/>
      <c r="H1043248" s="24"/>
      <c r="I1043248" s="24"/>
      <c r="J1043248" s="24"/>
      <c r="K1043248" s="54"/>
    </row>
    <row r="1043249" spans="1:11" s="55" customFormat="1" ht="12.75">
      <c r="A1043249" s="24"/>
      <c r="B1043249" s="24"/>
      <c r="C1043249" s="24"/>
      <c r="D1043249" s="24"/>
      <c r="E1043249" s="24"/>
      <c r="F1043249" s="24"/>
      <c r="G1043249" s="24"/>
      <c r="H1043249" s="24"/>
      <c r="I1043249" s="24"/>
      <c r="J1043249" s="24"/>
      <c r="K1043249" s="54"/>
    </row>
    <row r="1043250" spans="1:11" s="55" customFormat="1" ht="12.75">
      <c r="A1043250" s="24"/>
      <c r="B1043250" s="24"/>
      <c r="C1043250" s="24"/>
      <c r="D1043250" s="24"/>
      <c r="E1043250" s="24"/>
      <c r="F1043250" s="24"/>
      <c r="G1043250" s="24"/>
      <c r="H1043250" s="24"/>
      <c r="I1043250" s="24"/>
      <c r="J1043250" s="24"/>
      <c r="K1043250" s="54"/>
    </row>
    <row r="1043251" spans="1:11" s="55" customFormat="1" ht="12.75">
      <c r="A1043251" s="24"/>
      <c r="B1043251" s="24"/>
      <c r="C1043251" s="24"/>
      <c r="D1043251" s="24"/>
      <c r="E1043251" s="24"/>
      <c r="F1043251" s="24"/>
      <c r="G1043251" s="24"/>
      <c r="H1043251" s="24"/>
      <c r="I1043251" s="24"/>
      <c r="J1043251" s="24"/>
      <c r="K1043251" s="54"/>
    </row>
    <row r="1043252" spans="1:11" s="55" customFormat="1" ht="12.75">
      <c r="A1043252" s="24"/>
      <c r="B1043252" s="24"/>
      <c r="C1043252" s="24"/>
      <c r="D1043252" s="24"/>
      <c r="E1043252" s="24"/>
      <c r="F1043252" s="24"/>
      <c r="G1043252" s="24"/>
      <c r="H1043252" s="24"/>
      <c r="I1043252" s="24"/>
      <c r="J1043252" s="24"/>
      <c r="K1043252" s="54"/>
    </row>
    <row r="1043253" spans="1:11" s="55" customFormat="1" ht="12.75">
      <c r="A1043253" s="24"/>
      <c r="B1043253" s="24"/>
      <c r="C1043253" s="24"/>
      <c r="D1043253" s="24"/>
      <c r="E1043253" s="24"/>
      <c r="F1043253" s="24"/>
      <c r="G1043253" s="24"/>
      <c r="H1043253" s="24"/>
      <c r="I1043253" s="24"/>
      <c r="J1043253" s="24"/>
      <c r="K1043253" s="54"/>
    </row>
    <row r="1043254" spans="1:11" s="55" customFormat="1" ht="12.75">
      <c r="A1043254" s="24"/>
      <c r="B1043254" s="24"/>
      <c r="C1043254" s="24"/>
      <c r="D1043254" s="24"/>
      <c r="E1043254" s="24"/>
      <c r="F1043254" s="24"/>
      <c r="G1043254" s="24"/>
      <c r="H1043254" s="24"/>
      <c r="I1043254" s="24"/>
      <c r="J1043254" s="24"/>
      <c r="K1043254" s="54"/>
    </row>
    <row r="1043255" spans="1:11" s="55" customFormat="1" ht="12.75">
      <c r="A1043255" s="24"/>
      <c r="B1043255" s="24"/>
      <c r="C1043255" s="24"/>
      <c r="D1043255" s="24"/>
      <c r="E1043255" s="24"/>
      <c r="F1043255" s="24"/>
      <c r="G1043255" s="24"/>
      <c r="H1043255" s="24"/>
      <c r="I1043255" s="24"/>
      <c r="J1043255" s="24"/>
      <c r="K1043255" s="54"/>
    </row>
    <row r="1043256" spans="1:11" s="55" customFormat="1" ht="12.75">
      <c r="A1043256" s="24"/>
      <c r="B1043256" s="24"/>
      <c r="C1043256" s="24"/>
      <c r="D1043256" s="24"/>
      <c r="E1043256" s="24"/>
      <c r="F1043256" s="24"/>
      <c r="G1043256" s="24"/>
      <c r="H1043256" s="24"/>
      <c r="I1043256" s="24"/>
      <c r="J1043256" s="24"/>
      <c r="K1043256" s="54"/>
    </row>
    <row r="1043257" spans="1:11" s="55" customFormat="1" ht="12.75">
      <c r="A1043257" s="24"/>
      <c r="B1043257" s="24"/>
      <c r="C1043257" s="24"/>
      <c r="D1043257" s="24"/>
      <c r="E1043257" s="24"/>
      <c r="F1043257" s="24"/>
      <c r="G1043257" s="24"/>
      <c r="H1043257" s="24"/>
      <c r="I1043257" s="24"/>
      <c r="J1043257" s="24"/>
      <c r="K1043257" s="54"/>
    </row>
    <row r="1043258" spans="1:11" s="55" customFormat="1" ht="12.75">
      <c r="A1043258" s="24"/>
      <c r="B1043258" s="24"/>
      <c r="C1043258" s="24"/>
      <c r="D1043258" s="24"/>
      <c r="E1043258" s="24"/>
      <c r="F1043258" s="24"/>
      <c r="G1043258" s="24"/>
      <c r="H1043258" s="24"/>
      <c r="I1043258" s="24"/>
      <c r="J1043258" s="24"/>
      <c r="K1043258" s="54"/>
    </row>
    <row r="1043259" spans="1:11" s="55" customFormat="1" ht="12.75">
      <c r="A1043259" s="24"/>
      <c r="B1043259" s="24"/>
      <c r="C1043259" s="24"/>
      <c r="D1043259" s="24"/>
      <c r="E1043259" s="24"/>
      <c r="F1043259" s="24"/>
      <c r="G1043259" s="24"/>
      <c r="H1043259" s="24"/>
      <c r="I1043259" s="24"/>
      <c r="J1043259" s="24"/>
      <c r="K1043259" s="54"/>
    </row>
    <row r="1043260" spans="1:11" s="55" customFormat="1" ht="12.75">
      <c r="A1043260" s="24"/>
      <c r="B1043260" s="24"/>
      <c r="C1043260" s="24"/>
      <c r="D1043260" s="24"/>
      <c r="E1043260" s="24"/>
      <c r="F1043260" s="24"/>
      <c r="G1043260" s="24"/>
      <c r="H1043260" s="24"/>
      <c r="I1043260" s="24"/>
      <c r="J1043260" s="24"/>
      <c r="K1043260" s="54"/>
    </row>
    <row r="1043261" spans="1:11" s="55" customFormat="1" ht="12.75">
      <c r="A1043261" s="24"/>
      <c r="B1043261" s="24"/>
      <c r="C1043261" s="24"/>
      <c r="D1043261" s="24"/>
      <c r="E1043261" s="24"/>
      <c r="F1043261" s="24"/>
      <c r="G1043261" s="24"/>
      <c r="H1043261" s="24"/>
      <c r="I1043261" s="24"/>
      <c r="J1043261" s="24"/>
      <c r="K1043261" s="54"/>
    </row>
    <row r="1043262" spans="1:11" s="55" customFormat="1" ht="12.75">
      <c r="A1043262" s="24"/>
      <c r="B1043262" s="24"/>
      <c r="C1043262" s="24"/>
      <c r="D1043262" s="24"/>
      <c r="E1043262" s="24"/>
      <c r="F1043262" s="24"/>
      <c r="G1043262" s="24"/>
      <c r="H1043262" s="24"/>
      <c r="I1043262" s="24"/>
      <c r="J1043262" s="24"/>
      <c r="K1043262" s="54"/>
    </row>
    <row r="1043263" spans="1:11" s="55" customFormat="1" ht="12.75">
      <c r="A1043263" s="24"/>
      <c r="B1043263" s="24"/>
      <c r="C1043263" s="24"/>
      <c r="D1043263" s="24"/>
      <c r="E1043263" s="24"/>
      <c r="F1043263" s="24"/>
      <c r="G1043263" s="24"/>
      <c r="H1043263" s="24"/>
      <c r="I1043263" s="24"/>
      <c r="J1043263" s="24"/>
      <c r="K1043263" s="54"/>
    </row>
    <row r="1043264" spans="1:11" s="55" customFormat="1" ht="12.75">
      <c r="A1043264" s="24"/>
      <c r="B1043264" s="24"/>
      <c r="C1043264" s="24"/>
      <c r="D1043264" s="24"/>
      <c r="E1043264" s="24"/>
      <c r="F1043264" s="24"/>
      <c r="G1043264" s="24"/>
      <c r="H1043264" s="24"/>
      <c r="I1043264" s="24"/>
      <c r="J1043264" s="24"/>
      <c r="K1043264" s="54"/>
    </row>
    <row r="1043265" spans="1:11" s="55" customFormat="1" ht="12.75">
      <c r="A1043265" s="24"/>
      <c r="B1043265" s="24"/>
      <c r="C1043265" s="24"/>
      <c r="D1043265" s="24"/>
      <c r="E1043265" s="24"/>
      <c r="F1043265" s="24"/>
      <c r="G1043265" s="24"/>
      <c r="H1043265" s="24"/>
      <c r="I1043265" s="24"/>
      <c r="J1043265" s="24"/>
      <c r="K1043265" s="54"/>
    </row>
    <row r="1043266" spans="1:11" s="55" customFormat="1" ht="12.75">
      <c r="A1043266" s="24"/>
      <c r="B1043266" s="24"/>
      <c r="C1043266" s="24"/>
      <c r="D1043266" s="24"/>
      <c r="E1043266" s="24"/>
      <c r="F1043266" s="24"/>
      <c r="G1043266" s="24"/>
      <c r="H1043266" s="24"/>
      <c r="I1043266" s="24"/>
      <c r="J1043266" s="24"/>
      <c r="K1043266" s="54"/>
    </row>
    <row r="1043267" spans="1:11" s="55" customFormat="1" ht="12.75">
      <c r="A1043267" s="24"/>
      <c r="B1043267" s="24"/>
      <c r="C1043267" s="24"/>
      <c r="D1043267" s="24"/>
      <c r="E1043267" s="24"/>
      <c r="F1043267" s="24"/>
      <c r="G1043267" s="24"/>
      <c r="H1043267" s="24"/>
      <c r="I1043267" s="24"/>
      <c r="J1043267" s="24"/>
      <c r="K1043267" s="54"/>
    </row>
    <row r="1043268" spans="1:11" s="55" customFormat="1" ht="12.75">
      <c r="A1043268" s="24"/>
      <c r="B1043268" s="24"/>
      <c r="C1043268" s="24"/>
      <c r="D1043268" s="24"/>
      <c r="E1043268" s="24"/>
      <c r="F1043268" s="24"/>
      <c r="G1043268" s="24"/>
      <c r="H1043268" s="24"/>
      <c r="I1043268" s="24"/>
      <c r="J1043268" s="24"/>
      <c r="K1043268" s="54"/>
    </row>
    <row r="1043269" spans="1:11" s="55" customFormat="1" ht="12.75">
      <c r="A1043269" s="24"/>
      <c r="B1043269" s="24"/>
      <c r="C1043269" s="24"/>
      <c r="D1043269" s="24"/>
      <c r="E1043269" s="24"/>
      <c r="F1043269" s="24"/>
      <c r="G1043269" s="24"/>
      <c r="H1043269" s="24"/>
      <c r="I1043269" s="24"/>
      <c r="J1043269" s="24"/>
      <c r="K1043269" s="54"/>
    </row>
    <row r="1043270" spans="1:11" s="55" customFormat="1" ht="12.75">
      <c r="A1043270" s="24"/>
      <c r="B1043270" s="24"/>
      <c r="C1043270" s="24"/>
      <c r="D1043270" s="24"/>
      <c r="E1043270" s="24"/>
      <c r="F1043270" s="24"/>
      <c r="G1043270" s="24"/>
      <c r="H1043270" s="24"/>
      <c r="I1043270" s="24"/>
      <c r="J1043270" s="24"/>
      <c r="K1043270" s="54"/>
    </row>
    <row r="1043271" spans="1:11" s="55" customFormat="1" ht="12.75">
      <c r="A1043271" s="24"/>
      <c r="B1043271" s="24"/>
      <c r="C1043271" s="24"/>
      <c r="D1043271" s="24"/>
      <c r="E1043271" s="24"/>
      <c r="F1043271" s="24"/>
      <c r="G1043271" s="24"/>
      <c r="H1043271" s="24"/>
      <c r="I1043271" s="24"/>
      <c r="J1043271" s="24"/>
      <c r="K1043271" s="54"/>
    </row>
    <row r="1043272" spans="1:11" s="55" customFormat="1" ht="12.75">
      <c r="A1043272" s="24"/>
      <c r="B1043272" s="24"/>
      <c r="C1043272" s="24"/>
      <c r="D1043272" s="24"/>
      <c r="E1043272" s="24"/>
      <c r="F1043272" s="24"/>
      <c r="G1043272" s="24"/>
      <c r="H1043272" s="24"/>
      <c r="I1043272" s="24"/>
      <c r="J1043272" s="24"/>
      <c r="K1043272" s="54"/>
    </row>
    <row r="1043273" spans="1:11" s="55" customFormat="1" ht="12.75">
      <c r="A1043273" s="24"/>
      <c r="B1043273" s="24"/>
      <c r="C1043273" s="24"/>
      <c r="D1043273" s="24"/>
      <c r="E1043273" s="24"/>
      <c r="F1043273" s="24"/>
      <c r="G1043273" s="24"/>
      <c r="H1043273" s="24"/>
      <c r="I1043273" s="24"/>
      <c r="J1043273" s="24"/>
      <c r="K1043273" s="54"/>
    </row>
    <row r="1043274" spans="1:11" s="55" customFormat="1" ht="12.75">
      <c r="A1043274" s="24"/>
      <c r="B1043274" s="24"/>
      <c r="C1043274" s="24"/>
      <c r="D1043274" s="24"/>
      <c r="E1043274" s="24"/>
      <c r="F1043274" s="24"/>
      <c r="G1043274" s="24"/>
      <c r="H1043274" s="24"/>
      <c r="I1043274" s="24"/>
      <c r="J1043274" s="24"/>
      <c r="K1043274" s="54"/>
    </row>
    <row r="1043275" spans="1:11" s="55" customFormat="1" ht="12.75">
      <c r="A1043275" s="24"/>
      <c r="B1043275" s="24"/>
      <c r="C1043275" s="24"/>
      <c r="D1043275" s="24"/>
      <c r="E1043275" s="24"/>
      <c r="F1043275" s="24"/>
      <c r="G1043275" s="24"/>
      <c r="H1043275" s="24"/>
      <c r="I1043275" s="24"/>
      <c r="J1043275" s="24"/>
      <c r="K1043275" s="54"/>
    </row>
    <row r="1043276" spans="1:11" s="55" customFormat="1" ht="12.75">
      <c r="A1043276" s="24"/>
      <c r="B1043276" s="24"/>
      <c r="C1043276" s="24"/>
      <c r="D1043276" s="24"/>
      <c r="E1043276" s="24"/>
      <c r="F1043276" s="24"/>
      <c r="G1043276" s="24"/>
      <c r="H1043276" s="24"/>
      <c r="I1043276" s="24"/>
      <c r="J1043276" s="24"/>
      <c r="K1043276" s="54"/>
    </row>
    <row r="1043277" spans="1:11" s="55" customFormat="1" ht="12.75">
      <c r="A1043277" s="24"/>
      <c r="B1043277" s="24"/>
      <c r="C1043277" s="24"/>
      <c r="D1043277" s="24"/>
      <c r="E1043277" s="24"/>
      <c r="F1043277" s="24"/>
      <c r="G1043277" s="24"/>
      <c r="H1043277" s="24"/>
      <c r="I1043277" s="24"/>
      <c r="J1043277" s="24"/>
      <c r="K1043277" s="54"/>
    </row>
    <row r="1043278" spans="1:11" s="55" customFormat="1" ht="12.75">
      <c r="A1043278" s="24"/>
      <c r="B1043278" s="24"/>
      <c r="C1043278" s="24"/>
      <c r="D1043278" s="24"/>
      <c r="E1043278" s="24"/>
      <c r="F1043278" s="24"/>
      <c r="G1043278" s="24"/>
      <c r="H1043278" s="24"/>
      <c r="I1043278" s="24"/>
      <c r="J1043278" s="24"/>
      <c r="K1043278" s="54"/>
    </row>
    <row r="1043279" spans="1:11" s="55" customFormat="1" ht="12.75">
      <c r="A1043279" s="24"/>
      <c r="B1043279" s="24"/>
      <c r="C1043279" s="24"/>
      <c r="D1043279" s="24"/>
      <c r="E1043279" s="24"/>
      <c r="F1043279" s="24"/>
      <c r="G1043279" s="24"/>
      <c r="H1043279" s="24"/>
      <c r="I1043279" s="24"/>
      <c r="J1043279" s="24"/>
      <c r="K1043279" s="54"/>
    </row>
    <row r="1043280" spans="1:11" s="55" customFormat="1" ht="12.75">
      <c r="A1043280" s="24"/>
      <c r="B1043280" s="24"/>
      <c r="C1043280" s="24"/>
      <c r="D1043280" s="24"/>
      <c r="E1043280" s="24"/>
      <c r="F1043280" s="24"/>
      <c r="G1043280" s="24"/>
      <c r="H1043280" s="24"/>
      <c r="I1043280" s="24"/>
      <c r="J1043280" s="24"/>
      <c r="K1043280" s="54"/>
    </row>
    <row r="1043281" spans="1:11" s="55" customFormat="1" ht="12.75">
      <c r="A1043281" s="24"/>
      <c r="B1043281" s="24"/>
      <c r="C1043281" s="24"/>
      <c r="D1043281" s="24"/>
      <c r="E1043281" s="24"/>
      <c r="F1043281" s="24"/>
      <c r="G1043281" s="24"/>
      <c r="H1043281" s="24"/>
      <c r="I1043281" s="24"/>
      <c r="J1043281" s="24"/>
      <c r="K1043281" s="54"/>
    </row>
    <row r="1043282" spans="1:11" s="55" customFormat="1" ht="12.75">
      <c r="A1043282" s="24"/>
      <c r="B1043282" s="24"/>
      <c r="C1043282" s="24"/>
      <c r="D1043282" s="24"/>
      <c r="E1043282" s="24"/>
      <c r="F1043282" s="24"/>
      <c r="G1043282" s="24"/>
      <c r="H1043282" s="24"/>
      <c r="I1043282" s="24"/>
      <c r="J1043282" s="24"/>
      <c r="K1043282" s="54"/>
    </row>
    <row r="1043283" spans="1:11" s="55" customFormat="1" ht="12.75">
      <c r="A1043283" s="24"/>
      <c r="B1043283" s="24"/>
      <c r="C1043283" s="24"/>
      <c r="D1043283" s="24"/>
      <c r="E1043283" s="24"/>
      <c r="F1043283" s="24"/>
      <c r="G1043283" s="24"/>
      <c r="H1043283" s="24"/>
      <c r="I1043283" s="24"/>
      <c r="J1043283" s="24"/>
      <c r="K1043283" s="54"/>
    </row>
    <row r="1043284" spans="1:11" s="55" customFormat="1" ht="12.75">
      <c r="A1043284" s="24"/>
      <c r="B1043284" s="24"/>
      <c r="C1043284" s="24"/>
      <c r="D1043284" s="24"/>
      <c r="E1043284" s="24"/>
      <c r="F1043284" s="24"/>
      <c r="G1043284" s="24"/>
      <c r="H1043284" s="24"/>
      <c r="I1043284" s="24"/>
      <c r="J1043284" s="24"/>
      <c r="K1043284" s="54"/>
    </row>
    <row r="1043285" spans="1:11" s="55" customFormat="1" ht="12.75">
      <c r="A1043285" s="24"/>
      <c r="B1043285" s="24"/>
      <c r="C1043285" s="24"/>
      <c r="D1043285" s="24"/>
      <c r="E1043285" s="24"/>
      <c r="F1043285" s="24"/>
      <c r="G1043285" s="24"/>
      <c r="H1043285" s="24"/>
      <c r="I1043285" s="24"/>
      <c r="J1043285" s="24"/>
      <c r="K1043285" s="54"/>
    </row>
    <row r="1043286" spans="1:11" s="55" customFormat="1" ht="12.75">
      <c r="A1043286" s="24"/>
      <c r="B1043286" s="24"/>
      <c r="C1043286" s="24"/>
      <c r="D1043286" s="24"/>
      <c r="E1043286" s="24"/>
      <c r="F1043286" s="24"/>
      <c r="G1043286" s="24"/>
      <c r="H1043286" s="24"/>
      <c r="I1043286" s="24"/>
      <c r="J1043286" s="24"/>
      <c r="K1043286" s="54"/>
    </row>
    <row r="1043287" spans="1:11" s="55" customFormat="1" ht="12.75">
      <c r="A1043287" s="24"/>
      <c r="B1043287" s="24"/>
      <c r="C1043287" s="24"/>
      <c r="D1043287" s="24"/>
      <c r="E1043287" s="24"/>
      <c r="F1043287" s="24"/>
      <c r="G1043287" s="24"/>
      <c r="H1043287" s="24"/>
      <c r="I1043287" s="24"/>
      <c r="J1043287" s="24"/>
      <c r="K1043287" s="54"/>
    </row>
    <row r="1043288" spans="1:11" s="55" customFormat="1" ht="12.75">
      <c r="A1043288" s="24"/>
      <c r="B1043288" s="24"/>
      <c r="C1043288" s="24"/>
      <c r="D1043288" s="24"/>
      <c r="E1043288" s="24"/>
      <c r="F1043288" s="24"/>
      <c r="G1043288" s="24"/>
      <c r="H1043288" s="24"/>
      <c r="I1043288" s="24"/>
      <c r="J1043288" s="24"/>
      <c r="K1043288" s="54"/>
    </row>
    <row r="1043289" spans="1:11" s="55" customFormat="1" ht="12.75">
      <c r="A1043289" s="24"/>
      <c r="B1043289" s="24"/>
      <c r="C1043289" s="24"/>
      <c r="D1043289" s="24"/>
      <c r="E1043289" s="24"/>
      <c r="F1043289" s="24"/>
      <c r="G1043289" s="24"/>
      <c r="H1043289" s="24"/>
      <c r="I1043289" s="24"/>
      <c r="J1043289" s="24"/>
      <c r="K1043289" s="54"/>
    </row>
    <row r="1043290" spans="1:11" s="55" customFormat="1" ht="12.75">
      <c r="A1043290" s="24"/>
      <c r="B1043290" s="24"/>
      <c r="C1043290" s="24"/>
      <c r="D1043290" s="24"/>
      <c r="E1043290" s="24"/>
      <c r="F1043290" s="24"/>
      <c r="G1043290" s="24"/>
      <c r="H1043290" s="24"/>
      <c r="I1043290" s="24"/>
      <c r="J1043290" s="24"/>
      <c r="K1043290" s="54"/>
    </row>
    <row r="1043291" spans="1:11" s="55" customFormat="1" ht="12.75">
      <c r="A1043291" s="24"/>
      <c r="B1043291" s="24"/>
      <c r="C1043291" s="24"/>
      <c r="D1043291" s="24"/>
      <c r="E1043291" s="24"/>
      <c r="F1043291" s="24"/>
      <c r="G1043291" s="24"/>
      <c r="H1043291" s="24"/>
      <c r="I1043291" s="24"/>
      <c r="J1043291" s="24"/>
      <c r="K1043291" s="54"/>
    </row>
    <row r="1043292" spans="1:11" s="55" customFormat="1" ht="12.75">
      <c r="A1043292" s="24"/>
      <c r="B1043292" s="24"/>
      <c r="C1043292" s="24"/>
      <c r="D1043292" s="24"/>
      <c r="E1043292" s="24"/>
      <c r="F1043292" s="24"/>
      <c r="G1043292" s="24"/>
      <c r="H1043292" s="24"/>
      <c r="I1043292" s="24"/>
      <c r="J1043292" s="24"/>
      <c r="K1043292" s="54"/>
    </row>
    <row r="1043293" spans="1:11" s="55" customFormat="1" ht="12.75">
      <c r="A1043293" s="24"/>
      <c r="B1043293" s="24"/>
      <c r="C1043293" s="24"/>
      <c r="D1043293" s="24"/>
      <c r="E1043293" s="24"/>
      <c r="F1043293" s="24"/>
      <c r="G1043293" s="24"/>
      <c r="H1043293" s="24"/>
      <c r="I1043293" s="24"/>
      <c r="J1043293" s="24"/>
      <c r="K1043293" s="54"/>
    </row>
    <row r="1043294" spans="1:11" s="55" customFormat="1" ht="12.75">
      <c r="A1043294" s="24"/>
      <c r="B1043294" s="24"/>
      <c r="C1043294" s="24"/>
      <c r="D1043294" s="24"/>
      <c r="E1043294" s="24"/>
      <c r="F1043294" s="24"/>
      <c r="G1043294" s="24"/>
      <c r="H1043294" s="24"/>
      <c r="I1043294" s="24"/>
      <c r="J1043294" s="24"/>
      <c r="K1043294" s="54"/>
    </row>
    <row r="1043295" spans="1:11" s="55" customFormat="1" ht="12.75">
      <c r="A1043295" s="24"/>
      <c r="B1043295" s="24"/>
      <c r="C1043295" s="24"/>
      <c r="D1043295" s="24"/>
      <c r="E1043295" s="24"/>
      <c r="F1043295" s="24"/>
      <c r="G1043295" s="24"/>
      <c r="H1043295" s="24"/>
      <c r="I1043295" s="24"/>
      <c r="J1043295" s="24"/>
      <c r="K1043295" s="54"/>
    </row>
    <row r="1043296" spans="1:11" s="55" customFormat="1" ht="12.75">
      <c r="A1043296" s="24"/>
      <c r="B1043296" s="24"/>
      <c r="C1043296" s="24"/>
      <c r="D1043296" s="24"/>
      <c r="E1043296" s="24"/>
      <c r="F1043296" s="24"/>
      <c r="G1043296" s="24"/>
      <c r="H1043296" s="24"/>
      <c r="I1043296" s="24"/>
      <c r="J1043296" s="24"/>
      <c r="K1043296" s="54"/>
    </row>
    <row r="1043297" spans="1:11" s="55" customFormat="1" ht="12.75">
      <c r="A1043297" s="24"/>
      <c r="B1043297" s="24"/>
      <c r="C1043297" s="24"/>
      <c r="D1043297" s="24"/>
      <c r="E1043297" s="24"/>
      <c r="F1043297" s="24"/>
      <c r="G1043297" s="24"/>
      <c r="H1043297" s="24"/>
      <c r="I1043297" s="24"/>
      <c r="J1043297" s="24"/>
      <c r="K1043297" s="54"/>
    </row>
    <row r="1043298" spans="1:11" s="55" customFormat="1" ht="12.75">
      <c r="A1043298" s="24"/>
      <c r="B1043298" s="24"/>
      <c r="C1043298" s="24"/>
      <c r="D1043298" s="24"/>
      <c r="E1043298" s="24"/>
      <c r="F1043298" s="24"/>
      <c r="G1043298" s="24"/>
      <c r="H1043298" s="24"/>
      <c r="I1043298" s="24"/>
      <c r="J1043298" s="24"/>
      <c r="K1043298" s="54"/>
    </row>
    <row r="1043299" spans="1:11" s="55" customFormat="1" ht="12.75">
      <c r="A1043299" s="24"/>
      <c r="B1043299" s="24"/>
      <c r="C1043299" s="24"/>
      <c r="D1043299" s="24"/>
      <c r="E1043299" s="24"/>
      <c r="F1043299" s="24"/>
      <c r="G1043299" s="24"/>
      <c r="H1043299" s="24"/>
      <c r="I1043299" s="24"/>
      <c r="J1043299" s="24"/>
      <c r="K1043299" s="54"/>
    </row>
    <row r="1043300" spans="1:11" s="55" customFormat="1" ht="12.75">
      <c r="A1043300" s="24"/>
      <c r="B1043300" s="24"/>
      <c r="C1043300" s="24"/>
      <c r="D1043300" s="24"/>
      <c r="E1043300" s="24"/>
      <c r="F1043300" s="24"/>
      <c r="G1043300" s="24"/>
      <c r="H1043300" s="24"/>
      <c r="I1043300" s="24"/>
      <c r="J1043300" s="24"/>
      <c r="K1043300" s="54"/>
    </row>
    <row r="1043301" spans="1:11" s="55" customFormat="1" ht="12.75">
      <c r="A1043301" s="24"/>
      <c r="B1043301" s="24"/>
      <c r="C1043301" s="24"/>
      <c r="D1043301" s="24"/>
      <c r="E1043301" s="24"/>
      <c r="F1043301" s="24"/>
      <c r="G1043301" s="24"/>
      <c r="H1043301" s="24"/>
      <c r="I1043301" s="24"/>
      <c r="J1043301" s="24"/>
      <c r="K1043301" s="54"/>
    </row>
    <row r="1043302" spans="1:11" s="55" customFormat="1" ht="12.75">
      <c r="A1043302" s="24"/>
      <c r="B1043302" s="24"/>
      <c r="C1043302" s="24"/>
      <c r="D1043302" s="24"/>
      <c r="E1043302" s="24"/>
      <c r="F1043302" s="24"/>
      <c r="G1043302" s="24"/>
      <c r="H1043302" s="24"/>
      <c r="I1043302" s="24"/>
      <c r="J1043302" s="24"/>
      <c r="K1043302" s="54"/>
    </row>
    <row r="1043303" spans="1:11" s="55" customFormat="1" ht="12.75">
      <c r="A1043303" s="24"/>
      <c r="B1043303" s="24"/>
      <c r="C1043303" s="24"/>
      <c r="D1043303" s="24"/>
      <c r="E1043303" s="24"/>
      <c r="F1043303" s="24"/>
      <c r="G1043303" s="24"/>
      <c r="H1043303" s="24"/>
      <c r="I1043303" s="24"/>
      <c r="J1043303" s="24"/>
      <c r="K1043303" s="54"/>
    </row>
    <row r="1043304" spans="1:11" s="55" customFormat="1" ht="12.75">
      <c r="A1043304" s="24"/>
      <c r="B1043304" s="24"/>
      <c r="C1043304" s="24"/>
      <c r="D1043304" s="24"/>
      <c r="E1043304" s="24"/>
      <c r="F1043304" s="24"/>
      <c r="G1043304" s="24"/>
      <c r="H1043304" s="24"/>
      <c r="I1043304" s="24"/>
      <c r="J1043304" s="24"/>
      <c r="K1043304" s="54"/>
    </row>
    <row r="1043305" spans="1:11" s="55" customFormat="1" ht="12.75">
      <c r="A1043305" s="24"/>
      <c r="B1043305" s="24"/>
      <c r="C1043305" s="24"/>
      <c r="D1043305" s="24"/>
      <c r="E1043305" s="24"/>
      <c r="F1043305" s="24"/>
      <c r="G1043305" s="24"/>
      <c r="H1043305" s="24"/>
      <c r="I1043305" s="24"/>
      <c r="J1043305" s="24"/>
      <c r="K1043305" s="54"/>
    </row>
    <row r="1043306" spans="1:11" s="55" customFormat="1" ht="12.75">
      <c r="A1043306" s="24"/>
      <c r="B1043306" s="24"/>
      <c r="C1043306" s="24"/>
      <c r="D1043306" s="24"/>
      <c r="E1043306" s="24"/>
      <c r="F1043306" s="24"/>
      <c r="G1043306" s="24"/>
      <c r="H1043306" s="24"/>
      <c r="I1043306" s="24"/>
      <c r="J1043306" s="24"/>
      <c r="K1043306" s="54"/>
    </row>
    <row r="1043307" spans="1:11" s="55" customFormat="1" ht="12.75">
      <c r="A1043307" s="24"/>
      <c r="B1043307" s="24"/>
      <c r="C1043307" s="24"/>
      <c r="D1043307" s="24"/>
      <c r="E1043307" s="24"/>
      <c r="F1043307" s="24"/>
      <c r="G1043307" s="24"/>
      <c r="H1043307" s="24"/>
      <c r="I1043307" s="24"/>
      <c r="J1043307" s="24"/>
      <c r="K1043307" s="54"/>
    </row>
    <row r="1043308" spans="1:11" s="55" customFormat="1" ht="12.75">
      <c r="A1043308" s="24"/>
      <c r="B1043308" s="24"/>
      <c r="C1043308" s="24"/>
      <c r="D1043308" s="24"/>
      <c r="E1043308" s="24"/>
      <c r="F1043308" s="24"/>
      <c r="G1043308" s="24"/>
      <c r="H1043308" s="24"/>
      <c r="I1043308" s="24"/>
      <c r="J1043308" s="24"/>
      <c r="K1043308" s="54"/>
    </row>
    <row r="1043309" spans="1:11" s="55" customFormat="1" ht="12.75">
      <c r="A1043309" s="24"/>
      <c r="B1043309" s="24"/>
      <c r="C1043309" s="24"/>
      <c r="D1043309" s="24"/>
      <c r="E1043309" s="24"/>
      <c r="F1043309" s="24"/>
      <c r="G1043309" s="24"/>
      <c r="H1043309" s="24"/>
      <c r="I1043309" s="24"/>
      <c r="J1043309" s="24"/>
      <c r="K1043309" s="54"/>
    </row>
    <row r="1043310" spans="1:11" s="55" customFormat="1" ht="12.75">
      <c r="A1043310" s="24"/>
      <c r="B1043310" s="24"/>
      <c r="C1043310" s="24"/>
      <c r="D1043310" s="24"/>
      <c r="E1043310" s="24"/>
      <c r="F1043310" s="24"/>
      <c r="G1043310" s="24"/>
      <c r="H1043310" s="24"/>
      <c r="I1043310" s="24"/>
      <c r="J1043310" s="24"/>
      <c r="K1043310" s="54"/>
    </row>
    <row r="1043311" spans="1:11" s="55" customFormat="1" ht="12.75">
      <c r="A1043311" s="24"/>
      <c r="B1043311" s="24"/>
      <c r="C1043311" s="24"/>
      <c r="D1043311" s="24"/>
      <c r="E1043311" s="24"/>
      <c r="F1043311" s="24"/>
      <c r="G1043311" s="24"/>
      <c r="H1043311" s="24"/>
      <c r="I1043311" s="24"/>
      <c r="J1043311" s="24"/>
      <c r="K1043311" s="54"/>
    </row>
    <row r="1043312" spans="1:11" s="55" customFormat="1" ht="12.75">
      <c r="A1043312" s="24"/>
      <c r="B1043312" s="24"/>
      <c r="C1043312" s="24"/>
      <c r="D1043312" s="24"/>
      <c r="E1043312" s="24"/>
      <c r="F1043312" s="24"/>
      <c r="G1043312" s="24"/>
      <c r="H1043312" s="24"/>
      <c r="I1043312" s="24"/>
      <c r="J1043312" s="24"/>
      <c r="K1043312" s="54"/>
    </row>
    <row r="1043313" spans="1:11" s="55" customFormat="1" ht="12.75">
      <c r="A1043313" s="24"/>
      <c r="B1043313" s="24"/>
      <c r="C1043313" s="24"/>
      <c r="D1043313" s="24"/>
      <c r="E1043313" s="24"/>
      <c r="F1043313" s="24"/>
      <c r="G1043313" s="24"/>
      <c r="H1043313" s="24"/>
      <c r="I1043313" s="24"/>
      <c r="J1043313" s="24"/>
      <c r="K1043313" s="54"/>
    </row>
    <row r="1043314" spans="1:11" s="55" customFormat="1" ht="12.75">
      <c r="A1043314" s="24"/>
      <c r="B1043314" s="24"/>
      <c r="C1043314" s="24"/>
      <c r="D1043314" s="24"/>
      <c r="E1043314" s="24"/>
      <c r="F1043314" s="24"/>
      <c r="G1043314" s="24"/>
      <c r="H1043314" s="24"/>
      <c r="I1043314" s="24"/>
      <c r="J1043314" s="24"/>
      <c r="K1043314" s="54"/>
    </row>
    <row r="1043315" spans="1:11" s="55" customFormat="1" ht="12.75">
      <c r="A1043315" s="24"/>
      <c r="B1043315" s="24"/>
      <c r="C1043315" s="24"/>
      <c r="D1043315" s="24"/>
      <c r="E1043315" s="24"/>
      <c r="F1043315" s="24"/>
      <c r="G1043315" s="24"/>
      <c r="H1043315" s="24"/>
      <c r="I1043315" s="24"/>
      <c r="J1043315" s="24"/>
      <c r="K1043315" s="54"/>
    </row>
    <row r="1043316" spans="1:11" s="55" customFormat="1" ht="12.75">
      <c r="A1043316" s="24"/>
      <c r="B1043316" s="24"/>
      <c r="C1043316" s="24"/>
      <c r="D1043316" s="24"/>
      <c r="E1043316" s="24"/>
      <c r="F1043316" s="24"/>
      <c r="G1043316" s="24"/>
      <c r="H1043316" s="24"/>
      <c r="I1043316" s="24"/>
      <c r="J1043316" s="24"/>
      <c r="K1043316" s="54"/>
    </row>
    <row r="1043317" spans="1:11" s="55" customFormat="1" ht="12.75">
      <c r="A1043317" s="24"/>
      <c r="B1043317" s="24"/>
      <c r="C1043317" s="24"/>
      <c r="D1043317" s="24"/>
      <c r="E1043317" s="24"/>
      <c r="F1043317" s="24"/>
      <c r="G1043317" s="24"/>
      <c r="H1043317" s="24"/>
      <c r="I1043317" s="24"/>
      <c r="J1043317" s="24"/>
      <c r="K1043317" s="54"/>
    </row>
    <row r="1043318" spans="1:11" s="55" customFormat="1" ht="12.75">
      <c r="A1043318" s="24"/>
      <c r="B1043318" s="24"/>
      <c r="C1043318" s="24"/>
      <c r="D1043318" s="24"/>
      <c r="E1043318" s="24"/>
      <c r="F1043318" s="24"/>
      <c r="G1043318" s="24"/>
      <c r="H1043318" s="24"/>
      <c r="I1043318" s="24"/>
      <c r="J1043318" s="24"/>
      <c r="K1043318" s="54"/>
    </row>
    <row r="1043319" spans="1:11" s="55" customFormat="1" ht="12.75">
      <c r="A1043319" s="24"/>
      <c r="B1043319" s="24"/>
      <c r="C1043319" s="24"/>
      <c r="D1043319" s="24"/>
      <c r="E1043319" s="24"/>
      <c r="F1043319" s="24"/>
      <c r="G1043319" s="24"/>
      <c r="H1043319" s="24"/>
      <c r="I1043319" s="24"/>
      <c r="J1043319" s="24"/>
      <c r="K1043319" s="54"/>
    </row>
    <row r="1043320" spans="1:11" s="55" customFormat="1" ht="12.75">
      <c r="A1043320" s="24"/>
      <c r="B1043320" s="24"/>
      <c r="C1043320" s="24"/>
      <c r="D1043320" s="24"/>
      <c r="E1043320" s="24"/>
      <c r="F1043320" s="24"/>
      <c r="G1043320" s="24"/>
      <c r="H1043320" s="24"/>
      <c r="I1043320" s="24"/>
      <c r="J1043320" s="24"/>
      <c r="K1043320" s="54"/>
    </row>
    <row r="1043321" spans="1:11" s="55" customFormat="1" ht="12.75">
      <c r="A1043321" s="24"/>
      <c r="B1043321" s="24"/>
      <c r="C1043321" s="24"/>
      <c r="D1043321" s="24"/>
      <c r="E1043321" s="24"/>
      <c r="F1043321" s="24"/>
      <c r="G1043321" s="24"/>
      <c r="H1043321" s="24"/>
      <c r="I1043321" s="24"/>
      <c r="J1043321" s="24"/>
      <c r="K1043321" s="54"/>
    </row>
    <row r="1043322" spans="1:11" s="55" customFormat="1" ht="12.75">
      <c r="A1043322" s="24"/>
      <c r="B1043322" s="24"/>
      <c r="C1043322" s="24"/>
      <c r="D1043322" s="24"/>
      <c r="E1043322" s="24"/>
      <c r="F1043322" s="24"/>
      <c r="G1043322" s="24"/>
      <c r="H1043322" s="24"/>
      <c r="I1043322" s="24"/>
      <c r="J1043322" s="24"/>
      <c r="K1043322" s="54"/>
    </row>
    <row r="1043323" spans="1:11" s="55" customFormat="1" ht="12.75">
      <c r="A1043323" s="24"/>
      <c r="B1043323" s="24"/>
      <c r="C1043323" s="24"/>
      <c r="D1043323" s="24"/>
      <c r="E1043323" s="24"/>
      <c r="F1043323" s="24"/>
      <c r="G1043323" s="24"/>
      <c r="H1043323" s="24"/>
      <c r="I1043323" s="24"/>
      <c r="J1043323" s="24"/>
      <c r="K1043323" s="54"/>
    </row>
    <row r="1043324" spans="1:11" s="55" customFormat="1" ht="12.75">
      <c r="A1043324" s="24"/>
      <c r="B1043324" s="24"/>
      <c r="C1043324" s="24"/>
      <c r="D1043324" s="24"/>
      <c r="E1043324" s="24"/>
      <c r="F1043324" s="24"/>
      <c r="G1043324" s="24"/>
      <c r="H1043324" s="24"/>
      <c r="I1043324" s="24"/>
      <c r="J1043324" s="24"/>
      <c r="K1043324" s="54"/>
    </row>
    <row r="1043325" spans="1:11" s="55" customFormat="1" ht="12.75">
      <c r="A1043325" s="24"/>
      <c r="B1043325" s="24"/>
      <c r="C1043325" s="24"/>
      <c r="D1043325" s="24"/>
      <c r="E1043325" s="24"/>
      <c r="F1043325" s="24"/>
      <c r="G1043325" s="24"/>
      <c r="H1043325" s="24"/>
      <c r="I1043325" s="24"/>
      <c r="J1043325" s="24"/>
      <c r="K1043325" s="54"/>
    </row>
    <row r="1043326" spans="1:11" s="55" customFormat="1" ht="12.75">
      <c r="A1043326" s="24"/>
      <c r="B1043326" s="24"/>
      <c r="C1043326" s="24"/>
      <c r="D1043326" s="24"/>
      <c r="E1043326" s="24"/>
      <c r="F1043326" s="24"/>
      <c r="G1043326" s="24"/>
      <c r="H1043326" s="24"/>
      <c r="I1043326" s="24"/>
      <c r="J1043326" s="24"/>
      <c r="K1043326" s="54"/>
    </row>
    <row r="1043327" spans="1:11" s="55" customFormat="1" ht="12.75">
      <c r="A1043327" s="24"/>
      <c r="B1043327" s="24"/>
      <c r="C1043327" s="24"/>
      <c r="D1043327" s="24"/>
      <c r="E1043327" s="24"/>
      <c r="F1043327" s="24"/>
      <c r="G1043327" s="24"/>
      <c r="H1043327" s="24"/>
      <c r="I1043327" s="24"/>
      <c r="J1043327" s="24"/>
      <c r="K1043327" s="54"/>
    </row>
    <row r="1043328" spans="1:11" s="55" customFormat="1" ht="12.75">
      <c r="A1043328" s="24"/>
      <c r="B1043328" s="24"/>
      <c r="C1043328" s="24"/>
      <c r="D1043328" s="24"/>
      <c r="E1043328" s="24"/>
      <c r="F1043328" s="24"/>
      <c r="G1043328" s="24"/>
      <c r="H1043328" s="24"/>
      <c r="I1043328" s="24"/>
      <c r="J1043328" s="24"/>
      <c r="K1043328" s="54"/>
    </row>
    <row r="1043329" spans="1:11" s="55" customFormat="1" ht="12.75">
      <c r="A1043329" s="24"/>
      <c r="B1043329" s="24"/>
      <c r="C1043329" s="24"/>
      <c r="D1043329" s="24"/>
      <c r="E1043329" s="24"/>
      <c r="F1043329" s="24"/>
      <c r="G1043329" s="24"/>
      <c r="H1043329" s="24"/>
      <c r="I1043329" s="24"/>
      <c r="J1043329" s="24"/>
      <c r="K1043329" s="54"/>
    </row>
    <row r="1043330" spans="1:11" s="55" customFormat="1" ht="12.75">
      <c r="A1043330" s="24"/>
      <c r="B1043330" s="24"/>
      <c r="C1043330" s="24"/>
      <c r="D1043330" s="24"/>
      <c r="E1043330" s="24"/>
      <c r="F1043330" s="24"/>
      <c r="G1043330" s="24"/>
      <c r="H1043330" s="24"/>
      <c r="I1043330" s="24"/>
      <c r="J1043330" s="24"/>
      <c r="K1043330" s="54"/>
    </row>
    <row r="1043331" spans="1:11" s="55" customFormat="1" ht="12.75">
      <c r="A1043331" s="24"/>
      <c r="B1043331" s="24"/>
      <c r="C1043331" s="24"/>
      <c r="D1043331" s="24"/>
      <c r="E1043331" s="24"/>
      <c r="F1043331" s="24"/>
      <c r="G1043331" s="24"/>
      <c r="H1043331" s="24"/>
      <c r="I1043331" s="24"/>
      <c r="J1043331" s="24"/>
      <c r="K1043331" s="54"/>
    </row>
    <row r="1043332" spans="1:11" s="55" customFormat="1" ht="12.75">
      <c r="A1043332" s="24"/>
      <c r="B1043332" s="24"/>
      <c r="C1043332" s="24"/>
      <c r="D1043332" s="24"/>
      <c r="E1043332" s="24"/>
      <c r="F1043332" s="24"/>
      <c r="G1043332" s="24"/>
      <c r="H1043332" s="24"/>
      <c r="I1043332" s="24"/>
      <c r="J1043332" s="24"/>
      <c r="K1043332" s="54"/>
    </row>
    <row r="1043333" spans="1:11" s="55" customFormat="1" ht="12.75">
      <c r="A1043333" s="24"/>
      <c r="B1043333" s="24"/>
      <c r="C1043333" s="24"/>
      <c r="D1043333" s="24"/>
      <c r="E1043333" s="24"/>
      <c r="F1043333" s="24"/>
      <c r="G1043333" s="24"/>
      <c r="H1043333" s="24"/>
      <c r="I1043333" s="24"/>
      <c r="J1043333" s="24"/>
      <c r="K1043333" s="54"/>
    </row>
    <row r="1043334" spans="1:11" s="55" customFormat="1" ht="12.75">
      <c r="A1043334" s="24"/>
      <c r="B1043334" s="24"/>
      <c r="C1043334" s="24"/>
      <c r="D1043334" s="24"/>
      <c r="E1043334" s="24"/>
      <c r="F1043334" s="24"/>
      <c r="G1043334" s="24"/>
      <c r="H1043334" s="24"/>
      <c r="I1043334" s="24"/>
      <c r="J1043334" s="24"/>
      <c r="K1043334" s="54"/>
    </row>
    <row r="1043335" spans="1:11" s="55" customFormat="1" ht="12.75">
      <c r="A1043335" s="24"/>
      <c r="B1043335" s="24"/>
      <c r="C1043335" s="24"/>
      <c r="D1043335" s="24"/>
      <c r="E1043335" s="24"/>
      <c r="F1043335" s="24"/>
      <c r="G1043335" s="24"/>
      <c r="H1043335" s="24"/>
      <c r="I1043335" s="24"/>
      <c r="J1043335" s="24"/>
      <c r="K1043335" s="54"/>
    </row>
    <row r="1043336" spans="1:11" s="55" customFormat="1" ht="12.75">
      <c r="A1043336" s="24"/>
      <c r="B1043336" s="24"/>
      <c r="C1043336" s="24"/>
      <c r="D1043336" s="24"/>
      <c r="E1043336" s="24"/>
      <c r="F1043336" s="24"/>
      <c r="G1043336" s="24"/>
      <c r="H1043336" s="24"/>
      <c r="I1043336" s="24"/>
      <c r="J1043336" s="24"/>
      <c r="K1043336" s="54"/>
    </row>
    <row r="1043337" spans="1:11" s="55" customFormat="1" ht="12.75">
      <c r="A1043337" s="24"/>
      <c r="B1043337" s="24"/>
      <c r="C1043337" s="24"/>
      <c r="D1043337" s="24"/>
      <c r="E1043337" s="24"/>
      <c r="F1043337" s="24"/>
      <c r="G1043337" s="24"/>
      <c r="H1043337" s="24"/>
      <c r="I1043337" s="24"/>
      <c r="J1043337" s="24"/>
      <c r="K1043337" s="54"/>
    </row>
    <row r="1043338" spans="1:11" s="55" customFormat="1" ht="12.75">
      <c r="A1043338" s="24"/>
      <c r="B1043338" s="24"/>
      <c r="C1043338" s="24"/>
      <c r="D1043338" s="24"/>
      <c r="E1043338" s="24"/>
      <c r="F1043338" s="24"/>
      <c r="G1043338" s="24"/>
      <c r="H1043338" s="24"/>
      <c r="I1043338" s="24"/>
      <c r="J1043338" s="24"/>
      <c r="K1043338" s="54"/>
    </row>
    <row r="1043339" spans="1:11" s="55" customFormat="1" ht="12.75">
      <c r="A1043339" s="24"/>
      <c r="B1043339" s="24"/>
      <c r="C1043339" s="24"/>
      <c r="D1043339" s="24"/>
      <c r="E1043339" s="24"/>
      <c r="F1043339" s="24"/>
      <c r="G1043339" s="24"/>
      <c r="H1043339" s="24"/>
      <c r="I1043339" s="24"/>
      <c r="J1043339" s="24"/>
      <c r="K1043339" s="54"/>
    </row>
    <row r="1043340" spans="1:11" s="55" customFormat="1" ht="12.75">
      <c r="A1043340" s="24"/>
      <c r="B1043340" s="24"/>
      <c r="C1043340" s="24"/>
      <c r="D1043340" s="24"/>
      <c r="E1043340" s="24"/>
      <c r="F1043340" s="24"/>
      <c r="G1043340" s="24"/>
      <c r="H1043340" s="24"/>
      <c r="I1043340" s="24"/>
      <c r="J1043340" s="24"/>
      <c r="K1043340" s="54"/>
    </row>
    <row r="1043341" spans="1:11" s="55" customFormat="1" ht="12.75">
      <c r="A1043341" s="24"/>
      <c r="B1043341" s="24"/>
      <c r="C1043341" s="24"/>
      <c r="D1043341" s="24"/>
      <c r="E1043341" s="24"/>
      <c r="F1043341" s="24"/>
      <c r="G1043341" s="24"/>
      <c r="H1043341" s="24"/>
      <c r="I1043341" s="24"/>
      <c r="J1043341" s="24"/>
      <c r="K1043341" s="54"/>
    </row>
    <row r="1043342" spans="1:11" s="55" customFormat="1" ht="12.75">
      <c r="A1043342" s="24"/>
      <c r="B1043342" s="24"/>
      <c r="C1043342" s="24"/>
      <c r="D1043342" s="24"/>
      <c r="E1043342" s="24"/>
      <c r="F1043342" s="24"/>
      <c r="G1043342" s="24"/>
      <c r="H1043342" s="24"/>
      <c r="I1043342" s="24"/>
      <c r="J1043342" s="24"/>
      <c r="K1043342" s="54"/>
    </row>
    <row r="1043343" spans="1:11" s="55" customFormat="1" ht="12.75">
      <c r="A1043343" s="24"/>
      <c r="B1043343" s="24"/>
      <c r="C1043343" s="24"/>
      <c r="D1043343" s="24"/>
      <c r="E1043343" s="24"/>
      <c r="F1043343" s="24"/>
      <c r="G1043343" s="24"/>
      <c r="H1043343" s="24"/>
      <c r="I1043343" s="24"/>
      <c r="J1043343" s="24"/>
      <c r="K1043343" s="54"/>
    </row>
    <row r="1043344" spans="1:11" s="55" customFormat="1" ht="12.75">
      <c r="A1043344" s="24"/>
      <c r="B1043344" s="24"/>
      <c r="C1043344" s="24"/>
      <c r="D1043344" s="24"/>
      <c r="E1043344" s="24"/>
      <c r="F1043344" s="24"/>
      <c r="G1043344" s="24"/>
      <c r="H1043344" s="24"/>
      <c r="I1043344" s="24"/>
      <c r="J1043344" s="24"/>
      <c r="K1043344" s="54"/>
    </row>
    <row r="1043345" spans="1:11" s="55" customFormat="1" ht="12.75">
      <c r="A1043345" s="24"/>
      <c r="B1043345" s="24"/>
      <c r="C1043345" s="24"/>
      <c r="D1043345" s="24"/>
      <c r="E1043345" s="24"/>
      <c r="F1043345" s="24"/>
      <c r="G1043345" s="24"/>
      <c r="H1043345" s="24"/>
      <c r="I1043345" s="24"/>
      <c r="J1043345" s="24"/>
      <c r="K1043345" s="54"/>
    </row>
    <row r="1043346" spans="1:11" s="55" customFormat="1" ht="12.75">
      <c r="A1043346" s="24"/>
      <c r="B1043346" s="24"/>
      <c r="C1043346" s="24"/>
      <c r="D1043346" s="24"/>
      <c r="E1043346" s="24"/>
      <c r="F1043346" s="24"/>
      <c r="G1043346" s="24"/>
      <c r="H1043346" s="24"/>
      <c r="I1043346" s="24"/>
      <c r="J1043346" s="24"/>
      <c r="K1043346" s="54"/>
    </row>
    <row r="1043347" spans="1:11" s="55" customFormat="1" ht="12.75">
      <c r="A1043347" s="24"/>
      <c r="B1043347" s="24"/>
      <c r="C1043347" s="24"/>
      <c r="D1043347" s="24"/>
      <c r="E1043347" s="24"/>
      <c r="F1043347" s="24"/>
      <c r="G1043347" s="24"/>
      <c r="H1043347" s="24"/>
      <c r="I1043347" s="24"/>
      <c r="J1043347" s="24"/>
      <c r="K1043347" s="54"/>
    </row>
    <row r="1043348" spans="1:11" s="55" customFormat="1" ht="12.75">
      <c r="A1043348" s="24"/>
      <c r="B1043348" s="24"/>
      <c r="C1043348" s="24"/>
      <c r="D1043348" s="24"/>
      <c r="E1043348" s="24"/>
      <c r="F1043348" s="24"/>
      <c r="G1043348" s="24"/>
      <c r="H1043348" s="24"/>
      <c r="I1043348" s="24"/>
      <c r="J1043348" s="24"/>
      <c r="K1043348" s="54"/>
    </row>
    <row r="1043349" spans="1:11" s="55" customFormat="1" ht="12.75">
      <c r="A1043349" s="24"/>
      <c r="B1043349" s="24"/>
      <c r="C1043349" s="24"/>
      <c r="D1043349" s="24"/>
      <c r="E1043349" s="24"/>
      <c r="F1043349" s="24"/>
      <c r="G1043349" s="24"/>
      <c r="H1043349" s="24"/>
      <c r="I1043349" s="24"/>
      <c r="J1043349" s="24"/>
      <c r="K1043349" s="54"/>
    </row>
    <row r="1043350" spans="1:11" s="55" customFormat="1" ht="12.75">
      <c r="A1043350" s="24"/>
      <c r="B1043350" s="24"/>
      <c r="C1043350" s="24"/>
      <c r="D1043350" s="24"/>
      <c r="E1043350" s="24"/>
      <c r="F1043350" s="24"/>
      <c r="G1043350" s="24"/>
      <c r="H1043350" s="24"/>
      <c r="I1043350" s="24"/>
      <c r="J1043350" s="24"/>
      <c r="K1043350" s="54"/>
    </row>
    <row r="1043351" spans="1:11" s="55" customFormat="1" ht="12.75">
      <c r="A1043351" s="24"/>
      <c r="B1043351" s="24"/>
      <c r="C1043351" s="24"/>
      <c r="D1043351" s="24"/>
      <c r="E1043351" s="24"/>
      <c r="F1043351" s="24"/>
      <c r="G1043351" s="24"/>
      <c r="H1043351" s="24"/>
      <c r="I1043351" s="24"/>
      <c r="J1043351" s="24"/>
      <c r="K1043351" s="54"/>
    </row>
    <row r="1043352" spans="1:11" s="55" customFormat="1" ht="12.75">
      <c r="A1043352" s="24"/>
      <c r="B1043352" s="24"/>
      <c r="C1043352" s="24"/>
      <c r="D1043352" s="24"/>
      <c r="E1043352" s="24"/>
      <c r="F1043352" s="24"/>
      <c r="G1043352" s="24"/>
      <c r="H1043352" s="24"/>
      <c r="I1043352" s="24"/>
      <c r="J1043352" s="24"/>
      <c r="K1043352" s="54"/>
    </row>
    <row r="1043353" spans="1:11" s="55" customFormat="1" ht="12.75">
      <c r="A1043353" s="24"/>
      <c r="B1043353" s="24"/>
      <c r="C1043353" s="24"/>
      <c r="D1043353" s="24"/>
      <c r="E1043353" s="24"/>
      <c r="F1043353" s="24"/>
      <c r="G1043353" s="24"/>
      <c r="H1043353" s="24"/>
      <c r="I1043353" s="24"/>
      <c r="J1043353" s="24"/>
      <c r="K1043353" s="54"/>
    </row>
    <row r="1043354" spans="1:11" s="55" customFormat="1" ht="12.75">
      <c r="A1043354" s="24"/>
      <c r="B1043354" s="24"/>
      <c r="C1043354" s="24"/>
      <c r="D1043354" s="24"/>
      <c r="E1043354" s="24"/>
      <c r="F1043354" s="24"/>
      <c r="G1043354" s="24"/>
      <c r="H1043354" s="24"/>
      <c r="I1043354" s="24"/>
      <c r="J1043354" s="24"/>
      <c r="K1043354" s="54"/>
    </row>
    <row r="1043355" spans="1:11" s="55" customFormat="1" ht="12.75">
      <c r="A1043355" s="24"/>
      <c r="B1043355" s="24"/>
      <c r="C1043355" s="24"/>
      <c r="D1043355" s="24"/>
      <c r="E1043355" s="24"/>
      <c r="F1043355" s="24"/>
      <c r="G1043355" s="24"/>
      <c r="H1043355" s="24"/>
      <c r="I1043355" s="24"/>
      <c r="J1043355" s="24"/>
      <c r="K1043355" s="54"/>
    </row>
    <row r="1043356" spans="1:11" s="55" customFormat="1" ht="12.75">
      <c r="A1043356" s="24"/>
      <c r="B1043356" s="24"/>
      <c r="C1043356" s="24"/>
      <c r="D1043356" s="24"/>
      <c r="E1043356" s="24"/>
      <c r="F1043356" s="24"/>
      <c r="G1043356" s="24"/>
      <c r="H1043356" s="24"/>
      <c r="I1043356" s="24"/>
      <c r="J1043356" s="24"/>
      <c r="K1043356" s="54"/>
    </row>
    <row r="1043357" spans="1:11" s="55" customFormat="1" ht="12.75">
      <c r="A1043357" s="24"/>
      <c r="B1043357" s="24"/>
      <c r="C1043357" s="24"/>
      <c r="D1043357" s="24"/>
      <c r="E1043357" s="24"/>
      <c r="F1043357" s="24"/>
      <c r="G1043357" s="24"/>
      <c r="H1043357" s="24"/>
      <c r="I1043357" s="24"/>
      <c r="J1043357" s="24"/>
      <c r="K1043357" s="54"/>
    </row>
    <row r="1043358" spans="1:11" s="55" customFormat="1" ht="12.75">
      <c r="A1043358" s="24"/>
      <c r="B1043358" s="24"/>
      <c r="C1043358" s="24"/>
      <c r="D1043358" s="24"/>
      <c r="E1043358" s="24"/>
      <c r="F1043358" s="24"/>
      <c r="G1043358" s="24"/>
      <c r="H1043358" s="24"/>
      <c r="I1043358" s="24"/>
      <c r="J1043358" s="24"/>
      <c r="K1043358" s="54"/>
    </row>
    <row r="1043359" spans="1:11" s="55" customFormat="1" ht="12.75">
      <c r="A1043359" s="24"/>
      <c r="B1043359" s="24"/>
      <c r="C1043359" s="24"/>
      <c r="D1043359" s="24"/>
      <c r="E1043359" s="24"/>
      <c r="F1043359" s="24"/>
      <c r="G1043359" s="24"/>
      <c r="H1043359" s="24"/>
      <c r="I1043359" s="24"/>
      <c r="J1043359" s="24"/>
      <c r="K1043359" s="54"/>
    </row>
    <row r="1043360" spans="1:11" s="55" customFormat="1" ht="12.75">
      <c r="A1043360" s="24"/>
      <c r="B1043360" s="24"/>
      <c r="C1043360" s="24"/>
      <c r="D1043360" s="24"/>
      <c r="E1043360" s="24"/>
      <c r="F1043360" s="24"/>
      <c r="G1043360" s="24"/>
      <c r="H1043360" s="24"/>
      <c r="I1043360" s="24"/>
      <c r="J1043360" s="24"/>
      <c r="K1043360" s="54"/>
    </row>
    <row r="1043361" spans="1:11" s="55" customFormat="1" ht="12.75">
      <c r="A1043361" s="24"/>
      <c r="B1043361" s="24"/>
      <c r="C1043361" s="24"/>
      <c r="D1043361" s="24"/>
      <c r="E1043361" s="24"/>
      <c r="F1043361" s="24"/>
      <c r="G1043361" s="24"/>
      <c r="H1043361" s="24"/>
      <c r="I1043361" s="24"/>
      <c r="J1043361" s="24"/>
      <c r="K1043361" s="54"/>
    </row>
    <row r="1043362" spans="1:11" s="55" customFormat="1" ht="12.75">
      <c r="A1043362" s="24"/>
      <c r="B1043362" s="24"/>
      <c r="C1043362" s="24"/>
      <c r="D1043362" s="24"/>
      <c r="E1043362" s="24"/>
      <c r="F1043362" s="24"/>
      <c r="G1043362" s="24"/>
      <c r="H1043362" s="24"/>
      <c r="I1043362" s="24"/>
      <c r="J1043362" s="24"/>
      <c r="K1043362" s="54"/>
    </row>
    <row r="1043363" spans="1:11" s="55" customFormat="1" ht="12.75">
      <c r="A1043363" s="24"/>
      <c r="B1043363" s="24"/>
      <c r="C1043363" s="24"/>
      <c r="D1043363" s="24"/>
      <c r="E1043363" s="24"/>
      <c r="F1043363" s="24"/>
      <c r="G1043363" s="24"/>
      <c r="H1043363" s="24"/>
      <c r="I1043363" s="24"/>
      <c r="J1043363" s="24"/>
      <c r="K1043363" s="54"/>
    </row>
    <row r="1043364" spans="1:11" s="55" customFormat="1" ht="12.75">
      <c r="A1043364" s="24"/>
      <c r="B1043364" s="24"/>
      <c r="C1043364" s="24"/>
      <c r="D1043364" s="24"/>
      <c r="E1043364" s="24"/>
      <c r="F1043364" s="24"/>
      <c r="G1043364" s="24"/>
      <c r="H1043364" s="24"/>
      <c r="I1043364" s="24"/>
      <c r="J1043364" s="24"/>
      <c r="K1043364" s="54"/>
    </row>
    <row r="1043365" spans="1:11" s="55" customFormat="1" ht="12.75">
      <c r="A1043365" s="24"/>
      <c r="B1043365" s="24"/>
      <c r="C1043365" s="24"/>
      <c r="D1043365" s="24"/>
      <c r="E1043365" s="24"/>
      <c r="F1043365" s="24"/>
      <c r="G1043365" s="24"/>
      <c r="H1043365" s="24"/>
      <c r="I1043365" s="24"/>
      <c r="J1043365" s="24"/>
      <c r="K1043365" s="54"/>
    </row>
    <row r="1043366" spans="1:11" s="55" customFormat="1" ht="12.75">
      <c r="A1043366" s="24"/>
      <c r="B1043366" s="24"/>
      <c r="C1043366" s="24"/>
      <c r="D1043366" s="24"/>
      <c r="E1043366" s="24"/>
      <c r="F1043366" s="24"/>
      <c r="G1043366" s="24"/>
      <c r="H1043366" s="24"/>
      <c r="I1043366" s="24"/>
      <c r="J1043366" s="24"/>
      <c r="K1043366" s="54"/>
    </row>
    <row r="1043367" spans="1:11" s="55" customFormat="1" ht="12.75">
      <c r="A1043367" s="24"/>
      <c r="B1043367" s="24"/>
      <c r="C1043367" s="24"/>
      <c r="D1043367" s="24"/>
      <c r="E1043367" s="24"/>
      <c r="F1043367" s="24"/>
      <c r="G1043367" s="24"/>
      <c r="H1043367" s="24"/>
      <c r="I1043367" s="24"/>
      <c r="J1043367" s="24"/>
      <c r="K1043367" s="54"/>
    </row>
    <row r="1043368" spans="1:11" s="55" customFormat="1" ht="12.75">
      <c r="A1043368" s="24"/>
      <c r="B1043368" s="24"/>
      <c r="C1043368" s="24"/>
      <c r="D1043368" s="24"/>
      <c r="E1043368" s="24"/>
      <c r="F1043368" s="24"/>
      <c r="G1043368" s="24"/>
      <c r="H1043368" s="24"/>
      <c r="I1043368" s="24"/>
      <c r="J1043368" s="24"/>
      <c r="K1043368" s="54"/>
    </row>
    <row r="1043369" spans="1:11" s="55" customFormat="1" ht="12.75">
      <c r="A1043369" s="24"/>
      <c r="B1043369" s="24"/>
      <c r="C1043369" s="24"/>
      <c r="D1043369" s="24"/>
      <c r="E1043369" s="24"/>
      <c r="F1043369" s="24"/>
      <c r="G1043369" s="24"/>
      <c r="H1043369" s="24"/>
      <c r="I1043369" s="24"/>
      <c r="J1043369" s="24"/>
      <c r="K1043369" s="54"/>
    </row>
    <row r="1043370" spans="1:11" s="55" customFormat="1" ht="12.75">
      <c r="A1043370" s="24"/>
      <c r="B1043370" s="24"/>
      <c r="C1043370" s="24"/>
      <c r="D1043370" s="24"/>
      <c r="E1043370" s="24"/>
      <c r="F1043370" s="24"/>
      <c r="G1043370" s="24"/>
      <c r="H1043370" s="24"/>
      <c r="I1043370" s="24"/>
      <c r="J1043370" s="24"/>
      <c r="K1043370" s="54"/>
    </row>
    <row r="1043371" spans="1:11" s="55" customFormat="1" ht="12.75">
      <c r="A1043371" s="24"/>
      <c r="B1043371" s="24"/>
      <c r="C1043371" s="24"/>
      <c r="D1043371" s="24"/>
      <c r="E1043371" s="24"/>
      <c r="F1043371" s="24"/>
      <c r="G1043371" s="24"/>
      <c r="H1043371" s="24"/>
      <c r="I1043371" s="24"/>
      <c r="J1043371" s="24"/>
      <c r="K1043371" s="54"/>
    </row>
    <row r="1043372" spans="1:11" s="55" customFormat="1" ht="12.75">
      <c r="A1043372" s="24"/>
      <c r="B1043372" s="24"/>
      <c r="C1043372" s="24"/>
      <c r="D1043372" s="24"/>
      <c r="E1043372" s="24"/>
      <c r="F1043372" s="24"/>
      <c r="G1043372" s="24"/>
      <c r="H1043372" s="24"/>
      <c r="I1043372" s="24"/>
      <c r="J1043372" s="24"/>
      <c r="K1043372" s="54"/>
    </row>
    <row r="1043373" spans="1:11" s="55" customFormat="1" ht="12.75">
      <c r="A1043373" s="24"/>
      <c r="B1043373" s="24"/>
      <c r="C1043373" s="24"/>
      <c r="D1043373" s="24"/>
      <c r="E1043373" s="24"/>
      <c r="F1043373" s="24"/>
      <c r="G1043373" s="24"/>
      <c r="H1043373" s="24"/>
      <c r="I1043373" s="24"/>
      <c r="J1043373" s="24"/>
      <c r="K1043373" s="54"/>
    </row>
    <row r="1043374" spans="1:11" s="55" customFormat="1" ht="12.75">
      <c r="A1043374" s="24"/>
      <c r="B1043374" s="24"/>
      <c r="C1043374" s="24"/>
      <c r="D1043374" s="24"/>
      <c r="E1043374" s="24"/>
      <c r="F1043374" s="24"/>
      <c r="G1043374" s="24"/>
      <c r="H1043374" s="24"/>
      <c r="I1043374" s="24"/>
      <c r="J1043374" s="24"/>
      <c r="K1043374" s="54"/>
    </row>
    <row r="1043375" spans="1:11" s="55" customFormat="1" ht="12.75">
      <c r="A1043375" s="24"/>
      <c r="B1043375" s="24"/>
      <c r="C1043375" s="24"/>
      <c r="D1043375" s="24"/>
      <c r="E1043375" s="24"/>
      <c r="F1043375" s="24"/>
      <c r="G1043375" s="24"/>
      <c r="H1043375" s="24"/>
      <c r="I1043375" s="24"/>
      <c r="J1043375" s="24"/>
      <c r="K1043375" s="54"/>
    </row>
    <row r="1043376" spans="1:11" s="55" customFormat="1" ht="12.75">
      <c r="A1043376" s="24"/>
      <c r="B1043376" s="24"/>
      <c r="C1043376" s="24"/>
      <c r="D1043376" s="24"/>
      <c r="E1043376" s="24"/>
      <c r="F1043376" s="24"/>
      <c r="G1043376" s="24"/>
      <c r="H1043376" s="24"/>
      <c r="I1043376" s="24"/>
      <c r="J1043376" s="24"/>
      <c r="K1043376" s="54"/>
    </row>
    <row r="1043377" spans="1:11" s="55" customFormat="1" ht="12.75">
      <c r="A1043377" s="24"/>
      <c r="B1043377" s="24"/>
      <c r="C1043377" s="24"/>
      <c r="D1043377" s="24"/>
      <c r="E1043377" s="24"/>
      <c r="F1043377" s="24"/>
      <c r="G1043377" s="24"/>
      <c r="H1043377" s="24"/>
      <c r="I1043377" s="24"/>
      <c r="J1043377" s="24"/>
      <c r="K1043377" s="54"/>
    </row>
    <row r="1043378" spans="1:11" s="55" customFormat="1" ht="12.75">
      <c r="A1043378" s="24"/>
      <c r="B1043378" s="24"/>
      <c r="C1043378" s="24"/>
      <c r="D1043378" s="24"/>
      <c r="E1043378" s="24"/>
      <c r="F1043378" s="24"/>
      <c r="G1043378" s="24"/>
      <c r="H1043378" s="24"/>
      <c r="I1043378" s="24"/>
      <c r="J1043378" s="24"/>
      <c r="K1043378" s="54"/>
    </row>
    <row r="1043379" spans="1:11" s="55" customFormat="1" ht="12.75">
      <c r="A1043379" s="24"/>
      <c r="B1043379" s="24"/>
      <c r="C1043379" s="24"/>
      <c r="D1043379" s="24"/>
      <c r="E1043379" s="24"/>
      <c r="F1043379" s="24"/>
      <c r="G1043379" s="24"/>
      <c r="H1043379" s="24"/>
      <c r="I1043379" s="24"/>
      <c r="J1043379" s="24"/>
      <c r="K1043379" s="54"/>
    </row>
    <row r="1043380" spans="1:11" s="55" customFormat="1" ht="12.75">
      <c r="A1043380" s="24"/>
      <c r="B1043380" s="24"/>
      <c r="C1043380" s="24"/>
      <c r="D1043380" s="24"/>
      <c r="E1043380" s="24"/>
      <c r="F1043380" s="24"/>
      <c r="G1043380" s="24"/>
      <c r="H1043380" s="24"/>
      <c r="I1043380" s="24"/>
      <c r="J1043380" s="24"/>
      <c r="K1043380" s="54"/>
    </row>
    <row r="1043381" spans="1:11" s="55" customFormat="1" ht="12.75">
      <c r="A1043381" s="24"/>
      <c r="B1043381" s="24"/>
      <c r="C1043381" s="24"/>
      <c r="D1043381" s="24"/>
      <c r="E1043381" s="24"/>
      <c r="F1043381" s="24"/>
      <c r="G1043381" s="24"/>
      <c r="H1043381" s="24"/>
      <c r="I1043381" s="24"/>
      <c r="J1043381" s="24"/>
      <c r="K1043381" s="54"/>
    </row>
    <row r="1043382" spans="1:11" s="55" customFormat="1" ht="12.75">
      <c r="A1043382" s="24"/>
      <c r="B1043382" s="24"/>
      <c r="C1043382" s="24"/>
      <c r="D1043382" s="24"/>
      <c r="E1043382" s="24"/>
      <c r="F1043382" s="24"/>
      <c r="G1043382" s="24"/>
      <c r="H1043382" s="24"/>
      <c r="I1043382" s="24"/>
      <c r="J1043382" s="24"/>
      <c r="K1043382" s="54"/>
    </row>
    <row r="1043383" spans="1:11" s="55" customFormat="1" ht="12.75">
      <c r="A1043383" s="24"/>
      <c r="B1043383" s="24"/>
      <c r="C1043383" s="24"/>
      <c r="D1043383" s="24"/>
      <c r="E1043383" s="24"/>
      <c r="F1043383" s="24"/>
      <c r="G1043383" s="24"/>
      <c r="H1043383" s="24"/>
      <c r="I1043383" s="24"/>
      <c r="J1043383" s="24"/>
      <c r="K1043383" s="54"/>
    </row>
    <row r="1043384" spans="1:11" s="55" customFormat="1" ht="12.75">
      <c r="A1043384" s="24"/>
      <c r="B1043384" s="24"/>
      <c r="C1043384" s="24"/>
      <c r="D1043384" s="24"/>
      <c r="E1043384" s="24"/>
      <c r="F1043384" s="24"/>
      <c r="G1043384" s="24"/>
      <c r="H1043384" s="24"/>
      <c r="I1043384" s="24"/>
      <c r="J1043384" s="24"/>
      <c r="K1043384" s="54"/>
    </row>
    <row r="1043385" spans="1:11" s="55" customFormat="1" ht="12.75">
      <c r="A1043385" s="24"/>
      <c r="B1043385" s="24"/>
      <c r="C1043385" s="24"/>
      <c r="D1043385" s="24"/>
      <c r="E1043385" s="24"/>
      <c r="F1043385" s="24"/>
      <c r="G1043385" s="24"/>
      <c r="H1043385" s="24"/>
      <c r="I1043385" s="24"/>
      <c r="J1043385" s="24"/>
      <c r="K1043385" s="54"/>
    </row>
    <row r="1043386" spans="1:11" s="55" customFormat="1" ht="12.75">
      <c r="A1043386" s="24"/>
      <c r="B1043386" s="24"/>
      <c r="C1043386" s="24"/>
      <c r="D1043386" s="24"/>
      <c r="E1043386" s="24"/>
      <c r="F1043386" s="24"/>
      <c r="G1043386" s="24"/>
      <c r="H1043386" s="24"/>
      <c r="I1043386" s="24"/>
      <c r="J1043386" s="24"/>
      <c r="K1043386" s="54"/>
    </row>
    <row r="1043387" spans="1:11" s="55" customFormat="1" ht="12.75">
      <c r="A1043387" s="24"/>
      <c r="B1043387" s="24"/>
      <c r="C1043387" s="24"/>
      <c r="D1043387" s="24"/>
      <c r="E1043387" s="24"/>
      <c r="F1043387" s="24"/>
      <c r="G1043387" s="24"/>
      <c r="H1043387" s="24"/>
      <c r="I1043387" s="24"/>
      <c r="J1043387" s="24"/>
      <c r="K1043387" s="54"/>
    </row>
    <row r="1043388" spans="1:11" s="55" customFormat="1" ht="12.75">
      <c r="A1043388" s="24"/>
      <c r="B1043388" s="24"/>
      <c r="C1043388" s="24"/>
      <c r="D1043388" s="24"/>
      <c r="E1043388" s="24"/>
      <c r="F1043388" s="24"/>
      <c r="G1043388" s="24"/>
      <c r="H1043388" s="24"/>
      <c r="I1043388" s="24"/>
      <c r="J1043388" s="24"/>
      <c r="K1043388" s="54"/>
    </row>
    <row r="1043389" spans="1:11" s="55" customFormat="1" ht="12.75">
      <c r="A1043389" s="24"/>
      <c r="B1043389" s="24"/>
      <c r="C1043389" s="24"/>
      <c r="D1043389" s="24"/>
      <c r="E1043389" s="24"/>
      <c r="F1043389" s="24"/>
      <c r="G1043389" s="24"/>
      <c r="H1043389" s="24"/>
      <c r="I1043389" s="24"/>
      <c r="J1043389" s="24"/>
      <c r="K1043389" s="54"/>
    </row>
    <row r="1043390" spans="1:11" s="55" customFormat="1" ht="12.75">
      <c r="A1043390" s="24"/>
      <c r="B1043390" s="24"/>
      <c r="C1043390" s="24"/>
      <c r="D1043390" s="24"/>
      <c r="E1043390" s="24"/>
      <c r="F1043390" s="24"/>
      <c r="G1043390" s="24"/>
      <c r="H1043390" s="24"/>
      <c r="I1043390" s="24"/>
      <c r="J1043390" s="24"/>
      <c r="K1043390" s="54"/>
    </row>
    <row r="1043391" spans="1:11" s="55" customFormat="1" ht="12.75">
      <c r="A1043391" s="24"/>
      <c r="B1043391" s="24"/>
      <c r="C1043391" s="24"/>
      <c r="D1043391" s="24"/>
      <c r="E1043391" s="24"/>
      <c r="F1043391" s="24"/>
      <c r="G1043391" s="24"/>
      <c r="H1043391" s="24"/>
      <c r="I1043391" s="24"/>
      <c r="J1043391" s="24"/>
      <c r="K1043391" s="54"/>
    </row>
    <row r="1043392" spans="1:11" s="55" customFormat="1" ht="12.75">
      <c r="A1043392" s="24"/>
      <c r="B1043392" s="24"/>
      <c r="C1043392" s="24"/>
      <c r="D1043392" s="24"/>
      <c r="E1043392" s="24"/>
      <c r="F1043392" s="24"/>
      <c r="G1043392" s="24"/>
      <c r="H1043392" s="24"/>
      <c r="I1043392" s="24"/>
      <c r="J1043392" s="24"/>
      <c r="K1043392" s="54"/>
    </row>
    <row r="1043393" spans="1:11" s="55" customFormat="1" ht="12.75">
      <c r="A1043393" s="24"/>
      <c r="B1043393" s="24"/>
      <c r="C1043393" s="24"/>
      <c r="D1043393" s="24"/>
      <c r="E1043393" s="24"/>
      <c r="F1043393" s="24"/>
      <c r="G1043393" s="24"/>
      <c r="H1043393" s="24"/>
      <c r="I1043393" s="24"/>
      <c r="J1043393" s="24"/>
      <c r="K1043393" s="54"/>
    </row>
    <row r="1043394" spans="1:11" s="55" customFormat="1" ht="12.75">
      <c r="A1043394" s="24"/>
      <c r="B1043394" s="24"/>
      <c r="C1043394" s="24"/>
      <c r="D1043394" s="24"/>
      <c r="E1043394" s="24"/>
      <c r="F1043394" s="24"/>
      <c r="G1043394" s="24"/>
      <c r="H1043394" s="24"/>
      <c r="I1043394" s="24"/>
      <c r="J1043394" s="24"/>
      <c r="K1043394" s="54"/>
    </row>
    <row r="1043395" spans="1:11" s="55" customFormat="1" ht="12.75">
      <c r="A1043395" s="24"/>
      <c r="B1043395" s="24"/>
      <c r="C1043395" s="24"/>
      <c r="D1043395" s="24"/>
      <c r="E1043395" s="24"/>
      <c r="F1043395" s="24"/>
      <c r="G1043395" s="24"/>
      <c r="H1043395" s="24"/>
      <c r="I1043395" s="24"/>
      <c r="J1043395" s="24"/>
      <c r="K1043395" s="54"/>
    </row>
    <row r="1043396" spans="1:11" s="55" customFormat="1" ht="12.75">
      <c r="A1043396" s="24"/>
      <c r="B1043396" s="24"/>
      <c r="C1043396" s="24"/>
      <c r="D1043396" s="24"/>
      <c r="E1043396" s="24"/>
      <c r="F1043396" s="24"/>
      <c r="G1043396" s="24"/>
      <c r="H1043396" s="24"/>
      <c r="I1043396" s="24"/>
      <c r="J1043396" s="24"/>
      <c r="K1043396" s="54"/>
    </row>
    <row r="1043397" spans="1:11" s="55" customFormat="1" ht="12.75">
      <c r="A1043397" s="24"/>
      <c r="B1043397" s="24"/>
      <c r="C1043397" s="24"/>
      <c r="D1043397" s="24"/>
      <c r="E1043397" s="24"/>
      <c r="F1043397" s="24"/>
      <c r="G1043397" s="24"/>
      <c r="H1043397" s="24"/>
      <c r="I1043397" s="24"/>
      <c r="J1043397" s="24"/>
      <c r="K1043397" s="54"/>
    </row>
    <row r="1043398" spans="1:11" s="55" customFormat="1" ht="12.75">
      <c r="A1043398" s="24"/>
      <c r="B1043398" s="24"/>
      <c r="C1043398" s="24"/>
      <c r="D1043398" s="24"/>
      <c r="E1043398" s="24"/>
      <c r="F1043398" s="24"/>
      <c r="G1043398" s="24"/>
      <c r="H1043398" s="24"/>
      <c r="I1043398" s="24"/>
      <c r="J1043398" s="24"/>
      <c r="K1043398" s="54"/>
    </row>
    <row r="1043399" spans="1:11" s="55" customFormat="1" ht="12.75">
      <c r="A1043399" s="24"/>
      <c r="B1043399" s="24"/>
      <c r="C1043399" s="24"/>
      <c r="D1043399" s="24"/>
      <c r="E1043399" s="24"/>
      <c r="F1043399" s="24"/>
      <c r="G1043399" s="24"/>
      <c r="H1043399" s="24"/>
      <c r="I1043399" s="24"/>
      <c r="J1043399" s="24"/>
      <c r="K1043399" s="54"/>
    </row>
    <row r="1043400" spans="1:11" s="55" customFormat="1" ht="12.75">
      <c r="A1043400" s="24"/>
      <c r="B1043400" s="24"/>
      <c r="C1043400" s="24"/>
      <c r="D1043400" s="24"/>
      <c r="E1043400" s="24"/>
      <c r="F1043400" s="24"/>
      <c r="G1043400" s="24"/>
      <c r="H1043400" s="24"/>
      <c r="I1043400" s="24"/>
      <c r="J1043400" s="24"/>
      <c r="K1043400" s="54"/>
    </row>
    <row r="1043401" spans="1:11" s="55" customFormat="1" ht="12.75">
      <c r="A1043401" s="24"/>
      <c r="B1043401" s="24"/>
      <c r="C1043401" s="24"/>
      <c r="D1043401" s="24"/>
      <c r="E1043401" s="24"/>
      <c r="F1043401" s="24"/>
      <c r="G1043401" s="24"/>
      <c r="H1043401" s="24"/>
      <c r="I1043401" s="24"/>
      <c r="J1043401" s="24"/>
      <c r="K1043401" s="54"/>
    </row>
    <row r="1043402" spans="1:11" s="55" customFormat="1" ht="12.75">
      <c r="A1043402" s="24"/>
      <c r="B1043402" s="24"/>
      <c r="C1043402" s="24"/>
      <c r="D1043402" s="24"/>
      <c r="E1043402" s="24"/>
      <c r="F1043402" s="24"/>
      <c r="G1043402" s="24"/>
      <c r="H1043402" s="24"/>
      <c r="I1043402" s="24"/>
      <c r="J1043402" s="24"/>
      <c r="K1043402" s="54"/>
    </row>
    <row r="1043403" spans="1:11" s="55" customFormat="1" ht="12.75">
      <c r="A1043403" s="24"/>
      <c r="B1043403" s="24"/>
      <c r="C1043403" s="24"/>
      <c r="D1043403" s="24"/>
      <c r="E1043403" s="24"/>
      <c r="F1043403" s="24"/>
      <c r="G1043403" s="24"/>
      <c r="H1043403" s="24"/>
      <c r="I1043403" s="24"/>
      <c r="J1043403" s="24"/>
      <c r="K1043403" s="54"/>
    </row>
    <row r="1043404" spans="1:11" s="55" customFormat="1" ht="12.75">
      <c r="A1043404" s="24"/>
      <c r="B1043404" s="24"/>
      <c r="C1043404" s="24"/>
      <c r="D1043404" s="24"/>
      <c r="E1043404" s="24"/>
      <c r="F1043404" s="24"/>
      <c r="G1043404" s="24"/>
      <c r="H1043404" s="24"/>
      <c r="I1043404" s="24"/>
      <c r="J1043404" s="24"/>
      <c r="K1043404" s="54"/>
    </row>
    <row r="1043405" spans="1:11" s="55" customFormat="1" ht="12.75">
      <c r="A1043405" s="24"/>
      <c r="B1043405" s="24"/>
      <c r="C1043405" s="24"/>
      <c r="D1043405" s="24"/>
      <c r="E1043405" s="24"/>
      <c r="F1043405" s="24"/>
      <c r="G1043405" s="24"/>
      <c r="H1043405" s="24"/>
      <c r="I1043405" s="24"/>
      <c r="J1043405" s="24"/>
      <c r="K1043405" s="54"/>
    </row>
    <row r="1043406" spans="1:11" s="55" customFormat="1" ht="12.75">
      <c r="A1043406" s="24"/>
      <c r="B1043406" s="24"/>
      <c r="C1043406" s="24"/>
      <c r="D1043406" s="24"/>
      <c r="E1043406" s="24"/>
      <c r="F1043406" s="24"/>
      <c r="G1043406" s="24"/>
      <c r="H1043406" s="24"/>
      <c r="I1043406" s="24"/>
      <c r="J1043406" s="24"/>
      <c r="K1043406" s="54"/>
    </row>
    <row r="1043407" spans="1:11" s="55" customFormat="1" ht="12.75">
      <c r="A1043407" s="24"/>
      <c r="B1043407" s="24"/>
      <c r="C1043407" s="24"/>
      <c r="D1043407" s="24"/>
      <c r="E1043407" s="24"/>
      <c r="F1043407" s="24"/>
      <c r="G1043407" s="24"/>
      <c r="H1043407" s="24"/>
      <c r="I1043407" s="24"/>
      <c r="J1043407" s="24"/>
      <c r="K1043407" s="54"/>
    </row>
    <row r="1043408" spans="1:11" s="55" customFormat="1" ht="12.75">
      <c r="A1043408" s="24"/>
      <c r="B1043408" s="24"/>
      <c r="C1043408" s="24"/>
      <c r="D1043408" s="24"/>
      <c r="E1043408" s="24"/>
      <c r="F1043408" s="24"/>
      <c r="G1043408" s="24"/>
      <c r="H1043408" s="24"/>
      <c r="I1043408" s="24"/>
      <c r="J1043408" s="24"/>
      <c r="K1043408" s="54"/>
    </row>
    <row r="1043409" spans="1:11" s="55" customFormat="1" ht="12.75">
      <c r="A1043409" s="24"/>
      <c r="B1043409" s="24"/>
      <c r="C1043409" s="24"/>
      <c r="D1043409" s="24"/>
      <c r="E1043409" s="24"/>
      <c r="F1043409" s="24"/>
      <c r="G1043409" s="24"/>
      <c r="H1043409" s="24"/>
      <c r="I1043409" s="24"/>
      <c r="J1043409" s="24"/>
      <c r="K1043409" s="54"/>
    </row>
    <row r="1043410" spans="1:11" s="55" customFormat="1" ht="12.75">
      <c r="A1043410" s="24"/>
      <c r="B1043410" s="24"/>
      <c r="C1043410" s="24"/>
      <c r="D1043410" s="24"/>
      <c r="E1043410" s="24"/>
      <c r="F1043410" s="24"/>
      <c r="G1043410" s="24"/>
      <c r="H1043410" s="24"/>
      <c r="I1043410" s="24"/>
      <c r="J1043410" s="24"/>
      <c r="K1043410" s="54"/>
    </row>
    <row r="1043411" spans="1:11" s="55" customFormat="1" ht="12.75">
      <c r="A1043411" s="24"/>
      <c r="B1043411" s="24"/>
      <c r="C1043411" s="24"/>
      <c r="D1043411" s="24"/>
      <c r="E1043411" s="24"/>
      <c r="F1043411" s="24"/>
      <c r="G1043411" s="24"/>
      <c r="H1043411" s="24"/>
      <c r="I1043411" s="24"/>
      <c r="J1043411" s="24"/>
      <c r="K1043411" s="54"/>
    </row>
    <row r="1043412" spans="1:11" s="55" customFormat="1" ht="12.75">
      <c r="A1043412" s="24"/>
      <c r="B1043412" s="24"/>
      <c r="C1043412" s="24"/>
      <c r="D1043412" s="24"/>
      <c r="E1043412" s="24"/>
      <c r="F1043412" s="24"/>
      <c r="G1043412" s="24"/>
      <c r="H1043412" s="24"/>
      <c r="I1043412" s="24"/>
      <c r="J1043412" s="24"/>
      <c r="K1043412" s="54"/>
    </row>
    <row r="1043413" spans="1:11" s="55" customFormat="1" ht="12.75">
      <c r="A1043413" s="24"/>
      <c r="B1043413" s="24"/>
      <c r="C1043413" s="24"/>
      <c r="D1043413" s="24"/>
      <c r="E1043413" s="24"/>
      <c r="F1043413" s="24"/>
      <c r="G1043413" s="24"/>
      <c r="H1043413" s="24"/>
      <c r="I1043413" s="24"/>
      <c r="J1043413" s="24"/>
      <c r="K1043413" s="54"/>
    </row>
    <row r="1043414" spans="1:11" s="55" customFormat="1" ht="12.75">
      <c r="A1043414" s="24"/>
      <c r="B1043414" s="24"/>
      <c r="C1043414" s="24"/>
      <c r="D1043414" s="24"/>
      <c r="E1043414" s="24"/>
      <c r="F1043414" s="24"/>
      <c r="G1043414" s="24"/>
      <c r="H1043414" s="24"/>
      <c r="I1043414" s="24"/>
      <c r="J1043414" s="24"/>
      <c r="K1043414" s="54"/>
    </row>
    <row r="1043415" spans="1:11" s="55" customFormat="1" ht="12.75">
      <c r="A1043415" s="24"/>
      <c r="B1043415" s="24"/>
      <c r="C1043415" s="24"/>
      <c r="D1043415" s="24"/>
      <c r="E1043415" s="24"/>
      <c r="F1043415" s="24"/>
      <c r="G1043415" s="24"/>
      <c r="H1043415" s="24"/>
      <c r="I1043415" s="24"/>
      <c r="J1043415" s="24"/>
      <c r="K1043415" s="54"/>
    </row>
    <row r="1043416" spans="1:11" s="55" customFormat="1" ht="12.75">
      <c r="A1043416" s="24"/>
      <c r="B1043416" s="24"/>
      <c r="C1043416" s="24"/>
      <c r="D1043416" s="24"/>
      <c r="E1043416" s="24"/>
      <c r="F1043416" s="24"/>
      <c r="G1043416" s="24"/>
      <c r="H1043416" s="24"/>
      <c r="I1043416" s="24"/>
      <c r="J1043416" s="24"/>
      <c r="K1043416" s="54"/>
    </row>
    <row r="1043417" spans="1:11" s="55" customFormat="1" ht="12.75">
      <c r="A1043417" s="24"/>
      <c r="B1043417" s="24"/>
      <c r="C1043417" s="24"/>
      <c r="D1043417" s="24"/>
      <c r="E1043417" s="24"/>
      <c r="F1043417" s="24"/>
      <c r="G1043417" s="24"/>
      <c r="H1043417" s="24"/>
      <c r="I1043417" s="24"/>
      <c r="J1043417" s="24"/>
      <c r="K1043417" s="54"/>
    </row>
    <row r="1043418" spans="1:11" s="55" customFormat="1" ht="12.75">
      <c r="A1043418" s="24"/>
      <c r="B1043418" s="24"/>
      <c r="C1043418" s="24"/>
      <c r="D1043418" s="24"/>
      <c r="E1043418" s="24"/>
      <c r="F1043418" s="24"/>
      <c r="G1043418" s="24"/>
      <c r="H1043418" s="24"/>
      <c r="I1043418" s="24"/>
      <c r="J1043418" s="24"/>
      <c r="K1043418" s="54"/>
    </row>
    <row r="1043419" spans="1:11" s="55" customFormat="1" ht="12.75">
      <c r="A1043419" s="24"/>
      <c r="B1043419" s="24"/>
      <c r="C1043419" s="24"/>
      <c r="D1043419" s="24"/>
      <c r="E1043419" s="24"/>
      <c r="F1043419" s="24"/>
      <c r="G1043419" s="24"/>
      <c r="H1043419" s="24"/>
      <c r="I1043419" s="24"/>
      <c r="J1043419" s="24"/>
      <c r="K1043419" s="54"/>
    </row>
    <row r="1043420" spans="1:11" s="55" customFormat="1" ht="12.75">
      <c r="A1043420" s="24"/>
      <c r="B1043420" s="24"/>
      <c r="C1043420" s="24"/>
      <c r="D1043420" s="24"/>
      <c r="E1043420" s="24"/>
      <c r="F1043420" s="24"/>
      <c r="G1043420" s="24"/>
      <c r="H1043420" s="24"/>
      <c r="I1043420" s="24"/>
      <c r="J1043420" s="24"/>
      <c r="K1043420" s="54"/>
    </row>
    <row r="1043421" spans="1:11" s="55" customFormat="1" ht="12.75">
      <c r="A1043421" s="24"/>
      <c r="B1043421" s="24"/>
      <c r="C1043421" s="24"/>
      <c r="D1043421" s="24"/>
      <c r="E1043421" s="24"/>
      <c r="F1043421" s="24"/>
      <c r="G1043421" s="24"/>
      <c r="H1043421" s="24"/>
      <c r="I1043421" s="24"/>
      <c r="J1043421" s="24"/>
      <c r="K1043421" s="54"/>
    </row>
    <row r="1043422" spans="1:11" s="55" customFormat="1" ht="12.75">
      <c r="A1043422" s="24"/>
      <c r="B1043422" s="24"/>
      <c r="C1043422" s="24"/>
      <c r="D1043422" s="24"/>
      <c r="E1043422" s="24"/>
      <c r="F1043422" s="24"/>
      <c r="G1043422" s="24"/>
      <c r="H1043422" s="24"/>
      <c r="I1043422" s="24"/>
      <c r="J1043422" s="24"/>
      <c r="K1043422" s="54"/>
    </row>
    <row r="1043423" spans="1:11" s="55" customFormat="1" ht="12.75">
      <c r="A1043423" s="24"/>
      <c r="B1043423" s="24"/>
      <c r="C1043423" s="24"/>
      <c r="D1043423" s="24"/>
      <c r="E1043423" s="24"/>
      <c r="F1043423" s="24"/>
      <c r="G1043423" s="24"/>
      <c r="H1043423" s="24"/>
      <c r="I1043423" s="24"/>
      <c r="J1043423" s="24"/>
      <c r="K1043423" s="54"/>
    </row>
    <row r="1043424" spans="1:11" s="55" customFormat="1" ht="12.75">
      <c r="A1043424" s="24"/>
      <c r="B1043424" s="24"/>
      <c r="C1043424" s="24"/>
      <c r="D1043424" s="24"/>
      <c r="E1043424" s="24"/>
      <c r="F1043424" s="24"/>
      <c r="G1043424" s="24"/>
      <c r="H1043424" s="24"/>
      <c r="I1043424" s="24"/>
      <c r="J1043424" s="24"/>
      <c r="K1043424" s="54"/>
    </row>
    <row r="1043425" spans="1:11" s="55" customFormat="1" ht="12.75">
      <c r="A1043425" s="24"/>
      <c r="B1043425" s="24"/>
      <c r="C1043425" s="24"/>
      <c r="D1043425" s="24"/>
      <c r="E1043425" s="24"/>
      <c r="F1043425" s="24"/>
      <c r="G1043425" s="24"/>
      <c r="H1043425" s="24"/>
      <c r="I1043425" s="24"/>
      <c r="J1043425" s="24"/>
      <c r="K1043425" s="54"/>
    </row>
    <row r="1043426" spans="1:11" s="55" customFormat="1" ht="12.75">
      <c r="A1043426" s="24"/>
      <c r="B1043426" s="24"/>
      <c r="C1043426" s="24"/>
      <c r="D1043426" s="24"/>
      <c r="E1043426" s="24"/>
      <c r="F1043426" s="24"/>
      <c r="G1043426" s="24"/>
      <c r="H1043426" s="24"/>
      <c r="I1043426" s="24"/>
      <c r="J1043426" s="24"/>
      <c r="K1043426" s="54"/>
    </row>
    <row r="1043427" spans="1:11" s="55" customFormat="1" ht="12.75">
      <c r="A1043427" s="24"/>
      <c r="B1043427" s="24"/>
      <c r="C1043427" s="24"/>
      <c r="D1043427" s="24"/>
      <c r="E1043427" s="24"/>
      <c r="F1043427" s="24"/>
      <c r="G1043427" s="24"/>
      <c r="H1043427" s="24"/>
      <c r="I1043427" s="24"/>
      <c r="J1043427" s="24"/>
      <c r="K1043427" s="54"/>
    </row>
    <row r="1043428" spans="1:11" s="55" customFormat="1" ht="12.75">
      <c r="A1043428" s="24"/>
      <c r="B1043428" s="24"/>
      <c r="C1043428" s="24"/>
      <c r="D1043428" s="24"/>
      <c r="E1043428" s="24"/>
      <c r="F1043428" s="24"/>
      <c r="G1043428" s="24"/>
      <c r="H1043428" s="24"/>
      <c r="I1043428" s="24"/>
      <c r="J1043428" s="24"/>
      <c r="K1043428" s="54"/>
    </row>
    <row r="1043429" spans="1:11" s="55" customFormat="1" ht="12.75">
      <c r="A1043429" s="24"/>
      <c r="B1043429" s="24"/>
      <c r="C1043429" s="24"/>
      <c r="D1043429" s="24"/>
      <c r="E1043429" s="24"/>
      <c r="F1043429" s="24"/>
      <c r="G1043429" s="24"/>
      <c r="H1043429" s="24"/>
      <c r="I1043429" s="24"/>
      <c r="J1043429" s="24"/>
      <c r="K1043429" s="54"/>
    </row>
    <row r="1043430" spans="1:11" s="55" customFormat="1" ht="12.75">
      <c r="A1043430" s="24"/>
      <c r="B1043430" s="24"/>
      <c r="C1043430" s="24"/>
      <c r="D1043430" s="24"/>
      <c r="E1043430" s="24"/>
      <c r="F1043430" s="24"/>
      <c r="G1043430" s="24"/>
      <c r="H1043430" s="24"/>
      <c r="I1043430" s="24"/>
      <c r="J1043430" s="24"/>
      <c r="K1043430" s="54"/>
    </row>
    <row r="1043431" spans="1:11" s="55" customFormat="1" ht="12.75">
      <c r="A1043431" s="24"/>
      <c r="B1043431" s="24"/>
      <c r="C1043431" s="24"/>
      <c r="D1043431" s="24"/>
      <c r="E1043431" s="24"/>
      <c r="F1043431" s="24"/>
      <c r="G1043431" s="24"/>
      <c r="H1043431" s="24"/>
      <c r="I1043431" s="24"/>
      <c r="J1043431" s="24"/>
      <c r="K1043431" s="54"/>
    </row>
    <row r="1043432" spans="1:11" s="55" customFormat="1" ht="12.75">
      <c r="A1043432" s="24"/>
      <c r="B1043432" s="24"/>
      <c r="C1043432" s="24"/>
      <c r="D1043432" s="24"/>
      <c r="E1043432" s="24"/>
      <c r="F1043432" s="24"/>
      <c r="G1043432" s="24"/>
      <c r="H1043432" s="24"/>
      <c r="I1043432" s="24"/>
      <c r="J1043432" s="24"/>
      <c r="K1043432" s="54"/>
    </row>
    <row r="1043433" spans="1:11" s="55" customFormat="1" ht="12.75">
      <c r="A1043433" s="24"/>
      <c r="B1043433" s="24"/>
      <c r="C1043433" s="24"/>
      <c r="D1043433" s="24"/>
      <c r="E1043433" s="24"/>
      <c r="F1043433" s="24"/>
      <c r="G1043433" s="24"/>
      <c r="H1043433" s="24"/>
      <c r="I1043433" s="24"/>
      <c r="J1043433" s="24"/>
      <c r="K1043433" s="54"/>
    </row>
    <row r="1043434" spans="1:11" s="55" customFormat="1" ht="12.75">
      <c r="A1043434" s="24"/>
      <c r="B1043434" s="24"/>
      <c r="C1043434" s="24"/>
      <c r="D1043434" s="24"/>
      <c r="E1043434" s="24"/>
      <c r="F1043434" s="24"/>
      <c r="G1043434" s="24"/>
      <c r="H1043434" s="24"/>
      <c r="I1043434" s="24"/>
      <c r="J1043434" s="24"/>
      <c r="K1043434" s="54"/>
    </row>
    <row r="1043435" spans="1:11" s="55" customFormat="1" ht="12.75">
      <c r="A1043435" s="24"/>
      <c r="B1043435" s="24"/>
      <c r="C1043435" s="24"/>
      <c r="D1043435" s="24"/>
      <c r="E1043435" s="24"/>
      <c r="F1043435" s="24"/>
      <c r="G1043435" s="24"/>
      <c r="H1043435" s="24"/>
      <c r="I1043435" s="24"/>
      <c r="J1043435" s="24"/>
      <c r="K1043435" s="54"/>
    </row>
    <row r="1043436" spans="1:11" s="55" customFormat="1" ht="12.75">
      <c r="A1043436" s="24"/>
      <c r="B1043436" s="24"/>
      <c r="C1043436" s="24"/>
      <c r="D1043436" s="24"/>
      <c r="E1043436" s="24"/>
      <c r="F1043436" s="24"/>
      <c r="G1043436" s="24"/>
      <c r="H1043436" s="24"/>
      <c r="I1043436" s="24"/>
      <c r="J1043436" s="24"/>
      <c r="K1043436" s="54"/>
    </row>
    <row r="1043437" spans="1:11" s="55" customFormat="1" ht="12.75">
      <c r="A1043437" s="24"/>
      <c r="B1043437" s="24"/>
      <c r="C1043437" s="24"/>
      <c r="D1043437" s="24"/>
      <c r="E1043437" s="24"/>
      <c r="F1043437" s="24"/>
      <c r="G1043437" s="24"/>
      <c r="H1043437" s="24"/>
      <c r="I1043437" s="24"/>
      <c r="J1043437" s="24"/>
      <c r="K1043437" s="54"/>
    </row>
    <row r="1043438" spans="1:11" s="55" customFormat="1" ht="12.75">
      <c r="A1043438" s="24"/>
      <c r="B1043438" s="24"/>
      <c r="C1043438" s="24"/>
      <c r="D1043438" s="24"/>
      <c r="E1043438" s="24"/>
      <c r="F1043438" s="24"/>
      <c r="G1043438" s="24"/>
      <c r="H1043438" s="24"/>
      <c r="I1043438" s="24"/>
      <c r="J1043438" s="24"/>
      <c r="K1043438" s="54"/>
    </row>
    <row r="1043439" spans="1:11" s="55" customFormat="1" ht="12.75">
      <c r="A1043439" s="24"/>
      <c r="B1043439" s="24"/>
      <c r="C1043439" s="24"/>
      <c r="D1043439" s="24"/>
      <c r="E1043439" s="24"/>
      <c r="F1043439" s="24"/>
      <c r="G1043439" s="24"/>
      <c r="H1043439" s="24"/>
      <c r="I1043439" s="24"/>
      <c r="J1043439" s="24"/>
      <c r="K1043439" s="54"/>
    </row>
    <row r="1043440" spans="1:11" s="55" customFormat="1" ht="12.75">
      <c r="A1043440" s="24"/>
      <c r="B1043440" s="24"/>
      <c r="C1043440" s="24"/>
      <c r="D1043440" s="24"/>
      <c r="E1043440" s="24"/>
      <c r="F1043440" s="24"/>
      <c r="G1043440" s="24"/>
      <c r="H1043440" s="24"/>
      <c r="I1043440" s="24"/>
      <c r="J1043440" s="24"/>
      <c r="K1043440" s="54"/>
    </row>
    <row r="1043441" spans="1:11" s="55" customFormat="1" ht="12.75">
      <c r="A1043441" s="24"/>
      <c r="B1043441" s="24"/>
      <c r="C1043441" s="24"/>
      <c r="D1043441" s="24"/>
      <c r="E1043441" s="24"/>
      <c r="F1043441" s="24"/>
      <c r="G1043441" s="24"/>
      <c r="H1043441" s="24"/>
      <c r="I1043441" s="24"/>
      <c r="J1043441" s="24"/>
      <c r="K1043441" s="54"/>
    </row>
    <row r="1043442" spans="1:11" s="55" customFormat="1" ht="12.75">
      <c r="A1043442" s="24"/>
      <c r="B1043442" s="24"/>
      <c r="C1043442" s="24"/>
      <c r="D1043442" s="24"/>
      <c r="E1043442" s="24"/>
      <c r="F1043442" s="24"/>
      <c r="G1043442" s="24"/>
      <c r="H1043442" s="24"/>
      <c r="I1043442" s="24"/>
      <c r="J1043442" s="24"/>
      <c r="K1043442" s="54"/>
    </row>
    <row r="1043443" spans="1:11" s="55" customFormat="1" ht="12.75">
      <c r="A1043443" s="24"/>
      <c r="B1043443" s="24"/>
      <c r="C1043443" s="24"/>
      <c r="D1043443" s="24"/>
      <c r="E1043443" s="24"/>
      <c r="F1043443" s="24"/>
      <c r="G1043443" s="24"/>
      <c r="H1043443" s="24"/>
      <c r="I1043443" s="24"/>
      <c r="J1043443" s="24"/>
      <c r="K1043443" s="54"/>
    </row>
    <row r="1043444" spans="1:11" s="55" customFormat="1" ht="12.75">
      <c r="A1043444" s="24"/>
      <c r="B1043444" s="24"/>
      <c r="C1043444" s="24"/>
      <c r="D1043444" s="24"/>
      <c r="E1043444" s="24"/>
      <c r="F1043444" s="24"/>
      <c r="G1043444" s="24"/>
      <c r="H1043444" s="24"/>
      <c r="I1043444" s="24"/>
      <c r="J1043444" s="24"/>
      <c r="K1043444" s="54"/>
    </row>
    <row r="1043445" spans="1:11" s="55" customFormat="1" ht="12.75">
      <c r="A1043445" s="24"/>
      <c r="B1043445" s="24"/>
      <c r="C1043445" s="24"/>
      <c r="D1043445" s="24"/>
      <c r="E1043445" s="24"/>
      <c r="F1043445" s="24"/>
      <c r="G1043445" s="24"/>
      <c r="H1043445" s="24"/>
      <c r="I1043445" s="24"/>
      <c r="J1043445" s="24"/>
      <c r="K1043445" s="54"/>
    </row>
    <row r="1043446" spans="1:11" s="55" customFormat="1" ht="12.75">
      <c r="A1043446" s="24"/>
      <c r="B1043446" s="24"/>
      <c r="C1043446" s="24"/>
      <c r="D1043446" s="24"/>
      <c r="E1043446" s="24"/>
      <c r="F1043446" s="24"/>
      <c r="G1043446" s="24"/>
      <c r="H1043446" s="24"/>
      <c r="I1043446" s="24"/>
      <c r="J1043446" s="24"/>
      <c r="K1043446" s="54"/>
    </row>
    <row r="1043447" spans="1:11" s="55" customFormat="1" ht="12.75">
      <c r="A1043447" s="24"/>
      <c r="B1043447" s="24"/>
      <c r="C1043447" s="24"/>
      <c r="D1043447" s="24"/>
      <c r="E1043447" s="24"/>
      <c r="F1043447" s="24"/>
      <c r="G1043447" s="24"/>
      <c r="H1043447" s="24"/>
      <c r="I1043447" s="24"/>
      <c r="J1043447" s="24"/>
      <c r="K1043447" s="54"/>
    </row>
    <row r="1043448" spans="1:11" s="55" customFormat="1" ht="12.75">
      <c r="A1043448" s="24"/>
      <c r="B1043448" s="24"/>
      <c r="C1043448" s="24"/>
      <c r="D1043448" s="24"/>
      <c r="E1043448" s="24"/>
      <c r="F1043448" s="24"/>
      <c r="G1043448" s="24"/>
      <c r="H1043448" s="24"/>
      <c r="I1043448" s="24"/>
      <c r="J1043448" s="24"/>
      <c r="K1043448" s="54"/>
    </row>
    <row r="1043449" spans="1:11" s="55" customFormat="1" ht="12.75">
      <c r="A1043449" s="24"/>
      <c r="B1043449" s="24"/>
      <c r="C1043449" s="24"/>
      <c r="D1043449" s="24"/>
      <c r="E1043449" s="24"/>
      <c r="F1043449" s="24"/>
      <c r="G1043449" s="24"/>
      <c r="H1043449" s="24"/>
      <c r="I1043449" s="24"/>
      <c r="J1043449" s="24"/>
      <c r="K1043449" s="54"/>
    </row>
    <row r="1043450" spans="1:11" s="55" customFormat="1" ht="12.75">
      <c r="A1043450" s="24"/>
      <c r="B1043450" s="24"/>
      <c r="C1043450" s="24"/>
      <c r="D1043450" s="24"/>
      <c r="E1043450" s="24"/>
      <c r="F1043450" s="24"/>
      <c r="G1043450" s="24"/>
      <c r="H1043450" s="24"/>
      <c r="I1043450" s="24"/>
      <c r="J1043450" s="24"/>
      <c r="K1043450" s="54"/>
    </row>
    <row r="1043451" spans="1:11" s="55" customFormat="1" ht="12.75">
      <c r="A1043451" s="24"/>
      <c r="B1043451" s="24"/>
      <c r="C1043451" s="24"/>
      <c r="D1043451" s="24"/>
      <c r="E1043451" s="24"/>
      <c r="F1043451" s="24"/>
      <c r="G1043451" s="24"/>
      <c r="H1043451" s="24"/>
      <c r="I1043451" s="24"/>
      <c r="J1043451" s="24"/>
      <c r="K1043451" s="54"/>
    </row>
    <row r="1043452" spans="1:11" s="55" customFormat="1" ht="12.75">
      <c r="A1043452" s="24"/>
      <c r="B1043452" s="24"/>
      <c r="C1043452" s="24"/>
      <c r="D1043452" s="24"/>
      <c r="E1043452" s="24"/>
      <c r="F1043452" s="24"/>
      <c r="G1043452" s="24"/>
      <c r="H1043452" s="24"/>
      <c r="I1043452" s="24"/>
      <c r="J1043452" s="24"/>
      <c r="K1043452" s="54"/>
    </row>
    <row r="1043453" spans="1:11" s="55" customFormat="1" ht="12.75">
      <c r="A1043453" s="24"/>
      <c r="B1043453" s="24"/>
      <c r="C1043453" s="24"/>
      <c r="D1043453" s="24"/>
      <c r="E1043453" s="24"/>
      <c r="F1043453" s="24"/>
      <c r="G1043453" s="24"/>
      <c r="H1043453" s="24"/>
      <c r="I1043453" s="24"/>
      <c r="J1043453" s="24"/>
      <c r="K1043453" s="54"/>
    </row>
    <row r="1043454" spans="1:11" s="55" customFormat="1" ht="12.75">
      <c r="A1043454" s="24"/>
      <c r="B1043454" s="24"/>
      <c r="C1043454" s="24"/>
      <c r="D1043454" s="24"/>
      <c r="E1043454" s="24"/>
      <c r="F1043454" s="24"/>
      <c r="G1043454" s="24"/>
      <c r="H1043454" s="24"/>
      <c r="I1043454" s="24"/>
      <c r="J1043454" s="24"/>
      <c r="K1043454" s="54"/>
    </row>
    <row r="1043455" spans="1:11" s="55" customFormat="1" ht="12.75">
      <c r="A1043455" s="24"/>
      <c r="B1043455" s="24"/>
      <c r="C1043455" s="24"/>
      <c r="D1043455" s="24"/>
      <c r="E1043455" s="24"/>
      <c r="F1043455" s="24"/>
      <c r="G1043455" s="24"/>
      <c r="H1043455" s="24"/>
      <c r="I1043455" s="24"/>
      <c r="J1043455" s="24"/>
      <c r="K1043455" s="54"/>
    </row>
    <row r="1043456" spans="1:11" s="55" customFormat="1" ht="12.75">
      <c r="A1043456" s="24"/>
      <c r="B1043456" s="24"/>
      <c r="C1043456" s="24"/>
      <c r="D1043456" s="24"/>
      <c r="E1043456" s="24"/>
      <c r="F1043456" s="24"/>
      <c r="G1043456" s="24"/>
      <c r="H1043456" s="24"/>
      <c r="I1043456" s="24"/>
      <c r="J1043456" s="24"/>
      <c r="K1043456" s="54"/>
    </row>
    <row r="1043457" spans="1:11" s="55" customFormat="1" ht="12.75">
      <c r="A1043457" s="24"/>
      <c r="B1043457" s="24"/>
      <c r="C1043457" s="24"/>
      <c r="D1043457" s="24"/>
      <c r="E1043457" s="24"/>
      <c r="F1043457" s="24"/>
      <c r="G1043457" s="24"/>
      <c r="H1043457" s="24"/>
      <c r="I1043457" s="24"/>
      <c r="J1043457" s="24"/>
      <c r="K1043457" s="54"/>
    </row>
    <row r="1043458" spans="1:11" s="55" customFormat="1" ht="12.75">
      <c r="A1043458" s="24"/>
      <c r="B1043458" s="24"/>
      <c r="C1043458" s="24"/>
      <c r="D1043458" s="24"/>
      <c r="E1043458" s="24"/>
      <c r="F1043458" s="24"/>
      <c r="G1043458" s="24"/>
      <c r="H1043458" s="24"/>
      <c r="I1043458" s="24"/>
      <c r="J1043458" s="24"/>
      <c r="K1043458" s="54"/>
    </row>
    <row r="1043459" spans="1:11" s="55" customFormat="1" ht="12.75">
      <c r="A1043459" s="24"/>
      <c r="B1043459" s="24"/>
      <c r="C1043459" s="24"/>
      <c r="D1043459" s="24"/>
      <c r="E1043459" s="24"/>
      <c r="F1043459" s="24"/>
      <c r="G1043459" s="24"/>
      <c r="H1043459" s="24"/>
      <c r="I1043459" s="24"/>
      <c r="J1043459" s="24"/>
      <c r="K1043459" s="54"/>
    </row>
    <row r="1043460" spans="1:11" s="55" customFormat="1" ht="12.75">
      <c r="A1043460" s="24"/>
      <c r="B1043460" s="24"/>
      <c r="C1043460" s="24"/>
      <c r="D1043460" s="24"/>
      <c r="E1043460" s="24"/>
      <c r="F1043460" s="24"/>
      <c r="G1043460" s="24"/>
      <c r="H1043460" s="24"/>
      <c r="I1043460" s="24"/>
      <c r="J1043460" s="24"/>
      <c r="K1043460" s="54"/>
    </row>
    <row r="1043461" spans="1:11" s="55" customFormat="1" ht="12.75">
      <c r="A1043461" s="24"/>
      <c r="B1043461" s="24"/>
      <c r="C1043461" s="24"/>
      <c r="D1043461" s="24"/>
      <c r="E1043461" s="24"/>
      <c r="F1043461" s="24"/>
      <c r="G1043461" s="24"/>
      <c r="H1043461" s="24"/>
      <c r="I1043461" s="24"/>
      <c r="J1043461" s="24"/>
      <c r="K1043461" s="54"/>
    </row>
    <row r="1043462" spans="1:11" s="55" customFormat="1" ht="12.75">
      <c r="A1043462" s="24"/>
      <c r="B1043462" s="24"/>
      <c r="C1043462" s="24"/>
      <c r="D1043462" s="24"/>
      <c r="E1043462" s="24"/>
      <c r="F1043462" s="24"/>
      <c r="G1043462" s="24"/>
      <c r="H1043462" s="24"/>
      <c r="I1043462" s="24"/>
      <c r="J1043462" s="24"/>
      <c r="K1043462" s="54"/>
    </row>
    <row r="1043463" spans="1:11" s="55" customFormat="1" ht="12.75">
      <c r="A1043463" s="24"/>
      <c r="B1043463" s="24"/>
      <c r="C1043463" s="24"/>
      <c r="D1043463" s="24"/>
      <c r="E1043463" s="24"/>
      <c r="F1043463" s="24"/>
      <c r="G1043463" s="24"/>
      <c r="H1043463" s="24"/>
      <c r="I1043463" s="24"/>
      <c r="J1043463" s="24"/>
      <c r="K1043463" s="54"/>
    </row>
    <row r="1043464" spans="1:11" s="55" customFormat="1" ht="12.75">
      <c r="A1043464" s="24"/>
      <c r="B1043464" s="24"/>
      <c r="C1043464" s="24"/>
      <c r="D1043464" s="24"/>
      <c r="E1043464" s="24"/>
      <c r="F1043464" s="24"/>
      <c r="G1043464" s="24"/>
      <c r="H1043464" s="24"/>
      <c r="I1043464" s="24"/>
      <c r="J1043464" s="24"/>
      <c r="K1043464" s="54"/>
    </row>
    <row r="1043465" spans="1:11" s="55" customFormat="1" ht="12.75">
      <c r="A1043465" s="24"/>
      <c r="B1043465" s="24"/>
      <c r="C1043465" s="24"/>
      <c r="D1043465" s="24"/>
      <c r="E1043465" s="24"/>
      <c r="F1043465" s="24"/>
      <c r="G1043465" s="24"/>
      <c r="H1043465" s="24"/>
      <c r="I1043465" s="24"/>
      <c r="J1043465" s="24"/>
      <c r="K1043465" s="54"/>
    </row>
    <row r="1043466" spans="1:11" s="55" customFormat="1" ht="12.75">
      <c r="A1043466" s="24"/>
      <c r="B1043466" s="24"/>
      <c r="C1043466" s="24"/>
      <c r="D1043466" s="24"/>
      <c r="E1043466" s="24"/>
      <c r="F1043466" s="24"/>
      <c r="G1043466" s="24"/>
      <c r="H1043466" s="24"/>
      <c r="I1043466" s="24"/>
      <c r="J1043466" s="24"/>
      <c r="K1043466" s="54"/>
    </row>
    <row r="1043467" spans="1:11" s="55" customFormat="1" ht="12.75">
      <c r="A1043467" s="24"/>
      <c r="B1043467" s="24"/>
      <c r="C1043467" s="24"/>
      <c r="D1043467" s="24"/>
      <c r="E1043467" s="24"/>
      <c r="F1043467" s="24"/>
      <c r="G1043467" s="24"/>
      <c r="H1043467" s="24"/>
      <c r="I1043467" s="24"/>
      <c r="J1043467" s="24"/>
      <c r="K1043467" s="54"/>
    </row>
    <row r="1043468" spans="1:11" s="55" customFormat="1" ht="12.75">
      <c r="A1043468" s="24"/>
      <c r="B1043468" s="24"/>
      <c r="C1043468" s="24"/>
      <c r="D1043468" s="24"/>
      <c r="E1043468" s="24"/>
      <c r="F1043468" s="24"/>
      <c r="G1043468" s="24"/>
      <c r="H1043468" s="24"/>
      <c r="I1043468" s="24"/>
      <c r="J1043468" s="24"/>
      <c r="K1043468" s="54"/>
    </row>
    <row r="1043469" spans="1:11" s="55" customFormat="1" ht="12.75">
      <c r="A1043469" s="24"/>
      <c r="B1043469" s="24"/>
      <c r="C1043469" s="24"/>
      <c r="D1043469" s="24"/>
      <c r="E1043469" s="24"/>
      <c r="F1043469" s="24"/>
      <c r="G1043469" s="24"/>
      <c r="H1043469" s="24"/>
      <c r="I1043469" s="24"/>
      <c r="J1043469" s="24"/>
      <c r="K1043469" s="54"/>
    </row>
    <row r="1043470" spans="1:11" s="55" customFormat="1" ht="12.75">
      <c r="A1043470" s="24"/>
      <c r="B1043470" s="24"/>
      <c r="C1043470" s="24"/>
      <c r="D1043470" s="24"/>
      <c r="E1043470" s="24"/>
      <c r="F1043470" s="24"/>
      <c r="G1043470" s="24"/>
      <c r="H1043470" s="24"/>
      <c r="I1043470" s="24"/>
      <c r="J1043470" s="24"/>
      <c r="K1043470" s="54"/>
    </row>
    <row r="1043471" spans="1:11" s="55" customFormat="1" ht="12.75">
      <c r="A1043471" s="24"/>
      <c r="B1043471" s="24"/>
      <c r="C1043471" s="24"/>
      <c r="D1043471" s="24"/>
      <c r="E1043471" s="24"/>
      <c r="F1043471" s="24"/>
      <c r="G1043471" s="24"/>
      <c r="H1043471" s="24"/>
      <c r="I1043471" s="24"/>
      <c r="J1043471" s="24"/>
      <c r="K1043471" s="54"/>
    </row>
    <row r="1043472" spans="1:11" s="55" customFormat="1" ht="12.75">
      <c r="A1043472" s="24"/>
      <c r="B1043472" s="24"/>
      <c r="C1043472" s="24"/>
      <c r="D1043472" s="24"/>
      <c r="E1043472" s="24"/>
      <c r="F1043472" s="24"/>
      <c r="G1043472" s="24"/>
      <c r="H1043472" s="24"/>
      <c r="I1043472" s="24"/>
      <c r="J1043472" s="24"/>
      <c r="K1043472" s="54"/>
    </row>
    <row r="1043473" spans="1:11" s="55" customFormat="1" ht="12.75">
      <c r="A1043473" s="24"/>
      <c r="B1043473" s="24"/>
      <c r="C1043473" s="24"/>
      <c r="D1043473" s="24"/>
      <c r="E1043473" s="24"/>
      <c r="F1043473" s="24"/>
      <c r="G1043473" s="24"/>
      <c r="H1043473" s="24"/>
      <c r="I1043473" s="24"/>
      <c r="J1043473" s="24"/>
      <c r="K1043473" s="54"/>
    </row>
    <row r="1043474" spans="1:11" s="55" customFormat="1" ht="12.75">
      <c r="A1043474" s="24"/>
      <c r="B1043474" s="24"/>
      <c r="C1043474" s="24"/>
      <c r="D1043474" s="24"/>
      <c r="E1043474" s="24"/>
      <c r="F1043474" s="24"/>
      <c r="G1043474" s="24"/>
      <c r="H1043474" s="24"/>
      <c r="I1043474" s="24"/>
      <c r="J1043474" s="24"/>
      <c r="K1043474" s="54"/>
    </row>
    <row r="1043475" spans="1:11" s="55" customFormat="1" ht="12.75">
      <c r="A1043475" s="24"/>
      <c r="B1043475" s="24"/>
      <c r="C1043475" s="24"/>
      <c r="D1043475" s="24"/>
      <c r="E1043475" s="24"/>
      <c r="F1043475" s="24"/>
      <c r="G1043475" s="24"/>
      <c r="H1043475" s="24"/>
      <c r="I1043475" s="24"/>
      <c r="J1043475" s="24"/>
      <c r="K1043475" s="54"/>
    </row>
    <row r="1043476" spans="1:11" s="55" customFormat="1" ht="12.75">
      <c r="A1043476" s="24"/>
      <c r="B1043476" s="24"/>
      <c r="C1043476" s="24"/>
      <c r="D1043476" s="24"/>
      <c r="E1043476" s="24"/>
      <c r="F1043476" s="24"/>
      <c r="G1043476" s="24"/>
      <c r="H1043476" s="24"/>
      <c r="I1043476" s="24"/>
      <c r="J1043476" s="24"/>
      <c r="K1043476" s="54"/>
    </row>
    <row r="1043477" spans="1:11" s="55" customFormat="1" ht="12.75">
      <c r="A1043477" s="24"/>
      <c r="B1043477" s="24"/>
      <c r="C1043477" s="24"/>
      <c r="D1043477" s="24"/>
      <c r="E1043477" s="24"/>
      <c r="F1043477" s="24"/>
      <c r="G1043477" s="24"/>
      <c r="H1043477" s="24"/>
      <c r="I1043477" s="24"/>
      <c r="J1043477" s="24"/>
      <c r="K1043477" s="54"/>
    </row>
    <row r="1043478" spans="1:11" s="55" customFormat="1" ht="12.75">
      <c r="A1043478" s="24"/>
      <c r="B1043478" s="24"/>
      <c r="C1043478" s="24"/>
      <c r="D1043478" s="24"/>
      <c r="E1043478" s="24"/>
      <c r="F1043478" s="24"/>
      <c r="G1043478" s="24"/>
      <c r="H1043478" s="24"/>
      <c r="I1043478" s="24"/>
      <c r="J1043478" s="24"/>
      <c r="K1043478" s="54"/>
    </row>
    <row r="1043479" spans="1:11" s="55" customFormat="1" ht="12.75">
      <c r="A1043479" s="24"/>
      <c r="B1043479" s="24"/>
      <c r="C1043479" s="24"/>
      <c r="D1043479" s="24"/>
      <c r="E1043479" s="24"/>
      <c r="F1043479" s="24"/>
      <c r="G1043479" s="24"/>
      <c r="H1043479" s="24"/>
      <c r="I1043479" s="24"/>
      <c r="J1043479" s="24"/>
      <c r="K1043479" s="54"/>
    </row>
    <row r="1043480" spans="1:11" s="55" customFormat="1" ht="12.75">
      <c r="A1043480" s="24"/>
      <c r="B1043480" s="24"/>
      <c r="C1043480" s="24"/>
      <c r="D1043480" s="24"/>
      <c r="E1043480" s="24"/>
      <c r="F1043480" s="24"/>
      <c r="G1043480" s="24"/>
      <c r="H1043480" s="24"/>
      <c r="I1043480" s="24"/>
      <c r="J1043480" s="24"/>
      <c r="K1043480" s="54"/>
    </row>
    <row r="1043481" spans="1:11" s="55" customFormat="1" ht="12.75">
      <c r="A1043481" s="24"/>
      <c r="B1043481" s="24"/>
      <c r="C1043481" s="24"/>
      <c r="D1043481" s="24"/>
      <c r="E1043481" s="24"/>
      <c r="F1043481" s="24"/>
      <c r="G1043481" s="24"/>
      <c r="H1043481" s="24"/>
      <c r="I1043481" s="24"/>
      <c r="J1043481" s="24"/>
      <c r="K1043481" s="54"/>
    </row>
    <row r="1043482" spans="1:11" s="55" customFormat="1" ht="12.75">
      <c r="A1043482" s="24"/>
      <c r="B1043482" s="24"/>
      <c r="C1043482" s="24"/>
      <c r="D1043482" s="24"/>
      <c r="E1043482" s="24"/>
      <c r="F1043482" s="24"/>
      <c r="G1043482" s="24"/>
      <c r="H1043482" s="24"/>
      <c r="I1043482" s="24"/>
      <c r="J1043482" s="24"/>
      <c r="K1043482" s="54"/>
    </row>
    <row r="1043483" spans="1:11" s="55" customFormat="1" ht="12.75">
      <c r="A1043483" s="24"/>
      <c r="B1043483" s="24"/>
      <c r="C1043483" s="24"/>
      <c r="D1043483" s="24"/>
      <c r="E1043483" s="24"/>
      <c r="F1043483" s="24"/>
      <c r="G1043483" s="24"/>
      <c r="H1043483" s="24"/>
      <c r="I1043483" s="24"/>
      <c r="J1043483" s="24"/>
      <c r="K1043483" s="54"/>
    </row>
    <row r="1043484" spans="1:11" s="55" customFormat="1" ht="12.75">
      <c r="A1043484" s="24"/>
      <c r="B1043484" s="24"/>
      <c r="C1043484" s="24"/>
      <c r="D1043484" s="24"/>
      <c r="E1043484" s="24"/>
      <c r="F1043484" s="24"/>
      <c r="G1043484" s="24"/>
      <c r="H1043484" s="24"/>
      <c r="I1043484" s="24"/>
      <c r="J1043484" s="24"/>
      <c r="K1043484" s="54"/>
    </row>
    <row r="1043485" spans="1:11" s="55" customFormat="1" ht="12.75">
      <c r="A1043485" s="24"/>
      <c r="B1043485" s="24"/>
      <c r="C1043485" s="24"/>
      <c r="D1043485" s="24"/>
      <c r="E1043485" s="24"/>
      <c r="F1043485" s="24"/>
      <c r="G1043485" s="24"/>
      <c r="H1043485" s="24"/>
      <c r="I1043485" s="24"/>
      <c r="J1043485" s="24"/>
      <c r="K1043485" s="54"/>
    </row>
    <row r="1043486" spans="1:11" s="55" customFormat="1" ht="12.75">
      <c r="A1043486" s="24"/>
      <c r="B1043486" s="24"/>
      <c r="C1043486" s="24"/>
      <c r="D1043486" s="24"/>
      <c r="E1043486" s="24"/>
      <c r="F1043486" s="24"/>
      <c r="G1043486" s="24"/>
      <c r="H1043486" s="24"/>
      <c r="I1043486" s="24"/>
      <c r="J1043486" s="24"/>
      <c r="K1043486" s="54"/>
    </row>
    <row r="1043487" spans="1:11" s="55" customFormat="1" ht="12.75">
      <c r="A1043487" s="24"/>
      <c r="B1043487" s="24"/>
      <c r="C1043487" s="24"/>
      <c r="D1043487" s="24"/>
      <c r="E1043487" s="24"/>
      <c r="F1043487" s="24"/>
      <c r="G1043487" s="24"/>
      <c r="H1043487" s="24"/>
      <c r="I1043487" s="24"/>
      <c r="J1043487" s="24"/>
      <c r="K1043487" s="54"/>
    </row>
    <row r="1043488" spans="1:11" s="55" customFormat="1" ht="12.75">
      <c r="A1043488" s="24"/>
      <c r="B1043488" s="24"/>
      <c r="C1043488" s="24"/>
      <c r="D1043488" s="24"/>
      <c r="E1043488" s="24"/>
      <c r="F1043488" s="24"/>
      <c r="G1043488" s="24"/>
      <c r="H1043488" s="24"/>
      <c r="I1043488" s="24"/>
      <c r="J1043488" s="24"/>
      <c r="K1043488" s="54"/>
    </row>
    <row r="1043489" spans="1:11" s="55" customFormat="1" ht="12.75">
      <c r="A1043489" s="24"/>
      <c r="B1043489" s="24"/>
      <c r="C1043489" s="24"/>
      <c r="D1043489" s="24"/>
      <c r="E1043489" s="24"/>
      <c r="F1043489" s="24"/>
      <c r="G1043489" s="24"/>
      <c r="H1043489" s="24"/>
      <c r="I1043489" s="24"/>
      <c r="J1043489" s="24"/>
      <c r="K1043489" s="54"/>
    </row>
    <row r="1043490" spans="1:11" s="55" customFormat="1" ht="12.75">
      <c r="A1043490" s="24"/>
      <c r="B1043490" s="24"/>
      <c r="C1043490" s="24"/>
      <c r="D1043490" s="24"/>
      <c r="E1043490" s="24"/>
      <c r="F1043490" s="24"/>
      <c r="G1043490" s="24"/>
      <c r="H1043490" s="24"/>
      <c r="I1043490" s="24"/>
      <c r="J1043490" s="24"/>
      <c r="K1043490" s="54"/>
    </row>
    <row r="1043491" spans="1:11" s="55" customFormat="1" ht="12.75">
      <c r="A1043491" s="24"/>
      <c r="B1043491" s="24"/>
      <c r="C1043491" s="24"/>
      <c r="D1043491" s="24"/>
      <c r="E1043491" s="24"/>
      <c r="F1043491" s="24"/>
      <c r="G1043491" s="24"/>
      <c r="H1043491" s="24"/>
      <c r="I1043491" s="24"/>
      <c r="J1043491" s="24"/>
      <c r="K1043491" s="54"/>
    </row>
    <row r="1043492" spans="1:11" s="55" customFormat="1" ht="12.75">
      <c r="A1043492" s="24"/>
      <c r="B1043492" s="24"/>
      <c r="C1043492" s="24"/>
      <c r="D1043492" s="24"/>
      <c r="E1043492" s="24"/>
      <c r="F1043492" s="24"/>
      <c r="G1043492" s="24"/>
      <c r="H1043492" s="24"/>
      <c r="I1043492" s="24"/>
      <c r="J1043492" s="24"/>
      <c r="K1043492" s="54"/>
    </row>
    <row r="1043493" spans="1:11" s="55" customFormat="1" ht="12.75">
      <c r="A1043493" s="24"/>
      <c r="B1043493" s="24"/>
      <c r="C1043493" s="24"/>
      <c r="D1043493" s="24"/>
      <c r="E1043493" s="24"/>
      <c r="F1043493" s="24"/>
      <c r="G1043493" s="24"/>
      <c r="H1043493" s="24"/>
      <c r="I1043493" s="24"/>
      <c r="J1043493" s="24"/>
      <c r="K1043493" s="54"/>
    </row>
    <row r="1043494" spans="1:11" s="55" customFormat="1" ht="12.75">
      <c r="A1043494" s="24"/>
      <c r="B1043494" s="24"/>
      <c r="C1043494" s="24"/>
      <c r="D1043494" s="24"/>
      <c r="E1043494" s="24"/>
      <c r="F1043494" s="24"/>
      <c r="G1043494" s="24"/>
      <c r="H1043494" s="24"/>
      <c r="I1043494" s="24"/>
      <c r="J1043494" s="24"/>
      <c r="K1043494" s="54"/>
    </row>
    <row r="1043495" spans="1:11" s="55" customFormat="1" ht="12.75">
      <c r="A1043495" s="24"/>
      <c r="B1043495" s="24"/>
      <c r="C1043495" s="24"/>
      <c r="D1043495" s="24"/>
      <c r="E1043495" s="24"/>
      <c r="F1043495" s="24"/>
      <c r="G1043495" s="24"/>
      <c r="H1043495" s="24"/>
      <c r="I1043495" s="24"/>
      <c r="J1043495" s="24"/>
      <c r="K1043495" s="54"/>
    </row>
    <row r="1043496" spans="1:11" s="55" customFormat="1" ht="12.75">
      <c r="A1043496" s="24"/>
      <c r="B1043496" s="24"/>
      <c r="C1043496" s="24"/>
      <c r="D1043496" s="24"/>
      <c r="E1043496" s="24"/>
      <c r="F1043496" s="24"/>
      <c r="G1043496" s="24"/>
      <c r="H1043496" s="24"/>
      <c r="I1043496" s="24"/>
      <c r="J1043496" s="24"/>
      <c r="K1043496" s="54"/>
    </row>
    <row r="1043497" spans="1:11" s="55" customFormat="1" ht="12.75">
      <c r="A1043497" s="24"/>
      <c r="B1043497" s="24"/>
      <c r="C1043497" s="24"/>
      <c r="D1043497" s="24"/>
      <c r="E1043497" s="24"/>
      <c r="F1043497" s="24"/>
      <c r="G1043497" s="24"/>
      <c r="H1043497" s="24"/>
      <c r="I1043497" s="24"/>
      <c r="J1043497" s="24"/>
      <c r="K1043497" s="54"/>
    </row>
    <row r="1043498" spans="1:11" s="55" customFormat="1" ht="12.75">
      <c r="A1043498" s="24"/>
      <c r="B1043498" s="24"/>
      <c r="C1043498" s="24"/>
      <c r="D1043498" s="24"/>
      <c r="E1043498" s="24"/>
      <c r="F1043498" s="24"/>
      <c r="G1043498" s="24"/>
      <c r="H1043498" s="24"/>
      <c r="I1043498" s="24"/>
      <c r="J1043498" s="24"/>
      <c r="K1043498" s="54"/>
    </row>
    <row r="1043499" spans="1:11" s="55" customFormat="1" ht="12.75">
      <c r="A1043499" s="24"/>
      <c r="B1043499" s="24"/>
      <c r="C1043499" s="24"/>
      <c r="D1043499" s="24"/>
      <c r="E1043499" s="24"/>
      <c r="F1043499" s="24"/>
      <c r="G1043499" s="24"/>
      <c r="H1043499" s="24"/>
      <c r="I1043499" s="24"/>
      <c r="J1043499" s="24"/>
      <c r="K1043499" s="54"/>
    </row>
    <row r="1043500" spans="1:11" s="55" customFormat="1" ht="12.75">
      <c r="A1043500" s="24"/>
      <c r="B1043500" s="24"/>
      <c r="C1043500" s="24"/>
      <c r="D1043500" s="24"/>
      <c r="E1043500" s="24"/>
      <c r="F1043500" s="24"/>
      <c r="G1043500" s="24"/>
      <c r="H1043500" s="24"/>
      <c r="I1043500" s="24"/>
      <c r="J1043500" s="24"/>
      <c r="K1043500" s="54"/>
    </row>
    <row r="1043501" spans="1:11" s="55" customFormat="1" ht="12.75">
      <c r="A1043501" s="24"/>
      <c r="B1043501" s="24"/>
      <c r="C1043501" s="24"/>
      <c r="D1043501" s="24"/>
      <c r="E1043501" s="24"/>
      <c r="F1043501" s="24"/>
      <c r="G1043501" s="24"/>
      <c r="H1043501" s="24"/>
      <c r="I1043501" s="24"/>
      <c r="J1043501" s="24"/>
      <c r="K1043501" s="54"/>
    </row>
    <row r="1043502" spans="1:11" s="55" customFormat="1" ht="12.75">
      <c r="A1043502" s="24"/>
      <c r="B1043502" s="24"/>
      <c r="C1043502" s="24"/>
      <c r="D1043502" s="24"/>
      <c r="E1043502" s="24"/>
      <c r="F1043502" s="24"/>
      <c r="G1043502" s="24"/>
      <c r="H1043502" s="24"/>
      <c r="I1043502" s="24"/>
      <c r="J1043502" s="24"/>
      <c r="K1043502" s="54"/>
    </row>
    <row r="1043503" spans="1:11" s="55" customFormat="1" ht="12.75">
      <c r="A1043503" s="24"/>
      <c r="B1043503" s="24"/>
      <c r="C1043503" s="24"/>
      <c r="D1043503" s="24"/>
      <c r="E1043503" s="24"/>
      <c r="F1043503" s="24"/>
      <c r="G1043503" s="24"/>
      <c r="H1043503" s="24"/>
      <c r="I1043503" s="24"/>
      <c r="J1043503" s="24"/>
      <c r="K1043503" s="54"/>
    </row>
    <row r="1043504" spans="1:11" s="55" customFormat="1" ht="12.75">
      <c r="A1043504" s="24"/>
      <c r="B1043504" s="24"/>
      <c r="C1043504" s="24"/>
      <c r="D1043504" s="24"/>
      <c r="E1043504" s="24"/>
      <c r="F1043504" s="24"/>
      <c r="G1043504" s="24"/>
      <c r="H1043504" s="24"/>
      <c r="I1043504" s="24"/>
      <c r="J1043504" s="24"/>
      <c r="K1043504" s="54"/>
    </row>
    <row r="1043505" spans="1:11" s="55" customFormat="1" ht="12.75">
      <c r="A1043505" s="24"/>
      <c r="B1043505" s="24"/>
      <c r="C1043505" s="24"/>
      <c r="D1043505" s="24"/>
      <c r="E1043505" s="24"/>
      <c r="F1043505" s="24"/>
      <c r="G1043505" s="24"/>
      <c r="H1043505" s="24"/>
      <c r="I1043505" s="24"/>
      <c r="J1043505" s="24"/>
      <c r="K1043505" s="54"/>
    </row>
    <row r="1043506" spans="1:11" s="55" customFormat="1" ht="12.75">
      <c r="A1043506" s="24"/>
      <c r="B1043506" s="24"/>
      <c r="C1043506" s="24"/>
      <c r="D1043506" s="24"/>
      <c r="E1043506" s="24"/>
      <c r="F1043506" s="24"/>
      <c r="G1043506" s="24"/>
      <c r="H1043506" s="24"/>
      <c r="I1043506" s="24"/>
      <c r="J1043506" s="24"/>
      <c r="K1043506" s="54"/>
    </row>
    <row r="1043507" spans="1:11" s="55" customFormat="1" ht="12.75">
      <c r="A1043507" s="24"/>
      <c r="B1043507" s="24"/>
      <c r="C1043507" s="24"/>
      <c r="D1043507" s="24"/>
      <c r="E1043507" s="24"/>
      <c r="F1043507" s="24"/>
      <c r="G1043507" s="24"/>
      <c r="H1043507" s="24"/>
      <c r="I1043507" s="24"/>
      <c r="J1043507" s="24"/>
      <c r="K1043507" s="54"/>
    </row>
    <row r="1043508" spans="1:11" s="55" customFormat="1" ht="12.75">
      <c r="A1043508" s="24"/>
      <c r="B1043508" s="24"/>
      <c r="C1043508" s="24"/>
      <c r="D1043508" s="24"/>
      <c r="E1043508" s="24"/>
      <c r="F1043508" s="24"/>
      <c r="G1043508" s="24"/>
      <c r="H1043508" s="24"/>
      <c r="I1043508" s="24"/>
      <c r="J1043508" s="24"/>
      <c r="K1043508" s="54"/>
    </row>
    <row r="1043509" spans="1:11" s="55" customFormat="1" ht="12.75">
      <c r="A1043509" s="24"/>
      <c r="B1043509" s="24"/>
      <c r="C1043509" s="24"/>
      <c r="D1043509" s="24"/>
      <c r="E1043509" s="24"/>
      <c r="F1043509" s="24"/>
      <c r="G1043509" s="24"/>
      <c r="H1043509" s="24"/>
      <c r="I1043509" s="24"/>
      <c r="J1043509" s="24"/>
      <c r="K1043509" s="54"/>
    </row>
    <row r="1043510" spans="1:11" s="55" customFormat="1" ht="12.75">
      <c r="A1043510" s="24"/>
      <c r="B1043510" s="24"/>
      <c r="C1043510" s="24"/>
      <c r="D1043510" s="24"/>
      <c r="E1043510" s="24"/>
      <c r="F1043510" s="24"/>
      <c r="G1043510" s="24"/>
      <c r="H1043510" s="24"/>
      <c r="I1043510" s="24"/>
      <c r="J1043510" s="24"/>
      <c r="K1043510" s="54"/>
    </row>
    <row r="1043511" spans="1:11" s="55" customFormat="1" ht="12.75">
      <c r="A1043511" s="24"/>
      <c r="B1043511" s="24"/>
      <c r="C1043511" s="24"/>
      <c r="D1043511" s="24"/>
      <c r="E1043511" s="24"/>
      <c r="F1043511" s="24"/>
      <c r="G1043511" s="24"/>
      <c r="H1043511" s="24"/>
      <c r="I1043511" s="24"/>
      <c r="J1043511" s="24"/>
      <c r="K1043511" s="54"/>
    </row>
    <row r="1043512" spans="1:11" s="55" customFormat="1" ht="12.75">
      <c r="A1043512" s="24"/>
      <c r="B1043512" s="24"/>
      <c r="C1043512" s="24"/>
      <c r="D1043512" s="24"/>
      <c r="E1043512" s="24"/>
      <c r="F1043512" s="24"/>
      <c r="G1043512" s="24"/>
      <c r="H1043512" s="24"/>
      <c r="I1043512" s="24"/>
      <c r="J1043512" s="24"/>
      <c r="K1043512" s="54"/>
    </row>
    <row r="1043513" spans="1:11" s="55" customFormat="1" ht="12.75">
      <c r="A1043513" s="24"/>
      <c r="B1043513" s="24"/>
      <c r="C1043513" s="24"/>
      <c r="D1043513" s="24"/>
      <c r="E1043513" s="24"/>
      <c r="F1043513" s="24"/>
      <c r="G1043513" s="24"/>
      <c r="H1043513" s="24"/>
      <c r="I1043513" s="24"/>
      <c r="J1043513" s="24"/>
      <c r="K1043513" s="54"/>
    </row>
    <row r="1043514" spans="1:11" s="55" customFormat="1" ht="12.75">
      <c r="A1043514" s="24"/>
      <c r="B1043514" s="24"/>
      <c r="C1043514" s="24"/>
      <c r="D1043514" s="24"/>
      <c r="E1043514" s="24"/>
      <c r="F1043514" s="24"/>
      <c r="G1043514" s="24"/>
      <c r="H1043514" s="24"/>
      <c r="I1043514" s="24"/>
      <c r="J1043514" s="24"/>
      <c r="K1043514" s="54"/>
    </row>
    <row r="1043515" spans="1:11" s="55" customFormat="1" ht="12.75">
      <c r="A1043515" s="24"/>
      <c r="B1043515" s="24"/>
      <c r="C1043515" s="24"/>
      <c r="D1043515" s="24"/>
      <c r="E1043515" s="24"/>
      <c r="F1043515" s="24"/>
      <c r="G1043515" s="24"/>
      <c r="H1043515" s="24"/>
      <c r="I1043515" s="24"/>
      <c r="J1043515" s="24"/>
      <c r="K1043515" s="54"/>
    </row>
    <row r="1043516" spans="1:11" s="55" customFormat="1" ht="12.75">
      <c r="A1043516" s="24"/>
      <c r="B1043516" s="24"/>
      <c r="C1043516" s="24"/>
      <c r="D1043516" s="24"/>
      <c r="E1043516" s="24"/>
      <c r="F1043516" s="24"/>
      <c r="G1043516" s="24"/>
      <c r="H1043516" s="24"/>
      <c r="I1043516" s="24"/>
      <c r="J1043516" s="24"/>
      <c r="K1043516" s="54"/>
    </row>
    <row r="1043517" spans="1:11" s="55" customFormat="1" ht="12.75">
      <c r="A1043517" s="24"/>
      <c r="B1043517" s="24"/>
      <c r="C1043517" s="24"/>
      <c r="D1043517" s="24"/>
      <c r="E1043517" s="24"/>
      <c r="F1043517" s="24"/>
      <c r="G1043517" s="24"/>
      <c r="H1043517" s="24"/>
      <c r="I1043517" s="24"/>
      <c r="J1043517" s="24"/>
      <c r="K1043517" s="54"/>
    </row>
    <row r="1043518" spans="1:11" s="55" customFormat="1" ht="12.75">
      <c r="A1043518" s="24"/>
      <c r="B1043518" s="24"/>
      <c r="C1043518" s="24"/>
      <c r="D1043518" s="24"/>
      <c r="E1043518" s="24"/>
      <c r="F1043518" s="24"/>
      <c r="G1043518" s="24"/>
      <c r="H1043518" s="24"/>
      <c r="I1043518" s="24"/>
      <c r="J1043518" s="24"/>
      <c r="K1043518" s="54"/>
    </row>
    <row r="1043519" spans="1:11" s="55" customFormat="1" ht="12.75">
      <c r="A1043519" s="24"/>
      <c r="B1043519" s="24"/>
      <c r="C1043519" s="24"/>
      <c r="D1043519" s="24"/>
      <c r="E1043519" s="24"/>
      <c r="F1043519" s="24"/>
      <c r="G1043519" s="24"/>
      <c r="H1043519" s="24"/>
      <c r="I1043519" s="24"/>
      <c r="J1043519" s="24"/>
      <c r="K1043519" s="54"/>
    </row>
    <row r="1043520" spans="1:11" s="55" customFormat="1" ht="12.75">
      <c r="A1043520" s="24"/>
      <c r="B1043520" s="24"/>
      <c r="C1043520" s="24"/>
      <c r="D1043520" s="24"/>
      <c r="E1043520" s="24"/>
      <c r="F1043520" s="24"/>
      <c r="G1043520" s="24"/>
      <c r="H1043520" s="24"/>
      <c r="I1043520" s="24"/>
      <c r="J1043520" s="24"/>
      <c r="K1043520" s="54"/>
    </row>
    <row r="1043521" spans="1:11" s="55" customFormat="1" ht="12.75">
      <c r="A1043521" s="24"/>
      <c r="B1043521" s="24"/>
      <c r="C1043521" s="24"/>
      <c r="D1043521" s="24"/>
      <c r="E1043521" s="24"/>
      <c r="F1043521" s="24"/>
      <c r="G1043521" s="24"/>
      <c r="H1043521" s="24"/>
      <c r="I1043521" s="24"/>
      <c r="J1043521" s="24"/>
      <c r="K1043521" s="54"/>
    </row>
    <row r="1043522" spans="1:11" s="55" customFormat="1" ht="12.75">
      <c r="A1043522" s="24"/>
      <c r="B1043522" s="24"/>
      <c r="C1043522" s="24"/>
      <c r="D1043522" s="24"/>
      <c r="E1043522" s="24"/>
      <c r="F1043522" s="24"/>
      <c r="G1043522" s="24"/>
      <c r="H1043522" s="24"/>
      <c r="I1043522" s="24"/>
      <c r="J1043522" s="24"/>
      <c r="K1043522" s="54"/>
    </row>
    <row r="1043523" spans="1:11" s="55" customFormat="1" ht="12.75">
      <c r="A1043523" s="24"/>
      <c r="B1043523" s="24"/>
      <c r="C1043523" s="24"/>
      <c r="D1043523" s="24"/>
      <c r="E1043523" s="24"/>
      <c r="F1043523" s="24"/>
      <c r="G1043523" s="24"/>
      <c r="H1043523" s="24"/>
      <c r="I1043523" s="24"/>
      <c r="J1043523" s="24"/>
      <c r="K1043523" s="54"/>
    </row>
    <row r="1043524" spans="1:11" s="55" customFormat="1" ht="12.75">
      <c r="A1043524" s="24"/>
      <c r="B1043524" s="24"/>
      <c r="C1043524" s="24"/>
      <c r="D1043524" s="24"/>
      <c r="E1043524" s="24"/>
      <c r="F1043524" s="24"/>
      <c r="G1043524" s="24"/>
      <c r="H1043524" s="24"/>
      <c r="I1043524" s="24"/>
      <c r="J1043524" s="24"/>
      <c r="K1043524" s="54"/>
    </row>
    <row r="1043525" spans="1:11" s="55" customFormat="1" ht="12.75">
      <c r="A1043525" s="24"/>
      <c r="B1043525" s="24"/>
      <c r="C1043525" s="24"/>
      <c r="D1043525" s="24"/>
      <c r="E1043525" s="24"/>
      <c r="F1043525" s="24"/>
      <c r="G1043525" s="24"/>
      <c r="H1043525" s="24"/>
      <c r="I1043525" s="24"/>
      <c r="J1043525" s="24"/>
      <c r="K1043525" s="54"/>
    </row>
    <row r="1043526" spans="1:11" s="55" customFormat="1" ht="12.75">
      <c r="A1043526" s="24"/>
      <c r="B1043526" s="24"/>
      <c r="C1043526" s="24"/>
      <c r="D1043526" s="24"/>
      <c r="E1043526" s="24"/>
      <c r="F1043526" s="24"/>
      <c r="G1043526" s="24"/>
      <c r="H1043526" s="24"/>
      <c r="I1043526" s="24"/>
      <c r="J1043526" s="24"/>
      <c r="K1043526" s="54"/>
    </row>
    <row r="1043527" spans="1:11" s="55" customFormat="1" ht="12.75">
      <c r="A1043527" s="24"/>
      <c r="B1043527" s="24"/>
      <c r="C1043527" s="24"/>
      <c r="D1043527" s="24"/>
      <c r="E1043527" s="24"/>
      <c r="F1043527" s="24"/>
      <c r="G1043527" s="24"/>
      <c r="H1043527" s="24"/>
      <c r="I1043527" s="24"/>
      <c r="J1043527" s="24"/>
      <c r="K1043527" s="54"/>
    </row>
    <row r="1043528" spans="1:11" s="55" customFormat="1" ht="12.75">
      <c r="A1043528" s="24"/>
      <c r="B1043528" s="24"/>
      <c r="C1043528" s="24"/>
      <c r="D1043528" s="24"/>
      <c r="E1043528" s="24"/>
      <c r="F1043528" s="24"/>
      <c r="G1043528" s="24"/>
      <c r="H1043528" s="24"/>
      <c r="I1043528" s="24"/>
      <c r="J1043528" s="24"/>
      <c r="K1043528" s="54"/>
    </row>
    <row r="1043529" spans="1:11" s="55" customFormat="1" ht="12.75">
      <c r="A1043529" s="24"/>
      <c r="B1043529" s="24"/>
      <c r="C1043529" s="24"/>
      <c r="D1043529" s="24"/>
      <c r="E1043529" s="24"/>
      <c r="F1043529" s="24"/>
      <c r="G1043529" s="24"/>
      <c r="H1043529" s="24"/>
      <c r="I1043529" s="24"/>
      <c r="J1043529" s="24"/>
      <c r="K1043529" s="54"/>
    </row>
    <row r="1043530" spans="1:11" s="55" customFormat="1" ht="12.75">
      <c r="A1043530" s="24"/>
      <c r="B1043530" s="24"/>
      <c r="C1043530" s="24"/>
      <c r="D1043530" s="24"/>
      <c r="E1043530" s="24"/>
      <c r="F1043530" s="24"/>
      <c r="G1043530" s="24"/>
      <c r="H1043530" s="24"/>
      <c r="I1043530" s="24"/>
      <c r="J1043530" s="24"/>
      <c r="K1043530" s="54"/>
    </row>
    <row r="1043531" spans="1:11" s="55" customFormat="1" ht="12.75">
      <c r="A1043531" s="24"/>
      <c r="B1043531" s="24"/>
      <c r="C1043531" s="24"/>
      <c r="D1043531" s="24"/>
      <c r="E1043531" s="24"/>
      <c r="F1043531" s="24"/>
      <c r="G1043531" s="24"/>
      <c r="H1043531" s="24"/>
      <c r="I1043531" s="24"/>
      <c r="J1043531" s="24"/>
      <c r="K1043531" s="54"/>
    </row>
    <row r="1043532" spans="1:11" s="55" customFormat="1" ht="12.75">
      <c r="A1043532" s="24"/>
      <c r="B1043532" s="24"/>
      <c r="C1043532" s="24"/>
      <c r="D1043532" s="24"/>
      <c r="E1043532" s="24"/>
      <c r="F1043532" s="24"/>
      <c r="G1043532" s="24"/>
      <c r="H1043532" s="24"/>
      <c r="I1043532" s="24"/>
      <c r="J1043532" s="24"/>
      <c r="K1043532" s="54"/>
    </row>
    <row r="1043533" spans="1:11" s="55" customFormat="1" ht="12.75">
      <c r="A1043533" s="24"/>
      <c r="B1043533" s="24"/>
      <c r="C1043533" s="24"/>
      <c r="D1043533" s="24"/>
      <c r="E1043533" s="24"/>
      <c r="F1043533" s="24"/>
      <c r="G1043533" s="24"/>
      <c r="H1043533" s="24"/>
      <c r="I1043533" s="24"/>
      <c r="J1043533" s="24"/>
      <c r="K1043533" s="54"/>
    </row>
    <row r="1043534" spans="1:11" s="55" customFormat="1" ht="12.75">
      <c r="A1043534" s="24"/>
      <c r="B1043534" s="24"/>
      <c r="C1043534" s="24"/>
      <c r="D1043534" s="24"/>
      <c r="E1043534" s="24"/>
      <c r="F1043534" s="24"/>
      <c r="G1043534" s="24"/>
      <c r="H1043534" s="24"/>
      <c r="I1043534" s="24"/>
      <c r="J1043534" s="24"/>
      <c r="K1043534" s="54"/>
    </row>
    <row r="1043535" spans="1:11" s="55" customFormat="1" ht="12.75">
      <c r="A1043535" s="24"/>
      <c r="B1043535" s="24"/>
      <c r="C1043535" s="24"/>
      <c r="D1043535" s="24"/>
      <c r="E1043535" s="24"/>
      <c r="F1043535" s="24"/>
      <c r="G1043535" s="24"/>
      <c r="H1043535" s="24"/>
      <c r="I1043535" s="24"/>
      <c r="J1043535" s="24"/>
      <c r="K1043535" s="54"/>
    </row>
    <row r="1043536" spans="1:11" s="55" customFormat="1" ht="12.75">
      <c r="A1043536" s="24"/>
      <c r="B1043536" s="24"/>
      <c r="C1043536" s="24"/>
      <c r="D1043536" s="24"/>
      <c r="E1043536" s="24"/>
      <c r="F1043536" s="24"/>
      <c r="G1043536" s="24"/>
      <c r="H1043536" s="24"/>
      <c r="I1043536" s="24"/>
      <c r="J1043536" s="24"/>
      <c r="K1043536" s="54"/>
    </row>
    <row r="1043537" spans="1:11" s="55" customFormat="1" ht="12.75">
      <c r="A1043537" s="24"/>
      <c r="B1043537" s="24"/>
      <c r="C1043537" s="24"/>
      <c r="D1043537" s="24"/>
      <c r="E1043537" s="24"/>
      <c r="F1043537" s="24"/>
      <c r="G1043537" s="24"/>
      <c r="H1043537" s="24"/>
      <c r="I1043537" s="24"/>
      <c r="J1043537" s="24"/>
      <c r="K1043537" s="54"/>
    </row>
    <row r="1043538" spans="1:11" s="55" customFormat="1" ht="12.75">
      <c r="A1043538" s="24"/>
      <c r="B1043538" s="24"/>
      <c r="C1043538" s="24"/>
      <c r="D1043538" s="24"/>
      <c r="E1043538" s="24"/>
      <c r="F1043538" s="24"/>
      <c r="G1043538" s="24"/>
      <c r="H1043538" s="24"/>
      <c r="I1043538" s="24"/>
      <c r="J1043538" s="24"/>
      <c r="K1043538" s="54"/>
    </row>
    <row r="1043539" spans="1:11" s="55" customFormat="1" ht="12.75">
      <c r="A1043539" s="24"/>
      <c r="B1043539" s="24"/>
      <c r="C1043539" s="24"/>
      <c r="D1043539" s="24"/>
      <c r="E1043539" s="24"/>
      <c r="F1043539" s="24"/>
      <c r="G1043539" s="24"/>
      <c r="H1043539" s="24"/>
      <c r="I1043539" s="24"/>
      <c r="J1043539" s="24"/>
      <c r="K1043539" s="54"/>
    </row>
    <row r="1043540" spans="1:11" s="55" customFormat="1" ht="12.75">
      <c r="A1043540" s="24"/>
      <c r="B1043540" s="24"/>
      <c r="C1043540" s="24"/>
      <c r="D1043540" s="24"/>
      <c r="E1043540" s="24"/>
      <c r="F1043540" s="24"/>
      <c r="G1043540" s="24"/>
      <c r="H1043540" s="24"/>
      <c r="I1043540" s="24"/>
      <c r="J1043540" s="24"/>
      <c r="K1043540" s="54"/>
    </row>
    <row r="1043541" spans="1:11" s="55" customFormat="1" ht="12.75">
      <c r="A1043541" s="24"/>
      <c r="B1043541" s="24"/>
      <c r="C1043541" s="24"/>
      <c r="D1043541" s="24"/>
      <c r="E1043541" s="24"/>
      <c r="F1043541" s="24"/>
      <c r="G1043541" s="24"/>
      <c r="H1043541" s="24"/>
      <c r="I1043541" s="24"/>
      <c r="J1043541" s="24"/>
      <c r="K1043541" s="54"/>
    </row>
    <row r="1043542" spans="1:11" s="55" customFormat="1" ht="12.75">
      <c r="A1043542" s="24"/>
      <c r="B1043542" s="24"/>
      <c r="C1043542" s="24"/>
      <c r="D1043542" s="24"/>
      <c r="E1043542" s="24"/>
      <c r="F1043542" s="24"/>
      <c r="G1043542" s="24"/>
      <c r="H1043542" s="24"/>
      <c r="I1043542" s="24"/>
      <c r="J1043542" s="24"/>
      <c r="K1043542" s="54"/>
    </row>
    <row r="1043543" spans="1:11" s="55" customFormat="1" ht="12.75">
      <c r="A1043543" s="24"/>
      <c r="B1043543" s="24"/>
      <c r="C1043543" s="24"/>
      <c r="D1043543" s="24"/>
      <c r="E1043543" s="24"/>
      <c r="F1043543" s="24"/>
      <c r="G1043543" s="24"/>
      <c r="H1043543" s="24"/>
      <c r="I1043543" s="24"/>
      <c r="J1043543" s="24"/>
      <c r="K1043543" s="54"/>
    </row>
    <row r="1043544" spans="1:11" s="55" customFormat="1" ht="12.75">
      <c r="A1043544" s="24"/>
      <c r="B1043544" s="24"/>
      <c r="C1043544" s="24"/>
      <c r="D1043544" s="24"/>
      <c r="E1043544" s="24"/>
      <c r="F1043544" s="24"/>
      <c r="G1043544" s="24"/>
      <c r="H1043544" s="24"/>
      <c r="I1043544" s="24"/>
      <c r="J1043544" s="24"/>
      <c r="K1043544" s="54"/>
    </row>
    <row r="1043545" spans="1:11" s="55" customFormat="1" ht="12.75">
      <c r="A1043545" s="24"/>
      <c r="B1043545" s="24"/>
      <c r="C1043545" s="24"/>
      <c r="D1043545" s="24"/>
      <c r="E1043545" s="24"/>
      <c r="F1043545" s="24"/>
      <c r="G1043545" s="24"/>
      <c r="H1043545" s="24"/>
      <c r="I1043545" s="24"/>
      <c r="J1043545" s="24"/>
      <c r="K1043545" s="54"/>
    </row>
    <row r="1043546" spans="1:11" s="55" customFormat="1" ht="12.75">
      <c r="A1043546" s="24"/>
      <c r="B1043546" s="24"/>
      <c r="C1043546" s="24"/>
      <c r="D1043546" s="24"/>
      <c r="E1043546" s="24"/>
      <c r="F1043546" s="24"/>
      <c r="G1043546" s="24"/>
      <c r="H1043546" s="24"/>
      <c r="I1043546" s="24"/>
      <c r="J1043546" s="24"/>
      <c r="K1043546" s="54"/>
    </row>
    <row r="1043547" spans="1:11" s="55" customFormat="1" ht="12.75">
      <c r="A1043547" s="24"/>
      <c r="B1043547" s="24"/>
      <c r="C1043547" s="24"/>
      <c r="D1043547" s="24"/>
      <c r="E1043547" s="24"/>
      <c r="F1043547" s="24"/>
      <c r="G1043547" s="24"/>
      <c r="H1043547" s="24"/>
      <c r="I1043547" s="24"/>
      <c r="J1043547" s="24"/>
      <c r="K1043547" s="54"/>
    </row>
    <row r="1043548" spans="1:11" s="55" customFormat="1" ht="12.75">
      <c r="A1043548" s="24"/>
      <c r="B1043548" s="24"/>
      <c r="C1043548" s="24"/>
      <c r="D1043548" s="24"/>
      <c r="E1043548" s="24"/>
      <c r="F1043548" s="24"/>
      <c r="G1043548" s="24"/>
      <c r="H1043548" s="24"/>
      <c r="I1043548" s="24"/>
      <c r="J1043548" s="24"/>
      <c r="K1043548" s="54"/>
    </row>
    <row r="1043549" spans="1:11" s="55" customFormat="1" ht="12.75">
      <c r="A1043549" s="24"/>
      <c r="B1043549" s="24"/>
      <c r="C1043549" s="24"/>
      <c r="D1043549" s="24"/>
      <c r="E1043549" s="24"/>
      <c r="F1043549" s="24"/>
      <c r="G1043549" s="24"/>
      <c r="H1043549" s="24"/>
      <c r="I1043549" s="24"/>
      <c r="J1043549" s="24"/>
      <c r="K1043549" s="54"/>
    </row>
    <row r="1043550" spans="1:11" s="55" customFormat="1" ht="12.75">
      <c r="A1043550" s="24"/>
      <c r="B1043550" s="24"/>
      <c r="C1043550" s="24"/>
      <c r="D1043550" s="24"/>
      <c r="E1043550" s="24"/>
      <c r="F1043550" s="24"/>
      <c r="G1043550" s="24"/>
      <c r="H1043550" s="24"/>
      <c r="I1043550" s="24"/>
      <c r="J1043550" s="24"/>
      <c r="K1043550" s="54"/>
    </row>
    <row r="1043551" spans="1:11" s="55" customFormat="1" ht="12.75">
      <c r="A1043551" s="24"/>
      <c r="B1043551" s="24"/>
      <c r="C1043551" s="24"/>
      <c r="D1043551" s="24"/>
      <c r="E1043551" s="24"/>
      <c r="F1043551" s="24"/>
      <c r="G1043551" s="24"/>
      <c r="H1043551" s="24"/>
      <c r="I1043551" s="24"/>
      <c r="J1043551" s="24"/>
      <c r="K1043551" s="54"/>
    </row>
    <row r="1043552" spans="1:11" s="55" customFormat="1" ht="12.75">
      <c r="A1043552" s="24"/>
      <c r="B1043552" s="24"/>
      <c r="C1043552" s="24"/>
      <c r="D1043552" s="24"/>
      <c r="E1043552" s="24"/>
      <c r="F1043552" s="24"/>
      <c r="G1043552" s="24"/>
      <c r="H1043552" s="24"/>
      <c r="I1043552" s="24"/>
      <c r="J1043552" s="24"/>
      <c r="K1043552" s="54"/>
    </row>
    <row r="1043553" spans="1:11" s="55" customFormat="1" ht="12.75">
      <c r="A1043553" s="24"/>
      <c r="B1043553" s="24"/>
      <c r="C1043553" s="24"/>
      <c r="D1043553" s="24"/>
      <c r="E1043553" s="24"/>
      <c r="F1043553" s="24"/>
      <c r="G1043553" s="24"/>
      <c r="H1043553" s="24"/>
      <c r="I1043553" s="24"/>
      <c r="J1043553" s="24"/>
      <c r="K1043553" s="54"/>
    </row>
    <row r="1043554" spans="1:11" s="55" customFormat="1" ht="12.75">
      <c r="A1043554" s="24"/>
      <c r="B1043554" s="24"/>
      <c r="C1043554" s="24"/>
      <c r="D1043554" s="24"/>
      <c r="E1043554" s="24"/>
      <c r="F1043554" s="24"/>
      <c r="G1043554" s="24"/>
      <c r="H1043554" s="24"/>
      <c r="I1043554" s="24"/>
      <c r="J1043554" s="24"/>
      <c r="K1043554" s="54"/>
    </row>
    <row r="1043555" spans="1:11" s="55" customFormat="1" ht="12.75">
      <c r="A1043555" s="24"/>
      <c r="B1043555" s="24"/>
      <c r="C1043555" s="24"/>
      <c r="D1043555" s="24"/>
      <c r="E1043555" s="24"/>
      <c r="F1043555" s="24"/>
      <c r="G1043555" s="24"/>
      <c r="H1043555" s="24"/>
      <c r="I1043555" s="24"/>
      <c r="J1043555" s="24"/>
      <c r="K1043555" s="54"/>
    </row>
    <row r="1043556" spans="1:11" s="55" customFormat="1" ht="12.75">
      <c r="A1043556" s="24"/>
      <c r="B1043556" s="24"/>
      <c r="C1043556" s="24"/>
      <c r="D1043556" s="24"/>
      <c r="E1043556" s="24"/>
      <c r="F1043556" s="24"/>
      <c r="G1043556" s="24"/>
      <c r="H1043556" s="24"/>
      <c r="I1043556" s="24"/>
      <c r="J1043556" s="24"/>
      <c r="K1043556" s="54"/>
    </row>
    <row r="1043557" spans="1:11" s="55" customFormat="1" ht="12.75">
      <c r="A1043557" s="24"/>
      <c r="B1043557" s="24"/>
      <c r="C1043557" s="24"/>
      <c r="D1043557" s="24"/>
      <c r="E1043557" s="24"/>
      <c r="F1043557" s="24"/>
      <c r="G1043557" s="24"/>
      <c r="H1043557" s="24"/>
      <c r="I1043557" s="24"/>
      <c r="J1043557" s="24"/>
      <c r="K1043557" s="54"/>
    </row>
    <row r="1043558" spans="1:11" s="55" customFormat="1" ht="12.75">
      <c r="A1043558" s="24"/>
      <c r="B1043558" s="24"/>
      <c r="C1043558" s="24"/>
      <c r="D1043558" s="24"/>
      <c r="E1043558" s="24"/>
      <c r="F1043558" s="24"/>
      <c r="G1043558" s="24"/>
      <c r="H1043558" s="24"/>
      <c r="I1043558" s="24"/>
      <c r="J1043558" s="24"/>
      <c r="K1043558" s="54"/>
    </row>
    <row r="1043559" spans="1:11" s="55" customFormat="1" ht="12.75">
      <c r="A1043559" s="24"/>
      <c r="B1043559" s="24"/>
      <c r="C1043559" s="24"/>
      <c r="D1043559" s="24"/>
      <c r="E1043559" s="24"/>
      <c r="F1043559" s="24"/>
      <c r="G1043559" s="24"/>
      <c r="H1043559" s="24"/>
      <c r="I1043559" s="24"/>
      <c r="J1043559" s="24"/>
      <c r="K1043559" s="54"/>
    </row>
    <row r="1043560" spans="1:11" s="55" customFormat="1" ht="12.75">
      <c r="A1043560" s="24"/>
      <c r="B1043560" s="24"/>
      <c r="C1043560" s="24"/>
      <c r="D1043560" s="24"/>
      <c r="E1043560" s="24"/>
      <c r="F1043560" s="24"/>
      <c r="G1043560" s="24"/>
      <c r="H1043560" s="24"/>
      <c r="I1043560" s="24"/>
      <c r="J1043560" s="24"/>
      <c r="K1043560" s="54"/>
    </row>
    <row r="1043561" spans="1:11" s="55" customFormat="1" ht="12.75">
      <c r="A1043561" s="24"/>
      <c r="B1043561" s="24"/>
      <c r="C1043561" s="24"/>
      <c r="D1043561" s="24"/>
      <c r="E1043561" s="24"/>
      <c r="F1043561" s="24"/>
      <c r="G1043561" s="24"/>
      <c r="H1043561" s="24"/>
      <c r="I1043561" s="24"/>
      <c r="J1043561" s="24"/>
      <c r="K1043561" s="54"/>
    </row>
    <row r="1043562" spans="1:11" s="55" customFormat="1" ht="12.75">
      <c r="A1043562" s="24"/>
      <c r="B1043562" s="24"/>
      <c r="C1043562" s="24"/>
      <c r="D1043562" s="24"/>
      <c r="E1043562" s="24"/>
      <c r="F1043562" s="24"/>
      <c r="G1043562" s="24"/>
      <c r="H1043562" s="24"/>
      <c r="I1043562" s="24"/>
      <c r="J1043562" s="24"/>
      <c r="K1043562" s="54"/>
    </row>
    <row r="1043563" spans="1:11" s="55" customFormat="1" ht="12.75">
      <c r="A1043563" s="24"/>
      <c r="B1043563" s="24"/>
      <c r="C1043563" s="24"/>
      <c r="D1043563" s="24"/>
      <c r="E1043563" s="24"/>
      <c r="F1043563" s="24"/>
      <c r="G1043563" s="24"/>
      <c r="H1043563" s="24"/>
      <c r="I1043563" s="24"/>
      <c r="J1043563" s="24"/>
      <c r="K1043563" s="54"/>
    </row>
    <row r="1043564" spans="1:11" s="55" customFormat="1" ht="12.75">
      <c r="A1043564" s="24"/>
      <c r="B1043564" s="24"/>
      <c r="C1043564" s="24"/>
      <c r="D1043564" s="24"/>
      <c r="E1043564" s="24"/>
      <c r="F1043564" s="24"/>
      <c r="G1043564" s="24"/>
      <c r="H1043564" s="24"/>
      <c r="I1043564" s="24"/>
      <c r="J1043564" s="24"/>
      <c r="K1043564" s="54"/>
    </row>
    <row r="1043565" spans="1:11" s="55" customFormat="1" ht="12.75">
      <c r="A1043565" s="24"/>
      <c r="B1043565" s="24"/>
      <c r="C1043565" s="24"/>
      <c r="D1043565" s="24"/>
      <c r="E1043565" s="24"/>
      <c r="F1043565" s="24"/>
      <c r="G1043565" s="24"/>
      <c r="H1043565" s="24"/>
      <c r="I1043565" s="24"/>
      <c r="J1043565" s="24"/>
      <c r="K1043565" s="54"/>
    </row>
    <row r="1043566" spans="1:11" s="55" customFormat="1" ht="12.75">
      <c r="A1043566" s="24"/>
      <c r="B1043566" s="24"/>
      <c r="C1043566" s="24"/>
      <c r="D1043566" s="24"/>
      <c r="E1043566" s="24"/>
      <c r="F1043566" s="24"/>
      <c r="G1043566" s="24"/>
      <c r="H1043566" s="24"/>
      <c r="I1043566" s="24"/>
      <c r="J1043566" s="24"/>
      <c r="K1043566" s="54"/>
    </row>
    <row r="1043567" spans="1:11" s="55" customFormat="1" ht="12.75">
      <c r="A1043567" s="24"/>
      <c r="B1043567" s="24"/>
      <c r="C1043567" s="24"/>
      <c r="D1043567" s="24"/>
      <c r="E1043567" s="24"/>
      <c r="F1043567" s="24"/>
      <c r="G1043567" s="24"/>
      <c r="H1043567" s="24"/>
      <c r="I1043567" s="24"/>
      <c r="J1043567" s="24"/>
      <c r="K1043567" s="54"/>
    </row>
    <row r="1043568" spans="1:11" s="55" customFormat="1" ht="12.75">
      <c r="A1043568" s="24"/>
      <c r="B1043568" s="24"/>
      <c r="C1043568" s="24"/>
      <c r="D1043568" s="24"/>
      <c r="E1043568" s="24"/>
      <c r="F1043568" s="24"/>
      <c r="G1043568" s="24"/>
      <c r="H1043568" s="24"/>
      <c r="I1043568" s="24"/>
      <c r="J1043568" s="24"/>
      <c r="K1043568" s="54"/>
    </row>
    <row r="1043569" spans="1:11" s="55" customFormat="1" ht="12.75">
      <c r="A1043569" s="24"/>
      <c r="B1043569" s="24"/>
      <c r="C1043569" s="24"/>
      <c r="D1043569" s="24"/>
      <c r="E1043569" s="24"/>
      <c r="F1043569" s="24"/>
      <c r="G1043569" s="24"/>
      <c r="H1043569" s="24"/>
      <c r="I1043569" s="24"/>
      <c r="J1043569" s="24"/>
      <c r="K1043569" s="54"/>
    </row>
    <row r="1043570" spans="1:11" s="55" customFormat="1" ht="12.75">
      <c r="A1043570" s="24"/>
      <c r="B1043570" s="24"/>
      <c r="C1043570" s="24"/>
      <c r="D1043570" s="24"/>
      <c r="E1043570" s="24"/>
      <c r="F1043570" s="24"/>
      <c r="G1043570" s="24"/>
      <c r="H1043570" s="24"/>
      <c r="I1043570" s="24"/>
      <c r="J1043570" s="24"/>
      <c r="K1043570" s="54"/>
    </row>
    <row r="1043571" spans="1:11" s="55" customFormat="1" ht="12.75">
      <c r="A1043571" s="24"/>
      <c r="B1043571" s="24"/>
      <c r="C1043571" s="24"/>
      <c r="D1043571" s="24"/>
      <c r="E1043571" s="24"/>
      <c r="F1043571" s="24"/>
      <c r="G1043571" s="24"/>
      <c r="H1043571" s="24"/>
      <c r="I1043571" s="24"/>
      <c r="J1043571" s="24"/>
      <c r="K1043571" s="54"/>
    </row>
    <row r="1043572" spans="1:11" s="55" customFormat="1" ht="12.75">
      <c r="A1043572" s="24"/>
      <c r="B1043572" s="24"/>
      <c r="C1043572" s="24"/>
      <c r="D1043572" s="24"/>
      <c r="E1043572" s="24"/>
      <c r="F1043572" s="24"/>
      <c r="G1043572" s="24"/>
      <c r="H1043572" s="24"/>
      <c r="I1043572" s="24"/>
      <c r="J1043572" s="24"/>
      <c r="K1043572" s="54"/>
    </row>
    <row r="1043573" spans="1:11" s="55" customFormat="1" ht="12.75">
      <c r="A1043573" s="24"/>
      <c r="B1043573" s="24"/>
      <c r="C1043573" s="24"/>
      <c r="D1043573" s="24"/>
      <c r="E1043573" s="24"/>
      <c r="F1043573" s="24"/>
      <c r="G1043573" s="24"/>
      <c r="H1043573" s="24"/>
      <c r="I1043573" s="24"/>
      <c r="J1043573" s="24"/>
      <c r="K1043573" s="54"/>
    </row>
    <row r="1043574" spans="1:11" s="55" customFormat="1" ht="12.75">
      <c r="A1043574" s="24"/>
      <c r="B1043574" s="24"/>
      <c r="C1043574" s="24"/>
      <c r="D1043574" s="24"/>
      <c r="E1043574" s="24"/>
      <c r="F1043574" s="24"/>
      <c r="G1043574" s="24"/>
      <c r="H1043574" s="24"/>
      <c r="I1043574" s="24"/>
      <c r="J1043574" s="24"/>
      <c r="K1043574" s="54"/>
    </row>
    <row r="1043575" spans="1:11" s="55" customFormat="1" ht="12.75">
      <c r="A1043575" s="24"/>
      <c r="B1043575" s="24"/>
      <c r="C1043575" s="24"/>
      <c r="D1043575" s="24"/>
      <c r="E1043575" s="24"/>
      <c r="F1043575" s="24"/>
      <c r="G1043575" s="24"/>
      <c r="H1043575" s="24"/>
      <c r="I1043575" s="24"/>
      <c r="J1043575" s="24"/>
      <c r="K1043575" s="54"/>
    </row>
    <row r="1043576" spans="1:11" s="55" customFormat="1" ht="12.75">
      <c r="A1043576" s="24"/>
      <c r="B1043576" s="24"/>
      <c r="C1043576" s="24"/>
      <c r="D1043576" s="24"/>
      <c r="E1043576" s="24"/>
      <c r="F1043576" s="24"/>
      <c r="G1043576" s="24"/>
      <c r="H1043576" s="24"/>
      <c r="I1043576" s="24"/>
      <c r="J1043576" s="24"/>
      <c r="K1043576" s="54"/>
    </row>
    <row r="1043577" spans="1:11" s="55" customFormat="1" ht="12.75">
      <c r="A1043577" s="24"/>
      <c r="B1043577" s="24"/>
      <c r="C1043577" s="24"/>
      <c r="D1043577" s="24"/>
      <c r="E1043577" s="24"/>
      <c r="F1043577" s="24"/>
      <c r="G1043577" s="24"/>
      <c r="H1043577" s="24"/>
      <c r="I1043577" s="24"/>
      <c r="J1043577" s="24"/>
      <c r="K1043577" s="54"/>
    </row>
    <row r="1043578" spans="1:11" s="55" customFormat="1" ht="12.75">
      <c r="A1043578" s="24"/>
      <c r="B1043578" s="24"/>
      <c r="C1043578" s="24"/>
      <c r="D1043578" s="24"/>
      <c r="E1043578" s="24"/>
      <c r="F1043578" s="24"/>
      <c r="G1043578" s="24"/>
      <c r="H1043578" s="24"/>
      <c r="I1043578" s="24"/>
      <c r="J1043578" s="24"/>
      <c r="K1043578" s="54"/>
    </row>
    <row r="1043579" spans="1:11" s="55" customFormat="1" ht="12.75">
      <c r="A1043579" s="24"/>
      <c r="B1043579" s="24"/>
      <c r="C1043579" s="24"/>
      <c r="D1043579" s="24"/>
      <c r="E1043579" s="24"/>
      <c r="F1043579" s="24"/>
      <c r="G1043579" s="24"/>
      <c r="H1043579" s="24"/>
      <c r="I1043579" s="24"/>
      <c r="J1043579" s="24"/>
      <c r="K1043579" s="54"/>
    </row>
    <row r="1043580" spans="1:11" s="55" customFormat="1" ht="12.75">
      <c r="A1043580" s="24"/>
      <c r="B1043580" s="24"/>
      <c r="C1043580" s="24"/>
      <c r="D1043580" s="24"/>
      <c r="E1043580" s="24"/>
      <c r="F1043580" s="24"/>
      <c r="G1043580" s="24"/>
      <c r="H1043580" s="24"/>
      <c r="I1043580" s="24"/>
      <c r="J1043580" s="24"/>
      <c r="K1043580" s="54"/>
    </row>
    <row r="1043581" spans="1:11" s="55" customFormat="1" ht="12.75">
      <c r="A1043581" s="24"/>
      <c r="B1043581" s="24"/>
      <c r="C1043581" s="24"/>
      <c r="D1043581" s="24"/>
      <c r="E1043581" s="24"/>
      <c r="F1043581" s="24"/>
      <c r="G1043581" s="24"/>
      <c r="H1043581" s="24"/>
      <c r="I1043581" s="24"/>
      <c r="J1043581" s="24"/>
      <c r="K1043581" s="54"/>
    </row>
    <row r="1043582" spans="1:11" s="55" customFormat="1" ht="12.75">
      <c r="A1043582" s="24"/>
      <c r="B1043582" s="24"/>
      <c r="C1043582" s="24"/>
      <c r="D1043582" s="24"/>
      <c r="E1043582" s="24"/>
      <c r="F1043582" s="24"/>
      <c r="G1043582" s="24"/>
      <c r="H1043582" s="24"/>
      <c r="I1043582" s="24"/>
      <c r="J1043582" s="24"/>
      <c r="K1043582" s="54"/>
    </row>
    <row r="1043583" spans="1:11" s="55" customFormat="1" ht="12.75">
      <c r="A1043583" s="24"/>
      <c r="B1043583" s="24"/>
      <c r="C1043583" s="24"/>
      <c r="D1043583" s="24"/>
      <c r="E1043583" s="24"/>
      <c r="F1043583" s="24"/>
      <c r="G1043583" s="24"/>
      <c r="H1043583" s="24"/>
      <c r="I1043583" s="24"/>
      <c r="J1043583" s="24"/>
      <c r="K1043583" s="54"/>
    </row>
    <row r="1043584" spans="1:11" s="55" customFormat="1" ht="12.75">
      <c r="A1043584" s="24"/>
      <c r="B1043584" s="24"/>
      <c r="C1043584" s="24"/>
      <c r="D1043584" s="24"/>
      <c r="E1043584" s="24"/>
      <c r="F1043584" s="24"/>
      <c r="G1043584" s="24"/>
      <c r="H1043584" s="24"/>
      <c r="I1043584" s="24"/>
      <c r="J1043584" s="24"/>
      <c r="K1043584" s="54"/>
    </row>
    <row r="1043585" spans="1:11" s="55" customFormat="1" ht="12.75">
      <c r="A1043585" s="24"/>
      <c r="B1043585" s="24"/>
      <c r="C1043585" s="24"/>
      <c r="D1043585" s="24"/>
      <c r="E1043585" s="24"/>
      <c r="F1043585" s="24"/>
      <c r="G1043585" s="24"/>
      <c r="H1043585" s="24"/>
      <c r="I1043585" s="24"/>
      <c r="J1043585" s="24"/>
      <c r="K1043585" s="54"/>
    </row>
    <row r="1043586" spans="1:11" s="55" customFormat="1" ht="12.75">
      <c r="A1043586" s="24"/>
      <c r="B1043586" s="24"/>
      <c r="C1043586" s="24"/>
      <c r="D1043586" s="24"/>
      <c r="E1043586" s="24"/>
      <c r="F1043586" s="24"/>
      <c r="G1043586" s="24"/>
      <c r="H1043586" s="24"/>
      <c r="I1043586" s="24"/>
      <c r="J1043586" s="24"/>
      <c r="K1043586" s="54"/>
    </row>
    <row r="1043587" spans="1:11" s="55" customFormat="1" ht="12.75">
      <c r="A1043587" s="24"/>
      <c r="B1043587" s="24"/>
      <c r="C1043587" s="24"/>
      <c r="D1043587" s="24"/>
      <c r="E1043587" s="24"/>
      <c r="F1043587" s="24"/>
      <c r="G1043587" s="24"/>
      <c r="H1043587" s="24"/>
      <c r="I1043587" s="24"/>
      <c r="J1043587" s="24"/>
      <c r="K1043587" s="54"/>
    </row>
    <row r="1043588" spans="1:11" s="55" customFormat="1" ht="12.75">
      <c r="A1043588" s="24"/>
      <c r="B1043588" s="24"/>
      <c r="C1043588" s="24"/>
      <c r="D1043588" s="24"/>
      <c r="E1043588" s="24"/>
      <c r="F1043588" s="24"/>
      <c r="G1043588" s="24"/>
      <c r="H1043588" s="24"/>
      <c r="I1043588" s="24"/>
      <c r="J1043588" s="24"/>
      <c r="K1043588" s="54"/>
    </row>
    <row r="1043589" spans="1:11" s="55" customFormat="1" ht="12.75">
      <c r="A1043589" s="24"/>
      <c r="B1043589" s="24"/>
      <c r="C1043589" s="24"/>
      <c r="D1043589" s="24"/>
      <c r="E1043589" s="24"/>
      <c r="F1043589" s="24"/>
      <c r="G1043589" s="24"/>
      <c r="H1043589" s="24"/>
      <c r="I1043589" s="24"/>
      <c r="J1043589" s="24"/>
      <c r="K1043589" s="54"/>
    </row>
    <row r="1043590" spans="1:11" s="55" customFormat="1" ht="12.75">
      <c r="A1043590" s="24"/>
      <c r="B1043590" s="24"/>
      <c r="C1043590" s="24"/>
      <c r="D1043590" s="24"/>
      <c r="E1043590" s="24"/>
      <c r="F1043590" s="24"/>
      <c r="G1043590" s="24"/>
      <c r="H1043590" s="24"/>
      <c r="I1043590" s="24"/>
      <c r="J1043590" s="24"/>
      <c r="K1043590" s="54"/>
    </row>
    <row r="1043591" spans="1:11" s="55" customFormat="1" ht="12.75">
      <c r="A1043591" s="24"/>
      <c r="B1043591" s="24"/>
      <c r="C1043591" s="24"/>
      <c r="D1043591" s="24"/>
      <c r="E1043591" s="24"/>
      <c r="F1043591" s="24"/>
      <c r="G1043591" s="24"/>
      <c r="H1043591" s="24"/>
      <c r="I1043591" s="24"/>
      <c r="J1043591" s="24"/>
      <c r="K1043591" s="54"/>
    </row>
    <row r="1043592" spans="1:11" s="55" customFormat="1" ht="12.75">
      <c r="A1043592" s="24"/>
      <c r="B1043592" s="24"/>
      <c r="C1043592" s="24"/>
      <c r="D1043592" s="24"/>
      <c r="E1043592" s="24"/>
      <c r="F1043592" s="24"/>
      <c r="G1043592" s="24"/>
      <c r="H1043592" s="24"/>
      <c r="I1043592" s="24"/>
      <c r="J1043592" s="24"/>
      <c r="K1043592" s="54"/>
    </row>
    <row r="1043593" spans="1:11" s="55" customFormat="1" ht="12.75">
      <c r="A1043593" s="24"/>
      <c r="B1043593" s="24"/>
      <c r="C1043593" s="24"/>
      <c r="D1043593" s="24"/>
      <c r="E1043593" s="24"/>
      <c r="F1043593" s="24"/>
      <c r="G1043593" s="24"/>
      <c r="H1043593" s="24"/>
      <c r="I1043593" s="24"/>
      <c r="J1043593" s="24"/>
      <c r="K1043593" s="54"/>
    </row>
    <row r="1043594" spans="1:11" s="55" customFormat="1" ht="12.75">
      <c r="A1043594" s="24"/>
      <c r="B1043594" s="24"/>
      <c r="C1043594" s="24"/>
      <c r="D1043594" s="24"/>
      <c r="E1043594" s="24"/>
      <c r="F1043594" s="24"/>
      <c r="G1043594" s="24"/>
      <c r="H1043594" s="24"/>
      <c r="I1043594" s="24"/>
      <c r="J1043594" s="24"/>
      <c r="K1043594" s="54"/>
    </row>
    <row r="1043595" spans="1:11" s="55" customFormat="1" ht="12.75">
      <c r="A1043595" s="24"/>
      <c r="B1043595" s="24"/>
      <c r="C1043595" s="24"/>
      <c r="D1043595" s="24"/>
      <c r="E1043595" s="24"/>
      <c r="F1043595" s="24"/>
      <c r="G1043595" s="24"/>
      <c r="H1043595" s="24"/>
      <c r="I1043595" s="24"/>
      <c r="J1043595" s="24"/>
      <c r="K1043595" s="54"/>
    </row>
    <row r="1043596" spans="1:11" s="55" customFormat="1" ht="12.75">
      <c r="A1043596" s="24"/>
      <c r="B1043596" s="24"/>
      <c r="C1043596" s="24"/>
      <c r="D1043596" s="24"/>
      <c r="E1043596" s="24"/>
      <c r="F1043596" s="24"/>
      <c r="G1043596" s="24"/>
      <c r="H1043596" s="24"/>
      <c r="I1043596" s="24"/>
      <c r="J1043596" s="24"/>
      <c r="K1043596" s="54"/>
    </row>
    <row r="1043597" spans="1:11" s="55" customFormat="1" ht="12.75">
      <c r="A1043597" s="24"/>
      <c r="B1043597" s="24"/>
      <c r="C1043597" s="24"/>
      <c r="D1043597" s="24"/>
      <c r="E1043597" s="24"/>
      <c r="F1043597" s="24"/>
      <c r="G1043597" s="24"/>
      <c r="H1043597" s="24"/>
      <c r="I1043597" s="24"/>
      <c r="J1043597" s="24"/>
      <c r="K1043597" s="54"/>
    </row>
    <row r="1043598" spans="1:11" s="55" customFormat="1" ht="12.75">
      <c r="A1043598" s="24"/>
      <c r="B1043598" s="24"/>
      <c r="C1043598" s="24"/>
      <c r="D1043598" s="24"/>
      <c r="E1043598" s="24"/>
      <c r="F1043598" s="24"/>
      <c r="G1043598" s="24"/>
      <c r="H1043598" s="24"/>
      <c r="I1043598" s="24"/>
      <c r="J1043598" s="24"/>
      <c r="K1043598" s="54"/>
    </row>
    <row r="1043599" spans="1:11" s="55" customFormat="1" ht="12.75">
      <c r="A1043599" s="24"/>
      <c r="B1043599" s="24"/>
      <c r="C1043599" s="24"/>
      <c r="D1043599" s="24"/>
      <c r="E1043599" s="24"/>
      <c r="F1043599" s="24"/>
      <c r="G1043599" s="24"/>
      <c r="H1043599" s="24"/>
      <c r="I1043599" s="24"/>
      <c r="J1043599" s="24"/>
      <c r="K1043599" s="54"/>
    </row>
    <row r="1043600" spans="1:11" s="55" customFormat="1" ht="12.75">
      <c r="A1043600" s="24"/>
      <c r="B1043600" s="24"/>
      <c r="C1043600" s="24"/>
      <c r="D1043600" s="24"/>
      <c r="E1043600" s="24"/>
      <c r="F1043600" s="24"/>
      <c r="G1043600" s="24"/>
      <c r="H1043600" s="24"/>
      <c r="I1043600" s="24"/>
      <c r="J1043600" s="24"/>
      <c r="K1043600" s="54"/>
    </row>
    <row r="1043601" spans="1:11" s="55" customFormat="1" ht="12.75">
      <c r="A1043601" s="24"/>
      <c r="B1043601" s="24"/>
      <c r="C1043601" s="24"/>
      <c r="D1043601" s="24"/>
      <c r="E1043601" s="24"/>
      <c r="F1043601" s="24"/>
      <c r="G1043601" s="24"/>
      <c r="H1043601" s="24"/>
      <c r="I1043601" s="24"/>
      <c r="J1043601" s="24"/>
      <c r="K1043601" s="54"/>
    </row>
    <row r="1043602" spans="1:11" s="55" customFormat="1" ht="12.75">
      <c r="A1043602" s="24"/>
      <c r="B1043602" s="24"/>
      <c r="C1043602" s="24"/>
      <c r="D1043602" s="24"/>
      <c r="E1043602" s="24"/>
      <c r="F1043602" s="24"/>
      <c r="G1043602" s="24"/>
      <c r="H1043602" s="24"/>
      <c r="I1043602" s="24"/>
      <c r="J1043602" s="24"/>
      <c r="K1043602" s="54"/>
    </row>
    <row r="1043603" spans="1:11" s="55" customFormat="1" ht="12.75">
      <c r="A1043603" s="24"/>
      <c r="B1043603" s="24"/>
      <c r="C1043603" s="24"/>
      <c r="D1043603" s="24"/>
      <c r="E1043603" s="24"/>
      <c r="F1043603" s="24"/>
      <c r="G1043603" s="24"/>
      <c r="H1043603" s="24"/>
      <c r="I1043603" s="24"/>
      <c r="J1043603" s="24"/>
      <c r="K1043603" s="54"/>
    </row>
    <row r="1043604" spans="1:11" s="55" customFormat="1" ht="12.75">
      <c r="A1043604" s="24"/>
      <c r="B1043604" s="24"/>
      <c r="C1043604" s="24"/>
      <c r="D1043604" s="24"/>
      <c r="E1043604" s="24"/>
      <c r="F1043604" s="24"/>
      <c r="G1043604" s="24"/>
      <c r="H1043604" s="24"/>
      <c r="I1043604" s="24"/>
      <c r="J1043604" s="24"/>
      <c r="K1043604" s="54"/>
    </row>
    <row r="1043605" spans="1:11" s="55" customFormat="1" ht="12.75">
      <c r="A1043605" s="24"/>
      <c r="B1043605" s="24"/>
      <c r="C1043605" s="24"/>
      <c r="D1043605" s="24"/>
      <c r="E1043605" s="24"/>
      <c r="F1043605" s="24"/>
      <c r="G1043605" s="24"/>
      <c r="H1043605" s="24"/>
      <c r="I1043605" s="24"/>
      <c r="J1043605" s="24"/>
      <c r="K1043605" s="54"/>
    </row>
    <row r="1043606" spans="1:11" s="55" customFormat="1" ht="12.75">
      <c r="A1043606" s="24"/>
      <c r="B1043606" s="24"/>
      <c r="C1043606" s="24"/>
      <c r="D1043606" s="24"/>
      <c r="E1043606" s="24"/>
      <c r="F1043606" s="24"/>
      <c r="G1043606" s="24"/>
      <c r="H1043606" s="24"/>
      <c r="I1043606" s="24"/>
      <c r="J1043606" s="24"/>
      <c r="K1043606" s="54"/>
    </row>
    <row r="1043607" spans="1:11" s="55" customFormat="1" ht="12.75">
      <c r="A1043607" s="24"/>
      <c r="B1043607" s="24"/>
      <c r="C1043607" s="24"/>
      <c r="D1043607" s="24"/>
      <c r="E1043607" s="24"/>
      <c r="F1043607" s="24"/>
      <c r="G1043607" s="24"/>
      <c r="H1043607" s="24"/>
      <c r="I1043607" s="24"/>
      <c r="J1043607" s="24"/>
      <c r="K1043607" s="54"/>
    </row>
    <row r="1043608" spans="1:11" s="55" customFormat="1" ht="12.75">
      <c r="A1043608" s="24"/>
      <c r="B1043608" s="24"/>
      <c r="C1043608" s="24"/>
      <c r="D1043608" s="24"/>
      <c r="E1043608" s="24"/>
      <c r="F1043608" s="24"/>
      <c r="G1043608" s="24"/>
      <c r="H1043608" s="24"/>
      <c r="I1043608" s="24"/>
      <c r="J1043608" s="24"/>
      <c r="K1043608" s="54"/>
    </row>
    <row r="1043609" spans="1:11" s="55" customFormat="1" ht="12.75">
      <c r="A1043609" s="24"/>
      <c r="B1043609" s="24"/>
      <c r="C1043609" s="24"/>
      <c r="D1043609" s="24"/>
      <c r="E1043609" s="24"/>
      <c r="F1043609" s="24"/>
      <c r="G1043609" s="24"/>
      <c r="H1043609" s="24"/>
      <c r="I1043609" s="24"/>
      <c r="J1043609" s="24"/>
      <c r="K1043609" s="54"/>
    </row>
    <row r="1043610" spans="1:11" s="55" customFormat="1" ht="12.75">
      <c r="A1043610" s="24"/>
      <c r="B1043610" s="24"/>
      <c r="C1043610" s="24"/>
      <c r="D1043610" s="24"/>
      <c r="E1043610" s="24"/>
      <c r="F1043610" s="24"/>
      <c r="G1043610" s="24"/>
      <c r="H1043610" s="24"/>
      <c r="I1043610" s="24"/>
      <c r="J1043610" s="24"/>
      <c r="K1043610" s="54"/>
    </row>
    <row r="1043611" spans="1:11" s="55" customFormat="1" ht="12.75">
      <c r="A1043611" s="24"/>
      <c r="B1043611" s="24"/>
      <c r="C1043611" s="24"/>
      <c r="D1043611" s="24"/>
      <c r="E1043611" s="24"/>
      <c r="F1043611" s="24"/>
      <c r="G1043611" s="24"/>
      <c r="H1043611" s="24"/>
      <c r="I1043611" s="24"/>
      <c r="J1043611" s="24"/>
      <c r="K1043611" s="54"/>
    </row>
    <row r="1043612" spans="1:11" s="55" customFormat="1" ht="12.75">
      <c r="A1043612" s="24"/>
      <c r="B1043612" s="24"/>
      <c r="C1043612" s="24"/>
      <c r="D1043612" s="24"/>
      <c r="E1043612" s="24"/>
      <c r="F1043612" s="24"/>
      <c r="G1043612" s="24"/>
      <c r="H1043612" s="24"/>
      <c r="I1043612" s="24"/>
      <c r="J1043612" s="24"/>
      <c r="K1043612" s="54"/>
    </row>
    <row r="1043613" spans="1:11" s="55" customFormat="1" ht="12.75">
      <c r="A1043613" s="24"/>
      <c r="B1043613" s="24"/>
      <c r="C1043613" s="24"/>
      <c r="D1043613" s="24"/>
      <c r="E1043613" s="24"/>
      <c r="F1043613" s="24"/>
      <c r="G1043613" s="24"/>
      <c r="H1043613" s="24"/>
      <c r="I1043613" s="24"/>
      <c r="J1043613" s="24"/>
      <c r="K1043613" s="54"/>
    </row>
    <row r="1043614" spans="1:11" s="55" customFormat="1" ht="12.75">
      <c r="A1043614" s="24"/>
      <c r="B1043614" s="24"/>
      <c r="C1043614" s="24"/>
      <c r="D1043614" s="24"/>
      <c r="E1043614" s="24"/>
      <c r="F1043614" s="24"/>
      <c r="G1043614" s="24"/>
      <c r="H1043614" s="24"/>
      <c r="I1043614" s="24"/>
      <c r="J1043614" s="24"/>
      <c r="K1043614" s="54"/>
    </row>
    <row r="1043615" spans="1:11" s="55" customFormat="1" ht="12.75">
      <c r="A1043615" s="24"/>
      <c r="B1043615" s="24"/>
      <c r="C1043615" s="24"/>
      <c r="D1043615" s="24"/>
      <c r="E1043615" s="24"/>
      <c r="F1043615" s="24"/>
      <c r="G1043615" s="24"/>
      <c r="H1043615" s="24"/>
      <c r="I1043615" s="24"/>
      <c r="J1043615" s="24"/>
      <c r="K1043615" s="54"/>
    </row>
    <row r="1043616" spans="1:11" s="55" customFormat="1" ht="12.75">
      <c r="A1043616" s="24"/>
      <c r="B1043616" s="24"/>
      <c r="C1043616" s="24"/>
      <c r="D1043616" s="24"/>
      <c r="E1043616" s="24"/>
      <c r="F1043616" s="24"/>
      <c r="G1043616" s="24"/>
      <c r="H1043616" s="24"/>
      <c r="I1043616" s="24"/>
      <c r="J1043616" s="24"/>
      <c r="K1043616" s="54"/>
    </row>
    <row r="1043617" spans="1:11" s="55" customFormat="1" ht="12.75">
      <c r="A1043617" s="24"/>
      <c r="B1043617" s="24"/>
      <c r="C1043617" s="24"/>
      <c r="D1043617" s="24"/>
      <c r="E1043617" s="24"/>
      <c r="F1043617" s="24"/>
      <c r="G1043617" s="24"/>
      <c r="H1043617" s="24"/>
      <c r="I1043617" s="24"/>
      <c r="J1043617" s="24"/>
      <c r="K1043617" s="54"/>
    </row>
    <row r="1043618" spans="1:11" s="55" customFormat="1" ht="12.75">
      <c r="A1043618" s="24"/>
      <c r="B1043618" s="24"/>
      <c r="C1043618" s="24"/>
      <c r="D1043618" s="24"/>
      <c r="E1043618" s="24"/>
      <c r="F1043618" s="24"/>
      <c r="G1043618" s="24"/>
      <c r="H1043618" s="24"/>
      <c r="I1043618" s="24"/>
      <c r="J1043618" s="24"/>
      <c r="K1043618" s="54"/>
    </row>
    <row r="1043619" spans="1:11" s="55" customFormat="1" ht="12.75">
      <c r="A1043619" s="24"/>
      <c r="B1043619" s="24"/>
      <c r="C1043619" s="24"/>
      <c r="D1043619" s="24"/>
      <c r="E1043619" s="24"/>
      <c r="F1043619" s="24"/>
      <c r="G1043619" s="24"/>
      <c r="H1043619" s="24"/>
      <c r="I1043619" s="24"/>
      <c r="J1043619" s="24"/>
      <c r="K1043619" s="54"/>
    </row>
    <row r="1043620" spans="1:11" s="55" customFormat="1" ht="12.75">
      <c r="A1043620" s="24"/>
      <c r="B1043620" s="24"/>
      <c r="C1043620" s="24"/>
      <c r="D1043620" s="24"/>
      <c r="E1043620" s="24"/>
      <c r="F1043620" s="24"/>
      <c r="G1043620" s="24"/>
      <c r="H1043620" s="24"/>
      <c r="I1043620" s="24"/>
      <c r="J1043620" s="24"/>
      <c r="K1043620" s="54"/>
    </row>
    <row r="1043621" spans="1:11" s="55" customFormat="1" ht="12.75">
      <c r="A1043621" s="24"/>
      <c r="B1043621" s="24"/>
      <c r="C1043621" s="24"/>
      <c r="D1043621" s="24"/>
      <c r="E1043621" s="24"/>
      <c r="F1043621" s="24"/>
      <c r="G1043621" s="24"/>
      <c r="H1043621" s="24"/>
      <c r="I1043621" s="24"/>
      <c r="J1043621" s="24"/>
      <c r="K1043621" s="54"/>
    </row>
    <row r="1043622" spans="1:11" s="55" customFormat="1" ht="12.75">
      <c r="A1043622" s="24"/>
      <c r="B1043622" s="24"/>
      <c r="C1043622" s="24"/>
      <c r="D1043622" s="24"/>
      <c r="E1043622" s="24"/>
      <c r="F1043622" s="24"/>
      <c r="G1043622" s="24"/>
      <c r="H1043622" s="24"/>
      <c r="I1043622" s="24"/>
      <c r="J1043622" s="24"/>
      <c r="K1043622" s="54"/>
    </row>
    <row r="1043623" spans="1:11" s="55" customFormat="1" ht="12.75">
      <c r="A1043623" s="24"/>
      <c r="B1043623" s="24"/>
      <c r="C1043623" s="24"/>
      <c r="D1043623" s="24"/>
      <c r="E1043623" s="24"/>
      <c r="F1043623" s="24"/>
      <c r="G1043623" s="24"/>
      <c r="H1043623" s="24"/>
      <c r="I1043623" s="24"/>
      <c r="J1043623" s="24"/>
      <c r="K1043623" s="54"/>
    </row>
    <row r="1043624" spans="1:11" s="55" customFormat="1" ht="12.75">
      <c r="A1043624" s="24"/>
      <c r="B1043624" s="24"/>
      <c r="C1043624" s="24"/>
      <c r="D1043624" s="24"/>
      <c r="E1043624" s="24"/>
      <c r="F1043624" s="24"/>
      <c r="G1043624" s="24"/>
      <c r="H1043624" s="24"/>
      <c r="I1043624" s="24"/>
      <c r="J1043624" s="24"/>
      <c r="K1043624" s="54"/>
    </row>
    <row r="1043625" spans="1:11" s="55" customFormat="1" ht="12.75">
      <c r="A1043625" s="24"/>
      <c r="B1043625" s="24"/>
      <c r="C1043625" s="24"/>
      <c r="D1043625" s="24"/>
      <c r="E1043625" s="24"/>
      <c r="F1043625" s="24"/>
      <c r="G1043625" s="24"/>
      <c r="H1043625" s="24"/>
      <c r="I1043625" s="24"/>
      <c r="J1043625" s="24"/>
      <c r="K1043625" s="54"/>
    </row>
    <row r="1043626" spans="1:11" s="55" customFormat="1" ht="12.75">
      <c r="A1043626" s="24"/>
      <c r="B1043626" s="24"/>
      <c r="C1043626" s="24"/>
      <c r="D1043626" s="24"/>
      <c r="E1043626" s="24"/>
      <c r="F1043626" s="24"/>
      <c r="G1043626" s="24"/>
      <c r="H1043626" s="24"/>
      <c r="I1043626" s="24"/>
      <c r="J1043626" s="24"/>
      <c r="K1043626" s="54"/>
    </row>
    <row r="1043627" spans="1:11" s="55" customFormat="1" ht="12.75">
      <c r="A1043627" s="24"/>
      <c r="B1043627" s="24"/>
      <c r="C1043627" s="24"/>
      <c r="D1043627" s="24"/>
      <c r="E1043627" s="24"/>
      <c r="F1043627" s="24"/>
      <c r="G1043627" s="24"/>
      <c r="H1043627" s="24"/>
      <c r="I1043627" s="24"/>
      <c r="J1043627" s="24"/>
      <c r="K1043627" s="54"/>
    </row>
    <row r="1043628" spans="1:11" s="55" customFormat="1" ht="12.75">
      <c r="A1043628" s="24"/>
      <c r="B1043628" s="24"/>
      <c r="C1043628" s="24"/>
      <c r="D1043628" s="24"/>
      <c r="E1043628" s="24"/>
      <c r="F1043628" s="24"/>
      <c r="G1043628" s="24"/>
      <c r="H1043628" s="24"/>
      <c r="I1043628" s="24"/>
      <c r="J1043628" s="24"/>
      <c r="K1043628" s="54"/>
    </row>
    <row r="1043629" spans="1:11" s="55" customFormat="1" ht="12.75">
      <c r="A1043629" s="24"/>
      <c r="B1043629" s="24"/>
      <c r="C1043629" s="24"/>
      <c r="D1043629" s="24"/>
      <c r="E1043629" s="24"/>
      <c r="F1043629" s="24"/>
      <c r="G1043629" s="24"/>
      <c r="H1043629" s="24"/>
      <c r="I1043629" s="24"/>
      <c r="J1043629" s="24"/>
      <c r="K1043629" s="54"/>
    </row>
    <row r="1043630" spans="1:11" s="55" customFormat="1" ht="12.75">
      <c r="A1043630" s="24"/>
      <c r="B1043630" s="24"/>
      <c r="C1043630" s="24"/>
      <c r="D1043630" s="24"/>
      <c r="E1043630" s="24"/>
      <c r="F1043630" s="24"/>
      <c r="G1043630" s="24"/>
      <c r="H1043630" s="24"/>
      <c r="I1043630" s="24"/>
      <c r="J1043630" s="24"/>
      <c r="K1043630" s="54"/>
    </row>
    <row r="1043631" spans="1:11" s="55" customFormat="1" ht="12.75">
      <c r="A1043631" s="24"/>
      <c r="B1043631" s="24"/>
      <c r="C1043631" s="24"/>
      <c r="D1043631" s="24"/>
      <c r="E1043631" s="24"/>
      <c r="F1043631" s="24"/>
      <c r="G1043631" s="24"/>
      <c r="H1043631" s="24"/>
      <c r="I1043631" s="24"/>
      <c r="J1043631" s="24"/>
      <c r="K1043631" s="54"/>
    </row>
    <row r="1043632" spans="1:11" s="55" customFormat="1" ht="12.75">
      <c r="A1043632" s="24"/>
      <c r="B1043632" s="24"/>
      <c r="C1043632" s="24"/>
      <c r="D1043632" s="24"/>
      <c r="E1043632" s="24"/>
      <c r="F1043632" s="24"/>
      <c r="G1043632" s="24"/>
      <c r="H1043632" s="24"/>
      <c r="I1043632" s="24"/>
      <c r="J1043632" s="24"/>
      <c r="K1043632" s="54"/>
    </row>
    <row r="1043633" spans="1:11" s="55" customFormat="1" ht="12.75">
      <c r="A1043633" s="24"/>
      <c r="B1043633" s="24"/>
      <c r="C1043633" s="24"/>
      <c r="D1043633" s="24"/>
      <c r="E1043633" s="24"/>
      <c r="F1043633" s="24"/>
      <c r="G1043633" s="24"/>
      <c r="H1043633" s="24"/>
      <c r="I1043633" s="24"/>
      <c r="J1043633" s="24"/>
      <c r="K1043633" s="54"/>
    </row>
    <row r="1043634" spans="1:11" s="55" customFormat="1" ht="12.75">
      <c r="A1043634" s="24"/>
      <c r="B1043634" s="24"/>
      <c r="C1043634" s="24"/>
      <c r="D1043634" s="24"/>
      <c r="E1043634" s="24"/>
      <c r="F1043634" s="24"/>
      <c r="G1043634" s="24"/>
      <c r="H1043634" s="24"/>
      <c r="I1043634" s="24"/>
      <c r="J1043634" s="24"/>
      <c r="K1043634" s="54"/>
    </row>
    <row r="1043635" spans="1:11" s="55" customFormat="1" ht="12.75">
      <c r="A1043635" s="24"/>
      <c r="B1043635" s="24"/>
      <c r="C1043635" s="24"/>
      <c r="D1043635" s="24"/>
      <c r="E1043635" s="24"/>
      <c r="F1043635" s="24"/>
      <c r="G1043635" s="24"/>
      <c r="H1043635" s="24"/>
      <c r="I1043635" s="24"/>
      <c r="J1043635" s="24"/>
      <c r="K1043635" s="54"/>
    </row>
    <row r="1043636" spans="1:11" s="55" customFormat="1" ht="12.75">
      <c r="A1043636" s="24"/>
      <c r="B1043636" s="24"/>
      <c r="C1043636" s="24"/>
      <c r="D1043636" s="24"/>
      <c r="E1043636" s="24"/>
      <c r="F1043636" s="24"/>
      <c r="G1043636" s="24"/>
      <c r="H1043636" s="24"/>
      <c r="I1043636" s="24"/>
      <c r="J1043636" s="24"/>
      <c r="K1043636" s="54"/>
    </row>
    <row r="1043637" spans="1:11" s="55" customFormat="1" ht="12.75">
      <c r="A1043637" s="24"/>
      <c r="B1043637" s="24"/>
      <c r="C1043637" s="24"/>
      <c r="D1043637" s="24"/>
      <c r="E1043637" s="24"/>
      <c r="F1043637" s="24"/>
      <c r="G1043637" s="24"/>
      <c r="H1043637" s="24"/>
      <c r="I1043637" s="24"/>
      <c r="J1043637" s="24"/>
      <c r="K1043637" s="54"/>
    </row>
    <row r="1043638" spans="1:11" s="55" customFormat="1" ht="12.75">
      <c r="A1043638" s="24"/>
      <c r="B1043638" s="24"/>
      <c r="C1043638" s="24"/>
      <c r="D1043638" s="24"/>
      <c r="E1043638" s="24"/>
      <c r="F1043638" s="24"/>
      <c r="G1043638" s="24"/>
      <c r="H1043638" s="24"/>
      <c r="I1043638" s="24"/>
      <c r="J1043638" s="24"/>
      <c r="K1043638" s="54"/>
    </row>
    <row r="1043639" spans="1:11" s="55" customFormat="1" ht="12.75">
      <c r="A1043639" s="24"/>
      <c r="B1043639" s="24"/>
      <c r="C1043639" s="24"/>
      <c r="D1043639" s="24"/>
      <c r="E1043639" s="24"/>
      <c r="F1043639" s="24"/>
      <c r="G1043639" s="24"/>
      <c r="H1043639" s="24"/>
      <c r="I1043639" s="24"/>
      <c r="J1043639" s="24"/>
      <c r="K1043639" s="54"/>
    </row>
    <row r="1043640" spans="1:11" s="55" customFormat="1" ht="12.75">
      <c r="A1043640" s="24"/>
      <c r="B1043640" s="24"/>
      <c r="C1043640" s="24"/>
      <c r="D1043640" s="24"/>
      <c r="E1043640" s="24"/>
      <c r="F1043640" s="24"/>
      <c r="G1043640" s="24"/>
      <c r="H1043640" s="24"/>
      <c r="I1043640" s="24"/>
      <c r="J1043640" s="24"/>
      <c r="K1043640" s="54"/>
    </row>
    <row r="1043641" spans="1:11" s="55" customFormat="1" ht="12.75">
      <c r="A1043641" s="24"/>
      <c r="B1043641" s="24"/>
      <c r="C1043641" s="24"/>
      <c r="D1043641" s="24"/>
      <c r="E1043641" s="24"/>
      <c r="F1043641" s="24"/>
      <c r="G1043641" s="24"/>
      <c r="H1043641" s="24"/>
      <c r="I1043641" s="24"/>
      <c r="J1043641" s="24"/>
      <c r="K1043641" s="54"/>
    </row>
    <row r="1043642" spans="1:11" s="55" customFormat="1" ht="12.75">
      <c r="A1043642" s="24"/>
      <c r="B1043642" s="24"/>
      <c r="C1043642" s="24"/>
      <c r="D1043642" s="24"/>
      <c r="E1043642" s="24"/>
      <c r="F1043642" s="24"/>
      <c r="G1043642" s="24"/>
      <c r="H1043642" s="24"/>
      <c r="I1043642" s="24"/>
      <c r="J1043642" s="24"/>
      <c r="K1043642" s="54"/>
    </row>
    <row r="1043643" spans="1:11" s="55" customFormat="1" ht="12.75">
      <c r="A1043643" s="24"/>
      <c r="B1043643" s="24"/>
      <c r="C1043643" s="24"/>
      <c r="D1043643" s="24"/>
      <c r="E1043643" s="24"/>
      <c r="F1043643" s="24"/>
      <c r="G1043643" s="24"/>
      <c r="H1043643" s="24"/>
      <c r="I1043643" s="24"/>
      <c r="J1043643" s="24"/>
      <c r="K1043643" s="54"/>
    </row>
    <row r="1043644" spans="1:11" s="55" customFormat="1" ht="12.75">
      <c r="A1043644" s="24"/>
      <c r="B1043644" s="24"/>
      <c r="C1043644" s="24"/>
      <c r="D1043644" s="24"/>
      <c r="E1043644" s="24"/>
      <c r="F1043644" s="24"/>
      <c r="G1043644" s="24"/>
      <c r="H1043644" s="24"/>
      <c r="I1043644" s="24"/>
      <c r="J1043644" s="24"/>
      <c r="K1043644" s="54"/>
    </row>
    <row r="1043645" spans="1:11" s="55" customFormat="1" ht="12.75">
      <c r="A1043645" s="24"/>
      <c r="B1043645" s="24"/>
      <c r="C1043645" s="24"/>
      <c r="D1043645" s="24"/>
      <c r="E1043645" s="24"/>
      <c r="F1043645" s="24"/>
      <c r="G1043645" s="24"/>
      <c r="H1043645" s="24"/>
      <c r="I1043645" s="24"/>
      <c r="J1043645" s="24"/>
      <c r="K1043645" s="54"/>
    </row>
    <row r="1043646" spans="1:11" s="55" customFormat="1" ht="12.75">
      <c r="A1043646" s="24"/>
      <c r="B1043646" s="24"/>
      <c r="C1043646" s="24"/>
      <c r="D1043646" s="24"/>
      <c r="E1043646" s="24"/>
      <c r="F1043646" s="24"/>
      <c r="G1043646" s="24"/>
      <c r="H1043646" s="24"/>
      <c r="I1043646" s="24"/>
      <c r="J1043646" s="24"/>
      <c r="K1043646" s="54"/>
    </row>
    <row r="1043647" spans="1:11" s="55" customFormat="1" ht="12.75">
      <c r="A1043647" s="24"/>
      <c r="B1043647" s="24"/>
      <c r="C1043647" s="24"/>
      <c r="D1043647" s="24"/>
      <c r="E1043647" s="24"/>
      <c r="F1043647" s="24"/>
      <c r="G1043647" s="24"/>
      <c r="H1043647" s="24"/>
      <c r="I1043647" s="24"/>
      <c r="J1043647" s="24"/>
      <c r="K1043647" s="54"/>
    </row>
    <row r="1043648" spans="1:11" s="55" customFormat="1" ht="12.75">
      <c r="A1043648" s="24"/>
      <c r="B1043648" s="24"/>
      <c r="C1043648" s="24"/>
      <c r="D1043648" s="24"/>
      <c r="E1043648" s="24"/>
      <c r="F1043648" s="24"/>
      <c r="G1043648" s="24"/>
      <c r="H1043648" s="24"/>
      <c r="I1043648" s="24"/>
      <c r="J1043648" s="24"/>
      <c r="K1043648" s="54"/>
    </row>
    <row r="1043649" spans="1:11" s="55" customFormat="1" ht="12.75">
      <c r="A1043649" s="24"/>
      <c r="B1043649" s="24"/>
      <c r="C1043649" s="24"/>
      <c r="D1043649" s="24"/>
      <c r="E1043649" s="24"/>
      <c r="F1043649" s="24"/>
      <c r="G1043649" s="24"/>
      <c r="H1043649" s="24"/>
      <c r="I1043649" s="24"/>
      <c r="J1043649" s="24"/>
      <c r="K1043649" s="54"/>
    </row>
    <row r="1043650" spans="1:11" s="55" customFormat="1" ht="12.75">
      <c r="A1043650" s="24"/>
      <c r="B1043650" s="24"/>
      <c r="C1043650" s="24"/>
      <c r="D1043650" s="24"/>
      <c r="E1043650" s="24"/>
      <c r="F1043650" s="24"/>
      <c r="G1043650" s="24"/>
      <c r="H1043650" s="24"/>
      <c r="I1043650" s="24"/>
      <c r="J1043650" s="24"/>
      <c r="K1043650" s="54"/>
    </row>
    <row r="1043651" spans="1:11" s="55" customFormat="1" ht="12.75">
      <c r="A1043651" s="24"/>
      <c r="B1043651" s="24"/>
      <c r="C1043651" s="24"/>
      <c r="D1043651" s="24"/>
      <c r="E1043651" s="24"/>
      <c r="F1043651" s="24"/>
      <c r="G1043651" s="24"/>
      <c r="H1043651" s="24"/>
      <c r="I1043651" s="24"/>
      <c r="J1043651" s="24"/>
      <c r="K1043651" s="54"/>
    </row>
    <row r="1043652" spans="1:11" s="55" customFormat="1" ht="12.75">
      <c r="A1043652" s="24"/>
      <c r="B1043652" s="24"/>
      <c r="C1043652" s="24"/>
      <c r="D1043652" s="24"/>
      <c r="E1043652" s="24"/>
      <c r="F1043652" s="24"/>
      <c r="G1043652" s="24"/>
      <c r="H1043652" s="24"/>
      <c r="I1043652" s="24"/>
      <c r="J1043652" s="24"/>
      <c r="K1043652" s="54"/>
    </row>
    <row r="1043653" spans="1:11" s="55" customFormat="1" ht="12.75">
      <c r="A1043653" s="24"/>
      <c r="B1043653" s="24"/>
      <c r="C1043653" s="24"/>
      <c r="D1043653" s="24"/>
      <c r="E1043653" s="24"/>
      <c r="F1043653" s="24"/>
      <c r="G1043653" s="24"/>
      <c r="H1043653" s="24"/>
      <c r="I1043653" s="24"/>
      <c r="J1043653" s="24"/>
      <c r="K1043653" s="54"/>
    </row>
    <row r="1043654" spans="1:11" s="55" customFormat="1" ht="12.75">
      <c r="A1043654" s="24"/>
      <c r="B1043654" s="24"/>
      <c r="C1043654" s="24"/>
      <c r="D1043654" s="24"/>
      <c r="E1043654" s="24"/>
      <c r="F1043654" s="24"/>
      <c r="G1043654" s="24"/>
      <c r="H1043654" s="24"/>
      <c r="I1043654" s="24"/>
      <c r="J1043654" s="24"/>
      <c r="K1043654" s="54"/>
    </row>
    <row r="1043655" spans="1:11" s="55" customFormat="1" ht="12.75">
      <c r="A1043655" s="24"/>
      <c r="B1043655" s="24"/>
      <c r="C1043655" s="24"/>
      <c r="D1043655" s="24"/>
      <c r="E1043655" s="24"/>
      <c r="F1043655" s="24"/>
      <c r="G1043655" s="24"/>
      <c r="H1043655" s="24"/>
      <c r="I1043655" s="24"/>
      <c r="J1043655" s="24"/>
      <c r="K1043655" s="54"/>
    </row>
    <row r="1043656" spans="1:11" s="55" customFormat="1" ht="12.75">
      <c r="A1043656" s="24"/>
      <c r="B1043656" s="24"/>
      <c r="C1043656" s="24"/>
      <c r="D1043656" s="24"/>
      <c r="E1043656" s="24"/>
      <c r="F1043656" s="24"/>
      <c r="G1043656" s="24"/>
      <c r="H1043656" s="24"/>
      <c r="I1043656" s="24"/>
      <c r="J1043656" s="24"/>
      <c r="K1043656" s="54"/>
    </row>
    <row r="1043657" spans="1:11" s="55" customFormat="1" ht="12.75">
      <c r="A1043657" s="24"/>
      <c r="B1043657" s="24"/>
      <c r="C1043657" s="24"/>
      <c r="D1043657" s="24"/>
      <c r="E1043657" s="24"/>
      <c r="F1043657" s="24"/>
      <c r="G1043657" s="24"/>
      <c r="H1043657" s="24"/>
      <c r="I1043657" s="24"/>
      <c r="J1043657" s="24"/>
      <c r="K1043657" s="54"/>
    </row>
    <row r="1043658" spans="1:11" s="55" customFormat="1" ht="12.75">
      <c r="A1043658" s="24"/>
      <c r="B1043658" s="24"/>
      <c r="C1043658" s="24"/>
      <c r="D1043658" s="24"/>
      <c r="E1043658" s="24"/>
      <c r="F1043658" s="24"/>
      <c r="G1043658" s="24"/>
      <c r="H1043658" s="24"/>
      <c r="I1043658" s="24"/>
      <c r="J1043658" s="24"/>
      <c r="K1043658" s="54"/>
    </row>
    <row r="1043659" spans="1:11" s="55" customFormat="1" ht="12.75">
      <c r="A1043659" s="24"/>
      <c r="B1043659" s="24"/>
      <c r="C1043659" s="24"/>
      <c r="D1043659" s="24"/>
      <c r="E1043659" s="24"/>
      <c r="F1043659" s="24"/>
      <c r="G1043659" s="24"/>
      <c r="H1043659" s="24"/>
      <c r="I1043659" s="24"/>
      <c r="J1043659" s="24"/>
      <c r="K1043659" s="54"/>
    </row>
    <row r="1043660" spans="1:11" s="55" customFormat="1" ht="12.75">
      <c r="A1043660" s="24"/>
      <c r="B1043660" s="24"/>
      <c r="C1043660" s="24"/>
      <c r="D1043660" s="24"/>
      <c r="E1043660" s="24"/>
      <c r="F1043660" s="24"/>
      <c r="G1043660" s="24"/>
      <c r="H1043660" s="24"/>
      <c r="I1043660" s="24"/>
      <c r="J1043660" s="24"/>
      <c r="K1043660" s="54"/>
    </row>
    <row r="1043661" spans="1:11" s="55" customFormat="1" ht="12.75">
      <c r="A1043661" s="24"/>
      <c r="B1043661" s="24"/>
      <c r="C1043661" s="24"/>
      <c r="D1043661" s="24"/>
      <c r="E1043661" s="24"/>
      <c r="F1043661" s="24"/>
      <c r="G1043661" s="24"/>
      <c r="H1043661" s="24"/>
      <c r="I1043661" s="24"/>
      <c r="J1043661" s="24"/>
      <c r="K1043661" s="54"/>
    </row>
    <row r="1043662" spans="1:11" s="55" customFormat="1" ht="12.75">
      <c r="A1043662" s="24"/>
      <c r="B1043662" s="24"/>
      <c r="C1043662" s="24"/>
      <c r="D1043662" s="24"/>
      <c r="E1043662" s="24"/>
      <c r="F1043662" s="24"/>
      <c r="G1043662" s="24"/>
      <c r="H1043662" s="24"/>
      <c r="I1043662" s="24"/>
      <c r="J1043662" s="24"/>
      <c r="K1043662" s="54"/>
    </row>
    <row r="1043663" spans="1:11" s="55" customFormat="1" ht="12.75">
      <c r="A1043663" s="24"/>
      <c r="B1043663" s="24"/>
      <c r="C1043663" s="24"/>
      <c r="D1043663" s="24"/>
      <c r="E1043663" s="24"/>
      <c r="F1043663" s="24"/>
      <c r="G1043663" s="24"/>
      <c r="H1043663" s="24"/>
      <c r="I1043663" s="24"/>
      <c r="J1043663" s="24"/>
      <c r="K1043663" s="54"/>
    </row>
    <row r="1043664" spans="1:11" s="55" customFormat="1" ht="12.75">
      <c r="A1043664" s="24"/>
      <c r="B1043664" s="24"/>
      <c r="C1043664" s="24"/>
      <c r="D1043664" s="24"/>
      <c r="E1043664" s="24"/>
      <c r="F1043664" s="24"/>
      <c r="G1043664" s="24"/>
      <c r="H1043664" s="24"/>
      <c r="I1043664" s="24"/>
      <c r="J1043664" s="24"/>
      <c r="K1043664" s="54"/>
    </row>
    <row r="1043665" spans="1:11" s="55" customFormat="1" ht="12.75">
      <c r="A1043665" s="24"/>
      <c r="B1043665" s="24"/>
      <c r="C1043665" s="24"/>
      <c r="D1043665" s="24"/>
      <c r="E1043665" s="24"/>
      <c r="F1043665" s="24"/>
      <c r="G1043665" s="24"/>
      <c r="H1043665" s="24"/>
      <c r="I1043665" s="24"/>
      <c r="J1043665" s="24"/>
      <c r="K1043665" s="54"/>
    </row>
    <row r="1043666" spans="1:11" s="55" customFormat="1" ht="12.75">
      <c r="A1043666" s="24"/>
      <c r="B1043666" s="24"/>
      <c r="C1043666" s="24"/>
      <c r="D1043666" s="24"/>
      <c r="E1043666" s="24"/>
      <c r="F1043666" s="24"/>
      <c r="G1043666" s="24"/>
      <c r="H1043666" s="24"/>
      <c r="I1043666" s="24"/>
      <c r="J1043666" s="24"/>
      <c r="K1043666" s="54"/>
    </row>
    <row r="1043667" spans="1:11" s="55" customFormat="1" ht="12.75">
      <c r="A1043667" s="24"/>
      <c r="B1043667" s="24"/>
      <c r="C1043667" s="24"/>
      <c r="D1043667" s="24"/>
      <c r="E1043667" s="24"/>
      <c r="F1043667" s="24"/>
      <c r="G1043667" s="24"/>
      <c r="H1043667" s="24"/>
      <c r="I1043667" s="24"/>
      <c r="J1043667" s="24"/>
      <c r="K1043667" s="54"/>
    </row>
    <row r="1043668" spans="1:11" s="55" customFormat="1" ht="12.75">
      <c r="A1043668" s="24"/>
      <c r="B1043668" s="24"/>
      <c r="C1043668" s="24"/>
      <c r="D1043668" s="24"/>
      <c r="E1043668" s="24"/>
      <c r="F1043668" s="24"/>
      <c r="G1043668" s="24"/>
      <c r="H1043668" s="24"/>
      <c r="I1043668" s="24"/>
      <c r="J1043668" s="24"/>
      <c r="K1043668" s="54"/>
    </row>
    <row r="1043669" spans="1:11" s="55" customFormat="1" ht="12.75">
      <c r="A1043669" s="24"/>
      <c r="B1043669" s="24"/>
      <c r="C1043669" s="24"/>
      <c r="D1043669" s="24"/>
      <c r="E1043669" s="24"/>
      <c r="F1043669" s="24"/>
      <c r="G1043669" s="24"/>
      <c r="H1043669" s="24"/>
      <c r="I1043669" s="24"/>
      <c r="J1043669" s="24"/>
      <c r="K1043669" s="54"/>
    </row>
    <row r="1043670" spans="1:11" s="55" customFormat="1" ht="12.75">
      <c r="A1043670" s="24"/>
      <c r="B1043670" s="24"/>
      <c r="C1043670" s="24"/>
      <c r="D1043670" s="24"/>
      <c r="E1043670" s="24"/>
      <c r="F1043670" s="24"/>
      <c r="G1043670" s="24"/>
      <c r="H1043670" s="24"/>
      <c r="I1043670" s="24"/>
      <c r="J1043670" s="24"/>
      <c r="K1043670" s="54"/>
    </row>
    <row r="1043671" spans="1:11" s="55" customFormat="1" ht="12.75">
      <c r="A1043671" s="24"/>
      <c r="B1043671" s="24"/>
      <c r="C1043671" s="24"/>
      <c r="D1043671" s="24"/>
      <c r="E1043671" s="24"/>
      <c r="F1043671" s="24"/>
      <c r="G1043671" s="24"/>
      <c r="H1043671" s="24"/>
      <c r="I1043671" s="24"/>
      <c r="J1043671" s="24"/>
      <c r="K1043671" s="54"/>
    </row>
    <row r="1043672" spans="1:11" s="55" customFormat="1" ht="12.75">
      <c r="A1043672" s="24"/>
      <c r="B1043672" s="24"/>
      <c r="C1043672" s="24"/>
      <c r="D1043672" s="24"/>
      <c r="E1043672" s="24"/>
      <c r="F1043672" s="24"/>
      <c r="G1043672" s="24"/>
      <c r="H1043672" s="24"/>
      <c r="I1043672" s="24"/>
      <c r="J1043672" s="24"/>
      <c r="K1043672" s="54"/>
    </row>
    <row r="1043673" spans="1:11" s="55" customFormat="1" ht="12.75">
      <c r="A1043673" s="24"/>
      <c r="B1043673" s="24"/>
      <c r="C1043673" s="24"/>
      <c r="D1043673" s="24"/>
      <c r="E1043673" s="24"/>
      <c r="F1043673" s="24"/>
      <c r="G1043673" s="24"/>
      <c r="H1043673" s="24"/>
      <c r="I1043673" s="24"/>
      <c r="J1043673" s="24"/>
      <c r="K1043673" s="54"/>
    </row>
    <row r="1043674" spans="1:11" s="55" customFormat="1" ht="12.75">
      <c r="A1043674" s="24"/>
      <c r="B1043674" s="24"/>
      <c r="C1043674" s="24"/>
      <c r="D1043674" s="24"/>
      <c r="E1043674" s="24"/>
      <c r="F1043674" s="24"/>
      <c r="G1043674" s="24"/>
      <c r="H1043674" s="24"/>
      <c r="I1043674" s="24"/>
      <c r="J1043674" s="24"/>
      <c r="K1043674" s="54"/>
    </row>
    <row r="1043675" spans="1:11" s="55" customFormat="1" ht="12.75">
      <c r="A1043675" s="24"/>
      <c r="B1043675" s="24"/>
      <c r="C1043675" s="24"/>
      <c r="D1043675" s="24"/>
      <c r="E1043675" s="24"/>
      <c r="F1043675" s="24"/>
      <c r="G1043675" s="24"/>
      <c r="H1043675" s="24"/>
      <c r="I1043675" s="24"/>
      <c r="J1043675" s="24"/>
      <c r="K1043675" s="54"/>
    </row>
    <row r="1043676" spans="1:11" s="55" customFormat="1" ht="12.75">
      <c r="A1043676" s="24"/>
      <c r="B1043676" s="24"/>
      <c r="C1043676" s="24"/>
      <c r="D1043676" s="24"/>
      <c r="E1043676" s="24"/>
      <c r="F1043676" s="24"/>
      <c r="G1043676" s="24"/>
      <c r="H1043676" s="24"/>
      <c r="I1043676" s="24"/>
      <c r="J1043676" s="24"/>
      <c r="K1043676" s="54"/>
    </row>
    <row r="1043677" spans="1:11" s="55" customFormat="1" ht="12.75">
      <c r="A1043677" s="24"/>
      <c r="B1043677" s="24"/>
      <c r="C1043677" s="24"/>
      <c r="D1043677" s="24"/>
      <c r="E1043677" s="24"/>
      <c r="F1043677" s="24"/>
      <c r="G1043677" s="24"/>
      <c r="H1043677" s="24"/>
      <c r="I1043677" s="24"/>
      <c r="J1043677" s="24"/>
      <c r="K1043677" s="54"/>
    </row>
    <row r="1043678" spans="1:11" s="55" customFormat="1" ht="12.75">
      <c r="A1043678" s="24"/>
      <c r="B1043678" s="24"/>
      <c r="C1043678" s="24"/>
      <c r="D1043678" s="24"/>
      <c r="E1043678" s="24"/>
      <c r="F1043678" s="24"/>
      <c r="G1043678" s="24"/>
      <c r="H1043678" s="24"/>
      <c r="I1043678" s="24"/>
      <c r="J1043678" s="24"/>
      <c r="K1043678" s="54"/>
    </row>
    <row r="1043679" spans="1:11" s="55" customFormat="1" ht="12.75">
      <c r="A1043679" s="24"/>
      <c r="B1043679" s="24"/>
      <c r="C1043679" s="24"/>
      <c r="D1043679" s="24"/>
      <c r="E1043679" s="24"/>
      <c r="F1043679" s="24"/>
      <c r="G1043679" s="24"/>
      <c r="H1043679" s="24"/>
      <c r="I1043679" s="24"/>
      <c r="J1043679" s="24"/>
      <c r="K1043679" s="54"/>
    </row>
    <row r="1043680" spans="1:11" s="55" customFormat="1" ht="12.75">
      <c r="A1043680" s="24"/>
      <c r="B1043680" s="24"/>
      <c r="C1043680" s="24"/>
      <c r="D1043680" s="24"/>
      <c r="E1043680" s="24"/>
      <c r="F1043680" s="24"/>
      <c r="G1043680" s="24"/>
      <c r="H1043680" s="24"/>
      <c r="I1043680" s="24"/>
      <c r="J1043680" s="24"/>
      <c r="K1043680" s="54"/>
    </row>
    <row r="1043681" spans="1:11" s="55" customFormat="1" ht="12.75">
      <c r="A1043681" s="24"/>
      <c r="B1043681" s="24"/>
      <c r="C1043681" s="24"/>
      <c r="D1043681" s="24"/>
      <c r="E1043681" s="24"/>
      <c r="F1043681" s="24"/>
      <c r="G1043681" s="24"/>
      <c r="H1043681" s="24"/>
      <c r="I1043681" s="24"/>
      <c r="J1043681" s="24"/>
      <c r="K1043681" s="54"/>
    </row>
    <row r="1043682" spans="1:11" s="55" customFormat="1" ht="12.75">
      <c r="A1043682" s="24"/>
      <c r="B1043682" s="24"/>
      <c r="C1043682" s="24"/>
      <c r="D1043682" s="24"/>
      <c r="E1043682" s="24"/>
      <c r="F1043682" s="24"/>
      <c r="G1043682" s="24"/>
      <c r="H1043682" s="24"/>
      <c r="I1043682" s="24"/>
      <c r="J1043682" s="24"/>
      <c r="K1043682" s="54"/>
    </row>
    <row r="1043683" spans="1:11" s="55" customFormat="1" ht="12.75">
      <c r="A1043683" s="24"/>
      <c r="B1043683" s="24"/>
      <c r="C1043683" s="24"/>
      <c r="D1043683" s="24"/>
      <c r="E1043683" s="24"/>
      <c r="F1043683" s="24"/>
      <c r="G1043683" s="24"/>
      <c r="H1043683" s="24"/>
      <c r="I1043683" s="24"/>
      <c r="J1043683" s="24"/>
      <c r="K1043683" s="54"/>
    </row>
    <row r="1043684" spans="1:11" s="55" customFormat="1" ht="12.75">
      <c r="A1043684" s="24"/>
      <c r="B1043684" s="24"/>
      <c r="C1043684" s="24"/>
      <c r="D1043684" s="24"/>
      <c r="E1043684" s="24"/>
      <c r="F1043684" s="24"/>
      <c r="G1043684" s="24"/>
      <c r="H1043684" s="24"/>
      <c r="I1043684" s="24"/>
      <c r="J1043684" s="24"/>
      <c r="K1043684" s="54"/>
    </row>
    <row r="1043685" spans="1:11" s="55" customFormat="1" ht="12.75">
      <c r="A1043685" s="24"/>
      <c r="B1043685" s="24"/>
      <c r="C1043685" s="24"/>
      <c r="D1043685" s="24"/>
      <c r="E1043685" s="24"/>
      <c r="F1043685" s="24"/>
      <c r="G1043685" s="24"/>
      <c r="H1043685" s="24"/>
      <c r="I1043685" s="24"/>
      <c r="J1043685" s="24"/>
      <c r="K1043685" s="54"/>
    </row>
    <row r="1043686" spans="1:11" s="55" customFormat="1" ht="12.75">
      <c r="A1043686" s="24"/>
      <c r="B1043686" s="24"/>
      <c r="C1043686" s="24"/>
      <c r="D1043686" s="24"/>
      <c r="E1043686" s="24"/>
      <c r="F1043686" s="24"/>
      <c r="G1043686" s="24"/>
      <c r="H1043686" s="24"/>
      <c r="I1043686" s="24"/>
      <c r="J1043686" s="24"/>
      <c r="K1043686" s="54"/>
    </row>
    <row r="1043687" spans="1:11" s="55" customFormat="1" ht="12.75">
      <c r="A1043687" s="24"/>
      <c r="B1043687" s="24"/>
      <c r="C1043687" s="24"/>
      <c r="D1043687" s="24"/>
      <c r="E1043687" s="24"/>
      <c r="F1043687" s="24"/>
      <c r="G1043687" s="24"/>
      <c r="H1043687" s="24"/>
      <c r="I1043687" s="24"/>
      <c r="J1043687" s="24"/>
      <c r="K1043687" s="54"/>
    </row>
    <row r="1043688" spans="1:11" s="55" customFormat="1" ht="12.75">
      <c r="A1043688" s="24"/>
      <c r="B1043688" s="24"/>
      <c r="C1043688" s="24"/>
      <c r="D1043688" s="24"/>
      <c r="E1043688" s="24"/>
      <c r="F1043688" s="24"/>
      <c r="G1043688" s="24"/>
      <c r="H1043688" s="24"/>
      <c r="I1043688" s="24"/>
      <c r="J1043688" s="24"/>
      <c r="K1043688" s="54"/>
    </row>
    <row r="1043689" spans="1:11" s="55" customFormat="1" ht="12.75">
      <c r="A1043689" s="24"/>
      <c r="B1043689" s="24"/>
      <c r="C1043689" s="24"/>
      <c r="D1043689" s="24"/>
      <c r="E1043689" s="24"/>
      <c r="F1043689" s="24"/>
      <c r="G1043689" s="24"/>
      <c r="H1043689" s="24"/>
      <c r="I1043689" s="24"/>
      <c r="J1043689" s="24"/>
      <c r="K1043689" s="54"/>
    </row>
    <row r="1043690" spans="1:11" s="55" customFormat="1" ht="12.75">
      <c r="A1043690" s="24"/>
      <c r="B1043690" s="24"/>
      <c r="C1043690" s="24"/>
      <c r="D1043690" s="24"/>
      <c r="E1043690" s="24"/>
      <c r="F1043690" s="24"/>
      <c r="G1043690" s="24"/>
      <c r="H1043690" s="24"/>
      <c r="I1043690" s="24"/>
      <c r="J1043690" s="24"/>
      <c r="K1043690" s="54"/>
    </row>
    <row r="1043691" spans="1:11" s="55" customFormat="1" ht="12.75">
      <c r="A1043691" s="24"/>
      <c r="B1043691" s="24"/>
      <c r="C1043691" s="24"/>
      <c r="D1043691" s="24"/>
      <c r="E1043691" s="24"/>
      <c r="F1043691" s="24"/>
      <c r="G1043691" s="24"/>
      <c r="H1043691" s="24"/>
      <c r="I1043691" s="24"/>
      <c r="J1043691" s="24"/>
      <c r="K1043691" s="54"/>
    </row>
    <row r="1043692" spans="1:11" s="55" customFormat="1" ht="12.75">
      <c r="A1043692" s="24"/>
      <c r="B1043692" s="24"/>
      <c r="C1043692" s="24"/>
      <c r="D1043692" s="24"/>
      <c r="E1043692" s="24"/>
      <c r="F1043692" s="24"/>
      <c r="G1043692" s="24"/>
      <c r="H1043692" s="24"/>
      <c r="I1043692" s="24"/>
      <c r="J1043692" s="24"/>
      <c r="K1043692" s="54"/>
    </row>
    <row r="1043693" spans="1:11" s="55" customFormat="1" ht="12.75">
      <c r="A1043693" s="24"/>
      <c r="B1043693" s="24"/>
      <c r="C1043693" s="24"/>
      <c r="D1043693" s="24"/>
      <c r="E1043693" s="24"/>
      <c r="F1043693" s="24"/>
      <c r="G1043693" s="24"/>
      <c r="H1043693" s="24"/>
      <c r="I1043693" s="24"/>
      <c r="J1043693" s="24"/>
      <c r="K1043693" s="54"/>
    </row>
    <row r="1043694" spans="1:11" s="55" customFormat="1" ht="12.75">
      <c r="A1043694" s="24"/>
      <c r="B1043694" s="24"/>
      <c r="C1043694" s="24"/>
      <c r="D1043694" s="24"/>
      <c r="E1043694" s="24"/>
      <c r="F1043694" s="24"/>
      <c r="G1043694" s="24"/>
      <c r="H1043694" s="24"/>
      <c r="I1043694" s="24"/>
      <c r="J1043694" s="24"/>
      <c r="K1043694" s="54"/>
    </row>
    <row r="1043695" spans="1:11" s="55" customFormat="1" ht="12.75">
      <c r="A1043695" s="24"/>
      <c r="B1043695" s="24"/>
      <c r="C1043695" s="24"/>
      <c r="D1043695" s="24"/>
      <c r="E1043695" s="24"/>
      <c r="F1043695" s="24"/>
      <c r="G1043695" s="24"/>
      <c r="H1043695" s="24"/>
      <c r="I1043695" s="24"/>
      <c r="J1043695" s="24"/>
      <c r="K1043695" s="54"/>
    </row>
    <row r="1043696" spans="1:11" s="55" customFormat="1" ht="12.75">
      <c r="A1043696" s="24"/>
      <c r="B1043696" s="24"/>
      <c r="C1043696" s="24"/>
      <c r="D1043696" s="24"/>
      <c r="E1043696" s="24"/>
      <c r="F1043696" s="24"/>
      <c r="G1043696" s="24"/>
      <c r="H1043696" s="24"/>
      <c r="I1043696" s="24"/>
      <c r="J1043696" s="24"/>
      <c r="K1043696" s="54"/>
    </row>
    <row r="1043697" spans="1:11" s="55" customFormat="1" ht="12.75">
      <c r="A1043697" s="24"/>
      <c r="B1043697" s="24"/>
      <c r="C1043697" s="24"/>
      <c r="D1043697" s="24"/>
      <c r="E1043697" s="24"/>
      <c r="F1043697" s="24"/>
      <c r="G1043697" s="24"/>
      <c r="H1043697" s="24"/>
      <c r="I1043697" s="24"/>
      <c r="J1043697" s="24"/>
      <c r="K1043697" s="54"/>
    </row>
    <row r="1043698" spans="1:11" s="55" customFormat="1" ht="12.75">
      <c r="A1043698" s="24"/>
      <c r="B1043698" s="24"/>
      <c r="C1043698" s="24"/>
      <c r="D1043698" s="24"/>
      <c r="E1043698" s="24"/>
      <c r="F1043698" s="24"/>
      <c r="G1043698" s="24"/>
      <c r="H1043698" s="24"/>
      <c r="I1043698" s="24"/>
      <c r="J1043698" s="24"/>
      <c r="K1043698" s="54"/>
    </row>
    <row r="1043699" spans="1:11" s="55" customFormat="1" ht="12.75">
      <c r="A1043699" s="24"/>
      <c r="B1043699" s="24"/>
      <c r="C1043699" s="24"/>
      <c r="D1043699" s="24"/>
      <c r="E1043699" s="24"/>
      <c r="F1043699" s="24"/>
      <c r="G1043699" s="24"/>
      <c r="H1043699" s="24"/>
      <c r="I1043699" s="24"/>
      <c r="J1043699" s="24"/>
      <c r="K1043699" s="54"/>
    </row>
    <row r="1043700" spans="1:11" s="55" customFormat="1" ht="12.75">
      <c r="A1043700" s="24"/>
      <c r="B1043700" s="24"/>
      <c r="C1043700" s="24"/>
      <c r="D1043700" s="24"/>
      <c r="E1043700" s="24"/>
      <c r="F1043700" s="24"/>
      <c r="G1043700" s="24"/>
      <c r="H1043700" s="24"/>
      <c r="I1043700" s="24"/>
      <c r="J1043700" s="24"/>
      <c r="K1043700" s="54"/>
    </row>
    <row r="1043701" spans="1:11" s="55" customFormat="1" ht="12.75">
      <c r="A1043701" s="24"/>
      <c r="B1043701" s="24"/>
      <c r="C1043701" s="24"/>
      <c r="D1043701" s="24"/>
      <c r="E1043701" s="24"/>
      <c r="F1043701" s="24"/>
      <c r="G1043701" s="24"/>
      <c r="H1043701" s="24"/>
      <c r="I1043701" s="24"/>
      <c r="J1043701" s="24"/>
      <c r="K1043701" s="54"/>
    </row>
    <row r="1043702" spans="1:11" s="55" customFormat="1" ht="12.75">
      <c r="A1043702" s="24"/>
      <c r="B1043702" s="24"/>
      <c r="C1043702" s="24"/>
      <c r="D1043702" s="24"/>
      <c r="E1043702" s="24"/>
      <c r="F1043702" s="24"/>
      <c r="G1043702" s="24"/>
      <c r="H1043702" s="24"/>
      <c r="I1043702" s="24"/>
      <c r="J1043702" s="24"/>
      <c r="K1043702" s="54"/>
    </row>
    <row r="1043703" spans="1:11" s="55" customFormat="1" ht="12.75">
      <c r="A1043703" s="24"/>
      <c r="B1043703" s="24"/>
      <c r="C1043703" s="24"/>
      <c r="D1043703" s="24"/>
      <c r="E1043703" s="24"/>
      <c r="F1043703" s="24"/>
      <c r="G1043703" s="24"/>
      <c r="H1043703" s="24"/>
      <c r="I1043703" s="24"/>
      <c r="J1043703" s="24"/>
      <c r="K1043703" s="54"/>
    </row>
    <row r="1043704" spans="1:11" s="55" customFormat="1" ht="12.75">
      <c r="A1043704" s="24"/>
      <c r="B1043704" s="24"/>
      <c r="C1043704" s="24"/>
      <c r="D1043704" s="24"/>
      <c r="E1043704" s="24"/>
      <c r="F1043704" s="24"/>
      <c r="G1043704" s="24"/>
      <c r="H1043704" s="24"/>
      <c r="I1043704" s="24"/>
      <c r="J1043704" s="24"/>
      <c r="K1043704" s="54"/>
    </row>
    <row r="1043705" spans="1:11" s="55" customFormat="1" ht="12.75">
      <c r="A1043705" s="24"/>
      <c r="B1043705" s="24"/>
      <c r="C1043705" s="24"/>
      <c r="D1043705" s="24"/>
      <c r="E1043705" s="24"/>
      <c r="F1043705" s="24"/>
      <c r="G1043705" s="24"/>
      <c r="H1043705" s="24"/>
      <c r="I1043705" s="24"/>
      <c r="J1043705" s="24"/>
      <c r="K1043705" s="54"/>
    </row>
    <row r="1043706" spans="1:11" s="55" customFormat="1" ht="12.75">
      <c r="A1043706" s="24"/>
      <c r="B1043706" s="24"/>
      <c r="C1043706" s="24"/>
      <c r="D1043706" s="24"/>
      <c r="E1043706" s="24"/>
      <c r="F1043706" s="24"/>
      <c r="G1043706" s="24"/>
      <c r="H1043706" s="24"/>
      <c r="I1043706" s="24"/>
      <c r="J1043706" s="24"/>
      <c r="K1043706" s="54"/>
    </row>
    <row r="1043707" spans="1:11" s="55" customFormat="1" ht="12.75">
      <c r="A1043707" s="24"/>
      <c r="B1043707" s="24"/>
      <c r="C1043707" s="24"/>
      <c r="D1043707" s="24"/>
      <c r="E1043707" s="24"/>
      <c r="F1043707" s="24"/>
      <c r="G1043707" s="24"/>
      <c r="H1043707" s="24"/>
      <c r="I1043707" s="24"/>
      <c r="J1043707" s="24"/>
      <c r="K1043707" s="54"/>
    </row>
    <row r="1043708" spans="1:11" s="55" customFormat="1" ht="12.75">
      <c r="A1043708" s="24"/>
      <c r="B1043708" s="24"/>
      <c r="C1043708" s="24"/>
      <c r="D1043708" s="24"/>
      <c r="E1043708" s="24"/>
      <c r="F1043708" s="24"/>
      <c r="G1043708" s="24"/>
      <c r="H1043708" s="24"/>
      <c r="I1043708" s="24"/>
      <c r="J1043708" s="24"/>
      <c r="K1043708" s="54"/>
    </row>
    <row r="1043709" spans="1:11" s="55" customFormat="1" ht="12.75">
      <c r="A1043709" s="24"/>
      <c r="B1043709" s="24"/>
      <c r="C1043709" s="24"/>
      <c r="D1043709" s="24"/>
      <c r="E1043709" s="24"/>
      <c r="F1043709" s="24"/>
      <c r="G1043709" s="24"/>
      <c r="H1043709" s="24"/>
      <c r="I1043709" s="24"/>
      <c r="J1043709" s="24"/>
      <c r="K1043709" s="54"/>
    </row>
    <row r="1043710" spans="1:11" s="55" customFormat="1" ht="12.75">
      <c r="A1043710" s="24"/>
      <c r="B1043710" s="24"/>
      <c r="C1043710" s="24"/>
      <c r="D1043710" s="24"/>
      <c r="E1043710" s="24"/>
      <c r="F1043710" s="24"/>
      <c r="G1043710" s="24"/>
      <c r="H1043710" s="24"/>
      <c r="I1043710" s="24"/>
      <c r="J1043710" s="24"/>
      <c r="K1043710" s="54"/>
    </row>
    <row r="1043711" spans="1:11" s="55" customFormat="1" ht="12.75">
      <c r="A1043711" s="24"/>
      <c r="B1043711" s="24"/>
      <c r="C1043711" s="24"/>
      <c r="D1043711" s="24"/>
      <c r="E1043711" s="24"/>
      <c r="F1043711" s="24"/>
      <c r="G1043711" s="24"/>
      <c r="H1043711" s="24"/>
      <c r="I1043711" s="24"/>
      <c r="J1043711" s="24"/>
      <c r="K1043711" s="54"/>
    </row>
    <row r="1043712" spans="1:11" s="55" customFormat="1" ht="12.75">
      <c r="A1043712" s="24"/>
      <c r="B1043712" s="24"/>
      <c r="C1043712" s="24"/>
      <c r="D1043712" s="24"/>
      <c r="E1043712" s="24"/>
      <c r="F1043712" s="24"/>
      <c r="G1043712" s="24"/>
      <c r="H1043712" s="24"/>
      <c r="I1043712" s="24"/>
      <c r="J1043712" s="24"/>
      <c r="K1043712" s="54"/>
    </row>
    <row r="1043713" spans="1:11" s="55" customFormat="1" ht="12.75">
      <c r="A1043713" s="24"/>
      <c r="B1043713" s="24"/>
      <c r="C1043713" s="24"/>
      <c r="D1043713" s="24"/>
      <c r="E1043713" s="24"/>
      <c r="F1043713" s="24"/>
      <c r="G1043713" s="24"/>
      <c r="H1043713" s="24"/>
      <c r="I1043713" s="24"/>
      <c r="J1043713" s="24"/>
      <c r="K1043713" s="54"/>
    </row>
    <row r="1043714" spans="1:11" s="55" customFormat="1" ht="12.75">
      <c r="A1043714" s="24"/>
      <c r="B1043714" s="24"/>
      <c r="C1043714" s="24"/>
      <c r="D1043714" s="24"/>
      <c r="E1043714" s="24"/>
      <c r="F1043714" s="24"/>
      <c r="G1043714" s="24"/>
      <c r="H1043714" s="24"/>
      <c r="I1043714" s="24"/>
      <c r="J1043714" s="24"/>
      <c r="K1043714" s="54"/>
    </row>
    <row r="1043715" spans="1:11" s="55" customFormat="1" ht="12.75">
      <c r="A1043715" s="24"/>
      <c r="B1043715" s="24"/>
      <c r="C1043715" s="24"/>
      <c r="D1043715" s="24"/>
      <c r="E1043715" s="24"/>
      <c r="F1043715" s="24"/>
      <c r="G1043715" s="24"/>
      <c r="H1043715" s="24"/>
      <c r="I1043715" s="24"/>
      <c r="J1043715" s="24"/>
      <c r="K1043715" s="54"/>
    </row>
    <row r="1043716" spans="1:11" s="55" customFormat="1" ht="12.75">
      <c r="A1043716" s="24"/>
      <c r="B1043716" s="24"/>
      <c r="C1043716" s="24"/>
      <c r="D1043716" s="24"/>
      <c r="E1043716" s="24"/>
      <c r="F1043716" s="24"/>
      <c r="G1043716" s="24"/>
      <c r="H1043716" s="24"/>
      <c r="I1043716" s="24"/>
      <c r="J1043716" s="24"/>
      <c r="K1043716" s="54"/>
    </row>
    <row r="1043717" spans="1:11" s="55" customFormat="1" ht="12.75">
      <c r="A1043717" s="24"/>
      <c r="B1043717" s="24"/>
      <c r="C1043717" s="24"/>
      <c r="D1043717" s="24"/>
      <c r="E1043717" s="24"/>
      <c r="F1043717" s="24"/>
      <c r="G1043717" s="24"/>
      <c r="H1043717" s="24"/>
      <c r="I1043717" s="24"/>
      <c r="J1043717" s="24"/>
      <c r="K1043717" s="54"/>
    </row>
    <row r="1043718" spans="1:11" s="55" customFormat="1" ht="12.75">
      <c r="A1043718" s="24"/>
      <c r="B1043718" s="24"/>
      <c r="C1043718" s="24"/>
      <c r="D1043718" s="24"/>
      <c r="E1043718" s="24"/>
      <c r="F1043718" s="24"/>
      <c r="G1043718" s="24"/>
      <c r="H1043718" s="24"/>
      <c r="I1043718" s="24"/>
      <c r="J1043718" s="24"/>
      <c r="K1043718" s="54"/>
    </row>
    <row r="1043719" spans="1:11" s="55" customFormat="1" ht="12.75">
      <c r="A1043719" s="24"/>
      <c r="B1043719" s="24"/>
      <c r="C1043719" s="24"/>
      <c r="D1043719" s="24"/>
      <c r="E1043719" s="24"/>
      <c r="F1043719" s="24"/>
      <c r="G1043719" s="24"/>
      <c r="H1043719" s="24"/>
      <c r="I1043719" s="24"/>
      <c r="J1043719" s="24"/>
      <c r="K1043719" s="54"/>
    </row>
    <row r="1043720" spans="1:11" s="55" customFormat="1" ht="12.75">
      <c r="A1043720" s="24"/>
      <c r="B1043720" s="24"/>
      <c r="C1043720" s="24"/>
      <c r="D1043720" s="24"/>
      <c r="E1043720" s="24"/>
      <c r="F1043720" s="24"/>
      <c r="G1043720" s="24"/>
      <c r="H1043720" s="24"/>
      <c r="I1043720" s="24"/>
      <c r="J1043720" s="24"/>
      <c r="K1043720" s="54"/>
    </row>
    <row r="1043721" spans="1:11" s="55" customFormat="1" ht="12.75">
      <c r="A1043721" s="24"/>
      <c r="B1043721" s="24"/>
      <c r="C1043721" s="24"/>
      <c r="D1043721" s="24"/>
      <c r="E1043721" s="24"/>
      <c r="F1043721" s="24"/>
      <c r="G1043721" s="24"/>
      <c r="H1043721" s="24"/>
      <c r="I1043721" s="24"/>
      <c r="J1043721" s="24"/>
      <c r="K1043721" s="54"/>
    </row>
    <row r="1043722" spans="1:11" s="55" customFormat="1" ht="12.75">
      <c r="A1043722" s="24"/>
      <c r="B1043722" s="24"/>
      <c r="C1043722" s="24"/>
      <c r="D1043722" s="24"/>
      <c r="E1043722" s="24"/>
      <c r="F1043722" s="24"/>
      <c r="G1043722" s="24"/>
      <c r="H1043722" s="24"/>
      <c r="I1043722" s="24"/>
      <c r="J1043722" s="24"/>
      <c r="K1043722" s="54"/>
    </row>
    <row r="1043723" spans="1:11" s="55" customFormat="1" ht="12.75">
      <c r="A1043723" s="24"/>
      <c r="B1043723" s="24"/>
      <c r="C1043723" s="24"/>
      <c r="D1043723" s="24"/>
      <c r="E1043723" s="24"/>
      <c r="F1043723" s="24"/>
      <c r="G1043723" s="24"/>
      <c r="H1043723" s="24"/>
      <c r="I1043723" s="24"/>
      <c r="J1043723" s="24"/>
      <c r="K1043723" s="54"/>
    </row>
    <row r="1043724" spans="1:11" s="55" customFormat="1" ht="12.75">
      <c r="A1043724" s="24"/>
      <c r="B1043724" s="24"/>
      <c r="C1043724" s="24"/>
      <c r="D1043724" s="24"/>
      <c r="E1043724" s="24"/>
      <c r="F1043724" s="24"/>
      <c r="G1043724" s="24"/>
      <c r="H1043724" s="24"/>
      <c r="I1043724" s="24"/>
      <c r="J1043724" s="24"/>
      <c r="K1043724" s="54"/>
    </row>
    <row r="1043725" spans="1:11" s="55" customFormat="1" ht="12.75">
      <c r="A1043725" s="24"/>
      <c r="B1043725" s="24"/>
      <c r="C1043725" s="24"/>
      <c r="D1043725" s="24"/>
      <c r="E1043725" s="24"/>
      <c r="F1043725" s="24"/>
      <c r="G1043725" s="24"/>
      <c r="H1043725" s="24"/>
      <c r="I1043725" s="24"/>
      <c r="J1043725" s="24"/>
      <c r="K1043725" s="54"/>
    </row>
    <row r="1043726" spans="1:11" s="55" customFormat="1" ht="12.75">
      <c r="A1043726" s="24"/>
      <c r="B1043726" s="24"/>
      <c r="C1043726" s="24"/>
      <c r="D1043726" s="24"/>
      <c r="E1043726" s="24"/>
      <c r="F1043726" s="24"/>
      <c r="G1043726" s="24"/>
      <c r="H1043726" s="24"/>
      <c r="I1043726" s="24"/>
      <c r="J1043726" s="24"/>
      <c r="K1043726" s="54"/>
    </row>
    <row r="1043727" spans="1:11" s="55" customFormat="1" ht="12.75">
      <c r="A1043727" s="24"/>
      <c r="B1043727" s="24"/>
      <c r="C1043727" s="24"/>
      <c r="D1043727" s="24"/>
      <c r="E1043727" s="24"/>
      <c r="F1043727" s="24"/>
      <c r="G1043727" s="24"/>
      <c r="H1043727" s="24"/>
      <c r="I1043727" s="24"/>
      <c r="J1043727" s="24"/>
      <c r="K1043727" s="54"/>
    </row>
    <row r="1043728" spans="1:11" s="55" customFormat="1" ht="12.75">
      <c r="A1043728" s="24"/>
      <c r="B1043728" s="24"/>
      <c r="C1043728" s="24"/>
      <c r="D1043728" s="24"/>
      <c r="E1043728" s="24"/>
      <c r="F1043728" s="24"/>
      <c r="G1043728" s="24"/>
      <c r="H1043728" s="24"/>
      <c r="I1043728" s="24"/>
      <c r="J1043728" s="24"/>
      <c r="K1043728" s="54"/>
    </row>
    <row r="1043729" spans="1:11" s="55" customFormat="1" ht="12.75">
      <c r="A1043729" s="24"/>
      <c r="B1043729" s="24"/>
      <c r="C1043729" s="24"/>
      <c r="D1043729" s="24"/>
      <c r="E1043729" s="24"/>
      <c r="F1043729" s="24"/>
      <c r="G1043729" s="24"/>
      <c r="H1043729" s="24"/>
      <c r="I1043729" s="24"/>
      <c r="J1043729" s="24"/>
      <c r="K1043729" s="54"/>
    </row>
    <row r="1043730" spans="1:11" s="55" customFormat="1" ht="12.75">
      <c r="A1043730" s="24"/>
      <c r="B1043730" s="24"/>
      <c r="C1043730" s="24"/>
      <c r="D1043730" s="24"/>
      <c r="E1043730" s="24"/>
      <c r="F1043730" s="24"/>
      <c r="G1043730" s="24"/>
      <c r="H1043730" s="24"/>
      <c r="I1043730" s="24"/>
      <c r="J1043730" s="24"/>
      <c r="K1043730" s="54"/>
    </row>
    <row r="1043731" spans="1:11" s="55" customFormat="1" ht="12.75">
      <c r="A1043731" s="24"/>
      <c r="B1043731" s="24"/>
      <c r="C1043731" s="24"/>
      <c r="D1043731" s="24"/>
      <c r="E1043731" s="24"/>
      <c r="F1043731" s="24"/>
      <c r="G1043731" s="24"/>
      <c r="H1043731" s="24"/>
      <c r="I1043731" s="24"/>
      <c r="J1043731" s="24"/>
      <c r="K1043731" s="54"/>
    </row>
    <row r="1043732" spans="1:11" s="55" customFormat="1" ht="12.75">
      <c r="A1043732" s="24"/>
      <c r="B1043732" s="24"/>
      <c r="C1043732" s="24"/>
      <c r="D1043732" s="24"/>
      <c r="E1043732" s="24"/>
      <c r="F1043732" s="24"/>
      <c r="G1043732" s="24"/>
      <c r="H1043732" s="24"/>
      <c r="I1043732" s="24"/>
      <c r="J1043732" s="24"/>
      <c r="K1043732" s="54"/>
    </row>
    <row r="1043733" spans="1:11" s="55" customFormat="1" ht="12.75">
      <c r="A1043733" s="24"/>
      <c r="B1043733" s="24"/>
      <c r="C1043733" s="24"/>
      <c r="D1043733" s="24"/>
      <c r="E1043733" s="24"/>
      <c r="F1043733" s="24"/>
      <c r="G1043733" s="24"/>
      <c r="H1043733" s="24"/>
      <c r="I1043733" s="24"/>
      <c r="J1043733" s="24"/>
      <c r="K1043733" s="54"/>
    </row>
    <row r="1043734" spans="1:11" s="55" customFormat="1" ht="12.75">
      <c r="A1043734" s="24"/>
      <c r="B1043734" s="24"/>
      <c r="C1043734" s="24"/>
      <c r="D1043734" s="24"/>
      <c r="E1043734" s="24"/>
      <c r="F1043734" s="24"/>
      <c r="G1043734" s="24"/>
      <c r="H1043734" s="24"/>
      <c r="I1043734" s="24"/>
      <c r="J1043734" s="24"/>
      <c r="K1043734" s="54"/>
    </row>
    <row r="1043735" spans="1:11" s="55" customFormat="1" ht="12.75">
      <c r="A1043735" s="24"/>
      <c r="B1043735" s="24"/>
      <c r="C1043735" s="24"/>
      <c r="D1043735" s="24"/>
      <c r="E1043735" s="24"/>
      <c r="F1043735" s="24"/>
      <c r="G1043735" s="24"/>
      <c r="H1043735" s="24"/>
      <c r="I1043735" s="24"/>
      <c r="J1043735" s="24"/>
      <c r="K1043735" s="54"/>
    </row>
    <row r="1043736" spans="1:11" s="55" customFormat="1" ht="12.75">
      <c r="A1043736" s="24"/>
      <c r="B1043736" s="24"/>
      <c r="C1043736" s="24"/>
      <c r="D1043736" s="24"/>
      <c r="E1043736" s="24"/>
      <c r="F1043736" s="24"/>
      <c r="G1043736" s="24"/>
      <c r="H1043736" s="24"/>
      <c r="I1043736" s="24"/>
      <c r="J1043736" s="24"/>
      <c r="K1043736" s="54"/>
    </row>
    <row r="1043737" spans="1:11" s="55" customFormat="1" ht="12.75">
      <c r="A1043737" s="24"/>
      <c r="B1043737" s="24"/>
      <c r="C1043737" s="24"/>
      <c r="D1043737" s="24"/>
      <c r="E1043737" s="24"/>
      <c r="F1043737" s="24"/>
      <c r="G1043737" s="24"/>
      <c r="H1043737" s="24"/>
      <c r="I1043737" s="24"/>
      <c r="J1043737" s="24"/>
      <c r="K1043737" s="54"/>
    </row>
    <row r="1043738" spans="1:11" s="55" customFormat="1" ht="12.75">
      <c r="A1043738" s="24"/>
      <c r="B1043738" s="24"/>
      <c r="C1043738" s="24"/>
      <c r="D1043738" s="24"/>
      <c r="E1043738" s="24"/>
      <c r="F1043738" s="24"/>
      <c r="G1043738" s="24"/>
      <c r="H1043738" s="24"/>
      <c r="I1043738" s="24"/>
      <c r="J1043738" s="24"/>
      <c r="K1043738" s="54"/>
    </row>
    <row r="1043739" spans="1:11" s="55" customFormat="1" ht="12.75">
      <c r="A1043739" s="24"/>
      <c r="B1043739" s="24"/>
      <c r="C1043739" s="24"/>
      <c r="D1043739" s="24"/>
      <c r="E1043739" s="24"/>
      <c r="F1043739" s="24"/>
      <c r="G1043739" s="24"/>
      <c r="H1043739" s="24"/>
      <c r="I1043739" s="24"/>
      <c r="J1043739" s="24"/>
      <c r="K1043739" s="54"/>
    </row>
    <row r="1043740" spans="1:11" s="55" customFormat="1" ht="12.75">
      <c r="A1043740" s="24"/>
      <c r="B1043740" s="24"/>
      <c r="C1043740" s="24"/>
      <c r="D1043740" s="24"/>
      <c r="E1043740" s="24"/>
      <c r="F1043740" s="24"/>
      <c r="G1043740" s="24"/>
      <c r="H1043740" s="24"/>
      <c r="I1043740" s="24"/>
      <c r="J1043740" s="24"/>
      <c r="K1043740" s="54"/>
    </row>
    <row r="1043741" spans="1:11" s="55" customFormat="1" ht="12.75">
      <c r="A1043741" s="24"/>
      <c r="B1043741" s="24"/>
      <c r="C1043741" s="24"/>
      <c r="D1043741" s="24"/>
      <c r="E1043741" s="24"/>
      <c r="F1043741" s="24"/>
      <c r="G1043741" s="24"/>
      <c r="H1043741" s="24"/>
      <c r="I1043741" s="24"/>
      <c r="J1043741" s="24"/>
      <c r="K1043741" s="54"/>
    </row>
    <row r="1043742" spans="1:11" s="55" customFormat="1" ht="12.75">
      <c r="A1043742" s="24"/>
      <c r="B1043742" s="24"/>
      <c r="C1043742" s="24"/>
      <c r="D1043742" s="24"/>
      <c r="E1043742" s="24"/>
      <c r="F1043742" s="24"/>
      <c r="G1043742" s="24"/>
      <c r="H1043742" s="24"/>
      <c r="I1043742" s="24"/>
      <c r="J1043742" s="24"/>
      <c r="K1043742" s="54"/>
    </row>
    <row r="1043743" spans="1:11" s="55" customFormat="1" ht="12.75">
      <c r="A1043743" s="24"/>
      <c r="B1043743" s="24"/>
      <c r="C1043743" s="24"/>
      <c r="D1043743" s="24"/>
      <c r="E1043743" s="24"/>
      <c r="F1043743" s="24"/>
      <c r="G1043743" s="24"/>
      <c r="H1043743" s="24"/>
      <c r="I1043743" s="24"/>
      <c r="J1043743" s="24"/>
      <c r="K1043743" s="54"/>
    </row>
    <row r="1043744" spans="1:11" s="55" customFormat="1" ht="12.75">
      <c r="A1043744" s="24"/>
      <c r="B1043744" s="24"/>
      <c r="C1043744" s="24"/>
      <c r="D1043744" s="24"/>
      <c r="E1043744" s="24"/>
      <c r="F1043744" s="24"/>
      <c r="G1043744" s="24"/>
      <c r="H1043744" s="24"/>
      <c r="I1043744" s="24"/>
      <c r="J1043744" s="24"/>
      <c r="K1043744" s="54"/>
    </row>
    <row r="1043745" spans="1:11" s="55" customFormat="1" ht="12.75">
      <c r="A1043745" s="24"/>
      <c r="B1043745" s="24"/>
      <c r="C1043745" s="24"/>
      <c r="D1043745" s="24"/>
      <c r="E1043745" s="24"/>
      <c r="F1043745" s="24"/>
      <c r="G1043745" s="24"/>
      <c r="H1043745" s="24"/>
      <c r="I1043745" s="24"/>
      <c r="J1043745" s="24"/>
      <c r="K1043745" s="54"/>
    </row>
    <row r="1043746" spans="1:11" s="55" customFormat="1" ht="12.75">
      <c r="A1043746" s="24"/>
      <c r="B1043746" s="24"/>
      <c r="C1043746" s="24"/>
      <c r="D1043746" s="24"/>
      <c r="E1043746" s="24"/>
      <c r="F1043746" s="24"/>
      <c r="G1043746" s="24"/>
      <c r="H1043746" s="24"/>
      <c r="I1043746" s="24"/>
      <c r="J1043746" s="24"/>
      <c r="K1043746" s="54"/>
    </row>
    <row r="1043747" spans="1:11" s="55" customFormat="1" ht="12.75">
      <c r="A1043747" s="24"/>
      <c r="B1043747" s="24"/>
      <c r="C1043747" s="24"/>
      <c r="D1043747" s="24"/>
      <c r="E1043747" s="24"/>
      <c r="F1043747" s="24"/>
      <c r="G1043747" s="24"/>
      <c r="H1043747" s="24"/>
      <c r="I1043747" s="24"/>
      <c r="J1043747" s="24"/>
      <c r="K1043747" s="54"/>
    </row>
    <row r="1043748" spans="1:11" s="55" customFormat="1" ht="12.75">
      <c r="A1043748" s="24"/>
      <c r="B1043748" s="24"/>
      <c r="C1043748" s="24"/>
      <c r="D1043748" s="24"/>
      <c r="E1043748" s="24"/>
      <c r="F1043748" s="24"/>
      <c r="G1043748" s="24"/>
      <c r="H1043748" s="24"/>
      <c r="I1043748" s="24"/>
      <c r="J1043748" s="24"/>
      <c r="K1043748" s="54"/>
    </row>
    <row r="1043749" spans="1:11" s="55" customFormat="1" ht="12.75">
      <c r="A1043749" s="24"/>
      <c r="B1043749" s="24"/>
      <c r="C1043749" s="24"/>
      <c r="D1043749" s="24"/>
      <c r="E1043749" s="24"/>
      <c r="F1043749" s="24"/>
      <c r="G1043749" s="24"/>
      <c r="H1043749" s="24"/>
      <c r="I1043749" s="24"/>
      <c r="J1043749" s="24"/>
      <c r="K1043749" s="54"/>
    </row>
    <row r="1043750" spans="1:11" s="55" customFormat="1" ht="12.75">
      <c r="A1043750" s="24"/>
      <c r="B1043750" s="24"/>
      <c r="C1043750" s="24"/>
      <c r="D1043750" s="24"/>
      <c r="E1043750" s="24"/>
      <c r="F1043750" s="24"/>
      <c r="G1043750" s="24"/>
      <c r="H1043750" s="24"/>
      <c r="I1043750" s="24"/>
      <c r="J1043750" s="24"/>
      <c r="K1043750" s="54"/>
    </row>
    <row r="1043751" spans="1:11" s="55" customFormat="1" ht="12.75">
      <c r="A1043751" s="24"/>
      <c r="B1043751" s="24"/>
      <c r="C1043751" s="24"/>
      <c r="D1043751" s="24"/>
      <c r="E1043751" s="24"/>
      <c r="F1043751" s="24"/>
      <c r="G1043751" s="24"/>
      <c r="H1043751" s="24"/>
      <c r="I1043751" s="24"/>
      <c r="J1043751" s="24"/>
      <c r="K1043751" s="54"/>
    </row>
    <row r="1043752" spans="1:11" s="55" customFormat="1" ht="12.75">
      <c r="A1043752" s="24"/>
      <c r="B1043752" s="24"/>
      <c r="C1043752" s="24"/>
      <c r="D1043752" s="24"/>
      <c r="E1043752" s="24"/>
      <c r="F1043752" s="24"/>
      <c r="G1043752" s="24"/>
      <c r="H1043752" s="24"/>
      <c r="I1043752" s="24"/>
      <c r="J1043752" s="24"/>
      <c r="K1043752" s="54"/>
    </row>
    <row r="1043753" spans="1:11" s="55" customFormat="1" ht="12.75">
      <c r="A1043753" s="24"/>
      <c r="B1043753" s="24"/>
      <c r="C1043753" s="24"/>
      <c r="D1043753" s="24"/>
      <c r="E1043753" s="24"/>
      <c r="F1043753" s="24"/>
      <c r="G1043753" s="24"/>
      <c r="H1043753" s="24"/>
      <c r="I1043753" s="24"/>
      <c r="J1043753" s="24"/>
      <c r="K1043753" s="54"/>
    </row>
    <row r="1043754" spans="1:11" s="55" customFormat="1" ht="12.75">
      <c r="A1043754" s="24"/>
      <c r="B1043754" s="24"/>
      <c r="C1043754" s="24"/>
      <c r="D1043754" s="24"/>
      <c r="E1043754" s="24"/>
      <c r="F1043754" s="24"/>
      <c r="G1043754" s="24"/>
      <c r="H1043754" s="24"/>
      <c r="I1043754" s="24"/>
      <c r="J1043754" s="24"/>
      <c r="K1043754" s="54"/>
    </row>
    <row r="1043755" spans="1:11" s="55" customFormat="1" ht="12.75">
      <c r="A1043755" s="24"/>
      <c r="B1043755" s="24"/>
      <c r="C1043755" s="24"/>
      <c r="D1043755" s="24"/>
      <c r="E1043755" s="24"/>
      <c r="F1043755" s="24"/>
      <c r="G1043755" s="24"/>
      <c r="H1043755" s="24"/>
      <c r="I1043755" s="24"/>
      <c r="J1043755" s="24"/>
      <c r="K1043755" s="54"/>
    </row>
    <row r="1043756" spans="1:11" s="55" customFormat="1" ht="12.75">
      <c r="A1043756" s="24"/>
      <c r="B1043756" s="24"/>
      <c r="C1043756" s="24"/>
      <c r="D1043756" s="24"/>
      <c r="E1043756" s="24"/>
      <c r="F1043756" s="24"/>
      <c r="G1043756" s="24"/>
      <c r="H1043756" s="24"/>
      <c r="I1043756" s="24"/>
      <c r="J1043756" s="24"/>
      <c r="K1043756" s="54"/>
    </row>
    <row r="1043757" spans="1:11" s="55" customFormat="1" ht="12.75">
      <c r="A1043757" s="24"/>
      <c r="B1043757" s="24"/>
      <c r="C1043757" s="24"/>
      <c r="D1043757" s="24"/>
      <c r="E1043757" s="24"/>
      <c r="F1043757" s="24"/>
      <c r="G1043757" s="24"/>
      <c r="H1043757" s="24"/>
      <c r="I1043757" s="24"/>
      <c r="J1043757" s="24"/>
      <c r="K1043757" s="54"/>
    </row>
    <row r="1043758" spans="1:11" s="55" customFormat="1" ht="12.75">
      <c r="A1043758" s="24"/>
      <c r="B1043758" s="24"/>
      <c r="C1043758" s="24"/>
      <c r="D1043758" s="24"/>
      <c r="E1043758" s="24"/>
      <c r="F1043758" s="24"/>
      <c r="G1043758" s="24"/>
      <c r="H1043758" s="24"/>
      <c r="I1043758" s="24"/>
      <c r="J1043758" s="24"/>
      <c r="K1043758" s="54"/>
    </row>
    <row r="1043759" spans="1:11" s="55" customFormat="1" ht="12.75">
      <c r="A1043759" s="24"/>
      <c r="B1043759" s="24"/>
      <c r="C1043759" s="24"/>
      <c r="D1043759" s="24"/>
      <c r="E1043759" s="24"/>
      <c r="F1043759" s="24"/>
      <c r="G1043759" s="24"/>
      <c r="H1043759" s="24"/>
      <c r="I1043759" s="24"/>
      <c r="J1043759" s="24"/>
      <c r="K1043759" s="54"/>
    </row>
    <row r="1043760" spans="1:11" s="55" customFormat="1" ht="12.75">
      <c r="A1043760" s="24"/>
      <c r="B1043760" s="24"/>
      <c r="C1043760" s="24"/>
      <c r="D1043760" s="24"/>
      <c r="E1043760" s="24"/>
      <c r="F1043760" s="24"/>
      <c r="G1043760" s="24"/>
      <c r="H1043760" s="24"/>
      <c r="I1043760" s="24"/>
      <c r="J1043760" s="24"/>
      <c r="K1043760" s="54"/>
    </row>
    <row r="1043761" spans="1:11" s="55" customFormat="1" ht="12.75">
      <c r="A1043761" s="24"/>
      <c r="B1043761" s="24"/>
      <c r="C1043761" s="24"/>
      <c r="D1043761" s="24"/>
      <c r="E1043761" s="24"/>
      <c r="F1043761" s="24"/>
      <c r="G1043761" s="24"/>
      <c r="H1043761" s="24"/>
      <c r="I1043761" s="24"/>
      <c r="J1043761" s="24"/>
      <c r="K1043761" s="54"/>
    </row>
    <row r="1043762" spans="1:11" s="55" customFormat="1" ht="12.75">
      <c r="A1043762" s="24"/>
      <c r="B1043762" s="24"/>
      <c r="C1043762" s="24"/>
      <c r="D1043762" s="24"/>
      <c r="E1043762" s="24"/>
      <c r="F1043762" s="24"/>
      <c r="G1043762" s="24"/>
      <c r="H1043762" s="24"/>
      <c r="I1043762" s="24"/>
      <c r="J1043762" s="24"/>
      <c r="K1043762" s="54"/>
    </row>
    <row r="1043763" spans="1:11" s="55" customFormat="1" ht="12.75">
      <c r="A1043763" s="24"/>
      <c r="B1043763" s="24"/>
      <c r="C1043763" s="24"/>
      <c r="D1043763" s="24"/>
      <c r="E1043763" s="24"/>
      <c r="F1043763" s="24"/>
      <c r="G1043763" s="24"/>
      <c r="H1043763" s="24"/>
      <c r="I1043763" s="24"/>
      <c r="J1043763" s="24"/>
      <c r="K1043763" s="54"/>
    </row>
    <row r="1043764" spans="1:11" s="55" customFormat="1" ht="12.75">
      <c r="A1043764" s="24"/>
      <c r="B1043764" s="24"/>
      <c r="C1043764" s="24"/>
      <c r="D1043764" s="24"/>
      <c r="E1043764" s="24"/>
      <c r="F1043764" s="24"/>
      <c r="G1043764" s="24"/>
      <c r="H1043764" s="24"/>
      <c r="I1043764" s="24"/>
      <c r="J1043764" s="24"/>
      <c r="K1043764" s="54"/>
    </row>
    <row r="1043765" spans="1:11" s="55" customFormat="1" ht="12.75">
      <c r="A1043765" s="24"/>
      <c r="B1043765" s="24"/>
      <c r="C1043765" s="24"/>
      <c r="D1043765" s="24"/>
      <c r="E1043765" s="24"/>
      <c r="F1043765" s="24"/>
      <c r="G1043765" s="24"/>
      <c r="H1043765" s="24"/>
      <c r="I1043765" s="24"/>
      <c r="J1043765" s="24"/>
      <c r="K1043765" s="54"/>
    </row>
    <row r="1043766" spans="1:11" s="55" customFormat="1" ht="12.75">
      <c r="A1043766" s="24"/>
      <c r="B1043766" s="24"/>
      <c r="C1043766" s="24"/>
      <c r="D1043766" s="24"/>
      <c r="E1043766" s="24"/>
      <c r="F1043766" s="24"/>
      <c r="G1043766" s="24"/>
      <c r="H1043766" s="24"/>
      <c r="I1043766" s="24"/>
      <c r="J1043766" s="24"/>
      <c r="K1043766" s="54"/>
    </row>
    <row r="1043767" spans="1:11" s="55" customFormat="1" ht="12.75">
      <c r="A1043767" s="24"/>
      <c r="B1043767" s="24"/>
      <c r="C1043767" s="24"/>
      <c r="D1043767" s="24"/>
      <c r="E1043767" s="24"/>
      <c r="F1043767" s="24"/>
      <c r="G1043767" s="24"/>
      <c r="H1043767" s="24"/>
      <c r="I1043767" s="24"/>
      <c r="J1043767" s="24"/>
      <c r="K1043767" s="54"/>
    </row>
    <row r="1043768" spans="1:11" s="55" customFormat="1" ht="12.75">
      <c r="A1043768" s="24"/>
      <c r="B1043768" s="24"/>
      <c r="C1043768" s="24"/>
      <c r="D1043768" s="24"/>
      <c r="E1043768" s="24"/>
      <c r="F1043768" s="24"/>
      <c r="G1043768" s="24"/>
      <c r="H1043768" s="24"/>
      <c r="I1043768" s="24"/>
      <c r="J1043768" s="24"/>
      <c r="K1043768" s="54"/>
    </row>
    <row r="1043769" spans="1:11" s="55" customFormat="1" ht="12.75">
      <c r="A1043769" s="24"/>
      <c r="B1043769" s="24"/>
      <c r="C1043769" s="24"/>
      <c r="D1043769" s="24"/>
      <c r="E1043769" s="24"/>
      <c r="F1043769" s="24"/>
      <c r="G1043769" s="24"/>
      <c r="H1043769" s="24"/>
      <c r="I1043769" s="24"/>
      <c r="J1043769" s="24"/>
      <c r="K1043769" s="54"/>
    </row>
    <row r="1043770" spans="1:11" s="55" customFormat="1" ht="12.75">
      <c r="A1043770" s="24"/>
      <c r="B1043770" s="24"/>
      <c r="C1043770" s="24"/>
      <c r="D1043770" s="24"/>
      <c r="E1043770" s="24"/>
      <c r="F1043770" s="24"/>
      <c r="G1043770" s="24"/>
      <c r="H1043770" s="24"/>
      <c r="I1043770" s="24"/>
      <c r="J1043770" s="24"/>
      <c r="K1043770" s="54"/>
    </row>
    <row r="1043771" spans="1:11" s="55" customFormat="1" ht="12.75">
      <c r="A1043771" s="24"/>
      <c r="B1043771" s="24"/>
      <c r="C1043771" s="24"/>
      <c r="D1043771" s="24"/>
      <c r="E1043771" s="24"/>
      <c r="F1043771" s="24"/>
      <c r="G1043771" s="24"/>
      <c r="H1043771" s="24"/>
      <c r="I1043771" s="24"/>
      <c r="J1043771" s="24"/>
      <c r="K1043771" s="54"/>
    </row>
    <row r="1043772" spans="1:11" s="55" customFormat="1" ht="12.75">
      <c r="A1043772" s="24"/>
      <c r="B1043772" s="24"/>
      <c r="C1043772" s="24"/>
      <c r="D1043772" s="24"/>
      <c r="E1043772" s="24"/>
      <c r="F1043772" s="24"/>
      <c r="G1043772" s="24"/>
      <c r="H1043772" s="24"/>
      <c r="I1043772" s="24"/>
      <c r="J1043772" s="24"/>
      <c r="K1043772" s="54"/>
    </row>
    <row r="1043773" spans="1:11" s="55" customFormat="1" ht="12.75">
      <c r="A1043773" s="24"/>
      <c r="B1043773" s="24"/>
      <c r="C1043773" s="24"/>
      <c r="D1043773" s="24"/>
      <c r="E1043773" s="24"/>
      <c r="F1043773" s="24"/>
      <c r="G1043773" s="24"/>
      <c r="H1043773" s="24"/>
      <c r="I1043773" s="24"/>
      <c r="J1043773" s="24"/>
      <c r="K1043773" s="54"/>
    </row>
    <row r="1043774" spans="1:11" s="55" customFormat="1" ht="12.75">
      <c r="A1043774" s="24"/>
      <c r="B1043774" s="24"/>
      <c r="C1043774" s="24"/>
      <c r="D1043774" s="24"/>
      <c r="E1043774" s="24"/>
      <c r="F1043774" s="24"/>
      <c r="G1043774" s="24"/>
      <c r="H1043774" s="24"/>
      <c r="I1043774" s="24"/>
      <c r="J1043774" s="24"/>
      <c r="K1043774" s="54"/>
    </row>
    <row r="1043775" spans="1:11" s="55" customFormat="1" ht="12.75">
      <c r="A1043775" s="24"/>
      <c r="B1043775" s="24"/>
      <c r="C1043775" s="24"/>
      <c r="D1043775" s="24"/>
      <c r="E1043775" s="24"/>
      <c r="F1043775" s="24"/>
      <c r="G1043775" s="24"/>
      <c r="H1043775" s="24"/>
      <c r="I1043775" s="24"/>
      <c r="J1043775" s="24"/>
      <c r="K1043775" s="54"/>
    </row>
    <row r="1043776" spans="1:11" s="55" customFormat="1" ht="12.75">
      <c r="A1043776" s="24"/>
      <c r="B1043776" s="24"/>
      <c r="C1043776" s="24"/>
      <c r="D1043776" s="24"/>
      <c r="E1043776" s="24"/>
      <c r="F1043776" s="24"/>
      <c r="G1043776" s="24"/>
      <c r="H1043776" s="24"/>
      <c r="I1043776" s="24"/>
      <c r="J1043776" s="24"/>
      <c r="K1043776" s="54"/>
    </row>
    <row r="1043777" spans="1:11" s="55" customFormat="1" ht="12.75">
      <c r="A1043777" s="24"/>
      <c r="B1043777" s="24"/>
      <c r="C1043777" s="24"/>
      <c r="D1043777" s="24"/>
      <c r="E1043777" s="24"/>
      <c r="F1043777" s="24"/>
      <c r="G1043777" s="24"/>
      <c r="H1043777" s="24"/>
      <c r="I1043777" s="24"/>
      <c r="J1043777" s="24"/>
      <c r="K1043777" s="54"/>
    </row>
    <row r="1043778" spans="1:11" s="55" customFormat="1" ht="12.75">
      <c r="A1043778" s="24"/>
      <c r="B1043778" s="24"/>
      <c r="C1043778" s="24"/>
      <c r="D1043778" s="24"/>
      <c r="E1043778" s="24"/>
      <c r="F1043778" s="24"/>
      <c r="G1043778" s="24"/>
      <c r="H1043778" s="24"/>
      <c r="I1043778" s="24"/>
      <c r="J1043778" s="24"/>
      <c r="K1043778" s="54"/>
    </row>
    <row r="1043779" spans="1:11" s="55" customFormat="1" ht="12.75">
      <c r="A1043779" s="24"/>
      <c r="B1043779" s="24"/>
      <c r="C1043779" s="24"/>
      <c r="D1043779" s="24"/>
      <c r="E1043779" s="24"/>
      <c r="F1043779" s="24"/>
      <c r="G1043779" s="24"/>
      <c r="H1043779" s="24"/>
      <c r="I1043779" s="24"/>
      <c r="J1043779" s="24"/>
      <c r="K1043779" s="54"/>
    </row>
    <row r="1043780" spans="1:11" s="55" customFormat="1" ht="12.75">
      <c r="A1043780" s="24"/>
      <c r="B1043780" s="24"/>
      <c r="C1043780" s="24"/>
      <c r="D1043780" s="24"/>
      <c r="E1043780" s="24"/>
      <c r="F1043780" s="24"/>
      <c r="G1043780" s="24"/>
      <c r="H1043780" s="24"/>
      <c r="I1043780" s="24"/>
      <c r="J1043780" s="24"/>
      <c r="K1043780" s="54"/>
    </row>
    <row r="1043781" spans="1:11" s="55" customFormat="1" ht="12.75">
      <c r="A1043781" s="24"/>
      <c r="B1043781" s="24"/>
      <c r="C1043781" s="24"/>
      <c r="D1043781" s="24"/>
      <c r="E1043781" s="24"/>
      <c r="F1043781" s="24"/>
      <c r="G1043781" s="24"/>
      <c r="H1043781" s="24"/>
      <c r="I1043781" s="24"/>
      <c r="J1043781" s="24"/>
      <c r="K1043781" s="54"/>
    </row>
    <row r="1043782" spans="1:11" s="55" customFormat="1" ht="12.75">
      <c r="A1043782" s="24"/>
      <c r="B1043782" s="24"/>
      <c r="C1043782" s="24"/>
      <c r="D1043782" s="24"/>
      <c r="E1043782" s="24"/>
      <c r="F1043782" s="24"/>
      <c r="G1043782" s="24"/>
      <c r="H1043782" s="24"/>
      <c r="I1043782" s="24"/>
      <c r="J1043782" s="24"/>
      <c r="K1043782" s="54"/>
    </row>
    <row r="1043783" spans="1:11" s="55" customFormat="1" ht="12.75">
      <c r="A1043783" s="24"/>
      <c r="B1043783" s="24"/>
      <c r="C1043783" s="24"/>
      <c r="D1043783" s="24"/>
      <c r="E1043783" s="24"/>
      <c r="F1043783" s="24"/>
      <c r="G1043783" s="24"/>
      <c r="H1043783" s="24"/>
      <c r="I1043783" s="24"/>
      <c r="J1043783" s="24"/>
      <c r="K1043783" s="54"/>
    </row>
    <row r="1043784" spans="1:11" s="55" customFormat="1" ht="12.75">
      <c r="A1043784" s="24"/>
      <c r="B1043784" s="24"/>
      <c r="C1043784" s="24"/>
      <c r="D1043784" s="24"/>
      <c r="E1043784" s="24"/>
      <c r="F1043784" s="24"/>
      <c r="G1043784" s="24"/>
      <c r="H1043784" s="24"/>
      <c r="I1043784" s="24"/>
      <c r="J1043784" s="24"/>
      <c r="K1043784" s="54"/>
    </row>
    <row r="1043785" spans="1:11" s="55" customFormat="1" ht="12.75">
      <c r="A1043785" s="24"/>
      <c r="B1043785" s="24"/>
      <c r="C1043785" s="24"/>
      <c r="D1043785" s="24"/>
      <c r="E1043785" s="24"/>
      <c r="F1043785" s="24"/>
      <c r="G1043785" s="24"/>
      <c r="H1043785" s="24"/>
      <c r="I1043785" s="24"/>
      <c r="J1043785" s="24"/>
      <c r="K1043785" s="54"/>
    </row>
    <row r="1043786" spans="1:11" s="55" customFormat="1" ht="12.75">
      <c r="A1043786" s="24"/>
      <c r="B1043786" s="24"/>
      <c r="C1043786" s="24"/>
      <c r="D1043786" s="24"/>
      <c r="E1043786" s="24"/>
      <c r="F1043786" s="24"/>
      <c r="G1043786" s="24"/>
      <c r="H1043786" s="24"/>
      <c r="I1043786" s="24"/>
      <c r="J1043786" s="24"/>
      <c r="K1043786" s="54"/>
    </row>
    <row r="1043787" spans="1:11" s="55" customFormat="1" ht="12.75">
      <c r="A1043787" s="24"/>
      <c r="B1043787" s="24"/>
      <c r="C1043787" s="24"/>
      <c r="D1043787" s="24"/>
      <c r="E1043787" s="24"/>
      <c r="F1043787" s="24"/>
      <c r="G1043787" s="24"/>
      <c r="H1043787" s="24"/>
      <c r="I1043787" s="24"/>
      <c r="J1043787" s="24"/>
      <c r="K1043787" s="54"/>
    </row>
    <row r="1043788" spans="1:11" s="55" customFormat="1" ht="12.75">
      <c r="A1043788" s="24"/>
      <c r="B1043788" s="24"/>
      <c r="C1043788" s="24"/>
      <c r="D1043788" s="24"/>
      <c r="E1043788" s="24"/>
      <c r="F1043788" s="24"/>
      <c r="G1043788" s="24"/>
      <c r="H1043788" s="24"/>
      <c r="I1043788" s="24"/>
      <c r="J1043788" s="24"/>
      <c r="K1043788" s="54"/>
    </row>
    <row r="1043789" spans="1:11" s="55" customFormat="1" ht="12.75">
      <c r="A1043789" s="24"/>
      <c r="B1043789" s="24"/>
      <c r="C1043789" s="24"/>
      <c r="D1043789" s="24"/>
      <c r="E1043789" s="24"/>
      <c r="F1043789" s="24"/>
      <c r="G1043789" s="24"/>
      <c r="H1043789" s="24"/>
      <c r="I1043789" s="24"/>
      <c r="J1043789" s="24"/>
      <c r="K1043789" s="54"/>
    </row>
    <row r="1043790" spans="1:11" s="55" customFormat="1" ht="12.75">
      <c r="A1043790" s="24"/>
      <c r="B1043790" s="24"/>
      <c r="C1043790" s="24"/>
      <c r="D1043790" s="24"/>
      <c r="E1043790" s="24"/>
      <c r="F1043790" s="24"/>
      <c r="G1043790" s="24"/>
      <c r="H1043790" s="24"/>
      <c r="I1043790" s="24"/>
      <c r="J1043790" s="24"/>
      <c r="K1043790" s="54"/>
    </row>
    <row r="1043791" spans="1:11" s="55" customFormat="1" ht="12.75">
      <c r="A1043791" s="24"/>
      <c r="B1043791" s="24"/>
      <c r="C1043791" s="24"/>
      <c r="D1043791" s="24"/>
      <c r="E1043791" s="24"/>
      <c r="F1043791" s="24"/>
      <c r="G1043791" s="24"/>
      <c r="H1043791" s="24"/>
      <c r="I1043791" s="24"/>
      <c r="J1043791" s="24"/>
      <c r="K1043791" s="54"/>
    </row>
    <row r="1043792" spans="1:11" s="55" customFormat="1" ht="12.75">
      <c r="A1043792" s="24"/>
      <c r="B1043792" s="24"/>
      <c r="C1043792" s="24"/>
      <c r="D1043792" s="24"/>
      <c r="E1043792" s="24"/>
      <c r="F1043792" s="24"/>
      <c r="G1043792" s="24"/>
      <c r="H1043792" s="24"/>
      <c r="I1043792" s="24"/>
      <c r="J1043792" s="24"/>
      <c r="K1043792" s="54"/>
    </row>
    <row r="1043793" spans="1:11" s="55" customFormat="1" ht="12.75">
      <c r="A1043793" s="24"/>
      <c r="B1043793" s="24"/>
      <c r="C1043793" s="24"/>
      <c r="D1043793" s="24"/>
      <c r="E1043793" s="24"/>
      <c r="F1043793" s="24"/>
      <c r="G1043793" s="24"/>
      <c r="H1043793" s="24"/>
      <c r="I1043793" s="24"/>
      <c r="J1043793" s="24"/>
      <c r="K1043793" s="54"/>
    </row>
    <row r="1043794" spans="1:11" s="55" customFormat="1" ht="12.75">
      <c r="A1043794" s="24"/>
      <c r="B1043794" s="24"/>
      <c r="C1043794" s="24"/>
      <c r="D1043794" s="24"/>
      <c r="E1043794" s="24"/>
      <c r="F1043794" s="24"/>
      <c r="G1043794" s="24"/>
      <c r="H1043794" s="24"/>
      <c r="I1043794" s="24"/>
      <c r="J1043794" s="24"/>
      <c r="K1043794" s="54"/>
    </row>
    <row r="1043795" spans="1:11" s="55" customFormat="1" ht="12.75">
      <c r="A1043795" s="24"/>
      <c r="B1043795" s="24"/>
      <c r="C1043795" s="24"/>
      <c r="D1043795" s="24"/>
      <c r="E1043795" s="24"/>
      <c r="F1043795" s="24"/>
      <c r="G1043795" s="24"/>
      <c r="H1043795" s="24"/>
      <c r="I1043795" s="24"/>
      <c r="J1043795" s="24"/>
      <c r="K1043795" s="54"/>
    </row>
    <row r="1043796" spans="1:11" s="55" customFormat="1" ht="12.75">
      <c r="A1043796" s="24"/>
      <c r="B1043796" s="24"/>
      <c r="C1043796" s="24"/>
      <c r="D1043796" s="24"/>
      <c r="E1043796" s="24"/>
      <c r="F1043796" s="24"/>
      <c r="G1043796" s="24"/>
      <c r="H1043796" s="24"/>
      <c r="I1043796" s="24"/>
      <c r="J1043796" s="24"/>
      <c r="K1043796" s="54"/>
    </row>
    <row r="1043797" spans="1:11" s="55" customFormat="1" ht="12.75">
      <c r="A1043797" s="24"/>
      <c r="B1043797" s="24"/>
      <c r="C1043797" s="24"/>
      <c r="D1043797" s="24"/>
      <c r="E1043797" s="24"/>
      <c r="F1043797" s="24"/>
      <c r="G1043797" s="24"/>
      <c r="H1043797" s="24"/>
      <c r="I1043797" s="24"/>
      <c r="J1043797" s="24"/>
      <c r="K1043797" s="54"/>
    </row>
    <row r="1043798" spans="1:11" s="55" customFormat="1" ht="12.75">
      <c r="A1043798" s="24"/>
      <c r="B1043798" s="24"/>
      <c r="C1043798" s="24"/>
      <c r="D1043798" s="24"/>
      <c r="E1043798" s="24"/>
      <c r="F1043798" s="24"/>
      <c r="G1043798" s="24"/>
      <c r="H1043798" s="24"/>
      <c r="I1043798" s="24"/>
      <c r="J1043798" s="24"/>
      <c r="K1043798" s="54"/>
    </row>
    <row r="1043799" spans="1:11" s="55" customFormat="1" ht="12.75">
      <c r="A1043799" s="24"/>
      <c r="B1043799" s="24"/>
      <c r="C1043799" s="24"/>
      <c r="D1043799" s="24"/>
      <c r="E1043799" s="24"/>
      <c r="F1043799" s="24"/>
      <c r="G1043799" s="24"/>
      <c r="H1043799" s="24"/>
      <c r="I1043799" s="24"/>
      <c r="J1043799" s="24"/>
      <c r="K1043799" s="54"/>
    </row>
    <row r="1043800" spans="1:11" s="55" customFormat="1" ht="12.75">
      <c r="A1043800" s="24"/>
      <c r="B1043800" s="24"/>
      <c r="C1043800" s="24"/>
      <c r="D1043800" s="24"/>
      <c r="E1043800" s="24"/>
      <c r="F1043800" s="24"/>
      <c r="G1043800" s="24"/>
      <c r="H1043800" s="24"/>
      <c r="I1043800" s="24"/>
      <c r="J1043800" s="24"/>
      <c r="K1043800" s="54"/>
    </row>
    <row r="1043801" spans="1:11" s="55" customFormat="1" ht="12.75">
      <c r="A1043801" s="24"/>
      <c r="B1043801" s="24"/>
      <c r="C1043801" s="24"/>
      <c r="D1043801" s="24"/>
      <c r="E1043801" s="24"/>
      <c r="F1043801" s="24"/>
      <c r="G1043801" s="24"/>
      <c r="H1043801" s="24"/>
      <c r="I1043801" s="24"/>
      <c r="J1043801" s="24"/>
      <c r="K1043801" s="54"/>
    </row>
    <row r="1043802" spans="1:11" s="55" customFormat="1" ht="12.75">
      <c r="A1043802" s="24"/>
      <c r="B1043802" s="24"/>
      <c r="C1043802" s="24"/>
      <c r="D1043802" s="24"/>
      <c r="E1043802" s="24"/>
      <c r="F1043802" s="24"/>
      <c r="G1043802" s="24"/>
      <c r="H1043802" s="24"/>
      <c r="I1043802" s="24"/>
      <c r="J1043802" s="24"/>
      <c r="K1043802" s="54"/>
    </row>
    <row r="1043803" spans="1:11" s="55" customFormat="1" ht="12.75">
      <c r="A1043803" s="24"/>
      <c r="B1043803" s="24"/>
      <c r="C1043803" s="24"/>
      <c r="D1043803" s="24"/>
      <c r="E1043803" s="24"/>
      <c r="F1043803" s="24"/>
      <c r="G1043803" s="24"/>
      <c r="H1043803" s="24"/>
      <c r="I1043803" s="24"/>
      <c r="J1043803" s="24"/>
      <c r="K1043803" s="54"/>
    </row>
    <row r="1043804" spans="1:11" s="55" customFormat="1" ht="12.75">
      <c r="A1043804" s="24"/>
      <c r="B1043804" s="24"/>
      <c r="C1043804" s="24"/>
      <c r="D1043804" s="24"/>
      <c r="E1043804" s="24"/>
      <c r="F1043804" s="24"/>
      <c r="G1043804" s="24"/>
      <c r="H1043804" s="24"/>
      <c r="I1043804" s="24"/>
      <c r="J1043804" s="24"/>
      <c r="K1043804" s="54"/>
    </row>
    <row r="1043805" spans="1:11" s="55" customFormat="1" ht="12.75">
      <c r="A1043805" s="24"/>
      <c r="B1043805" s="24"/>
      <c r="C1043805" s="24"/>
      <c r="D1043805" s="24"/>
      <c r="E1043805" s="24"/>
      <c r="F1043805" s="24"/>
      <c r="G1043805" s="24"/>
      <c r="H1043805" s="24"/>
      <c r="I1043805" s="24"/>
      <c r="J1043805" s="24"/>
      <c r="K1043805" s="54"/>
    </row>
    <row r="1043806" spans="1:11" s="55" customFormat="1" ht="12.75">
      <c r="A1043806" s="24"/>
      <c r="B1043806" s="24"/>
      <c r="C1043806" s="24"/>
      <c r="D1043806" s="24"/>
      <c r="E1043806" s="24"/>
      <c r="F1043806" s="24"/>
      <c r="G1043806" s="24"/>
      <c r="H1043806" s="24"/>
      <c r="I1043806" s="24"/>
      <c r="J1043806" s="24"/>
      <c r="K1043806" s="54"/>
    </row>
    <row r="1043807" spans="1:11" s="55" customFormat="1" ht="12.75">
      <c r="A1043807" s="24"/>
      <c r="B1043807" s="24"/>
      <c r="C1043807" s="24"/>
      <c r="D1043807" s="24"/>
      <c r="E1043807" s="24"/>
      <c r="F1043807" s="24"/>
      <c r="G1043807" s="24"/>
      <c r="H1043807" s="24"/>
      <c r="I1043807" s="24"/>
      <c r="J1043807" s="24"/>
      <c r="K1043807" s="54"/>
    </row>
    <row r="1043808" spans="1:11" s="55" customFormat="1" ht="12.75">
      <c r="A1043808" s="24"/>
      <c r="B1043808" s="24"/>
      <c r="C1043808" s="24"/>
      <c r="D1043808" s="24"/>
      <c r="E1043808" s="24"/>
      <c r="F1043808" s="24"/>
      <c r="G1043808" s="24"/>
      <c r="H1043808" s="24"/>
      <c r="I1043808" s="24"/>
      <c r="J1043808" s="24"/>
      <c r="K1043808" s="54"/>
    </row>
    <row r="1043809" spans="1:11" s="55" customFormat="1" ht="12.75">
      <c r="A1043809" s="24"/>
      <c r="B1043809" s="24"/>
      <c r="C1043809" s="24"/>
      <c r="D1043809" s="24"/>
      <c r="E1043809" s="24"/>
      <c r="F1043809" s="24"/>
      <c r="G1043809" s="24"/>
      <c r="H1043809" s="24"/>
      <c r="I1043809" s="24"/>
      <c r="J1043809" s="24"/>
      <c r="K1043809" s="54"/>
    </row>
    <row r="1043810" spans="1:11" s="55" customFormat="1" ht="12.75">
      <c r="A1043810" s="24"/>
      <c r="B1043810" s="24"/>
      <c r="C1043810" s="24"/>
      <c r="D1043810" s="24"/>
      <c r="E1043810" s="24"/>
      <c r="F1043810" s="24"/>
      <c r="G1043810" s="24"/>
      <c r="H1043810" s="24"/>
      <c r="I1043810" s="24"/>
      <c r="J1043810" s="24"/>
      <c r="K1043810" s="54"/>
    </row>
    <row r="1043811" spans="1:11" s="55" customFormat="1" ht="12.75">
      <c r="A1043811" s="24"/>
      <c r="B1043811" s="24"/>
      <c r="C1043811" s="24"/>
      <c r="D1043811" s="24"/>
      <c r="E1043811" s="24"/>
      <c r="F1043811" s="24"/>
      <c r="G1043811" s="24"/>
      <c r="H1043811" s="24"/>
      <c r="I1043811" s="24"/>
      <c r="J1043811" s="24"/>
      <c r="K1043811" s="54"/>
    </row>
    <row r="1043812" spans="1:11" s="55" customFormat="1" ht="12.75">
      <c r="A1043812" s="24"/>
      <c r="B1043812" s="24"/>
      <c r="C1043812" s="24"/>
      <c r="D1043812" s="24"/>
      <c r="E1043812" s="24"/>
      <c r="F1043812" s="24"/>
      <c r="G1043812" s="24"/>
      <c r="H1043812" s="24"/>
      <c r="I1043812" s="24"/>
      <c r="J1043812" s="24"/>
      <c r="K1043812" s="54"/>
    </row>
    <row r="1043813" spans="1:11" s="55" customFormat="1" ht="12.75">
      <c r="A1043813" s="24"/>
      <c r="B1043813" s="24"/>
      <c r="C1043813" s="24"/>
      <c r="D1043813" s="24"/>
      <c r="E1043813" s="24"/>
      <c r="F1043813" s="24"/>
      <c r="G1043813" s="24"/>
      <c r="H1043813" s="24"/>
      <c r="I1043813" s="24"/>
      <c r="J1043813" s="24"/>
      <c r="K1043813" s="54"/>
    </row>
    <row r="1043814" spans="1:11" s="55" customFormat="1" ht="12.75">
      <c r="A1043814" s="24"/>
      <c r="B1043814" s="24"/>
      <c r="C1043814" s="24"/>
      <c r="D1043814" s="24"/>
      <c r="E1043814" s="24"/>
      <c r="F1043814" s="24"/>
      <c r="G1043814" s="24"/>
      <c r="H1043814" s="24"/>
      <c r="I1043814" s="24"/>
      <c r="J1043814" s="24"/>
      <c r="K1043814" s="54"/>
    </row>
    <row r="1043815" spans="1:11" s="55" customFormat="1" ht="12.75">
      <c r="A1043815" s="24"/>
      <c r="B1043815" s="24"/>
      <c r="C1043815" s="24"/>
      <c r="D1043815" s="24"/>
      <c r="E1043815" s="24"/>
      <c r="F1043815" s="24"/>
      <c r="G1043815" s="24"/>
      <c r="H1043815" s="24"/>
      <c r="I1043815" s="24"/>
      <c r="J1043815" s="24"/>
      <c r="K1043815" s="54"/>
    </row>
    <row r="1043816" spans="1:11" s="55" customFormat="1" ht="12.75">
      <c r="A1043816" s="24"/>
      <c r="B1043816" s="24"/>
      <c r="C1043816" s="24"/>
      <c r="D1043816" s="24"/>
      <c r="E1043816" s="24"/>
      <c r="F1043816" s="24"/>
      <c r="G1043816" s="24"/>
      <c r="H1043816" s="24"/>
      <c r="I1043816" s="24"/>
      <c r="J1043816" s="24"/>
      <c r="K1043816" s="54"/>
    </row>
    <row r="1043817" spans="1:11" s="55" customFormat="1" ht="12.75">
      <c r="A1043817" s="24"/>
      <c r="B1043817" s="24"/>
      <c r="C1043817" s="24"/>
      <c r="D1043817" s="24"/>
      <c r="E1043817" s="24"/>
      <c r="F1043817" s="24"/>
      <c r="G1043817" s="24"/>
      <c r="H1043817" s="24"/>
      <c r="I1043817" s="24"/>
      <c r="J1043817" s="24"/>
      <c r="K1043817" s="54"/>
    </row>
    <row r="1043818" spans="1:11" s="55" customFormat="1" ht="12.75">
      <c r="A1043818" s="24"/>
      <c r="B1043818" s="24"/>
      <c r="C1043818" s="24"/>
      <c r="D1043818" s="24"/>
      <c r="E1043818" s="24"/>
      <c r="F1043818" s="24"/>
      <c r="G1043818" s="24"/>
      <c r="H1043818" s="24"/>
      <c r="I1043818" s="24"/>
      <c r="J1043818" s="24"/>
      <c r="K1043818" s="54"/>
    </row>
    <row r="1043819" spans="1:11" s="55" customFormat="1" ht="12.75">
      <c r="A1043819" s="24"/>
      <c r="B1043819" s="24"/>
      <c r="C1043819" s="24"/>
      <c r="D1043819" s="24"/>
      <c r="E1043819" s="24"/>
      <c r="F1043819" s="24"/>
      <c r="G1043819" s="24"/>
      <c r="H1043819" s="24"/>
      <c r="I1043819" s="24"/>
      <c r="J1043819" s="24"/>
      <c r="K1043819" s="54"/>
    </row>
    <row r="1043820" spans="1:11" s="55" customFormat="1" ht="12.75">
      <c r="A1043820" s="24"/>
      <c r="B1043820" s="24"/>
      <c r="C1043820" s="24"/>
      <c r="D1043820" s="24"/>
      <c r="E1043820" s="24"/>
      <c r="F1043820" s="24"/>
      <c r="G1043820" s="24"/>
      <c r="H1043820" s="24"/>
      <c r="I1043820" s="24"/>
      <c r="J1043820" s="24"/>
      <c r="K1043820" s="54"/>
    </row>
    <row r="1043821" spans="1:11" s="55" customFormat="1" ht="12.75">
      <c r="A1043821" s="24"/>
      <c r="B1043821" s="24"/>
      <c r="C1043821" s="24"/>
      <c r="D1043821" s="24"/>
      <c r="E1043821" s="24"/>
      <c r="F1043821" s="24"/>
      <c r="G1043821" s="24"/>
      <c r="H1043821" s="24"/>
      <c r="I1043821" s="24"/>
      <c r="J1043821" s="24"/>
      <c r="K1043821" s="54"/>
    </row>
    <row r="1043822" spans="1:11" s="55" customFormat="1" ht="12.75">
      <c r="A1043822" s="24"/>
      <c r="B1043822" s="24"/>
      <c r="C1043822" s="24"/>
      <c r="D1043822" s="24"/>
      <c r="E1043822" s="24"/>
      <c r="F1043822" s="24"/>
      <c r="G1043822" s="24"/>
      <c r="H1043822" s="24"/>
      <c r="I1043822" s="24"/>
      <c r="J1043822" s="24"/>
      <c r="K1043822" s="54"/>
    </row>
    <row r="1043823" spans="1:11" s="55" customFormat="1" ht="12.75">
      <c r="A1043823" s="24"/>
      <c r="B1043823" s="24"/>
      <c r="C1043823" s="24"/>
      <c r="D1043823" s="24"/>
      <c r="E1043823" s="24"/>
      <c r="F1043823" s="24"/>
      <c r="G1043823" s="24"/>
      <c r="H1043823" s="24"/>
      <c r="I1043823" s="24"/>
      <c r="J1043823" s="24"/>
      <c r="K1043823" s="54"/>
    </row>
    <row r="1043824" spans="1:11" s="55" customFormat="1" ht="12.75">
      <c r="A1043824" s="24"/>
      <c r="B1043824" s="24"/>
      <c r="C1043824" s="24"/>
      <c r="D1043824" s="24"/>
      <c r="E1043824" s="24"/>
      <c r="F1043824" s="24"/>
      <c r="G1043824" s="24"/>
      <c r="H1043824" s="24"/>
      <c r="I1043824" s="24"/>
      <c r="J1043824" s="24"/>
      <c r="K1043824" s="54"/>
    </row>
    <row r="1043825" spans="1:11" s="55" customFormat="1" ht="12.75">
      <c r="A1043825" s="24"/>
      <c r="B1043825" s="24"/>
      <c r="C1043825" s="24"/>
      <c r="D1043825" s="24"/>
      <c r="E1043825" s="24"/>
      <c r="F1043825" s="24"/>
      <c r="G1043825" s="24"/>
      <c r="H1043825" s="24"/>
      <c r="I1043825" s="24"/>
      <c r="J1043825" s="24"/>
      <c r="K1043825" s="54"/>
    </row>
    <row r="1043826" spans="1:11" s="55" customFormat="1" ht="12.75">
      <c r="A1043826" s="24"/>
      <c r="B1043826" s="24"/>
      <c r="C1043826" s="24"/>
      <c r="D1043826" s="24"/>
      <c r="E1043826" s="24"/>
      <c r="F1043826" s="24"/>
      <c r="G1043826" s="24"/>
      <c r="H1043826" s="24"/>
      <c r="I1043826" s="24"/>
      <c r="J1043826" s="24"/>
      <c r="K1043826" s="54"/>
    </row>
    <row r="1043827" spans="1:11" s="55" customFormat="1" ht="12.75">
      <c r="A1043827" s="24"/>
      <c r="B1043827" s="24"/>
      <c r="C1043827" s="24"/>
      <c r="D1043827" s="24"/>
      <c r="E1043827" s="24"/>
      <c r="F1043827" s="24"/>
      <c r="G1043827" s="24"/>
      <c r="H1043827" s="24"/>
      <c r="I1043827" s="24"/>
      <c r="J1043827" s="24"/>
      <c r="K1043827" s="54"/>
    </row>
    <row r="1043828" spans="1:11" s="55" customFormat="1" ht="12.75">
      <c r="A1043828" s="24"/>
      <c r="B1043828" s="24"/>
      <c r="C1043828" s="24"/>
      <c r="D1043828" s="24"/>
      <c r="E1043828" s="24"/>
      <c r="F1043828" s="24"/>
      <c r="G1043828" s="24"/>
      <c r="H1043828" s="24"/>
      <c r="I1043828" s="24"/>
      <c r="J1043828" s="24"/>
      <c r="K1043828" s="54"/>
    </row>
    <row r="1043829" spans="1:11" s="55" customFormat="1" ht="12.75">
      <c r="A1043829" s="24"/>
      <c r="B1043829" s="24"/>
      <c r="C1043829" s="24"/>
      <c r="D1043829" s="24"/>
      <c r="E1043829" s="24"/>
      <c r="F1043829" s="24"/>
      <c r="G1043829" s="24"/>
      <c r="H1043829" s="24"/>
      <c r="I1043829" s="24"/>
      <c r="J1043829" s="24"/>
      <c r="K1043829" s="54"/>
    </row>
    <row r="1043830" spans="1:11" s="55" customFormat="1" ht="12.75">
      <c r="A1043830" s="24"/>
      <c r="B1043830" s="24"/>
      <c r="C1043830" s="24"/>
      <c r="D1043830" s="24"/>
      <c r="E1043830" s="24"/>
      <c r="F1043830" s="24"/>
      <c r="G1043830" s="24"/>
      <c r="H1043830" s="24"/>
      <c r="I1043830" s="24"/>
      <c r="J1043830" s="24"/>
      <c r="K1043830" s="54"/>
    </row>
    <row r="1043831" spans="1:11" s="55" customFormat="1" ht="12.75">
      <c r="A1043831" s="24"/>
      <c r="B1043831" s="24"/>
      <c r="C1043831" s="24"/>
      <c r="D1043831" s="24"/>
      <c r="E1043831" s="24"/>
      <c r="F1043831" s="24"/>
      <c r="G1043831" s="24"/>
      <c r="H1043831" s="24"/>
      <c r="I1043831" s="24"/>
      <c r="J1043831" s="24"/>
      <c r="K1043831" s="54"/>
    </row>
    <row r="1043832" spans="1:11" s="55" customFormat="1" ht="12.75">
      <c r="A1043832" s="24"/>
      <c r="B1043832" s="24"/>
      <c r="C1043832" s="24"/>
      <c r="D1043832" s="24"/>
      <c r="E1043832" s="24"/>
      <c r="F1043832" s="24"/>
      <c r="G1043832" s="24"/>
      <c r="H1043832" s="24"/>
      <c r="I1043832" s="24"/>
      <c r="J1043832" s="24"/>
      <c r="K1043832" s="54"/>
    </row>
    <row r="1043833" spans="1:11" s="55" customFormat="1" ht="12.75">
      <c r="A1043833" s="24"/>
      <c r="B1043833" s="24"/>
      <c r="C1043833" s="24"/>
      <c r="D1043833" s="24"/>
      <c r="E1043833" s="24"/>
      <c r="F1043833" s="24"/>
      <c r="G1043833" s="24"/>
      <c r="H1043833" s="24"/>
      <c r="I1043833" s="24"/>
      <c r="J1043833" s="24"/>
      <c r="K1043833" s="54"/>
    </row>
    <row r="1043834" spans="1:11" s="55" customFormat="1" ht="12.75">
      <c r="A1043834" s="24"/>
      <c r="B1043834" s="24"/>
      <c r="C1043834" s="24"/>
      <c r="D1043834" s="24"/>
      <c r="E1043834" s="24"/>
      <c r="F1043834" s="24"/>
      <c r="G1043834" s="24"/>
      <c r="H1043834" s="24"/>
      <c r="I1043834" s="24"/>
      <c r="J1043834" s="24"/>
      <c r="K1043834" s="54"/>
    </row>
    <row r="1043835" spans="1:11" s="55" customFormat="1" ht="12.75">
      <c r="A1043835" s="24"/>
      <c r="B1043835" s="24"/>
      <c r="C1043835" s="24"/>
      <c r="D1043835" s="24"/>
      <c r="E1043835" s="24"/>
      <c r="F1043835" s="24"/>
      <c r="G1043835" s="24"/>
      <c r="H1043835" s="24"/>
      <c r="I1043835" s="24"/>
      <c r="J1043835" s="24"/>
      <c r="K1043835" s="54"/>
    </row>
    <row r="1043836" spans="1:11" s="55" customFormat="1" ht="12.75">
      <c r="A1043836" s="24"/>
      <c r="B1043836" s="24"/>
      <c r="C1043836" s="24"/>
      <c r="D1043836" s="24"/>
      <c r="E1043836" s="24"/>
      <c r="F1043836" s="24"/>
      <c r="G1043836" s="24"/>
      <c r="H1043836" s="24"/>
      <c r="I1043836" s="24"/>
      <c r="J1043836" s="24"/>
      <c r="K1043836" s="54"/>
    </row>
    <row r="1043837" spans="1:11" s="55" customFormat="1" ht="12.75">
      <c r="A1043837" s="24"/>
      <c r="B1043837" s="24"/>
      <c r="C1043837" s="24"/>
      <c r="D1043837" s="24"/>
      <c r="E1043837" s="24"/>
      <c r="F1043837" s="24"/>
      <c r="G1043837" s="24"/>
      <c r="H1043837" s="24"/>
      <c r="I1043837" s="24"/>
      <c r="J1043837" s="24"/>
      <c r="K1043837" s="54"/>
    </row>
    <row r="1043838" spans="1:11" s="55" customFormat="1" ht="12.75">
      <c r="A1043838" s="24"/>
      <c r="B1043838" s="24"/>
      <c r="C1043838" s="24"/>
      <c r="D1043838" s="24"/>
      <c r="E1043838" s="24"/>
      <c r="F1043838" s="24"/>
      <c r="G1043838" s="24"/>
      <c r="H1043838" s="24"/>
      <c r="I1043838" s="24"/>
      <c r="J1043838" s="24"/>
      <c r="K1043838" s="54"/>
    </row>
    <row r="1043839" spans="1:11" s="55" customFormat="1" ht="12.75">
      <c r="A1043839" s="24"/>
      <c r="B1043839" s="24"/>
      <c r="C1043839" s="24"/>
      <c r="D1043839" s="24"/>
      <c r="E1043839" s="24"/>
      <c r="F1043839" s="24"/>
      <c r="G1043839" s="24"/>
      <c r="H1043839" s="24"/>
      <c r="I1043839" s="24"/>
      <c r="J1043839" s="24"/>
      <c r="K1043839" s="54"/>
    </row>
    <row r="1043840" spans="1:11" s="55" customFormat="1" ht="12.75">
      <c r="A1043840" s="24"/>
      <c r="B1043840" s="24"/>
      <c r="C1043840" s="24"/>
      <c r="D1043840" s="24"/>
      <c r="E1043840" s="24"/>
      <c r="F1043840" s="24"/>
      <c r="G1043840" s="24"/>
      <c r="H1043840" s="24"/>
      <c r="I1043840" s="24"/>
      <c r="J1043840" s="24"/>
      <c r="K1043840" s="54"/>
    </row>
    <row r="1043841" spans="1:11" s="55" customFormat="1" ht="12.75">
      <c r="A1043841" s="24"/>
      <c r="B1043841" s="24"/>
      <c r="C1043841" s="24"/>
      <c r="D1043841" s="24"/>
      <c r="E1043841" s="24"/>
      <c r="F1043841" s="24"/>
      <c r="G1043841" s="24"/>
      <c r="H1043841" s="24"/>
      <c r="I1043841" s="24"/>
      <c r="J1043841" s="24"/>
      <c r="K1043841" s="54"/>
    </row>
    <row r="1043842" spans="1:11" s="55" customFormat="1" ht="12.75">
      <c r="A1043842" s="24"/>
      <c r="B1043842" s="24"/>
      <c r="C1043842" s="24"/>
      <c r="D1043842" s="24"/>
      <c r="E1043842" s="24"/>
      <c r="F1043842" s="24"/>
      <c r="G1043842" s="24"/>
      <c r="H1043842" s="24"/>
      <c r="I1043842" s="24"/>
      <c r="J1043842" s="24"/>
      <c r="K1043842" s="54"/>
    </row>
    <row r="1043843" spans="1:11" s="55" customFormat="1" ht="12.75">
      <c r="A1043843" s="24"/>
      <c r="B1043843" s="24"/>
      <c r="C1043843" s="24"/>
      <c r="D1043843" s="24"/>
      <c r="E1043843" s="24"/>
      <c r="F1043843" s="24"/>
      <c r="G1043843" s="24"/>
      <c r="H1043843" s="24"/>
      <c r="I1043843" s="24"/>
      <c r="J1043843" s="24"/>
      <c r="K1043843" s="54"/>
    </row>
    <row r="1043844" spans="1:11" s="55" customFormat="1" ht="12.75">
      <c r="A1043844" s="24"/>
      <c r="B1043844" s="24"/>
      <c r="C1043844" s="24"/>
      <c r="D1043844" s="24"/>
      <c r="E1043844" s="24"/>
      <c r="F1043844" s="24"/>
      <c r="G1043844" s="24"/>
      <c r="H1043844" s="24"/>
      <c r="I1043844" s="24"/>
      <c r="J1043844" s="24"/>
      <c r="K1043844" s="54"/>
    </row>
    <row r="1043845" spans="1:11" s="55" customFormat="1" ht="12.75">
      <c r="A1043845" s="24"/>
      <c r="B1043845" s="24"/>
      <c r="C1043845" s="24"/>
      <c r="D1043845" s="24"/>
      <c r="E1043845" s="24"/>
      <c r="F1043845" s="24"/>
      <c r="G1043845" s="24"/>
      <c r="H1043845" s="24"/>
      <c r="I1043845" s="24"/>
      <c r="J1043845" s="24"/>
      <c r="K1043845" s="54"/>
    </row>
    <row r="1043846" spans="1:11" s="55" customFormat="1" ht="12.75">
      <c r="A1043846" s="24"/>
      <c r="B1043846" s="24"/>
      <c r="C1043846" s="24"/>
      <c r="D1043846" s="24"/>
      <c r="E1043846" s="24"/>
      <c r="F1043846" s="24"/>
      <c r="G1043846" s="24"/>
      <c r="H1043846" s="24"/>
      <c r="I1043846" s="24"/>
      <c r="J1043846" s="24"/>
      <c r="K1043846" s="54"/>
    </row>
    <row r="1043847" spans="1:11" s="55" customFormat="1" ht="12.75">
      <c r="A1043847" s="24"/>
      <c r="B1043847" s="24"/>
      <c r="C1043847" s="24"/>
      <c r="D1043847" s="24"/>
      <c r="E1043847" s="24"/>
      <c r="F1043847" s="24"/>
      <c r="G1043847" s="24"/>
      <c r="H1043847" s="24"/>
      <c r="I1043847" s="24"/>
      <c r="J1043847" s="24"/>
      <c r="K1043847" s="54"/>
    </row>
    <row r="1043848" spans="1:11" s="55" customFormat="1" ht="12.75">
      <c r="A1043848" s="24"/>
      <c r="B1043848" s="24"/>
      <c r="C1043848" s="24"/>
      <c r="D1043848" s="24"/>
      <c r="E1043848" s="24"/>
      <c r="F1043848" s="24"/>
      <c r="G1043848" s="24"/>
      <c r="H1043848" s="24"/>
      <c r="I1043848" s="24"/>
      <c r="J1043848" s="24"/>
      <c r="K1043848" s="54"/>
    </row>
    <row r="1043849" spans="1:11" s="55" customFormat="1" ht="12.75">
      <c r="A1043849" s="24"/>
      <c r="B1043849" s="24"/>
      <c r="C1043849" s="24"/>
      <c r="D1043849" s="24"/>
      <c r="E1043849" s="24"/>
      <c r="F1043849" s="24"/>
      <c r="G1043849" s="24"/>
      <c r="H1043849" s="24"/>
      <c r="I1043849" s="24"/>
      <c r="J1043849" s="24"/>
      <c r="K1043849" s="54"/>
    </row>
    <row r="1043850" spans="1:11" s="55" customFormat="1" ht="12.75">
      <c r="A1043850" s="24"/>
      <c r="B1043850" s="24"/>
      <c r="C1043850" s="24"/>
      <c r="D1043850" s="24"/>
      <c r="E1043850" s="24"/>
      <c r="F1043850" s="24"/>
      <c r="G1043850" s="24"/>
      <c r="H1043850" s="24"/>
      <c r="I1043850" s="24"/>
      <c r="J1043850" s="24"/>
      <c r="K1043850" s="54"/>
    </row>
    <row r="1043851" spans="1:11" s="55" customFormat="1" ht="12.75">
      <c r="A1043851" s="24"/>
      <c r="B1043851" s="24"/>
      <c r="C1043851" s="24"/>
      <c r="D1043851" s="24"/>
      <c r="E1043851" s="24"/>
      <c r="F1043851" s="24"/>
      <c r="G1043851" s="24"/>
      <c r="H1043851" s="24"/>
      <c r="I1043851" s="24"/>
      <c r="J1043851" s="24"/>
      <c r="K1043851" s="54"/>
    </row>
    <row r="1043852" spans="1:11" s="55" customFormat="1" ht="12.75">
      <c r="A1043852" s="24"/>
      <c r="B1043852" s="24"/>
      <c r="C1043852" s="24"/>
      <c r="D1043852" s="24"/>
      <c r="E1043852" s="24"/>
      <c r="F1043852" s="24"/>
      <c r="G1043852" s="24"/>
      <c r="H1043852" s="24"/>
      <c r="I1043852" s="24"/>
      <c r="J1043852" s="24"/>
      <c r="K1043852" s="54"/>
    </row>
    <row r="1043853" spans="1:11" s="55" customFormat="1" ht="12.75">
      <c r="A1043853" s="24"/>
      <c r="B1043853" s="24"/>
      <c r="C1043853" s="24"/>
      <c r="D1043853" s="24"/>
      <c r="E1043853" s="24"/>
      <c r="F1043853" s="24"/>
      <c r="G1043853" s="24"/>
      <c r="H1043853" s="24"/>
      <c r="I1043853" s="24"/>
      <c r="J1043853" s="24"/>
      <c r="K1043853" s="54"/>
    </row>
    <row r="1043854" spans="1:11" s="55" customFormat="1" ht="12.75">
      <c r="A1043854" s="24"/>
      <c r="B1043854" s="24"/>
      <c r="C1043854" s="24"/>
      <c r="D1043854" s="24"/>
      <c r="E1043854" s="24"/>
      <c r="F1043854" s="24"/>
      <c r="G1043854" s="24"/>
      <c r="H1043854" s="24"/>
      <c r="I1043854" s="24"/>
      <c r="J1043854" s="24"/>
      <c r="K1043854" s="54"/>
    </row>
    <row r="1043855" spans="1:11" s="55" customFormat="1" ht="12.75">
      <c r="A1043855" s="24"/>
      <c r="B1043855" s="24"/>
      <c r="C1043855" s="24"/>
      <c r="D1043855" s="24"/>
      <c r="E1043855" s="24"/>
      <c r="F1043855" s="24"/>
      <c r="G1043855" s="24"/>
      <c r="H1043855" s="24"/>
      <c r="I1043855" s="24"/>
      <c r="J1043855" s="24"/>
      <c r="K1043855" s="54"/>
    </row>
    <row r="1043856" spans="1:11" s="55" customFormat="1" ht="12.75">
      <c r="A1043856" s="24"/>
      <c r="B1043856" s="24"/>
      <c r="C1043856" s="24"/>
      <c r="D1043856" s="24"/>
      <c r="E1043856" s="24"/>
      <c r="F1043856" s="24"/>
      <c r="G1043856" s="24"/>
      <c r="H1043856" s="24"/>
      <c r="I1043856" s="24"/>
      <c r="J1043856" s="24"/>
      <c r="K1043856" s="54"/>
    </row>
    <row r="1043857" spans="1:11" s="55" customFormat="1" ht="12.75">
      <c r="A1043857" s="24"/>
      <c r="B1043857" s="24"/>
      <c r="C1043857" s="24"/>
      <c r="D1043857" s="24"/>
      <c r="E1043857" s="24"/>
      <c r="F1043857" s="24"/>
      <c r="G1043857" s="24"/>
      <c r="H1043857" s="24"/>
      <c r="I1043857" s="24"/>
      <c r="J1043857" s="24"/>
      <c r="K1043857" s="54"/>
    </row>
    <row r="1043858" spans="1:11" s="55" customFormat="1" ht="12.75">
      <c r="A1043858" s="24"/>
      <c r="B1043858" s="24"/>
      <c r="C1043858" s="24"/>
      <c r="D1043858" s="24"/>
      <c r="E1043858" s="24"/>
      <c r="F1043858" s="24"/>
      <c r="G1043858" s="24"/>
      <c r="H1043858" s="24"/>
      <c r="I1043858" s="24"/>
      <c r="J1043858" s="24"/>
      <c r="K1043858" s="54"/>
    </row>
    <row r="1043859" spans="1:11" s="55" customFormat="1" ht="12.75">
      <c r="A1043859" s="24"/>
      <c r="B1043859" s="24"/>
      <c r="C1043859" s="24"/>
      <c r="D1043859" s="24"/>
      <c r="E1043859" s="24"/>
      <c r="F1043859" s="24"/>
      <c r="G1043859" s="24"/>
      <c r="H1043859" s="24"/>
      <c r="I1043859" s="24"/>
      <c r="J1043859" s="24"/>
      <c r="K1043859" s="54"/>
    </row>
    <row r="1043860" spans="1:11" s="55" customFormat="1" ht="12.75">
      <c r="A1043860" s="24"/>
      <c r="B1043860" s="24"/>
      <c r="C1043860" s="24"/>
      <c r="D1043860" s="24"/>
      <c r="E1043860" s="24"/>
      <c r="F1043860" s="24"/>
      <c r="G1043860" s="24"/>
      <c r="H1043860" s="24"/>
      <c r="I1043860" s="24"/>
      <c r="J1043860" s="24"/>
      <c r="K1043860" s="54"/>
    </row>
    <row r="1043861" spans="1:11" s="55" customFormat="1" ht="12.75">
      <c r="A1043861" s="24"/>
      <c r="B1043861" s="24"/>
      <c r="C1043861" s="24"/>
      <c r="D1043861" s="24"/>
      <c r="E1043861" s="24"/>
      <c r="F1043861" s="24"/>
      <c r="G1043861" s="24"/>
      <c r="H1043861" s="24"/>
      <c r="I1043861" s="24"/>
      <c r="J1043861" s="24"/>
      <c r="K1043861" s="54"/>
    </row>
    <row r="1043862" spans="1:11" s="55" customFormat="1" ht="12.75">
      <c r="A1043862" s="24"/>
      <c r="B1043862" s="24"/>
      <c r="C1043862" s="24"/>
      <c r="D1043862" s="24"/>
      <c r="E1043862" s="24"/>
      <c r="F1043862" s="24"/>
      <c r="G1043862" s="24"/>
      <c r="H1043862" s="24"/>
      <c r="I1043862" s="24"/>
      <c r="J1043862" s="24"/>
      <c r="K1043862" s="54"/>
    </row>
    <row r="1043863" spans="1:11" s="55" customFormat="1" ht="12.75">
      <c r="A1043863" s="24"/>
      <c r="B1043863" s="24"/>
      <c r="C1043863" s="24"/>
      <c r="D1043863" s="24"/>
      <c r="E1043863" s="24"/>
      <c r="F1043863" s="24"/>
      <c r="G1043863" s="24"/>
      <c r="H1043863" s="24"/>
      <c r="I1043863" s="24"/>
      <c r="J1043863" s="24"/>
      <c r="K1043863" s="54"/>
    </row>
    <row r="1043864" spans="1:11" s="55" customFormat="1" ht="12.75">
      <c r="A1043864" s="24"/>
      <c r="B1043864" s="24"/>
      <c r="C1043864" s="24"/>
      <c r="D1043864" s="24"/>
      <c r="E1043864" s="24"/>
      <c r="F1043864" s="24"/>
      <c r="G1043864" s="24"/>
      <c r="H1043864" s="24"/>
      <c r="I1043864" s="24"/>
      <c r="J1043864" s="24"/>
      <c r="K1043864" s="54"/>
    </row>
    <row r="1043865" spans="1:11" s="55" customFormat="1" ht="12.75">
      <c r="A1043865" s="24"/>
      <c r="B1043865" s="24"/>
      <c r="C1043865" s="24"/>
      <c r="D1043865" s="24"/>
      <c r="E1043865" s="24"/>
      <c r="F1043865" s="24"/>
      <c r="G1043865" s="24"/>
      <c r="H1043865" s="24"/>
      <c r="I1043865" s="24"/>
      <c r="J1043865" s="24"/>
      <c r="K1043865" s="54"/>
    </row>
    <row r="1043866" spans="1:11" s="55" customFormat="1" ht="12.75">
      <c r="A1043866" s="24"/>
      <c r="B1043866" s="24"/>
      <c r="C1043866" s="24"/>
      <c r="D1043866" s="24"/>
      <c r="E1043866" s="24"/>
      <c r="F1043866" s="24"/>
      <c r="G1043866" s="24"/>
      <c r="H1043866" s="24"/>
      <c r="I1043866" s="24"/>
      <c r="J1043866" s="24"/>
      <c r="K1043866" s="54"/>
    </row>
    <row r="1043867" spans="1:11" s="55" customFormat="1" ht="12.75">
      <c r="A1043867" s="24"/>
      <c r="B1043867" s="24"/>
      <c r="C1043867" s="24"/>
      <c r="D1043867" s="24"/>
      <c r="E1043867" s="24"/>
      <c r="F1043867" s="24"/>
      <c r="G1043867" s="24"/>
      <c r="H1043867" s="24"/>
      <c r="I1043867" s="24"/>
      <c r="J1043867" s="24"/>
      <c r="K1043867" s="54"/>
    </row>
    <row r="1043868" spans="1:11" s="55" customFormat="1" ht="12.75">
      <c r="A1043868" s="24"/>
      <c r="B1043868" s="24"/>
      <c r="C1043868" s="24"/>
      <c r="D1043868" s="24"/>
      <c r="E1043868" s="24"/>
      <c r="F1043868" s="24"/>
      <c r="G1043868" s="24"/>
      <c r="H1043868" s="24"/>
      <c r="I1043868" s="24"/>
      <c r="J1043868" s="24"/>
      <c r="K1043868" s="54"/>
    </row>
    <row r="1043869" spans="1:11" s="55" customFormat="1" ht="12.75">
      <c r="A1043869" s="24"/>
      <c r="B1043869" s="24"/>
      <c r="C1043869" s="24"/>
      <c r="D1043869" s="24"/>
      <c r="E1043869" s="24"/>
      <c r="F1043869" s="24"/>
      <c r="G1043869" s="24"/>
      <c r="H1043869" s="24"/>
      <c r="I1043869" s="24"/>
      <c r="J1043869" s="24"/>
      <c r="K1043869" s="54"/>
    </row>
    <row r="1043870" spans="1:11" s="55" customFormat="1" ht="12.75">
      <c r="A1043870" s="24"/>
      <c r="B1043870" s="24"/>
      <c r="C1043870" s="24"/>
      <c r="D1043870" s="24"/>
      <c r="E1043870" s="24"/>
      <c r="F1043870" s="24"/>
      <c r="G1043870" s="24"/>
      <c r="H1043870" s="24"/>
      <c r="I1043870" s="24"/>
      <c r="J1043870" s="24"/>
      <c r="K1043870" s="54"/>
    </row>
    <row r="1043871" spans="1:11" s="55" customFormat="1" ht="12.75">
      <c r="A1043871" s="24"/>
      <c r="B1043871" s="24"/>
      <c r="C1043871" s="24"/>
      <c r="D1043871" s="24"/>
      <c r="E1043871" s="24"/>
      <c r="F1043871" s="24"/>
      <c r="G1043871" s="24"/>
      <c r="H1043871" s="24"/>
      <c r="I1043871" s="24"/>
      <c r="J1043871" s="24"/>
      <c r="K1043871" s="54"/>
    </row>
    <row r="1043872" spans="1:11" s="55" customFormat="1" ht="12.75">
      <c r="A1043872" s="24"/>
      <c r="B1043872" s="24"/>
      <c r="C1043872" s="24"/>
      <c r="D1043872" s="24"/>
      <c r="E1043872" s="24"/>
      <c r="F1043872" s="24"/>
      <c r="G1043872" s="24"/>
      <c r="H1043872" s="24"/>
      <c r="I1043872" s="24"/>
      <c r="J1043872" s="24"/>
      <c r="K1043872" s="54"/>
    </row>
    <row r="1043873" spans="1:11" s="55" customFormat="1" ht="12.75">
      <c r="A1043873" s="24"/>
      <c r="B1043873" s="24"/>
      <c r="C1043873" s="24"/>
      <c r="D1043873" s="24"/>
      <c r="E1043873" s="24"/>
      <c r="F1043873" s="24"/>
      <c r="G1043873" s="24"/>
      <c r="H1043873" s="24"/>
      <c r="I1043873" s="24"/>
      <c r="J1043873" s="24"/>
      <c r="K1043873" s="54"/>
    </row>
    <row r="1043874" spans="1:11" s="55" customFormat="1" ht="12.75">
      <c r="A1043874" s="24"/>
      <c r="B1043874" s="24"/>
      <c r="C1043874" s="24"/>
      <c r="D1043874" s="24"/>
      <c r="E1043874" s="24"/>
      <c r="F1043874" s="24"/>
      <c r="G1043874" s="24"/>
      <c r="H1043874" s="24"/>
      <c r="I1043874" s="24"/>
      <c r="J1043874" s="24"/>
      <c r="K1043874" s="54"/>
    </row>
    <row r="1043875" spans="1:11" s="55" customFormat="1" ht="12.75">
      <c r="A1043875" s="24"/>
      <c r="B1043875" s="24"/>
      <c r="C1043875" s="24"/>
      <c r="D1043875" s="24"/>
      <c r="E1043875" s="24"/>
      <c r="F1043875" s="24"/>
      <c r="G1043875" s="24"/>
      <c r="H1043875" s="24"/>
      <c r="I1043875" s="24"/>
      <c r="J1043875" s="24"/>
      <c r="K1043875" s="54"/>
    </row>
    <row r="1043876" spans="1:11" s="55" customFormat="1" ht="12.75">
      <c r="A1043876" s="24"/>
      <c r="B1043876" s="24"/>
      <c r="C1043876" s="24"/>
      <c r="D1043876" s="24"/>
      <c r="E1043876" s="24"/>
      <c r="F1043876" s="24"/>
      <c r="G1043876" s="24"/>
      <c r="H1043876" s="24"/>
      <c r="I1043876" s="24"/>
      <c r="J1043876" s="24"/>
      <c r="K1043876" s="54"/>
    </row>
    <row r="1043877" spans="1:11" s="55" customFormat="1" ht="12.75">
      <c r="A1043877" s="24"/>
      <c r="B1043877" s="24"/>
      <c r="C1043877" s="24"/>
      <c r="D1043877" s="24"/>
      <c r="E1043877" s="24"/>
      <c r="F1043877" s="24"/>
      <c r="G1043877" s="24"/>
      <c r="H1043877" s="24"/>
      <c r="I1043877" s="24"/>
      <c r="J1043877" s="24"/>
      <c r="K1043877" s="54"/>
    </row>
    <row r="1043878" spans="1:11" s="55" customFormat="1" ht="12.75">
      <c r="A1043878" s="24"/>
      <c r="B1043878" s="24"/>
      <c r="C1043878" s="24"/>
      <c r="D1043878" s="24"/>
      <c r="E1043878" s="24"/>
      <c r="F1043878" s="24"/>
      <c r="G1043878" s="24"/>
      <c r="H1043878" s="24"/>
      <c r="I1043878" s="24"/>
      <c r="J1043878" s="24"/>
      <c r="K1043878" s="54"/>
    </row>
    <row r="1043879" spans="1:11" s="55" customFormat="1" ht="12.75">
      <c r="A1043879" s="24"/>
      <c r="B1043879" s="24"/>
      <c r="C1043879" s="24"/>
      <c r="D1043879" s="24"/>
      <c r="E1043879" s="24"/>
      <c r="F1043879" s="24"/>
      <c r="G1043879" s="24"/>
      <c r="H1043879" s="24"/>
      <c r="I1043879" s="24"/>
      <c r="J1043879" s="24"/>
      <c r="K1043879" s="54"/>
    </row>
    <row r="1043880" spans="1:11" s="55" customFormat="1" ht="12.75">
      <c r="A1043880" s="24"/>
      <c r="B1043880" s="24"/>
      <c r="C1043880" s="24"/>
      <c r="D1043880" s="24"/>
      <c r="E1043880" s="24"/>
      <c r="F1043880" s="24"/>
      <c r="G1043880" s="24"/>
      <c r="H1043880" s="24"/>
      <c r="I1043880" s="24"/>
      <c r="J1043880" s="24"/>
      <c r="K1043880" s="54"/>
    </row>
    <row r="1043881" spans="1:11" s="55" customFormat="1" ht="12.75">
      <c r="A1043881" s="24"/>
      <c r="B1043881" s="24"/>
      <c r="C1043881" s="24"/>
      <c r="D1043881" s="24"/>
      <c r="E1043881" s="24"/>
      <c r="F1043881" s="24"/>
      <c r="G1043881" s="24"/>
      <c r="H1043881" s="24"/>
      <c r="I1043881" s="24"/>
      <c r="J1043881" s="24"/>
      <c r="K1043881" s="54"/>
    </row>
    <row r="1043882" spans="1:11" s="55" customFormat="1" ht="12.75">
      <c r="A1043882" s="24"/>
      <c r="B1043882" s="24"/>
      <c r="C1043882" s="24"/>
      <c r="D1043882" s="24"/>
      <c r="E1043882" s="24"/>
      <c r="F1043882" s="24"/>
      <c r="G1043882" s="24"/>
      <c r="H1043882" s="24"/>
      <c r="I1043882" s="24"/>
      <c r="J1043882" s="24"/>
      <c r="K1043882" s="54"/>
    </row>
    <row r="1043883" spans="1:11" s="55" customFormat="1" ht="12.75">
      <c r="A1043883" s="24"/>
      <c r="B1043883" s="24"/>
      <c r="C1043883" s="24"/>
      <c r="D1043883" s="24"/>
      <c r="E1043883" s="24"/>
      <c r="F1043883" s="24"/>
      <c r="G1043883" s="24"/>
      <c r="H1043883" s="24"/>
      <c r="I1043883" s="24"/>
      <c r="J1043883" s="24"/>
      <c r="K1043883" s="54"/>
    </row>
    <row r="1043884" spans="1:11" s="55" customFormat="1" ht="12.75">
      <c r="A1043884" s="24"/>
      <c r="B1043884" s="24"/>
      <c r="C1043884" s="24"/>
      <c r="D1043884" s="24"/>
      <c r="E1043884" s="24"/>
      <c r="F1043884" s="24"/>
      <c r="G1043884" s="24"/>
      <c r="H1043884" s="24"/>
      <c r="I1043884" s="24"/>
      <c r="J1043884" s="24"/>
      <c r="K1043884" s="54"/>
    </row>
    <row r="1043885" spans="1:11" s="55" customFormat="1" ht="12.75">
      <c r="A1043885" s="24"/>
      <c r="B1043885" s="24"/>
      <c r="C1043885" s="24"/>
      <c r="D1043885" s="24"/>
      <c r="E1043885" s="24"/>
      <c r="F1043885" s="24"/>
      <c r="G1043885" s="24"/>
      <c r="H1043885" s="24"/>
      <c r="I1043885" s="24"/>
      <c r="J1043885" s="24"/>
      <c r="K1043885" s="54"/>
    </row>
    <row r="1043886" spans="1:11" s="55" customFormat="1" ht="12.75">
      <c r="A1043886" s="24"/>
      <c r="B1043886" s="24"/>
      <c r="C1043886" s="24"/>
      <c r="D1043886" s="24"/>
      <c r="E1043886" s="24"/>
      <c r="F1043886" s="24"/>
      <c r="G1043886" s="24"/>
      <c r="H1043886" s="24"/>
      <c r="I1043886" s="24"/>
      <c r="J1043886" s="24"/>
      <c r="K1043886" s="54"/>
    </row>
    <row r="1043887" spans="1:11" s="55" customFormat="1" ht="12.75">
      <c r="A1043887" s="24"/>
      <c r="B1043887" s="24"/>
      <c r="C1043887" s="24"/>
      <c r="D1043887" s="24"/>
      <c r="E1043887" s="24"/>
      <c r="F1043887" s="24"/>
      <c r="G1043887" s="24"/>
      <c r="H1043887" s="24"/>
      <c r="I1043887" s="24"/>
      <c r="J1043887" s="24"/>
      <c r="K1043887" s="54"/>
    </row>
    <row r="1043888" spans="1:11" s="55" customFormat="1" ht="12.75">
      <c r="A1043888" s="24"/>
      <c r="B1043888" s="24"/>
      <c r="C1043888" s="24"/>
      <c r="D1043888" s="24"/>
      <c r="E1043888" s="24"/>
      <c r="F1043888" s="24"/>
      <c r="G1043888" s="24"/>
      <c r="H1043888" s="24"/>
      <c r="I1043888" s="24"/>
      <c r="J1043888" s="24"/>
      <c r="K1043888" s="54"/>
    </row>
    <row r="1043889" spans="1:11" s="55" customFormat="1" ht="12.75">
      <c r="A1043889" s="24"/>
      <c r="B1043889" s="24"/>
      <c r="C1043889" s="24"/>
      <c r="D1043889" s="24"/>
      <c r="E1043889" s="24"/>
      <c r="F1043889" s="24"/>
      <c r="G1043889" s="24"/>
      <c r="H1043889" s="24"/>
      <c r="I1043889" s="24"/>
      <c r="J1043889" s="24"/>
      <c r="K1043889" s="54"/>
    </row>
    <row r="1043890" spans="1:11" s="55" customFormat="1" ht="12.75">
      <c r="A1043890" s="24"/>
      <c r="B1043890" s="24"/>
      <c r="C1043890" s="24"/>
      <c r="D1043890" s="24"/>
      <c r="E1043890" s="24"/>
      <c r="F1043890" s="24"/>
      <c r="G1043890" s="24"/>
      <c r="H1043890" s="24"/>
      <c r="I1043890" s="24"/>
      <c r="J1043890" s="24"/>
      <c r="K1043890" s="54"/>
    </row>
    <row r="1043891" spans="1:11" s="55" customFormat="1" ht="12.75">
      <c r="A1043891" s="24"/>
      <c r="B1043891" s="24"/>
      <c r="C1043891" s="24"/>
      <c r="D1043891" s="24"/>
      <c r="E1043891" s="24"/>
      <c r="F1043891" s="24"/>
      <c r="G1043891" s="24"/>
      <c r="H1043891" s="24"/>
      <c r="I1043891" s="24"/>
      <c r="J1043891" s="24"/>
      <c r="K1043891" s="54"/>
    </row>
    <row r="1043892" spans="1:11" s="55" customFormat="1" ht="12.75">
      <c r="A1043892" s="24"/>
      <c r="B1043892" s="24"/>
      <c r="C1043892" s="24"/>
      <c r="D1043892" s="24"/>
      <c r="E1043892" s="24"/>
      <c r="F1043892" s="24"/>
      <c r="G1043892" s="24"/>
      <c r="H1043892" s="24"/>
      <c r="I1043892" s="24"/>
      <c r="J1043892" s="24"/>
      <c r="K1043892" s="54"/>
    </row>
    <row r="1043893" spans="1:11" s="55" customFormat="1" ht="12.75">
      <c r="A1043893" s="24"/>
      <c r="B1043893" s="24"/>
      <c r="C1043893" s="24"/>
      <c r="D1043893" s="24"/>
      <c r="E1043893" s="24"/>
      <c r="F1043893" s="24"/>
      <c r="G1043893" s="24"/>
      <c r="H1043893" s="24"/>
      <c r="I1043893" s="24"/>
      <c r="J1043893" s="24"/>
      <c r="K1043893" s="54"/>
    </row>
    <row r="1043894" spans="1:11" s="55" customFormat="1" ht="12.75">
      <c r="A1043894" s="24"/>
      <c r="B1043894" s="24"/>
      <c r="C1043894" s="24"/>
      <c r="D1043894" s="24"/>
      <c r="E1043894" s="24"/>
      <c r="F1043894" s="24"/>
      <c r="G1043894" s="24"/>
      <c r="H1043894" s="24"/>
      <c r="I1043894" s="24"/>
      <c r="J1043894" s="24"/>
      <c r="K1043894" s="54"/>
    </row>
    <row r="1043895" spans="1:11" s="55" customFormat="1" ht="12.75">
      <c r="A1043895" s="24"/>
      <c r="B1043895" s="24"/>
      <c r="C1043895" s="24"/>
      <c r="D1043895" s="24"/>
      <c r="E1043895" s="24"/>
      <c r="F1043895" s="24"/>
      <c r="G1043895" s="24"/>
      <c r="H1043895" s="24"/>
      <c r="I1043895" s="24"/>
      <c r="J1043895" s="24"/>
      <c r="K1043895" s="54"/>
    </row>
    <row r="1043896" spans="1:11" s="55" customFormat="1" ht="12.75">
      <c r="A1043896" s="24"/>
      <c r="B1043896" s="24"/>
      <c r="C1043896" s="24"/>
      <c r="D1043896" s="24"/>
      <c r="E1043896" s="24"/>
      <c r="F1043896" s="24"/>
      <c r="G1043896" s="24"/>
      <c r="H1043896" s="24"/>
      <c r="I1043896" s="24"/>
      <c r="J1043896" s="24"/>
      <c r="K1043896" s="54"/>
    </row>
    <row r="1043897" spans="1:11" s="55" customFormat="1" ht="12.75">
      <c r="A1043897" s="24"/>
      <c r="B1043897" s="24"/>
      <c r="C1043897" s="24"/>
      <c r="D1043897" s="24"/>
      <c r="E1043897" s="24"/>
      <c r="F1043897" s="24"/>
      <c r="G1043897" s="24"/>
      <c r="H1043897" s="24"/>
      <c r="I1043897" s="24"/>
      <c r="J1043897" s="24"/>
      <c r="K1043897" s="54"/>
    </row>
    <row r="1043898" spans="1:11" s="55" customFormat="1" ht="12.75">
      <c r="A1043898" s="24"/>
      <c r="B1043898" s="24"/>
      <c r="C1043898" s="24"/>
      <c r="D1043898" s="24"/>
      <c r="E1043898" s="24"/>
      <c r="F1043898" s="24"/>
      <c r="G1043898" s="24"/>
      <c r="H1043898" s="24"/>
      <c r="I1043898" s="24"/>
      <c r="J1043898" s="24"/>
      <c r="K1043898" s="54"/>
    </row>
    <row r="1043899" spans="1:11" s="55" customFormat="1" ht="12.75">
      <c r="A1043899" s="24"/>
      <c r="B1043899" s="24"/>
      <c r="C1043899" s="24"/>
      <c r="D1043899" s="24"/>
      <c r="E1043899" s="24"/>
      <c r="F1043899" s="24"/>
      <c r="G1043899" s="24"/>
      <c r="H1043899" s="24"/>
      <c r="I1043899" s="24"/>
      <c r="J1043899" s="24"/>
      <c r="K1043899" s="54"/>
    </row>
    <row r="1043900" spans="1:11" s="55" customFormat="1" ht="12.75">
      <c r="A1043900" s="24"/>
      <c r="B1043900" s="24"/>
      <c r="C1043900" s="24"/>
      <c r="D1043900" s="24"/>
      <c r="E1043900" s="24"/>
      <c r="F1043900" s="24"/>
      <c r="G1043900" s="24"/>
      <c r="H1043900" s="24"/>
      <c r="I1043900" s="24"/>
      <c r="J1043900" s="24"/>
      <c r="K1043900" s="54"/>
    </row>
    <row r="1043901" spans="1:11" s="55" customFormat="1" ht="12.75">
      <c r="A1043901" s="24"/>
      <c r="B1043901" s="24"/>
      <c r="C1043901" s="24"/>
      <c r="D1043901" s="24"/>
      <c r="E1043901" s="24"/>
      <c r="F1043901" s="24"/>
      <c r="G1043901" s="24"/>
      <c r="H1043901" s="24"/>
      <c r="I1043901" s="24"/>
      <c r="J1043901" s="24"/>
      <c r="K1043901" s="54"/>
    </row>
    <row r="1043902" spans="1:11" s="55" customFormat="1" ht="12.75">
      <c r="A1043902" s="24"/>
      <c r="B1043902" s="24"/>
      <c r="C1043902" s="24"/>
      <c r="D1043902" s="24"/>
      <c r="E1043902" s="24"/>
      <c r="F1043902" s="24"/>
      <c r="G1043902" s="24"/>
      <c r="H1043902" s="24"/>
      <c r="I1043902" s="24"/>
      <c r="J1043902" s="24"/>
      <c r="K1043902" s="54"/>
    </row>
    <row r="1043903" spans="1:11" s="55" customFormat="1" ht="12.75">
      <c r="A1043903" s="24"/>
      <c r="B1043903" s="24"/>
      <c r="C1043903" s="24"/>
      <c r="D1043903" s="24"/>
      <c r="E1043903" s="24"/>
      <c r="F1043903" s="24"/>
      <c r="G1043903" s="24"/>
      <c r="H1043903" s="24"/>
      <c r="I1043903" s="24"/>
      <c r="J1043903" s="24"/>
      <c r="K1043903" s="54"/>
    </row>
    <row r="1043904" spans="1:11" s="55" customFormat="1" ht="12.75">
      <c r="A1043904" s="24"/>
      <c r="B1043904" s="24"/>
      <c r="C1043904" s="24"/>
      <c r="D1043904" s="24"/>
      <c r="E1043904" s="24"/>
      <c r="F1043904" s="24"/>
      <c r="G1043904" s="24"/>
      <c r="H1043904" s="24"/>
      <c r="I1043904" s="24"/>
      <c r="J1043904" s="24"/>
      <c r="K1043904" s="54"/>
    </row>
    <row r="1043905" spans="1:11" s="55" customFormat="1" ht="12.75">
      <c r="A1043905" s="24"/>
      <c r="B1043905" s="24"/>
      <c r="C1043905" s="24"/>
      <c r="D1043905" s="24"/>
      <c r="E1043905" s="24"/>
      <c r="F1043905" s="24"/>
      <c r="G1043905" s="24"/>
      <c r="H1043905" s="24"/>
      <c r="I1043905" s="24"/>
      <c r="J1043905" s="24"/>
      <c r="K1043905" s="54"/>
    </row>
    <row r="1043906" spans="1:11" s="55" customFormat="1" ht="12.75">
      <c r="A1043906" s="24"/>
      <c r="B1043906" s="24"/>
      <c r="C1043906" s="24"/>
      <c r="D1043906" s="24"/>
      <c r="E1043906" s="24"/>
      <c r="F1043906" s="24"/>
      <c r="G1043906" s="24"/>
      <c r="H1043906" s="24"/>
      <c r="I1043906" s="24"/>
      <c r="J1043906" s="24"/>
      <c r="K1043906" s="54"/>
    </row>
    <row r="1043907" spans="1:11" s="55" customFormat="1" ht="12.75">
      <c r="A1043907" s="24"/>
      <c r="B1043907" s="24"/>
      <c r="C1043907" s="24"/>
      <c r="D1043907" s="24"/>
      <c r="E1043907" s="24"/>
      <c r="F1043907" s="24"/>
      <c r="G1043907" s="24"/>
      <c r="H1043907" s="24"/>
      <c r="I1043907" s="24"/>
      <c r="J1043907" s="24"/>
      <c r="K1043907" s="54"/>
    </row>
    <row r="1043908" spans="1:11" s="55" customFormat="1" ht="12.75">
      <c r="A1043908" s="24"/>
      <c r="B1043908" s="24"/>
      <c r="C1043908" s="24"/>
      <c r="D1043908" s="24"/>
      <c r="E1043908" s="24"/>
      <c r="F1043908" s="24"/>
      <c r="G1043908" s="24"/>
      <c r="H1043908" s="24"/>
      <c r="I1043908" s="24"/>
      <c r="J1043908" s="24"/>
      <c r="K1043908" s="54"/>
    </row>
    <row r="1043909" spans="1:11" s="55" customFormat="1" ht="12.75">
      <c r="A1043909" s="24"/>
      <c r="B1043909" s="24"/>
      <c r="C1043909" s="24"/>
      <c r="D1043909" s="24"/>
      <c r="E1043909" s="24"/>
      <c r="F1043909" s="24"/>
      <c r="G1043909" s="24"/>
      <c r="H1043909" s="24"/>
      <c r="I1043909" s="24"/>
      <c r="J1043909" s="24"/>
      <c r="K1043909" s="54"/>
    </row>
    <row r="1043910" spans="1:11" s="55" customFormat="1" ht="12.75">
      <c r="A1043910" s="24"/>
      <c r="B1043910" s="24"/>
      <c r="C1043910" s="24"/>
      <c r="D1043910" s="24"/>
      <c r="E1043910" s="24"/>
      <c r="F1043910" s="24"/>
      <c r="G1043910" s="24"/>
      <c r="H1043910" s="24"/>
      <c r="I1043910" s="24"/>
      <c r="J1043910" s="24"/>
      <c r="K1043910" s="54"/>
    </row>
    <row r="1043911" spans="1:11" s="55" customFormat="1" ht="12.75">
      <c r="A1043911" s="24"/>
      <c r="B1043911" s="24"/>
      <c r="C1043911" s="24"/>
      <c r="D1043911" s="24"/>
      <c r="E1043911" s="24"/>
      <c r="F1043911" s="24"/>
      <c r="G1043911" s="24"/>
      <c r="H1043911" s="24"/>
      <c r="I1043911" s="24"/>
      <c r="J1043911" s="24"/>
      <c r="K1043911" s="54"/>
    </row>
    <row r="1043912" spans="1:11" s="55" customFormat="1" ht="12.75">
      <c r="A1043912" s="24"/>
      <c r="B1043912" s="24"/>
      <c r="C1043912" s="24"/>
      <c r="D1043912" s="24"/>
      <c r="E1043912" s="24"/>
      <c r="F1043912" s="24"/>
      <c r="G1043912" s="24"/>
      <c r="H1043912" s="24"/>
      <c r="I1043912" s="24"/>
      <c r="J1043912" s="24"/>
      <c r="K1043912" s="54"/>
    </row>
    <row r="1043913" spans="1:11" s="55" customFormat="1" ht="12.75">
      <c r="A1043913" s="24"/>
      <c r="B1043913" s="24"/>
      <c r="C1043913" s="24"/>
      <c r="D1043913" s="24"/>
      <c r="E1043913" s="24"/>
      <c r="F1043913" s="24"/>
      <c r="G1043913" s="24"/>
      <c r="H1043913" s="24"/>
      <c r="I1043913" s="24"/>
      <c r="J1043913" s="24"/>
      <c r="K1043913" s="54"/>
    </row>
    <row r="1043914" spans="1:11" s="55" customFormat="1" ht="12.75">
      <c r="A1043914" s="24"/>
      <c r="B1043914" s="24"/>
      <c r="C1043914" s="24"/>
      <c r="D1043914" s="24"/>
      <c r="E1043914" s="24"/>
      <c r="F1043914" s="24"/>
      <c r="G1043914" s="24"/>
      <c r="H1043914" s="24"/>
      <c r="I1043914" s="24"/>
      <c r="J1043914" s="24"/>
      <c r="K1043914" s="54"/>
    </row>
    <row r="1043915" spans="1:11" s="55" customFormat="1" ht="12.75">
      <c r="A1043915" s="24"/>
      <c r="B1043915" s="24"/>
      <c r="C1043915" s="24"/>
      <c r="D1043915" s="24"/>
      <c r="E1043915" s="24"/>
      <c r="F1043915" s="24"/>
      <c r="G1043915" s="24"/>
      <c r="H1043915" s="24"/>
      <c r="I1043915" s="24"/>
      <c r="J1043915" s="24"/>
      <c r="K1043915" s="54"/>
    </row>
    <row r="1043916" spans="1:11" s="55" customFormat="1" ht="12.75">
      <c r="A1043916" s="24"/>
      <c r="B1043916" s="24"/>
      <c r="C1043916" s="24"/>
      <c r="D1043916" s="24"/>
      <c r="E1043916" s="24"/>
      <c r="F1043916" s="24"/>
      <c r="G1043916" s="24"/>
      <c r="H1043916" s="24"/>
      <c r="I1043916" s="24"/>
      <c r="J1043916" s="24"/>
      <c r="K1043916" s="54"/>
    </row>
    <row r="1043917" spans="1:11" s="55" customFormat="1" ht="12.75">
      <c r="A1043917" s="24"/>
      <c r="B1043917" s="24"/>
      <c r="C1043917" s="24"/>
      <c r="D1043917" s="24"/>
      <c r="E1043917" s="24"/>
      <c r="F1043917" s="24"/>
      <c r="G1043917" s="24"/>
      <c r="H1043917" s="24"/>
      <c r="I1043917" s="24"/>
      <c r="J1043917" s="24"/>
      <c r="K1043917" s="54"/>
    </row>
    <row r="1043918" spans="1:11" s="55" customFormat="1" ht="12.75">
      <c r="A1043918" s="24"/>
      <c r="B1043918" s="24"/>
      <c r="C1043918" s="24"/>
      <c r="D1043918" s="24"/>
      <c r="E1043918" s="24"/>
      <c r="F1043918" s="24"/>
      <c r="G1043918" s="24"/>
      <c r="H1043918" s="24"/>
      <c r="I1043918" s="24"/>
      <c r="J1043918" s="24"/>
      <c r="K1043918" s="54"/>
    </row>
    <row r="1043919" spans="1:11" s="55" customFormat="1" ht="12.75">
      <c r="A1043919" s="24"/>
      <c r="B1043919" s="24"/>
      <c r="C1043919" s="24"/>
      <c r="D1043919" s="24"/>
      <c r="E1043919" s="24"/>
      <c r="F1043919" s="24"/>
      <c r="G1043919" s="24"/>
      <c r="H1043919" s="24"/>
      <c r="I1043919" s="24"/>
      <c r="J1043919" s="24"/>
      <c r="K1043919" s="54"/>
    </row>
    <row r="1043920" spans="1:11" s="55" customFormat="1" ht="12.75">
      <c r="A1043920" s="24"/>
      <c r="B1043920" s="24"/>
      <c r="C1043920" s="24"/>
      <c r="D1043920" s="24"/>
      <c r="E1043920" s="24"/>
      <c r="F1043920" s="24"/>
      <c r="G1043920" s="24"/>
      <c r="H1043920" s="24"/>
      <c r="I1043920" s="24"/>
      <c r="J1043920" s="24"/>
      <c r="K1043920" s="54"/>
    </row>
    <row r="1043921" spans="1:11" s="55" customFormat="1" ht="12.75">
      <c r="A1043921" s="24"/>
      <c r="B1043921" s="24"/>
      <c r="C1043921" s="24"/>
      <c r="D1043921" s="24"/>
      <c r="E1043921" s="24"/>
      <c r="F1043921" s="24"/>
      <c r="G1043921" s="24"/>
      <c r="H1043921" s="24"/>
      <c r="I1043921" s="24"/>
      <c r="J1043921" s="24"/>
      <c r="K1043921" s="54"/>
    </row>
    <row r="1043922" spans="1:11" s="55" customFormat="1" ht="12.75">
      <c r="A1043922" s="24"/>
      <c r="B1043922" s="24"/>
      <c r="C1043922" s="24"/>
      <c r="D1043922" s="24"/>
      <c r="E1043922" s="24"/>
      <c r="F1043922" s="24"/>
      <c r="G1043922" s="24"/>
      <c r="H1043922" s="24"/>
      <c r="I1043922" s="24"/>
      <c r="J1043922" s="24"/>
      <c r="K1043922" s="54"/>
    </row>
    <row r="1043923" spans="1:11" s="55" customFormat="1" ht="12.75">
      <c r="A1043923" s="24"/>
      <c r="B1043923" s="24"/>
      <c r="C1043923" s="24"/>
      <c r="D1043923" s="24"/>
      <c r="E1043923" s="24"/>
      <c r="F1043923" s="24"/>
      <c r="G1043923" s="24"/>
      <c r="H1043923" s="24"/>
      <c r="I1043923" s="24"/>
      <c r="J1043923" s="24"/>
      <c r="K1043923" s="54"/>
    </row>
    <row r="1043924" spans="1:11" s="55" customFormat="1" ht="12.75">
      <c r="A1043924" s="24"/>
      <c r="B1043924" s="24"/>
      <c r="C1043924" s="24"/>
      <c r="D1043924" s="24"/>
      <c r="E1043924" s="24"/>
      <c r="F1043924" s="24"/>
      <c r="G1043924" s="24"/>
      <c r="H1043924" s="24"/>
      <c r="I1043924" s="24"/>
      <c r="J1043924" s="24"/>
      <c r="K1043924" s="54"/>
    </row>
    <row r="1043925" spans="1:11" s="55" customFormat="1" ht="12.75">
      <c r="A1043925" s="24"/>
      <c r="B1043925" s="24"/>
      <c r="C1043925" s="24"/>
      <c r="D1043925" s="24"/>
      <c r="E1043925" s="24"/>
      <c r="F1043925" s="24"/>
      <c r="G1043925" s="24"/>
      <c r="H1043925" s="24"/>
      <c r="I1043925" s="24"/>
      <c r="J1043925" s="24"/>
      <c r="K1043925" s="54"/>
    </row>
    <row r="1043926" spans="1:11" s="55" customFormat="1" ht="12.75">
      <c r="A1043926" s="24"/>
      <c r="B1043926" s="24"/>
      <c r="C1043926" s="24"/>
      <c r="D1043926" s="24"/>
      <c r="E1043926" s="24"/>
      <c r="F1043926" s="24"/>
      <c r="G1043926" s="24"/>
      <c r="H1043926" s="24"/>
      <c r="I1043926" s="24"/>
      <c r="J1043926" s="24"/>
      <c r="K1043926" s="54"/>
    </row>
    <row r="1043927" spans="1:11" s="55" customFormat="1" ht="12.75">
      <c r="A1043927" s="24"/>
      <c r="B1043927" s="24"/>
      <c r="C1043927" s="24"/>
      <c r="D1043927" s="24"/>
      <c r="E1043927" s="24"/>
      <c r="F1043927" s="24"/>
      <c r="G1043927" s="24"/>
      <c r="H1043927" s="24"/>
      <c r="I1043927" s="24"/>
      <c r="J1043927" s="24"/>
      <c r="K1043927" s="54"/>
    </row>
    <row r="1043928" spans="1:11" s="55" customFormat="1" ht="12.75">
      <c r="A1043928" s="24"/>
      <c r="B1043928" s="24"/>
      <c r="C1043928" s="24"/>
      <c r="D1043928" s="24"/>
      <c r="E1043928" s="24"/>
      <c r="F1043928" s="24"/>
      <c r="G1043928" s="24"/>
      <c r="H1043928" s="24"/>
      <c r="I1043928" s="24"/>
      <c r="J1043928" s="24"/>
      <c r="K1043928" s="54"/>
    </row>
    <row r="1043929" spans="1:11" s="55" customFormat="1" ht="12.75">
      <c r="A1043929" s="24"/>
      <c r="B1043929" s="24"/>
      <c r="C1043929" s="24"/>
      <c r="D1043929" s="24"/>
      <c r="E1043929" s="24"/>
      <c r="F1043929" s="24"/>
      <c r="G1043929" s="24"/>
      <c r="H1043929" s="24"/>
      <c r="I1043929" s="24"/>
      <c r="J1043929" s="24"/>
      <c r="K1043929" s="54"/>
    </row>
    <row r="1043930" spans="1:11" s="55" customFormat="1" ht="12.75">
      <c r="A1043930" s="24"/>
      <c r="B1043930" s="24"/>
      <c r="C1043930" s="24"/>
      <c r="D1043930" s="24"/>
      <c r="E1043930" s="24"/>
      <c r="F1043930" s="24"/>
      <c r="G1043930" s="24"/>
      <c r="H1043930" s="24"/>
      <c r="I1043930" s="24"/>
      <c r="J1043930" s="24"/>
      <c r="K1043930" s="54"/>
    </row>
    <row r="1043931" spans="1:11" s="55" customFormat="1" ht="12.75">
      <c r="A1043931" s="24"/>
      <c r="B1043931" s="24"/>
      <c r="C1043931" s="24"/>
      <c r="D1043931" s="24"/>
      <c r="E1043931" s="24"/>
      <c r="F1043931" s="24"/>
      <c r="G1043931" s="24"/>
      <c r="H1043931" s="24"/>
      <c r="I1043931" s="24"/>
      <c r="J1043931" s="24"/>
      <c r="K1043931" s="54"/>
    </row>
    <row r="1043932" spans="1:11" s="55" customFormat="1" ht="12.75">
      <c r="A1043932" s="24"/>
      <c r="B1043932" s="24"/>
      <c r="C1043932" s="24"/>
      <c r="D1043932" s="24"/>
      <c r="E1043932" s="24"/>
      <c r="F1043932" s="24"/>
      <c r="G1043932" s="24"/>
      <c r="H1043932" s="24"/>
      <c r="I1043932" s="24"/>
      <c r="J1043932" s="24"/>
      <c r="K1043932" s="54"/>
    </row>
    <row r="1043933" spans="1:11" s="55" customFormat="1" ht="12.75">
      <c r="A1043933" s="24"/>
      <c r="B1043933" s="24"/>
      <c r="C1043933" s="24"/>
      <c r="D1043933" s="24"/>
      <c r="E1043933" s="24"/>
      <c r="F1043933" s="24"/>
      <c r="G1043933" s="24"/>
      <c r="H1043933" s="24"/>
      <c r="I1043933" s="24"/>
      <c r="J1043933" s="24"/>
      <c r="K1043933" s="54"/>
    </row>
    <row r="1043934" spans="1:11" s="55" customFormat="1" ht="12.75">
      <c r="A1043934" s="24"/>
      <c r="B1043934" s="24"/>
      <c r="C1043934" s="24"/>
      <c r="D1043934" s="24"/>
      <c r="E1043934" s="24"/>
      <c r="F1043934" s="24"/>
      <c r="G1043934" s="24"/>
      <c r="H1043934" s="24"/>
      <c r="I1043934" s="24"/>
      <c r="J1043934" s="24"/>
      <c r="K1043934" s="54"/>
    </row>
    <row r="1043935" spans="1:11" s="55" customFormat="1" ht="12.75">
      <c r="A1043935" s="24"/>
      <c r="B1043935" s="24"/>
      <c r="C1043935" s="24"/>
      <c r="D1043935" s="24"/>
      <c r="E1043935" s="24"/>
      <c r="F1043935" s="24"/>
      <c r="G1043935" s="24"/>
      <c r="H1043935" s="24"/>
      <c r="I1043935" s="24"/>
      <c r="J1043935" s="24"/>
      <c r="K1043935" s="54"/>
    </row>
    <row r="1043936" spans="1:11" s="55" customFormat="1" ht="12.75">
      <c r="A1043936" s="24"/>
      <c r="B1043936" s="24"/>
      <c r="C1043936" s="24"/>
      <c r="D1043936" s="24"/>
      <c r="E1043936" s="24"/>
      <c r="F1043936" s="24"/>
      <c r="G1043936" s="24"/>
      <c r="H1043936" s="24"/>
      <c r="I1043936" s="24"/>
      <c r="J1043936" s="24"/>
      <c r="K1043936" s="54"/>
    </row>
    <row r="1043937" spans="1:11" s="55" customFormat="1" ht="12.75">
      <c r="A1043937" s="24"/>
      <c r="B1043937" s="24"/>
      <c r="C1043937" s="24"/>
      <c r="D1043937" s="24"/>
      <c r="E1043937" s="24"/>
      <c r="F1043937" s="24"/>
      <c r="G1043937" s="24"/>
      <c r="H1043937" s="24"/>
      <c r="I1043937" s="24"/>
      <c r="J1043937" s="24"/>
      <c r="K1043937" s="54"/>
    </row>
    <row r="1043938" spans="1:11" s="55" customFormat="1" ht="12.75">
      <c r="A1043938" s="24"/>
      <c r="B1043938" s="24"/>
      <c r="C1043938" s="24"/>
      <c r="D1043938" s="24"/>
      <c r="E1043938" s="24"/>
      <c r="F1043938" s="24"/>
      <c r="G1043938" s="24"/>
      <c r="H1043938" s="24"/>
      <c r="I1043938" s="24"/>
      <c r="J1043938" s="24"/>
      <c r="K1043938" s="54"/>
    </row>
    <row r="1043939" spans="1:11" s="55" customFormat="1" ht="12.75">
      <c r="A1043939" s="24"/>
      <c r="B1043939" s="24"/>
      <c r="C1043939" s="24"/>
      <c r="D1043939" s="24"/>
      <c r="E1043939" s="24"/>
      <c r="F1043939" s="24"/>
      <c r="G1043939" s="24"/>
      <c r="H1043939" s="24"/>
      <c r="I1043939" s="24"/>
      <c r="J1043939" s="24"/>
      <c r="K1043939" s="54"/>
    </row>
    <row r="1043940" spans="1:11" s="55" customFormat="1" ht="12.75">
      <c r="A1043940" s="24"/>
      <c r="B1043940" s="24"/>
      <c r="C1043940" s="24"/>
      <c r="D1043940" s="24"/>
      <c r="E1043940" s="24"/>
      <c r="F1043940" s="24"/>
      <c r="G1043940" s="24"/>
      <c r="H1043940" s="24"/>
      <c r="I1043940" s="24"/>
      <c r="J1043940" s="24"/>
      <c r="K1043940" s="54"/>
    </row>
    <row r="1043941" spans="1:11" s="55" customFormat="1" ht="12.75">
      <c r="A1043941" s="24"/>
      <c r="B1043941" s="24"/>
      <c r="C1043941" s="24"/>
      <c r="D1043941" s="24"/>
      <c r="E1043941" s="24"/>
      <c r="F1043941" s="24"/>
      <c r="G1043941" s="24"/>
      <c r="H1043941" s="24"/>
      <c r="I1043941" s="24"/>
      <c r="J1043941" s="24"/>
      <c r="K1043941" s="54"/>
    </row>
    <row r="1043942" spans="1:11" s="55" customFormat="1" ht="12.75">
      <c r="A1043942" s="24"/>
      <c r="B1043942" s="24"/>
      <c r="C1043942" s="24"/>
      <c r="D1043942" s="24"/>
      <c r="E1043942" s="24"/>
      <c r="F1043942" s="24"/>
      <c r="G1043942" s="24"/>
      <c r="H1043942" s="24"/>
      <c r="I1043942" s="24"/>
      <c r="J1043942" s="24"/>
      <c r="K1043942" s="54"/>
    </row>
    <row r="1043943" spans="1:11" s="55" customFormat="1" ht="12.75">
      <c r="A1043943" s="24"/>
      <c r="B1043943" s="24"/>
      <c r="C1043943" s="24"/>
      <c r="D1043943" s="24"/>
      <c r="E1043943" s="24"/>
      <c r="F1043943" s="24"/>
      <c r="G1043943" s="24"/>
      <c r="H1043943" s="24"/>
      <c r="I1043943" s="24"/>
      <c r="J1043943" s="24"/>
      <c r="K1043943" s="54"/>
    </row>
    <row r="1043944" spans="1:11" s="55" customFormat="1" ht="12.75">
      <c r="A1043944" s="24"/>
      <c r="B1043944" s="24"/>
      <c r="C1043944" s="24"/>
      <c r="D1043944" s="24"/>
      <c r="E1043944" s="24"/>
      <c r="F1043944" s="24"/>
      <c r="G1043944" s="24"/>
      <c r="H1043944" s="24"/>
      <c r="I1043944" s="24"/>
      <c r="J1043944" s="24"/>
      <c r="K1043944" s="54"/>
    </row>
    <row r="1043945" spans="1:11" s="55" customFormat="1" ht="12.75">
      <c r="A1043945" s="24"/>
      <c r="B1043945" s="24"/>
      <c r="C1043945" s="24"/>
      <c r="D1043945" s="24"/>
      <c r="E1043945" s="24"/>
      <c r="F1043945" s="24"/>
      <c r="G1043945" s="24"/>
      <c r="H1043945" s="24"/>
      <c r="I1043945" s="24"/>
      <c r="J1043945" s="24"/>
      <c r="K1043945" s="54"/>
    </row>
    <row r="1043946" spans="1:11" s="55" customFormat="1" ht="12.75">
      <c r="A1043946" s="24"/>
      <c r="B1043946" s="24"/>
      <c r="C1043946" s="24"/>
      <c r="D1043946" s="24"/>
      <c r="E1043946" s="24"/>
      <c r="F1043946" s="24"/>
      <c r="G1043946" s="24"/>
      <c r="H1043946" s="24"/>
      <c r="I1043946" s="24"/>
      <c r="J1043946" s="24"/>
      <c r="K1043946" s="54"/>
    </row>
    <row r="1043947" spans="1:11" s="55" customFormat="1" ht="12.75">
      <c r="A1043947" s="24"/>
      <c r="B1043947" s="24"/>
      <c r="C1043947" s="24"/>
      <c r="D1043947" s="24"/>
      <c r="E1043947" s="24"/>
      <c r="F1043947" s="24"/>
      <c r="G1043947" s="24"/>
      <c r="H1043947" s="24"/>
      <c r="I1043947" s="24"/>
      <c r="J1043947" s="24"/>
      <c r="K1043947" s="54"/>
    </row>
    <row r="1043948" spans="1:11" s="55" customFormat="1" ht="12.75">
      <c r="A1043948" s="24"/>
      <c r="B1043948" s="24"/>
      <c r="C1043948" s="24"/>
      <c r="D1043948" s="24"/>
      <c r="E1043948" s="24"/>
      <c r="F1043948" s="24"/>
      <c r="G1043948" s="24"/>
      <c r="H1043948" s="24"/>
      <c r="I1043948" s="24"/>
      <c r="J1043948" s="24"/>
      <c r="K1043948" s="54"/>
    </row>
    <row r="1043949" spans="1:11" s="55" customFormat="1" ht="12.75">
      <c r="A1043949" s="24"/>
      <c r="B1043949" s="24"/>
      <c r="C1043949" s="24"/>
      <c r="D1043949" s="24"/>
      <c r="E1043949" s="24"/>
      <c r="F1043949" s="24"/>
      <c r="G1043949" s="24"/>
      <c r="H1043949" s="24"/>
      <c r="I1043949" s="24"/>
      <c r="J1043949" s="24"/>
      <c r="K1043949" s="54"/>
    </row>
    <row r="1043950" spans="1:11" s="55" customFormat="1" ht="12.75">
      <c r="A1043950" s="24"/>
      <c r="B1043950" s="24"/>
      <c r="C1043950" s="24"/>
      <c r="D1043950" s="24"/>
      <c r="E1043950" s="24"/>
      <c r="F1043950" s="24"/>
      <c r="G1043950" s="24"/>
      <c r="H1043950" s="24"/>
      <c r="I1043950" s="24"/>
      <c r="J1043950" s="24"/>
      <c r="K1043950" s="54"/>
    </row>
    <row r="1043951" spans="1:11" s="55" customFormat="1" ht="12.75">
      <c r="A1043951" s="24"/>
      <c r="B1043951" s="24"/>
      <c r="C1043951" s="24"/>
      <c r="D1043951" s="24"/>
      <c r="E1043951" s="24"/>
      <c r="F1043951" s="24"/>
      <c r="G1043951" s="24"/>
      <c r="H1043951" s="24"/>
      <c r="I1043951" s="24"/>
      <c r="J1043951" s="24"/>
      <c r="K1043951" s="54"/>
    </row>
    <row r="1043952" spans="1:11" s="55" customFormat="1" ht="12.75">
      <c r="A1043952" s="24"/>
      <c r="B1043952" s="24"/>
      <c r="C1043952" s="24"/>
      <c r="D1043952" s="24"/>
      <c r="E1043952" s="24"/>
      <c r="F1043952" s="24"/>
      <c r="G1043952" s="24"/>
      <c r="H1043952" s="24"/>
      <c r="I1043952" s="24"/>
      <c r="J1043952" s="24"/>
      <c r="K1043952" s="54"/>
    </row>
    <row r="1043953" spans="1:11" s="55" customFormat="1" ht="12.75">
      <c r="A1043953" s="24"/>
      <c r="B1043953" s="24"/>
      <c r="C1043953" s="24"/>
      <c r="D1043953" s="24"/>
      <c r="E1043953" s="24"/>
      <c r="F1043953" s="24"/>
      <c r="G1043953" s="24"/>
      <c r="H1043953" s="24"/>
      <c r="I1043953" s="24"/>
      <c r="J1043953" s="24"/>
      <c r="K1043953" s="54"/>
    </row>
    <row r="1043954" spans="1:11" s="55" customFormat="1" ht="12.75">
      <c r="A1043954" s="24"/>
      <c r="B1043954" s="24"/>
      <c r="C1043954" s="24"/>
      <c r="D1043954" s="24"/>
      <c r="E1043954" s="24"/>
      <c r="F1043954" s="24"/>
      <c r="G1043954" s="24"/>
      <c r="H1043954" s="24"/>
      <c r="I1043954" s="24"/>
      <c r="J1043954" s="24"/>
      <c r="K1043954" s="54"/>
    </row>
    <row r="1043955" spans="1:11" s="55" customFormat="1" ht="12.75">
      <c r="A1043955" s="24"/>
      <c r="B1043955" s="24"/>
      <c r="C1043955" s="24"/>
      <c r="D1043955" s="24"/>
      <c r="E1043955" s="24"/>
      <c r="F1043955" s="24"/>
      <c r="G1043955" s="24"/>
      <c r="H1043955" s="24"/>
      <c r="I1043955" s="24"/>
      <c r="J1043955" s="24"/>
      <c r="K1043955" s="54"/>
    </row>
    <row r="1043956" spans="1:11" s="55" customFormat="1" ht="12.75">
      <c r="A1043956" s="24"/>
      <c r="B1043956" s="24"/>
      <c r="C1043956" s="24"/>
      <c r="D1043956" s="24"/>
      <c r="E1043956" s="24"/>
      <c r="F1043956" s="24"/>
      <c r="G1043956" s="24"/>
      <c r="H1043956" s="24"/>
      <c r="I1043956" s="24"/>
      <c r="J1043956" s="24"/>
      <c r="K1043956" s="54"/>
    </row>
    <row r="1043957" spans="1:11" s="55" customFormat="1" ht="12.75">
      <c r="A1043957" s="24"/>
      <c r="B1043957" s="24"/>
      <c r="C1043957" s="24"/>
      <c r="D1043957" s="24"/>
      <c r="E1043957" s="24"/>
      <c r="F1043957" s="24"/>
      <c r="G1043957" s="24"/>
      <c r="H1043957" s="24"/>
      <c r="I1043957" s="24"/>
      <c r="J1043957" s="24"/>
      <c r="K1043957" s="54"/>
    </row>
    <row r="1043958" spans="1:11" s="55" customFormat="1" ht="12.75">
      <c r="A1043958" s="24"/>
      <c r="B1043958" s="24"/>
      <c r="C1043958" s="24"/>
      <c r="D1043958" s="24"/>
      <c r="E1043958" s="24"/>
      <c r="F1043958" s="24"/>
      <c r="G1043958" s="24"/>
      <c r="H1043958" s="24"/>
      <c r="I1043958" s="24"/>
      <c r="J1043958" s="24"/>
      <c r="K1043958" s="54"/>
    </row>
    <row r="1043959" spans="1:11" s="55" customFormat="1" ht="12.75">
      <c r="A1043959" s="24"/>
      <c r="B1043959" s="24"/>
      <c r="C1043959" s="24"/>
      <c r="D1043959" s="24"/>
      <c r="E1043959" s="24"/>
      <c r="F1043959" s="24"/>
      <c r="G1043959" s="24"/>
      <c r="H1043959" s="24"/>
      <c r="I1043959" s="24"/>
      <c r="J1043959" s="24"/>
      <c r="K1043959" s="54"/>
    </row>
    <row r="1043960" spans="1:11" s="55" customFormat="1" ht="12.75">
      <c r="A1043960" s="24"/>
      <c r="B1043960" s="24"/>
      <c r="C1043960" s="24"/>
      <c r="D1043960" s="24"/>
      <c r="E1043960" s="24"/>
      <c r="F1043960" s="24"/>
      <c r="G1043960" s="24"/>
      <c r="H1043960" s="24"/>
      <c r="I1043960" s="24"/>
      <c r="J1043960" s="24"/>
      <c r="K1043960" s="54"/>
    </row>
    <row r="1043961" spans="1:11" s="55" customFormat="1" ht="12.75">
      <c r="A1043961" s="24"/>
      <c r="B1043961" s="24"/>
      <c r="C1043961" s="24"/>
      <c r="D1043961" s="24"/>
      <c r="E1043961" s="24"/>
      <c r="F1043961" s="24"/>
      <c r="G1043961" s="24"/>
      <c r="H1043961" s="24"/>
      <c r="I1043961" s="24"/>
      <c r="J1043961" s="24"/>
      <c r="K1043961" s="54"/>
    </row>
    <row r="1043962" spans="1:11" s="55" customFormat="1" ht="12.75">
      <c r="A1043962" s="24"/>
      <c r="B1043962" s="24"/>
      <c r="C1043962" s="24"/>
      <c r="D1043962" s="24"/>
      <c r="E1043962" s="24"/>
      <c r="F1043962" s="24"/>
      <c r="G1043962" s="24"/>
      <c r="H1043962" s="24"/>
      <c r="I1043962" s="24"/>
      <c r="J1043962" s="24"/>
      <c r="K1043962" s="54"/>
    </row>
    <row r="1043963" spans="1:11" s="55" customFormat="1" ht="12.75">
      <c r="A1043963" s="24"/>
      <c r="B1043963" s="24"/>
      <c r="C1043963" s="24"/>
      <c r="D1043963" s="24"/>
      <c r="E1043963" s="24"/>
      <c r="F1043963" s="24"/>
      <c r="G1043963" s="24"/>
      <c r="H1043963" s="24"/>
      <c r="I1043963" s="24"/>
      <c r="J1043963" s="24"/>
      <c r="K1043963" s="54"/>
    </row>
    <row r="1043964" spans="1:11" s="55" customFormat="1" ht="12.75">
      <c r="A1043964" s="24"/>
      <c r="B1043964" s="24"/>
      <c r="C1043964" s="24"/>
      <c r="D1043964" s="24"/>
      <c r="E1043964" s="24"/>
      <c r="F1043964" s="24"/>
      <c r="G1043964" s="24"/>
      <c r="H1043964" s="24"/>
      <c r="I1043964" s="24"/>
      <c r="J1043964" s="24"/>
      <c r="K1043964" s="54"/>
    </row>
    <row r="1043965" spans="1:11" s="55" customFormat="1" ht="12.75">
      <c r="A1043965" s="24"/>
      <c r="B1043965" s="24"/>
      <c r="C1043965" s="24"/>
      <c r="D1043965" s="24"/>
      <c r="E1043965" s="24"/>
      <c r="F1043965" s="24"/>
      <c r="G1043965" s="24"/>
      <c r="H1043965" s="24"/>
      <c r="I1043965" s="24"/>
      <c r="J1043965" s="24"/>
      <c r="K1043965" s="54"/>
    </row>
    <row r="1043966" spans="1:11" s="55" customFormat="1" ht="12.75">
      <c r="A1043966" s="24"/>
      <c r="B1043966" s="24"/>
      <c r="C1043966" s="24"/>
      <c r="D1043966" s="24"/>
      <c r="E1043966" s="24"/>
      <c r="F1043966" s="24"/>
      <c r="G1043966" s="24"/>
      <c r="H1043966" s="24"/>
      <c r="I1043966" s="24"/>
      <c r="J1043966" s="24"/>
      <c r="K1043966" s="54"/>
    </row>
    <row r="1043967" spans="1:11" s="55" customFormat="1" ht="12.75">
      <c r="A1043967" s="24"/>
      <c r="B1043967" s="24"/>
      <c r="C1043967" s="24"/>
      <c r="D1043967" s="24"/>
      <c r="E1043967" s="24"/>
      <c r="F1043967" s="24"/>
      <c r="G1043967" s="24"/>
      <c r="H1043967" s="24"/>
      <c r="I1043967" s="24"/>
      <c r="J1043967" s="24"/>
      <c r="K1043967" s="54"/>
    </row>
    <row r="1043968" spans="1:11" s="55" customFormat="1" ht="12.75">
      <c r="A1043968" s="24"/>
      <c r="B1043968" s="24"/>
      <c r="C1043968" s="24"/>
      <c r="D1043968" s="24"/>
      <c r="E1043968" s="24"/>
      <c r="F1043968" s="24"/>
      <c r="G1043968" s="24"/>
      <c r="H1043968" s="24"/>
      <c r="I1043968" s="24"/>
      <c r="J1043968" s="24"/>
      <c r="K1043968" s="54"/>
    </row>
    <row r="1043969" spans="1:11" s="55" customFormat="1" ht="12.75">
      <c r="A1043969" s="24"/>
      <c r="B1043969" s="24"/>
      <c r="C1043969" s="24"/>
      <c r="D1043969" s="24"/>
      <c r="E1043969" s="24"/>
      <c r="F1043969" s="24"/>
      <c r="G1043969" s="24"/>
      <c r="H1043969" s="24"/>
      <c r="I1043969" s="24"/>
      <c r="J1043969" s="24"/>
      <c r="K1043969" s="54"/>
    </row>
    <row r="1043970" spans="1:11" s="55" customFormat="1" ht="12.75">
      <c r="A1043970" s="24"/>
      <c r="B1043970" s="24"/>
      <c r="C1043970" s="24"/>
      <c r="D1043970" s="24"/>
      <c r="E1043970" s="24"/>
      <c r="F1043970" s="24"/>
      <c r="G1043970" s="24"/>
      <c r="H1043970" s="24"/>
      <c r="I1043970" s="24"/>
      <c r="J1043970" s="24"/>
      <c r="K1043970" s="54"/>
    </row>
    <row r="1043971" spans="1:11" s="55" customFormat="1" ht="12.75">
      <c r="A1043971" s="24"/>
      <c r="B1043971" s="24"/>
      <c r="C1043971" s="24"/>
      <c r="D1043971" s="24"/>
      <c r="E1043971" s="24"/>
      <c r="F1043971" s="24"/>
      <c r="G1043971" s="24"/>
      <c r="H1043971" s="24"/>
      <c r="I1043971" s="24"/>
      <c r="J1043971" s="24"/>
      <c r="K1043971" s="54"/>
    </row>
    <row r="1043972" spans="1:11" s="55" customFormat="1" ht="12.75">
      <c r="A1043972" s="24"/>
      <c r="B1043972" s="24"/>
      <c r="C1043972" s="24"/>
      <c r="D1043972" s="24"/>
      <c r="E1043972" s="24"/>
      <c r="F1043972" s="24"/>
      <c r="G1043972" s="24"/>
      <c r="H1043972" s="24"/>
      <c r="I1043972" s="24"/>
      <c r="J1043972" s="24"/>
      <c r="K1043972" s="54"/>
    </row>
    <row r="1043973" spans="1:11" s="55" customFormat="1" ht="12.75">
      <c r="A1043973" s="24"/>
      <c r="B1043973" s="24"/>
      <c r="C1043973" s="24"/>
      <c r="D1043973" s="24"/>
      <c r="E1043973" s="24"/>
      <c r="F1043973" s="24"/>
      <c r="G1043973" s="24"/>
      <c r="H1043973" s="24"/>
      <c r="I1043973" s="24"/>
      <c r="J1043973" s="24"/>
      <c r="K1043973" s="54"/>
    </row>
    <row r="1043974" spans="1:11" s="55" customFormat="1" ht="12.75">
      <c r="A1043974" s="24"/>
      <c r="B1043974" s="24"/>
      <c r="C1043974" s="24"/>
      <c r="D1043974" s="24"/>
      <c r="E1043974" s="24"/>
      <c r="F1043974" s="24"/>
      <c r="G1043974" s="24"/>
      <c r="H1043974" s="24"/>
      <c r="I1043974" s="24"/>
      <c r="J1043974" s="24"/>
      <c r="K1043974" s="54"/>
    </row>
    <row r="1043975" spans="1:11" s="55" customFormat="1" ht="12.75">
      <c r="A1043975" s="24"/>
      <c r="B1043975" s="24"/>
      <c r="C1043975" s="24"/>
      <c r="D1043975" s="24"/>
      <c r="E1043975" s="24"/>
      <c r="F1043975" s="24"/>
      <c r="G1043975" s="24"/>
      <c r="H1043975" s="24"/>
      <c r="I1043975" s="24"/>
      <c r="J1043975" s="24"/>
      <c r="K1043975" s="54"/>
    </row>
    <row r="1043976" spans="1:11" s="55" customFormat="1" ht="12.75">
      <c r="A1043976" s="24"/>
      <c r="B1043976" s="24"/>
      <c r="C1043976" s="24"/>
      <c r="D1043976" s="24"/>
      <c r="E1043976" s="24"/>
      <c r="F1043976" s="24"/>
      <c r="G1043976" s="24"/>
      <c r="H1043976" s="24"/>
      <c r="I1043976" s="24"/>
      <c r="J1043976" s="24"/>
      <c r="K1043976" s="54"/>
    </row>
    <row r="1043977" spans="1:11" s="55" customFormat="1" ht="12.75">
      <c r="A1043977" s="24"/>
      <c r="B1043977" s="24"/>
      <c r="C1043977" s="24"/>
      <c r="D1043977" s="24"/>
      <c r="E1043977" s="24"/>
      <c r="F1043977" s="24"/>
      <c r="G1043977" s="24"/>
      <c r="H1043977" s="24"/>
      <c r="I1043977" s="24"/>
      <c r="J1043977" s="24"/>
      <c r="K1043977" s="54"/>
    </row>
    <row r="1043978" spans="1:11" s="55" customFormat="1" ht="12.75">
      <c r="A1043978" s="24"/>
      <c r="B1043978" s="24"/>
      <c r="C1043978" s="24"/>
      <c r="D1043978" s="24"/>
      <c r="E1043978" s="24"/>
      <c r="F1043978" s="24"/>
      <c r="G1043978" s="24"/>
      <c r="H1043978" s="24"/>
      <c r="I1043978" s="24"/>
      <c r="J1043978" s="24"/>
      <c r="K1043978" s="54"/>
    </row>
    <row r="1043979" spans="1:11" s="55" customFormat="1" ht="12.75">
      <c r="A1043979" s="24"/>
      <c r="B1043979" s="24"/>
      <c r="C1043979" s="24"/>
      <c r="D1043979" s="24"/>
      <c r="E1043979" s="24"/>
      <c r="F1043979" s="24"/>
      <c r="G1043979" s="24"/>
      <c r="H1043979" s="24"/>
      <c r="I1043979" s="24"/>
      <c r="J1043979" s="24"/>
      <c r="K1043979" s="54"/>
    </row>
    <row r="1043980" spans="1:11" s="55" customFormat="1" ht="12.75">
      <c r="A1043980" s="24"/>
      <c r="B1043980" s="24"/>
      <c r="C1043980" s="24"/>
      <c r="D1043980" s="24"/>
      <c r="E1043980" s="24"/>
      <c r="F1043980" s="24"/>
      <c r="G1043980" s="24"/>
      <c r="H1043980" s="24"/>
      <c r="I1043980" s="24"/>
      <c r="J1043980" s="24"/>
      <c r="K1043980" s="54"/>
    </row>
    <row r="1043981" spans="1:11" s="55" customFormat="1" ht="12.75">
      <c r="A1043981" s="24"/>
      <c r="B1043981" s="24"/>
      <c r="C1043981" s="24"/>
      <c r="D1043981" s="24"/>
      <c r="E1043981" s="24"/>
      <c r="F1043981" s="24"/>
      <c r="G1043981" s="24"/>
      <c r="H1043981" s="24"/>
      <c r="I1043981" s="24"/>
      <c r="J1043981" s="24"/>
      <c r="K1043981" s="54"/>
    </row>
    <row r="1043982" spans="1:11" s="55" customFormat="1" ht="12.75">
      <c r="A1043982" s="24"/>
      <c r="B1043982" s="24"/>
      <c r="C1043982" s="24"/>
      <c r="D1043982" s="24"/>
      <c r="E1043982" s="24"/>
      <c r="F1043982" s="24"/>
      <c r="G1043982" s="24"/>
      <c r="H1043982" s="24"/>
      <c r="I1043982" s="24"/>
      <c r="J1043982" s="24"/>
      <c r="K1043982" s="54"/>
    </row>
    <row r="1043983" spans="1:11" s="55" customFormat="1" ht="12.75">
      <c r="A1043983" s="24"/>
      <c r="B1043983" s="24"/>
      <c r="C1043983" s="24"/>
      <c r="D1043983" s="24"/>
      <c r="E1043983" s="24"/>
      <c r="F1043983" s="24"/>
      <c r="G1043983" s="24"/>
      <c r="H1043983" s="24"/>
      <c r="I1043983" s="24"/>
      <c r="J1043983" s="24"/>
      <c r="K1043983" s="54"/>
    </row>
    <row r="1043984" spans="1:11" s="55" customFormat="1" ht="12.75">
      <c r="A1043984" s="24"/>
      <c r="B1043984" s="24"/>
      <c r="C1043984" s="24"/>
      <c r="D1043984" s="24"/>
      <c r="E1043984" s="24"/>
      <c r="F1043984" s="24"/>
      <c r="G1043984" s="24"/>
      <c r="H1043984" s="24"/>
      <c r="I1043984" s="24"/>
      <c r="J1043984" s="24"/>
      <c r="K1043984" s="54"/>
    </row>
    <row r="1043985" spans="1:11" s="55" customFormat="1" ht="12.75">
      <c r="A1043985" s="24"/>
      <c r="B1043985" s="24"/>
      <c r="C1043985" s="24"/>
      <c r="D1043985" s="24"/>
      <c r="E1043985" s="24"/>
      <c r="F1043985" s="24"/>
      <c r="G1043985" s="24"/>
      <c r="H1043985" s="24"/>
      <c r="I1043985" s="24"/>
      <c r="J1043985" s="24"/>
      <c r="K1043985" s="54"/>
    </row>
    <row r="1043986" spans="1:11" s="55" customFormat="1" ht="12.75">
      <c r="A1043986" s="24"/>
      <c r="B1043986" s="24"/>
      <c r="C1043986" s="24"/>
      <c r="D1043986" s="24"/>
      <c r="E1043986" s="24"/>
      <c r="F1043986" s="24"/>
      <c r="G1043986" s="24"/>
      <c r="H1043986" s="24"/>
      <c r="I1043986" s="24"/>
      <c r="J1043986" s="24"/>
      <c r="K1043986" s="54"/>
    </row>
    <row r="1043987" spans="1:11" s="55" customFormat="1" ht="12.75">
      <c r="A1043987" s="24"/>
      <c r="B1043987" s="24"/>
      <c r="C1043987" s="24"/>
      <c r="D1043987" s="24"/>
      <c r="E1043987" s="24"/>
      <c r="F1043987" s="24"/>
      <c r="G1043987" s="24"/>
      <c r="H1043987" s="24"/>
      <c r="I1043987" s="24"/>
      <c r="J1043987" s="24"/>
      <c r="K1043987" s="54"/>
    </row>
    <row r="1043988" spans="1:11" s="55" customFormat="1" ht="12.75">
      <c r="A1043988" s="24"/>
      <c r="B1043988" s="24"/>
      <c r="C1043988" s="24"/>
      <c r="D1043988" s="24"/>
      <c r="E1043988" s="24"/>
      <c r="F1043988" s="24"/>
      <c r="G1043988" s="24"/>
      <c r="H1043988" s="24"/>
      <c r="I1043988" s="24"/>
      <c r="J1043988" s="24"/>
      <c r="K1043988" s="54"/>
    </row>
    <row r="1043989" spans="1:11" s="55" customFormat="1" ht="12.75">
      <c r="A1043989" s="24"/>
      <c r="B1043989" s="24"/>
      <c r="C1043989" s="24"/>
      <c r="D1043989" s="24"/>
      <c r="E1043989" s="24"/>
      <c r="F1043989" s="24"/>
      <c r="G1043989" s="24"/>
      <c r="H1043989" s="24"/>
      <c r="I1043989" s="24"/>
      <c r="J1043989" s="24"/>
      <c r="K1043989" s="54"/>
    </row>
    <row r="1043990" spans="1:11" s="55" customFormat="1" ht="12.75">
      <c r="A1043990" s="24"/>
      <c r="B1043990" s="24"/>
      <c r="C1043990" s="24"/>
      <c r="D1043990" s="24"/>
      <c r="E1043990" s="24"/>
      <c r="F1043990" s="24"/>
      <c r="G1043990" s="24"/>
      <c r="H1043990" s="24"/>
      <c r="I1043990" s="24"/>
      <c r="J1043990" s="24"/>
      <c r="K1043990" s="54"/>
    </row>
    <row r="1043991" spans="1:11" s="55" customFormat="1" ht="12.75">
      <c r="A1043991" s="24"/>
      <c r="B1043991" s="24"/>
      <c r="C1043991" s="24"/>
      <c r="D1043991" s="24"/>
      <c r="E1043991" s="24"/>
      <c r="F1043991" s="24"/>
      <c r="G1043991" s="24"/>
      <c r="H1043991" s="24"/>
      <c r="I1043991" s="24"/>
      <c r="J1043991" s="24"/>
      <c r="K1043991" s="54"/>
    </row>
    <row r="1043992" spans="1:11" s="55" customFormat="1" ht="12.75">
      <c r="A1043992" s="24"/>
      <c r="B1043992" s="24"/>
      <c r="C1043992" s="24"/>
      <c r="D1043992" s="24"/>
      <c r="E1043992" s="24"/>
      <c r="F1043992" s="24"/>
      <c r="G1043992" s="24"/>
      <c r="H1043992" s="24"/>
      <c r="I1043992" s="24"/>
      <c r="J1043992" s="24"/>
      <c r="K1043992" s="54"/>
    </row>
    <row r="1043993" spans="1:11" s="55" customFormat="1" ht="12.75">
      <c r="A1043993" s="24"/>
      <c r="B1043993" s="24"/>
      <c r="C1043993" s="24"/>
      <c r="D1043993" s="24"/>
      <c r="E1043993" s="24"/>
      <c r="F1043993" s="24"/>
      <c r="G1043993" s="24"/>
      <c r="H1043993" s="24"/>
      <c r="I1043993" s="24"/>
      <c r="J1043993" s="24"/>
      <c r="K1043993" s="54"/>
    </row>
    <row r="1043994" spans="1:11" s="55" customFormat="1" ht="12.75">
      <c r="A1043994" s="24"/>
      <c r="B1043994" s="24"/>
      <c r="C1043994" s="24"/>
      <c r="D1043994" s="24"/>
      <c r="E1043994" s="24"/>
      <c r="F1043994" s="24"/>
      <c r="G1043994" s="24"/>
      <c r="H1043994" s="24"/>
      <c r="I1043994" s="24"/>
      <c r="J1043994" s="24"/>
      <c r="K1043994" s="54"/>
    </row>
    <row r="1043995" spans="1:11" s="55" customFormat="1" ht="12.75">
      <c r="A1043995" s="24"/>
      <c r="B1043995" s="24"/>
      <c r="C1043995" s="24"/>
      <c r="D1043995" s="24"/>
      <c r="E1043995" s="24"/>
      <c r="F1043995" s="24"/>
      <c r="G1043995" s="24"/>
      <c r="H1043995" s="24"/>
      <c r="I1043995" s="24"/>
      <c r="J1043995" s="24"/>
      <c r="K1043995" s="54"/>
    </row>
    <row r="1043996" spans="1:11" s="55" customFormat="1" ht="12.75">
      <c r="A1043996" s="24"/>
      <c r="B1043996" s="24"/>
      <c r="C1043996" s="24"/>
      <c r="D1043996" s="24"/>
      <c r="E1043996" s="24"/>
      <c r="F1043996" s="24"/>
      <c r="G1043996" s="24"/>
      <c r="H1043996" s="24"/>
      <c r="I1043996" s="24"/>
      <c r="J1043996" s="24"/>
      <c r="K1043996" s="54"/>
    </row>
    <row r="1043997" spans="1:11" s="55" customFormat="1" ht="12.75">
      <c r="A1043997" s="24"/>
      <c r="B1043997" s="24"/>
      <c r="C1043997" s="24"/>
      <c r="D1043997" s="24"/>
      <c r="E1043997" s="24"/>
      <c r="F1043997" s="24"/>
      <c r="G1043997" s="24"/>
      <c r="H1043997" s="24"/>
      <c r="I1043997" s="24"/>
      <c r="J1043997" s="24"/>
      <c r="K1043997" s="54"/>
    </row>
    <row r="1043998" spans="1:11" s="55" customFormat="1" ht="12.75">
      <c r="A1043998" s="24"/>
      <c r="B1043998" s="24"/>
      <c r="C1043998" s="24"/>
      <c r="D1043998" s="24"/>
      <c r="E1043998" s="24"/>
      <c r="F1043998" s="24"/>
      <c r="G1043998" s="24"/>
      <c r="H1043998" s="24"/>
      <c r="I1043998" s="24"/>
      <c r="J1043998" s="24"/>
      <c r="K1043998" s="54"/>
    </row>
    <row r="1043999" spans="1:11" s="55" customFormat="1" ht="12.75">
      <c r="A1043999" s="24"/>
      <c r="B1043999" s="24"/>
      <c r="C1043999" s="24"/>
      <c r="D1043999" s="24"/>
      <c r="E1043999" s="24"/>
      <c r="F1043999" s="24"/>
      <c r="G1043999" s="24"/>
      <c r="H1043999" s="24"/>
      <c r="I1043999" s="24"/>
      <c r="J1043999" s="24"/>
      <c r="K1043999" s="54"/>
    </row>
    <row r="1044000" spans="1:11" s="55" customFormat="1" ht="12.75">
      <c r="A1044000" s="24"/>
      <c r="B1044000" s="24"/>
      <c r="C1044000" s="24"/>
      <c r="D1044000" s="24"/>
      <c r="E1044000" s="24"/>
      <c r="F1044000" s="24"/>
      <c r="G1044000" s="24"/>
      <c r="H1044000" s="24"/>
      <c r="I1044000" s="24"/>
      <c r="J1044000" s="24"/>
      <c r="K1044000" s="54"/>
    </row>
    <row r="1044001" spans="1:11" s="55" customFormat="1" ht="12.75">
      <c r="A1044001" s="24"/>
      <c r="B1044001" s="24"/>
      <c r="C1044001" s="24"/>
      <c r="D1044001" s="24"/>
      <c r="E1044001" s="24"/>
      <c r="F1044001" s="24"/>
      <c r="G1044001" s="24"/>
      <c r="H1044001" s="24"/>
      <c r="I1044001" s="24"/>
      <c r="J1044001" s="24"/>
      <c r="K1044001" s="54"/>
    </row>
    <row r="1044002" spans="1:11" s="55" customFormat="1" ht="12.75">
      <c r="A1044002" s="24"/>
      <c r="B1044002" s="24"/>
      <c r="C1044002" s="24"/>
      <c r="D1044002" s="24"/>
      <c r="E1044002" s="24"/>
      <c r="F1044002" s="24"/>
      <c r="G1044002" s="24"/>
      <c r="H1044002" s="24"/>
      <c r="I1044002" s="24"/>
      <c r="J1044002" s="24"/>
      <c r="K1044002" s="54"/>
    </row>
    <row r="1044003" spans="1:11" s="55" customFormat="1" ht="12.75">
      <c r="A1044003" s="24"/>
      <c r="B1044003" s="24"/>
      <c r="C1044003" s="24"/>
      <c r="D1044003" s="24"/>
      <c r="E1044003" s="24"/>
      <c r="F1044003" s="24"/>
      <c r="G1044003" s="24"/>
      <c r="H1044003" s="24"/>
      <c r="I1044003" s="24"/>
      <c r="J1044003" s="24"/>
      <c r="K1044003" s="54"/>
    </row>
    <row r="1044004" spans="1:11" s="55" customFormat="1" ht="12.75">
      <c r="A1044004" s="24"/>
      <c r="B1044004" s="24"/>
      <c r="C1044004" s="24"/>
      <c r="D1044004" s="24"/>
      <c r="E1044004" s="24"/>
      <c r="F1044004" s="24"/>
      <c r="G1044004" s="24"/>
      <c r="H1044004" s="24"/>
      <c r="I1044004" s="24"/>
      <c r="J1044004" s="24"/>
      <c r="K1044004" s="54"/>
    </row>
    <row r="1044005" spans="1:11" s="55" customFormat="1" ht="12.75">
      <c r="A1044005" s="24"/>
      <c r="B1044005" s="24"/>
      <c r="C1044005" s="24"/>
      <c r="D1044005" s="24"/>
      <c r="E1044005" s="24"/>
      <c r="F1044005" s="24"/>
      <c r="G1044005" s="24"/>
      <c r="H1044005" s="24"/>
      <c r="I1044005" s="24"/>
      <c r="J1044005" s="24"/>
      <c r="K1044005" s="54"/>
    </row>
    <row r="1044006" spans="1:11" s="55" customFormat="1" ht="12.75">
      <c r="A1044006" s="24"/>
      <c r="B1044006" s="24"/>
      <c r="C1044006" s="24"/>
      <c r="D1044006" s="24"/>
      <c r="E1044006" s="24"/>
      <c r="F1044006" s="24"/>
      <c r="G1044006" s="24"/>
      <c r="H1044006" s="24"/>
      <c r="I1044006" s="24"/>
      <c r="J1044006" s="24"/>
      <c r="K1044006" s="54"/>
    </row>
    <row r="1044007" spans="1:11" s="55" customFormat="1" ht="12.75">
      <c r="A1044007" s="24"/>
      <c r="B1044007" s="24"/>
      <c r="C1044007" s="24"/>
      <c r="D1044007" s="24"/>
      <c r="E1044007" s="24"/>
      <c r="F1044007" s="24"/>
      <c r="G1044007" s="24"/>
      <c r="H1044007" s="24"/>
      <c r="I1044007" s="24"/>
      <c r="J1044007" s="24"/>
      <c r="K1044007" s="54"/>
    </row>
    <row r="1044008" spans="1:11" s="55" customFormat="1" ht="12.75">
      <c r="A1044008" s="24"/>
      <c r="B1044008" s="24"/>
      <c r="C1044008" s="24"/>
      <c r="D1044008" s="24"/>
      <c r="E1044008" s="24"/>
      <c r="F1044008" s="24"/>
      <c r="G1044008" s="24"/>
      <c r="H1044008" s="24"/>
      <c r="I1044008" s="24"/>
      <c r="J1044008" s="24"/>
      <c r="K1044008" s="54"/>
    </row>
    <row r="1044009" spans="1:11" s="55" customFormat="1" ht="12.75">
      <c r="A1044009" s="24"/>
      <c r="B1044009" s="24"/>
      <c r="C1044009" s="24"/>
      <c r="D1044009" s="24"/>
      <c r="E1044009" s="24"/>
      <c r="F1044009" s="24"/>
      <c r="G1044009" s="24"/>
      <c r="H1044009" s="24"/>
      <c r="I1044009" s="24"/>
      <c r="J1044009" s="24"/>
      <c r="K1044009" s="54"/>
    </row>
    <row r="1044010" spans="1:11" s="55" customFormat="1" ht="12.75">
      <c r="A1044010" s="24"/>
      <c r="B1044010" s="24"/>
      <c r="C1044010" s="24"/>
      <c r="D1044010" s="24"/>
      <c r="E1044010" s="24"/>
      <c r="F1044010" s="24"/>
      <c r="G1044010" s="24"/>
      <c r="H1044010" s="24"/>
      <c r="I1044010" s="24"/>
      <c r="J1044010" s="24"/>
      <c r="K1044010" s="54"/>
    </row>
    <row r="1044011" spans="1:11" s="55" customFormat="1" ht="12.75">
      <c r="A1044011" s="24"/>
      <c r="B1044011" s="24"/>
      <c r="C1044011" s="24"/>
      <c r="D1044011" s="24"/>
      <c r="E1044011" s="24"/>
      <c r="F1044011" s="24"/>
      <c r="G1044011" s="24"/>
      <c r="H1044011" s="24"/>
      <c r="I1044011" s="24"/>
      <c r="J1044011" s="24"/>
      <c r="K1044011" s="54"/>
    </row>
    <row r="1044012" spans="1:11" s="55" customFormat="1" ht="12.75">
      <c r="A1044012" s="24"/>
      <c r="B1044012" s="24"/>
      <c r="C1044012" s="24"/>
      <c r="D1044012" s="24"/>
      <c r="E1044012" s="24"/>
      <c r="F1044012" s="24"/>
      <c r="G1044012" s="24"/>
      <c r="H1044012" s="24"/>
      <c r="I1044012" s="24"/>
      <c r="J1044012" s="24"/>
      <c r="K1044012" s="54"/>
    </row>
    <row r="1044013" spans="1:11" s="55" customFormat="1" ht="12.75">
      <c r="A1044013" s="24"/>
      <c r="B1044013" s="24"/>
      <c r="C1044013" s="24"/>
      <c r="D1044013" s="24"/>
      <c r="E1044013" s="24"/>
      <c r="F1044013" s="24"/>
      <c r="G1044013" s="24"/>
      <c r="H1044013" s="24"/>
      <c r="I1044013" s="24"/>
      <c r="J1044013" s="24"/>
      <c r="K1044013" s="54"/>
    </row>
    <row r="1044014" spans="1:11" s="55" customFormat="1" ht="12.75">
      <c r="A1044014" s="24"/>
      <c r="B1044014" s="24"/>
      <c r="C1044014" s="24"/>
      <c r="D1044014" s="24"/>
      <c r="E1044014" s="24"/>
      <c r="F1044014" s="24"/>
      <c r="G1044014" s="24"/>
      <c r="H1044014" s="24"/>
      <c r="I1044014" s="24"/>
      <c r="J1044014" s="24"/>
      <c r="K1044014" s="54"/>
    </row>
    <row r="1044015" spans="1:11" s="55" customFormat="1" ht="12.75">
      <c r="A1044015" s="24"/>
      <c r="B1044015" s="24"/>
      <c r="C1044015" s="24"/>
      <c r="D1044015" s="24"/>
      <c r="E1044015" s="24"/>
      <c r="F1044015" s="24"/>
      <c r="G1044015" s="24"/>
      <c r="H1044015" s="24"/>
      <c r="I1044015" s="24"/>
      <c r="J1044015" s="24"/>
      <c r="K1044015" s="54"/>
    </row>
    <row r="1044016" spans="1:11" s="55" customFormat="1" ht="12.75">
      <c r="A1044016" s="24"/>
      <c r="B1044016" s="24"/>
      <c r="C1044016" s="24"/>
      <c r="D1044016" s="24"/>
      <c r="E1044016" s="24"/>
      <c r="F1044016" s="24"/>
      <c r="G1044016" s="24"/>
      <c r="H1044016" s="24"/>
      <c r="I1044016" s="24"/>
      <c r="J1044016" s="24"/>
      <c r="K1044016" s="54"/>
    </row>
    <row r="1044017" spans="1:11" s="55" customFormat="1" ht="12.75">
      <c r="A1044017" s="24"/>
      <c r="B1044017" s="24"/>
      <c r="C1044017" s="24"/>
      <c r="D1044017" s="24"/>
      <c r="E1044017" s="24"/>
      <c r="F1044017" s="24"/>
      <c r="G1044017" s="24"/>
      <c r="H1044017" s="24"/>
      <c r="I1044017" s="24"/>
      <c r="J1044017" s="24"/>
      <c r="K1044017" s="54"/>
    </row>
    <row r="1044018" spans="1:11" s="55" customFormat="1" ht="12.75">
      <c r="A1044018" s="24"/>
      <c r="B1044018" s="24"/>
      <c r="C1044018" s="24"/>
      <c r="D1044018" s="24"/>
      <c r="E1044018" s="24"/>
      <c r="F1044018" s="24"/>
      <c r="G1044018" s="24"/>
      <c r="H1044018" s="24"/>
      <c r="I1044018" s="24"/>
      <c r="J1044018" s="24"/>
      <c r="K1044018" s="54"/>
    </row>
    <row r="1044019" spans="1:11" s="55" customFormat="1" ht="12.75">
      <c r="A1044019" s="24"/>
      <c r="B1044019" s="24"/>
      <c r="C1044019" s="24"/>
      <c r="D1044019" s="24"/>
      <c r="E1044019" s="24"/>
      <c r="F1044019" s="24"/>
      <c r="G1044019" s="24"/>
      <c r="H1044019" s="24"/>
      <c r="I1044019" s="24"/>
      <c r="J1044019" s="24"/>
      <c r="K1044019" s="54"/>
    </row>
    <row r="1044020" spans="1:11" s="55" customFormat="1" ht="12.75">
      <c r="A1044020" s="24"/>
      <c r="B1044020" s="24"/>
      <c r="C1044020" s="24"/>
      <c r="D1044020" s="24"/>
      <c r="E1044020" s="24"/>
      <c r="F1044020" s="24"/>
      <c r="G1044020" s="24"/>
      <c r="H1044020" s="24"/>
      <c r="I1044020" s="24"/>
      <c r="J1044020" s="24"/>
      <c r="K1044020" s="54"/>
    </row>
    <row r="1044021" spans="1:11" s="55" customFormat="1" ht="12.75">
      <c r="A1044021" s="24"/>
      <c r="B1044021" s="24"/>
      <c r="C1044021" s="24"/>
      <c r="D1044021" s="24"/>
      <c r="E1044021" s="24"/>
      <c r="F1044021" s="24"/>
      <c r="G1044021" s="24"/>
      <c r="H1044021" s="24"/>
      <c r="I1044021" s="24"/>
      <c r="J1044021" s="24"/>
      <c r="K1044021" s="54"/>
    </row>
    <row r="1044022" spans="1:11" s="55" customFormat="1" ht="12.75">
      <c r="A1044022" s="24"/>
      <c r="B1044022" s="24"/>
      <c r="C1044022" s="24"/>
      <c r="D1044022" s="24"/>
      <c r="E1044022" s="24"/>
      <c r="F1044022" s="24"/>
      <c r="G1044022" s="24"/>
      <c r="H1044022" s="24"/>
      <c r="I1044022" s="24"/>
      <c r="J1044022" s="24"/>
      <c r="K1044022" s="54"/>
    </row>
    <row r="1044023" spans="1:11" s="55" customFormat="1" ht="12.75">
      <c r="A1044023" s="24"/>
      <c r="B1044023" s="24"/>
      <c r="C1044023" s="24"/>
      <c r="D1044023" s="24"/>
      <c r="E1044023" s="24"/>
      <c r="F1044023" s="24"/>
      <c r="G1044023" s="24"/>
      <c r="H1044023" s="24"/>
      <c r="I1044023" s="24"/>
      <c r="J1044023" s="24"/>
      <c r="K1044023" s="54"/>
    </row>
    <row r="1044024" spans="1:11" s="55" customFormat="1" ht="12.75">
      <c r="A1044024" s="24"/>
      <c r="B1044024" s="24"/>
      <c r="C1044024" s="24"/>
      <c r="D1044024" s="24"/>
      <c r="E1044024" s="24"/>
      <c r="F1044024" s="24"/>
      <c r="G1044024" s="24"/>
      <c r="H1044024" s="24"/>
      <c r="I1044024" s="24"/>
      <c r="J1044024" s="24"/>
      <c r="K1044024" s="54"/>
    </row>
    <row r="1044025" spans="1:11" s="55" customFormat="1" ht="12.75">
      <c r="A1044025" s="24"/>
      <c r="B1044025" s="24"/>
      <c r="C1044025" s="24"/>
      <c r="D1044025" s="24"/>
      <c r="E1044025" s="24"/>
      <c r="F1044025" s="24"/>
      <c r="G1044025" s="24"/>
      <c r="H1044025" s="24"/>
      <c r="I1044025" s="24"/>
      <c r="J1044025" s="24"/>
      <c r="K1044025" s="54"/>
    </row>
    <row r="1044026" spans="1:11" s="55" customFormat="1" ht="12.75">
      <c r="A1044026" s="24"/>
      <c r="B1044026" s="24"/>
      <c r="C1044026" s="24"/>
      <c r="D1044026" s="24"/>
      <c r="E1044026" s="24"/>
      <c r="F1044026" s="24"/>
      <c r="G1044026" s="24"/>
      <c r="H1044026" s="24"/>
      <c r="I1044026" s="24"/>
      <c r="J1044026" s="24"/>
      <c r="K1044026" s="54"/>
    </row>
    <row r="1044027" spans="1:11" s="55" customFormat="1" ht="12.75">
      <c r="A1044027" s="24"/>
      <c r="B1044027" s="24"/>
      <c r="C1044027" s="24"/>
      <c r="D1044027" s="24"/>
      <c r="E1044027" s="24"/>
      <c r="F1044027" s="24"/>
      <c r="G1044027" s="24"/>
      <c r="H1044027" s="24"/>
      <c r="I1044027" s="24"/>
      <c r="J1044027" s="24"/>
      <c r="K1044027" s="54"/>
    </row>
    <row r="1044028" spans="1:11" s="55" customFormat="1" ht="12.75">
      <c r="A1044028" s="24"/>
      <c r="B1044028" s="24"/>
      <c r="C1044028" s="24"/>
      <c r="D1044028" s="24"/>
      <c r="E1044028" s="24"/>
      <c r="F1044028" s="24"/>
      <c r="G1044028" s="24"/>
      <c r="H1044028" s="24"/>
      <c r="I1044028" s="24"/>
      <c r="J1044028" s="24"/>
      <c r="K1044028" s="54"/>
    </row>
    <row r="1044029" spans="1:11" s="55" customFormat="1" ht="12.75">
      <c r="A1044029" s="24"/>
      <c r="B1044029" s="24"/>
      <c r="C1044029" s="24"/>
      <c r="D1044029" s="24"/>
      <c r="E1044029" s="24"/>
      <c r="F1044029" s="24"/>
      <c r="G1044029" s="24"/>
      <c r="H1044029" s="24"/>
      <c r="I1044029" s="24"/>
      <c r="J1044029" s="24"/>
      <c r="K1044029" s="54"/>
    </row>
    <row r="1044030" spans="1:11" s="55" customFormat="1" ht="12.75">
      <c r="A1044030" s="24"/>
      <c r="B1044030" s="24"/>
      <c r="C1044030" s="24"/>
      <c r="D1044030" s="24"/>
      <c r="E1044030" s="24"/>
      <c r="F1044030" s="24"/>
      <c r="G1044030" s="24"/>
      <c r="H1044030" s="24"/>
      <c r="I1044030" s="24"/>
      <c r="J1044030" s="24"/>
      <c r="K1044030" s="54"/>
    </row>
    <row r="1044031" spans="1:11" s="55" customFormat="1" ht="12.75">
      <c r="A1044031" s="24"/>
      <c r="B1044031" s="24"/>
      <c r="C1044031" s="24"/>
      <c r="D1044031" s="24"/>
      <c r="E1044031" s="24"/>
      <c r="F1044031" s="24"/>
      <c r="G1044031" s="24"/>
      <c r="H1044031" s="24"/>
      <c r="I1044031" s="24"/>
      <c r="J1044031" s="24"/>
      <c r="K1044031" s="54"/>
    </row>
    <row r="1044032" spans="1:11" s="55" customFormat="1" ht="12.75">
      <c r="A1044032" s="24"/>
      <c r="B1044032" s="24"/>
      <c r="C1044032" s="24"/>
      <c r="D1044032" s="24"/>
      <c r="E1044032" s="24"/>
      <c r="F1044032" s="24"/>
      <c r="G1044032" s="24"/>
      <c r="H1044032" s="24"/>
      <c r="I1044032" s="24"/>
      <c r="J1044032" s="24"/>
      <c r="K1044032" s="54"/>
    </row>
    <row r="1044033" spans="1:11" s="55" customFormat="1" ht="12.75">
      <c r="A1044033" s="24"/>
      <c r="B1044033" s="24"/>
      <c r="C1044033" s="24"/>
      <c r="D1044033" s="24"/>
      <c r="E1044033" s="24"/>
      <c r="F1044033" s="24"/>
      <c r="G1044033" s="24"/>
      <c r="H1044033" s="24"/>
      <c r="I1044033" s="24"/>
      <c r="J1044033" s="24"/>
      <c r="K1044033" s="54"/>
    </row>
    <row r="1044034" spans="1:11" s="55" customFormat="1" ht="12.75">
      <c r="A1044034" s="24"/>
      <c r="B1044034" s="24"/>
      <c r="C1044034" s="24"/>
      <c r="D1044034" s="24"/>
      <c r="E1044034" s="24"/>
      <c r="F1044034" s="24"/>
      <c r="G1044034" s="24"/>
      <c r="H1044034" s="24"/>
      <c r="I1044034" s="24"/>
      <c r="J1044034" s="24"/>
      <c r="K1044034" s="54"/>
    </row>
    <row r="1044035" spans="1:11" s="55" customFormat="1" ht="12.75">
      <c r="A1044035" s="24"/>
      <c r="B1044035" s="24"/>
      <c r="C1044035" s="24"/>
      <c r="D1044035" s="24"/>
      <c r="E1044035" s="24"/>
      <c r="F1044035" s="24"/>
      <c r="G1044035" s="24"/>
      <c r="H1044035" s="24"/>
      <c r="I1044035" s="24"/>
      <c r="J1044035" s="24"/>
      <c r="K1044035" s="54"/>
    </row>
    <row r="1044036" spans="1:11" s="55" customFormat="1" ht="12.75">
      <c r="A1044036" s="24"/>
      <c r="B1044036" s="24"/>
      <c r="C1044036" s="24"/>
      <c r="D1044036" s="24"/>
      <c r="E1044036" s="24"/>
      <c r="F1044036" s="24"/>
      <c r="G1044036" s="24"/>
      <c r="H1044036" s="24"/>
      <c r="I1044036" s="24"/>
      <c r="J1044036" s="24"/>
      <c r="K1044036" s="54"/>
    </row>
    <row r="1044037" spans="1:11" s="55" customFormat="1" ht="12.75">
      <c r="A1044037" s="24"/>
      <c r="B1044037" s="24"/>
      <c r="C1044037" s="24"/>
      <c r="D1044037" s="24"/>
      <c r="E1044037" s="24"/>
      <c r="F1044037" s="24"/>
      <c r="G1044037" s="24"/>
      <c r="H1044037" s="24"/>
      <c r="I1044037" s="24"/>
      <c r="J1044037" s="24"/>
      <c r="K1044037" s="54"/>
    </row>
    <row r="1044038" spans="1:11" s="55" customFormat="1" ht="12.75">
      <c r="A1044038" s="24"/>
      <c r="B1044038" s="24"/>
      <c r="C1044038" s="24"/>
      <c r="D1044038" s="24"/>
      <c r="E1044038" s="24"/>
      <c r="F1044038" s="24"/>
      <c r="G1044038" s="24"/>
      <c r="H1044038" s="24"/>
      <c r="I1044038" s="24"/>
      <c r="J1044038" s="24"/>
      <c r="K1044038" s="54"/>
    </row>
    <row r="1044039" spans="1:11" s="55" customFormat="1" ht="12.75">
      <c r="A1044039" s="24"/>
      <c r="B1044039" s="24"/>
      <c r="C1044039" s="24"/>
      <c r="D1044039" s="24"/>
      <c r="E1044039" s="24"/>
      <c r="F1044039" s="24"/>
      <c r="G1044039" s="24"/>
      <c r="H1044039" s="24"/>
      <c r="I1044039" s="24"/>
      <c r="J1044039" s="24"/>
      <c r="K1044039" s="54"/>
    </row>
    <row r="1044040" spans="1:11" s="55" customFormat="1" ht="12.75">
      <c r="A1044040" s="24"/>
      <c r="B1044040" s="24"/>
      <c r="C1044040" s="24"/>
      <c r="D1044040" s="24"/>
      <c r="E1044040" s="24"/>
      <c r="F1044040" s="24"/>
      <c r="G1044040" s="24"/>
      <c r="H1044040" s="24"/>
      <c r="I1044040" s="24"/>
      <c r="J1044040" s="24"/>
      <c r="K1044040" s="54"/>
    </row>
    <row r="1044041" spans="1:11" s="55" customFormat="1" ht="12.75">
      <c r="A1044041" s="24"/>
      <c r="B1044041" s="24"/>
      <c r="C1044041" s="24"/>
      <c r="D1044041" s="24"/>
      <c r="E1044041" s="24"/>
      <c r="F1044041" s="24"/>
      <c r="G1044041" s="24"/>
      <c r="H1044041" s="24"/>
      <c r="I1044041" s="24"/>
      <c r="J1044041" s="24"/>
      <c r="K1044041" s="54"/>
    </row>
    <row r="1044042" spans="1:11" s="55" customFormat="1" ht="12.75">
      <c r="A1044042" s="24"/>
      <c r="B1044042" s="24"/>
      <c r="C1044042" s="24"/>
      <c r="D1044042" s="24"/>
      <c r="E1044042" s="24"/>
      <c r="F1044042" s="24"/>
      <c r="G1044042" s="24"/>
      <c r="H1044042" s="24"/>
      <c r="I1044042" s="24"/>
      <c r="J1044042" s="24"/>
      <c r="K1044042" s="54"/>
    </row>
    <row r="1044043" spans="1:11" s="55" customFormat="1" ht="12.75">
      <c r="A1044043" s="24"/>
      <c r="B1044043" s="24"/>
      <c r="C1044043" s="24"/>
      <c r="D1044043" s="24"/>
      <c r="E1044043" s="24"/>
      <c r="F1044043" s="24"/>
      <c r="G1044043" s="24"/>
      <c r="H1044043" s="24"/>
      <c r="I1044043" s="24"/>
      <c r="J1044043" s="24"/>
      <c r="K1044043" s="54"/>
    </row>
    <row r="1044044" spans="1:11" s="55" customFormat="1" ht="12.75">
      <c r="A1044044" s="24"/>
      <c r="B1044044" s="24"/>
      <c r="C1044044" s="24"/>
      <c r="D1044044" s="24"/>
      <c r="E1044044" s="24"/>
      <c r="F1044044" s="24"/>
      <c r="G1044044" s="24"/>
      <c r="H1044044" s="24"/>
      <c r="I1044044" s="24"/>
      <c r="J1044044" s="24"/>
      <c r="K1044044" s="54"/>
    </row>
    <row r="1044045" spans="1:11" s="55" customFormat="1" ht="12.75">
      <c r="A1044045" s="24"/>
      <c r="B1044045" s="24"/>
      <c r="C1044045" s="24"/>
      <c r="D1044045" s="24"/>
      <c r="E1044045" s="24"/>
      <c r="F1044045" s="24"/>
      <c r="G1044045" s="24"/>
      <c r="H1044045" s="24"/>
      <c r="I1044045" s="24"/>
      <c r="J1044045" s="24"/>
      <c r="K1044045" s="54"/>
    </row>
    <row r="1044046" spans="1:11" s="55" customFormat="1" ht="12.75">
      <c r="A1044046" s="24"/>
      <c r="B1044046" s="24"/>
      <c r="C1044046" s="24"/>
      <c r="D1044046" s="24"/>
      <c r="E1044046" s="24"/>
      <c r="F1044046" s="24"/>
      <c r="G1044046" s="24"/>
      <c r="H1044046" s="24"/>
      <c r="I1044046" s="24"/>
      <c r="J1044046" s="24"/>
      <c r="K1044046" s="54"/>
    </row>
    <row r="1044047" spans="1:11" s="55" customFormat="1" ht="12.75">
      <c r="A1044047" s="24"/>
      <c r="B1044047" s="24"/>
      <c r="C1044047" s="24"/>
      <c r="D1044047" s="24"/>
      <c r="E1044047" s="24"/>
      <c r="F1044047" s="24"/>
      <c r="G1044047" s="24"/>
      <c r="H1044047" s="24"/>
      <c r="I1044047" s="24"/>
      <c r="J1044047" s="24"/>
      <c r="K1044047" s="54"/>
    </row>
    <row r="1044048" spans="1:11" s="55" customFormat="1" ht="12.75">
      <c r="A1044048" s="24"/>
      <c r="B1044048" s="24"/>
      <c r="C1044048" s="24"/>
      <c r="D1044048" s="24"/>
      <c r="E1044048" s="24"/>
      <c r="F1044048" s="24"/>
      <c r="G1044048" s="24"/>
      <c r="H1044048" s="24"/>
      <c r="I1044048" s="24"/>
      <c r="J1044048" s="24"/>
      <c r="K1044048" s="54"/>
    </row>
    <row r="1044049" spans="1:11" s="55" customFormat="1" ht="12.75">
      <c r="A1044049" s="24"/>
      <c r="B1044049" s="24"/>
      <c r="C1044049" s="24"/>
      <c r="D1044049" s="24"/>
      <c r="E1044049" s="24"/>
      <c r="F1044049" s="24"/>
      <c r="G1044049" s="24"/>
      <c r="H1044049" s="24"/>
      <c r="I1044049" s="24"/>
      <c r="J1044049" s="24"/>
      <c r="K1044049" s="54"/>
    </row>
    <row r="1044050" spans="1:11" s="55" customFormat="1" ht="12.75">
      <c r="A1044050" s="24"/>
      <c r="B1044050" s="24"/>
      <c r="C1044050" s="24"/>
      <c r="D1044050" s="24"/>
      <c r="E1044050" s="24"/>
      <c r="F1044050" s="24"/>
      <c r="G1044050" s="24"/>
      <c r="H1044050" s="24"/>
      <c r="I1044050" s="24"/>
      <c r="J1044050" s="24"/>
      <c r="K1044050" s="54"/>
    </row>
    <row r="1044051" spans="1:11" s="55" customFormat="1" ht="12.75">
      <c r="A1044051" s="24"/>
      <c r="B1044051" s="24"/>
      <c r="C1044051" s="24"/>
      <c r="D1044051" s="24"/>
      <c r="E1044051" s="24"/>
      <c r="F1044051" s="24"/>
      <c r="G1044051" s="24"/>
      <c r="H1044051" s="24"/>
      <c r="I1044051" s="24"/>
      <c r="J1044051" s="24"/>
      <c r="K1044051" s="54"/>
    </row>
    <row r="1044052" spans="1:11" s="55" customFormat="1" ht="12.75">
      <c r="A1044052" s="24"/>
      <c r="B1044052" s="24"/>
      <c r="C1044052" s="24"/>
      <c r="D1044052" s="24"/>
      <c r="E1044052" s="24"/>
      <c r="F1044052" s="24"/>
      <c r="G1044052" s="24"/>
      <c r="H1044052" s="24"/>
      <c r="I1044052" s="24"/>
      <c r="J1044052" s="24"/>
      <c r="K1044052" s="54"/>
    </row>
    <row r="1044053" spans="1:11" s="55" customFormat="1" ht="12.75">
      <c r="A1044053" s="24"/>
      <c r="B1044053" s="24"/>
      <c r="C1044053" s="24"/>
      <c r="D1044053" s="24"/>
      <c r="E1044053" s="24"/>
      <c r="F1044053" s="24"/>
      <c r="G1044053" s="24"/>
      <c r="H1044053" s="24"/>
      <c r="I1044053" s="24"/>
      <c r="J1044053" s="24"/>
      <c r="K1044053" s="54"/>
    </row>
    <row r="1044054" spans="1:11" s="55" customFormat="1" ht="12.75">
      <c r="A1044054" s="24"/>
      <c r="B1044054" s="24"/>
      <c r="C1044054" s="24"/>
      <c r="D1044054" s="24"/>
      <c r="E1044054" s="24"/>
      <c r="F1044054" s="24"/>
      <c r="G1044054" s="24"/>
      <c r="H1044054" s="24"/>
      <c r="I1044054" s="24"/>
      <c r="J1044054" s="24"/>
      <c r="K1044054" s="54"/>
    </row>
    <row r="1044055" spans="1:11" s="55" customFormat="1" ht="12.75">
      <c r="A1044055" s="24"/>
      <c r="B1044055" s="24"/>
      <c r="C1044055" s="24"/>
      <c r="D1044055" s="24"/>
      <c r="E1044055" s="24"/>
      <c r="F1044055" s="24"/>
      <c r="G1044055" s="24"/>
      <c r="H1044055" s="24"/>
      <c r="I1044055" s="24"/>
      <c r="J1044055" s="24"/>
      <c r="K1044055" s="54"/>
    </row>
    <row r="1044056" spans="1:11" s="55" customFormat="1" ht="12.75">
      <c r="A1044056" s="24"/>
      <c r="B1044056" s="24"/>
      <c r="C1044056" s="24"/>
      <c r="D1044056" s="24"/>
      <c r="E1044056" s="24"/>
      <c r="F1044056" s="24"/>
      <c r="G1044056" s="24"/>
      <c r="H1044056" s="24"/>
      <c r="I1044056" s="24"/>
      <c r="J1044056" s="24"/>
      <c r="K1044056" s="54"/>
    </row>
    <row r="1044057" spans="1:11" s="55" customFormat="1" ht="12.75">
      <c r="A1044057" s="24"/>
      <c r="B1044057" s="24"/>
      <c r="C1044057" s="24"/>
      <c r="D1044057" s="24"/>
      <c r="E1044057" s="24"/>
      <c r="F1044057" s="24"/>
      <c r="G1044057" s="24"/>
      <c r="H1044057" s="24"/>
      <c r="I1044057" s="24"/>
      <c r="J1044057" s="24"/>
      <c r="K1044057" s="54"/>
    </row>
    <row r="1044058" spans="1:11" s="55" customFormat="1" ht="12.75">
      <c r="A1044058" s="24"/>
      <c r="B1044058" s="24"/>
      <c r="C1044058" s="24"/>
      <c r="D1044058" s="24"/>
      <c r="E1044058" s="24"/>
      <c r="F1044058" s="24"/>
      <c r="G1044058" s="24"/>
      <c r="H1044058" s="24"/>
      <c r="I1044058" s="24"/>
      <c r="J1044058" s="24"/>
      <c r="K1044058" s="54"/>
    </row>
    <row r="1044059" spans="1:11" s="55" customFormat="1" ht="12.75">
      <c r="A1044059" s="24"/>
      <c r="B1044059" s="24"/>
      <c r="C1044059" s="24"/>
      <c r="D1044059" s="24"/>
      <c r="E1044059" s="24"/>
      <c r="F1044059" s="24"/>
      <c r="G1044059" s="24"/>
      <c r="H1044059" s="24"/>
      <c r="I1044059" s="24"/>
      <c r="J1044059" s="24"/>
      <c r="K1044059" s="54"/>
    </row>
    <row r="1044060" spans="1:11" s="55" customFormat="1" ht="12.75">
      <c r="A1044060" s="24"/>
      <c r="B1044060" s="24"/>
      <c r="C1044060" s="24"/>
      <c r="D1044060" s="24"/>
      <c r="E1044060" s="24"/>
      <c r="F1044060" s="24"/>
      <c r="G1044060" s="24"/>
      <c r="H1044060" s="24"/>
      <c r="I1044060" s="24"/>
      <c r="J1044060" s="24"/>
      <c r="K1044060" s="54"/>
    </row>
    <row r="1044061" spans="1:11" s="55" customFormat="1" ht="12.75">
      <c r="A1044061" s="24"/>
      <c r="B1044061" s="24"/>
      <c r="C1044061" s="24"/>
      <c r="D1044061" s="24"/>
      <c r="E1044061" s="24"/>
      <c r="F1044061" s="24"/>
      <c r="G1044061" s="24"/>
      <c r="H1044061" s="24"/>
      <c r="I1044061" s="24"/>
      <c r="J1044061" s="24"/>
      <c r="K1044061" s="54"/>
    </row>
    <row r="1044062" spans="1:11" s="55" customFormat="1" ht="12.75">
      <c r="A1044062" s="24"/>
      <c r="B1044062" s="24"/>
      <c r="C1044062" s="24"/>
      <c r="D1044062" s="24"/>
      <c r="E1044062" s="24"/>
      <c r="F1044062" s="24"/>
      <c r="G1044062" s="24"/>
      <c r="H1044062" s="24"/>
      <c r="I1044062" s="24"/>
      <c r="J1044062" s="24"/>
      <c r="K1044062" s="54"/>
    </row>
    <row r="1044063" spans="1:11" s="55" customFormat="1" ht="12.75">
      <c r="A1044063" s="24"/>
      <c r="B1044063" s="24"/>
      <c r="C1044063" s="24"/>
      <c r="D1044063" s="24"/>
      <c r="E1044063" s="24"/>
      <c r="F1044063" s="24"/>
      <c r="G1044063" s="24"/>
      <c r="H1044063" s="24"/>
      <c r="I1044063" s="24"/>
      <c r="J1044063" s="24"/>
      <c r="K1044063" s="54"/>
    </row>
    <row r="1044064" spans="1:11" s="55" customFormat="1" ht="12.75">
      <c r="A1044064" s="24"/>
      <c r="B1044064" s="24"/>
      <c r="C1044064" s="24"/>
      <c r="D1044064" s="24"/>
      <c r="E1044064" s="24"/>
      <c r="F1044064" s="24"/>
      <c r="G1044064" s="24"/>
      <c r="H1044064" s="24"/>
      <c r="I1044064" s="24"/>
      <c r="J1044064" s="24"/>
      <c r="K1044064" s="54"/>
    </row>
    <row r="1044065" spans="1:11" s="55" customFormat="1" ht="12.75">
      <c r="A1044065" s="24"/>
      <c r="B1044065" s="24"/>
      <c r="C1044065" s="24"/>
      <c r="D1044065" s="24"/>
      <c r="E1044065" s="24"/>
      <c r="F1044065" s="24"/>
      <c r="G1044065" s="24"/>
      <c r="H1044065" s="24"/>
      <c r="I1044065" s="24"/>
      <c r="J1044065" s="24"/>
      <c r="K1044065" s="54"/>
    </row>
    <row r="1044066" spans="1:11" s="55" customFormat="1" ht="12.75">
      <c r="A1044066" s="24"/>
      <c r="B1044066" s="24"/>
      <c r="C1044066" s="24"/>
      <c r="D1044066" s="24"/>
      <c r="E1044066" s="24"/>
      <c r="F1044066" s="24"/>
      <c r="G1044066" s="24"/>
      <c r="H1044066" s="24"/>
      <c r="I1044066" s="24"/>
      <c r="J1044066" s="24"/>
      <c r="K1044066" s="54"/>
    </row>
    <row r="1044067" spans="1:11" s="55" customFormat="1" ht="12.75">
      <c r="A1044067" s="24"/>
      <c r="B1044067" s="24"/>
      <c r="C1044067" s="24"/>
      <c r="D1044067" s="24"/>
      <c r="E1044067" s="24"/>
      <c r="F1044067" s="24"/>
      <c r="G1044067" s="24"/>
      <c r="H1044067" s="24"/>
      <c r="I1044067" s="24"/>
      <c r="J1044067" s="24"/>
      <c r="K1044067" s="54"/>
    </row>
    <row r="1044068" spans="1:11" s="55" customFormat="1" ht="12.75">
      <c r="A1044068" s="24"/>
      <c r="B1044068" s="24"/>
      <c r="C1044068" s="24"/>
      <c r="D1044068" s="24"/>
      <c r="E1044068" s="24"/>
      <c r="F1044068" s="24"/>
      <c r="G1044068" s="24"/>
      <c r="H1044068" s="24"/>
      <c r="I1044068" s="24"/>
      <c r="J1044068" s="24"/>
      <c r="K1044068" s="54"/>
    </row>
    <row r="1044069" spans="1:11" s="55" customFormat="1" ht="12.75">
      <c r="A1044069" s="24"/>
      <c r="B1044069" s="24"/>
      <c r="C1044069" s="24"/>
      <c r="D1044069" s="24"/>
      <c r="E1044069" s="24"/>
      <c r="F1044069" s="24"/>
      <c r="G1044069" s="24"/>
      <c r="H1044069" s="24"/>
      <c r="I1044069" s="24"/>
      <c r="J1044069" s="24"/>
      <c r="K1044069" s="54"/>
    </row>
    <row r="1044070" spans="1:11" s="55" customFormat="1" ht="12.75">
      <c r="A1044070" s="24"/>
      <c r="B1044070" s="24"/>
      <c r="C1044070" s="24"/>
      <c r="D1044070" s="24"/>
      <c r="E1044070" s="24"/>
      <c r="F1044070" s="24"/>
      <c r="G1044070" s="24"/>
      <c r="H1044070" s="24"/>
      <c r="I1044070" s="24"/>
      <c r="J1044070" s="24"/>
      <c r="K1044070" s="54"/>
    </row>
    <row r="1044071" spans="1:11" s="55" customFormat="1" ht="12.75">
      <c r="A1044071" s="24"/>
      <c r="B1044071" s="24"/>
      <c r="C1044071" s="24"/>
      <c r="D1044071" s="24"/>
      <c r="E1044071" s="24"/>
      <c r="F1044071" s="24"/>
      <c r="G1044071" s="24"/>
      <c r="H1044071" s="24"/>
      <c r="I1044071" s="24"/>
      <c r="J1044071" s="24"/>
      <c r="K1044071" s="54"/>
    </row>
    <row r="1044072" spans="1:11" s="55" customFormat="1" ht="12.75">
      <c r="A1044072" s="24"/>
      <c r="B1044072" s="24"/>
      <c r="C1044072" s="24"/>
      <c r="D1044072" s="24"/>
      <c r="E1044072" s="24"/>
      <c r="F1044072" s="24"/>
      <c r="G1044072" s="24"/>
      <c r="H1044072" s="24"/>
      <c r="I1044072" s="24"/>
      <c r="J1044072" s="24"/>
      <c r="K1044072" s="54"/>
    </row>
    <row r="1044073" spans="1:11" s="55" customFormat="1" ht="12.75">
      <c r="A1044073" s="24"/>
      <c r="B1044073" s="24"/>
      <c r="C1044073" s="24"/>
      <c r="D1044073" s="24"/>
      <c r="E1044073" s="24"/>
      <c r="F1044073" s="24"/>
      <c r="G1044073" s="24"/>
      <c r="H1044073" s="24"/>
      <c r="I1044073" s="24"/>
      <c r="J1044073" s="24"/>
      <c r="K1044073" s="54"/>
    </row>
    <row r="1044074" spans="1:11" s="55" customFormat="1" ht="12.75">
      <c r="A1044074" s="24"/>
      <c r="B1044074" s="24"/>
      <c r="C1044074" s="24"/>
      <c r="D1044074" s="24"/>
      <c r="E1044074" s="24"/>
      <c r="F1044074" s="24"/>
      <c r="G1044074" s="24"/>
      <c r="H1044074" s="24"/>
      <c r="I1044074" s="24"/>
      <c r="J1044074" s="24"/>
      <c r="K1044074" s="54"/>
    </row>
    <row r="1044075" spans="1:11" s="55" customFormat="1" ht="12.75">
      <c r="A1044075" s="24"/>
      <c r="B1044075" s="24"/>
      <c r="C1044075" s="24"/>
      <c r="D1044075" s="24"/>
      <c r="E1044075" s="24"/>
      <c r="F1044075" s="24"/>
      <c r="G1044075" s="24"/>
      <c r="H1044075" s="24"/>
      <c r="I1044075" s="24"/>
      <c r="J1044075" s="24"/>
      <c r="K1044075" s="54"/>
    </row>
    <row r="1044076" spans="1:11" s="55" customFormat="1" ht="12.75">
      <c r="A1044076" s="24"/>
      <c r="B1044076" s="24"/>
      <c r="C1044076" s="24"/>
      <c r="D1044076" s="24"/>
      <c r="E1044076" s="24"/>
      <c r="F1044076" s="24"/>
      <c r="G1044076" s="24"/>
      <c r="H1044076" s="24"/>
      <c r="I1044076" s="24"/>
      <c r="J1044076" s="24"/>
      <c r="K1044076" s="54"/>
    </row>
    <row r="1044077" spans="1:11" s="55" customFormat="1" ht="12.75">
      <c r="A1044077" s="24"/>
      <c r="B1044077" s="24"/>
      <c r="C1044077" s="24"/>
      <c r="D1044077" s="24"/>
      <c r="E1044077" s="24"/>
      <c r="F1044077" s="24"/>
      <c r="G1044077" s="24"/>
      <c r="H1044077" s="24"/>
      <c r="I1044077" s="24"/>
      <c r="J1044077" s="24"/>
      <c r="K1044077" s="54"/>
    </row>
    <row r="1044078" spans="1:11" s="55" customFormat="1" ht="12.75">
      <c r="A1044078" s="24"/>
      <c r="B1044078" s="24"/>
      <c r="C1044078" s="24"/>
      <c r="D1044078" s="24"/>
      <c r="E1044078" s="24"/>
      <c r="F1044078" s="24"/>
      <c r="G1044078" s="24"/>
      <c r="H1044078" s="24"/>
      <c r="I1044078" s="24"/>
      <c r="J1044078" s="24"/>
      <c r="K1044078" s="54"/>
    </row>
    <row r="1044079" spans="1:11" s="55" customFormat="1" ht="12.75">
      <c r="A1044079" s="24"/>
      <c r="B1044079" s="24"/>
      <c r="C1044079" s="24"/>
      <c r="D1044079" s="24"/>
      <c r="E1044079" s="24"/>
      <c r="F1044079" s="24"/>
      <c r="G1044079" s="24"/>
      <c r="H1044079" s="24"/>
      <c r="I1044079" s="24"/>
      <c r="J1044079" s="24"/>
      <c r="K1044079" s="54"/>
    </row>
    <row r="1044080" spans="1:11" s="55" customFormat="1" ht="12.75">
      <c r="A1044080" s="24"/>
      <c r="B1044080" s="24"/>
      <c r="C1044080" s="24"/>
      <c r="D1044080" s="24"/>
      <c r="E1044080" s="24"/>
      <c r="F1044080" s="24"/>
      <c r="G1044080" s="24"/>
      <c r="H1044080" s="24"/>
      <c r="I1044080" s="24"/>
      <c r="J1044080" s="24"/>
      <c r="K1044080" s="54"/>
    </row>
    <row r="1044081" spans="1:11" s="55" customFormat="1" ht="12.75">
      <c r="A1044081" s="24"/>
      <c r="B1044081" s="24"/>
      <c r="C1044081" s="24"/>
      <c r="D1044081" s="24"/>
      <c r="E1044081" s="24"/>
      <c r="F1044081" s="24"/>
      <c r="G1044081" s="24"/>
      <c r="H1044081" s="24"/>
      <c r="I1044081" s="24"/>
      <c r="J1044081" s="24"/>
      <c r="K1044081" s="54"/>
    </row>
    <row r="1044082" spans="1:11" s="55" customFormat="1" ht="12.75">
      <c r="A1044082" s="24"/>
      <c r="B1044082" s="24"/>
      <c r="C1044082" s="24"/>
      <c r="D1044082" s="24"/>
      <c r="E1044082" s="24"/>
      <c r="F1044082" s="24"/>
      <c r="G1044082" s="24"/>
      <c r="H1044082" s="24"/>
      <c r="I1044082" s="24"/>
      <c r="J1044082" s="24"/>
      <c r="K1044082" s="54"/>
    </row>
    <row r="1044083" spans="1:11" s="55" customFormat="1" ht="12.75">
      <c r="A1044083" s="24"/>
      <c r="B1044083" s="24"/>
      <c r="C1044083" s="24"/>
      <c r="D1044083" s="24"/>
      <c r="E1044083" s="24"/>
      <c r="F1044083" s="24"/>
      <c r="G1044083" s="24"/>
      <c r="H1044083" s="24"/>
      <c r="I1044083" s="24"/>
      <c r="J1044083" s="24"/>
      <c r="K1044083" s="54"/>
    </row>
    <row r="1044084" spans="1:11" s="55" customFormat="1" ht="12.75">
      <c r="A1044084" s="24"/>
      <c r="B1044084" s="24"/>
      <c r="C1044084" s="24"/>
      <c r="D1044084" s="24"/>
      <c r="E1044084" s="24"/>
      <c r="F1044084" s="24"/>
      <c r="G1044084" s="24"/>
      <c r="H1044084" s="24"/>
      <c r="I1044084" s="24"/>
      <c r="J1044084" s="24"/>
      <c r="K1044084" s="54"/>
    </row>
    <row r="1044085" spans="1:11" s="55" customFormat="1" ht="12.75">
      <c r="A1044085" s="24"/>
      <c r="B1044085" s="24"/>
      <c r="C1044085" s="24"/>
      <c r="D1044085" s="24"/>
      <c r="E1044085" s="24"/>
      <c r="F1044085" s="24"/>
      <c r="G1044085" s="24"/>
      <c r="H1044085" s="24"/>
      <c r="I1044085" s="24"/>
      <c r="J1044085" s="24"/>
      <c r="K1044085" s="54"/>
    </row>
    <row r="1044086" spans="1:11" s="55" customFormat="1" ht="12.75">
      <c r="A1044086" s="24"/>
      <c r="B1044086" s="24"/>
      <c r="C1044086" s="24"/>
      <c r="D1044086" s="24"/>
      <c r="E1044086" s="24"/>
      <c r="F1044086" s="24"/>
      <c r="G1044086" s="24"/>
      <c r="H1044086" s="24"/>
      <c r="I1044086" s="24"/>
      <c r="J1044086" s="24"/>
      <c r="K1044086" s="54"/>
    </row>
    <row r="1044087" spans="1:11" s="55" customFormat="1" ht="12.75">
      <c r="A1044087" s="24"/>
      <c r="B1044087" s="24"/>
      <c r="C1044087" s="24"/>
      <c r="D1044087" s="24"/>
      <c r="E1044087" s="24"/>
      <c r="F1044087" s="24"/>
      <c r="G1044087" s="24"/>
      <c r="H1044087" s="24"/>
      <c r="I1044087" s="24"/>
      <c r="J1044087" s="24"/>
      <c r="K1044087" s="54"/>
    </row>
    <row r="1044088" spans="1:11" s="55" customFormat="1" ht="12.75">
      <c r="A1044088" s="24"/>
      <c r="B1044088" s="24"/>
      <c r="C1044088" s="24"/>
      <c r="D1044088" s="24"/>
      <c r="E1044088" s="24"/>
      <c r="F1044088" s="24"/>
      <c r="G1044088" s="24"/>
      <c r="H1044088" s="24"/>
      <c r="I1044088" s="24"/>
      <c r="J1044088" s="24"/>
      <c r="K1044088" s="54"/>
    </row>
    <row r="1044089" spans="1:11" s="55" customFormat="1" ht="12.75">
      <c r="A1044089" s="24"/>
      <c r="B1044089" s="24"/>
      <c r="C1044089" s="24"/>
      <c r="D1044089" s="24"/>
      <c r="E1044089" s="24"/>
      <c r="F1044089" s="24"/>
      <c r="G1044089" s="24"/>
      <c r="H1044089" s="24"/>
      <c r="I1044089" s="24"/>
      <c r="J1044089" s="24"/>
      <c r="K1044089" s="54"/>
    </row>
    <row r="1044090" spans="1:11" s="55" customFormat="1" ht="12.75">
      <c r="A1044090" s="24"/>
      <c r="B1044090" s="24"/>
      <c r="C1044090" s="24"/>
      <c r="D1044090" s="24"/>
      <c r="E1044090" s="24"/>
      <c r="F1044090" s="24"/>
      <c r="G1044090" s="24"/>
      <c r="H1044090" s="24"/>
      <c r="I1044090" s="24"/>
      <c r="J1044090" s="24"/>
      <c r="K1044090" s="54"/>
    </row>
    <row r="1044091" spans="1:11" s="55" customFormat="1" ht="12.75">
      <c r="A1044091" s="24"/>
      <c r="B1044091" s="24"/>
      <c r="C1044091" s="24"/>
      <c r="D1044091" s="24"/>
      <c r="E1044091" s="24"/>
      <c r="F1044091" s="24"/>
      <c r="G1044091" s="24"/>
      <c r="H1044091" s="24"/>
      <c r="I1044091" s="24"/>
      <c r="J1044091" s="24"/>
      <c r="K1044091" s="54"/>
    </row>
    <row r="1044092" spans="1:11" s="55" customFormat="1" ht="12.75">
      <c r="A1044092" s="24"/>
      <c r="B1044092" s="24"/>
      <c r="C1044092" s="24"/>
      <c r="D1044092" s="24"/>
      <c r="E1044092" s="24"/>
      <c r="F1044092" s="24"/>
      <c r="G1044092" s="24"/>
      <c r="H1044092" s="24"/>
      <c r="I1044092" s="24"/>
      <c r="J1044092" s="24"/>
      <c r="K1044092" s="54"/>
    </row>
    <row r="1044093" spans="1:11" s="55" customFormat="1" ht="12.75">
      <c r="A1044093" s="24"/>
      <c r="B1044093" s="24"/>
      <c r="C1044093" s="24"/>
      <c r="D1044093" s="24"/>
      <c r="E1044093" s="24"/>
      <c r="F1044093" s="24"/>
      <c r="G1044093" s="24"/>
      <c r="H1044093" s="24"/>
      <c r="I1044093" s="24"/>
      <c r="J1044093" s="24"/>
      <c r="K1044093" s="54"/>
    </row>
    <row r="1044094" spans="1:11" s="55" customFormat="1" ht="12.75">
      <c r="A1044094" s="24"/>
      <c r="B1044094" s="24"/>
      <c r="C1044094" s="24"/>
      <c r="D1044094" s="24"/>
      <c r="E1044094" s="24"/>
      <c r="F1044094" s="24"/>
      <c r="G1044094" s="24"/>
      <c r="H1044094" s="24"/>
      <c r="I1044094" s="24"/>
      <c r="J1044094" s="24"/>
      <c r="K1044094" s="54"/>
    </row>
    <row r="1044095" spans="1:11" s="55" customFormat="1" ht="12.75">
      <c r="A1044095" s="24"/>
      <c r="B1044095" s="24"/>
      <c r="C1044095" s="24"/>
      <c r="D1044095" s="24"/>
      <c r="E1044095" s="24"/>
      <c r="F1044095" s="24"/>
      <c r="G1044095" s="24"/>
      <c r="H1044095" s="24"/>
      <c r="I1044095" s="24"/>
      <c r="J1044095" s="24"/>
      <c r="K1044095" s="54"/>
    </row>
    <row r="1044096" spans="1:11" s="55" customFormat="1" ht="12.75">
      <c r="A1044096" s="24"/>
      <c r="B1044096" s="24"/>
      <c r="C1044096" s="24"/>
      <c r="D1044096" s="24"/>
      <c r="E1044096" s="24"/>
      <c r="F1044096" s="24"/>
      <c r="G1044096" s="24"/>
      <c r="H1044096" s="24"/>
      <c r="I1044096" s="24"/>
      <c r="J1044096" s="24"/>
      <c r="K1044096" s="54"/>
    </row>
    <row r="1044097" spans="1:11" s="55" customFormat="1" ht="12.75">
      <c r="A1044097" s="24"/>
      <c r="B1044097" s="24"/>
      <c r="C1044097" s="24"/>
      <c r="D1044097" s="24"/>
      <c r="E1044097" s="24"/>
      <c r="F1044097" s="24"/>
      <c r="G1044097" s="24"/>
      <c r="H1044097" s="24"/>
      <c r="I1044097" s="24"/>
      <c r="J1044097" s="24"/>
      <c r="K1044097" s="54"/>
    </row>
    <row r="1044098" spans="1:11" s="55" customFormat="1" ht="12.75">
      <c r="A1044098" s="24"/>
      <c r="B1044098" s="24"/>
      <c r="C1044098" s="24"/>
      <c r="D1044098" s="24"/>
      <c r="E1044098" s="24"/>
      <c r="F1044098" s="24"/>
      <c r="G1044098" s="24"/>
      <c r="H1044098" s="24"/>
      <c r="I1044098" s="24"/>
      <c r="J1044098" s="24"/>
      <c r="K1044098" s="54"/>
    </row>
    <row r="1044099" spans="1:11" s="55" customFormat="1" ht="12.75">
      <c r="A1044099" s="24"/>
      <c r="B1044099" s="24"/>
      <c r="C1044099" s="24"/>
      <c r="D1044099" s="24"/>
      <c r="E1044099" s="24"/>
      <c r="F1044099" s="24"/>
      <c r="G1044099" s="24"/>
      <c r="H1044099" s="24"/>
      <c r="I1044099" s="24"/>
      <c r="J1044099" s="24"/>
      <c r="K1044099" s="54"/>
    </row>
    <row r="1044100" spans="1:11" s="55" customFormat="1" ht="12.75">
      <c r="A1044100" s="24"/>
      <c r="B1044100" s="24"/>
      <c r="C1044100" s="24"/>
      <c r="D1044100" s="24"/>
      <c r="E1044100" s="24"/>
      <c r="F1044100" s="24"/>
      <c r="G1044100" s="24"/>
      <c r="H1044100" s="24"/>
      <c r="I1044100" s="24"/>
      <c r="J1044100" s="24"/>
      <c r="K1044100" s="54"/>
    </row>
    <row r="1044101" spans="1:11" s="55" customFormat="1" ht="12.75">
      <c r="A1044101" s="24"/>
      <c r="B1044101" s="24"/>
      <c r="C1044101" s="24"/>
      <c r="D1044101" s="24"/>
      <c r="E1044101" s="24"/>
      <c r="F1044101" s="24"/>
      <c r="G1044101" s="24"/>
      <c r="H1044101" s="24"/>
      <c r="I1044101" s="24"/>
      <c r="J1044101" s="24"/>
      <c r="K1044101" s="54"/>
    </row>
    <row r="1044102" spans="1:11" s="55" customFormat="1" ht="12.75">
      <c r="A1044102" s="24"/>
      <c r="B1044102" s="24"/>
      <c r="C1044102" s="24"/>
      <c r="D1044102" s="24"/>
      <c r="E1044102" s="24"/>
      <c r="F1044102" s="24"/>
      <c r="G1044102" s="24"/>
      <c r="H1044102" s="24"/>
      <c r="I1044102" s="24"/>
      <c r="J1044102" s="24"/>
      <c r="K1044102" s="54"/>
    </row>
    <row r="1044103" spans="1:11" s="55" customFormat="1" ht="12.75">
      <c r="A1044103" s="24"/>
      <c r="B1044103" s="24"/>
      <c r="C1044103" s="24"/>
      <c r="D1044103" s="24"/>
      <c r="E1044103" s="24"/>
      <c r="F1044103" s="24"/>
      <c r="G1044103" s="24"/>
      <c r="H1044103" s="24"/>
      <c r="I1044103" s="24"/>
      <c r="J1044103" s="24"/>
      <c r="K1044103" s="54"/>
    </row>
    <row r="1044104" spans="1:11" s="55" customFormat="1" ht="12.75">
      <c r="A1044104" s="24"/>
      <c r="B1044104" s="24"/>
      <c r="C1044104" s="24"/>
      <c r="D1044104" s="24"/>
      <c r="E1044104" s="24"/>
      <c r="F1044104" s="24"/>
      <c r="G1044104" s="24"/>
      <c r="H1044104" s="24"/>
      <c r="I1044104" s="24"/>
      <c r="J1044104" s="24"/>
      <c r="K1044104" s="54"/>
    </row>
    <row r="1044105" spans="1:11" s="55" customFormat="1" ht="12.75">
      <c r="A1044105" s="24"/>
      <c r="B1044105" s="24"/>
      <c r="C1044105" s="24"/>
      <c r="D1044105" s="24"/>
      <c r="E1044105" s="24"/>
      <c r="F1044105" s="24"/>
      <c r="G1044105" s="24"/>
      <c r="H1044105" s="24"/>
      <c r="I1044105" s="24"/>
      <c r="J1044105" s="24"/>
      <c r="K1044105" s="54"/>
    </row>
    <row r="1044106" spans="1:11" s="55" customFormat="1" ht="12.75">
      <c r="A1044106" s="24"/>
      <c r="B1044106" s="24"/>
      <c r="C1044106" s="24"/>
      <c r="D1044106" s="24"/>
      <c r="E1044106" s="24"/>
      <c r="F1044106" s="24"/>
      <c r="G1044106" s="24"/>
      <c r="H1044106" s="24"/>
      <c r="I1044106" s="24"/>
      <c r="J1044106" s="24"/>
      <c r="K1044106" s="54"/>
    </row>
    <row r="1044107" spans="1:11" s="55" customFormat="1" ht="12.75">
      <c r="A1044107" s="24"/>
      <c r="B1044107" s="24"/>
      <c r="C1044107" s="24"/>
      <c r="D1044107" s="24"/>
      <c r="E1044107" s="24"/>
      <c r="F1044107" s="24"/>
      <c r="G1044107" s="24"/>
      <c r="H1044107" s="24"/>
      <c r="I1044107" s="24"/>
      <c r="J1044107" s="24"/>
      <c r="K1044107" s="54"/>
    </row>
    <row r="1044108" spans="1:11" s="55" customFormat="1" ht="12.75">
      <c r="A1044108" s="24"/>
      <c r="B1044108" s="24"/>
      <c r="C1044108" s="24"/>
      <c r="D1044108" s="24"/>
      <c r="E1044108" s="24"/>
      <c r="F1044108" s="24"/>
      <c r="G1044108" s="24"/>
      <c r="H1044108" s="24"/>
      <c r="I1044108" s="24"/>
      <c r="J1044108" s="24"/>
      <c r="K1044108" s="54"/>
    </row>
    <row r="1044109" spans="1:11" s="55" customFormat="1" ht="12.75">
      <c r="A1044109" s="24"/>
      <c r="B1044109" s="24"/>
      <c r="C1044109" s="24"/>
      <c r="D1044109" s="24"/>
      <c r="E1044109" s="24"/>
      <c r="F1044109" s="24"/>
      <c r="G1044109" s="24"/>
      <c r="H1044109" s="24"/>
      <c r="I1044109" s="24"/>
      <c r="J1044109" s="24"/>
      <c r="K1044109" s="54"/>
    </row>
    <row r="1044110" spans="1:11" s="55" customFormat="1" ht="12.75">
      <c r="A1044110" s="24"/>
      <c r="B1044110" s="24"/>
      <c r="C1044110" s="24"/>
      <c r="D1044110" s="24"/>
      <c r="E1044110" s="24"/>
      <c r="F1044110" s="24"/>
      <c r="G1044110" s="24"/>
      <c r="H1044110" s="24"/>
      <c r="I1044110" s="24"/>
      <c r="J1044110" s="24"/>
      <c r="K1044110" s="54"/>
    </row>
    <row r="1044111" spans="1:11" s="55" customFormat="1" ht="12.75">
      <c r="A1044111" s="24"/>
      <c r="B1044111" s="24"/>
      <c r="C1044111" s="24"/>
      <c r="D1044111" s="24"/>
      <c r="E1044111" s="24"/>
      <c r="F1044111" s="24"/>
      <c r="G1044111" s="24"/>
      <c r="H1044111" s="24"/>
      <c r="I1044111" s="24"/>
      <c r="J1044111" s="24"/>
      <c r="K1044111" s="54"/>
    </row>
    <row r="1044112" spans="1:11" s="55" customFormat="1" ht="12.75">
      <c r="A1044112" s="24"/>
      <c r="B1044112" s="24"/>
      <c r="C1044112" s="24"/>
      <c r="D1044112" s="24"/>
      <c r="E1044112" s="24"/>
      <c r="F1044112" s="24"/>
      <c r="G1044112" s="24"/>
      <c r="H1044112" s="24"/>
      <c r="I1044112" s="24"/>
      <c r="J1044112" s="24"/>
      <c r="K1044112" s="54"/>
    </row>
    <row r="1044113" spans="1:11" s="55" customFormat="1" ht="12.75">
      <c r="A1044113" s="24"/>
      <c r="B1044113" s="24"/>
      <c r="C1044113" s="24"/>
      <c r="D1044113" s="24"/>
      <c r="E1044113" s="24"/>
      <c r="F1044113" s="24"/>
      <c r="G1044113" s="24"/>
      <c r="H1044113" s="24"/>
      <c r="I1044113" s="24"/>
      <c r="J1044113" s="24"/>
      <c r="K1044113" s="54"/>
    </row>
    <row r="1044114" spans="1:11" s="55" customFormat="1" ht="12.75">
      <c r="A1044114" s="24"/>
      <c r="B1044114" s="24"/>
      <c r="C1044114" s="24"/>
      <c r="D1044114" s="24"/>
      <c r="E1044114" s="24"/>
      <c r="F1044114" s="24"/>
      <c r="G1044114" s="24"/>
      <c r="H1044114" s="24"/>
      <c r="I1044114" s="24"/>
      <c r="J1044114" s="24"/>
      <c r="K1044114" s="54"/>
    </row>
    <row r="1044115" spans="1:11" s="55" customFormat="1" ht="12.75">
      <c r="A1044115" s="24"/>
      <c r="B1044115" s="24"/>
      <c r="C1044115" s="24"/>
      <c r="D1044115" s="24"/>
      <c r="E1044115" s="24"/>
      <c r="F1044115" s="24"/>
      <c r="G1044115" s="24"/>
      <c r="H1044115" s="24"/>
      <c r="I1044115" s="24"/>
      <c r="J1044115" s="24"/>
      <c r="K1044115" s="54"/>
    </row>
    <row r="1044116" spans="1:11" s="55" customFormat="1" ht="12.75">
      <c r="A1044116" s="24"/>
      <c r="B1044116" s="24"/>
      <c r="C1044116" s="24"/>
      <c r="D1044116" s="24"/>
      <c r="E1044116" s="24"/>
      <c r="F1044116" s="24"/>
      <c r="G1044116" s="24"/>
      <c r="H1044116" s="24"/>
      <c r="I1044116" s="24"/>
      <c r="J1044116" s="24"/>
      <c r="K1044116" s="54"/>
    </row>
    <row r="1044117" spans="1:11" s="55" customFormat="1" ht="12.75">
      <c r="A1044117" s="24"/>
      <c r="B1044117" s="24"/>
      <c r="C1044117" s="24"/>
      <c r="D1044117" s="24"/>
      <c r="E1044117" s="24"/>
      <c r="F1044117" s="24"/>
      <c r="G1044117" s="24"/>
      <c r="H1044117" s="24"/>
      <c r="I1044117" s="24"/>
      <c r="J1044117" s="24"/>
      <c r="K1044117" s="54"/>
    </row>
    <row r="1044118" spans="1:11" s="55" customFormat="1" ht="12.75">
      <c r="A1044118" s="24"/>
      <c r="B1044118" s="24"/>
      <c r="C1044118" s="24"/>
      <c r="D1044118" s="24"/>
      <c r="E1044118" s="24"/>
      <c r="F1044118" s="24"/>
      <c r="G1044118" s="24"/>
      <c r="H1044118" s="24"/>
      <c r="I1044118" s="24"/>
      <c r="J1044118" s="24"/>
      <c r="K1044118" s="54"/>
    </row>
    <row r="1044119" spans="1:11" s="55" customFormat="1" ht="12.75">
      <c r="A1044119" s="24"/>
      <c r="B1044119" s="24"/>
      <c r="C1044119" s="24"/>
      <c r="D1044119" s="24"/>
      <c r="E1044119" s="24"/>
      <c r="F1044119" s="24"/>
      <c r="G1044119" s="24"/>
      <c r="H1044119" s="24"/>
      <c r="I1044119" s="24"/>
      <c r="J1044119" s="24"/>
      <c r="K1044119" s="54"/>
    </row>
    <row r="1044120" spans="1:11" s="55" customFormat="1" ht="12.75">
      <c r="A1044120" s="24"/>
      <c r="B1044120" s="24"/>
      <c r="C1044120" s="24"/>
      <c r="D1044120" s="24"/>
      <c r="E1044120" s="24"/>
      <c r="F1044120" s="24"/>
      <c r="G1044120" s="24"/>
      <c r="H1044120" s="24"/>
      <c r="I1044120" s="24"/>
      <c r="J1044120" s="24"/>
      <c r="K1044120" s="54"/>
    </row>
    <row r="1044121" spans="1:11" s="55" customFormat="1" ht="12.75">
      <c r="A1044121" s="24"/>
      <c r="B1044121" s="24"/>
      <c r="C1044121" s="24"/>
      <c r="D1044121" s="24"/>
      <c r="E1044121" s="24"/>
      <c r="F1044121" s="24"/>
      <c r="G1044121" s="24"/>
      <c r="H1044121" s="24"/>
      <c r="I1044121" s="24"/>
      <c r="J1044121" s="24"/>
      <c r="K1044121" s="54"/>
    </row>
    <row r="1044122" spans="1:11" s="55" customFormat="1" ht="12.75">
      <c r="A1044122" s="24"/>
      <c r="B1044122" s="24"/>
      <c r="C1044122" s="24"/>
      <c r="D1044122" s="24"/>
      <c r="E1044122" s="24"/>
      <c r="F1044122" s="24"/>
      <c r="G1044122" s="24"/>
      <c r="H1044122" s="24"/>
      <c r="I1044122" s="24"/>
      <c r="J1044122" s="24"/>
      <c r="K1044122" s="54"/>
    </row>
    <row r="1044123" spans="1:11" s="55" customFormat="1" ht="12.75">
      <c r="A1044123" s="24"/>
      <c r="B1044123" s="24"/>
      <c r="C1044123" s="24"/>
      <c r="D1044123" s="24"/>
      <c r="E1044123" s="24"/>
      <c r="F1044123" s="24"/>
      <c r="G1044123" s="24"/>
      <c r="H1044123" s="24"/>
      <c r="I1044123" s="24"/>
      <c r="J1044123" s="24"/>
      <c r="K1044123" s="54"/>
    </row>
    <row r="1044124" spans="1:11" s="55" customFormat="1" ht="12.75">
      <c r="A1044124" s="24"/>
      <c r="B1044124" s="24"/>
      <c r="C1044124" s="24"/>
      <c r="D1044124" s="24"/>
      <c r="E1044124" s="24"/>
      <c r="F1044124" s="24"/>
      <c r="G1044124" s="24"/>
      <c r="H1044124" s="24"/>
      <c r="I1044124" s="24"/>
      <c r="J1044124" s="24"/>
      <c r="K1044124" s="54"/>
    </row>
    <row r="1044125" spans="1:11" s="55" customFormat="1" ht="12.75">
      <c r="A1044125" s="24"/>
      <c r="B1044125" s="24"/>
      <c r="C1044125" s="24"/>
      <c r="D1044125" s="24"/>
      <c r="E1044125" s="24"/>
      <c r="F1044125" s="24"/>
      <c r="G1044125" s="24"/>
      <c r="H1044125" s="24"/>
      <c r="I1044125" s="24"/>
      <c r="J1044125" s="24"/>
      <c r="K1044125" s="54"/>
    </row>
    <row r="1044126" spans="1:11" s="55" customFormat="1" ht="12.75">
      <c r="A1044126" s="24"/>
      <c r="B1044126" s="24"/>
      <c r="C1044126" s="24"/>
      <c r="D1044126" s="24"/>
      <c r="E1044126" s="24"/>
      <c r="F1044126" s="24"/>
      <c r="G1044126" s="24"/>
      <c r="H1044126" s="24"/>
      <c r="I1044126" s="24"/>
      <c r="J1044126" s="24"/>
      <c r="K1044126" s="54"/>
    </row>
    <row r="1044127" spans="1:11" s="55" customFormat="1" ht="12.75">
      <c r="A1044127" s="24"/>
      <c r="B1044127" s="24"/>
      <c r="C1044127" s="24"/>
      <c r="D1044127" s="24"/>
      <c r="E1044127" s="24"/>
      <c r="F1044127" s="24"/>
      <c r="G1044127" s="24"/>
      <c r="H1044127" s="24"/>
      <c r="I1044127" s="24"/>
      <c r="J1044127" s="24"/>
      <c r="K1044127" s="54"/>
    </row>
    <row r="1044128" spans="1:11" s="55" customFormat="1" ht="12.75">
      <c r="A1044128" s="24"/>
      <c r="B1044128" s="24"/>
      <c r="C1044128" s="24"/>
      <c r="D1044128" s="24"/>
      <c r="E1044128" s="24"/>
      <c r="F1044128" s="24"/>
      <c r="G1044128" s="24"/>
      <c r="H1044128" s="24"/>
      <c r="I1044128" s="24"/>
      <c r="J1044128" s="24"/>
      <c r="K1044128" s="54"/>
    </row>
    <row r="1044129" spans="1:11" s="55" customFormat="1" ht="12.75">
      <c r="A1044129" s="24"/>
      <c r="B1044129" s="24"/>
      <c r="C1044129" s="24"/>
      <c r="D1044129" s="24"/>
      <c r="E1044129" s="24"/>
      <c r="F1044129" s="24"/>
      <c r="G1044129" s="24"/>
      <c r="H1044129" s="24"/>
      <c r="I1044129" s="24"/>
      <c r="J1044129" s="24"/>
      <c r="K1044129" s="54"/>
    </row>
    <row r="1044130" spans="1:11" s="55" customFormat="1" ht="12.75">
      <c r="A1044130" s="24"/>
      <c r="B1044130" s="24"/>
      <c r="C1044130" s="24"/>
      <c r="D1044130" s="24"/>
      <c r="E1044130" s="24"/>
      <c r="F1044130" s="24"/>
      <c r="G1044130" s="24"/>
      <c r="H1044130" s="24"/>
      <c r="I1044130" s="24"/>
      <c r="J1044130" s="24"/>
      <c r="K1044130" s="54"/>
    </row>
    <row r="1044131" spans="1:11" s="55" customFormat="1" ht="12.75">
      <c r="A1044131" s="24"/>
      <c r="B1044131" s="24"/>
      <c r="C1044131" s="24"/>
      <c r="D1044131" s="24"/>
      <c r="E1044131" s="24"/>
      <c r="F1044131" s="24"/>
      <c r="G1044131" s="24"/>
      <c r="H1044131" s="24"/>
      <c r="I1044131" s="24"/>
      <c r="J1044131" s="24"/>
      <c r="K1044131" s="54"/>
    </row>
    <row r="1044132" spans="1:11" s="55" customFormat="1" ht="12.75">
      <c r="A1044132" s="24"/>
      <c r="B1044132" s="24"/>
      <c r="C1044132" s="24"/>
      <c r="D1044132" s="24"/>
      <c r="E1044132" s="24"/>
      <c r="F1044132" s="24"/>
      <c r="G1044132" s="24"/>
      <c r="H1044132" s="24"/>
      <c r="I1044132" s="24"/>
      <c r="J1044132" s="24"/>
      <c r="K1044132" s="54"/>
    </row>
    <row r="1044133" spans="1:11" s="55" customFormat="1" ht="12.75">
      <c r="A1044133" s="24"/>
      <c r="B1044133" s="24"/>
      <c r="C1044133" s="24"/>
      <c r="D1044133" s="24"/>
      <c r="E1044133" s="24"/>
      <c r="F1044133" s="24"/>
      <c r="G1044133" s="24"/>
      <c r="H1044133" s="24"/>
      <c r="I1044133" s="24"/>
      <c r="J1044133" s="24"/>
      <c r="K1044133" s="54"/>
    </row>
    <row r="1044134" spans="1:11" s="55" customFormat="1" ht="12.75">
      <c r="A1044134" s="24"/>
      <c r="B1044134" s="24"/>
      <c r="C1044134" s="24"/>
      <c r="D1044134" s="24"/>
      <c r="E1044134" s="24"/>
      <c r="F1044134" s="24"/>
      <c r="G1044134" s="24"/>
      <c r="H1044134" s="24"/>
      <c r="I1044134" s="24"/>
      <c r="J1044134" s="24"/>
      <c r="K1044134" s="54"/>
    </row>
    <row r="1044135" spans="1:11" s="55" customFormat="1" ht="12.75">
      <c r="A1044135" s="24"/>
      <c r="B1044135" s="24"/>
      <c r="C1044135" s="24"/>
      <c r="D1044135" s="24"/>
      <c r="E1044135" s="24"/>
      <c r="F1044135" s="24"/>
      <c r="G1044135" s="24"/>
      <c r="H1044135" s="24"/>
      <c r="I1044135" s="24"/>
      <c r="J1044135" s="24"/>
      <c r="K1044135" s="54"/>
    </row>
    <row r="1044136" spans="1:11" s="55" customFormat="1" ht="12.75">
      <c r="A1044136" s="24"/>
      <c r="B1044136" s="24"/>
      <c r="C1044136" s="24"/>
      <c r="D1044136" s="24"/>
      <c r="E1044136" s="24"/>
      <c r="F1044136" s="24"/>
      <c r="G1044136" s="24"/>
      <c r="H1044136" s="24"/>
      <c r="I1044136" s="24"/>
      <c r="J1044136" s="24"/>
      <c r="K1044136" s="54"/>
    </row>
    <row r="1044137" spans="1:11" s="55" customFormat="1" ht="12.75">
      <c r="A1044137" s="24"/>
      <c r="B1044137" s="24"/>
      <c r="C1044137" s="24"/>
      <c r="D1044137" s="24"/>
      <c r="E1044137" s="24"/>
      <c r="F1044137" s="24"/>
      <c r="G1044137" s="24"/>
      <c r="H1044137" s="24"/>
      <c r="I1044137" s="24"/>
      <c r="J1044137" s="24"/>
      <c r="K1044137" s="54"/>
    </row>
    <row r="1044138" spans="1:11" s="55" customFormat="1" ht="12.75">
      <c r="A1044138" s="24"/>
      <c r="B1044138" s="24"/>
      <c r="C1044138" s="24"/>
      <c r="D1044138" s="24"/>
      <c r="E1044138" s="24"/>
      <c r="F1044138" s="24"/>
      <c r="G1044138" s="24"/>
      <c r="H1044138" s="24"/>
      <c r="I1044138" s="24"/>
      <c r="J1044138" s="24"/>
      <c r="K1044138" s="54"/>
    </row>
    <row r="1044139" spans="1:11" s="55" customFormat="1" ht="12.75">
      <c r="A1044139" s="24"/>
      <c r="B1044139" s="24"/>
      <c r="C1044139" s="24"/>
      <c r="D1044139" s="24"/>
      <c r="E1044139" s="24"/>
      <c r="F1044139" s="24"/>
      <c r="G1044139" s="24"/>
      <c r="H1044139" s="24"/>
      <c r="I1044139" s="24"/>
      <c r="J1044139" s="24"/>
      <c r="K1044139" s="54"/>
    </row>
    <row r="1044140" spans="1:11" s="55" customFormat="1" ht="12.75">
      <c r="A1044140" s="24"/>
      <c r="B1044140" s="24"/>
      <c r="C1044140" s="24"/>
      <c r="D1044140" s="24"/>
      <c r="E1044140" s="24"/>
      <c r="F1044140" s="24"/>
      <c r="G1044140" s="24"/>
      <c r="H1044140" s="24"/>
      <c r="I1044140" s="24"/>
      <c r="J1044140" s="24"/>
      <c r="K1044140" s="54"/>
    </row>
    <row r="1044141" spans="1:11" s="55" customFormat="1" ht="12.75">
      <c r="A1044141" s="24"/>
      <c r="B1044141" s="24"/>
      <c r="C1044141" s="24"/>
      <c r="D1044141" s="24"/>
      <c r="E1044141" s="24"/>
      <c r="F1044141" s="24"/>
      <c r="G1044141" s="24"/>
      <c r="H1044141" s="24"/>
      <c r="I1044141" s="24"/>
      <c r="J1044141" s="24"/>
      <c r="K1044141" s="54"/>
    </row>
    <row r="1044142" spans="1:11" s="55" customFormat="1" ht="12.75">
      <c r="A1044142" s="24"/>
      <c r="B1044142" s="24"/>
      <c r="C1044142" s="24"/>
      <c r="D1044142" s="24"/>
      <c r="E1044142" s="24"/>
      <c r="F1044142" s="24"/>
      <c r="G1044142" s="24"/>
      <c r="H1044142" s="24"/>
      <c r="I1044142" s="24"/>
      <c r="J1044142" s="24"/>
      <c r="K1044142" s="54"/>
    </row>
    <row r="1044143" spans="1:11" s="55" customFormat="1" ht="12.75">
      <c r="A1044143" s="24"/>
      <c r="B1044143" s="24"/>
      <c r="C1044143" s="24"/>
      <c r="D1044143" s="24"/>
      <c r="E1044143" s="24"/>
      <c r="F1044143" s="24"/>
      <c r="G1044143" s="24"/>
      <c r="H1044143" s="24"/>
      <c r="I1044143" s="24"/>
      <c r="J1044143" s="24"/>
      <c r="K1044143" s="54"/>
    </row>
    <row r="1044144" spans="1:11" s="55" customFormat="1" ht="12.75">
      <c r="A1044144" s="24"/>
      <c r="B1044144" s="24"/>
      <c r="C1044144" s="24"/>
      <c r="D1044144" s="24"/>
      <c r="E1044144" s="24"/>
      <c r="F1044144" s="24"/>
      <c r="G1044144" s="24"/>
      <c r="H1044144" s="24"/>
      <c r="I1044144" s="24"/>
      <c r="J1044144" s="24"/>
      <c r="K1044144" s="54"/>
    </row>
    <row r="1044145" spans="1:11" s="55" customFormat="1" ht="12.75">
      <c r="A1044145" s="24"/>
      <c r="B1044145" s="24"/>
      <c r="C1044145" s="24"/>
      <c r="D1044145" s="24"/>
      <c r="E1044145" s="24"/>
      <c r="F1044145" s="24"/>
      <c r="G1044145" s="24"/>
      <c r="H1044145" s="24"/>
      <c r="I1044145" s="24"/>
      <c r="J1044145" s="24"/>
      <c r="K1044145" s="54"/>
    </row>
    <row r="1044146" spans="1:11" s="55" customFormat="1" ht="12.75">
      <c r="A1044146" s="24"/>
      <c r="B1044146" s="24"/>
      <c r="C1044146" s="24"/>
      <c r="D1044146" s="24"/>
      <c r="E1044146" s="24"/>
      <c r="F1044146" s="24"/>
      <c r="G1044146" s="24"/>
      <c r="H1044146" s="24"/>
      <c r="I1044146" s="24"/>
      <c r="J1044146" s="24"/>
      <c r="K1044146" s="54"/>
    </row>
    <row r="1044147" spans="1:11" s="55" customFormat="1" ht="12.75">
      <c r="A1044147" s="24"/>
      <c r="B1044147" s="24"/>
      <c r="C1044147" s="24"/>
      <c r="D1044147" s="24"/>
      <c r="E1044147" s="24"/>
      <c r="F1044147" s="24"/>
      <c r="G1044147" s="24"/>
      <c r="H1044147" s="24"/>
      <c r="I1044147" s="24"/>
      <c r="J1044147" s="24"/>
      <c r="K1044147" s="54"/>
    </row>
    <row r="1044148" spans="1:11" s="55" customFormat="1" ht="12.75">
      <c r="A1044148" s="24"/>
      <c r="B1044148" s="24"/>
      <c r="C1044148" s="24"/>
      <c r="D1044148" s="24"/>
      <c r="E1044148" s="24"/>
      <c r="F1044148" s="24"/>
      <c r="G1044148" s="24"/>
      <c r="H1044148" s="24"/>
      <c r="I1044148" s="24"/>
      <c r="J1044148" s="24"/>
      <c r="K1044148" s="54"/>
    </row>
    <row r="1044149" spans="1:11" s="55" customFormat="1" ht="12.75">
      <c r="A1044149" s="24"/>
      <c r="B1044149" s="24"/>
      <c r="C1044149" s="24"/>
      <c r="D1044149" s="24"/>
      <c r="E1044149" s="24"/>
      <c r="F1044149" s="24"/>
      <c r="G1044149" s="24"/>
      <c r="H1044149" s="24"/>
      <c r="I1044149" s="24"/>
      <c r="J1044149" s="24"/>
      <c r="K1044149" s="54"/>
    </row>
    <row r="1044150" spans="1:11" s="55" customFormat="1" ht="12.75">
      <c r="A1044150" s="24"/>
      <c r="B1044150" s="24"/>
      <c r="C1044150" s="24"/>
      <c r="D1044150" s="24"/>
      <c r="E1044150" s="24"/>
      <c r="F1044150" s="24"/>
      <c r="G1044150" s="24"/>
      <c r="H1044150" s="24"/>
      <c r="I1044150" s="24"/>
      <c r="J1044150" s="24"/>
      <c r="K1044150" s="54"/>
    </row>
    <row r="1044151" spans="1:11" s="55" customFormat="1" ht="12.75">
      <c r="A1044151" s="24"/>
      <c r="B1044151" s="24"/>
      <c r="C1044151" s="24"/>
      <c r="D1044151" s="24"/>
      <c r="E1044151" s="24"/>
      <c r="F1044151" s="24"/>
      <c r="G1044151" s="24"/>
      <c r="H1044151" s="24"/>
      <c r="I1044151" s="24"/>
      <c r="J1044151" s="24"/>
      <c r="K1044151" s="54"/>
    </row>
    <row r="1044152" spans="1:11" s="55" customFormat="1" ht="12.75">
      <c r="A1044152" s="24"/>
      <c r="B1044152" s="24"/>
      <c r="C1044152" s="24"/>
      <c r="D1044152" s="24"/>
      <c r="E1044152" s="24"/>
      <c r="F1044152" s="24"/>
      <c r="G1044152" s="24"/>
      <c r="H1044152" s="24"/>
      <c r="I1044152" s="24"/>
      <c r="J1044152" s="24"/>
      <c r="K1044152" s="54"/>
    </row>
    <row r="1044153" spans="1:11" s="55" customFormat="1" ht="12.75">
      <c r="A1044153" s="24"/>
      <c r="B1044153" s="24"/>
      <c r="C1044153" s="24"/>
      <c r="D1044153" s="24"/>
      <c r="E1044153" s="24"/>
      <c r="F1044153" s="24"/>
      <c r="G1044153" s="24"/>
      <c r="H1044153" s="24"/>
      <c r="I1044153" s="24"/>
      <c r="J1044153" s="24"/>
      <c r="K1044153" s="54"/>
    </row>
    <row r="1044154" spans="1:11" s="55" customFormat="1" ht="12.75">
      <c r="A1044154" s="24"/>
      <c r="B1044154" s="24"/>
      <c r="C1044154" s="24"/>
      <c r="D1044154" s="24"/>
      <c r="E1044154" s="24"/>
      <c r="F1044154" s="24"/>
      <c r="G1044154" s="24"/>
      <c r="H1044154" s="24"/>
      <c r="I1044154" s="24"/>
      <c r="J1044154" s="24"/>
      <c r="K1044154" s="54"/>
    </row>
    <row r="1044155" spans="1:11" s="55" customFormat="1" ht="12.75">
      <c r="A1044155" s="24"/>
      <c r="B1044155" s="24"/>
      <c r="C1044155" s="24"/>
      <c r="D1044155" s="24"/>
      <c r="E1044155" s="24"/>
      <c r="F1044155" s="24"/>
      <c r="G1044155" s="24"/>
      <c r="H1044155" s="24"/>
      <c r="I1044155" s="24"/>
      <c r="J1044155" s="24"/>
      <c r="K1044155" s="54"/>
    </row>
    <row r="1044156" spans="1:11" s="55" customFormat="1" ht="12.75">
      <c r="A1044156" s="24"/>
      <c r="B1044156" s="24"/>
      <c r="C1044156" s="24"/>
      <c r="D1044156" s="24"/>
      <c r="E1044156" s="24"/>
      <c r="F1044156" s="24"/>
      <c r="G1044156" s="24"/>
      <c r="H1044156" s="24"/>
      <c r="I1044156" s="24"/>
      <c r="J1044156" s="24"/>
      <c r="K1044156" s="54"/>
    </row>
    <row r="1044157" spans="1:11" s="55" customFormat="1" ht="12.75">
      <c r="A1044157" s="24"/>
      <c r="B1044157" s="24"/>
      <c r="C1044157" s="24"/>
      <c r="D1044157" s="24"/>
      <c r="E1044157" s="24"/>
      <c r="F1044157" s="24"/>
      <c r="G1044157" s="24"/>
      <c r="H1044157" s="24"/>
      <c r="I1044157" s="24"/>
      <c r="J1044157" s="24"/>
      <c r="K1044157" s="54"/>
    </row>
    <row r="1044158" spans="1:11" s="55" customFormat="1" ht="12.75">
      <c r="A1044158" s="24"/>
      <c r="B1044158" s="24"/>
      <c r="C1044158" s="24"/>
      <c r="D1044158" s="24"/>
      <c r="E1044158" s="24"/>
      <c r="F1044158" s="24"/>
      <c r="G1044158" s="24"/>
      <c r="H1044158" s="24"/>
      <c r="I1044158" s="24"/>
      <c r="J1044158" s="24"/>
      <c r="K1044158" s="54"/>
    </row>
    <row r="1044159" spans="1:11" s="55" customFormat="1" ht="12.75">
      <c r="A1044159" s="24"/>
      <c r="B1044159" s="24"/>
      <c r="C1044159" s="24"/>
      <c r="D1044159" s="24"/>
      <c r="E1044159" s="24"/>
      <c r="F1044159" s="24"/>
      <c r="G1044159" s="24"/>
      <c r="H1044159" s="24"/>
      <c r="I1044159" s="24"/>
      <c r="J1044159" s="24"/>
      <c r="K1044159" s="54"/>
    </row>
    <row r="1044160" spans="1:11" s="55" customFormat="1" ht="12.75">
      <c r="A1044160" s="24"/>
      <c r="B1044160" s="24"/>
      <c r="C1044160" s="24"/>
      <c r="D1044160" s="24"/>
      <c r="E1044160" s="24"/>
      <c r="F1044160" s="24"/>
      <c r="G1044160" s="24"/>
      <c r="H1044160" s="24"/>
      <c r="I1044160" s="24"/>
      <c r="J1044160" s="24"/>
      <c r="K1044160" s="54"/>
    </row>
    <row r="1044161" spans="1:11" s="55" customFormat="1" ht="12.75">
      <c r="A1044161" s="24"/>
      <c r="B1044161" s="24"/>
      <c r="C1044161" s="24"/>
      <c r="D1044161" s="24"/>
      <c r="E1044161" s="24"/>
      <c r="F1044161" s="24"/>
      <c r="G1044161" s="24"/>
      <c r="H1044161" s="24"/>
      <c r="I1044161" s="24"/>
      <c r="J1044161" s="24"/>
      <c r="K1044161" s="54"/>
    </row>
    <row r="1044162" spans="1:11" s="55" customFormat="1" ht="12.75">
      <c r="A1044162" s="24"/>
      <c r="B1044162" s="24"/>
      <c r="C1044162" s="24"/>
      <c r="D1044162" s="24"/>
      <c r="E1044162" s="24"/>
      <c r="F1044162" s="24"/>
      <c r="G1044162" s="24"/>
      <c r="H1044162" s="24"/>
      <c r="I1044162" s="24"/>
      <c r="J1044162" s="24"/>
      <c r="K1044162" s="54"/>
    </row>
    <row r="1044163" spans="1:11" s="55" customFormat="1" ht="12.75">
      <c r="A1044163" s="24"/>
      <c r="B1044163" s="24"/>
      <c r="C1044163" s="24"/>
      <c r="D1044163" s="24"/>
      <c r="E1044163" s="24"/>
      <c r="F1044163" s="24"/>
      <c r="G1044163" s="24"/>
      <c r="H1044163" s="24"/>
      <c r="I1044163" s="24"/>
      <c r="J1044163" s="24"/>
      <c r="K1044163" s="54"/>
    </row>
    <row r="1044164" spans="1:11" s="55" customFormat="1" ht="12.75">
      <c r="A1044164" s="24"/>
      <c r="B1044164" s="24"/>
      <c r="C1044164" s="24"/>
      <c r="D1044164" s="24"/>
      <c r="E1044164" s="24"/>
      <c r="F1044164" s="24"/>
      <c r="G1044164" s="24"/>
      <c r="H1044164" s="24"/>
      <c r="I1044164" s="24"/>
      <c r="J1044164" s="24"/>
      <c r="K1044164" s="54"/>
    </row>
    <row r="1044165" spans="1:11" s="55" customFormat="1" ht="12.75">
      <c r="A1044165" s="24"/>
      <c r="B1044165" s="24"/>
      <c r="C1044165" s="24"/>
      <c r="D1044165" s="24"/>
      <c r="E1044165" s="24"/>
      <c r="F1044165" s="24"/>
      <c r="G1044165" s="24"/>
      <c r="H1044165" s="24"/>
      <c r="I1044165" s="24"/>
      <c r="J1044165" s="24"/>
      <c r="K1044165" s="54"/>
    </row>
    <row r="1044166" spans="1:11" s="55" customFormat="1" ht="12.75">
      <c r="A1044166" s="24"/>
      <c r="B1044166" s="24"/>
      <c r="C1044166" s="24"/>
      <c r="D1044166" s="24"/>
      <c r="E1044166" s="24"/>
      <c r="F1044166" s="24"/>
      <c r="G1044166" s="24"/>
      <c r="H1044166" s="24"/>
      <c r="I1044166" s="24"/>
      <c r="J1044166" s="24"/>
      <c r="K1044166" s="54"/>
    </row>
    <row r="1044167" spans="1:11" s="55" customFormat="1" ht="12.75">
      <c r="A1044167" s="24"/>
      <c r="B1044167" s="24"/>
      <c r="C1044167" s="24"/>
      <c r="D1044167" s="24"/>
      <c r="E1044167" s="24"/>
      <c r="F1044167" s="24"/>
      <c r="G1044167" s="24"/>
      <c r="H1044167" s="24"/>
      <c r="I1044167" s="24"/>
      <c r="J1044167" s="24"/>
      <c r="K1044167" s="54"/>
    </row>
    <row r="1044168" spans="1:11" s="55" customFormat="1" ht="12.75">
      <c r="A1044168" s="24"/>
      <c r="B1044168" s="24"/>
      <c r="C1044168" s="24"/>
      <c r="D1044168" s="24"/>
      <c r="E1044168" s="24"/>
      <c r="F1044168" s="24"/>
      <c r="G1044168" s="24"/>
      <c r="H1044168" s="24"/>
      <c r="I1044168" s="24"/>
      <c r="J1044168" s="24"/>
      <c r="K1044168" s="54"/>
    </row>
    <row r="1044169" spans="1:11" s="55" customFormat="1" ht="12.75">
      <c r="A1044169" s="24"/>
      <c r="B1044169" s="24"/>
      <c r="C1044169" s="24"/>
      <c r="D1044169" s="24"/>
      <c r="E1044169" s="24"/>
      <c r="F1044169" s="24"/>
      <c r="G1044169" s="24"/>
      <c r="H1044169" s="24"/>
      <c r="I1044169" s="24"/>
      <c r="J1044169" s="24"/>
      <c r="K1044169" s="54"/>
    </row>
    <row r="1044170" spans="1:11" s="55" customFormat="1" ht="12.75">
      <c r="A1044170" s="24"/>
      <c r="B1044170" s="24"/>
      <c r="C1044170" s="24"/>
      <c r="D1044170" s="24"/>
      <c r="E1044170" s="24"/>
      <c r="F1044170" s="24"/>
      <c r="G1044170" s="24"/>
      <c r="H1044170" s="24"/>
      <c r="I1044170" s="24"/>
      <c r="J1044170" s="24"/>
      <c r="K1044170" s="54"/>
    </row>
    <row r="1044171" spans="1:11" s="55" customFormat="1" ht="12.75">
      <c r="A1044171" s="24"/>
      <c r="B1044171" s="24"/>
      <c r="C1044171" s="24"/>
      <c r="D1044171" s="24"/>
      <c r="E1044171" s="24"/>
      <c r="F1044171" s="24"/>
      <c r="G1044171" s="24"/>
      <c r="H1044171" s="24"/>
      <c r="I1044171" s="24"/>
      <c r="J1044171" s="24"/>
      <c r="K1044171" s="54"/>
    </row>
    <row r="1044172" spans="1:11" s="55" customFormat="1" ht="12.75">
      <c r="A1044172" s="24"/>
      <c r="B1044172" s="24"/>
      <c r="C1044172" s="24"/>
      <c r="D1044172" s="24"/>
      <c r="E1044172" s="24"/>
      <c r="F1044172" s="24"/>
      <c r="G1044172" s="24"/>
      <c r="H1044172" s="24"/>
      <c r="I1044172" s="24"/>
      <c r="J1044172" s="24"/>
      <c r="K1044172" s="54"/>
    </row>
    <row r="1044173" spans="1:11" s="55" customFormat="1" ht="12.75">
      <c r="A1044173" s="24"/>
      <c r="B1044173" s="24"/>
      <c r="C1044173" s="24"/>
      <c r="D1044173" s="24"/>
      <c r="E1044173" s="24"/>
      <c r="F1044173" s="24"/>
      <c r="G1044173" s="24"/>
      <c r="H1044173" s="24"/>
      <c r="I1044173" s="24"/>
      <c r="J1044173" s="24"/>
      <c r="K1044173" s="54"/>
    </row>
    <row r="1044174" spans="1:11" s="55" customFormat="1" ht="12.75">
      <c r="A1044174" s="24"/>
      <c r="B1044174" s="24"/>
      <c r="C1044174" s="24"/>
      <c r="D1044174" s="24"/>
      <c r="E1044174" s="24"/>
      <c r="F1044174" s="24"/>
      <c r="G1044174" s="24"/>
      <c r="H1044174" s="24"/>
      <c r="I1044174" s="24"/>
      <c r="J1044174" s="24"/>
      <c r="K1044174" s="54"/>
    </row>
    <row r="1044175" spans="1:11" s="55" customFormat="1" ht="12.75">
      <c r="A1044175" s="24"/>
      <c r="B1044175" s="24"/>
      <c r="C1044175" s="24"/>
      <c r="D1044175" s="24"/>
      <c r="E1044175" s="24"/>
      <c r="F1044175" s="24"/>
      <c r="G1044175" s="24"/>
      <c r="H1044175" s="24"/>
      <c r="I1044175" s="24"/>
      <c r="J1044175" s="24"/>
      <c r="K1044175" s="54"/>
    </row>
    <row r="1044176" spans="1:11" s="55" customFormat="1" ht="12.75">
      <c r="A1044176" s="24"/>
      <c r="B1044176" s="24"/>
      <c r="C1044176" s="24"/>
      <c r="D1044176" s="24"/>
      <c r="E1044176" s="24"/>
      <c r="F1044176" s="24"/>
      <c r="G1044176" s="24"/>
      <c r="H1044176" s="24"/>
      <c r="I1044176" s="24"/>
      <c r="J1044176" s="24"/>
      <c r="K1044176" s="54"/>
    </row>
    <row r="1044177" spans="1:11" s="55" customFormat="1" ht="12.75">
      <c r="A1044177" s="24"/>
      <c r="B1044177" s="24"/>
      <c r="C1044177" s="24"/>
      <c r="D1044177" s="24"/>
      <c r="E1044177" s="24"/>
      <c r="F1044177" s="24"/>
      <c r="G1044177" s="24"/>
      <c r="H1044177" s="24"/>
      <c r="I1044177" s="24"/>
      <c r="J1044177" s="24"/>
      <c r="K1044177" s="54"/>
    </row>
    <row r="1044178" spans="1:11" s="55" customFormat="1" ht="12.75">
      <c r="A1044178" s="24"/>
      <c r="B1044178" s="24"/>
      <c r="C1044178" s="24"/>
      <c r="D1044178" s="24"/>
      <c r="E1044178" s="24"/>
      <c r="F1044178" s="24"/>
      <c r="G1044178" s="24"/>
      <c r="H1044178" s="24"/>
      <c r="I1044178" s="24"/>
      <c r="J1044178" s="24"/>
      <c r="K1044178" s="54"/>
    </row>
    <row r="1044179" spans="1:11" s="55" customFormat="1" ht="12.75">
      <c r="A1044179" s="24"/>
      <c r="B1044179" s="24"/>
      <c r="C1044179" s="24"/>
      <c r="D1044179" s="24"/>
      <c r="E1044179" s="24"/>
      <c r="F1044179" s="24"/>
      <c r="G1044179" s="24"/>
      <c r="H1044179" s="24"/>
      <c r="I1044179" s="24"/>
      <c r="J1044179" s="24"/>
      <c r="K1044179" s="54"/>
    </row>
    <row r="1044180" spans="1:11" s="55" customFormat="1" ht="12.75">
      <c r="A1044180" s="24"/>
      <c r="B1044180" s="24"/>
      <c r="C1044180" s="24"/>
      <c r="D1044180" s="24"/>
      <c r="E1044180" s="24"/>
      <c r="F1044180" s="24"/>
      <c r="G1044180" s="24"/>
      <c r="H1044180" s="24"/>
      <c r="I1044180" s="24"/>
      <c r="J1044180" s="24"/>
      <c r="K1044180" s="54"/>
    </row>
    <row r="1044181" spans="1:11" s="55" customFormat="1" ht="12.75">
      <c r="A1044181" s="24"/>
      <c r="B1044181" s="24"/>
      <c r="C1044181" s="24"/>
      <c r="D1044181" s="24"/>
      <c r="E1044181" s="24"/>
      <c r="F1044181" s="24"/>
      <c r="G1044181" s="24"/>
      <c r="H1044181" s="24"/>
      <c r="I1044181" s="24"/>
      <c r="J1044181" s="24"/>
      <c r="K1044181" s="54"/>
    </row>
    <row r="1044182" spans="1:11" s="55" customFormat="1" ht="12.75">
      <c r="A1044182" s="24"/>
      <c r="B1044182" s="24"/>
      <c r="C1044182" s="24"/>
      <c r="D1044182" s="24"/>
      <c r="E1044182" s="24"/>
      <c r="F1044182" s="24"/>
      <c r="G1044182" s="24"/>
      <c r="H1044182" s="24"/>
      <c r="I1044182" s="24"/>
      <c r="J1044182" s="24"/>
      <c r="K1044182" s="54"/>
    </row>
    <row r="1044183" spans="1:11" s="55" customFormat="1" ht="12.75">
      <c r="A1044183" s="24"/>
      <c r="B1044183" s="24"/>
      <c r="C1044183" s="24"/>
      <c r="D1044183" s="24"/>
      <c r="E1044183" s="24"/>
      <c r="F1044183" s="24"/>
      <c r="G1044183" s="24"/>
      <c r="H1044183" s="24"/>
      <c r="I1044183" s="24"/>
      <c r="J1044183" s="24"/>
      <c r="K1044183" s="54"/>
    </row>
    <row r="1044184" spans="1:11" s="55" customFormat="1" ht="12.75">
      <c r="A1044184" s="24"/>
      <c r="B1044184" s="24"/>
      <c r="C1044184" s="24"/>
      <c r="D1044184" s="24"/>
      <c r="E1044184" s="24"/>
      <c r="F1044184" s="24"/>
      <c r="G1044184" s="24"/>
      <c r="H1044184" s="24"/>
      <c r="I1044184" s="24"/>
      <c r="J1044184" s="24"/>
      <c r="K1044184" s="54"/>
    </row>
    <row r="1044185" spans="1:11" s="55" customFormat="1" ht="12.75">
      <c r="A1044185" s="24"/>
      <c r="B1044185" s="24"/>
      <c r="C1044185" s="24"/>
      <c r="D1044185" s="24"/>
      <c r="E1044185" s="24"/>
      <c r="F1044185" s="24"/>
      <c r="G1044185" s="24"/>
      <c r="H1044185" s="24"/>
      <c r="I1044185" s="24"/>
      <c r="J1044185" s="24"/>
      <c r="K1044185" s="54"/>
    </row>
    <row r="1044186" spans="1:11" s="55" customFormat="1" ht="12.75">
      <c r="A1044186" s="24"/>
      <c r="B1044186" s="24"/>
      <c r="C1044186" s="24"/>
      <c r="D1044186" s="24"/>
      <c r="E1044186" s="24"/>
      <c r="F1044186" s="24"/>
      <c r="G1044186" s="24"/>
      <c r="H1044186" s="24"/>
      <c r="I1044186" s="24"/>
      <c r="J1044186" s="24"/>
      <c r="K1044186" s="54"/>
    </row>
    <row r="1044187" spans="1:11" s="55" customFormat="1" ht="12.75">
      <c r="A1044187" s="24"/>
      <c r="B1044187" s="24"/>
      <c r="C1044187" s="24"/>
      <c r="D1044187" s="24"/>
      <c r="E1044187" s="24"/>
      <c r="F1044187" s="24"/>
      <c r="G1044187" s="24"/>
      <c r="H1044187" s="24"/>
      <c r="I1044187" s="24"/>
      <c r="J1044187" s="24"/>
      <c r="K1044187" s="54"/>
    </row>
    <row r="1044188" spans="1:11" s="55" customFormat="1" ht="12.75">
      <c r="A1044188" s="24"/>
      <c r="B1044188" s="24"/>
      <c r="C1044188" s="24"/>
      <c r="D1044188" s="24"/>
      <c r="E1044188" s="24"/>
      <c r="F1044188" s="24"/>
      <c r="G1044188" s="24"/>
      <c r="H1044188" s="24"/>
      <c r="I1044188" s="24"/>
      <c r="J1044188" s="24"/>
      <c r="K1044188" s="54"/>
    </row>
    <row r="1044189" spans="1:11" s="55" customFormat="1" ht="12.75">
      <c r="A1044189" s="24"/>
      <c r="B1044189" s="24"/>
      <c r="C1044189" s="24"/>
      <c r="D1044189" s="24"/>
      <c r="E1044189" s="24"/>
      <c r="F1044189" s="24"/>
      <c r="G1044189" s="24"/>
      <c r="H1044189" s="24"/>
      <c r="I1044189" s="24"/>
      <c r="J1044189" s="24"/>
      <c r="K1044189" s="54"/>
    </row>
    <row r="1044190" spans="1:11" s="55" customFormat="1" ht="12.75">
      <c r="A1044190" s="24"/>
      <c r="B1044190" s="24"/>
      <c r="C1044190" s="24"/>
      <c r="D1044190" s="24"/>
      <c r="E1044190" s="24"/>
      <c r="F1044190" s="24"/>
      <c r="G1044190" s="24"/>
      <c r="H1044190" s="24"/>
      <c r="I1044190" s="24"/>
      <c r="J1044190" s="24"/>
      <c r="K1044190" s="54"/>
    </row>
    <row r="1044191" spans="1:11" s="55" customFormat="1" ht="12.75">
      <c r="A1044191" s="24"/>
      <c r="B1044191" s="24"/>
      <c r="C1044191" s="24"/>
      <c r="D1044191" s="24"/>
      <c r="E1044191" s="24"/>
      <c r="F1044191" s="24"/>
      <c r="G1044191" s="24"/>
      <c r="H1044191" s="24"/>
      <c r="I1044191" s="24"/>
      <c r="J1044191" s="24"/>
      <c r="K1044191" s="54"/>
    </row>
    <row r="1044192" spans="1:11" s="55" customFormat="1" ht="12.75">
      <c r="A1044192" s="24"/>
      <c r="B1044192" s="24"/>
      <c r="C1044192" s="24"/>
      <c r="D1044192" s="24"/>
      <c r="E1044192" s="24"/>
      <c r="F1044192" s="24"/>
      <c r="G1044192" s="24"/>
      <c r="H1044192" s="24"/>
      <c r="I1044192" s="24"/>
      <c r="J1044192" s="24"/>
      <c r="K1044192" s="54"/>
    </row>
    <row r="1044193" spans="1:11" s="55" customFormat="1" ht="12.75">
      <c r="A1044193" s="24"/>
      <c r="B1044193" s="24"/>
      <c r="C1044193" s="24"/>
      <c r="D1044193" s="24"/>
      <c r="E1044193" s="24"/>
      <c r="F1044193" s="24"/>
      <c r="G1044193" s="24"/>
      <c r="H1044193" s="24"/>
      <c r="I1044193" s="24"/>
      <c r="J1044193" s="24"/>
      <c r="K1044193" s="54"/>
    </row>
    <row r="1044194" spans="1:11" s="55" customFormat="1" ht="12.75">
      <c r="A1044194" s="24"/>
      <c r="B1044194" s="24"/>
      <c r="C1044194" s="24"/>
      <c r="D1044194" s="24"/>
      <c r="E1044194" s="24"/>
      <c r="F1044194" s="24"/>
      <c r="G1044194" s="24"/>
      <c r="H1044194" s="24"/>
      <c r="I1044194" s="24"/>
      <c r="J1044194" s="24"/>
      <c r="K1044194" s="54"/>
    </row>
    <row r="1044195" spans="1:11" s="55" customFormat="1" ht="12.75">
      <c r="A1044195" s="24"/>
      <c r="B1044195" s="24"/>
      <c r="C1044195" s="24"/>
      <c r="D1044195" s="24"/>
      <c r="E1044195" s="24"/>
      <c r="F1044195" s="24"/>
      <c r="G1044195" s="24"/>
      <c r="H1044195" s="24"/>
      <c r="I1044195" s="24"/>
      <c r="J1044195" s="24"/>
      <c r="K1044195" s="54"/>
    </row>
    <row r="1044196" spans="1:11" s="55" customFormat="1" ht="12.75">
      <c r="A1044196" s="24"/>
      <c r="B1044196" s="24"/>
      <c r="C1044196" s="24"/>
      <c r="D1044196" s="24"/>
      <c r="E1044196" s="24"/>
      <c r="F1044196" s="24"/>
      <c r="G1044196" s="24"/>
      <c r="H1044196" s="24"/>
      <c r="I1044196" s="24"/>
      <c r="J1044196" s="24"/>
      <c r="K1044196" s="54"/>
    </row>
    <row r="1044197" spans="1:11" s="55" customFormat="1" ht="12.75">
      <c r="A1044197" s="24"/>
      <c r="B1044197" s="24"/>
      <c r="C1044197" s="24"/>
      <c r="D1044197" s="24"/>
      <c r="E1044197" s="24"/>
      <c r="F1044197" s="24"/>
      <c r="G1044197" s="24"/>
      <c r="H1044197" s="24"/>
      <c r="I1044197" s="24"/>
      <c r="J1044197" s="24"/>
      <c r="K1044197" s="54"/>
    </row>
    <row r="1044198" spans="1:11" s="55" customFormat="1" ht="12.75">
      <c r="A1044198" s="24"/>
      <c r="B1044198" s="24"/>
      <c r="C1044198" s="24"/>
      <c r="D1044198" s="24"/>
      <c r="E1044198" s="24"/>
      <c r="F1044198" s="24"/>
      <c r="G1044198" s="24"/>
      <c r="H1044198" s="24"/>
      <c r="I1044198" s="24"/>
      <c r="J1044198" s="24"/>
      <c r="K1044198" s="54"/>
    </row>
    <row r="1044199" spans="1:11" s="55" customFormat="1" ht="12.75">
      <c r="A1044199" s="24"/>
      <c r="B1044199" s="24"/>
      <c r="C1044199" s="24"/>
      <c r="D1044199" s="24"/>
      <c r="E1044199" s="24"/>
      <c r="F1044199" s="24"/>
      <c r="G1044199" s="24"/>
      <c r="H1044199" s="24"/>
      <c r="I1044199" s="24"/>
      <c r="J1044199" s="24"/>
      <c r="K1044199" s="54"/>
    </row>
    <row r="1044200" spans="1:11" s="55" customFormat="1" ht="12.75">
      <c r="A1044200" s="24"/>
      <c r="B1044200" s="24"/>
      <c r="C1044200" s="24"/>
      <c r="D1044200" s="24"/>
      <c r="E1044200" s="24"/>
      <c r="F1044200" s="24"/>
      <c r="G1044200" s="24"/>
      <c r="H1044200" s="24"/>
      <c r="I1044200" s="24"/>
      <c r="J1044200" s="24"/>
      <c r="K1044200" s="54"/>
    </row>
    <row r="1044201" spans="1:11" s="55" customFormat="1" ht="12.75">
      <c r="A1044201" s="24"/>
      <c r="B1044201" s="24"/>
      <c r="C1044201" s="24"/>
      <c r="D1044201" s="24"/>
      <c r="E1044201" s="24"/>
      <c r="F1044201" s="24"/>
      <c r="G1044201" s="24"/>
      <c r="H1044201" s="24"/>
      <c r="I1044201" s="24"/>
      <c r="J1044201" s="24"/>
      <c r="K1044201" s="54"/>
    </row>
    <row r="1044202" spans="1:11" s="55" customFormat="1" ht="12.75">
      <c r="A1044202" s="24"/>
      <c r="B1044202" s="24"/>
      <c r="C1044202" s="24"/>
      <c r="D1044202" s="24"/>
      <c r="E1044202" s="24"/>
      <c r="F1044202" s="24"/>
      <c r="G1044202" s="24"/>
      <c r="H1044202" s="24"/>
      <c r="I1044202" s="24"/>
      <c r="J1044202" s="24"/>
      <c r="K1044202" s="54"/>
    </row>
    <row r="1044203" spans="1:11" s="55" customFormat="1" ht="12.75">
      <c r="A1044203" s="24"/>
      <c r="B1044203" s="24"/>
      <c r="C1044203" s="24"/>
      <c r="D1044203" s="24"/>
      <c r="E1044203" s="24"/>
      <c r="F1044203" s="24"/>
      <c r="G1044203" s="24"/>
      <c r="H1044203" s="24"/>
      <c r="I1044203" s="24"/>
      <c r="J1044203" s="24"/>
      <c r="K1044203" s="54"/>
    </row>
    <row r="1044204" spans="1:11" s="55" customFormat="1" ht="12.75">
      <c r="A1044204" s="24"/>
      <c r="B1044204" s="24"/>
      <c r="C1044204" s="24"/>
      <c r="D1044204" s="24"/>
      <c r="E1044204" s="24"/>
      <c r="F1044204" s="24"/>
      <c r="G1044204" s="24"/>
      <c r="H1044204" s="24"/>
      <c r="I1044204" s="24"/>
      <c r="J1044204" s="24"/>
      <c r="K1044204" s="54"/>
    </row>
    <row r="1044205" spans="1:11" s="55" customFormat="1" ht="12.75">
      <c r="A1044205" s="24"/>
      <c r="B1044205" s="24"/>
      <c r="C1044205" s="24"/>
      <c r="D1044205" s="24"/>
      <c r="E1044205" s="24"/>
      <c r="F1044205" s="24"/>
      <c r="G1044205" s="24"/>
      <c r="H1044205" s="24"/>
      <c r="I1044205" s="24"/>
      <c r="J1044205" s="24"/>
      <c r="K1044205" s="54"/>
    </row>
    <row r="1044206" spans="1:11" s="55" customFormat="1" ht="12.75">
      <c r="A1044206" s="24"/>
      <c r="B1044206" s="24"/>
      <c r="C1044206" s="24"/>
      <c r="D1044206" s="24"/>
      <c r="E1044206" s="24"/>
      <c r="F1044206" s="24"/>
      <c r="G1044206" s="24"/>
      <c r="H1044206" s="24"/>
      <c r="I1044206" s="24"/>
      <c r="J1044206" s="24"/>
      <c r="K1044206" s="54"/>
    </row>
    <row r="1044207" spans="1:11" s="55" customFormat="1" ht="12.75">
      <c r="A1044207" s="24"/>
      <c r="B1044207" s="24"/>
      <c r="C1044207" s="24"/>
      <c r="D1044207" s="24"/>
      <c r="E1044207" s="24"/>
      <c r="F1044207" s="24"/>
      <c r="G1044207" s="24"/>
      <c r="H1044207" s="24"/>
      <c r="I1044207" s="24"/>
      <c r="J1044207" s="24"/>
      <c r="K1044207" s="54"/>
    </row>
    <row r="1044208" spans="1:11" s="55" customFormat="1" ht="12.75">
      <c r="A1044208" s="24"/>
      <c r="B1044208" s="24"/>
      <c r="C1044208" s="24"/>
      <c r="D1044208" s="24"/>
      <c r="E1044208" s="24"/>
      <c r="F1044208" s="24"/>
      <c r="G1044208" s="24"/>
      <c r="H1044208" s="24"/>
      <c r="I1044208" s="24"/>
      <c r="J1044208" s="24"/>
      <c r="K1044208" s="54"/>
    </row>
    <row r="1044209" spans="1:11" s="55" customFormat="1" ht="12.75">
      <c r="A1044209" s="24"/>
      <c r="B1044209" s="24"/>
      <c r="C1044209" s="24"/>
      <c r="D1044209" s="24"/>
      <c r="E1044209" s="24"/>
      <c r="F1044209" s="24"/>
      <c r="G1044209" s="24"/>
      <c r="H1044209" s="24"/>
      <c r="I1044209" s="24"/>
      <c r="J1044209" s="24"/>
      <c r="K1044209" s="54"/>
    </row>
    <row r="1044210" spans="1:11" s="55" customFormat="1" ht="12.75">
      <c r="A1044210" s="24"/>
      <c r="B1044210" s="24"/>
      <c r="C1044210" s="24"/>
      <c r="D1044210" s="24"/>
      <c r="E1044210" s="24"/>
      <c r="F1044210" s="24"/>
      <c r="G1044210" s="24"/>
      <c r="H1044210" s="24"/>
      <c r="I1044210" s="24"/>
      <c r="J1044210" s="24"/>
      <c r="K1044210" s="54"/>
    </row>
    <row r="1044211" spans="1:11" s="55" customFormat="1" ht="12.75">
      <c r="A1044211" s="24"/>
      <c r="B1044211" s="24"/>
      <c r="C1044211" s="24"/>
      <c r="D1044211" s="24"/>
      <c r="E1044211" s="24"/>
      <c r="F1044211" s="24"/>
      <c r="G1044211" s="24"/>
      <c r="H1044211" s="24"/>
      <c r="I1044211" s="24"/>
      <c r="J1044211" s="24"/>
      <c r="K1044211" s="54"/>
    </row>
    <row r="1044212" spans="1:11" s="55" customFormat="1" ht="12.75">
      <c r="A1044212" s="24"/>
      <c r="B1044212" s="24"/>
      <c r="C1044212" s="24"/>
      <c r="D1044212" s="24"/>
      <c r="E1044212" s="24"/>
      <c r="F1044212" s="24"/>
      <c r="G1044212" s="24"/>
      <c r="H1044212" s="24"/>
      <c r="I1044212" s="24"/>
      <c r="J1044212" s="24"/>
      <c r="K1044212" s="54"/>
    </row>
    <row r="1044213" spans="1:11" s="55" customFormat="1" ht="12.75">
      <c r="A1044213" s="24"/>
      <c r="B1044213" s="24"/>
      <c r="C1044213" s="24"/>
      <c r="D1044213" s="24"/>
      <c r="E1044213" s="24"/>
      <c r="F1044213" s="24"/>
      <c r="G1044213" s="24"/>
      <c r="H1044213" s="24"/>
      <c r="I1044213" s="24"/>
      <c r="J1044213" s="24"/>
      <c r="K1044213" s="54"/>
    </row>
    <row r="1044214" spans="1:11" s="55" customFormat="1" ht="12.75">
      <c r="A1044214" s="24"/>
      <c r="B1044214" s="24"/>
      <c r="C1044214" s="24"/>
      <c r="D1044214" s="24"/>
      <c r="E1044214" s="24"/>
      <c r="F1044214" s="24"/>
      <c r="G1044214" s="24"/>
      <c r="H1044214" s="24"/>
      <c r="I1044214" s="24"/>
      <c r="J1044214" s="24"/>
      <c r="K1044214" s="54"/>
    </row>
    <row r="1044215" spans="1:11" s="55" customFormat="1" ht="12.75">
      <c r="A1044215" s="24"/>
      <c r="B1044215" s="24"/>
      <c r="C1044215" s="24"/>
      <c r="D1044215" s="24"/>
      <c r="E1044215" s="24"/>
      <c r="F1044215" s="24"/>
      <c r="G1044215" s="24"/>
      <c r="H1044215" s="24"/>
      <c r="I1044215" s="24"/>
      <c r="J1044215" s="24"/>
      <c r="K1044215" s="54"/>
    </row>
    <row r="1044216" spans="1:11" s="55" customFormat="1" ht="12.75">
      <c r="A1044216" s="24"/>
      <c r="B1044216" s="24"/>
      <c r="C1044216" s="24"/>
      <c r="D1044216" s="24"/>
      <c r="E1044216" s="24"/>
      <c r="F1044216" s="24"/>
      <c r="G1044216" s="24"/>
      <c r="H1044216" s="24"/>
      <c r="I1044216" s="24"/>
      <c r="J1044216" s="24"/>
      <c r="K1044216" s="54"/>
    </row>
    <row r="1044217" spans="1:11" s="55" customFormat="1" ht="12.75">
      <c r="A1044217" s="24"/>
      <c r="B1044217" s="24"/>
      <c r="C1044217" s="24"/>
      <c r="D1044217" s="24"/>
      <c r="E1044217" s="24"/>
      <c r="F1044217" s="24"/>
      <c r="G1044217" s="24"/>
      <c r="H1044217" s="24"/>
      <c r="I1044217" s="24"/>
      <c r="J1044217" s="24"/>
      <c r="K1044217" s="54"/>
    </row>
    <row r="1044218" spans="1:11" s="55" customFormat="1" ht="12.75">
      <c r="A1044218" s="24"/>
      <c r="B1044218" s="24"/>
      <c r="C1044218" s="24"/>
      <c r="D1044218" s="24"/>
      <c r="E1044218" s="24"/>
      <c r="F1044218" s="24"/>
      <c r="G1044218" s="24"/>
      <c r="H1044218" s="24"/>
      <c r="I1044218" s="24"/>
      <c r="J1044218" s="24"/>
      <c r="K1044218" s="54"/>
    </row>
    <row r="1044219" spans="1:11" s="55" customFormat="1" ht="12.75">
      <c r="A1044219" s="24"/>
      <c r="B1044219" s="24"/>
      <c r="C1044219" s="24"/>
      <c r="D1044219" s="24"/>
      <c r="E1044219" s="24"/>
      <c r="F1044219" s="24"/>
      <c r="G1044219" s="24"/>
      <c r="H1044219" s="24"/>
      <c r="I1044219" s="24"/>
      <c r="J1044219" s="24"/>
      <c r="K1044219" s="54"/>
    </row>
    <row r="1044220" spans="1:11" s="55" customFormat="1" ht="12.75">
      <c r="A1044220" s="24"/>
      <c r="B1044220" s="24"/>
      <c r="C1044220" s="24"/>
      <c r="D1044220" s="24"/>
      <c r="E1044220" s="24"/>
      <c r="F1044220" s="24"/>
      <c r="G1044220" s="24"/>
      <c r="H1044220" s="24"/>
      <c r="I1044220" s="24"/>
      <c r="J1044220" s="24"/>
      <c r="K1044220" s="54"/>
    </row>
    <row r="1044221" spans="1:11" s="55" customFormat="1" ht="12.75">
      <c r="A1044221" s="24"/>
      <c r="B1044221" s="24"/>
      <c r="C1044221" s="24"/>
      <c r="D1044221" s="24"/>
      <c r="E1044221" s="24"/>
      <c r="F1044221" s="24"/>
      <c r="G1044221" s="24"/>
      <c r="H1044221" s="24"/>
      <c r="I1044221" s="24"/>
      <c r="J1044221" s="24"/>
      <c r="K1044221" s="54"/>
    </row>
    <row r="1044222" spans="1:11" s="55" customFormat="1" ht="12.75">
      <c r="A1044222" s="24"/>
      <c r="B1044222" s="24"/>
      <c r="C1044222" s="24"/>
      <c r="D1044222" s="24"/>
      <c r="E1044222" s="24"/>
      <c r="F1044222" s="24"/>
      <c r="G1044222" s="24"/>
      <c r="H1044222" s="24"/>
      <c r="I1044222" s="24"/>
      <c r="J1044222" s="24"/>
      <c r="K1044222" s="54"/>
    </row>
    <row r="1044223" spans="1:11" s="55" customFormat="1" ht="12.75">
      <c r="A1044223" s="24"/>
      <c r="B1044223" s="24"/>
      <c r="C1044223" s="24"/>
      <c r="D1044223" s="24"/>
      <c r="E1044223" s="24"/>
      <c r="F1044223" s="24"/>
      <c r="G1044223" s="24"/>
      <c r="H1044223" s="24"/>
      <c r="I1044223" s="24"/>
      <c r="J1044223" s="24"/>
      <c r="K1044223" s="54"/>
    </row>
    <row r="1044224" spans="1:11" s="55" customFormat="1" ht="12.75">
      <c r="A1044224" s="24"/>
      <c r="B1044224" s="24"/>
      <c r="C1044224" s="24"/>
      <c r="D1044224" s="24"/>
      <c r="E1044224" s="24"/>
      <c r="F1044224" s="24"/>
      <c r="G1044224" s="24"/>
      <c r="H1044224" s="24"/>
      <c r="I1044224" s="24"/>
      <c r="J1044224" s="24"/>
      <c r="K1044224" s="54"/>
    </row>
    <row r="1044225" spans="1:11" s="55" customFormat="1" ht="12.75">
      <c r="A1044225" s="24"/>
      <c r="B1044225" s="24"/>
      <c r="C1044225" s="24"/>
      <c r="D1044225" s="24"/>
      <c r="E1044225" s="24"/>
      <c r="F1044225" s="24"/>
      <c r="G1044225" s="24"/>
      <c r="H1044225" s="24"/>
      <c r="I1044225" s="24"/>
      <c r="J1044225" s="24"/>
      <c r="K1044225" s="54"/>
    </row>
    <row r="1044226" spans="1:11" s="55" customFormat="1" ht="12.75">
      <c r="A1044226" s="24"/>
      <c r="B1044226" s="24"/>
      <c r="C1044226" s="24"/>
      <c r="D1044226" s="24"/>
      <c r="E1044226" s="24"/>
      <c r="F1044226" s="24"/>
      <c r="G1044226" s="24"/>
      <c r="H1044226" s="24"/>
      <c r="I1044226" s="24"/>
      <c r="J1044226" s="24"/>
      <c r="K1044226" s="54"/>
    </row>
    <row r="1044227" spans="1:11" s="55" customFormat="1" ht="12.75">
      <c r="A1044227" s="24"/>
      <c r="B1044227" s="24"/>
      <c r="C1044227" s="24"/>
      <c r="D1044227" s="24"/>
      <c r="E1044227" s="24"/>
      <c r="F1044227" s="24"/>
      <c r="G1044227" s="24"/>
      <c r="H1044227" s="24"/>
      <c r="I1044227" s="24"/>
      <c r="J1044227" s="24"/>
      <c r="K1044227" s="54"/>
    </row>
    <row r="1044228" spans="1:11" s="55" customFormat="1" ht="12.75">
      <c r="A1044228" s="24"/>
      <c r="B1044228" s="24"/>
      <c r="C1044228" s="24"/>
      <c r="D1044228" s="24"/>
      <c r="E1044228" s="24"/>
      <c r="F1044228" s="24"/>
      <c r="G1044228" s="24"/>
      <c r="H1044228" s="24"/>
      <c r="I1044228" s="24"/>
      <c r="J1044228" s="24"/>
      <c r="K1044228" s="54"/>
    </row>
    <row r="1044229" spans="1:11" s="55" customFormat="1" ht="12.75">
      <c r="A1044229" s="24"/>
      <c r="B1044229" s="24"/>
      <c r="C1044229" s="24"/>
      <c r="D1044229" s="24"/>
      <c r="E1044229" s="24"/>
      <c r="F1044229" s="24"/>
      <c r="G1044229" s="24"/>
      <c r="H1044229" s="24"/>
      <c r="I1044229" s="24"/>
      <c r="J1044229" s="24"/>
      <c r="K1044229" s="54"/>
    </row>
    <row r="1044230" spans="1:11" s="55" customFormat="1" ht="12.75">
      <c r="A1044230" s="24"/>
      <c r="B1044230" s="24"/>
      <c r="C1044230" s="24"/>
      <c r="D1044230" s="24"/>
      <c r="E1044230" s="24"/>
      <c r="F1044230" s="24"/>
      <c r="G1044230" s="24"/>
      <c r="H1044230" s="24"/>
      <c r="I1044230" s="24"/>
      <c r="J1044230" s="24"/>
      <c r="K1044230" s="54"/>
    </row>
    <row r="1044231" spans="1:11" s="55" customFormat="1" ht="12.75">
      <c r="A1044231" s="24"/>
      <c r="B1044231" s="24"/>
      <c r="C1044231" s="24"/>
      <c r="D1044231" s="24"/>
      <c r="E1044231" s="24"/>
      <c r="F1044231" s="24"/>
      <c r="G1044231" s="24"/>
      <c r="H1044231" s="24"/>
      <c r="I1044231" s="24"/>
      <c r="J1044231" s="24"/>
      <c r="K1044231" s="54"/>
    </row>
    <row r="1044232" spans="1:11" s="55" customFormat="1" ht="12.75">
      <c r="A1044232" s="24"/>
      <c r="B1044232" s="24"/>
      <c r="C1044232" s="24"/>
      <c r="D1044232" s="24"/>
      <c r="E1044232" s="24"/>
      <c r="F1044232" s="24"/>
      <c r="G1044232" s="24"/>
      <c r="H1044232" s="24"/>
      <c r="I1044232" s="24"/>
      <c r="J1044232" s="24"/>
      <c r="K1044232" s="54"/>
    </row>
    <row r="1044233" spans="1:11" s="55" customFormat="1" ht="12.75">
      <c r="A1044233" s="24"/>
      <c r="B1044233" s="24"/>
      <c r="C1044233" s="24"/>
      <c r="D1044233" s="24"/>
      <c r="E1044233" s="24"/>
      <c r="F1044233" s="24"/>
      <c r="G1044233" s="24"/>
      <c r="H1044233" s="24"/>
      <c r="I1044233" s="24"/>
      <c r="J1044233" s="24"/>
      <c r="K1044233" s="54"/>
    </row>
    <row r="1044234" spans="1:11" s="55" customFormat="1" ht="12.75">
      <c r="A1044234" s="24"/>
      <c r="B1044234" s="24"/>
      <c r="C1044234" s="24"/>
      <c r="D1044234" s="24"/>
      <c r="E1044234" s="24"/>
      <c r="F1044234" s="24"/>
      <c r="G1044234" s="24"/>
      <c r="H1044234" s="24"/>
      <c r="I1044234" s="24"/>
      <c r="J1044234" s="24"/>
      <c r="K1044234" s="54"/>
    </row>
    <row r="1044235" spans="1:11" s="55" customFormat="1" ht="12.75">
      <c r="A1044235" s="24"/>
      <c r="B1044235" s="24"/>
      <c r="C1044235" s="24"/>
      <c r="D1044235" s="24"/>
      <c r="E1044235" s="24"/>
      <c r="F1044235" s="24"/>
      <c r="G1044235" s="24"/>
      <c r="H1044235" s="24"/>
      <c r="I1044235" s="24"/>
      <c r="J1044235" s="24"/>
      <c r="K1044235" s="54"/>
    </row>
    <row r="1044236" spans="1:11" s="55" customFormat="1" ht="12.75">
      <c r="A1044236" s="24"/>
      <c r="B1044236" s="24"/>
      <c r="C1044236" s="24"/>
      <c r="D1044236" s="24"/>
      <c r="E1044236" s="24"/>
      <c r="F1044236" s="24"/>
      <c r="G1044236" s="24"/>
      <c r="H1044236" s="24"/>
      <c r="I1044236" s="24"/>
      <c r="J1044236" s="24"/>
      <c r="K1044236" s="54"/>
    </row>
    <row r="1044237" spans="1:11" s="55" customFormat="1" ht="12.75">
      <c r="A1044237" s="24"/>
      <c r="B1044237" s="24"/>
      <c r="C1044237" s="24"/>
      <c r="D1044237" s="24"/>
      <c r="E1044237" s="24"/>
      <c r="F1044237" s="24"/>
      <c r="G1044237" s="24"/>
      <c r="H1044237" s="24"/>
      <c r="I1044237" s="24"/>
      <c r="J1044237" s="24"/>
      <c r="K1044237" s="54"/>
    </row>
    <row r="1044238" spans="1:11" s="55" customFormat="1" ht="12.75">
      <c r="A1044238" s="24"/>
      <c r="B1044238" s="24"/>
      <c r="C1044238" s="24"/>
      <c r="D1044238" s="24"/>
      <c r="E1044238" s="24"/>
      <c r="F1044238" s="24"/>
      <c r="G1044238" s="24"/>
      <c r="H1044238" s="24"/>
      <c r="I1044238" s="24"/>
      <c r="J1044238" s="24"/>
      <c r="K1044238" s="54"/>
    </row>
    <row r="1044239" spans="1:11" s="55" customFormat="1" ht="12.75">
      <c r="A1044239" s="24"/>
      <c r="B1044239" s="24"/>
      <c r="C1044239" s="24"/>
      <c r="D1044239" s="24"/>
      <c r="E1044239" s="24"/>
      <c r="F1044239" s="24"/>
      <c r="G1044239" s="24"/>
      <c r="H1044239" s="24"/>
      <c r="I1044239" s="24"/>
      <c r="J1044239" s="24"/>
      <c r="K1044239" s="54"/>
    </row>
    <row r="1044240" spans="1:11" s="55" customFormat="1" ht="12.75">
      <c r="A1044240" s="24"/>
      <c r="B1044240" s="24"/>
      <c r="C1044240" s="24"/>
      <c r="D1044240" s="24"/>
      <c r="E1044240" s="24"/>
      <c r="F1044240" s="24"/>
      <c r="G1044240" s="24"/>
      <c r="H1044240" s="24"/>
      <c r="I1044240" s="24"/>
      <c r="J1044240" s="24"/>
      <c r="K1044240" s="54"/>
    </row>
    <row r="1044241" spans="1:11" s="55" customFormat="1" ht="12.75">
      <c r="A1044241" s="24"/>
      <c r="B1044241" s="24"/>
      <c r="C1044241" s="24"/>
      <c r="D1044241" s="24"/>
      <c r="E1044241" s="24"/>
      <c r="F1044241" s="24"/>
      <c r="G1044241" s="24"/>
      <c r="H1044241" s="24"/>
      <c r="I1044241" s="24"/>
      <c r="J1044241" s="24"/>
      <c r="K1044241" s="54"/>
    </row>
    <row r="1044242" spans="1:11" s="55" customFormat="1" ht="12.75">
      <c r="A1044242" s="24"/>
      <c r="B1044242" s="24"/>
      <c r="C1044242" s="24"/>
      <c r="D1044242" s="24"/>
      <c r="E1044242" s="24"/>
      <c r="F1044242" s="24"/>
      <c r="G1044242" s="24"/>
      <c r="H1044242" s="24"/>
      <c r="I1044242" s="24"/>
      <c r="J1044242" s="24"/>
      <c r="K1044242" s="54"/>
    </row>
    <row r="1044243" spans="1:11" s="55" customFormat="1" ht="12.75">
      <c r="A1044243" s="24"/>
      <c r="B1044243" s="24"/>
      <c r="C1044243" s="24"/>
      <c r="D1044243" s="24"/>
      <c r="E1044243" s="24"/>
      <c r="F1044243" s="24"/>
      <c r="G1044243" s="24"/>
      <c r="H1044243" s="24"/>
      <c r="I1044243" s="24"/>
      <c r="J1044243" s="24"/>
      <c r="K1044243" s="54"/>
    </row>
    <row r="1044244" spans="1:11" s="55" customFormat="1" ht="12.75">
      <c r="A1044244" s="24"/>
      <c r="B1044244" s="24"/>
      <c r="C1044244" s="24"/>
      <c r="D1044244" s="24"/>
      <c r="E1044244" s="24"/>
      <c r="F1044244" s="24"/>
      <c r="G1044244" s="24"/>
      <c r="H1044244" s="24"/>
      <c r="I1044244" s="24"/>
      <c r="J1044244" s="24"/>
      <c r="K1044244" s="54"/>
    </row>
    <row r="1044245" spans="1:11" s="55" customFormat="1" ht="12.75">
      <c r="A1044245" s="24"/>
      <c r="B1044245" s="24"/>
      <c r="C1044245" s="24"/>
      <c r="D1044245" s="24"/>
      <c r="E1044245" s="24"/>
      <c r="F1044245" s="24"/>
      <c r="G1044245" s="24"/>
      <c r="H1044245" s="24"/>
      <c r="I1044245" s="24"/>
      <c r="J1044245" s="24"/>
      <c r="K1044245" s="54"/>
    </row>
    <row r="1044246" spans="1:11" s="55" customFormat="1" ht="12.75">
      <c r="A1044246" s="24"/>
      <c r="B1044246" s="24"/>
      <c r="C1044246" s="24"/>
      <c r="D1044246" s="24"/>
      <c r="E1044246" s="24"/>
      <c r="F1044246" s="24"/>
      <c r="G1044246" s="24"/>
      <c r="H1044246" s="24"/>
      <c r="I1044246" s="24"/>
      <c r="J1044246" s="24"/>
      <c r="K1044246" s="54"/>
    </row>
    <row r="1044247" spans="1:11" s="55" customFormat="1" ht="12.75">
      <c r="A1044247" s="24"/>
      <c r="B1044247" s="24"/>
      <c r="C1044247" s="24"/>
      <c r="D1044247" s="24"/>
      <c r="E1044247" s="24"/>
      <c r="F1044247" s="24"/>
      <c r="G1044247" s="24"/>
      <c r="H1044247" s="24"/>
      <c r="I1044247" s="24"/>
      <c r="J1044247" s="24"/>
      <c r="K1044247" s="54"/>
    </row>
    <row r="1044248" spans="1:11" s="55" customFormat="1" ht="12.75">
      <c r="A1044248" s="24"/>
      <c r="B1044248" s="24"/>
      <c r="C1044248" s="24"/>
      <c r="D1044248" s="24"/>
      <c r="E1044248" s="24"/>
      <c r="F1044248" s="24"/>
      <c r="G1044248" s="24"/>
      <c r="H1044248" s="24"/>
      <c r="I1044248" s="24"/>
      <c r="J1044248" s="24"/>
      <c r="K1044248" s="54"/>
    </row>
    <row r="1044249" spans="1:11" s="55" customFormat="1" ht="12.75">
      <c r="A1044249" s="24"/>
      <c r="B1044249" s="24"/>
      <c r="C1044249" s="24"/>
      <c r="D1044249" s="24"/>
      <c r="E1044249" s="24"/>
      <c r="F1044249" s="24"/>
      <c r="G1044249" s="24"/>
      <c r="H1044249" s="24"/>
      <c r="I1044249" s="24"/>
      <c r="J1044249" s="24"/>
      <c r="K1044249" s="54"/>
    </row>
    <row r="1044250" spans="1:11" s="55" customFormat="1" ht="12.75">
      <c r="A1044250" s="24"/>
      <c r="B1044250" s="24"/>
      <c r="C1044250" s="24"/>
      <c r="D1044250" s="24"/>
      <c r="E1044250" s="24"/>
      <c r="F1044250" s="24"/>
      <c r="G1044250" s="24"/>
      <c r="H1044250" s="24"/>
      <c r="I1044250" s="24"/>
      <c r="J1044250" s="24"/>
      <c r="K1044250" s="54"/>
    </row>
    <row r="1044251" spans="1:11" s="55" customFormat="1" ht="12.75">
      <c r="A1044251" s="24"/>
      <c r="B1044251" s="24"/>
      <c r="C1044251" s="24"/>
      <c r="D1044251" s="24"/>
      <c r="E1044251" s="24"/>
      <c r="F1044251" s="24"/>
      <c r="G1044251" s="24"/>
      <c r="H1044251" s="24"/>
      <c r="I1044251" s="24"/>
      <c r="J1044251" s="24"/>
      <c r="K1044251" s="54"/>
    </row>
    <row r="1044252" spans="1:11" s="55" customFormat="1" ht="12.75">
      <c r="A1044252" s="24"/>
      <c r="B1044252" s="24"/>
      <c r="C1044252" s="24"/>
      <c r="D1044252" s="24"/>
      <c r="E1044252" s="24"/>
      <c r="F1044252" s="24"/>
      <c r="G1044252" s="24"/>
      <c r="H1044252" s="24"/>
      <c r="I1044252" s="24"/>
      <c r="J1044252" s="24"/>
      <c r="K1044252" s="54"/>
    </row>
    <row r="1044253" spans="1:11" s="55" customFormat="1" ht="12.75">
      <c r="A1044253" s="24"/>
      <c r="B1044253" s="24"/>
      <c r="C1044253" s="24"/>
      <c r="D1044253" s="24"/>
      <c r="E1044253" s="24"/>
      <c r="F1044253" s="24"/>
      <c r="G1044253" s="24"/>
      <c r="H1044253" s="24"/>
      <c r="I1044253" s="24"/>
      <c r="J1044253" s="24"/>
      <c r="K1044253" s="54"/>
    </row>
    <row r="1044254" spans="1:11" s="55" customFormat="1" ht="12.75">
      <c r="A1044254" s="24"/>
      <c r="B1044254" s="24"/>
      <c r="C1044254" s="24"/>
      <c r="D1044254" s="24"/>
      <c r="E1044254" s="24"/>
      <c r="F1044254" s="24"/>
      <c r="G1044254" s="24"/>
      <c r="H1044254" s="24"/>
      <c r="I1044254" s="24"/>
      <c r="J1044254" s="24"/>
      <c r="K1044254" s="54"/>
    </row>
    <row r="1044255" spans="1:11" s="55" customFormat="1" ht="12.75">
      <c r="A1044255" s="24"/>
      <c r="B1044255" s="24"/>
      <c r="C1044255" s="24"/>
      <c r="D1044255" s="24"/>
      <c r="E1044255" s="24"/>
      <c r="F1044255" s="24"/>
      <c r="G1044255" s="24"/>
      <c r="H1044255" s="24"/>
      <c r="I1044255" s="24"/>
      <c r="J1044255" s="24"/>
      <c r="K1044255" s="54"/>
    </row>
    <row r="1044256" spans="1:11" s="55" customFormat="1" ht="12.75">
      <c r="A1044256" s="24"/>
      <c r="B1044256" s="24"/>
      <c r="C1044256" s="24"/>
      <c r="D1044256" s="24"/>
      <c r="E1044256" s="24"/>
      <c r="F1044256" s="24"/>
      <c r="G1044256" s="24"/>
      <c r="H1044256" s="24"/>
      <c r="I1044256" s="24"/>
      <c r="J1044256" s="24"/>
      <c r="K1044256" s="54"/>
    </row>
    <row r="1044257" spans="1:11" s="55" customFormat="1" ht="12.75">
      <c r="A1044257" s="24"/>
      <c r="B1044257" s="24"/>
      <c r="C1044257" s="24"/>
      <c r="D1044257" s="24"/>
      <c r="E1044257" s="24"/>
      <c r="F1044257" s="24"/>
      <c r="G1044257" s="24"/>
      <c r="H1044257" s="24"/>
      <c r="I1044257" s="24"/>
      <c r="J1044257" s="24"/>
      <c r="K1044257" s="54"/>
    </row>
    <row r="1044258" spans="1:11" s="55" customFormat="1" ht="12.75">
      <c r="A1044258" s="24"/>
      <c r="B1044258" s="24"/>
      <c r="C1044258" s="24"/>
      <c r="D1044258" s="24"/>
      <c r="E1044258" s="24"/>
      <c r="F1044258" s="24"/>
      <c r="G1044258" s="24"/>
      <c r="H1044258" s="24"/>
      <c r="I1044258" s="24"/>
      <c r="J1044258" s="24"/>
      <c r="K1044258" s="54"/>
    </row>
    <row r="1044259" spans="1:11" s="55" customFormat="1" ht="12.75">
      <c r="A1044259" s="24"/>
      <c r="B1044259" s="24"/>
      <c r="C1044259" s="24"/>
      <c r="D1044259" s="24"/>
      <c r="E1044259" s="24"/>
      <c r="F1044259" s="24"/>
      <c r="G1044259" s="24"/>
      <c r="H1044259" s="24"/>
      <c r="I1044259" s="24"/>
      <c r="J1044259" s="24"/>
      <c r="K1044259" s="54"/>
    </row>
    <row r="1044260" spans="1:11" s="55" customFormat="1" ht="12.75">
      <c r="A1044260" s="24"/>
      <c r="B1044260" s="24"/>
      <c r="C1044260" s="24"/>
      <c r="D1044260" s="24"/>
      <c r="E1044260" s="24"/>
      <c r="F1044260" s="24"/>
      <c r="G1044260" s="24"/>
      <c r="H1044260" s="24"/>
      <c r="I1044260" s="24"/>
      <c r="J1044260" s="24"/>
      <c r="K1044260" s="54"/>
    </row>
    <row r="1044261" spans="1:11" s="55" customFormat="1" ht="12.75">
      <c r="A1044261" s="24"/>
      <c r="B1044261" s="24"/>
      <c r="C1044261" s="24"/>
      <c r="D1044261" s="24"/>
      <c r="E1044261" s="24"/>
      <c r="F1044261" s="24"/>
      <c r="G1044261" s="24"/>
      <c r="H1044261" s="24"/>
      <c r="I1044261" s="24"/>
      <c r="J1044261" s="24"/>
      <c r="K1044261" s="54"/>
    </row>
    <row r="1044262" spans="1:11" s="55" customFormat="1" ht="12.75">
      <c r="A1044262" s="24"/>
      <c r="B1044262" s="24"/>
      <c r="C1044262" s="24"/>
      <c r="D1044262" s="24"/>
      <c r="E1044262" s="24"/>
      <c r="F1044262" s="24"/>
      <c r="G1044262" s="24"/>
      <c r="H1044262" s="24"/>
      <c r="I1044262" s="24"/>
      <c r="J1044262" s="24"/>
      <c r="K1044262" s="54"/>
    </row>
    <row r="1044263" spans="1:11" s="55" customFormat="1" ht="12.75">
      <c r="A1044263" s="24"/>
      <c r="B1044263" s="24"/>
      <c r="C1044263" s="24"/>
      <c r="D1044263" s="24"/>
      <c r="E1044263" s="24"/>
      <c r="F1044263" s="24"/>
      <c r="G1044263" s="24"/>
      <c r="H1044263" s="24"/>
      <c r="I1044263" s="24"/>
      <c r="J1044263" s="24"/>
      <c r="K1044263" s="54"/>
    </row>
    <row r="1044264" spans="1:11" s="55" customFormat="1" ht="12.75">
      <c r="A1044264" s="24"/>
      <c r="B1044264" s="24"/>
      <c r="C1044264" s="24"/>
      <c r="D1044264" s="24"/>
      <c r="E1044264" s="24"/>
      <c r="F1044264" s="24"/>
      <c r="G1044264" s="24"/>
      <c r="H1044264" s="24"/>
      <c r="I1044264" s="24"/>
      <c r="J1044264" s="24"/>
      <c r="K1044264" s="54"/>
    </row>
    <row r="1044265" spans="1:11" s="55" customFormat="1" ht="12.75">
      <c r="A1044265" s="24"/>
      <c r="B1044265" s="24"/>
      <c r="C1044265" s="24"/>
      <c r="D1044265" s="24"/>
      <c r="E1044265" s="24"/>
      <c r="F1044265" s="24"/>
      <c r="G1044265" s="24"/>
      <c r="H1044265" s="24"/>
      <c r="I1044265" s="24"/>
      <c r="J1044265" s="24"/>
      <c r="K1044265" s="54"/>
    </row>
    <row r="1044266" spans="1:11" s="55" customFormat="1" ht="12.75">
      <c r="A1044266" s="24"/>
      <c r="B1044266" s="24"/>
      <c r="C1044266" s="24"/>
      <c r="D1044266" s="24"/>
      <c r="E1044266" s="24"/>
      <c r="F1044266" s="24"/>
      <c r="G1044266" s="24"/>
      <c r="H1044266" s="24"/>
      <c r="I1044266" s="24"/>
      <c r="J1044266" s="24"/>
      <c r="K1044266" s="54"/>
    </row>
    <row r="1044267" spans="1:11" s="55" customFormat="1" ht="12.75">
      <c r="A1044267" s="24"/>
      <c r="B1044267" s="24"/>
      <c r="C1044267" s="24"/>
      <c r="D1044267" s="24"/>
      <c r="E1044267" s="24"/>
      <c r="F1044267" s="24"/>
      <c r="G1044267" s="24"/>
      <c r="H1044267" s="24"/>
      <c r="I1044267" s="24"/>
      <c r="J1044267" s="24"/>
      <c r="K1044267" s="54"/>
    </row>
    <row r="1044268" spans="1:11" s="55" customFormat="1" ht="12.75">
      <c r="A1044268" s="24"/>
      <c r="B1044268" s="24"/>
      <c r="C1044268" s="24"/>
      <c r="D1044268" s="24"/>
      <c r="E1044268" s="24"/>
      <c r="F1044268" s="24"/>
      <c r="G1044268" s="24"/>
      <c r="H1044268" s="24"/>
      <c r="I1044268" s="24"/>
      <c r="J1044268" s="24"/>
      <c r="K1044268" s="54"/>
    </row>
    <row r="1044269" spans="1:11" s="55" customFormat="1" ht="12.75">
      <c r="A1044269" s="24"/>
      <c r="B1044269" s="24"/>
      <c r="C1044269" s="24"/>
      <c r="D1044269" s="24"/>
      <c r="E1044269" s="24"/>
      <c r="F1044269" s="24"/>
      <c r="G1044269" s="24"/>
      <c r="H1044269" s="24"/>
      <c r="I1044269" s="24"/>
      <c r="J1044269" s="24"/>
      <c r="K1044269" s="54"/>
    </row>
    <row r="1044270" spans="1:11" s="55" customFormat="1" ht="12.75">
      <c r="A1044270" s="24"/>
      <c r="B1044270" s="24"/>
      <c r="C1044270" s="24"/>
      <c r="D1044270" s="24"/>
      <c r="E1044270" s="24"/>
      <c r="F1044270" s="24"/>
      <c r="G1044270" s="24"/>
      <c r="H1044270" s="24"/>
      <c r="I1044270" s="24"/>
      <c r="J1044270" s="24"/>
      <c r="K1044270" s="54"/>
    </row>
    <row r="1044271" spans="1:11" s="55" customFormat="1" ht="12.75">
      <c r="A1044271" s="24"/>
      <c r="B1044271" s="24"/>
      <c r="C1044271" s="24"/>
      <c r="D1044271" s="24"/>
      <c r="E1044271" s="24"/>
      <c r="F1044271" s="24"/>
      <c r="G1044271" s="24"/>
      <c r="H1044271" s="24"/>
      <c r="I1044271" s="24"/>
      <c r="J1044271" s="24"/>
      <c r="K1044271" s="54"/>
    </row>
    <row r="1044272" spans="1:11" s="55" customFormat="1" ht="12.75">
      <c r="A1044272" s="24"/>
      <c r="B1044272" s="24"/>
      <c r="C1044272" s="24"/>
      <c r="D1044272" s="24"/>
      <c r="E1044272" s="24"/>
      <c r="F1044272" s="24"/>
      <c r="G1044272" s="24"/>
      <c r="H1044272" s="24"/>
      <c r="I1044272" s="24"/>
      <c r="J1044272" s="24"/>
      <c r="K1044272" s="54"/>
    </row>
    <row r="1044273" spans="1:11" s="55" customFormat="1" ht="12.75">
      <c r="A1044273" s="24"/>
      <c r="B1044273" s="24"/>
      <c r="C1044273" s="24"/>
      <c r="D1044273" s="24"/>
      <c r="E1044273" s="24"/>
      <c r="F1044273" s="24"/>
      <c r="G1044273" s="24"/>
      <c r="H1044273" s="24"/>
      <c r="I1044273" s="24"/>
      <c r="J1044273" s="24"/>
      <c r="K1044273" s="54"/>
    </row>
    <row r="1044274" spans="1:11" s="55" customFormat="1" ht="12.75">
      <c r="A1044274" s="24"/>
      <c r="B1044274" s="24"/>
      <c r="C1044274" s="24"/>
      <c r="D1044274" s="24"/>
      <c r="E1044274" s="24"/>
      <c r="F1044274" s="24"/>
      <c r="G1044274" s="24"/>
      <c r="H1044274" s="24"/>
      <c r="I1044274" s="24"/>
      <c r="J1044274" s="24"/>
      <c r="K1044274" s="54"/>
    </row>
    <row r="1044275" spans="1:11" s="55" customFormat="1" ht="12.75">
      <c r="A1044275" s="24"/>
      <c r="B1044275" s="24"/>
      <c r="C1044275" s="24"/>
      <c r="D1044275" s="24"/>
      <c r="E1044275" s="24"/>
      <c r="F1044275" s="24"/>
      <c r="G1044275" s="24"/>
      <c r="H1044275" s="24"/>
      <c r="I1044275" s="24"/>
      <c r="J1044275" s="24"/>
      <c r="K1044275" s="54"/>
    </row>
    <row r="1044276" spans="1:11" s="55" customFormat="1" ht="12.75">
      <c r="A1044276" s="24"/>
      <c r="B1044276" s="24"/>
      <c r="C1044276" s="24"/>
      <c r="D1044276" s="24"/>
      <c r="E1044276" s="24"/>
      <c r="F1044276" s="24"/>
      <c r="G1044276" s="24"/>
      <c r="H1044276" s="24"/>
      <c r="I1044276" s="24"/>
      <c r="J1044276" s="24"/>
      <c r="K1044276" s="54"/>
    </row>
    <row r="1044277" spans="1:11" s="55" customFormat="1" ht="12.75">
      <c r="A1044277" s="24"/>
      <c r="B1044277" s="24"/>
      <c r="C1044277" s="24"/>
      <c r="D1044277" s="24"/>
      <c r="E1044277" s="24"/>
      <c r="F1044277" s="24"/>
      <c r="G1044277" s="24"/>
      <c r="H1044277" s="24"/>
      <c r="I1044277" s="24"/>
      <c r="J1044277" s="24"/>
      <c r="K1044277" s="54"/>
    </row>
    <row r="1044278" spans="1:11" s="55" customFormat="1" ht="12.75">
      <c r="A1044278" s="24"/>
      <c r="B1044278" s="24"/>
      <c r="C1044278" s="24"/>
      <c r="D1044278" s="24"/>
      <c r="E1044278" s="24"/>
      <c r="F1044278" s="24"/>
      <c r="G1044278" s="24"/>
      <c r="H1044278" s="24"/>
      <c r="I1044278" s="24"/>
      <c r="J1044278" s="24"/>
      <c r="K1044278" s="54"/>
    </row>
    <row r="1044279" spans="1:11" s="55" customFormat="1" ht="12.75">
      <c r="A1044279" s="24"/>
      <c r="B1044279" s="24"/>
      <c r="C1044279" s="24"/>
      <c r="D1044279" s="24"/>
      <c r="E1044279" s="24"/>
      <c r="F1044279" s="24"/>
      <c r="G1044279" s="24"/>
      <c r="H1044279" s="24"/>
      <c r="I1044279" s="24"/>
      <c r="J1044279" s="24"/>
      <c r="K1044279" s="54"/>
    </row>
    <row r="1044280" spans="1:11" s="55" customFormat="1" ht="12.75">
      <c r="A1044280" s="24"/>
      <c r="B1044280" s="24"/>
      <c r="C1044280" s="24"/>
      <c r="D1044280" s="24"/>
      <c r="E1044280" s="24"/>
      <c r="F1044280" s="24"/>
      <c r="G1044280" s="24"/>
      <c r="H1044280" s="24"/>
      <c r="I1044280" s="24"/>
      <c r="J1044280" s="24"/>
      <c r="K1044280" s="54"/>
    </row>
    <row r="1044281" spans="1:11" s="55" customFormat="1" ht="12.75">
      <c r="A1044281" s="24"/>
      <c r="B1044281" s="24"/>
      <c r="C1044281" s="24"/>
      <c r="D1044281" s="24"/>
      <c r="E1044281" s="24"/>
      <c r="F1044281" s="24"/>
      <c r="G1044281" s="24"/>
      <c r="H1044281" s="24"/>
      <c r="I1044281" s="24"/>
      <c r="J1044281" s="24"/>
      <c r="K1044281" s="54"/>
    </row>
    <row r="1044282" spans="1:11" s="55" customFormat="1" ht="12.75">
      <c r="A1044282" s="24"/>
      <c r="B1044282" s="24"/>
      <c r="C1044282" s="24"/>
      <c r="D1044282" s="24"/>
      <c r="E1044282" s="24"/>
      <c r="F1044282" s="24"/>
      <c r="G1044282" s="24"/>
      <c r="H1044282" s="24"/>
      <c r="I1044282" s="24"/>
      <c r="J1044282" s="24"/>
      <c r="K1044282" s="54"/>
    </row>
    <row r="1044283" spans="1:11" s="55" customFormat="1" ht="12.75">
      <c r="A1044283" s="24"/>
      <c r="B1044283" s="24"/>
      <c r="C1044283" s="24"/>
      <c r="D1044283" s="24"/>
      <c r="E1044283" s="24"/>
      <c r="F1044283" s="24"/>
      <c r="G1044283" s="24"/>
      <c r="H1044283" s="24"/>
      <c r="I1044283" s="24"/>
      <c r="J1044283" s="24"/>
      <c r="K1044283" s="54"/>
    </row>
    <row r="1044284" spans="1:11" s="55" customFormat="1" ht="12.75">
      <c r="A1044284" s="24"/>
      <c r="B1044284" s="24"/>
      <c r="C1044284" s="24"/>
      <c r="D1044284" s="24"/>
      <c r="E1044284" s="24"/>
      <c r="F1044284" s="24"/>
      <c r="G1044284" s="24"/>
      <c r="H1044284" s="24"/>
      <c r="I1044284" s="24"/>
      <c r="J1044284" s="24"/>
      <c r="K1044284" s="54"/>
    </row>
    <row r="1044285" spans="1:11" s="55" customFormat="1" ht="12.75">
      <c r="A1044285" s="24"/>
      <c r="B1044285" s="24"/>
      <c r="C1044285" s="24"/>
      <c r="D1044285" s="24"/>
      <c r="E1044285" s="24"/>
      <c r="F1044285" s="24"/>
      <c r="G1044285" s="24"/>
      <c r="H1044285" s="24"/>
      <c r="I1044285" s="24"/>
      <c r="J1044285" s="24"/>
      <c r="K1044285" s="54"/>
    </row>
    <row r="1044286" spans="1:11" s="55" customFormat="1" ht="12.75">
      <c r="A1044286" s="24"/>
      <c r="B1044286" s="24"/>
      <c r="C1044286" s="24"/>
      <c r="D1044286" s="24"/>
      <c r="E1044286" s="24"/>
      <c r="F1044286" s="24"/>
      <c r="G1044286" s="24"/>
      <c r="H1044286" s="24"/>
      <c r="I1044286" s="24"/>
      <c r="J1044286" s="24"/>
      <c r="K1044286" s="54"/>
    </row>
    <row r="1044287" spans="1:11" s="55" customFormat="1" ht="12.75">
      <c r="A1044287" s="24"/>
      <c r="B1044287" s="24"/>
      <c r="C1044287" s="24"/>
      <c r="D1044287" s="24"/>
      <c r="E1044287" s="24"/>
      <c r="F1044287" s="24"/>
      <c r="G1044287" s="24"/>
      <c r="H1044287" s="24"/>
      <c r="I1044287" s="24"/>
      <c r="J1044287" s="24"/>
      <c r="K1044287" s="54"/>
    </row>
    <row r="1044288" spans="1:11" s="55" customFormat="1" ht="12.75">
      <c r="A1044288" s="24"/>
      <c r="B1044288" s="24"/>
      <c r="C1044288" s="24"/>
      <c r="D1044288" s="24"/>
      <c r="E1044288" s="24"/>
      <c r="F1044288" s="24"/>
      <c r="G1044288" s="24"/>
      <c r="H1044288" s="24"/>
      <c r="I1044288" s="24"/>
      <c r="J1044288" s="24"/>
      <c r="K1044288" s="54"/>
    </row>
    <row r="1044289" spans="1:11" s="55" customFormat="1" ht="12.75">
      <c r="A1044289" s="24"/>
      <c r="B1044289" s="24"/>
      <c r="C1044289" s="24"/>
      <c r="D1044289" s="24"/>
      <c r="E1044289" s="24"/>
      <c r="F1044289" s="24"/>
      <c r="G1044289" s="24"/>
      <c r="H1044289" s="24"/>
      <c r="I1044289" s="24"/>
      <c r="J1044289" s="24"/>
      <c r="K1044289" s="54"/>
    </row>
    <row r="1044290" spans="1:11" s="55" customFormat="1" ht="12.75">
      <c r="A1044290" s="24"/>
      <c r="B1044290" s="24"/>
      <c r="C1044290" s="24"/>
      <c r="D1044290" s="24"/>
      <c r="E1044290" s="24"/>
      <c r="F1044290" s="24"/>
      <c r="G1044290" s="24"/>
      <c r="H1044290" s="24"/>
      <c r="I1044290" s="24"/>
      <c r="J1044290" s="24"/>
      <c r="K1044290" s="54"/>
    </row>
    <row r="1044291" spans="1:11" s="55" customFormat="1" ht="12.75">
      <c r="A1044291" s="24"/>
      <c r="B1044291" s="24"/>
      <c r="C1044291" s="24"/>
      <c r="D1044291" s="24"/>
      <c r="E1044291" s="24"/>
      <c r="F1044291" s="24"/>
      <c r="G1044291" s="24"/>
      <c r="H1044291" s="24"/>
      <c r="I1044291" s="24"/>
      <c r="J1044291" s="24"/>
      <c r="K1044291" s="54"/>
    </row>
    <row r="1044292" spans="1:11" s="55" customFormat="1" ht="12.75">
      <c r="A1044292" s="24"/>
      <c r="B1044292" s="24"/>
      <c r="C1044292" s="24"/>
      <c r="D1044292" s="24"/>
      <c r="E1044292" s="24"/>
      <c r="F1044292" s="24"/>
      <c r="G1044292" s="24"/>
      <c r="H1044292" s="24"/>
      <c r="I1044292" s="24"/>
      <c r="J1044292" s="24"/>
      <c r="K1044292" s="54"/>
    </row>
    <row r="1044293" spans="1:11" s="55" customFormat="1" ht="12.75">
      <c r="A1044293" s="24"/>
      <c r="B1044293" s="24"/>
      <c r="C1044293" s="24"/>
      <c r="D1044293" s="24"/>
      <c r="E1044293" s="24"/>
      <c r="F1044293" s="24"/>
      <c r="G1044293" s="24"/>
      <c r="H1044293" s="24"/>
      <c r="I1044293" s="24"/>
      <c r="J1044293" s="24"/>
      <c r="K1044293" s="54"/>
    </row>
    <row r="1044294" spans="1:11" s="55" customFormat="1" ht="12.75">
      <c r="A1044294" s="24"/>
      <c r="B1044294" s="24"/>
      <c r="C1044294" s="24"/>
      <c r="D1044294" s="24"/>
      <c r="E1044294" s="24"/>
      <c r="F1044294" s="24"/>
      <c r="G1044294" s="24"/>
      <c r="H1044294" s="24"/>
      <c r="I1044294" s="24"/>
      <c r="J1044294" s="24"/>
      <c r="K1044294" s="54"/>
    </row>
    <row r="1044295" spans="1:11" s="55" customFormat="1" ht="12.75">
      <c r="A1044295" s="24"/>
      <c r="B1044295" s="24"/>
      <c r="C1044295" s="24"/>
      <c r="D1044295" s="24"/>
      <c r="E1044295" s="24"/>
      <c r="F1044295" s="24"/>
      <c r="G1044295" s="24"/>
      <c r="H1044295" s="24"/>
      <c r="I1044295" s="24"/>
      <c r="J1044295" s="24"/>
      <c r="K1044295" s="54"/>
    </row>
    <row r="1044296" spans="1:11" s="55" customFormat="1" ht="12.75">
      <c r="A1044296" s="24"/>
      <c r="B1044296" s="24"/>
      <c r="C1044296" s="24"/>
      <c r="D1044296" s="24"/>
      <c r="E1044296" s="24"/>
      <c r="F1044296" s="24"/>
      <c r="G1044296" s="24"/>
      <c r="H1044296" s="24"/>
      <c r="I1044296" s="24"/>
      <c r="J1044296" s="24"/>
      <c r="K1044296" s="54"/>
    </row>
    <row r="1044297" spans="1:11" s="55" customFormat="1" ht="12.75">
      <c r="A1044297" s="24"/>
      <c r="B1044297" s="24"/>
      <c r="C1044297" s="24"/>
      <c r="D1044297" s="24"/>
      <c r="E1044297" s="24"/>
      <c r="F1044297" s="24"/>
      <c r="G1044297" s="24"/>
      <c r="H1044297" s="24"/>
      <c r="I1044297" s="24"/>
      <c r="J1044297" s="24"/>
      <c r="K1044297" s="54"/>
    </row>
    <row r="1044298" spans="1:11" s="55" customFormat="1" ht="12.75">
      <c r="A1044298" s="24"/>
      <c r="B1044298" s="24"/>
      <c r="C1044298" s="24"/>
      <c r="D1044298" s="24"/>
      <c r="E1044298" s="24"/>
      <c r="F1044298" s="24"/>
      <c r="G1044298" s="24"/>
      <c r="H1044298" s="24"/>
      <c r="I1044298" s="24"/>
      <c r="J1044298" s="24"/>
      <c r="K1044298" s="54"/>
    </row>
    <row r="1044299" spans="1:11" s="55" customFormat="1" ht="12.75">
      <c r="A1044299" s="24"/>
      <c r="B1044299" s="24"/>
      <c r="C1044299" s="24"/>
      <c r="D1044299" s="24"/>
      <c r="E1044299" s="24"/>
      <c r="F1044299" s="24"/>
      <c r="G1044299" s="24"/>
      <c r="H1044299" s="24"/>
      <c r="I1044299" s="24"/>
      <c r="J1044299" s="24"/>
      <c r="K1044299" s="54"/>
    </row>
    <row r="1044300" spans="1:11" s="55" customFormat="1" ht="12.75">
      <c r="A1044300" s="24"/>
      <c r="B1044300" s="24"/>
      <c r="C1044300" s="24"/>
      <c r="D1044300" s="24"/>
      <c r="E1044300" s="24"/>
      <c r="F1044300" s="24"/>
      <c r="G1044300" s="24"/>
      <c r="H1044300" s="24"/>
      <c r="I1044300" s="24"/>
      <c r="J1044300" s="24"/>
      <c r="K1044300" s="54"/>
    </row>
    <row r="1044301" spans="1:11" s="55" customFormat="1" ht="12.75">
      <c r="A1044301" s="24"/>
      <c r="B1044301" s="24"/>
      <c r="C1044301" s="24"/>
      <c r="D1044301" s="24"/>
      <c r="E1044301" s="24"/>
      <c r="F1044301" s="24"/>
      <c r="G1044301" s="24"/>
      <c r="H1044301" s="24"/>
      <c r="I1044301" s="24"/>
      <c r="J1044301" s="24"/>
      <c r="K1044301" s="54"/>
    </row>
    <row r="1044302" spans="1:11" s="55" customFormat="1" ht="12.75">
      <c r="A1044302" s="24"/>
      <c r="B1044302" s="24"/>
      <c r="C1044302" s="24"/>
      <c r="D1044302" s="24"/>
      <c r="E1044302" s="24"/>
      <c r="F1044302" s="24"/>
      <c r="G1044302" s="24"/>
      <c r="H1044302" s="24"/>
      <c r="I1044302" s="24"/>
      <c r="J1044302" s="24"/>
      <c r="K1044302" s="54"/>
    </row>
    <row r="1044303" spans="1:11" s="55" customFormat="1" ht="12.75">
      <c r="A1044303" s="24"/>
      <c r="B1044303" s="24"/>
      <c r="C1044303" s="24"/>
      <c r="D1044303" s="24"/>
      <c r="E1044303" s="24"/>
      <c r="F1044303" s="24"/>
      <c r="G1044303" s="24"/>
      <c r="H1044303" s="24"/>
      <c r="I1044303" s="24"/>
      <c r="J1044303" s="24"/>
      <c r="K1044303" s="54"/>
    </row>
    <row r="1044304" spans="1:11" s="55" customFormat="1" ht="12.75">
      <c r="A1044304" s="24"/>
      <c r="B1044304" s="24"/>
      <c r="C1044304" s="24"/>
      <c r="D1044304" s="24"/>
      <c r="E1044304" s="24"/>
      <c r="F1044304" s="24"/>
      <c r="G1044304" s="24"/>
      <c r="H1044304" s="24"/>
      <c r="I1044304" s="24"/>
      <c r="J1044304" s="24"/>
      <c r="K1044304" s="54"/>
    </row>
    <row r="1044305" spans="1:11" s="55" customFormat="1" ht="12.75">
      <c r="A1044305" s="24"/>
      <c r="B1044305" s="24"/>
      <c r="C1044305" s="24"/>
      <c r="D1044305" s="24"/>
      <c r="E1044305" s="24"/>
      <c r="F1044305" s="24"/>
      <c r="G1044305" s="24"/>
      <c r="H1044305" s="24"/>
      <c r="I1044305" s="24"/>
      <c r="J1044305" s="24"/>
      <c r="K1044305" s="54"/>
    </row>
    <row r="1044306" spans="1:11" s="55" customFormat="1" ht="12.75">
      <c r="A1044306" s="24"/>
      <c r="B1044306" s="24"/>
      <c r="C1044306" s="24"/>
      <c r="D1044306" s="24"/>
      <c r="E1044306" s="24"/>
      <c r="F1044306" s="24"/>
      <c r="G1044306" s="24"/>
      <c r="H1044306" s="24"/>
      <c r="I1044306" s="24"/>
      <c r="J1044306" s="24"/>
      <c r="K1044306" s="54"/>
    </row>
    <row r="1044307" spans="1:11" s="55" customFormat="1" ht="12.75">
      <c r="A1044307" s="24"/>
      <c r="B1044307" s="24"/>
      <c r="C1044307" s="24"/>
      <c r="D1044307" s="24"/>
      <c r="E1044307" s="24"/>
      <c r="F1044307" s="24"/>
      <c r="G1044307" s="24"/>
      <c r="H1044307" s="24"/>
      <c r="I1044307" s="24"/>
      <c r="J1044307" s="24"/>
      <c r="K1044307" s="54"/>
    </row>
    <row r="1044308" spans="1:11" s="55" customFormat="1" ht="12.75">
      <c r="A1044308" s="24"/>
      <c r="B1044308" s="24"/>
      <c r="C1044308" s="24"/>
      <c r="D1044308" s="24"/>
      <c r="E1044308" s="24"/>
      <c r="F1044308" s="24"/>
      <c r="G1044308" s="24"/>
      <c r="H1044308" s="24"/>
      <c r="I1044308" s="24"/>
      <c r="J1044308" s="24"/>
      <c r="K1044308" s="54"/>
    </row>
    <row r="1044309" spans="1:11" s="55" customFormat="1" ht="12.75">
      <c r="A1044309" s="24"/>
      <c r="B1044309" s="24"/>
      <c r="C1044309" s="24"/>
      <c r="D1044309" s="24"/>
      <c r="E1044309" s="24"/>
      <c r="F1044309" s="24"/>
      <c r="G1044309" s="24"/>
      <c r="H1044309" s="24"/>
      <c r="I1044309" s="24"/>
      <c r="J1044309" s="24"/>
      <c r="K1044309" s="54"/>
    </row>
    <row r="1044310" spans="1:11" s="55" customFormat="1" ht="12.75">
      <c r="A1044310" s="24"/>
      <c r="B1044310" s="24"/>
      <c r="C1044310" s="24"/>
      <c r="D1044310" s="24"/>
      <c r="E1044310" s="24"/>
      <c r="F1044310" s="24"/>
      <c r="G1044310" s="24"/>
      <c r="H1044310" s="24"/>
      <c r="I1044310" s="24"/>
      <c r="J1044310" s="24"/>
      <c r="K1044310" s="54"/>
    </row>
    <row r="1044311" spans="1:11" s="55" customFormat="1" ht="12.75">
      <c r="A1044311" s="24"/>
      <c r="B1044311" s="24"/>
      <c r="C1044311" s="24"/>
      <c r="D1044311" s="24"/>
      <c r="E1044311" s="24"/>
      <c r="F1044311" s="24"/>
      <c r="G1044311" s="24"/>
      <c r="H1044311" s="24"/>
      <c r="I1044311" s="24"/>
      <c r="J1044311" s="24"/>
      <c r="K1044311" s="54"/>
    </row>
    <row r="1044312" spans="1:11" s="55" customFormat="1" ht="12.75">
      <c r="A1044312" s="24"/>
      <c r="B1044312" s="24"/>
      <c r="C1044312" s="24"/>
      <c r="D1044312" s="24"/>
      <c r="E1044312" s="24"/>
      <c r="F1044312" s="24"/>
      <c r="G1044312" s="24"/>
      <c r="H1044312" s="24"/>
      <c r="I1044312" s="24"/>
      <c r="J1044312" s="24"/>
      <c r="K1044312" s="54"/>
    </row>
    <row r="1044313" spans="1:11" s="55" customFormat="1" ht="12.75">
      <c r="A1044313" s="24"/>
      <c r="B1044313" s="24"/>
      <c r="C1044313" s="24"/>
      <c r="D1044313" s="24"/>
      <c r="E1044313" s="24"/>
      <c r="F1044313" s="24"/>
      <c r="G1044313" s="24"/>
      <c r="H1044313" s="24"/>
      <c r="I1044313" s="24"/>
      <c r="J1044313" s="24"/>
      <c r="K1044313" s="54"/>
    </row>
    <row r="1044314" spans="1:11" s="55" customFormat="1" ht="12.75">
      <c r="A1044314" s="24"/>
      <c r="B1044314" s="24"/>
      <c r="C1044314" s="24"/>
      <c r="D1044314" s="24"/>
      <c r="E1044314" s="24"/>
      <c r="F1044314" s="24"/>
      <c r="G1044314" s="24"/>
      <c r="H1044314" s="24"/>
      <c r="I1044314" s="24"/>
      <c r="J1044314" s="24"/>
      <c r="K1044314" s="54"/>
    </row>
    <row r="1044315" spans="1:11" s="55" customFormat="1" ht="12.75">
      <c r="A1044315" s="24"/>
      <c r="B1044315" s="24"/>
      <c r="C1044315" s="24"/>
      <c r="D1044315" s="24"/>
      <c r="E1044315" s="24"/>
      <c r="F1044315" s="24"/>
      <c r="G1044315" s="24"/>
      <c r="H1044315" s="24"/>
      <c r="I1044315" s="24"/>
      <c r="J1044315" s="24"/>
      <c r="K1044315" s="54"/>
    </row>
    <row r="1044316" spans="1:11" s="55" customFormat="1" ht="12.75">
      <c r="A1044316" s="24"/>
      <c r="B1044316" s="24"/>
      <c r="C1044316" s="24"/>
      <c r="D1044316" s="24"/>
      <c r="E1044316" s="24"/>
      <c r="F1044316" s="24"/>
      <c r="G1044316" s="24"/>
      <c r="H1044316" s="24"/>
      <c r="I1044316" s="24"/>
      <c r="J1044316" s="24"/>
      <c r="K1044316" s="54"/>
    </row>
    <row r="1044317" spans="1:11" s="55" customFormat="1" ht="12.75">
      <c r="A1044317" s="24"/>
      <c r="B1044317" s="24"/>
      <c r="C1044317" s="24"/>
      <c r="D1044317" s="24"/>
      <c r="E1044317" s="24"/>
      <c r="F1044317" s="24"/>
      <c r="G1044317" s="24"/>
      <c r="H1044317" s="24"/>
      <c r="I1044317" s="24"/>
      <c r="J1044317" s="24"/>
      <c r="K1044317" s="54"/>
    </row>
    <row r="1044318" spans="1:11" s="55" customFormat="1" ht="12.75">
      <c r="A1044318" s="24"/>
      <c r="B1044318" s="24"/>
      <c r="C1044318" s="24"/>
      <c r="D1044318" s="24"/>
      <c r="E1044318" s="24"/>
      <c r="F1044318" s="24"/>
      <c r="G1044318" s="24"/>
      <c r="H1044318" s="24"/>
      <c r="I1044318" s="24"/>
      <c r="J1044318" s="24"/>
      <c r="K1044318" s="54"/>
    </row>
    <row r="1044319" spans="1:11" s="55" customFormat="1" ht="12.75">
      <c r="A1044319" s="24"/>
      <c r="B1044319" s="24"/>
      <c r="C1044319" s="24"/>
      <c r="D1044319" s="24"/>
      <c r="E1044319" s="24"/>
      <c r="F1044319" s="24"/>
      <c r="G1044319" s="24"/>
      <c r="H1044319" s="24"/>
      <c r="I1044319" s="24"/>
      <c r="J1044319" s="24"/>
      <c r="K1044319" s="54"/>
    </row>
    <row r="1044320" spans="1:11" s="55" customFormat="1" ht="12.75">
      <c r="A1044320" s="24"/>
      <c r="B1044320" s="24"/>
      <c r="C1044320" s="24"/>
      <c r="D1044320" s="24"/>
      <c r="E1044320" s="24"/>
      <c r="F1044320" s="24"/>
      <c r="G1044320" s="24"/>
      <c r="H1044320" s="24"/>
      <c r="I1044320" s="24"/>
      <c r="J1044320" s="24"/>
      <c r="K1044320" s="54"/>
    </row>
    <row r="1044321" spans="1:11" s="55" customFormat="1" ht="12.75">
      <c r="A1044321" s="24"/>
      <c r="B1044321" s="24"/>
      <c r="C1044321" s="24"/>
      <c r="D1044321" s="24"/>
      <c r="E1044321" s="24"/>
      <c r="F1044321" s="24"/>
      <c r="G1044321" s="24"/>
      <c r="H1044321" s="24"/>
      <c r="I1044321" s="24"/>
      <c r="J1044321" s="24"/>
      <c r="K1044321" s="54"/>
    </row>
    <row r="1044322" spans="1:11" s="55" customFormat="1" ht="12.75">
      <c r="A1044322" s="24"/>
      <c r="B1044322" s="24"/>
      <c r="C1044322" s="24"/>
      <c r="D1044322" s="24"/>
      <c r="E1044322" s="24"/>
      <c r="F1044322" s="24"/>
      <c r="G1044322" s="24"/>
      <c r="H1044322" s="24"/>
      <c r="I1044322" s="24"/>
      <c r="J1044322" s="24"/>
      <c r="K1044322" s="54"/>
    </row>
    <row r="1044323" spans="1:11" s="55" customFormat="1" ht="12.75">
      <c r="A1044323" s="24"/>
      <c r="B1044323" s="24"/>
      <c r="C1044323" s="24"/>
      <c r="D1044323" s="24"/>
      <c r="E1044323" s="24"/>
      <c r="F1044323" s="24"/>
      <c r="G1044323" s="24"/>
      <c r="H1044323" s="24"/>
      <c r="I1044323" s="24"/>
      <c r="J1044323" s="24"/>
      <c r="K1044323" s="54"/>
    </row>
    <row r="1044324" spans="1:11" s="55" customFormat="1" ht="12.75">
      <c r="A1044324" s="24"/>
      <c r="B1044324" s="24"/>
      <c r="C1044324" s="24"/>
      <c r="D1044324" s="24"/>
      <c r="E1044324" s="24"/>
      <c r="F1044324" s="24"/>
      <c r="G1044324" s="24"/>
      <c r="H1044324" s="24"/>
      <c r="I1044324" s="24"/>
      <c r="J1044324" s="24"/>
      <c r="K1044324" s="54"/>
    </row>
    <row r="1044325" spans="1:11" s="55" customFormat="1" ht="12.75">
      <c r="A1044325" s="24"/>
      <c r="B1044325" s="24"/>
      <c r="C1044325" s="24"/>
      <c r="D1044325" s="24"/>
      <c r="E1044325" s="24"/>
      <c r="F1044325" s="24"/>
      <c r="G1044325" s="24"/>
      <c r="H1044325" s="24"/>
      <c r="I1044325" s="24"/>
      <c r="J1044325" s="24"/>
      <c r="K1044325" s="54"/>
    </row>
    <row r="1044326" spans="1:11" s="55" customFormat="1" ht="12.75">
      <c r="A1044326" s="24"/>
      <c r="B1044326" s="24"/>
      <c r="C1044326" s="24"/>
      <c r="D1044326" s="24"/>
      <c r="E1044326" s="24"/>
      <c r="F1044326" s="24"/>
      <c r="G1044326" s="24"/>
      <c r="H1044326" s="24"/>
      <c r="I1044326" s="24"/>
      <c r="J1044326" s="24"/>
      <c r="K1044326" s="54"/>
    </row>
    <row r="1044327" spans="1:11" s="55" customFormat="1" ht="12.75">
      <c r="A1044327" s="24"/>
      <c r="B1044327" s="24"/>
      <c r="C1044327" s="24"/>
      <c r="D1044327" s="24"/>
      <c r="E1044327" s="24"/>
      <c r="F1044327" s="24"/>
      <c r="G1044327" s="24"/>
      <c r="H1044327" s="24"/>
      <c r="I1044327" s="24"/>
      <c r="J1044327" s="24"/>
      <c r="K1044327" s="54"/>
    </row>
    <row r="1044328" spans="1:11" s="55" customFormat="1" ht="12.75">
      <c r="A1044328" s="24"/>
      <c r="B1044328" s="24"/>
      <c r="C1044328" s="24"/>
      <c r="D1044328" s="24"/>
      <c r="E1044328" s="24"/>
      <c r="F1044328" s="24"/>
      <c r="G1044328" s="24"/>
      <c r="H1044328" s="24"/>
      <c r="I1044328" s="24"/>
      <c r="J1044328" s="24"/>
      <c r="K1044328" s="54"/>
    </row>
    <row r="1044329" spans="1:11" s="55" customFormat="1" ht="12.75">
      <c r="A1044329" s="24"/>
      <c r="B1044329" s="24"/>
      <c r="C1044329" s="24"/>
      <c r="D1044329" s="24"/>
      <c r="E1044329" s="24"/>
      <c r="F1044329" s="24"/>
      <c r="G1044329" s="24"/>
      <c r="H1044329" s="24"/>
      <c r="I1044329" s="24"/>
      <c r="J1044329" s="24"/>
      <c r="K1044329" s="54"/>
    </row>
    <row r="1044330" spans="1:11" s="55" customFormat="1" ht="12.75">
      <c r="A1044330" s="24"/>
      <c r="B1044330" s="24"/>
      <c r="C1044330" s="24"/>
      <c r="D1044330" s="24"/>
      <c r="E1044330" s="24"/>
      <c r="F1044330" s="24"/>
      <c r="G1044330" s="24"/>
      <c r="H1044330" s="24"/>
      <c r="I1044330" s="24"/>
      <c r="J1044330" s="24"/>
      <c r="K1044330" s="54"/>
    </row>
    <row r="1044331" spans="1:11" s="55" customFormat="1" ht="12.75">
      <c r="A1044331" s="24"/>
      <c r="B1044331" s="24"/>
      <c r="C1044331" s="24"/>
      <c r="D1044331" s="24"/>
      <c r="E1044331" s="24"/>
      <c r="F1044331" s="24"/>
      <c r="G1044331" s="24"/>
      <c r="H1044331" s="24"/>
      <c r="I1044331" s="24"/>
      <c r="J1044331" s="24"/>
      <c r="K1044331" s="54"/>
    </row>
    <row r="1044332" spans="1:11" s="55" customFormat="1" ht="12.75">
      <c r="A1044332" s="24"/>
      <c r="B1044332" s="24"/>
      <c r="C1044332" s="24"/>
      <c r="D1044332" s="24"/>
      <c r="E1044332" s="24"/>
      <c r="F1044332" s="24"/>
      <c r="G1044332" s="24"/>
      <c r="H1044332" s="24"/>
      <c r="I1044332" s="24"/>
      <c r="J1044332" s="24"/>
      <c r="K1044332" s="54"/>
    </row>
    <row r="1044333" spans="1:11" s="55" customFormat="1" ht="12.75">
      <c r="A1044333" s="24"/>
      <c r="B1044333" s="24"/>
      <c r="C1044333" s="24"/>
      <c r="D1044333" s="24"/>
      <c r="E1044333" s="24"/>
      <c r="F1044333" s="24"/>
      <c r="G1044333" s="24"/>
      <c r="H1044333" s="24"/>
      <c r="I1044333" s="24"/>
      <c r="J1044333" s="24"/>
      <c r="K1044333" s="54"/>
    </row>
    <row r="1044334" spans="1:11" s="55" customFormat="1" ht="12.75">
      <c r="A1044334" s="24"/>
      <c r="B1044334" s="24"/>
      <c r="C1044334" s="24"/>
      <c r="D1044334" s="24"/>
      <c r="E1044334" s="24"/>
      <c r="F1044334" s="24"/>
      <c r="G1044334" s="24"/>
      <c r="H1044334" s="24"/>
      <c r="I1044334" s="24"/>
      <c r="J1044334" s="24"/>
      <c r="K1044334" s="54"/>
    </row>
    <row r="1044335" spans="1:11" s="55" customFormat="1" ht="12.75">
      <c r="A1044335" s="24"/>
      <c r="B1044335" s="24"/>
      <c r="C1044335" s="24"/>
      <c r="D1044335" s="24"/>
      <c r="E1044335" s="24"/>
      <c r="F1044335" s="24"/>
      <c r="G1044335" s="24"/>
      <c r="H1044335" s="24"/>
      <c r="I1044335" s="24"/>
      <c r="J1044335" s="24"/>
      <c r="K1044335" s="54"/>
    </row>
    <row r="1044336" spans="1:11" s="55" customFormat="1" ht="12.75">
      <c r="A1044336" s="24"/>
      <c r="B1044336" s="24"/>
      <c r="C1044336" s="24"/>
      <c r="D1044336" s="24"/>
      <c r="E1044336" s="24"/>
      <c r="F1044336" s="24"/>
      <c r="G1044336" s="24"/>
      <c r="H1044336" s="24"/>
      <c r="I1044336" s="24"/>
      <c r="J1044336" s="24"/>
      <c r="K1044336" s="54"/>
    </row>
    <row r="1044337" spans="1:11" s="55" customFormat="1" ht="12.75">
      <c r="A1044337" s="24"/>
      <c r="B1044337" s="24"/>
      <c r="C1044337" s="24"/>
      <c r="D1044337" s="24"/>
      <c r="E1044337" s="24"/>
      <c r="F1044337" s="24"/>
      <c r="G1044337" s="24"/>
      <c r="H1044337" s="24"/>
      <c r="I1044337" s="24"/>
      <c r="J1044337" s="24"/>
      <c r="K1044337" s="54"/>
    </row>
    <row r="1044338" spans="1:11" s="55" customFormat="1" ht="12.75">
      <c r="A1044338" s="24"/>
      <c r="B1044338" s="24"/>
      <c r="C1044338" s="24"/>
      <c r="D1044338" s="24"/>
      <c r="E1044338" s="24"/>
      <c r="F1044338" s="24"/>
      <c r="G1044338" s="24"/>
      <c r="H1044338" s="24"/>
      <c r="I1044338" s="24"/>
      <c r="J1044338" s="24"/>
      <c r="K1044338" s="54"/>
    </row>
    <row r="1044339" spans="1:11" s="55" customFormat="1" ht="12.75">
      <c r="A1044339" s="24"/>
      <c r="B1044339" s="24"/>
      <c r="C1044339" s="24"/>
      <c r="D1044339" s="24"/>
      <c r="E1044339" s="24"/>
      <c r="F1044339" s="24"/>
      <c r="G1044339" s="24"/>
      <c r="H1044339" s="24"/>
      <c r="I1044339" s="24"/>
      <c r="J1044339" s="24"/>
      <c r="K1044339" s="54"/>
    </row>
    <row r="1044340" spans="1:11" s="55" customFormat="1" ht="12.75">
      <c r="A1044340" s="24"/>
      <c r="B1044340" s="24"/>
      <c r="C1044340" s="24"/>
      <c r="D1044340" s="24"/>
      <c r="E1044340" s="24"/>
      <c r="F1044340" s="24"/>
      <c r="G1044340" s="24"/>
      <c r="H1044340" s="24"/>
      <c r="I1044340" s="24"/>
      <c r="J1044340" s="24"/>
      <c r="K1044340" s="54"/>
    </row>
    <row r="1044341" spans="1:11" s="55" customFormat="1" ht="12.75">
      <c r="A1044341" s="24"/>
      <c r="B1044341" s="24"/>
      <c r="C1044341" s="24"/>
      <c r="D1044341" s="24"/>
      <c r="E1044341" s="24"/>
      <c r="F1044341" s="24"/>
      <c r="G1044341" s="24"/>
      <c r="H1044341" s="24"/>
      <c r="I1044341" s="24"/>
      <c r="J1044341" s="24"/>
      <c r="K1044341" s="54"/>
    </row>
    <row r="1044342" spans="1:11" s="55" customFormat="1" ht="12.75">
      <c r="A1044342" s="24"/>
      <c r="B1044342" s="24"/>
      <c r="C1044342" s="24"/>
      <c r="D1044342" s="24"/>
      <c r="E1044342" s="24"/>
      <c r="F1044342" s="24"/>
      <c r="G1044342" s="24"/>
      <c r="H1044342" s="24"/>
      <c r="I1044342" s="24"/>
      <c r="J1044342" s="24"/>
      <c r="K1044342" s="54"/>
    </row>
    <row r="1044343" spans="1:11" s="55" customFormat="1" ht="12.75">
      <c r="A1044343" s="24"/>
      <c r="B1044343" s="24"/>
      <c r="C1044343" s="24"/>
      <c r="D1044343" s="24"/>
      <c r="E1044343" s="24"/>
      <c r="F1044343" s="24"/>
      <c r="G1044343" s="24"/>
      <c r="H1044343" s="24"/>
      <c r="I1044343" s="24"/>
      <c r="J1044343" s="24"/>
      <c r="K1044343" s="54"/>
    </row>
    <row r="1044344" spans="1:11" s="55" customFormat="1" ht="12.75">
      <c r="A1044344" s="24"/>
      <c r="B1044344" s="24"/>
      <c r="C1044344" s="24"/>
      <c r="D1044344" s="24"/>
      <c r="E1044344" s="24"/>
      <c r="F1044344" s="24"/>
      <c r="G1044344" s="24"/>
      <c r="H1044344" s="24"/>
      <c r="I1044344" s="24"/>
      <c r="J1044344" s="24"/>
      <c r="K1044344" s="54"/>
    </row>
    <row r="1044345" spans="1:11" s="55" customFormat="1" ht="12.75">
      <c r="A1044345" s="24"/>
      <c r="B1044345" s="24"/>
      <c r="C1044345" s="24"/>
      <c r="D1044345" s="24"/>
      <c r="E1044345" s="24"/>
      <c r="F1044345" s="24"/>
      <c r="G1044345" s="24"/>
      <c r="H1044345" s="24"/>
      <c r="I1044345" s="24"/>
      <c r="J1044345" s="24"/>
      <c r="K1044345" s="54"/>
    </row>
    <row r="1044346" spans="1:11" s="55" customFormat="1" ht="12.75">
      <c r="A1044346" s="24"/>
      <c r="B1044346" s="24"/>
      <c r="C1044346" s="24"/>
      <c r="D1044346" s="24"/>
      <c r="E1044346" s="24"/>
      <c r="F1044346" s="24"/>
      <c r="G1044346" s="24"/>
      <c r="H1044346" s="24"/>
      <c r="I1044346" s="24"/>
      <c r="J1044346" s="24"/>
      <c r="K1044346" s="54"/>
    </row>
    <row r="1044347" spans="1:11" s="55" customFormat="1" ht="12.75">
      <c r="A1044347" s="24"/>
      <c r="B1044347" s="24"/>
      <c r="C1044347" s="24"/>
      <c r="D1044347" s="24"/>
      <c r="E1044347" s="24"/>
      <c r="F1044347" s="24"/>
      <c r="G1044347" s="24"/>
      <c r="H1044347" s="24"/>
      <c r="I1044347" s="24"/>
      <c r="J1044347" s="24"/>
      <c r="K1044347" s="54"/>
    </row>
    <row r="1044348" spans="1:11" s="55" customFormat="1" ht="12.75">
      <c r="A1044348" s="24"/>
      <c r="B1044348" s="24"/>
      <c r="C1044348" s="24"/>
      <c r="D1044348" s="24"/>
      <c r="E1044348" s="24"/>
      <c r="F1044348" s="24"/>
      <c r="G1044348" s="24"/>
      <c r="H1044348" s="24"/>
      <c r="I1044348" s="24"/>
      <c r="J1044348" s="24"/>
      <c r="K1044348" s="54"/>
    </row>
    <row r="1044349" spans="1:11" s="55" customFormat="1" ht="12.75">
      <c r="A1044349" s="24"/>
      <c r="B1044349" s="24"/>
      <c r="C1044349" s="24"/>
      <c r="D1044349" s="24"/>
      <c r="E1044349" s="24"/>
      <c r="F1044349" s="24"/>
      <c r="G1044349" s="24"/>
      <c r="H1044349" s="24"/>
      <c r="I1044349" s="24"/>
      <c r="J1044349" s="24"/>
      <c r="K1044349" s="54"/>
    </row>
    <row r="1044350" spans="1:11" s="55" customFormat="1" ht="12.75">
      <c r="A1044350" s="24"/>
      <c r="B1044350" s="24"/>
      <c r="C1044350" s="24"/>
      <c r="D1044350" s="24"/>
      <c r="E1044350" s="24"/>
      <c r="F1044350" s="24"/>
      <c r="G1044350" s="24"/>
      <c r="H1044350" s="24"/>
      <c r="I1044350" s="24"/>
      <c r="J1044350" s="24"/>
      <c r="K1044350" s="54"/>
    </row>
    <row r="1044351" spans="1:11" s="55" customFormat="1" ht="12.75">
      <c r="A1044351" s="24"/>
      <c r="B1044351" s="24"/>
      <c r="C1044351" s="24"/>
      <c r="D1044351" s="24"/>
      <c r="E1044351" s="24"/>
      <c r="F1044351" s="24"/>
      <c r="G1044351" s="24"/>
      <c r="H1044351" s="24"/>
      <c r="I1044351" s="24"/>
      <c r="J1044351" s="24"/>
      <c r="K1044351" s="54"/>
    </row>
    <row r="1044352" spans="1:11" s="55" customFormat="1" ht="12.75">
      <c r="A1044352" s="24"/>
      <c r="B1044352" s="24"/>
      <c r="C1044352" s="24"/>
      <c r="D1044352" s="24"/>
      <c r="E1044352" s="24"/>
      <c r="F1044352" s="24"/>
      <c r="G1044352" s="24"/>
      <c r="H1044352" s="24"/>
      <c r="I1044352" s="24"/>
      <c r="J1044352" s="24"/>
      <c r="K1044352" s="54"/>
    </row>
    <row r="1044353" spans="1:11" s="55" customFormat="1" ht="12.75">
      <c r="A1044353" s="24"/>
      <c r="B1044353" s="24"/>
      <c r="C1044353" s="24"/>
      <c r="D1044353" s="24"/>
      <c r="E1044353" s="24"/>
      <c r="F1044353" s="24"/>
      <c r="G1044353" s="24"/>
      <c r="H1044353" s="24"/>
      <c r="I1044353" s="24"/>
      <c r="J1044353" s="24"/>
      <c r="K1044353" s="54"/>
    </row>
    <row r="1044354" spans="1:11" s="55" customFormat="1" ht="12.75">
      <c r="A1044354" s="24"/>
      <c r="B1044354" s="24"/>
      <c r="C1044354" s="24"/>
      <c r="D1044354" s="24"/>
      <c r="E1044354" s="24"/>
      <c r="F1044354" s="24"/>
      <c r="G1044354" s="24"/>
      <c r="H1044354" s="24"/>
      <c r="I1044354" s="24"/>
      <c r="J1044354" s="24"/>
      <c r="K1044354" s="54"/>
    </row>
    <row r="1044355" spans="1:11" s="55" customFormat="1" ht="12.75">
      <c r="A1044355" s="24"/>
      <c r="B1044355" s="24"/>
      <c r="C1044355" s="24"/>
      <c r="D1044355" s="24"/>
      <c r="E1044355" s="24"/>
      <c r="F1044355" s="24"/>
      <c r="G1044355" s="24"/>
      <c r="H1044355" s="24"/>
      <c r="I1044355" s="24"/>
      <c r="J1044355" s="24"/>
      <c r="K1044355" s="54"/>
    </row>
    <row r="1044356" spans="1:11" s="55" customFormat="1" ht="12.75">
      <c r="A1044356" s="24"/>
      <c r="B1044356" s="24"/>
      <c r="C1044356" s="24"/>
      <c r="D1044356" s="24"/>
      <c r="E1044356" s="24"/>
      <c r="F1044356" s="24"/>
      <c r="G1044356" s="24"/>
      <c r="H1044356" s="24"/>
      <c r="I1044356" s="24"/>
      <c r="J1044356" s="24"/>
      <c r="K1044356" s="54"/>
    </row>
    <row r="1044357" spans="1:11" s="55" customFormat="1" ht="12.75">
      <c r="A1044357" s="24"/>
      <c r="B1044357" s="24"/>
      <c r="C1044357" s="24"/>
      <c r="D1044357" s="24"/>
      <c r="E1044357" s="24"/>
      <c r="F1044357" s="24"/>
      <c r="G1044357" s="24"/>
      <c r="H1044357" s="24"/>
      <c r="I1044357" s="24"/>
      <c r="J1044357" s="24"/>
      <c r="K1044357" s="54"/>
    </row>
    <row r="1044358" spans="1:11" s="55" customFormat="1" ht="12.75">
      <c r="A1044358" s="24"/>
      <c r="B1044358" s="24"/>
      <c r="C1044358" s="24"/>
      <c r="D1044358" s="24"/>
      <c r="E1044358" s="24"/>
      <c r="F1044358" s="24"/>
      <c r="G1044358" s="24"/>
      <c r="H1044358" s="24"/>
      <c r="I1044358" s="24"/>
      <c r="J1044358" s="24"/>
      <c r="K1044358" s="54"/>
    </row>
    <row r="1044359" spans="1:11" s="55" customFormat="1" ht="12.75">
      <c r="A1044359" s="24"/>
      <c r="B1044359" s="24"/>
      <c r="C1044359" s="24"/>
      <c r="D1044359" s="24"/>
      <c r="E1044359" s="24"/>
      <c r="F1044359" s="24"/>
      <c r="G1044359" s="24"/>
      <c r="H1044359" s="24"/>
      <c r="I1044359" s="24"/>
      <c r="J1044359" s="24"/>
      <c r="K1044359" s="54"/>
    </row>
    <row r="1044360" spans="1:11" s="55" customFormat="1" ht="12.75">
      <c r="A1044360" s="24"/>
      <c r="B1044360" s="24"/>
      <c r="C1044360" s="24"/>
      <c r="D1044360" s="24"/>
      <c r="E1044360" s="24"/>
      <c r="F1044360" s="24"/>
      <c r="G1044360" s="24"/>
      <c r="H1044360" s="24"/>
      <c r="I1044360" s="24"/>
      <c r="J1044360" s="24"/>
      <c r="K1044360" s="54"/>
    </row>
    <row r="1044361" spans="1:11" s="55" customFormat="1" ht="12.75">
      <c r="A1044361" s="24"/>
      <c r="B1044361" s="24"/>
      <c r="C1044361" s="24"/>
      <c r="D1044361" s="24"/>
      <c r="E1044361" s="24"/>
      <c r="F1044361" s="24"/>
      <c r="G1044361" s="24"/>
      <c r="H1044361" s="24"/>
      <c r="I1044361" s="24"/>
      <c r="J1044361" s="24"/>
      <c r="K1044361" s="54"/>
    </row>
    <row r="1044362" spans="1:11" s="55" customFormat="1" ht="12.75">
      <c r="A1044362" s="24"/>
      <c r="B1044362" s="24"/>
      <c r="C1044362" s="24"/>
      <c r="D1044362" s="24"/>
      <c r="E1044362" s="24"/>
      <c r="F1044362" s="24"/>
      <c r="G1044362" s="24"/>
      <c r="H1044362" s="24"/>
      <c r="I1044362" s="24"/>
      <c r="J1044362" s="24"/>
      <c r="K1044362" s="54"/>
    </row>
    <row r="1044363" spans="1:11" s="55" customFormat="1" ht="12.75">
      <c r="A1044363" s="24"/>
      <c r="B1044363" s="24"/>
      <c r="C1044363" s="24"/>
      <c r="D1044363" s="24"/>
      <c r="E1044363" s="24"/>
      <c r="F1044363" s="24"/>
      <c r="G1044363" s="24"/>
      <c r="H1044363" s="24"/>
      <c r="I1044363" s="24"/>
      <c r="J1044363" s="24"/>
      <c r="K1044363" s="54"/>
    </row>
    <row r="1044364" spans="1:11" s="55" customFormat="1" ht="12.75">
      <c r="A1044364" s="24"/>
      <c r="B1044364" s="24"/>
      <c r="C1044364" s="24"/>
      <c r="D1044364" s="24"/>
      <c r="E1044364" s="24"/>
      <c r="F1044364" s="24"/>
      <c r="G1044364" s="24"/>
      <c r="H1044364" s="24"/>
      <c r="I1044364" s="24"/>
      <c r="J1044364" s="24"/>
      <c r="K1044364" s="54"/>
    </row>
    <row r="1044365" spans="1:11" s="55" customFormat="1" ht="12.75">
      <c r="A1044365" s="24"/>
      <c r="B1044365" s="24"/>
      <c r="C1044365" s="24"/>
      <c r="D1044365" s="24"/>
      <c r="E1044365" s="24"/>
      <c r="F1044365" s="24"/>
      <c r="G1044365" s="24"/>
      <c r="H1044365" s="24"/>
      <c r="I1044365" s="24"/>
      <c r="J1044365" s="24"/>
      <c r="K1044365" s="54"/>
    </row>
    <row r="1044366" spans="1:11" s="55" customFormat="1" ht="12.75">
      <c r="A1044366" s="24"/>
      <c r="B1044366" s="24"/>
      <c r="C1044366" s="24"/>
      <c r="D1044366" s="24"/>
      <c r="E1044366" s="24"/>
      <c r="F1044366" s="24"/>
      <c r="G1044366" s="24"/>
      <c r="H1044366" s="24"/>
      <c r="I1044366" s="24"/>
      <c r="J1044366" s="24"/>
      <c r="K1044366" s="54"/>
    </row>
    <row r="1044367" spans="1:11" s="55" customFormat="1" ht="12.75">
      <c r="A1044367" s="24"/>
      <c r="B1044367" s="24"/>
      <c r="C1044367" s="24"/>
      <c r="D1044367" s="24"/>
      <c r="E1044367" s="24"/>
      <c r="F1044367" s="24"/>
      <c r="G1044367" s="24"/>
      <c r="H1044367" s="24"/>
      <c r="I1044367" s="24"/>
      <c r="J1044367" s="24"/>
      <c r="K1044367" s="54"/>
    </row>
    <row r="1044368" spans="1:11" s="55" customFormat="1" ht="12.75">
      <c r="A1044368" s="24"/>
      <c r="B1044368" s="24"/>
      <c r="C1044368" s="24"/>
      <c r="D1044368" s="24"/>
      <c r="E1044368" s="24"/>
      <c r="F1044368" s="24"/>
      <c r="G1044368" s="24"/>
      <c r="H1044368" s="24"/>
      <c r="I1044368" s="24"/>
      <c r="J1044368" s="24"/>
      <c r="K1044368" s="54"/>
    </row>
    <row r="1044369" spans="1:11" s="55" customFormat="1" ht="12.75">
      <c r="A1044369" s="24"/>
      <c r="B1044369" s="24"/>
      <c r="C1044369" s="24"/>
      <c r="D1044369" s="24"/>
      <c r="E1044369" s="24"/>
      <c r="F1044369" s="24"/>
      <c r="G1044369" s="24"/>
      <c r="H1044369" s="24"/>
      <c r="I1044369" s="24"/>
      <c r="J1044369" s="24"/>
      <c r="K1044369" s="54"/>
    </row>
    <row r="1044370" spans="1:11" s="55" customFormat="1" ht="12.75">
      <c r="A1044370" s="24"/>
      <c r="B1044370" s="24"/>
      <c r="C1044370" s="24"/>
      <c r="D1044370" s="24"/>
      <c r="E1044370" s="24"/>
      <c r="F1044370" s="24"/>
      <c r="G1044370" s="24"/>
      <c r="H1044370" s="24"/>
      <c r="I1044370" s="24"/>
      <c r="J1044370" s="24"/>
      <c r="K1044370" s="54"/>
    </row>
    <row r="1044371" spans="1:11" s="55" customFormat="1" ht="12.75">
      <c r="A1044371" s="24"/>
      <c r="B1044371" s="24"/>
      <c r="C1044371" s="24"/>
      <c r="D1044371" s="24"/>
      <c r="E1044371" s="24"/>
      <c r="F1044371" s="24"/>
      <c r="G1044371" s="24"/>
      <c r="H1044371" s="24"/>
      <c r="I1044371" s="24"/>
      <c r="J1044371" s="24"/>
      <c r="K1044371" s="54"/>
    </row>
    <row r="1044372" spans="1:11" s="55" customFormat="1" ht="12.75">
      <c r="A1044372" s="24"/>
      <c r="B1044372" s="24"/>
      <c r="C1044372" s="24"/>
      <c r="D1044372" s="24"/>
      <c r="E1044372" s="24"/>
      <c r="F1044372" s="24"/>
      <c r="G1044372" s="24"/>
      <c r="H1044372" s="24"/>
      <c r="I1044372" s="24"/>
      <c r="J1044372" s="24"/>
      <c r="K1044372" s="54"/>
    </row>
    <row r="1044373" spans="1:11" s="55" customFormat="1" ht="12.75">
      <c r="A1044373" s="24"/>
      <c r="B1044373" s="24"/>
      <c r="C1044373" s="24"/>
      <c r="D1044373" s="24"/>
      <c r="E1044373" s="24"/>
      <c r="F1044373" s="24"/>
      <c r="G1044373" s="24"/>
      <c r="H1044373" s="24"/>
      <c r="I1044373" s="24"/>
      <c r="J1044373" s="24"/>
      <c r="K1044373" s="54"/>
    </row>
    <row r="1044374" spans="1:11" s="55" customFormat="1" ht="12.75">
      <c r="A1044374" s="24"/>
      <c r="B1044374" s="24"/>
      <c r="C1044374" s="24"/>
      <c r="D1044374" s="24"/>
      <c r="E1044374" s="24"/>
      <c r="F1044374" s="24"/>
      <c r="G1044374" s="24"/>
      <c r="H1044374" s="24"/>
      <c r="I1044374" s="24"/>
      <c r="J1044374" s="24"/>
      <c r="K1044374" s="54"/>
    </row>
    <row r="1044375" spans="1:11" s="55" customFormat="1" ht="12.75">
      <c r="A1044375" s="24"/>
      <c r="B1044375" s="24"/>
      <c r="C1044375" s="24"/>
      <c r="D1044375" s="24"/>
      <c r="E1044375" s="24"/>
      <c r="F1044375" s="24"/>
      <c r="G1044375" s="24"/>
      <c r="H1044375" s="24"/>
      <c r="I1044375" s="24"/>
      <c r="J1044375" s="24"/>
      <c r="K1044375" s="54"/>
    </row>
    <row r="1044376" spans="1:11" s="55" customFormat="1" ht="12.75">
      <c r="A1044376" s="24"/>
      <c r="B1044376" s="24"/>
      <c r="C1044376" s="24"/>
      <c r="D1044376" s="24"/>
      <c r="E1044376" s="24"/>
      <c r="F1044376" s="24"/>
      <c r="G1044376" s="24"/>
      <c r="H1044376" s="24"/>
      <c r="I1044376" s="24"/>
      <c r="J1044376" s="24"/>
      <c r="K1044376" s="54"/>
    </row>
    <row r="1044377" spans="1:11" s="55" customFormat="1" ht="12.75">
      <c r="A1044377" s="24"/>
      <c r="B1044377" s="24"/>
      <c r="C1044377" s="24"/>
      <c r="D1044377" s="24"/>
      <c r="E1044377" s="24"/>
      <c r="F1044377" s="24"/>
      <c r="G1044377" s="24"/>
      <c r="H1044377" s="24"/>
      <c r="I1044377" s="24"/>
      <c r="J1044377" s="24"/>
      <c r="K1044377" s="54"/>
    </row>
    <row r="1044378" spans="1:11" s="55" customFormat="1" ht="12.75">
      <c r="A1044378" s="24"/>
      <c r="B1044378" s="24"/>
      <c r="C1044378" s="24"/>
      <c r="D1044378" s="24"/>
      <c r="E1044378" s="24"/>
      <c r="F1044378" s="24"/>
      <c r="G1044378" s="24"/>
      <c r="H1044378" s="24"/>
      <c r="I1044378" s="24"/>
      <c r="J1044378" s="24"/>
      <c r="K1044378" s="54"/>
    </row>
    <row r="1044379" spans="1:11" s="55" customFormat="1" ht="12.75">
      <c r="A1044379" s="24"/>
      <c r="B1044379" s="24"/>
      <c r="C1044379" s="24"/>
      <c r="D1044379" s="24"/>
      <c r="E1044379" s="24"/>
      <c r="F1044379" s="24"/>
      <c r="G1044379" s="24"/>
      <c r="H1044379" s="24"/>
      <c r="I1044379" s="24"/>
      <c r="J1044379" s="24"/>
      <c r="K1044379" s="54"/>
    </row>
    <row r="1044380" spans="1:11" s="55" customFormat="1" ht="12.75">
      <c r="A1044380" s="24"/>
      <c r="B1044380" s="24"/>
      <c r="C1044380" s="24"/>
      <c r="D1044380" s="24"/>
      <c r="E1044380" s="24"/>
      <c r="F1044380" s="24"/>
      <c r="G1044380" s="24"/>
      <c r="H1044380" s="24"/>
      <c r="I1044380" s="24"/>
      <c r="J1044380" s="24"/>
      <c r="K1044380" s="54"/>
    </row>
    <row r="1044381" spans="1:11" s="55" customFormat="1" ht="12.75">
      <c r="A1044381" s="24"/>
      <c r="B1044381" s="24"/>
      <c r="C1044381" s="24"/>
      <c r="D1044381" s="24"/>
      <c r="E1044381" s="24"/>
      <c r="F1044381" s="24"/>
      <c r="G1044381" s="24"/>
      <c r="H1044381" s="24"/>
      <c r="I1044381" s="24"/>
      <c r="J1044381" s="24"/>
      <c r="K1044381" s="54"/>
    </row>
    <row r="1044382" spans="1:11" s="55" customFormat="1" ht="12.75">
      <c r="A1044382" s="24"/>
      <c r="B1044382" s="24"/>
      <c r="C1044382" s="24"/>
      <c r="D1044382" s="24"/>
      <c r="E1044382" s="24"/>
      <c r="F1044382" s="24"/>
      <c r="G1044382" s="24"/>
      <c r="H1044382" s="24"/>
      <c r="I1044382" s="24"/>
      <c r="J1044382" s="24"/>
      <c r="K1044382" s="54"/>
    </row>
    <row r="1044383" spans="1:11" s="55" customFormat="1" ht="12.75">
      <c r="A1044383" s="24"/>
      <c r="B1044383" s="24"/>
      <c r="C1044383" s="24"/>
      <c r="D1044383" s="24"/>
      <c r="E1044383" s="24"/>
      <c r="F1044383" s="24"/>
      <c r="G1044383" s="24"/>
      <c r="H1044383" s="24"/>
      <c r="I1044383" s="24"/>
      <c r="J1044383" s="24"/>
      <c r="K1044383" s="54"/>
    </row>
    <row r="1044384" spans="1:11" s="55" customFormat="1" ht="12.75">
      <c r="A1044384" s="24"/>
      <c r="B1044384" s="24"/>
      <c r="C1044384" s="24"/>
      <c r="D1044384" s="24"/>
      <c r="E1044384" s="24"/>
      <c r="F1044384" s="24"/>
      <c r="G1044384" s="24"/>
      <c r="H1044384" s="24"/>
      <c r="I1044384" s="24"/>
      <c r="J1044384" s="24"/>
      <c r="K1044384" s="54"/>
    </row>
    <row r="1044385" spans="1:11" s="55" customFormat="1" ht="12.75">
      <c r="A1044385" s="24"/>
      <c r="B1044385" s="24"/>
      <c r="C1044385" s="24"/>
      <c r="D1044385" s="24"/>
      <c r="E1044385" s="24"/>
      <c r="F1044385" s="24"/>
      <c r="G1044385" s="24"/>
      <c r="H1044385" s="24"/>
      <c r="I1044385" s="24"/>
      <c r="J1044385" s="24"/>
      <c r="K1044385" s="54"/>
    </row>
    <row r="1044386" spans="1:11" s="55" customFormat="1" ht="12.75">
      <c r="A1044386" s="24"/>
      <c r="B1044386" s="24"/>
      <c r="C1044386" s="24"/>
      <c r="D1044386" s="24"/>
      <c r="E1044386" s="24"/>
      <c r="F1044386" s="24"/>
      <c r="G1044386" s="24"/>
      <c r="H1044386" s="24"/>
      <c r="I1044386" s="24"/>
      <c r="J1044386" s="24"/>
      <c r="K1044386" s="54"/>
    </row>
    <row r="1044387" spans="1:11" s="55" customFormat="1" ht="12.75">
      <c r="A1044387" s="24"/>
      <c r="B1044387" s="24"/>
      <c r="C1044387" s="24"/>
      <c r="D1044387" s="24"/>
      <c r="E1044387" s="24"/>
      <c r="F1044387" s="24"/>
      <c r="G1044387" s="24"/>
      <c r="H1044387" s="24"/>
      <c r="I1044387" s="24"/>
      <c r="J1044387" s="24"/>
      <c r="K1044387" s="54"/>
    </row>
    <row r="1044388" spans="1:11" s="55" customFormat="1" ht="12.75">
      <c r="A1044388" s="24"/>
      <c r="B1044388" s="24"/>
      <c r="C1044388" s="24"/>
      <c r="D1044388" s="24"/>
      <c r="E1044388" s="24"/>
      <c r="F1044388" s="24"/>
      <c r="G1044388" s="24"/>
      <c r="H1044388" s="24"/>
      <c r="I1044388" s="24"/>
      <c r="J1044388" s="24"/>
      <c r="K1044388" s="54"/>
    </row>
    <row r="1044389" spans="1:11" s="55" customFormat="1" ht="12.75">
      <c r="A1044389" s="24"/>
      <c r="B1044389" s="24"/>
      <c r="C1044389" s="24"/>
      <c r="D1044389" s="24"/>
      <c r="E1044389" s="24"/>
      <c r="F1044389" s="24"/>
      <c r="G1044389" s="24"/>
      <c r="H1044389" s="24"/>
      <c r="I1044389" s="24"/>
      <c r="J1044389" s="24"/>
      <c r="K1044389" s="54"/>
    </row>
    <row r="1044390" spans="1:11" s="55" customFormat="1" ht="12.75">
      <c r="A1044390" s="24"/>
      <c r="B1044390" s="24"/>
      <c r="C1044390" s="24"/>
      <c r="D1044390" s="24"/>
      <c r="E1044390" s="24"/>
      <c r="F1044390" s="24"/>
      <c r="G1044390" s="24"/>
      <c r="H1044390" s="24"/>
      <c r="I1044390" s="24"/>
      <c r="J1044390" s="24"/>
      <c r="K1044390" s="54"/>
    </row>
    <row r="1044391" spans="1:11" s="55" customFormat="1" ht="12.75">
      <c r="A1044391" s="24"/>
      <c r="B1044391" s="24"/>
      <c r="C1044391" s="24"/>
      <c r="D1044391" s="24"/>
      <c r="E1044391" s="24"/>
      <c r="F1044391" s="24"/>
      <c r="G1044391" s="24"/>
      <c r="H1044391" s="24"/>
      <c r="I1044391" s="24"/>
      <c r="J1044391" s="24"/>
      <c r="K1044391" s="54"/>
    </row>
    <row r="1044392" spans="1:11" s="55" customFormat="1" ht="12.75">
      <c r="A1044392" s="24"/>
      <c r="B1044392" s="24"/>
      <c r="C1044392" s="24"/>
      <c r="D1044392" s="24"/>
      <c r="E1044392" s="24"/>
      <c r="F1044392" s="24"/>
      <c r="G1044392" s="24"/>
      <c r="H1044392" s="24"/>
      <c r="I1044392" s="24"/>
      <c r="J1044392" s="24"/>
      <c r="K1044392" s="54"/>
    </row>
    <row r="1044393" spans="1:11" s="55" customFormat="1" ht="12.75">
      <c r="A1044393" s="24"/>
      <c r="B1044393" s="24"/>
      <c r="C1044393" s="24"/>
      <c r="D1044393" s="24"/>
      <c r="E1044393" s="24"/>
      <c r="F1044393" s="24"/>
      <c r="G1044393" s="24"/>
      <c r="H1044393" s="24"/>
      <c r="I1044393" s="24"/>
      <c r="J1044393" s="24"/>
      <c r="K1044393" s="54"/>
    </row>
    <row r="1044394" spans="1:11" s="55" customFormat="1" ht="12.75">
      <c r="A1044394" s="24"/>
      <c r="B1044394" s="24"/>
      <c r="C1044394" s="24"/>
      <c r="D1044394" s="24"/>
      <c r="E1044394" s="24"/>
      <c r="F1044394" s="24"/>
      <c r="G1044394" s="24"/>
      <c r="H1044394" s="24"/>
      <c r="I1044394" s="24"/>
      <c r="J1044394" s="24"/>
      <c r="K1044394" s="54"/>
    </row>
    <row r="1044395" spans="1:11" s="55" customFormat="1" ht="12.75">
      <c r="A1044395" s="24"/>
      <c r="B1044395" s="24"/>
      <c r="C1044395" s="24"/>
      <c r="D1044395" s="24"/>
      <c r="E1044395" s="24"/>
      <c r="F1044395" s="24"/>
      <c r="G1044395" s="24"/>
      <c r="H1044395" s="24"/>
      <c r="I1044395" s="24"/>
      <c r="J1044395" s="24"/>
      <c r="K1044395" s="54"/>
    </row>
    <row r="1044396" spans="1:11" s="55" customFormat="1" ht="12.75">
      <c r="A1044396" s="24"/>
      <c r="B1044396" s="24"/>
      <c r="C1044396" s="24"/>
      <c r="D1044396" s="24"/>
      <c r="E1044396" s="24"/>
      <c r="F1044396" s="24"/>
      <c r="G1044396" s="24"/>
      <c r="H1044396" s="24"/>
      <c r="I1044396" s="24"/>
      <c r="J1044396" s="24"/>
      <c r="K1044396" s="54"/>
    </row>
    <row r="1044397" spans="1:11" s="55" customFormat="1" ht="12.75">
      <c r="A1044397" s="24"/>
      <c r="B1044397" s="24"/>
      <c r="C1044397" s="24"/>
      <c r="D1044397" s="24"/>
      <c r="E1044397" s="24"/>
      <c r="F1044397" s="24"/>
      <c r="G1044397" s="24"/>
      <c r="H1044397" s="24"/>
      <c r="I1044397" s="24"/>
      <c r="J1044397" s="24"/>
      <c r="K1044397" s="54"/>
    </row>
    <row r="1044398" spans="1:11" s="55" customFormat="1" ht="12.75">
      <c r="A1044398" s="24"/>
      <c r="B1044398" s="24"/>
      <c r="C1044398" s="24"/>
      <c r="D1044398" s="24"/>
      <c r="E1044398" s="24"/>
      <c r="F1044398" s="24"/>
      <c r="G1044398" s="24"/>
      <c r="H1044398" s="24"/>
      <c r="I1044398" s="24"/>
      <c r="J1044398" s="24"/>
      <c r="K1044398" s="54"/>
    </row>
    <row r="1044399" spans="1:11" s="55" customFormat="1" ht="12.75">
      <c r="A1044399" s="24"/>
      <c r="B1044399" s="24"/>
      <c r="C1044399" s="24"/>
      <c r="D1044399" s="24"/>
      <c r="E1044399" s="24"/>
      <c r="F1044399" s="24"/>
      <c r="G1044399" s="24"/>
      <c r="H1044399" s="24"/>
      <c r="I1044399" s="24"/>
      <c r="J1044399" s="24"/>
      <c r="K1044399" s="54"/>
    </row>
    <row r="1044400" spans="1:11" s="55" customFormat="1" ht="12.75">
      <c r="A1044400" s="24"/>
      <c r="B1044400" s="24"/>
      <c r="C1044400" s="24"/>
      <c r="D1044400" s="24"/>
      <c r="E1044400" s="24"/>
      <c r="F1044400" s="24"/>
      <c r="G1044400" s="24"/>
      <c r="H1044400" s="24"/>
      <c r="I1044400" s="24"/>
      <c r="J1044400" s="24"/>
      <c r="K1044400" s="54"/>
    </row>
    <row r="1044401" spans="1:11" s="55" customFormat="1" ht="12.75">
      <c r="A1044401" s="24"/>
      <c r="B1044401" s="24"/>
      <c r="C1044401" s="24"/>
      <c r="D1044401" s="24"/>
      <c r="E1044401" s="24"/>
      <c r="F1044401" s="24"/>
      <c r="G1044401" s="24"/>
      <c r="H1044401" s="24"/>
      <c r="I1044401" s="24"/>
      <c r="J1044401" s="24"/>
      <c r="K1044401" s="54"/>
    </row>
    <row r="1044402" spans="1:11" s="55" customFormat="1" ht="12.75">
      <c r="A1044402" s="24"/>
      <c r="B1044402" s="24"/>
      <c r="C1044402" s="24"/>
      <c r="D1044402" s="24"/>
      <c r="E1044402" s="24"/>
      <c r="F1044402" s="24"/>
      <c r="G1044402" s="24"/>
      <c r="H1044402" s="24"/>
      <c r="I1044402" s="24"/>
      <c r="J1044402" s="24"/>
      <c r="K1044402" s="54"/>
    </row>
    <row r="1044403" spans="1:11" s="55" customFormat="1" ht="12.75">
      <c r="A1044403" s="24"/>
      <c r="B1044403" s="24"/>
      <c r="C1044403" s="24"/>
      <c r="D1044403" s="24"/>
      <c r="E1044403" s="24"/>
      <c r="F1044403" s="24"/>
      <c r="G1044403" s="24"/>
      <c r="H1044403" s="24"/>
      <c r="I1044403" s="24"/>
      <c r="J1044403" s="24"/>
      <c r="K1044403" s="54"/>
    </row>
    <row r="1044404" spans="1:11" s="55" customFormat="1" ht="12.75">
      <c r="A1044404" s="24"/>
      <c r="B1044404" s="24"/>
      <c r="C1044404" s="24"/>
      <c r="D1044404" s="24"/>
      <c r="E1044404" s="24"/>
      <c r="F1044404" s="24"/>
      <c r="G1044404" s="24"/>
      <c r="H1044404" s="24"/>
      <c r="I1044404" s="24"/>
      <c r="J1044404" s="24"/>
      <c r="K1044404" s="54"/>
    </row>
    <row r="1044405" spans="1:11" s="55" customFormat="1" ht="12.75">
      <c r="A1044405" s="24"/>
      <c r="B1044405" s="24"/>
      <c r="C1044405" s="24"/>
      <c r="D1044405" s="24"/>
      <c r="E1044405" s="24"/>
      <c r="F1044405" s="24"/>
      <c r="G1044405" s="24"/>
      <c r="H1044405" s="24"/>
      <c r="I1044405" s="24"/>
      <c r="J1044405" s="24"/>
      <c r="K1044405" s="54"/>
    </row>
    <row r="1044406" spans="1:11" s="55" customFormat="1" ht="12.75">
      <c r="A1044406" s="24"/>
      <c r="B1044406" s="24"/>
      <c r="C1044406" s="24"/>
      <c r="D1044406" s="24"/>
      <c r="E1044406" s="24"/>
      <c r="F1044406" s="24"/>
      <c r="G1044406" s="24"/>
      <c r="H1044406" s="24"/>
      <c r="I1044406" s="24"/>
      <c r="J1044406" s="24"/>
      <c r="K1044406" s="54"/>
    </row>
    <row r="1044407" spans="1:11" s="55" customFormat="1" ht="12.75">
      <c r="A1044407" s="24"/>
      <c r="B1044407" s="24"/>
      <c r="C1044407" s="24"/>
      <c r="D1044407" s="24"/>
      <c r="E1044407" s="24"/>
      <c r="F1044407" s="24"/>
      <c r="G1044407" s="24"/>
      <c r="H1044407" s="24"/>
      <c r="I1044407" s="24"/>
      <c r="J1044407" s="24"/>
      <c r="K1044407" s="54"/>
    </row>
    <row r="1044408" spans="1:11" s="55" customFormat="1" ht="12.75">
      <c r="A1044408" s="24"/>
      <c r="B1044408" s="24"/>
      <c r="C1044408" s="24"/>
      <c r="D1044408" s="24"/>
      <c r="E1044408" s="24"/>
      <c r="F1044408" s="24"/>
      <c r="G1044408" s="24"/>
      <c r="H1044408" s="24"/>
      <c r="I1044408" s="24"/>
      <c r="J1044408" s="24"/>
      <c r="K1044408" s="54"/>
    </row>
    <row r="1044409" spans="1:11" s="55" customFormat="1" ht="12.75">
      <c r="A1044409" s="24"/>
      <c r="B1044409" s="24"/>
      <c r="C1044409" s="24"/>
      <c r="D1044409" s="24"/>
      <c r="E1044409" s="24"/>
      <c r="F1044409" s="24"/>
      <c r="G1044409" s="24"/>
      <c r="H1044409" s="24"/>
      <c r="I1044409" s="24"/>
      <c r="J1044409" s="24"/>
      <c r="K1044409" s="54"/>
    </row>
    <row r="1044410" spans="1:11" s="55" customFormat="1" ht="12.75">
      <c r="A1044410" s="24"/>
      <c r="B1044410" s="24"/>
      <c r="C1044410" s="24"/>
      <c r="D1044410" s="24"/>
      <c r="E1044410" s="24"/>
      <c r="F1044410" s="24"/>
      <c r="G1044410" s="24"/>
      <c r="H1044410" s="24"/>
      <c r="I1044410" s="24"/>
      <c r="J1044410" s="24"/>
      <c r="K1044410" s="54"/>
    </row>
    <row r="1044411" spans="1:11" s="55" customFormat="1" ht="12.75">
      <c r="A1044411" s="24"/>
      <c r="B1044411" s="24"/>
      <c r="C1044411" s="24"/>
      <c r="D1044411" s="24"/>
      <c r="E1044411" s="24"/>
      <c r="F1044411" s="24"/>
      <c r="G1044411" s="24"/>
      <c r="H1044411" s="24"/>
      <c r="I1044411" s="24"/>
      <c r="J1044411" s="24"/>
      <c r="K1044411" s="54"/>
    </row>
    <row r="1044412" spans="1:11" s="55" customFormat="1" ht="12.75">
      <c r="A1044412" s="24"/>
      <c r="B1044412" s="24"/>
      <c r="C1044412" s="24"/>
      <c r="D1044412" s="24"/>
      <c r="E1044412" s="24"/>
      <c r="F1044412" s="24"/>
      <c r="G1044412" s="24"/>
      <c r="H1044412" s="24"/>
      <c r="I1044412" s="24"/>
      <c r="J1044412" s="24"/>
      <c r="K1044412" s="54"/>
    </row>
    <row r="1044413" spans="1:11" s="55" customFormat="1" ht="12.75">
      <c r="A1044413" s="24"/>
      <c r="B1044413" s="24"/>
      <c r="C1044413" s="24"/>
      <c r="D1044413" s="24"/>
      <c r="E1044413" s="24"/>
      <c r="F1044413" s="24"/>
      <c r="G1044413" s="24"/>
      <c r="H1044413" s="24"/>
      <c r="I1044413" s="24"/>
      <c r="J1044413" s="24"/>
      <c r="K1044413" s="54"/>
    </row>
    <row r="1044414" spans="1:11" s="55" customFormat="1" ht="12.75">
      <c r="A1044414" s="24"/>
      <c r="B1044414" s="24"/>
      <c r="C1044414" s="24"/>
      <c r="D1044414" s="24"/>
      <c r="E1044414" s="24"/>
      <c r="F1044414" s="24"/>
      <c r="G1044414" s="24"/>
      <c r="H1044414" s="24"/>
      <c r="I1044414" s="24"/>
      <c r="J1044414" s="24"/>
      <c r="K1044414" s="54"/>
    </row>
    <row r="1044415" spans="1:11" s="55" customFormat="1" ht="12.75">
      <c r="A1044415" s="24"/>
      <c r="B1044415" s="24"/>
      <c r="C1044415" s="24"/>
      <c r="D1044415" s="24"/>
      <c r="E1044415" s="24"/>
      <c r="F1044415" s="24"/>
      <c r="G1044415" s="24"/>
      <c r="H1044415" s="24"/>
      <c r="I1044415" s="24"/>
      <c r="J1044415" s="24"/>
      <c r="K1044415" s="54"/>
    </row>
    <row r="1044416" spans="1:11" s="55" customFormat="1" ht="12.75">
      <c r="A1044416" s="24"/>
      <c r="B1044416" s="24"/>
      <c r="C1044416" s="24"/>
      <c r="D1044416" s="24"/>
      <c r="E1044416" s="24"/>
      <c r="F1044416" s="24"/>
      <c r="G1044416" s="24"/>
      <c r="H1044416" s="24"/>
      <c r="I1044416" s="24"/>
      <c r="J1044416" s="24"/>
      <c r="K1044416" s="54"/>
    </row>
    <row r="1044417" spans="1:11" s="55" customFormat="1" ht="12.75">
      <c r="A1044417" s="24"/>
      <c r="B1044417" s="24"/>
      <c r="C1044417" s="24"/>
      <c r="D1044417" s="24"/>
      <c r="E1044417" s="24"/>
      <c r="F1044417" s="24"/>
      <c r="G1044417" s="24"/>
      <c r="H1044417" s="24"/>
      <c r="I1044417" s="24"/>
      <c r="J1044417" s="24"/>
      <c r="K1044417" s="54"/>
    </row>
    <row r="1044418" spans="1:11" s="55" customFormat="1" ht="12.75">
      <c r="A1044418" s="24"/>
      <c r="B1044418" s="24"/>
      <c r="C1044418" s="24"/>
      <c r="D1044418" s="24"/>
      <c r="E1044418" s="24"/>
      <c r="F1044418" s="24"/>
      <c r="G1044418" s="24"/>
      <c r="H1044418" s="24"/>
      <c r="I1044418" s="24"/>
      <c r="J1044418" s="24"/>
      <c r="K1044418" s="54"/>
    </row>
    <row r="1044419" spans="1:11" s="55" customFormat="1" ht="12.75">
      <c r="A1044419" s="24"/>
      <c r="B1044419" s="24"/>
      <c r="C1044419" s="24"/>
      <c r="D1044419" s="24"/>
      <c r="E1044419" s="24"/>
      <c r="F1044419" s="24"/>
      <c r="G1044419" s="24"/>
      <c r="H1044419" s="24"/>
      <c r="I1044419" s="24"/>
      <c r="J1044419" s="24"/>
      <c r="K1044419" s="54"/>
    </row>
    <row r="1044420" spans="1:11" s="55" customFormat="1" ht="12.75">
      <c r="A1044420" s="24"/>
      <c r="B1044420" s="24"/>
      <c r="C1044420" s="24"/>
      <c r="D1044420" s="24"/>
      <c r="E1044420" s="24"/>
      <c r="F1044420" s="24"/>
      <c r="G1044420" s="24"/>
      <c r="H1044420" s="24"/>
      <c r="I1044420" s="24"/>
      <c r="J1044420" s="24"/>
      <c r="K1044420" s="54"/>
    </row>
    <row r="1044421" spans="1:11" s="55" customFormat="1" ht="12.75">
      <c r="A1044421" s="24"/>
      <c r="B1044421" s="24"/>
      <c r="C1044421" s="24"/>
      <c r="D1044421" s="24"/>
      <c r="E1044421" s="24"/>
      <c r="F1044421" s="24"/>
      <c r="G1044421" s="24"/>
      <c r="H1044421" s="24"/>
      <c r="I1044421" s="24"/>
      <c r="J1044421" s="24"/>
      <c r="K1044421" s="54"/>
    </row>
    <row r="1044422" spans="1:11" s="55" customFormat="1" ht="12.75">
      <c r="A1044422" s="24"/>
      <c r="B1044422" s="24"/>
      <c r="C1044422" s="24"/>
      <c r="D1044422" s="24"/>
      <c r="E1044422" s="24"/>
      <c r="F1044422" s="24"/>
      <c r="G1044422" s="24"/>
      <c r="H1044422" s="24"/>
      <c r="I1044422" s="24"/>
      <c r="J1044422" s="24"/>
      <c r="K1044422" s="54"/>
    </row>
    <row r="1044423" spans="1:11" s="55" customFormat="1" ht="12.75">
      <c r="A1044423" s="24"/>
      <c r="B1044423" s="24"/>
      <c r="C1044423" s="24"/>
      <c r="D1044423" s="24"/>
      <c r="E1044423" s="24"/>
      <c r="F1044423" s="24"/>
      <c r="G1044423" s="24"/>
      <c r="H1044423" s="24"/>
      <c r="I1044423" s="24"/>
      <c r="J1044423" s="24"/>
      <c r="K1044423" s="54"/>
    </row>
    <row r="1044424" spans="1:11" s="55" customFormat="1" ht="12.75">
      <c r="A1044424" s="24"/>
      <c r="B1044424" s="24"/>
      <c r="C1044424" s="24"/>
      <c r="D1044424" s="24"/>
      <c r="E1044424" s="24"/>
      <c r="F1044424" s="24"/>
      <c r="G1044424" s="24"/>
      <c r="H1044424" s="24"/>
      <c r="I1044424" s="24"/>
      <c r="J1044424" s="24"/>
      <c r="K1044424" s="54"/>
    </row>
    <row r="1044425" spans="1:11" s="55" customFormat="1" ht="12.75">
      <c r="A1044425" s="24"/>
      <c r="B1044425" s="24"/>
      <c r="C1044425" s="24"/>
      <c r="D1044425" s="24"/>
      <c r="E1044425" s="24"/>
      <c r="F1044425" s="24"/>
      <c r="G1044425" s="24"/>
      <c r="H1044425" s="24"/>
      <c r="I1044425" s="24"/>
      <c r="J1044425" s="24"/>
      <c r="K1044425" s="54"/>
    </row>
    <row r="1044426" spans="1:11" s="55" customFormat="1" ht="12.75">
      <c r="A1044426" s="24"/>
      <c r="B1044426" s="24"/>
      <c r="C1044426" s="24"/>
      <c r="D1044426" s="24"/>
      <c r="E1044426" s="24"/>
      <c r="F1044426" s="24"/>
      <c r="G1044426" s="24"/>
      <c r="H1044426" s="24"/>
      <c r="I1044426" s="24"/>
      <c r="J1044426" s="24"/>
      <c r="K1044426" s="54"/>
    </row>
    <row r="1044427" spans="1:11" s="55" customFormat="1" ht="12.75">
      <c r="A1044427" s="24"/>
      <c r="B1044427" s="24"/>
      <c r="C1044427" s="24"/>
      <c r="D1044427" s="24"/>
      <c r="E1044427" s="24"/>
      <c r="F1044427" s="24"/>
      <c r="G1044427" s="24"/>
      <c r="H1044427" s="24"/>
      <c r="I1044427" s="24"/>
      <c r="J1044427" s="24"/>
      <c r="K1044427" s="54"/>
    </row>
    <row r="1044428" spans="1:11" s="55" customFormat="1" ht="12.75">
      <c r="A1044428" s="24"/>
      <c r="B1044428" s="24"/>
      <c r="C1044428" s="24"/>
      <c r="D1044428" s="24"/>
      <c r="E1044428" s="24"/>
      <c r="F1044428" s="24"/>
      <c r="G1044428" s="24"/>
      <c r="H1044428" s="24"/>
      <c r="I1044428" s="24"/>
      <c r="J1044428" s="24"/>
      <c r="K1044428" s="54"/>
    </row>
    <row r="1044429" spans="1:11" s="55" customFormat="1" ht="12.75">
      <c r="A1044429" s="24"/>
      <c r="B1044429" s="24"/>
      <c r="C1044429" s="24"/>
      <c r="D1044429" s="24"/>
      <c r="E1044429" s="24"/>
      <c r="F1044429" s="24"/>
      <c r="G1044429" s="24"/>
      <c r="H1044429" s="24"/>
      <c r="I1044429" s="24"/>
      <c r="J1044429" s="24"/>
      <c r="K1044429" s="54"/>
    </row>
    <row r="1044430" spans="1:11" s="55" customFormat="1" ht="12.75">
      <c r="A1044430" s="24"/>
      <c r="B1044430" s="24"/>
      <c r="C1044430" s="24"/>
      <c r="D1044430" s="24"/>
      <c r="E1044430" s="24"/>
      <c r="F1044430" s="24"/>
      <c r="G1044430" s="24"/>
      <c r="H1044430" s="24"/>
      <c r="I1044430" s="24"/>
      <c r="J1044430" s="24"/>
      <c r="K1044430" s="54"/>
    </row>
    <row r="1044431" spans="1:11" s="55" customFormat="1" ht="12.75">
      <c r="A1044431" s="24"/>
      <c r="B1044431" s="24"/>
      <c r="C1044431" s="24"/>
      <c r="D1044431" s="24"/>
      <c r="E1044431" s="24"/>
      <c r="F1044431" s="24"/>
      <c r="G1044431" s="24"/>
      <c r="H1044431" s="24"/>
      <c r="I1044431" s="24"/>
      <c r="J1044431" s="24"/>
      <c r="K1044431" s="54"/>
    </row>
    <row r="1044432" spans="1:11" s="55" customFormat="1" ht="12.75">
      <c r="A1044432" s="24"/>
      <c r="B1044432" s="24"/>
      <c r="C1044432" s="24"/>
      <c r="D1044432" s="24"/>
      <c r="E1044432" s="24"/>
      <c r="F1044432" s="24"/>
      <c r="G1044432" s="24"/>
      <c r="H1044432" s="24"/>
      <c r="I1044432" s="24"/>
      <c r="J1044432" s="24"/>
      <c r="K1044432" s="54"/>
    </row>
    <row r="1044433" spans="1:11" s="55" customFormat="1" ht="12.75">
      <c r="A1044433" s="24"/>
      <c r="B1044433" s="24"/>
      <c r="C1044433" s="24"/>
      <c r="D1044433" s="24"/>
      <c r="E1044433" s="24"/>
      <c r="F1044433" s="24"/>
      <c r="G1044433" s="24"/>
      <c r="H1044433" s="24"/>
      <c r="I1044433" s="24"/>
      <c r="J1044433" s="24"/>
      <c r="K1044433" s="54"/>
    </row>
    <row r="1044434" spans="1:11" s="55" customFormat="1" ht="12.75">
      <c r="A1044434" s="24"/>
      <c r="B1044434" s="24"/>
      <c r="C1044434" s="24"/>
      <c r="D1044434" s="24"/>
      <c r="E1044434" s="24"/>
      <c r="F1044434" s="24"/>
      <c r="G1044434" s="24"/>
      <c r="H1044434" s="24"/>
      <c r="I1044434" s="24"/>
      <c r="J1044434" s="24"/>
      <c r="K1044434" s="54"/>
    </row>
    <row r="1044435" spans="1:11" s="55" customFormat="1" ht="12.75">
      <c r="A1044435" s="24"/>
      <c r="B1044435" s="24"/>
      <c r="C1044435" s="24"/>
      <c r="D1044435" s="24"/>
      <c r="E1044435" s="24"/>
      <c r="F1044435" s="24"/>
      <c r="G1044435" s="24"/>
      <c r="H1044435" s="24"/>
      <c r="I1044435" s="24"/>
      <c r="J1044435" s="24"/>
      <c r="K1044435" s="54"/>
    </row>
    <row r="1044436" spans="1:11" s="55" customFormat="1" ht="12.75">
      <c r="A1044436" s="24"/>
      <c r="B1044436" s="24"/>
      <c r="C1044436" s="24"/>
      <c r="D1044436" s="24"/>
      <c r="E1044436" s="24"/>
      <c r="F1044436" s="24"/>
      <c r="G1044436" s="24"/>
      <c r="H1044436" s="24"/>
      <c r="I1044436" s="24"/>
      <c r="J1044436" s="24"/>
      <c r="K1044436" s="54"/>
    </row>
    <row r="1044437" spans="1:11" s="55" customFormat="1" ht="12.75">
      <c r="A1044437" s="24"/>
      <c r="B1044437" s="24"/>
      <c r="C1044437" s="24"/>
      <c r="D1044437" s="24"/>
      <c r="E1044437" s="24"/>
      <c r="F1044437" s="24"/>
      <c r="G1044437" s="24"/>
      <c r="H1044437" s="24"/>
      <c r="I1044437" s="24"/>
      <c r="J1044437" s="24"/>
      <c r="K1044437" s="54"/>
    </row>
    <row r="1044438" spans="1:11" s="55" customFormat="1" ht="12.75">
      <c r="A1044438" s="24"/>
      <c r="B1044438" s="24"/>
      <c r="C1044438" s="24"/>
      <c r="D1044438" s="24"/>
      <c r="E1044438" s="24"/>
      <c r="F1044438" s="24"/>
      <c r="G1044438" s="24"/>
      <c r="H1044438" s="24"/>
      <c r="I1044438" s="24"/>
      <c r="J1044438" s="24"/>
      <c r="K1044438" s="54"/>
    </row>
    <row r="1044439" spans="1:11" s="55" customFormat="1" ht="12.75">
      <c r="A1044439" s="24"/>
      <c r="B1044439" s="24"/>
      <c r="C1044439" s="24"/>
      <c r="D1044439" s="24"/>
      <c r="E1044439" s="24"/>
      <c r="F1044439" s="24"/>
      <c r="G1044439" s="24"/>
      <c r="H1044439" s="24"/>
      <c r="I1044439" s="24"/>
      <c r="J1044439" s="24"/>
      <c r="K1044439" s="54"/>
    </row>
    <row r="1044440" spans="1:11" s="55" customFormat="1" ht="12.75">
      <c r="A1044440" s="24"/>
      <c r="B1044440" s="24"/>
      <c r="C1044440" s="24"/>
      <c r="D1044440" s="24"/>
      <c r="E1044440" s="24"/>
      <c r="F1044440" s="24"/>
      <c r="G1044440" s="24"/>
      <c r="H1044440" s="24"/>
      <c r="I1044440" s="24"/>
      <c r="J1044440" s="24"/>
      <c r="K1044440" s="54"/>
    </row>
    <row r="1044441" spans="1:11" s="55" customFormat="1" ht="12.75">
      <c r="A1044441" s="24"/>
      <c r="B1044441" s="24"/>
      <c r="C1044441" s="24"/>
      <c r="D1044441" s="24"/>
      <c r="E1044441" s="24"/>
      <c r="F1044441" s="24"/>
      <c r="G1044441" s="24"/>
      <c r="H1044441" s="24"/>
      <c r="I1044441" s="24"/>
      <c r="J1044441" s="24"/>
      <c r="K1044441" s="54"/>
    </row>
    <row r="1044442" spans="1:11" s="55" customFormat="1" ht="12.75">
      <c r="A1044442" s="24"/>
      <c r="B1044442" s="24"/>
      <c r="C1044442" s="24"/>
      <c r="D1044442" s="24"/>
      <c r="E1044442" s="24"/>
      <c r="F1044442" s="24"/>
      <c r="G1044442" s="24"/>
      <c r="H1044442" s="24"/>
      <c r="I1044442" s="24"/>
      <c r="J1044442" s="24"/>
      <c r="K1044442" s="54"/>
    </row>
    <row r="1044443" spans="1:11" s="55" customFormat="1" ht="12.75">
      <c r="A1044443" s="24"/>
      <c r="B1044443" s="24"/>
      <c r="C1044443" s="24"/>
      <c r="D1044443" s="24"/>
      <c r="E1044443" s="24"/>
      <c r="F1044443" s="24"/>
      <c r="G1044443" s="24"/>
      <c r="H1044443" s="24"/>
      <c r="I1044443" s="24"/>
      <c r="J1044443" s="24"/>
      <c r="K1044443" s="54"/>
    </row>
    <row r="1044444" spans="1:11" s="55" customFormat="1" ht="12.75">
      <c r="A1044444" s="24"/>
      <c r="B1044444" s="24"/>
      <c r="C1044444" s="24"/>
      <c r="D1044444" s="24"/>
      <c r="E1044444" s="24"/>
      <c r="F1044444" s="24"/>
      <c r="G1044444" s="24"/>
      <c r="H1044444" s="24"/>
      <c r="I1044444" s="24"/>
      <c r="J1044444" s="24"/>
      <c r="K1044444" s="54"/>
    </row>
    <row r="1044445" spans="1:11" s="55" customFormat="1" ht="12.75">
      <c r="A1044445" s="24"/>
      <c r="B1044445" s="24"/>
      <c r="C1044445" s="24"/>
      <c r="D1044445" s="24"/>
      <c r="E1044445" s="24"/>
      <c r="F1044445" s="24"/>
      <c r="G1044445" s="24"/>
      <c r="H1044445" s="24"/>
      <c r="I1044445" s="24"/>
      <c r="J1044445" s="24"/>
      <c r="K1044445" s="54"/>
    </row>
    <row r="1044446" spans="1:11" s="55" customFormat="1" ht="12.75">
      <c r="A1044446" s="24"/>
      <c r="B1044446" s="24"/>
      <c r="C1044446" s="24"/>
      <c r="D1044446" s="24"/>
      <c r="E1044446" s="24"/>
      <c r="F1044446" s="24"/>
      <c r="G1044446" s="24"/>
      <c r="H1044446" s="24"/>
      <c r="I1044446" s="24"/>
      <c r="J1044446" s="24"/>
      <c r="K1044446" s="54"/>
    </row>
    <row r="1044447" spans="1:11" s="55" customFormat="1" ht="12.75">
      <c r="A1044447" s="24"/>
      <c r="B1044447" s="24"/>
      <c r="C1044447" s="24"/>
      <c r="D1044447" s="24"/>
      <c r="E1044447" s="24"/>
      <c r="F1044447" s="24"/>
      <c r="G1044447" s="24"/>
      <c r="H1044447" s="24"/>
      <c r="I1044447" s="24"/>
      <c r="J1044447" s="24"/>
      <c r="K1044447" s="54"/>
    </row>
    <row r="1044448" spans="1:11" s="55" customFormat="1" ht="12.75">
      <c r="A1044448" s="24"/>
      <c r="B1044448" s="24"/>
      <c r="C1044448" s="24"/>
      <c r="D1044448" s="24"/>
      <c r="E1044448" s="24"/>
      <c r="F1044448" s="24"/>
      <c r="G1044448" s="24"/>
      <c r="H1044448" s="24"/>
      <c r="I1044448" s="24"/>
      <c r="J1044448" s="24"/>
      <c r="K1044448" s="54"/>
    </row>
    <row r="1044449" spans="1:11" s="55" customFormat="1" ht="12.75">
      <c r="A1044449" s="24"/>
      <c r="B1044449" s="24"/>
      <c r="C1044449" s="24"/>
      <c r="D1044449" s="24"/>
      <c r="E1044449" s="24"/>
      <c r="F1044449" s="24"/>
      <c r="G1044449" s="24"/>
      <c r="H1044449" s="24"/>
      <c r="I1044449" s="24"/>
      <c r="J1044449" s="24"/>
      <c r="K1044449" s="54"/>
    </row>
    <row r="1044450" spans="1:11" s="55" customFormat="1" ht="12.75">
      <c r="A1044450" s="24"/>
      <c r="B1044450" s="24"/>
      <c r="C1044450" s="24"/>
      <c r="D1044450" s="24"/>
      <c r="E1044450" s="24"/>
      <c r="F1044450" s="24"/>
      <c r="G1044450" s="24"/>
      <c r="H1044450" s="24"/>
      <c r="I1044450" s="24"/>
      <c r="J1044450" s="24"/>
      <c r="K1044450" s="54"/>
    </row>
    <row r="1044451" spans="1:11" s="55" customFormat="1" ht="12.75">
      <c r="A1044451" s="24"/>
      <c r="B1044451" s="24"/>
      <c r="C1044451" s="24"/>
      <c r="D1044451" s="24"/>
      <c r="E1044451" s="24"/>
      <c r="F1044451" s="24"/>
      <c r="G1044451" s="24"/>
      <c r="H1044451" s="24"/>
      <c r="I1044451" s="24"/>
      <c r="J1044451" s="24"/>
      <c r="K1044451" s="54"/>
    </row>
    <row r="1044452" spans="1:11" s="55" customFormat="1" ht="12.75">
      <c r="A1044452" s="24"/>
      <c r="B1044452" s="24"/>
      <c r="C1044452" s="24"/>
      <c r="D1044452" s="24"/>
      <c r="E1044452" s="24"/>
      <c r="F1044452" s="24"/>
      <c r="G1044452" s="24"/>
      <c r="H1044452" s="24"/>
      <c r="I1044452" s="24"/>
      <c r="J1044452" s="24"/>
      <c r="K1044452" s="54"/>
    </row>
    <row r="1044453" spans="1:11" s="55" customFormat="1" ht="12.75">
      <c r="A1044453" s="24"/>
      <c r="B1044453" s="24"/>
      <c r="C1044453" s="24"/>
      <c r="D1044453" s="24"/>
      <c r="E1044453" s="24"/>
      <c r="F1044453" s="24"/>
      <c r="G1044453" s="24"/>
      <c r="H1044453" s="24"/>
      <c r="I1044453" s="24"/>
      <c r="J1044453" s="24"/>
      <c r="K1044453" s="54"/>
    </row>
    <row r="1044454" spans="1:11" s="55" customFormat="1" ht="12.75">
      <c r="A1044454" s="24"/>
      <c r="B1044454" s="24"/>
      <c r="C1044454" s="24"/>
      <c r="D1044454" s="24"/>
      <c r="E1044454" s="24"/>
      <c r="F1044454" s="24"/>
      <c r="G1044454" s="24"/>
      <c r="H1044454" s="24"/>
      <c r="I1044454" s="24"/>
      <c r="J1044454" s="24"/>
      <c r="K1044454" s="54"/>
    </row>
    <row r="1044455" spans="1:11" s="55" customFormat="1" ht="12.75">
      <c r="A1044455" s="24"/>
      <c r="B1044455" s="24"/>
      <c r="C1044455" s="24"/>
      <c r="D1044455" s="24"/>
      <c r="E1044455" s="24"/>
      <c r="F1044455" s="24"/>
      <c r="G1044455" s="24"/>
      <c r="H1044455" s="24"/>
      <c r="I1044455" s="24"/>
      <c r="J1044455" s="24"/>
      <c r="K1044455" s="54"/>
    </row>
    <row r="1044456" spans="1:11" s="55" customFormat="1" ht="12.75">
      <c r="A1044456" s="24"/>
      <c r="B1044456" s="24"/>
      <c r="C1044456" s="24"/>
      <c r="D1044456" s="24"/>
      <c r="E1044456" s="24"/>
      <c r="F1044456" s="24"/>
      <c r="G1044456" s="24"/>
      <c r="H1044456" s="24"/>
      <c r="I1044456" s="24"/>
      <c r="J1044456" s="24"/>
      <c r="K1044456" s="54"/>
    </row>
    <row r="1044457" spans="1:11" s="55" customFormat="1" ht="12.75">
      <c r="A1044457" s="24"/>
      <c r="B1044457" s="24"/>
      <c r="C1044457" s="24"/>
      <c r="D1044457" s="24"/>
      <c r="E1044457" s="24"/>
      <c r="F1044457" s="24"/>
      <c r="G1044457" s="24"/>
      <c r="H1044457" s="24"/>
      <c r="I1044457" s="24"/>
      <c r="J1044457" s="24"/>
      <c r="K1044457" s="54"/>
    </row>
    <row r="1044458" spans="1:11" s="55" customFormat="1" ht="12.75">
      <c r="A1044458" s="24"/>
      <c r="B1044458" s="24"/>
      <c r="C1044458" s="24"/>
      <c r="D1044458" s="24"/>
      <c r="E1044458" s="24"/>
      <c r="F1044458" s="24"/>
      <c r="G1044458" s="24"/>
      <c r="H1044458" s="24"/>
      <c r="I1044458" s="24"/>
      <c r="J1044458" s="24"/>
      <c r="K1044458" s="54"/>
    </row>
    <row r="1044459" spans="1:11" s="55" customFormat="1" ht="12.75">
      <c r="A1044459" s="24"/>
      <c r="B1044459" s="24"/>
      <c r="C1044459" s="24"/>
      <c r="D1044459" s="24"/>
      <c r="E1044459" s="24"/>
      <c r="F1044459" s="24"/>
      <c r="G1044459" s="24"/>
      <c r="H1044459" s="24"/>
      <c r="I1044459" s="24"/>
      <c r="J1044459" s="24"/>
      <c r="K1044459" s="54"/>
    </row>
    <row r="1044460" spans="1:11" s="55" customFormat="1" ht="12.75">
      <c r="A1044460" s="24"/>
      <c r="B1044460" s="24"/>
      <c r="C1044460" s="24"/>
      <c r="D1044460" s="24"/>
      <c r="E1044460" s="24"/>
      <c r="F1044460" s="24"/>
      <c r="G1044460" s="24"/>
      <c r="H1044460" s="24"/>
      <c r="I1044460" s="24"/>
      <c r="J1044460" s="24"/>
      <c r="K1044460" s="54"/>
    </row>
    <row r="1044461" spans="1:11" s="55" customFormat="1" ht="12.75">
      <c r="A1044461" s="24"/>
      <c r="B1044461" s="24"/>
      <c r="C1044461" s="24"/>
      <c r="D1044461" s="24"/>
      <c r="E1044461" s="24"/>
      <c r="F1044461" s="24"/>
      <c r="G1044461" s="24"/>
      <c r="H1044461" s="24"/>
      <c r="I1044461" s="24"/>
      <c r="J1044461" s="24"/>
      <c r="K1044461" s="54"/>
    </row>
    <row r="1044462" spans="1:11" s="55" customFormat="1" ht="12.75">
      <c r="A1044462" s="24"/>
      <c r="B1044462" s="24"/>
      <c r="C1044462" s="24"/>
      <c r="D1044462" s="24"/>
      <c r="E1044462" s="24"/>
      <c r="F1044462" s="24"/>
      <c r="G1044462" s="24"/>
      <c r="H1044462" s="24"/>
      <c r="I1044462" s="24"/>
      <c r="J1044462" s="24"/>
      <c r="K1044462" s="54"/>
    </row>
    <row r="1044463" spans="1:11" s="55" customFormat="1" ht="12.75">
      <c r="A1044463" s="24"/>
      <c r="B1044463" s="24"/>
      <c r="C1044463" s="24"/>
      <c r="D1044463" s="24"/>
      <c r="E1044463" s="24"/>
      <c r="F1044463" s="24"/>
      <c r="G1044463" s="24"/>
      <c r="H1044463" s="24"/>
      <c r="I1044463" s="24"/>
      <c r="J1044463" s="24"/>
      <c r="K1044463" s="54"/>
    </row>
    <row r="1044464" spans="1:11" s="55" customFormat="1" ht="12.75">
      <c r="A1044464" s="24"/>
      <c r="B1044464" s="24"/>
      <c r="C1044464" s="24"/>
      <c r="D1044464" s="24"/>
      <c r="E1044464" s="24"/>
      <c r="F1044464" s="24"/>
      <c r="G1044464" s="24"/>
      <c r="H1044464" s="24"/>
      <c r="I1044464" s="24"/>
      <c r="J1044464" s="24"/>
      <c r="K1044464" s="54"/>
    </row>
    <row r="1044465" spans="1:11" s="55" customFormat="1" ht="12.75">
      <c r="A1044465" s="24"/>
      <c r="B1044465" s="24"/>
      <c r="C1044465" s="24"/>
      <c r="D1044465" s="24"/>
      <c r="E1044465" s="24"/>
      <c r="F1044465" s="24"/>
      <c r="G1044465" s="24"/>
      <c r="H1044465" s="24"/>
      <c r="I1044465" s="24"/>
      <c r="J1044465" s="24"/>
      <c r="K1044465" s="54"/>
    </row>
    <row r="1044466" spans="1:11" s="55" customFormat="1" ht="12.75">
      <c r="A1044466" s="24"/>
      <c r="B1044466" s="24"/>
      <c r="C1044466" s="24"/>
      <c r="D1044466" s="24"/>
      <c r="E1044466" s="24"/>
      <c r="F1044466" s="24"/>
      <c r="G1044466" s="24"/>
      <c r="H1044466" s="24"/>
      <c r="I1044466" s="24"/>
      <c r="J1044466" s="24"/>
      <c r="K1044466" s="54"/>
    </row>
    <row r="1044467" spans="1:11" s="55" customFormat="1" ht="12.75">
      <c r="A1044467" s="24"/>
      <c r="B1044467" s="24"/>
      <c r="C1044467" s="24"/>
      <c r="D1044467" s="24"/>
      <c r="E1044467" s="24"/>
      <c r="F1044467" s="24"/>
      <c r="G1044467" s="24"/>
      <c r="H1044467" s="24"/>
      <c r="I1044467" s="24"/>
      <c r="J1044467" s="24"/>
      <c r="K1044467" s="54"/>
    </row>
    <row r="1044468" spans="1:11" s="55" customFormat="1" ht="12.75">
      <c r="A1044468" s="24"/>
      <c r="B1044468" s="24"/>
      <c r="C1044468" s="24"/>
      <c r="D1044468" s="24"/>
      <c r="E1044468" s="24"/>
      <c r="F1044468" s="24"/>
      <c r="G1044468" s="24"/>
      <c r="H1044468" s="24"/>
      <c r="I1044468" s="24"/>
      <c r="J1044468" s="24"/>
      <c r="K1044468" s="54"/>
    </row>
    <row r="1044469" spans="1:11" s="55" customFormat="1" ht="12.75">
      <c r="A1044469" s="24"/>
      <c r="B1044469" s="24"/>
      <c r="C1044469" s="24"/>
      <c r="D1044469" s="24"/>
      <c r="E1044469" s="24"/>
      <c r="F1044469" s="24"/>
      <c r="G1044469" s="24"/>
      <c r="H1044469" s="24"/>
      <c r="I1044469" s="24"/>
      <c r="J1044469" s="24"/>
      <c r="K1044469" s="54"/>
    </row>
    <row r="1044470" spans="1:11" s="55" customFormat="1" ht="12.75">
      <c r="A1044470" s="24"/>
      <c r="B1044470" s="24"/>
      <c r="C1044470" s="24"/>
      <c r="D1044470" s="24"/>
      <c r="E1044470" s="24"/>
      <c r="F1044470" s="24"/>
      <c r="G1044470" s="24"/>
      <c r="H1044470" s="24"/>
      <c r="I1044470" s="24"/>
      <c r="J1044470" s="24"/>
      <c r="K1044470" s="54"/>
    </row>
    <row r="1044471" spans="1:11" s="55" customFormat="1" ht="12.75">
      <c r="A1044471" s="24"/>
      <c r="B1044471" s="24"/>
      <c r="C1044471" s="24"/>
      <c r="D1044471" s="24"/>
      <c r="E1044471" s="24"/>
      <c r="F1044471" s="24"/>
      <c r="G1044471" s="24"/>
      <c r="H1044471" s="24"/>
      <c r="I1044471" s="24"/>
      <c r="J1044471" s="24"/>
      <c r="K1044471" s="54"/>
    </row>
    <row r="1044472" spans="1:11" s="55" customFormat="1" ht="12.75">
      <c r="A1044472" s="24"/>
      <c r="B1044472" s="24"/>
      <c r="C1044472" s="24"/>
      <c r="D1044472" s="24"/>
      <c r="E1044472" s="24"/>
      <c r="F1044472" s="24"/>
      <c r="G1044472" s="24"/>
      <c r="H1044472" s="24"/>
      <c r="I1044472" s="24"/>
      <c r="J1044472" s="24"/>
      <c r="K1044472" s="54"/>
    </row>
    <row r="1044473" spans="1:11" s="55" customFormat="1" ht="12.75">
      <c r="A1044473" s="24"/>
      <c r="B1044473" s="24"/>
      <c r="C1044473" s="24"/>
      <c r="D1044473" s="24"/>
      <c r="E1044473" s="24"/>
      <c r="F1044473" s="24"/>
      <c r="G1044473" s="24"/>
      <c r="H1044473" s="24"/>
      <c r="I1044473" s="24"/>
      <c r="J1044473" s="24"/>
      <c r="K1044473" s="54"/>
    </row>
    <row r="1044474" spans="1:11" s="55" customFormat="1" ht="12.75">
      <c r="A1044474" s="24"/>
      <c r="B1044474" s="24"/>
      <c r="C1044474" s="24"/>
      <c r="D1044474" s="24"/>
      <c r="E1044474" s="24"/>
      <c r="F1044474" s="24"/>
      <c r="G1044474" s="24"/>
      <c r="H1044474" s="24"/>
      <c r="I1044474" s="24"/>
      <c r="J1044474" s="24"/>
      <c r="K1044474" s="54"/>
    </row>
    <row r="1044475" spans="1:11" s="55" customFormat="1" ht="12.75">
      <c r="A1044475" s="24"/>
      <c r="B1044475" s="24"/>
      <c r="C1044475" s="24"/>
      <c r="D1044475" s="24"/>
      <c r="E1044475" s="24"/>
      <c r="F1044475" s="24"/>
      <c r="G1044475" s="24"/>
      <c r="H1044475" s="24"/>
      <c r="I1044475" s="24"/>
      <c r="J1044475" s="24"/>
      <c r="K1044475" s="54"/>
    </row>
    <row r="1044476" spans="1:11" s="55" customFormat="1" ht="12.75">
      <c r="A1044476" s="24"/>
      <c r="B1044476" s="24"/>
      <c r="C1044476" s="24"/>
      <c r="D1044476" s="24"/>
      <c r="E1044476" s="24"/>
      <c r="F1044476" s="24"/>
      <c r="G1044476" s="24"/>
      <c r="H1044476" s="24"/>
      <c r="I1044476" s="24"/>
      <c r="J1044476" s="24"/>
      <c r="K1044476" s="54"/>
    </row>
    <row r="1044477" spans="1:11" s="55" customFormat="1" ht="12.75">
      <c r="A1044477" s="24"/>
      <c r="B1044477" s="24"/>
      <c r="C1044477" s="24"/>
      <c r="D1044477" s="24"/>
      <c r="E1044477" s="24"/>
      <c r="F1044477" s="24"/>
      <c r="G1044477" s="24"/>
      <c r="H1044477" s="24"/>
      <c r="I1044477" s="24"/>
      <c r="J1044477" s="24"/>
      <c r="K1044477" s="54"/>
    </row>
    <row r="1044478" spans="1:11" s="55" customFormat="1" ht="12.75">
      <c r="A1044478" s="24"/>
      <c r="B1044478" s="24"/>
      <c r="C1044478" s="24"/>
      <c r="D1044478" s="24"/>
      <c r="E1044478" s="24"/>
      <c r="F1044478" s="24"/>
      <c r="G1044478" s="24"/>
      <c r="H1044478" s="24"/>
      <c r="I1044478" s="24"/>
      <c r="J1044478" s="24"/>
      <c r="K1044478" s="54"/>
    </row>
    <row r="1044479" spans="1:11" s="55" customFormat="1" ht="12.75">
      <c r="A1044479" s="24"/>
      <c r="B1044479" s="24"/>
      <c r="C1044479" s="24"/>
      <c r="D1044479" s="24"/>
      <c r="E1044479" s="24"/>
      <c r="F1044479" s="24"/>
      <c r="G1044479" s="24"/>
      <c r="H1044479" s="24"/>
      <c r="I1044479" s="24"/>
      <c r="J1044479" s="24"/>
      <c r="K1044479" s="54"/>
    </row>
    <row r="1044480" spans="1:11" s="55" customFormat="1" ht="12.75">
      <c r="A1044480" s="24"/>
      <c r="B1044480" s="24"/>
      <c r="C1044480" s="24"/>
      <c r="D1044480" s="24"/>
      <c r="E1044480" s="24"/>
      <c r="F1044480" s="24"/>
      <c r="G1044480" s="24"/>
      <c r="H1044480" s="24"/>
      <c r="I1044480" s="24"/>
      <c r="J1044480" s="24"/>
      <c r="K1044480" s="54"/>
    </row>
    <row r="1044481" spans="1:11" s="55" customFormat="1" ht="12.75">
      <c r="A1044481" s="24"/>
      <c r="B1044481" s="24"/>
      <c r="C1044481" s="24"/>
      <c r="D1044481" s="24"/>
      <c r="E1044481" s="24"/>
      <c r="F1044481" s="24"/>
      <c r="G1044481" s="24"/>
      <c r="H1044481" s="24"/>
      <c r="I1044481" s="24"/>
      <c r="J1044481" s="24"/>
      <c r="K1044481" s="54"/>
    </row>
    <row r="1044482" spans="1:11" s="55" customFormat="1" ht="12.75">
      <c r="A1044482" s="24"/>
      <c r="B1044482" s="24"/>
      <c r="C1044482" s="24"/>
      <c r="D1044482" s="24"/>
      <c r="E1044482" s="24"/>
      <c r="F1044482" s="24"/>
      <c r="G1044482" s="24"/>
      <c r="H1044482" s="24"/>
      <c r="I1044482" s="24"/>
      <c r="J1044482" s="24"/>
      <c r="K1044482" s="54"/>
    </row>
    <row r="1044483" spans="1:11" s="55" customFormat="1" ht="12.75">
      <c r="A1044483" s="24"/>
      <c r="B1044483" s="24"/>
      <c r="C1044483" s="24"/>
      <c r="D1044483" s="24"/>
      <c r="E1044483" s="24"/>
      <c r="F1044483" s="24"/>
      <c r="G1044483" s="24"/>
      <c r="H1044483" s="24"/>
      <c r="I1044483" s="24"/>
      <c r="J1044483" s="24"/>
      <c r="K1044483" s="54"/>
    </row>
    <row r="1044484" spans="1:11" s="55" customFormat="1" ht="12.75">
      <c r="A1044484" s="24"/>
      <c r="B1044484" s="24"/>
      <c r="C1044484" s="24"/>
      <c r="D1044484" s="24"/>
      <c r="E1044484" s="24"/>
      <c r="F1044484" s="24"/>
      <c r="G1044484" s="24"/>
      <c r="H1044484" s="24"/>
      <c r="I1044484" s="24"/>
      <c r="J1044484" s="24"/>
      <c r="K1044484" s="54"/>
    </row>
    <row r="1044485" spans="1:11" s="55" customFormat="1" ht="12.75">
      <c r="A1044485" s="24"/>
      <c r="B1044485" s="24"/>
      <c r="C1044485" s="24"/>
      <c r="D1044485" s="24"/>
      <c r="E1044485" s="24"/>
      <c r="F1044485" s="24"/>
      <c r="G1044485" s="24"/>
      <c r="H1044485" s="24"/>
      <c r="I1044485" s="24"/>
      <c r="J1044485" s="24"/>
      <c r="K1044485" s="54"/>
    </row>
    <row r="1044486" spans="1:11" s="55" customFormat="1" ht="12.75">
      <c r="A1044486" s="24"/>
      <c r="B1044486" s="24"/>
      <c r="C1044486" s="24"/>
      <c r="D1044486" s="24"/>
      <c r="E1044486" s="24"/>
      <c r="F1044486" s="24"/>
      <c r="G1044486" s="24"/>
      <c r="H1044486" s="24"/>
      <c r="I1044486" s="24"/>
      <c r="J1044486" s="24"/>
      <c r="K1044486" s="54"/>
    </row>
    <row r="1044487" spans="1:11" s="55" customFormat="1" ht="12.75">
      <c r="A1044487" s="24"/>
      <c r="B1044487" s="24"/>
      <c r="C1044487" s="24"/>
      <c r="D1044487" s="24"/>
      <c r="E1044487" s="24"/>
      <c r="F1044487" s="24"/>
      <c r="G1044487" s="24"/>
      <c r="H1044487" s="24"/>
      <c r="I1044487" s="24"/>
      <c r="J1044487" s="24"/>
      <c r="K1044487" s="54"/>
    </row>
    <row r="1044488" spans="1:11" s="55" customFormat="1" ht="12.75">
      <c r="A1044488" s="24"/>
      <c r="B1044488" s="24"/>
      <c r="C1044488" s="24"/>
      <c r="D1044488" s="24"/>
      <c r="E1044488" s="24"/>
      <c r="F1044488" s="24"/>
      <c r="G1044488" s="24"/>
      <c r="H1044488" s="24"/>
      <c r="I1044488" s="24"/>
      <c r="J1044488" s="24"/>
      <c r="K1044488" s="54"/>
    </row>
    <row r="1044489" spans="1:11" s="55" customFormat="1" ht="12.75">
      <c r="A1044489" s="24"/>
      <c r="B1044489" s="24"/>
      <c r="C1044489" s="24"/>
      <c r="D1044489" s="24"/>
      <c r="E1044489" s="24"/>
      <c r="F1044489" s="24"/>
      <c r="G1044489" s="24"/>
      <c r="H1044489" s="24"/>
      <c r="I1044489" s="24"/>
      <c r="J1044489" s="24"/>
      <c r="K1044489" s="54"/>
    </row>
    <row r="1044490" spans="1:11" s="55" customFormat="1" ht="12.75">
      <c r="A1044490" s="24"/>
      <c r="B1044490" s="24"/>
      <c r="C1044490" s="24"/>
      <c r="D1044490" s="24"/>
      <c r="E1044490" s="24"/>
      <c r="F1044490" s="24"/>
      <c r="G1044490" s="24"/>
      <c r="H1044490" s="24"/>
      <c r="I1044490" s="24"/>
      <c r="J1044490" s="24"/>
      <c r="K1044490" s="54"/>
    </row>
    <row r="1044491" spans="1:11" s="55" customFormat="1" ht="12.75">
      <c r="A1044491" s="24"/>
      <c r="B1044491" s="24"/>
      <c r="C1044491" s="24"/>
      <c r="D1044491" s="24"/>
      <c r="E1044491" s="24"/>
      <c r="F1044491" s="24"/>
      <c r="G1044491" s="24"/>
      <c r="H1044491" s="24"/>
      <c r="I1044491" s="24"/>
      <c r="J1044491" s="24"/>
      <c r="K1044491" s="54"/>
    </row>
    <row r="1044492" spans="1:11" s="55" customFormat="1" ht="12.75">
      <c r="A1044492" s="24"/>
      <c r="B1044492" s="24"/>
      <c r="C1044492" s="24"/>
      <c r="D1044492" s="24"/>
      <c r="E1044492" s="24"/>
      <c r="F1044492" s="24"/>
      <c r="G1044492" s="24"/>
      <c r="H1044492" s="24"/>
      <c r="I1044492" s="24"/>
      <c r="J1044492" s="24"/>
      <c r="K1044492" s="54"/>
    </row>
    <row r="1044493" spans="1:11" s="55" customFormat="1" ht="12.75">
      <c r="A1044493" s="24"/>
      <c r="B1044493" s="24"/>
      <c r="C1044493" s="24"/>
      <c r="D1044493" s="24"/>
      <c r="E1044493" s="24"/>
      <c r="F1044493" s="24"/>
      <c r="G1044493" s="24"/>
      <c r="H1044493" s="24"/>
      <c r="I1044493" s="24"/>
      <c r="J1044493" s="24"/>
      <c r="K1044493" s="54"/>
    </row>
    <row r="1044494" spans="1:11" s="55" customFormat="1" ht="12.75">
      <c r="A1044494" s="24"/>
      <c r="B1044494" s="24"/>
      <c r="C1044494" s="24"/>
      <c r="D1044494" s="24"/>
      <c r="E1044494" s="24"/>
      <c r="F1044494" s="24"/>
      <c r="G1044494" s="24"/>
      <c r="H1044494" s="24"/>
      <c r="I1044494" s="24"/>
      <c r="J1044494" s="24"/>
      <c r="K1044494" s="54"/>
    </row>
    <row r="1044495" spans="1:11" s="55" customFormat="1" ht="12.75">
      <c r="A1044495" s="24"/>
      <c r="B1044495" s="24"/>
      <c r="C1044495" s="24"/>
      <c r="D1044495" s="24"/>
      <c r="E1044495" s="24"/>
      <c r="F1044495" s="24"/>
      <c r="G1044495" s="24"/>
      <c r="H1044495" s="24"/>
      <c r="I1044495" s="24"/>
      <c r="J1044495" s="24"/>
      <c r="K1044495" s="54"/>
    </row>
    <row r="1044496" spans="1:11" s="55" customFormat="1" ht="12.75">
      <c r="A1044496" s="24"/>
      <c r="B1044496" s="24"/>
      <c r="C1044496" s="24"/>
      <c r="D1044496" s="24"/>
      <c r="E1044496" s="24"/>
      <c r="F1044496" s="24"/>
      <c r="G1044496" s="24"/>
      <c r="H1044496" s="24"/>
      <c r="I1044496" s="24"/>
      <c r="J1044496" s="24"/>
      <c r="K1044496" s="54"/>
    </row>
    <row r="1044497" spans="1:11" s="55" customFormat="1" ht="12.75">
      <c r="A1044497" s="24"/>
      <c r="B1044497" s="24"/>
      <c r="C1044497" s="24"/>
      <c r="D1044497" s="24"/>
      <c r="E1044497" s="24"/>
      <c r="F1044497" s="24"/>
      <c r="G1044497" s="24"/>
      <c r="H1044497" s="24"/>
      <c r="I1044497" s="24"/>
      <c r="J1044497" s="24"/>
      <c r="K1044497" s="54"/>
    </row>
    <row r="1044498" spans="1:11" s="55" customFormat="1" ht="12.75">
      <c r="A1044498" s="24"/>
      <c r="B1044498" s="24"/>
      <c r="C1044498" s="24"/>
      <c r="D1044498" s="24"/>
      <c r="E1044498" s="24"/>
      <c r="F1044498" s="24"/>
      <c r="G1044498" s="24"/>
      <c r="H1044498" s="24"/>
      <c r="I1044498" s="24"/>
      <c r="J1044498" s="24"/>
      <c r="K1044498" s="54"/>
    </row>
    <row r="1044499" spans="1:11" s="55" customFormat="1" ht="12.75">
      <c r="A1044499" s="24"/>
      <c r="B1044499" s="24"/>
      <c r="C1044499" s="24"/>
      <c r="D1044499" s="24"/>
      <c r="E1044499" s="24"/>
      <c r="F1044499" s="24"/>
      <c r="G1044499" s="24"/>
      <c r="H1044499" s="24"/>
      <c r="I1044499" s="24"/>
      <c r="J1044499" s="24"/>
      <c r="K1044499" s="54"/>
    </row>
    <row r="1044500" spans="1:11" s="55" customFormat="1" ht="12.75">
      <c r="A1044500" s="24"/>
      <c r="B1044500" s="24"/>
      <c r="C1044500" s="24"/>
      <c r="D1044500" s="24"/>
      <c r="E1044500" s="24"/>
      <c r="F1044500" s="24"/>
      <c r="G1044500" s="24"/>
      <c r="H1044500" s="24"/>
      <c r="I1044500" s="24"/>
      <c r="J1044500" s="24"/>
      <c r="K1044500" s="54"/>
    </row>
    <row r="1044501" spans="1:11" s="55" customFormat="1" ht="12.75">
      <c r="A1044501" s="24"/>
      <c r="B1044501" s="24"/>
      <c r="C1044501" s="24"/>
      <c r="D1044501" s="24"/>
      <c r="E1044501" s="24"/>
      <c r="F1044501" s="24"/>
      <c r="G1044501" s="24"/>
      <c r="H1044501" s="24"/>
      <c r="I1044501" s="24"/>
      <c r="J1044501" s="24"/>
      <c r="K1044501" s="54"/>
    </row>
    <row r="1044502" spans="1:11" s="55" customFormat="1" ht="12.75">
      <c r="A1044502" s="24"/>
      <c r="B1044502" s="24"/>
      <c r="C1044502" s="24"/>
      <c r="D1044502" s="24"/>
      <c r="E1044502" s="24"/>
      <c r="F1044502" s="24"/>
      <c r="G1044502" s="24"/>
      <c r="H1044502" s="24"/>
      <c r="I1044502" s="24"/>
      <c r="J1044502" s="24"/>
      <c r="K1044502" s="54"/>
    </row>
    <row r="1044503" spans="1:11" s="55" customFormat="1" ht="12.75">
      <c r="A1044503" s="24"/>
      <c r="B1044503" s="24"/>
      <c r="C1044503" s="24"/>
      <c r="D1044503" s="24"/>
      <c r="E1044503" s="24"/>
      <c r="F1044503" s="24"/>
      <c r="G1044503" s="24"/>
      <c r="H1044503" s="24"/>
      <c r="I1044503" s="24"/>
      <c r="J1044503" s="24"/>
      <c r="K1044503" s="54"/>
    </row>
    <row r="1044504" spans="1:11" s="55" customFormat="1" ht="12.75">
      <c r="A1044504" s="24"/>
      <c r="B1044504" s="24"/>
      <c r="C1044504" s="24"/>
      <c r="D1044504" s="24"/>
      <c r="E1044504" s="24"/>
      <c r="F1044504" s="24"/>
      <c r="G1044504" s="24"/>
      <c r="H1044504" s="24"/>
      <c r="I1044504" s="24"/>
      <c r="J1044504" s="24"/>
      <c r="K1044504" s="54"/>
    </row>
    <row r="1044505" spans="1:11" s="55" customFormat="1" ht="12.75">
      <c r="A1044505" s="24"/>
      <c r="B1044505" s="24"/>
      <c r="C1044505" s="24"/>
      <c r="D1044505" s="24"/>
      <c r="E1044505" s="24"/>
      <c r="F1044505" s="24"/>
      <c r="G1044505" s="24"/>
      <c r="H1044505" s="24"/>
      <c r="I1044505" s="24"/>
      <c r="J1044505" s="24"/>
      <c r="K1044505" s="54"/>
    </row>
    <row r="1044506" spans="1:11" s="55" customFormat="1" ht="12.75">
      <c r="A1044506" s="24"/>
      <c r="B1044506" s="24"/>
      <c r="C1044506" s="24"/>
      <c r="D1044506" s="24"/>
      <c r="E1044506" s="24"/>
      <c r="F1044506" s="24"/>
      <c r="G1044506" s="24"/>
      <c r="H1044506" s="24"/>
      <c r="I1044506" s="24"/>
      <c r="J1044506" s="24"/>
      <c r="K1044506" s="54"/>
    </row>
    <row r="1044507" spans="1:11" s="55" customFormat="1" ht="12.75">
      <c r="A1044507" s="24"/>
      <c r="B1044507" s="24"/>
      <c r="C1044507" s="24"/>
      <c r="D1044507" s="24"/>
      <c r="E1044507" s="24"/>
      <c r="F1044507" s="24"/>
      <c r="G1044507" s="24"/>
      <c r="H1044507" s="24"/>
      <c r="I1044507" s="24"/>
      <c r="J1044507" s="24"/>
      <c r="K1044507" s="54"/>
    </row>
    <row r="1044508" spans="1:11" s="55" customFormat="1" ht="12.75">
      <c r="A1044508" s="24"/>
      <c r="B1044508" s="24"/>
      <c r="C1044508" s="24"/>
      <c r="D1044508" s="24"/>
      <c r="E1044508" s="24"/>
      <c r="F1044508" s="24"/>
      <c r="G1044508" s="24"/>
      <c r="H1044508" s="24"/>
      <c r="I1044508" s="24"/>
      <c r="J1044508" s="24"/>
      <c r="K1044508" s="54"/>
    </row>
    <row r="1044509" spans="1:11" s="55" customFormat="1" ht="12.75">
      <c r="A1044509" s="24"/>
      <c r="B1044509" s="24"/>
      <c r="C1044509" s="24"/>
      <c r="D1044509" s="24"/>
      <c r="E1044509" s="24"/>
      <c r="F1044509" s="24"/>
      <c r="G1044509" s="24"/>
      <c r="H1044509" s="24"/>
      <c r="I1044509" s="24"/>
      <c r="J1044509" s="24"/>
      <c r="K1044509" s="54"/>
    </row>
    <row r="1044510" spans="1:11" s="55" customFormat="1" ht="12.75">
      <c r="A1044510" s="24"/>
      <c r="B1044510" s="24"/>
      <c r="C1044510" s="24"/>
      <c r="D1044510" s="24"/>
      <c r="E1044510" s="24"/>
      <c r="F1044510" s="24"/>
      <c r="G1044510" s="24"/>
      <c r="H1044510" s="24"/>
      <c r="I1044510" s="24"/>
      <c r="J1044510" s="24"/>
      <c r="K1044510" s="54"/>
    </row>
    <row r="1044511" spans="1:11" s="55" customFormat="1" ht="12.75">
      <c r="A1044511" s="24"/>
      <c r="B1044511" s="24"/>
      <c r="C1044511" s="24"/>
      <c r="D1044511" s="24"/>
      <c r="E1044511" s="24"/>
      <c r="F1044511" s="24"/>
      <c r="G1044511" s="24"/>
      <c r="H1044511" s="24"/>
      <c r="I1044511" s="24"/>
      <c r="J1044511" s="24"/>
      <c r="K1044511" s="54"/>
    </row>
    <row r="1044512" spans="1:11" s="55" customFormat="1" ht="12.75">
      <c r="A1044512" s="24"/>
      <c r="B1044512" s="24"/>
      <c r="C1044512" s="24"/>
      <c r="D1044512" s="24"/>
      <c r="E1044512" s="24"/>
      <c r="F1044512" s="24"/>
      <c r="G1044512" s="24"/>
      <c r="H1044512" s="24"/>
      <c r="I1044512" s="24"/>
      <c r="J1044512" s="24"/>
      <c r="K1044512" s="54"/>
    </row>
    <row r="1044513" spans="1:11" s="55" customFormat="1" ht="12.75">
      <c r="A1044513" s="24"/>
      <c r="B1044513" s="24"/>
      <c r="C1044513" s="24"/>
      <c r="D1044513" s="24"/>
      <c r="E1044513" s="24"/>
      <c r="F1044513" s="24"/>
      <c r="G1044513" s="24"/>
      <c r="H1044513" s="24"/>
      <c r="I1044513" s="24"/>
      <c r="J1044513" s="24"/>
      <c r="K1044513" s="54"/>
    </row>
    <row r="1044514" spans="1:11" s="55" customFormat="1" ht="12.75">
      <c r="A1044514" s="24"/>
      <c r="B1044514" s="24"/>
      <c r="C1044514" s="24"/>
      <c r="D1044514" s="24"/>
      <c r="E1044514" s="24"/>
      <c r="F1044514" s="24"/>
      <c r="G1044514" s="24"/>
      <c r="H1044514" s="24"/>
      <c r="I1044514" s="24"/>
      <c r="J1044514" s="24"/>
      <c r="K1044514" s="54"/>
    </row>
    <row r="1044515" spans="1:11" s="55" customFormat="1" ht="12.75">
      <c r="A1044515" s="24"/>
      <c r="B1044515" s="24"/>
      <c r="C1044515" s="24"/>
      <c r="D1044515" s="24"/>
      <c r="E1044515" s="24"/>
      <c r="F1044515" s="24"/>
      <c r="G1044515" s="24"/>
      <c r="H1044515" s="24"/>
      <c r="I1044515" s="24"/>
      <c r="J1044515" s="24"/>
      <c r="K1044515" s="54"/>
    </row>
    <row r="1044516" spans="1:11" s="55" customFormat="1" ht="12.75">
      <c r="A1044516" s="24"/>
      <c r="B1044516" s="24"/>
      <c r="C1044516" s="24"/>
      <c r="D1044516" s="24"/>
      <c r="E1044516" s="24"/>
      <c r="F1044516" s="24"/>
      <c r="G1044516" s="24"/>
      <c r="H1044516" s="24"/>
      <c r="I1044516" s="24"/>
      <c r="J1044516" s="24"/>
      <c r="K1044516" s="54"/>
    </row>
    <row r="1044517" spans="1:11" s="55" customFormat="1" ht="12.75">
      <c r="A1044517" s="24"/>
      <c r="B1044517" s="24"/>
      <c r="C1044517" s="24"/>
      <c r="D1044517" s="24"/>
      <c r="E1044517" s="24"/>
      <c r="F1044517" s="24"/>
      <c r="G1044517" s="24"/>
      <c r="H1044517" s="24"/>
      <c r="I1044517" s="24"/>
      <c r="J1044517" s="24"/>
      <c r="K1044517" s="54"/>
    </row>
    <row r="1044518" spans="1:11" s="55" customFormat="1" ht="12.75">
      <c r="A1044518" s="24"/>
      <c r="B1044518" s="24"/>
      <c r="C1044518" s="24"/>
      <c r="D1044518" s="24"/>
      <c r="E1044518" s="24"/>
      <c r="F1044518" s="24"/>
      <c r="G1044518" s="24"/>
      <c r="H1044518" s="24"/>
      <c r="I1044518" s="24"/>
      <c r="J1044518" s="24"/>
      <c r="K1044518" s="54"/>
    </row>
    <row r="1044519" spans="1:11" s="55" customFormat="1" ht="12.75">
      <c r="A1044519" s="24"/>
      <c r="B1044519" s="24"/>
      <c r="C1044519" s="24"/>
      <c r="D1044519" s="24"/>
      <c r="E1044519" s="24"/>
      <c r="F1044519" s="24"/>
      <c r="G1044519" s="24"/>
      <c r="H1044519" s="24"/>
      <c r="I1044519" s="24"/>
      <c r="J1044519" s="24"/>
      <c r="K1044519" s="54"/>
    </row>
    <row r="1044520" spans="1:11" s="55" customFormat="1" ht="12.75">
      <c r="A1044520" s="24"/>
      <c r="B1044520" s="24"/>
      <c r="C1044520" s="24"/>
      <c r="D1044520" s="24"/>
      <c r="E1044520" s="24"/>
      <c r="F1044520" s="24"/>
      <c r="G1044520" s="24"/>
      <c r="H1044520" s="24"/>
      <c r="I1044520" s="24"/>
      <c r="J1044520" s="24"/>
      <c r="K1044520" s="54"/>
    </row>
    <row r="1044521" spans="1:11" s="55" customFormat="1" ht="12.75">
      <c r="A1044521" s="24"/>
      <c r="B1044521" s="24"/>
      <c r="C1044521" s="24"/>
      <c r="D1044521" s="24"/>
      <c r="E1044521" s="24"/>
      <c r="F1044521" s="24"/>
      <c r="G1044521" s="24"/>
      <c r="H1044521" s="24"/>
      <c r="I1044521" s="24"/>
      <c r="J1044521" s="24"/>
      <c r="K1044521" s="54"/>
    </row>
    <row r="1044522" spans="1:11" s="55" customFormat="1" ht="12.75">
      <c r="A1044522" s="24"/>
      <c r="B1044522" s="24"/>
      <c r="C1044522" s="24"/>
      <c r="D1044522" s="24"/>
      <c r="E1044522" s="24"/>
      <c r="F1044522" s="24"/>
      <c r="G1044522" s="24"/>
      <c r="H1044522" s="24"/>
      <c r="I1044522" s="24"/>
      <c r="J1044522" s="24"/>
      <c r="K1044522" s="54"/>
    </row>
    <row r="1044523" spans="1:11" s="55" customFormat="1" ht="12.75">
      <c r="A1044523" s="24"/>
      <c r="B1044523" s="24"/>
      <c r="C1044523" s="24"/>
      <c r="D1044523" s="24"/>
      <c r="E1044523" s="24"/>
      <c r="F1044523" s="24"/>
      <c r="G1044523" s="24"/>
      <c r="H1044523" s="24"/>
      <c r="I1044523" s="24"/>
      <c r="J1044523" s="24"/>
      <c r="K1044523" s="54"/>
    </row>
    <row r="1044524" spans="1:11" s="55" customFormat="1" ht="12.75">
      <c r="A1044524" s="24"/>
      <c r="B1044524" s="24"/>
      <c r="C1044524" s="24"/>
      <c r="D1044524" s="24"/>
      <c r="E1044524" s="24"/>
      <c r="F1044524" s="24"/>
      <c r="G1044524" s="24"/>
      <c r="H1044524" s="24"/>
      <c r="I1044524" s="24"/>
      <c r="J1044524" s="24"/>
      <c r="K1044524" s="54"/>
    </row>
    <row r="1044525" spans="1:11" s="55" customFormat="1" ht="12.75">
      <c r="A1044525" s="24"/>
      <c r="B1044525" s="24"/>
      <c r="C1044525" s="24"/>
      <c r="D1044525" s="24"/>
      <c r="E1044525" s="24"/>
      <c r="F1044525" s="24"/>
      <c r="G1044525" s="24"/>
      <c r="H1044525" s="24"/>
      <c r="I1044525" s="24"/>
      <c r="J1044525" s="24"/>
      <c r="K1044525" s="54"/>
    </row>
    <row r="1044526" spans="1:11" s="55" customFormat="1" ht="12.75">
      <c r="A1044526" s="24"/>
      <c r="B1044526" s="24"/>
      <c r="C1044526" s="24"/>
      <c r="D1044526" s="24"/>
      <c r="E1044526" s="24"/>
      <c r="F1044526" s="24"/>
      <c r="G1044526" s="24"/>
      <c r="H1044526" s="24"/>
      <c r="I1044526" s="24"/>
      <c r="J1044526" s="24"/>
      <c r="K1044526" s="54"/>
    </row>
    <row r="1044527" spans="1:11" s="55" customFormat="1" ht="12.75">
      <c r="A1044527" s="24"/>
      <c r="B1044527" s="24"/>
      <c r="C1044527" s="24"/>
      <c r="D1044527" s="24"/>
      <c r="E1044527" s="24"/>
      <c r="F1044527" s="24"/>
      <c r="G1044527" s="24"/>
      <c r="H1044527" s="24"/>
      <c r="I1044527" s="24"/>
      <c r="J1044527" s="24"/>
      <c r="K1044527" s="54"/>
    </row>
    <row r="1044528" spans="1:11" s="55" customFormat="1" ht="12.75">
      <c r="A1044528" s="24"/>
      <c r="B1044528" s="24"/>
      <c r="C1044528" s="24"/>
      <c r="D1044528" s="24"/>
      <c r="E1044528" s="24"/>
      <c r="F1044528" s="24"/>
      <c r="G1044528" s="24"/>
      <c r="H1044528" s="24"/>
      <c r="I1044528" s="24"/>
      <c r="J1044528" s="24"/>
      <c r="K1044528" s="54"/>
    </row>
    <row r="1044529" spans="1:11" s="55" customFormat="1" ht="12.75">
      <c r="A1044529" s="24"/>
      <c r="B1044529" s="24"/>
      <c r="C1044529" s="24"/>
      <c r="D1044529" s="24"/>
      <c r="E1044529" s="24"/>
      <c r="F1044529" s="24"/>
      <c r="G1044529" s="24"/>
      <c r="H1044529" s="24"/>
      <c r="I1044529" s="24"/>
      <c r="J1044529" s="24"/>
      <c r="K1044529" s="54"/>
    </row>
    <row r="1044530" spans="1:11" s="55" customFormat="1" ht="12.75">
      <c r="A1044530" s="24"/>
      <c r="B1044530" s="24"/>
      <c r="C1044530" s="24"/>
      <c r="D1044530" s="24"/>
      <c r="E1044530" s="24"/>
      <c r="F1044530" s="24"/>
      <c r="G1044530" s="24"/>
      <c r="H1044530" s="24"/>
      <c r="I1044530" s="24"/>
      <c r="J1044530" s="24"/>
      <c r="K1044530" s="54"/>
    </row>
    <row r="1044531" spans="1:11" s="55" customFormat="1" ht="12.75">
      <c r="A1044531" s="24"/>
      <c r="B1044531" s="24"/>
      <c r="C1044531" s="24"/>
      <c r="D1044531" s="24"/>
      <c r="E1044531" s="24"/>
      <c r="F1044531" s="24"/>
      <c r="G1044531" s="24"/>
      <c r="H1044531" s="24"/>
      <c r="I1044531" s="24"/>
      <c r="J1044531" s="24"/>
      <c r="K1044531" s="54"/>
    </row>
    <row r="1044532" spans="1:11" s="55" customFormat="1" ht="12.75">
      <c r="A1044532" s="24"/>
      <c r="B1044532" s="24"/>
      <c r="C1044532" s="24"/>
      <c r="D1044532" s="24"/>
      <c r="E1044532" s="24"/>
      <c r="F1044532" s="24"/>
      <c r="G1044532" s="24"/>
      <c r="H1044532" s="24"/>
      <c r="I1044532" s="24"/>
      <c r="J1044532" s="24"/>
      <c r="K1044532" s="54"/>
    </row>
    <row r="1044533" spans="1:11" s="55" customFormat="1" ht="12.75">
      <c r="A1044533" s="24"/>
      <c r="B1044533" s="24"/>
      <c r="C1044533" s="24"/>
      <c r="D1044533" s="24"/>
      <c r="E1044533" s="24"/>
      <c r="F1044533" s="24"/>
      <c r="G1044533" s="24"/>
      <c r="H1044533" s="24"/>
      <c r="I1044533" s="24"/>
      <c r="J1044533" s="24"/>
      <c r="K1044533" s="54"/>
    </row>
    <row r="1044534" spans="1:11" s="55" customFormat="1" ht="12.75">
      <c r="A1044534" s="24"/>
      <c r="B1044534" s="24"/>
      <c r="C1044534" s="24"/>
      <c r="D1044534" s="24"/>
      <c r="E1044534" s="24"/>
      <c r="F1044534" s="24"/>
      <c r="G1044534" s="24"/>
      <c r="H1044534" s="24"/>
      <c r="I1044534" s="24"/>
      <c r="J1044534" s="24"/>
      <c r="K1044534" s="54"/>
    </row>
    <row r="1044535" spans="1:11" s="55" customFormat="1" ht="12.75">
      <c r="A1044535" s="24"/>
      <c r="B1044535" s="24"/>
      <c r="C1044535" s="24"/>
      <c r="D1044535" s="24"/>
      <c r="E1044535" s="24"/>
      <c r="F1044535" s="24"/>
      <c r="G1044535" s="24"/>
      <c r="H1044535" s="24"/>
      <c r="I1044535" s="24"/>
      <c r="J1044535" s="24"/>
      <c r="K1044535" s="54"/>
    </row>
    <row r="1044536" spans="1:11" s="55" customFormat="1" ht="12.75">
      <c r="A1044536" s="24"/>
      <c r="B1044536" s="24"/>
      <c r="C1044536" s="24"/>
      <c r="D1044536" s="24"/>
      <c r="E1044536" s="24"/>
      <c r="F1044536" s="24"/>
      <c r="G1044536" s="24"/>
      <c r="H1044536" s="24"/>
      <c r="I1044536" s="24"/>
      <c r="J1044536" s="24"/>
      <c r="K1044536" s="54"/>
    </row>
    <row r="1044537" spans="1:11" s="55" customFormat="1" ht="12.75">
      <c r="A1044537" s="24"/>
      <c r="B1044537" s="24"/>
      <c r="C1044537" s="24"/>
      <c r="D1044537" s="24"/>
      <c r="E1044537" s="24"/>
      <c r="F1044537" s="24"/>
      <c r="G1044537" s="24"/>
      <c r="H1044537" s="24"/>
      <c r="I1044537" s="24"/>
      <c r="J1044537" s="24"/>
      <c r="K1044537" s="54"/>
    </row>
    <row r="1044538" spans="1:11" s="55" customFormat="1" ht="12.75">
      <c r="A1044538" s="24"/>
      <c r="B1044538" s="24"/>
      <c r="C1044538" s="24"/>
      <c r="D1044538" s="24"/>
      <c r="E1044538" s="24"/>
      <c r="F1044538" s="24"/>
      <c r="G1044538" s="24"/>
      <c r="H1044538" s="24"/>
      <c r="I1044538" s="24"/>
      <c r="J1044538" s="24"/>
      <c r="K1044538" s="54"/>
    </row>
    <row r="1044539" spans="1:11" s="55" customFormat="1" ht="12.75">
      <c r="A1044539" s="24"/>
      <c r="B1044539" s="24"/>
      <c r="C1044539" s="24"/>
      <c r="D1044539" s="24"/>
      <c r="E1044539" s="24"/>
      <c r="F1044539" s="24"/>
      <c r="G1044539" s="24"/>
      <c r="H1044539" s="24"/>
      <c r="I1044539" s="24"/>
      <c r="J1044539" s="24"/>
      <c r="K1044539" s="54"/>
    </row>
    <row r="1044540" spans="1:11" s="55" customFormat="1" ht="12.75">
      <c r="A1044540" s="24"/>
      <c r="B1044540" s="24"/>
      <c r="C1044540" s="24"/>
      <c r="D1044540" s="24"/>
      <c r="E1044540" s="24"/>
      <c r="F1044540" s="24"/>
      <c r="G1044540" s="24"/>
      <c r="H1044540" s="24"/>
      <c r="I1044540" s="24"/>
      <c r="J1044540" s="24"/>
      <c r="K1044540" s="54"/>
    </row>
    <row r="1044541" spans="1:11" s="55" customFormat="1" ht="12.75">
      <c r="A1044541" s="24"/>
      <c r="B1044541" s="24"/>
      <c r="C1044541" s="24"/>
      <c r="D1044541" s="24"/>
      <c r="E1044541" s="24"/>
      <c r="F1044541" s="24"/>
      <c r="G1044541" s="24"/>
      <c r="H1044541" s="24"/>
      <c r="I1044541" s="24"/>
      <c r="J1044541" s="24"/>
      <c r="K1044541" s="54"/>
    </row>
    <row r="1044542" spans="1:11" s="55" customFormat="1" ht="12.75">
      <c r="A1044542" s="24"/>
      <c r="B1044542" s="24"/>
      <c r="C1044542" s="24"/>
      <c r="D1044542" s="24"/>
      <c r="E1044542" s="24"/>
      <c r="F1044542" s="24"/>
      <c r="G1044542" s="24"/>
      <c r="H1044542" s="24"/>
      <c r="I1044542" s="24"/>
      <c r="J1044542" s="24"/>
      <c r="K1044542" s="54"/>
    </row>
    <row r="1044543" spans="1:11" s="55" customFormat="1" ht="12.75">
      <c r="A1044543" s="24"/>
      <c r="B1044543" s="24"/>
      <c r="C1044543" s="24"/>
      <c r="D1044543" s="24"/>
      <c r="E1044543" s="24"/>
      <c r="F1044543" s="24"/>
      <c r="G1044543" s="24"/>
      <c r="H1044543" s="24"/>
      <c r="I1044543" s="24"/>
      <c r="J1044543" s="24"/>
      <c r="K1044543" s="54"/>
    </row>
    <row r="1044544" spans="1:11" s="55" customFormat="1" ht="12.75">
      <c r="A1044544" s="24"/>
      <c r="B1044544" s="24"/>
      <c r="C1044544" s="24"/>
      <c r="D1044544" s="24"/>
      <c r="E1044544" s="24"/>
      <c r="F1044544" s="24"/>
      <c r="G1044544" s="24"/>
      <c r="H1044544" s="24"/>
      <c r="I1044544" s="24"/>
      <c r="J1044544" s="24"/>
      <c r="K1044544" s="54"/>
    </row>
    <row r="1044545" spans="1:11" s="55" customFormat="1" ht="12.75">
      <c r="A1044545" s="24"/>
      <c r="B1044545" s="24"/>
      <c r="C1044545" s="24"/>
      <c r="D1044545" s="24"/>
      <c r="E1044545" s="24"/>
      <c r="F1044545" s="24"/>
      <c r="G1044545" s="24"/>
      <c r="H1044545" s="24"/>
      <c r="I1044545" s="24"/>
      <c r="J1044545" s="24"/>
      <c r="K1044545" s="54"/>
    </row>
    <row r="1044546" spans="1:11" s="55" customFormat="1" ht="12.75">
      <c r="A1044546" s="24"/>
      <c r="B1044546" s="24"/>
      <c r="C1044546" s="24"/>
      <c r="D1044546" s="24"/>
      <c r="E1044546" s="24"/>
      <c r="F1044546" s="24"/>
      <c r="G1044546" s="24"/>
      <c r="H1044546" s="24"/>
      <c r="I1044546" s="24"/>
      <c r="J1044546" s="24"/>
      <c r="K1044546" s="54"/>
    </row>
    <row r="1044547" spans="1:11" s="55" customFormat="1" ht="12.75">
      <c r="A1044547" s="24"/>
      <c r="B1044547" s="24"/>
      <c r="C1044547" s="24"/>
      <c r="D1044547" s="24"/>
      <c r="E1044547" s="24"/>
      <c r="F1044547" s="24"/>
      <c r="G1044547" s="24"/>
      <c r="H1044547" s="24"/>
      <c r="I1044547" s="24"/>
      <c r="J1044547" s="24"/>
      <c r="K1044547" s="54"/>
    </row>
    <row r="1044548" spans="1:11" s="55" customFormat="1" ht="12.75">
      <c r="A1044548" s="24"/>
      <c r="B1044548" s="24"/>
      <c r="C1044548" s="24"/>
      <c r="D1044548" s="24"/>
      <c r="E1044548" s="24"/>
      <c r="F1044548" s="24"/>
      <c r="G1044548" s="24"/>
      <c r="H1044548" s="24"/>
      <c r="I1044548" s="24"/>
      <c r="J1044548" s="24"/>
      <c r="K1044548" s="54"/>
    </row>
    <row r="1044549" spans="1:11" s="55" customFormat="1" ht="12.75">
      <c r="A1044549" s="24"/>
      <c r="B1044549" s="24"/>
      <c r="C1044549" s="24"/>
      <c r="D1044549" s="24"/>
      <c r="E1044549" s="24"/>
      <c r="F1044549" s="24"/>
      <c r="G1044549" s="24"/>
      <c r="H1044549" s="24"/>
      <c r="I1044549" s="24"/>
      <c r="J1044549" s="24"/>
      <c r="K1044549" s="54"/>
    </row>
    <row r="1044550" spans="1:11" s="55" customFormat="1" ht="12.75">
      <c r="A1044550" s="24"/>
      <c r="B1044550" s="24"/>
      <c r="C1044550" s="24"/>
      <c r="D1044550" s="24"/>
      <c r="E1044550" s="24"/>
      <c r="F1044550" s="24"/>
      <c r="G1044550" s="24"/>
      <c r="H1044550" s="24"/>
      <c r="I1044550" s="24"/>
      <c r="J1044550" s="24"/>
      <c r="K1044550" s="54"/>
    </row>
    <row r="1044551" spans="1:11" s="55" customFormat="1" ht="12.75">
      <c r="A1044551" s="24"/>
      <c r="B1044551" s="24"/>
      <c r="C1044551" s="24"/>
      <c r="D1044551" s="24"/>
      <c r="E1044551" s="24"/>
      <c r="F1044551" s="24"/>
      <c r="G1044551" s="24"/>
      <c r="H1044551" s="24"/>
      <c r="I1044551" s="24"/>
      <c r="J1044551" s="24"/>
      <c r="K1044551" s="54"/>
    </row>
    <row r="1044552" spans="1:11" s="55" customFormat="1" ht="12.75">
      <c r="A1044552" s="24"/>
      <c r="B1044552" s="24"/>
      <c r="C1044552" s="24"/>
      <c r="D1044552" s="24"/>
      <c r="E1044552" s="24"/>
      <c r="F1044552" s="24"/>
      <c r="G1044552" s="24"/>
      <c r="H1044552" s="24"/>
      <c r="I1044552" s="24"/>
      <c r="J1044552" s="24"/>
      <c r="K1044552" s="54"/>
    </row>
    <row r="1044553" spans="1:11" s="55" customFormat="1" ht="12.75">
      <c r="A1044553" s="24"/>
      <c r="B1044553" s="24"/>
      <c r="C1044553" s="24"/>
      <c r="D1044553" s="24"/>
      <c r="E1044553" s="24"/>
      <c r="F1044553" s="24"/>
      <c r="G1044553" s="24"/>
      <c r="H1044553" s="24"/>
      <c r="I1044553" s="24"/>
      <c r="J1044553" s="24"/>
      <c r="K1044553" s="54"/>
    </row>
    <row r="1044554" spans="1:11" s="55" customFormat="1" ht="12.75">
      <c r="A1044554" s="24"/>
      <c r="B1044554" s="24"/>
      <c r="C1044554" s="24"/>
      <c r="D1044554" s="24"/>
      <c r="E1044554" s="24"/>
      <c r="F1044554" s="24"/>
      <c r="G1044554" s="24"/>
      <c r="H1044554" s="24"/>
      <c r="I1044554" s="24"/>
      <c r="J1044554" s="24"/>
      <c r="K1044554" s="54"/>
    </row>
    <row r="1044555" spans="1:11" s="55" customFormat="1" ht="12.75">
      <c r="A1044555" s="24"/>
      <c r="B1044555" s="24"/>
      <c r="C1044555" s="24"/>
      <c r="D1044555" s="24"/>
      <c r="E1044555" s="24"/>
      <c r="F1044555" s="24"/>
      <c r="G1044555" s="24"/>
      <c r="H1044555" s="24"/>
      <c r="I1044555" s="24"/>
      <c r="J1044555" s="24"/>
      <c r="K1044555" s="54"/>
    </row>
    <row r="1044556" spans="1:11" s="55" customFormat="1" ht="12.75">
      <c r="A1044556" s="24"/>
      <c r="B1044556" s="24"/>
      <c r="C1044556" s="24"/>
      <c r="D1044556" s="24"/>
      <c r="E1044556" s="24"/>
      <c r="F1044556" s="24"/>
      <c r="G1044556" s="24"/>
      <c r="H1044556" s="24"/>
      <c r="I1044556" s="24"/>
      <c r="J1044556" s="24"/>
      <c r="K1044556" s="54"/>
    </row>
    <row r="1044557" spans="1:11" s="55" customFormat="1" ht="12.75">
      <c r="A1044557" s="24"/>
      <c r="B1044557" s="24"/>
      <c r="C1044557" s="24"/>
      <c r="D1044557" s="24"/>
      <c r="E1044557" s="24"/>
      <c r="F1044557" s="24"/>
      <c r="G1044557" s="24"/>
      <c r="H1044557" s="24"/>
      <c r="I1044557" s="24"/>
      <c r="J1044557" s="24"/>
      <c r="K1044557" s="54"/>
    </row>
    <row r="1044558" spans="1:11" s="55" customFormat="1" ht="12.75">
      <c r="A1044558" s="24"/>
      <c r="B1044558" s="24"/>
      <c r="C1044558" s="24"/>
      <c r="D1044558" s="24"/>
      <c r="E1044558" s="24"/>
      <c r="F1044558" s="24"/>
      <c r="G1044558" s="24"/>
      <c r="H1044558" s="24"/>
      <c r="I1044558" s="24"/>
      <c r="J1044558" s="24"/>
      <c r="K1044558" s="54"/>
    </row>
    <row r="1044559" spans="1:11" s="55" customFormat="1" ht="12.75">
      <c r="A1044559" s="24"/>
      <c r="B1044559" s="24"/>
      <c r="C1044559" s="24"/>
      <c r="D1044559" s="24"/>
      <c r="E1044559" s="24"/>
      <c r="F1044559" s="24"/>
      <c r="G1044559" s="24"/>
      <c r="H1044559" s="24"/>
      <c r="I1044559" s="24"/>
      <c r="J1044559" s="24"/>
      <c r="K1044559" s="54"/>
    </row>
    <row r="1044560" spans="1:11" s="55" customFormat="1" ht="12.75">
      <c r="A1044560" s="24"/>
      <c r="B1044560" s="24"/>
      <c r="C1044560" s="24"/>
      <c r="D1044560" s="24"/>
      <c r="E1044560" s="24"/>
      <c r="F1044560" s="24"/>
      <c r="G1044560" s="24"/>
      <c r="H1044560" s="24"/>
      <c r="I1044560" s="24"/>
      <c r="J1044560" s="24"/>
      <c r="K1044560" s="54"/>
    </row>
    <row r="1044561" spans="1:11" s="55" customFormat="1" ht="12.75">
      <c r="A1044561" s="24"/>
      <c r="B1044561" s="24"/>
      <c r="C1044561" s="24"/>
      <c r="D1044561" s="24"/>
      <c r="E1044561" s="24"/>
      <c r="F1044561" s="24"/>
      <c r="G1044561" s="24"/>
      <c r="H1044561" s="24"/>
      <c r="I1044561" s="24"/>
      <c r="J1044561" s="24"/>
      <c r="K1044561" s="54"/>
    </row>
    <row r="1044562" spans="1:11" s="55" customFormat="1" ht="12.75">
      <c r="A1044562" s="24"/>
      <c r="B1044562" s="24"/>
      <c r="C1044562" s="24"/>
      <c r="D1044562" s="24"/>
      <c r="E1044562" s="24"/>
      <c r="F1044562" s="24"/>
      <c r="G1044562" s="24"/>
      <c r="H1044562" s="24"/>
      <c r="I1044562" s="24"/>
      <c r="J1044562" s="24"/>
      <c r="K1044562" s="54"/>
    </row>
    <row r="1044563" spans="1:11" s="55" customFormat="1" ht="12.75">
      <c r="A1044563" s="24"/>
      <c r="B1044563" s="24"/>
      <c r="C1044563" s="24"/>
      <c r="D1044563" s="24"/>
      <c r="E1044563" s="24"/>
      <c r="F1044563" s="24"/>
      <c r="G1044563" s="24"/>
      <c r="H1044563" s="24"/>
      <c r="I1044563" s="24"/>
      <c r="J1044563" s="24"/>
      <c r="K1044563" s="54"/>
    </row>
    <row r="1044564" spans="1:11" s="55" customFormat="1" ht="12.75">
      <c r="A1044564" s="24"/>
      <c r="B1044564" s="24"/>
      <c r="C1044564" s="24"/>
      <c r="D1044564" s="24"/>
      <c r="E1044564" s="24"/>
      <c r="F1044564" s="24"/>
      <c r="G1044564" s="24"/>
      <c r="H1044564" s="24"/>
      <c r="I1044564" s="24"/>
      <c r="J1044564" s="24"/>
      <c r="K1044564" s="54"/>
    </row>
    <row r="1044565" spans="1:11" s="55" customFormat="1" ht="12.75">
      <c r="A1044565" s="24"/>
      <c r="B1044565" s="24"/>
      <c r="C1044565" s="24"/>
      <c r="D1044565" s="24"/>
      <c r="E1044565" s="24"/>
      <c r="F1044565" s="24"/>
      <c r="G1044565" s="24"/>
      <c r="H1044565" s="24"/>
      <c r="I1044565" s="24"/>
      <c r="J1044565" s="24"/>
      <c r="K1044565" s="54"/>
    </row>
    <row r="1044566" spans="1:11" s="55" customFormat="1" ht="12.75">
      <c r="A1044566" s="24"/>
      <c r="B1044566" s="24"/>
      <c r="C1044566" s="24"/>
      <c r="D1044566" s="24"/>
      <c r="E1044566" s="24"/>
      <c r="F1044566" s="24"/>
      <c r="G1044566" s="24"/>
      <c r="H1044566" s="24"/>
      <c r="I1044566" s="24"/>
      <c r="J1044566" s="24"/>
      <c r="K1044566" s="54"/>
    </row>
    <row r="1044567" spans="1:11" s="55" customFormat="1" ht="12.75">
      <c r="A1044567" s="24"/>
      <c r="B1044567" s="24"/>
      <c r="C1044567" s="24"/>
      <c r="D1044567" s="24"/>
      <c r="E1044567" s="24"/>
      <c r="F1044567" s="24"/>
      <c r="G1044567" s="24"/>
      <c r="H1044567" s="24"/>
      <c r="I1044567" s="24"/>
      <c r="J1044567" s="24"/>
      <c r="K1044567" s="54"/>
    </row>
    <row r="1044568" spans="1:11" s="55" customFormat="1" ht="12.75">
      <c r="A1044568" s="24"/>
      <c r="B1044568" s="24"/>
      <c r="C1044568" s="24"/>
      <c r="D1044568" s="24"/>
      <c r="E1044568" s="24"/>
      <c r="F1044568" s="24"/>
      <c r="G1044568" s="24"/>
      <c r="H1044568" s="24"/>
      <c r="I1044568" s="24"/>
      <c r="J1044568" s="24"/>
      <c r="K1044568" s="54"/>
    </row>
    <row r="1044569" spans="1:11" s="55" customFormat="1" ht="12.75">
      <c r="A1044569" s="24"/>
      <c r="B1044569" s="24"/>
      <c r="C1044569" s="24"/>
      <c r="D1044569" s="24"/>
      <c r="E1044569" s="24"/>
      <c r="F1044569" s="24"/>
      <c r="G1044569" s="24"/>
      <c r="H1044569" s="24"/>
      <c r="I1044569" s="24"/>
      <c r="J1044569" s="24"/>
      <c r="K1044569" s="54"/>
    </row>
    <row r="1044570" spans="1:11" s="55" customFormat="1" ht="12.75">
      <c r="A1044570" s="24"/>
      <c r="B1044570" s="24"/>
      <c r="C1044570" s="24"/>
      <c r="D1044570" s="24"/>
      <c r="E1044570" s="24"/>
      <c r="F1044570" s="24"/>
      <c r="G1044570" s="24"/>
      <c r="H1044570" s="24"/>
      <c r="I1044570" s="24"/>
      <c r="J1044570" s="24"/>
      <c r="K1044570" s="54"/>
    </row>
    <row r="1044571" spans="1:11" s="55" customFormat="1" ht="12.75">
      <c r="A1044571" s="24"/>
      <c r="B1044571" s="24"/>
      <c r="C1044571" s="24"/>
      <c r="D1044571" s="24"/>
      <c r="E1044571" s="24"/>
      <c r="F1044571" s="24"/>
      <c r="G1044571" s="24"/>
      <c r="H1044571" s="24"/>
      <c r="I1044571" s="24"/>
      <c r="J1044571" s="24"/>
      <c r="K1044571" s="54"/>
    </row>
    <row r="1044572" spans="1:11" s="55" customFormat="1" ht="12.75">
      <c r="A1044572" s="24"/>
      <c r="B1044572" s="24"/>
      <c r="C1044572" s="24"/>
      <c r="D1044572" s="24"/>
      <c r="E1044572" s="24"/>
      <c r="F1044572" s="24"/>
      <c r="G1044572" s="24"/>
      <c r="H1044572" s="24"/>
      <c r="I1044572" s="24"/>
      <c r="J1044572" s="24"/>
      <c r="K1044572" s="54"/>
    </row>
    <row r="1044573" spans="1:11" s="55" customFormat="1" ht="12.75">
      <c r="A1044573" s="24"/>
      <c r="B1044573" s="24"/>
      <c r="C1044573" s="24"/>
      <c r="D1044573" s="24"/>
      <c r="E1044573" s="24"/>
      <c r="F1044573" s="24"/>
      <c r="G1044573" s="24"/>
      <c r="H1044573" s="24"/>
      <c r="I1044573" s="24"/>
      <c r="J1044573" s="24"/>
      <c r="K1044573" s="54"/>
    </row>
    <row r="1044574" spans="1:11" s="55" customFormat="1" ht="12.75">
      <c r="A1044574" s="24"/>
      <c r="B1044574" s="24"/>
      <c r="C1044574" s="24"/>
      <c r="D1044574" s="24"/>
      <c r="E1044574" s="24"/>
      <c r="F1044574" s="24"/>
      <c r="G1044574" s="24"/>
      <c r="H1044574" s="24"/>
      <c r="I1044574" s="24"/>
      <c r="J1044574" s="24"/>
      <c r="K1044574" s="54"/>
    </row>
    <row r="1044575" spans="1:11" s="55" customFormat="1" ht="12.75">
      <c r="A1044575" s="24"/>
      <c r="B1044575" s="24"/>
      <c r="C1044575" s="24"/>
      <c r="D1044575" s="24"/>
      <c r="E1044575" s="24"/>
      <c r="F1044575" s="24"/>
      <c r="G1044575" s="24"/>
      <c r="H1044575" s="24"/>
      <c r="I1044575" s="24"/>
      <c r="J1044575" s="24"/>
      <c r="K1044575" s="54"/>
    </row>
    <row r="1044576" spans="1:11" s="55" customFormat="1" ht="12.75">
      <c r="A1044576" s="24"/>
      <c r="B1044576" s="24"/>
      <c r="C1044576" s="24"/>
      <c r="D1044576" s="24"/>
      <c r="E1044576" s="24"/>
      <c r="F1044576" s="24"/>
      <c r="G1044576" s="24"/>
      <c r="H1044576" s="24"/>
      <c r="I1044576" s="24"/>
      <c r="J1044576" s="24"/>
      <c r="K1044576" s="54"/>
    </row>
    <row r="1044577" spans="1:11" s="55" customFormat="1" ht="12.75">
      <c r="A1044577" s="24"/>
      <c r="B1044577" s="24"/>
      <c r="C1044577" s="24"/>
      <c r="D1044577" s="24"/>
      <c r="E1044577" s="24"/>
      <c r="F1044577" s="24"/>
      <c r="G1044577" s="24"/>
      <c r="H1044577" s="24"/>
      <c r="I1044577" s="24"/>
      <c r="J1044577" s="24"/>
      <c r="K1044577" s="54"/>
    </row>
    <row r="1044578" spans="1:11" s="55" customFormat="1" ht="12.75">
      <c r="A1044578" s="24"/>
      <c r="B1044578" s="24"/>
      <c r="C1044578" s="24"/>
      <c r="D1044578" s="24"/>
      <c r="E1044578" s="24"/>
      <c r="F1044578" s="24"/>
      <c r="G1044578" s="24"/>
      <c r="H1044578" s="24"/>
      <c r="I1044578" s="24"/>
      <c r="J1044578" s="24"/>
      <c r="K1044578" s="54"/>
    </row>
    <row r="1044579" spans="1:11" s="55" customFormat="1" ht="12.75">
      <c r="A1044579" s="24"/>
      <c r="B1044579" s="24"/>
      <c r="C1044579" s="24"/>
      <c r="D1044579" s="24"/>
      <c r="E1044579" s="24"/>
      <c r="F1044579" s="24"/>
      <c r="G1044579" s="24"/>
      <c r="H1044579" s="24"/>
      <c r="I1044579" s="24"/>
      <c r="J1044579" s="24"/>
      <c r="K1044579" s="54"/>
    </row>
    <row r="1044580" spans="1:11" s="55" customFormat="1" ht="12.75">
      <c r="A1044580" s="24"/>
      <c r="B1044580" s="24"/>
      <c r="C1044580" s="24"/>
      <c r="D1044580" s="24"/>
      <c r="E1044580" s="24"/>
      <c r="F1044580" s="24"/>
      <c r="G1044580" s="24"/>
      <c r="H1044580" s="24"/>
      <c r="I1044580" s="24"/>
      <c r="J1044580" s="24"/>
      <c r="K1044580" s="54"/>
    </row>
    <row r="1044581" spans="1:11" s="55" customFormat="1" ht="12.75">
      <c r="A1044581" s="24"/>
      <c r="B1044581" s="24"/>
      <c r="C1044581" s="24"/>
      <c r="D1044581" s="24"/>
      <c r="E1044581" s="24"/>
      <c r="F1044581" s="24"/>
      <c r="G1044581" s="24"/>
      <c r="H1044581" s="24"/>
      <c r="I1044581" s="24"/>
      <c r="J1044581" s="24"/>
      <c r="K1044581" s="54"/>
    </row>
    <row r="1044582" spans="1:11" s="55" customFormat="1" ht="12.75">
      <c r="A1044582" s="24"/>
      <c r="B1044582" s="24"/>
      <c r="C1044582" s="24"/>
      <c r="D1044582" s="24"/>
      <c r="E1044582" s="24"/>
      <c r="F1044582" s="24"/>
      <c r="G1044582" s="24"/>
      <c r="H1044582" s="24"/>
      <c r="I1044582" s="24"/>
      <c r="J1044582" s="24"/>
      <c r="K1044582" s="54"/>
    </row>
    <row r="1044583" spans="1:11" s="55" customFormat="1" ht="12.75">
      <c r="A1044583" s="24"/>
      <c r="B1044583" s="24"/>
      <c r="C1044583" s="24"/>
      <c r="D1044583" s="24"/>
      <c r="E1044583" s="24"/>
      <c r="F1044583" s="24"/>
      <c r="G1044583" s="24"/>
      <c r="H1044583" s="24"/>
      <c r="I1044583" s="24"/>
      <c r="J1044583" s="24"/>
      <c r="K1044583" s="54"/>
    </row>
    <row r="1044584" spans="1:11" s="55" customFormat="1" ht="12.75">
      <c r="A1044584" s="24"/>
      <c r="B1044584" s="24"/>
      <c r="C1044584" s="24"/>
      <c r="D1044584" s="24"/>
      <c r="E1044584" s="24"/>
      <c r="F1044584" s="24"/>
      <c r="G1044584" s="24"/>
      <c r="H1044584" s="24"/>
      <c r="I1044584" s="24"/>
      <c r="J1044584" s="24"/>
      <c r="K1044584" s="54"/>
    </row>
    <row r="1044585" spans="1:11" s="55" customFormat="1" ht="12.75">
      <c r="A1044585" s="24"/>
      <c r="B1044585" s="24"/>
      <c r="C1044585" s="24"/>
      <c r="D1044585" s="24"/>
      <c r="E1044585" s="24"/>
      <c r="F1044585" s="24"/>
      <c r="G1044585" s="24"/>
      <c r="H1044585" s="24"/>
      <c r="I1044585" s="24"/>
      <c r="J1044585" s="24"/>
      <c r="K1044585" s="54"/>
    </row>
    <row r="1044586" spans="1:11" s="55" customFormat="1" ht="12.75">
      <c r="A1044586" s="24"/>
      <c r="B1044586" s="24"/>
      <c r="C1044586" s="24"/>
      <c r="D1044586" s="24"/>
      <c r="E1044586" s="24"/>
      <c r="F1044586" s="24"/>
      <c r="G1044586" s="24"/>
      <c r="H1044586" s="24"/>
      <c r="I1044586" s="24"/>
      <c r="J1044586" s="24"/>
      <c r="K1044586" s="54"/>
    </row>
    <row r="1044587" spans="1:11" s="55" customFormat="1" ht="12.75">
      <c r="A1044587" s="24"/>
      <c r="B1044587" s="24"/>
      <c r="C1044587" s="24"/>
      <c r="D1044587" s="24"/>
      <c r="E1044587" s="24"/>
      <c r="F1044587" s="24"/>
      <c r="G1044587" s="24"/>
      <c r="H1044587" s="24"/>
      <c r="I1044587" s="24"/>
      <c r="J1044587" s="24"/>
      <c r="K1044587" s="54"/>
    </row>
    <row r="1044588" spans="1:11" s="55" customFormat="1" ht="12.75">
      <c r="A1044588" s="24"/>
      <c r="B1044588" s="24"/>
      <c r="C1044588" s="24"/>
      <c r="D1044588" s="24"/>
      <c r="E1044588" s="24"/>
      <c r="F1044588" s="24"/>
      <c r="G1044588" s="24"/>
      <c r="H1044588" s="24"/>
      <c r="I1044588" s="24"/>
      <c r="J1044588" s="24"/>
      <c r="K1044588" s="54"/>
    </row>
    <row r="1044589" spans="1:11" s="55" customFormat="1" ht="12.75">
      <c r="A1044589" s="24"/>
      <c r="B1044589" s="24"/>
      <c r="C1044589" s="24"/>
      <c r="D1044589" s="24"/>
      <c r="E1044589" s="24"/>
      <c r="F1044589" s="24"/>
      <c r="G1044589" s="24"/>
      <c r="H1044589" s="24"/>
      <c r="I1044589" s="24"/>
      <c r="J1044589" s="24"/>
      <c r="K1044589" s="54"/>
    </row>
    <row r="1044590" spans="1:11" s="55" customFormat="1" ht="12.75">
      <c r="A1044590" s="24"/>
      <c r="B1044590" s="24"/>
      <c r="C1044590" s="24"/>
      <c r="D1044590" s="24"/>
      <c r="E1044590" s="24"/>
      <c r="F1044590" s="24"/>
      <c r="G1044590" s="24"/>
      <c r="H1044590" s="24"/>
      <c r="I1044590" s="24"/>
      <c r="J1044590" s="24"/>
      <c r="K1044590" s="54"/>
    </row>
    <row r="1044591" spans="1:11" s="55" customFormat="1" ht="12.75">
      <c r="A1044591" s="24"/>
      <c r="B1044591" s="24"/>
      <c r="C1044591" s="24"/>
      <c r="D1044591" s="24"/>
      <c r="E1044591" s="24"/>
      <c r="F1044591" s="24"/>
      <c r="G1044591" s="24"/>
      <c r="H1044591" s="24"/>
      <c r="I1044591" s="24"/>
      <c r="J1044591" s="24"/>
      <c r="K1044591" s="54"/>
    </row>
    <row r="1044592" spans="1:11" s="55" customFormat="1" ht="12.75">
      <c r="A1044592" s="24"/>
      <c r="B1044592" s="24"/>
      <c r="C1044592" s="24"/>
      <c r="D1044592" s="24"/>
      <c r="E1044592" s="24"/>
      <c r="F1044592" s="24"/>
      <c r="G1044592" s="24"/>
      <c r="H1044592" s="24"/>
      <c r="I1044592" s="24"/>
      <c r="J1044592" s="24"/>
      <c r="K1044592" s="54"/>
    </row>
    <row r="1044593" spans="1:11" s="55" customFormat="1" ht="12.75">
      <c r="A1044593" s="24"/>
      <c r="B1044593" s="24"/>
      <c r="C1044593" s="24"/>
      <c r="D1044593" s="24"/>
      <c r="E1044593" s="24"/>
      <c r="F1044593" s="24"/>
      <c r="G1044593" s="24"/>
      <c r="H1044593" s="24"/>
      <c r="I1044593" s="24"/>
      <c r="J1044593" s="24"/>
      <c r="K1044593" s="54"/>
    </row>
    <row r="1044594" spans="1:11" s="55" customFormat="1" ht="12.75">
      <c r="A1044594" s="24"/>
      <c r="B1044594" s="24"/>
      <c r="C1044594" s="24"/>
      <c r="D1044594" s="24"/>
      <c r="E1044594" s="24"/>
      <c r="F1044594" s="24"/>
      <c r="G1044594" s="24"/>
      <c r="H1044594" s="24"/>
      <c r="I1044594" s="24"/>
      <c r="J1044594" s="24"/>
      <c r="K1044594" s="54"/>
    </row>
    <row r="1044595" spans="1:11" s="55" customFormat="1" ht="12.75">
      <c r="A1044595" s="24"/>
      <c r="B1044595" s="24"/>
      <c r="C1044595" s="24"/>
      <c r="D1044595" s="24"/>
      <c r="E1044595" s="24"/>
      <c r="F1044595" s="24"/>
      <c r="G1044595" s="24"/>
      <c r="H1044595" s="24"/>
      <c r="I1044595" s="24"/>
      <c r="J1044595" s="24"/>
      <c r="K1044595" s="54"/>
    </row>
    <row r="1044596" spans="1:11" s="55" customFormat="1" ht="12.75">
      <c r="A1044596" s="24"/>
      <c r="B1044596" s="24"/>
      <c r="C1044596" s="24"/>
      <c r="D1044596" s="24"/>
      <c r="E1044596" s="24"/>
      <c r="F1044596" s="24"/>
      <c r="G1044596" s="24"/>
      <c r="H1044596" s="24"/>
      <c r="I1044596" s="24"/>
      <c r="J1044596" s="24"/>
      <c r="K1044596" s="54"/>
    </row>
    <row r="1044597" spans="1:11" s="55" customFormat="1" ht="12.75">
      <c r="A1044597" s="24"/>
      <c r="B1044597" s="24"/>
      <c r="C1044597" s="24"/>
      <c r="D1044597" s="24"/>
      <c r="E1044597" s="24"/>
      <c r="F1044597" s="24"/>
      <c r="G1044597" s="24"/>
      <c r="H1044597" s="24"/>
      <c r="I1044597" s="24"/>
      <c r="J1044597" s="24"/>
      <c r="K1044597" s="54"/>
    </row>
    <row r="1044598" spans="1:11" s="55" customFormat="1" ht="12.75">
      <c r="A1044598" s="24"/>
      <c r="B1044598" s="24"/>
      <c r="C1044598" s="24"/>
      <c r="D1044598" s="24"/>
      <c r="E1044598" s="24"/>
      <c r="F1044598" s="24"/>
      <c r="G1044598" s="24"/>
      <c r="H1044598" s="24"/>
      <c r="I1044598" s="24"/>
      <c r="J1044598" s="24"/>
      <c r="K1044598" s="54"/>
    </row>
    <row r="1044599" spans="1:11" s="55" customFormat="1" ht="12.75">
      <c r="A1044599" s="24"/>
      <c r="B1044599" s="24"/>
      <c r="C1044599" s="24"/>
      <c r="D1044599" s="24"/>
      <c r="E1044599" s="24"/>
      <c r="F1044599" s="24"/>
      <c r="G1044599" s="24"/>
      <c r="H1044599" s="24"/>
      <c r="I1044599" s="24"/>
      <c r="J1044599" s="24"/>
      <c r="K1044599" s="54"/>
    </row>
    <row r="1044600" spans="1:11" s="55" customFormat="1" ht="12.75">
      <c r="A1044600" s="24"/>
      <c r="B1044600" s="24"/>
      <c r="C1044600" s="24"/>
      <c r="D1044600" s="24"/>
      <c r="E1044600" s="24"/>
      <c r="F1044600" s="24"/>
      <c r="G1044600" s="24"/>
      <c r="H1044600" s="24"/>
      <c r="I1044600" s="24"/>
      <c r="J1044600" s="24"/>
      <c r="K1044600" s="54"/>
    </row>
    <row r="1044601" spans="1:11" s="55" customFormat="1" ht="12.75">
      <c r="A1044601" s="24"/>
      <c r="B1044601" s="24"/>
      <c r="C1044601" s="24"/>
      <c r="D1044601" s="24"/>
      <c r="E1044601" s="24"/>
      <c r="F1044601" s="24"/>
      <c r="G1044601" s="24"/>
      <c r="H1044601" s="24"/>
      <c r="I1044601" s="24"/>
      <c r="J1044601" s="24"/>
      <c r="K1044601" s="54"/>
    </row>
    <row r="1044602" spans="1:11" s="55" customFormat="1" ht="12.75">
      <c r="A1044602" s="24"/>
      <c r="B1044602" s="24"/>
      <c r="C1044602" s="24"/>
      <c r="D1044602" s="24"/>
      <c r="E1044602" s="24"/>
      <c r="F1044602" s="24"/>
      <c r="G1044602" s="24"/>
      <c r="H1044602" s="24"/>
      <c r="I1044602" s="24"/>
      <c r="J1044602" s="24"/>
      <c r="K1044602" s="54"/>
    </row>
    <row r="1044603" spans="1:11" s="55" customFormat="1" ht="12.75">
      <c r="A1044603" s="24"/>
      <c r="B1044603" s="24"/>
      <c r="C1044603" s="24"/>
      <c r="D1044603" s="24"/>
      <c r="E1044603" s="24"/>
      <c r="F1044603" s="24"/>
      <c r="G1044603" s="24"/>
      <c r="H1044603" s="24"/>
      <c r="I1044603" s="24"/>
      <c r="J1044603" s="24"/>
      <c r="K1044603" s="54"/>
    </row>
    <row r="1044604" spans="1:11" s="55" customFormat="1" ht="12.75">
      <c r="A1044604" s="24"/>
      <c r="B1044604" s="24"/>
      <c r="C1044604" s="24"/>
      <c r="D1044604" s="24"/>
      <c r="E1044604" s="24"/>
      <c r="F1044604" s="24"/>
      <c r="G1044604" s="24"/>
      <c r="H1044604" s="24"/>
      <c r="I1044604" s="24"/>
      <c r="J1044604" s="24"/>
      <c r="K1044604" s="54"/>
    </row>
    <row r="1044605" spans="1:11" s="55" customFormat="1" ht="12.75">
      <c r="A1044605" s="24"/>
      <c r="B1044605" s="24"/>
      <c r="C1044605" s="24"/>
      <c r="D1044605" s="24"/>
      <c r="E1044605" s="24"/>
      <c r="F1044605" s="24"/>
      <c r="G1044605" s="24"/>
      <c r="H1044605" s="24"/>
      <c r="I1044605" s="24"/>
      <c r="J1044605" s="24"/>
      <c r="K1044605" s="54"/>
    </row>
    <row r="1044606" spans="1:11" s="55" customFormat="1" ht="12.75">
      <c r="A1044606" s="24"/>
      <c r="B1044606" s="24"/>
      <c r="C1044606" s="24"/>
      <c r="D1044606" s="24"/>
      <c r="E1044606" s="24"/>
      <c r="F1044606" s="24"/>
      <c r="G1044606" s="24"/>
      <c r="H1044606" s="24"/>
      <c r="I1044606" s="24"/>
      <c r="J1044606" s="24"/>
      <c r="K1044606" s="54"/>
    </row>
    <row r="1044607" spans="1:11" s="55" customFormat="1" ht="12.75">
      <c r="A1044607" s="24"/>
      <c r="B1044607" s="24"/>
      <c r="C1044607" s="24"/>
      <c r="D1044607" s="24"/>
      <c r="E1044607" s="24"/>
      <c r="F1044607" s="24"/>
      <c r="G1044607" s="24"/>
      <c r="H1044607" s="24"/>
      <c r="I1044607" s="24"/>
      <c r="J1044607" s="24"/>
      <c r="K1044607" s="54"/>
    </row>
    <row r="1044608" spans="1:11" s="55" customFormat="1" ht="12.75">
      <c r="A1044608" s="24"/>
      <c r="B1044608" s="24"/>
      <c r="C1044608" s="24"/>
      <c r="D1044608" s="24"/>
      <c r="E1044608" s="24"/>
      <c r="F1044608" s="24"/>
      <c r="G1044608" s="24"/>
      <c r="H1044608" s="24"/>
      <c r="I1044608" s="24"/>
      <c r="J1044608" s="24"/>
      <c r="K1044608" s="54"/>
    </row>
    <row r="1044609" spans="1:11" s="55" customFormat="1" ht="12.75">
      <c r="A1044609" s="24"/>
      <c r="B1044609" s="24"/>
      <c r="C1044609" s="24"/>
      <c r="D1044609" s="24"/>
      <c r="E1044609" s="24"/>
      <c r="F1044609" s="24"/>
      <c r="G1044609" s="24"/>
      <c r="H1044609" s="24"/>
      <c r="I1044609" s="24"/>
      <c r="J1044609" s="24"/>
      <c r="K1044609" s="54"/>
    </row>
    <row r="1044610" spans="1:11" s="55" customFormat="1" ht="12.75">
      <c r="A1044610" s="24"/>
      <c r="B1044610" s="24"/>
      <c r="C1044610" s="24"/>
      <c r="D1044610" s="24"/>
      <c r="E1044610" s="24"/>
      <c r="F1044610" s="24"/>
      <c r="G1044610" s="24"/>
      <c r="H1044610" s="24"/>
      <c r="I1044610" s="24"/>
      <c r="J1044610" s="24"/>
      <c r="K1044610" s="54"/>
    </row>
    <row r="1044611" spans="1:11" s="55" customFormat="1" ht="12.75">
      <c r="A1044611" s="24"/>
      <c r="B1044611" s="24"/>
      <c r="C1044611" s="24"/>
      <c r="D1044611" s="24"/>
      <c r="E1044611" s="24"/>
      <c r="F1044611" s="24"/>
      <c r="G1044611" s="24"/>
      <c r="H1044611" s="24"/>
      <c r="I1044611" s="24"/>
      <c r="J1044611" s="24"/>
      <c r="K1044611" s="54"/>
    </row>
    <row r="1044612" spans="1:11" s="55" customFormat="1" ht="12.75">
      <c r="A1044612" s="24"/>
      <c r="B1044612" s="24"/>
      <c r="C1044612" s="24"/>
      <c r="D1044612" s="24"/>
      <c r="E1044612" s="24"/>
      <c r="F1044612" s="24"/>
      <c r="G1044612" s="24"/>
      <c r="H1044612" s="24"/>
      <c r="I1044612" s="24"/>
      <c r="J1044612" s="24"/>
      <c r="K1044612" s="54"/>
    </row>
    <row r="1044613" spans="1:11" s="55" customFormat="1" ht="12.75">
      <c r="A1044613" s="24"/>
      <c r="B1044613" s="24"/>
      <c r="C1044613" s="24"/>
      <c r="D1044613" s="24"/>
      <c r="E1044613" s="24"/>
      <c r="F1044613" s="24"/>
      <c r="G1044613" s="24"/>
      <c r="H1044613" s="24"/>
      <c r="I1044613" s="24"/>
      <c r="J1044613" s="24"/>
      <c r="K1044613" s="54"/>
    </row>
    <row r="1044614" spans="1:11" s="55" customFormat="1" ht="12.75">
      <c r="A1044614" s="24"/>
      <c r="B1044614" s="24"/>
      <c r="C1044614" s="24"/>
      <c r="D1044614" s="24"/>
      <c r="E1044614" s="24"/>
      <c r="F1044614" s="24"/>
      <c r="G1044614" s="24"/>
      <c r="H1044614" s="24"/>
      <c r="I1044614" s="24"/>
      <c r="J1044614" s="24"/>
      <c r="K1044614" s="54"/>
    </row>
    <row r="1044615" spans="1:11" s="55" customFormat="1" ht="12.75">
      <c r="A1044615" s="24"/>
      <c r="B1044615" s="24"/>
      <c r="C1044615" s="24"/>
      <c r="D1044615" s="24"/>
      <c r="E1044615" s="24"/>
      <c r="F1044615" s="24"/>
      <c r="G1044615" s="24"/>
      <c r="H1044615" s="24"/>
      <c r="I1044615" s="24"/>
      <c r="J1044615" s="24"/>
      <c r="K1044615" s="54"/>
    </row>
    <row r="1044616" spans="1:11" s="55" customFormat="1" ht="12.75">
      <c r="A1044616" s="24"/>
      <c r="B1044616" s="24"/>
      <c r="C1044616" s="24"/>
      <c r="D1044616" s="24"/>
      <c r="E1044616" s="24"/>
      <c r="F1044616" s="24"/>
      <c r="G1044616" s="24"/>
      <c r="H1044616" s="24"/>
      <c r="I1044616" s="24"/>
      <c r="J1044616" s="24"/>
      <c r="K1044616" s="54"/>
    </row>
    <row r="1044617" spans="1:11" s="55" customFormat="1" ht="12.75">
      <c r="A1044617" s="24"/>
      <c r="B1044617" s="24"/>
      <c r="C1044617" s="24"/>
      <c r="D1044617" s="24"/>
      <c r="E1044617" s="24"/>
      <c r="F1044617" s="24"/>
      <c r="G1044617" s="24"/>
      <c r="H1044617" s="24"/>
      <c r="I1044617" s="24"/>
      <c r="J1044617" s="24"/>
      <c r="K1044617" s="54"/>
    </row>
    <row r="1044618" spans="1:11" s="55" customFormat="1" ht="12.75">
      <c r="A1044618" s="24"/>
      <c r="B1044618" s="24"/>
      <c r="C1044618" s="24"/>
      <c r="D1044618" s="24"/>
      <c r="E1044618" s="24"/>
      <c r="F1044618" s="24"/>
      <c r="G1044618" s="24"/>
      <c r="H1044618" s="24"/>
      <c r="I1044618" s="24"/>
      <c r="J1044618" s="24"/>
      <c r="K1044618" s="54"/>
    </row>
    <row r="1044619" spans="1:11" s="55" customFormat="1" ht="12.75">
      <c r="A1044619" s="24"/>
      <c r="B1044619" s="24"/>
      <c r="C1044619" s="24"/>
      <c r="D1044619" s="24"/>
      <c r="E1044619" s="24"/>
      <c r="F1044619" s="24"/>
      <c r="G1044619" s="24"/>
      <c r="H1044619" s="24"/>
      <c r="I1044619" s="24"/>
      <c r="J1044619" s="24"/>
      <c r="K1044619" s="54"/>
    </row>
    <row r="1044620" spans="1:11" s="55" customFormat="1" ht="12.75">
      <c r="A1044620" s="24"/>
      <c r="B1044620" s="24"/>
      <c r="C1044620" s="24"/>
      <c r="D1044620" s="24"/>
      <c r="E1044620" s="24"/>
      <c r="F1044620" s="24"/>
      <c r="G1044620" s="24"/>
      <c r="H1044620" s="24"/>
      <c r="I1044620" s="24"/>
      <c r="J1044620" s="24"/>
      <c r="K1044620" s="54"/>
    </row>
    <row r="1044621" spans="1:11" s="55" customFormat="1" ht="12.75">
      <c r="A1044621" s="24"/>
      <c r="B1044621" s="24"/>
      <c r="C1044621" s="24"/>
      <c r="D1044621" s="24"/>
      <c r="E1044621" s="24"/>
      <c r="F1044621" s="24"/>
      <c r="G1044621" s="24"/>
      <c r="H1044621" s="24"/>
      <c r="I1044621" s="24"/>
      <c r="J1044621" s="24"/>
      <c r="K1044621" s="54"/>
    </row>
    <row r="1044622" spans="1:11" s="55" customFormat="1" ht="12.75">
      <c r="A1044622" s="24"/>
      <c r="B1044622" s="24"/>
      <c r="C1044622" s="24"/>
      <c r="D1044622" s="24"/>
      <c r="E1044622" s="24"/>
      <c r="F1044622" s="24"/>
      <c r="G1044622" s="24"/>
      <c r="H1044622" s="24"/>
      <c r="I1044622" s="24"/>
      <c r="J1044622" s="24"/>
      <c r="K1044622" s="54"/>
    </row>
    <row r="1044623" spans="1:11" s="55" customFormat="1" ht="12.75">
      <c r="A1044623" s="24"/>
      <c r="B1044623" s="24"/>
      <c r="C1044623" s="24"/>
      <c r="D1044623" s="24"/>
      <c r="E1044623" s="24"/>
      <c r="F1044623" s="24"/>
      <c r="G1044623" s="24"/>
      <c r="H1044623" s="24"/>
      <c r="I1044623" s="24"/>
      <c r="J1044623" s="24"/>
      <c r="K1044623" s="54"/>
    </row>
    <row r="1044624" spans="1:11" s="55" customFormat="1" ht="12.75">
      <c r="A1044624" s="24"/>
      <c r="B1044624" s="24"/>
      <c r="C1044624" s="24"/>
      <c r="D1044624" s="24"/>
      <c r="E1044624" s="24"/>
      <c r="F1044624" s="24"/>
      <c r="G1044624" s="24"/>
      <c r="H1044624" s="24"/>
      <c r="I1044624" s="24"/>
      <c r="J1044624" s="24"/>
      <c r="K1044624" s="54"/>
    </row>
    <row r="1044625" spans="1:11" s="55" customFormat="1" ht="12.75">
      <c r="A1044625" s="24"/>
      <c r="B1044625" s="24"/>
      <c r="C1044625" s="24"/>
      <c r="D1044625" s="24"/>
      <c r="E1044625" s="24"/>
      <c r="F1044625" s="24"/>
      <c r="G1044625" s="24"/>
      <c r="H1044625" s="24"/>
      <c r="I1044625" s="24"/>
      <c r="J1044625" s="24"/>
      <c r="K1044625" s="54"/>
    </row>
    <row r="1044626" spans="1:11" s="55" customFormat="1" ht="12.75">
      <c r="A1044626" s="24"/>
      <c r="B1044626" s="24"/>
      <c r="C1044626" s="24"/>
      <c r="D1044626" s="24"/>
      <c r="E1044626" s="24"/>
      <c r="F1044626" s="24"/>
      <c r="G1044626" s="24"/>
      <c r="H1044626" s="24"/>
      <c r="I1044626" s="24"/>
      <c r="J1044626" s="24"/>
      <c r="K1044626" s="54"/>
    </row>
    <row r="1044627" spans="1:11" s="55" customFormat="1" ht="12.75">
      <c r="A1044627" s="24"/>
      <c r="B1044627" s="24"/>
      <c r="C1044627" s="24"/>
      <c r="D1044627" s="24"/>
      <c r="E1044627" s="24"/>
      <c r="F1044627" s="24"/>
      <c r="G1044627" s="24"/>
      <c r="H1044627" s="24"/>
      <c r="I1044627" s="24"/>
      <c r="J1044627" s="24"/>
      <c r="K1044627" s="54"/>
    </row>
    <row r="1044628" spans="1:11" s="55" customFormat="1" ht="12.75">
      <c r="A1044628" s="24"/>
      <c r="B1044628" s="24"/>
      <c r="C1044628" s="24"/>
      <c r="D1044628" s="24"/>
      <c r="E1044628" s="24"/>
      <c r="F1044628" s="24"/>
      <c r="G1044628" s="24"/>
      <c r="H1044628" s="24"/>
      <c r="I1044628" s="24"/>
      <c r="J1044628" s="24"/>
      <c r="K1044628" s="54"/>
    </row>
    <row r="1044629" spans="1:11" s="55" customFormat="1" ht="12.75">
      <c r="A1044629" s="24"/>
      <c r="B1044629" s="24"/>
      <c r="C1044629" s="24"/>
      <c r="D1044629" s="24"/>
      <c r="E1044629" s="24"/>
      <c r="F1044629" s="24"/>
      <c r="G1044629" s="24"/>
      <c r="H1044629" s="24"/>
      <c r="I1044629" s="24"/>
      <c r="J1044629" s="24"/>
      <c r="K1044629" s="54"/>
    </row>
    <row r="1044630" spans="1:11" s="55" customFormat="1" ht="12.75">
      <c r="A1044630" s="24"/>
      <c r="B1044630" s="24"/>
      <c r="C1044630" s="24"/>
      <c r="D1044630" s="24"/>
      <c r="E1044630" s="24"/>
      <c r="F1044630" s="24"/>
      <c r="G1044630" s="24"/>
      <c r="H1044630" s="24"/>
      <c r="I1044630" s="24"/>
      <c r="J1044630" s="24"/>
      <c r="K1044630" s="54"/>
    </row>
    <row r="1044631" spans="1:11" s="55" customFormat="1" ht="12.75">
      <c r="A1044631" s="24"/>
      <c r="B1044631" s="24"/>
      <c r="C1044631" s="24"/>
      <c r="D1044631" s="24"/>
      <c r="E1044631" s="24"/>
      <c r="F1044631" s="24"/>
      <c r="G1044631" s="24"/>
      <c r="H1044631" s="24"/>
      <c r="I1044631" s="24"/>
      <c r="J1044631" s="24"/>
      <c r="K1044631" s="54"/>
    </row>
    <row r="1044632" spans="1:11" s="55" customFormat="1" ht="12.75">
      <c r="A1044632" s="24"/>
      <c r="B1044632" s="24"/>
      <c r="C1044632" s="24"/>
      <c r="D1044632" s="24"/>
      <c r="E1044632" s="24"/>
      <c r="F1044632" s="24"/>
      <c r="G1044632" s="24"/>
      <c r="H1044632" s="24"/>
      <c r="I1044632" s="24"/>
      <c r="J1044632" s="24"/>
      <c r="K1044632" s="54"/>
    </row>
    <row r="1044633" spans="1:11" s="55" customFormat="1" ht="12.75">
      <c r="A1044633" s="24"/>
      <c r="B1044633" s="24"/>
      <c r="C1044633" s="24"/>
      <c r="D1044633" s="24"/>
      <c r="E1044633" s="24"/>
      <c r="F1044633" s="24"/>
      <c r="G1044633" s="24"/>
      <c r="H1044633" s="24"/>
      <c r="I1044633" s="24"/>
      <c r="J1044633" s="24"/>
      <c r="K1044633" s="54"/>
    </row>
    <row r="1044634" spans="1:11" s="55" customFormat="1" ht="12.75">
      <c r="A1044634" s="24"/>
      <c r="B1044634" s="24"/>
      <c r="C1044634" s="24"/>
      <c r="D1044634" s="24"/>
      <c r="E1044634" s="24"/>
      <c r="F1044634" s="24"/>
      <c r="G1044634" s="24"/>
      <c r="H1044634" s="24"/>
      <c r="I1044634" s="24"/>
      <c r="J1044634" s="24"/>
      <c r="K1044634" s="54"/>
    </row>
    <row r="1044635" spans="1:11" s="55" customFormat="1" ht="12.75">
      <c r="A1044635" s="24"/>
      <c r="B1044635" s="24"/>
      <c r="C1044635" s="24"/>
      <c r="D1044635" s="24"/>
      <c r="E1044635" s="24"/>
      <c r="F1044635" s="24"/>
      <c r="G1044635" s="24"/>
      <c r="H1044635" s="24"/>
      <c r="I1044635" s="24"/>
      <c r="J1044635" s="24"/>
      <c r="K1044635" s="54"/>
    </row>
    <row r="1044636" spans="1:11" s="55" customFormat="1" ht="12.75">
      <c r="A1044636" s="24"/>
      <c r="B1044636" s="24"/>
      <c r="C1044636" s="24"/>
      <c r="D1044636" s="24"/>
      <c r="E1044636" s="24"/>
      <c r="F1044636" s="24"/>
      <c r="G1044636" s="24"/>
      <c r="H1044636" s="24"/>
      <c r="I1044636" s="24"/>
      <c r="J1044636" s="24"/>
      <c r="K1044636" s="54"/>
    </row>
    <row r="1044637" spans="1:11" s="55" customFormat="1" ht="12.75">
      <c r="A1044637" s="24"/>
      <c r="B1044637" s="24"/>
      <c r="C1044637" s="24"/>
      <c r="D1044637" s="24"/>
      <c r="E1044637" s="24"/>
      <c r="F1044637" s="24"/>
      <c r="G1044637" s="24"/>
      <c r="H1044637" s="24"/>
      <c r="I1044637" s="24"/>
      <c r="J1044637" s="24"/>
      <c r="K1044637" s="54"/>
    </row>
    <row r="1044638" spans="1:11" s="55" customFormat="1" ht="12.75">
      <c r="A1044638" s="24"/>
      <c r="B1044638" s="24"/>
      <c r="C1044638" s="24"/>
      <c r="D1044638" s="24"/>
      <c r="E1044638" s="24"/>
      <c r="F1044638" s="24"/>
      <c r="G1044638" s="24"/>
      <c r="H1044638" s="24"/>
      <c r="I1044638" s="24"/>
      <c r="J1044638" s="24"/>
      <c r="K1044638" s="54"/>
    </row>
    <row r="1044639" spans="1:11" s="55" customFormat="1" ht="12.75">
      <c r="A1044639" s="24"/>
      <c r="B1044639" s="24"/>
      <c r="C1044639" s="24"/>
      <c r="D1044639" s="24"/>
      <c r="E1044639" s="24"/>
      <c r="F1044639" s="24"/>
      <c r="G1044639" s="24"/>
      <c r="H1044639" s="24"/>
      <c r="I1044639" s="24"/>
      <c r="J1044639" s="24"/>
      <c r="K1044639" s="54"/>
    </row>
    <row r="1044640" spans="1:11" s="55" customFormat="1" ht="12.75">
      <c r="A1044640" s="24"/>
      <c r="B1044640" s="24"/>
      <c r="C1044640" s="24"/>
      <c r="D1044640" s="24"/>
      <c r="E1044640" s="24"/>
      <c r="F1044640" s="24"/>
      <c r="G1044640" s="24"/>
      <c r="H1044640" s="24"/>
      <c r="I1044640" s="24"/>
      <c r="J1044640" s="24"/>
      <c r="K1044640" s="54"/>
    </row>
    <row r="1044641" spans="1:11" s="55" customFormat="1" ht="12.75">
      <c r="A1044641" s="24"/>
      <c r="B1044641" s="24"/>
      <c r="C1044641" s="24"/>
      <c r="D1044641" s="24"/>
      <c r="E1044641" s="24"/>
      <c r="F1044641" s="24"/>
      <c r="G1044641" s="24"/>
      <c r="H1044641" s="24"/>
      <c r="I1044641" s="24"/>
      <c r="J1044641" s="24"/>
      <c r="K1044641" s="54"/>
    </row>
    <row r="1044642" spans="1:11" s="55" customFormat="1" ht="12.75">
      <c r="A1044642" s="24"/>
      <c r="B1044642" s="24"/>
      <c r="C1044642" s="24"/>
      <c r="D1044642" s="24"/>
      <c r="E1044642" s="24"/>
      <c r="F1044642" s="24"/>
      <c r="G1044642" s="24"/>
      <c r="H1044642" s="24"/>
      <c r="I1044642" s="24"/>
      <c r="J1044642" s="24"/>
      <c r="K1044642" s="54"/>
    </row>
    <row r="1044643" spans="1:11" s="55" customFormat="1" ht="12.75">
      <c r="A1044643" s="24"/>
      <c r="B1044643" s="24"/>
      <c r="C1044643" s="24"/>
      <c r="D1044643" s="24"/>
      <c r="E1044643" s="24"/>
      <c r="F1044643" s="24"/>
      <c r="G1044643" s="24"/>
      <c r="H1044643" s="24"/>
      <c r="I1044643" s="24"/>
      <c r="J1044643" s="24"/>
      <c r="K1044643" s="54"/>
    </row>
    <row r="1044644" spans="1:11" s="55" customFormat="1" ht="12.75">
      <c r="A1044644" s="24"/>
      <c r="B1044644" s="24"/>
      <c r="C1044644" s="24"/>
      <c r="D1044644" s="24"/>
      <c r="E1044644" s="24"/>
      <c r="F1044644" s="24"/>
      <c r="G1044644" s="24"/>
      <c r="H1044644" s="24"/>
      <c r="I1044644" s="24"/>
      <c r="J1044644" s="24"/>
      <c r="K1044644" s="54"/>
    </row>
    <row r="1044645" spans="1:11" s="55" customFormat="1" ht="12.75">
      <c r="A1044645" s="24"/>
      <c r="B1044645" s="24"/>
      <c r="C1044645" s="24"/>
      <c r="D1044645" s="24"/>
      <c r="E1044645" s="24"/>
      <c r="F1044645" s="24"/>
      <c r="G1044645" s="24"/>
      <c r="H1044645" s="24"/>
      <c r="I1044645" s="24"/>
      <c r="J1044645" s="24"/>
      <c r="K1044645" s="54"/>
    </row>
    <row r="1044646" spans="1:11" s="55" customFormat="1" ht="12.75">
      <c r="A1044646" s="24"/>
      <c r="B1044646" s="24"/>
      <c r="C1044646" s="24"/>
      <c r="D1044646" s="24"/>
      <c r="E1044646" s="24"/>
      <c r="F1044646" s="24"/>
      <c r="G1044646" s="24"/>
      <c r="H1044646" s="24"/>
      <c r="I1044646" s="24"/>
      <c r="J1044646" s="24"/>
      <c r="K1044646" s="54"/>
    </row>
    <row r="1044647" spans="1:11" s="55" customFormat="1" ht="12.75">
      <c r="A1044647" s="24"/>
      <c r="B1044647" s="24"/>
      <c r="C1044647" s="24"/>
      <c r="D1044647" s="24"/>
      <c r="E1044647" s="24"/>
      <c r="F1044647" s="24"/>
      <c r="G1044647" s="24"/>
      <c r="H1044647" s="24"/>
      <c r="I1044647" s="24"/>
      <c r="J1044647" s="24"/>
      <c r="K1044647" s="54"/>
    </row>
    <row r="1044648" spans="1:11" s="55" customFormat="1" ht="12.75">
      <c r="A1044648" s="24"/>
      <c r="B1044648" s="24"/>
      <c r="C1044648" s="24"/>
      <c r="D1044648" s="24"/>
      <c r="E1044648" s="24"/>
      <c r="F1044648" s="24"/>
      <c r="G1044648" s="24"/>
      <c r="H1044648" s="24"/>
      <c r="I1044648" s="24"/>
      <c r="J1044648" s="24"/>
      <c r="K1044648" s="54"/>
    </row>
    <row r="1044649" spans="1:11" s="55" customFormat="1" ht="12.75">
      <c r="A1044649" s="24"/>
      <c r="B1044649" s="24"/>
      <c r="C1044649" s="24"/>
      <c r="D1044649" s="24"/>
      <c r="E1044649" s="24"/>
      <c r="F1044649" s="24"/>
      <c r="G1044649" s="24"/>
      <c r="H1044649" s="24"/>
      <c r="I1044649" s="24"/>
      <c r="J1044649" s="24"/>
      <c r="K1044649" s="54"/>
    </row>
    <row r="1044650" spans="1:11" s="55" customFormat="1" ht="12.75">
      <c r="A1044650" s="24"/>
      <c r="B1044650" s="24"/>
      <c r="C1044650" s="24"/>
      <c r="D1044650" s="24"/>
      <c r="E1044650" s="24"/>
      <c r="F1044650" s="24"/>
      <c r="G1044650" s="24"/>
      <c r="H1044650" s="24"/>
      <c r="I1044650" s="24"/>
      <c r="J1044650" s="24"/>
      <c r="K1044650" s="54"/>
    </row>
    <row r="1044651" spans="1:11" s="55" customFormat="1" ht="12.75">
      <c r="A1044651" s="24"/>
      <c r="B1044651" s="24"/>
      <c r="C1044651" s="24"/>
      <c r="D1044651" s="24"/>
      <c r="E1044651" s="24"/>
      <c r="F1044651" s="24"/>
      <c r="G1044651" s="24"/>
      <c r="H1044651" s="24"/>
      <c r="I1044651" s="24"/>
      <c r="J1044651" s="24"/>
      <c r="K1044651" s="54"/>
    </row>
    <row r="1044652" spans="1:11" s="55" customFormat="1" ht="12.75">
      <c r="A1044652" s="24"/>
      <c r="B1044652" s="24"/>
      <c r="C1044652" s="24"/>
      <c r="D1044652" s="24"/>
      <c r="E1044652" s="24"/>
      <c r="F1044652" s="24"/>
      <c r="G1044652" s="24"/>
      <c r="H1044652" s="24"/>
      <c r="I1044652" s="24"/>
      <c r="J1044652" s="24"/>
      <c r="K1044652" s="54"/>
    </row>
    <row r="1044653" spans="1:11" s="55" customFormat="1" ht="12.75">
      <c r="A1044653" s="24"/>
      <c r="B1044653" s="24"/>
      <c r="C1044653" s="24"/>
      <c r="D1044653" s="24"/>
      <c r="E1044653" s="24"/>
      <c r="F1044653" s="24"/>
      <c r="G1044653" s="24"/>
      <c r="H1044653" s="24"/>
      <c r="I1044653" s="24"/>
      <c r="J1044653" s="24"/>
      <c r="K1044653" s="54"/>
    </row>
    <row r="1044654" spans="1:11" s="55" customFormat="1" ht="12.75">
      <c r="A1044654" s="24"/>
      <c r="B1044654" s="24"/>
      <c r="C1044654" s="24"/>
      <c r="D1044654" s="24"/>
      <c r="E1044654" s="24"/>
      <c r="F1044654" s="24"/>
      <c r="G1044654" s="24"/>
      <c r="H1044654" s="24"/>
      <c r="I1044654" s="24"/>
      <c r="J1044654" s="24"/>
      <c r="K1044654" s="54"/>
    </row>
    <row r="1044655" spans="1:11" s="55" customFormat="1" ht="12.75">
      <c r="A1044655" s="24"/>
      <c r="B1044655" s="24"/>
      <c r="C1044655" s="24"/>
      <c r="D1044655" s="24"/>
      <c r="E1044655" s="24"/>
      <c r="F1044655" s="24"/>
      <c r="G1044655" s="24"/>
      <c r="H1044655" s="24"/>
      <c r="I1044655" s="24"/>
      <c r="J1044655" s="24"/>
      <c r="K1044655" s="54"/>
    </row>
    <row r="1044656" spans="1:11" s="55" customFormat="1" ht="12.75">
      <c r="A1044656" s="24"/>
      <c r="B1044656" s="24"/>
      <c r="C1044656" s="24"/>
      <c r="D1044656" s="24"/>
      <c r="E1044656" s="24"/>
      <c r="F1044656" s="24"/>
      <c r="G1044656" s="24"/>
      <c r="H1044656" s="24"/>
      <c r="I1044656" s="24"/>
      <c r="J1044656" s="24"/>
      <c r="K1044656" s="54"/>
    </row>
    <row r="1044657" spans="1:11" s="55" customFormat="1" ht="12.75">
      <c r="A1044657" s="24"/>
      <c r="B1044657" s="24"/>
      <c r="C1044657" s="24"/>
      <c r="D1044657" s="24"/>
      <c r="E1044657" s="24"/>
      <c r="F1044657" s="24"/>
      <c r="G1044657" s="24"/>
      <c r="H1044657" s="24"/>
      <c r="I1044657" s="24"/>
      <c r="J1044657" s="24"/>
      <c r="K1044657" s="54"/>
    </row>
    <row r="1044658" spans="1:11" s="55" customFormat="1" ht="12.75">
      <c r="A1044658" s="24"/>
      <c r="B1044658" s="24"/>
      <c r="C1044658" s="24"/>
      <c r="D1044658" s="24"/>
      <c r="E1044658" s="24"/>
      <c r="F1044658" s="24"/>
      <c r="G1044658" s="24"/>
      <c r="H1044658" s="24"/>
      <c r="I1044658" s="24"/>
      <c r="J1044658" s="24"/>
      <c r="K1044658" s="54"/>
    </row>
    <row r="1044659" spans="1:11" s="55" customFormat="1" ht="12.75">
      <c r="A1044659" s="24"/>
      <c r="B1044659" s="24"/>
      <c r="C1044659" s="24"/>
      <c r="D1044659" s="24"/>
      <c r="E1044659" s="24"/>
      <c r="F1044659" s="24"/>
      <c r="G1044659" s="24"/>
      <c r="H1044659" s="24"/>
      <c r="I1044659" s="24"/>
      <c r="J1044659" s="24"/>
      <c r="K1044659" s="54"/>
    </row>
    <row r="1044660" spans="1:11" s="55" customFormat="1" ht="12.75">
      <c r="A1044660" s="24"/>
      <c r="B1044660" s="24"/>
      <c r="C1044660" s="24"/>
      <c r="D1044660" s="24"/>
      <c r="E1044660" s="24"/>
      <c r="F1044660" s="24"/>
      <c r="G1044660" s="24"/>
      <c r="H1044660" s="24"/>
      <c r="I1044660" s="24"/>
      <c r="J1044660" s="24"/>
      <c r="K1044660" s="54"/>
    </row>
    <row r="1044661" spans="1:11" s="55" customFormat="1" ht="12.75">
      <c r="A1044661" s="24"/>
      <c r="B1044661" s="24"/>
      <c r="C1044661" s="24"/>
      <c r="D1044661" s="24"/>
      <c r="E1044661" s="24"/>
      <c r="F1044661" s="24"/>
      <c r="G1044661" s="24"/>
      <c r="H1044661" s="24"/>
      <c r="I1044661" s="24"/>
      <c r="J1044661" s="24"/>
      <c r="K1044661" s="54"/>
    </row>
    <row r="1044662" spans="1:11" s="55" customFormat="1" ht="12.75">
      <c r="A1044662" s="24"/>
      <c r="B1044662" s="24"/>
      <c r="C1044662" s="24"/>
      <c r="D1044662" s="24"/>
      <c r="E1044662" s="24"/>
      <c r="F1044662" s="24"/>
      <c r="G1044662" s="24"/>
      <c r="H1044662" s="24"/>
      <c r="I1044662" s="24"/>
      <c r="J1044662" s="24"/>
      <c r="K1044662" s="54"/>
    </row>
    <row r="1044663" spans="1:11" s="55" customFormat="1" ht="12.75">
      <c r="A1044663" s="24"/>
      <c r="B1044663" s="24"/>
      <c r="C1044663" s="24"/>
      <c r="D1044663" s="24"/>
      <c r="E1044663" s="24"/>
      <c r="F1044663" s="24"/>
      <c r="G1044663" s="24"/>
      <c r="H1044663" s="24"/>
      <c r="I1044663" s="24"/>
      <c r="J1044663" s="24"/>
      <c r="K1044663" s="54"/>
    </row>
    <row r="1044664" spans="1:11" s="55" customFormat="1" ht="12.75">
      <c r="A1044664" s="24"/>
      <c r="B1044664" s="24"/>
      <c r="C1044664" s="24"/>
      <c r="D1044664" s="24"/>
      <c r="E1044664" s="24"/>
      <c r="F1044664" s="24"/>
      <c r="G1044664" s="24"/>
      <c r="H1044664" s="24"/>
      <c r="I1044664" s="24"/>
      <c r="J1044664" s="24"/>
      <c r="K1044664" s="54"/>
    </row>
    <row r="1044665" spans="1:11" s="55" customFormat="1" ht="12.75">
      <c r="A1044665" s="24"/>
      <c r="B1044665" s="24"/>
      <c r="C1044665" s="24"/>
      <c r="D1044665" s="24"/>
      <c r="E1044665" s="24"/>
      <c r="F1044665" s="24"/>
      <c r="G1044665" s="24"/>
      <c r="H1044665" s="24"/>
      <c r="I1044665" s="24"/>
      <c r="J1044665" s="24"/>
      <c r="K1044665" s="54"/>
    </row>
    <row r="1044666" spans="1:11" s="55" customFormat="1" ht="12.75">
      <c r="A1044666" s="24"/>
      <c r="B1044666" s="24"/>
      <c r="C1044666" s="24"/>
      <c r="D1044666" s="24"/>
      <c r="E1044666" s="24"/>
      <c r="F1044666" s="24"/>
      <c r="G1044666" s="24"/>
      <c r="H1044666" s="24"/>
      <c r="I1044666" s="24"/>
      <c r="J1044666" s="24"/>
      <c r="K1044666" s="54"/>
    </row>
    <row r="1044667" spans="1:11" s="55" customFormat="1" ht="12.75">
      <c r="A1044667" s="24"/>
      <c r="B1044667" s="24"/>
      <c r="C1044667" s="24"/>
      <c r="D1044667" s="24"/>
      <c r="E1044667" s="24"/>
      <c r="F1044667" s="24"/>
      <c r="G1044667" s="24"/>
      <c r="H1044667" s="24"/>
      <c r="I1044667" s="24"/>
      <c r="J1044667" s="24"/>
      <c r="K1044667" s="54"/>
    </row>
    <row r="1044668" spans="1:11" s="55" customFormat="1" ht="12.75">
      <c r="A1044668" s="24"/>
      <c r="B1044668" s="24"/>
      <c r="C1044668" s="24"/>
      <c r="D1044668" s="24"/>
      <c r="E1044668" s="24"/>
      <c r="F1044668" s="24"/>
      <c r="G1044668" s="24"/>
      <c r="H1044668" s="24"/>
      <c r="I1044668" s="24"/>
      <c r="J1044668" s="24"/>
      <c r="K1044668" s="54"/>
    </row>
    <row r="1044669" spans="1:11" s="55" customFormat="1" ht="12.75">
      <c r="A1044669" s="24"/>
      <c r="B1044669" s="24"/>
      <c r="C1044669" s="24"/>
      <c r="D1044669" s="24"/>
      <c r="E1044669" s="24"/>
      <c r="F1044669" s="24"/>
      <c r="G1044669" s="24"/>
      <c r="H1044669" s="24"/>
      <c r="I1044669" s="24"/>
      <c r="J1044669" s="24"/>
      <c r="K1044669" s="54"/>
    </row>
    <row r="1044670" spans="1:11" s="55" customFormat="1" ht="12.75">
      <c r="A1044670" s="24"/>
      <c r="B1044670" s="24"/>
      <c r="C1044670" s="24"/>
      <c r="D1044670" s="24"/>
      <c r="E1044670" s="24"/>
      <c r="F1044670" s="24"/>
      <c r="G1044670" s="24"/>
      <c r="H1044670" s="24"/>
      <c r="I1044670" s="24"/>
      <c r="J1044670" s="24"/>
      <c r="K1044670" s="54"/>
    </row>
    <row r="1044671" spans="1:11" s="55" customFormat="1" ht="12.75">
      <c r="A1044671" s="24"/>
      <c r="B1044671" s="24"/>
      <c r="C1044671" s="24"/>
      <c r="D1044671" s="24"/>
      <c r="E1044671" s="24"/>
      <c r="F1044671" s="24"/>
      <c r="G1044671" s="24"/>
      <c r="H1044671" s="24"/>
      <c r="I1044671" s="24"/>
      <c r="J1044671" s="24"/>
      <c r="K1044671" s="54"/>
    </row>
    <row r="1044672" spans="1:11" s="55" customFormat="1" ht="12.75">
      <c r="A1044672" s="24"/>
      <c r="B1044672" s="24"/>
      <c r="C1044672" s="24"/>
      <c r="D1044672" s="24"/>
      <c r="E1044672" s="24"/>
      <c r="F1044672" s="24"/>
      <c r="G1044672" s="24"/>
      <c r="H1044672" s="24"/>
      <c r="I1044672" s="24"/>
      <c r="J1044672" s="24"/>
      <c r="K1044672" s="54"/>
    </row>
    <row r="1044673" spans="1:11" s="55" customFormat="1" ht="12.75">
      <c r="A1044673" s="24"/>
      <c r="B1044673" s="24"/>
      <c r="C1044673" s="24"/>
      <c r="D1044673" s="24"/>
      <c r="E1044673" s="24"/>
      <c r="F1044673" s="24"/>
      <c r="G1044673" s="24"/>
      <c r="H1044673" s="24"/>
      <c r="I1044673" s="24"/>
      <c r="J1044673" s="24"/>
      <c r="K1044673" s="54"/>
    </row>
    <row r="1044674" spans="1:11" s="55" customFormat="1" ht="12.75">
      <c r="A1044674" s="24"/>
      <c r="B1044674" s="24"/>
      <c r="C1044674" s="24"/>
      <c r="D1044674" s="24"/>
      <c r="E1044674" s="24"/>
      <c r="F1044674" s="24"/>
      <c r="G1044674" s="24"/>
      <c r="H1044674" s="24"/>
      <c r="I1044674" s="24"/>
      <c r="J1044674" s="24"/>
      <c r="K1044674" s="54"/>
    </row>
    <row r="1044675" spans="1:11" s="55" customFormat="1" ht="12.75">
      <c r="A1044675" s="24"/>
      <c r="B1044675" s="24"/>
      <c r="C1044675" s="24"/>
      <c r="D1044675" s="24"/>
      <c r="E1044675" s="24"/>
      <c r="F1044675" s="24"/>
      <c r="G1044675" s="24"/>
      <c r="H1044675" s="24"/>
      <c r="I1044675" s="24"/>
      <c r="J1044675" s="24"/>
      <c r="K1044675" s="54"/>
    </row>
    <row r="1044676" spans="1:11" s="55" customFormat="1" ht="12.75">
      <c r="A1044676" s="24"/>
      <c r="B1044676" s="24"/>
      <c r="C1044676" s="24"/>
      <c r="D1044676" s="24"/>
      <c r="E1044676" s="24"/>
      <c r="F1044676" s="24"/>
      <c r="G1044676" s="24"/>
      <c r="H1044676" s="24"/>
      <c r="I1044676" s="24"/>
      <c r="J1044676" s="24"/>
      <c r="K1044676" s="54"/>
    </row>
    <row r="1044677" spans="1:11" s="55" customFormat="1" ht="12.75">
      <c r="A1044677" s="24"/>
      <c r="B1044677" s="24"/>
      <c r="C1044677" s="24"/>
      <c r="D1044677" s="24"/>
      <c r="E1044677" s="24"/>
      <c r="F1044677" s="24"/>
      <c r="G1044677" s="24"/>
      <c r="H1044677" s="24"/>
      <c r="I1044677" s="24"/>
      <c r="J1044677" s="24"/>
      <c r="K1044677" s="54"/>
    </row>
    <row r="1044678" spans="1:11" s="55" customFormat="1" ht="12.75">
      <c r="A1044678" s="24"/>
      <c r="B1044678" s="24"/>
      <c r="C1044678" s="24"/>
      <c r="D1044678" s="24"/>
      <c r="E1044678" s="24"/>
      <c r="F1044678" s="24"/>
      <c r="G1044678" s="24"/>
      <c r="H1044678" s="24"/>
      <c r="I1044678" s="24"/>
      <c r="J1044678" s="24"/>
      <c r="K1044678" s="54"/>
    </row>
    <row r="1044679" spans="1:11" s="55" customFormat="1" ht="12.75">
      <c r="A1044679" s="24"/>
      <c r="B1044679" s="24"/>
      <c r="C1044679" s="24"/>
      <c r="D1044679" s="24"/>
      <c r="E1044679" s="24"/>
      <c r="F1044679" s="24"/>
      <c r="G1044679" s="24"/>
      <c r="H1044679" s="24"/>
      <c r="I1044679" s="24"/>
      <c r="J1044679" s="24"/>
      <c r="K1044679" s="54"/>
    </row>
    <row r="1044680" spans="1:11" s="55" customFormat="1" ht="12.75">
      <c r="A1044680" s="24"/>
      <c r="B1044680" s="24"/>
      <c r="C1044680" s="24"/>
      <c r="D1044680" s="24"/>
      <c r="E1044680" s="24"/>
      <c r="F1044680" s="24"/>
      <c r="G1044680" s="24"/>
      <c r="H1044680" s="24"/>
      <c r="I1044680" s="24"/>
      <c r="J1044680" s="24"/>
      <c r="K1044680" s="54"/>
    </row>
    <row r="1044681" spans="1:11" s="55" customFormat="1" ht="12.75">
      <c r="A1044681" s="24"/>
      <c r="B1044681" s="24"/>
      <c r="C1044681" s="24"/>
      <c r="D1044681" s="24"/>
      <c r="E1044681" s="24"/>
      <c r="F1044681" s="24"/>
      <c r="G1044681" s="24"/>
      <c r="H1044681" s="24"/>
      <c r="I1044681" s="24"/>
      <c r="J1044681" s="24"/>
      <c r="K1044681" s="54"/>
    </row>
    <row r="1044682" spans="1:11" s="55" customFormat="1" ht="12.75">
      <c r="A1044682" s="24"/>
      <c r="B1044682" s="24"/>
      <c r="C1044682" s="24"/>
      <c r="D1044682" s="24"/>
      <c r="E1044682" s="24"/>
      <c r="F1044682" s="24"/>
      <c r="G1044682" s="24"/>
      <c r="H1044682" s="24"/>
      <c r="I1044682" s="24"/>
      <c r="J1044682" s="24"/>
      <c r="K1044682" s="54"/>
    </row>
    <row r="1044683" spans="1:11" s="55" customFormat="1" ht="12.75">
      <c r="A1044683" s="24"/>
      <c r="B1044683" s="24"/>
      <c r="C1044683" s="24"/>
      <c r="D1044683" s="24"/>
      <c r="E1044683" s="24"/>
      <c r="F1044683" s="24"/>
      <c r="G1044683" s="24"/>
      <c r="H1044683" s="24"/>
      <c r="I1044683" s="24"/>
      <c r="J1044683" s="24"/>
      <c r="K1044683" s="54"/>
    </row>
    <row r="1044684" spans="1:11" s="55" customFormat="1" ht="12.75">
      <c r="A1044684" s="24"/>
      <c r="B1044684" s="24"/>
      <c r="C1044684" s="24"/>
      <c r="D1044684" s="24"/>
      <c r="E1044684" s="24"/>
      <c r="F1044684" s="24"/>
      <c r="G1044684" s="24"/>
      <c r="H1044684" s="24"/>
      <c r="I1044684" s="24"/>
      <c r="J1044684" s="24"/>
      <c r="K1044684" s="54"/>
    </row>
    <row r="1044685" spans="1:11" s="55" customFormat="1" ht="12.75">
      <c r="A1044685" s="24"/>
      <c r="B1044685" s="24"/>
      <c r="C1044685" s="24"/>
      <c r="D1044685" s="24"/>
      <c r="E1044685" s="24"/>
      <c r="F1044685" s="24"/>
      <c r="G1044685" s="24"/>
      <c r="H1044685" s="24"/>
      <c r="I1044685" s="24"/>
      <c r="J1044685" s="24"/>
      <c r="K1044685" s="54"/>
    </row>
    <row r="1044686" spans="1:11" s="55" customFormat="1" ht="12.75">
      <c r="A1044686" s="24"/>
      <c r="B1044686" s="24"/>
      <c r="C1044686" s="24"/>
      <c r="D1044686" s="24"/>
      <c r="E1044686" s="24"/>
      <c r="F1044686" s="24"/>
      <c r="G1044686" s="24"/>
      <c r="H1044686" s="24"/>
      <c r="I1044686" s="24"/>
      <c r="J1044686" s="24"/>
      <c r="K1044686" s="54"/>
    </row>
    <row r="1044687" spans="1:11" s="55" customFormat="1" ht="12.75">
      <c r="A1044687" s="24"/>
      <c r="B1044687" s="24"/>
      <c r="C1044687" s="24"/>
      <c r="D1044687" s="24"/>
      <c r="E1044687" s="24"/>
      <c r="F1044687" s="24"/>
      <c r="G1044687" s="24"/>
      <c r="H1044687" s="24"/>
      <c r="I1044687" s="24"/>
      <c r="J1044687" s="24"/>
      <c r="K1044687" s="54"/>
    </row>
    <row r="1044688" spans="1:11" s="55" customFormat="1" ht="12.75">
      <c r="A1044688" s="24"/>
      <c r="B1044688" s="24"/>
      <c r="C1044688" s="24"/>
      <c r="D1044688" s="24"/>
      <c r="E1044688" s="24"/>
      <c r="F1044688" s="24"/>
      <c r="G1044688" s="24"/>
      <c r="H1044688" s="24"/>
      <c r="I1044688" s="24"/>
      <c r="J1044688" s="24"/>
      <c r="K1044688" s="54"/>
    </row>
    <row r="1044689" spans="1:11" s="55" customFormat="1" ht="12.75">
      <c r="A1044689" s="24"/>
      <c r="B1044689" s="24"/>
      <c r="C1044689" s="24"/>
      <c r="D1044689" s="24"/>
      <c r="E1044689" s="24"/>
      <c r="F1044689" s="24"/>
      <c r="G1044689" s="24"/>
      <c r="H1044689" s="24"/>
      <c r="I1044689" s="24"/>
      <c r="J1044689" s="24"/>
      <c r="K1044689" s="54"/>
    </row>
    <row r="1044690" spans="1:11" s="55" customFormat="1" ht="12.75">
      <c r="A1044690" s="24"/>
      <c r="B1044690" s="24"/>
      <c r="C1044690" s="24"/>
      <c r="D1044690" s="24"/>
      <c r="E1044690" s="24"/>
      <c r="F1044690" s="24"/>
      <c r="G1044690" s="24"/>
      <c r="H1044690" s="24"/>
      <c r="I1044690" s="24"/>
      <c r="J1044690" s="24"/>
      <c r="K1044690" s="54"/>
    </row>
    <row r="1044691" spans="1:11" s="55" customFormat="1" ht="12.75">
      <c r="A1044691" s="24"/>
      <c r="B1044691" s="24"/>
      <c r="C1044691" s="24"/>
      <c r="D1044691" s="24"/>
      <c r="E1044691" s="24"/>
      <c r="F1044691" s="24"/>
      <c r="G1044691" s="24"/>
      <c r="H1044691" s="24"/>
      <c r="I1044691" s="24"/>
      <c r="J1044691" s="24"/>
      <c r="K1044691" s="54"/>
    </row>
    <row r="1044692" spans="1:11" s="55" customFormat="1" ht="12.75">
      <c r="A1044692" s="24"/>
      <c r="B1044692" s="24"/>
      <c r="C1044692" s="24"/>
      <c r="D1044692" s="24"/>
      <c r="E1044692" s="24"/>
      <c r="F1044692" s="24"/>
      <c r="G1044692" s="24"/>
      <c r="H1044692" s="24"/>
      <c r="I1044692" s="24"/>
      <c r="J1044692" s="24"/>
      <c r="K1044692" s="54"/>
    </row>
    <row r="1044693" spans="1:11" s="55" customFormat="1" ht="12.75">
      <c r="A1044693" s="24"/>
      <c r="B1044693" s="24"/>
      <c r="C1044693" s="24"/>
      <c r="D1044693" s="24"/>
      <c r="E1044693" s="24"/>
      <c r="F1044693" s="24"/>
      <c r="G1044693" s="24"/>
      <c r="H1044693" s="24"/>
      <c r="I1044693" s="24"/>
      <c r="J1044693" s="24"/>
      <c r="K1044693" s="54"/>
    </row>
    <row r="1044694" spans="1:11" s="55" customFormat="1" ht="12.75">
      <c r="A1044694" s="24"/>
      <c r="B1044694" s="24"/>
      <c r="C1044694" s="24"/>
      <c r="D1044694" s="24"/>
      <c r="E1044694" s="24"/>
      <c r="F1044694" s="24"/>
      <c r="G1044694" s="24"/>
      <c r="H1044694" s="24"/>
      <c r="I1044694" s="24"/>
      <c r="J1044694" s="24"/>
      <c r="K1044694" s="54"/>
    </row>
    <row r="1044695" spans="1:11" s="55" customFormat="1" ht="12.75">
      <c r="A1044695" s="24"/>
      <c r="B1044695" s="24"/>
      <c r="C1044695" s="24"/>
      <c r="D1044695" s="24"/>
      <c r="E1044695" s="24"/>
      <c r="F1044695" s="24"/>
      <c r="G1044695" s="24"/>
      <c r="H1044695" s="24"/>
      <c r="I1044695" s="24"/>
      <c r="J1044695" s="24"/>
      <c r="K1044695" s="54"/>
    </row>
    <row r="1044696" spans="1:11" s="55" customFormat="1" ht="12.75">
      <c r="A1044696" s="24"/>
      <c r="B1044696" s="24"/>
      <c r="C1044696" s="24"/>
      <c r="D1044696" s="24"/>
      <c r="E1044696" s="24"/>
      <c r="F1044696" s="24"/>
      <c r="G1044696" s="24"/>
      <c r="H1044696" s="24"/>
      <c r="I1044696" s="24"/>
      <c r="J1044696" s="24"/>
      <c r="K1044696" s="54"/>
    </row>
    <row r="1044697" spans="1:11" s="55" customFormat="1" ht="12.75">
      <c r="A1044697" s="24"/>
      <c r="B1044697" s="24"/>
      <c r="C1044697" s="24"/>
      <c r="D1044697" s="24"/>
      <c r="E1044697" s="24"/>
      <c r="F1044697" s="24"/>
      <c r="G1044697" s="24"/>
      <c r="H1044697" s="24"/>
      <c r="I1044697" s="24"/>
      <c r="J1044697" s="24"/>
      <c r="K1044697" s="54"/>
    </row>
    <row r="1044698" spans="1:11" s="55" customFormat="1" ht="12.75">
      <c r="A1044698" s="24"/>
      <c r="B1044698" s="24"/>
      <c r="C1044698" s="24"/>
      <c r="D1044698" s="24"/>
      <c r="E1044698" s="24"/>
      <c r="F1044698" s="24"/>
      <c r="G1044698" s="24"/>
      <c r="H1044698" s="24"/>
      <c r="I1044698" s="24"/>
      <c r="J1044698" s="24"/>
      <c r="K1044698" s="54"/>
    </row>
    <row r="1044699" spans="1:11" s="55" customFormat="1" ht="12.75">
      <c r="A1044699" s="24"/>
      <c r="B1044699" s="24"/>
      <c r="C1044699" s="24"/>
      <c r="D1044699" s="24"/>
      <c r="E1044699" s="24"/>
      <c r="F1044699" s="24"/>
      <c r="G1044699" s="24"/>
      <c r="H1044699" s="24"/>
      <c r="I1044699" s="24"/>
      <c r="J1044699" s="24"/>
      <c r="K1044699" s="54"/>
    </row>
    <row r="1044700" spans="1:11" s="55" customFormat="1" ht="12.75">
      <c r="A1044700" s="24"/>
      <c r="B1044700" s="24"/>
      <c r="C1044700" s="24"/>
      <c r="D1044700" s="24"/>
      <c r="E1044700" s="24"/>
      <c r="F1044700" s="24"/>
      <c r="G1044700" s="24"/>
      <c r="H1044700" s="24"/>
      <c r="I1044700" s="24"/>
      <c r="J1044700" s="24"/>
      <c r="K1044700" s="54"/>
    </row>
    <row r="1044701" spans="1:11" s="55" customFormat="1" ht="12.75">
      <c r="A1044701" s="24"/>
      <c r="B1044701" s="24"/>
      <c r="C1044701" s="24"/>
      <c r="D1044701" s="24"/>
      <c r="E1044701" s="24"/>
      <c r="F1044701" s="24"/>
      <c r="G1044701" s="24"/>
      <c r="H1044701" s="24"/>
      <c r="I1044701" s="24"/>
      <c r="J1044701" s="24"/>
      <c r="K1044701" s="54"/>
    </row>
    <row r="1044702" spans="1:11" s="55" customFormat="1" ht="12.75">
      <c r="A1044702" s="24"/>
      <c r="B1044702" s="24"/>
      <c r="C1044702" s="24"/>
      <c r="D1044702" s="24"/>
      <c r="E1044702" s="24"/>
      <c r="F1044702" s="24"/>
      <c r="G1044702" s="24"/>
      <c r="H1044702" s="24"/>
      <c r="I1044702" s="24"/>
      <c r="J1044702" s="24"/>
      <c r="K1044702" s="54"/>
    </row>
    <row r="1044703" spans="1:11" s="55" customFormat="1" ht="12.75">
      <c r="A1044703" s="24"/>
      <c r="B1044703" s="24"/>
      <c r="C1044703" s="24"/>
      <c r="D1044703" s="24"/>
      <c r="E1044703" s="24"/>
      <c r="F1044703" s="24"/>
      <c r="G1044703" s="24"/>
      <c r="H1044703" s="24"/>
      <c r="I1044703" s="24"/>
      <c r="J1044703" s="24"/>
      <c r="K1044703" s="54"/>
    </row>
    <row r="1044704" spans="1:11" s="55" customFormat="1" ht="12.75">
      <c r="A1044704" s="24"/>
      <c r="B1044704" s="24"/>
      <c r="C1044704" s="24"/>
      <c r="D1044704" s="24"/>
      <c r="E1044704" s="24"/>
      <c r="F1044704" s="24"/>
      <c r="G1044704" s="24"/>
      <c r="H1044704" s="24"/>
      <c r="I1044704" s="24"/>
      <c r="J1044704" s="24"/>
      <c r="K1044704" s="54"/>
    </row>
    <row r="1044705" spans="1:11" s="55" customFormat="1" ht="12.75">
      <c r="A1044705" s="24"/>
      <c r="B1044705" s="24"/>
      <c r="C1044705" s="24"/>
      <c r="D1044705" s="24"/>
      <c r="E1044705" s="24"/>
      <c r="F1044705" s="24"/>
      <c r="G1044705" s="24"/>
      <c r="H1044705" s="24"/>
      <c r="I1044705" s="24"/>
      <c r="J1044705" s="24"/>
      <c r="K1044705" s="54"/>
    </row>
    <row r="1044706" spans="1:11" s="55" customFormat="1" ht="12.75">
      <c r="A1044706" s="24"/>
      <c r="B1044706" s="24"/>
      <c r="C1044706" s="24"/>
      <c r="D1044706" s="24"/>
      <c r="E1044706" s="24"/>
      <c r="F1044706" s="24"/>
      <c r="G1044706" s="24"/>
      <c r="H1044706" s="24"/>
      <c r="I1044706" s="24"/>
      <c r="J1044706" s="24"/>
      <c r="K1044706" s="54"/>
    </row>
    <row r="1044707" spans="1:11" s="55" customFormat="1" ht="12.75">
      <c r="A1044707" s="24"/>
      <c r="B1044707" s="24"/>
      <c r="C1044707" s="24"/>
      <c r="D1044707" s="24"/>
      <c r="E1044707" s="24"/>
      <c r="F1044707" s="24"/>
      <c r="G1044707" s="24"/>
      <c r="H1044707" s="24"/>
      <c r="I1044707" s="24"/>
      <c r="J1044707" s="24"/>
      <c r="K1044707" s="54"/>
    </row>
    <row r="1044708" spans="1:11" s="55" customFormat="1" ht="12.75">
      <c r="A1044708" s="24"/>
      <c r="B1044708" s="24"/>
      <c r="C1044708" s="24"/>
      <c r="D1044708" s="24"/>
      <c r="E1044708" s="24"/>
      <c r="F1044708" s="24"/>
      <c r="G1044708" s="24"/>
      <c r="H1044708" s="24"/>
      <c r="I1044708" s="24"/>
      <c r="J1044708" s="24"/>
      <c r="K1044708" s="54"/>
    </row>
    <row r="1044709" spans="1:11" s="55" customFormat="1" ht="12.75">
      <c r="A1044709" s="24"/>
      <c r="B1044709" s="24"/>
      <c r="C1044709" s="24"/>
      <c r="D1044709" s="24"/>
      <c r="E1044709" s="24"/>
      <c r="F1044709" s="24"/>
      <c r="G1044709" s="24"/>
      <c r="H1044709" s="24"/>
      <c r="I1044709" s="24"/>
      <c r="J1044709" s="24"/>
      <c r="K1044709" s="54"/>
    </row>
    <row r="1044710" spans="1:11" s="55" customFormat="1" ht="12.75">
      <c r="A1044710" s="24"/>
      <c r="B1044710" s="24"/>
      <c r="C1044710" s="24"/>
      <c r="D1044710" s="24"/>
      <c r="E1044710" s="24"/>
      <c r="F1044710" s="24"/>
      <c r="G1044710" s="24"/>
      <c r="H1044710" s="24"/>
      <c r="I1044710" s="24"/>
      <c r="J1044710" s="24"/>
      <c r="K1044710" s="54"/>
    </row>
    <row r="1044711" spans="1:11" s="55" customFormat="1" ht="12.75">
      <c r="A1044711" s="24"/>
      <c r="B1044711" s="24"/>
      <c r="C1044711" s="24"/>
      <c r="D1044711" s="24"/>
      <c r="E1044711" s="24"/>
      <c r="F1044711" s="24"/>
      <c r="G1044711" s="24"/>
      <c r="H1044711" s="24"/>
      <c r="I1044711" s="24"/>
      <c r="J1044711" s="24"/>
      <c r="K1044711" s="54"/>
    </row>
    <row r="1044712" spans="1:11" s="55" customFormat="1" ht="12.75">
      <c r="A1044712" s="24"/>
      <c r="B1044712" s="24"/>
      <c r="C1044712" s="24"/>
      <c r="D1044712" s="24"/>
      <c r="E1044712" s="24"/>
      <c r="F1044712" s="24"/>
      <c r="G1044712" s="24"/>
      <c r="H1044712" s="24"/>
      <c r="I1044712" s="24"/>
      <c r="J1044712" s="24"/>
      <c r="K1044712" s="54"/>
    </row>
    <row r="1044713" spans="1:11" s="55" customFormat="1" ht="12.75">
      <c r="A1044713" s="24"/>
      <c r="B1044713" s="24"/>
      <c r="C1044713" s="24"/>
      <c r="D1044713" s="24"/>
      <c r="E1044713" s="24"/>
      <c r="F1044713" s="24"/>
      <c r="G1044713" s="24"/>
      <c r="H1044713" s="24"/>
      <c r="I1044713" s="24"/>
      <c r="J1044713" s="24"/>
      <c r="K1044713" s="54"/>
    </row>
    <row r="1044714" spans="1:11" s="55" customFormat="1" ht="12.75">
      <c r="A1044714" s="24"/>
      <c r="B1044714" s="24"/>
      <c r="C1044714" s="24"/>
      <c r="D1044714" s="24"/>
      <c r="E1044714" s="24"/>
      <c r="F1044714" s="24"/>
      <c r="G1044714" s="24"/>
      <c r="H1044714" s="24"/>
      <c r="I1044714" s="24"/>
      <c r="J1044714" s="24"/>
      <c r="K1044714" s="54"/>
    </row>
    <row r="1044715" spans="1:11" s="55" customFormat="1" ht="12.75">
      <c r="A1044715" s="24"/>
      <c r="B1044715" s="24"/>
      <c r="C1044715" s="24"/>
      <c r="D1044715" s="24"/>
      <c r="E1044715" s="24"/>
      <c r="F1044715" s="24"/>
      <c r="G1044715" s="24"/>
      <c r="H1044715" s="24"/>
      <c r="I1044715" s="24"/>
      <c r="J1044715" s="24"/>
      <c r="K1044715" s="54"/>
    </row>
    <row r="1044716" spans="1:11" s="55" customFormat="1" ht="12.75">
      <c r="A1044716" s="24"/>
      <c r="B1044716" s="24"/>
      <c r="C1044716" s="24"/>
      <c r="D1044716" s="24"/>
      <c r="E1044716" s="24"/>
      <c r="F1044716" s="24"/>
      <c r="G1044716" s="24"/>
      <c r="H1044716" s="24"/>
      <c r="I1044716" s="24"/>
      <c r="J1044716" s="24"/>
      <c r="K1044716" s="54"/>
    </row>
    <row r="1044717" spans="1:11" s="55" customFormat="1" ht="12.75">
      <c r="A1044717" s="24"/>
      <c r="B1044717" s="24"/>
      <c r="C1044717" s="24"/>
      <c r="D1044717" s="24"/>
      <c r="E1044717" s="24"/>
      <c r="F1044717" s="24"/>
      <c r="G1044717" s="24"/>
      <c r="H1044717" s="24"/>
      <c r="I1044717" s="24"/>
      <c r="J1044717" s="24"/>
      <c r="K1044717" s="54"/>
    </row>
    <row r="1044718" spans="1:11" s="55" customFormat="1" ht="12.75">
      <c r="A1044718" s="24"/>
      <c r="B1044718" s="24"/>
      <c r="C1044718" s="24"/>
      <c r="D1044718" s="24"/>
      <c r="E1044718" s="24"/>
      <c r="F1044718" s="24"/>
      <c r="G1044718" s="24"/>
      <c r="H1044718" s="24"/>
      <c r="I1044718" s="24"/>
      <c r="J1044718" s="24"/>
      <c r="K1044718" s="54"/>
    </row>
    <row r="1044719" spans="1:11" s="55" customFormat="1" ht="12.75">
      <c r="A1044719" s="24"/>
      <c r="B1044719" s="24"/>
      <c r="C1044719" s="24"/>
      <c r="D1044719" s="24"/>
      <c r="E1044719" s="24"/>
      <c r="F1044719" s="24"/>
      <c r="G1044719" s="24"/>
      <c r="H1044719" s="24"/>
      <c r="I1044719" s="24"/>
      <c r="J1044719" s="24"/>
      <c r="K1044719" s="54"/>
    </row>
    <row r="1044720" spans="1:11" s="55" customFormat="1" ht="12.75">
      <c r="A1044720" s="24"/>
      <c r="B1044720" s="24"/>
      <c r="C1044720" s="24"/>
      <c r="D1044720" s="24"/>
      <c r="E1044720" s="24"/>
      <c r="F1044720" s="24"/>
      <c r="G1044720" s="24"/>
      <c r="H1044720" s="24"/>
      <c r="I1044720" s="24"/>
      <c r="J1044720" s="24"/>
      <c r="K1044720" s="54"/>
    </row>
    <row r="1044721" spans="1:11" s="55" customFormat="1" ht="12.75">
      <c r="A1044721" s="24"/>
      <c r="B1044721" s="24"/>
      <c r="C1044721" s="24"/>
      <c r="D1044721" s="24"/>
      <c r="E1044721" s="24"/>
      <c r="F1044721" s="24"/>
      <c r="G1044721" s="24"/>
      <c r="H1044721" s="24"/>
      <c r="I1044721" s="24"/>
      <c r="J1044721" s="24"/>
      <c r="K1044721" s="54"/>
    </row>
    <row r="1044722" spans="1:11" s="55" customFormat="1" ht="12.75">
      <c r="A1044722" s="24"/>
      <c r="B1044722" s="24"/>
      <c r="C1044722" s="24"/>
      <c r="D1044722" s="24"/>
      <c r="E1044722" s="24"/>
      <c r="F1044722" s="24"/>
      <c r="G1044722" s="24"/>
      <c r="H1044722" s="24"/>
      <c r="I1044722" s="24"/>
      <c r="J1044722" s="24"/>
      <c r="K1044722" s="54"/>
    </row>
    <row r="1044723" spans="1:11" s="55" customFormat="1" ht="12.75">
      <c r="A1044723" s="24"/>
      <c r="B1044723" s="24"/>
      <c r="C1044723" s="24"/>
      <c r="D1044723" s="24"/>
      <c r="E1044723" s="24"/>
      <c r="F1044723" s="24"/>
      <c r="G1044723" s="24"/>
      <c r="H1044723" s="24"/>
      <c r="I1044723" s="24"/>
      <c r="J1044723" s="24"/>
      <c r="K1044723" s="54"/>
    </row>
    <row r="1044724" spans="1:11" s="55" customFormat="1" ht="12.75">
      <c r="A1044724" s="24"/>
      <c r="B1044724" s="24"/>
      <c r="C1044724" s="24"/>
      <c r="D1044724" s="24"/>
      <c r="E1044724" s="24"/>
      <c r="F1044724" s="24"/>
      <c r="G1044724" s="24"/>
      <c r="H1044724" s="24"/>
      <c r="I1044724" s="24"/>
      <c r="J1044724" s="24"/>
      <c r="K1044724" s="54"/>
    </row>
    <row r="1044725" spans="1:11" s="55" customFormat="1" ht="12.75">
      <c r="A1044725" s="24"/>
      <c r="B1044725" s="24"/>
      <c r="C1044725" s="24"/>
      <c r="D1044725" s="24"/>
      <c r="E1044725" s="24"/>
      <c r="F1044725" s="24"/>
      <c r="G1044725" s="24"/>
      <c r="H1044725" s="24"/>
      <c r="I1044725" s="24"/>
      <c r="J1044725" s="24"/>
      <c r="K1044725" s="54"/>
    </row>
    <row r="1044726" spans="1:11" s="55" customFormat="1" ht="12.75">
      <c r="A1044726" s="24"/>
      <c r="B1044726" s="24"/>
      <c r="C1044726" s="24"/>
      <c r="D1044726" s="24"/>
      <c r="E1044726" s="24"/>
      <c r="F1044726" s="24"/>
      <c r="G1044726" s="24"/>
      <c r="H1044726" s="24"/>
      <c r="I1044726" s="24"/>
      <c r="J1044726" s="24"/>
      <c r="K1044726" s="54"/>
    </row>
    <row r="1044727" spans="1:11" s="55" customFormat="1" ht="12.75">
      <c r="A1044727" s="24"/>
      <c r="B1044727" s="24"/>
      <c r="C1044727" s="24"/>
      <c r="D1044727" s="24"/>
      <c r="E1044727" s="24"/>
      <c r="F1044727" s="24"/>
      <c r="G1044727" s="24"/>
      <c r="H1044727" s="24"/>
      <c r="I1044727" s="24"/>
      <c r="J1044727" s="24"/>
      <c r="K1044727" s="54"/>
    </row>
    <row r="1044728" spans="1:11" s="55" customFormat="1" ht="12.75">
      <c r="A1044728" s="24"/>
      <c r="B1044728" s="24"/>
      <c r="C1044728" s="24"/>
      <c r="D1044728" s="24"/>
      <c r="E1044728" s="24"/>
      <c r="F1044728" s="24"/>
      <c r="G1044728" s="24"/>
      <c r="H1044728" s="24"/>
      <c r="I1044728" s="24"/>
      <c r="J1044728" s="24"/>
      <c r="K1044728" s="54"/>
    </row>
    <row r="1044729" spans="1:11" s="55" customFormat="1" ht="12.75">
      <c r="A1044729" s="24"/>
      <c r="B1044729" s="24"/>
      <c r="C1044729" s="24"/>
      <c r="D1044729" s="24"/>
      <c r="E1044729" s="24"/>
      <c r="F1044729" s="24"/>
      <c r="G1044729" s="24"/>
      <c r="H1044729" s="24"/>
      <c r="I1044729" s="24"/>
      <c r="J1044729" s="24"/>
      <c r="K1044729" s="54"/>
    </row>
    <row r="1044730" spans="1:11" s="55" customFormat="1" ht="12.75">
      <c r="A1044730" s="24"/>
      <c r="B1044730" s="24"/>
      <c r="C1044730" s="24"/>
      <c r="D1044730" s="24"/>
      <c r="E1044730" s="24"/>
      <c r="F1044730" s="24"/>
      <c r="G1044730" s="24"/>
      <c r="H1044730" s="24"/>
      <c r="I1044730" s="24"/>
      <c r="J1044730" s="24"/>
      <c r="K1044730" s="54"/>
    </row>
    <row r="1044731" spans="1:11" s="55" customFormat="1" ht="12.75">
      <c r="A1044731" s="24"/>
      <c r="B1044731" s="24"/>
      <c r="C1044731" s="24"/>
      <c r="D1044731" s="24"/>
      <c r="E1044731" s="24"/>
      <c r="F1044731" s="24"/>
      <c r="G1044731" s="24"/>
      <c r="H1044731" s="24"/>
      <c r="I1044731" s="24"/>
      <c r="J1044731" s="24"/>
      <c r="K1044731" s="54"/>
    </row>
    <row r="1044732" spans="1:11" s="55" customFormat="1" ht="12.75">
      <c r="A1044732" s="24"/>
      <c r="B1044732" s="24"/>
      <c r="C1044732" s="24"/>
      <c r="D1044732" s="24"/>
      <c r="E1044732" s="24"/>
      <c r="F1044732" s="24"/>
      <c r="G1044732" s="24"/>
      <c r="H1044732" s="24"/>
      <c r="I1044732" s="24"/>
      <c r="J1044732" s="24"/>
      <c r="K1044732" s="54"/>
    </row>
    <row r="1044733" spans="1:11" s="55" customFormat="1" ht="12.75">
      <c r="A1044733" s="24"/>
      <c r="B1044733" s="24"/>
      <c r="C1044733" s="24"/>
      <c r="D1044733" s="24"/>
      <c r="E1044733" s="24"/>
      <c r="F1044733" s="24"/>
      <c r="G1044733" s="24"/>
      <c r="H1044733" s="24"/>
      <c r="I1044733" s="24"/>
      <c r="J1044733" s="24"/>
      <c r="K1044733" s="54"/>
    </row>
    <row r="1044734" spans="1:11" s="55" customFormat="1" ht="12.75">
      <c r="A1044734" s="24"/>
      <c r="B1044734" s="24"/>
      <c r="C1044734" s="24"/>
      <c r="D1044734" s="24"/>
      <c r="E1044734" s="24"/>
      <c r="F1044734" s="24"/>
      <c r="G1044734" s="24"/>
      <c r="H1044734" s="24"/>
      <c r="I1044734" s="24"/>
      <c r="J1044734" s="24"/>
      <c r="K1044734" s="54"/>
    </row>
    <row r="1044735" spans="1:11" s="55" customFormat="1" ht="12.75">
      <c r="A1044735" s="24"/>
      <c r="B1044735" s="24"/>
      <c r="C1044735" s="24"/>
      <c r="D1044735" s="24"/>
      <c r="E1044735" s="24"/>
      <c r="F1044735" s="24"/>
      <c r="G1044735" s="24"/>
      <c r="H1044735" s="24"/>
      <c r="I1044735" s="24"/>
      <c r="J1044735" s="24"/>
      <c r="K1044735" s="54"/>
    </row>
    <row r="1044736" spans="1:11" s="55" customFormat="1" ht="12.75">
      <c r="A1044736" s="24"/>
      <c r="B1044736" s="24"/>
      <c r="C1044736" s="24"/>
      <c r="D1044736" s="24"/>
      <c r="E1044736" s="24"/>
      <c r="F1044736" s="24"/>
      <c r="G1044736" s="24"/>
      <c r="H1044736" s="24"/>
      <c r="I1044736" s="24"/>
      <c r="J1044736" s="24"/>
      <c r="K1044736" s="54"/>
    </row>
    <row r="1044737" spans="1:11" s="55" customFormat="1" ht="12.75">
      <c r="A1044737" s="24"/>
      <c r="B1044737" s="24"/>
      <c r="C1044737" s="24"/>
      <c r="D1044737" s="24"/>
      <c r="E1044737" s="24"/>
      <c r="F1044737" s="24"/>
      <c r="G1044737" s="24"/>
      <c r="H1044737" s="24"/>
      <c r="I1044737" s="24"/>
      <c r="J1044737" s="24"/>
      <c r="K1044737" s="54"/>
    </row>
    <row r="1044738" spans="1:11" s="55" customFormat="1" ht="12.75">
      <c r="A1044738" s="24"/>
      <c r="B1044738" s="24"/>
      <c r="C1044738" s="24"/>
      <c r="D1044738" s="24"/>
      <c r="E1044738" s="24"/>
      <c r="F1044738" s="24"/>
      <c r="G1044738" s="24"/>
      <c r="H1044738" s="24"/>
      <c r="I1044738" s="24"/>
      <c r="J1044738" s="24"/>
      <c r="K1044738" s="54"/>
    </row>
    <row r="1044739" spans="1:11" s="55" customFormat="1" ht="12.75">
      <c r="A1044739" s="24"/>
      <c r="B1044739" s="24"/>
      <c r="C1044739" s="24"/>
      <c r="D1044739" s="24"/>
      <c r="E1044739" s="24"/>
      <c r="F1044739" s="24"/>
      <c r="G1044739" s="24"/>
      <c r="H1044739" s="24"/>
      <c r="I1044739" s="24"/>
      <c r="J1044739" s="24"/>
      <c r="K1044739" s="54"/>
    </row>
    <row r="1044740" spans="1:11" s="55" customFormat="1" ht="12.75">
      <c r="A1044740" s="24"/>
      <c r="B1044740" s="24"/>
      <c r="C1044740" s="24"/>
      <c r="D1044740" s="24"/>
      <c r="E1044740" s="24"/>
      <c r="F1044740" s="24"/>
      <c r="G1044740" s="24"/>
      <c r="H1044740" s="24"/>
      <c r="I1044740" s="24"/>
      <c r="J1044740" s="24"/>
      <c r="K1044740" s="54"/>
    </row>
    <row r="1044741" spans="1:11" s="55" customFormat="1" ht="12.75">
      <c r="A1044741" s="24"/>
      <c r="B1044741" s="24"/>
      <c r="C1044741" s="24"/>
      <c r="D1044741" s="24"/>
      <c r="E1044741" s="24"/>
      <c r="F1044741" s="24"/>
      <c r="G1044741" s="24"/>
      <c r="H1044741" s="24"/>
      <c r="I1044741" s="24"/>
      <c r="J1044741" s="24"/>
      <c r="K1044741" s="54"/>
    </row>
    <row r="1044742" spans="1:11" s="55" customFormat="1" ht="12.75">
      <c r="A1044742" s="24"/>
      <c r="B1044742" s="24"/>
      <c r="C1044742" s="24"/>
      <c r="D1044742" s="24"/>
      <c r="E1044742" s="24"/>
      <c r="F1044742" s="24"/>
      <c r="G1044742" s="24"/>
      <c r="H1044742" s="24"/>
      <c r="I1044742" s="24"/>
      <c r="J1044742" s="24"/>
      <c r="K1044742" s="54"/>
    </row>
    <row r="1044743" spans="1:11" s="55" customFormat="1" ht="12.75">
      <c r="A1044743" s="24"/>
      <c r="B1044743" s="24"/>
      <c r="C1044743" s="24"/>
      <c r="D1044743" s="24"/>
      <c r="E1044743" s="24"/>
      <c r="F1044743" s="24"/>
      <c r="G1044743" s="24"/>
      <c r="H1044743" s="24"/>
      <c r="I1044743" s="24"/>
      <c r="J1044743" s="24"/>
      <c r="K1044743" s="54"/>
    </row>
    <row r="1044744" spans="1:11" s="55" customFormat="1" ht="12.75">
      <c r="A1044744" s="24"/>
      <c r="B1044744" s="24"/>
      <c r="C1044744" s="24"/>
      <c r="D1044744" s="24"/>
      <c r="E1044744" s="24"/>
      <c r="F1044744" s="24"/>
      <c r="G1044744" s="24"/>
      <c r="H1044744" s="24"/>
      <c r="I1044744" s="24"/>
      <c r="J1044744" s="24"/>
      <c r="K1044744" s="54"/>
    </row>
    <row r="1044745" spans="1:11" s="55" customFormat="1" ht="12.75">
      <c r="A1044745" s="24"/>
      <c r="B1044745" s="24"/>
      <c r="C1044745" s="24"/>
      <c r="D1044745" s="24"/>
      <c r="E1044745" s="24"/>
      <c r="F1044745" s="24"/>
      <c r="G1044745" s="24"/>
      <c r="H1044745" s="24"/>
      <c r="I1044745" s="24"/>
      <c r="J1044745" s="24"/>
      <c r="K1044745" s="54"/>
    </row>
    <row r="1044746" spans="1:11" s="55" customFormat="1" ht="12.75">
      <c r="A1044746" s="24"/>
      <c r="B1044746" s="24"/>
      <c r="C1044746" s="24"/>
      <c r="D1044746" s="24"/>
      <c r="E1044746" s="24"/>
      <c r="F1044746" s="24"/>
      <c r="G1044746" s="24"/>
      <c r="H1044746" s="24"/>
      <c r="I1044746" s="24"/>
      <c r="J1044746" s="24"/>
      <c r="K1044746" s="54"/>
    </row>
    <row r="1044747" spans="1:11" s="55" customFormat="1" ht="12.75">
      <c r="A1044747" s="24"/>
      <c r="B1044747" s="24"/>
      <c r="C1044747" s="24"/>
      <c r="D1044747" s="24"/>
      <c r="E1044747" s="24"/>
      <c r="F1044747" s="24"/>
      <c r="G1044747" s="24"/>
      <c r="H1044747" s="24"/>
      <c r="I1044747" s="24"/>
      <c r="J1044747" s="24"/>
      <c r="K1044747" s="54"/>
    </row>
    <row r="1044748" spans="1:11" s="55" customFormat="1" ht="12.75">
      <c r="A1044748" s="24"/>
      <c r="B1044748" s="24"/>
      <c r="C1044748" s="24"/>
      <c r="D1044748" s="24"/>
      <c r="E1044748" s="24"/>
      <c r="F1044748" s="24"/>
      <c r="G1044748" s="24"/>
      <c r="H1044748" s="24"/>
      <c r="I1044748" s="24"/>
      <c r="J1044748" s="24"/>
      <c r="K1044748" s="54"/>
    </row>
    <row r="1044749" spans="1:11" s="55" customFormat="1" ht="12.75">
      <c r="A1044749" s="24"/>
      <c r="B1044749" s="24"/>
      <c r="C1044749" s="24"/>
      <c r="D1044749" s="24"/>
      <c r="E1044749" s="24"/>
      <c r="F1044749" s="24"/>
      <c r="G1044749" s="24"/>
      <c r="H1044749" s="24"/>
      <c r="I1044749" s="24"/>
      <c r="J1044749" s="24"/>
      <c r="K1044749" s="54"/>
    </row>
    <row r="1044750" spans="1:11" s="55" customFormat="1" ht="12.75">
      <c r="A1044750" s="24"/>
      <c r="B1044750" s="24"/>
      <c r="C1044750" s="24"/>
      <c r="D1044750" s="24"/>
      <c r="E1044750" s="24"/>
      <c r="F1044750" s="24"/>
      <c r="G1044750" s="24"/>
      <c r="H1044750" s="24"/>
      <c r="I1044750" s="24"/>
      <c r="J1044750" s="24"/>
      <c r="K1044750" s="54"/>
    </row>
    <row r="1044751" spans="1:11" s="55" customFormat="1" ht="12.75">
      <c r="A1044751" s="24"/>
      <c r="B1044751" s="24"/>
      <c r="C1044751" s="24"/>
      <c r="D1044751" s="24"/>
      <c r="E1044751" s="24"/>
      <c r="F1044751" s="24"/>
      <c r="G1044751" s="24"/>
      <c r="H1044751" s="24"/>
      <c r="I1044751" s="24"/>
      <c r="J1044751" s="24"/>
      <c r="K1044751" s="54"/>
    </row>
    <row r="1044752" spans="1:11" s="55" customFormat="1" ht="12.75">
      <c r="A1044752" s="24"/>
      <c r="B1044752" s="24"/>
      <c r="C1044752" s="24"/>
      <c r="D1044752" s="24"/>
      <c r="E1044752" s="24"/>
      <c r="F1044752" s="24"/>
      <c r="G1044752" s="24"/>
      <c r="H1044752" s="24"/>
      <c r="I1044752" s="24"/>
      <c r="J1044752" s="24"/>
      <c r="K1044752" s="54"/>
    </row>
    <row r="1044753" spans="1:11" s="55" customFormat="1" ht="12.75">
      <c r="A1044753" s="24"/>
      <c r="B1044753" s="24"/>
      <c r="C1044753" s="24"/>
      <c r="D1044753" s="24"/>
      <c r="E1044753" s="24"/>
      <c r="F1044753" s="24"/>
      <c r="G1044753" s="24"/>
      <c r="H1044753" s="24"/>
      <c r="I1044753" s="24"/>
      <c r="J1044753" s="24"/>
      <c r="K1044753" s="54"/>
    </row>
    <row r="1044754" spans="1:11" s="55" customFormat="1" ht="12.75">
      <c r="A1044754" s="24"/>
      <c r="B1044754" s="24"/>
      <c r="C1044754" s="24"/>
      <c r="D1044754" s="24"/>
      <c r="E1044754" s="24"/>
      <c r="F1044754" s="24"/>
      <c r="G1044754" s="24"/>
      <c r="H1044754" s="24"/>
      <c r="I1044754" s="24"/>
      <c r="J1044754" s="24"/>
      <c r="K1044754" s="54"/>
    </row>
    <row r="1044755" spans="1:11" s="55" customFormat="1" ht="12.75">
      <c r="A1044755" s="24"/>
      <c r="B1044755" s="24"/>
      <c r="C1044755" s="24"/>
      <c r="D1044755" s="24"/>
      <c r="E1044755" s="24"/>
      <c r="F1044755" s="24"/>
      <c r="G1044755" s="24"/>
      <c r="H1044755" s="24"/>
      <c r="I1044755" s="24"/>
      <c r="J1044755" s="24"/>
      <c r="K1044755" s="54"/>
    </row>
    <row r="1044756" spans="1:11" s="55" customFormat="1" ht="12.75">
      <c r="A1044756" s="24"/>
      <c r="B1044756" s="24"/>
      <c r="C1044756" s="24"/>
      <c r="D1044756" s="24"/>
      <c r="E1044756" s="24"/>
      <c r="F1044756" s="24"/>
      <c r="G1044756" s="24"/>
      <c r="H1044756" s="24"/>
      <c r="I1044756" s="24"/>
      <c r="J1044756" s="24"/>
      <c r="K1044756" s="54"/>
    </row>
    <row r="1044757" spans="1:11" s="55" customFormat="1" ht="12.75">
      <c r="A1044757" s="24"/>
      <c r="B1044757" s="24"/>
      <c r="C1044757" s="24"/>
      <c r="D1044757" s="24"/>
      <c r="E1044757" s="24"/>
      <c r="F1044757" s="24"/>
      <c r="G1044757" s="24"/>
      <c r="H1044757" s="24"/>
      <c r="I1044757" s="24"/>
      <c r="J1044757" s="24"/>
      <c r="K1044757" s="54"/>
    </row>
    <row r="1044758" spans="1:11" s="55" customFormat="1" ht="12.75">
      <c r="A1044758" s="24"/>
      <c r="B1044758" s="24"/>
      <c r="C1044758" s="24"/>
      <c r="D1044758" s="24"/>
      <c r="E1044758" s="24"/>
      <c r="F1044758" s="24"/>
      <c r="G1044758" s="24"/>
      <c r="H1044758" s="24"/>
      <c r="I1044758" s="24"/>
      <c r="J1044758" s="24"/>
      <c r="K1044758" s="54"/>
    </row>
    <row r="1044759" spans="1:11" s="55" customFormat="1" ht="12.75">
      <c r="A1044759" s="24"/>
      <c r="B1044759" s="24"/>
      <c r="C1044759" s="24"/>
      <c r="D1044759" s="24"/>
      <c r="E1044759" s="24"/>
      <c r="F1044759" s="24"/>
      <c r="G1044759" s="24"/>
      <c r="H1044759" s="24"/>
      <c r="I1044759" s="24"/>
      <c r="J1044759" s="24"/>
      <c r="K1044759" s="54"/>
    </row>
    <row r="1044760" spans="1:11" s="55" customFormat="1" ht="12.75">
      <c r="A1044760" s="24"/>
      <c r="B1044760" s="24"/>
      <c r="C1044760" s="24"/>
      <c r="D1044760" s="24"/>
      <c r="E1044760" s="24"/>
      <c r="F1044760" s="24"/>
      <c r="G1044760" s="24"/>
      <c r="H1044760" s="24"/>
      <c r="I1044760" s="24"/>
      <c r="J1044760" s="24"/>
      <c r="K1044760" s="54"/>
    </row>
    <row r="1044761" spans="1:11" s="55" customFormat="1" ht="12.75">
      <c r="A1044761" s="24"/>
      <c r="B1044761" s="24"/>
      <c r="C1044761" s="24"/>
      <c r="D1044761" s="24"/>
      <c r="E1044761" s="24"/>
      <c r="F1044761" s="24"/>
      <c r="G1044761" s="24"/>
      <c r="H1044761" s="24"/>
      <c r="I1044761" s="24"/>
      <c r="J1044761" s="24"/>
      <c r="K1044761" s="54"/>
    </row>
    <row r="1044762" spans="1:11" s="55" customFormat="1" ht="12.75">
      <c r="A1044762" s="24"/>
      <c r="B1044762" s="24"/>
      <c r="C1044762" s="24"/>
      <c r="D1044762" s="24"/>
      <c r="E1044762" s="24"/>
      <c r="F1044762" s="24"/>
      <c r="G1044762" s="24"/>
      <c r="H1044762" s="24"/>
      <c r="I1044762" s="24"/>
      <c r="J1044762" s="24"/>
      <c r="K1044762" s="54"/>
    </row>
    <row r="1044763" spans="1:11" s="55" customFormat="1" ht="12.75">
      <c r="A1044763" s="24"/>
      <c r="B1044763" s="24"/>
      <c r="C1044763" s="24"/>
      <c r="D1044763" s="24"/>
      <c r="E1044763" s="24"/>
      <c r="F1044763" s="24"/>
      <c r="G1044763" s="24"/>
      <c r="H1044763" s="24"/>
      <c r="I1044763" s="24"/>
      <c r="J1044763" s="24"/>
      <c r="K1044763" s="54"/>
    </row>
    <row r="1044764" spans="1:11" s="55" customFormat="1" ht="12.75">
      <c r="A1044764" s="24"/>
      <c r="B1044764" s="24"/>
      <c r="C1044764" s="24"/>
      <c r="D1044764" s="24"/>
      <c r="E1044764" s="24"/>
      <c r="F1044764" s="24"/>
      <c r="G1044764" s="24"/>
      <c r="H1044764" s="24"/>
      <c r="I1044764" s="24"/>
      <c r="J1044764" s="24"/>
      <c r="K1044764" s="54"/>
    </row>
    <row r="1044765" spans="1:11" s="55" customFormat="1" ht="12.75">
      <c r="A1044765" s="24"/>
      <c r="B1044765" s="24"/>
      <c r="C1044765" s="24"/>
      <c r="D1044765" s="24"/>
      <c r="E1044765" s="24"/>
      <c r="F1044765" s="24"/>
      <c r="G1044765" s="24"/>
      <c r="H1044765" s="24"/>
      <c r="I1044765" s="24"/>
      <c r="J1044765" s="24"/>
      <c r="K1044765" s="54"/>
    </row>
    <row r="1044766" spans="1:11" s="55" customFormat="1" ht="12.75">
      <c r="A1044766" s="24"/>
      <c r="B1044766" s="24"/>
      <c r="C1044766" s="24"/>
      <c r="D1044766" s="24"/>
      <c r="E1044766" s="24"/>
      <c r="F1044766" s="24"/>
      <c r="G1044766" s="24"/>
      <c r="H1044766" s="24"/>
      <c r="I1044766" s="24"/>
      <c r="J1044766" s="24"/>
      <c r="K1044766" s="54"/>
    </row>
    <row r="1044767" spans="1:11" s="55" customFormat="1" ht="12.75">
      <c r="A1044767" s="24"/>
      <c r="B1044767" s="24"/>
      <c r="C1044767" s="24"/>
      <c r="D1044767" s="24"/>
      <c r="E1044767" s="24"/>
      <c r="F1044767" s="24"/>
      <c r="G1044767" s="24"/>
      <c r="H1044767" s="24"/>
      <c r="I1044767" s="24"/>
      <c r="J1044767" s="24"/>
      <c r="K1044767" s="54"/>
    </row>
    <row r="1044768" spans="1:11" s="55" customFormat="1" ht="12.75">
      <c r="A1044768" s="24"/>
      <c r="B1044768" s="24"/>
      <c r="C1044768" s="24"/>
      <c r="D1044768" s="24"/>
      <c r="E1044768" s="24"/>
      <c r="F1044768" s="24"/>
      <c r="G1044768" s="24"/>
      <c r="H1044768" s="24"/>
      <c r="I1044768" s="24"/>
      <c r="J1044768" s="24"/>
      <c r="K1044768" s="54"/>
    </row>
    <row r="1044769" spans="1:11" s="55" customFormat="1" ht="12.75">
      <c r="A1044769" s="24"/>
      <c r="B1044769" s="24"/>
      <c r="C1044769" s="24"/>
      <c r="D1044769" s="24"/>
      <c r="E1044769" s="24"/>
      <c r="F1044769" s="24"/>
      <c r="G1044769" s="24"/>
      <c r="H1044769" s="24"/>
      <c r="I1044769" s="24"/>
      <c r="J1044769" s="24"/>
      <c r="K1044769" s="54"/>
    </row>
    <row r="1044770" spans="1:11" s="55" customFormat="1" ht="12.75">
      <c r="A1044770" s="24"/>
      <c r="B1044770" s="24"/>
      <c r="C1044770" s="24"/>
      <c r="D1044770" s="24"/>
      <c r="E1044770" s="24"/>
      <c r="F1044770" s="24"/>
      <c r="G1044770" s="24"/>
      <c r="H1044770" s="24"/>
      <c r="I1044770" s="24"/>
      <c r="J1044770" s="24"/>
      <c r="K1044770" s="54"/>
    </row>
    <row r="1044771" spans="1:11" s="55" customFormat="1" ht="12.75">
      <c r="A1044771" s="24"/>
      <c r="B1044771" s="24"/>
      <c r="C1044771" s="24"/>
      <c r="D1044771" s="24"/>
      <c r="E1044771" s="24"/>
      <c r="F1044771" s="24"/>
      <c r="G1044771" s="24"/>
      <c r="H1044771" s="24"/>
      <c r="I1044771" s="24"/>
      <c r="J1044771" s="24"/>
      <c r="K1044771" s="54"/>
    </row>
    <row r="1044772" spans="1:11" s="55" customFormat="1" ht="12.75">
      <c r="A1044772" s="24"/>
      <c r="B1044772" s="24"/>
      <c r="C1044772" s="24"/>
      <c r="D1044772" s="24"/>
      <c r="E1044772" s="24"/>
      <c r="F1044772" s="24"/>
      <c r="G1044772" s="24"/>
      <c r="H1044772" s="24"/>
      <c r="I1044772" s="24"/>
      <c r="J1044772" s="24"/>
      <c r="K1044772" s="54"/>
    </row>
    <row r="1044773" spans="1:11" s="55" customFormat="1" ht="12.75">
      <c r="A1044773" s="24"/>
      <c r="B1044773" s="24"/>
      <c r="C1044773" s="24"/>
      <c r="D1044773" s="24"/>
      <c r="E1044773" s="24"/>
      <c r="F1044773" s="24"/>
      <c r="G1044773" s="24"/>
      <c r="H1044773" s="24"/>
      <c r="I1044773" s="24"/>
      <c r="J1044773" s="24"/>
      <c r="K1044773" s="54"/>
    </row>
    <row r="1044774" spans="1:11" s="55" customFormat="1" ht="12.75">
      <c r="A1044774" s="24"/>
      <c r="B1044774" s="24"/>
      <c r="C1044774" s="24"/>
      <c r="D1044774" s="24"/>
      <c r="E1044774" s="24"/>
      <c r="F1044774" s="24"/>
      <c r="G1044774" s="24"/>
      <c r="H1044774" s="24"/>
      <c r="I1044774" s="24"/>
      <c r="J1044774" s="24"/>
      <c r="K1044774" s="54"/>
    </row>
    <row r="1044775" spans="1:11" s="55" customFormat="1" ht="12.75">
      <c r="A1044775" s="24"/>
      <c r="B1044775" s="24"/>
      <c r="C1044775" s="24"/>
      <c r="D1044775" s="24"/>
      <c r="E1044775" s="24"/>
      <c r="F1044775" s="24"/>
      <c r="G1044775" s="24"/>
      <c r="H1044775" s="24"/>
      <c r="I1044775" s="24"/>
      <c r="J1044775" s="24"/>
      <c r="K1044775" s="54"/>
    </row>
    <row r="1044776" spans="1:11" s="55" customFormat="1" ht="12.75">
      <c r="A1044776" s="24"/>
      <c r="B1044776" s="24"/>
      <c r="C1044776" s="24"/>
      <c r="D1044776" s="24"/>
      <c r="E1044776" s="24"/>
      <c r="F1044776" s="24"/>
      <c r="G1044776" s="24"/>
      <c r="H1044776" s="24"/>
      <c r="I1044776" s="24"/>
      <c r="J1044776" s="24"/>
      <c r="K1044776" s="54"/>
    </row>
    <row r="1044777" spans="1:11" s="55" customFormat="1" ht="12.75">
      <c r="A1044777" s="24"/>
      <c r="B1044777" s="24"/>
      <c r="C1044777" s="24"/>
      <c r="D1044777" s="24"/>
      <c r="E1044777" s="24"/>
      <c r="F1044777" s="24"/>
      <c r="G1044777" s="24"/>
      <c r="H1044777" s="24"/>
      <c r="I1044777" s="24"/>
      <c r="J1044777" s="24"/>
      <c r="K1044777" s="54"/>
    </row>
    <row r="1044778" spans="1:11" s="55" customFormat="1" ht="12.75">
      <c r="A1044778" s="24"/>
      <c r="B1044778" s="24"/>
      <c r="C1044778" s="24"/>
      <c r="D1044778" s="24"/>
      <c r="E1044778" s="24"/>
      <c r="F1044778" s="24"/>
      <c r="G1044778" s="24"/>
      <c r="H1044778" s="24"/>
      <c r="I1044778" s="24"/>
      <c r="J1044778" s="24"/>
      <c r="K1044778" s="54"/>
    </row>
    <row r="1044779" spans="1:11" s="55" customFormat="1" ht="12.75">
      <c r="A1044779" s="24"/>
      <c r="B1044779" s="24"/>
      <c r="C1044779" s="24"/>
      <c r="D1044779" s="24"/>
      <c r="E1044779" s="24"/>
      <c r="F1044779" s="24"/>
      <c r="G1044779" s="24"/>
      <c r="H1044779" s="24"/>
      <c r="I1044779" s="24"/>
      <c r="J1044779" s="24"/>
      <c r="K1044779" s="54"/>
    </row>
    <row r="1044780" spans="1:11" s="55" customFormat="1" ht="12.75">
      <c r="A1044780" s="24"/>
      <c r="B1044780" s="24"/>
      <c r="C1044780" s="24"/>
      <c r="D1044780" s="24"/>
      <c r="E1044780" s="24"/>
      <c r="F1044780" s="24"/>
      <c r="G1044780" s="24"/>
      <c r="H1044780" s="24"/>
      <c r="I1044780" s="24"/>
      <c r="J1044780" s="24"/>
      <c r="K1044780" s="54"/>
    </row>
    <row r="1044781" spans="1:11" s="55" customFormat="1" ht="12.75">
      <c r="A1044781" s="24"/>
      <c r="B1044781" s="24"/>
      <c r="C1044781" s="24"/>
      <c r="D1044781" s="24"/>
      <c r="E1044781" s="24"/>
      <c r="F1044781" s="24"/>
      <c r="G1044781" s="24"/>
      <c r="H1044781" s="24"/>
      <c r="I1044781" s="24"/>
      <c r="J1044781" s="24"/>
      <c r="K1044781" s="54"/>
    </row>
    <row r="1044782" spans="1:11" s="55" customFormat="1" ht="12.75">
      <c r="A1044782" s="24"/>
      <c r="B1044782" s="24"/>
      <c r="C1044782" s="24"/>
      <c r="D1044782" s="24"/>
      <c r="E1044782" s="24"/>
      <c r="F1044782" s="24"/>
      <c r="G1044782" s="24"/>
      <c r="H1044782" s="24"/>
      <c r="I1044782" s="24"/>
      <c r="J1044782" s="24"/>
      <c r="K1044782" s="54"/>
    </row>
    <row r="1044783" spans="1:11" s="55" customFormat="1" ht="12.75">
      <c r="A1044783" s="24"/>
      <c r="B1044783" s="24"/>
      <c r="C1044783" s="24"/>
      <c r="D1044783" s="24"/>
      <c r="E1044783" s="24"/>
      <c r="F1044783" s="24"/>
      <c r="G1044783" s="24"/>
      <c r="H1044783" s="24"/>
      <c r="I1044783" s="24"/>
      <c r="J1044783" s="24"/>
      <c r="K1044783" s="54"/>
    </row>
    <row r="1044784" spans="1:11" s="55" customFormat="1" ht="12.75">
      <c r="A1044784" s="24"/>
      <c r="B1044784" s="24"/>
      <c r="C1044784" s="24"/>
      <c r="D1044784" s="24"/>
      <c r="E1044784" s="24"/>
      <c r="F1044784" s="24"/>
      <c r="G1044784" s="24"/>
      <c r="H1044784" s="24"/>
      <c r="I1044784" s="24"/>
      <c r="J1044784" s="24"/>
      <c r="K1044784" s="54"/>
    </row>
    <row r="1044785" spans="1:11" s="55" customFormat="1" ht="12.75">
      <c r="A1044785" s="24"/>
      <c r="B1044785" s="24"/>
      <c r="C1044785" s="24"/>
      <c r="D1044785" s="24"/>
      <c r="E1044785" s="24"/>
      <c r="F1044785" s="24"/>
      <c r="G1044785" s="24"/>
      <c r="H1044785" s="24"/>
      <c r="I1044785" s="24"/>
      <c r="J1044785" s="24"/>
      <c r="K1044785" s="54"/>
    </row>
    <row r="1044786" spans="1:11" s="55" customFormat="1" ht="12.75">
      <c r="A1044786" s="24"/>
      <c r="B1044786" s="24"/>
      <c r="C1044786" s="24"/>
      <c r="D1044786" s="24"/>
      <c r="E1044786" s="24"/>
      <c r="F1044786" s="24"/>
      <c r="G1044786" s="24"/>
      <c r="H1044786" s="24"/>
      <c r="I1044786" s="24"/>
      <c r="J1044786" s="24"/>
      <c r="K1044786" s="54"/>
    </row>
    <row r="1044787" spans="1:11" s="55" customFormat="1" ht="12.75">
      <c r="A1044787" s="24"/>
      <c r="B1044787" s="24"/>
      <c r="C1044787" s="24"/>
      <c r="D1044787" s="24"/>
      <c r="E1044787" s="24"/>
      <c r="F1044787" s="24"/>
      <c r="G1044787" s="24"/>
      <c r="H1044787" s="24"/>
      <c r="I1044787" s="24"/>
      <c r="J1044787" s="24"/>
      <c r="K1044787" s="54"/>
    </row>
    <row r="1044788" spans="1:11" s="55" customFormat="1" ht="12.75">
      <c r="A1044788" s="24"/>
      <c r="B1044788" s="24"/>
      <c r="C1044788" s="24"/>
      <c r="D1044788" s="24"/>
      <c r="E1044788" s="24"/>
      <c r="F1044788" s="24"/>
      <c r="G1044788" s="24"/>
      <c r="H1044788" s="24"/>
      <c r="I1044788" s="24"/>
      <c r="J1044788" s="24"/>
      <c r="K1044788" s="54"/>
    </row>
    <row r="1044789" spans="1:11" s="55" customFormat="1" ht="12.75">
      <c r="A1044789" s="24"/>
      <c r="B1044789" s="24"/>
      <c r="C1044789" s="24"/>
      <c r="D1044789" s="24"/>
      <c r="E1044789" s="24"/>
      <c r="F1044789" s="24"/>
      <c r="G1044789" s="24"/>
      <c r="H1044789" s="24"/>
      <c r="I1044789" s="24"/>
      <c r="J1044789" s="24"/>
      <c r="K1044789" s="54"/>
    </row>
    <row r="1044790" spans="1:11" s="55" customFormat="1" ht="12.75">
      <c r="A1044790" s="24"/>
      <c r="B1044790" s="24"/>
      <c r="C1044790" s="24"/>
      <c r="D1044790" s="24"/>
      <c r="E1044790" s="24"/>
      <c r="F1044790" s="24"/>
      <c r="G1044790" s="24"/>
      <c r="H1044790" s="24"/>
      <c r="I1044790" s="24"/>
      <c r="J1044790" s="24"/>
      <c r="K1044790" s="54"/>
    </row>
    <row r="1044791" spans="1:11" s="55" customFormat="1" ht="12.75">
      <c r="A1044791" s="24"/>
      <c r="B1044791" s="24"/>
      <c r="C1044791" s="24"/>
      <c r="D1044791" s="24"/>
      <c r="E1044791" s="24"/>
      <c r="F1044791" s="24"/>
      <c r="G1044791" s="24"/>
      <c r="H1044791" s="24"/>
      <c r="I1044791" s="24"/>
      <c r="J1044791" s="24"/>
      <c r="K1044791" s="54"/>
    </row>
    <row r="1044792" spans="1:11" s="55" customFormat="1" ht="12.75">
      <c r="A1044792" s="24"/>
      <c r="B1044792" s="24"/>
      <c r="C1044792" s="24"/>
      <c r="D1044792" s="24"/>
      <c r="E1044792" s="24"/>
      <c r="F1044792" s="24"/>
      <c r="G1044792" s="24"/>
      <c r="H1044792" s="24"/>
      <c r="I1044792" s="24"/>
      <c r="J1044792" s="24"/>
      <c r="K1044792" s="54"/>
    </row>
    <row r="1044793" spans="1:11" s="55" customFormat="1" ht="12.75">
      <c r="A1044793" s="24"/>
      <c r="B1044793" s="24"/>
      <c r="C1044793" s="24"/>
      <c r="D1044793" s="24"/>
      <c r="E1044793" s="24"/>
      <c r="F1044793" s="24"/>
      <c r="G1044793" s="24"/>
      <c r="H1044793" s="24"/>
      <c r="I1044793" s="24"/>
      <c r="J1044793" s="24"/>
      <c r="K1044793" s="54"/>
    </row>
    <row r="1044794" spans="1:11" s="55" customFormat="1" ht="12.75">
      <c r="A1044794" s="24"/>
      <c r="B1044794" s="24"/>
      <c r="C1044794" s="24"/>
      <c r="D1044794" s="24"/>
      <c r="E1044794" s="24"/>
      <c r="F1044794" s="24"/>
      <c r="G1044794" s="24"/>
      <c r="H1044794" s="24"/>
      <c r="I1044794" s="24"/>
      <c r="J1044794" s="24"/>
      <c r="K1044794" s="54"/>
    </row>
    <row r="1044795" spans="1:11" s="55" customFormat="1" ht="12.75">
      <c r="A1044795" s="24"/>
      <c r="B1044795" s="24"/>
      <c r="C1044795" s="24"/>
      <c r="D1044795" s="24"/>
      <c r="E1044795" s="24"/>
      <c r="F1044795" s="24"/>
      <c r="G1044795" s="24"/>
      <c r="H1044795" s="24"/>
      <c r="I1044795" s="24"/>
      <c r="J1044795" s="24"/>
      <c r="K1044795" s="54"/>
    </row>
    <row r="1044796" spans="1:11" s="55" customFormat="1" ht="12.75">
      <c r="A1044796" s="24"/>
      <c r="B1044796" s="24"/>
      <c r="C1044796" s="24"/>
      <c r="D1044796" s="24"/>
      <c r="E1044796" s="24"/>
      <c r="F1044796" s="24"/>
      <c r="G1044796" s="24"/>
      <c r="H1044796" s="24"/>
      <c r="I1044796" s="24"/>
      <c r="J1044796" s="24"/>
      <c r="K1044796" s="54"/>
    </row>
    <row r="1044797" spans="1:11" s="55" customFormat="1" ht="12.75">
      <c r="A1044797" s="24"/>
      <c r="B1044797" s="24"/>
      <c r="C1044797" s="24"/>
      <c r="D1044797" s="24"/>
      <c r="E1044797" s="24"/>
      <c r="F1044797" s="24"/>
      <c r="G1044797" s="24"/>
      <c r="H1044797" s="24"/>
      <c r="I1044797" s="24"/>
      <c r="J1044797" s="24"/>
      <c r="K1044797" s="54"/>
    </row>
    <row r="1044798" spans="1:11" s="55" customFormat="1" ht="12.75">
      <c r="A1044798" s="24"/>
      <c r="B1044798" s="24"/>
      <c r="C1044798" s="24"/>
      <c r="D1044798" s="24"/>
      <c r="E1044798" s="24"/>
      <c r="F1044798" s="24"/>
      <c r="G1044798" s="24"/>
      <c r="H1044798" s="24"/>
      <c r="I1044798" s="24"/>
      <c r="J1044798" s="24"/>
      <c r="K1044798" s="54"/>
    </row>
    <row r="1044799" spans="1:11" s="55" customFormat="1" ht="12.75">
      <c r="A1044799" s="24"/>
      <c r="B1044799" s="24"/>
      <c r="C1044799" s="24"/>
      <c r="D1044799" s="24"/>
      <c r="E1044799" s="24"/>
      <c r="F1044799" s="24"/>
      <c r="G1044799" s="24"/>
      <c r="H1044799" s="24"/>
      <c r="I1044799" s="24"/>
      <c r="J1044799" s="24"/>
      <c r="K1044799" s="54"/>
    </row>
    <row r="1044800" spans="1:11" s="55" customFormat="1" ht="12.75">
      <c r="A1044800" s="24"/>
      <c r="B1044800" s="24"/>
      <c r="C1044800" s="24"/>
      <c r="D1044800" s="24"/>
      <c r="E1044800" s="24"/>
      <c r="F1044800" s="24"/>
      <c r="G1044800" s="24"/>
      <c r="H1044800" s="24"/>
      <c r="I1044800" s="24"/>
      <c r="J1044800" s="24"/>
      <c r="K1044800" s="54"/>
    </row>
    <row r="1044801" spans="1:11" s="55" customFormat="1" ht="12.75">
      <c r="A1044801" s="24"/>
      <c r="B1044801" s="24"/>
      <c r="C1044801" s="24"/>
      <c r="D1044801" s="24"/>
      <c r="E1044801" s="24"/>
      <c r="F1044801" s="24"/>
      <c r="G1044801" s="24"/>
      <c r="H1044801" s="24"/>
      <c r="I1044801" s="24"/>
      <c r="J1044801" s="24"/>
      <c r="K1044801" s="54"/>
    </row>
    <row r="1044802" spans="1:11" s="55" customFormat="1" ht="12.75">
      <c r="A1044802" s="24"/>
      <c r="B1044802" s="24"/>
      <c r="C1044802" s="24"/>
      <c r="D1044802" s="24"/>
      <c r="E1044802" s="24"/>
      <c r="F1044802" s="24"/>
      <c r="G1044802" s="24"/>
      <c r="H1044802" s="24"/>
      <c r="I1044802" s="24"/>
      <c r="J1044802" s="24"/>
      <c r="K1044802" s="54"/>
    </row>
    <row r="1044803" spans="1:11" s="55" customFormat="1" ht="12.75">
      <c r="A1044803" s="24"/>
      <c r="B1044803" s="24"/>
      <c r="C1044803" s="24"/>
      <c r="D1044803" s="24"/>
      <c r="E1044803" s="24"/>
      <c r="F1044803" s="24"/>
      <c r="G1044803" s="24"/>
      <c r="H1044803" s="24"/>
      <c r="I1044803" s="24"/>
      <c r="J1044803" s="24"/>
      <c r="K1044803" s="54"/>
    </row>
    <row r="1044804" spans="1:11" s="55" customFormat="1" ht="12.75">
      <c r="A1044804" s="24"/>
      <c r="B1044804" s="24"/>
      <c r="C1044804" s="24"/>
      <c r="D1044804" s="24"/>
      <c r="E1044804" s="24"/>
      <c r="F1044804" s="24"/>
      <c r="G1044804" s="24"/>
      <c r="H1044804" s="24"/>
      <c r="I1044804" s="24"/>
      <c r="J1044804" s="24"/>
      <c r="K1044804" s="54"/>
    </row>
    <row r="1044805" spans="1:11" s="55" customFormat="1" ht="12.75">
      <c r="A1044805" s="24"/>
      <c r="B1044805" s="24"/>
      <c r="C1044805" s="24"/>
      <c r="D1044805" s="24"/>
      <c r="E1044805" s="24"/>
      <c r="F1044805" s="24"/>
      <c r="G1044805" s="24"/>
      <c r="H1044805" s="24"/>
      <c r="I1044805" s="24"/>
      <c r="J1044805" s="24"/>
      <c r="K1044805" s="54"/>
    </row>
    <row r="1044806" spans="1:11" s="55" customFormat="1" ht="12.75">
      <c r="A1044806" s="24"/>
      <c r="B1044806" s="24"/>
      <c r="C1044806" s="24"/>
      <c r="D1044806" s="24"/>
      <c r="E1044806" s="24"/>
      <c r="F1044806" s="24"/>
      <c r="G1044806" s="24"/>
      <c r="H1044806" s="24"/>
      <c r="I1044806" s="24"/>
      <c r="J1044806" s="24"/>
      <c r="K1044806" s="54"/>
    </row>
    <row r="1044807" spans="1:11" s="55" customFormat="1" ht="12.75">
      <c r="A1044807" s="24"/>
      <c r="B1044807" s="24"/>
      <c r="C1044807" s="24"/>
      <c r="D1044807" s="24"/>
      <c r="E1044807" s="24"/>
      <c r="F1044807" s="24"/>
      <c r="G1044807" s="24"/>
      <c r="H1044807" s="24"/>
      <c r="I1044807" s="24"/>
      <c r="J1044807" s="24"/>
      <c r="K1044807" s="54"/>
    </row>
    <row r="1044808" spans="1:11" s="55" customFormat="1" ht="12.75">
      <c r="A1044808" s="24"/>
      <c r="B1044808" s="24"/>
      <c r="C1044808" s="24"/>
      <c r="D1044808" s="24"/>
      <c r="E1044808" s="24"/>
      <c r="F1044808" s="24"/>
      <c r="G1044808" s="24"/>
      <c r="H1044808" s="24"/>
      <c r="I1044808" s="24"/>
      <c r="J1044808" s="24"/>
      <c r="K1044808" s="54"/>
    </row>
    <row r="1044809" spans="1:11" s="55" customFormat="1" ht="12.75">
      <c r="A1044809" s="24"/>
      <c r="B1044809" s="24"/>
      <c r="C1044809" s="24"/>
      <c r="D1044809" s="24"/>
      <c r="E1044809" s="24"/>
      <c r="F1044809" s="24"/>
      <c r="G1044809" s="24"/>
      <c r="H1044809" s="24"/>
      <c r="I1044809" s="24"/>
      <c r="J1044809" s="24"/>
      <c r="K1044809" s="54"/>
    </row>
    <row r="1044810" spans="1:11" s="55" customFormat="1" ht="12.75">
      <c r="A1044810" s="24"/>
      <c r="B1044810" s="24"/>
      <c r="C1044810" s="24"/>
      <c r="D1044810" s="24"/>
      <c r="E1044810" s="24"/>
      <c r="F1044810" s="24"/>
      <c r="G1044810" s="24"/>
      <c r="H1044810" s="24"/>
      <c r="I1044810" s="24"/>
      <c r="J1044810" s="24"/>
      <c r="K1044810" s="54"/>
    </row>
    <row r="1044811" spans="1:11" s="55" customFormat="1" ht="12.75">
      <c r="A1044811" s="24"/>
      <c r="B1044811" s="24"/>
      <c r="C1044811" s="24"/>
      <c r="D1044811" s="24"/>
      <c r="E1044811" s="24"/>
      <c r="F1044811" s="24"/>
      <c r="G1044811" s="24"/>
      <c r="H1044811" s="24"/>
      <c r="I1044811" s="24"/>
      <c r="J1044811" s="24"/>
      <c r="K1044811" s="54"/>
    </row>
    <row r="1044812" spans="1:11" s="55" customFormat="1" ht="12.75">
      <c r="A1044812" s="24"/>
      <c r="B1044812" s="24"/>
      <c r="C1044812" s="24"/>
      <c r="D1044812" s="24"/>
      <c r="E1044812" s="24"/>
      <c r="F1044812" s="24"/>
      <c r="G1044812" s="24"/>
      <c r="H1044812" s="24"/>
      <c r="I1044812" s="24"/>
      <c r="J1044812" s="24"/>
      <c r="K1044812" s="54"/>
    </row>
    <row r="1044813" spans="1:11" s="55" customFormat="1" ht="12.75">
      <c r="A1044813" s="24"/>
      <c r="B1044813" s="24"/>
      <c r="C1044813" s="24"/>
      <c r="D1044813" s="24"/>
      <c r="E1044813" s="24"/>
      <c r="F1044813" s="24"/>
      <c r="G1044813" s="24"/>
      <c r="H1044813" s="24"/>
      <c r="I1044813" s="24"/>
      <c r="J1044813" s="24"/>
      <c r="K1044813" s="54"/>
    </row>
    <row r="1044814" spans="1:11" s="55" customFormat="1" ht="12.75">
      <c r="A1044814" s="24"/>
      <c r="B1044814" s="24"/>
      <c r="C1044814" s="24"/>
      <c r="D1044814" s="24"/>
      <c r="E1044814" s="24"/>
      <c r="F1044814" s="24"/>
      <c r="G1044814" s="24"/>
      <c r="H1044814" s="24"/>
      <c r="I1044814" s="24"/>
      <c r="J1044814" s="24"/>
      <c r="K1044814" s="54"/>
    </row>
    <row r="1044815" spans="1:11" s="55" customFormat="1" ht="12.75">
      <c r="A1044815" s="24"/>
      <c r="B1044815" s="24"/>
      <c r="C1044815" s="24"/>
      <c r="D1044815" s="24"/>
      <c r="E1044815" s="24"/>
      <c r="F1044815" s="24"/>
      <c r="G1044815" s="24"/>
      <c r="H1044815" s="24"/>
      <c r="I1044815" s="24"/>
      <c r="J1044815" s="24"/>
      <c r="K1044815" s="54"/>
    </row>
    <row r="1044816" spans="1:11" s="55" customFormat="1" ht="12.75">
      <c r="A1044816" s="24"/>
      <c r="B1044816" s="24"/>
      <c r="C1044816" s="24"/>
      <c r="D1044816" s="24"/>
      <c r="E1044816" s="24"/>
      <c r="F1044816" s="24"/>
      <c r="G1044816" s="24"/>
      <c r="H1044816" s="24"/>
      <c r="I1044816" s="24"/>
      <c r="J1044816" s="24"/>
      <c r="K1044816" s="54"/>
    </row>
    <row r="1044817" spans="1:11" s="55" customFormat="1" ht="12.75">
      <c r="A1044817" s="24"/>
      <c r="B1044817" s="24"/>
      <c r="C1044817" s="24"/>
      <c r="D1044817" s="24"/>
      <c r="E1044817" s="24"/>
      <c r="F1044817" s="24"/>
      <c r="G1044817" s="24"/>
      <c r="H1044817" s="24"/>
      <c r="I1044817" s="24"/>
      <c r="J1044817" s="24"/>
      <c r="K1044817" s="54"/>
    </row>
    <row r="1044818" spans="1:11" s="55" customFormat="1" ht="12.75">
      <c r="A1044818" s="24"/>
      <c r="B1044818" s="24"/>
      <c r="C1044818" s="24"/>
      <c r="D1044818" s="24"/>
      <c r="E1044818" s="24"/>
      <c r="F1044818" s="24"/>
      <c r="G1044818" s="24"/>
      <c r="H1044818" s="24"/>
      <c r="I1044818" s="24"/>
      <c r="J1044818" s="24"/>
      <c r="K1044818" s="54"/>
    </row>
    <row r="1044819" spans="1:11" s="55" customFormat="1" ht="12.75">
      <c r="A1044819" s="24"/>
      <c r="B1044819" s="24"/>
      <c r="C1044819" s="24"/>
      <c r="D1044819" s="24"/>
      <c r="E1044819" s="24"/>
      <c r="F1044819" s="24"/>
      <c r="G1044819" s="24"/>
      <c r="H1044819" s="24"/>
      <c r="I1044819" s="24"/>
      <c r="J1044819" s="24"/>
      <c r="K1044819" s="54"/>
    </row>
    <row r="1044820" spans="1:11" s="55" customFormat="1" ht="12.75">
      <c r="A1044820" s="24"/>
      <c r="B1044820" s="24"/>
      <c r="C1044820" s="24"/>
      <c r="D1044820" s="24"/>
      <c r="E1044820" s="24"/>
      <c r="F1044820" s="24"/>
      <c r="G1044820" s="24"/>
      <c r="H1044820" s="24"/>
      <c r="I1044820" s="24"/>
      <c r="J1044820" s="24"/>
      <c r="K1044820" s="54"/>
    </row>
    <row r="1044821" spans="1:11" s="55" customFormat="1" ht="12.75">
      <c r="A1044821" s="24"/>
      <c r="B1044821" s="24"/>
      <c r="C1044821" s="24"/>
      <c r="D1044821" s="24"/>
      <c r="E1044821" s="24"/>
      <c r="F1044821" s="24"/>
      <c r="G1044821" s="24"/>
      <c r="H1044821" s="24"/>
      <c r="I1044821" s="24"/>
      <c r="J1044821" s="24"/>
      <c r="K1044821" s="54"/>
    </row>
    <row r="1044822" spans="1:11" s="55" customFormat="1" ht="12.75">
      <c r="A1044822" s="24"/>
      <c r="B1044822" s="24"/>
      <c r="C1044822" s="24"/>
      <c r="D1044822" s="24"/>
      <c r="E1044822" s="24"/>
      <c r="F1044822" s="24"/>
      <c r="G1044822" s="24"/>
      <c r="H1044822" s="24"/>
      <c r="I1044822" s="24"/>
      <c r="J1044822" s="24"/>
      <c r="K1044822" s="54"/>
    </row>
    <row r="1044823" spans="1:11" s="55" customFormat="1" ht="12.75">
      <c r="A1044823" s="24"/>
      <c r="B1044823" s="24"/>
      <c r="C1044823" s="24"/>
      <c r="D1044823" s="24"/>
      <c r="E1044823" s="24"/>
      <c r="F1044823" s="24"/>
      <c r="G1044823" s="24"/>
      <c r="H1044823" s="24"/>
      <c r="I1044823" s="24"/>
      <c r="J1044823" s="24"/>
      <c r="K1044823" s="54"/>
    </row>
    <row r="1044824" spans="1:11" s="55" customFormat="1" ht="12.75">
      <c r="A1044824" s="24"/>
      <c r="B1044824" s="24"/>
      <c r="C1044824" s="24"/>
      <c r="D1044824" s="24"/>
      <c r="E1044824" s="24"/>
      <c r="F1044824" s="24"/>
      <c r="G1044824" s="24"/>
      <c r="H1044824" s="24"/>
      <c r="I1044824" s="24"/>
      <c r="J1044824" s="24"/>
      <c r="K1044824" s="54"/>
    </row>
    <row r="1044825" spans="1:11" s="55" customFormat="1" ht="12.75">
      <c r="A1044825" s="24"/>
      <c r="B1044825" s="24"/>
      <c r="C1044825" s="24"/>
      <c r="D1044825" s="24"/>
      <c r="E1044825" s="24"/>
      <c r="F1044825" s="24"/>
      <c r="G1044825" s="24"/>
      <c r="H1044825" s="24"/>
      <c r="I1044825" s="24"/>
      <c r="J1044825" s="24"/>
      <c r="K1044825" s="54"/>
    </row>
    <row r="1044826" spans="1:11" s="55" customFormat="1" ht="12.75">
      <c r="A1044826" s="24"/>
      <c r="B1044826" s="24"/>
      <c r="C1044826" s="24"/>
      <c r="D1044826" s="24"/>
      <c r="E1044826" s="24"/>
      <c r="F1044826" s="24"/>
      <c r="G1044826" s="24"/>
      <c r="H1044826" s="24"/>
      <c r="I1044826" s="24"/>
      <c r="J1044826" s="24"/>
      <c r="K1044826" s="54"/>
    </row>
    <row r="1044827" spans="1:11" s="55" customFormat="1" ht="12.75">
      <c r="A1044827" s="24"/>
      <c r="B1044827" s="24"/>
      <c r="C1044827" s="24"/>
      <c r="D1044827" s="24"/>
      <c r="E1044827" s="24"/>
      <c r="F1044827" s="24"/>
      <c r="G1044827" s="24"/>
      <c r="H1044827" s="24"/>
      <c r="I1044827" s="24"/>
      <c r="J1044827" s="24"/>
      <c r="K1044827" s="54"/>
    </row>
    <row r="1044828" spans="1:11" s="55" customFormat="1" ht="12.75">
      <c r="A1044828" s="24"/>
      <c r="B1044828" s="24"/>
      <c r="C1044828" s="24"/>
      <c r="D1044828" s="24"/>
      <c r="E1044828" s="24"/>
      <c r="F1044828" s="24"/>
      <c r="G1044828" s="24"/>
      <c r="H1044828" s="24"/>
      <c r="I1044828" s="24"/>
      <c r="J1044828" s="24"/>
      <c r="K1044828" s="54"/>
    </row>
    <row r="1044829" spans="1:11" s="55" customFormat="1" ht="12.75">
      <c r="A1044829" s="24"/>
      <c r="B1044829" s="24"/>
      <c r="C1044829" s="24"/>
      <c r="D1044829" s="24"/>
      <c r="E1044829" s="24"/>
      <c r="F1044829" s="24"/>
      <c r="G1044829" s="24"/>
      <c r="H1044829" s="24"/>
      <c r="I1044829" s="24"/>
      <c r="J1044829" s="24"/>
      <c r="K1044829" s="54"/>
    </row>
    <row r="1044830" spans="1:11" s="55" customFormat="1" ht="12.75">
      <c r="A1044830" s="24"/>
      <c r="B1044830" s="24"/>
      <c r="C1044830" s="24"/>
      <c r="D1044830" s="24"/>
      <c r="E1044830" s="24"/>
      <c r="F1044830" s="24"/>
      <c r="G1044830" s="24"/>
      <c r="H1044830" s="24"/>
      <c r="I1044830" s="24"/>
      <c r="J1044830" s="24"/>
      <c r="K1044830" s="54"/>
    </row>
    <row r="1044831" spans="1:11" s="55" customFormat="1" ht="12.75">
      <c r="A1044831" s="24"/>
      <c r="B1044831" s="24"/>
      <c r="C1044831" s="24"/>
      <c r="D1044831" s="24"/>
      <c r="E1044831" s="24"/>
      <c r="F1044831" s="24"/>
      <c r="G1044831" s="24"/>
      <c r="H1044831" s="24"/>
      <c r="I1044831" s="24"/>
      <c r="J1044831" s="24"/>
      <c r="K1044831" s="54"/>
    </row>
    <row r="1044832" spans="1:11" s="55" customFormat="1" ht="12.75">
      <c r="A1044832" s="24"/>
      <c r="B1044832" s="24"/>
      <c r="C1044832" s="24"/>
      <c r="D1044832" s="24"/>
      <c r="E1044832" s="24"/>
      <c r="F1044832" s="24"/>
      <c r="G1044832" s="24"/>
      <c r="H1044832" s="24"/>
      <c r="I1044832" s="24"/>
      <c r="J1044832" s="24"/>
      <c r="K1044832" s="54"/>
    </row>
    <row r="1044833" spans="1:11" s="55" customFormat="1" ht="12.75">
      <c r="A1044833" s="24"/>
      <c r="B1044833" s="24"/>
      <c r="C1044833" s="24"/>
      <c r="D1044833" s="24"/>
      <c r="E1044833" s="24"/>
      <c r="F1044833" s="24"/>
      <c r="G1044833" s="24"/>
      <c r="H1044833" s="24"/>
      <c r="I1044833" s="24"/>
      <c r="J1044833" s="24"/>
      <c r="K1044833" s="54"/>
    </row>
    <row r="1044834" spans="1:11" s="55" customFormat="1" ht="12.75">
      <c r="A1044834" s="24"/>
      <c r="B1044834" s="24"/>
      <c r="C1044834" s="24"/>
      <c r="D1044834" s="24"/>
      <c r="E1044834" s="24"/>
      <c r="F1044834" s="24"/>
      <c r="G1044834" s="24"/>
      <c r="H1044834" s="24"/>
      <c r="I1044834" s="24"/>
      <c r="J1044834" s="24"/>
      <c r="K1044834" s="54"/>
    </row>
    <row r="1044835" spans="1:11" s="55" customFormat="1" ht="12.75">
      <c r="A1044835" s="24"/>
      <c r="B1044835" s="24"/>
      <c r="C1044835" s="24"/>
      <c r="D1044835" s="24"/>
      <c r="E1044835" s="24"/>
      <c r="F1044835" s="24"/>
      <c r="G1044835" s="24"/>
      <c r="H1044835" s="24"/>
      <c r="I1044835" s="24"/>
      <c r="J1044835" s="24"/>
      <c r="K1044835" s="54"/>
    </row>
    <row r="1044836" spans="1:11" s="55" customFormat="1" ht="12.75">
      <c r="A1044836" s="24"/>
      <c r="B1044836" s="24"/>
      <c r="C1044836" s="24"/>
      <c r="D1044836" s="24"/>
      <c r="E1044836" s="24"/>
      <c r="F1044836" s="24"/>
      <c r="G1044836" s="24"/>
      <c r="H1044836" s="24"/>
      <c r="I1044836" s="24"/>
      <c r="J1044836" s="24"/>
      <c r="K1044836" s="54"/>
    </row>
    <row r="1044837" spans="1:11" s="55" customFormat="1" ht="12.75">
      <c r="A1044837" s="24"/>
      <c r="B1044837" s="24"/>
      <c r="C1044837" s="24"/>
      <c r="D1044837" s="24"/>
      <c r="E1044837" s="24"/>
      <c r="F1044837" s="24"/>
      <c r="G1044837" s="24"/>
      <c r="H1044837" s="24"/>
      <c r="I1044837" s="24"/>
      <c r="J1044837" s="24"/>
      <c r="K1044837" s="54"/>
    </row>
    <row r="1044838" spans="1:11" s="55" customFormat="1" ht="12.75">
      <c r="A1044838" s="24"/>
      <c r="B1044838" s="24"/>
      <c r="C1044838" s="24"/>
      <c r="D1044838" s="24"/>
      <c r="E1044838" s="24"/>
      <c r="F1044838" s="24"/>
      <c r="G1044838" s="24"/>
      <c r="H1044838" s="24"/>
      <c r="I1044838" s="24"/>
      <c r="J1044838" s="24"/>
      <c r="K1044838" s="54"/>
    </row>
    <row r="1044839" spans="1:11" s="55" customFormat="1" ht="12.75">
      <c r="A1044839" s="24"/>
      <c r="B1044839" s="24"/>
      <c r="C1044839" s="24"/>
      <c r="D1044839" s="24"/>
      <c r="E1044839" s="24"/>
      <c r="F1044839" s="24"/>
      <c r="G1044839" s="24"/>
      <c r="H1044839" s="24"/>
      <c r="I1044839" s="24"/>
      <c r="J1044839" s="24"/>
      <c r="K1044839" s="54"/>
    </row>
    <row r="1044840" spans="1:11" s="55" customFormat="1" ht="12.75">
      <c r="A1044840" s="24"/>
      <c r="B1044840" s="24"/>
      <c r="C1044840" s="24"/>
      <c r="D1044840" s="24"/>
      <c r="E1044840" s="24"/>
      <c r="F1044840" s="24"/>
      <c r="G1044840" s="24"/>
      <c r="H1044840" s="24"/>
      <c r="I1044840" s="24"/>
      <c r="J1044840" s="24"/>
      <c r="K1044840" s="54"/>
    </row>
    <row r="1044841" spans="1:11" s="55" customFormat="1" ht="12.75">
      <c r="A1044841" s="24"/>
      <c r="B1044841" s="24"/>
      <c r="C1044841" s="24"/>
      <c r="D1044841" s="24"/>
      <c r="E1044841" s="24"/>
      <c r="F1044841" s="24"/>
      <c r="G1044841" s="24"/>
      <c r="H1044841" s="24"/>
      <c r="I1044841" s="24"/>
      <c r="J1044841" s="24"/>
      <c r="K1044841" s="54"/>
    </row>
    <row r="1044842" spans="1:11" s="55" customFormat="1" ht="12.75">
      <c r="A1044842" s="24"/>
      <c r="B1044842" s="24"/>
      <c r="C1044842" s="24"/>
      <c r="D1044842" s="24"/>
      <c r="E1044842" s="24"/>
      <c r="F1044842" s="24"/>
      <c r="G1044842" s="24"/>
      <c r="H1044842" s="24"/>
      <c r="I1044842" s="24"/>
      <c r="J1044842" s="24"/>
      <c r="K1044842" s="54"/>
    </row>
    <row r="1044843" spans="1:11" s="55" customFormat="1" ht="12.75">
      <c r="A1044843" s="24"/>
      <c r="B1044843" s="24"/>
      <c r="C1044843" s="24"/>
      <c r="D1044843" s="24"/>
      <c r="E1044843" s="24"/>
      <c r="F1044843" s="24"/>
      <c r="G1044843" s="24"/>
      <c r="H1044843" s="24"/>
      <c r="I1044843" s="24"/>
      <c r="J1044843" s="24"/>
      <c r="K1044843" s="54"/>
    </row>
    <row r="1044844" spans="1:11" s="55" customFormat="1" ht="12.75">
      <c r="A1044844" s="24"/>
      <c r="B1044844" s="24"/>
      <c r="C1044844" s="24"/>
      <c r="D1044844" s="24"/>
      <c r="E1044844" s="24"/>
      <c r="F1044844" s="24"/>
      <c r="G1044844" s="24"/>
      <c r="H1044844" s="24"/>
      <c r="I1044844" s="24"/>
      <c r="J1044844" s="24"/>
      <c r="K1044844" s="54"/>
    </row>
    <row r="1044845" spans="1:11" s="55" customFormat="1" ht="12.75">
      <c r="A1044845" s="24"/>
      <c r="B1044845" s="24"/>
      <c r="C1044845" s="24"/>
      <c r="D1044845" s="24"/>
      <c r="E1044845" s="24"/>
      <c r="F1044845" s="24"/>
      <c r="G1044845" s="24"/>
      <c r="H1044845" s="24"/>
      <c r="I1044845" s="24"/>
      <c r="J1044845" s="24"/>
      <c r="K1044845" s="54"/>
    </row>
    <row r="1044846" spans="1:11" s="55" customFormat="1" ht="12.75">
      <c r="A1044846" s="24"/>
      <c r="B1044846" s="24"/>
      <c r="C1044846" s="24"/>
      <c r="D1044846" s="24"/>
      <c r="E1044846" s="24"/>
      <c r="F1044846" s="24"/>
      <c r="G1044846" s="24"/>
      <c r="H1044846" s="24"/>
      <c r="I1044846" s="24"/>
      <c r="J1044846" s="24"/>
      <c r="K1044846" s="54"/>
    </row>
    <row r="1044847" spans="1:11" s="55" customFormat="1" ht="12.75">
      <c r="A1044847" s="24"/>
      <c r="B1044847" s="24"/>
      <c r="C1044847" s="24"/>
      <c r="D1044847" s="24"/>
      <c r="E1044847" s="24"/>
      <c r="F1044847" s="24"/>
      <c r="G1044847" s="24"/>
      <c r="H1044847" s="24"/>
      <c r="I1044847" s="24"/>
      <c r="J1044847" s="24"/>
      <c r="K1044847" s="54"/>
    </row>
    <row r="1044848" spans="1:11" s="55" customFormat="1" ht="12.75">
      <c r="A1044848" s="24"/>
      <c r="B1044848" s="24"/>
      <c r="C1044848" s="24"/>
      <c r="D1044848" s="24"/>
      <c r="E1044848" s="24"/>
      <c r="F1044848" s="24"/>
      <c r="G1044848" s="24"/>
      <c r="H1044848" s="24"/>
      <c r="I1044848" s="24"/>
      <c r="J1044848" s="24"/>
      <c r="K1044848" s="54"/>
    </row>
    <row r="1044849" spans="1:11" s="55" customFormat="1" ht="12.75">
      <c r="A1044849" s="24"/>
      <c r="B1044849" s="24"/>
      <c r="C1044849" s="24"/>
      <c r="D1044849" s="24"/>
      <c r="E1044849" s="24"/>
      <c r="F1044849" s="24"/>
      <c r="G1044849" s="24"/>
      <c r="H1044849" s="24"/>
      <c r="I1044849" s="24"/>
      <c r="J1044849" s="24"/>
      <c r="K1044849" s="54"/>
    </row>
    <row r="1044850" spans="1:11" s="55" customFormat="1" ht="12.75">
      <c r="A1044850" s="24"/>
      <c r="B1044850" s="24"/>
      <c r="C1044850" s="24"/>
      <c r="D1044850" s="24"/>
      <c r="E1044850" s="24"/>
      <c r="F1044850" s="24"/>
      <c r="G1044850" s="24"/>
      <c r="H1044850" s="24"/>
      <c r="I1044850" s="24"/>
      <c r="J1044850" s="24"/>
      <c r="K1044850" s="54"/>
    </row>
    <row r="1044851" spans="1:11" s="55" customFormat="1" ht="12.75">
      <c r="A1044851" s="24"/>
      <c r="B1044851" s="24"/>
      <c r="C1044851" s="24"/>
      <c r="D1044851" s="24"/>
      <c r="E1044851" s="24"/>
      <c r="F1044851" s="24"/>
      <c r="G1044851" s="24"/>
      <c r="H1044851" s="24"/>
      <c r="I1044851" s="24"/>
      <c r="J1044851" s="24"/>
      <c r="K1044851" s="54"/>
    </row>
    <row r="1044852" spans="1:11" s="55" customFormat="1" ht="12.75">
      <c r="A1044852" s="24"/>
      <c r="B1044852" s="24"/>
      <c r="C1044852" s="24"/>
      <c r="D1044852" s="24"/>
      <c r="E1044852" s="24"/>
      <c r="F1044852" s="24"/>
      <c r="G1044852" s="24"/>
      <c r="H1044852" s="24"/>
      <c r="I1044852" s="24"/>
      <c r="J1044852" s="24"/>
      <c r="K1044852" s="54"/>
    </row>
    <row r="1044853" spans="1:11" s="55" customFormat="1" ht="12.75">
      <c r="A1044853" s="24"/>
      <c r="B1044853" s="24"/>
      <c r="C1044853" s="24"/>
      <c r="D1044853" s="24"/>
      <c r="E1044853" s="24"/>
      <c r="F1044853" s="24"/>
      <c r="G1044853" s="24"/>
      <c r="H1044853" s="24"/>
      <c r="I1044853" s="24"/>
      <c r="J1044853" s="24"/>
      <c r="K1044853" s="54"/>
    </row>
    <row r="1044854" spans="1:11" s="55" customFormat="1" ht="12.75">
      <c r="A1044854" s="24"/>
      <c r="B1044854" s="24"/>
      <c r="C1044854" s="24"/>
      <c r="D1044854" s="24"/>
      <c r="E1044854" s="24"/>
      <c r="F1044854" s="24"/>
      <c r="G1044854" s="24"/>
      <c r="H1044854" s="24"/>
      <c r="I1044854" s="24"/>
      <c r="J1044854" s="24"/>
      <c r="K1044854" s="54"/>
    </row>
    <row r="1044855" spans="1:11" s="55" customFormat="1" ht="12.75">
      <c r="A1044855" s="24"/>
      <c r="B1044855" s="24"/>
      <c r="C1044855" s="24"/>
      <c r="D1044855" s="24"/>
      <c r="E1044855" s="24"/>
      <c r="F1044855" s="24"/>
      <c r="G1044855" s="24"/>
      <c r="H1044855" s="24"/>
      <c r="I1044855" s="24"/>
      <c r="J1044855" s="24"/>
      <c r="K1044855" s="54"/>
    </row>
    <row r="1044856" spans="1:11" s="55" customFormat="1" ht="12.75">
      <c r="A1044856" s="24"/>
      <c r="B1044856" s="24"/>
      <c r="C1044856" s="24"/>
      <c r="D1044856" s="24"/>
      <c r="E1044856" s="24"/>
      <c r="F1044856" s="24"/>
      <c r="G1044856" s="24"/>
      <c r="H1044856" s="24"/>
      <c r="I1044856" s="24"/>
      <c r="J1044856" s="24"/>
      <c r="K1044856" s="54"/>
    </row>
    <row r="1044857" spans="1:11" s="55" customFormat="1" ht="12.75">
      <c r="A1044857" s="24"/>
      <c r="B1044857" s="24"/>
      <c r="C1044857" s="24"/>
      <c r="D1044857" s="24"/>
      <c r="E1044857" s="24"/>
      <c r="F1044857" s="24"/>
      <c r="G1044857" s="24"/>
      <c r="H1044857" s="24"/>
      <c r="I1044857" s="24"/>
      <c r="J1044857" s="24"/>
      <c r="K1044857" s="54"/>
    </row>
    <row r="1044858" spans="1:11" s="55" customFormat="1" ht="12.75">
      <c r="A1044858" s="24"/>
      <c r="B1044858" s="24"/>
      <c r="C1044858" s="24"/>
      <c r="D1044858" s="24"/>
      <c r="E1044858" s="24"/>
      <c r="F1044858" s="24"/>
      <c r="G1044858" s="24"/>
      <c r="H1044858" s="24"/>
      <c r="I1044858" s="24"/>
      <c r="J1044858" s="24"/>
      <c r="K1044858" s="54"/>
    </row>
    <row r="1044859" spans="1:11" s="55" customFormat="1" ht="12.75">
      <c r="A1044859" s="24"/>
      <c r="B1044859" s="24"/>
      <c r="C1044859" s="24"/>
      <c r="D1044859" s="24"/>
      <c r="E1044859" s="24"/>
      <c r="F1044859" s="24"/>
      <c r="G1044859" s="24"/>
      <c r="H1044859" s="24"/>
      <c r="I1044859" s="24"/>
      <c r="J1044859" s="24"/>
      <c r="K1044859" s="54"/>
    </row>
    <row r="1044860" spans="1:11" s="55" customFormat="1" ht="12.75">
      <c r="A1044860" s="24"/>
      <c r="B1044860" s="24"/>
      <c r="C1044860" s="24"/>
      <c r="D1044860" s="24"/>
      <c r="E1044860" s="24"/>
      <c r="F1044860" s="24"/>
      <c r="G1044860" s="24"/>
      <c r="H1044860" s="24"/>
      <c r="I1044860" s="24"/>
      <c r="J1044860" s="24"/>
      <c r="K1044860" s="54"/>
    </row>
    <row r="1044861" spans="1:11" s="55" customFormat="1" ht="12.75">
      <c r="A1044861" s="24"/>
      <c r="B1044861" s="24"/>
      <c r="C1044861" s="24"/>
      <c r="D1044861" s="24"/>
      <c r="E1044861" s="24"/>
      <c r="F1044861" s="24"/>
      <c r="G1044861" s="24"/>
      <c r="H1044861" s="24"/>
      <c r="I1044861" s="24"/>
      <c r="J1044861" s="24"/>
      <c r="K1044861" s="54"/>
    </row>
    <row r="1044862" spans="1:11" s="55" customFormat="1" ht="12.75">
      <c r="A1044862" s="24"/>
      <c r="B1044862" s="24"/>
      <c r="C1044862" s="24"/>
      <c r="D1044862" s="24"/>
      <c r="E1044862" s="24"/>
      <c r="F1044862" s="24"/>
      <c r="G1044862" s="24"/>
      <c r="H1044862" s="24"/>
      <c r="I1044862" s="24"/>
      <c r="J1044862" s="24"/>
      <c r="K1044862" s="54"/>
    </row>
    <row r="1044863" spans="1:11" s="55" customFormat="1" ht="12.75">
      <c r="A1044863" s="24"/>
      <c r="B1044863" s="24"/>
      <c r="C1044863" s="24"/>
      <c r="D1044863" s="24"/>
      <c r="E1044863" s="24"/>
      <c r="F1044863" s="24"/>
      <c r="G1044863" s="24"/>
      <c r="H1044863" s="24"/>
      <c r="I1044863" s="24"/>
      <c r="J1044863" s="24"/>
      <c r="K1044863" s="54"/>
    </row>
    <row r="1044864" spans="1:11" s="55" customFormat="1" ht="12.75">
      <c r="A1044864" s="24"/>
      <c r="B1044864" s="24"/>
      <c r="C1044864" s="24"/>
      <c r="D1044864" s="24"/>
      <c r="E1044864" s="24"/>
      <c r="F1044864" s="24"/>
      <c r="G1044864" s="24"/>
      <c r="H1044864" s="24"/>
      <c r="I1044864" s="24"/>
      <c r="J1044864" s="24"/>
      <c r="K1044864" s="54"/>
    </row>
    <row r="1044865" spans="1:11" s="55" customFormat="1" ht="12.75">
      <c r="A1044865" s="24"/>
      <c r="B1044865" s="24"/>
      <c r="C1044865" s="24"/>
      <c r="D1044865" s="24"/>
      <c r="E1044865" s="24"/>
      <c r="F1044865" s="24"/>
      <c r="G1044865" s="24"/>
      <c r="H1044865" s="24"/>
      <c r="I1044865" s="24"/>
      <c r="J1044865" s="24"/>
      <c r="K1044865" s="54"/>
    </row>
    <row r="1044866" spans="1:11" s="55" customFormat="1" ht="12.75">
      <c r="A1044866" s="24"/>
      <c r="B1044866" s="24"/>
      <c r="C1044866" s="24"/>
      <c r="D1044866" s="24"/>
      <c r="E1044866" s="24"/>
      <c r="F1044866" s="24"/>
      <c r="G1044866" s="24"/>
      <c r="H1044866" s="24"/>
      <c r="I1044866" s="24"/>
      <c r="J1044866" s="24"/>
      <c r="K1044866" s="54"/>
    </row>
    <row r="1044867" spans="1:11" s="55" customFormat="1" ht="12.75">
      <c r="A1044867" s="24"/>
      <c r="B1044867" s="24"/>
      <c r="C1044867" s="24"/>
      <c r="D1044867" s="24"/>
      <c r="E1044867" s="24"/>
      <c r="F1044867" s="24"/>
      <c r="G1044867" s="24"/>
      <c r="H1044867" s="24"/>
      <c r="I1044867" s="24"/>
      <c r="J1044867" s="24"/>
      <c r="K1044867" s="54"/>
    </row>
    <row r="1044868" spans="1:11" s="55" customFormat="1" ht="12.75">
      <c r="A1044868" s="24"/>
      <c r="B1044868" s="24"/>
      <c r="C1044868" s="24"/>
      <c r="D1044868" s="24"/>
      <c r="E1044868" s="24"/>
      <c r="F1044868" s="24"/>
      <c r="G1044868" s="24"/>
      <c r="H1044868" s="24"/>
      <c r="I1044868" s="24"/>
      <c r="J1044868" s="24"/>
      <c r="K1044868" s="54"/>
    </row>
    <row r="1044869" spans="1:11" s="55" customFormat="1" ht="12.75">
      <c r="A1044869" s="24"/>
      <c r="B1044869" s="24"/>
      <c r="C1044869" s="24"/>
      <c r="D1044869" s="24"/>
      <c r="E1044869" s="24"/>
      <c r="F1044869" s="24"/>
      <c r="G1044869" s="24"/>
      <c r="H1044869" s="24"/>
      <c r="I1044869" s="24"/>
      <c r="J1044869" s="24"/>
      <c r="K1044869" s="54"/>
    </row>
    <row r="1044870" spans="1:11" s="55" customFormat="1" ht="12.75">
      <c r="A1044870" s="24"/>
      <c r="B1044870" s="24"/>
      <c r="C1044870" s="24"/>
      <c r="D1044870" s="24"/>
      <c r="E1044870" s="24"/>
      <c r="F1044870" s="24"/>
      <c r="G1044870" s="24"/>
      <c r="H1044870" s="24"/>
      <c r="I1044870" s="24"/>
      <c r="J1044870" s="24"/>
      <c r="K1044870" s="54"/>
    </row>
    <row r="1044871" spans="1:11" s="55" customFormat="1" ht="12.75">
      <c r="A1044871" s="24"/>
      <c r="B1044871" s="24"/>
      <c r="C1044871" s="24"/>
      <c r="D1044871" s="24"/>
      <c r="E1044871" s="24"/>
      <c r="F1044871" s="24"/>
      <c r="G1044871" s="24"/>
      <c r="H1044871" s="24"/>
      <c r="I1044871" s="24"/>
      <c r="J1044871" s="24"/>
      <c r="K1044871" s="54"/>
    </row>
    <row r="1044872" spans="1:11" s="55" customFormat="1" ht="12.75">
      <c r="A1044872" s="24"/>
      <c r="B1044872" s="24"/>
      <c r="C1044872" s="24"/>
      <c r="D1044872" s="24"/>
      <c r="E1044872" s="24"/>
      <c r="F1044872" s="24"/>
      <c r="G1044872" s="24"/>
      <c r="H1044872" s="24"/>
      <c r="I1044872" s="24"/>
      <c r="J1044872" s="24"/>
      <c r="K1044872" s="54"/>
    </row>
    <row r="1044873" spans="1:11" s="55" customFormat="1" ht="12.75">
      <c r="A1044873" s="24"/>
      <c r="B1044873" s="24"/>
      <c r="C1044873" s="24"/>
      <c r="D1044873" s="24"/>
      <c r="E1044873" s="24"/>
      <c r="F1044873" s="24"/>
      <c r="G1044873" s="24"/>
      <c r="H1044873" s="24"/>
      <c r="I1044873" s="24"/>
      <c r="J1044873" s="24"/>
      <c r="K1044873" s="54"/>
    </row>
    <row r="1044874" spans="1:11" s="55" customFormat="1" ht="12.75">
      <c r="A1044874" s="24"/>
      <c r="B1044874" s="24"/>
      <c r="C1044874" s="24"/>
      <c r="D1044874" s="24"/>
      <c r="E1044874" s="24"/>
      <c r="F1044874" s="24"/>
      <c r="G1044874" s="24"/>
      <c r="H1044874" s="24"/>
      <c r="I1044874" s="24"/>
      <c r="J1044874" s="24"/>
      <c r="K1044874" s="54"/>
    </row>
    <row r="1044875" spans="1:11" s="55" customFormat="1" ht="12.75">
      <c r="A1044875" s="24"/>
      <c r="B1044875" s="24"/>
      <c r="C1044875" s="24"/>
      <c r="D1044875" s="24"/>
      <c r="E1044875" s="24"/>
      <c r="F1044875" s="24"/>
      <c r="G1044875" s="24"/>
      <c r="H1044875" s="24"/>
      <c r="I1044875" s="24"/>
      <c r="J1044875" s="24"/>
      <c r="K1044875" s="54"/>
    </row>
    <row r="1044876" spans="1:11" s="55" customFormat="1" ht="12.75">
      <c r="A1044876" s="24"/>
      <c r="B1044876" s="24"/>
      <c r="C1044876" s="24"/>
      <c r="D1044876" s="24"/>
      <c r="E1044876" s="24"/>
      <c r="F1044876" s="24"/>
      <c r="G1044876" s="24"/>
      <c r="H1044876" s="24"/>
      <c r="I1044876" s="24"/>
      <c r="J1044876" s="24"/>
      <c r="K1044876" s="54"/>
    </row>
    <row r="1044877" spans="1:11" s="55" customFormat="1" ht="12.75">
      <c r="A1044877" s="24"/>
      <c r="B1044877" s="24"/>
      <c r="C1044877" s="24"/>
      <c r="D1044877" s="24"/>
      <c r="E1044877" s="24"/>
      <c r="F1044877" s="24"/>
      <c r="G1044877" s="24"/>
      <c r="H1044877" s="24"/>
      <c r="I1044877" s="24"/>
      <c r="J1044877" s="24"/>
      <c r="K1044877" s="54"/>
    </row>
    <row r="1044878" spans="1:11" s="55" customFormat="1" ht="12.75">
      <c r="A1044878" s="24"/>
      <c r="B1044878" s="24"/>
      <c r="C1044878" s="24"/>
      <c r="D1044878" s="24"/>
      <c r="E1044878" s="24"/>
      <c r="F1044878" s="24"/>
      <c r="G1044878" s="24"/>
      <c r="H1044878" s="24"/>
      <c r="I1044878" s="24"/>
      <c r="J1044878" s="24"/>
      <c r="K1044878" s="54"/>
    </row>
    <row r="1044879" spans="1:11" s="55" customFormat="1" ht="12.75">
      <c r="A1044879" s="24"/>
      <c r="B1044879" s="24"/>
      <c r="C1044879" s="24"/>
      <c r="D1044879" s="24"/>
      <c r="E1044879" s="24"/>
      <c r="F1044879" s="24"/>
      <c r="G1044879" s="24"/>
      <c r="H1044879" s="24"/>
      <c r="I1044879" s="24"/>
      <c r="J1044879" s="24"/>
      <c r="K1044879" s="54"/>
    </row>
    <row r="1044880" spans="1:11" s="55" customFormat="1" ht="12.75">
      <c r="A1044880" s="24"/>
      <c r="B1044880" s="24"/>
      <c r="C1044880" s="24"/>
      <c r="D1044880" s="24"/>
      <c r="E1044880" s="24"/>
      <c r="F1044880" s="24"/>
      <c r="G1044880" s="24"/>
      <c r="H1044880" s="24"/>
      <c r="I1044880" s="24"/>
      <c r="J1044880" s="24"/>
      <c r="K1044880" s="54"/>
    </row>
    <row r="1044881" spans="1:11" s="55" customFormat="1" ht="12.75">
      <c r="A1044881" s="24"/>
      <c r="B1044881" s="24"/>
      <c r="C1044881" s="24"/>
      <c r="D1044881" s="24"/>
      <c r="E1044881" s="24"/>
      <c r="F1044881" s="24"/>
      <c r="G1044881" s="24"/>
      <c r="H1044881" s="24"/>
      <c r="I1044881" s="24"/>
      <c r="J1044881" s="24"/>
      <c r="K1044881" s="54"/>
    </row>
    <row r="1044882" spans="1:11" s="55" customFormat="1" ht="12.75">
      <c r="A1044882" s="24"/>
      <c r="B1044882" s="24"/>
      <c r="C1044882" s="24"/>
      <c r="D1044882" s="24"/>
      <c r="E1044882" s="24"/>
      <c r="F1044882" s="24"/>
      <c r="G1044882" s="24"/>
      <c r="H1044882" s="24"/>
      <c r="I1044882" s="24"/>
      <c r="J1044882" s="24"/>
      <c r="K1044882" s="54"/>
    </row>
    <row r="1044883" spans="1:11" s="55" customFormat="1" ht="12.75">
      <c r="A1044883" s="24"/>
      <c r="B1044883" s="24"/>
      <c r="C1044883" s="24"/>
      <c r="D1044883" s="24"/>
      <c r="E1044883" s="24"/>
      <c r="F1044883" s="24"/>
      <c r="G1044883" s="24"/>
      <c r="H1044883" s="24"/>
      <c r="I1044883" s="24"/>
      <c r="J1044883" s="24"/>
      <c r="K1044883" s="54"/>
    </row>
    <row r="1044884" spans="1:11" s="55" customFormat="1" ht="12.75">
      <c r="A1044884" s="24"/>
      <c r="B1044884" s="24"/>
      <c r="C1044884" s="24"/>
      <c r="D1044884" s="24"/>
      <c r="E1044884" s="24"/>
      <c r="F1044884" s="24"/>
      <c r="G1044884" s="24"/>
      <c r="H1044884" s="24"/>
      <c r="I1044884" s="24"/>
      <c r="J1044884" s="24"/>
      <c r="K1044884" s="54"/>
    </row>
    <row r="1044885" spans="1:11" s="55" customFormat="1" ht="12.75">
      <c r="A1044885" s="24"/>
      <c r="B1044885" s="24"/>
      <c r="C1044885" s="24"/>
      <c r="D1044885" s="24"/>
      <c r="E1044885" s="24"/>
      <c r="F1044885" s="24"/>
      <c r="G1044885" s="24"/>
      <c r="H1044885" s="24"/>
      <c r="I1044885" s="24"/>
      <c r="J1044885" s="24"/>
      <c r="K1044885" s="54"/>
    </row>
    <row r="1044886" spans="1:11" s="55" customFormat="1" ht="12.75">
      <c r="A1044886" s="24"/>
      <c r="B1044886" s="24"/>
      <c r="C1044886" s="24"/>
      <c r="D1044886" s="24"/>
      <c r="E1044886" s="24"/>
      <c r="F1044886" s="24"/>
      <c r="G1044886" s="24"/>
      <c r="H1044886" s="24"/>
      <c r="I1044886" s="24"/>
      <c r="J1044886" s="24"/>
      <c r="K1044886" s="54"/>
    </row>
    <row r="1044887" spans="1:11" s="55" customFormat="1" ht="12.75">
      <c r="A1044887" s="24"/>
      <c r="B1044887" s="24"/>
      <c r="C1044887" s="24"/>
      <c r="D1044887" s="24"/>
      <c r="E1044887" s="24"/>
      <c r="F1044887" s="24"/>
      <c r="G1044887" s="24"/>
      <c r="H1044887" s="24"/>
      <c r="I1044887" s="24"/>
      <c r="J1044887" s="24"/>
      <c r="K1044887" s="54"/>
    </row>
    <row r="1044888" spans="1:11" s="55" customFormat="1" ht="12.75">
      <c r="A1044888" s="24"/>
      <c r="B1044888" s="24"/>
      <c r="C1044888" s="24"/>
      <c r="D1044888" s="24"/>
      <c r="E1044888" s="24"/>
      <c r="F1044888" s="24"/>
      <c r="G1044888" s="24"/>
      <c r="H1044888" s="24"/>
      <c r="I1044888" s="24"/>
      <c r="J1044888" s="24"/>
      <c r="K1044888" s="54"/>
    </row>
    <row r="1044889" spans="1:11" s="55" customFormat="1" ht="12.75">
      <c r="A1044889" s="24"/>
      <c r="B1044889" s="24"/>
      <c r="C1044889" s="24"/>
      <c r="D1044889" s="24"/>
      <c r="E1044889" s="24"/>
      <c r="F1044889" s="24"/>
      <c r="G1044889" s="24"/>
      <c r="H1044889" s="24"/>
      <c r="I1044889" s="24"/>
      <c r="J1044889" s="24"/>
      <c r="K1044889" s="54"/>
    </row>
    <row r="1044890" spans="1:11" s="55" customFormat="1" ht="12.75">
      <c r="A1044890" s="24"/>
      <c r="B1044890" s="24"/>
      <c r="C1044890" s="24"/>
      <c r="D1044890" s="24"/>
      <c r="E1044890" s="24"/>
      <c r="F1044890" s="24"/>
      <c r="G1044890" s="24"/>
      <c r="H1044890" s="24"/>
      <c r="I1044890" s="24"/>
      <c r="J1044890" s="24"/>
      <c r="K1044890" s="54"/>
    </row>
    <row r="1044891" spans="1:11" s="55" customFormat="1" ht="12.75">
      <c r="A1044891" s="24"/>
      <c r="B1044891" s="24"/>
      <c r="C1044891" s="24"/>
      <c r="D1044891" s="24"/>
      <c r="E1044891" s="24"/>
      <c r="F1044891" s="24"/>
      <c r="G1044891" s="24"/>
      <c r="H1044891" s="24"/>
      <c r="I1044891" s="24"/>
      <c r="J1044891" s="24"/>
      <c r="K1044891" s="54"/>
    </row>
    <row r="1044892" spans="1:11" s="55" customFormat="1" ht="12.75">
      <c r="A1044892" s="24"/>
      <c r="B1044892" s="24"/>
      <c r="C1044892" s="24"/>
      <c r="D1044892" s="24"/>
      <c r="E1044892" s="24"/>
      <c r="F1044892" s="24"/>
      <c r="G1044892" s="24"/>
      <c r="H1044892" s="24"/>
      <c r="I1044892" s="24"/>
      <c r="J1044892" s="24"/>
      <c r="K1044892" s="54"/>
    </row>
    <row r="1044893" spans="1:11" s="55" customFormat="1" ht="12.75">
      <c r="A1044893" s="24"/>
      <c r="B1044893" s="24"/>
      <c r="C1044893" s="24"/>
      <c r="D1044893" s="24"/>
      <c r="E1044893" s="24"/>
      <c r="F1044893" s="24"/>
      <c r="G1044893" s="24"/>
      <c r="H1044893" s="24"/>
      <c r="I1044893" s="24"/>
      <c r="J1044893" s="24"/>
      <c r="K1044893" s="54"/>
    </row>
    <row r="1044894" spans="1:11" s="55" customFormat="1" ht="12.75">
      <c r="A1044894" s="24"/>
      <c r="B1044894" s="24"/>
      <c r="C1044894" s="24"/>
      <c r="D1044894" s="24"/>
      <c r="E1044894" s="24"/>
      <c r="F1044894" s="24"/>
      <c r="G1044894" s="24"/>
      <c r="H1044894" s="24"/>
      <c r="I1044894" s="24"/>
      <c r="J1044894" s="24"/>
      <c r="K1044894" s="54"/>
    </row>
    <row r="1044895" spans="1:11" s="55" customFormat="1" ht="12.75">
      <c r="A1044895" s="24"/>
      <c r="B1044895" s="24"/>
      <c r="C1044895" s="24"/>
      <c r="D1044895" s="24"/>
      <c r="E1044895" s="24"/>
      <c r="F1044895" s="24"/>
      <c r="G1044895" s="24"/>
      <c r="H1044895" s="24"/>
      <c r="I1044895" s="24"/>
      <c r="J1044895" s="24"/>
      <c r="K1044895" s="54"/>
    </row>
    <row r="1044896" spans="1:11" s="55" customFormat="1" ht="12.75">
      <c r="A1044896" s="24"/>
      <c r="B1044896" s="24"/>
      <c r="C1044896" s="24"/>
      <c r="D1044896" s="24"/>
      <c r="E1044896" s="24"/>
      <c r="F1044896" s="24"/>
      <c r="G1044896" s="24"/>
      <c r="H1044896" s="24"/>
      <c r="I1044896" s="24"/>
      <c r="J1044896" s="24"/>
      <c r="K1044896" s="54"/>
    </row>
    <row r="1044897" spans="1:11" s="55" customFormat="1" ht="12.75">
      <c r="A1044897" s="24"/>
      <c r="B1044897" s="24"/>
      <c r="C1044897" s="24"/>
      <c r="D1044897" s="24"/>
      <c r="E1044897" s="24"/>
      <c r="F1044897" s="24"/>
      <c r="G1044897" s="24"/>
      <c r="H1044897" s="24"/>
      <c r="I1044897" s="24"/>
      <c r="J1044897" s="24"/>
      <c r="K1044897" s="54"/>
    </row>
    <row r="1044898" spans="1:11" s="55" customFormat="1" ht="12.75">
      <c r="A1044898" s="24"/>
      <c r="B1044898" s="24"/>
      <c r="C1044898" s="24"/>
      <c r="D1044898" s="24"/>
      <c r="E1044898" s="24"/>
      <c r="F1044898" s="24"/>
      <c r="G1044898" s="24"/>
      <c r="H1044898" s="24"/>
      <c r="I1044898" s="24"/>
      <c r="J1044898" s="24"/>
      <c r="K1044898" s="54"/>
    </row>
    <row r="1044899" spans="1:11" s="55" customFormat="1" ht="12.75">
      <c r="A1044899" s="24"/>
      <c r="B1044899" s="24"/>
      <c r="C1044899" s="24"/>
      <c r="D1044899" s="24"/>
      <c r="E1044899" s="24"/>
      <c r="F1044899" s="24"/>
      <c r="G1044899" s="24"/>
      <c r="H1044899" s="24"/>
      <c r="I1044899" s="24"/>
      <c r="J1044899" s="24"/>
      <c r="K1044899" s="54"/>
    </row>
    <row r="1044900" spans="1:11" s="55" customFormat="1" ht="12.75">
      <c r="A1044900" s="24"/>
      <c r="B1044900" s="24"/>
      <c r="C1044900" s="24"/>
      <c r="D1044900" s="24"/>
      <c r="E1044900" s="24"/>
      <c r="F1044900" s="24"/>
      <c r="G1044900" s="24"/>
      <c r="H1044900" s="24"/>
      <c r="I1044900" s="24"/>
      <c r="J1044900" s="24"/>
      <c r="K1044900" s="54"/>
    </row>
    <row r="1044901" spans="1:11" s="55" customFormat="1" ht="12.75">
      <c r="A1044901" s="24"/>
      <c r="B1044901" s="24"/>
      <c r="C1044901" s="24"/>
      <c r="D1044901" s="24"/>
      <c r="E1044901" s="24"/>
      <c r="F1044901" s="24"/>
      <c r="G1044901" s="24"/>
      <c r="H1044901" s="24"/>
      <c r="I1044901" s="24"/>
      <c r="J1044901" s="24"/>
      <c r="K1044901" s="54"/>
    </row>
    <row r="1044902" spans="1:11" s="55" customFormat="1" ht="12.75">
      <c r="A1044902" s="24"/>
      <c r="B1044902" s="24"/>
      <c r="C1044902" s="24"/>
      <c r="D1044902" s="24"/>
      <c r="E1044902" s="24"/>
      <c r="F1044902" s="24"/>
      <c r="G1044902" s="24"/>
      <c r="H1044902" s="24"/>
      <c r="I1044902" s="24"/>
      <c r="J1044902" s="24"/>
      <c r="K1044902" s="54"/>
    </row>
    <row r="1044903" spans="1:11" s="55" customFormat="1" ht="12.75">
      <c r="A1044903" s="24"/>
      <c r="B1044903" s="24"/>
      <c r="C1044903" s="24"/>
      <c r="D1044903" s="24"/>
      <c r="E1044903" s="24"/>
      <c r="F1044903" s="24"/>
      <c r="G1044903" s="24"/>
      <c r="H1044903" s="24"/>
      <c r="I1044903" s="24"/>
      <c r="J1044903" s="24"/>
      <c r="K1044903" s="54"/>
    </row>
    <row r="1044904" spans="1:11" s="55" customFormat="1" ht="12.75">
      <c r="A1044904" s="24"/>
      <c r="B1044904" s="24"/>
      <c r="C1044904" s="24"/>
      <c r="D1044904" s="24"/>
      <c r="E1044904" s="24"/>
      <c r="F1044904" s="24"/>
      <c r="G1044904" s="24"/>
      <c r="H1044904" s="24"/>
      <c r="I1044904" s="24"/>
      <c r="J1044904" s="24"/>
      <c r="K1044904" s="54"/>
    </row>
    <row r="1044905" spans="1:11" s="55" customFormat="1" ht="12.75">
      <c r="A1044905" s="24"/>
      <c r="B1044905" s="24"/>
      <c r="C1044905" s="24"/>
      <c r="D1044905" s="24"/>
      <c r="E1044905" s="24"/>
      <c r="F1044905" s="24"/>
      <c r="G1044905" s="24"/>
      <c r="H1044905" s="24"/>
      <c r="I1044905" s="24"/>
      <c r="J1044905" s="24"/>
      <c r="K1044905" s="54"/>
    </row>
    <row r="1044906" spans="1:11" s="55" customFormat="1" ht="12.75">
      <c r="A1044906" s="24"/>
      <c r="B1044906" s="24"/>
      <c r="C1044906" s="24"/>
      <c r="D1044906" s="24"/>
      <c r="E1044906" s="24"/>
      <c r="F1044906" s="24"/>
      <c r="G1044906" s="24"/>
      <c r="H1044906" s="24"/>
      <c r="I1044906" s="24"/>
      <c r="J1044906" s="24"/>
      <c r="K1044906" s="54"/>
    </row>
    <row r="1044907" spans="1:11" s="55" customFormat="1" ht="12.75">
      <c r="A1044907" s="24"/>
      <c r="B1044907" s="24"/>
      <c r="C1044907" s="24"/>
      <c r="D1044907" s="24"/>
      <c r="E1044907" s="24"/>
      <c r="F1044907" s="24"/>
      <c r="G1044907" s="24"/>
      <c r="H1044907" s="24"/>
      <c r="I1044907" s="24"/>
      <c r="J1044907" s="24"/>
      <c r="K1044907" s="54"/>
    </row>
    <row r="1044908" spans="1:11" s="55" customFormat="1" ht="12.75">
      <c r="A1044908" s="24"/>
      <c r="B1044908" s="24"/>
      <c r="C1044908" s="24"/>
      <c r="D1044908" s="24"/>
      <c r="E1044908" s="24"/>
      <c r="F1044908" s="24"/>
      <c r="G1044908" s="24"/>
      <c r="H1044908" s="24"/>
      <c r="I1044908" s="24"/>
      <c r="J1044908" s="24"/>
      <c r="K1044908" s="54"/>
    </row>
    <row r="1044909" spans="1:11" s="55" customFormat="1" ht="12.75">
      <c r="A1044909" s="24"/>
      <c r="B1044909" s="24"/>
      <c r="C1044909" s="24"/>
      <c r="D1044909" s="24"/>
      <c r="E1044909" s="24"/>
      <c r="F1044909" s="24"/>
      <c r="G1044909" s="24"/>
      <c r="H1044909" s="24"/>
      <c r="I1044909" s="24"/>
      <c r="J1044909" s="24"/>
      <c r="K1044909" s="54"/>
    </row>
    <row r="1044910" spans="1:11" s="55" customFormat="1" ht="12.75">
      <c r="A1044910" s="24"/>
      <c r="B1044910" s="24"/>
      <c r="C1044910" s="24"/>
      <c r="D1044910" s="24"/>
      <c r="E1044910" s="24"/>
      <c r="F1044910" s="24"/>
      <c r="G1044910" s="24"/>
      <c r="H1044910" s="24"/>
      <c r="I1044910" s="24"/>
      <c r="J1044910" s="24"/>
      <c r="K1044910" s="54"/>
    </row>
    <row r="1044911" spans="1:11" s="55" customFormat="1" ht="12.75">
      <c r="A1044911" s="24"/>
      <c r="B1044911" s="24"/>
      <c r="C1044911" s="24"/>
      <c r="D1044911" s="24"/>
      <c r="E1044911" s="24"/>
      <c r="F1044911" s="24"/>
      <c r="G1044911" s="24"/>
      <c r="H1044911" s="24"/>
      <c r="I1044911" s="24"/>
      <c r="J1044911" s="24"/>
      <c r="K1044911" s="54"/>
    </row>
    <row r="1044912" spans="1:11" s="55" customFormat="1" ht="12.75">
      <c r="A1044912" s="24"/>
      <c r="B1044912" s="24"/>
      <c r="C1044912" s="24"/>
      <c r="D1044912" s="24"/>
      <c r="E1044912" s="24"/>
      <c r="F1044912" s="24"/>
      <c r="G1044912" s="24"/>
      <c r="H1044912" s="24"/>
      <c r="I1044912" s="24"/>
      <c r="J1044912" s="24"/>
      <c r="K1044912" s="54"/>
    </row>
    <row r="1044913" spans="1:11" s="55" customFormat="1" ht="12.75">
      <c r="A1044913" s="24"/>
      <c r="B1044913" s="24"/>
      <c r="C1044913" s="24"/>
      <c r="D1044913" s="24"/>
      <c r="E1044913" s="24"/>
      <c r="F1044913" s="24"/>
      <c r="G1044913" s="24"/>
      <c r="H1044913" s="24"/>
      <c r="I1044913" s="24"/>
      <c r="J1044913" s="24"/>
      <c r="K1044913" s="54"/>
    </row>
    <row r="1044914" spans="1:11" s="55" customFormat="1" ht="12.75">
      <c r="A1044914" s="24"/>
      <c r="B1044914" s="24"/>
      <c r="C1044914" s="24"/>
      <c r="D1044914" s="24"/>
      <c r="E1044914" s="24"/>
      <c r="F1044914" s="24"/>
      <c r="G1044914" s="24"/>
      <c r="H1044914" s="24"/>
      <c r="I1044914" s="24"/>
      <c r="J1044914" s="24"/>
      <c r="K1044914" s="54"/>
    </row>
    <row r="1044915" spans="1:11" s="55" customFormat="1" ht="12.75">
      <c r="A1044915" s="24"/>
      <c r="B1044915" s="24"/>
      <c r="C1044915" s="24"/>
      <c r="D1044915" s="24"/>
      <c r="E1044915" s="24"/>
      <c r="F1044915" s="24"/>
      <c r="G1044915" s="24"/>
      <c r="H1044915" s="24"/>
      <c r="I1044915" s="24"/>
      <c r="J1044915" s="24"/>
      <c r="K1044915" s="54"/>
    </row>
    <row r="1044916" spans="1:11" s="55" customFormat="1" ht="12.75">
      <c r="A1044916" s="24"/>
      <c r="B1044916" s="24"/>
      <c r="C1044916" s="24"/>
      <c r="D1044916" s="24"/>
      <c r="E1044916" s="24"/>
      <c r="F1044916" s="24"/>
      <c r="G1044916" s="24"/>
      <c r="H1044916" s="24"/>
      <c r="I1044916" s="24"/>
      <c r="J1044916" s="24"/>
      <c r="K1044916" s="54"/>
    </row>
    <row r="1044917" spans="1:11" s="55" customFormat="1" ht="12.75">
      <c r="A1044917" s="24"/>
      <c r="B1044917" s="24"/>
      <c r="C1044917" s="24"/>
      <c r="D1044917" s="24"/>
      <c r="E1044917" s="24"/>
      <c r="F1044917" s="24"/>
      <c r="G1044917" s="24"/>
      <c r="H1044917" s="24"/>
      <c r="I1044917" s="24"/>
      <c r="J1044917" s="24"/>
      <c r="K1044917" s="54"/>
    </row>
    <row r="1044918" spans="1:11" s="55" customFormat="1" ht="12.75">
      <c r="A1044918" s="24"/>
      <c r="B1044918" s="24"/>
      <c r="C1044918" s="24"/>
      <c r="D1044918" s="24"/>
      <c r="E1044918" s="24"/>
      <c r="F1044918" s="24"/>
      <c r="G1044918" s="24"/>
      <c r="H1044918" s="24"/>
      <c r="I1044918" s="24"/>
      <c r="J1044918" s="24"/>
      <c r="K1044918" s="54"/>
    </row>
    <row r="1044919" spans="1:11" s="55" customFormat="1" ht="12.75">
      <c r="A1044919" s="24"/>
      <c r="B1044919" s="24"/>
      <c r="C1044919" s="24"/>
      <c r="D1044919" s="24"/>
      <c r="E1044919" s="24"/>
      <c r="F1044919" s="24"/>
      <c r="G1044919" s="24"/>
      <c r="H1044919" s="24"/>
      <c r="I1044919" s="24"/>
      <c r="J1044919" s="24"/>
      <c r="K1044919" s="54"/>
    </row>
    <row r="1044920" spans="1:11" s="55" customFormat="1" ht="12.75">
      <c r="A1044920" s="24"/>
      <c r="B1044920" s="24"/>
      <c r="C1044920" s="24"/>
      <c r="D1044920" s="24"/>
      <c r="E1044920" s="24"/>
      <c r="F1044920" s="24"/>
      <c r="G1044920" s="24"/>
      <c r="H1044920" s="24"/>
      <c r="I1044920" s="24"/>
      <c r="J1044920" s="24"/>
      <c r="K1044920" s="54"/>
    </row>
    <row r="1044921" spans="1:11" s="55" customFormat="1" ht="12.75">
      <c r="A1044921" s="24"/>
      <c r="B1044921" s="24"/>
      <c r="C1044921" s="24"/>
      <c r="D1044921" s="24"/>
      <c r="E1044921" s="24"/>
      <c r="F1044921" s="24"/>
      <c r="G1044921" s="24"/>
      <c r="H1044921" s="24"/>
      <c r="I1044921" s="24"/>
      <c r="J1044921" s="24"/>
      <c r="K1044921" s="54"/>
    </row>
    <row r="1044922" spans="1:11" s="55" customFormat="1" ht="12.75">
      <c r="A1044922" s="24"/>
      <c r="B1044922" s="24"/>
      <c r="C1044922" s="24"/>
      <c r="D1044922" s="24"/>
      <c r="E1044922" s="24"/>
      <c r="F1044922" s="24"/>
      <c r="G1044922" s="24"/>
      <c r="H1044922" s="24"/>
      <c r="I1044922" s="24"/>
      <c r="J1044922" s="24"/>
      <c r="K1044922" s="54"/>
    </row>
    <row r="1044923" spans="1:11" s="55" customFormat="1" ht="12.75">
      <c r="A1044923" s="24"/>
      <c r="B1044923" s="24"/>
      <c r="C1044923" s="24"/>
      <c r="D1044923" s="24"/>
      <c r="E1044923" s="24"/>
      <c r="F1044923" s="24"/>
      <c r="G1044923" s="24"/>
      <c r="H1044923" s="24"/>
      <c r="I1044923" s="24"/>
      <c r="J1044923" s="24"/>
      <c r="K1044923" s="54"/>
    </row>
    <row r="1044924" spans="1:11" s="55" customFormat="1" ht="12.75">
      <c r="A1044924" s="24"/>
      <c r="B1044924" s="24"/>
      <c r="C1044924" s="24"/>
      <c r="D1044924" s="24"/>
      <c r="E1044924" s="24"/>
      <c r="F1044924" s="24"/>
      <c r="G1044924" s="24"/>
      <c r="H1044924" s="24"/>
      <c r="I1044924" s="24"/>
      <c r="J1044924" s="24"/>
      <c r="K1044924" s="54"/>
    </row>
    <row r="1044925" spans="1:11" s="55" customFormat="1" ht="12.75">
      <c r="A1044925" s="24"/>
      <c r="B1044925" s="24"/>
      <c r="C1044925" s="24"/>
      <c r="D1044925" s="24"/>
      <c r="E1044925" s="24"/>
      <c r="F1044925" s="24"/>
      <c r="G1044925" s="24"/>
      <c r="H1044925" s="24"/>
      <c r="I1044925" s="24"/>
      <c r="J1044925" s="24"/>
      <c r="K1044925" s="54"/>
    </row>
    <row r="1044926" spans="1:11" s="55" customFormat="1" ht="12.75">
      <c r="A1044926" s="24"/>
      <c r="B1044926" s="24"/>
      <c r="C1044926" s="24"/>
      <c r="D1044926" s="24"/>
      <c r="E1044926" s="24"/>
      <c r="F1044926" s="24"/>
      <c r="G1044926" s="24"/>
      <c r="H1044926" s="24"/>
      <c r="I1044926" s="24"/>
      <c r="J1044926" s="24"/>
      <c r="K1044926" s="54"/>
    </row>
    <row r="1044927" spans="1:11" s="55" customFormat="1" ht="12.75">
      <c r="A1044927" s="24"/>
      <c r="B1044927" s="24"/>
      <c r="C1044927" s="24"/>
      <c r="D1044927" s="24"/>
      <c r="E1044927" s="24"/>
      <c r="F1044927" s="24"/>
      <c r="G1044927" s="24"/>
      <c r="H1044927" s="24"/>
      <c r="I1044927" s="24"/>
      <c r="J1044927" s="24"/>
      <c r="K1044927" s="54"/>
    </row>
    <row r="1044928" spans="1:11" s="55" customFormat="1" ht="12.75">
      <c r="A1044928" s="24"/>
      <c r="B1044928" s="24"/>
      <c r="C1044928" s="24"/>
      <c r="D1044928" s="24"/>
      <c r="E1044928" s="24"/>
      <c r="F1044928" s="24"/>
      <c r="G1044928" s="24"/>
      <c r="H1044928" s="24"/>
      <c r="I1044928" s="24"/>
      <c r="J1044928" s="24"/>
      <c r="K1044928" s="54"/>
    </row>
    <row r="1044929" spans="1:11" s="55" customFormat="1" ht="12.75">
      <c r="A1044929" s="24"/>
      <c r="B1044929" s="24"/>
      <c r="C1044929" s="24"/>
      <c r="D1044929" s="24"/>
      <c r="E1044929" s="24"/>
      <c r="F1044929" s="24"/>
      <c r="G1044929" s="24"/>
      <c r="H1044929" s="24"/>
      <c r="I1044929" s="24"/>
      <c r="J1044929" s="24"/>
      <c r="K1044929" s="54"/>
    </row>
    <row r="1044930" spans="1:11" s="55" customFormat="1" ht="12.75">
      <c r="A1044930" s="24"/>
      <c r="B1044930" s="24"/>
      <c r="C1044930" s="24"/>
      <c r="D1044930" s="24"/>
      <c r="E1044930" s="24"/>
      <c r="F1044930" s="24"/>
      <c r="G1044930" s="24"/>
      <c r="H1044930" s="24"/>
      <c r="I1044930" s="24"/>
      <c r="J1044930" s="24"/>
      <c r="K1044930" s="54"/>
    </row>
    <row r="1044931" spans="1:11" s="55" customFormat="1" ht="12.75">
      <c r="A1044931" s="24"/>
      <c r="B1044931" s="24"/>
      <c r="C1044931" s="24"/>
      <c r="D1044931" s="24"/>
      <c r="E1044931" s="24"/>
      <c r="F1044931" s="24"/>
      <c r="G1044931" s="24"/>
      <c r="H1044931" s="24"/>
      <c r="I1044931" s="24"/>
      <c r="J1044931" s="24"/>
      <c r="K1044931" s="54"/>
    </row>
    <row r="1044932" spans="1:11" s="55" customFormat="1" ht="12.75">
      <c r="A1044932" s="24"/>
      <c r="B1044932" s="24"/>
      <c r="C1044932" s="24"/>
      <c r="D1044932" s="24"/>
      <c r="E1044932" s="24"/>
      <c r="F1044932" s="24"/>
      <c r="G1044932" s="24"/>
      <c r="H1044932" s="24"/>
      <c r="I1044932" s="24"/>
      <c r="J1044932" s="24"/>
      <c r="K1044932" s="54"/>
    </row>
    <row r="1044933" spans="1:11" s="55" customFormat="1" ht="12.75">
      <c r="A1044933" s="24"/>
      <c r="B1044933" s="24"/>
      <c r="C1044933" s="24"/>
      <c r="D1044933" s="24"/>
      <c r="E1044933" s="24"/>
      <c r="F1044933" s="24"/>
      <c r="G1044933" s="24"/>
      <c r="H1044933" s="24"/>
      <c r="I1044933" s="24"/>
      <c r="J1044933" s="24"/>
      <c r="K1044933" s="54"/>
    </row>
    <row r="1044934" spans="1:11" s="55" customFormat="1" ht="12.75">
      <c r="A1044934" s="24"/>
      <c r="B1044934" s="24"/>
      <c r="C1044934" s="24"/>
      <c r="D1044934" s="24"/>
      <c r="E1044934" s="24"/>
      <c r="F1044934" s="24"/>
      <c r="G1044934" s="24"/>
      <c r="H1044934" s="24"/>
      <c r="I1044934" s="24"/>
      <c r="J1044934" s="24"/>
      <c r="K1044934" s="54"/>
    </row>
    <row r="1044935" spans="1:11" s="55" customFormat="1" ht="12.75">
      <c r="A1044935" s="24"/>
      <c r="B1044935" s="24"/>
      <c r="C1044935" s="24"/>
      <c r="D1044935" s="24"/>
      <c r="E1044935" s="24"/>
      <c r="F1044935" s="24"/>
      <c r="G1044935" s="24"/>
      <c r="H1044935" s="24"/>
      <c r="I1044935" s="24"/>
      <c r="J1044935" s="24"/>
      <c r="K1044935" s="54"/>
    </row>
    <row r="1044936" spans="1:11" s="55" customFormat="1" ht="12.75">
      <c r="A1044936" s="24"/>
      <c r="B1044936" s="24"/>
      <c r="C1044936" s="24"/>
      <c r="D1044936" s="24"/>
      <c r="E1044936" s="24"/>
      <c r="F1044936" s="24"/>
      <c r="G1044936" s="24"/>
      <c r="H1044936" s="24"/>
      <c r="I1044936" s="24"/>
      <c r="J1044936" s="24"/>
      <c r="K1044936" s="54"/>
    </row>
    <row r="1044937" spans="1:11" s="55" customFormat="1" ht="12.75">
      <c r="A1044937" s="24"/>
      <c r="B1044937" s="24"/>
      <c r="C1044937" s="24"/>
      <c r="D1044937" s="24"/>
      <c r="E1044937" s="24"/>
      <c r="F1044937" s="24"/>
      <c r="G1044937" s="24"/>
      <c r="H1044937" s="24"/>
      <c r="I1044937" s="24"/>
      <c r="J1044937" s="24"/>
      <c r="K1044937" s="54"/>
    </row>
    <row r="1044938" spans="1:11" s="55" customFormat="1" ht="12.75">
      <c r="A1044938" s="24"/>
      <c r="B1044938" s="24"/>
      <c r="C1044938" s="24"/>
      <c r="D1044938" s="24"/>
      <c r="E1044938" s="24"/>
      <c r="F1044938" s="24"/>
      <c r="G1044938" s="24"/>
      <c r="H1044938" s="24"/>
      <c r="I1044938" s="24"/>
      <c r="J1044938" s="24"/>
      <c r="K1044938" s="54"/>
    </row>
    <row r="1044939" spans="1:11" s="55" customFormat="1" ht="12.75">
      <c r="A1044939" s="24"/>
      <c r="B1044939" s="24"/>
      <c r="C1044939" s="24"/>
      <c r="D1044939" s="24"/>
      <c r="E1044939" s="24"/>
      <c r="F1044939" s="24"/>
      <c r="G1044939" s="24"/>
      <c r="H1044939" s="24"/>
      <c r="I1044939" s="24"/>
      <c r="J1044939" s="24"/>
      <c r="K1044939" s="54"/>
    </row>
    <row r="1044940" spans="1:11" s="55" customFormat="1" ht="12.75">
      <c r="A1044940" s="24"/>
      <c r="B1044940" s="24"/>
      <c r="C1044940" s="24"/>
      <c r="D1044940" s="24"/>
      <c r="E1044940" s="24"/>
      <c r="F1044940" s="24"/>
      <c r="G1044940" s="24"/>
      <c r="H1044940" s="24"/>
      <c r="I1044940" s="24"/>
      <c r="J1044940" s="24"/>
      <c r="K1044940" s="54"/>
    </row>
    <row r="1044941" spans="1:11" s="55" customFormat="1" ht="12.75">
      <c r="A1044941" s="24"/>
      <c r="B1044941" s="24"/>
      <c r="C1044941" s="24"/>
      <c r="D1044941" s="24"/>
      <c r="E1044941" s="24"/>
      <c r="F1044941" s="24"/>
      <c r="G1044941" s="24"/>
      <c r="H1044941" s="24"/>
      <c r="I1044941" s="24"/>
      <c r="J1044941" s="24"/>
      <c r="K1044941" s="54"/>
    </row>
    <row r="1044942" spans="1:11" s="55" customFormat="1" ht="12.75">
      <c r="A1044942" s="24"/>
      <c r="B1044942" s="24"/>
      <c r="C1044942" s="24"/>
      <c r="D1044942" s="24"/>
      <c r="E1044942" s="24"/>
      <c r="F1044942" s="24"/>
      <c r="G1044942" s="24"/>
      <c r="H1044942" s="24"/>
      <c r="I1044942" s="24"/>
      <c r="J1044942" s="24"/>
      <c r="K1044942" s="54"/>
    </row>
    <row r="1044943" spans="1:11" s="55" customFormat="1" ht="12.75">
      <c r="A1044943" s="24"/>
      <c r="B1044943" s="24"/>
      <c r="C1044943" s="24"/>
      <c r="D1044943" s="24"/>
      <c r="E1044943" s="24"/>
      <c r="F1044943" s="24"/>
      <c r="G1044943" s="24"/>
      <c r="H1044943" s="24"/>
      <c r="I1044943" s="24"/>
      <c r="J1044943" s="24"/>
      <c r="K1044943" s="54"/>
    </row>
    <row r="1044944" spans="1:11" s="55" customFormat="1" ht="12.75">
      <c r="A1044944" s="24"/>
      <c r="B1044944" s="24"/>
      <c r="C1044944" s="24"/>
      <c r="D1044944" s="24"/>
      <c r="E1044944" s="24"/>
      <c r="F1044944" s="24"/>
      <c r="G1044944" s="24"/>
      <c r="H1044944" s="24"/>
      <c r="I1044944" s="24"/>
      <c r="J1044944" s="24"/>
      <c r="K1044944" s="54"/>
    </row>
    <row r="1044945" spans="1:11" s="55" customFormat="1" ht="12.75">
      <c r="A1044945" s="24"/>
      <c r="B1044945" s="24"/>
      <c r="C1044945" s="24"/>
      <c r="D1044945" s="24"/>
      <c r="E1044945" s="24"/>
      <c r="F1044945" s="24"/>
      <c r="G1044945" s="24"/>
      <c r="H1044945" s="24"/>
      <c r="I1044945" s="24"/>
      <c r="J1044945" s="24"/>
      <c r="K1044945" s="54"/>
    </row>
    <row r="1044946" spans="1:11" s="55" customFormat="1" ht="12.75">
      <c r="A1044946" s="24"/>
      <c r="B1044946" s="24"/>
      <c r="C1044946" s="24"/>
      <c r="D1044946" s="24"/>
      <c r="E1044946" s="24"/>
      <c r="F1044946" s="24"/>
      <c r="G1044946" s="24"/>
      <c r="H1044946" s="24"/>
      <c r="I1044946" s="24"/>
      <c r="J1044946" s="24"/>
      <c r="K1044946" s="54"/>
    </row>
    <row r="1044947" spans="1:11" s="55" customFormat="1" ht="12.75">
      <c r="A1044947" s="24"/>
      <c r="B1044947" s="24"/>
      <c r="C1044947" s="24"/>
      <c r="D1044947" s="24"/>
      <c r="E1044947" s="24"/>
      <c r="F1044947" s="24"/>
      <c r="G1044947" s="24"/>
      <c r="H1044947" s="24"/>
      <c r="I1044947" s="24"/>
      <c r="J1044947" s="24"/>
      <c r="K1044947" s="54"/>
    </row>
    <row r="1044948" spans="1:11" s="55" customFormat="1" ht="12.75">
      <c r="A1044948" s="24"/>
      <c r="B1044948" s="24"/>
      <c r="C1044948" s="24"/>
      <c r="D1044948" s="24"/>
      <c r="E1044948" s="24"/>
      <c r="F1044948" s="24"/>
      <c r="G1044948" s="24"/>
      <c r="H1044948" s="24"/>
      <c r="I1044948" s="24"/>
      <c r="J1044948" s="24"/>
      <c r="K1044948" s="54"/>
    </row>
    <row r="1044949" spans="1:11" s="55" customFormat="1" ht="12.75">
      <c r="A1044949" s="24"/>
      <c r="B1044949" s="24"/>
      <c r="C1044949" s="24"/>
      <c r="D1044949" s="24"/>
      <c r="E1044949" s="24"/>
      <c r="F1044949" s="24"/>
      <c r="G1044949" s="24"/>
      <c r="H1044949" s="24"/>
      <c r="I1044949" s="24"/>
      <c r="J1044949" s="24"/>
      <c r="K1044949" s="54"/>
    </row>
    <row r="1044950" spans="1:11" s="55" customFormat="1" ht="12.75">
      <c r="A1044950" s="24"/>
      <c r="B1044950" s="24"/>
      <c r="C1044950" s="24"/>
      <c r="D1044950" s="24"/>
      <c r="E1044950" s="24"/>
      <c r="F1044950" s="24"/>
      <c r="G1044950" s="24"/>
      <c r="H1044950" s="24"/>
      <c r="I1044950" s="24"/>
      <c r="J1044950" s="24"/>
      <c r="K1044950" s="54"/>
    </row>
    <row r="1044951" spans="1:11" s="55" customFormat="1" ht="12.75">
      <c r="A1044951" s="24"/>
      <c r="B1044951" s="24"/>
      <c r="C1044951" s="24"/>
      <c r="D1044951" s="24"/>
      <c r="E1044951" s="24"/>
      <c r="F1044951" s="24"/>
      <c r="G1044951" s="24"/>
      <c r="H1044951" s="24"/>
      <c r="I1044951" s="24"/>
      <c r="J1044951" s="24"/>
      <c r="K1044951" s="54"/>
    </row>
    <row r="1044952" spans="1:11" s="55" customFormat="1" ht="12.75">
      <c r="A1044952" s="24"/>
      <c r="B1044952" s="24"/>
      <c r="C1044952" s="24"/>
      <c r="D1044952" s="24"/>
      <c r="E1044952" s="24"/>
      <c r="F1044952" s="24"/>
      <c r="G1044952" s="24"/>
      <c r="H1044952" s="24"/>
      <c r="I1044952" s="24"/>
      <c r="J1044952" s="24"/>
      <c r="K1044952" s="54"/>
    </row>
    <row r="1044953" spans="1:11" s="55" customFormat="1" ht="12.75">
      <c r="A1044953" s="24"/>
      <c r="B1044953" s="24"/>
      <c r="C1044953" s="24"/>
      <c r="D1044953" s="24"/>
      <c r="E1044953" s="24"/>
      <c r="F1044953" s="24"/>
      <c r="G1044953" s="24"/>
      <c r="H1044953" s="24"/>
      <c r="I1044953" s="24"/>
      <c r="J1044953" s="24"/>
      <c r="K1044953" s="54"/>
    </row>
    <row r="1044954" spans="1:11" s="55" customFormat="1" ht="12.75">
      <c r="A1044954" s="24"/>
      <c r="B1044954" s="24"/>
      <c r="C1044954" s="24"/>
      <c r="D1044954" s="24"/>
      <c r="E1044954" s="24"/>
      <c r="F1044954" s="24"/>
      <c r="G1044954" s="24"/>
      <c r="H1044954" s="24"/>
      <c r="I1044954" s="24"/>
      <c r="J1044954" s="24"/>
      <c r="K1044954" s="54"/>
    </row>
    <row r="1044955" spans="1:11" s="55" customFormat="1" ht="12.75">
      <c r="A1044955" s="24"/>
      <c r="B1044955" s="24"/>
      <c r="C1044955" s="24"/>
      <c r="D1044955" s="24"/>
      <c r="E1044955" s="24"/>
      <c r="F1044955" s="24"/>
      <c r="G1044955" s="24"/>
      <c r="H1044955" s="24"/>
      <c r="I1044955" s="24"/>
      <c r="J1044955" s="24"/>
      <c r="K1044955" s="54"/>
    </row>
    <row r="1044956" spans="1:11" s="55" customFormat="1" ht="12.75">
      <c r="A1044956" s="24"/>
      <c r="B1044956" s="24"/>
      <c r="C1044956" s="24"/>
      <c r="D1044956" s="24"/>
      <c r="E1044956" s="24"/>
      <c r="F1044956" s="24"/>
      <c r="G1044956" s="24"/>
      <c r="H1044956" s="24"/>
      <c r="I1044956" s="24"/>
      <c r="J1044956" s="24"/>
      <c r="K1044956" s="54"/>
    </row>
    <row r="1044957" spans="1:11" s="55" customFormat="1" ht="12.75">
      <c r="A1044957" s="24"/>
      <c r="B1044957" s="24"/>
      <c r="C1044957" s="24"/>
      <c r="D1044957" s="24"/>
      <c r="E1044957" s="24"/>
      <c r="F1044957" s="24"/>
      <c r="G1044957" s="24"/>
      <c r="H1044957" s="24"/>
      <c r="I1044957" s="24"/>
      <c r="J1044957" s="24"/>
      <c r="K1044957" s="54"/>
    </row>
    <row r="1044958" spans="1:11" s="55" customFormat="1" ht="12.75">
      <c r="A1044958" s="24"/>
      <c r="B1044958" s="24"/>
      <c r="C1044958" s="24"/>
      <c r="D1044958" s="24"/>
      <c r="E1044958" s="24"/>
      <c r="F1044958" s="24"/>
      <c r="G1044958" s="24"/>
      <c r="H1044958" s="24"/>
      <c r="I1044958" s="24"/>
      <c r="J1044958" s="24"/>
      <c r="K1044958" s="54"/>
    </row>
    <row r="1044959" spans="1:11" s="55" customFormat="1" ht="12.75">
      <c r="A1044959" s="24"/>
      <c r="B1044959" s="24"/>
      <c r="C1044959" s="24"/>
      <c r="D1044959" s="24"/>
      <c r="E1044959" s="24"/>
      <c r="F1044959" s="24"/>
      <c r="G1044959" s="24"/>
      <c r="H1044959" s="24"/>
      <c r="I1044959" s="24"/>
      <c r="J1044959" s="24"/>
      <c r="K1044959" s="54"/>
    </row>
    <row r="1044960" spans="1:11" s="55" customFormat="1" ht="12.75">
      <c r="A1044960" s="24"/>
      <c r="B1044960" s="24"/>
      <c r="C1044960" s="24"/>
      <c r="D1044960" s="24"/>
      <c r="E1044960" s="24"/>
      <c r="F1044960" s="24"/>
      <c r="G1044960" s="24"/>
      <c r="H1044960" s="24"/>
      <c r="I1044960" s="24"/>
      <c r="J1044960" s="24"/>
      <c r="K1044960" s="54"/>
    </row>
    <row r="1044961" spans="1:11" s="55" customFormat="1" ht="12.75">
      <c r="A1044961" s="24"/>
      <c r="B1044961" s="24"/>
      <c r="C1044961" s="24"/>
      <c r="D1044961" s="24"/>
      <c r="E1044961" s="24"/>
      <c r="F1044961" s="24"/>
      <c r="G1044961" s="24"/>
      <c r="H1044961" s="24"/>
      <c r="I1044961" s="24"/>
      <c r="J1044961" s="24"/>
      <c r="K1044961" s="54"/>
    </row>
    <row r="1044962" spans="1:11" s="55" customFormat="1" ht="12.75">
      <c r="A1044962" s="24"/>
      <c r="B1044962" s="24"/>
      <c r="C1044962" s="24"/>
      <c r="D1044962" s="24"/>
      <c r="E1044962" s="24"/>
      <c r="F1044962" s="24"/>
      <c r="G1044962" s="24"/>
      <c r="H1044962" s="24"/>
      <c r="I1044962" s="24"/>
      <c r="J1044962" s="24"/>
      <c r="K1044962" s="54"/>
    </row>
    <row r="1044963" spans="1:11" s="55" customFormat="1" ht="12.75">
      <c r="A1044963" s="24"/>
      <c r="B1044963" s="24"/>
      <c r="C1044963" s="24"/>
      <c r="D1044963" s="24"/>
      <c r="E1044963" s="24"/>
      <c r="F1044963" s="24"/>
      <c r="G1044963" s="24"/>
      <c r="H1044963" s="24"/>
      <c r="I1044963" s="24"/>
      <c r="J1044963" s="24"/>
      <c r="K1044963" s="54"/>
    </row>
    <row r="1044964" spans="1:11" s="55" customFormat="1" ht="12.75">
      <c r="A1044964" s="24"/>
      <c r="B1044964" s="24"/>
      <c r="C1044964" s="24"/>
      <c r="D1044964" s="24"/>
      <c r="E1044964" s="24"/>
      <c r="F1044964" s="24"/>
      <c r="G1044964" s="24"/>
      <c r="H1044964" s="24"/>
      <c r="I1044964" s="24"/>
      <c r="J1044964" s="24"/>
      <c r="K1044964" s="54"/>
    </row>
    <row r="1044965" spans="1:11" s="55" customFormat="1" ht="12.75">
      <c r="A1044965" s="24"/>
      <c r="B1044965" s="24"/>
      <c r="C1044965" s="24"/>
      <c r="D1044965" s="24"/>
      <c r="E1044965" s="24"/>
      <c r="F1044965" s="24"/>
      <c r="G1044965" s="24"/>
      <c r="H1044965" s="24"/>
      <c r="I1044965" s="24"/>
      <c r="J1044965" s="24"/>
      <c r="K1044965" s="54"/>
    </row>
    <row r="1044966" spans="1:11" s="55" customFormat="1" ht="12.75">
      <c r="A1044966" s="24"/>
      <c r="B1044966" s="24"/>
      <c r="C1044966" s="24"/>
      <c r="D1044966" s="24"/>
      <c r="E1044966" s="24"/>
      <c r="F1044966" s="24"/>
      <c r="G1044966" s="24"/>
      <c r="H1044966" s="24"/>
      <c r="I1044966" s="24"/>
      <c r="J1044966" s="24"/>
      <c r="K1044966" s="54"/>
    </row>
    <row r="1044967" spans="1:11" s="55" customFormat="1" ht="12.75">
      <c r="A1044967" s="24"/>
      <c r="B1044967" s="24"/>
      <c r="C1044967" s="24"/>
      <c r="D1044967" s="24"/>
      <c r="E1044967" s="24"/>
      <c r="F1044967" s="24"/>
      <c r="G1044967" s="24"/>
      <c r="H1044967" s="24"/>
      <c r="I1044967" s="24"/>
      <c r="J1044967" s="24"/>
      <c r="K1044967" s="54"/>
    </row>
    <row r="1044968" spans="1:11" s="55" customFormat="1" ht="12.75">
      <c r="A1044968" s="24"/>
      <c r="B1044968" s="24"/>
      <c r="C1044968" s="24"/>
      <c r="D1044968" s="24"/>
      <c r="E1044968" s="24"/>
      <c r="F1044968" s="24"/>
      <c r="G1044968" s="24"/>
      <c r="H1044968" s="24"/>
      <c r="I1044968" s="24"/>
      <c r="J1044968" s="24"/>
      <c r="K1044968" s="54"/>
    </row>
    <row r="1044969" spans="1:11" s="55" customFormat="1" ht="12.75">
      <c r="A1044969" s="24"/>
      <c r="B1044969" s="24"/>
      <c r="C1044969" s="24"/>
      <c r="D1044969" s="24"/>
      <c r="E1044969" s="24"/>
      <c r="F1044969" s="24"/>
      <c r="G1044969" s="24"/>
      <c r="H1044969" s="24"/>
      <c r="I1044969" s="24"/>
      <c r="J1044969" s="24"/>
      <c r="K1044969" s="54"/>
    </row>
    <row r="1044970" spans="1:11" s="55" customFormat="1" ht="12.75">
      <c r="A1044970" s="24"/>
      <c r="B1044970" s="24"/>
      <c r="C1044970" s="24"/>
      <c r="D1044970" s="24"/>
      <c r="E1044970" s="24"/>
      <c r="F1044970" s="24"/>
      <c r="G1044970" s="24"/>
      <c r="H1044970" s="24"/>
      <c r="I1044970" s="24"/>
      <c r="J1044970" s="24"/>
      <c r="K1044970" s="54"/>
    </row>
    <row r="1044971" spans="1:11" s="55" customFormat="1" ht="12.75">
      <c r="A1044971" s="24"/>
      <c r="B1044971" s="24"/>
      <c r="C1044971" s="24"/>
      <c r="D1044971" s="24"/>
      <c r="E1044971" s="24"/>
      <c r="F1044971" s="24"/>
      <c r="G1044971" s="24"/>
      <c r="H1044971" s="24"/>
      <c r="I1044971" s="24"/>
      <c r="J1044971" s="24"/>
      <c r="K1044971" s="54"/>
    </row>
    <row r="1044972" spans="1:11" s="55" customFormat="1" ht="12.75">
      <c r="A1044972" s="24"/>
      <c r="B1044972" s="24"/>
      <c r="C1044972" s="24"/>
      <c r="D1044972" s="24"/>
      <c r="E1044972" s="24"/>
      <c r="F1044972" s="24"/>
      <c r="G1044972" s="24"/>
      <c r="H1044972" s="24"/>
      <c r="I1044972" s="24"/>
      <c r="J1044972" s="24"/>
      <c r="K1044972" s="54"/>
    </row>
    <row r="1044973" spans="1:11" s="55" customFormat="1" ht="12.75">
      <c r="A1044973" s="24"/>
      <c r="B1044973" s="24"/>
      <c r="C1044973" s="24"/>
      <c r="D1044973" s="24"/>
      <c r="E1044973" s="24"/>
      <c r="F1044973" s="24"/>
      <c r="G1044973" s="24"/>
      <c r="H1044973" s="24"/>
      <c r="I1044973" s="24"/>
      <c r="J1044973" s="24"/>
      <c r="K1044973" s="54"/>
    </row>
    <row r="1044974" spans="1:11" s="55" customFormat="1" ht="12.75">
      <c r="A1044974" s="24"/>
      <c r="B1044974" s="24"/>
      <c r="C1044974" s="24"/>
      <c r="D1044974" s="24"/>
      <c r="E1044974" s="24"/>
      <c r="F1044974" s="24"/>
      <c r="G1044974" s="24"/>
      <c r="H1044974" s="24"/>
      <c r="I1044974" s="24"/>
      <c r="J1044974" s="24"/>
      <c r="K1044974" s="54"/>
    </row>
    <row r="1044975" spans="1:11" s="55" customFormat="1" ht="12.75">
      <c r="A1044975" s="24"/>
      <c r="B1044975" s="24"/>
      <c r="C1044975" s="24"/>
      <c r="D1044975" s="24"/>
      <c r="E1044975" s="24"/>
      <c r="F1044975" s="24"/>
      <c r="G1044975" s="24"/>
      <c r="H1044975" s="24"/>
      <c r="I1044975" s="24"/>
      <c r="J1044975" s="24"/>
      <c r="K1044975" s="54"/>
    </row>
    <row r="1044976" spans="1:11" s="55" customFormat="1" ht="12.75">
      <c r="A1044976" s="24"/>
      <c r="B1044976" s="24"/>
      <c r="C1044976" s="24"/>
      <c r="D1044976" s="24"/>
      <c r="E1044976" s="24"/>
      <c r="F1044976" s="24"/>
      <c r="G1044976" s="24"/>
      <c r="H1044976" s="24"/>
      <c r="I1044976" s="24"/>
      <c r="J1044976" s="24"/>
      <c r="K1044976" s="54"/>
    </row>
    <row r="1044977" spans="1:11" s="55" customFormat="1" ht="12.75">
      <c r="A1044977" s="24"/>
      <c r="B1044977" s="24"/>
      <c r="C1044977" s="24"/>
      <c r="D1044977" s="24"/>
      <c r="E1044977" s="24"/>
      <c r="F1044977" s="24"/>
      <c r="G1044977" s="24"/>
      <c r="H1044977" s="24"/>
      <c r="I1044977" s="24"/>
      <c r="J1044977" s="24"/>
      <c r="K1044977" s="54"/>
    </row>
    <row r="1044978" spans="1:11" s="55" customFormat="1" ht="12.75">
      <c r="A1044978" s="24"/>
      <c r="B1044978" s="24"/>
      <c r="C1044978" s="24"/>
      <c r="D1044978" s="24"/>
      <c r="E1044978" s="24"/>
      <c r="F1044978" s="24"/>
      <c r="G1044978" s="24"/>
      <c r="H1044978" s="24"/>
      <c r="I1044978" s="24"/>
      <c r="J1044978" s="24"/>
      <c r="K1044978" s="54"/>
    </row>
    <row r="1044979" spans="1:11" s="55" customFormat="1" ht="12.75">
      <c r="A1044979" s="24"/>
      <c r="B1044979" s="24"/>
      <c r="C1044979" s="24"/>
      <c r="D1044979" s="24"/>
      <c r="E1044979" s="24"/>
      <c r="F1044979" s="24"/>
      <c r="G1044979" s="24"/>
      <c r="H1044979" s="24"/>
      <c r="I1044979" s="24"/>
      <c r="J1044979" s="24"/>
      <c r="K1044979" s="54"/>
    </row>
    <row r="1044980" spans="1:11" s="55" customFormat="1" ht="12.75">
      <c r="A1044980" s="24"/>
      <c r="B1044980" s="24"/>
      <c r="C1044980" s="24"/>
      <c r="D1044980" s="24"/>
      <c r="E1044980" s="24"/>
      <c r="F1044980" s="24"/>
      <c r="G1044980" s="24"/>
      <c r="H1044980" s="24"/>
      <c r="I1044980" s="24"/>
      <c r="J1044980" s="24"/>
      <c r="K1044980" s="54"/>
    </row>
    <row r="1044981" spans="1:11" s="55" customFormat="1" ht="12.75">
      <c r="A1044981" s="24"/>
      <c r="B1044981" s="24"/>
      <c r="C1044981" s="24"/>
      <c r="D1044981" s="24"/>
      <c r="E1044981" s="24"/>
      <c r="F1044981" s="24"/>
      <c r="G1044981" s="24"/>
      <c r="H1044981" s="24"/>
      <c r="I1044981" s="24"/>
      <c r="J1044981" s="24"/>
      <c r="K1044981" s="54"/>
    </row>
    <row r="1044982" spans="1:11" s="55" customFormat="1" ht="12.75">
      <c r="A1044982" s="24"/>
      <c r="B1044982" s="24"/>
      <c r="C1044982" s="24"/>
      <c r="D1044982" s="24"/>
      <c r="E1044982" s="24"/>
      <c r="F1044982" s="24"/>
      <c r="G1044982" s="24"/>
      <c r="H1044982" s="24"/>
      <c r="I1044982" s="24"/>
      <c r="J1044982" s="24"/>
      <c r="K1044982" s="54"/>
    </row>
    <row r="1044983" spans="1:11" s="55" customFormat="1" ht="12.75">
      <c r="A1044983" s="24"/>
      <c r="B1044983" s="24"/>
      <c r="C1044983" s="24"/>
      <c r="D1044983" s="24"/>
      <c r="E1044983" s="24"/>
      <c r="F1044983" s="24"/>
      <c r="G1044983" s="24"/>
      <c r="H1044983" s="24"/>
      <c r="I1044983" s="24"/>
      <c r="J1044983" s="24"/>
      <c r="K1044983" s="54"/>
    </row>
    <row r="1044984" spans="1:11" s="55" customFormat="1" ht="12.75">
      <c r="A1044984" s="24"/>
      <c r="B1044984" s="24"/>
      <c r="C1044984" s="24"/>
      <c r="D1044984" s="24"/>
      <c r="E1044984" s="24"/>
      <c r="F1044984" s="24"/>
      <c r="G1044984" s="24"/>
      <c r="H1044984" s="24"/>
      <c r="I1044984" s="24"/>
      <c r="J1044984" s="24"/>
      <c r="K1044984" s="54"/>
    </row>
    <row r="1044985" spans="1:11" s="55" customFormat="1" ht="12.75">
      <c r="A1044985" s="24"/>
      <c r="B1044985" s="24"/>
      <c r="C1044985" s="24"/>
      <c r="D1044985" s="24"/>
      <c r="E1044985" s="24"/>
      <c r="F1044985" s="24"/>
      <c r="G1044985" s="24"/>
      <c r="H1044985" s="24"/>
      <c r="I1044985" s="24"/>
      <c r="J1044985" s="24"/>
      <c r="K1044985" s="54"/>
    </row>
    <row r="1044986" spans="1:11" s="55" customFormat="1" ht="12.75">
      <c r="A1044986" s="24"/>
      <c r="B1044986" s="24"/>
      <c r="C1044986" s="24"/>
      <c r="D1044986" s="24"/>
      <c r="E1044986" s="24"/>
      <c r="F1044986" s="24"/>
      <c r="G1044986" s="24"/>
      <c r="H1044986" s="24"/>
      <c r="I1044986" s="24"/>
      <c r="J1044986" s="24"/>
      <c r="K1044986" s="54"/>
    </row>
    <row r="1044987" spans="1:11" s="55" customFormat="1" ht="12.75">
      <c r="A1044987" s="24"/>
      <c r="B1044987" s="24"/>
      <c r="C1044987" s="24"/>
      <c r="D1044987" s="24"/>
      <c r="E1044987" s="24"/>
      <c r="F1044987" s="24"/>
      <c r="G1044987" s="24"/>
      <c r="H1044987" s="24"/>
      <c r="I1044987" s="24"/>
      <c r="J1044987" s="24"/>
      <c r="K1044987" s="54"/>
    </row>
    <row r="1044988" spans="1:11" s="55" customFormat="1" ht="12.75">
      <c r="A1044988" s="24"/>
      <c r="B1044988" s="24"/>
      <c r="C1044988" s="24"/>
      <c r="D1044988" s="24"/>
      <c r="E1044988" s="24"/>
      <c r="F1044988" s="24"/>
      <c r="G1044988" s="24"/>
      <c r="H1044988" s="24"/>
      <c r="I1044988" s="24"/>
      <c r="J1044988" s="24"/>
      <c r="K1044988" s="54"/>
    </row>
    <row r="1044989" spans="1:11" s="55" customFormat="1" ht="12.75">
      <c r="A1044989" s="24"/>
      <c r="B1044989" s="24"/>
      <c r="C1044989" s="24"/>
      <c r="D1044989" s="24"/>
      <c r="E1044989" s="24"/>
      <c r="F1044989" s="24"/>
      <c r="G1044989" s="24"/>
      <c r="H1044989" s="24"/>
      <c r="I1044989" s="24"/>
      <c r="J1044989" s="24"/>
      <c r="K1044989" s="54"/>
    </row>
    <row r="1044990" spans="1:11" s="55" customFormat="1" ht="12.75">
      <c r="A1044990" s="24"/>
      <c r="B1044990" s="24"/>
      <c r="C1044990" s="24"/>
      <c r="D1044990" s="24"/>
      <c r="E1044990" s="24"/>
      <c r="F1044990" s="24"/>
      <c r="G1044990" s="24"/>
      <c r="H1044990" s="24"/>
      <c r="I1044990" s="24"/>
      <c r="J1044990" s="24"/>
      <c r="K1044990" s="54"/>
    </row>
    <row r="1044991" spans="1:11" s="55" customFormat="1" ht="12.75">
      <c r="A1044991" s="24"/>
      <c r="B1044991" s="24"/>
      <c r="C1044991" s="24"/>
      <c r="D1044991" s="24"/>
      <c r="E1044991" s="24"/>
      <c r="F1044991" s="24"/>
      <c r="G1044991" s="24"/>
      <c r="H1044991" s="24"/>
      <c r="I1044991" s="24"/>
      <c r="J1044991" s="24"/>
      <c r="K1044991" s="54"/>
    </row>
    <row r="1044992" spans="1:11" s="55" customFormat="1" ht="12.75">
      <c r="A1044992" s="24"/>
      <c r="B1044992" s="24"/>
      <c r="C1044992" s="24"/>
      <c r="D1044992" s="24"/>
      <c r="E1044992" s="24"/>
      <c r="F1044992" s="24"/>
      <c r="G1044992" s="24"/>
      <c r="H1044992" s="24"/>
      <c r="I1044992" s="24"/>
      <c r="J1044992" s="24"/>
      <c r="K1044992" s="54"/>
    </row>
    <row r="1044993" spans="1:11" s="55" customFormat="1" ht="12.75">
      <c r="A1044993" s="24"/>
      <c r="B1044993" s="24"/>
      <c r="C1044993" s="24"/>
      <c r="D1044993" s="24"/>
      <c r="E1044993" s="24"/>
      <c r="F1044993" s="24"/>
      <c r="G1044993" s="24"/>
      <c r="H1044993" s="24"/>
      <c r="I1044993" s="24"/>
      <c r="J1044993" s="24"/>
      <c r="K1044993" s="54"/>
    </row>
    <row r="1044994" spans="1:11" s="55" customFormat="1" ht="12.75">
      <c r="A1044994" s="24"/>
      <c r="B1044994" s="24"/>
      <c r="C1044994" s="24"/>
      <c r="D1044994" s="24"/>
      <c r="E1044994" s="24"/>
      <c r="F1044994" s="24"/>
      <c r="G1044994" s="24"/>
      <c r="H1044994" s="24"/>
      <c r="I1044994" s="24"/>
      <c r="J1044994" s="24"/>
      <c r="K1044994" s="54"/>
    </row>
    <row r="1044995" spans="1:11" s="55" customFormat="1" ht="12.75">
      <c r="A1044995" s="24"/>
      <c r="B1044995" s="24"/>
      <c r="C1044995" s="24"/>
      <c r="D1044995" s="24"/>
      <c r="E1044995" s="24"/>
      <c r="F1044995" s="24"/>
      <c r="G1044995" s="24"/>
      <c r="H1044995" s="24"/>
      <c r="I1044995" s="24"/>
      <c r="J1044995" s="24"/>
      <c r="K1044995" s="54"/>
    </row>
    <row r="1044996" spans="1:11" s="55" customFormat="1" ht="12.75">
      <c r="A1044996" s="24"/>
      <c r="B1044996" s="24"/>
      <c r="C1044996" s="24"/>
      <c r="D1044996" s="24"/>
      <c r="E1044996" s="24"/>
      <c r="F1044996" s="24"/>
      <c r="G1044996" s="24"/>
      <c r="H1044996" s="24"/>
      <c r="I1044996" s="24"/>
      <c r="J1044996" s="24"/>
      <c r="K1044996" s="54"/>
    </row>
    <row r="1044997" spans="1:11" s="55" customFormat="1" ht="12.75">
      <c r="A1044997" s="24"/>
      <c r="B1044997" s="24"/>
      <c r="C1044997" s="24"/>
      <c r="D1044997" s="24"/>
      <c r="E1044997" s="24"/>
      <c r="F1044997" s="24"/>
      <c r="G1044997" s="24"/>
      <c r="H1044997" s="24"/>
      <c r="I1044997" s="24"/>
      <c r="J1044997" s="24"/>
      <c r="K1044997" s="54"/>
    </row>
    <row r="1044998" spans="1:11" s="55" customFormat="1" ht="12.75">
      <c r="A1044998" s="24"/>
      <c r="B1044998" s="24"/>
      <c r="C1044998" s="24"/>
      <c r="D1044998" s="24"/>
      <c r="E1044998" s="24"/>
      <c r="F1044998" s="24"/>
      <c r="G1044998" s="24"/>
      <c r="H1044998" s="24"/>
      <c r="I1044998" s="24"/>
      <c r="J1044998" s="24"/>
      <c r="K1044998" s="54"/>
    </row>
    <row r="1044999" spans="1:11" s="55" customFormat="1" ht="12.75">
      <c r="A1044999" s="24"/>
      <c r="B1044999" s="24"/>
      <c r="C1044999" s="24"/>
      <c r="D1044999" s="24"/>
      <c r="E1044999" s="24"/>
      <c r="F1044999" s="24"/>
      <c r="G1044999" s="24"/>
      <c r="H1044999" s="24"/>
      <c r="I1044999" s="24"/>
      <c r="J1044999" s="24"/>
      <c r="K1044999" s="54"/>
    </row>
    <row r="1045000" spans="1:11" s="55" customFormat="1" ht="12.75">
      <c r="A1045000" s="24"/>
      <c r="B1045000" s="24"/>
      <c r="C1045000" s="24"/>
      <c r="D1045000" s="24"/>
      <c r="E1045000" s="24"/>
      <c r="F1045000" s="24"/>
      <c r="G1045000" s="24"/>
      <c r="H1045000" s="24"/>
      <c r="I1045000" s="24"/>
      <c r="J1045000" s="24"/>
      <c r="K1045000" s="54"/>
    </row>
    <row r="1045001" spans="1:11" s="55" customFormat="1" ht="12.75">
      <c r="A1045001" s="24"/>
      <c r="B1045001" s="24"/>
      <c r="C1045001" s="24"/>
      <c r="D1045001" s="24"/>
      <c r="E1045001" s="24"/>
      <c r="F1045001" s="24"/>
      <c r="G1045001" s="24"/>
      <c r="H1045001" s="24"/>
      <c r="I1045001" s="24"/>
      <c r="J1045001" s="24"/>
      <c r="K1045001" s="54"/>
    </row>
    <row r="1045002" spans="1:11" s="55" customFormat="1" ht="12.75">
      <c r="A1045002" s="24"/>
      <c r="B1045002" s="24"/>
      <c r="C1045002" s="24"/>
      <c r="D1045002" s="24"/>
      <c r="E1045002" s="24"/>
      <c r="F1045002" s="24"/>
      <c r="G1045002" s="24"/>
      <c r="H1045002" s="24"/>
      <c r="I1045002" s="24"/>
      <c r="J1045002" s="24"/>
      <c r="K1045002" s="54"/>
    </row>
    <row r="1045003" spans="1:11" s="55" customFormat="1" ht="12.75">
      <c r="A1045003" s="24"/>
      <c r="B1045003" s="24"/>
      <c r="C1045003" s="24"/>
      <c r="D1045003" s="24"/>
      <c r="E1045003" s="24"/>
      <c r="F1045003" s="24"/>
      <c r="G1045003" s="24"/>
      <c r="H1045003" s="24"/>
      <c r="I1045003" s="24"/>
      <c r="J1045003" s="24"/>
      <c r="K1045003" s="54"/>
    </row>
    <row r="1045004" spans="1:11" s="55" customFormat="1" ht="12.75">
      <c r="A1045004" s="24"/>
      <c r="B1045004" s="24"/>
      <c r="C1045004" s="24"/>
      <c r="D1045004" s="24"/>
      <c r="E1045004" s="24"/>
      <c r="F1045004" s="24"/>
      <c r="G1045004" s="24"/>
      <c r="H1045004" s="24"/>
      <c r="I1045004" s="24"/>
      <c r="J1045004" s="24"/>
      <c r="K1045004" s="54"/>
    </row>
    <row r="1045005" spans="1:11" s="55" customFormat="1" ht="12.75">
      <c r="A1045005" s="24"/>
      <c r="B1045005" s="24"/>
      <c r="C1045005" s="24"/>
      <c r="D1045005" s="24"/>
      <c r="E1045005" s="24"/>
      <c r="F1045005" s="24"/>
      <c r="G1045005" s="24"/>
      <c r="H1045005" s="24"/>
      <c r="I1045005" s="24"/>
      <c r="J1045005" s="24"/>
      <c r="K1045005" s="54"/>
    </row>
    <row r="1045006" spans="1:11" s="55" customFormat="1" ht="12.75">
      <c r="A1045006" s="24"/>
      <c r="B1045006" s="24"/>
      <c r="C1045006" s="24"/>
      <c r="D1045006" s="24"/>
      <c r="E1045006" s="24"/>
      <c r="F1045006" s="24"/>
      <c r="G1045006" s="24"/>
      <c r="H1045006" s="24"/>
      <c r="I1045006" s="24"/>
      <c r="J1045006" s="24"/>
      <c r="K1045006" s="54"/>
    </row>
    <row r="1045007" spans="1:11" s="55" customFormat="1" ht="12.75">
      <c r="A1045007" s="24"/>
      <c r="B1045007" s="24"/>
      <c r="C1045007" s="24"/>
      <c r="D1045007" s="24"/>
      <c r="E1045007" s="24"/>
      <c r="F1045007" s="24"/>
      <c r="G1045007" s="24"/>
      <c r="H1045007" s="24"/>
      <c r="I1045007" s="24"/>
      <c r="J1045007" s="24"/>
      <c r="K1045007" s="54"/>
    </row>
    <row r="1045008" spans="1:11" s="55" customFormat="1" ht="12.75">
      <c r="A1045008" s="24"/>
      <c r="B1045008" s="24"/>
      <c r="C1045008" s="24"/>
      <c r="D1045008" s="24"/>
      <c r="E1045008" s="24"/>
      <c r="F1045008" s="24"/>
      <c r="G1045008" s="24"/>
      <c r="H1045008" s="24"/>
      <c r="I1045008" s="24"/>
      <c r="J1045008" s="24"/>
      <c r="K1045008" s="54"/>
    </row>
    <row r="1045009" spans="1:11" s="55" customFormat="1" ht="12.75">
      <c r="A1045009" s="24"/>
      <c r="B1045009" s="24"/>
      <c r="C1045009" s="24"/>
      <c r="D1045009" s="24"/>
      <c r="E1045009" s="24"/>
      <c r="F1045009" s="24"/>
      <c r="G1045009" s="24"/>
      <c r="H1045009" s="24"/>
      <c r="I1045009" s="24"/>
      <c r="J1045009" s="24"/>
      <c r="K1045009" s="54"/>
    </row>
    <row r="1045010" spans="1:11" s="55" customFormat="1" ht="12.75">
      <c r="A1045010" s="24"/>
      <c r="B1045010" s="24"/>
      <c r="C1045010" s="24"/>
      <c r="D1045010" s="24"/>
      <c r="E1045010" s="24"/>
      <c r="F1045010" s="24"/>
      <c r="G1045010" s="24"/>
      <c r="H1045010" s="24"/>
      <c r="I1045010" s="24"/>
      <c r="J1045010" s="24"/>
      <c r="K1045010" s="54"/>
    </row>
    <row r="1045011" spans="1:11" s="55" customFormat="1" ht="12.75">
      <c r="A1045011" s="24"/>
      <c r="B1045011" s="24"/>
      <c r="C1045011" s="24"/>
      <c r="D1045011" s="24"/>
      <c r="E1045011" s="24"/>
      <c r="F1045011" s="24"/>
      <c r="G1045011" s="24"/>
      <c r="H1045011" s="24"/>
      <c r="I1045011" s="24"/>
      <c r="J1045011" s="24"/>
      <c r="K1045011" s="54"/>
    </row>
    <row r="1045012" spans="1:11" s="55" customFormat="1" ht="12.75">
      <c r="A1045012" s="24"/>
      <c r="B1045012" s="24"/>
      <c r="C1045012" s="24"/>
      <c r="D1045012" s="24"/>
      <c r="E1045012" s="24"/>
      <c r="F1045012" s="24"/>
      <c r="G1045012" s="24"/>
      <c r="H1045012" s="24"/>
      <c r="I1045012" s="24"/>
      <c r="J1045012" s="24"/>
      <c r="K1045012" s="54"/>
    </row>
    <row r="1045013" spans="1:11" s="55" customFormat="1" ht="12.75">
      <c r="A1045013" s="24"/>
      <c r="B1045013" s="24"/>
      <c r="C1045013" s="24"/>
      <c r="D1045013" s="24"/>
      <c r="E1045013" s="24"/>
      <c r="F1045013" s="24"/>
      <c r="G1045013" s="24"/>
      <c r="H1045013" s="24"/>
      <c r="I1045013" s="24"/>
      <c r="J1045013" s="24"/>
      <c r="K1045013" s="54"/>
    </row>
    <row r="1045014" spans="1:11" s="55" customFormat="1" ht="12.75">
      <c r="A1045014" s="24"/>
      <c r="B1045014" s="24"/>
      <c r="C1045014" s="24"/>
      <c r="D1045014" s="24"/>
      <c r="E1045014" s="24"/>
      <c r="F1045014" s="24"/>
      <c r="G1045014" s="24"/>
      <c r="H1045014" s="24"/>
      <c r="I1045014" s="24"/>
      <c r="J1045014" s="24"/>
      <c r="K1045014" s="54"/>
    </row>
    <row r="1045015" spans="1:11" s="55" customFormat="1" ht="12.75">
      <c r="A1045015" s="24"/>
      <c r="B1045015" s="24"/>
      <c r="C1045015" s="24"/>
      <c r="D1045015" s="24"/>
      <c r="E1045015" s="24"/>
      <c r="F1045015" s="24"/>
      <c r="G1045015" s="24"/>
      <c r="H1045015" s="24"/>
      <c r="I1045015" s="24"/>
      <c r="J1045015" s="24"/>
      <c r="K1045015" s="54"/>
    </row>
    <row r="1045016" spans="1:11" s="55" customFormat="1" ht="12.75">
      <c r="A1045016" s="24"/>
      <c r="B1045016" s="24"/>
      <c r="C1045016" s="24"/>
      <c r="D1045016" s="24"/>
      <c r="E1045016" s="24"/>
      <c r="F1045016" s="24"/>
      <c r="G1045016" s="24"/>
      <c r="H1045016" s="24"/>
      <c r="I1045016" s="24"/>
      <c r="J1045016" s="24"/>
      <c r="K1045016" s="54"/>
    </row>
    <row r="1045017" spans="1:11" s="55" customFormat="1" ht="12.75">
      <c r="A1045017" s="24"/>
      <c r="B1045017" s="24"/>
      <c r="C1045017" s="24"/>
      <c r="D1045017" s="24"/>
      <c r="E1045017" s="24"/>
      <c r="F1045017" s="24"/>
      <c r="G1045017" s="24"/>
      <c r="H1045017" s="24"/>
      <c r="I1045017" s="24"/>
      <c r="J1045017" s="24"/>
      <c r="K1045017" s="54"/>
    </row>
    <row r="1045018" spans="1:11" s="55" customFormat="1" ht="12.75">
      <c r="A1045018" s="24"/>
      <c r="B1045018" s="24"/>
      <c r="C1045018" s="24"/>
      <c r="D1045018" s="24"/>
      <c r="E1045018" s="24"/>
      <c r="F1045018" s="24"/>
      <c r="G1045018" s="24"/>
      <c r="H1045018" s="24"/>
      <c r="I1045018" s="24"/>
      <c r="J1045018" s="24"/>
      <c r="K1045018" s="54"/>
    </row>
    <row r="1045019" spans="1:11" s="55" customFormat="1" ht="12.75">
      <c r="A1045019" s="24"/>
      <c r="B1045019" s="24"/>
      <c r="C1045019" s="24"/>
      <c r="D1045019" s="24"/>
      <c r="E1045019" s="24"/>
      <c r="F1045019" s="24"/>
      <c r="G1045019" s="24"/>
      <c r="H1045019" s="24"/>
      <c r="I1045019" s="24"/>
      <c r="J1045019" s="24"/>
      <c r="K1045019" s="54"/>
    </row>
    <row r="1045020" spans="1:11" s="55" customFormat="1" ht="12.75">
      <c r="A1045020" s="24"/>
      <c r="B1045020" s="24"/>
      <c r="C1045020" s="24"/>
      <c r="D1045020" s="24"/>
      <c r="E1045020" s="24"/>
      <c r="F1045020" s="24"/>
      <c r="G1045020" s="24"/>
      <c r="H1045020" s="24"/>
      <c r="I1045020" s="24"/>
      <c r="J1045020" s="24"/>
      <c r="K1045020" s="54"/>
    </row>
    <row r="1045021" spans="1:11" s="55" customFormat="1" ht="12.75">
      <c r="A1045021" s="24"/>
      <c r="B1045021" s="24"/>
      <c r="C1045021" s="24"/>
      <c r="D1045021" s="24"/>
      <c r="E1045021" s="24"/>
      <c r="F1045021" s="24"/>
      <c r="G1045021" s="24"/>
      <c r="H1045021" s="24"/>
      <c r="I1045021" s="24"/>
      <c r="J1045021" s="24"/>
      <c r="K1045021" s="54"/>
    </row>
    <row r="1045022" spans="1:11" s="55" customFormat="1" ht="12.75">
      <c r="A1045022" s="24"/>
      <c r="B1045022" s="24"/>
      <c r="C1045022" s="24"/>
      <c r="D1045022" s="24"/>
      <c r="E1045022" s="24"/>
      <c r="F1045022" s="24"/>
      <c r="G1045022" s="24"/>
      <c r="H1045022" s="24"/>
      <c r="I1045022" s="24"/>
      <c r="J1045022" s="24"/>
      <c r="K1045022" s="54"/>
    </row>
    <row r="1045023" spans="1:11" s="55" customFormat="1" ht="12.75">
      <c r="A1045023" s="24"/>
      <c r="B1045023" s="24"/>
      <c r="C1045023" s="24"/>
      <c r="D1045023" s="24"/>
      <c r="E1045023" s="24"/>
      <c r="F1045023" s="24"/>
      <c r="G1045023" s="24"/>
      <c r="H1045023" s="24"/>
      <c r="I1045023" s="24"/>
      <c r="J1045023" s="24"/>
      <c r="K1045023" s="54"/>
    </row>
    <row r="1045024" spans="1:11" s="55" customFormat="1" ht="12.75">
      <c r="A1045024" s="24"/>
      <c r="B1045024" s="24"/>
      <c r="C1045024" s="24"/>
      <c r="D1045024" s="24"/>
      <c r="E1045024" s="24"/>
      <c r="F1045024" s="24"/>
      <c r="G1045024" s="24"/>
      <c r="H1045024" s="24"/>
      <c r="I1045024" s="24"/>
      <c r="J1045024" s="24"/>
      <c r="K1045024" s="54"/>
    </row>
    <row r="1045025" spans="1:11" s="55" customFormat="1" ht="12.75">
      <c r="A1045025" s="24"/>
      <c r="B1045025" s="24"/>
      <c r="C1045025" s="24"/>
      <c r="D1045025" s="24"/>
      <c r="E1045025" s="24"/>
      <c r="F1045025" s="24"/>
      <c r="G1045025" s="24"/>
      <c r="H1045025" s="24"/>
      <c r="I1045025" s="24"/>
      <c r="J1045025" s="24"/>
      <c r="K1045025" s="54"/>
    </row>
    <row r="1045026" spans="1:11" s="55" customFormat="1" ht="12.75">
      <c r="A1045026" s="24"/>
      <c r="B1045026" s="24"/>
      <c r="C1045026" s="24"/>
      <c r="D1045026" s="24"/>
      <c r="E1045026" s="24"/>
      <c r="F1045026" s="24"/>
      <c r="G1045026" s="24"/>
      <c r="H1045026" s="24"/>
      <c r="I1045026" s="24"/>
      <c r="J1045026" s="24"/>
      <c r="K1045026" s="54"/>
    </row>
    <row r="1045027" spans="1:11" s="55" customFormat="1" ht="12.75">
      <c r="A1045027" s="24"/>
      <c r="B1045027" s="24"/>
      <c r="C1045027" s="24"/>
      <c r="D1045027" s="24"/>
      <c r="E1045027" s="24"/>
      <c r="F1045027" s="24"/>
      <c r="G1045027" s="24"/>
      <c r="H1045027" s="24"/>
      <c r="I1045027" s="24"/>
      <c r="J1045027" s="24"/>
      <c r="K1045027" s="54"/>
    </row>
    <row r="1045028" spans="1:11" s="55" customFormat="1" ht="12.75">
      <c r="A1045028" s="24"/>
      <c r="B1045028" s="24"/>
      <c r="C1045028" s="24"/>
      <c r="D1045028" s="24"/>
      <c r="E1045028" s="24"/>
      <c r="F1045028" s="24"/>
      <c r="G1045028" s="24"/>
      <c r="H1045028" s="24"/>
      <c r="I1045028" s="24"/>
      <c r="J1045028" s="24"/>
      <c r="K1045028" s="54"/>
    </row>
    <row r="1045029" spans="1:11" s="55" customFormat="1" ht="12.75">
      <c r="A1045029" s="24"/>
      <c r="B1045029" s="24"/>
      <c r="C1045029" s="24"/>
      <c r="D1045029" s="24"/>
      <c r="E1045029" s="24"/>
      <c r="F1045029" s="24"/>
      <c r="G1045029" s="24"/>
      <c r="H1045029" s="24"/>
      <c r="I1045029" s="24"/>
      <c r="J1045029" s="24"/>
      <c r="K1045029" s="54"/>
    </row>
    <row r="1045030" spans="1:11" s="55" customFormat="1" ht="12.75">
      <c r="A1045030" s="24"/>
      <c r="B1045030" s="24"/>
      <c r="C1045030" s="24"/>
      <c r="D1045030" s="24"/>
      <c r="E1045030" s="24"/>
      <c r="F1045030" s="24"/>
      <c r="G1045030" s="24"/>
      <c r="H1045030" s="24"/>
      <c r="I1045030" s="24"/>
      <c r="J1045030" s="24"/>
      <c r="K1045030" s="54"/>
    </row>
    <row r="1045031" spans="1:11" s="55" customFormat="1" ht="12.75">
      <c r="A1045031" s="24"/>
      <c r="B1045031" s="24"/>
      <c r="C1045031" s="24"/>
      <c r="D1045031" s="24"/>
      <c r="E1045031" s="24"/>
      <c r="F1045031" s="24"/>
      <c r="G1045031" s="24"/>
      <c r="H1045031" s="24"/>
      <c r="I1045031" s="24"/>
      <c r="J1045031" s="24"/>
      <c r="K1045031" s="54"/>
    </row>
    <row r="1045032" spans="1:11" s="55" customFormat="1" ht="12.75">
      <c r="A1045032" s="24"/>
      <c r="B1045032" s="24"/>
      <c r="C1045032" s="24"/>
      <c r="D1045032" s="24"/>
      <c r="E1045032" s="24"/>
      <c r="F1045032" s="24"/>
      <c r="G1045032" s="24"/>
      <c r="H1045032" s="24"/>
      <c r="I1045032" s="24"/>
      <c r="J1045032" s="24"/>
      <c r="K1045032" s="54"/>
    </row>
    <row r="1045033" spans="1:11" s="55" customFormat="1" ht="12.75">
      <c r="A1045033" s="24"/>
      <c r="B1045033" s="24"/>
      <c r="C1045033" s="24"/>
      <c r="D1045033" s="24"/>
      <c r="E1045033" s="24"/>
      <c r="F1045033" s="24"/>
      <c r="G1045033" s="24"/>
      <c r="H1045033" s="24"/>
      <c r="I1045033" s="24"/>
      <c r="J1045033" s="24"/>
      <c r="K1045033" s="54"/>
    </row>
    <row r="1045034" spans="1:11" s="55" customFormat="1" ht="12.75">
      <c r="A1045034" s="24"/>
      <c r="B1045034" s="24"/>
      <c r="C1045034" s="24"/>
      <c r="D1045034" s="24"/>
      <c r="E1045034" s="24"/>
      <c r="F1045034" s="24"/>
      <c r="G1045034" s="24"/>
      <c r="H1045034" s="24"/>
      <c r="I1045034" s="24"/>
      <c r="J1045034" s="24"/>
      <c r="K1045034" s="54"/>
    </row>
    <row r="1045035" spans="1:11" s="55" customFormat="1" ht="12.75">
      <c r="A1045035" s="24"/>
      <c r="B1045035" s="24"/>
      <c r="C1045035" s="24"/>
      <c r="D1045035" s="24"/>
      <c r="E1045035" s="24"/>
      <c r="F1045035" s="24"/>
      <c r="G1045035" s="24"/>
      <c r="H1045035" s="24"/>
      <c r="I1045035" s="24"/>
      <c r="J1045035" s="24"/>
      <c r="K1045035" s="54"/>
    </row>
    <row r="1045036" spans="1:11" s="55" customFormat="1" ht="12.75">
      <c r="A1045036" s="24"/>
      <c r="B1045036" s="24"/>
      <c r="C1045036" s="24"/>
      <c r="D1045036" s="24"/>
      <c r="E1045036" s="24"/>
      <c r="F1045036" s="24"/>
      <c r="G1045036" s="24"/>
      <c r="H1045036" s="24"/>
      <c r="I1045036" s="24"/>
      <c r="J1045036" s="24"/>
      <c r="K1045036" s="54"/>
    </row>
    <row r="1045037" spans="1:11" s="55" customFormat="1" ht="12.75">
      <c r="A1045037" s="24"/>
      <c r="B1045037" s="24"/>
      <c r="C1045037" s="24"/>
      <c r="D1045037" s="24"/>
      <c r="E1045037" s="24"/>
      <c r="F1045037" s="24"/>
      <c r="G1045037" s="24"/>
      <c r="H1045037" s="24"/>
      <c r="I1045037" s="24"/>
      <c r="J1045037" s="24"/>
      <c r="K1045037" s="54"/>
    </row>
    <row r="1045038" spans="1:11" s="55" customFormat="1" ht="12.75">
      <c r="A1045038" s="24"/>
      <c r="B1045038" s="24"/>
      <c r="C1045038" s="24"/>
      <c r="D1045038" s="24"/>
      <c r="E1045038" s="24"/>
      <c r="F1045038" s="24"/>
      <c r="G1045038" s="24"/>
      <c r="H1045038" s="24"/>
      <c r="I1045038" s="24"/>
      <c r="J1045038" s="24"/>
      <c r="K1045038" s="54"/>
    </row>
    <row r="1045039" spans="1:11" s="55" customFormat="1" ht="12.75">
      <c r="A1045039" s="24"/>
      <c r="B1045039" s="24"/>
      <c r="C1045039" s="24"/>
      <c r="D1045039" s="24"/>
      <c r="E1045039" s="24"/>
      <c r="F1045039" s="24"/>
      <c r="G1045039" s="24"/>
      <c r="H1045039" s="24"/>
      <c r="I1045039" s="24"/>
      <c r="J1045039" s="24"/>
      <c r="K1045039" s="54"/>
    </row>
    <row r="1045040" spans="1:11" s="55" customFormat="1" ht="12.75">
      <c r="A1045040" s="24"/>
      <c r="B1045040" s="24"/>
      <c r="C1045040" s="24"/>
      <c r="D1045040" s="24"/>
      <c r="E1045040" s="24"/>
      <c r="F1045040" s="24"/>
      <c r="G1045040" s="24"/>
      <c r="H1045040" s="24"/>
      <c r="I1045040" s="24"/>
      <c r="J1045040" s="24"/>
      <c r="K1045040" s="54"/>
    </row>
    <row r="1045041" spans="1:11" s="55" customFormat="1" ht="12.75">
      <c r="A1045041" s="24"/>
      <c r="B1045041" s="24"/>
      <c r="C1045041" s="24"/>
      <c r="D1045041" s="24"/>
      <c r="E1045041" s="24"/>
      <c r="F1045041" s="24"/>
      <c r="G1045041" s="24"/>
      <c r="H1045041" s="24"/>
      <c r="I1045041" s="24"/>
      <c r="J1045041" s="24"/>
      <c r="K1045041" s="54"/>
    </row>
    <row r="1045042" spans="1:11" s="55" customFormat="1" ht="12.75">
      <c r="A1045042" s="24"/>
      <c r="B1045042" s="24"/>
      <c r="C1045042" s="24"/>
      <c r="D1045042" s="24"/>
      <c r="E1045042" s="24"/>
      <c r="F1045042" s="24"/>
      <c r="G1045042" s="24"/>
      <c r="H1045042" s="24"/>
      <c r="I1045042" s="24"/>
      <c r="J1045042" s="24"/>
      <c r="K1045042" s="54"/>
    </row>
    <row r="1045043" spans="1:11" s="55" customFormat="1" ht="12.75">
      <c r="A1045043" s="24"/>
      <c r="B1045043" s="24"/>
      <c r="C1045043" s="24"/>
      <c r="D1045043" s="24"/>
      <c r="E1045043" s="24"/>
      <c r="F1045043" s="24"/>
      <c r="G1045043" s="24"/>
      <c r="H1045043" s="24"/>
      <c r="I1045043" s="24"/>
      <c r="J1045043" s="24"/>
      <c r="K1045043" s="54"/>
    </row>
    <row r="1045044" spans="1:11" s="55" customFormat="1" ht="12.75">
      <c r="A1045044" s="24"/>
      <c r="B1045044" s="24"/>
      <c r="C1045044" s="24"/>
      <c r="D1045044" s="24"/>
      <c r="E1045044" s="24"/>
      <c r="F1045044" s="24"/>
      <c r="G1045044" s="24"/>
      <c r="H1045044" s="24"/>
      <c r="I1045044" s="24"/>
      <c r="J1045044" s="24"/>
      <c r="K1045044" s="54"/>
    </row>
    <row r="1045045" spans="1:11" s="55" customFormat="1" ht="12.75">
      <c r="A1045045" s="24"/>
      <c r="B1045045" s="24"/>
      <c r="C1045045" s="24"/>
      <c r="D1045045" s="24"/>
      <c r="E1045045" s="24"/>
      <c r="F1045045" s="24"/>
      <c r="G1045045" s="24"/>
      <c r="H1045045" s="24"/>
      <c r="I1045045" s="24"/>
      <c r="J1045045" s="24"/>
      <c r="K1045045" s="54"/>
    </row>
    <row r="1045046" spans="1:11" s="55" customFormat="1" ht="12.75">
      <c r="A1045046" s="24"/>
      <c r="B1045046" s="24"/>
      <c r="C1045046" s="24"/>
      <c r="D1045046" s="24"/>
      <c r="E1045046" s="24"/>
      <c r="F1045046" s="24"/>
      <c r="G1045046" s="24"/>
      <c r="H1045046" s="24"/>
      <c r="I1045046" s="24"/>
      <c r="J1045046" s="24"/>
      <c r="K1045046" s="54"/>
    </row>
    <row r="1045047" spans="1:11" s="55" customFormat="1" ht="12.75">
      <c r="A1045047" s="24"/>
      <c r="B1045047" s="24"/>
      <c r="C1045047" s="24"/>
      <c r="D1045047" s="24"/>
      <c r="E1045047" s="24"/>
      <c r="F1045047" s="24"/>
      <c r="G1045047" s="24"/>
      <c r="H1045047" s="24"/>
      <c r="I1045047" s="24"/>
      <c r="J1045047" s="24"/>
      <c r="K1045047" s="54"/>
    </row>
    <row r="1045048" spans="1:11" s="55" customFormat="1" ht="12.75">
      <c r="A1045048" s="24"/>
      <c r="B1045048" s="24"/>
      <c r="C1045048" s="24"/>
      <c r="D1045048" s="24"/>
      <c r="E1045048" s="24"/>
      <c r="F1045048" s="24"/>
      <c r="G1045048" s="24"/>
      <c r="H1045048" s="24"/>
      <c r="I1045048" s="24"/>
      <c r="J1045048" s="24"/>
      <c r="K1045048" s="54"/>
    </row>
    <row r="1045049" spans="1:11" s="55" customFormat="1" ht="12.75">
      <c r="A1045049" s="24"/>
      <c r="B1045049" s="24"/>
      <c r="C1045049" s="24"/>
      <c r="D1045049" s="24"/>
      <c r="E1045049" s="24"/>
      <c r="F1045049" s="24"/>
      <c r="G1045049" s="24"/>
      <c r="H1045049" s="24"/>
      <c r="I1045049" s="24"/>
      <c r="J1045049" s="24"/>
      <c r="K1045049" s="54"/>
    </row>
    <row r="1045050" spans="1:11" s="55" customFormat="1" ht="12.75">
      <c r="A1045050" s="24"/>
      <c r="B1045050" s="24"/>
      <c r="C1045050" s="24"/>
      <c r="D1045050" s="24"/>
      <c r="E1045050" s="24"/>
      <c r="F1045050" s="24"/>
      <c r="G1045050" s="24"/>
      <c r="H1045050" s="24"/>
      <c r="I1045050" s="24"/>
      <c r="J1045050" s="24"/>
      <c r="K1045050" s="54"/>
    </row>
    <row r="1045051" spans="1:11" s="55" customFormat="1" ht="12.75">
      <c r="A1045051" s="24"/>
      <c r="B1045051" s="24"/>
      <c r="C1045051" s="24"/>
      <c r="D1045051" s="24"/>
      <c r="E1045051" s="24"/>
      <c r="F1045051" s="24"/>
      <c r="G1045051" s="24"/>
      <c r="H1045051" s="24"/>
      <c r="I1045051" s="24"/>
      <c r="J1045051" s="24"/>
      <c r="K1045051" s="54"/>
    </row>
    <row r="1045052" spans="1:11" s="55" customFormat="1" ht="12.75">
      <c r="A1045052" s="24"/>
      <c r="B1045052" s="24"/>
      <c r="C1045052" s="24"/>
      <c r="D1045052" s="24"/>
      <c r="E1045052" s="24"/>
      <c r="F1045052" s="24"/>
      <c r="G1045052" s="24"/>
      <c r="H1045052" s="24"/>
      <c r="I1045052" s="24"/>
      <c r="J1045052" s="24"/>
      <c r="K1045052" s="54"/>
    </row>
    <row r="1045053" spans="1:11" s="55" customFormat="1" ht="12.75">
      <c r="A1045053" s="24"/>
      <c r="B1045053" s="24"/>
      <c r="C1045053" s="24"/>
      <c r="D1045053" s="24"/>
      <c r="E1045053" s="24"/>
      <c r="F1045053" s="24"/>
      <c r="G1045053" s="24"/>
      <c r="H1045053" s="24"/>
      <c r="I1045053" s="24"/>
      <c r="J1045053" s="24"/>
      <c r="K1045053" s="54"/>
    </row>
    <row r="1045054" spans="1:11" s="55" customFormat="1" ht="12.75">
      <c r="A1045054" s="24"/>
      <c r="B1045054" s="24"/>
      <c r="C1045054" s="24"/>
      <c r="D1045054" s="24"/>
      <c r="E1045054" s="24"/>
      <c r="F1045054" s="24"/>
      <c r="G1045054" s="24"/>
      <c r="H1045054" s="24"/>
      <c r="I1045054" s="24"/>
      <c r="J1045054" s="24"/>
      <c r="K1045054" s="54"/>
    </row>
    <row r="1045055" spans="1:11" s="55" customFormat="1" ht="12.75">
      <c r="A1045055" s="24"/>
      <c r="B1045055" s="24"/>
      <c r="C1045055" s="24"/>
      <c r="D1045055" s="24"/>
      <c r="E1045055" s="24"/>
      <c r="F1045055" s="24"/>
      <c r="G1045055" s="24"/>
      <c r="H1045055" s="24"/>
      <c r="I1045055" s="24"/>
      <c r="J1045055" s="24"/>
      <c r="K1045055" s="54"/>
    </row>
    <row r="1045056" spans="1:11" s="55" customFormat="1" ht="12.75">
      <c r="A1045056" s="24"/>
      <c r="B1045056" s="24"/>
      <c r="C1045056" s="24"/>
      <c r="D1045056" s="24"/>
      <c r="E1045056" s="24"/>
      <c r="F1045056" s="24"/>
      <c r="G1045056" s="24"/>
      <c r="H1045056" s="24"/>
      <c r="I1045056" s="24"/>
      <c r="J1045056" s="24"/>
      <c r="K1045056" s="54"/>
    </row>
    <row r="1045057" spans="1:11" s="55" customFormat="1" ht="12.75">
      <c r="A1045057" s="24"/>
      <c r="B1045057" s="24"/>
      <c r="C1045057" s="24"/>
      <c r="D1045057" s="24"/>
      <c r="E1045057" s="24"/>
      <c r="F1045057" s="24"/>
      <c r="G1045057" s="24"/>
      <c r="H1045057" s="24"/>
      <c r="I1045057" s="24"/>
      <c r="J1045057" s="24"/>
      <c r="K1045057" s="54"/>
    </row>
    <row r="1045058" spans="1:11" s="55" customFormat="1" ht="12.75">
      <c r="A1045058" s="24"/>
      <c r="B1045058" s="24"/>
      <c r="C1045058" s="24"/>
      <c r="D1045058" s="24"/>
      <c r="E1045058" s="24"/>
      <c r="F1045058" s="24"/>
      <c r="G1045058" s="24"/>
      <c r="H1045058" s="24"/>
      <c r="I1045058" s="24"/>
      <c r="J1045058" s="24"/>
      <c r="K1045058" s="54"/>
    </row>
    <row r="1045059" spans="1:11" s="55" customFormat="1" ht="12.75">
      <c r="A1045059" s="24"/>
      <c r="B1045059" s="24"/>
      <c r="C1045059" s="24"/>
      <c r="D1045059" s="24"/>
      <c r="E1045059" s="24"/>
      <c r="F1045059" s="24"/>
      <c r="G1045059" s="24"/>
      <c r="H1045059" s="24"/>
      <c r="I1045059" s="24"/>
      <c r="J1045059" s="24"/>
      <c r="K1045059" s="54"/>
    </row>
    <row r="1045060" spans="1:11" s="55" customFormat="1" ht="12.75">
      <c r="A1045060" s="24"/>
      <c r="B1045060" s="24"/>
      <c r="C1045060" s="24"/>
      <c r="D1045060" s="24"/>
      <c r="E1045060" s="24"/>
      <c r="F1045060" s="24"/>
      <c r="G1045060" s="24"/>
      <c r="H1045060" s="24"/>
      <c r="I1045060" s="24"/>
      <c r="J1045060" s="24"/>
      <c r="K1045060" s="54"/>
    </row>
    <row r="1045061" spans="1:11" s="55" customFormat="1" ht="12.75">
      <c r="A1045061" s="24"/>
      <c r="B1045061" s="24"/>
      <c r="C1045061" s="24"/>
      <c r="D1045061" s="24"/>
      <c r="E1045061" s="24"/>
      <c r="F1045061" s="24"/>
      <c r="G1045061" s="24"/>
      <c r="H1045061" s="24"/>
      <c r="I1045061" s="24"/>
      <c r="J1045061" s="24"/>
      <c r="K1045061" s="54"/>
    </row>
    <row r="1045062" spans="1:11" s="55" customFormat="1" ht="12.75">
      <c r="A1045062" s="24"/>
      <c r="B1045062" s="24"/>
      <c r="C1045062" s="24"/>
      <c r="D1045062" s="24"/>
      <c r="E1045062" s="24"/>
      <c r="F1045062" s="24"/>
      <c r="G1045062" s="24"/>
      <c r="H1045062" s="24"/>
      <c r="I1045062" s="24"/>
      <c r="J1045062" s="24"/>
      <c r="K1045062" s="54"/>
    </row>
    <row r="1045063" spans="1:11" s="55" customFormat="1" ht="12.75">
      <c r="A1045063" s="24"/>
      <c r="B1045063" s="24"/>
      <c r="C1045063" s="24"/>
      <c r="D1045063" s="24"/>
      <c r="E1045063" s="24"/>
      <c r="F1045063" s="24"/>
      <c r="G1045063" s="24"/>
      <c r="H1045063" s="24"/>
      <c r="I1045063" s="24"/>
      <c r="J1045063" s="24"/>
      <c r="K1045063" s="54"/>
    </row>
    <row r="1045064" spans="1:11" s="55" customFormat="1" ht="12.75">
      <c r="A1045064" s="24"/>
      <c r="B1045064" s="24"/>
      <c r="C1045064" s="24"/>
      <c r="D1045064" s="24"/>
      <c r="E1045064" s="24"/>
      <c r="F1045064" s="24"/>
      <c r="G1045064" s="24"/>
      <c r="H1045064" s="24"/>
      <c r="I1045064" s="24"/>
      <c r="J1045064" s="24"/>
      <c r="K1045064" s="54"/>
    </row>
    <row r="1045065" spans="1:11" s="55" customFormat="1" ht="12.75">
      <c r="A1045065" s="24"/>
      <c r="B1045065" s="24"/>
      <c r="C1045065" s="24"/>
      <c r="D1045065" s="24"/>
      <c r="E1045065" s="24"/>
      <c r="F1045065" s="24"/>
      <c r="G1045065" s="24"/>
      <c r="H1045065" s="24"/>
      <c r="I1045065" s="24"/>
      <c r="J1045065" s="24"/>
      <c r="K1045065" s="54"/>
    </row>
    <row r="1045066" spans="1:11" s="55" customFormat="1" ht="12.75">
      <c r="A1045066" s="24"/>
      <c r="B1045066" s="24"/>
      <c r="C1045066" s="24"/>
      <c r="D1045066" s="24"/>
      <c r="E1045066" s="24"/>
      <c r="F1045066" s="24"/>
      <c r="G1045066" s="24"/>
      <c r="H1045066" s="24"/>
      <c r="I1045066" s="24"/>
      <c r="J1045066" s="24"/>
      <c r="K1045066" s="54"/>
    </row>
    <row r="1045067" spans="1:11" s="55" customFormat="1" ht="12.75">
      <c r="A1045067" s="24"/>
      <c r="B1045067" s="24"/>
      <c r="C1045067" s="24"/>
      <c r="D1045067" s="24"/>
      <c r="E1045067" s="24"/>
      <c r="F1045067" s="24"/>
      <c r="G1045067" s="24"/>
      <c r="H1045067" s="24"/>
      <c r="I1045067" s="24"/>
      <c r="J1045067" s="24"/>
      <c r="K1045067" s="54"/>
    </row>
    <row r="1045068" spans="1:11" s="55" customFormat="1" ht="12.75">
      <c r="A1045068" s="24"/>
      <c r="B1045068" s="24"/>
      <c r="C1045068" s="24"/>
      <c r="D1045068" s="24"/>
      <c r="E1045068" s="24"/>
      <c r="F1045068" s="24"/>
      <c r="G1045068" s="24"/>
      <c r="H1045068" s="24"/>
      <c r="I1045068" s="24"/>
      <c r="J1045068" s="24"/>
      <c r="K1045068" s="54"/>
    </row>
    <row r="1045069" spans="1:11" s="55" customFormat="1" ht="12.75">
      <c r="A1045069" s="24"/>
      <c r="B1045069" s="24"/>
      <c r="C1045069" s="24"/>
      <c r="D1045069" s="24"/>
      <c r="E1045069" s="24"/>
      <c r="F1045069" s="24"/>
      <c r="G1045069" s="24"/>
      <c r="H1045069" s="24"/>
      <c r="I1045069" s="24"/>
      <c r="J1045069" s="24"/>
      <c r="K1045069" s="54"/>
    </row>
    <row r="1045070" spans="1:11" s="55" customFormat="1" ht="12.75">
      <c r="A1045070" s="24"/>
      <c r="B1045070" s="24"/>
      <c r="C1045070" s="24"/>
      <c r="D1045070" s="24"/>
      <c r="E1045070" s="24"/>
      <c r="F1045070" s="24"/>
      <c r="G1045070" s="24"/>
      <c r="H1045070" s="24"/>
      <c r="I1045070" s="24"/>
      <c r="J1045070" s="24"/>
      <c r="K1045070" s="54"/>
    </row>
    <row r="1045071" spans="1:11" s="55" customFormat="1" ht="12.75">
      <c r="A1045071" s="24"/>
      <c r="B1045071" s="24"/>
      <c r="C1045071" s="24"/>
      <c r="D1045071" s="24"/>
      <c r="E1045071" s="24"/>
      <c r="F1045071" s="24"/>
      <c r="G1045071" s="24"/>
      <c r="H1045071" s="24"/>
      <c r="I1045071" s="24"/>
      <c r="J1045071" s="24"/>
      <c r="K1045071" s="54"/>
    </row>
    <row r="1045072" spans="1:11" s="55" customFormat="1" ht="12.75">
      <c r="A1045072" s="24"/>
      <c r="B1045072" s="24"/>
      <c r="C1045072" s="24"/>
      <c r="D1045072" s="24"/>
      <c r="E1045072" s="24"/>
      <c r="F1045072" s="24"/>
      <c r="G1045072" s="24"/>
      <c r="H1045072" s="24"/>
      <c r="I1045072" s="24"/>
      <c r="J1045072" s="24"/>
      <c r="K1045072" s="54"/>
    </row>
    <row r="1045073" spans="1:11" s="55" customFormat="1" ht="12.75">
      <c r="A1045073" s="24"/>
      <c r="B1045073" s="24"/>
      <c r="C1045073" s="24"/>
      <c r="D1045073" s="24"/>
      <c r="E1045073" s="24"/>
      <c r="F1045073" s="24"/>
      <c r="G1045073" s="24"/>
      <c r="H1045073" s="24"/>
      <c r="I1045073" s="24"/>
      <c r="J1045073" s="24"/>
      <c r="K1045073" s="54"/>
    </row>
    <row r="1045074" spans="1:11" s="55" customFormat="1" ht="12.75">
      <c r="A1045074" s="24"/>
      <c r="B1045074" s="24"/>
      <c r="C1045074" s="24"/>
      <c r="D1045074" s="24"/>
      <c r="E1045074" s="24"/>
      <c r="F1045074" s="24"/>
      <c r="G1045074" s="24"/>
      <c r="H1045074" s="24"/>
      <c r="I1045074" s="24"/>
      <c r="J1045074" s="24"/>
      <c r="K1045074" s="54"/>
    </row>
    <row r="1045075" spans="1:11" s="55" customFormat="1" ht="12.75">
      <c r="A1045075" s="24"/>
      <c r="B1045075" s="24"/>
      <c r="C1045075" s="24"/>
      <c r="D1045075" s="24"/>
      <c r="E1045075" s="24"/>
      <c r="F1045075" s="24"/>
      <c r="G1045075" s="24"/>
      <c r="H1045075" s="24"/>
      <c r="I1045075" s="24"/>
      <c r="J1045075" s="24"/>
      <c r="K1045075" s="54"/>
    </row>
    <row r="1045076" spans="1:11" s="55" customFormat="1" ht="12.75">
      <c r="A1045076" s="24"/>
      <c r="B1045076" s="24"/>
      <c r="C1045076" s="24"/>
      <c r="D1045076" s="24"/>
      <c r="E1045076" s="24"/>
      <c r="F1045076" s="24"/>
      <c r="G1045076" s="24"/>
      <c r="H1045076" s="24"/>
      <c r="I1045076" s="24"/>
      <c r="J1045076" s="24"/>
      <c r="K1045076" s="54"/>
    </row>
    <row r="1045077" spans="1:11" s="55" customFormat="1" ht="12.75">
      <c r="A1045077" s="24"/>
      <c r="B1045077" s="24"/>
      <c r="C1045077" s="24"/>
      <c r="D1045077" s="24"/>
      <c r="E1045077" s="24"/>
      <c r="F1045077" s="24"/>
      <c r="G1045077" s="24"/>
      <c r="H1045077" s="24"/>
      <c r="I1045077" s="24"/>
      <c r="J1045077" s="24"/>
      <c r="K1045077" s="54"/>
    </row>
    <row r="1045078" spans="1:11" s="55" customFormat="1" ht="12.75">
      <c r="A1045078" s="24"/>
      <c r="B1045078" s="24"/>
      <c r="C1045078" s="24"/>
      <c r="D1045078" s="24"/>
      <c r="E1045078" s="24"/>
      <c r="F1045078" s="24"/>
      <c r="G1045078" s="24"/>
      <c r="H1045078" s="24"/>
      <c r="I1045078" s="24"/>
      <c r="J1045078" s="24"/>
      <c r="K1045078" s="54"/>
    </row>
    <row r="1045079" spans="1:11" s="55" customFormat="1" ht="12.75">
      <c r="A1045079" s="24"/>
      <c r="B1045079" s="24"/>
      <c r="C1045079" s="24"/>
      <c r="D1045079" s="24"/>
      <c r="E1045079" s="24"/>
      <c r="F1045079" s="24"/>
      <c r="G1045079" s="24"/>
      <c r="H1045079" s="24"/>
      <c r="I1045079" s="24"/>
      <c r="J1045079" s="24"/>
      <c r="K1045079" s="54"/>
    </row>
    <row r="1045080" spans="1:11" s="55" customFormat="1" ht="12.75">
      <c r="A1045080" s="24"/>
      <c r="B1045080" s="24"/>
      <c r="C1045080" s="24"/>
      <c r="D1045080" s="24"/>
      <c r="E1045080" s="24"/>
      <c r="F1045080" s="24"/>
      <c r="G1045080" s="24"/>
      <c r="H1045080" s="24"/>
      <c r="I1045080" s="24"/>
      <c r="J1045080" s="24"/>
      <c r="K1045080" s="54"/>
    </row>
    <row r="1045081" spans="1:11" s="55" customFormat="1" ht="12.75">
      <c r="A1045081" s="24"/>
      <c r="B1045081" s="24"/>
      <c r="C1045081" s="24"/>
      <c r="D1045081" s="24"/>
      <c r="E1045081" s="24"/>
      <c r="F1045081" s="24"/>
      <c r="G1045081" s="24"/>
      <c r="H1045081" s="24"/>
      <c r="I1045081" s="24"/>
      <c r="J1045081" s="24"/>
      <c r="K1045081" s="54"/>
    </row>
    <row r="1045082" spans="1:11" s="55" customFormat="1" ht="12.75">
      <c r="A1045082" s="24"/>
      <c r="B1045082" s="24"/>
      <c r="C1045082" s="24"/>
      <c r="D1045082" s="24"/>
      <c r="E1045082" s="24"/>
      <c r="F1045082" s="24"/>
      <c r="G1045082" s="24"/>
      <c r="H1045082" s="24"/>
      <c r="I1045082" s="24"/>
      <c r="J1045082" s="24"/>
      <c r="K1045082" s="54"/>
    </row>
    <row r="1045083" spans="1:11" s="55" customFormat="1" ht="12.75">
      <c r="A1045083" s="24"/>
      <c r="B1045083" s="24"/>
      <c r="C1045083" s="24"/>
      <c r="D1045083" s="24"/>
      <c r="E1045083" s="24"/>
      <c r="F1045083" s="24"/>
      <c r="G1045083" s="24"/>
      <c r="H1045083" s="24"/>
      <c r="I1045083" s="24"/>
      <c r="J1045083" s="24"/>
      <c r="K1045083" s="54"/>
    </row>
    <row r="1045084" spans="1:11" s="55" customFormat="1" ht="12.75">
      <c r="A1045084" s="24"/>
      <c r="B1045084" s="24"/>
      <c r="C1045084" s="24"/>
      <c r="D1045084" s="24"/>
      <c r="E1045084" s="24"/>
      <c r="F1045084" s="24"/>
      <c r="G1045084" s="24"/>
      <c r="H1045084" s="24"/>
      <c r="I1045084" s="24"/>
      <c r="J1045084" s="24"/>
      <c r="K1045084" s="54"/>
    </row>
    <row r="1045085" spans="1:11" s="55" customFormat="1" ht="12.75">
      <c r="A1045085" s="24"/>
      <c r="B1045085" s="24"/>
      <c r="C1045085" s="24"/>
      <c r="D1045085" s="24"/>
      <c r="E1045085" s="24"/>
      <c r="F1045085" s="24"/>
      <c r="G1045085" s="24"/>
      <c r="H1045085" s="24"/>
      <c r="I1045085" s="24"/>
      <c r="J1045085" s="24"/>
      <c r="K1045085" s="54"/>
    </row>
    <row r="1045086" spans="1:11" s="55" customFormat="1" ht="12.75">
      <c r="A1045086" s="24"/>
      <c r="B1045086" s="24"/>
      <c r="C1045086" s="24"/>
      <c r="D1045086" s="24"/>
      <c r="E1045086" s="24"/>
      <c r="F1045086" s="24"/>
      <c r="G1045086" s="24"/>
      <c r="H1045086" s="24"/>
      <c r="I1045086" s="24"/>
      <c r="J1045086" s="24"/>
      <c r="K1045086" s="54"/>
    </row>
    <row r="1045087" spans="1:11" s="55" customFormat="1" ht="12.75">
      <c r="A1045087" s="24"/>
      <c r="B1045087" s="24"/>
      <c r="C1045087" s="24"/>
      <c r="D1045087" s="24"/>
      <c r="E1045087" s="24"/>
      <c r="F1045087" s="24"/>
      <c r="G1045087" s="24"/>
      <c r="H1045087" s="24"/>
      <c r="I1045087" s="24"/>
      <c r="J1045087" s="24"/>
      <c r="K1045087" s="54"/>
    </row>
    <row r="1045088" spans="1:11" s="55" customFormat="1" ht="12.75">
      <c r="A1045088" s="24"/>
      <c r="B1045088" s="24"/>
      <c r="C1045088" s="24"/>
      <c r="D1045088" s="24"/>
      <c r="E1045088" s="24"/>
      <c r="F1045088" s="24"/>
      <c r="G1045088" s="24"/>
      <c r="H1045088" s="24"/>
      <c r="I1045088" s="24"/>
      <c r="J1045088" s="24"/>
      <c r="K1045088" s="54"/>
    </row>
    <row r="1045089" spans="1:11" s="55" customFormat="1" ht="12.75">
      <c r="A1045089" s="24"/>
      <c r="B1045089" s="24"/>
      <c r="C1045089" s="24"/>
      <c r="D1045089" s="24"/>
      <c r="E1045089" s="24"/>
      <c r="F1045089" s="24"/>
      <c r="G1045089" s="24"/>
      <c r="H1045089" s="24"/>
      <c r="I1045089" s="24"/>
      <c r="J1045089" s="24"/>
      <c r="K1045089" s="54"/>
    </row>
    <row r="1045090" spans="1:11" s="55" customFormat="1" ht="12.75">
      <c r="A1045090" s="24"/>
      <c r="B1045090" s="24"/>
      <c r="C1045090" s="24"/>
      <c r="D1045090" s="24"/>
      <c r="E1045090" s="24"/>
      <c r="F1045090" s="24"/>
      <c r="G1045090" s="24"/>
      <c r="H1045090" s="24"/>
      <c r="I1045090" s="24"/>
      <c r="J1045090" s="24"/>
      <c r="K1045090" s="54"/>
    </row>
    <row r="1045091" spans="1:11" s="55" customFormat="1" ht="12.75">
      <c r="A1045091" s="24"/>
      <c r="B1045091" s="24"/>
      <c r="C1045091" s="24"/>
      <c r="D1045091" s="24"/>
      <c r="E1045091" s="24"/>
      <c r="F1045091" s="24"/>
      <c r="G1045091" s="24"/>
      <c r="H1045091" s="24"/>
      <c r="I1045091" s="24"/>
      <c r="J1045091" s="24"/>
      <c r="K1045091" s="54"/>
    </row>
    <row r="1045092" spans="1:11" s="55" customFormat="1" ht="12.75">
      <c r="A1045092" s="24"/>
      <c r="B1045092" s="24"/>
      <c r="C1045092" s="24"/>
      <c r="D1045092" s="24"/>
      <c r="E1045092" s="24"/>
      <c r="F1045092" s="24"/>
      <c r="G1045092" s="24"/>
      <c r="H1045092" s="24"/>
      <c r="I1045092" s="24"/>
      <c r="J1045092" s="24"/>
      <c r="K1045092" s="54"/>
    </row>
    <row r="1045093" spans="1:11" s="55" customFormat="1" ht="12.75">
      <c r="A1045093" s="24"/>
      <c r="B1045093" s="24"/>
      <c r="C1045093" s="24"/>
      <c r="D1045093" s="24"/>
      <c r="E1045093" s="24"/>
      <c r="F1045093" s="24"/>
      <c r="G1045093" s="24"/>
      <c r="H1045093" s="24"/>
      <c r="I1045093" s="24"/>
      <c r="J1045093" s="24"/>
      <c r="K1045093" s="54"/>
    </row>
    <row r="1045094" spans="1:11" s="55" customFormat="1" ht="12.75">
      <c r="A1045094" s="24"/>
      <c r="B1045094" s="24"/>
      <c r="C1045094" s="24"/>
      <c r="D1045094" s="24"/>
      <c r="E1045094" s="24"/>
      <c r="F1045094" s="24"/>
      <c r="G1045094" s="24"/>
      <c r="H1045094" s="24"/>
      <c r="I1045094" s="24"/>
      <c r="J1045094" s="24"/>
      <c r="K1045094" s="54"/>
    </row>
    <row r="1045095" spans="1:11" s="55" customFormat="1" ht="12.75">
      <c r="A1045095" s="24"/>
      <c r="B1045095" s="24"/>
      <c r="C1045095" s="24"/>
      <c r="D1045095" s="24"/>
      <c r="E1045095" s="24"/>
      <c r="F1045095" s="24"/>
      <c r="G1045095" s="24"/>
      <c r="H1045095" s="24"/>
      <c r="I1045095" s="24"/>
      <c r="J1045095" s="24"/>
      <c r="K1045095" s="54"/>
    </row>
    <row r="1045096" spans="1:11" s="55" customFormat="1" ht="12.75">
      <c r="A1045096" s="24"/>
      <c r="B1045096" s="24"/>
      <c r="C1045096" s="24"/>
      <c r="D1045096" s="24"/>
      <c r="E1045096" s="24"/>
      <c r="F1045096" s="24"/>
      <c r="G1045096" s="24"/>
      <c r="H1045096" s="24"/>
      <c r="I1045096" s="24"/>
      <c r="J1045096" s="24"/>
      <c r="K1045096" s="54"/>
    </row>
    <row r="1045097" spans="1:11" s="55" customFormat="1" ht="12.75">
      <c r="A1045097" s="24"/>
      <c r="B1045097" s="24"/>
      <c r="C1045097" s="24"/>
      <c r="D1045097" s="24"/>
      <c r="E1045097" s="24"/>
      <c r="F1045097" s="24"/>
      <c r="G1045097" s="24"/>
      <c r="H1045097" s="24"/>
      <c r="I1045097" s="24"/>
      <c r="J1045097" s="24"/>
      <c r="K1045097" s="54"/>
    </row>
    <row r="1045098" spans="1:11" s="55" customFormat="1" ht="12.75">
      <c r="A1045098" s="24"/>
      <c r="B1045098" s="24"/>
      <c r="C1045098" s="24"/>
      <c r="D1045098" s="24"/>
      <c r="E1045098" s="24"/>
      <c r="F1045098" s="24"/>
      <c r="G1045098" s="24"/>
      <c r="H1045098" s="24"/>
      <c r="I1045098" s="24"/>
      <c r="J1045098" s="24"/>
      <c r="K1045098" s="54"/>
    </row>
    <row r="1045099" spans="1:11" s="55" customFormat="1" ht="12.75">
      <c r="A1045099" s="24"/>
      <c r="B1045099" s="24"/>
      <c r="C1045099" s="24"/>
      <c r="D1045099" s="24"/>
      <c r="E1045099" s="24"/>
      <c r="F1045099" s="24"/>
      <c r="G1045099" s="24"/>
      <c r="H1045099" s="24"/>
      <c r="I1045099" s="24"/>
      <c r="J1045099" s="24"/>
      <c r="K1045099" s="54"/>
    </row>
    <row r="1045100" spans="1:11" s="55" customFormat="1" ht="12.75">
      <c r="A1045100" s="24"/>
      <c r="B1045100" s="24"/>
      <c r="C1045100" s="24"/>
      <c r="D1045100" s="24"/>
      <c r="E1045100" s="24"/>
      <c r="F1045100" s="24"/>
      <c r="G1045100" s="24"/>
      <c r="H1045100" s="24"/>
      <c r="I1045100" s="24"/>
      <c r="J1045100" s="24"/>
      <c r="K1045100" s="54"/>
    </row>
    <row r="1045101" spans="1:11" s="55" customFormat="1" ht="12.75">
      <c r="A1045101" s="24"/>
      <c r="B1045101" s="24"/>
      <c r="C1045101" s="24"/>
      <c r="D1045101" s="24"/>
      <c r="E1045101" s="24"/>
      <c r="F1045101" s="24"/>
      <c r="G1045101" s="24"/>
      <c r="H1045101" s="24"/>
      <c r="I1045101" s="24"/>
      <c r="J1045101" s="24"/>
      <c r="K1045101" s="54"/>
    </row>
    <row r="1045102" spans="1:11" s="55" customFormat="1" ht="12.75">
      <c r="A1045102" s="24"/>
      <c r="B1045102" s="24"/>
      <c r="C1045102" s="24"/>
      <c r="D1045102" s="24"/>
      <c r="E1045102" s="24"/>
      <c r="F1045102" s="24"/>
      <c r="G1045102" s="24"/>
      <c r="H1045102" s="24"/>
      <c r="I1045102" s="24"/>
      <c r="J1045102" s="24"/>
      <c r="K1045102" s="54"/>
    </row>
    <row r="1045103" spans="1:11" s="55" customFormat="1" ht="12.75">
      <c r="A1045103" s="24"/>
      <c r="B1045103" s="24"/>
      <c r="C1045103" s="24"/>
      <c r="D1045103" s="24"/>
      <c r="E1045103" s="24"/>
      <c r="F1045103" s="24"/>
      <c r="G1045103" s="24"/>
      <c r="H1045103" s="24"/>
      <c r="I1045103" s="24"/>
      <c r="J1045103" s="24"/>
      <c r="K1045103" s="54"/>
    </row>
    <row r="1045104" spans="1:11" s="55" customFormat="1" ht="12.75">
      <c r="A1045104" s="24"/>
      <c r="B1045104" s="24"/>
      <c r="C1045104" s="24"/>
      <c r="D1045104" s="24"/>
      <c r="E1045104" s="24"/>
      <c r="F1045104" s="24"/>
      <c r="G1045104" s="24"/>
      <c r="H1045104" s="24"/>
      <c r="I1045104" s="24"/>
      <c r="J1045104" s="24"/>
      <c r="K1045104" s="54"/>
    </row>
    <row r="1045105" spans="1:11" s="55" customFormat="1" ht="12.75">
      <c r="A1045105" s="24"/>
      <c r="B1045105" s="24"/>
      <c r="C1045105" s="24"/>
      <c r="D1045105" s="24"/>
      <c r="E1045105" s="24"/>
      <c r="F1045105" s="24"/>
      <c r="G1045105" s="24"/>
      <c r="H1045105" s="24"/>
      <c r="I1045105" s="24"/>
      <c r="J1045105" s="24"/>
      <c r="K1045105" s="54"/>
    </row>
    <row r="1045106" spans="1:11" s="55" customFormat="1" ht="12.75">
      <c r="A1045106" s="24"/>
      <c r="B1045106" s="24"/>
      <c r="C1045106" s="24"/>
      <c r="D1045106" s="24"/>
      <c r="E1045106" s="24"/>
      <c r="F1045106" s="24"/>
      <c r="G1045106" s="24"/>
      <c r="H1045106" s="24"/>
      <c r="I1045106" s="24"/>
      <c r="J1045106" s="24"/>
      <c r="K1045106" s="54"/>
    </row>
    <row r="1045107" spans="1:11" s="55" customFormat="1" ht="12.75">
      <c r="A1045107" s="24"/>
      <c r="B1045107" s="24"/>
      <c r="C1045107" s="24"/>
      <c r="D1045107" s="24"/>
      <c r="E1045107" s="24"/>
      <c r="F1045107" s="24"/>
      <c r="G1045107" s="24"/>
      <c r="H1045107" s="24"/>
      <c r="I1045107" s="24"/>
      <c r="J1045107" s="24"/>
      <c r="K1045107" s="54"/>
    </row>
    <row r="1045108" spans="1:11" s="55" customFormat="1" ht="12.75">
      <c r="A1045108" s="24"/>
      <c r="B1045108" s="24"/>
      <c r="C1045108" s="24"/>
      <c r="D1045108" s="24"/>
      <c r="E1045108" s="24"/>
      <c r="F1045108" s="24"/>
      <c r="G1045108" s="24"/>
      <c r="H1045108" s="24"/>
      <c r="I1045108" s="24"/>
      <c r="J1045108" s="24"/>
      <c r="K1045108" s="54"/>
    </row>
    <row r="1045109" spans="1:11" s="55" customFormat="1" ht="12.75">
      <c r="A1045109" s="24"/>
      <c r="B1045109" s="24"/>
      <c r="C1045109" s="24"/>
      <c r="D1045109" s="24"/>
      <c r="E1045109" s="24"/>
      <c r="F1045109" s="24"/>
      <c r="G1045109" s="24"/>
      <c r="H1045109" s="24"/>
      <c r="I1045109" s="24"/>
      <c r="J1045109" s="24"/>
      <c r="K1045109" s="54"/>
    </row>
    <row r="1045110" spans="1:11" s="55" customFormat="1" ht="12.75">
      <c r="A1045110" s="24"/>
      <c r="B1045110" s="24"/>
      <c r="C1045110" s="24"/>
      <c r="D1045110" s="24"/>
      <c r="E1045110" s="24"/>
      <c r="F1045110" s="24"/>
      <c r="G1045110" s="24"/>
      <c r="H1045110" s="24"/>
      <c r="I1045110" s="24"/>
      <c r="J1045110" s="24"/>
      <c r="K1045110" s="54"/>
    </row>
    <row r="1045111" spans="1:11" s="55" customFormat="1" ht="12.75">
      <c r="A1045111" s="24"/>
      <c r="B1045111" s="24"/>
      <c r="C1045111" s="24"/>
      <c r="D1045111" s="24"/>
      <c r="E1045111" s="24"/>
      <c r="F1045111" s="24"/>
      <c r="G1045111" s="24"/>
      <c r="H1045111" s="24"/>
      <c r="I1045111" s="24"/>
      <c r="J1045111" s="24"/>
      <c r="K1045111" s="54"/>
    </row>
    <row r="1045112" spans="1:11" s="55" customFormat="1" ht="12.75">
      <c r="A1045112" s="24"/>
      <c r="B1045112" s="24"/>
      <c r="C1045112" s="24"/>
      <c r="D1045112" s="24"/>
      <c r="E1045112" s="24"/>
      <c r="F1045112" s="24"/>
      <c r="G1045112" s="24"/>
      <c r="H1045112" s="24"/>
      <c r="I1045112" s="24"/>
      <c r="J1045112" s="24"/>
      <c r="K1045112" s="54"/>
    </row>
    <row r="1045113" spans="1:11" s="55" customFormat="1" ht="12.75">
      <c r="A1045113" s="24"/>
      <c r="B1045113" s="24"/>
      <c r="C1045113" s="24"/>
      <c r="D1045113" s="24"/>
      <c r="E1045113" s="24"/>
      <c r="F1045113" s="24"/>
      <c r="G1045113" s="24"/>
      <c r="H1045113" s="24"/>
      <c r="I1045113" s="24"/>
      <c r="J1045113" s="24"/>
      <c r="K1045113" s="54"/>
    </row>
    <row r="1045114" spans="1:11" s="55" customFormat="1" ht="12.75">
      <c r="A1045114" s="24"/>
      <c r="B1045114" s="24"/>
      <c r="C1045114" s="24"/>
      <c r="D1045114" s="24"/>
      <c r="E1045114" s="24"/>
      <c r="F1045114" s="24"/>
      <c r="G1045114" s="24"/>
      <c r="H1045114" s="24"/>
      <c r="I1045114" s="24"/>
      <c r="J1045114" s="24"/>
      <c r="K1045114" s="54"/>
    </row>
    <row r="1045115" spans="1:11" s="55" customFormat="1" ht="12.75">
      <c r="A1045115" s="24"/>
      <c r="B1045115" s="24"/>
      <c r="C1045115" s="24"/>
      <c r="D1045115" s="24"/>
      <c r="E1045115" s="24"/>
      <c r="F1045115" s="24"/>
      <c r="G1045115" s="24"/>
      <c r="H1045115" s="24"/>
      <c r="I1045115" s="24"/>
      <c r="J1045115" s="24"/>
      <c r="K1045115" s="54"/>
    </row>
    <row r="1045116" spans="1:11" s="55" customFormat="1" ht="12.75">
      <c r="A1045116" s="24"/>
      <c r="B1045116" s="24"/>
      <c r="C1045116" s="24"/>
      <c r="D1045116" s="24"/>
      <c r="E1045116" s="24"/>
      <c r="F1045116" s="24"/>
      <c r="G1045116" s="24"/>
      <c r="H1045116" s="24"/>
      <c r="I1045116" s="24"/>
      <c r="J1045116" s="24"/>
      <c r="K1045116" s="54"/>
    </row>
    <row r="1045117" spans="1:11" s="55" customFormat="1" ht="12.75">
      <c r="A1045117" s="24"/>
      <c r="B1045117" s="24"/>
      <c r="C1045117" s="24"/>
      <c r="D1045117" s="24"/>
      <c r="E1045117" s="24"/>
      <c r="F1045117" s="24"/>
      <c r="G1045117" s="24"/>
      <c r="H1045117" s="24"/>
      <c r="I1045117" s="24"/>
      <c r="J1045117" s="24"/>
      <c r="K1045117" s="54"/>
    </row>
    <row r="1045118" spans="1:11" s="55" customFormat="1" ht="12.75">
      <c r="A1045118" s="24"/>
      <c r="B1045118" s="24"/>
      <c r="C1045118" s="24"/>
      <c r="D1045118" s="24"/>
      <c r="E1045118" s="24"/>
      <c r="F1045118" s="24"/>
      <c r="G1045118" s="24"/>
      <c r="H1045118" s="24"/>
      <c r="I1045118" s="24"/>
      <c r="J1045118" s="24"/>
      <c r="K1045118" s="54"/>
    </row>
    <row r="1045119" spans="1:11" s="55" customFormat="1" ht="12.75">
      <c r="A1045119" s="24"/>
      <c r="B1045119" s="24"/>
      <c r="C1045119" s="24"/>
      <c r="D1045119" s="24"/>
      <c r="E1045119" s="24"/>
      <c r="F1045119" s="24"/>
      <c r="G1045119" s="24"/>
      <c r="H1045119" s="24"/>
      <c r="I1045119" s="24"/>
      <c r="J1045119" s="24"/>
      <c r="K1045119" s="54"/>
    </row>
    <row r="1045120" spans="1:11" s="55" customFormat="1" ht="12.75">
      <c r="A1045120" s="24"/>
      <c r="B1045120" s="24"/>
      <c r="C1045120" s="24"/>
      <c r="D1045120" s="24"/>
      <c r="E1045120" s="24"/>
      <c r="F1045120" s="24"/>
      <c r="G1045120" s="24"/>
      <c r="H1045120" s="24"/>
      <c r="I1045120" s="24"/>
      <c r="J1045120" s="24"/>
      <c r="K1045120" s="54"/>
    </row>
    <row r="1045121" spans="1:11" s="55" customFormat="1" ht="12.75">
      <c r="A1045121" s="24"/>
      <c r="B1045121" s="24"/>
      <c r="C1045121" s="24"/>
      <c r="D1045121" s="24"/>
      <c r="E1045121" s="24"/>
      <c r="F1045121" s="24"/>
      <c r="G1045121" s="24"/>
      <c r="H1045121" s="24"/>
      <c r="I1045121" s="24"/>
      <c r="J1045121" s="24"/>
      <c r="K1045121" s="54"/>
    </row>
    <row r="1045122" spans="1:11" s="55" customFormat="1" ht="12.75">
      <c r="A1045122" s="24"/>
      <c r="B1045122" s="24"/>
      <c r="C1045122" s="24"/>
      <c r="D1045122" s="24"/>
      <c r="E1045122" s="24"/>
      <c r="F1045122" s="24"/>
      <c r="G1045122" s="24"/>
      <c r="H1045122" s="24"/>
      <c r="I1045122" s="24"/>
      <c r="J1045122" s="24"/>
      <c r="K1045122" s="54"/>
    </row>
    <row r="1045123" spans="1:11" s="55" customFormat="1" ht="12.75">
      <c r="A1045123" s="24"/>
      <c r="B1045123" s="24"/>
      <c r="C1045123" s="24"/>
      <c r="D1045123" s="24"/>
      <c r="E1045123" s="24"/>
      <c r="F1045123" s="24"/>
      <c r="G1045123" s="24"/>
      <c r="H1045123" s="24"/>
      <c r="I1045123" s="24"/>
      <c r="J1045123" s="24"/>
      <c r="K1045123" s="54"/>
    </row>
    <row r="1045124" spans="1:11" s="55" customFormat="1" ht="12.75">
      <c r="A1045124" s="24"/>
      <c r="B1045124" s="24"/>
      <c r="C1045124" s="24"/>
      <c r="D1045124" s="24"/>
      <c r="E1045124" s="24"/>
      <c r="F1045124" s="24"/>
      <c r="G1045124" s="24"/>
      <c r="H1045124" s="24"/>
      <c r="I1045124" s="24"/>
      <c r="J1045124" s="24"/>
      <c r="K1045124" s="54"/>
    </row>
    <row r="1045125" spans="1:11" s="55" customFormat="1" ht="12.75">
      <c r="A1045125" s="24"/>
      <c r="B1045125" s="24"/>
      <c r="C1045125" s="24"/>
      <c r="D1045125" s="24"/>
      <c r="E1045125" s="24"/>
      <c r="F1045125" s="24"/>
      <c r="G1045125" s="24"/>
      <c r="H1045125" s="24"/>
      <c r="I1045125" s="24"/>
      <c r="J1045125" s="24"/>
      <c r="K1045125" s="54"/>
    </row>
    <row r="1045126" spans="1:11" s="55" customFormat="1" ht="12.75">
      <c r="A1045126" s="24"/>
      <c r="B1045126" s="24"/>
      <c r="C1045126" s="24"/>
      <c r="D1045126" s="24"/>
      <c r="E1045126" s="24"/>
      <c r="F1045126" s="24"/>
      <c r="G1045126" s="24"/>
      <c r="H1045126" s="24"/>
      <c r="I1045126" s="24"/>
      <c r="J1045126" s="24"/>
      <c r="K1045126" s="54"/>
    </row>
    <row r="1045127" spans="1:11" s="55" customFormat="1" ht="12.75">
      <c r="A1045127" s="24"/>
      <c r="B1045127" s="24"/>
      <c r="C1045127" s="24"/>
      <c r="D1045127" s="24"/>
      <c r="E1045127" s="24"/>
      <c r="F1045127" s="24"/>
      <c r="G1045127" s="24"/>
      <c r="H1045127" s="24"/>
      <c r="I1045127" s="24"/>
      <c r="J1045127" s="24"/>
      <c r="K1045127" s="54"/>
    </row>
    <row r="1045128" spans="1:11" s="55" customFormat="1" ht="12.75">
      <c r="A1045128" s="24"/>
      <c r="B1045128" s="24"/>
      <c r="C1045128" s="24"/>
      <c r="D1045128" s="24"/>
      <c r="E1045128" s="24"/>
      <c r="F1045128" s="24"/>
      <c r="G1045128" s="24"/>
      <c r="H1045128" s="24"/>
      <c r="I1045128" s="24"/>
      <c r="J1045128" s="24"/>
      <c r="K1045128" s="54"/>
    </row>
    <row r="1045129" spans="1:11" s="55" customFormat="1" ht="12.75">
      <c r="A1045129" s="24"/>
      <c r="B1045129" s="24"/>
      <c r="C1045129" s="24"/>
      <c r="D1045129" s="24"/>
      <c r="E1045129" s="24"/>
      <c r="F1045129" s="24"/>
      <c r="G1045129" s="24"/>
      <c r="H1045129" s="24"/>
      <c r="I1045129" s="24"/>
      <c r="J1045129" s="24"/>
      <c r="K1045129" s="54"/>
    </row>
    <row r="1045130" spans="1:11" s="55" customFormat="1" ht="12.75">
      <c r="A1045130" s="24"/>
      <c r="B1045130" s="24"/>
      <c r="C1045130" s="24"/>
      <c r="D1045130" s="24"/>
      <c r="E1045130" s="24"/>
      <c r="F1045130" s="24"/>
      <c r="G1045130" s="24"/>
      <c r="H1045130" s="24"/>
      <c r="I1045130" s="24"/>
      <c r="J1045130" s="24"/>
      <c r="K1045130" s="54"/>
    </row>
    <row r="1045131" spans="1:11" s="55" customFormat="1" ht="12.75">
      <c r="A1045131" s="24"/>
      <c r="B1045131" s="24"/>
      <c r="C1045131" s="24"/>
      <c r="D1045131" s="24"/>
      <c r="E1045131" s="24"/>
      <c r="F1045131" s="24"/>
      <c r="G1045131" s="24"/>
      <c r="H1045131" s="24"/>
      <c r="I1045131" s="24"/>
      <c r="J1045131" s="24"/>
      <c r="K1045131" s="54"/>
    </row>
    <row r="1045132" spans="1:11" s="55" customFormat="1" ht="12.75">
      <c r="A1045132" s="24"/>
      <c r="B1045132" s="24"/>
      <c r="C1045132" s="24"/>
      <c r="D1045132" s="24"/>
      <c r="E1045132" s="24"/>
      <c r="F1045132" s="24"/>
      <c r="G1045132" s="24"/>
      <c r="H1045132" s="24"/>
      <c r="I1045132" s="24"/>
      <c r="J1045132" s="24"/>
      <c r="K1045132" s="54"/>
    </row>
    <row r="1045133" spans="1:11" s="55" customFormat="1" ht="12.75">
      <c r="A1045133" s="24"/>
      <c r="B1045133" s="24"/>
      <c r="C1045133" s="24"/>
      <c r="D1045133" s="24"/>
      <c r="E1045133" s="24"/>
      <c r="F1045133" s="24"/>
      <c r="G1045133" s="24"/>
      <c r="H1045133" s="24"/>
      <c r="I1045133" s="24"/>
      <c r="J1045133" s="24"/>
      <c r="K1045133" s="54"/>
    </row>
    <row r="1045134" spans="1:11" s="55" customFormat="1" ht="12.75">
      <c r="A1045134" s="24"/>
      <c r="B1045134" s="24"/>
      <c r="C1045134" s="24"/>
      <c r="D1045134" s="24"/>
      <c r="E1045134" s="24"/>
      <c r="F1045134" s="24"/>
      <c r="G1045134" s="24"/>
      <c r="H1045134" s="24"/>
      <c r="I1045134" s="24"/>
      <c r="J1045134" s="24"/>
      <c r="K1045134" s="54"/>
    </row>
    <row r="1045135" spans="1:11" s="55" customFormat="1" ht="12.75">
      <c r="A1045135" s="24"/>
      <c r="B1045135" s="24"/>
      <c r="C1045135" s="24"/>
      <c r="D1045135" s="24"/>
      <c r="E1045135" s="24"/>
      <c r="F1045135" s="24"/>
      <c r="G1045135" s="24"/>
      <c r="H1045135" s="24"/>
      <c r="I1045135" s="24"/>
      <c r="J1045135" s="24"/>
      <c r="K1045135" s="54"/>
    </row>
    <row r="1045136" spans="1:11" s="55" customFormat="1" ht="12.75">
      <c r="A1045136" s="24"/>
      <c r="B1045136" s="24"/>
      <c r="C1045136" s="24"/>
      <c r="D1045136" s="24"/>
      <c r="E1045136" s="24"/>
      <c r="F1045136" s="24"/>
      <c r="G1045136" s="24"/>
      <c r="H1045136" s="24"/>
      <c r="I1045136" s="24"/>
      <c r="J1045136" s="24"/>
      <c r="K1045136" s="54"/>
    </row>
    <row r="1045137" spans="1:11" s="55" customFormat="1" ht="12.75">
      <c r="A1045137" s="24"/>
      <c r="B1045137" s="24"/>
      <c r="C1045137" s="24"/>
      <c r="D1045137" s="24"/>
      <c r="E1045137" s="24"/>
      <c r="F1045137" s="24"/>
      <c r="G1045137" s="24"/>
      <c r="H1045137" s="24"/>
      <c r="I1045137" s="24"/>
      <c r="J1045137" s="24"/>
      <c r="K1045137" s="54"/>
    </row>
    <row r="1045138" spans="1:11" s="55" customFormat="1" ht="12.75">
      <c r="A1045138" s="24"/>
      <c r="B1045138" s="24"/>
      <c r="C1045138" s="24"/>
      <c r="D1045138" s="24"/>
      <c r="E1045138" s="24"/>
      <c r="F1045138" s="24"/>
      <c r="G1045138" s="24"/>
      <c r="H1045138" s="24"/>
      <c r="I1045138" s="24"/>
      <c r="J1045138" s="24"/>
      <c r="K1045138" s="54"/>
    </row>
    <row r="1045139" spans="1:11" s="55" customFormat="1" ht="12.75">
      <c r="A1045139" s="24"/>
      <c r="B1045139" s="24"/>
      <c r="C1045139" s="24"/>
      <c r="D1045139" s="24"/>
      <c r="E1045139" s="24"/>
      <c r="F1045139" s="24"/>
      <c r="G1045139" s="24"/>
      <c r="H1045139" s="24"/>
      <c r="I1045139" s="24"/>
      <c r="J1045139" s="24"/>
      <c r="K1045139" s="54"/>
    </row>
    <row r="1045140" spans="1:11" s="55" customFormat="1" ht="12.75">
      <c r="A1045140" s="24"/>
      <c r="B1045140" s="24"/>
      <c r="C1045140" s="24"/>
      <c r="D1045140" s="24"/>
      <c r="E1045140" s="24"/>
      <c r="F1045140" s="24"/>
      <c r="G1045140" s="24"/>
      <c r="H1045140" s="24"/>
      <c r="I1045140" s="24"/>
      <c r="J1045140" s="24"/>
      <c r="K1045140" s="54"/>
    </row>
    <row r="1045141" spans="1:11" s="55" customFormat="1" ht="12.75">
      <c r="A1045141" s="24"/>
      <c r="B1045141" s="24"/>
      <c r="C1045141" s="24"/>
      <c r="D1045141" s="24"/>
      <c r="E1045141" s="24"/>
      <c r="F1045141" s="24"/>
      <c r="G1045141" s="24"/>
      <c r="H1045141" s="24"/>
      <c r="I1045141" s="24"/>
      <c r="J1045141" s="24"/>
      <c r="K1045141" s="54"/>
    </row>
    <row r="1045142" spans="1:11" s="55" customFormat="1" ht="12.75">
      <c r="A1045142" s="24"/>
      <c r="B1045142" s="24"/>
      <c r="C1045142" s="24"/>
      <c r="D1045142" s="24"/>
      <c r="E1045142" s="24"/>
      <c r="F1045142" s="24"/>
      <c r="G1045142" s="24"/>
      <c r="H1045142" s="24"/>
      <c r="I1045142" s="24"/>
      <c r="J1045142" s="24"/>
      <c r="K1045142" s="54"/>
    </row>
    <row r="1045143" spans="1:11" s="55" customFormat="1" ht="12.75">
      <c r="A1045143" s="24"/>
      <c r="B1045143" s="24"/>
      <c r="C1045143" s="24"/>
      <c r="D1045143" s="24"/>
      <c r="E1045143" s="24"/>
      <c r="F1045143" s="24"/>
      <c r="G1045143" s="24"/>
      <c r="H1045143" s="24"/>
      <c r="I1045143" s="24"/>
      <c r="J1045143" s="24"/>
      <c r="K1045143" s="54"/>
    </row>
    <row r="1045144" spans="1:11" s="55" customFormat="1" ht="12.75">
      <c r="A1045144" s="24"/>
      <c r="B1045144" s="24"/>
      <c r="C1045144" s="24"/>
      <c r="D1045144" s="24"/>
      <c r="E1045144" s="24"/>
      <c r="F1045144" s="24"/>
      <c r="G1045144" s="24"/>
      <c r="H1045144" s="24"/>
      <c r="I1045144" s="24"/>
      <c r="J1045144" s="24"/>
      <c r="K1045144" s="54"/>
    </row>
    <row r="1045145" spans="1:11" s="55" customFormat="1" ht="12.75">
      <c r="A1045145" s="24"/>
      <c r="B1045145" s="24"/>
      <c r="C1045145" s="24"/>
      <c r="D1045145" s="24"/>
      <c r="E1045145" s="24"/>
      <c r="F1045145" s="24"/>
      <c r="G1045145" s="24"/>
      <c r="H1045145" s="24"/>
      <c r="I1045145" s="24"/>
      <c r="J1045145" s="24"/>
      <c r="K1045145" s="54"/>
    </row>
    <row r="1045146" spans="1:11" s="55" customFormat="1" ht="12.75">
      <c r="A1045146" s="24"/>
      <c r="B1045146" s="24"/>
      <c r="C1045146" s="24"/>
      <c r="D1045146" s="24"/>
      <c r="E1045146" s="24"/>
      <c r="F1045146" s="24"/>
      <c r="G1045146" s="24"/>
      <c r="H1045146" s="24"/>
      <c r="I1045146" s="24"/>
      <c r="J1045146" s="24"/>
      <c r="K1045146" s="54"/>
    </row>
    <row r="1045147" spans="1:11" s="55" customFormat="1" ht="12.75">
      <c r="A1045147" s="24"/>
      <c r="B1045147" s="24"/>
      <c r="C1045147" s="24"/>
      <c r="D1045147" s="24"/>
      <c r="E1045147" s="24"/>
      <c r="F1045147" s="24"/>
      <c r="G1045147" s="24"/>
      <c r="H1045147" s="24"/>
      <c r="I1045147" s="24"/>
      <c r="J1045147" s="24"/>
      <c r="K1045147" s="54"/>
    </row>
    <row r="1045148" spans="1:11" s="55" customFormat="1" ht="12.75">
      <c r="A1045148" s="24"/>
      <c r="B1045148" s="24"/>
      <c r="C1045148" s="24"/>
      <c r="D1045148" s="24"/>
      <c r="E1045148" s="24"/>
      <c r="F1045148" s="24"/>
      <c r="G1045148" s="24"/>
      <c r="H1045148" s="24"/>
      <c r="I1045148" s="24"/>
      <c r="J1045148" s="24"/>
      <c r="K1045148" s="54"/>
    </row>
    <row r="1045149" spans="1:11" s="55" customFormat="1" ht="12.75">
      <c r="A1045149" s="24"/>
      <c r="B1045149" s="24"/>
      <c r="C1045149" s="24"/>
      <c r="D1045149" s="24"/>
      <c r="E1045149" s="24"/>
      <c r="F1045149" s="24"/>
      <c r="G1045149" s="24"/>
      <c r="H1045149" s="24"/>
      <c r="I1045149" s="24"/>
      <c r="J1045149" s="24"/>
      <c r="K1045149" s="54"/>
    </row>
    <row r="1045150" spans="1:11" s="55" customFormat="1" ht="12.75">
      <c r="A1045150" s="24"/>
      <c r="B1045150" s="24"/>
      <c r="C1045150" s="24"/>
      <c r="D1045150" s="24"/>
      <c r="E1045150" s="24"/>
      <c r="F1045150" s="24"/>
      <c r="G1045150" s="24"/>
      <c r="H1045150" s="24"/>
      <c r="I1045150" s="24"/>
      <c r="J1045150" s="24"/>
      <c r="K1045150" s="54"/>
    </row>
    <row r="1045151" spans="1:11" s="55" customFormat="1" ht="12.75">
      <c r="A1045151" s="24"/>
      <c r="B1045151" s="24"/>
      <c r="C1045151" s="24"/>
      <c r="D1045151" s="24"/>
      <c r="E1045151" s="24"/>
      <c r="F1045151" s="24"/>
      <c r="G1045151" s="24"/>
      <c r="H1045151" s="24"/>
      <c r="I1045151" s="24"/>
      <c r="J1045151" s="24"/>
      <c r="K1045151" s="54"/>
    </row>
    <row r="1045152" spans="1:11" s="55" customFormat="1" ht="12.75">
      <c r="A1045152" s="24"/>
      <c r="B1045152" s="24"/>
      <c r="C1045152" s="24"/>
      <c r="D1045152" s="24"/>
      <c r="E1045152" s="24"/>
      <c r="F1045152" s="24"/>
      <c r="G1045152" s="24"/>
      <c r="H1045152" s="24"/>
      <c r="I1045152" s="24"/>
      <c r="J1045152" s="24"/>
      <c r="K1045152" s="54"/>
    </row>
    <row r="1045153" spans="1:11" s="55" customFormat="1" ht="12.75">
      <c r="A1045153" s="24"/>
      <c r="B1045153" s="24"/>
      <c r="C1045153" s="24"/>
      <c r="D1045153" s="24"/>
      <c r="E1045153" s="24"/>
      <c r="F1045153" s="24"/>
      <c r="G1045153" s="24"/>
      <c r="H1045153" s="24"/>
      <c r="I1045153" s="24"/>
      <c r="J1045153" s="24"/>
      <c r="K1045153" s="54"/>
    </row>
    <row r="1045154" spans="1:11" s="55" customFormat="1" ht="12.75">
      <c r="A1045154" s="24"/>
      <c r="B1045154" s="24"/>
      <c r="C1045154" s="24"/>
      <c r="D1045154" s="24"/>
      <c r="E1045154" s="24"/>
      <c r="F1045154" s="24"/>
      <c r="G1045154" s="24"/>
      <c r="H1045154" s="24"/>
      <c r="I1045154" s="24"/>
      <c r="J1045154" s="24"/>
      <c r="K1045154" s="54"/>
    </row>
    <row r="1045155" spans="1:11" s="55" customFormat="1" ht="12.75">
      <c r="A1045155" s="24"/>
      <c r="B1045155" s="24"/>
      <c r="C1045155" s="24"/>
      <c r="D1045155" s="24"/>
      <c r="E1045155" s="24"/>
      <c r="F1045155" s="24"/>
      <c r="G1045155" s="24"/>
      <c r="H1045155" s="24"/>
      <c r="I1045155" s="24"/>
      <c r="J1045155" s="24"/>
      <c r="K1045155" s="54"/>
    </row>
    <row r="1045156" spans="1:11" s="55" customFormat="1" ht="12.75">
      <c r="A1045156" s="24"/>
      <c r="B1045156" s="24"/>
      <c r="C1045156" s="24"/>
      <c r="D1045156" s="24"/>
      <c r="E1045156" s="24"/>
      <c r="F1045156" s="24"/>
      <c r="G1045156" s="24"/>
      <c r="H1045156" s="24"/>
      <c r="I1045156" s="24"/>
      <c r="J1045156" s="24"/>
      <c r="K1045156" s="54"/>
    </row>
    <row r="1045157" spans="1:11" s="55" customFormat="1" ht="12.75">
      <c r="A1045157" s="24"/>
      <c r="B1045157" s="24"/>
      <c r="C1045157" s="24"/>
      <c r="D1045157" s="24"/>
      <c r="E1045157" s="24"/>
      <c r="F1045157" s="24"/>
      <c r="G1045157" s="24"/>
      <c r="H1045157" s="24"/>
      <c r="I1045157" s="24"/>
      <c r="J1045157" s="24"/>
      <c r="K1045157" s="54"/>
    </row>
    <row r="1045158" spans="1:11" s="55" customFormat="1" ht="12.75">
      <c r="A1045158" s="24"/>
      <c r="B1045158" s="24"/>
      <c r="C1045158" s="24"/>
      <c r="D1045158" s="24"/>
      <c r="E1045158" s="24"/>
      <c r="F1045158" s="24"/>
      <c r="G1045158" s="24"/>
      <c r="H1045158" s="24"/>
      <c r="I1045158" s="24"/>
      <c r="J1045158" s="24"/>
      <c r="K1045158" s="54"/>
    </row>
    <row r="1045159" spans="1:11" s="55" customFormat="1" ht="12.75">
      <c r="A1045159" s="24"/>
      <c r="B1045159" s="24"/>
      <c r="C1045159" s="24"/>
      <c r="D1045159" s="24"/>
      <c r="E1045159" s="24"/>
      <c r="F1045159" s="24"/>
      <c r="G1045159" s="24"/>
      <c r="H1045159" s="24"/>
      <c r="I1045159" s="24"/>
      <c r="J1045159" s="24"/>
      <c r="K1045159" s="54"/>
    </row>
    <row r="1045160" spans="1:11" s="55" customFormat="1" ht="12.75">
      <c r="A1045160" s="24"/>
      <c r="B1045160" s="24"/>
      <c r="C1045160" s="24"/>
      <c r="D1045160" s="24"/>
      <c r="E1045160" s="24"/>
      <c r="F1045160" s="24"/>
      <c r="G1045160" s="24"/>
      <c r="H1045160" s="24"/>
      <c r="I1045160" s="24"/>
      <c r="J1045160" s="24"/>
      <c r="K1045160" s="54"/>
    </row>
    <row r="1045161" spans="1:11" s="55" customFormat="1" ht="12.75">
      <c r="A1045161" s="24"/>
      <c r="B1045161" s="24"/>
      <c r="C1045161" s="24"/>
      <c r="D1045161" s="24"/>
      <c r="E1045161" s="24"/>
      <c r="F1045161" s="24"/>
      <c r="G1045161" s="24"/>
      <c r="H1045161" s="24"/>
      <c r="I1045161" s="24"/>
      <c r="J1045161" s="24"/>
      <c r="K1045161" s="54"/>
    </row>
    <row r="1045162" spans="1:11" s="55" customFormat="1" ht="12.75">
      <c r="A1045162" s="24"/>
      <c r="B1045162" s="24"/>
      <c r="C1045162" s="24"/>
      <c r="D1045162" s="24"/>
      <c r="E1045162" s="24"/>
      <c r="F1045162" s="24"/>
      <c r="G1045162" s="24"/>
      <c r="H1045162" s="24"/>
      <c r="I1045162" s="24"/>
      <c r="J1045162" s="24"/>
      <c r="K1045162" s="54"/>
    </row>
    <row r="1045163" spans="1:11" s="55" customFormat="1" ht="12.75">
      <c r="A1045163" s="24"/>
      <c r="B1045163" s="24"/>
      <c r="C1045163" s="24"/>
      <c r="D1045163" s="24"/>
      <c r="E1045163" s="24"/>
      <c r="F1045163" s="24"/>
      <c r="G1045163" s="24"/>
      <c r="H1045163" s="24"/>
      <c r="I1045163" s="24"/>
      <c r="J1045163" s="24"/>
      <c r="K1045163" s="54"/>
    </row>
    <row r="1045164" spans="1:11" s="55" customFormat="1" ht="12.75">
      <c r="A1045164" s="24"/>
      <c r="B1045164" s="24"/>
      <c r="C1045164" s="24"/>
      <c r="D1045164" s="24"/>
      <c r="E1045164" s="24"/>
      <c r="F1045164" s="24"/>
      <c r="G1045164" s="24"/>
      <c r="H1045164" s="24"/>
      <c r="I1045164" s="24"/>
      <c r="J1045164" s="24"/>
      <c r="K1045164" s="54"/>
    </row>
    <row r="1045165" spans="1:11" s="55" customFormat="1" ht="12.75">
      <c r="A1045165" s="24"/>
      <c r="B1045165" s="24"/>
      <c r="C1045165" s="24"/>
      <c r="D1045165" s="24"/>
      <c r="E1045165" s="24"/>
      <c r="F1045165" s="24"/>
      <c r="G1045165" s="24"/>
      <c r="H1045165" s="24"/>
      <c r="I1045165" s="24"/>
      <c r="J1045165" s="24"/>
      <c r="K1045165" s="54"/>
    </row>
    <row r="1045166" spans="1:11" s="55" customFormat="1" ht="12.75">
      <c r="A1045166" s="24"/>
      <c r="B1045166" s="24"/>
      <c r="C1045166" s="24"/>
      <c r="D1045166" s="24"/>
      <c r="E1045166" s="24"/>
      <c r="F1045166" s="24"/>
      <c r="G1045166" s="24"/>
      <c r="H1045166" s="24"/>
      <c r="I1045166" s="24"/>
      <c r="J1045166" s="24"/>
      <c r="K1045166" s="54"/>
    </row>
    <row r="1045167" spans="1:11" s="55" customFormat="1" ht="12.75">
      <c r="A1045167" s="24"/>
      <c r="B1045167" s="24"/>
      <c r="C1045167" s="24"/>
      <c r="D1045167" s="24"/>
      <c r="E1045167" s="24"/>
      <c r="F1045167" s="24"/>
      <c r="G1045167" s="24"/>
      <c r="H1045167" s="24"/>
      <c r="I1045167" s="24"/>
      <c r="J1045167" s="24"/>
      <c r="K1045167" s="54"/>
    </row>
    <row r="1045168" spans="1:11" s="55" customFormat="1" ht="12.75">
      <c r="A1045168" s="24"/>
      <c r="B1045168" s="24"/>
      <c r="C1045168" s="24"/>
      <c r="D1045168" s="24"/>
      <c r="E1045168" s="24"/>
      <c r="F1045168" s="24"/>
      <c r="G1045168" s="24"/>
      <c r="H1045168" s="24"/>
      <c r="I1045168" s="24"/>
      <c r="J1045168" s="24"/>
      <c r="K1045168" s="54"/>
    </row>
    <row r="1045169" spans="1:11" s="55" customFormat="1" ht="12.75">
      <c r="A1045169" s="24"/>
      <c r="B1045169" s="24"/>
      <c r="C1045169" s="24"/>
      <c r="D1045169" s="24"/>
      <c r="E1045169" s="24"/>
      <c r="F1045169" s="24"/>
      <c r="G1045169" s="24"/>
      <c r="H1045169" s="24"/>
      <c r="I1045169" s="24"/>
      <c r="J1045169" s="24"/>
      <c r="K1045169" s="54"/>
    </row>
    <row r="1045170" spans="1:11" s="55" customFormat="1" ht="12.75">
      <c r="A1045170" s="24"/>
      <c r="B1045170" s="24"/>
      <c r="C1045170" s="24"/>
      <c r="D1045170" s="24"/>
      <c r="E1045170" s="24"/>
      <c r="F1045170" s="24"/>
      <c r="G1045170" s="24"/>
      <c r="H1045170" s="24"/>
      <c r="I1045170" s="24"/>
      <c r="J1045170" s="24"/>
      <c r="K1045170" s="54"/>
    </row>
    <row r="1045171" spans="1:11" s="55" customFormat="1" ht="12.75">
      <c r="A1045171" s="24"/>
      <c r="B1045171" s="24"/>
      <c r="C1045171" s="24"/>
      <c r="D1045171" s="24"/>
      <c r="E1045171" s="24"/>
      <c r="F1045171" s="24"/>
      <c r="G1045171" s="24"/>
      <c r="H1045171" s="24"/>
      <c r="I1045171" s="24"/>
      <c r="J1045171" s="24"/>
      <c r="K1045171" s="54"/>
    </row>
    <row r="1045172" spans="1:11" s="55" customFormat="1" ht="12.75">
      <c r="A1045172" s="24"/>
      <c r="B1045172" s="24"/>
      <c r="C1045172" s="24"/>
      <c r="D1045172" s="24"/>
      <c r="E1045172" s="24"/>
      <c r="F1045172" s="24"/>
      <c r="G1045172" s="24"/>
      <c r="H1045172" s="24"/>
      <c r="I1045172" s="24"/>
      <c r="J1045172" s="24"/>
      <c r="K1045172" s="54"/>
    </row>
    <row r="1045173" spans="1:11" s="55" customFormat="1" ht="12.75">
      <c r="A1045173" s="24"/>
      <c r="B1045173" s="24"/>
      <c r="C1045173" s="24"/>
      <c r="D1045173" s="24"/>
      <c r="E1045173" s="24"/>
      <c r="F1045173" s="24"/>
      <c r="G1045173" s="24"/>
      <c r="H1045173" s="24"/>
      <c r="I1045173" s="24"/>
      <c r="J1045173" s="24"/>
      <c r="K1045173" s="54"/>
    </row>
    <row r="1045174" spans="1:11" s="55" customFormat="1" ht="12.75">
      <c r="A1045174" s="24"/>
      <c r="B1045174" s="24"/>
      <c r="C1045174" s="24"/>
      <c r="D1045174" s="24"/>
      <c r="E1045174" s="24"/>
      <c r="F1045174" s="24"/>
      <c r="G1045174" s="24"/>
      <c r="H1045174" s="24"/>
      <c r="I1045174" s="24"/>
      <c r="J1045174" s="24"/>
      <c r="K1045174" s="54"/>
    </row>
    <row r="1045175" spans="1:11" s="55" customFormat="1" ht="12.75">
      <c r="A1045175" s="24"/>
      <c r="B1045175" s="24"/>
      <c r="C1045175" s="24"/>
      <c r="D1045175" s="24"/>
      <c r="E1045175" s="24"/>
      <c r="F1045175" s="24"/>
      <c r="G1045175" s="24"/>
      <c r="H1045175" s="24"/>
      <c r="I1045175" s="24"/>
      <c r="J1045175" s="24"/>
      <c r="K1045175" s="54"/>
    </row>
    <row r="1045176" spans="1:11" s="55" customFormat="1" ht="12.75">
      <c r="A1045176" s="24"/>
      <c r="B1045176" s="24"/>
      <c r="C1045176" s="24"/>
      <c r="D1045176" s="24"/>
      <c r="E1045176" s="24"/>
      <c r="F1045176" s="24"/>
      <c r="G1045176" s="24"/>
      <c r="H1045176" s="24"/>
      <c r="I1045176" s="24"/>
      <c r="J1045176" s="24"/>
      <c r="K1045176" s="54"/>
    </row>
    <row r="1045177" spans="1:11" s="55" customFormat="1" ht="12.75">
      <c r="A1045177" s="24"/>
      <c r="B1045177" s="24"/>
      <c r="C1045177" s="24"/>
      <c r="D1045177" s="24"/>
      <c r="E1045177" s="24"/>
      <c r="F1045177" s="24"/>
      <c r="G1045177" s="24"/>
      <c r="H1045177" s="24"/>
      <c r="I1045177" s="24"/>
      <c r="J1045177" s="24"/>
      <c r="K1045177" s="54"/>
    </row>
    <row r="1045178" spans="1:11" s="55" customFormat="1" ht="12.75">
      <c r="A1045178" s="24"/>
      <c r="B1045178" s="24"/>
      <c r="C1045178" s="24"/>
      <c r="D1045178" s="24"/>
      <c r="E1045178" s="24"/>
      <c r="F1045178" s="24"/>
      <c r="G1045178" s="24"/>
      <c r="H1045178" s="24"/>
      <c r="I1045178" s="24"/>
      <c r="J1045178" s="24"/>
      <c r="K1045178" s="54"/>
    </row>
    <row r="1045179" spans="1:11" s="55" customFormat="1" ht="12.75">
      <c r="A1045179" s="24"/>
      <c r="B1045179" s="24"/>
      <c r="C1045179" s="24"/>
      <c r="D1045179" s="24"/>
      <c r="E1045179" s="24"/>
      <c r="F1045179" s="24"/>
      <c r="G1045179" s="24"/>
      <c r="H1045179" s="24"/>
      <c r="I1045179" s="24"/>
      <c r="J1045179" s="24"/>
      <c r="K1045179" s="54"/>
    </row>
    <row r="1045180" spans="1:11" s="55" customFormat="1" ht="12.75">
      <c r="A1045180" s="24"/>
      <c r="B1045180" s="24"/>
      <c r="C1045180" s="24"/>
      <c r="D1045180" s="24"/>
      <c r="E1045180" s="24"/>
      <c r="F1045180" s="24"/>
      <c r="G1045180" s="24"/>
      <c r="H1045180" s="24"/>
      <c r="I1045180" s="24"/>
      <c r="J1045180" s="24"/>
      <c r="K1045180" s="54"/>
    </row>
    <row r="1045181" spans="1:11" s="55" customFormat="1" ht="12.75">
      <c r="A1045181" s="24"/>
      <c r="B1045181" s="24"/>
      <c r="C1045181" s="24"/>
      <c r="D1045181" s="24"/>
      <c r="E1045181" s="24"/>
      <c r="F1045181" s="24"/>
      <c r="G1045181" s="24"/>
      <c r="H1045181" s="24"/>
      <c r="I1045181" s="24"/>
      <c r="J1045181" s="24"/>
      <c r="K1045181" s="54"/>
    </row>
    <row r="1045182" spans="1:11" s="55" customFormat="1" ht="12.75">
      <c r="A1045182" s="24"/>
      <c r="B1045182" s="24"/>
      <c r="C1045182" s="24"/>
      <c r="D1045182" s="24"/>
      <c r="E1045182" s="24"/>
      <c r="F1045182" s="24"/>
      <c r="G1045182" s="24"/>
      <c r="H1045182" s="24"/>
      <c r="I1045182" s="24"/>
      <c r="J1045182" s="24"/>
      <c r="K1045182" s="54"/>
    </row>
    <row r="1045183" spans="1:11" s="55" customFormat="1" ht="12.75">
      <c r="A1045183" s="24"/>
      <c r="B1045183" s="24"/>
      <c r="C1045183" s="24"/>
      <c r="D1045183" s="24"/>
      <c r="E1045183" s="24"/>
      <c r="F1045183" s="24"/>
      <c r="G1045183" s="24"/>
      <c r="H1045183" s="24"/>
      <c r="I1045183" s="24"/>
      <c r="J1045183" s="24"/>
      <c r="K1045183" s="54"/>
    </row>
    <row r="1045184" spans="1:11" s="55" customFormat="1" ht="12.75">
      <c r="A1045184" s="24"/>
      <c r="B1045184" s="24"/>
      <c r="C1045184" s="24"/>
      <c r="D1045184" s="24"/>
      <c r="E1045184" s="24"/>
      <c r="F1045184" s="24"/>
      <c r="G1045184" s="24"/>
      <c r="H1045184" s="24"/>
      <c r="I1045184" s="24"/>
      <c r="J1045184" s="24"/>
      <c r="K1045184" s="54"/>
    </row>
    <row r="1045185" spans="1:11" s="55" customFormat="1" ht="12.75">
      <c r="A1045185" s="24"/>
      <c r="B1045185" s="24"/>
      <c r="C1045185" s="24"/>
      <c r="D1045185" s="24"/>
      <c r="E1045185" s="24"/>
      <c r="F1045185" s="24"/>
      <c r="G1045185" s="24"/>
      <c r="H1045185" s="24"/>
      <c r="I1045185" s="24"/>
      <c r="J1045185" s="24"/>
      <c r="K1045185" s="54"/>
    </row>
    <row r="1045186" spans="1:11" s="55" customFormat="1" ht="12.75">
      <c r="A1045186" s="24"/>
      <c r="B1045186" s="24"/>
      <c r="C1045186" s="24"/>
      <c r="D1045186" s="24"/>
      <c r="E1045186" s="24"/>
      <c r="F1045186" s="24"/>
      <c r="G1045186" s="24"/>
      <c r="H1045186" s="24"/>
      <c r="I1045186" s="24"/>
      <c r="J1045186" s="24"/>
      <c r="K1045186" s="54"/>
    </row>
    <row r="1045187" spans="1:11" s="55" customFormat="1" ht="12.75">
      <c r="A1045187" s="24"/>
      <c r="B1045187" s="24"/>
      <c r="C1045187" s="24"/>
      <c r="D1045187" s="24"/>
      <c r="E1045187" s="24"/>
      <c r="F1045187" s="24"/>
      <c r="G1045187" s="24"/>
      <c r="H1045187" s="24"/>
      <c r="I1045187" s="24"/>
      <c r="J1045187" s="24"/>
      <c r="K1045187" s="54"/>
    </row>
    <row r="1045188" spans="1:11" s="55" customFormat="1" ht="12.75">
      <c r="A1045188" s="24"/>
      <c r="B1045188" s="24"/>
      <c r="C1045188" s="24"/>
      <c r="D1045188" s="24"/>
      <c r="E1045188" s="24"/>
      <c r="F1045188" s="24"/>
      <c r="G1045188" s="24"/>
      <c r="H1045188" s="24"/>
      <c r="I1045188" s="24"/>
      <c r="J1045188" s="24"/>
      <c r="K1045188" s="54"/>
    </row>
    <row r="1045189" spans="1:11" s="55" customFormat="1" ht="12.75">
      <c r="A1045189" s="24"/>
      <c r="B1045189" s="24"/>
      <c r="C1045189" s="24"/>
      <c r="D1045189" s="24"/>
      <c r="E1045189" s="24"/>
      <c r="F1045189" s="24"/>
      <c r="G1045189" s="24"/>
      <c r="H1045189" s="24"/>
      <c r="I1045189" s="24"/>
      <c r="J1045189" s="24"/>
      <c r="K1045189" s="54"/>
    </row>
    <row r="1045190" spans="1:11" s="55" customFormat="1" ht="12.75">
      <c r="A1045190" s="24"/>
      <c r="B1045190" s="24"/>
      <c r="C1045190" s="24"/>
      <c r="D1045190" s="24"/>
      <c r="E1045190" s="24"/>
      <c r="F1045190" s="24"/>
      <c r="G1045190" s="24"/>
      <c r="H1045190" s="24"/>
      <c r="I1045190" s="24"/>
      <c r="J1045190" s="24"/>
      <c r="K1045190" s="54"/>
    </row>
    <row r="1045191" spans="1:11" s="55" customFormat="1" ht="12.75">
      <c r="A1045191" s="24"/>
      <c r="B1045191" s="24"/>
      <c r="C1045191" s="24"/>
      <c r="D1045191" s="24"/>
      <c r="E1045191" s="24"/>
      <c r="F1045191" s="24"/>
      <c r="G1045191" s="24"/>
      <c r="H1045191" s="24"/>
      <c r="I1045191" s="24"/>
      <c r="J1045191" s="24"/>
      <c r="K1045191" s="54"/>
    </row>
    <row r="1045192" spans="1:11" s="55" customFormat="1" ht="12.75">
      <c r="A1045192" s="24"/>
      <c r="B1045192" s="24"/>
      <c r="C1045192" s="24"/>
      <c r="D1045192" s="24"/>
      <c r="E1045192" s="24"/>
      <c r="F1045192" s="24"/>
      <c r="G1045192" s="24"/>
      <c r="H1045192" s="24"/>
      <c r="I1045192" s="24"/>
      <c r="J1045192" s="24"/>
      <c r="K1045192" s="54"/>
    </row>
    <row r="1045193" spans="1:11" s="55" customFormat="1" ht="12.75">
      <c r="A1045193" s="24"/>
      <c r="B1045193" s="24"/>
      <c r="C1045193" s="24"/>
      <c r="D1045193" s="24"/>
      <c r="E1045193" s="24"/>
      <c r="F1045193" s="24"/>
      <c r="G1045193" s="24"/>
      <c r="H1045193" s="24"/>
      <c r="I1045193" s="24"/>
      <c r="J1045193" s="24"/>
      <c r="K1045193" s="54"/>
    </row>
    <row r="1045194" spans="1:11" s="55" customFormat="1" ht="12.75">
      <c r="A1045194" s="24"/>
      <c r="B1045194" s="24"/>
      <c r="C1045194" s="24"/>
      <c r="D1045194" s="24"/>
      <c r="E1045194" s="24"/>
      <c r="F1045194" s="24"/>
      <c r="G1045194" s="24"/>
      <c r="H1045194" s="24"/>
      <c r="I1045194" s="24"/>
      <c r="J1045194" s="24"/>
      <c r="K1045194" s="54"/>
    </row>
    <row r="1045195" spans="1:11" s="55" customFormat="1" ht="12.75">
      <c r="A1045195" s="24"/>
      <c r="B1045195" s="24"/>
      <c r="C1045195" s="24"/>
      <c r="D1045195" s="24"/>
      <c r="E1045195" s="24"/>
      <c r="F1045195" s="24"/>
      <c r="G1045195" s="24"/>
      <c r="H1045195" s="24"/>
      <c r="I1045195" s="24"/>
      <c r="J1045195" s="24"/>
      <c r="K1045195" s="54"/>
    </row>
    <row r="1045196" spans="1:11" s="55" customFormat="1" ht="12.75">
      <c r="A1045196" s="24"/>
      <c r="B1045196" s="24"/>
      <c r="C1045196" s="24"/>
      <c r="D1045196" s="24"/>
      <c r="E1045196" s="24"/>
      <c r="F1045196" s="24"/>
      <c r="G1045196" s="24"/>
      <c r="H1045196" s="24"/>
      <c r="I1045196" s="24"/>
      <c r="J1045196" s="24"/>
      <c r="K1045196" s="54"/>
    </row>
    <row r="1045197" spans="1:11" s="55" customFormat="1" ht="12.75">
      <c r="A1045197" s="24"/>
      <c r="B1045197" s="24"/>
      <c r="C1045197" s="24"/>
      <c r="D1045197" s="24"/>
      <c r="E1045197" s="24"/>
      <c r="F1045197" s="24"/>
      <c r="G1045197" s="24"/>
      <c r="H1045197" s="24"/>
      <c r="I1045197" s="24"/>
      <c r="J1045197" s="24"/>
      <c r="K1045197" s="54"/>
    </row>
    <row r="1045198" spans="1:11" s="55" customFormat="1" ht="12.75">
      <c r="A1045198" s="24"/>
      <c r="B1045198" s="24"/>
      <c r="C1045198" s="24"/>
      <c r="D1045198" s="24"/>
      <c r="E1045198" s="24"/>
      <c r="F1045198" s="24"/>
      <c r="G1045198" s="24"/>
      <c r="H1045198" s="24"/>
      <c r="I1045198" s="24"/>
      <c r="J1045198" s="24"/>
      <c r="K1045198" s="54"/>
    </row>
    <row r="1045199" spans="1:11" s="55" customFormat="1" ht="12.75">
      <c r="A1045199" s="24"/>
      <c r="B1045199" s="24"/>
      <c r="C1045199" s="24"/>
      <c r="D1045199" s="24"/>
      <c r="E1045199" s="24"/>
      <c r="F1045199" s="24"/>
      <c r="G1045199" s="24"/>
      <c r="H1045199" s="24"/>
      <c r="I1045199" s="24"/>
      <c r="J1045199" s="24"/>
      <c r="K1045199" s="54"/>
    </row>
    <row r="1045200" spans="1:11" s="55" customFormat="1" ht="12.75">
      <c r="A1045200" s="24"/>
      <c r="B1045200" s="24"/>
      <c r="C1045200" s="24"/>
      <c r="D1045200" s="24"/>
      <c r="E1045200" s="24"/>
      <c r="F1045200" s="24"/>
      <c r="G1045200" s="24"/>
      <c r="H1045200" s="24"/>
      <c r="I1045200" s="24"/>
      <c r="J1045200" s="24"/>
      <c r="K1045200" s="54"/>
    </row>
    <row r="1045201" spans="1:11" s="55" customFormat="1" ht="12.75">
      <c r="A1045201" s="24"/>
      <c r="B1045201" s="24"/>
      <c r="C1045201" s="24"/>
      <c r="D1045201" s="24"/>
      <c r="E1045201" s="24"/>
      <c r="F1045201" s="24"/>
      <c r="G1045201" s="24"/>
      <c r="H1045201" s="24"/>
      <c r="I1045201" s="24"/>
      <c r="J1045201" s="24"/>
      <c r="K1045201" s="54"/>
    </row>
    <row r="1045202" spans="1:11" s="55" customFormat="1" ht="12.75">
      <c r="A1045202" s="24"/>
      <c r="B1045202" s="24"/>
      <c r="C1045202" s="24"/>
      <c r="D1045202" s="24"/>
      <c r="E1045202" s="24"/>
      <c r="F1045202" s="24"/>
      <c r="G1045202" s="24"/>
      <c r="H1045202" s="24"/>
      <c r="I1045202" s="24"/>
      <c r="J1045202" s="24"/>
      <c r="K1045202" s="54"/>
    </row>
    <row r="1045203" spans="1:11" s="55" customFormat="1" ht="12.75">
      <c r="A1045203" s="24"/>
      <c r="B1045203" s="24"/>
      <c r="C1045203" s="24"/>
      <c r="D1045203" s="24"/>
      <c r="E1045203" s="24"/>
      <c r="F1045203" s="24"/>
      <c r="G1045203" s="24"/>
      <c r="H1045203" s="24"/>
      <c r="I1045203" s="24"/>
      <c r="J1045203" s="24"/>
      <c r="K1045203" s="54"/>
    </row>
    <row r="1045204" spans="1:11" s="55" customFormat="1" ht="12.75">
      <c r="A1045204" s="24"/>
      <c r="B1045204" s="24"/>
      <c r="C1045204" s="24"/>
      <c r="D1045204" s="24"/>
      <c r="E1045204" s="24"/>
      <c r="F1045204" s="24"/>
      <c r="G1045204" s="24"/>
      <c r="H1045204" s="24"/>
      <c r="I1045204" s="24"/>
      <c r="J1045204" s="24"/>
      <c r="K1045204" s="54"/>
    </row>
    <row r="1045205" spans="1:11" s="55" customFormat="1" ht="12.75">
      <c r="A1045205" s="24"/>
      <c r="B1045205" s="24"/>
      <c r="C1045205" s="24"/>
      <c r="D1045205" s="24"/>
      <c r="E1045205" s="24"/>
      <c r="F1045205" s="24"/>
      <c r="G1045205" s="24"/>
      <c r="H1045205" s="24"/>
      <c r="I1045205" s="24"/>
      <c r="J1045205" s="24"/>
      <c r="K1045205" s="54"/>
    </row>
    <row r="1045206" spans="1:11" s="55" customFormat="1" ht="12.75">
      <c r="A1045206" s="24"/>
      <c r="B1045206" s="24"/>
      <c r="C1045206" s="24"/>
      <c r="D1045206" s="24"/>
      <c r="E1045206" s="24"/>
      <c r="F1045206" s="24"/>
      <c r="G1045206" s="24"/>
      <c r="H1045206" s="24"/>
      <c r="I1045206" s="24"/>
      <c r="J1045206" s="24"/>
      <c r="K1045206" s="54"/>
    </row>
    <row r="1045207" spans="1:11" s="55" customFormat="1" ht="12.75">
      <c r="A1045207" s="24"/>
      <c r="B1045207" s="24"/>
      <c r="C1045207" s="24"/>
      <c r="D1045207" s="24"/>
      <c r="E1045207" s="24"/>
      <c r="F1045207" s="24"/>
      <c r="G1045207" s="24"/>
      <c r="H1045207" s="24"/>
      <c r="I1045207" s="24"/>
      <c r="J1045207" s="24"/>
      <c r="K1045207" s="54"/>
    </row>
    <row r="1045208" spans="1:11" s="55" customFormat="1" ht="12.75">
      <c r="A1045208" s="24"/>
      <c r="B1045208" s="24"/>
      <c r="C1045208" s="24"/>
      <c r="D1045208" s="24"/>
      <c r="E1045208" s="24"/>
      <c r="F1045208" s="24"/>
      <c r="G1045208" s="24"/>
      <c r="H1045208" s="24"/>
      <c r="I1045208" s="24"/>
      <c r="J1045208" s="24"/>
      <c r="K1045208" s="54"/>
    </row>
    <row r="1045209" spans="1:11" s="55" customFormat="1" ht="12.75">
      <c r="A1045209" s="24"/>
      <c r="B1045209" s="24"/>
      <c r="C1045209" s="24"/>
      <c r="D1045209" s="24"/>
      <c r="E1045209" s="24"/>
      <c r="F1045209" s="24"/>
      <c r="G1045209" s="24"/>
      <c r="H1045209" s="24"/>
      <c r="I1045209" s="24"/>
      <c r="J1045209" s="24"/>
      <c r="K1045209" s="54"/>
    </row>
    <row r="1045210" spans="1:11" s="55" customFormat="1" ht="12.75">
      <c r="A1045210" s="24"/>
      <c r="B1045210" s="24"/>
      <c r="C1045210" s="24"/>
      <c r="D1045210" s="24"/>
      <c r="E1045210" s="24"/>
      <c r="F1045210" s="24"/>
      <c r="G1045210" s="24"/>
      <c r="H1045210" s="24"/>
      <c r="I1045210" s="24"/>
      <c r="J1045210" s="24"/>
      <c r="K1045210" s="54"/>
    </row>
    <row r="1045211" spans="1:11" s="55" customFormat="1" ht="12.75">
      <c r="A1045211" s="24"/>
      <c r="B1045211" s="24"/>
      <c r="C1045211" s="24"/>
      <c r="D1045211" s="24"/>
      <c r="E1045211" s="24"/>
      <c r="F1045211" s="24"/>
      <c r="G1045211" s="24"/>
      <c r="H1045211" s="24"/>
      <c r="I1045211" s="24"/>
      <c r="J1045211" s="24"/>
      <c r="K1045211" s="54"/>
    </row>
    <row r="1045212" spans="1:11" s="55" customFormat="1" ht="12.75">
      <c r="A1045212" s="24"/>
      <c r="B1045212" s="24"/>
      <c r="C1045212" s="24"/>
      <c r="D1045212" s="24"/>
      <c r="E1045212" s="24"/>
      <c r="F1045212" s="24"/>
      <c r="G1045212" s="24"/>
      <c r="H1045212" s="24"/>
      <c r="I1045212" s="24"/>
      <c r="J1045212" s="24"/>
      <c r="K1045212" s="54"/>
    </row>
    <row r="1045213" spans="1:11" s="55" customFormat="1" ht="12.75">
      <c r="A1045213" s="24"/>
      <c r="B1045213" s="24"/>
      <c r="C1045213" s="24"/>
      <c r="D1045213" s="24"/>
      <c r="E1045213" s="24"/>
      <c r="F1045213" s="24"/>
      <c r="G1045213" s="24"/>
      <c r="H1045213" s="24"/>
      <c r="I1045213" s="24"/>
      <c r="J1045213" s="24"/>
      <c r="K1045213" s="54"/>
    </row>
    <row r="1045214" spans="1:11" s="55" customFormat="1" ht="12.75">
      <c r="A1045214" s="24"/>
      <c r="B1045214" s="24"/>
      <c r="C1045214" s="24"/>
      <c r="D1045214" s="24"/>
      <c r="E1045214" s="24"/>
      <c r="F1045214" s="24"/>
      <c r="G1045214" s="24"/>
      <c r="H1045214" s="24"/>
      <c r="I1045214" s="24"/>
      <c r="J1045214" s="24"/>
      <c r="K1045214" s="54"/>
    </row>
    <row r="1045215" spans="1:11" s="55" customFormat="1" ht="12.75">
      <c r="A1045215" s="24"/>
      <c r="B1045215" s="24"/>
      <c r="C1045215" s="24"/>
      <c r="D1045215" s="24"/>
      <c r="E1045215" s="24"/>
      <c r="F1045215" s="24"/>
      <c r="G1045215" s="24"/>
      <c r="H1045215" s="24"/>
      <c r="I1045215" s="24"/>
      <c r="J1045215" s="24"/>
      <c r="K1045215" s="54"/>
    </row>
    <row r="1045216" spans="1:11" s="55" customFormat="1" ht="12.75">
      <c r="A1045216" s="24"/>
      <c r="B1045216" s="24"/>
      <c r="C1045216" s="24"/>
      <c r="D1045216" s="24"/>
      <c r="E1045216" s="24"/>
      <c r="F1045216" s="24"/>
      <c r="G1045216" s="24"/>
      <c r="H1045216" s="24"/>
      <c r="I1045216" s="24"/>
      <c r="J1045216" s="24"/>
      <c r="K1045216" s="54"/>
    </row>
    <row r="1045217" spans="1:11" s="55" customFormat="1" ht="12.75">
      <c r="A1045217" s="24"/>
      <c r="B1045217" s="24"/>
      <c r="C1045217" s="24"/>
      <c r="D1045217" s="24"/>
      <c r="E1045217" s="24"/>
      <c r="F1045217" s="24"/>
      <c r="G1045217" s="24"/>
      <c r="H1045217" s="24"/>
      <c r="I1045217" s="24"/>
      <c r="J1045217" s="24"/>
      <c r="K1045217" s="54"/>
    </row>
    <row r="1045218" spans="1:11" s="55" customFormat="1" ht="12.75">
      <c r="A1045218" s="24"/>
      <c r="B1045218" s="24"/>
      <c r="C1045218" s="24"/>
      <c r="D1045218" s="24"/>
      <c r="E1045218" s="24"/>
      <c r="F1045218" s="24"/>
      <c r="G1045218" s="24"/>
      <c r="H1045218" s="24"/>
      <c r="I1045218" s="24"/>
      <c r="J1045218" s="24"/>
      <c r="K1045218" s="54"/>
    </row>
    <row r="1045219" spans="1:11" s="55" customFormat="1" ht="12.75">
      <c r="A1045219" s="24"/>
      <c r="B1045219" s="24"/>
      <c r="C1045219" s="24"/>
      <c r="D1045219" s="24"/>
      <c r="E1045219" s="24"/>
      <c r="F1045219" s="24"/>
      <c r="G1045219" s="24"/>
      <c r="H1045219" s="24"/>
      <c r="I1045219" s="24"/>
      <c r="J1045219" s="24"/>
      <c r="K1045219" s="54"/>
    </row>
    <row r="1045220" spans="1:11" s="55" customFormat="1" ht="12.75">
      <c r="A1045220" s="24"/>
      <c r="B1045220" s="24"/>
      <c r="C1045220" s="24"/>
      <c r="D1045220" s="24"/>
      <c r="E1045220" s="24"/>
      <c r="F1045220" s="24"/>
      <c r="G1045220" s="24"/>
      <c r="H1045220" s="24"/>
      <c r="I1045220" s="24"/>
      <c r="J1045220" s="24"/>
      <c r="K1045220" s="54"/>
    </row>
    <row r="1045221" spans="1:11" s="55" customFormat="1" ht="12.75">
      <c r="A1045221" s="24"/>
      <c r="B1045221" s="24"/>
      <c r="C1045221" s="24"/>
      <c r="D1045221" s="24"/>
      <c r="E1045221" s="24"/>
      <c r="F1045221" s="24"/>
      <c r="G1045221" s="24"/>
      <c r="H1045221" s="24"/>
      <c r="I1045221" s="24"/>
      <c r="J1045221" s="24"/>
      <c r="K1045221" s="54"/>
    </row>
    <row r="1045222" spans="1:11" s="55" customFormat="1" ht="12.75">
      <c r="A1045222" s="24"/>
      <c r="B1045222" s="24"/>
      <c r="C1045222" s="24"/>
      <c r="D1045222" s="24"/>
      <c r="E1045222" s="24"/>
      <c r="F1045222" s="24"/>
      <c r="G1045222" s="24"/>
      <c r="H1045222" s="24"/>
      <c r="I1045222" s="24"/>
      <c r="J1045222" s="24"/>
      <c r="K1045222" s="54"/>
    </row>
    <row r="1045223" spans="1:11" s="55" customFormat="1" ht="12.75">
      <c r="A1045223" s="24"/>
      <c r="B1045223" s="24"/>
      <c r="C1045223" s="24"/>
      <c r="D1045223" s="24"/>
      <c r="E1045223" s="24"/>
      <c r="F1045223" s="24"/>
      <c r="G1045223" s="24"/>
      <c r="H1045223" s="24"/>
      <c r="I1045223" s="24"/>
      <c r="J1045223" s="24"/>
      <c r="K1045223" s="54"/>
    </row>
    <row r="1045224" spans="1:11" s="55" customFormat="1" ht="12.75">
      <c r="A1045224" s="24"/>
      <c r="B1045224" s="24"/>
      <c r="C1045224" s="24"/>
      <c r="D1045224" s="24"/>
      <c r="E1045224" s="24"/>
      <c r="F1045224" s="24"/>
      <c r="G1045224" s="24"/>
      <c r="H1045224" s="24"/>
      <c r="I1045224" s="24"/>
      <c r="J1045224" s="24"/>
      <c r="K1045224" s="54"/>
    </row>
    <row r="1045225" spans="1:11" s="55" customFormat="1" ht="12.75">
      <c r="A1045225" s="24"/>
      <c r="B1045225" s="24"/>
      <c r="C1045225" s="24"/>
      <c r="D1045225" s="24"/>
      <c r="E1045225" s="24"/>
      <c r="F1045225" s="24"/>
      <c r="G1045225" s="24"/>
      <c r="H1045225" s="24"/>
      <c r="I1045225" s="24"/>
      <c r="J1045225" s="24"/>
      <c r="K1045225" s="54"/>
    </row>
    <row r="1045226" spans="1:11" s="55" customFormat="1" ht="12.75">
      <c r="A1045226" s="24"/>
      <c r="B1045226" s="24"/>
      <c r="C1045226" s="24"/>
      <c r="D1045226" s="24"/>
      <c r="E1045226" s="24"/>
      <c r="F1045226" s="24"/>
      <c r="G1045226" s="24"/>
      <c r="H1045226" s="24"/>
      <c r="I1045226" s="24"/>
      <c r="J1045226" s="24"/>
      <c r="K1045226" s="54"/>
    </row>
    <row r="1045227" spans="1:11" s="55" customFormat="1" ht="12.75">
      <c r="A1045227" s="24"/>
      <c r="B1045227" s="24"/>
      <c r="C1045227" s="24"/>
      <c r="D1045227" s="24"/>
      <c r="E1045227" s="24"/>
      <c r="F1045227" s="24"/>
      <c r="G1045227" s="24"/>
      <c r="H1045227" s="24"/>
      <c r="I1045227" s="24"/>
      <c r="J1045227" s="24"/>
      <c r="K1045227" s="54"/>
    </row>
    <row r="1045228" spans="1:11" s="55" customFormat="1" ht="12.75">
      <c r="A1045228" s="24"/>
      <c r="B1045228" s="24"/>
      <c r="C1045228" s="24"/>
      <c r="D1045228" s="24"/>
      <c r="E1045228" s="24"/>
      <c r="F1045228" s="24"/>
      <c r="G1045228" s="24"/>
      <c r="H1045228" s="24"/>
      <c r="I1045228" s="24"/>
      <c r="J1045228" s="24"/>
      <c r="K1045228" s="54"/>
    </row>
    <row r="1045229" spans="1:11" s="55" customFormat="1" ht="12.75">
      <c r="A1045229" s="24"/>
      <c r="B1045229" s="24"/>
      <c r="C1045229" s="24"/>
      <c r="D1045229" s="24"/>
      <c r="E1045229" s="24"/>
      <c r="F1045229" s="24"/>
      <c r="G1045229" s="24"/>
      <c r="H1045229" s="24"/>
      <c r="I1045229" s="24"/>
      <c r="J1045229" s="24"/>
      <c r="K1045229" s="54"/>
    </row>
    <row r="1045230" spans="1:11" s="55" customFormat="1" ht="12.75">
      <c r="A1045230" s="24"/>
      <c r="B1045230" s="24"/>
      <c r="C1045230" s="24"/>
      <c r="D1045230" s="24"/>
      <c r="E1045230" s="24"/>
      <c r="F1045230" s="24"/>
      <c r="G1045230" s="24"/>
      <c r="H1045230" s="24"/>
      <c r="I1045230" s="24"/>
      <c r="J1045230" s="24"/>
      <c r="K1045230" s="54"/>
    </row>
    <row r="1045231" spans="1:11" s="55" customFormat="1" ht="12.75">
      <c r="A1045231" s="24"/>
      <c r="B1045231" s="24"/>
      <c r="C1045231" s="24"/>
      <c r="D1045231" s="24"/>
      <c r="E1045231" s="24"/>
      <c r="F1045231" s="24"/>
      <c r="G1045231" s="24"/>
      <c r="H1045231" s="24"/>
      <c r="I1045231" s="24"/>
      <c r="J1045231" s="24"/>
      <c r="K1045231" s="54"/>
    </row>
    <row r="1045232" spans="1:11" s="55" customFormat="1" ht="12.75">
      <c r="A1045232" s="24"/>
      <c r="B1045232" s="24"/>
      <c r="C1045232" s="24"/>
      <c r="D1045232" s="24"/>
      <c r="E1045232" s="24"/>
      <c r="F1045232" s="24"/>
      <c r="G1045232" s="24"/>
      <c r="H1045232" s="24"/>
      <c r="I1045232" s="24"/>
      <c r="J1045232" s="24"/>
      <c r="K1045232" s="54"/>
    </row>
    <row r="1045233" spans="1:11" s="55" customFormat="1" ht="12.75">
      <c r="A1045233" s="24"/>
      <c r="B1045233" s="24"/>
      <c r="C1045233" s="24"/>
      <c r="D1045233" s="24"/>
      <c r="E1045233" s="24"/>
      <c r="F1045233" s="24"/>
      <c r="G1045233" s="24"/>
      <c r="H1045233" s="24"/>
      <c r="I1045233" s="24"/>
      <c r="J1045233" s="24"/>
      <c r="K1045233" s="54"/>
    </row>
    <row r="1045234" spans="1:11" s="55" customFormat="1" ht="12.75">
      <c r="A1045234" s="24"/>
      <c r="B1045234" s="24"/>
      <c r="C1045234" s="24"/>
      <c r="D1045234" s="24"/>
      <c r="E1045234" s="24"/>
      <c r="F1045234" s="24"/>
      <c r="G1045234" s="24"/>
      <c r="H1045234" s="24"/>
      <c r="I1045234" s="24"/>
      <c r="J1045234" s="24"/>
      <c r="K1045234" s="54"/>
    </row>
    <row r="1045235" spans="1:11" s="55" customFormat="1" ht="12.75">
      <c r="A1045235" s="24"/>
      <c r="B1045235" s="24"/>
      <c r="C1045235" s="24"/>
      <c r="D1045235" s="24"/>
      <c r="E1045235" s="24"/>
      <c r="F1045235" s="24"/>
      <c r="G1045235" s="24"/>
      <c r="H1045235" s="24"/>
      <c r="I1045235" s="24"/>
      <c r="J1045235" s="24"/>
      <c r="K1045235" s="54"/>
    </row>
    <row r="1045236" spans="1:11" s="55" customFormat="1" ht="12.75">
      <c r="A1045236" s="24"/>
      <c r="B1045236" s="24"/>
      <c r="C1045236" s="24"/>
      <c r="D1045236" s="24"/>
      <c r="E1045236" s="24"/>
      <c r="F1045236" s="24"/>
      <c r="G1045236" s="24"/>
      <c r="H1045236" s="24"/>
      <c r="I1045236" s="24"/>
      <c r="J1045236" s="24"/>
      <c r="K1045236" s="54"/>
    </row>
    <row r="1045237" spans="1:11" s="55" customFormat="1" ht="12.75">
      <c r="A1045237" s="24"/>
      <c r="B1045237" s="24"/>
      <c r="C1045237" s="24"/>
      <c r="D1045237" s="24"/>
      <c r="E1045237" s="24"/>
      <c r="F1045237" s="24"/>
      <c r="G1045237" s="24"/>
      <c r="H1045237" s="24"/>
      <c r="I1045237" s="24"/>
      <c r="J1045237" s="24"/>
      <c r="K1045237" s="54"/>
    </row>
    <row r="1045238" spans="1:11" s="55" customFormat="1" ht="12.75">
      <c r="A1045238" s="24"/>
      <c r="B1045238" s="24"/>
      <c r="C1045238" s="24"/>
      <c r="D1045238" s="24"/>
      <c r="E1045238" s="24"/>
      <c r="F1045238" s="24"/>
      <c r="G1045238" s="24"/>
      <c r="H1045238" s="24"/>
      <c r="I1045238" s="24"/>
      <c r="J1045238" s="24"/>
      <c r="K1045238" s="54"/>
    </row>
    <row r="1045239" spans="1:11" s="55" customFormat="1" ht="12.75">
      <c r="A1045239" s="24"/>
      <c r="B1045239" s="24"/>
      <c r="C1045239" s="24"/>
      <c r="D1045239" s="24"/>
      <c r="E1045239" s="24"/>
      <c r="F1045239" s="24"/>
      <c r="G1045239" s="24"/>
      <c r="H1045239" s="24"/>
      <c r="I1045239" s="24"/>
      <c r="J1045239" s="24"/>
      <c r="K1045239" s="54"/>
    </row>
    <row r="1045240" spans="1:11" s="55" customFormat="1" ht="12.75">
      <c r="A1045240" s="24"/>
      <c r="B1045240" s="24"/>
      <c r="C1045240" s="24"/>
      <c r="D1045240" s="24"/>
      <c r="E1045240" s="24"/>
      <c r="F1045240" s="24"/>
      <c r="G1045240" s="24"/>
      <c r="H1045240" s="24"/>
      <c r="I1045240" s="24"/>
      <c r="J1045240" s="24"/>
      <c r="K1045240" s="54"/>
    </row>
    <row r="1045241" spans="1:11" s="55" customFormat="1" ht="12.75">
      <c r="A1045241" s="24"/>
      <c r="B1045241" s="24"/>
      <c r="C1045241" s="24"/>
      <c r="D1045241" s="24"/>
      <c r="E1045241" s="24"/>
      <c r="F1045241" s="24"/>
      <c r="G1045241" s="24"/>
      <c r="H1045241" s="24"/>
      <c r="I1045241" s="24"/>
      <c r="J1045241" s="24"/>
      <c r="K1045241" s="54"/>
    </row>
    <row r="1045242" spans="1:11" s="55" customFormat="1" ht="12.75">
      <c r="A1045242" s="24"/>
      <c r="B1045242" s="24"/>
      <c r="C1045242" s="24"/>
      <c r="D1045242" s="24"/>
      <c r="E1045242" s="24"/>
      <c r="F1045242" s="24"/>
      <c r="G1045242" s="24"/>
      <c r="H1045242" s="24"/>
      <c r="I1045242" s="24"/>
      <c r="J1045242" s="24"/>
      <c r="K1045242" s="54"/>
    </row>
    <row r="1045243" spans="1:11" s="55" customFormat="1" ht="12.75">
      <c r="A1045243" s="24"/>
      <c r="B1045243" s="24"/>
      <c r="C1045243" s="24"/>
      <c r="D1045243" s="24"/>
      <c r="E1045243" s="24"/>
      <c r="F1045243" s="24"/>
      <c r="G1045243" s="24"/>
      <c r="H1045243" s="24"/>
      <c r="I1045243" s="24"/>
      <c r="J1045243" s="24"/>
      <c r="K1045243" s="54"/>
    </row>
    <row r="1045244" spans="1:11" s="55" customFormat="1" ht="12.75">
      <c r="A1045244" s="24"/>
      <c r="B1045244" s="24"/>
      <c r="C1045244" s="24"/>
      <c r="D1045244" s="24"/>
      <c r="E1045244" s="24"/>
      <c r="F1045244" s="24"/>
      <c r="G1045244" s="24"/>
      <c r="H1045244" s="24"/>
      <c r="I1045244" s="24"/>
      <c r="J1045244" s="24"/>
      <c r="K1045244" s="54"/>
    </row>
    <row r="1045245" spans="1:11" s="55" customFormat="1" ht="12.75">
      <c r="A1045245" s="24"/>
      <c r="B1045245" s="24"/>
      <c r="C1045245" s="24"/>
      <c r="D1045245" s="24"/>
      <c r="E1045245" s="24"/>
      <c r="F1045245" s="24"/>
      <c r="G1045245" s="24"/>
      <c r="H1045245" s="24"/>
      <c r="I1045245" s="24"/>
      <c r="J1045245" s="24"/>
      <c r="K1045245" s="54"/>
    </row>
    <row r="1045246" spans="1:11" s="55" customFormat="1" ht="12.75">
      <c r="A1045246" s="24"/>
      <c r="B1045246" s="24"/>
      <c r="C1045246" s="24"/>
      <c r="D1045246" s="24"/>
      <c r="E1045246" s="24"/>
      <c r="F1045246" s="24"/>
      <c r="G1045246" s="24"/>
      <c r="H1045246" s="24"/>
      <c r="I1045246" s="24"/>
      <c r="J1045246" s="24"/>
      <c r="K1045246" s="54"/>
    </row>
    <row r="1045247" spans="1:11" s="55" customFormat="1" ht="12.75">
      <c r="A1045247" s="24"/>
      <c r="B1045247" s="24"/>
      <c r="C1045247" s="24"/>
      <c r="D1045247" s="24"/>
      <c r="E1045247" s="24"/>
      <c r="F1045247" s="24"/>
      <c r="G1045247" s="24"/>
      <c r="H1045247" s="24"/>
      <c r="I1045247" s="24"/>
      <c r="J1045247" s="24"/>
      <c r="K1045247" s="54"/>
    </row>
    <row r="1045248" spans="1:11" s="55" customFormat="1" ht="12.75">
      <c r="A1045248" s="24"/>
      <c r="B1045248" s="24"/>
      <c r="C1045248" s="24"/>
      <c r="D1045248" s="24"/>
      <c r="E1045248" s="24"/>
      <c r="F1045248" s="24"/>
      <c r="G1045248" s="24"/>
      <c r="H1045248" s="24"/>
      <c r="I1045248" s="24"/>
      <c r="J1045248" s="24"/>
      <c r="K1045248" s="54"/>
    </row>
    <row r="1045249" spans="1:11" s="55" customFormat="1" ht="12.75">
      <c r="A1045249" s="24"/>
      <c r="B1045249" s="24"/>
      <c r="C1045249" s="24"/>
      <c r="D1045249" s="24"/>
      <c r="E1045249" s="24"/>
      <c r="F1045249" s="24"/>
      <c r="G1045249" s="24"/>
      <c r="H1045249" s="24"/>
      <c r="I1045249" s="24"/>
      <c r="J1045249" s="24"/>
      <c r="K1045249" s="54"/>
    </row>
    <row r="1045250" spans="1:11" s="55" customFormat="1" ht="12.75">
      <c r="A1045250" s="24"/>
      <c r="B1045250" s="24"/>
      <c r="C1045250" s="24"/>
      <c r="D1045250" s="24"/>
      <c r="E1045250" s="24"/>
      <c r="F1045250" s="24"/>
      <c r="G1045250" s="24"/>
      <c r="H1045250" s="24"/>
      <c r="I1045250" s="24"/>
      <c r="J1045250" s="24"/>
      <c r="K1045250" s="54"/>
    </row>
    <row r="1045251" spans="1:11" s="55" customFormat="1" ht="12.75">
      <c r="A1045251" s="24"/>
      <c r="B1045251" s="24"/>
      <c r="C1045251" s="24"/>
      <c r="D1045251" s="24"/>
      <c r="E1045251" s="24"/>
      <c r="F1045251" s="24"/>
      <c r="G1045251" s="24"/>
      <c r="H1045251" s="24"/>
      <c r="I1045251" s="24"/>
      <c r="J1045251" s="24"/>
      <c r="K1045251" s="54"/>
    </row>
    <row r="1045252" spans="1:11" s="55" customFormat="1" ht="12.75">
      <c r="A1045252" s="24"/>
      <c r="B1045252" s="24"/>
      <c r="C1045252" s="24"/>
      <c r="D1045252" s="24"/>
      <c r="E1045252" s="24"/>
      <c r="F1045252" s="24"/>
      <c r="G1045252" s="24"/>
      <c r="H1045252" s="24"/>
      <c r="I1045252" s="24"/>
      <c r="J1045252" s="24"/>
      <c r="K1045252" s="54"/>
    </row>
    <row r="1045253" spans="1:11" s="55" customFormat="1" ht="12.75">
      <c r="A1045253" s="24"/>
      <c r="B1045253" s="24"/>
      <c r="C1045253" s="24"/>
      <c r="D1045253" s="24"/>
      <c r="E1045253" s="24"/>
      <c r="F1045253" s="24"/>
      <c r="G1045253" s="24"/>
      <c r="H1045253" s="24"/>
      <c r="I1045253" s="24"/>
      <c r="J1045253" s="24"/>
      <c r="K1045253" s="54"/>
    </row>
    <row r="1045254" spans="1:11" s="55" customFormat="1" ht="12.75">
      <c r="A1045254" s="24"/>
      <c r="B1045254" s="24"/>
      <c r="C1045254" s="24"/>
      <c r="D1045254" s="24"/>
      <c r="E1045254" s="24"/>
      <c r="F1045254" s="24"/>
      <c r="G1045254" s="24"/>
      <c r="H1045254" s="24"/>
      <c r="I1045254" s="24"/>
      <c r="J1045254" s="24"/>
      <c r="K1045254" s="54"/>
    </row>
    <row r="1045255" spans="1:11" s="55" customFormat="1" ht="12.75">
      <c r="A1045255" s="24"/>
      <c r="B1045255" s="24"/>
      <c r="C1045255" s="24"/>
      <c r="D1045255" s="24"/>
      <c r="E1045255" s="24"/>
      <c r="F1045255" s="24"/>
      <c r="G1045255" s="24"/>
      <c r="H1045255" s="24"/>
      <c r="I1045255" s="24"/>
      <c r="J1045255" s="24"/>
      <c r="K1045255" s="54"/>
    </row>
    <row r="1045256" spans="1:11" s="55" customFormat="1" ht="12.75">
      <c r="A1045256" s="24"/>
      <c r="B1045256" s="24"/>
      <c r="C1045256" s="24"/>
      <c r="D1045256" s="24"/>
      <c r="E1045256" s="24"/>
      <c r="F1045256" s="24"/>
      <c r="G1045256" s="24"/>
      <c r="H1045256" s="24"/>
      <c r="I1045256" s="24"/>
      <c r="J1045256" s="24"/>
      <c r="K1045256" s="54"/>
    </row>
    <row r="1045257" spans="1:11" s="55" customFormat="1" ht="12.75">
      <c r="A1045257" s="24"/>
      <c r="B1045257" s="24"/>
      <c r="C1045257" s="24"/>
      <c r="D1045257" s="24"/>
      <c r="E1045257" s="24"/>
      <c r="F1045257" s="24"/>
      <c r="G1045257" s="24"/>
      <c r="H1045257" s="24"/>
      <c r="I1045257" s="24"/>
      <c r="J1045257" s="24"/>
      <c r="K1045257" s="54"/>
    </row>
    <row r="1045258" spans="1:11" s="55" customFormat="1" ht="12.75">
      <c r="A1045258" s="24"/>
      <c r="B1045258" s="24"/>
      <c r="C1045258" s="24"/>
      <c r="D1045258" s="24"/>
      <c r="E1045258" s="24"/>
      <c r="F1045258" s="24"/>
      <c r="G1045258" s="24"/>
      <c r="H1045258" s="24"/>
      <c r="I1045258" s="24"/>
      <c r="J1045258" s="24"/>
      <c r="K1045258" s="54"/>
    </row>
    <row r="1045259" spans="1:11" s="55" customFormat="1" ht="12.75">
      <c r="A1045259" s="24"/>
      <c r="B1045259" s="24"/>
      <c r="C1045259" s="24"/>
      <c r="D1045259" s="24"/>
      <c r="E1045259" s="24"/>
      <c r="F1045259" s="24"/>
      <c r="G1045259" s="24"/>
      <c r="H1045259" s="24"/>
      <c r="I1045259" s="24"/>
      <c r="J1045259" s="24"/>
      <c r="K1045259" s="54"/>
    </row>
    <row r="1045260" spans="1:11" s="55" customFormat="1" ht="12.75">
      <c r="A1045260" s="24"/>
      <c r="B1045260" s="24"/>
      <c r="C1045260" s="24"/>
      <c r="D1045260" s="24"/>
      <c r="E1045260" s="24"/>
      <c r="F1045260" s="24"/>
      <c r="G1045260" s="24"/>
      <c r="H1045260" s="24"/>
      <c r="I1045260" s="24"/>
      <c r="J1045260" s="24"/>
      <c r="K1045260" s="54"/>
    </row>
    <row r="1045261" spans="1:11" s="55" customFormat="1" ht="12.75">
      <c r="A1045261" s="24"/>
      <c r="B1045261" s="24"/>
      <c r="C1045261" s="24"/>
      <c r="D1045261" s="24"/>
      <c r="E1045261" s="24"/>
      <c r="F1045261" s="24"/>
      <c r="G1045261" s="24"/>
      <c r="H1045261" s="24"/>
      <c r="I1045261" s="24"/>
      <c r="J1045261" s="24"/>
      <c r="K1045261" s="54"/>
    </row>
    <row r="1045262" spans="1:11" s="55" customFormat="1" ht="12.75">
      <c r="A1045262" s="24"/>
      <c r="B1045262" s="24"/>
      <c r="C1045262" s="24"/>
      <c r="D1045262" s="24"/>
      <c r="E1045262" s="24"/>
      <c r="F1045262" s="24"/>
      <c r="G1045262" s="24"/>
      <c r="H1045262" s="24"/>
      <c r="I1045262" s="24"/>
      <c r="J1045262" s="24"/>
      <c r="K1045262" s="54"/>
    </row>
    <row r="1045263" spans="1:11" s="55" customFormat="1" ht="12.75">
      <c r="A1045263" s="24"/>
      <c r="B1045263" s="24"/>
      <c r="C1045263" s="24"/>
      <c r="D1045263" s="24"/>
      <c r="E1045263" s="24"/>
      <c r="F1045263" s="24"/>
      <c r="G1045263" s="24"/>
      <c r="H1045263" s="24"/>
      <c r="I1045263" s="24"/>
      <c r="J1045263" s="24"/>
      <c r="K1045263" s="54"/>
    </row>
    <row r="1045264" spans="1:11" s="55" customFormat="1" ht="12.75">
      <c r="A1045264" s="24"/>
      <c r="B1045264" s="24"/>
      <c r="C1045264" s="24"/>
      <c r="D1045264" s="24"/>
      <c r="E1045264" s="24"/>
      <c r="F1045264" s="24"/>
      <c r="G1045264" s="24"/>
      <c r="H1045264" s="24"/>
      <c r="I1045264" s="24"/>
      <c r="J1045264" s="24"/>
      <c r="K1045264" s="54"/>
    </row>
    <row r="1045265" spans="1:11" s="55" customFormat="1" ht="12.75">
      <c r="A1045265" s="24"/>
      <c r="B1045265" s="24"/>
      <c r="C1045265" s="24"/>
      <c r="D1045265" s="24"/>
      <c r="E1045265" s="24"/>
      <c r="F1045265" s="24"/>
      <c r="G1045265" s="24"/>
      <c r="H1045265" s="24"/>
      <c r="I1045265" s="24"/>
      <c r="J1045265" s="24"/>
      <c r="K1045265" s="54"/>
    </row>
    <row r="1045266" spans="1:11" s="55" customFormat="1" ht="12.75">
      <c r="A1045266" s="24"/>
      <c r="B1045266" s="24"/>
      <c r="C1045266" s="24"/>
      <c r="D1045266" s="24"/>
      <c r="E1045266" s="24"/>
      <c r="F1045266" s="24"/>
      <c r="G1045266" s="24"/>
      <c r="H1045266" s="24"/>
      <c r="I1045266" s="24"/>
      <c r="J1045266" s="24"/>
      <c r="K1045266" s="54"/>
    </row>
    <row r="1045267" spans="1:11" s="55" customFormat="1" ht="12.75">
      <c r="A1045267" s="24"/>
      <c r="B1045267" s="24"/>
      <c r="C1045267" s="24"/>
      <c r="D1045267" s="24"/>
      <c r="E1045267" s="24"/>
      <c r="F1045267" s="24"/>
      <c r="G1045267" s="24"/>
      <c r="H1045267" s="24"/>
      <c r="I1045267" s="24"/>
      <c r="J1045267" s="24"/>
      <c r="K1045267" s="54"/>
    </row>
    <row r="1045268" spans="1:11" s="55" customFormat="1" ht="12.75">
      <c r="A1045268" s="24"/>
      <c r="B1045268" s="24"/>
      <c r="C1045268" s="24"/>
      <c r="D1045268" s="24"/>
      <c r="E1045268" s="24"/>
      <c r="F1045268" s="24"/>
      <c r="G1045268" s="24"/>
      <c r="H1045268" s="24"/>
      <c r="I1045268" s="24"/>
      <c r="J1045268" s="24"/>
      <c r="K1045268" s="54"/>
    </row>
    <row r="1045269" spans="1:11" s="55" customFormat="1" ht="12.75">
      <c r="A1045269" s="24"/>
      <c r="B1045269" s="24"/>
      <c r="C1045269" s="24"/>
      <c r="D1045269" s="24"/>
      <c r="E1045269" s="24"/>
      <c r="F1045269" s="24"/>
      <c r="G1045269" s="24"/>
      <c r="H1045269" s="24"/>
      <c r="I1045269" s="24"/>
      <c r="J1045269" s="24"/>
      <c r="K1045269" s="54"/>
    </row>
    <row r="1045270" spans="1:11" s="55" customFormat="1" ht="12.75">
      <c r="A1045270" s="24"/>
      <c r="B1045270" s="24"/>
      <c r="C1045270" s="24"/>
      <c r="D1045270" s="24"/>
      <c r="E1045270" s="24"/>
      <c r="F1045270" s="24"/>
      <c r="G1045270" s="24"/>
      <c r="H1045270" s="24"/>
      <c r="I1045270" s="24"/>
      <c r="J1045270" s="24"/>
      <c r="K1045270" s="54"/>
    </row>
    <row r="1045271" spans="1:11" s="55" customFormat="1" ht="12.75">
      <c r="A1045271" s="24"/>
      <c r="B1045271" s="24"/>
      <c r="C1045271" s="24"/>
      <c r="D1045271" s="24"/>
      <c r="E1045271" s="24"/>
      <c r="F1045271" s="24"/>
      <c r="G1045271" s="24"/>
      <c r="H1045271" s="24"/>
      <c r="I1045271" s="24"/>
      <c r="J1045271" s="24"/>
      <c r="K1045271" s="54"/>
    </row>
    <row r="1045272" spans="1:11" s="55" customFormat="1" ht="12.75">
      <c r="A1045272" s="24"/>
      <c r="B1045272" s="24"/>
      <c r="C1045272" s="24"/>
      <c r="D1045272" s="24"/>
      <c r="E1045272" s="24"/>
      <c r="F1045272" s="24"/>
      <c r="G1045272" s="24"/>
      <c r="H1045272" s="24"/>
      <c r="I1045272" s="24"/>
      <c r="J1045272" s="24"/>
      <c r="K1045272" s="54"/>
    </row>
    <row r="1045273" spans="1:11" s="55" customFormat="1" ht="12.75">
      <c r="A1045273" s="24"/>
      <c r="B1045273" s="24"/>
      <c r="C1045273" s="24"/>
      <c r="D1045273" s="24"/>
      <c r="E1045273" s="24"/>
      <c r="F1045273" s="24"/>
      <c r="G1045273" s="24"/>
      <c r="H1045273" s="24"/>
      <c r="I1045273" s="24"/>
      <c r="J1045273" s="24"/>
      <c r="K1045273" s="54"/>
    </row>
    <row r="1045274" spans="1:11" s="55" customFormat="1" ht="12.75">
      <c r="A1045274" s="24"/>
      <c r="B1045274" s="24"/>
      <c r="C1045274" s="24"/>
      <c r="D1045274" s="24"/>
      <c r="E1045274" s="24"/>
      <c r="F1045274" s="24"/>
      <c r="G1045274" s="24"/>
      <c r="H1045274" s="24"/>
      <c r="I1045274" s="24"/>
      <c r="J1045274" s="24"/>
      <c r="K1045274" s="54"/>
    </row>
    <row r="1045275" spans="1:11" s="55" customFormat="1" ht="12.75">
      <c r="A1045275" s="24"/>
      <c r="B1045275" s="24"/>
      <c r="C1045275" s="24"/>
      <c r="D1045275" s="24"/>
      <c r="E1045275" s="24"/>
      <c r="F1045275" s="24"/>
      <c r="G1045275" s="24"/>
      <c r="H1045275" s="24"/>
      <c r="I1045275" s="24"/>
      <c r="J1045275" s="24"/>
      <c r="K1045275" s="54"/>
    </row>
    <row r="1045276" spans="1:11" s="55" customFormat="1" ht="12.75">
      <c r="A1045276" s="24"/>
      <c r="B1045276" s="24"/>
      <c r="C1045276" s="24"/>
      <c r="D1045276" s="24"/>
      <c r="E1045276" s="24"/>
      <c r="F1045276" s="24"/>
      <c r="G1045276" s="24"/>
      <c r="H1045276" s="24"/>
      <c r="I1045276" s="24"/>
      <c r="J1045276" s="24"/>
      <c r="K1045276" s="54"/>
    </row>
    <row r="1045277" spans="1:11" s="55" customFormat="1" ht="12.75">
      <c r="A1045277" s="24"/>
      <c r="B1045277" s="24"/>
      <c r="C1045277" s="24"/>
      <c r="D1045277" s="24"/>
      <c r="E1045277" s="24"/>
      <c r="F1045277" s="24"/>
      <c r="G1045277" s="24"/>
      <c r="H1045277" s="24"/>
      <c r="I1045277" s="24"/>
      <c r="J1045277" s="24"/>
      <c r="K1045277" s="54"/>
    </row>
    <row r="1045278" spans="1:11" s="55" customFormat="1" ht="12.75">
      <c r="A1045278" s="24"/>
      <c r="B1045278" s="24"/>
      <c r="C1045278" s="24"/>
      <c r="D1045278" s="24"/>
      <c r="E1045278" s="24"/>
      <c r="F1045278" s="24"/>
      <c r="G1045278" s="24"/>
      <c r="H1045278" s="24"/>
      <c r="I1045278" s="24"/>
      <c r="J1045278" s="24"/>
      <c r="K1045278" s="54"/>
    </row>
    <row r="1045279" spans="1:11" s="55" customFormat="1" ht="12.75">
      <c r="A1045279" s="24"/>
      <c r="B1045279" s="24"/>
      <c r="C1045279" s="24"/>
      <c r="D1045279" s="24"/>
      <c r="E1045279" s="24"/>
      <c r="F1045279" s="24"/>
      <c r="G1045279" s="24"/>
      <c r="H1045279" s="24"/>
      <c r="I1045279" s="24"/>
      <c r="J1045279" s="24"/>
      <c r="K1045279" s="54"/>
    </row>
    <row r="1045280" spans="1:11" s="55" customFormat="1" ht="12.75">
      <c r="A1045280" s="24"/>
      <c r="B1045280" s="24"/>
      <c r="C1045280" s="24"/>
      <c r="D1045280" s="24"/>
      <c r="E1045280" s="24"/>
      <c r="F1045280" s="24"/>
      <c r="G1045280" s="24"/>
      <c r="H1045280" s="24"/>
      <c r="I1045280" s="24"/>
      <c r="J1045280" s="24"/>
      <c r="K1045280" s="54"/>
    </row>
    <row r="1045281" spans="1:11" s="55" customFormat="1" ht="12.75">
      <c r="A1045281" s="24"/>
      <c r="B1045281" s="24"/>
      <c r="C1045281" s="24"/>
      <c r="D1045281" s="24"/>
      <c r="E1045281" s="24"/>
      <c r="F1045281" s="24"/>
      <c r="G1045281" s="24"/>
      <c r="H1045281" s="24"/>
      <c r="I1045281" s="24"/>
      <c r="J1045281" s="24"/>
      <c r="K1045281" s="54"/>
    </row>
    <row r="1045282" spans="1:11" s="55" customFormat="1" ht="12.75">
      <c r="A1045282" s="24"/>
      <c r="B1045282" s="24"/>
      <c r="C1045282" s="24"/>
      <c r="D1045282" s="24"/>
      <c r="E1045282" s="24"/>
      <c r="F1045282" s="24"/>
      <c r="G1045282" s="24"/>
      <c r="H1045282" s="24"/>
      <c r="I1045282" s="24"/>
      <c r="J1045282" s="24"/>
      <c r="K1045282" s="54"/>
    </row>
    <row r="1045283" spans="1:11" s="55" customFormat="1" ht="12.75">
      <c r="A1045283" s="24"/>
      <c r="B1045283" s="24"/>
      <c r="C1045283" s="24"/>
      <c r="D1045283" s="24"/>
      <c r="E1045283" s="24"/>
      <c r="F1045283" s="24"/>
      <c r="G1045283" s="24"/>
      <c r="H1045283" s="24"/>
      <c r="I1045283" s="24"/>
      <c r="J1045283" s="24"/>
      <c r="K1045283" s="54"/>
    </row>
    <row r="1045284" spans="1:11" s="55" customFormat="1" ht="12.75">
      <c r="A1045284" s="24"/>
      <c r="B1045284" s="24"/>
      <c r="C1045284" s="24"/>
      <c r="D1045284" s="24"/>
      <c r="E1045284" s="24"/>
      <c r="F1045284" s="24"/>
      <c r="G1045284" s="24"/>
      <c r="H1045284" s="24"/>
      <c r="I1045284" s="24"/>
      <c r="J1045284" s="24"/>
      <c r="K1045284" s="54"/>
    </row>
    <row r="1045285" spans="1:11" s="55" customFormat="1" ht="12.75">
      <c r="A1045285" s="24"/>
      <c r="B1045285" s="24"/>
      <c r="C1045285" s="24"/>
      <c r="D1045285" s="24"/>
      <c r="E1045285" s="24"/>
      <c r="F1045285" s="24"/>
      <c r="G1045285" s="24"/>
      <c r="H1045285" s="24"/>
      <c r="I1045285" s="24"/>
      <c r="J1045285" s="24"/>
      <c r="K1045285" s="54"/>
    </row>
    <row r="1045286" spans="1:11" s="55" customFormat="1" ht="12.75">
      <c r="A1045286" s="24"/>
      <c r="B1045286" s="24"/>
      <c r="C1045286" s="24"/>
      <c r="D1045286" s="24"/>
      <c r="E1045286" s="24"/>
      <c r="F1045286" s="24"/>
      <c r="G1045286" s="24"/>
      <c r="H1045286" s="24"/>
      <c r="I1045286" s="24"/>
      <c r="J1045286" s="24"/>
      <c r="K1045286" s="54"/>
    </row>
    <row r="1045287" spans="1:11" s="55" customFormat="1" ht="12.75">
      <c r="A1045287" s="24"/>
      <c r="B1045287" s="24"/>
      <c r="C1045287" s="24"/>
      <c r="D1045287" s="24"/>
      <c r="E1045287" s="24"/>
      <c r="F1045287" s="24"/>
      <c r="G1045287" s="24"/>
      <c r="H1045287" s="24"/>
      <c r="I1045287" s="24"/>
      <c r="J1045287" s="24"/>
      <c r="K1045287" s="54"/>
    </row>
    <row r="1045288" spans="1:11" s="55" customFormat="1" ht="12.75">
      <c r="A1045288" s="24"/>
      <c r="B1045288" s="24"/>
      <c r="C1045288" s="24"/>
      <c r="D1045288" s="24"/>
      <c r="E1045288" s="24"/>
      <c r="F1045288" s="24"/>
      <c r="G1045288" s="24"/>
      <c r="H1045288" s="24"/>
      <c r="I1045288" s="24"/>
      <c r="J1045288" s="24"/>
      <c r="K1045288" s="54"/>
    </row>
    <row r="1045289" spans="1:11" s="55" customFormat="1" ht="12.75">
      <c r="A1045289" s="24"/>
      <c r="B1045289" s="24"/>
      <c r="C1045289" s="24"/>
      <c r="D1045289" s="24"/>
      <c r="E1045289" s="24"/>
      <c r="F1045289" s="24"/>
      <c r="G1045289" s="24"/>
      <c r="H1045289" s="24"/>
      <c r="I1045289" s="24"/>
      <c r="J1045289" s="24"/>
      <c r="K1045289" s="54"/>
    </row>
    <row r="1045290" spans="1:11" s="55" customFormat="1" ht="12.75">
      <c r="A1045290" s="24"/>
      <c r="B1045290" s="24"/>
      <c r="C1045290" s="24"/>
      <c r="D1045290" s="24"/>
      <c r="E1045290" s="24"/>
      <c r="F1045290" s="24"/>
      <c r="G1045290" s="24"/>
      <c r="H1045290" s="24"/>
      <c r="I1045290" s="24"/>
      <c r="J1045290" s="24"/>
      <c r="K1045290" s="54"/>
    </row>
    <row r="1045291" spans="1:11" s="55" customFormat="1" ht="12.75">
      <c r="A1045291" s="24"/>
      <c r="B1045291" s="24"/>
      <c r="C1045291" s="24"/>
      <c r="D1045291" s="24"/>
      <c r="E1045291" s="24"/>
      <c r="F1045291" s="24"/>
      <c r="G1045291" s="24"/>
      <c r="H1045291" s="24"/>
      <c r="I1045291" s="24"/>
      <c r="J1045291" s="24"/>
      <c r="K1045291" s="54"/>
    </row>
    <row r="1045292" spans="1:11" s="55" customFormat="1" ht="12.75">
      <c r="A1045292" s="24"/>
      <c r="B1045292" s="24"/>
      <c r="C1045292" s="24"/>
      <c r="D1045292" s="24"/>
      <c r="E1045292" s="24"/>
      <c r="F1045292" s="24"/>
      <c r="G1045292" s="24"/>
      <c r="H1045292" s="24"/>
      <c r="I1045292" s="24"/>
      <c r="J1045292" s="24"/>
      <c r="K1045292" s="54"/>
    </row>
    <row r="1045293" spans="1:11" s="55" customFormat="1" ht="12.75">
      <c r="A1045293" s="24"/>
      <c r="B1045293" s="24"/>
      <c r="C1045293" s="24"/>
      <c r="D1045293" s="24"/>
      <c r="E1045293" s="24"/>
      <c r="F1045293" s="24"/>
      <c r="G1045293" s="24"/>
      <c r="H1045293" s="24"/>
      <c r="I1045293" s="24"/>
      <c r="J1045293" s="24"/>
      <c r="K1045293" s="54"/>
    </row>
    <row r="1045294" spans="1:11" s="55" customFormat="1" ht="12.75">
      <c r="A1045294" s="24"/>
      <c r="B1045294" s="24"/>
      <c r="C1045294" s="24"/>
      <c r="D1045294" s="24"/>
      <c r="E1045294" s="24"/>
      <c r="F1045294" s="24"/>
      <c r="G1045294" s="24"/>
      <c r="H1045294" s="24"/>
      <c r="I1045294" s="24"/>
      <c r="J1045294" s="24"/>
      <c r="K1045294" s="54"/>
    </row>
    <row r="1045295" spans="1:11" s="55" customFormat="1" ht="12.75">
      <c r="A1045295" s="24"/>
      <c r="B1045295" s="24"/>
      <c r="C1045295" s="24"/>
      <c r="D1045295" s="24"/>
      <c r="E1045295" s="24"/>
      <c r="F1045295" s="24"/>
      <c r="G1045295" s="24"/>
      <c r="H1045295" s="24"/>
      <c r="I1045295" s="24"/>
      <c r="J1045295" s="24"/>
      <c r="K1045295" s="54"/>
    </row>
    <row r="1045296" spans="1:11" s="55" customFormat="1" ht="12.75">
      <c r="A1045296" s="24"/>
      <c r="B1045296" s="24"/>
      <c r="C1045296" s="24"/>
      <c r="D1045296" s="24"/>
      <c r="E1045296" s="24"/>
      <c r="F1045296" s="24"/>
      <c r="G1045296" s="24"/>
      <c r="H1045296" s="24"/>
      <c r="I1045296" s="24"/>
      <c r="J1045296" s="24"/>
      <c r="K1045296" s="54"/>
    </row>
    <row r="1045297" spans="1:11" s="55" customFormat="1" ht="12.75">
      <c r="A1045297" s="24"/>
      <c r="B1045297" s="24"/>
      <c r="C1045297" s="24"/>
      <c r="D1045297" s="24"/>
      <c r="E1045297" s="24"/>
      <c r="F1045297" s="24"/>
      <c r="G1045297" s="24"/>
      <c r="H1045297" s="24"/>
      <c r="I1045297" s="24"/>
      <c r="J1045297" s="24"/>
      <c r="K1045297" s="54"/>
    </row>
    <row r="1045298" spans="1:11" s="55" customFormat="1" ht="12.75">
      <c r="A1045298" s="24"/>
      <c r="B1045298" s="24"/>
      <c r="C1045298" s="24"/>
      <c r="D1045298" s="24"/>
      <c r="E1045298" s="24"/>
      <c r="F1045298" s="24"/>
      <c r="G1045298" s="24"/>
      <c r="H1045298" s="24"/>
      <c r="I1045298" s="24"/>
      <c r="J1045298" s="24"/>
      <c r="K1045298" s="54"/>
    </row>
    <row r="1045299" spans="1:11" s="55" customFormat="1" ht="12.75">
      <c r="A1045299" s="24"/>
      <c r="B1045299" s="24"/>
      <c r="C1045299" s="24"/>
      <c r="D1045299" s="24"/>
      <c r="E1045299" s="24"/>
      <c r="F1045299" s="24"/>
      <c r="G1045299" s="24"/>
      <c r="H1045299" s="24"/>
      <c r="I1045299" s="24"/>
      <c r="J1045299" s="24"/>
      <c r="K1045299" s="54"/>
    </row>
    <row r="1045300" spans="1:11" s="55" customFormat="1" ht="12.75">
      <c r="A1045300" s="24"/>
      <c r="B1045300" s="24"/>
      <c r="C1045300" s="24"/>
      <c r="D1045300" s="24"/>
      <c r="E1045300" s="24"/>
      <c r="F1045300" s="24"/>
      <c r="G1045300" s="24"/>
      <c r="H1045300" s="24"/>
      <c r="I1045300" s="24"/>
      <c r="J1045300" s="24"/>
      <c r="K1045300" s="54"/>
    </row>
    <row r="1045301" spans="1:11" s="55" customFormat="1" ht="12.75">
      <c r="A1045301" s="24"/>
      <c r="B1045301" s="24"/>
      <c r="C1045301" s="24"/>
      <c r="D1045301" s="24"/>
      <c r="E1045301" s="24"/>
      <c r="F1045301" s="24"/>
      <c r="G1045301" s="24"/>
      <c r="H1045301" s="24"/>
      <c r="I1045301" s="24"/>
      <c r="J1045301" s="24"/>
      <c r="K1045301" s="54"/>
    </row>
    <row r="1045302" spans="1:11" s="55" customFormat="1" ht="12.75">
      <c r="A1045302" s="24"/>
      <c r="B1045302" s="24"/>
      <c r="C1045302" s="24"/>
      <c r="D1045302" s="24"/>
      <c r="E1045302" s="24"/>
      <c r="F1045302" s="24"/>
      <c r="G1045302" s="24"/>
      <c r="H1045302" s="24"/>
      <c r="I1045302" s="24"/>
      <c r="J1045302" s="24"/>
      <c r="K1045302" s="54"/>
    </row>
    <row r="1045303" spans="1:11" s="55" customFormat="1" ht="12.75">
      <c r="A1045303" s="24"/>
      <c r="B1045303" s="24"/>
      <c r="C1045303" s="24"/>
      <c r="D1045303" s="24"/>
      <c r="E1045303" s="24"/>
      <c r="F1045303" s="24"/>
      <c r="G1045303" s="24"/>
      <c r="H1045303" s="24"/>
      <c r="I1045303" s="24"/>
      <c r="J1045303" s="24"/>
      <c r="K1045303" s="54"/>
    </row>
    <row r="1045304" spans="1:11" s="55" customFormat="1" ht="12.75">
      <c r="A1045304" s="24"/>
      <c r="B1045304" s="24"/>
      <c r="C1045304" s="24"/>
      <c r="D1045304" s="24"/>
      <c r="E1045304" s="24"/>
      <c r="F1045304" s="24"/>
      <c r="G1045304" s="24"/>
      <c r="H1045304" s="24"/>
      <c r="I1045304" s="24"/>
      <c r="J1045304" s="24"/>
      <c r="K1045304" s="54"/>
    </row>
    <row r="1045305" spans="1:11" s="55" customFormat="1" ht="12.75">
      <c r="A1045305" s="24"/>
      <c r="B1045305" s="24"/>
      <c r="C1045305" s="24"/>
      <c r="D1045305" s="24"/>
      <c r="E1045305" s="24"/>
      <c r="F1045305" s="24"/>
      <c r="G1045305" s="24"/>
      <c r="H1045305" s="24"/>
      <c r="I1045305" s="24"/>
      <c r="J1045305" s="24"/>
      <c r="K1045305" s="54"/>
    </row>
    <row r="1045306" spans="1:11" s="55" customFormat="1" ht="12.75">
      <c r="A1045306" s="24"/>
      <c r="B1045306" s="24"/>
      <c r="C1045306" s="24"/>
      <c r="D1045306" s="24"/>
      <c r="E1045306" s="24"/>
      <c r="F1045306" s="24"/>
      <c r="G1045306" s="24"/>
      <c r="H1045306" s="24"/>
      <c r="I1045306" s="24"/>
      <c r="J1045306" s="24"/>
      <c r="K1045306" s="54"/>
    </row>
    <row r="1045307" spans="1:11" s="55" customFormat="1" ht="12.75">
      <c r="A1045307" s="24"/>
      <c r="B1045307" s="24"/>
      <c r="C1045307" s="24"/>
      <c r="D1045307" s="24"/>
      <c r="E1045307" s="24"/>
      <c r="F1045307" s="24"/>
      <c r="G1045307" s="24"/>
      <c r="H1045307" s="24"/>
      <c r="I1045307" s="24"/>
      <c r="J1045307" s="24"/>
      <c r="K1045307" s="54"/>
    </row>
    <row r="1045308" spans="1:11" s="55" customFormat="1" ht="12.75">
      <c r="A1045308" s="24"/>
      <c r="B1045308" s="24"/>
      <c r="C1045308" s="24"/>
      <c r="D1045308" s="24"/>
      <c r="E1045308" s="24"/>
      <c r="F1045308" s="24"/>
      <c r="G1045308" s="24"/>
      <c r="H1045308" s="24"/>
      <c r="I1045308" s="24"/>
      <c r="J1045308" s="24"/>
      <c r="K1045308" s="54"/>
    </row>
    <row r="1045309" spans="1:11" s="55" customFormat="1" ht="12.75">
      <c r="A1045309" s="24"/>
      <c r="B1045309" s="24"/>
      <c r="C1045309" s="24"/>
      <c r="D1045309" s="24"/>
      <c r="E1045309" s="24"/>
      <c r="F1045309" s="24"/>
      <c r="G1045309" s="24"/>
      <c r="H1045309" s="24"/>
      <c r="I1045309" s="24"/>
      <c r="J1045309" s="24"/>
      <c r="K1045309" s="54"/>
    </row>
    <row r="1045310" spans="1:11" s="55" customFormat="1" ht="12.75">
      <c r="A1045310" s="24"/>
      <c r="B1045310" s="24"/>
      <c r="C1045310" s="24"/>
      <c r="D1045310" s="24"/>
      <c r="E1045310" s="24"/>
      <c r="F1045310" s="24"/>
      <c r="G1045310" s="24"/>
      <c r="H1045310" s="24"/>
      <c r="I1045310" s="24"/>
      <c r="J1045310" s="24"/>
      <c r="K1045310" s="54"/>
    </row>
    <row r="1045311" spans="1:11" s="55" customFormat="1" ht="12.75">
      <c r="A1045311" s="24"/>
      <c r="B1045311" s="24"/>
      <c r="C1045311" s="24"/>
      <c r="D1045311" s="24"/>
      <c r="E1045311" s="24"/>
      <c r="F1045311" s="24"/>
      <c r="G1045311" s="24"/>
      <c r="H1045311" s="24"/>
      <c r="I1045311" s="24"/>
      <c r="J1045311" s="24"/>
      <c r="K1045311" s="54"/>
    </row>
    <row r="1045312" spans="1:11" s="55" customFormat="1" ht="12.75">
      <c r="A1045312" s="24"/>
      <c r="B1045312" s="24"/>
      <c r="C1045312" s="24"/>
      <c r="D1045312" s="24"/>
      <c r="E1045312" s="24"/>
      <c r="F1045312" s="24"/>
      <c r="G1045312" s="24"/>
      <c r="H1045312" s="24"/>
      <c r="I1045312" s="24"/>
      <c r="J1045312" s="24"/>
      <c r="K1045312" s="54"/>
    </row>
    <row r="1045313" spans="1:11" s="55" customFormat="1" ht="12.75">
      <c r="A1045313" s="24"/>
      <c r="B1045313" s="24"/>
      <c r="C1045313" s="24"/>
      <c r="D1045313" s="24"/>
      <c r="E1045313" s="24"/>
      <c r="F1045313" s="24"/>
      <c r="G1045313" s="24"/>
      <c r="H1045313" s="24"/>
      <c r="I1045313" s="24"/>
      <c r="J1045313" s="24"/>
      <c r="K1045313" s="54"/>
    </row>
    <row r="1045314" spans="1:11" s="55" customFormat="1" ht="12.75">
      <c r="A1045314" s="24"/>
      <c r="B1045314" s="24"/>
      <c r="C1045314" s="24"/>
      <c r="D1045314" s="24"/>
      <c r="E1045314" s="24"/>
      <c r="F1045314" s="24"/>
      <c r="G1045314" s="24"/>
      <c r="H1045314" s="24"/>
      <c r="I1045314" s="24"/>
      <c r="J1045314" s="24"/>
      <c r="K1045314" s="54"/>
    </row>
    <row r="1045315" spans="1:11" s="55" customFormat="1" ht="12.75">
      <c r="A1045315" s="24"/>
      <c r="B1045315" s="24"/>
      <c r="C1045315" s="24"/>
      <c r="D1045315" s="24"/>
      <c r="E1045315" s="24"/>
      <c r="F1045315" s="24"/>
      <c r="G1045315" s="24"/>
      <c r="H1045315" s="24"/>
      <c r="I1045315" s="24"/>
      <c r="J1045315" s="24"/>
      <c r="K1045315" s="54"/>
    </row>
    <row r="1045316" spans="1:11" s="55" customFormat="1" ht="12.75">
      <c r="A1045316" s="24"/>
      <c r="B1045316" s="24"/>
      <c r="C1045316" s="24"/>
      <c r="D1045316" s="24"/>
      <c r="E1045316" s="24"/>
      <c r="F1045316" s="24"/>
      <c r="G1045316" s="24"/>
      <c r="H1045316" s="24"/>
      <c r="I1045316" s="24"/>
      <c r="J1045316" s="24"/>
      <c r="K1045316" s="54"/>
    </row>
    <row r="1045317" spans="1:11" s="55" customFormat="1" ht="12.75">
      <c r="A1045317" s="24"/>
      <c r="B1045317" s="24"/>
      <c r="C1045317" s="24"/>
      <c r="D1045317" s="24"/>
      <c r="E1045317" s="24"/>
      <c r="F1045317" s="24"/>
      <c r="G1045317" s="24"/>
      <c r="H1045317" s="24"/>
      <c r="I1045317" s="24"/>
      <c r="J1045317" s="24"/>
      <c r="K1045317" s="54"/>
    </row>
    <row r="1045318" spans="1:11" s="55" customFormat="1" ht="12.75">
      <c r="A1045318" s="24"/>
      <c r="B1045318" s="24"/>
      <c r="C1045318" s="24"/>
      <c r="D1045318" s="24"/>
      <c r="E1045318" s="24"/>
      <c r="F1045318" s="24"/>
      <c r="G1045318" s="24"/>
      <c r="H1045318" s="24"/>
      <c r="I1045318" s="24"/>
      <c r="J1045318" s="24"/>
      <c r="K1045318" s="54"/>
    </row>
    <row r="1045319" spans="1:11" s="55" customFormat="1" ht="12.75">
      <c r="A1045319" s="24"/>
      <c r="B1045319" s="24"/>
      <c r="C1045319" s="24"/>
      <c r="D1045319" s="24"/>
      <c r="E1045319" s="24"/>
      <c r="F1045319" s="24"/>
      <c r="G1045319" s="24"/>
      <c r="H1045319" s="24"/>
      <c r="I1045319" s="24"/>
      <c r="J1045319" s="24"/>
      <c r="K1045319" s="54"/>
    </row>
    <row r="1045320" spans="1:11" s="55" customFormat="1" ht="12.75">
      <c r="A1045320" s="24"/>
      <c r="B1045320" s="24"/>
      <c r="C1045320" s="24"/>
      <c r="D1045320" s="24"/>
      <c r="E1045320" s="24"/>
      <c r="F1045320" s="24"/>
      <c r="G1045320" s="24"/>
      <c r="H1045320" s="24"/>
      <c r="I1045320" s="24"/>
      <c r="J1045320" s="24"/>
      <c r="K1045320" s="54"/>
    </row>
    <row r="1045321" spans="1:11" s="55" customFormat="1" ht="12.75">
      <c r="A1045321" s="24"/>
      <c r="B1045321" s="24"/>
      <c r="C1045321" s="24"/>
      <c r="D1045321" s="24"/>
      <c r="E1045321" s="24"/>
      <c r="F1045321" s="24"/>
      <c r="G1045321" s="24"/>
      <c r="H1045321" s="24"/>
      <c r="I1045321" s="24"/>
      <c r="J1045321" s="24"/>
      <c r="K1045321" s="54"/>
    </row>
    <row r="1045322" spans="1:11" s="55" customFormat="1" ht="12.75">
      <c r="A1045322" s="24"/>
      <c r="B1045322" s="24"/>
      <c r="C1045322" s="24"/>
      <c r="D1045322" s="24"/>
      <c r="E1045322" s="24"/>
      <c r="F1045322" s="24"/>
      <c r="G1045322" s="24"/>
      <c r="H1045322" s="24"/>
      <c r="I1045322" s="24"/>
      <c r="J1045322" s="24"/>
      <c r="K1045322" s="54"/>
    </row>
    <row r="1045323" spans="1:11" s="55" customFormat="1" ht="12.75">
      <c r="A1045323" s="24"/>
      <c r="B1045323" s="24"/>
      <c r="C1045323" s="24"/>
      <c r="D1045323" s="24"/>
      <c r="E1045323" s="24"/>
      <c r="F1045323" s="24"/>
      <c r="G1045323" s="24"/>
      <c r="H1045323" s="24"/>
      <c r="I1045323" s="24"/>
      <c r="J1045323" s="24"/>
      <c r="K1045323" s="54"/>
    </row>
    <row r="1045324" spans="1:11" s="55" customFormat="1" ht="12.75">
      <c r="A1045324" s="24"/>
      <c r="B1045324" s="24"/>
      <c r="C1045324" s="24"/>
      <c r="D1045324" s="24"/>
      <c r="E1045324" s="24"/>
      <c r="F1045324" s="24"/>
      <c r="G1045324" s="24"/>
      <c r="H1045324" s="24"/>
      <c r="I1045324" s="24"/>
      <c r="J1045324" s="24"/>
      <c r="K1045324" s="54"/>
    </row>
    <row r="1045325" spans="1:11" s="55" customFormat="1" ht="12.75">
      <c r="A1045325" s="24"/>
      <c r="B1045325" s="24"/>
      <c r="C1045325" s="24"/>
      <c r="D1045325" s="24"/>
      <c r="E1045325" s="24"/>
      <c r="F1045325" s="24"/>
      <c r="G1045325" s="24"/>
      <c r="H1045325" s="24"/>
      <c r="I1045325" s="24"/>
      <c r="J1045325" s="24"/>
      <c r="K1045325" s="54"/>
    </row>
    <row r="1045326" spans="1:11" s="55" customFormat="1" ht="12.75">
      <c r="A1045326" s="24"/>
      <c r="B1045326" s="24"/>
      <c r="C1045326" s="24"/>
      <c r="D1045326" s="24"/>
      <c r="E1045326" s="24"/>
      <c r="F1045326" s="24"/>
      <c r="G1045326" s="24"/>
      <c r="H1045326" s="24"/>
      <c r="I1045326" s="24"/>
      <c r="J1045326" s="24"/>
      <c r="K1045326" s="54"/>
    </row>
    <row r="1045327" spans="1:11" s="55" customFormat="1" ht="12.75">
      <c r="A1045327" s="24"/>
      <c r="B1045327" s="24"/>
      <c r="C1045327" s="24"/>
      <c r="D1045327" s="24"/>
      <c r="E1045327" s="24"/>
      <c r="F1045327" s="24"/>
      <c r="G1045327" s="24"/>
      <c r="H1045327" s="24"/>
      <c r="I1045327" s="24"/>
      <c r="J1045327" s="24"/>
      <c r="K1045327" s="54"/>
    </row>
    <row r="1045328" spans="1:11" s="55" customFormat="1" ht="12.75">
      <c r="A1045328" s="24"/>
      <c r="B1045328" s="24"/>
      <c r="C1045328" s="24"/>
      <c r="D1045328" s="24"/>
      <c r="E1045328" s="24"/>
      <c r="F1045328" s="24"/>
      <c r="G1045328" s="24"/>
      <c r="H1045328" s="24"/>
      <c r="I1045328" s="24"/>
      <c r="J1045328" s="24"/>
      <c r="K1045328" s="54"/>
    </row>
    <row r="1045329" spans="1:11" s="55" customFormat="1" ht="12.75">
      <c r="A1045329" s="24"/>
      <c r="B1045329" s="24"/>
      <c r="C1045329" s="24"/>
      <c r="D1045329" s="24"/>
      <c r="E1045329" s="24"/>
      <c r="F1045329" s="24"/>
      <c r="G1045329" s="24"/>
      <c r="H1045329" s="24"/>
      <c r="I1045329" s="24"/>
      <c r="J1045329" s="24"/>
      <c r="K1045329" s="54"/>
    </row>
    <row r="1045330" spans="1:11" s="55" customFormat="1" ht="12.75">
      <c r="A1045330" s="24"/>
      <c r="B1045330" s="24"/>
      <c r="C1045330" s="24"/>
      <c r="D1045330" s="24"/>
      <c r="E1045330" s="24"/>
      <c r="F1045330" s="24"/>
      <c r="G1045330" s="24"/>
      <c r="H1045330" s="24"/>
      <c r="I1045330" s="24"/>
      <c r="J1045330" s="24"/>
      <c r="K1045330" s="54"/>
    </row>
    <row r="1045331" spans="1:11" s="55" customFormat="1" ht="12.75">
      <c r="A1045331" s="24"/>
      <c r="B1045331" s="24"/>
      <c r="C1045331" s="24"/>
      <c r="D1045331" s="24"/>
      <c r="E1045331" s="24"/>
      <c r="F1045331" s="24"/>
      <c r="G1045331" s="24"/>
      <c r="H1045331" s="24"/>
      <c r="I1045331" s="24"/>
      <c r="J1045331" s="24"/>
      <c r="K1045331" s="54"/>
    </row>
    <row r="1045332" spans="1:11" s="55" customFormat="1" ht="12.75">
      <c r="A1045332" s="24"/>
      <c r="B1045332" s="24"/>
      <c r="C1045332" s="24"/>
      <c r="D1045332" s="24"/>
      <c r="E1045332" s="24"/>
      <c r="F1045332" s="24"/>
      <c r="G1045332" s="24"/>
      <c r="H1045332" s="24"/>
      <c r="I1045332" s="24"/>
      <c r="J1045332" s="24"/>
      <c r="K1045332" s="54"/>
    </row>
    <row r="1045333" spans="1:11" s="55" customFormat="1" ht="12.75">
      <c r="A1045333" s="24"/>
      <c r="B1045333" s="24"/>
      <c r="C1045333" s="24"/>
      <c r="D1045333" s="24"/>
      <c r="E1045333" s="24"/>
      <c r="F1045333" s="24"/>
      <c r="G1045333" s="24"/>
      <c r="H1045333" s="24"/>
      <c r="I1045333" s="24"/>
      <c r="J1045333" s="24"/>
      <c r="K1045333" s="54"/>
    </row>
    <row r="1045334" spans="1:11" s="55" customFormat="1" ht="12.75">
      <c r="A1045334" s="24"/>
      <c r="B1045334" s="24"/>
      <c r="C1045334" s="24"/>
      <c r="D1045334" s="24"/>
      <c r="E1045334" s="24"/>
      <c r="F1045334" s="24"/>
      <c r="G1045334" s="24"/>
      <c r="H1045334" s="24"/>
      <c r="I1045334" s="24"/>
      <c r="J1045334" s="24"/>
      <c r="K1045334" s="54"/>
    </row>
    <row r="1045335" spans="1:11" s="55" customFormat="1" ht="12.75">
      <c r="A1045335" s="24"/>
      <c r="B1045335" s="24"/>
      <c r="C1045335" s="24"/>
      <c r="D1045335" s="24"/>
      <c r="E1045335" s="24"/>
      <c r="F1045335" s="24"/>
      <c r="G1045335" s="24"/>
      <c r="H1045335" s="24"/>
      <c r="I1045335" s="24"/>
      <c r="J1045335" s="24"/>
      <c r="K1045335" s="54"/>
    </row>
    <row r="1045336" spans="1:11" s="55" customFormat="1" ht="12.75">
      <c r="A1045336" s="24"/>
      <c r="B1045336" s="24"/>
      <c r="C1045336" s="24"/>
      <c r="D1045336" s="24"/>
      <c r="E1045336" s="24"/>
      <c r="F1045336" s="24"/>
      <c r="G1045336" s="24"/>
      <c r="H1045336" s="24"/>
      <c r="I1045336" s="24"/>
      <c r="J1045336" s="24"/>
      <c r="K1045336" s="54"/>
    </row>
    <row r="1045337" spans="1:11" s="55" customFormat="1" ht="12.75">
      <c r="A1045337" s="24"/>
      <c r="B1045337" s="24"/>
      <c r="C1045337" s="24"/>
      <c r="D1045337" s="24"/>
      <c r="E1045337" s="24"/>
      <c r="F1045337" s="24"/>
      <c r="G1045337" s="24"/>
      <c r="H1045337" s="24"/>
      <c r="I1045337" s="24"/>
      <c r="J1045337" s="24"/>
      <c r="K1045337" s="54"/>
    </row>
    <row r="1045338" spans="1:11" s="55" customFormat="1" ht="12.75">
      <c r="A1045338" s="24"/>
      <c r="B1045338" s="24"/>
      <c r="C1045338" s="24"/>
      <c r="D1045338" s="24"/>
      <c r="E1045338" s="24"/>
      <c r="F1045338" s="24"/>
      <c r="G1045338" s="24"/>
      <c r="H1045338" s="24"/>
      <c r="I1045338" s="24"/>
      <c r="J1045338" s="24"/>
      <c r="K1045338" s="54"/>
    </row>
    <row r="1045339" spans="1:11" s="55" customFormat="1" ht="12.75">
      <c r="A1045339" s="24"/>
      <c r="B1045339" s="24"/>
      <c r="C1045339" s="24"/>
      <c r="D1045339" s="24"/>
      <c r="E1045339" s="24"/>
      <c r="F1045339" s="24"/>
      <c r="G1045339" s="24"/>
      <c r="H1045339" s="24"/>
      <c r="I1045339" s="24"/>
      <c r="J1045339" s="24"/>
      <c r="K1045339" s="54"/>
    </row>
    <row r="1045340" spans="1:11" s="55" customFormat="1" ht="12.75">
      <c r="A1045340" s="24"/>
      <c r="B1045340" s="24"/>
      <c r="C1045340" s="24"/>
      <c r="D1045340" s="24"/>
      <c r="E1045340" s="24"/>
      <c r="F1045340" s="24"/>
      <c r="G1045340" s="24"/>
      <c r="H1045340" s="24"/>
      <c r="I1045340" s="24"/>
      <c r="J1045340" s="24"/>
      <c r="K1045340" s="54"/>
    </row>
    <row r="1045341" spans="1:11" s="55" customFormat="1" ht="12.75">
      <c r="A1045341" s="24"/>
      <c r="B1045341" s="24"/>
      <c r="C1045341" s="24"/>
      <c r="D1045341" s="24"/>
      <c r="E1045341" s="24"/>
      <c r="F1045341" s="24"/>
      <c r="G1045341" s="24"/>
      <c r="H1045341" s="24"/>
      <c r="I1045341" s="24"/>
      <c r="J1045341" s="24"/>
      <c r="K1045341" s="54"/>
    </row>
    <row r="1045342" spans="1:11" s="55" customFormat="1" ht="12.75">
      <c r="A1045342" s="24"/>
      <c r="B1045342" s="24"/>
      <c r="C1045342" s="24"/>
      <c r="D1045342" s="24"/>
      <c r="E1045342" s="24"/>
      <c r="F1045342" s="24"/>
      <c r="G1045342" s="24"/>
      <c r="H1045342" s="24"/>
      <c r="I1045342" s="24"/>
      <c r="J1045342" s="24"/>
      <c r="K1045342" s="54"/>
    </row>
    <row r="1045343" spans="1:11" s="55" customFormat="1" ht="12.75">
      <c r="A1045343" s="24"/>
      <c r="B1045343" s="24"/>
      <c r="C1045343" s="24"/>
      <c r="D1045343" s="24"/>
      <c r="E1045343" s="24"/>
      <c r="F1045343" s="24"/>
      <c r="G1045343" s="24"/>
      <c r="H1045343" s="24"/>
      <c r="I1045343" s="24"/>
      <c r="J1045343" s="24"/>
      <c r="K1045343" s="54"/>
    </row>
    <row r="1045344" spans="1:11" s="55" customFormat="1" ht="12.75">
      <c r="A1045344" s="24"/>
      <c r="B1045344" s="24"/>
      <c r="C1045344" s="24"/>
      <c r="D1045344" s="24"/>
      <c r="E1045344" s="24"/>
      <c r="F1045344" s="24"/>
      <c r="G1045344" s="24"/>
      <c r="H1045344" s="24"/>
      <c r="I1045344" s="24"/>
      <c r="J1045344" s="24"/>
      <c r="K1045344" s="54"/>
    </row>
    <row r="1045345" spans="1:11" s="55" customFormat="1" ht="12.75">
      <c r="A1045345" s="24"/>
      <c r="B1045345" s="24"/>
      <c r="C1045345" s="24"/>
      <c r="D1045345" s="24"/>
      <c r="E1045345" s="24"/>
      <c r="F1045345" s="24"/>
      <c r="G1045345" s="24"/>
      <c r="H1045345" s="24"/>
      <c r="I1045345" s="24"/>
      <c r="J1045345" s="24"/>
      <c r="K1045345" s="54"/>
    </row>
    <row r="1045346" spans="1:11" s="55" customFormat="1" ht="12.75">
      <c r="A1045346" s="24"/>
      <c r="B1045346" s="24"/>
      <c r="C1045346" s="24"/>
      <c r="D1045346" s="24"/>
      <c r="E1045346" s="24"/>
      <c r="F1045346" s="24"/>
      <c r="G1045346" s="24"/>
      <c r="H1045346" s="24"/>
      <c r="I1045346" s="24"/>
      <c r="J1045346" s="24"/>
      <c r="K1045346" s="54"/>
    </row>
    <row r="1045347" spans="1:11" s="55" customFormat="1" ht="12.75">
      <c r="A1045347" s="24"/>
      <c r="B1045347" s="24"/>
      <c r="C1045347" s="24"/>
      <c r="D1045347" s="24"/>
      <c r="E1045347" s="24"/>
      <c r="F1045347" s="24"/>
      <c r="G1045347" s="24"/>
      <c r="H1045347" s="24"/>
      <c r="I1045347" s="24"/>
      <c r="J1045347" s="24"/>
      <c r="K1045347" s="54"/>
    </row>
    <row r="1045348" spans="1:11" s="55" customFormat="1" ht="12.75">
      <c r="A1045348" s="24"/>
      <c r="B1045348" s="24"/>
      <c r="C1045348" s="24"/>
      <c r="D1045348" s="24"/>
      <c r="E1045348" s="24"/>
      <c r="F1045348" s="24"/>
      <c r="G1045348" s="24"/>
      <c r="H1045348" s="24"/>
      <c r="I1045348" s="24"/>
      <c r="J1045348" s="24"/>
      <c r="K1045348" s="54"/>
    </row>
    <row r="1045349" spans="1:11" s="55" customFormat="1" ht="12.75">
      <c r="A1045349" s="24"/>
      <c r="B1045349" s="24"/>
      <c r="C1045349" s="24"/>
      <c r="D1045349" s="24"/>
      <c r="E1045349" s="24"/>
      <c r="F1045349" s="24"/>
      <c r="G1045349" s="24"/>
      <c r="H1045349" s="24"/>
      <c r="I1045349" s="24"/>
      <c r="J1045349" s="24"/>
      <c r="K1045349" s="54"/>
    </row>
    <row r="1045350" spans="1:11" s="55" customFormat="1" ht="12.75">
      <c r="A1045350" s="24"/>
      <c r="B1045350" s="24"/>
      <c r="C1045350" s="24"/>
      <c r="D1045350" s="24"/>
      <c r="E1045350" s="24"/>
      <c r="F1045350" s="24"/>
      <c r="G1045350" s="24"/>
      <c r="H1045350" s="24"/>
      <c r="I1045350" s="24"/>
      <c r="J1045350" s="24"/>
      <c r="K1045350" s="54"/>
    </row>
    <row r="1045351" spans="1:11" s="55" customFormat="1" ht="12.75">
      <c r="A1045351" s="24"/>
      <c r="B1045351" s="24"/>
      <c r="C1045351" s="24"/>
      <c r="D1045351" s="24"/>
      <c r="E1045351" s="24"/>
      <c r="F1045351" s="24"/>
      <c r="G1045351" s="24"/>
      <c r="H1045351" s="24"/>
      <c r="I1045351" s="24"/>
      <c r="J1045351" s="24"/>
      <c r="K1045351" s="54"/>
    </row>
    <row r="1045352" spans="1:11" s="55" customFormat="1" ht="12.75">
      <c r="A1045352" s="24"/>
      <c r="B1045352" s="24"/>
      <c r="C1045352" s="24"/>
      <c r="D1045352" s="24"/>
      <c r="E1045352" s="24"/>
      <c r="F1045352" s="24"/>
      <c r="G1045352" s="24"/>
      <c r="H1045352" s="24"/>
      <c r="I1045352" s="24"/>
      <c r="J1045352" s="24"/>
      <c r="K1045352" s="54"/>
    </row>
    <row r="1045353" spans="1:11" s="55" customFormat="1" ht="12.75">
      <c r="A1045353" s="24"/>
      <c r="B1045353" s="24"/>
      <c r="C1045353" s="24"/>
      <c r="D1045353" s="24"/>
      <c r="E1045353" s="24"/>
      <c r="F1045353" s="24"/>
      <c r="G1045353" s="24"/>
      <c r="H1045353" s="24"/>
      <c r="I1045353" s="24"/>
      <c r="J1045353" s="24"/>
      <c r="K1045353" s="54"/>
    </row>
    <row r="1045354" spans="1:11" s="55" customFormat="1" ht="12.75">
      <c r="A1045354" s="24"/>
      <c r="B1045354" s="24"/>
      <c r="C1045354" s="24"/>
      <c r="D1045354" s="24"/>
      <c r="E1045354" s="24"/>
      <c r="F1045354" s="24"/>
      <c r="G1045354" s="24"/>
      <c r="H1045354" s="24"/>
      <c r="I1045354" s="24"/>
      <c r="J1045354" s="24"/>
      <c r="K1045354" s="54"/>
    </row>
    <row r="1045355" spans="1:11" s="55" customFormat="1" ht="12.75">
      <c r="A1045355" s="24"/>
      <c r="B1045355" s="24"/>
      <c r="C1045355" s="24"/>
      <c r="D1045355" s="24"/>
      <c r="E1045355" s="24"/>
      <c r="F1045355" s="24"/>
      <c r="G1045355" s="24"/>
      <c r="H1045355" s="24"/>
      <c r="I1045355" s="24"/>
      <c r="J1045355" s="24"/>
      <c r="K1045355" s="54"/>
    </row>
    <row r="1045356" spans="1:11" s="55" customFormat="1" ht="12.75">
      <c r="A1045356" s="24"/>
      <c r="B1045356" s="24"/>
      <c r="C1045356" s="24"/>
      <c r="D1045356" s="24"/>
      <c r="E1045356" s="24"/>
      <c r="F1045356" s="24"/>
      <c r="G1045356" s="24"/>
      <c r="H1045356" s="24"/>
      <c r="I1045356" s="24"/>
      <c r="J1045356" s="24"/>
      <c r="K1045356" s="54"/>
    </row>
    <row r="1045357" spans="1:11" s="55" customFormat="1" ht="12.75">
      <c r="A1045357" s="24"/>
      <c r="B1045357" s="24"/>
      <c r="C1045357" s="24"/>
      <c r="D1045357" s="24"/>
      <c r="E1045357" s="24"/>
      <c r="F1045357" s="24"/>
      <c r="G1045357" s="24"/>
      <c r="H1045357" s="24"/>
      <c r="I1045357" s="24"/>
      <c r="J1045357" s="24"/>
      <c r="K1045357" s="54"/>
    </row>
    <row r="1045358" spans="1:11" s="55" customFormat="1" ht="12.75">
      <c r="A1045358" s="24"/>
      <c r="B1045358" s="24"/>
      <c r="C1045358" s="24"/>
      <c r="D1045358" s="24"/>
      <c r="E1045358" s="24"/>
      <c r="F1045358" s="24"/>
      <c r="G1045358" s="24"/>
      <c r="H1045358" s="24"/>
      <c r="I1045358" s="24"/>
      <c r="J1045358" s="24"/>
      <c r="K1045358" s="54"/>
    </row>
    <row r="1045359" spans="1:11" s="55" customFormat="1" ht="12.75">
      <c r="A1045359" s="24"/>
      <c r="B1045359" s="24"/>
      <c r="C1045359" s="24"/>
      <c r="D1045359" s="24"/>
      <c r="E1045359" s="24"/>
      <c r="F1045359" s="24"/>
      <c r="G1045359" s="24"/>
      <c r="H1045359" s="24"/>
      <c r="I1045359" s="24"/>
      <c r="J1045359" s="24"/>
      <c r="K1045359" s="54"/>
    </row>
    <row r="1045360" spans="1:11" s="55" customFormat="1" ht="12.75">
      <c r="A1045360" s="24"/>
      <c r="B1045360" s="24"/>
      <c r="C1045360" s="24"/>
      <c r="D1045360" s="24"/>
      <c r="E1045360" s="24"/>
      <c r="F1045360" s="24"/>
      <c r="G1045360" s="24"/>
      <c r="H1045360" s="24"/>
      <c r="I1045360" s="24"/>
      <c r="J1045360" s="24"/>
      <c r="K1045360" s="54"/>
    </row>
    <row r="1045361" spans="1:11" s="55" customFormat="1" ht="12.75">
      <c r="A1045361" s="24"/>
      <c r="B1045361" s="24"/>
      <c r="C1045361" s="24"/>
      <c r="D1045361" s="24"/>
      <c r="E1045361" s="24"/>
      <c r="F1045361" s="24"/>
      <c r="G1045361" s="24"/>
      <c r="H1045361" s="24"/>
      <c r="I1045361" s="24"/>
      <c r="J1045361" s="24"/>
      <c r="K1045361" s="54"/>
    </row>
    <row r="1045362" spans="1:11" s="55" customFormat="1" ht="12.75">
      <c r="A1045362" s="24"/>
      <c r="B1045362" s="24"/>
      <c r="C1045362" s="24"/>
      <c r="D1045362" s="24"/>
      <c r="E1045362" s="24"/>
      <c r="F1045362" s="24"/>
      <c r="G1045362" s="24"/>
      <c r="H1045362" s="24"/>
      <c r="I1045362" s="24"/>
      <c r="J1045362" s="24"/>
      <c r="K1045362" s="54"/>
    </row>
    <row r="1045363" spans="1:11" s="55" customFormat="1" ht="12.75">
      <c r="A1045363" s="24"/>
      <c r="B1045363" s="24"/>
      <c r="C1045363" s="24"/>
      <c r="D1045363" s="24"/>
      <c r="E1045363" s="24"/>
      <c r="F1045363" s="24"/>
      <c r="G1045363" s="24"/>
      <c r="H1045363" s="24"/>
      <c r="I1045363" s="24"/>
      <c r="J1045363" s="24"/>
      <c r="K1045363" s="54"/>
    </row>
    <row r="1045364" spans="1:11" s="55" customFormat="1" ht="12.75">
      <c r="A1045364" s="24"/>
      <c r="B1045364" s="24"/>
      <c r="C1045364" s="24"/>
      <c r="D1045364" s="24"/>
      <c r="E1045364" s="24"/>
      <c r="F1045364" s="24"/>
      <c r="G1045364" s="24"/>
      <c r="H1045364" s="24"/>
      <c r="I1045364" s="24"/>
      <c r="J1045364" s="24"/>
      <c r="K1045364" s="54"/>
    </row>
    <row r="1045365" spans="1:11" s="55" customFormat="1" ht="12.75">
      <c r="A1045365" s="24"/>
      <c r="B1045365" s="24"/>
      <c r="C1045365" s="24"/>
      <c r="D1045365" s="24"/>
      <c r="E1045365" s="24"/>
      <c r="F1045365" s="24"/>
      <c r="G1045365" s="24"/>
      <c r="H1045365" s="24"/>
      <c r="I1045365" s="24"/>
      <c r="J1045365" s="24"/>
      <c r="K1045365" s="54"/>
    </row>
    <row r="1045366" spans="1:11" s="55" customFormat="1" ht="12.75">
      <c r="A1045366" s="24"/>
      <c r="B1045366" s="24"/>
      <c r="C1045366" s="24"/>
      <c r="D1045366" s="24"/>
      <c r="E1045366" s="24"/>
      <c r="F1045366" s="24"/>
      <c r="G1045366" s="24"/>
      <c r="H1045366" s="24"/>
      <c r="I1045366" s="24"/>
      <c r="J1045366" s="24"/>
      <c r="K1045366" s="54"/>
    </row>
    <row r="1045367" spans="1:11" s="55" customFormat="1" ht="12.75">
      <c r="A1045367" s="24"/>
      <c r="B1045367" s="24"/>
      <c r="C1045367" s="24"/>
      <c r="D1045367" s="24"/>
      <c r="E1045367" s="24"/>
      <c r="F1045367" s="24"/>
      <c r="G1045367" s="24"/>
      <c r="H1045367" s="24"/>
      <c r="I1045367" s="24"/>
      <c r="J1045367" s="24"/>
      <c r="K1045367" s="54"/>
    </row>
    <row r="1045368" spans="1:11" s="55" customFormat="1" ht="12.75">
      <c r="A1045368" s="24"/>
      <c r="B1045368" s="24"/>
      <c r="C1045368" s="24"/>
      <c r="D1045368" s="24"/>
      <c r="E1045368" s="24"/>
      <c r="F1045368" s="24"/>
      <c r="G1045368" s="24"/>
      <c r="H1045368" s="24"/>
      <c r="I1045368" s="24"/>
      <c r="J1045368" s="24"/>
      <c r="K1045368" s="54"/>
    </row>
    <row r="1045369" spans="1:11" s="55" customFormat="1" ht="12.75">
      <c r="A1045369" s="24"/>
      <c r="B1045369" s="24"/>
      <c r="C1045369" s="24"/>
      <c r="D1045369" s="24"/>
      <c r="E1045369" s="24"/>
      <c r="F1045369" s="24"/>
      <c r="G1045369" s="24"/>
      <c r="H1045369" s="24"/>
      <c r="I1045369" s="24"/>
      <c r="J1045369" s="24"/>
      <c r="K1045369" s="54"/>
    </row>
    <row r="1045370" spans="1:11" s="55" customFormat="1" ht="12.75">
      <c r="A1045370" s="24"/>
      <c r="B1045370" s="24"/>
      <c r="C1045370" s="24"/>
      <c r="D1045370" s="24"/>
      <c r="E1045370" s="24"/>
      <c r="F1045370" s="24"/>
      <c r="G1045370" s="24"/>
      <c r="H1045370" s="24"/>
      <c r="I1045370" s="24"/>
      <c r="J1045370" s="24"/>
      <c r="K1045370" s="54"/>
    </row>
    <row r="1045371" spans="1:11" s="55" customFormat="1" ht="12.75">
      <c r="A1045371" s="24"/>
      <c r="B1045371" s="24"/>
      <c r="C1045371" s="24"/>
      <c r="D1045371" s="24"/>
      <c r="E1045371" s="24"/>
      <c r="F1045371" s="24"/>
      <c r="G1045371" s="24"/>
      <c r="H1045371" s="24"/>
      <c r="I1045371" s="24"/>
      <c r="J1045371" s="24"/>
      <c r="K1045371" s="54"/>
    </row>
    <row r="1045372" spans="1:11" s="55" customFormat="1" ht="12.75">
      <c r="A1045372" s="24"/>
      <c r="B1045372" s="24"/>
      <c r="C1045372" s="24"/>
      <c r="D1045372" s="24"/>
      <c r="E1045372" s="24"/>
      <c r="F1045372" s="24"/>
      <c r="G1045372" s="24"/>
      <c r="H1045372" s="24"/>
      <c r="I1045372" s="24"/>
      <c r="J1045372" s="24"/>
      <c r="K1045372" s="54"/>
    </row>
    <row r="1045373" spans="1:11" s="55" customFormat="1" ht="12.75">
      <c r="A1045373" s="24"/>
      <c r="B1045373" s="24"/>
      <c r="C1045373" s="24"/>
      <c r="D1045373" s="24"/>
      <c r="E1045373" s="24"/>
      <c r="F1045373" s="24"/>
      <c r="G1045373" s="24"/>
      <c r="H1045373" s="24"/>
      <c r="I1045373" s="24"/>
      <c r="J1045373" s="24"/>
      <c r="K1045373" s="54"/>
    </row>
    <row r="1045374" spans="1:11" s="55" customFormat="1" ht="12.75">
      <c r="A1045374" s="24"/>
      <c r="B1045374" s="24"/>
      <c r="C1045374" s="24"/>
      <c r="D1045374" s="24"/>
      <c r="E1045374" s="24"/>
      <c r="F1045374" s="24"/>
      <c r="G1045374" s="24"/>
      <c r="H1045374" s="24"/>
      <c r="I1045374" s="24"/>
      <c r="J1045374" s="24"/>
      <c r="K1045374" s="54"/>
    </row>
    <row r="1045375" spans="1:11" s="55" customFormat="1" ht="12.75">
      <c r="A1045375" s="24"/>
      <c r="B1045375" s="24"/>
      <c r="C1045375" s="24"/>
      <c r="D1045375" s="24"/>
      <c r="E1045375" s="24"/>
      <c r="F1045375" s="24"/>
      <c r="G1045375" s="24"/>
      <c r="H1045375" s="24"/>
      <c r="I1045375" s="24"/>
      <c r="J1045375" s="24"/>
      <c r="K1045375" s="54"/>
    </row>
    <row r="1045376" spans="1:11" s="55" customFormat="1" ht="12.75">
      <c r="A1045376" s="24"/>
      <c r="B1045376" s="24"/>
      <c r="C1045376" s="24"/>
      <c r="D1045376" s="24"/>
      <c r="E1045376" s="24"/>
      <c r="F1045376" s="24"/>
      <c r="G1045376" s="24"/>
      <c r="H1045376" s="24"/>
      <c r="I1045376" s="24"/>
      <c r="J1045376" s="24"/>
      <c r="K1045376" s="54"/>
    </row>
    <row r="1045377" spans="1:11" s="55" customFormat="1" ht="12.75">
      <c r="A1045377" s="24"/>
      <c r="B1045377" s="24"/>
      <c r="C1045377" s="24"/>
      <c r="D1045377" s="24"/>
      <c r="E1045377" s="24"/>
      <c r="F1045377" s="24"/>
      <c r="G1045377" s="24"/>
      <c r="H1045377" s="24"/>
      <c r="I1045377" s="24"/>
      <c r="J1045377" s="24"/>
      <c r="K1045377" s="54"/>
    </row>
    <row r="1045378" spans="1:11" s="55" customFormat="1" ht="12.75">
      <c r="A1045378" s="24"/>
      <c r="B1045378" s="24"/>
      <c r="C1045378" s="24"/>
      <c r="D1045378" s="24"/>
      <c r="E1045378" s="24"/>
      <c r="F1045378" s="24"/>
      <c r="G1045378" s="24"/>
      <c r="H1045378" s="24"/>
      <c r="I1045378" s="24"/>
      <c r="J1045378" s="24"/>
      <c r="K1045378" s="54"/>
    </row>
    <row r="1045379" spans="1:11" s="55" customFormat="1" ht="12.75">
      <c r="A1045379" s="24"/>
      <c r="B1045379" s="24"/>
      <c r="C1045379" s="24"/>
      <c r="D1045379" s="24"/>
      <c r="E1045379" s="24"/>
      <c r="F1045379" s="24"/>
      <c r="G1045379" s="24"/>
      <c r="H1045379" s="24"/>
      <c r="I1045379" s="24"/>
      <c r="J1045379" s="24"/>
      <c r="K1045379" s="54"/>
    </row>
    <row r="1045380" spans="1:11" s="55" customFormat="1" ht="12.75">
      <c r="A1045380" s="24"/>
      <c r="B1045380" s="24"/>
      <c r="C1045380" s="24"/>
      <c r="D1045380" s="24"/>
      <c r="E1045380" s="24"/>
      <c r="F1045380" s="24"/>
      <c r="G1045380" s="24"/>
      <c r="H1045380" s="24"/>
      <c r="I1045380" s="24"/>
      <c r="J1045380" s="24"/>
      <c r="K1045380" s="54"/>
    </row>
    <row r="1045381" spans="1:11" s="55" customFormat="1" ht="12.75">
      <c r="A1045381" s="24"/>
      <c r="B1045381" s="24"/>
      <c r="C1045381" s="24"/>
      <c r="D1045381" s="24"/>
      <c r="E1045381" s="24"/>
      <c r="F1045381" s="24"/>
      <c r="G1045381" s="24"/>
      <c r="H1045381" s="24"/>
      <c r="I1045381" s="24"/>
      <c r="J1045381" s="24"/>
      <c r="K1045381" s="54"/>
    </row>
    <row r="1045382" spans="1:11" s="55" customFormat="1" ht="12.75">
      <c r="A1045382" s="24"/>
      <c r="B1045382" s="24"/>
      <c r="C1045382" s="24"/>
      <c r="D1045382" s="24"/>
      <c r="E1045382" s="24"/>
      <c r="F1045382" s="24"/>
      <c r="G1045382" s="24"/>
      <c r="H1045382" s="24"/>
      <c r="I1045382" s="24"/>
      <c r="J1045382" s="24"/>
      <c r="K1045382" s="54"/>
    </row>
    <row r="1045383" spans="1:11" s="55" customFormat="1" ht="12.75">
      <c r="A1045383" s="24"/>
      <c r="B1045383" s="24"/>
      <c r="C1045383" s="24"/>
      <c r="D1045383" s="24"/>
      <c r="E1045383" s="24"/>
      <c r="F1045383" s="24"/>
      <c r="G1045383" s="24"/>
      <c r="H1045383" s="24"/>
      <c r="I1045383" s="24"/>
      <c r="J1045383" s="24"/>
      <c r="K1045383" s="54"/>
    </row>
    <row r="1045384" spans="1:11" s="55" customFormat="1" ht="12.75">
      <c r="A1045384" s="24"/>
      <c r="B1045384" s="24"/>
      <c r="C1045384" s="24"/>
      <c r="D1045384" s="24"/>
      <c r="E1045384" s="24"/>
      <c r="F1045384" s="24"/>
      <c r="G1045384" s="24"/>
      <c r="H1045384" s="24"/>
      <c r="I1045384" s="24"/>
      <c r="J1045384" s="24"/>
      <c r="K1045384" s="54"/>
    </row>
    <row r="1045385" spans="1:11" s="55" customFormat="1" ht="12.75">
      <c r="A1045385" s="24"/>
      <c r="B1045385" s="24"/>
      <c r="C1045385" s="24"/>
      <c r="D1045385" s="24"/>
      <c r="E1045385" s="24"/>
      <c r="F1045385" s="24"/>
      <c r="G1045385" s="24"/>
      <c r="H1045385" s="24"/>
      <c r="I1045385" s="24"/>
      <c r="J1045385" s="24"/>
      <c r="K1045385" s="54"/>
    </row>
    <row r="1045386" spans="1:11" s="55" customFormat="1" ht="12.75">
      <c r="A1045386" s="24"/>
      <c r="B1045386" s="24"/>
      <c r="C1045386" s="24"/>
      <c r="D1045386" s="24"/>
      <c r="E1045386" s="24"/>
      <c r="F1045386" s="24"/>
      <c r="G1045386" s="24"/>
      <c r="H1045386" s="24"/>
      <c r="I1045386" s="24"/>
      <c r="J1045386" s="24"/>
      <c r="K1045386" s="54"/>
    </row>
    <row r="1045387" spans="1:11" s="55" customFormat="1" ht="12.75">
      <c r="A1045387" s="24"/>
      <c r="B1045387" s="24"/>
      <c r="C1045387" s="24"/>
      <c r="D1045387" s="24"/>
      <c r="E1045387" s="24"/>
      <c r="F1045387" s="24"/>
      <c r="G1045387" s="24"/>
      <c r="H1045387" s="24"/>
      <c r="I1045387" s="24"/>
      <c r="J1045387" s="24"/>
      <c r="K1045387" s="54"/>
    </row>
    <row r="1045388" spans="1:11" s="55" customFormat="1" ht="12.75">
      <c r="A1045388" s="24"/>
      <c r="B1045388" s="24"/>
      <c r="C1045388" s="24"/>
      <c r="D1045388" s="24"/>
      <c r="E1045388" s="24"/>
      <c r="F1045388" s="24"/>
      <c r="G1045388" s="24"/>
      <c r="H1045388" s="24"/>
      <c r="I1045388" s="24"/>
      <c r="J1045388" s="24"/>
      <c r="K1045388" s="54"/>
    </row>
    <row r="1045389" spans="1:11" s="55" customFormat="1" ht="12.75">
      <c r="A1045389" s="24"/>
      <c r="B1045389" s="24"/>
      <c r="C1045389" s="24"/>
      <c r="D1045389" s="24"/>
      <c r="E1045389" s="24"/>
      <c r="F1045389" s="24"/>
      <c r="G1045389" s="24"/>
      <c r="H1045389" s="24"/>
      <c r="I1045389" s="24"/>
      <c r="J1045389" s="24"/>
      <c r="K1045389" s="54"/>
    </row>
    <row r="1045390" spans="1:11" s="55" customFormat="1" ht="12.75">
      <c r="A1045390" s="24"/>
      <c r="B1045390" s="24"/>
      <c r="C1045390" s="24"/>
      <c r="D1045390" s="24"/>
      <c r="E1045390" s="24"/>
      <c r="F1045390" s="24"/>
      <c r="G1045390" s="24"/>
      <c r="H1045390" s="24"/>
      <c r="I1045390" s="24"/>
      <c r="J1045390" s="24"/>
      <c r="K1045390" s="54"/>
    </row>
    <row r="1045391" spans="1:11" s="55" customFormat="1" ht="12.75">
      <c r="A1045391" s="24"/>
      <c r="B1045391" s="24"/>
      <c r="C1045391" s="24"/>
      <c r="D1045391" s="24"/>
      <c r="E1045391" s="24"/>
      <c r="F1045391" s="24"/>
      <c r="G1045391" s="24"/>
      <c r="H1045391" s="24"/>
      <c r="I1045391" s="24"/>
      <c r="J1045391" s="24"/>
      <c r="K1045391" s="54"/>
    </row>
    <row r="1045392" spans="1:11" s="55" customFormat="1" ht="12.75">
      <c r="A1045392" s="24"/>
      <c r="B1045392" s="24"/>
      <c r="C1045392" s="24"/>
      <c r="D1045392" s="24"/>
      <c r="E1045392" s="24"/>
      <c r="F1045392" s="24"/>
      <c r="G1045392" s="24"/>
      <c r="H1045392" s="24"/>
      <c r="I1045392" s="24"/>
      <c r="J1045392" s="24"/>
      <c r="K1045392" s="54"/>
    </row>
    <row r="1045393" spans="1:11" s="55" customFormat="1" ht="12.75">
      <c r="A1045393" s="24"/>
      <c r="B1045393" s="24"/>
      <c r="C1045393" s="24"/>
      <c r="D1045393" s="24"/>
      <c r="E1045393" s="24"/>
      <c r="F1045393" s="24"/>
      <c r="G1045393" s="24"/>
      <c r="H1045393" s="24"/>
      <c r="I1045393" s="24"/>
      <c r="J1045393" s="24"/>
      <c r="K1045393" s="54"/>
    </row>
    <row r="1045394" spans="1:11" s="55" customFormat="1" ht="12.75">
      <c r="A1045394" s="24"/>
      <c r="B1045394" s="24"/>
      <c r="C1045394" s="24"/>
      <c r="D1045394" s="24"/>
      <c r="E1045394" s="24"/>
      <c r="F1045394" s="24"/>
      <c r="G1045394" s="24"/>
      <c r="H1045394" s="24"/>
      <c r="I1045394" s="24"/>
      <c r="J1045394" s="24"/>
      <c r="K1045394" s="54"/>
    </row>
    <row r="1045395" spans="1:11" s="55" customFormat="1" ht="12.75">
      <c r="A1045395" s="24"/>
      <c r="B1045395" s="24"/>
      <c r="C1045395" s="24"/>
      <c r="D1045395" s="24"/>
      <c r="E1045395" s="24"/>
      <c r="F1045395" s="24"/>
      <c r="G1045395" s="24"/>
      <c r="H1045395" s="24"/>
      <c r="I1045395" s="24"/>
      <c r="J1045395" s="24"/>
      <c r="K1045395" s="54"/>
    </row>
    <row r="1045396" spans="1:11" s="55" customFormat="1" ht="12.75">
      <c r="A1045396" s="24"/>
      <c r="B1045396" s="24"/>
      <c r="C1045396" s="24"/>
      <c r="D1045396" s="24"/>
      <c r="E1045396" s="24"/>
      <c r="F1045396" s="24"/>
      <c r="G1045396" s="24"/>
      <c r="H1045396" s="24"/>
      <c r="I1045396" s="24"/>
      <c r="J1045396" s="24"/>
      <c r="K1045396" s="54"/>
    </row>
    <row r="1045397" spans="1:11" s="55" customFormat="1" ht="12.75">
      <c r="A1045397" s="24"/>
      <c r="B1045397" s="24"/>
      <c r="C1045397" s="24"/>
      <c r="D1045397" s="24"/>
      <c r="E1045397" s="24"/>
      <c r="F1045397" s="24"/>
      <c r="G1045397" s="24"/>
      <c r="H1045397" s="24"/>
      <c r="I1045397" s="24"/>
      <c r="J1045397" s="24"/>
      <c r="K1045397" s="54"/>
    </row>
    <row r="1045398" spans="1:11" s="55" customFormat="1" ht="12.75">
      <c r="A1045398" s="24"/>
      <c r="B1045398" s="24"/>
      <c r="C1045398" s="24"/>
      <c r="D1045398" s="24"/>
      <c r="E1045398" s="24"/>
      <c r="F1045398" s="24"/>
      <c r="G1045398" s="24"/>
      <c r="H1045398" s="24"/>
      <c r="I1045398" s="24"/>
      <c r="J1045398" s="24"/>
      <c r="K1045398" s="54"/>
    </row>
    <row r="1045399" spans="1:11" s="55" customFormat="1" ht="12.75">
      <c r="A1045399" s="24"/>
      <c r="B1045399" s="24"/>
      <c r="C1045399" s="24"/>
      <c r="D1045399" s="24"/>
      <c r="E1045399" s="24"/>
      <c r="F1045399" s="24"/>
      <c r="G1045399" s="24"/>
      <c r="H1045399" s="24"/>
      <c r="I1045399" s="24"/>
      <c r="J1045399" s="24"/>
      <c r="K1045399" s="54"/>
    </row>
    <row r="1045400" spans="1:11" s="55" customFormat="1" ht="12.75">
      <c r="A1045400" s="24"/>
      <c r="B1045400" s="24"/>
      <c r="C1045400" s="24"/>
      <c r="D1045400" s="24"/>
      <c r="E1045400" s="24"/>
      <c r="F1045400" s="24"/>
      <c r="G1045400" s="24"/>
      <c r="H1045400" s="24"/>
      <c r="I1045400" s="24"/>
      <c r="J1045400" s="24"/>
      <c r="K1045400" s="54"/>
    </row>
    <row r="1045401" spans="1:11" s="55" customFormat="1" ht="12.75">
      <c r="A1045401" s="24"/>
      <c r="B1045401" s="24"/>
      <c r="C1045401" s="24"/>
      <c r="D1045401" s="24"/>
      <c r="E1045401" s="24"/>
      <c r="F1045401" s="24"/>
      <c r="G1045401" s="24"/>
      <c r="H1045401" s="24"/>
      <c r="I1045401" s="24"/>
      <c r="J1045401" s="24"/>
      <c r="K1045401" s="54"/>
    </row>
    <row r="1045402" spans="1:11" s="55" customFormat="1" ht="12.75">
      <c r="A1045402" s="24"/>
      <c r="B1045402" s="24"/>
      <c r="C1045402" s="24"/>
      <c r="D1045402" s="24"/>
      <c r="E1045402" s="24"/>
      <c r="F1045402" s="24"/>
      <c r="G1045402" s="24"/>
      <c r="H1045402" s="24"/>
      <c r="I1045402" s="24"/>
      <c r="J1045402" s="24"/>
      <c r="K1045402" s="54"/>
    </row>
    <row r="1045403" spans="1:11" s="55" customFormat="1" ht="12.75">
      <c r="A1045403" s="24"/>
      <c r="B1045403" s="24"/>
      <c r="C1045403" s="24"/>
      <c r="D1045403" s="24"/>
      <c r="E1045403" s="24"/>
      <c r="F1045403" s="24"/>
      <c r="G1045403" s="24"/>
      <c r="H1045403" s="24"/>
      <c r="I1045403" s="24"/>
      <c r="J1045403" s="24"/>
      <c r="K1045403" s="54"/>
    </row>
    <row r="1045404" spans="1:11" s="55" customFormat="1" ht="12.75">
      <c r="A1045404" s="24"/>
      <c r="B1045404" s="24"/>
      <c r="C1045404" s="24"/>
      <c r="D1045404" s="24"/>
      <c r="E1045404" s="24"/>
      <c r="F1045404" s="24"/>
      <c r="G1045404" s="24"/>
      <c r="H1045404" s="24"/>
      <c r="I1045404" s="24"/>
      <c r="J1045404" s="24"/>
      <c r="K1045404" s="54"/>
    </row>
    <row r="1045405" spans="1:11" s="55" customFormat="1" ht="12.75">
      <c r="A1045405" s="24"/>
      <c r="B1045405" s="24"/>
      <c r="C1045405" s="24"/>
      <c r="D1045405" s="24"/>
      <c r="E1045405" s="24"/>
      <c r="F1045405" s="24"/>
      <c r="G1045405" s="24"/>
      <c r="H1045405" s="24"/>
      <c r="I1045405" s="24"/>
      <c r="J1045405" s="24"/>
      <c r="K1045405" s="54"/>
    </row>
    <row r="1045406" spans="1:11" s="55" customFormat="1" ht="12.75">
      <c r="A1045406" s="24"/>
      <c r="B1045406" s="24"/>
      <c r="C1045406" s="24"/>
      <c r="D1045406" s="24"/>
      <c r="E1045406" s="24"/>
      <c r="F1045406" s="24"/>
      <c r="G1045406" s="24"/>
      <c r="H1045406" s="24"/>
      <c r="I1045406" s="24"/>
      <c r="J1045406" s="24"/>
      <c r="K1045406" s="54"/>
    </row>
    <row r="1045407" spans="1:11" s="55" customFormat="1" ht="12.75">
      <c r="A1045407" s="24"/>
      <c r="B1045407" s="24"/>
      <c r="C1045407" s="24"/>
      <c r="D1045407" s="24"/>
      <c r="E1045407" s="24"/>
      <c r="F1045407" s="24"/>
      <c r="G1045407" s="24"/>
      <c r="H1045407" s="24"/>
      <c r="I1045407" s="24"/>
      <c r="J1045407" s="24"/>
      <c r="K1045407" s="54"/>
    </row>
    <row r="1045408" spans="1:11" s="55" customFormat="1" ht="12.75">
      <c r="A1045408" s="24"/>
      <c r="B1045408" s="24"/>
      <c r="C1045408" s="24"/>
      <c r="D1045408" s="24"/>
      <c r="E1045408" s="24"/>
      <c r="F1045408" s="24"/>
      <c r="G1045408" s="24"/>
      <c r="H1045408" s="24"/>
      <c r="I1045408" s="24"/>
      <c r="J1045408" s="24"/>
      <c r="K1045408" s="54"/>
    </row>
    <row r="1045409" spans="1:11" s="55" customFormat="1" ht="12.75">
      <c r="A1045409" s="24"/>
      <c r="B1045409" s="24"/>
      <c r="C1045409" s="24"/>
      <c r="D1045409" s="24"/>
      <c r="E1045409" s="24"/>
      <c r="F1045409" s="24"/>
      <c r="G1045409" s="24"/>
      <c r="H1045409" s="24"/>
      <c r="I1045409" s="24"/>
      <c r="J1045409" s="24"/>
      <c r="K1045409" s="54"/>
    </row>
    <row r="1045410" spans="1:11" s="55" customFormat="1" ht="12.75">
      <c r="A1045410" s="24"/>
      <c r="B1045410" s="24"/>
      <c r="C1045410" s="24"/>
      <c r="D1045410" s="24"/>
      <c r="E1045410" s="24"/>
      <c r="F1045410" s="24"/>
      <c r="G1045410" s="24"/>
      <c r="H1045410" s="24"/>
      <c r="I1045410" s="24"/>
      <c r="J1045410" s="24"/>
      <c r="K1045410" s="54"/>
    </row>
    <row r="1045411" spans="1:11" s="55" customFormat="1" ht="12.75">
      <c r="A1045411" s="24"/>
      <c r="B1045411" s="24"/>
      <c r="C1045411" s="24"/>
      <c r="D1045411" s="24"/>
      <c r="E1045411" s="24"/>
      <c r="F1045411" s="24"/>
      <c r="G1045411" s="24"/>
      <c r="H1045411" s="24"/>
      <c r="I1045411" s="24"/>
      <c r="J1045411" s="24"/>
      <c r="K1045411" s="54"/>
    </row>
    <row r="1045412" spans="1:11" s="55" customFormat="1" ht="12.75">
      <c r="A1045412" s="24"/>
      <c r="B1045412" s="24"/>
      <c r="C1045412" s="24"/>
      <c r="D1045412" s="24"/>
      <c r="E1045412" s="24"/>
      <c r="F1045412" s="24"/>
      <c r="G1045412" s="24"/>
      <c r="H1045412" s="24"/>
      <c r="I1045412" s="24"/>
      <c r="J1045412" s="24"/>
      <c r="K1045412" s="54"/>
    </row>
    <row r="1045413" spans="1:11" s="55" customFormat="1" ht="12.75">
      <c r="A1045413" s="24"/>
      <c r="B1045413" s="24"/>
      <c r="C1045413" s="24"/>
      <c r="D1045413" s="24"/>
      <c r="E1045413" s="24"/>
      <c r="F1045413" s="24"/>
      <c r="G1045413" s="24"/>
      <c r="H1045413" s="24"/>
      <c r="I1045413" s="24"/>
      <c r="J1045413" s="24"/>
      <c r="K1045413" s="54"/>
    </row>
    <row r="1045414" spans="1:11" s="55" customFormat="1" ht="12.75">
      <c r="A1045414" s="24"/>
      <c r="B1045414" s="24"/>
      <c r="C1045414" s="24"/>
      <c r="D1045414" s="24"/>
      <c r="E1045414" s="24"/>
      <c r="F1045414" s="24"/>
      <c r="G1045414" s="24"/>
      <c r="H1045414" s="24"/>
      <c r="I1045414" s="24"/>
      <c r="J1045414" s="24"/>
      <c r="K1045414" s="54"/>
    </row>
    <row r="1045415" spans="1:11" s="55" customFormat="1" ht="12.75">
      <c r="A1045415" s="24"/>
      <c r="B1045415" s="24"/>
      <c r="C1045415" s="24"/>
      <c r="D1045415" s="24"/>
      <c r="E1045415" s="24"/>
      <c r="F1045415" s="24"/>
      <c r="G1045415" s="24"/>
      <c r="H1045415" s="24"/>
      <c r="I1045415" s="24"/>
      <c r="J1045415" s="24"/>
      <c r="K1045415" s="54"/>
    </row>
    <row r="1045416" spans="1:11" s="55" customFormat="1" ht="12.75">
      <c r="A1045416" s="24"/>
      <c r="B1045416" s="24"/>
      <c r="C1045416" s="24"/>
      <c r="D1045416" s="24"/>
      <c r="E1045416" s="24"/>
      <c r="F1045416" s="24"/>
      <c r="G1045416" s="24"/>
      <c r="H1045416" s="24"/>
      <c r="I1045416" s="24"/>
      <c r="J1045416" s="24"/>
      <c r="K1045416" s="54"/>
    </row>
    <row r="1045417" spans="1:11" s="55" customFormat="1" ht="12.75">
      <c r="A1045417" s="24"/>
      <c r="B1045417" s="24"/>
      <c r="C1045417" s="24"/>
      <c r="D1045417" s="24"/>
      <c r="E1045417" s="24"/>
      <c r="F1045417" s="24"/>
      <c r="G1045417" s="24"/>
      <c r="H1045417" s="24"/>
      <c r="I1045417" s="24"/>
      <c r="J1045417" s="24"/>
      <c r="K1045417" s="54"/>
    </row>
    <row r="1045418" spans="1:11" s="55" customFormat="1" ht="12.75">
      <c r="A1045418" s="24"/>
      <c r="B1045418" s="24"/>
      <c r="C1045418" s="24"/>
      <c r="D1045418" s="24"/>
      <c r="E1045418" s="24"/>
      <c r="F1045418" s="24"/>
      <c r="G1045418" s="24"/>
      <c r="H1045418" s="24"/>
      <c r="I1045418" s="24"/>
      <c r="J1045418" s="24"/>
      <c r="K1045418" s="54"/>
    </row>
    <row r="1045419" spans="1:11" s="55" customFormat="1" ht="12.75">
      <c r="A1045419" s="24"/>
      <c r="B1045419" s="24"/>
      <c r="C1045419" s="24"/>
      <c r="D1045419" s="24"/>
      <c r="E1045419" s="24"/>
      <c r="F1045419" s="24"/>
      <c r="G1045419" s="24"/>
      <c r="H1045419" s="24"/>
      <c r="I1045419" s="24"/>
      <c r="J1045419" s="24"/>
      <c r="K1045419" s="54"/>
    </row>
    <row r="1045420" spans="1:11" s="55" customFormat="1" ht="12.75">
      <c r="A1045420" s="24"/>
      <c r="B1045420" s="24"/>
      <c r="C1045420" s="24"/>
      <c r="D1045420" s="24"/>
      <c r="E1045420" s="24"/>
      <c r="F1045420" s="24"/>
      <c r="G1045420" s="24"/>
      <c r="H1045420" s="24"/>
      <c r="I1045420" s="24"/>
      <c r="J1045420" s="24"/>
      <c r="K1045420" s="54"/>
    </row>
    <row r="1045421" spans="1:11" s="55" customFormat="1" ht="12.75">
      <c r="A1045421" s="24"/>
      <c r="B1045421" s="24"/>
      <c r="C1045421" s="24"/>
      <c r="D1045421" s="24"/>
      <c r="E1045421" s="24"/>
      <c r="F1045421" s="24"/>
      <c r="G1045421" s="24"/>
      <c r="H1045421" s="24"/>
      <c r="I1045421" s="24"/>
      <c r="J1045421" s="24"/>
      <c r="K1045421" s="54"/>
    </row>
    <row r="1045422" spans="1:11" s="55" customFormat="1" ht="12.75">
      <c r="A1045422" s="24"/>
      <c r="B1045422" s="24"/>
      <c r="C1045422" s="24"/>
      <c r="D1045422" s="24"/>
      <c r="E1045422" s="24"/>
      <c r="F1045422" s="24"/>
      <c r="G1045422" s="24"/>
      <c r="H1045422" s="24"/>
      <c r="I1045422" s="24"/>
      <c r="J1045422" s="24"/>
      <c r="K1045422" s="54"/>
    </row>
    <row r="1045423" spans="1:11" s="55" customFormat="1" ht="12.75">
      <c r="A1045423" s="24"/>
      <c r="B1045423" s="24"/>
      <c r="C1045423" s="24"/>
      <c r="D1045423" s="24"/>
      <c r="E1045423" s="24"/>
      <c r="F1045423" s="24"/>
      <c r="G1045423" s="24"/>
      <c r="H1045423" s="24"/>
      <c r="I1045423" s="24"/>
      <c r="J1045423" s="24"/>
      <c r="K1045423" s="54"/>
    </row>
    <row r="1045424" spans="1:11" s="55" customFormat="1" ht="12.75">
      <c r="A1045424" s="24"/>
      <c r="B1045424" s="24"/>
      <c r="C1045424" s="24"/>
      <c r="D1045424" s="24"/>
      <c r="E1045424" s="24"/>
      <c r="F1045424" s="24"/>
      <c r="G1045424" s="24"/>
      <c r="H1045424" s="24"/>
      <c r="I1045424" s="24"/>
      <c r="J1045424" s="24"/>
      <c r="K1045424" s="54"/>
    </row>
    <row r="1045425" spans="1:11" s="55" customFormat="1" ht="12.75">
      <c r="A1045425" s="24"/>
      <c r="B1045425" s="24"/>
      <c r="C1045425" s="24"/>
      <c r="D1045425" s="24"/>
      <c r="E1045425" s="24"/>
      <c r="F1045425" s="24"/>
      <c r="G1045425" s="24"/>
      <c r="H1045425" s="24"/>
      <c r="I1045425" s="24"/>
      <c r="J1045425" s="24"/>
      <c r="K1045425" s="54"/>
    </row>
    <row r="1045426" spans="1:11" s="55" customFormat="1" ht="12.75">
      <c r="A1045426" s="24"/>
      <c r="B1045426" s="24"/>
      <c r="C1045426" s="24"/>
      <c r="D1045426" s="24"/>
      <c r="E1045426" s="24"/>
      <c r="F1045426" s="24"/>
      <c r="G1045426" s="24"/>
      <c r="H1045426" s="24"/>
      <c r="I1045426" s="24"/>
      <c r="J1045426" s="24"/>
      <c r="K1045426" s="54"/>
    </row>
    <row r="1045427" spans="1:11" s="55" customFormat="1" ht="12.75">
      <c r="A1045427" s="24"/>
      <c r="B1045427" s="24"/>
      <c r="C1045427" s="24"/>
      <c r="D1045427" s="24"/>
      <c r="E1045427" s="24"/>
      <c r="F1045427" s="24"/>
      <c r="G1045427" s="24"/>
      <c r="H1045427" s="24"/>
      <c r="I1045427" s="24"/>
      <c r="J1045427" s="24"/>
      <c r="K1045427" s="54"/>
    </row>
    <row r="1045428" spans="1:11" s="55" customFormat="1" ht="12.75">
      <c r="A1045428" s="24"/>
      <c r="B1045428" s="24"/>
      <c r="C1045428" s="24"/>
      <c r="D1045428" s="24"/>
      <c r="E1045428" s="24"/>
      <c r="F1045428" s="24"/>
      <c r="G1045428" s="24"/>
      <c r="H1045428" s="24"/>
      <c r="I1045428" s="24"/>
      <c r="J1045428" s="24"/>
      <c r="K1045428" s="54"/>
    </row>
    <row r="1045429" spans="1:11" s="55" customFormat="1" ht="12.75">
      <c r="A1045429" s="24"/>
      <c r="B1045429" s="24"/>
      <c r="C1045429" s="24"/>
      <c r="D1045429" s="24"/>
      <c r="E1045429" s="24"/>
      <c r="F1045429" s="24"/>
      <c r="G1045429" s="24"/>
      <c r="H1045429" s="24"/>
      <c r="I1045429" s="24"/>
      <c r="J1045429" s="24"/>
      <c r="K1045429" s="54"/>
    </row>
    <row r="1045430" spans="1:11" s="55" customFormat="1" ht="12.75">
      <c r="A1045430" s="24"/>
      <c r="B1045430" s="24"/>
      <c r="C1045430" s="24"/>
      <c r="D1045430" s="24"/>
      <c r="E1045430" s="24"/>
      <c r="F1045430" s="24"/>
      <c r="G1045430" s="24"/>
      <c r="H1045430" s="24"/>
      <c r="I1045430" s="24"/>
      <c r="J1045430" s="24"/>
      <c r="K1045430" s="54"/>
    </row>
    <row r="1045431" spans="1:11" s="55" customFormat="1" ht="12.75">
      <c r="A1045431" s="24"/>
      <c r="B1045431" s="24"/>
      <c r="C1045431" s="24"/>
      <c r="D1045431" s="24"/>
      <c r="E1045431" s="24"/>
      <c r="F1045431" s="24"/>
      <c r="G1045431" s="24"/>
      <c r="H1045431" s="24"/>
      <c r="I1045431" s="24"/>
      <c r="J1045431" s="24"/>
      <c r="K1045431" s="54"/>
    </row>
    <row r="1045432" spans="1:11" s="55" customFormat="1" ht="12.75">
      <c r="A1045432" s="24"/>
      <c r="B1045432" s="24"/>
      <c r="C1045432" s="24"/>
      <c r="D1045432" s="24"/>
      <c r="E1045432" s="24"/>
      <c r="F1045432" s="24"/>
      <c r="G1045432" s="24"/>
      <c r="H1045432" s="24"/>
      <c r="I1045432" s="24"/>
      <c r="J1045432" s="24"/>
      <c r="K1045432" s="54"/>
    </row>
    <row r="1045433" spans="1:11" s="55" customFormat="1" ht="12.75">
      <c r="A1045433" s="24"/>
      <c r="B1045433" s="24"/>
      <c r="C1045433" s="24"/>
      <c r="D1045433" s="24"/>
      <c r="E1045433" s="24"/>
      <c r="F1045433" s="24"/>
      <c r="G1045433" s="24"/>
      <c r="H1045433" s="24"/>
      <c r="I1045433" s="24"/>
      <c r="J1045433" s="24"/>
      <c r="K1045433" s="54"/>
    </row>
    <row r="1045434" spans="1:11" s="55" customFormat="1" ht="12.75">
      <c r="A1045434" s="24"/>
      <c r="B1045434" s="24"/>
      <c r="C1045434" s="24"/>
      <c r="D1045434" s="24"/>
      <c r="E1045434" s="24"/>
      <c r="F1045434" s="24"/>
      <c r="G1045434" s="24"/>
      <c r="H1045434" s="24"/>
      <c r="I1045434" s="24"/>
      <c r="J1045434" s="24"/>
      <c r="K1045434" s="54"/>
    </row>
    <row r="1045435" spans="1:11" s="55" customFormat="1" ht="12.75">
      <c r="A1045435" s="24"/>
      <c r="B1045435" s="24"/>
      <c r="C1045435" s="24"/>
      <c r="D1045435" s="24"/>
      <c r="E1045435" s="24"/>
      <c r="F1045435" s="24"/>
      <c r="G1045435" s="24"/>
      <c r="H1045435" s="24"/>
      <c r="I1045435" s="24"/>
      <c r="J1045435" s="24"/>
      <c r="K1045435" s="54"/>
    </row>
    <row r="1045436" spans="1:11" s="55" customFormat="1" ht="12.75">
      <c r="A1045436" s="24"/>
      <c r="B1045436" s="24"/>
      <c r="C1045436" s="24"/>
      <c r="D1045436" s="24"/>
      <c r="E1045436" s="24"/>
      <c r="F1045436" s="24"/>
      <c r="G1045436" s="24"/>
      <c r="H1045436" s="24"/>
      <c r="I1045436" s="24"/>
      <c r="J1045436" s="24"/>
      <c r="K1045436" s="54"/>
    </row>
    <row r="1045437" spans="1:11" s="55" customFormat="1" ht="12.75">
      <c r="A1045437" s="24"/>
      <c r="B1045437" s="24"/>
      <c r="C1045437" s="24"/>
      <c r="D1045437" s="24"/>
      <c r="E1045437" s="24"/>
      <c r="F1045437" s="24"/>
      <c r="G1045437" s="24"/>
      <c r="H1045437" s="24"/>
      <c r="I1045437" s="24"/>
      <c r="J1045437" s="24"/>
      <c r="K1045437" s="54"/>
    </row>
    <row r="1045438" spans="1:11" s="55" customFormat="1" ht="12.75">
      <c r="A1045438" s="24"/>
      <c r="B1045438" s="24"/>
      <c r="C1045438" s="24"/>
      <c r="D1045438" s="24"/>
      <c r="E1045438" s="24"/>
      <c r="F1045438" s="24"/>
      <c r="G1045438" s="24"/>
      <c r="H1045438" s="24"/>
      <c r="I1045438" s="24"/>
      <c r="J1045438" s="24"/>
      <c r="K1045438" s="54"/>
    </row>
    <row r="1045439" spans="1:11" s="55" customFormat="1" ht="12.75">
      <c r="A1045439" s="24"/>
      <c r="B1045439" s="24"/>
      <c r="C1045439" s="24"/>
      <c r="D1045439" s="24"/>
      <c r="E1045439" s="24"/>
      <c r="F1045439" s="24"/>
      <c r="G1045439" s="24"/>
      <c r="H1045439" s="24"/>
      <c r="I1045439" s="24"/>
      <c r="J1045439" s="24"/>
      <c r="K1045439" s="54"/>
    </row>
    <row r="1045440" spans="1:11" s="55" customFormat="1" ht="12.75">
      <c r="A1045440" s="24"/>
      <c r="B1045440" s="24"/>
      <c r="C1045440" s="24"/>
      <c r="D1045440" s="24"/>
      <c r="E1045440" s="24"/>
      <c r="F1045440" s="24"/>
      <c r="G1045440" s="24"/>
      <c r="H1045440" s="24"/>
      <c r="I1045440" s="24"/>
      <c r="J1045440" s="24"/>
      <c r="K1045440" s="54"/>
    </row>
    <row r="1045441" spans="1:11" s="55" customFormat="1" ht="12.75">
      <c r="A1045441" s="24"/>
      <c r="B1045441" s="24"/>
      <c r="C1045441" s="24"/>
      <c r="D1045441" s="24"/>
      <c r="E1045441" s="24"/>
      <c r="F1045441" s="24"/>
      <c r="G1045441" s="24"/>
      <c r="H1045441" s="24"/>
      <c r="I1045441" s="24"/>
      <c r="J1045441" s="24"/>
      <c r="K1045441" s="54"/>
    </row>
    <row r="1045442" spans="1:11" s="55" customFormat="1" ht="12.75">
      <c r="A1045442" s="24"/>
      <c r="B1045442" s="24"/>
      <c r="C1045442" s="24"/>
      <c r="D1045442" s="24"/>
      <c r="E1045442" s="24"/>
      <c r="F1045442" s="24"/>
      <c r="G1045442" s="24"/>
      <c r="H1045442" s="24"/>
      <c r="I1045442" s="24"/>
      <c r="J1045442" s="24"/>
      <c r="K1045442" s="54"/>
    </row>
    <row r="1045443" spans="1:11" s="55" customFormat="1" ht="12.75">
      <c r="A1045443" s="24"/>
      <c r="B1045443" s="24"/>
      <c r="C1045443" s="24"/>
      <c r="D1045443" s="24"/>
      <c r="E1045443" s="24"/>
      <c r="F1045443" s="24"/>
      <c r="G1045443" s="24"/>
      <c r="H1045443" s="24"/>
      <c r="I1045443" s="24"/>
      <c r="J1045443" s="24"/>
      <c r="K1045443" s="54"/>
    </row>
    <row r="1045444" spans="1:11" s="55" customFormat="1" ht="12.75">
      <c r="A1045444" s="24"/>
      <c r="B1045444" s="24"/>
      <c r="C1045444" s="24"/>
      <c r="D1045444" s="24"/>
      <c r="E1045444" s="24"/>
      <c r="F1045444" s="24"/>
      <c r="G1045444" s="24"/>
      <c r="H1045444" s="24"/>
      <c r="I1045444" s="24"/>
      <c r="J1045444" s="24"/>
      <c r="K1045444" s="54"/>
    </row>
    <row r="1045445" spans="1:11" s="55" customFormat="1" ht="12.75">
      <c r="A1045445" s="24"/>
      <c r="B1045445" s="24"/>
      <c r="C1045445" s="24"/>
      <c r="D1045445" s="24"/>
      <c r="E1045445" s="24"/>
      <c r="F1045445" s="24"/>
      <c r="G1045445" s="24"/>
      <c r="H1045445" s="24"/>
      <c r="I1045445" s="24"/>
      <c r="J1045445" s="24"/>
      <c r="K1045445" s="54"/>
    </row>
    <row r="1045446" spans="1:11" s="55" customFormat="1" ht="12.75">
      <c r="A1045446" s="24"/>
      <c r="B1045446" s="24"/>
      <c r="C1045446" s="24"/>
      <c r="D1045446" s="24"/>
      <c r="E1045446" s="24"/>
      <c r="F1045446" s="24"/>
      <c r="G1045446" s="24"/>
      <c r="H1045446" s="24"/>
      <c r="I1045446" s="24"/>
      <c r="J1045446" s="24"/>
      <c r="K1045446" s="54"/>
    </row>
    <row r="1045447" spans="1:11" s="55" customFormat="1" ht="12.75">
      <c r="A1045447" s="24"/>
      <c r="B1045447" s="24"/>
      <c r="C1045447" s="24"/>
      <c r="D1045447" s="24"/>
      <c r="E1045447" s="24"/>
      <c r="F1045447" s="24"/>
      <c r="G1045447" s="24"/>
      <c r="H1045447" s="24"/>
      <c r="I1045447" s="24"/>
      <c r="J1045447" s="24"/>
      <c r="K1045447" s="54"/>
    </row>
    <row r="1045448" spans="1:11" s="55" customFormat="1" ht="12.75">
      <c r="A1045448" s="24"/>
      <c r="B1045448" s="24"/>
      <c r="C1045448" s="24"/>
      <c r="D1045448" s="24"/>
      <c r="E1045448" s="24"/>
      <c r="F1045448" s="24"/>
      <c r="G1045448" s="24"/>
      <c r="H1045448" s="24"/>
      <c r="I1045448" s="24"/>
      <c r="J1045448" s="24"/>
      <c r="K1045448" s="54"/>
    </row>
    <row r="1045449" spans="1:11" s="55" customFormat="1" ht="12.75">
      <c r="A1045449" s="24"/>
      <c r="B1045449" s="24"/>
      <c r="C1045449" s="24"/>
      <c r="D1045449" s="24"/>
      <c r="E1045449" s="24"/>
      <c r="F1045449" s="24"/>
      <c r="G1045449" s="24"/>
      <c r="H1045449" s="24"/>
      <c r="I1045449" s="24"/>
      <c r="J1045449" s="24"/>
      <c r="K1045449" s="54"/>
    </row>
    <row r="1045450" spans="1:11" s="55" customFormat="1" ht="12.75">
      <c r="A1045450" s="24"/>
      <c r="B1045450" s="24"/>
      <c r="C1045450" s="24"/>
      <c r="D1045450" s="24"/>
      <c r="E1045450" s="24"/>
      <c r="F1045450" s="24"/>
      <c r="G1045450" s="24"/>
      <c r="H1045450" s="24"/>
      <c r="I1045450" s="24"/>
      <c r="J1045450" s="24"/>
      <c r="K1045450" s="54"/>
    </row>
    <row r="1045451" spans="1:11" s="55" customFormat="1" ht="12.75">
      <c r="A1045451" s="24"/>
      <c r="B1045451" s="24"/>
      <c r="C1045451" s="24"/>
      <c r="D1045451" s="24"/>
      <c r="E1045451" s="24"/>
      <c r="F1045451" s="24"/>
      <c r="G1045451" s="24"/>
      <c r="H1045451" s="24"/>
      <c r="I1045451" s="24"/>
      <c r="J1045451" s="24"/>
      <c r="K1045451" s="54"/>
    </row>
    <row r="1045452" spans="1:11" s="55" customFormat="1" ht="12.75">
      <c r="A1045452" s="24"/>
      <c r="B1045452" s="24"/>
      <c r="C1045452" s="24"/>
      <c r="D1045452" s="24"/>
      <c r="E1045452" s="24"/>
      <c r="F1045452" s="24"/>
      <c r="G1045452" s="24"/>
      <c r="H1045452" s="24"/>
      <c r="I1045452" s="24"/>
      <c r="J1045452" s="24"/>
      <c r="K1045452" s="54"/>
    </row>
    <row r="1045453" spans="1:11" s="55" customFormat="1" ht="12.75">
      <c r="A1045453" s="24"/>
      <c r="B1045453" s="24"/>
      <c r="C1045453" s="24"/>
      <c r="D1045453" s="24"/>
      <c r="E1045453" s="24"/>
      <c r="F1045453" s="24"/>
      <c r="G1045453" s="24"/>
      <c r="H1045453" s="24"/>
      <c r="I1045453" s="24"/>
      <c r="J1045453" s="24"/>
      <c r="K1045453" s="54"/>
    </row>
    <row r="1045454" spans="1:11" s="55" customFormat="1" ht="12.75">
      <c r="A1045454" s="24"/>
      <c r="B1045454" s="24"/>
      <c r="C1045454" s="24"/>
      <c r="D1045454" s="24"/>
      <c r="E1045454" s="24"/>
      <c r="F1045454" s="24"/>
      <c r="G1045454" s="24"/>
      <c r="H1045454" s="24"/>
      <c r="I1045454" s="24"/>
      <c r="J1045454" s="24"/>
      <c r="K1045454" s="54"/>
    </row>
    <row r="1045455" spans="1:11" s="55" customFormat="1" ht="12.75">
      <c r="A1045455" s="24"/>
      <c r="B1045455" s="24"/>
      <c r="C1045455" s="24"/>
      <c r="D1045455" s="24"/>
      <c r="E1045455" s="24"/>
      <c r="F1045455" s="24"/>
      <c r="G1045455" s="24"/>
      <c r="H1045455" s="24"/>
      <c r="I1045455" s="24"/>
      <c r="J1045455" s="24"/>
      <c r="K1045455" s="54"/>
    </row>
    <row r="1045456" spans="1:11" s="55" customFormat="1" ht="12.75">
      <c r="A1045456" s="24"/>
      <c r="B1045456" s="24"/>
      <c r="C1045456" s="24"/>
      <c r="D1045456" s="24"/>
      <c r="E1045456" s="24"/>
      <c r="F1045456" s="24"/>
      <c r="G1045456" s="24"/>
      <c r="H1045456" s="24"/>
      <c r="I1045456" s="24"/>
      <c r="J1045456" s="24"/>
      <c r="K1045456" s="54"/>
    </row>
    <row r="1045457" spans="1:11" s="55" customFormat="1" ht="12.75">
      <c r="A1045457" s="24"/>
      <c r="B1045457" s="24"/>
      <c r="C1045457" s="24"/>
      <c r="D1045457" s="24"/>
      <c r="E1045457" s="24"/>
      <c r="F1045457" s="24"/>
      <c r="G1045457" s="24"/>
      <c r="H1045457" s="24"/>
      <c r="I1045457" s="24"/>
      <c r="J1045457" s="24"/>
      <c r="K1045457" s="54"/>
    </row>
    <row r="1045458" spans="1:11" s="55" customFormat="1" ht="12.75">
      <c r="A1045458" s="24"/>
      <c r="B1045458" s="24"/>
      <c r="C1045458" s="24"/>
      <c r="D1045458" s="24"/>
      <c r="E1045458" s="24"/>
      <c r="F1045458" s="24"/>
      <c r="G1045458" s="24"/>
      <c r="H1045458" s="24"/>
      <c r="I1045458" s="24"/>
      <c r="J1045458" s="24"/>
      <c r="K1045458" s="54"/>
    </row>
    <row r="1045459" spans="1:11" s="55" customFormat="1" ht="12.75">
      <c r="A1045459" s="24"/>
      <c r="B1045459" s="24"/>
      <c r="C1045459" s="24"/>
      <c r="D1045459" s="24"/>
      <c r="E1045459" s="24"/>
      <c r="F1045459" s="24"/>
      <c r="G1045459" s="24"/>
      <c r="H1045459" s="24"/>
      <c r="I1045459" s="24"/>
      <c r="J1045459" s="24"/>
      <c r="K1045459" s="54"/>
    </row>
    <row r="1045460" spans="1:11" s="55" customFormat="1" ht="12.75">
      <c r="A1045460" s="24"/>
      <c r="B1045460" s="24"/>
      <c r="C1045460" s="24"/>
      <c r="D1045460" s="24"/>
      <c r="E1045460" s="24"/>
      <c r="F1045460" s="24"/>
      <c r="G1045460" s="24"/>
      <c r="H1045460" s="24"/>
      <c r="I1045460" s="24"/>
      <c r="J1045460" s="24"/>
      <c r="K1045460" s="54"/>
    </row>
    <row r="1045461" spans="1:11" s="55" customFormat="1" ht="12.75">
      <c r="A1045461" s="24"/>
      <c r="B1045461" s="24"/>
      <c r="C1045461" s="24"/>
      <c r="D1045461" s="24"/>
      <c r="E1045461" s="24"/>
      <c r="F1045461" s="24"/>
      <c r="G1045461" s="24"/>
      <c r="H1045461" s="24"/>
      <c r="I1045461" s="24"/>
      <c r="J1045461" s="24"/>
      <c r="K1045461" s="54"/>
    </row>
    <row r="1045462" spans="1:11" s="55" customFormat="1" ht="12.75">
      <c r="A1045462" s="24"/>
      <c r="B1045462" s="24"/>
      <c r="C1045462" s="24"/>
      <c r="D1045462" s="24"/>
      <c r="E1045462" s="24"/>
      <c r="F1045462" s="24"/>
      <c r="G1045462" s="24"/>
      <c r="H1045462" s="24"/>
      <c r="I1045462" s="24"/>
      <c r="J1045462" s="24"/>
      <c r="K1045462" s="54"/>
    </row>
    <row r="1045463" spans="1:11" s="55" customFormat="1" ht="12.75">
      <c r="A1045463" s="24"/>
      <c r="B1045463" s="24"/>
      <c r="C1045463" s="24"/>
      <c r="D1045463" s="24"/>
      <c r="E1045463" s="24"/>
      <c r="F1045463" s="24"/>
      <c r="G1045463" s="24"/>
      <c r="H1045463" s="24"/>
      <c r="I1045463" s="24"/>
      <c r="J1045463" s="24"/>
      <c r="K1045463" s="54"/>
    </row>
    <row r="1045464" spans="1:11" s="55" customFormat="1" ht="12.75">
      <c r="A1045464" s="24"/>
      <c r="B1045464" s="24"/>
      <c r="C1045464" s="24"/>
      <c r="D1045464" s="24"/>
      <c r="E1045464" s="24"/>
      <c r="F1045464" s="24"/>
      <c r="G1045464" s="24"/>
      <c r="H1045464" s="24"/>
      <c r="I1045464" s="24"/>
      <c r="J1045464" s="24"/>
      <c r="K1045464" s="54"/>
    </row>
    <row r="1045465" spans="1:11" s="55" customFormat="1" ht="12.75">
      <c r="A1045465" s="24"/>
      <c r="B1045465" s="24"/>
      <c r="C1045465" s="24"/>
      <c r="D1045465" s="24"/>
      <c r="E1045465" s="24"/>
      <c r="F1045465" s="24"/>
      <c r="G1045465" s="24"/>
      <c r="H1045465" s="24"/>
      <c r="I1045465" s="24"/>
      <c r="J1045465" s="24"/>
      <c r="K1045465" s="54"/>
    </row>
    <row r="1045466" spans="1:11" s="55" customFormat="1" ht="12.75">
      <c r="A1045466" s="24"/>
      <c r="B1045466" s="24"/>
      <c r="C1045466" s="24"/>
      <c r="D1045466" s="24"/>
      <c r="E1045466" s="24"/>
      <c r="F1045466" s="24"/>
      <c r="G1045466" s="24"/>
      <c r="H1045466" s="24"/>
      <c r="I1045466" s="24"/>
      <c r="J1045466" s="24"/>
      <c r="K1045466" s="54"/>
    </row>
    <row r="1045467" spans="1:11" s="55" customFormat="1" ht="12.75">
      <c r="A1045467" s="24"/>
      <c r="B1045467" s="24"/>
      <c r="C1045467" s="24"/>
      <c r="D1045467" s="24"/>
      <c r="E1045467" s="24"/>
      <c r="F1045467" s="24"/>
      <c r="G1045467" s="24"/>
      <c r="H1045467" s="24"/>
      <c r="I1045467" s="24"/>
      <c r="J1045467" s="24"/>
      <c r="K1045467" s="54"/>
    </row>
    <row r="1045468" spans="1:11" s="55" customFormat="1" ht="12.75">
      <c r="A1045468" s="24"/>
      <c r="B1045468" s="24"/>
      <c r="C1045468" s="24"/>
      <c r="D1045468" s="24"/>
      <c r="E1045468" s="24"/>
      <c r="F1045468" s="24"/>
      <c r="G1045468" s="24"/>
      <c r="H1045468" s="24"/>
      <c r="I1045468" s="24"/>
      <c r="J1045468" s="24"/>
      <c r="K1045468" s="54"/>
    </row>
    <row r="1045469" spans="1:11" s="55" customFormat="1" ht="12.75">
      <c r="A1045469" s="24"/>
      <c r="B1045469" s="24"/>
      <c r="C1045469" s="24"/>
      <c r="D1045469" s="24"/>
      <c r="E1045469" s="24"/>
      <c r="F1045469" s="24"/>
      <c r="G1045469" s="24"/>
      <c r="H1045469" s="24"/>
      <c r="I1045469" s="24"/>
      <c r="J1045469" s="24"/>
      <c r="K1045469" s="54"/>
    </row>
    <row r="1045470" spans="1:11" s="55" customFormat="1" ht="12.75">
      <c r="A1045470" s="24"/>
      <c r="B1045470" s="24"/>
      <c r="C1045470" s="24"/>
      <c r="D1045470" s="24"/>
      <c r="E1045470" s="24"/>
      <c r="F1045470" s="24"/>
      <c r="G1045470" s="24"/>
      <c r="H1045470" s="24"/>
      <c r="I1045470" s="24"/>
      <c r="J1045470" s="24"/>
      <c r="K1045470" s="54"/>
    </row>
    <row r="1045471" spans="1:11" s="55" customFormat="1" ht="12.75">
      <c r="A1045471" s="24"/>
      <c r="B1045471" s="24"/>
      <c r="C1045471" s="24"/>
      <c r="D1045471" s="24"/>
      <c r="E1045471" s="24"/>
      <c r="F1045471" s="24"/>
      <c r="G1045471" s="24"/>
      <c r="H1045471" s="24"/>
      <c r="I1045471" s="24"/>
      <c r="J1045471" s="24"/>
      <c r="K1045471" s="54"/>
    </row>
    <row r="1045472" spans="1:11" s="55" customFormat="1" ht="12.75">
      <c r="A1045472" s="24"/>
      <c r="B1045472" s="24"/>
      <c r="C1045472" s="24"/>
      <c r="D1045472" s="24"/>
      <c r="E1045472" s="24"/>
      <c r="F1045472" s="24"/>
      <c r="G1045472" s="24"/>
      <c r="H1045472" s="24"/>
      <c r="I1045472" s="24"/>
      <c r="J1045472" s="24"/>
      <c r="K1045472" s="54"/>
    </row>
    <row r="1045473" spans="1:11" s="55" customFormat="1" ht="12.75">
      <c r="A1045473" s="24"/>
      <c r="B1045473" s="24"/>
      <c r="C1045473" s="24"/>
      <c r="D1045473" s="24"/>
      <c r="E1045473" s="24"/>
      <c r="F1045473" s="24"/>
      <c r="G1045473" s="24"/>
      <c r="H1045473" s="24"/>
      <c r="I1045473" s="24"/>
      <c r="J1045473" s="24"/>
      <c r="K1045473" s="54"/>
    </row>
    <row r="1045474" spans="1:11" s="55" customFormat="1" ht="12.75">
      <c r="A1045474" s="24"/>
      <c r="B1045474" s="24"/>
      <c r="C1045474" s="24"/>
      <c r="D1045474" s="24"/>
      <c r="E1045474" s="24"/>
      <c r="F1045474" s="24"/>
      <c r="G1045474" s="24"/>
      <c r="H1045474" s="24"/>
      <c r="I1045474" s="24"/>
      <c r="J1045474" s="24"/>
      <c r="K1045474" s="54"/>
    </row>
    <row r="1045475" spans="1:11" s="55" customFormat="1" ht="12.75">
      <c r="A1045475" s="24"/>
      <c r="B1045475" s="24"/>
      <c r="C1045475" s="24"/>
      <c r="D1045475" s="24"/>
      <c r="E1045475" s="24"/>
      <c r="F1045475" s="24"/>
      <c r="G1045475" s="24"/>
      <c r="H1045475" s="24"/>
      <c r="I1045475" s="24"/>
      <c r="J1045475" s="24"/>
      <c r="K1045475" s="54"/>
    </row>
    <row r="1045476" spans="1:11" s="55" customFormat="1" ht="12.75">
      <c r="A1045476" s="24"/>
      <c r="B1045476" s="24"/>
      <c r="C1045476" s="24"/>
      <c r="D1045476" s="24"/>
      <c r="E1045476" s="24"/>
      <c r="F1045476" s="24"/>
      <c r="G1045476" s="24"/>
      <c r="H1045476" s="24"/>
      <c r="I1045476" s="24"/>
      <c r="J1045476" s="24"/>
      <c r="K1045476" s="54"/>
    </row>
    <row r="1045477" spans="1:11" s="55" customFormat="1" ht="12.75">
      <c r="A1045477" s="24"/>
      <c r="B1045477" s="24"/>
      <c r="C1045477" s="24"/>
      <c r="D1045477" s="24"/>
      <c r="E1045477" s="24"/>
      <c r="F1045477" s="24"/>
      <c r="G1045477" s="24"/>
      <c r="H1045477" s="24"/>
      <c r="I1045477" s="24"/>
      <c r="J1045477" s="24"/>
      <c r="K1045477" s="54"/>
    </row>
    <row r="1045478" spans="1:11" s="55" customFormat="1" ht="12.75">
      <c r="A1045478" s="24"/>
      <c r="B1045478" s="24"/>
      <c r="C1045478" s="24"/>
      <c r="D1045478" s="24"/>
      <c r="E1045478" s="24"/>
      <c r="F1045478" s="24"/>
      <c r="G1045478" s="24"/>
      <c r="H1045478" s="24"/>
      <c r="I1045478" s="24"/>
      <c r="J1045478" s="24"/>
      <c r="K1045478" s="54"/>
    </row>
    <row r="1045479" spans="1:11" s="55" customFormat="1" ht="12.75">
      <c r="A1045479" s="24"/>
      <c r="B1045479" s="24"/>
      <c r="C1045479" s="24"/>
      <c r="D1045479" s="24"/>
      <c r="E1045479" s="24"/>
      <c r="F1045479" s="24"/>
      <c r="G1045479" s="24"/>
      <c r="H1045479" s="24"/>
      <c r="I1045479" s="24"/>
      <c r="J1045479" s="24"/>
      <c r="K1045479" s="54"/>
    </row>
    <row r="1045480" spans="1:11" s="55" customFormat="1" ht="12.75">
      <c r="A1045480" s="24"/>
      <c r="B1045480" s="24"/>
      <c r="C1045480" s="24"/>
      <c r="D1045480" s="24"/>
      <c r="E1045480" s="24"/>
      <c r="F1045480" s="24"/>
      <c r="G1045480" s="24"/>
      <c r="H1045480" s="24"/>
      <c r="I1045480" s="24"/>
      <c r="J1045480" s="24"/>
      <c r="K1045480" s="54"/>
    </row>
    <row r="1045481" spans="1:11" s="55" customFormat="1" ht="12.75">
      <c r="A1045481" s="24"/>
      <c r="B1045481" s="24"/>
      <c r="C1045481" s="24"/>
      <c r="D1045481" s="24"/>
      <c r="E1045481" s="24"/>
      <c r="F1045481" s="24"/>
      <c r="G1045481" s="24"/>
      <c r="H1045481" s="24"/>
      <c r="I1045481" s="24"/>
      <c r="J1045481" s="24"/>
      <c r="K1045481" s="54"/>
    </row>
    <row r="1045482" spans="1:11" s="55" customFormat="1" ht="12.75">
      <c r="A1045482" s="24"/>
      <c r="B1045482" s="24"/>
      <c r="C1045482" s="24"/>
      <c r="D1045482" s="24"/>
      <c r="E1045482" s="24"/>
      <c r="F1045482" s="24"/>
      <c r="G1045482" s="24"/>
      <c r="H1045482" s="24"/>
      <c r="I1045482" s="24"/>
      <c r="J1045482" s="24"/>
      <c r="K1045482" s="54"/>
    </row>
    <row r="1045483" spans="1:11" s="55" customFormat="1" ht="12.75">
      <c r="A1045483" s="24"/>
      <c r="B1045483" s="24"/>
      <c r="C1045483" s="24"/>
      <c r="D1045483" s="24"/>
      <c r="E1045483" s="24"/>
      <c r="F1045483" s="24"/>
      <c r="G1045483" s="24"/>
      <c r="H1045483" s="24"/>
      <c r="I1045483" s="24"/>
      <c r="J1045483" s="24"/>
      <c r="K1045483" s="54"/>
    </row>
    <row r="1045484" spans="1:11" s="55" customFormat="1" ht="12.75">
      <c r="A1045484" s="24"/>
      <c r="B1045484" s="24"/>
      <c r="C1045484" s="24"/>
      <c r="D1045484" s="24"/>
      <c r="E1045484" s="24"/>
      <c r="F1045484" s="24"/>
      <c r="G1045484" s="24"/>
      <c r="H1045484" s="24"/>
      <c r="I1045484" s="24"/>
      <c r="J1045484" s="24"/>
      <c r="K1045484" s="54"/>
    </row>
    <row r="1045485" spans="1:11" s="55" customFormat="1" ht="12.75">
      <c r="A1045485" s="24"/>
      <c r="B1045485" s="24"/>
      <c r="C1045485" s="24"/>
      <c r="D1045485" s="24"/>
      <c r="E1045485" s="24"/>
      <c r="F1045485" s="24"/>
      <c r="G1045485" s="24"/>
      <c r="H1045485" s="24"/>
      <c r="I1045485" s="24"/>
      <c r="J1045485" s="24"/>
      <c r="K1045485" s="54"/>
    </row>
    <row r="1045486" spans="1:11" s="55" customFormat="1" ht="12.75">
      <c r="A1045486" s="24"/>
      <c r="B1045486" s="24"/>
      <c r="C1045486" s="24"/>
      <c r="D1045486" s="24"/>
      <c r="E1045486" s="24"/>
      <c r="F1045486" s="24"/>
      <c r="G1045486" s="24"/>
      <c r="H1045486" s="24"/>
      <c r="I1045486" s="24"/>
      <c r="J1045486" s="24"/>
      <c r="K1045486" s="54"/>
    </row>
    <row r="1045487" spans="1:11" s="55" customFormat="1" ht="12.75">
      <c r="A1045487" s="24"/>
      <c r="B1045487" s="24"/>
      <c r="C1045487" s="24"/>
      <c r="D1045487" s="24"/>
      <c r="E1045487" s="24"/>
      <c r="F1045487" s="24"/>
      <c r="G1045487" s="24"/>
      <c r="H1045487" s="24"/>
      <c r="I1045487" s="24"/>
      <c r="J1045487" s="24"/>
      <c r="K1045487" s="54"/>
    </row>
    <row r="1045488" spans="1:11" s="55" customFormat="1" ht="12.75">
      <c r="A1045488" s="24"/>
      <c r="B1045488" s="24"/>
      <c r="C1045488" s="24"/>
      <c r="D1045488" s="24"/>
      <c r="E1045488" s="24"/>
      <c r="F1045488" s="24"/>
      <c r="G1045488" s="24"/>
      <c r="H1045488" s="24"/>
      <c r="I1045488" s="24"/>
      <c r="J1045488" s="24"/>
      <c r="K1045488" s="54"/>
    </row>
    <row r="1045489" spans="1:11" s="55" customFormat="1" ht="12.75">
      <c r="A1045489" s="24"/>
      <c r="B1045489" s="24"/>
      <c r="C1045489" s="24"/>
      <c r="D1045489" s="24"/>
      <c r="E1045489" s="24"/>
      <c r="F1045489" s="24"/>
      <c r="G1045489" s="24"/>
      <c r="H1045489" s="24"/>
      <c r="I1045489" s="24"/>
      <c r="J1045489" s="24"/>
      <c r="K1045489" s="54"/>
    </row>
    <row r="1045490" spans="1:11" s="55" customFormat="1" ht="12.75">
      <c r="A1045490" s="24"/>
      <c r="B1045490" s="24"/>
      <c r="C1045490" s="24"/>
      <c r="D1045490" s="24"/>
      <c r="E1045490" s="24"/>
      <c r="F1045490" s="24"/>
      <c r="G1045490" s="24"/>
      <c r="H1045490" s="24"/>
      <c r="I1045490" s="24"/>
      <c r="J1045490" s="24"/>
      <c r="K1045490" s="54"/>
    </row>
    <row r="1045491" spans="1:11" s="55" customFormat="1" ht="12.75">
      <c r="A1045491" s="24"/>
      <c r="B1045491" s="24"/>
      <c r="C1045491" s="24"/>
      <c r="D1045491" s="24"/>
      <c r="E1045491" s="24"/>
      <c r="F1045491" s="24"/>
      <c r="G1045491" s="24"/>
      <c r="H1045491" s="24"/>
      <c r="I1045491" s="24"/>
      <c r="J1045491" s="24"/>
      <c r="K1045491" s="54"/>
    </row>
    <row r="1045492" spans="1:11" s="55" customFormat="1" ht="12.75">
      <c r="A1045492" s="24"/>
      <c r="B1045492" s="24"/>
      <c r="C1045492" s="24"/>
      <c r="D1045492" s="24"/>
      <c r="E1045492" s="24"/>
      <c r="F1045492" s="24"/>
      <c r="G1045492" s="24"/>
      <c r="H1045492" s="24"/>
      <c r="I1045492" s="24"/>
      <c r="J1045492" s="24"/>
      <c r="K1045492" s="54"/>
    </row>
    <row r="1045493" spans="1:11" s="55" customFormat="1" ht="12.75">
      <c r="A1045493" s="24"/>
      <c r="B1045493" s="24"/>
      <c r="C1045493" s="24"/>
      <c r="D1045493" s="24"/>
      <c r="E1045493" s="24"/>
      <c r="F1045493" s="24"/>
      <c r="G1045493" s="24"/>
      <c r="H1045493" s="24"/>
      <c r="I1045493" s="24"/>
      <c r="J1045493" s="24"/>
      <c r="K1045493" s="54"/>
    </row>
    <row r="1045494" spans="1:11" s="55" customFormat="1" ht="12.75">
      <c r="A1045494" s="24"/>
      <c r="B1045494" s="24"/>
      <c r="C1045494" s="24"/>
      <c r="D1045494" s="24"/>
      <c r="E1045494" s="24"/>
      <c r="F1045494" s="24"/>
      <c r="G1045494" s="24"/>
      <c r="H1045494" s="24"/>
      <c r="I1045494" s="24"/>
      <c r="J1045494" s="24"/>
      <c r="K1045494" s="54"/>
    </row>
    <row r="1045495" spans="1:11" s="55" customFormat="1" ht="12.75">
      <c r="A1045495" s="24"/>
      <c r="B1045495" s="24"/>
      <c r="C1045495" s="24"/>
      <c r="D1045495" s="24"/>
      <c r="E1045495" s="24"/>
      <c r="F1045495" s="24"/>
      <c r="G1045495" s="24"/>
      <c r="H1045495" s="24"/>
      <c r="I1045495" s="24"/>
      <c r="J1045495" s="24"/>
      <c r="K1045495" s="54"/>
    </row>
    <row r="1045496" spans="1:11" s="55" customFormat="1" ht="12.75">
      <c r="A1045496" s="24"/>
      <c r="B1045496" s="24"/>
      <c r="C1045496" s="24"/>
      <c r="D1045496" s="24"/>
      <c r="E1045496" s="24"/>
      <c r="F1045496" s="24"/>
      <c r="G1045496" s="24"/>
      <c r="H1045496" s="24"/>
      <c r="I1045496" s="24"/>
      <c r="J1045496" s="24"/>
      <c r="K1045496" s="54"/>
    </row>
    <row r="1045497" spans="1:11" s="55" customFormat="1" ht="12.75">
      <c r="A1045497" s="24"/>
      <c r="B1045497" s="24"/>
      <c r="C1045497" s="24"/>
      <c r="D1045497" s="24"/>
      <c r="E1045497" s="24"/>
      <c r="F1045497" s="24"/>
      <c r="G1045497" s="24"/>
      <c r="H1045497" s="24"/>
      <c r="I1045497" s="24"/>
      <c r="J1045497" s="24"/>
      <c r="K1045497" s="54"/>
    </row>
    <row r="1045498" spans="1:11" s="55" customFormat="1" ht="12.75">
      <c r="A1045498" s="24"/>
      <c r="B1045498" s="24"/>
      <c r="C1045498" s="24"/>
      <c r="D1045498" s="24"/>
      <c r="E1045498" s="24"/>
      <c r="F1045498" s="24"/>
      <c r="G1045498" s="24"/>
      <c r="H1045498" s="24"/>
      <c r="I1045498" s="24"/>
      <c r="J1045498" s="24"/>
      <c r="K1045498" s="54"/>
    </row>
    <row r="1045499" spans="1:11" s="55" customFormat="1" ht="12.75">
      <c r="A1045499" s="24"/>
      <c r="B1045499" s="24"/>
      <c r="C1045499" s="24"/>
      <c r="D1045499" s="24"/>
      <c r="E1045499" s="24"/>
      <c r="F1045499" s="24"/>
      <c r="G1045499" s="24"/>
      <c r="H1045499" s="24"/>
      <c r="I1045499" s="24"/>
      <c r="J1045499" s="24"/>
      <c r="K1045499" s="54"/>
    </row>
    <row r="1045500" spans="1:11" s="55" customFormat="1" ht="12.75">
      <c r="A1045500" s="24"/>
      <c r="B1045500" s="24"/>
      <c r="C1045500" s="24"/>
      <c r="D1045500" s="24"/>
      <c r="E1045500" s="24"/>
      <c r="F1045500" s="24"/>
      <c r="G1045500" s="24"/>
      <c r="H1045500" s="24"/>
      <c r="I1045500" s="24"/>
      <c r="J1045500" s="24"/>
      <c r="K1045500" s="54"/>
    </row>
    <row r="1045501" spans="1:11" s="55" customFormat="1" ht="12.75">
      <c r="A1045501" s="24"/>
      <c r="B1045501" s="24"/>
      <c r="C1045501" s="24"/>
      <c r="D1045501" s="24"/>
      <c r="E1045501" s="24"/>
      <c r="F1045501" s="24"/>
      <c r="G1045501" s="24"/>
      <c r="H1045501" s="24"/>
      <c r="I1045501" s="24"/>
      <c r="J1045501" s="24"/>
      <c r="K1045501" s="54"/>
    </row>
    <row r="1045502" spans="1:11" s="55" customFormat="1" ht="12.75">
      <c r="A1045502" s="24"/>
      <c r="B1045502" s="24"/>
      <c r="C1045502" s="24"/>
      <c r="D1045502" s="24"/>
      <c r="E1045502" s="24"/>
      <c r="F1045502" s="24"/>
      <c r="G1045502" s="24"/>
      <c r="H1045502" s="24"/>
      <c r="I1045502" s="24"/>
      <c r="J1045502" s="24"/>
      <c r="K1045502" s="54"/>
    </row>
    <row r="1045503" spans="1:11" s="55" customFormat="1" ht="12.75">
      <c r="A1045503" s="24"/>
      <c r="B1045503" s="24"/>
      <c r="C1045503" s="24"/>
      <c r="D1045503" s="24"/>
      <c r="E1045503" s="24"/>
      <c r="F1045503" s="24"/>
      <c r="G1045503" s="24"/>
      <c r="H1045503" s="24"/>
      <c r="I1045503" s="24"/>
      <c r="J1045503" s="24"/>
      <c r="K1045503" s="54"/>
    </row>
    <row r="1045504" spans="1:11" s="55" customFormat="1" ht="12.75">
      <c r="A1045504" s="24"/>
      <c r="B1045504" s="24"/>
      <c r="C1045504" s="24"/>
      <c r="D1045504" s="24"/>
      <c r="E1045504" s="24"/>
      <c r="F1045504" s="24"/>
      <c r="G1045504" s="24"/>
      <c r="H1045504" s="24"/>
      <c r="I1045504" s="24"/>
      <c r="J1045504" s="24"/>
      <c r="K1045504" s="54"/>
    </row>
    <row r="1045505" spans="1:11" s="55" customFormat="1" ht="12.75">
      <c r="A1045505" s="24"/>
      <c r="B1045505" s="24"/>
      <c r="C1045505" s="24"/>
      <c r="D1045505" s="24"/>
      <c r="E1045505" s="24"/>
      <c r="F1045505" s="24"/>
      <c r="G1045505" s="24"/>
      <c r="H1045505" s="24"/>
      <c r="I1045505" s="24"/>
      <c r="J1045505" s="24"/>
      <c r="K1045505" s="54"/>
    </row>
    <row r="1045506" spans="1:11" s="55" customFormat="1" ht="12.75">
      <c r="A1045506" s="24"/>
      <c r="B1045506" s="24"/>
      <c r="C1045506" s="24"/>
      <c r="D1045506" s="24"/>
      <c r="E1045506" s="24"/>
      <c r="F1045506" s="24"/>
      <c r="G1045506" s="24"/>
      <c r="H1045506" s="24"/>
      <c r="I1045506" s="24"/>
      <c r="J1045506" s="24"/>
      <c r="K1045506" s="54"/>
    </row>
    <row r="1045507" spans="1:11" s="55" customFormat="1" ht="12.75">
      <c r="A1045507" s="24"/>
      <c r="B1045507" s="24"/>
      <c r="C1045507" s="24"/>
      <c r="D1045507" s="24"/>
      <c r="E1045507" s="24"/>
      <c r="F1045507" s="24"/>
      <c r="G1045507" s="24"/>
      <c r="H1045507" s="24"/>
      <c r="I1045507" s="24"/>
      <c r="J1045507" s="24"/>
      <c r="K1045507" s="54"/>
    </row>
    <row r="1045508" spans="1:11" s="55" customFormat="1" ht="12.75">
      <c r="A1045508" s="24"/>
      <c r="B1045508" s="24"/>
      <c r="C1045508" s="24"/>
      <c r="D1045508" s="24"/>
      <c r="E1045508" s="24"/>
      <c r="F1045508" s="24"/>
      <c r="G1045508" s="24"/>
      <c r="H1045508" s="24"/>
      <c r="I1045508" s="24"/>
      <c r="J1045508" s="24"/>
      <c r="K1045508" s="54"/>
    </row>
    <row r="1045509" spans="1:11" s="55" customFormat="1" ht="12.75">
      <c r="A1045509" s="24"/>
      <c r="B1045509" s="24"/>
      <c r="C1045509" s="24"/>
      <c r="D1045509" s="24"/>
      <c r="E1045509" s="24"/>
      <c r="F1045509" s="24"/>
      <c r="G1045509" s="24"/>
      <c r="H1045509" s="24"/>
      <c r="I1045509" s="24"/>
      <c r="J1045509" s="24"/>
      <c r="K1045509" s="54"/>
    </row>
    <row r="1045510" spans="1:11" s="55" customFormat="1" ht="12.75">
      <c r="A1045510" s="24"/>
      <c r="B1045510" s="24"/>
      <c r="C1045510" s="24"/>
      <c r="D1045510" s="24"/>
      <c r="E1045510" s="24"/>
      <c r="F1045510" s="24"/>
      <c r="G1045510" s="24"/>
      <c r="H1045510" s="24"/>
      <c r="I1045510" s="24"/>
      <c r="J1045510" s="24"/>
      <c r="K1045510" s="54"/>
    </row>
    <row r="1045511" spans="1:11" s="55" customFormat="1" ht="12.75">
      <c r="A1045511" s="24"/>
      <c r="B1045511" s="24"/>
      <c r="C1045511" s="24"/>
      <c r="D1045511" s="24"/>
      <c r="E1045511" s="24"/>
      <c r="F1045511" s="24"/>
      <c r="G1045511" s="24"/>
      <c r="H1045511" s="24"/>
      <c r="I1045511" s="24"/>
      <c r="J1045511" s="24"/>
      <c r="K1045511" s="54"/>
    </row>
    <row r="1045512" spans="1:11" s="55" customFormat="1" ht="12.75">
      <c r="A1045512" s="24"/>
      <c r="B1045512" s="24"/>
      <c r="C1045512" s="24"/>
      <c r="D1045512" s="24"/>
      <c r="E1045512" s="24"/>
      <c r="F1045512" s="24"/>
      <c r="G1045512" s="24"/>
      <c r="H1045512" s="24"/>
      <c r="I1045512" s="24"/>
      <c r="J1045512" s="24"/>
      <c r="K1045512" s="54"/>
    </row>
    <row r="1045513" spans="1:11" s="55" customFormat="1" ht="12.75">
      <c r="A1045513" s="24"/>
      <c r="B1045513" s="24"/>
      <c r="C1045513" s="24"/>
      <c r="D1045513" s="24"/>
      <c r="E1045513" s="24"/>
      <c r="F1045513" s="24"/>
      <c r="G1045513" s="24"/>
      <c r="H1045513" s="24"/>
      <c r="I1045513" s="24"/>
      <c r="J1045513" s="24"/>
      <c r="K1045513" s="54"/>
    </row>
    <row r="1045514" spans="1:11" s="55" customFormat="1" ht="12.75">
      <c r="A1045514" s="24"/>
      <c r="B1045514" s="24"/>
      <c r="C1045514" s="24"/>
      <c r="D1045514" s="24"/>
      <c r="E1045514" s="24"/>
      <c r="F1045514" s="24"/>
      <c r="G1045514" s="24"/>
      <c r="H1045514" s="24"/>
      <c r="I1045514" s="24"/>
      <c r="J1045514" s="24"/>
      <c r="K1045514" s="54"/>
    </row>
    <row r="1045515" spans="1:11" s="55" customFormat="1" ht="12.75">
      <c r="A1045515" s="24"/>
      <c r="B1045515" s="24"/>
      <c r="C1045515" s="24"/>
      <c r="D1045515" s="24"/>
      <c r="E1045515" s="24"/>
      <c r="F1045515" s="24"/>
      <c r="G1045515" s="24"/>
      <c r="H1045515" s="24"/>
      <c r="I1045515" s="24"/>
      <c r="J1045515" s="24"/>
      <c r="K1045515" s="54"/>
    </row>
    <row r="1045516" spans="1:11" s="55" customFormat="1" ht="12.75">
      <c r="A1045516" s="24"/>
      <c r="B1045516" s="24"/>
      <c r="C1045516" s="24"/>
      <c r="D1045516" s="24"/>
      <c r="E1045516" s="24"/>
      <c r="F1045516" s="24"/>
      <c r="G1045516" s="24"/>
      <c r="H1045516" s="24"/>
      <c r="I1045516" s="24"/>
      <c r="J1045516" s="24"/>
      <c r="K1045516" s="54"/>
    </row>
    <row r="1045517" spans="1:11" s="55" customFormat="1" ht="12.75">
      <c r="A1045517" s="24"/>
      <c r="B1045517" s="24"/>
      <c r="C1045517" s="24"/>
      <c r="D1045517" s="24"/>
      <c r="E1045517" s="24"/>
      <c r="F1045517" s="24"/>
      <c r="G1045517" s="24"/>
      <c r="H1045517" s="24"/>
      <c r="I1045517" s="24"/>
      <c r="J1045517" s="24"/>
      <c r="K1045517" s="54"/>
    </row>
    <row r="1045518" spans="1:11" s="55" customFormat="1" ht="12.75">
      <c r="A1045518" s="24"/>
      <c r="B1045518" s="24"/>
      <c r="C1045518" s="24"/>
      <c r="D1045518" s="24"/>
      <c r="E1045518" s="24"/>
      <c r="F1045518" s="24"/>
      <c r="G1045518" s="24"/>
      <c r="H1045518" s="24"/>
      <c r="I1045518" s="24"/>
      <c r="J1045518" s="24"/>
      <c r="K1045518" s="54"/>
    </row>
    <row r="1045519" spans="1:11" s="55" customFormat="1" ht="12.75">
      <c r="A1045519" s="24"/>
      <c r="B1045519" s="24"/>
      <c r="C1045519" s="24"/>
      <c r="D1045519" s="24"/>
      <c r="E1045519" s="24"/>
      <c r="F1045519" s="24"/>
      <c r="G1045519" s="24"/>
      <c r="H1045519" s="24"/>
      <c r="I1045519" s="24"/>
      <c r="J1045519" s="24"/>
      <c r="K1045519" s="54"/>
    </row>
    <row r="1045520" spans="1:11" s="55" customFormat="1" ht="12.75">
      <c r="A1045520" s="24"/>
      <c r="B1045520" s="24"/>
      <c r="C1045520" s="24"/>
      <c r="D1045520" s="24"/>
      <c r="E1045520" s="24"/>
      <c r="F1045520" s="24"/>
      <c r="G1045520" s="24"/>
      <c r="H1045520" s="24"/>
      <c r="I1045520" s="24"/>
      <c r="J1045520" s="24"/>
      <c r="K1045520" s="54"/>
    </row>
    <row r="1045521" spans="1:11" s="55" customFormat="1" ht="12.75">
      <c r="A1045521" s="24"/>
      <c r="B1045521" s="24"/>
      <c r="C1045521" s="24"/>
      <c r="D1045521" s="24"/>
      <c r="E1045521" s="24"/>
      <c r="F1045521" s="24"/>
      <c r="G1045521" s="24"/>
      <c r="H1045521" s="24"/>
      <c r="I1045521" s="24"/>
      <c r="J1045521" s="24"/>
      <c r="K1045521" s="54"/>
    </row>
    <row r="1045522" spans="1:11" s="55" customFormat="1" ht="12.75">
      <c r="A1045522" s="24"/>
      <c r="B1045522" s="24"/>
      <c r="C1045522" s="24"/>
      <c r="D1045522" s="24"/>
      <c r="E1045522" s="24"/>
      <c r="F1045522" s="24"/>
      <c r="G1045522" s="24"/>
      <c r="H1045522" s="24"/>
      <c r="I1045522" s="24"/>
      <c r="J1045522" s="24"/>
      <c r="K1045522" s="54"/>
    </row>
    <row r="1045523" spans="1:11" s="55" customFormat="1" ht="12.75">
      <c r="A1045523" s="24"/>
      <c r="B1045523" s="24"/>
      <c r="C1045523" s="24"/>
      <c r="D1045523" s="24"/>
      <c r="E1045523" s="24"/>
      <c r="F1045523" s="24"/>
      <c r="G1045523" s="24"/>
      <c r="H1045523" s="24"/>
      <c r="I1045523" s="24"/>
      <c r="J1045523" s="24"/>
      <c r="K1045523" s="54"/>
    </row>
    <row r="1045524" spans="1:11" s="55" customFormat="1" ht="12.75">
      <c r="A1045524" s="24"/>
      <c r="B1045524" s="24"/>
      <c r="C1045524" s="24"/>
      <c r="D1045524" s="24"/>
      <c r="E1045524" s="24"/>
      <c r="F1045524" s="24"/>
      <c r="G1045524" s="24"/>
      <c r="H1045524" s="24"/>
      <c r="I1045524" s="24"/>
      <c r="J1045524" s="24"/>
      <c r="K1045524" s="54"/>
    </row>
    <row r="1045525" spans="1:11" s="55" customFormat="1" ht="12.75">
      <c r="A1045525" s="24"/>
      <c r="B1045525" s="24"/>
      <c r="C1045525" s="24"/>
      <c r="D1045525" s="24"/>
      <c r="E1045525" s="24"/>
      <c r="F1045525" s="24"/>
      <c r="G1045525" s="24"/>
      <c r="H1045525" s="24"/>
      <c r="I1045525" s="24"/>
      <c r="J1045525" s="24"/>
      <c r="K1045525" s="54"/>
    </row>
    <row r="1045526" spans="1:11" s="55" customFormat="1" ht="12.75">
      <c r="A1045526" s="24"/>
      <c r="B1045526" s="24"/>
      <c r="C1045526" s="24"/>
      <c r="D1045526" s="24"/>
      <c r="E1045526" s="24"/>
      <c r="F1045526" s="24"/>
      <c r="G1045526" s="24"/>
      <c r="H1045526" s="24"/>
      <c r="I1045526" s="24"/>
      <c r="J1045526" s="24"/>
      <c r="K1045526" s="54"/>
    </row>
    <row r="1045527" spans="1:11" s="55" customFormat="1" ht="12.75">
      <c r="A1045527" s="24"/>
      <c r="B1045527" s="24"/>
      <c r="C1045527" s="24"/>
      <c r="D1045527" s="24"/>
      <c r="E1045527" s="24"/>
      <c r="F1045527" s="24"/>
      <c r="G1045527" s="24"/>
      <c r="H1045527" s="24"/>
      <c r="I1045527" s="24"/>
      <c r="J1045527" s="24"/>
      <c r="K1045527" s="54"/>
    </row>
    <row r="1045528" spans="1:11" s="55" customFormat="1" ht="12.75">
      <c r="A1045528" s="24"/>
      <c r="B1045528" s="24"/>
      <c r="C1045528" s="24"/>
      <c r="D1045528" s="24"/>
      <c r="E1045528" s="24"/>
      <c r="F1045528" s="24"/>
      <c r="G1045528" s="24"/>
      <c r="H1045528" s="24"/>
      <c r="I1045528" s="24"/>
      <c r="J1045528" s="24"/>
      <c r="K1045528" s="54"/>
    </row>
    <row r="1045529" spans="1:11" s="55" customFormat="1" ht="12.75">
      <c r="A1045529" s="24"/>
      <c r="B1045529" s="24"/>
      <c r="C1045529" s="24"/>
      <c r="D1045529" s="24"/>
      <c r="E1045529" s="24"/>
      <c r="F1045529" s="24"/>
      <c r="G1045529" s="24"/>
      <c r="H1045529" s="24"/>
      <c r="I1045529" s="24"/>
      <c r="J1045529" s="24"/>
      <c r="K1045529" s="54"/>
    </row>
    <row r="1045530" spans="1:11" s="55" customFormat="1" ht="12.75">
      <c r="A1045530" s="24"/>
      <c r="B1045530" s="24"/>
      <c r="C1045530" s="24"/>
      <c r="D1045530" s="24"/>
      <c r="E1045530" s="24"/>
      <c r="F1045530" s="24"/>
      <c r="G1045530" s="24"/>
      <c r="H1045530" s="24"/>
      <c r="I1045530" s="24"/>
      <c r="J1045530" s="24"/>
      <c r="K1045530" s="54"/>
    </row>
    <row r="1045531" spans="1:11" s="55" customFormat="1" ht="12.75">
      <c r="A1045531" s="24"/>
      <c r="B1045531" s="24"/>
      <c r="C1045531" s="24"/>
      <c r="D1045531" s="24"/>
      <c r="E1045531" s="24"/>
      <c r="F1045531" s="24"/>
      <c r="G1045531" s="24"/>
      <c r="H1045531" s="24"/>
      <c r="I1045531" s="24"/>
      <c r="J1045531" s="24"/>
      <c r="K1045531" s="54"/>
    </row>
    <row r="1045532" spans="1:11" s="55" customFormat="1" ht="12.75">
      <c r="A1045532" s="24"/>
      <c r="B1045532" s="24"/>
      <c r="C1045532" s="24"/>
      <c r="D1045532" s="24"/>
      <c r="E1045532" s="24"/>
      <c r="F1045532" s="24"/>
      <c r="G1045532" s="24"/>
      <c r="H1045532" s="24"/>
      <c r="I1045532" s="24"/>
      <c r="J1045532" s="24"/>
      <c r="K1045532" s="54"/>
    </row>
    <row r="1045533" spans="1:11" s="55" customFormat="1" ht="12.75">
      <c r="A1045533" s="24"/>
      <c r="B1045533" s="24"/>
      <c r="C1045533" s="24"/>
      <c r="D1045533" s="24"/>
      <c r="E1045533" s="24"/>
      <c r="F1045533" s="24"/>
      <c r="G1045533" s="24"/>
      <c r="H1045533" s="24"/>
      <c r="I1045533" s="24"/>
      <c r="J1045533" s="24"/>
      <c r="K1045533" s="54"/>
    </row>
    <row r="1045534" spans="1:11" s="55" customFormat="1" ht="12.75">
      <c r="A1045534" s="24"/>
      <c r="B1045534" s="24"/>
      <c r="C1045534" s="24"/>
      <c r="D1045534" s="24"/>
      <c r="E1045534" s="24"/>
      <c r="F1045534" s="24"/>
      <c r="G1045534" s="24"/>
      <c r="H1045534" s="24"/>
      <c r="I1045534" s="24"/>
      <c r="J1045534" s="24"/>
      <c r="K1045534" s="54"/>
    </row>
    <row r="1045535" spans="1:11" s="55" customFormat="1" ht="12.75">
      <c r="A1045535" s="24"/>
      <c r="B1045535" s="24"/>
      <c r="C1045535" s="24"/>
      <c r="D1045535" s="24"/>
      <c r="E1045535" s="24"/>
      <c r="F1045535" s="24"/>
      <c r="G1045535" s="24"/>
      <c r="H1045535" s="24"/>
      <c r="I1045535" s="24"/>
      <c r="J1045535" s="24"/>
      <c r="K1045535" s="54"/>
    </row>
    <row r="1045536" spans="1:11" s="55" customFormat="1" ht="12.75">
      <c r="A1045536" s="24"/>
      <c r="B1045536" s="24"/>
      <c r="C1045536" s="24"/>
      <c r="D1045536" s="24"/>
      <c r="E1045536" s="24"/>
      <c r="F1045536" s="24"/>
      <c r="G1045536" s="24"/>
      <c r="H1045536" s="24"/>
      <c r="I1045536" s="24"/>
      <c r="J1045536" s="24"/>
      <c r="K1045536" s="54"/>
    </row>
    <row r="1045537" spans="1:11" s="55" customFormat="1" ht="12.75">
      <c r="A1045537" s="24"/>
      <c r="B1045537" s="24"/>
      <c r="C1045537" s="24"/>
      <c r="D1045537" s="24"/>
      <c r="E1045537" s="24"/>
      <c r="F1045537" s="24"/>
      <c r="G1045537" s="24"/>
      <c r="H1045537" s="24"/>
      <c r="I1045537" s="24"/>
      <c r="J1045537" s="24"/>
      <c r="K1045537" s="54"/>
    </row>
    <row r="1045538" spans="1:11" s="55" customFormat="1" ht="12.75">
      <c r="A1045538" s="24"/>
      <c r="B1045538" s="24"/>
      <c r="C1045538" s="24"/>
      <c r="D1045538" s="24"/>
      <c r="E1045538" s="24"/>
      <c r="F1045538" s="24"/>
      <c r="G1045538" s="24"/>
      <c r="H1045538" s="24"/>
      <c r="I1045538" s="24"/>
      <c r="J1045538" s="24"/>
      <c r="K1045538" s="54"/>
    </row>
    <row r="1045539" spans="1:11" s="55" customFormat="1" ht="12.75">
      <c r="A1045539" s="24"/>
      <c r="B1045539" s="24"/>
      <c r="C1045539" s="24"/>
      <c r="D1045539" s="24"/>
      <c r="E1045539" s="24"/>
      <c r="F1045539" s="24"/>
      <c r="G1045539" s="24"/>
      <c r="H1045539" s="24"/>
      <c r="I1045539" s="24"/>
      <c r="J1045539" s="24"/>
      <c r="K1045539" s="54"/>
    </row>
    <row r="1045540" spans="1:11" s="55" customFormat="1" ht="12.75">
      <c r="A1045540" s="24"/>
      <c r="B1045540" s="24"/>
      <c r="C1045540" s="24"/>
      <c r="D1045540" s="24"/>
      <c r="E1045540" s="24"/>
      <c r="F1045540" s="24"/>
      <c r="G1045540" s="24"/>
      <c r="H1045540" s="24"/>
      <c r="I1045540" s="24"/>
      <c r="J1045540" s="24"/>
      <c r="K1045540" s="54"/>
    </row>
    <row r="1045541" spans="1:11" s="55" customFormat="1" ht="12.75">
      <c r="A1045541" s="24"/>
      <c r="B1045541" s="24"/>
      <c r="C1045541" s="24"/>
      <c r="D1045541" s="24"/>
      <c r="E1045541" s="24"/>
      <c r="F1045541" s="24"/>
      <c r="G1045541" s="24"/>
      <c r="H1045541" s="24"/>
      <c r="I1045541" s="24"/>
      <c r="J1045541" s="24"/>
      <c r="K1045541" s="54"/>
    </row>
    <row r="1045542" spans="1:11" s="55" customFormat="1" ht="12.75">
      <c r="A1045542" s="24"/>
      <c r="B1045542" s="24"/>
      <c r="C1045542" s="24"/>
      <c r="D1045542" s="24"/>
      <c r="E1045542" s="24"/>
      <c r="F1045542" s="24"/>
      <c r="G1045542" s="24"/>
      <c r="H1045542" s="24"/>
      <c r="I1045542" s="24"/>
      <c r="J1045542" s="24"/>
      <c r="K1045542" s="54"/>
    </row>
    <row r="1045543" spans="1:11" s="55" customFormat="1" ht="12.75">
      <c r="A1045543" s="24"/>
      <c r="B1045543" s="24"/>
      <c r="C1045543" s="24"/>
      <c r="D1045543" s="24"/>
      <c r="E1045543" s="24"/>
      <c r="F1045543" s="24"/>
      <c r="G1045543" s="24"/>
      <c r="H1045543" s="24"/>
      <c r="I1045543" s="24"/>
      <c r="J1045543" s="24"/>
      <c r="K1045543" s="54"/>
    </row>
    <row r="1045544" spans="1:11" s="55" customFormat="1" ht="12.75">
      <c r="A1045544" s="24"/>
      <c r="B1045544" s="24"/>
      <c r="C1045544" s="24"/>
      <c r="D1045544" s="24"/>
      <c r="E1045544" s="24"/>
      <c r="F1045544" s="24"/>
      <c r="G1045544" s="24"/>
      <c r="H1045544" s="24"/>
      <c r="I1045544" s="24"/>
      <c r="J1045544" s="24"/>
      <c r="K1045544" s="54"/>
    </row>
    <row r="1045545" spans="1:11" s="55" customFormat="1" ht="12.75">
      <c r="A1045545" s="24"/>
      <c r="B1045545" s="24"/>
      <c r="C1045545" s="24"/>
      <c r="D1045545" s="24"/>
      <c r="E1045545" s="24"/>
      <c r="F1045545" s="24"/>
      <c r="G1045545" s="24"/>
      <c r="H1045545" s="24"/>
      <c r="I1045545" s="24"/>
      <c r="J1045545" s="24"/>
      <c r="K1045545" s="54"/>
    </row>
    <row r="1045546" spans="1:11" s="55" customFormat="1" ht="12.75">
      <c r="A1045546" s="24"/>
      <c r="B1045546" s="24"/>
      <c r="C1045546" s="24"/>
      <c r="D1045546" s="24"/>
      <c r="E1045546" s="24"/>
      <c r="F1045546" s="24"/>
      <c r="G1045546" s="24"/>
      <c r="H1045546" s="24"/>
      <c r="I1045546" s="24"/>
      <c r="J1045546" s="24"/>
      <c r="K1045546" s="54"/>
    </row>
    <row r="1045547" spans="1:11" s="55" customFormat="1" ht="12.75">
      <c r="A1045547" s="24"/>
      <c r="B1045547" s="24"/>
      <c r="C1045547" s="24"/>
      <c r="D1045547" s="24"/>
      <c r="E1045547" s="24"/>
      <c r="F1045547" s="24"/>
      <c r="G1045547" s="24"/>
      <c r="H1045547" s="24"/>
      <c r="I1045547" s="24"/>
      <c r="J1045547" s="24"/>
      <c r="K1045547" s="54"/>
    </row>
    <row r="1045548" spans="1:11" s="55" customFormat="1" ht="12.75">
      <c r="A1045548" s="24"/>
      <c r="B1045548" s="24"/>
      <c r="C1045548" s="24"/>
      <c r="D1045548" s="24"/>
      <c r="E1045548" s="24"/>
      <c r="F1045548" s="24"/>
      <c r="G1045548" s="24"/>
      <c r="H1045548" s="24"/>
      <c r="I1045548" s="24"/>
      <c r="J1045548" s="24"/>
      <c r="K1045548" s="54"/>
    </row>
    <row r="1045549" spans="1:11" s="55" customFormat="1" ht="12.75">
      <c r="A1045549" s="24"/>
      <c r="B1045549" s="24"/>
      <c r="C1045549" s="24"/>
      <c r="D1045549" s="24"/>
      <c r="E1045549" s="24"/>
      <c r="F1045549" s="24"/>
      <c r="G1045549" s="24"/>
      <c r="H1045549" s="24"/>
      <c r="I1045549" s="24"/>
      <c r="J1045549" s="24"/>
      <c r="K1045549" s="54"/>
    </row>
    <row r="1045550" spans="1:11" s="55" customFormat="1" ht="12.75">
      <c r="A1045550" s="24"/>
      <c r="B1045550" s="24"/>
      <c r="C1045550" s="24"/>
      <c r="D1045550" s="24"/>
      <c r="E1045550" s="24"/>
      <c r="F1045550" s="24"/>
      <c r="G1045550" s="24"/>
      <c r="H1045550" s="24"/>
      <c r="I1045550" s="24"/>
      <c r="J1045550" s="24"/>
      <c r="K1045550" s="54"/>
    </row>
    <row r="1045551" spans="1:11" s="55" customFormat="1" ht="12.75">
      <c r="A1045551" s="24"/>
      <c r="B1045551" s="24"/>
      <c r="C1045551" s="24"/>
      <c r="D1045551" s="24"/>
      <c r="E1045551" s="24"/>
      <c r="F1045551" s="24"/>
      <c r="G1045551" s="24"/>
      <c r="H1045551" s="24"/>
      <c r="I1045551" s="24"/>
      <c r="J1045551" s="24"/>
      <c r="K1045551" s="54"/>
    </row>
    <row r="1045552" spans="1:11" s="55" customFormat="1" ht="12.75">
      <c r="A1045552" s="24"/>
      <c r="B1045552" s="24"/>
      <c r="C1045552" s="24"/>
      <c r="D1045552" s="24"/>
      <c r="E1045552" s="24"/>
      <c r="F1045552" s="24"/>
      <c r="G1045552" s="24"/>
      <c r="H1045552" s="24"/>
      <c r="I1045552" s="24"/>
      <c r="J1045552" s="24"/>
      <c r="K1045552" s="54"/>
    </row>
    <row r="1045553" spans="1:11" s="55" customFormat="1" ht="12.75">
      <c r="A1045553" s="24"/>
      <c r="B1045553" s="24"/>
      <c r="C1045553" s="24"/>
      <c r="D1045553" s="24"/>
      <c r="E1045553" s="24"/>
      <c r="F1045553" s="24"/>
      <c r="G1045553" s="24"/>
      <c r="H1045553" s="24"/>
      <c r="I1045553" s="24"/>
      <c r="J1045553" s="24"/>
      <c r="K1045553" s="54"/>
    </row>
    <row r="1045554" spans="1:11" s="55" customFormat="1" ht="12.75">
      <c r="A1045554" s="24"/>
      <c r="B1045554" s="24"/>
      <c r="C1045554" s="24"/>
      <c r="D1045554" s="24"/>
      <c r="E1045554" s="24"/>
      <c r="F1045554" s="24"/>
      <c r="G1045554" s="24"/>
      <c r="H1045554" s="24"/>
      <c r="I1045554" s="24"/>
      <c r="J1045554" s="24"/>
      <c r="K1045554" s="54"/>
    </row>
    <row r="1045555" spans="1:11" s="55" customFormat="1" ht="12.75">
      <c r="A1045555" s="24"/>
      <c r="B1045555" s="24"/>
      <c r="C1045555" s="24"/>
      <c r="D1045555" s="24"/>
      <c r="E1045555" s="24"/>
      <c r="F1045555" s="24"/>
      <c r="G1045555" s="24"/>
      <c r="H1045555" s="24"/>
      <c r="I1045555" s="24"/>
      <c r="J1045555" s="24"/>
      <c r="K1045555" s="54"/>
    </row>
    <row r="1045556" spans="1:11" s="55" customFormat="1" ht="12.75">
      <c r="A1045556" s="24"/>
      <c r="B1045556" s="24"/>
      <c r="C1045556" s="24"/>
      <c r="D1045556" s="24"/>
      <c r="E1045556" s="24"/>
      <c r="F1045556" s="24"/>
      <c r="G1045556" s="24"/>
      <c r="H1045556" s="24"/>
      <c r="I1045556" s="24"/>
      <c r="J1045556" s="24"/>
      <c r="K1045556" s="54"/>
    </row>
    <row r="1045557" spans="1:11" s="55" customFormat="1" ht="12.75">
      <c r="A1045557" s="24"/>
      <c r="B1045557" s="24"/>
      <c r="C1045557" s="24"/>
      <c r="D1045557" s="24"/>
      <c r="E1045557" s="24"/>
      <c r="F1045557" s="24"/>
      <c r="G1045557" s="24"/>
      <c r="H1045557" s="24"/>
      <c r="I1045557" s="24"/>
      <c r="J1045557" s="24"/>
      <c r="K1045557" s="54"/>
    </row>
    <row r="1045558" spans="1:11" s="55" customFormat="1" ht="12.75">
      <c r="A1045558" s="24"/>
      <c r="B1045558" s="24"/>
      <c r="C1045558" s="24"/>
      <c r="D1045558" s="24"/>
      <c r="E1045558" s="24"/>
      <c r="F1045558" s="24"/>
      <c r="G1045558" s="24"/>
      <c r="H1045558" s="24"/>
      <c r="I1045558" s="24"/>
      <c r="J1045558" s="24"/>
      <c r="K1045558" s="54"/>
    </row>
    <row r="1045559" spans="1:11" s="55" customFormat="1" ht="12.75">
      <c r="A1045559" s="24"/>
      <c r="B1045559" s="24"/>
      <c r="C1045559" s="24"/>
      <c r="D1045559" s="24"/>
      <c r="E1045559" s="24"/>
      <c r="F1045559" s="24"/>
      <c r="G1045559" s="24"/>
      <c r="H1045559" s="24"/>
      <c r="I1045559" s="24"/>
      <c r="J1045559" s="24"/>
      <c r="K1045559" s="54"/>
    </row>
    <row r="1045560" spans="1:11" s="55" customFormat="1" ht="12.75">
      <c r="A1045560" s="24"/>
      <c r="B1045560" s="24"/>
      <c r="C1045560" s="24"/>
      <c r="D1045560" s="24"/>
      <c r="E1045560" s="24"/>
      <c r="F1045560" s="24"/>
      <c r="G1045560" s="24"/>
      <c r="H1045560" s="24"/>
      <c r="I1045560" s="24"/>
      <c r="J1045560" s="24"/>
      <c r="K1045560" s="54"/>
    </row>
    <row r="1045561" spans="1:11" s="55" customFormat="1" ht="12.75">
      <c r="A1045561" s="24"/>
      <c r="B1045561" s="24"/>
      <c r="C1045561" s="24"/>
      <c r="D1045561" s="24"/>
      <c r="E1045561" s="24"/>
      <c r="F1045561" s="24"/>
      <c r="G1045561" s="24"/>
      <c r="H1045561" s="24"/>
      <c r="I1045561" s="24"/>
      <c r="J1045561" s="24"/>
      <c r="K1045561" s="54"/>
    </row>
    <row r="1045562" spans="1:11" s="55" customFormat="1" ht="12.75">
      <c r="A1045562" s="24"/>
      <c r="B1045562" s="24"/>
      <c r="C1045562" s="24"/>
      <c r="D1045562" s="24"/>
      <c r="E1045562" s="24"/>
      <c r="F1045562" s="24"/>
      <c r="G1045562" s="24"/>
      <c r="H1045562" s="24"/>
      <c r="I1045562" s="24"/>
      <c r="J1045562" s="24"/>
      <c r="K1045562" s="54"/>
    </row>
    <row r="1045563" spans="1:11" s="55" customFormat="1" ht="12.75">
      <c r="A1045563" s="24"/>
      <c r="B1045563" s="24"/>
      <c r="C1045563" s="24"/>
      <c r="D1045563" s="24"/>
      <c r="E1045563" s="24"/>
      <c r="F1045563" s="24"/>
      <c r="G1045563" s="24"/>
      <c r="H1045563" s="24"/>
      <c r="I1045563" s="24"/>
      <c r="J1045563" s="24"/>
      <c r="K1045563" s="54"/>
    </row>
    <row r="1045564" spans="1:11" s="55" customFormat="1" ht="12.75">
      <c r="A1045564" s="24"/>
      <c r="B1045564" s="24"/>
      <c r="C1045564" s="24"/>
      <c r="D1045564" s="24"/>
      <c r="E1045564" s="24"/>
      <c r="F1045564" s="24"/>
      <c r="G1045564" s="24"/>
      <c r="H1045564" s="24"/>
      <c r="I1045564" s="24"/>
      <c r="J1045564" s="24"/>
      <c r="K1045564" s="54"/>
    </row>
    <row r="1045565" spans="1:11" s="55" customFormat="1" ht="12.75">
      <c r="A1045565" s="24"/>
      <c r="B1045565" s="24"/>
      <c r="C1045565" s="24"/>
      <c r="D1045565" s="24"/>
      <c r="E1045565" s="24"/>
      <c r="F1045565" s="24"/>
      <c r="G1045565" s="24"/>
      <c r="H1045565" s="24"/>
      <c r="I1045565" s="24"/>
      <c r="J1045565" s="24"/>
      <c r="K1045565" s="54"/>
    </row>
    <row r="1045566" spans="1:11" s="55" customFormat="1" ht="12.75">
      <c r="A1045566" s="24"/>
      <c r="B1045566" s="24"/>
      <c r="C1045566" s="24"/>
      <c r="D1045566" s="24"/>
      <c r="E1045566" s="24"/>
      <c r="F1045566" s="24"/>
      <c r="G1045566" s="24"/>
      <c r="H1045566" s="24"/>
      <c r="I1045566" s="24"/>
      <c r="J1045566" s="24"/>
      <c r="K1045566" s="54"/>
    </row>
    <row r="1045567" spans="1:11" s="55" customFormat="1" ht="12.75">
      <c r="A1045567" s="24"/>
      <c r="B1045567" s="24"/>
      <c r="C1045567" s="24"/>
      <c r="D1045567" s="24"/>
      <c r="E1045567" s="24"/>
      <c r="F1045567" s="24"/>
      <c r="G1045567" s="24"/>
      <c r="H1045567" s="24"/>
      <c r="I1045567" s="24"/>
      <c r="J1045567" s="24"/>
      <c r="K1045567" s="54"/>
    </row>
    <row r="1045568" spans="1:11" s="55" customFormat="1" ht="12.75">
      <c r="A1045568" s="24"/>
      <c r="B1045568" s="24"/>
      <c r="C1045568" s="24"/>
      <c r="D1045568" s="24"/>
      <c r="E1045568" s="24"/>
      <c r="F1045568" s="24"/>
      <c r="G1045568" s="24"/>
      <c r="H1045568" s="24"/>
      <c r="I1045568" s="24"/>
      <c r="J1045568" s="24"/>
      <c r="K1045568" s="54"/>
    </row>
    <row r="1045569" spans="1:11" s="55" customFormat="1" ht="12.75">
      <c r="A1045569" s="24"/>
      <c r="B1045569" s="24"/>
      <c r="C1045569" s="24"/>
      <c r="D1045569" s="24"/>
      <c r="E1045569" s="24"/>
      <c r="F1045569" s="24"/>
      <c r="G1045569" s="24"/>
      <c r="H1045569" s="24"/>
      <c r="I1045569" s="24"/>
      <c r="J1045569" s="24"/>
      <c r="K1045569" s="54"/>
    </row>
    <row r="1045570" spans="1:11" s="55" customFormat="1" ht="12.75">
      <c r="A1045570" s="24"/>
      <c r="B1045570" s="24"/>
      <c r="C1045570" s="24"/>
      <c r="D1045570" s="24"/>
      <c r="E1045570" s="24"/>
      <c r="F1045570" s="24"/>
      <c r="G1045570" s="24"/>
      <c r="H1045570" s="24"/>
      <c r="I1045570" s="24"/>
      <c r="J1045570" s="24"/>
      <c r="K1045570" s="54"/>
    </row>
    <row r="1045571" spans="1:11" s="55" customFormat="1" ht="12.75">
      <c r="A1045571" s="24"/>
      <c r="B1045571" s="24"/>
      <c r="C1045571" s="24"/>
      <c r="D1045571" s="24"/>
      <c r="E1045571" s="24"/>
      <c r="F1045571" s="24"/>
      <c r="G1045571" s="24"/>
      <c r="H1045571" s="24"/>
      <c r="I1045571" s="24"/>
      <c r="J1045571" s="24"/>
      <c r="K1045571" s="54"/>
    </row>
    <row r="1045572" spans="1:11" s="55" customFormat="1" ht="12.75">
      <c r="A1045572" s="24"/>
      <c r="B1045572" s="24"/>
      <c r="C1045572" s="24"/>
      <c r="D1045572" s="24"/>
      <c r="E1045572" s="24"/>
      <c r="F1045572" s="24"/>
      <c r="G1045572" s="24"/>
      <c r="H1045572" s="24"/>
      <c r="I1045572" s="24"/>
      <c r="J1045572" s="24"/>
      <c r="K1045572" s="54"/>
    </row>
    <row r="1045573" spans="1:11" s="55" customFormat="1" ht="12.75">
      <c r="A1045573" s="24"/>
      <c r="B1045573" s="24"/>
      <c r="C1045573" s="24"/>
      <c r="D1045573" s="24"/>
      <c r="E1045573" s="24"/>
      <c r="F1045573" s="24"/>
      <c r="G1045573" s="24"/>
      <c r="H1045573" s="24"/>
      <c r="I1045573" s="24"/>
      <c r="J1045573" s="24"/>
      <c r="K1045573" s="54"/>
    </row>
    <row r="1045574" spans="1:11" s="55" customFormat="1" ht="12.75">
      <c r="A1045574" s="24"/>
      <c r="B1045574" s="24"/>
      <c r="C1045574" s="24"/>
      <c r="D1045574" s="24"/>
      <c r="E1045574" s="24"/>
      <c r="F1045574" s="24"/>
      <c r="G1045574" s="24"/>
      <c r="H1045574" s="24"/>
      <c r="I1045574" s="24"/>
      <c r="J1045574" s="24"/>
      <c r="K1045574" s="54"/>
    </row>
    <row r="1045575" spans="1:11" s="55" customFormat="1" ht="12.75">
      <c r="A1045575" s="24"/>
      <c r="B1045575" s="24"/>
      <c r="C1045575" s="24"/>
      <c r="D1045575" s="24"/>
      <c r="E1045575" s="24"/>
      <c r="F1045575" s="24"/>
      <c r="G1045575" s="24"/>
      <c r="H1045575" s="24"/>
      <c r="I1045575" s="24"/>
      <c r="J1045575" s="24"/>
      <c r="K1045575" s="54"/>
    </row>
    <row r="1045576" spans="1:11" s="55" customFormat="1" ht="12.75">
      <c r="A1045576" s="24"/>
      <c r="B1045576" s="24"/>
      <c r="C1045576" s="24"/>
      <c r="D1045576" s="24"/>
      <c r="E1045576" s="24"/>
      <c r="F1045576" s="24"/>
      <c r="G1045576" s="24"/>
      <c r="H1045576" s="24"/>
      <c r="I1045576" s="24"/>
      <c r="J1045576" s="24"/>
      <c r="K1045576" s="54"/>
    </row>
    <row r="1045577" spans="1:11" s="55" customFormat="1" ht="12.75">
      <c r="A1045577" s="24"/>
      <c r="B1045577" s="24"/>
      <c r="C1045577" s="24"/>
      <c r="D1045577" s="24"/>
      <c r="E1045577" s="24"/>
      <c r="F1045577" s="24"/>
      <c r="G1045577" s="24"/>
      <c r="H1045577" s="24"/>
      <c r="I1045577" s="24"/>
      <c r="J1045577" s="24"/>
      <c r="K1045577" s="54"/>
    </row>
    <row r="1045578" spans="1:11" s="55" customFormat="1" ht="12.75">
      <c r="A1045578" s="24"/>
      <c r="B1045578" s="24"/>
      <c r="C1045578" s="24"/>
      <c r="D1045578" s="24"/>
      <c r="E1045578" s="24"/>
      <c r="F1045578" s="24"/>
      <c r="G1045578" s="24"/>
      <c r="H1045578" s="24"/>
      <c r="I1045578" s="24"/>
      <c r="J1045578" s="24"/>
      <c r="K1045578" s="54"/>
    </row>
    <row r="1045579" spans="1:11" s="55" customFormat="1" ht="12.75">
      <c r="A1045579" s="24"/>
      <c r="B1045579" s="24"/>
      <c r="C1045579" s="24"/>
      <c r="D1045579" s="24"/>
      <c r="E1045579" s="24"/>
      <c r="F1045579" s="24"/>
      <c r="G1045579" s="24"/>
      <c r="H1045579" s="24"/>
      <c r="I1045579" s="24"/>
      <c r="J1045579" s="24"/>
      <c r="K1045579" s="54"/>
    </row>
    <row r="1045580" spans="1:11" s="55" customFormat="1" ht="12.75">
      <c r="A1045580" s="24"/>
      <c r="B1045580" s="24"/>
      <c r="C1045580" s="24"/>
      <c r="D1045580" s="24"/>
      <c r="E1045580" s="24"/>
      <c r="F1045580" s="24"/>
      <c r="G1045580" s="24"/>
      <c r="H1045580" s="24"/>
      <c r="I1045580" s="24"/>
      <c r="J1045580" s="24"/>
      <c r="K1045580" s="54"/>
    </row>
    <row r="1045581" spans="1:11" s="55" customFormat="1" ht="12.75">
      <c r="A1045581" s="24"/>
      <c r="B1045581" s="24"/>
      <c r="C1045581" s="24"/>
      <c r="D1045581" s="24"/>
      <c r="E1045581" s="24"/>
      <c r="F1045581" s="24"/>
      <c r="G1045581" s="24"/>
      <c r="H1045581" s="24"/>
      <c r="I1045581" s="24"/>
      <c r="J1045581" s="24"/>
      <c r="K1045581" s="54"/>
    </row>
    <row r="1045582" spans="1:11" s="55" customFormat="1" ht="12.75">
      <c r="A1045582" s="24"/>
      <c r="B1045582" s="24"/>
      <c r="C1045582" s="24"/>
      <c r="D1045582" s="24"/>
      <c r="E1045582" s="24"/>
      <c r="F1045582" s="24"/>
      <c r="G1045582" s="24"/>
      <c r="H1045582" s="24"/>
      <c r="I1045582" s="24"/>
      <c r="J1045582" s="24"/>
      <c r="K1045582" s="54"/>
    </row>
    <row r="1045583" spans="1:11" s="55" customFormat="1" ht="12.75">
      <c r="A1045583" s="24"/>
      <c r="B1045583" s="24"/>
      <c r="C1045583" s="24"/>
      <c r="D1045583" s="24"/>
      <c r="E1045583" s="24"/>
      <c r="F1045583" s="24"/>
      <c r="G1045583" s="24"/>
      <c r="H1045583" s="24"/>
      <c r="I1045583" s="24"/>
      <c r="J1045583" s="24"/>
      <c r="K1045583" s="54"/>
    </row>
    <row r="1045584" spans="1:11" s="55" customFormat="1" ht="12.75">
      <c r="A1045584" s="24"/>
      <c r="B1045584" s="24"/>
      <c r="C1045584" s="24"/>
      <c r="D1045584" s="24"/>
      <c r="E1045584" s="24"/>
      <c r="F1045584" s="24"/>
      <c r="G1045584" s="24"/>
      <c r="H1045584" s="24"/>
      <c r="I1045584" s="24"/>
      <c r="J1045584" s="24"/>
      <c r="K1045584" s="54"/>
    </row>
    <row r="1045585" spans="1:11" s="55" customFormat="1" ht="12.75">
      <c r="A1045585" s="24"/>
      <c r="B1045585" s="24"/>
      <c r="C1045585" s="24"/>
      <c r="D1045585" s="24"/>
      <c r="E1045585" s="24"/>
      <c r="F1045585" s="24"/>
      <c r="G1045585" s="24"/>
      <c r="H1045585" s="24"/>
      <c r="I1045585" s="24"/>
      <c r="J1045585" s="24"/>
      <c r="K1045585" s="54"/>
    </row>
    <row r="1045586" spans="1:11" s="55" customFormat="1" ht="12.75">
      <c r="A1045586" s="24"/>
      <c r="B1045586" s="24"/>
      <c r="C1045586" s="24"/>
      <c r="D1045586" s="24"/>
      <c r="E1045586" s="24"/>
      <c r="F1045586" s="24"/>
      <c r="G1045586" s="24"/>
      <c r="H1045586" s="24"/>
      <c r="I1045586" s="24"/>
      <c r="J1045586" s="24"/>
      <c r="K1045586" s="54"/>
    </row>
    <row r="1045587" spans="1:11" s="55" customFormat="1" ht="12.75">
      <c r="A1045587" s="24"/>
      <c r="B1045587" s="24"/>
      <c r="C1045587" s="24"/>
      <c r="D1045587" s="24"/>
      <c r="E1045587" s="24"/>
      <c r="F1045587" s="24"/>
      <c r="G1045587" s="24"/>
      <c r="H1045587" s="24"/>
      <c r="I1045587" s="24"/>
      <c r="J1045587" s="24"/>
      <c r="K1045587" s="54"/>
    </row>
    <row r="1045588" spans="1:11" s="55" customFormat="1" ht="12.75">
      <c r="A1045588" s="24"/>
      <c r="B1045588" s="24"/>
      <c r="C1045588" s="24"/>
      <c r="D1045588" s="24"/>
      <c r="E1045588" s="24"/>
      <c r="F1045588" s="24"/>
      <c r="G1045588" s="24"/>
      <c r="H1045588" s="24"/>
      <c r="I1045588" s="24"/>
      <c r="J1045588" s="24"/>
      <c r="K1045588" s="54"/>
    </row>
    <row r="1045589" spans="1:11" s="55" customFormat="1" ht="12.75">
      <c r="A1045589" s="24"/>
      <c r="B1045589" s="24"/>
      <c r="C1045589" s="24"/>
      <c r="D1045589" s="24"/>
      <c r="E1045589" s="24"/>
      <c r="F1045589" s="24"/>
      <c r="G1045589" s="24"/>
      <c r="H1045589" s="24"/>
      <c r="I1045589" s="24"/>
      <c r="J1045589" s="24"/>
      <c r="K1045589" s="54"/>
    </row>
    <row r="1045590" spans="1:11" s="55" customFormat="1" ht="12.75">
      <c r="A1045590" s="24"/>
      <c r="B1045590" s="24"/>
      <c r="C1045590" s="24"/>
      <c r="D1045590" s="24"/>
      <c r="E1045590" s="24"/>
      <c r="F1045590" s="24"/>
      <c r="G1045590" s="24"/>
      <c r="H1045590" s="24"/>
      <c r="I1045590" s="24"/>
      <c r="J1045590" s="24"/>
      <c r="K1045590" s="54"/>
    </row>
    <row r="1045591" spans="1:11" s="55" customFormat="1" ht="12.75">
      <c r="A1045591" s="24"/>
      <c r="B1045591" s="24"/>
      <c r="C1045591" s="24"/>
      <c r="D1045591" s="24"/>
      <c r="E1045591" s="24"/>
      <c r="F1045591" s="24"/>
      <c r="G1045591" s="24"/>
      <c r="H1045591" s="24"/>
      <c r="I1045591" s="24"/>
      <c r="J1045591" s="24"/>
      <c r="K1045591" s="54"/>
    </row>
    <row r="1045592" spans="1:11" s="55" customFormat="1" ht="12.75">
      <c r="A1045592" s="24"/>
      <c r="B1045592" s="24"/>
      <c r="C1045592" s="24"/>
      <c r="D1045592" s="24"/>
      <c r="E1045592" s="24"/>
      <c r="F1045592" s="24"/>
      <c r="G1045592" s="24"/>
      <c r="H1045592" s="24"/>
      <c r="I1045592" s="24"/>
      <c r="J1045592" s="24"/>
      <c r="K1045592" s="54"/>
    </row>
    <row r="1045593" spans="1:11" s="55" customFormat="1" ht="12.75">
      <c r="A1045593" s="24"/>
      <c r="B1045593" s="24"/>
      <c r="C1045593" s="24"/>
      <c r="D1045593" s="24"/>
      <c r="E1045593" s="24"/>
      <c r="F1045593" s="24"/>
      <c r="G1045593" s="24"/>
      <c r="H1045593" s="24"/>
      <c r="I1045593" s="24"/>
      <c r="J1045593" s="24"/>
      <c r="K1045593" s="54"/>
    </row>
    <row r="1045594" spans="1:11" s="55" customFormat="1" ht="12.75">
      <c r="A1045594" s="24"/>
      <c r="B1045594" s="24"/>
      <c r="C1045594" s="24"/>
      <c r="D1045594" s="24"/>
      <c r="E1045594" s="24"/>
      <c r="F1045594" s="24"/>
      <c r="G1045594" s="24"/>
      <c r="H1045594" s="24"/>
      <c r="I1045594" s="24"/>
      <c r="J1045594" s="24"/>
      <c r="K1045594" s="54"/>
    </row>
    <row r="1045595" spans="1:11" s="55" customFormat="1" ht="12.75">
      <c r="A1045595" s="24"/>
      <c r="B1045595" s="24"/>
      <c r="C1045595" s="24"/>
      <c r="D1045595" s="24"/>
      <c r="E1045595" s="24"/>
      <c r="F1045595" s="24"/>
      <c r="G1045595" s="24"/>
      <c r="H1045595" s="24"/>
      <c r="I1045595" s="24"/>
      <c r="J1045595" s="24"/>
      <c r="K1045595" s="54"/>
    </row>
    <row r="1045596" spans="1:11" s="55" customFormat="1" ht="12.75">
      <c r="A1045596" s="24"/>
      <c r="B1045596" s="24"/>
      <c r="C1045596" s="24"/>
      <c r="D1045596" s="24"/>
      <c r="E1045596" s="24"/>
      <c r="F1045596" s="24"/>
      <c r="G1045596" s="24"/>
      <c r="H1045596" s="24"/>
      <c r="I1045596" s="24"/>
      <c r="J1045596" s="24"/>
      <c r="K1045596" s="54"/>
    </row>
    <row r="1045597" spans="1:11" s="55" customFormat="1" ht="12.75">
      <c r="A1045597" s="24"/>
      <c r="B1045597" s="24"/>
      <c r="C1045597" s="24"/>
      <c r="D1045597" s="24"/>
      <c r="E1045597" s="24"/>
      <c r="F1045597" s="24"/>
      <c r="G1045597" s="24"/>
      <c r="H1045597" s="24"/>
      <c r="I1045597" s="24"/>
      <c r="J1045597" s="24"/>
      <c r="K1045597" s="54"/>
    </row>
    <row r="1045598" spans="1:11" s="55" customFormat="1" ht="12.75">
      <c r="A1045598" s="24"/>
      <c r="B1045598" s="24"/>
      <c r="C1045598" s="24"/>
      <c r="D1045598" s="24"/>
      <c r="E1045598" s="24"/>
      <c r="F1045598" s="24"/>
      <c r="G1045598" s="24"/>
      <c r="H1045598" s="24"/>
      <c r="I1045598" s="24"/>
      <c r="J1045598" s="24"/>
      <c r="K1045598" s="54"/>
    </row>
    <row r="1045599" spans="1:11" s="55" customFormat="1" ht="12.75">
      <c r="A1045599" s="24"/>
      <c r="B1045599" s="24"/>
      <c r="C1045599" s="24"/>
      <c r="D1045599" s="24"/>
      <c r="E1045599" s="24"/>
      <c r="F1045599" s="24"/>
      <c r="G1045599" s="24"/>
      <c r="H1045599" s="24"/>
      <c r="I1045599" s="24"/>
      <c r="J1045599" s="24"/>
      <c r="K1045599" s="54"/>
    </row>
    <row r="1045600" spans="1:11" s="55" customFormat="1" ht="12.75">
      <c r="A1045600" s="24"/>
      <c r="B1045600" s="24"/>
      <c r="C1045600" s="24"/>
      <c r="D1045600" s="24"/>
      <c r="E1045600" s="24"/>
      <c r="F1045600" s="24"/>
      <c r="G1045600" s="24"/>
      <c r="H1045600" s="24"/>
      <c r="I1045600" s="24"/>
      <c r="J1045600" s="24"/>
      <c r="K1045600" s="54"/>
    </row>
    <row r="1045601" spans="1:11" s="55" customFormat="1" ht="12.75">
      <c r="A1045601" s="24"/>
      <c r="B1045601" s="24"/>
      <c r="C1045601" s="24"/>
      <c r="D1045601" s="24"/>
      <c r="E1045601" s="24"/>
      <c r="F1045601" s="24"/>
      <c r="G1045601" s="24"/>
      <c r="H1045601" s="24"/>
      <c r="I1045601" s="24"/>
      <c r="J1045601" s="24"/>
      <c r="K1045601" s="54"/>
    </row>
    <row r="1045602" spans="1:11" s="55" customFormat="1" ht="12.75">
      <c r="A1045602" s="24"/>
      <c r="B1045602" s="24"/>
      <c r="C1045602" s="24"/>
      <c r="D1045602" s="24"/>
      <c r="E1045602" s="24"/>
      <c r="F1045602" s="24"/>
      <c r="G1045602" s="24"/>
      <c r="H1045602" s="24"/>
      <c r="I1045602" s="24"/>
      <c r="J1045602" s="24"/>
      <c r="K1045602" s="54"/>
    </row>
    <row r="1045603" spans="1:11" s="55" customFormat="1" ht="12.75">
      <c r="A1045603" s="24"/>
      <c r="B1045603" s="24"/>
      <c r="C1045603" s="24"/>
      <c r="D1045603" s="24"/>
      <c r="E1045603" s="24"/>
      <c r="F1045603" s="24"/>
      <c r="G1045603" s="24"/>
      <c r="H1045603" s="24"/>
      <c r="I1045603" s="24"/>
      <c r="J1045603" s="24"/>
      <c r="K1045603" s="54"/>
    </row>
    <row r="1045604" spans="1:11" s="55" customFormat="1" ht="12.75">
      <c r="A1045604" s="24"/>
      <c r="B1045604" s="24"/>
      <c r="C1045604" s="24"/>
      <c r="D1045604" s="24"/>
      <c r="E1045604" s="24"/>
      <c r="F1045604" s="24"/>
      <c r="G1045604" s="24"/>
      <c r="H1045604" s="24"/>
      <c r="I1045604" s="24"/>
      <c r="J1045604" s="24"/>
      <c r="K1045604" s="54"/>
    </row>
    <row r="1045605" spans="1:11" s="55" customFormat="1" ht="12.75">
      <c r="A1045605" s="24"/>
      <c r="B1045605" s="24"/>
      <c r="C1045605" s="24"/>
      <c r="D1045605" s="24"/>
      <c r="E1045605" s="24"/>
      <c r="F1045605" s="24"/>
      <c r="G1045605" s="24"/>
      <c r="H1045605" s="24"/>
      <c r="I1045605" s="24"/>
      <c r="J1045605" s="24"/>
      <c r="K1045605" s="54"/>
    </row>
    <row r="1045606" spans="1:11" s="55" customFormat="1" ht="12.75">
      <c r="A1045606" s="24"/>
      <c r="B1045606" s="24"/>
      <c r="C1045606" s="24"/>
      <c r="D1045606" s="24"/>
      <c r="E1045606" s="24"/>
      <c r="F1045606" s="24"/>
      <c r="G1045606" s="24"/>
      <c r="H1045606" s="24"/>
      <c r="I1045606" s="24"/>
      <c r="J1045606" s="24"/>
      <c r="K1045606" s="54"/>
    </row>
    <row r="1045607" spans="1:11" s="55" customFormat="1" ht="12.75">
      <c r="A1045607" s="24"/>
      <c r="B1045607" s="24"/>
      <c r="C1045607" s="24"/>
      <c r="D1045607" s="24"/>
      <c r="E1045607" s="24"/>
      <c r="F1045607" s="24"/>
      <c r="G1045607" s="24"/>
      <c r="H1045607" s="24"/>
      <c r="I1045607" s="24"/>
      <c r="J1045607" s="24"/>
      <c r="K1045607" s="54"/>
    </row>
    <row r="1045608" spans="1:11" s="55" customFormat="1" ht="12.75">
      <c r="A1045608" s="24"/>
      <c r="B1045608" s="24"/>
      <c r="C1045608" s="24"/>
      <c r="D1045608" s="24"/>
      <c r="E1045608" s="24"/>
      <c r="F1045608" s="24"/>
      <c r="G1045608" s="24"/>
      <c r="H1045608" s="24"/>
      <c r="I1045608" s="24"/>
      <c r="J1045608" s="24"/>
      <c r="K1045608" s="54"/>
    </row>
    <row r="1045609" spans="1:11" s="55" customFormat="1" ht="12.75">
      <c r="A1045609" s="24"/>
      <c r="B1045609" s="24"/>
      <c r="C1045609" s="24"/>
      <c r="D1045609" s="24"/>
      <c r="E1045609" s="24"/>
      <c r="F1045609" s="24"/>
      <c r="G1045609" s="24"/>
      <c r="H1045609" s="24"/>
      <c r="I1045609" s="24"/>
      <c r="J1045609" s="24"/>
      <c r="K1045609" s="54"/>
    </row>
    <row r="1045610" spans="1:11" s="55" customFormat="1" ht="12.75">
      <c r="A1045610" s="24"/>
      <c r="B1045610" s="24"/>
      <c r="C1045610" s="24"/>
      <c r="D1045610" s="24"/>
      <c r="E1045610" s="24"/>
      <c r="F1045610" s="24"/>
      <c r="G1045610" s="24"/>
      <c r="H1045610" s="24"/>
      <c r="I1045610" s="24"/>
      <c r="J1045610" s="24"/>
      <c r="K1045610" s="54"/>
    </row>
    <row r="1045611" spans="1:11" s="55" customFormat="1" ht="12.75">
      <c r="A1045611" s="24"/>
      <c r="B1045611" s="24"/>
      <c r="C1045611" s="24"/>
      <c r="D1045611" s="24"/>
      <c r="E1045611" s="24"/>
      <c r="F1045611" s="24"/>
      <c r="G1045611" s="24"/>
      <c r="H1045611" s="24"/>
      <c r="I1045611" s="24"/>
      <c r="J1045611" s="24"/>
      <c r="K1045611" s="54"/>
    </row>
    <row r="1045612" spans="1:11" s="55" customFormat="1" ht="12.75">
      <c r="A1045612" s="24"/>
      <c r="B1045612" s="24"/>
      <c r="C1045612" s="24"/>
      <c r="D1045612" s="24"/>
      <c r="E1045612" s="24"/>
      <c r="F1045612" s="24"/>
      <c r="G1045612" s="24"/>
      <c r="H1045612" s="24"/>
      <c r="I1045612" s="24"/>
      <c r="J1045612" s="24"/>
      <c r="K1045612" s="54"/>
    </row>
    <row r="1045613" spans="1:11" s="55" customFormat="1" ht="12.75">
      <c r="A1045613" s="24"/>
      <c r="B1045613" s="24"/>
      <c r="C1045613" s="24"/>
      <c r="D1045613" s="24"/>
      <c r="E1045613" s="24"/>
      <c r="F1045613" s="24"/>
      <c r="G1045613" s="24"/>
      <c r="H1045613" s="24"/>
      <c r="I1045613" s="24"/>
      <c r="J1045613" s="24"/>
      <c r="K1045613" s="54"/>
    </row>
    <row r="1045614" spans="1:11" s="55" customFormat="1" ht="12.75">
      <c r="A1045614" s="24"/>
      <c r="B1045614" s="24"/>
      <c r="C1045614" s="24"/>
      <c r="D1045614" s="24"/>
      <c r="E1045614" s="24"/>
      <c r="F1045614" s="24"/>
      <c r="G1045614" s="24"/>
      <c r="H1045614" s="24"/>
      <c r="I1045614" s="24"/>
      <c r="J1045614" s="24"/>
      <c r="K1045614" s="54"/>
    </row>
    <row r="1045615" spans="1:11" s="55" customFormat="1" ht="12.75">
      <c r="A1045615" s="24"/>
      <c r="B1045615" s="24"/>
      <c r="C1045615" s="24"/>
      <c r="D1045615" s="24"/>
      <c r="E1045615" s="24"/>
      <c r="F1045615" s="24"/>
      <c r="G1045615" s="24"/>
      <c r="H1045615" s="24"/>
      <c r="I1045615" s="24"/>
      <c r="J1045615" s="24"/>
      <c r="K1045615" s="54"/>
    </row>
    <row r="1045616" spans="1:11" s="55" customFormat="1" ht="12.75">
      <c r="A1045616" s="24"/>
      <c r="B1045616" s="24"/>
      <c r="C1045616" s="24"/>
      <c r="D1045616" s="24"/>
      <c r="E1045616" s="24"/>
      <c r="F1045616" s="24"/>
      <c r="G1045616" s="24"/>
      <c r="H1045616" s="24"/>
      <c r="I1045616" s="24"/>
      <c r="J1045616" s="24"/>
      <c r="K1045616" s="54"/>
    </row>
    <row r="1045617" spans="1:11" s="55" customFormat="1" ht="12.75">
      <c r="A1045617" s="24"/>
      <c r="B1045617" s="24"/>
      <c r="C1045617" s="24"/>
      <c r="D1045617" s="24"/>
      <c r="E1045617" s="24"/>
      <c r="F1045617" s="24"/>
      <c r="G1045617" s="24"/>
      <c r="H1045617" s="24"/>
      <c r="I1045617" s="24"/>
      <c r="J1045617" s="24"/>
      <c r="K1045617" s="54"/>
    </row>
    <row r="1045618" spans="1:11" s="55" customFormat="1" ht="12.75">
      <c r="A1045618" s="24"/>
      <c r="B1045618" s="24"/>
      <c r="C1045618" s="24"/>
      <c r="D1045618" s="24"/>
      <c r="E1045618" s="24"/>
      <c r="F1045618" s="24"/>
      <c r="G1045618" s="24"/>
      <c r="H1045618" s="24"/>
      <c r="I1045618" s="24"/>
      <c r="J1045618" s="24"/>
      <c r="K1045618" s="54"/>
    </row>
    <row r="1045619" spans="1:11" s="55" customFormat="1" ht="12.75">
      <c r="A1045619" s="24"/>
      <c r="B1045619" s="24"/>
      <c r="C1045619" s="24"/>
      <c r="D1045619" s="24"/>
      <c r="E1045619" s="24"/>
      <c r="F1045619" s="24"/>
      <c r="G1045619" s="24"/>
      <c r="H1045619" s="24"/>
      <c r="I1045619" s="24"/>
      <c r="J1045619" s="24"/>
      <c r="K1045619" s="54"/>
    </row>
    <row r="1045620" spans="1:11" s="55" customFormat="1" ht="12.75">
      <c r="A1045620" s="24"/>
      <c r="B1045620" s="24"/>
      <c r="C1045620" s="24"/>
      <c r="D1045620" s="24"/>
      <c r="E1045620" s="24"/>
      <c r="F1045620" s="24"/>
      <c r="G1045620" s="24"/>
      <c r="H1045620" s="24"/>
      <c r="I1045620" s="24"/>
      <c r="J1045620" s="24"/>
      <c r="K1045620" s="54"/>
    </row>
    <row r="1045621" spans="1:11" s="55" customFormat="1" ht="12.75">
      <c r="A1045621" s="24"/>
      <c r="B1045621" s="24"/>
      <c r="C1045621" s="24"/>
      <c r="D1045621" s="24"/>
      <c r="E1045621" s="24"/>
      <c r="F1045621" s="24"/>
      <c r="G1045621" s="24"/>
      <c r="H1045621" s="24"/>
      <c r="I1045621" s="24"/>
      <c r="J1045621" s="24"/>
      <c r="K1045621" s="54"/>
    </row>
    <row r="1045622" spans="1:11" s="55" customFormat="1" ht="12.75">
      <c r="A1045622" s="24"/>
      <c r="B1045622" s="24"/>
      <c r="C1045622" s="24"/>
      <c r="D1045622" s="24"/>
      <c r="E1045622" s="24"/>
      <c r="F1045622" s="24"/>
      <c r="G1045622" s="24"/>
      <c r="H1045622" s="24"/>
      <c r="I1045622" s="24"/>
      <c r="J1045622" s="24"/>
      <c r="K1045622" s="54"/>
    </row>
    <row r="1045623" spans="1:11" s="55" customFormat="1" ht="12.75">
      <c r="A1045623" s="24"/>
      <c r="B1045623" s="24"/>
      <c r="C1045623" s="24"/>
      <c r="D1045623" s="24"/>
      <c r="E1045623" s="24"/>
      <c r="F1045623" s="24"/>
      <c r="G1045623" s="24"/>
      <c r="H1045623" s="24"/>
      <c r="I1045623" s="24"/>
      <c r="J1045623" s="24"/>
      <c r="K1045623" s="54"/>
    </row>
    <row r="1045624" spans="1:11" s="55" customFormat="1" ht="12.75">
      <c r="A1045624" s="24"/>
      <c r="B1045624" s="24"/>
      <c r="C1045624" s="24"/>
      <c r="D1045624" s="24"/>
      <c r="E1045624" s="24"/>
      <c r="F1045624" s="24"/>
      <c r="G1045624" s="24"/>
      <c r="H1045624" s="24"/>
      <c r="I1045624" s="24"/>
      <c r="J1045624" s="24"/>
      <c r="K1045624" s="54"/>
    </row>
    <row r="1045625" spans="1:11" s="55" customFormat="1" ht="12.75">
      <c r="A1045625" s="24"/>
      <c r="B1045625" s="24"/>
      <c r="C1045625" s="24"/>
      <c r="D1045625" s="24"/>
      <c r="E1045625" s="24"/>
      <c r="F1045625" s="24"/>
      <c r="G1045625" s="24"/>
      <c r="H1045625" s="24"/>
      <c r="I1045625" s="24"/>
      <c r="J1045625" s="24"/>
      <c r="K1045625" s="54"/>
    </row>
    <row r="1045626" spans="1:11" s="55" customFormat="1" ht="12.75">
      <c r="A1045626" s="24"/>
      <c r="B1045626" s="24"/>
      <c r="C1045626" s="24"/>
      <c r="D1045626" s="24"/>
      <c r="E1045626" s="24"/>
      <c r="F1045626" s="24"/>
      <c r="G1045626" s="24"/>
      <c r="H1045626" s="24"/>
      <c r="I1045626" s="24"/>
      <c r="J1045626" s="24"/>
      <c r="K1045626" s="54"/>
    </row>
    <row r="1045627" spans="1:11" s="55" customFormat="1" ht="12.75">
      <c r="A1045627" s="24"/>
      <c r="B1045627" s="24"/>
      <c r="C1045627" s="24"/>
      <c r="D1045627" s="24"/>
      <c r="E1045627" s="24"/>
      <c r="F1045627" s="24"/>
      <c r="G1045627" s="24"/>
      <c r="H1045627" s="24"/>
      <c r="I1045627" s="24"/>
      <c r="J1045627" s="24"/>
      <c r="K1045627" s="54"/>
    </row>
    <row r="1045628" spans="1:11" s="55" customFormat="1" ht="12.75">
      <c r="A1045628" s="24"/>
      <c r="B1045628" s="24"/>
      <c r="C1045628" s="24"/>
      <c r="D1045628" s="24"/>
      <c r="E1045628" s="24"/>
      <c r="F1045628" s="24"/>
      <c r="G1045628" s="24"/>
      <c r="H1045628" s="24"/>
      <c r="I1045628" s="24"/>
      <c r="J1045628" s="24"/>
      <c r="K1045628" s="54"/>
    </row>
    <row r="1045629" spans="1:11" s="55" customFormat="1" ht="12.75">
      <c r="A1045629" s="24"/>
      <c r="B1045629" s="24"/>
      <c r="C1045629" s="24"/>
      <c r="D1045629" s="24"/>
      <c r="E1045629" s="24"/>
      <c r="F1045629" s="24"/>
      <c r="G1045629" s="24"/>
      <c r="H1045629" s="24"/>
      <c r="I1045629" s="24"/>
      <c r="J1045629" s="24"/>
      <c r="K1045629" s="54"/>
    </row>
    <row r="1045630" spans="1:11" s="55" customFormat="1" ht="12.75">
      <c r="A1045630" s="24"/>
      <c r="B1045630" s="24"/>
      <c r="C1045630" s="24"/>
      <c r="D1045630" s="24"/>
      <c r="E1045630" s="24"/>
      <c r="F1045630" s="24"/>
      <c r="G1045630" s="24"/>
      <c r="H1045630" s="24"/>
      <c r="I1045630" s="24"/>
      <c r="J1045630" s="24"/>
      <c r="K1045630" s="54"/>
    </row>
    <row r="1045631" spans="1:11" s="55" customFormat="1" ht="12.75">
      <c r="A1045631" s="24"/>
      <c r="B1045631" s="24"/>
      <c r="C1045631" s="24"/>
      <c r="D1045631" s="24"/>
      <c r="E1045631" s="24"/>
      <c r="F1045631" s="24"/>
      <c r="G1045631" s="24"/>
      <c r="H1045631" s="24"/>
      <c r="I1045631" s="24"/>
      <c r="J1045631" s="24"/>
      <c r="K1045631" s="54"/>
    </row>
    <row r="1045632" spans="1:11" s="55" customFormat="1" ht="12.75">
      <c r="A1045632" s="24"/>
      <c r="B1045632" s="24"/>
      <c r="C1045632" s="24"/>
      <c r="D1045632" s="24"/>
      <c r="E1045632" s="24"/>
      <c r="F1045632" s="24"/>
      <c r="G1045632" s="24"/>
      <c r="H1045632" s="24"/>
      <c r="I1045632" s="24"/>
      <c r="J1045632" s="24"/>
      <c r="K1045632" s="54"/>
    </row>
    <row r="1045633" spans="1:11" s="55" customFormat="1" ht="12.75">
      <c r="A1045633" s="24"/>
      <c r="B1045633" s="24"/>
      <c r="C1045633" s="24"/>
      <c r="D1045633" s="24"/>
      <c r="E1045633" s="24"/>
      <c r="F1045633" s="24"/>
      <c r="G1045633" s="24"/>
      <c r="H1045633" s="24"/>
      <c r="I1045633" s="24"/>
      <c r="J1045633" s="24"/>
      <c r="K1045633" s="54"/>
    </row>
    <row r="1045634" spans="1:11" s="55" customFormat="1" ht="12.75">
      <c r="A1045634" s="24"/>
      <c r="B1045634" s="24"/>
      <c r="C1045634" s="24"/>
      <c r="D1045634" s="24"/>
      <c r="E1045634" s="24"/>
      <c r="F1045634" s="24"/>
      <c r="G1045634" s="24"/>
      <c r="H1045634" s="24"/>
      <c r="I1045634" s="24"/>
      <c r="J1045634" s="24"/>
      <c r="K1045634" s="54"/>
    </row>
    <row r="1045635" spans="1:11" s="55" customFormat="1" ht="12.75">
      <c r="A1045635" s="24"/>
      <c r="B1045635" s="24"/>
      <c r="C1045635" s="24"/>
      <c r="D1045635" s="24"/>
      <c r="E1045635" s="24"/>
      <c r="F1045635" s="24"/>
      <c r="G1045635" s="24"/>
      <c r="H1045635" s="24"/>
      <c r="I1045635" s="24"/>
      <c r="J1045635" s="24"/>
      <c r="K1045635" s="54"/>
    </row>
    <row r="1045636" spans="1:11" s="55" customFormat="1" ht="12.75">
      <c r="A1045636" s="24"/>
      <c r="B1045636" s="24"/>
      <c r="C1045636" s="24"/>
      <c r="D1045636" s="24"/>
      <c r="E1045636" s="24"/>
      <c r="F1045636" s="24"/>
      <c r="G1045636" s="24"/>
      <c r="H1045636" s="24"/>
      <c r="I1045636" s="24"/>
      <c r="J1045636" s="24"/>
      <c r="K1045636" s="54"/>
    </row>
    <row r="1045637" spans="1:11" s="55" customFormat="1" ht="12.75">
      <c r="A1045637" s="24"/>
      <c r="B1045637" s="24"/>
      <c r="C1045637" s="24"/>
      <c r="D1045637" s="24"/>
      <c r="E1045637" s="24"/>
      <c r="F1045637" s="24"/>
      <c r="G1045637" s="24"/>
      <c r="H1045637" s="24"/>
      <c r="I1045637" s="24"/>
      <c r="J1045637" s="24"/>
      <c r="K1045637" s="54"/>
    </row>
    <row r="1045638" spans="1:11" s="55" customFormat="1" ht="12.75">
      <c r="A1045638" s="24"/>
      <c r="B1045638" s="24"/>
      <c r="C1045638" s="24"/>
      <c r="D1045638" s="24"/>
      <c r="E1045638" s="24"/>
      <c r="F1045638" s="24"/>
      <c r="G1045638" s="24"/>
      <c r="H1045638" s="24"/>
      <c r="I1045638" s="24"/>
      <c r="J1045638" s="24"/>
      <c r="K1045638" s="54"/>
    </row>
    <row r="1045639" spans="1:11" s="55" customFormat="1" ht="12.75">
      <c r="A1045639" s="24"/>
      <c r="B1045639" s="24"/>
      <c r="C1045639" s="24"/>
      <c r="D1045639" s="24"/>
      <c r="E1045639" s="24"/>
      <c r="F1045639" s="24"/>
      <c r="G1045639" s="24"/>
      <c r="H1045639" s="24"/>
      <c r="I1045639" s="24"/>
      <c r="J1045639" s="24"/>
      <c r="K1045639" s="54"/>
    </row>
    <row r="1045640" spans="1:11" s="55" customFormat="1" ht="12.75">
      <c r="A1045640" s="24"/>
      <c r="B1045640" s="24"/>
      <c r="C1045640" s="24"/>
      <c r="D1045640" s="24"/>
      <c r="E1045640" s="24"/>
      <c r="F1045640" s="24"/>
      <c r="G1045640" s="24"/>
      <c r="H1045640" s="24"/>
      <c r="I1045640" s="24"/>
      <c r="J1045640" s="24"/>
      <c r="K1045640" s="54"/>
    </row>
    <row r="1045641" spans="1:11" s="55" customFormat="1" ht="12.75">
      <c r="A1045641" s="24"/>
      <c r="B1045641" s="24"/>
      <c r="C1045641" s="24"/>
      <c r="D1045641" s="24"/>
      <c r="E1045641" s="24"/>
      <c r="F1045641" s="24"/>
      <c r="G1045641" s="24"/>
      <c r="H1045641" s="24"/>
      <c r="I1045641" s="24"/>
      <c r="J1045641" s="24"/>
      <c r="K1045641" s="54"/>
    </row>
    <row r="1045642" spans="1:11" s="55" customFormat="1" ht="12.75">
      <c r="A1045642" s="24"/>
      <c r="B1045642" s="24"/>
      <c r="C1045642" s="24"/>
      <c r="D1045642" s="24"/>
      <c r="E1045642" s="24"/>
      <c r="F1045642" s="24"/>
      <c r="G1045642" s="24"/>
      <c r="H1045642" s="24"/>
      <c r="I1045642" s="24"/>
      <c r="J1045642" s="24"/>
      <c r="K1045642" s="54"/>
    </row>
    <row r="1045643" spans="1:11" s="55" customFormat="1" ht="12.75">
      <c r="A1045643" s="24"/>
      <c r="B1045643" s="24"/>
      <c r="C1045643" s="24"/>
      <c r="D1045643" s="24"/>
      <c r="E1045643" s="24"/>
      <c r="F1045643" s="24"/>
      <c r="G1045643" s="24"/>
      <c r="H1045643" s="24"/>
      <c r="I1045643" s="24"/>
      <c r="J1045643" s="24"/>
      <c r="K1045643" s="54"/>
    </row>
    <row r="1045644" spans="1:11" s="55" customFormat="1" ht="12.75">
      <c r="A1045644" s="24"/>
      <c r="B1045644" s="24"/>
      <c r="C1045644" s="24"/>
      <c r="D1045644" s="24"/>
      <c r="E1045644" s="24"/>
      <c r="F1045644" s="24"/>
      <c r="G1045644" s="24"/>
      <c r="H1045644" s="24"/>
      <c r="I1045644" s="24"/>
      <c r="J1045644" s="24"/>
      <c r="K1045644" s="54"/>
    </row>
    <row r="1045645" spans="1:11" s="55" customFormat="1" ht="12.75">
      <c r="A1045645" s="24"/>
      <c r="B1045645" s="24"/>
      <c r="C1045645" s="24"/>
      <c r="D1045645" s="24"/>
      <c r="E1045645" s="24"/>
      <c r="F1045645" s="24"/>
      <c r="G1045645" s="24"/>
      <c r="H1045645" s="24"/>
      <c r="I1045645" s="24"/>
      <c r="J1045645" s="24"/>
      <c r="K1045645" s="54"/>
    </row>
    <row r="1045646" spans="1:11" s="55" customFormat="1" ht="12.75">
      <c r="A1045646" s="24"/>
      <c r="B1045646" s="24"/>
      <c r="C1045646" s="24"/>
      <c r="D1045646" s="24"/>
      <c r="E1045646" s="24"/>
      <c r="F1045646" s="24"/>
      <c r="G1045646" s="24"/>
      <c r="H1045646" s="24"/>
      <c r="I1045646" s="24"/>
      <c r="J1045646" s="24"/>
      <c r="K1045646" s="54"/>
    </row>
    <row r="1045647" spans="1:11" s="55" customFormat="1" ht="12.75">
      <c r="A1045647" s="24"/>
      <c r="B1045647" s="24"/>
      <c r="C1045647" s="24"/>
      <c r="D1045647" s="24"/>
      <c r="E1045647" s="24"/>
      <c r="F1045647" s="24"/>
      <c r="G1045647" s="24"/>
      <c r="H1045647" s="24"/>
      <c r="I1045647" s="24"/>
      <c r="J1045647" s="24"/>
      <c r="K1045647" s="54"/>
    </row>
    <row r="1045648" spans="1:11" s="55" customFormat="1" ht="12.75">
      <c r="A1045648" s="24"/>
      <c r="B1045648" s="24"/>
      <c r="C1045648" s="24"/>
      <c r="D1045648" s="24"/>
      <c r="E1045648" s="24"/>
      <c r="F1045648" s="24"/>
      <c r="G1045648" s="24"/>
      <c r="H1045648" s="24"/>
      <c r="I1045648" s="24"/>
      <c r="J1045648" s="24"/>
      <c r="K1045648" s="54"/>
    </row>
    <row r="1045649" spans="1:11" s="55" customFormat="1" ht="12.75">
      <c r="A1045649" s="24"/>
      <c r="B1045649" s="24"/>
      <c r="C1045649" s="24"/>
      <c r="D1045649" s="24"/>
      <c r="E1045649" s="24"/>
      <c r="F1045649" s="24"/>
      <c r="G1045649" s="24"/>
      <c r="H1045649" s="24"/>
      <c r="I1045649" s="24"/>
      <c r="J1045649" s="24"/>
      <c r="K1045649" s="54"/>
    </row>
    <row r="1045650" spans="1:11" s="55" customFormat="1" ht="12.75">
      <c r="A1045650" s="24"/>
      <c r="B1045650" s="24"/>
      <c r="C1045650" s="24"/>
      <c r="D1045650" s="24"/>
      <c r="E1045650" s="24"/>
      <c r="F1045650" s="24"/>
      <c r="G1045650" s="24"/>
      <c r="H1045650" s="24"/>
      <c r="I1045650" s="24"/>
      <c r="J1045650" s="24"/>
      <c r="K1045650" s="54"/>
    </row>
    <row r="1045651" spans="1:11" s="55" customFormat="1" ht="12.75">
      <c r="A1045651" s="24"/>
      <c r="B1045651" s="24"/>
      <c r="C1045651" s="24"/>
      <c r="D1045651" s="24"/>
      <c r="E1045651" s="24"/>
      <c r="F1045651" s="24"/>
      <c r="G1045651" s="24"/>
      <c r="H1045651" s="24"/>
      <c r="I1045651" s="24"/>
      <c r="J1045651" s="24"/>
      <c r="K1045651" s="54"/>
    </row>
    <row r="1045652" spans="1:11" s="55" customFormat="1" ht="12.75">
      <c r="A1045652" s="24"/>
      <c r="B1045652" s="24"/>
      <c r="C1045652" s="24"/>
      <c r="D1045652" s="24"/>
      <c r="E1045652" s="24"/>
      <c r="F1045652" s="24"/>
      <c r="G1045652" s="24"/>
      <c r="H1045652" s="24"/>
      <c r="I1045652" s="24"/>
      <c r="J1045652" s="24"/>
      <c r="K1045652" s="54"/>
    </row>
    <row r="1045653" spans="1:11" s="55" customFormat="1" ht="12.75">
      <c r="A1045653" s="24"/>
      <c r="B1045653" s="24"/>
      <c r="C1045653" s="24"/>
      <c r="D1045653" s="24"/>
      <c r="E1045653" s="24"/>
      <c r="F1045653" s="24"/>
      <c r="G1045653" s="24"/>
      <c r="H1045653" s="24"/>
      <c r="I1045653" s="24"/>
      <c r="J1045653" s="24"/>
      <c r="K1045653" s="54"/>
    </row>
    <row r="1045654" spans="1:11" s="55" customFormat="1" ht="12.75">
      <c r="A1045654" s="24"/>
      <c r="B1045654" s="24"/>
      <c r="C1045654" s="24"/>
      <c r="D1045654" s="24"/>
      <c r="E1045654" s="24"/>
      <c r="F1045654" s="24"/>
      <c r="G1045654" s="24"/>
      <c r="H1045654" s="24"/>
      <c r="I1045654" s="24"/>
      <c r="J1045654" s="24"/>
      <c r="K1045654" s="54"/>
    </row>
    <row r="1045655" spans="1:11" s="55" customFormat="1" ht="12.75">
      <c r="A1045655" s="24"/>
      <c r="B1045655" s="24"/>
      <c r="C1045655" s="24"/>
      <c r="D1045655" s="24"/>
      <c r="E1045655" s="24"/>
      <c r="F1045655" s="24"/>
      <c r="G1045655" s="24"/>
      <c r="H1045655" s="24"/>
      <c r="I1045655" s="24"/>
      <c r="J1045655" s="24"/>
      <c r="K1045655" s="54"/>
    </row>
    <row r="1045656" spans="1:11" s="55" customFormat="1" ht="12.75">
      <c r="A1045656" s="24"/>
      <c r="B1045656" s="24"/>
      <c r="C1045656" s="24"/>
      <c r="D1045656" s="24"/>
      <c r="E1045656" s="24"/>
      <c r="F1045656" s="24"/>
      <c r="G1045656" s="24"/>
      <c r="H1045656" s="24"/>
      <c r="I1045656" s="24"/>
      <c r="J1045656" s="24"/>
      <c r="K1045656" s="54"/>
    </row>
    <row r="1045657" spans="1:11" s="55" customFormat="1" ht="12.75">
      <c r="A1045657" s="24"/>
      <c r="B1045657" s="24"/>
      <c r="C1045657" s="24"/>
      <c r="D1045657" s="24"/>
      <c r="E1045657" s="24"/>
      <c r="F1045657" s="24"/>
      <c r="G1045657" s="24"/>
      <c r="H1045657" s="24"/>
      <c r="I1045657" s="24"/>
      <c r="J1045657" s="24"/>
      <c r="K1045657" s="54"/>
    </row>
    <row r="1045658" spans="1:11" s="55" customFormat="1" ht="12.75">
      <c r="A1045658" s="24"/>
      <c r="B1045658" s="24"/>
      <c r="C1045658" s="24"/>
      <c r="D1045658" s="24"/>
      <c r="E1045658" s="24"/>
      <c r="F1045658" s="24"/>
      <c r="G1045658" s="24"/>
      <c r="H1045658" s="24"/>
      <c r="I1045658" s="24"/>
      <c r="J1045658" s="24"/>
      <c r="K1045658" s="54"/>
    </row>
    <row r="1045659" spans="1:11" s="55" customFormat="1" ht="12.75">
      <c r="A1045659" s="24"/>
      <c r="B1045659" s="24"/>
      <c r="C1045659" s="24"/>
      <c r="D1045659" s="24"/>
      <c r="E1045659" s="24"/>
      <c r="F1045659" s="24"/>
      <c r="G1045659" s="24"/>
      <c r="H1045659" s="24"/>
      <c r="I1045659" s="24"/>
      <c r="J1045659" s="24"/>
      <c r="K1045659" s="54"/>
    </row>
    <row r="1045660" spans="1:11" s="55" customFormat="1" ht="12.75">
      <c r="A1045660" s="24"/>
      <c r="B1045660" s="24"/>
      <c r="C1045660" s="24"/>
      <c r="D1045660" s="24"/>
      <c r="E1045660" s="24"/>
      <c r="F1045660" s="24"/>
      <c r="G1045660" s="24"/>
      <c r="H1045660" s="24"/>
      <c r="I1045660" s="24"/>
      <c r="J1045660" s="24"/>
      <c r="K1045660" s="54"/>
    </row>
    <row r="1045661" spans="1:11" s="55" customFormat="1" ht="12.75">
      <c r="A1045661" s="24"/>
      <c r="B1045661" s="24"/>
      <c r="C1045661" s="24"/>
      <c r="D1045661" s="24"/>
      <c r="E1045661" s="24"/>
      <c r="F1045661" s="24"/>
      <c r="G1045661" s="24"/>
      <c r="H1045661" s="24"/>
      <c r="I1045661" s="24"/>
      <c r="J1045661" s="24"/>
      <c r="K1045661" s="54"/>
    </row>
    <row r="1045662" spans="1:11" s="55" customFormat="1" ht="12.75">
      <c r="A1045662" s="24"/>
      <c r="B1045662" s="24"/>
      <c r="C1045662" s="24"/>
      <c r="D1045662" s="24"/>
      <c r="E1045662" s="24"/>
      <c r="F1045662" s="24"/>
      <c r="G1045662" s="24"/>
      <c r="H1045662" s="24"/>
      <c r="I1045662" s="24"/>
      <c r="J1045662" s="24"/>
      <c r="K1045662" s="54"/>
    </row>
    <row r="1045663" spans="1:11" s="55" customFormat="1" ht="12.75">
      <c r="A1045663" s="24"/>
      <c r="B1045663" s="24"/>
      <c r="C1045663" s="24"/>
      <c r="D1045663" s="24"/>
      <c r="E1045663" s="24"/>
      <c r="F1045663" s="24"/>
      <c r="G1045663" s="24"/>
      <c r="H1045663" s="24"/>
      <c r="I1045663" s="24"/>
      <c r="J1045663" s="24"/>
      <c r="K1045663" s="54"/>
    </row>
    <row r="1045664" spans="1:11" s="55" customFormat="1" ht="12.75">
      <c r="A1045664" s="24"/>
      <c r="B1045664" s="24"/>
      <c r="C1045664" s="24"/>
      <c r="D1045664" s="24"/>
      <c r="E1045664" s="24"/>
      <c r="F1045664" s="24"/>
      <c r="G1045664" s="24"/>
      <c r="H1045664" s="24"/>
      <c r="I1045664" s="24"/>
      <c r="J1045664" s="24"/>
      <c r="K1045664" s="54"/>
    </row>
    <row r="1045665" spans="1:11" s="55" customFormat="1" ht="12.75">
      <c r="A1045665" s="24"/>
      <c r="B1045665" s="24"/>
      <c r="C1045665" s="24"/>
      <c r="D1045665" s="24"/>
      <c r="E1045665" s="24"/>
      <c r="F1045665" s="24"/>
      <c r="G1045665" s="24"/>
      <c r="H1045665" s="24"/>
      <c r="I1045665" s="24"/>
      <c r="J1045665" s="24"/>
      <c r="K1045665" s="54"/>
    </row>
    <row r="1045666" spans="1:11" s="55" customFormat="1" ht="12.75">
      <c r="A1045666" s="24"/>
      <c r="B1045666" s="24"/>
      <c r="C1045666" s="24"/>
      <c r="D1045666" s="24"/>
      <c r="E1045666" s="24"/>
      <c r="F1045666" s="24"/>
      <c r="G1045666" s="24"/>
      <c r="H1045666" s="24"/>
      <c r="I1045666" s="24"/>
      <c r="J1045666" s="24"/>
      <c r="K1045666" s="54"/>
    </row>
    <row r="1045667" spans="1:11" s="55" customFormat="1" ht="12.75">
      <c r="A1045667" s="24"/>
      <c r="B1045667" s="24"/>
      <c r="C1045667" s="24"/>
      <c r="D1045667" s="24"/>
      <c r="E1045667" s="24"/>
      <c r="F1045667" s="24"/>
      <c r="G1045667" s="24"/>
      <c r="H1045667" s="24"/>
      <c r="I1045667" s="24"/>
      <c r="J1045667" s="24"/>
      <c r="K1045667" s="54"/>
    </row>
    <row r="1045668" spans="1:11" s="55" customFormat="1" ht="12.75">
      <c r="A1045668" s="24"/>
      <c r="B1045668" s="24"/>
      <c r="C1045668" s="24"/>
      <c r="D1045668" s="24"/>
      <c r="E1045668" s="24"/>
      <c r="F1045668" s="24"/>
      <c r="G1045668" s="24"/>
      <c r="H1045668" s="24"/>
      <c r="I1045668" s="24"/>
      <c r="J1045668" s="24"/>
      <c r="K1045668" s="54"/>
    </row>
    <row r="1045669" spans="1:11" s="55" customFormat="1" ht="12.75">
      <c r="A1045669" s="24"/>
      <c r="B1045669" s="24"/>
      <c r="C1045669" s="24"/>
      <c r="D1045669" s="24"/>
      <c r="E1045669" s="24"/>
      <c r="F1045669" s="24"/>
      <c r="G1045669" s="24"/>
      <c r="H1045669" s="24"/>
      <c r="I1045669" s="24"/>
      <c r="J1045669" s="24"/>
      <c r="K1045669" s="54"/>
    </row>
    <row r="1045670" spans="1:11" s="55" customFormat="1" ht="12.75">
      <c r="A1045670" s="24"/>
      <c r="B1045670" s="24"/>
      <c r="C1045670" s="24"/>
      <c r="D1045670" s="24"/>
      <c r="E1045670" s="24"/>
      <c r="F1045670" s="24"/>
      <c r="G1045670" s="24"/>
      <c r="H1045670" s="24"/>
      <c r="I1045670" s="24"/>
      <c r="J1045670" s="24"/>
      <c r="K1045670" s="54"/>
    </row>
    <row r="1045671" spans="1:11" s="55" customFormat="1" ht="12.75">
      <c r="A1045671" s="24"/>
      <c r="B1045671" s="24"/>
      <c r="C1045671" s="24"/>
      <c r="D1045671" s="24"/>
      <c r="E1045671" s="24"/>
      <c r="F1045671" s="24"/>
      <c r="G1045671" s="24"/>
      <c r="H1045671" s="24"/>
      <c r="I1045671" s="24"/>
      <c r="J1045671" s="24"/>
      <c r="K1045671" s="54"/>
    </row>
    <row r="1045672" spans="1:11" s="55" customFormat="1" ht="12.75">
      <c r="A1045672" s="24"/>
      <c r="B1045672" s="24"/>
      <c r="C1045672" s="24"/>
      <c r="D1045672" s="24"/>
      <c r="E1045672" s="24"/>
      <c r="F1045672" s="24"/>
      <c r="G1045672" s="24"/>
      <c r="H1045672" s="24"/>
      <c r="I1045672" s="24"/>
      <c r="J1045672" s="24"/>
      <c r="K1045672" s="54"/>
    </row>
    <row r="1045673" spans="1:11" s="55" customFormat="1" ht="12.75">
      <c r="A1045673" s="24"/>
      <c r="B1045673" s="24"/>
      <c r="C1045673" s="24"/>
      <c r="D1045673" s="24"/>
      <c r="E1045673" s="24"/>
      <c r="F1045673" s="24"/>
      <c r="G1045673" s="24"/>
      <c r="H1045673" s="24"/>
      <c r="I1045673" s="24"/>
      <c r="J1045673" s="24"/>
      <c r="K1045673" s="54"/>
    </row>
    <row r="1045674" spans="1:11" s="55" customFormat="1" ht="12.75">
      <c r="A1045674" s="24"/>
      <c r="B1045674" s="24"/>
      <c r="C1045674" s="24"/>
      <c r="D1045674" s="24"/>
      <c r="E1045674" s="24"/>
      <c r="F1045674" s="24"/>
      <c r="G1045674" s="24"/>
      <c r="H1045674" s="24"/>
      <c r="I1045674" s="24"/>
      <c r="J1045674" s="24"/>
      <c r="K1045674" s="54"/>
    </row>
    <row r="1045675" spans="1:11" s="55" customFormat="1" ht="12.75">
      <c r="A1045675" s="24"/>
      <c r="B1045675" s="24"/>
      <c r="C1045675" s="24"/>
      <c r="D1045675" s="24"/>
      <c r="E1045675" s="24"/>
      <c r="F1045675" s="24"/>
      <c r="G1045675" s="24"/>
      <c r="H1045675" s="24"/>
      <c r="I1045675" s="24"/>
      <c r="J1045675" s="24"/>
      <c r="K1045675" s="54"/>
    </row>
    <row r="1045676" spans="1:11" s="55" customFormat="1" ht="12.75">
      <c r="A1045676" s="24"/>
      <c r="B1045676" s="24"/>
      <c r="C1045676" s="24"/>
      <c r="D1045676" s="24"/>
      <c r="E1045676" s="24"/>
      <c r="F1045676" s="24"/>
      <c r="G1045676" s="24"/>
      <c r="H1045676" s="24"/>
      <c r="I1045676" s="24"/>
      <c r="J1045676" s="24"/>
      <c r="K1045676" s="54"/>
    </row>
    <row r="1045677" spans="1:11" s="55" customFormat="1" ht="12.75">
      <c r="A1045677" s="24"/>
      <c r="B1045677" s="24"/>
      <c r="C1045677" s="24"/>
      <c r="D1045677" s="24"/>
      <c r="E1045677" s="24"/>
      <c r="F1045677" s="24"/>
      <c r="G1045677" s="24"/>
      <c r="H1045677" s="24"/>
      <c r="I1045677" s="24"/>
      <c r="J1045677" s="24"/>
      <c r="K1045677" s="54"/>
    </row>
    <row r="1045678" spans="1:11" s="55" customFormat="1" ht="12.75">
      <c r="A1045678" s="24"/>
      <c r="B1045678" s="24"/>
      <c r="C1045678" s="24"/>
      <c r="D1045678" s="24"/>
      <c r="E1045678" s="24"/>
      <c r="F1045678" s="24"/>
      <c r="G1045678" s="24"/>
      <c r="H1045678" s="24"/>
      <c r="I1045678" s="24"/>
      <c r="J1045678" s="24"/>
      <c r="K1045678" s="54"/>
    </row>
    <row r="1045679" spans="1:11" s="55" customFormat="1" ht="12.75">
      <c r="A1045679" s="24"/>
      <c r="B1045679" s="24"/>
      <c r="C1045679" s="24"/>
      <c r="D1045679" s="24"/>
      <c r="E1045679" s="24"/>
      <c r="F1045679" s="24"/>
      <c r="G1045679" s="24"/>
      <c r="H1045679" s="24"/>
      <c r="I1045679" s="24"/>
      <c r="J1045679" s="24"/>
      <c r="K1045679" s="54"/>
    </row>
    <row r="1045680" spans="1:11" s="55" customFormat="1" ht="12.75">
      <c r="A1045680" s="24"/>
      <c r="B1045680" s="24"/>
      <c r="C1045680" s="24"/>
      <c r="D1045680" s="24"/>
      <c r="E1045680" s="24"/>
      <c r="F1045680" s="24"/>
      <c r="G1045680" s="24"/>
      <c r="H1045680" s="24"/>
      <c r="I1045680" s="24"/>
      <c r="J1045680" s="24"/>
      <c r="K1045680" s="54"/>
    </row>
    <row r="1045681" spans="1:11" s="55" customFormat="1" ht="12.75">
      <c r="A1045681" s="24"/>
      <c r="B1045681" s="24"/>
      <c r="C1045681" s="24"/>
      <c r="D1045681" s="24"/>
      <c r="E1045681" s="24"/>
      <c r="F1045681" s="24"/>
      <c r="G1045681" s="24"/>
      <c r="H1045681" s="24"/>
      <c r="I1045681" s="24"/>
      <c r="J1045681" s="24"/>
      <c r="K1045681" s="54"/>
    </row>
    <row r="1045682" spans="1:11" s="55" customFormat="1" ht="12.75">
      <c r="A1045682" s="24"/>
      <c r="B1045682" s="24"/>
      <c r="C1045682" s="24"/>
      <c r="D1045682" s="24"/>
      <c r="E1045682" s="24"/>
      <c r="F1045682" s="24"/>
      <c r="G1045682" s="24"/>
      <c r="H1045682" s="24"/>
      <c r="I1045682" s="24"/>
      <c r="J1045682" s="24"/>
      <c r="K1045682" s="54"/>
    </row>
    <row r="1045683" spans="1:11" s="55" customFormat="1" ht="12.75">
      <c r="A1045683" s="24"/>
      <c r="B1045683" s="24"/>
      <c r="C1045683" s="24"/>
      <c r="D1045683" s="24"/>
      <c r="E1045683" s="24"/>
      <c r="F1045683" s="24"/>
      <c r="G1045683" s="24"/>
      <c r="H1045683" s="24"/>
      <c r="I1045683" s="24"/>
      <c r="J1045683" s="24"/>
      <c r="K1045683" s="54"/>
    </row>
    <row r="1045684" spans="1:11" s="55" customFormat="1" ht="12.75">
      <c r="A1045684" s="24"/>
      <c r="B1045684" s="24"/>
      <c r="C1045684" s="24"/>
      <c r="D1045684" s="24"/>
      <c r="E1045684" s="24"/>
      <c r="F1045684" s="24"/>
      <c r="G1045684" s="24"/>
      <c r="H1045684" s="24"/>
      <c r="I1045684" s="24"/>
      <c r="J1045684" s="24"/>
      <c r="K1045684" s="54"/>
    </row>
    <row r="1045685" spans="1:11" s="55" customFormat="1" ht="12.75">
      <c r="A1045685" s="24"/>
      <c r="B1045685" s="24"/>
      <c r="C1045685" s="24"/>
      <c r="D1045685" s="24"/>
      <c r="E1045685" s="24"/>
      <c r="F1045685" s="24"/>
      <c r="G1045685" s="24"/>
      <c r="H1045685" s="24"/>
      <c r="I1045685" s="24"/>
      <c r="J1045685" s="24"/>
      <c r="K1045685" s="54"/>
    </row>
    <row r="1045686" spans="1:11" s="55" customFormat="1" ht="12.75">
      <c r="A1045686" s="24"/>
      <c r="B1045686" s="24"/>
      <c r="C1045686" s="24"/>
      <c r="D1045686" s="24"/>
      <c r="E1045686" s="24"/>
      <c r="F1045686" s="24"/>
      <c r="G1045686" s="24"/>
      <c r="H1045686" s="24"/>
      <c r="I1045686" s="24"/>
      <c r="J1045686" s="24"/>
      <c r="K1045686" s="54"/>
    </row>
    <row r="1045687" spans="1:11" s="55" customFormat="1" ht="12.75">
      <c r="A1045687" s="24"/>
      <c r="B1045687" s="24"/>
      <c r="C1045687" s="24"/>
      <c r="D1045687" s="24"/>
      <c r="E1045687" s="24"/>
      <c r="F1045687" s="24"/>
      <c r="G1045687" s="24"/>
      <c r="H1045687" s="24"/>
      <c r="I1045687" s="24"/>
      <c r="J1045687" s="24"/>
      <c r="K1045687" s="54"/>
    </row>
    <row r="1045688" spans="1:11" s="55" customFormat="1" ht="12.75">
      <c r="A1045688" s="24"/>
      <c r="B1045688" s="24"/>
      <c r="C1045688" s="24"/>
      <c r="D1045688" s="24"/>
      <c r="E1045688" s="24"/>
      <c r="F1045688" s="24"/>
      <c r="G1045688" s="24"/>
      <c r="H1045688" s="24"/>
      <c r="I1045688" s="24"/>
      <c r="J1045688" s="24"/>
      <c r="K1045688" s="54"/>
    </row>
    <row r="1045689" spans="1:11" s="55" customFormat="1" ht="12.75">
      <c r="A1045689" s="24"/>
      <c r="B1045689" s="24"/>
      <c r="C1045689" s="24"/>
      <c r="D1045689" s="24"/>
      <c r="E1045689" s="24"/>
      <c r="F1045689" s="24"/>
      <c r="G1045689" s="24"/>
      <c r="H1045689" s="24"/>
      <c r="I1045689" s="24"/>
      <c r="J1045689" s="24"/>
      <c r="K1045689" s="54"/>
    </row>
    <row r="1045690" spans="1:11" s="55" customFormat="1" ht="12.75">
      <c r="A1045690" s="24"/>
      <c r="B1045690" s="24"/>
      <c r="C1045690" s="24"/>
      <c r="D1045690" s="24"/>
      <c r="E1045690" s="24"/>
      <c r="F1045690" s="24"/>
      <c r="G1045690" s="24"/>
      <c r="H1045690" s="24"/>
      <c r="I1045690" s="24"/>
      <c r="J1045690" s="24"/>
      <c r="K1045690" s="54"/>
    </row>
    <row r="1045691" spans="1:11" s="55" customFormat="1" ht="12.75">
      <c r="A1045691" s="24"/>
      <c r="B1045691" s="24"/>
      <c r="C1045691" s="24"/>
      <c r="D1045691" s="24"/>
      <c r="E1045691" s="24"/>
      <c r="F1045691" s="24"/>
      <c r="G1045691" s="24"/>
      <c r="H1045691" s="24"/>
      <c r="I1045691" s="24"/>
      <c r="J1045691" s="24"/>
      <c r="K1045691" s="54"/>
    </row>
    <row r="1045692" spans="1:11" s="55" customFormat="1" ht="12.75">
      <c r="A1045692" s="24"/>
      <c r="B1045692" s="24"/>
      <c r="C1045692" s="24"/>
      <c r="D1045692" s="24"/>
      <c r="E1045692" s="24"/>
      <c r="F1045692" s="24"/>
      <c r="G1045692" s="24"/>
      <c r="H1045692" s="24"/>
      <c r="I1045692" s="24"/>
      <c r="J1045692" s="24"/>
      <c r="K1045692" s="54"/>
    </row>
    <row r="1045693" spans="1:11" s="55" customFormat="1" ht="12.75">
      <c r="A1045693" s="24"/>
      <c r="B1045693" s="24"/>
      <c r="C1045693" s="24"/>
      <c r="D1045693" s="24"/>
      <c r="E1045693" s="24"/>
      <c r="F1045693" s="24"/>
      <c r="G1045693" s="24"/>
      <c r="H1045693" s="24"/>
      <c r="I1045693" s="24"/>
      <c r="J1045693" s="24"/>
      <c r="K1045693" s="54"/>
    </row>
    <row r="1045694" spans="1:11" s="55" customFormat="1" ht="12.75">
      <c r="A1045694" s="24"/>
      <c r="B1045694" s="24"/>
      <c r="C1045694" s="24"/>
      <c r="D1045694" s="24"/>
      <c r="E1045694" s="24"/>
      <c r="F1045694" s="24"/>
      <c r="G1045694" s="24"/>
      <c r="H1045694" s="24"/>
      <c r="I1045694" s="24"/>
      <c r="J1045694" s="24"/>
      <c r="K1045694" s="54"/>
    </row>
    <row r="1045695" spans="1:11" s="55" customFormat="1" ht="12.75">
      <c r="A1045695" s="24"/>
      <c r="B1045695" s="24"/>
      <c r="C1045695" s="24"/>
      <c r="D1045695" s="24"/>
      <c r="E1045695" s="24"/>
      <c r="F1045695" s="24"/>
      <c r="G1045695" s="24"/>
      <c r="H1045695" s="24"/>
      <c r="I1045695" s="24"/>
      <c r="J1045695" s="24"/>
      <c r="K1045695" s="54"/>
    </row>
    <row r="1045696" spans="1:11" s="55" customFormat="1" ht="12.75">
      <c r="A1045696" s="24"/>
      <c r="B1045696" s="24"/>
      <c r="C1045696" s="24"/>
      <c r="D1045696" s="24"/>
      <c r="E1045696" s="24"/>
      <c r="F1045696" s="24"/>
      <c r="G1045696" s="24"/>
      <c r="H1045696" s="24"/>
      <c r="I1045696" s="24"/>
      <c r="J1045696" s="24"/>
      <c r="K1045696" s="54"/>
    </row>
    <row r="1045697" spans="1:11" s="55" customFormat="1" ht="12.75">
      <c r="A1045697" s="24"/>
      <c r="B1045697" s="24"/>
      <c r="C1045697" s="24"/>
      <c r="D1045697" s="24"/>
      <c r="E1045697" s="24"/>
      <c r="F1045697" s="24"/>
      <c r="G1045697" s="24"/>
      <c r="H1045697" s="24"/>
      <c r="I1045697" s="24"/>
      <c r="J1045697" s="24"/>
      <c r="K1045697" s="54"/>
    </row>
    <row r="1045698" spans="1:11" s="55" customFormat="1" ht="12.75">
      <c r="A1045698" s="24"/>
      <c r="B1045698" s="24"/>
      <c r="C1045698" s="24"/>
      <c r="D1045698" s="24"/>
      <c r="E1045698" s="24"/>
      <c r="F1045698" s="24"/>
      <c r="G1045698" s="24"/>
      <c r="H1045698" s="24"/>
      <c r="I1045698" s="24"/>
      <c r="J1045698" s="24"/>
      <c r="K1045698" s="54"/>
    </row>
    <row r="1045699" spans="1:11" s="55" customFormat="1" ht="12.75">
      <c r="A1045699" s="24"/>
      <c r="B1045699" s="24"/>
      <c r="C1045699" s="24"/>
      <c r="D1045699" s="24"/>
      <c r="E1045699" s="24"/>
      <c r="F1045699" s="24"/>
      <c r="G1045699" s="24"/>
      <c r="H1045699" s="24"/>
      <c r="I1045699" s="24"/>
      <c r="J1045699" s="24"/>
      <c r="K1045699" s="54"/>
    </row>
    <row r="1045700" spans="1:11" s="55" customFormat="1" ht="12.75">
      <c r="A1045700" s="24"/>
      <c r="B1045700" s="24"/>
      <c r="C1045700" s="24"/>
      <c r="D1045700" s="24"/>
      <c r="E1045700" s="24"/>
      <c r="F1045700" s="24"/>
      <c r="G1045700" s="24"/>
      <c r="H1045700" s="24"/>
      <c r="I1045700" s="24"/>
      <c r="J1045700" s="24"/>
      <c r="K1045700" s="54"/>
    </row>
    <row r="1045701" spans="1:11" s="55" customFormat="1" ht="12.75">
      <c r="A1045701" s="24"/>
      <c r="B1045701" s="24"/>
      <c r="C1045701" s="24"/>
      <c r="D1045701" s="24"/>
      <c r="E1045701" s="24"/>
      <c r="F1045701" s="24"/>
      <c r="G1045701" s="24"/>
      <c r="H1045701" s="24"/>
      <c r="I1045701" s="24"/>
      <c r="J1045701" s="24"/>
      <c r="K1045701" s="54"/>
    </row>
    <row r="1045702" spans="1:11" s="55" customFormat="1" ht="12.75">
      <c r="A1045702" s="24"/>
      <c r="B1045702" s="24"/>
      <c r="C1045702" s="24"/>
      <c r="D1045702" s="24"/>
      <c r="E1045702" s="24"/>
      <c r="F1045702" s="24"/>
      <c r="G1045702" s="24"/>
      <c r="H1045702" s="24"/>
      <c r="I1045702" s="24"/>
      <c r="J1045702" s="24"/>
      <c r="K1045702" s="54"/>
    </row>
    <row r="1045703" spans="1:11" s="55" customFormat="1" ht="12.75">
      <c r="A1045703" s="24"/>
      <c r="B1045703" s="24"/>
      <c r="C1045703" s="24"/>
      <c r="D1045703" s="24"/>
      <c r="E1045703" s="24"/>
      <c r="F1045703" s="24"/>
      <c r="G1045703" s="24"/>
      <c r="H1045703" s="24"/>
      <c r="I1045703" s="24"/>
      <c r="J1045703" s="24"/>
      <c r="K1045703" s="54"/>
    </row>
    <row r="1045704" spans="1:11" s="55" customFormat="1" ht="12.75">
      <c r="A1045704" s="24"/>
      <c r="B1045704" s="24"/>
      <c r="C1045704" s="24"/>
      <c r="D1045704" s="24"/>
      <c r="E1045704" s="24"/>
      <c r="F1045704" s="24"/>
      <c r="G1045704" s="24"/>
      <c r="H1045704" s="24"/>
      <c r="I1045704" s="24"/>
      <c r="J1045704" s="24"/>
      <c r="K1045704" s="54"/>
    </row>
    <row r="1045705" spans="1:11" s="55" customFormat="1" ht="12.75">
      <c r="A1045705" s="24"/>
      <c r="B1045705" s="24"/>
      <c r="C1045705" s="24"/>
      <c r="D1045705" s="24"/>
      <c r="E1045705" s="24"/>
      <c r="F1045705" s="24"/>
      <c r="G1045705" s="24"/>
      <c r="H1045705" s="24"/>
      <c r="I1045705" s="24"/>
      <c r="J1045705" s="24"/>
      <c r="K1045705" s="54"/>
    </row>
    <row r="1045706" spans="1:11" s="55" customFormat="1" ht="12.75">
      <c r="A1045706" s="24"/>
      <c r="B1045706" s="24"/>
      <c r="C1045706" s="24"/>
      <c r="D1045706" s="24"/>
      <c r="E1045706" s="24"/>
      <c r="F1045706" s="24"/>
      <c r="G1045706" s="24"/>
      <c r="H1045706" s="24"/>
      <c r="I1045706" s="24"/>
      <c r="J1045706" s="24"/>
      <c r="K1045706" s="54"/>
    </row>
    <row r="1045707" spans="1:11" s="55" customFormat="1" ht="12.75">
      <c r="A1045707" s="24"/>
      <c r="B1045707" s="24"/>
      <c r="C1045707" s="24"/>
      <c r="D1045707" s="24"/>
      <c r="E1045707" s="24"/>
      <c r="F1045707" s="24"/>
      <c r="G1045707" s="24"/>
      <c r="H1045707" s="24"/>
      <c r="I1045707" s="24"/>
      <c r="J1045707" s="24"/>
      <c r="K1045707" s="54"/>
    </row>
    <row r="1045708" spans="1:11" s="55" customFormat="1" ht="12.75">
      <c r="A1045708" s="24"/>
      <c r="B1045708" s="24"/>
      <c r="C1045708" s="24"/>
      <c r="D1045708" s="24"/>
      <c r="E1045708" s="24"/>
      <c r="F1045708" s="24"/>
      <c r="G1045708" s="24"/>
      <c r="H1045708" s="24"/>
      <c r="I1045708" s="24"/>
      <c r="J1045708" s="24"/>
      <c r="K1045708" s="54"/>
    </row>
    <row r="1045709" spans="1:11" s="55" customFormat="1" ht="12.75">
      <c r="A1045709" s="24"/>
      <c r="B1045709" s="24"/>
      <c r="C1045709" s="24"/>
      <c r="D1045709" s="24"/>
      <c r="E1045709" s="24"/>
      <c r="F1045709" s="24"/>
      <c r="G1045709" s="24"/>
      <c r="H1045709" s="24"/>
      <c r="I1045709" s="24"/>
      <c r="J1045709" s="24"/>
      <c r="K1045709" s="54"/>
    </row>
    <row r="1045710" spans="1:11" s="55" customFormat="1" ht="12.75">
      <c r="A1045710" s="24"/>
      <c r="B1045710" s="24"/>
      <c r="C1045710" s="24"/>
      <c r="D1045710" s="24"/>
      <c r="E1045710" s="24"/>
      <c r="F1045710" s="24"/>
      <c r="G1045710" s="24"/>
      <c r="H1045710" s="24"/>
      <c r="I1045710" s="24"/>
      <c r="J1045710" s="24"/>
      <c r="K1045710" s="54"/>
    </row>
    <row r="1045711" spans="1:11" s="55" customFormat="1" ht="12.75">
      <c r="A1045711" s="24"/>
      <c r="B1045711" s="24"/>
      <c r="C1045711" s="24"/>
      <c r="D1045711" s="24"/>
      <c r="E1045711" s="24"/>
      <c r="F1045711" s="24"/>
      <c r="G1045711" s="24"/>
      <c r="H1045711" s="24"/>
      <c r="I1045711" s="24"/>
      <c r="J1045711" s="24"/>
      <c r="K1045711" s="54"/>
    </row>
    <row r="1045712" spans="1:11" s="55" customFormat="1" ht="12.75">
      <c r="A1045712" s="24"/>
      <c r="B1045712" s="24"/>
      <c r="C1045712" s="24"/>
      <c r="D1045712" s="24"/>
      <c r="E1045712" s="24"/>
      <c r="F1045712" s="24"/>
      <c r="G1045712" s="24"/>
      <c r="H1045712" s="24"/>
      <c r="I1045712" s="24"/>
      <c r="J1045712" s="24"/>
      <c r="K1045712" s="54"/>
    </row>
    <row r="1045713" spans="1:11" s="55" customFormat="1" ht="12.75">
      <c r="A1045713" s="24"/>
      <c r="B1045713" s="24"/>
      <c r="C1045713" s="24"/>
      <c r="D1045713" s="24"/>
      <c r="E1045713" s="24"/>
      <c r="F1045713" s="24"/>
      <c r="G1045713" s="24"/>
      <c r="H1045713" s="24"/>
      <c r="I1045713" s="24"/>
      <c r="J1045713" s="24"/>
      <c r="K1045713" s="54"/>
    </row>
    <row r="1045714" spans="1:11" s="55" customFormat="1" ht="12.75">
      <c r="A1045714" s="24"/>
      <c r="B1045714" s="24"/>
      <c r="C1045714" s="24"/>
      <c r="D1045714" s="24"/>
      <c r="E1045714" s="24"/>
      <c r="F1045714" s="24"/>
      <c r="G1045714" s="24"/>
      <c r="H1045714" s="24"/>
      <c r="I1045714" s="24"/>
      <c r="J1045714" s="24"/>
      <c r="K1045714" s="54"/>
    </row>
    <row r="1045715" spans="1:11" s="55" customFormat="1" ht="12.75">
      <c r="A1045715" s="24"/>
      <c r="B1045715" s="24"/>
      <c r="C1045715" s="24"/>
      <c r="D1045715" s="24"/>
      <c r="E1045715" s="24"/>
      <c r="F1045715" s="24"/>
      <c r="G1045715" s="24"/>
      <c r="H1045715" s="24"/>
      <c r="I1045715" s="24"/>
      <c r="J1045715" s="24"/>
      <c r="K1045715" s="54"/>
    </row>
    <row r="1045716" spans="1:11" s="55" customFormat="1" ht="12.75">
      <c r="A1045716" s="24"/>
      <c r="B1045716" s="24"/>
      <c r="C1045716" s="24"/>
      <c r="D1045716" s="24"/>
      <c r="E1045716" s="24"/>
      <c r="F1045716" s="24"/>
      <c r="G1045716" s="24"/>
      <c r="H1045716" s="24"/>
      <c r="I1045716" s="24"/>
      <c r="J1045716" s="24"/>
      <c r="K1045716" s="54"/>
    </row>
    <row r="1045717" spans="1:11" s="55" customFormat="1" ht="12.75">
      <c r="A1045717" s="24"/>
      <c r="B1045717" s="24"/>
      <c r="C1045717" s="24"/>
      <c r="D1045717" s="24"/>
      <c r="E1045717" s="24"/>
      <c r="F1045717" s="24"/>
      <c r="G1045717" s="24"/>
      <c r="H1045717" s="24"/>
      <c r="I1045717" s="24"/>
      <c r="J1045717" s="24"/>
      <c r="K1045717" s="54"/>
    </row>
    <row r="1045718" spans="1:11" s="55" customFormat="1" ht="12.75">
      <c r="A1045718" s="24"/>
      <c r="B1045718" s="24"/>
      <c r="C1045718" s="24"/>
      <c r="D1045718" s="24"/>
      <c r="E1045718" s="24"/>
      <c r="F1045718" s="24"/>
      <c r="G1045718" s="24"/>
      <c r="H1045718" s="24"/>
      <c r="I1045718" s="24"/>
      <c r="J1045718" s="24"/>
      <c r="K1045718" s="54"/>
    </row>
    <row r="1045719" spans="1:11" s="55" customFormat="1" ht="12.75">
      <c r="A1045719" s="24"/>
      <c r="B1045719" s="24"/>
      <c r="C1045719" s="24"/>
      <c r="D1045719" s="24"/>
      <c r="E1045719" s="24"/>
      <c r="F1045719" s="24"/>
      <c r="G1045719" s="24"/>
      <c r="H1045719" s="24"/>
      <c r="I1045719" s="24"/>
      <c r="J1045719" s="24"/>
      <c r="K1045719" s="54"/>
    </row>
    <row r="1045720" spans="1:11" s="55" customFormat="1" ht="12.75">
      <c r="A1045720" s="24"/>
      <c r="B1045720" s="24"/>
      <c r="C1045720" s="24"/>
      <c r="D1045720" s="24"/>
      <c r="E1045720" s="24"/>
      <c r="F1045720" s="24"/>
      <c r="G1045720" s="24"/>
      <c r="H1045720" s="24"/>
      <c r="I1045720" s="24"/>
      <c r="J1045720" s="24"/>
      <c r="K1045720" s="54"/>
    </row>
    <row r="1045721" spans="1:11" s="55" customFormat="1" ht="12.75">
      <c r="A1045721" s="24"/>
      <c r="B1045721" s="24"/>
      <c r="C1045721" s="24"/>
      <c r="D1045721" s="24"/>
      <c r="E1045721" s="24"/>
      <c r="F1045721" s="24"/>
      <c r="G1045721" s="24"/>
      <c r="H1045721" s="24"/>
      <c r="I1045721" s="24"/>
      <c r="J1045721" s="24"/>
      <c r="K1045721" s="54"/>
    </row>
    <row r="1045722" spans="1:11" s="55" customFormat="1" ht="12.75">
      <c r="A1045722" s="24"/>
      <c r="B1045722" s="24"/>
      <c r="C1045722" s="24"/>
      <c r="D1045722" s="24"/>
      <c r="E1045722" s="24"/>
      <c r="F1045722" s="24"/>
      <c r="G1045722" s="24"/>
      <c r="H1045722" s="24"/>
      <c r="I1045722" s="24"/>
      <c r="J1045722" s="24"/>
      <c r="K1045722" s="54"/>
    </row>
    <row r="1045723" spans="1:11" s="55" customFormat="1" ht="12.75">
      <c r="A1045723" s="24"/>
      <c r="B1045723" s="24"/>
      <c r="C1045723" s="24"/>
      <c r="D1045723" s="24"/>
      <c r="E1045723" s="24"/>
      <c r="F1045723" s="24"/>
      <c r="G1045723" s="24"/>
      <c r="H1045723" s="24"/>
      <c r="I1045723" s="24"/>
      <c r="J1045723" s="24"/>
      <c r="K1045723" s="54"/>
    </row>
    <row r="1045724" spans="1:11" s="55" customFormat="1" ht="12.75">
      <c r="A1045724" s="24"/>
      <c r="B1045724" s="24"/>
      <c r="C1045724" s="24"/>
      <c r="D1045724" s="24"/>
      <c r="E1045724" s="24"/>
      <c r="F1045724" s="24"/>
      <c r="G1045724" s="24"/>
      <c r="H1045724" s="24"/>
      <c r="I1045724" s="24"/>
      <c r="J1045724" s="24"/>
      <c r="K1045724" s="54"/>
    </row>
    <row r="1045725" spans="1:11" s="55" customFormat="1" ht="12.75">
      <c r="A1045725" s="24"/>
      <c r="B1045725" s="24"/>
      <c r="C1045725" s="24"/>
      <c r="D1045725" s="24"/>
      <c r="E1045725" s="24"/>
      <c r="F1045725" s="24"/>
      <c r="G1045725" s="24"/>
      <c r="H1045725" s="24"/>
      <c r="I1045725" s="24"/>
      <c r="J1045725" s="24"/>
      <c r="K1045725" s="54"/>
    </row>
    <row r="1045726" spans="1:11" s="55" customFormat="1" ht="12.75">
      <c r="A1045726" s="24"/>
      <c r="B1045726" s="24"/>
      <c r="C1045726" s="24"/>
      <c r="D1045726" s="24"/>
      <c r="E1045726" s="24"/>
      <c r="F1045726" s="24"/>
      <c r="G1045726" s="24"/>
      <c r="H1045726" s="24"/>
      <c r="I1045726" s="24"/>
      <c r="J1045726" s="24"/>
      <c r="K1045726" s="54"/>
    </row>
    <row r="1045727" spans="1:11" s="55" customFormat="1" ht="12.75">
      <c r="A1045727" s="24"/>
      <c r="B1045727" s="24"/>
      <c r="C1045727" s="24"/>
      <c r="D1045727" s="24"/>
      <c r="E1045727" s="24"/>
      <c r="F1045727" s="24"/>
      <c r="G1045727" s="24"/>
      <c r="H1045727" s="24"/>
      <c r="I1045727" s="24"/>
      <c r="J1045727" s="24"/>
      <c r="K1045727" s="54"/>
    </row>
    <row r="1045728" spans="1:11" s="55" customFormat="1" ht="12.75">
      <c r="A1045728" s="24"/>
      <c r="B1045728" s="24"/>
      <c r="C1045728" s="24"/>
      <c r="D1045728" s="24"/>
      <c r="E1045728" s="24"/>
      <c r="F1045728" s="24"/>
      <c r="G1045728" s="24"/>
      <c r="H1045728" s="24"/>
      <c r="I1045728" s="24"/>
      <c r="J1045728" s="24"/>
      <c r="K1045728" s="54"/>
    </row>
    <row r="1045729" spans="1:11" s="55" customFormat="1" ht="12.75">
      <c r="A1045729" s="24"/>
      <c r="B1045729" s="24"/>
      <c r="C1045729" s="24"/>
      <c r="D1045729" s="24"/>
      <c r="E1045729" s="24"/>
      <c r="F1045729" s="24"/>
      <c r="G1045729" s="24"/>
      <c r="H1045729" s="24"/>
      <c r="I1045729" s="24"/>
      <c r="J1045729" s="24"/>
      <c r="K1045729" s="54"/>
    </row>
    <row r="1045730" spans="1:11" s="55" customFormat="1" ht="12.75">
      <c r="A1045730" s="24"/>
      <c r="B1045730" s="24"/>
      <c r="C1045730" s="24"/>
      <c r="D1045730" s="24"/>
      <c r="E1045730" s="24"/>
      <c r="F1045730" s="24"/>
      <c r="G1045730" s="24"/>
      <c r="H1045730" s="24"/>
      <c r="I1045730" s="24"/>
      <c r="J1045730" s="24"/>
      <c r="K1045730" s="54"/>
    </row>
    <row r="1045731" spans="1:11" s="55" customFormat="1" ht="12.75">
      <c r="A1045731" s="24"/>
      <c r="B1045731" s="24"/>
      <c r="C1045731" s="24"/>
      <c r="D1045731" s="24"/>
      <c r="E1045731" s="24"/>
      <c r="F1045731" s="24"/>
      <c r="G1045731" s="24"/>
      <c r="H1045731" s="24"/>
      <c r="I1045731" s="24"/>
      <c r="J1045731" s="24"/>
      <c r="K1045731" s="54"/>
    </row>
    <row r="1045732" spans="1:11" s="55" customFormat="1" ht="12.75">
      <c r="A1045732" s="24"/>
      <c r="B1045732" s="24"/>
      <c r="C1045732" s="24"/>
      <c r="D1045732" s="24"/>
      <c r="E1045732" s="24"/>
      <c r="F1045732" s="24"/>
      <c r="G1045732" s="24"/>
      <c r="H1045732" s="24"/>
      <c r="I1045732" s="24"/>
      <c r="J1045732" s="24"/>
      <c r="K1045732" s="54"/>
    </row>
    <row r="1045733" spans="1:11" s="55" customFormat="1" ht="12.75">
      <c r="A1045733" s="24"/>
      <c r="B1045733" s="24"/>
      <c r="C1045733" s="24"/>
      <c r="D1045733" s="24"/>
      <c r="E1045733" s="24"/>
      <c r="F1045733" s="24"/>
      <c r="G1045733" s="24"/>
      <c r="H1045733" s="24"/>
      <c r="I1045733" s="24"/>
      <c r="J1045733" s="24"/>
      <c r="K1045733" s="54"/>
    </row>
    <row r="1045734" spans="1:11" s="55" customFormat="1" ht="12.75">
      <c r="A1045734" s="24"/>
      <c r="B1045734" s="24"/>
      <c r="C1045734" s="24"/>
      <c r="D1045734" s="24"/>
      <c r="E1045734" s="24"/>
      <c r="F1045734" s="24"/>
      <c r="G1045734" s="24"/>
      <c r="H1045734" s="24"/>
      <c r="I1045734" s="24"/>
      <c r="J1045734" s="24"/>
      <c r="K1045734" s="54"/>
    </row>
    <row r="1045735" spans="1:11" s="55" customFormat="1" ht="12.75">
      <c r="A1045735" s="24"/>
      <c r="B1045735" s="24"/>
      <c r="C1045735" s="24"/>
      <c r="D1045735" s="24"/>
      <c r="E1045735" s="24"/>
      <c r="F1045735" s="24"/>
      <c r="G1045735" s="24"/>
      <c r="H1045735" s="24"/>
      <c r="I1045735" s="24"/>
      <c r="J1045735" s="24"/>
      <c r="K1045735" s="54"/>
    </row>
    <row r="1045736" spans="1:11" s="55" customFormat="1" ht="12.75">
      <c r="A1045736" s="24"/>
      <c r="B1045736" s="24"/>
      <c r="C1045736" s="24"/>
      <c r="D1045736" s="24"/>
      <c r="E1045736" s="24"/>
      <c r="F1045736" s="24"/>
      <c r="G1045736" s="24"/>
      <c r="H1045736" s="24"/>
      <c r="I1045736" s="24"/>
      <c r="J1045736" s="24"/>
      <c r="K1045736" s="54"/>
    </row>
    <row r="1045737" spans="1:11" s="55" customFormat="1" ht="12.75">
      <c r="A1045737" s="24"/>
      <c r="B1045737" s="24"/>
      <c r="C1045737" s="24"/>
      <c r="D1045737" s="24"/>
      <c r="E1045737" s="24"/>
      <c r="F1045737" s="24"/>
      <c r="G1045737" s="24"/>
      <c r="H1045737" s="24"/>
      <c r="I1045737" s="24"/>
      <c r="J1045737" s="24"/>
      <c r="K1045737" s="54"/>
    </row>
    <row r="1045738" spans="1:11" s="55" customFormat="1" ht="12.75">
      <c r="A1045738" s="24"/>
      <c r="B1045738" s="24"/>
      <c r="C1045738" s="24"/>
      <c r="D1045738" s="24"/>
      <c r="E1045738" s="24"/>
      <c r="F1045738" s="24"/>
      <c r="G1045738" s="24"/>
      <c r="H1045738" s="24"/>
      <c r="I1045738" s="24"/>
      <c r="J1045738" s="24"/>
      <c r="K1045738" s="54"/>
    </row>
    <row r="1045739" spans="1:11" s="55" customFormat="1" ht="12.75">
      <c r="A1045739" s="24"/>
      <c r="B1045739" s="24"/>
      <c r="C1045739" s="24"/>
      <c r="D1045739" s="24"/>
      <c r="E1045739" s="24"/>
      <c r="F1045739" s="24"/>
      <c r="G1045739" s="24"/>
      <c r="H1045739" s="24"/>
      <c r="I1045739" s="24"/>
      <c r="J1045739" s="24"/>
      <c r="K1045739" s="54"/>
    </row>
    <row r="1045740" spans="1:11" s="55" customFormat="1" ht="12.75">
      <c r="A1045740" s="24"/>
      <c r="B1045740" s="24"/>
      <c r="C1045740" s="24"/>
      <c r="D1045740" s="24"/>
      <c r="E1045740" s="24"/>
      <c r="F1045740" s="24"/>
      <c r="G1045740" s="24"/>
      <c r="H1045740" s="24"/>
      <c r="I1045740" s="24"/>
      <c r="J1045740" s="24"/>
      <c r="K1045740" s="54"/>
    </row>
    <row r="1045741" spans="1:11" s="55" customFormat="1" ht="12.75">
      <c r="A1045741" s="24"/>
      <c r="B1045741" s="24"/>
      <c r="C1045741" s="24"/>
      <c r="D1045741" s="24"/>
      <c r="E1045741" s="24"/>
      <c r="F1045741" s="24"/>
      <c r="G1045741" s="24"/>
      <c r="H1045741" s="24"/>
      <c r="I1045741" s="24"/>
      <c r="J1045741" s="24"/>
      <c r="K1045741" s="54"/>
    </row>
    <row r="1045742" spans="1:11" s="55" customFormat="1" ht="12.75">
      <c r="A1045742" s="24"/>
      <c r="B1045742" s="24"/>
      <c r="C1045742" s="24"/>
      <c r="D1045742" s="24"/>
      <c r="E1045742" s="24"/>
      <c r="F1045742" s="24"/>
      <c r="G1045742" s="24"/>
      <c r="H1045742" s="24"/>
      <c r="I1045742" s="24"/>
      <c r="J1045742" s="24"/>
      <c r="K1045742" s="54"/>
    </row>
    <row r="1045743" spans="1:11" s="55" customFormat="1" ht="12.75">
      <c r="A1045743" s="24"/>
      <c r="B1045743" s="24"/>
      <c r="C1045743" s="24"/>
      <c r="D1045743" s="24"/>
      <c r="E1045743" s="24"/>
      <c r="F1045743" s="24"/>
      <c r="G1045743" s="24"/>
      <c r="H1045743" s="24"/>
      <c r="I1045743" s="24"/>
      <c r="J1045743" s="24"/>
      <c r="K1045743" s="54"/>
    </row>
    <row r="1045744" spans="1:11" s="55" customFormat="1" ht="12.75">
      <c r="A1045744" s="24"/>
      <c r="B1045744" s="24"/>
      <c r="C1045744" s="24"/>
      <c r="D1045744" s="24"/>
      <c r="E1045744" s="24"/>
      <c r="F1045744" s="24"/>
      <c r="G1045744" s="24"/>
      <c r="H1045744" s="24"/>
      <c r="I1045744" s="24"/>
      <c r="J1045744" s="24"/>
      <c r="K1045744" s="54"/>
    </row>
    <row r="1045745" spans="1:11" s="55" customFormat="1" ht="12.75">
      <c r="A1045745" s="24"/>
      <c r="B1045745" s="24"/>
      <c r="C1045745" s="24"/>
      <c r="D1045745" s="24"/>
      <c r="E1045745" s="24"/>
      <c r="F1045745" s="24"/>
      <c r="G1045745" s="24"/>
      <c r="H1045745" s="24"/>
      <c r="I1045745" s="24"/>
      <c r="J1045745" s="24"/>
      <c r="K1045745" s="54"/>
    </row>
    <row r="1045746" spans="1:11" s="55" customFormat="1" ht="12.75">
      <c r="A1045746" s="24"/>
      <c r="B1045746" s="24"/>
      <c r="C1045746" s="24"/>
      <c r="D1045746" s="24"/>
      <c r="E1045746" s="24"/>
      <c r="F1045746" s="24"/>
      <c r="G1045746" s="24"/>
      <c r="H1045746" s="24"/>
      <c r="I1045746" s="24"/>
      <c r="J1045746" s="24"/>
      <c r="K1045746" s="54"/>
    </row>
    <row r="1045747" spans="1:11" s="55" customFormat="1" ht="12.75">
      <c r="A1045747" s="24"/>
      <c r="B1045747" s="24"/>
      <c r="C1045747" s="24"/>
      <c r="D1045747" s="24"/>
      <c r="E1045747" s="24"/>
      <c r="F1045747" s="24"/>
      <c r="G1045747" s="24"/>
      <c r="H1045747" s="24"/>
      <c r="I1045747" s="24"/>
      <c r="J1045747" s="24"/>
      <c r="K1045747" s="54"/>
    </row>
    <row r="1045748" spans="1:11" s="55" customFormat="1" ht="12.75">
      <c r="A1045748" s="24"/>
      <c r="B1045748" s="24"/>
      <c r="C1045748" s="24"/>
      <c r="D1045748" s="24"/>
      <c r="E1045748" s="24"/>
      <c r="F1045748" s="24"/>
      <c r="G1045748" s="24"/>
      <c r="H1045748" s="24"/>
      <c r="I1045748" s="24"/>
      <c r="J1045748" s="24"/>
      <c r="K1045748" s="54"/>
    </row>
    <row r="1045749" spans="1:11" s="55" customFormat="1" ht="12.75">
      <c r="A1045749" s="24"/>
      <c r="B1045749" s="24"/>
      <c r="C1045749" s="24"/>
      <c r="D1045749" s="24"/>
      <c r="E1045749" s="24"/>
      <c r="F1045749" s="24"/>
      <c r="G1045749" s="24"/>
      <c r="H1045749" s="24"/>
      <c r="I1045749" s="24"/>
      <c r="J1045749" s="24"/>
      <c r="K1045749" s="54"/>
    </row>
    <row r="1045750" spans="1:11" s="55" customFormat="1" ht="12.75">
      <c r="A1045750" s="24"/>
      <c r="B1045750" s="24"/>
      <c r="C1045750" s="24"/>
      <c r="D1045750" s="24"/>
      <c r="E1045750" s="24"/>
      <c r="F1045750" s="24"/>
      <c r="G1045750" s="24"/>
      <c r="H1045750" s="24"/>
      <c r="I1045750" s="24"/>
      <c r="J1045750" s="24"/>
      <c r="K1045750" s="54"/>
    </row>
    <row r="1045751" spans="1:11" s="55" customFormat="1" ht="12.75">
      <c r="A1045751" s="24"/>
      <c r="B1045751" s="24"/>
      <c r="C1045751" s="24"/>
      <c r="D1045751" s="24"/>
      <c r="E1045751" s="24"/>
      <c r="F1045751" s="24"/>
      <c r="G1045751" s="24"/>
      <c r="H1045751" s="24"/>
      <c r="I1045751" s="24"/>
      <c r="J1045751" s="24"/>
      <c r="K1045751" s="54"/>
    </row>
    <row r="1045752" spans="1:11" s="55" customFormat="1" ht="12.75">
      <c r="A1045752" s="24"/>
      <c r="B1045752" s="24"/>
      <c r="C1045752" s="24"/>
      <c r="D1045752" s="24"/>
      <c r="E1045752" s="24"/>
      <c r="F1045752" s="24"/>
      <c r="G1045752" s="24"/>
      <c r="H1045752" s="24"/>
      <c r="I1045752" s="24"/>
      <c r="J1045752" s="24"/>
      <c r="K1045752" s="54"/>
    </row>
    <row r="1045753" spans="1:11" s="55" customFormat="1" ht="12.75">
      <c r="A1045753" s="24"/>
      <c r="B1045753" s="24"/>
      <c r="C1045753" s="24"/>
      <c r="D1045753" s="24"/>
      <c r="E1045753" s="24"/>
      <c r="F1045753" s="24"/>
      <c r="G1045753" s="24"/>
      <c r="H1045753" s="24"/>
      <c r="I1045753" s="24"/>
      <c r="J1045753" s="24"/>
      <c r="K1045753" s="54"/>
    </row>
    <row r="1045754" spans="1:11" s="55" customFormat="1" ht="12.75">
      <c r="A1045754" s="24"/>
      <c r="B1045754" s="24"/>
      <c r="C1045754" s="24"/>
      <c r="D1045754" s="24"/>
      <c r="E1045754" s="24"/>
      <c r="F1045754" s="24"/>
      <c r="G1045754" s="24"/>
      <c r="H1045754" s="24"/>
      <c r="I1045754" s="24"/>
      <c r="J1045754" s="24"/>
      <c r="K1045754" s="54"/>
    </row>
    <row r="1045755" spans="1:11" s="55" customFormat="1" ht="12.75">
      <c r="A1045755" s="24"/>
      <c r="B1045755" s="24"/>
      <c r="C1045755" s="24"/>
      <c r="D1045755" s="24"/>
      <c r="E1045755" s="24"/>
      <c r="F1045755" s="24"/>
      <c r="G1045755" s="24"/>
      <c r="H1045755" s="24"/>
      <c r="I1045755" s="24"/>
      <c r="J1045755" s="24"/>
      <c r="K1045755" s="54"/>
    </row>
    <row r="1045756" spans="1:11" s="55" customFormat="1" ht="12.75">
      <c r="A1045756" s="24"/>
      <c r="B1045756" s="24"/>
      <c r="C1045756" s="24"/>
      <c r="D1045756" s="24"/>
      <c r="E1045756" s="24"/>
      <c r="F1045756" s="24"/>
      <c r="G1045756" s="24"/>
      <c r="H1045756" s="24"/>
      <c r="I1045756" s="24"/>
      <c r="J1045756" s="24"/>
      <c r="K1045756" s="54"/>
    </row>
    <row r="1045757" spans="1:11" s="55" customFormat="1" ht="12.75">
      <c r="A1045757" s="24"/>
      <c r="B1045757" s="24"/>
      <c r="C1045757" s="24"/>
      <c r="D1045757" s="24"/>
      <c r="E1045757" s="24"/>
      <c r="F1045757" s="24"/>
      <c r="G1045757" s="24"/>
      <c r="H1045757" s="24"/>
      <c r="I1045757" s="24"/>
      <c r="J1045757" s="24"/>
      <c r="K1045757" s="54"/>
    </row>
    <row r="1045758" spans="1:11" s="55" customFormat="1" ht="12.75">
      <c r="A1045758" s="24"/>
      <c r="B1045758" s="24"/>
      <c r="C1045758" s="24"/>
      <c r="D1045758" s="24"/>
      <c r="E1045758" s="24"/>
      <c r="F1045758" s="24"/>
      <c r="G1045758" s="24"/>
      <c r="H1045758" s="24"/>
      <c r="I1045758" s="24"/>
      <c r="J1045758" s="24"/>
      <c r="K1045758" s="54"/>
    </row>
    <row r="1045759" spans="1:11" s="55" customFormat="1" ht="12.75">
      <c r="A1045759" s="24"/>
      <c r="B1045759" s="24"/>
      <c r="C1045759" s="24"/>
      <c r="D1045759" s="24"/>
      <c r="E1045759" s="24"/>
      <c r="F1045759" s="24"/>
      <c r="G1045759" s="24"/>
      <c r="H1045759" s="24"/>
      <c r="I1045759" s="24"/>
      <c r="J1045759" s="24"/>
      <c r="K1045759" s="54"/>
    </row>
    <row r="1045760" spans="1:11" s="55" customFormat="1" ht="12.75">
      <c r="A1045760" s="24"/>
      <c r="B1045760" s="24"/>
      <c r="C1045760" s="24"/>
      <c r="D1045760" s="24"/>
      <c r="E1045760" s="24"/>
      <c r="F1045760" s="24"/>
      <c r="G1045760" s="24"/>
      <c r="H1045760" s="24"/>
      <c r="I1045760" s="24"/>
      <c r="J1045760" s="24"/>
      <c r="K1045760" s="54"/>
    </row>
    <row r="1045761" spans="1:11" s="55" customFormat="1" ht="12.75">
      <c r="A1045761" s="24"/>
      <c r="B1045761" s="24"/>
      <c r="C1045761" s="24"/>
      <c r="D1045761" s="24"/>
      <c r="E1045761" s="24"/>
      <c r="F1045761" s="24"/>
      <c r="G1045761" s="24"/>
      <c r="H1045761" s="24"/>
      <c r="I1045761" s="24"/>
      <c r="J1045761" s="24"/>
      <c r="K1045761" s="54"/>
    </row>
    <row r="1045762" spans="1:11" s="55" customFormat="1" ht="12.75">
      <c r="A1045762" s="24"/>
      <c r="B1045762" s="24"/>
      <c r="C1045762" s="24"/>
      <c r="D1045762" s="24"/>
      <c r="E1045762" s="24"/>
      <c r="F1045762" s="24"/>
      <c r="G1045762" s="24"/>
      <c r="H1045762" s="24"/>
      <c r="I1045762" s="24"/>
      <c r="J1045762" s="24"/>
      <c r="K1045762" s="54"/>
    </row>
    <row r="1045763" spans="1:11" s="55" customFormat="1" ht="12.75">
      <c r="A1045763" s="24"/>
      <c r="B1045763" s="24"/>
      <c r="C1045763" s="24"/>
      <c r="D1045763" s="24"/>
      <c r="E1045763" s="24"/>
      <c r="F1045763" s="24"/>
      <c r="G1045763" s="24"/>
      <c r="H1045763" s="24"/>
      <c r="I1045763" s="24"/>
      <c r="J1045763" s="24"/>
      <c r="K1045763" s="54"/>
    </row>
    <row r="1045764" spans="1:11" s="55" customFormat="1" ht="12.75">
      <c r="A1045764" s="24"/>
      <c r="B1045764" s="24"/>
      <c r="C1045764" s="24"/>
      <c r="D1045764" s="24"/>
      <c r="E1045764" s="24"/>
      <c r="F1045764" s="24"/>
      <c r="G1045764" s="24"/>
      <c r="H1045764" s="24"/>
      <c r="I1045764" s="24"/>
      <c r="J1045764" s="24"/>
      <c r="K1045764" s="54"/>
    </row>
    <row r="1045765" spans="1:11" s="55" customFormat="1" ht="12.75">
      <c r="A1045765" s="24"/>
      <c r="B1045765" s="24"/>
      <c r="C1045765" s="24"/>
      <c r="D1045765" s="24"/>
      <c r="E1045765" s="24"/>
      <c r="F1045765" s="24"/>
      <c r="G1045765" s="24"/>
      <c r="H1045765" s="24"/>
      <c r="I1045765" s="24"/>
      <c r="J1045765" s="24"/>
      <c r="K1045765" s="54"/>
    </row>
    <row r="1045766" spans="1:11" s="55" customFormat="1" ht="12.75">
      <c r="A1045766" s="24"/>
      <c r="B1045766" s="24"/>
      <c r="C1045766" s="24"/>
      <c r="D1045766" s="24"/>
      <c r="E1045766" s="24"/>
      <c r="F1045766" s="24"/>
      <c r="G1045766" s="24"/>
      <c r="H1045766" s="24"/>
      <c r="I1045766" s="24"/>
      <c r="J1045766" s="24"/>
      <c r="K1045766" s="54"/>
    </row>
    <row r="1045767" spans="1:11" s="55" customFormat="1" ht="12.75">
      <c r="A1045767" s="24"/>
      <c r="B1045767" s="24"/>
      <c r="C1045767" s="24"/>
      <c r="D1045767" s="24"/>
      <c r="E1045767" s="24"/>
      <c r="F1045767" s="24"/>
      <c r="G1045767" s="24"/>
      <c r="H1045767" s="24"/>
      <c r="I1045767" s="24"/>
      <c r="J1045767" s="24"/>
      <c r="K1045767" s="54"/>
    </row>
    <row r="1045768" spans="1:11" s="55" customFormat="1" ht="12.75">
      <c r="A1045768" s="24"/>
      <c r="B1045768" s="24"/>
      <c r="C1045768" s="24"/>
      <c r="D1045768" s="24"/>
      <c r="E1045768" s="24"/>
      <c r="F1045768" s="24"/>
      <c r="G1045768" s="24"/>
      <c r="H1045768" s="24"/>
      <c r="I1045768" s="24"/>
      <c r="J1045768" s="24"/>
      <c r="K1045768" s="54"/>
    </row>
    <row r="1045769" spans="1:11" s="55" customFormat="1" ht="12.75">
      <c r="A1045769" s="24"/>
      <c r="B1045769" s="24"/>
      <c r="C1045769" s="24"/>
      <c r="D1045769" s="24"/>
      <c r="E1045769" s="24"/>
      <c r="F1045769" s="24"/>
      <c r="G1045769" s="24"/>
      <c r="H1045769" s="24"/>
      <c r="I1045769" s="24"/>
      <c r="J1045769" s="24"/>
      <c r="K1045769" s="54"/>
    </row>
    <row r="1045770" spans="1:11" s="55" customFormat="1" ht="12.75">
      <c r="A1045770" s="24"/>
      <c r="B1045770" s="24"/>
      <c r="C1045770" s="24"/>
      <c r="D1045770" s="24"/>
      <c r="E1045770" s="24"/>
      <c r="F1045770" s="24"/>
      <c r="G1045770" s="24"/>
      <c r="H1045770" s="24"/>
      <c r="I1045770" s="24"/>
      <c r="J1045770" s="24"/>
      <c r="K1045770" s="54"/>
    </row>
    <row r="1045771" spans="1:11" s="55" customFormat="1" ht="12.75">
      <c r="A1045771" s="24"/>
      <c r="B1045771" s="24"/>
      <c r="C1045771" s="24"/>
      <c r="D1045771" s="24"/>
      <c r="E1045771" s="24"/>
      <c r="F1045771" s="24"/>
      <c r="G1045771" s="24"/>
      <c r="H1045771" s="24"/>
      <c r="I1045771" s="24"/>
      <c r="J1045771" s="24"/>
      <c r="K1045771" s="54"/>
    </row>
    <row r="1045772" spans="1:11" s="55" customFormat="1" ht="12.75">
      <c r="A1045772" s="24"/>
      <c r="B1045772" s="24"/>
      <c r="C1045772" s="24"/>
      <c r="D1045772" s="24"/>
      <c r="E1045772" s="24"/>
      <c r="F1045772" s="24"/>
      <c r="G1045772" s="24"/>
      <c r="H1045772" s="24"/>
      <c r="I1045772" s="24"/>
      <c r="J1045772" s="24"/>
      <c r="K1045772" s="54"/>
    </row>
    <row r="1045773" spans="1:11" s="55" customFormat="1" ht="12.75">
      <c r="A1045773" s="24"/>
      <c r="B1045773" s="24"/>
      <c r="C1045773" s="24"/>
      <c r="D1045773" s="24"/>
      <c r="E1045773" s="24"/>
      <c r="F1045773" s="24"/>
      <c r="G1045773" s="24"/>
      <c r="H1045773" s="24"/>
      <c r="I1045773" s="24"/>
      <c r="J1045773" s="24"/>
      <c r="K1045773" s="54"/>
    </row>
    <row r="1045774" spans="1:11" s="55" customFormat="1" ht="12.75">
      <c r="A1045774" s="24"/>
      <c r="B1045774" s="24"/>
      <c r="C1045774" s="24"/>
      <c r="D1045774" s="24"/>
      <c r="E1045774" s="24"/>
      <c r="F1045774" s="24"/>
      <c r="G1045774" s="24"/>
      <c r="H1045774" s="24"/>
      <c r="I1045774" s="24"/>
      <c r="J1045774" s="24"/>
      <c r="K1045774" s="54"/>
    </row>
    <row r="1045775" spans="1:11" s="55" customFormat="1" ht="12.75">
      <c r="A1045775" s="24"/>
      <c r="B1045775" s="24"/>
      <c r="C1045775" s="24"/>
      <c r="D1045775" s="24"/>
      <c r="E1045775" s="24"/>
      <c r="F1045775" s="24"/>
      <c r="G1045775" s="24"/>
      <c r="H1045775" s="24"/>
      <c r="I1045775" s="24"/>
      <c r="J1045775" s="24"/>
      <c r="K1045775" s="54"/>
    </row>
    <row r="1045776" spans="1:11" s="55" customFormat="1" ht="12.75">
      <c r="A1045776" s="24"/>
      <c r="B1045776" s="24"/>
      <c r="C1045776" s="24"/>
      <c r="D1045776" s="24"/>
      <c r="E1045776" s="24"/>
      <c r="F1045776" s="24"/>
      <c r="G1045776" s="24"/>
      <c r="H1045776" s="24"/>
      <c r="I1045776" s="24"/>
      <c r="J1045776" s="24"/>
      <c r="K1045776" s="54"/>
    </row>
    <row r="1045777" spans="1:11" s="55" customFormat="1" ht="12.75">
      <c r="A1045777" s="24"/>
      <c r="B1045777" s="24"/>
      <c r="C1045777" s="24"/>
      <c r="D1045777" s="24"/>
      <c r="E1045777" s="24"/>
      <c r="F1045777" s="24"/>
      <c r="G1045777" s="24"/>
      <c r="H1045777" s="24"/>
      <c r="I1045777" s="24"/>
      <c r="J1045777" s="24"/>
      <c r="K1045777" s="54"/>
    </row>
    <row r="1045778" spans="1:11" s="55" customFormat="1" ht="12.75">
      <c r="A1045778" s="24"/>
      <c r="B1045778" s="24"/>
      <c r="C1045778" s="24"/>
      <c r="D1045778" s="24"/>
      <c r="E1045778" s="24"/>
      <c r="F1045778" s="24"/>
      <c r="G1045778" s="24"/>
      <c r="H1045778" s="24"/>
      <c r="I1045778" s="24"/>
      <c r="J1045778" s="24"/>
      <c r="K1045778" s="54"/>
    </row>
    <row r="1045779" spans="1:11" s="55" customFormat="1" ht="12.75">
      <c r="A1045779" s="24"/>
      <c r="B1045779" s="24"/>
      <c r="C1045779" s="24"/>
      <c r="D1045779" s="24"/>
      <c r="E1045779" s="24"/>
      <c r="F1045779" s="24"/>
      <c r="G1045779" s="24"/>
      <c r="H1045779" s="24"/>
      <c r="I1045779" s="24"/>
      <c r="J1045779" s="24"/>
      <c r="K1045779" s="54"/>
    </row>
    <row r="1045780" spans="1:11" s="55" customFormat="1" ht="12.75">
      <c r="A1045780" s="24"/>
      <c r="B1045780" s="24"/>
      <c r="C1045780" s="24"/>
      <c r="D1045780" s="24"/>
      <c r="E1045780" s="24"/>
      <c r="F1045780" s="24"/>
      <c r="G1045780" s="24"/>
      <c r="H1045780" s="24"/>
      <c r="I1045780" s="24"/>
      <c r="J1045780" s="24"/>
      <c r="K1045780" s="54"/>
    </row>
    <row r="1045781" spans="1:11" s="55" customFormat="1" ht="12.75">
      <c r="A1045781" s="24"/>
      <c r="B1045781" s="24"/>
      <c r="C1045781" s="24"/>
      <c r="D1045781" s="24"/>
      <c r="E1045781" s="24"/>
      <c r="F1045781" s="24"/>
      <c r="G1045781" s="24"/>
      <c r="H1045781" s="24"/>
      <c r="I1045781" s="24"/>
      <c r="J1045781" s="24"/>
      <c r="K1045781" s="54"/>
    </row>
    <row r="1045782" spans="1:11" s="55" customFormat="1" ht="12.75">
      <c r="A1045782" s="24"/>
      <c r="B1045782" s="24"/>
      <c r="C1045782" s="24"/>
      <c r="D1045782" s="24"/>
      <c r="E1045782" s="24"/>
      <c r="F1045782" s="24"/>
      <c r="G1045782" s="24"/>
      <c r="H1045782" s="24"/>
      <c r="I1045782" s="24"/>
      <c r="J1045782" s="24"/>
      <c r="K1045782" s="54"/>
    </row>
    <row r="1045783" spans="1:11" s="55" customFormat="1" ht="12.75">
      <c r="A1045783" s="24"/>
      <c r="B1045783" s="24"/>
      <c r="C1045783" s="24"/>
      <c r="D1045783" s="24"/>
      <c r="E1045783" s="24"/>
      <c r="F1045783" s="24"/>
      <c r="G1045783" s="24"/>
      <c r="H1045783" s="24"/>
      <c r="I1045783" s="24"/>
      <c r="J1045783" s="24"/>
      <c r="K1045783" s="54"/>
    </row>
    <row r="1045784" spans="1:11" s="55" customFormat="1" ht="12.75">
      <c r="A1045784" s="24"/>
      <c r="B1045784" s="24"/>
      <c r="C1045784" s="24"/>
      <c r="D1045784" s="24"/>
      <c r="E1045784" s="24"/>
      <c r="F1045784" s="24"/>
      <c r="G1045784" s="24"/>
      <c r="H1045784" s="24"/>
      <c r="I1045784" s="24"/>
      <c r="J1045784" s="24"/>
      <c r="K1045784" s="54"/>
    </row>
    <row r="1045785" spans="1:11" s="55" customFormat="1" ht="12.75">
      <c r="A1045785" s="24"/>
      <c r="B1045785" s="24"/>
      <c r="C1045785" s="24"/>
      <c r="D1045785" s="24"/>
      <c r="E1045785" s="24"/>
      <c r="F1045785" s="24"/>
      <c r="G1045785" s="24"/>
      <c r="H1045785" s="24"/>
      <c r="I1045785" s="24"/>
      <c r="J1045785" s="24"/>
      <c r="K1045785" s="54"/>
    </row>
    <row r="1045786" spans="1:11" s="55" customFormat="1" ht="12.75">
      <c r="A1045786" s="24"/>
      <c r="B1045786" s="24"/>
      <c r="C1045786" s="24"/>
      <c r="D1045786" s="24"/>
      <c r="E1045786" s="24"/>
      <c r="F1045786" s="24"/>
      <c r="G1045786" s="24"/>
      <c r="H1045786" s="24"/>
      <c r="I1045786" s="24"/>
      <c r="J1045786" s="24"/>
      <c r="K1045786" s="54"/>
    </row>
    <row r="1045787" spans="1:11" s="55" customFormat="1" ht="12.75">
      <c r="A1045787" s="24"/>
      <c r="B1045787" s="24"/>
      <c r="C1045787" s="24"/>
      <c r="D1045787" s="24"/>
      <c r="E1045787" s="24"/>
      <c r="F1045787" s="24"/>
      <c r="G1045787" s="24"/>
      <c r="H1045787" s="24"/>
      <c r="I1045787" s="24"/>
      <c r="J1045787" s="24"/>
      <c r="K1045787" s="54"/>
    </row>
    <row r="1045788" spans="1:11" s="55" customFormat="1" ht="12.75">
      <c r="A1045788" s="24"/>
      <c r="B1045788" s="24"/>
      <c r="C1045788" s="24"/>
      <c r="D1045788" s="24"/>
      <c r="E1045788" s="24"/>
      <c r="F1045788" s="24"/>
      <c r="G1045788" s="24"/>
      <c r="H1045788" s="24"/>
      <c r="I1045788" s="24"/>
      <c r="J1045788" s="24"/>
      <c r="K1045788" s="54"/>
    </row>
    <row r="1045789" spans="1:11" s="55" customFormat="1" ht="12.75">
      <c r="A1045789" s="24"/>
      <c r="B1045789" s="24"/>
      <c r="C1045789" s="24"/>
      <c r="D1045789" s="24"/>
      <c r="E1045789" s="24"/>
      <c r="F1045789" s="24"/>
      <c r="G1045789" s="24"/>
      <c r="H1045789" s="24"/>
      <c r="I1045789" s="24"/>
      <c r="J1045789" s="24"/>
      <c r="K1045789" s="54"/>
    </row>
    <row r="1045790" spans="1:11" s="55" customFormat="1" ht="12.75">
      <c r="A1045790" s="24"/>
      <c r="B1045790" s="24"/>
      <c r="C1045790" s="24"/>
      <c r="D1045790" s="24"/>
      <c r="E1045790" s="24"/>
      <c r="F1045790" s="24"/>
      <c r="G1045790" s="24"/>
      <c r="H1045790" s="24"/>
      <c r="I1045790" s="24"/>
      <c r="J1045790" s="24"/>
      <c r="K1045790" s="54"/>
    </row>
    <row r="1045791" spans="1:11" s="55" customFormat="1" ht="12.75">
      <c r="A1045791" s="24"/>
      <c r="B1045791" s="24"/>
      <c r="C1045791" s="24"/>
      <c r="D1045791" s="24"/>
      <c r="E1045791" s="24"/>
      <c r="F1045791" s="24"/>
      <c r="G1045791" s="24"/>
      <c r="H1045791" s="24"/>
      <c r="I1045791" s="24"/>
      <c r="J1045791" s="24"/>
      <c r="K1045791" s="54"/>
    </row>
    <row r="1045792" spans="1:11" s="55" customFormat="1" ht="12.75">
      <c r="A1045792" s="24"/>
      <c r="B1045792" s="24"/>
      <c r="C1045792" s="24"/>
      <c r="D1045792" s="24"/>
      <c r="E1045792" s="24"/>
      <c r="F1045792" s="24"/>
      <c r="G1045792" s="24"/>
      <c r="H1045792" s="24"/>
      <c r="I1045792" s="24"/>
      <c r="J1045792" s="24"/>
      <c r="K1045792" s="54"/>
    </row>
    <row r="1045793" spans="1:11" s="55" customFormat="1" ht="12.75">
      <c r="A1045793" s="24"/>
      <c r="B1045793" s="24"/>
      <c r="C1045793" s="24"/>
      <c r="D1045793" s="24"/>
      <c r="E1045793" s="24"/>
      <c r="F1045793" s="24"/>
      <c r="G1045793" s="24"/>
      <c r="H1045793" s="24"/>
      <c r="I1045793" s="24"/>
      <c r="J1045793" s="24"/>
      <c r="K1045793" s="54"/>
    </row>
    <row r="1045794" spans="1:11" s="55" customFormat="1" ht="12.75">
      <c r="A1045794" s="24"/>
      <c r="B1045794" s="24"/>
      <c r="C1045794" s="24"/>
      <c r="D1045794" s="24"/>
      <c r="E1045794" s="24"/>
      <c r="F1045794" s="24"/>
      <c r="G1045794" s="24"/>
      <c r="H1045794" s="24"/>
      <c r="I1045794" s="24"/>
      <c r="J1045794" s="24"/>
      <c r="K1045794" s="54"/>
    </row>
    <row r="1045795" spans="1:11" s="55" customFormat="1" ht="12.75">
      <c r="A1045795" s="24"/>
      <c r="B1045795" s="24"/>
      <c r="C1045795" s="24"/>
      <c r="D1045795" s="24"/>
      <c r="E1045795" s="24"/>
      <c r="F1045795" s="24"/>
      <c r="G1045795" s="24"/>
      <c r="H1045795" s="24"/>
      <c r="I1045795" s="24"/>
      <c r="J1045795" s="24"/>
      <c r="K1045795" s="54"/>
    </row>
    <row r="1045796" spans="1:11" s="55" customFormat="1" ht="12.75">
      <c r="A1045796" s="24"/>
      <c r="B1045796" s="24"/>
      <c r="C1045796" s="24"/>
      <c r="D1045796" s="24"/>
      <c r="E1045796" s="24"/>
      <c r="F1045796" s="24"/>
      <c r="G1045796" s="24"/>
      <c r="H1045796" s="24"/>
      <c r="I1045796" s="24"/>
      <c r="J1045796" s="24"/>
      <c r="K1045796" s="54"/>
    </row>
    <row r="1045797" spans="1:11" s="55" customFormat="1" ht="12.75">
      <c r="A1045797" s="24"/>
      <c r="B1045797" s="24"/>
      <c r="C1045797" s="24"/>
      <c r="D1045797" s="24"/>
      <c r="E1045797" s="24"/>
      <c r="F1045797" s="24"/>
      <c r="G1045797" s="24"/>
      <c r="H1045797" s="24"/>
      <c r="I1045797" s="24"/>
      <c r="J1045797" s="24"/>
      <c r="K1045797" s="54"/>
    </row>
    <row r="1045798" spans="1:11" s="55" customFormat="1" ht="12.75">
      <c r="A1045798" s="24"/>
      <c r="B1045798" s="24"/>
      <c r="C1045798" s="24"/>
      <c r="D1045798" s="24"/>
      <c r="E1045798" s="24"/>
      <c r="F1045798" s="24"/>
      <c r="G1045798" s="24"/>
      <c r="H1045798" s="24"/>
      <c r="I1045798" s="24"/>
      <c r="J1045798" s="24"/>
      <c r="K1045798" s="54"/>
    </row>
    <row r="1045799" spans="1:11" s="55" customFormat="1" ht="12.75">
      <c r="A1045799" s="24"/>
      <c r="B1045799" s="24"/>
      <c r="C1045799" s="24"/>
      <c r="D1045799" s="24"/>
      <c r="E1045799" s="24"/>
      <c r="F1045799" s="24"/>
      <c r="G1045799" s="24"/>
      <c r="H1045799" s="24"/>
      <c r="I1045799" s="24"/>
      <c r="J1045799" s="24"/>
      <c r="K1045799" s="54"/>
    </row>
    <row r="1045800" spans="1:11" s="55" customFormat="1" ht="12.75">
      <c r="A1045800" s="24"/>
      <c r="B1045800" s="24"/>
      <c r="C1045800" s="24"/>
      <c r="D1045800" s="24"/>
      <c r="E1045800" s="24"/>
      <c r="F1045800" s="24"/>
      <c r="G1045800" s="24"/>
      <c r="H1045800" s="24"/>
      <c r="I1045800" s="24"/>
      <c r="J1045800" s="24"/>
      <c r="K1045800" s="54"/>
    </row>
    <row r="1045801" spans="1:11" s="55" customFormat="1" ht="12.75">
      <c r="A1045801" s="24"/>
      <c r="B1045801" s="24"/>
      <c r="C1045801" s="24"/>
      <c r="D1045801" s="24"/>
      <c r="E1045801" s="24"/>
      <c r="F1045801" s="24"/>
      <c r="G1045801" s="24"/>
      <c r="H1045801" s="24"/>
      <c r="I1045801" s="24"/>
      <c r="J1045801" s="24"/>
      <c r="K1045801" s="54"/>
    </row>
    <row r="1045802" spans="1:11" s="55" customFormat="1" ht="12.75">
      <c r="A1045802" s="24"/>
      <c r="B1045802" s="24"/>
      <c r="C1045802" s="24"/>
      <c r="D1045802" s="24"/>
      <c r="E1045802" s="24"/>
      <c r="F1045802" s="24"/>
      <c r="G1045802" s="24"/>
      <c r="H1045802" s="24"/>
      <c r="I1045802" s="24"/>
      <c r="J1045802" s="24"/>
      <c r="K1045802" s="54"/>
    </row>
    <row r="1045803" spans="1:11" s="55" customFormat="1" ht="12.75">
      <c r="A1045803" s="24"/>
      <c r="B1045803" s="24"/>
      <c r="C1045803" s="24"/>
      <c r="D1045803" s="24"/>
      <c r="E1045803" s="24"/>
      <c r="F1045803" s="24"/>
      <c r="G1045803" s="24"/>
      <c r="H1045803" s="24"/>
      <c r="I1045803" s="24"/>
      <c r="J1045803" s="24"/>
      <c r="K1045803" s="54"/>
    </row>
    <row r="1045804" spans="1:11" s="55" customFormat="1" ht="12.75">
      <c r="A1045804" s="24"/>
      <c r="B1045804" s="24"/>
      <c r="C1045804" s="24"/>
      <c r="D1045804" s="24"/>
      <c r="E1045804" s="24"/>
      <c r="F1045804" s="24"/>
      <c r="G1045804" s="24"/>
      <c r="H1045804" s="24"/>
      <c r="I1045804" s="24"/>
      <c r="J1045804" s="24"/>
      <c r="K1045804" s="54"/>
    </row>
    <row r="1045805" spans="1:11" s="55" customFormat="1" ht="12.75">
      <c r="A1045805" s="24"/>
      <c r="B1045805" s="24"/>
      <c r="C1045805" s="24"/>
      <c r="D1045805" s="24"/>
      <c r="E1045805" s="24"/>
      <c r="F1045805" s="24"/>
      <c r="G1045805" s="24"/>
      <c r="H1045805" s="24"/>
      <c r="I1045805" s="24"/>
      <c r="J1045805" s="24"/>
      <c r="K1045805" s="54"/>
    </row>
    <row r="1045806" spans="1:11" s="55" customFormat="1" ht="12.75">
      <c r="A1045806" s="24"/>
      <c r="B1045806" s="24"/>
      <c r="C1045806" s="24"/>
      <c r="D1045806" s="24"/>
      <c r="E1045806" s="24"/>
      <c r="F1045806" s="24"/>
      <c r="G1045806" s="24"/>
      <c r="H1045806" s="24"/>
      <c r="I1045806" s="24"/>
      <c r="J1045806" s="24"/>
      <c r="K1045806" s="54"/>
    </row>
    <row r="1045807" spans="1:11" s="55" customFormat="1" ht="12.75">
      <c r="A1045807" s="24"/>
      <c r="B1045807" s="24"/>
      <c r="C1045807" s="24"/>
      <c r="D1045807" s="24"/>
      <c r="E1045807" s="24"/>
      <c r="F1045807" s="24"/>
      <c r="G1045807" s="24"/>
      <c r="H1045807" s="24"/>
      <c r="I1045807" s="24"/>
      <c r="J1045807" s="24"/>
      <c r="K1045807" s="54"/>
    </row>
    <row r="1045808" spans="1:11" s="55" customFormat="1" ht="12.75">
      <c r="A1045808" s="24"/>
      <c r="B1045808" s="24"/>
      <c r="C1045808" s="24"/>
      <c r="D1045808" s="24"/>
      <c r="E1045808" s="24"/>
      <c r="F1045808" s="24"/>
      <c r="G1045808" s="24"/>
      <c r="H1045808" s="24"/>
      <c r="I1045808" s="24"/>
      <c r="J1045808" s="24"/>
      <c r="K1045808" s="54"/>
    </row>
    <row r="1045809" spans="1:11" s="55" customFormat="1" ht="12.75">
      <c r="A1045809" s="24"/>
      <c r="B1045809" s="24"/>
      <c r="C1045809" s="24"/>
      <c r="D1045809" s="24"/>
      <c r="E1045809" s="24"/>
      <c r="F1045809" s="24"/>
      <c r="G1045809" s="24"/>
      <c r="H1045809" s="24"/>
      <c r="I1045809" s="24"/>
      <c r="J1045809" s="24"/>
      <c r="K1045809" s="54"/>
    </row>
    <row r="1045810" spans="1:11" s="55" customFormat="1" ht="12.75">
      <c r="A1045810" s="24"/>
      <c r="B1045810" s="24"/>
      <c r="C1045810" s="24"/>
      <c r="D1045810" s="24"/>
      <c r="E1045810" s="24"/>
      <c r="F1045810" s="24"/>
      <c r="G1045810" s="24"/>
      <c r="H1045810" s="24"/>
      <c r="I1045810" s="24"/>
      <c r="J1045810" s="24"/>
      <c r="K1045810" s="54"/>
    </row>
    <row r="1045811" spans="1:11" s="55" customFormat="1" ht="12.75">
      <c r="A1045811" s="24"/>
      <c r="B1045811" s="24"/>
      <c r="C1045811" s="24"/>
      <c r="D1045811" s="24"/>
      <c r="E1045811" s="24"/>
      <c r="F1045811" s="24"/>
      <c r="G1045811" s="24"/>
      <c r="H1045811" s="24"/>
      <c r="I1045811" s="24"/>
      <c r="J1045811" s="24"/>
      <c r="K1045811" s="54"/>
    </row>
    <row r="1045812" spans="1:11" s="55" customFormat="1" ht="12.75">
      <c r="A1045812" s="24"/>
      <c r="B1045812" s="24"/>
      <c r="C1045812" s="24"/>
      <c r="D1045812" s="24"/>
      <c r="E1045812" s="24"/>
      <c r="F1045812" s="24"/>
      <c r="G1045812" s="24"/>
      <c r="H1045812" s="24"/>
      <c r="I1045812" s="24"/>
      <c r="J1045812" s="24"/>
      <c r="K1045812" s="54"/>
    </row>
    <row r="1045813" spans="1:11" s="55" customFormat="1" ht="12.75">
      <c r="A1045813" s="24"/>
      <c r="B1045813" s="24"/>
      <c r="C1045813" s="24"/>
      <c r="D1045813" s="24"/>
      <c r="E1045813" s="24"/>
      <c r="F1045813" s="24"/>
      <c r="G1045813" s="24"/>
      <c r="H1045813" s="24"/>
      <c r="I1045813" s="24"/>
      <c r="J1045813" s="24"/>
      <c r="K1045813" s="54"/>
    </row>
    <row r="1045814" spans="1:11" s="55" customFormat="1" ht="12.75">
      <c r="A1045814" s="24"/>
      <c r="B1045814" s="24"/>
      <c r="C1045814" s="24"/>
      <c r="D1045814" s="24"/>
      <c r="E1045814" s="24"/>
      <c r="F1045814" s="24"/>
      <c r="G1045814" s="24"/>
      <c r="H1045814" s="24"/>
      <c r="I1045814" s="24"/>
      <c r="J1045814" s="24"/>
      <c r="K1045814" s="54"/>
    </row>
    <row r="1045815" spans="1:11" s="55" customFormat="1" ht="12.75">
      <c r="A1045815" s="24"/>
      <c r="B1045815" s="24"/>
      <c r="C1045815" s="24"/>
      <c r="D1045815" s="24"/>
      <c r="E1045815" s="24"/>
      <c r="F1045815" s="24"/>
      <c r="G1045815" s="24"/>
      <c r="H1045815" s="24"/>
      <c r="I1045815" s="24"/>
      <c r="J1045815" s="24"/>
      <c r="K1045815" s="54"/>
    </row>
    <row r="1045816" spans="1:11" s="55" customFormat="1" ht="12.75">
      <c r="A1045816" s="24"/>
      <c r="B1045816" s="24"/>
      <c r="C1045816" s="24"/>
      <c r="D1045816" s="24"/>
      <c r="E1045816" s="24"/>
      <c r="F1045816" s="24"/>
      <c r="G1045816" s="24"/>
      <c r="H1045816" s="24"/>
      <c r="I1045816" s="24"/>
      <c r="J1045816" s="24"/>
      <c r="K1045816" s="54"/>
    </row>
    <row r="1045817" spans="1:11" s="55" customFormat="1" ht="12.75">
      <c r="A1045817" s="24"/>
      <c r="B1045817" s="24"/>
      <c r="C1045817" s="24"/>
      <c r="D1045817" s="24"/>
      <c r="E1045817" s="24"/>
      <c r="F1045817" s="24"/>
      <c r="G1045817" s="24"/>
      <c r="H1045817" s="24"/>
      <c r="I1045817" s="24"/>
      <c r="J1045817" s="24"/>
      <c r="K1045817" s="54"/>
    </row>
    <row r="1045818" spans="1:11" s="55" customFormat="1" ht="12.75">
      <c r="A1045818" s="24"/>
      <c r="B1045818" s="24"/>
      <c r="C1045818" s="24"/>
      <c r="D1045818" s="24"/>
      <c r="E1045818" s="24"/>
      <c r="F1045818" s="24"/>
      <c r="G1045818" s="24"/>
      <c r="H1045818" s="24"/>
      <c r="I1045818" s="24"/>
      <c r="J1045818" s="24"/>
      <c r="K1045818" s="54"/>
    </row>
    <row r="1045819" spans="1:11" s="55" customFormat="1" ht="12.75">
      <c r="A1045819" s="24"/>
      <c r="B1045819" s="24"/>
      <c r="C1045819" s="24"/>
      <c r="D1045819" s="24"/>
      <c r="E1045819" s="24"/>
      <c r="F1045819" s="24"/>
      <c r="G1045819" s="24"/>
      <c r="H1045819" s="24"/>
      <c r="I1045819" s="24"/>
      <c r="J1045819" s="24"/>
      <c r="K1045819" s="54"/>
    </row>
    <row r="1045820" spans="1:11" s="55" customFormat="1" ht="12.75">
      <c r="A1045820" s="24"/>
      <c r="B1045820" s="24"/>
      <c r="C1045820" s="24"/>
      <c r="D1045820" s="24"/>
      <c r="E1045820" s="24"/>
      <c r="F1045820" s="24"/>
      <c r="G1045820" s="24"/>
      <c r="H1045820" s="24"/>
      <c r="I1045820" s="24"/>
      <c r="J1045820" s="24"/>
      <c r="K1045820" s="54"/>
    </row>
    <row r="1045821" spans="1:11" s="55" customFormat="1" ht="12.75">
      <c r="A1045821" s="24"/>
      <c r="B1045821" s="24"/>
      <c r="C1045821" s="24"/>
      <c r="D1045821" s="24"/>
      <c r="E1045821" s="24"/>
      <c r="F1045821" s="24"/>
      <c r="G1045821" s="24"/>
      <c r="H1045821" s="24"/>
      <c r="I1045821" s="24"/>
      <c r="J1045821" s="24"/>
      <c r="K1045821" s="54"/>
    </row>
    <row r="1045822" spans="1:11" s="55" customFormat="1" ht="12.75">
      <c r="A1045822" s="24"/>
      <c r="B1045822" s="24"/>
      <c r="C1045822" s="24"/>
      <c r="D1045822" s="24"/>
      <c r="E1045822" s="24"/>
      <c r="F1045822" s="24"/>
      <c r="G1045822" s="24"/>
      <c r="H1045822" s="24"/>
      <c r="I1045822" s="24"/>
      <c r="J1045822" s="24"/>
      <c r="K1045822" s="54"/>
    </row>
    <row r="1045823" spans="1:11" s="55" customFormat="1" ht="12.75">
      <c r="A1045823" s="24"/>
      <c r="B1045823" s="24"/>
      <c r="C1045823" s="24"/>
      <c r="D1045823" s="24"/>
      <c r="E1045823" s="24"/>
      <c r="F1045823" s="24"/>
      <c r="G1045823" s="24"/>
      <c r="H1045823" s="24"/>
      <c r="I1045823" s="24"/>
      <c r="J1045823" s="24"/>
      <c r="K1045823" s="54"/>
    </row>
    <row r="1045824" spans="1:11" s="55" customFormat="1" ht="12.75">
      <c r="A1045824" s="24"/>
      <c r="B1045824" s="24"/>
      <c r="C1045824" s="24"/>
      <c r="D1045824" s="24"/>
      <c r="E1045824" s="24"/>
      <c r="F1045824" s="24"/>
      <c r="G1045824" s="24"/>
      <c r="H1045824" s="24"/>
      <c r="I1045824" s="24"/>
      <c r="J1045824" s="24"/>
      <c r="K1045824" s="54"/>
    </row>
    <row r="1045825" spans="1:11" s="55" customFormat="1" ht="12.75">
      <c r="A1045825" s="24"/>
      <c r="B1045825" s="24"/>
      <c r="C1045825" s="24"/>
      <c r="D1045825" s="24"/>
      <c r="E1045825" s="24"/>
      <c r="F1045825" s="24"/>
      <c r="G1045825" s="24"/>
      <c r="H1045825" s="24"/>
      <c r="I1045825" s="24"/>
      <c r="J1045825" s="24"/>
      <c r="K1045825" s="54"/>
    </row>
    <row r="1045826" spans="1:11" s="55" customFormat="1" ht="12.75">
      <c r="A1045826" s="24"/>
      <c r="B1045826" s="24"/>
      <c r="C1045826" s="24"/>
      <c r="D1045826" s="24"/>
      <c r="E1045826" s="24"/>
      <c r="F1045826" s="24"/>
      <c r="G1045826" s="24"/>
      <c r="H1045826" s="24"/>
      <c r="I1045826" s="24"/>
      <c r="J1045826" s="24"/>
      <c r="K1045826" s="54"/>
    </row>
    <row r="1045827" spans="1:11" s="55" customFormat="1" ht="12.75">
      <c r="A1045827" s="24"/>
      <c r="B1045827" s="24"/>
      <c r="C1045827" s="24"/>
      <c r="D1045827" s="24"/>
      <c r="E1045827" s="24"/>
      <c r="F1045827" s="24"/>
      <c r="G1045827" s="24"/>
      <c r="H1045827" s="24"/>
      <c r="I1045827" s="24"/>
      <c r="J1045827" s="24"/>
      <c r="K1045827" s="54"/>
    </row>
    <row r="1045828" spans="1:11" s="55" customFormat="1" ht="12.75">
      <c r="A1045828" s="24"/>
      <c r="B1045828" s="24"/>
      <c r="C1045828" s="24"/>
      <c r="D1045828" s="24"/>
      <c r="E1045828" s="24"/>
      <c r="F1045828" s="24"/>
      <c r="G1045828" s="24"/>
      <c r="H1045828" s="24"/>
      <c r="I1045828" s="24"/>
      <c r="J1045828" s="24"/>
      <c r="K1045828" s="54"/>
    </row>
    <row r="1045829" spans="1:11" s="55" customFormat="1" ht="12.75">
      <c r="A1045829" s="24"/>
      <c r="B1045829" s="24"/>
      <c r="C1045829" s="24"/>
      <c r="D1045829" s="24"/>
      <c r="E1045829" s="24"/>
      <c r="F1045829" s="24"/>
      <c r="G1045829" s="24"/>
      <c r="H1045829" s="24"/>
      <c r="I1045829" s="24"/>
      <c r="J1045829" s="24"/>
      <c r="K1045829" s="54"/>
    </row>
    <row r="1045830" spans="1:11" s="55" customFormat="1" ht="12.75">
      <c r="A1045830" s="24"/>
      <c r="B1045830" s="24"/>
      <c r="C1045830" s="24"/>
      <c r="D1045830" s="24"/>
      <c r="E1045830" s="24"/>
      <c r="F1045830" s="24"/>
      <c r="G1045830" s="24"/>
      <c r="H1045830" s="24"/>
      <c r="I1045830" s="24"/>
      <c r="J1045830" s="24"/>
      <c r="K1045830" s="54"/>
    </row>
    <row r="1045831" spans="1:11" s="55" customFormat="1" ht="12.75">
      <c r="A1045831" s="24"/>
      <c r="B1045831" s="24"/>
      <c r="C1045831" s="24"/>
      <c r="D1045831" s="24"/>
      <c r="E1045831" s="24"/>
      <c r="F1045831" s="24"/>
      <c r="G1045831" s="24"/>
      <c r="H1045831" s="24"/>
      <c r="I1045831" s="24"/>
      <c r="J1045831" s="24"/>
      <c r="K1045831" s="54"/>
    </row>
    <row r="1045832" spans="1:11" s="55" customFormat="1" ht="12.75">
      <c r="A1045832" s="24"/>
      <c r="B1045832" s="24"/>
      <c r="C1045832" s="24"/>
      <c r="D1045832" s="24"/>
      <c r="E1045832" s="24"/>
      <c r="F1045832" s="24"/>
      <c r="G1045832" s="24"/>
      <c r="H1045832" s="24"/>
      <c r="I1045832" s="24"/>
      <c r="J1045832" s="24"/>
      <c r="K1045832" s="54"/>
    </row>
    <row r="1045833" spans="1:11" s="55" customFormat="1" ht="12.75">
      <c r="A1045833" s="24"/>
      <c r="B1045833" s="24"/>
      <c r="C1045833" s="24"/>
      <c r="D1045833" s="24"/>
      <c r="E1045833" s="24"/>
      <c r="F1045833" s="24"/>
      <c r="G1045833" s="24"/>
      <c r="H1045833" s="24"/>
      <c r="I1045833" s="24"/>
      <c r="J1045833" s="24"/>
      <c r="K1045833" s="54"/>
    </row>
    <row r="1045834" spans="1:11" s="55" customFormat="1" ht="12.75">
      <c r="A1045834" s="24"/>
      <c r="B1045834" s="24"/>
      <c r="C1045834" s="24"/>
      <c r="D1045834" s="24"/>
      <c r="E1045834" s="24"/>
      <c r="F1045834" s="24"/>
      <c r="G1045834" s="24"/>
      <c r="H1045834" s="24"/>
      <c r="I1045834" s="24"/>
      <c r="J1045834" s="24"/>
      <c r="K1045834" s="54"/>
    </row>
    <row r="1045835" spans="1:11" s="55" customFormat="1" ht="12.75">
      <c r="A1045835" s="24"/>
      <c r="B1045835" s="24"/>
      <c r="C1045835" s="24"/>
      <c r="D1045835" s="24"/>
      <c r="E1045835" s="24"/>
      <c r="F1045835" s="24"/>
      <c r="G1045835" s="24"/>
      <c r="H1045835" s="24"/>
      <c r="I1045835" s="24"/>
      <c r="J1045835" s="24"/>
      <c r="K1045835" s="54"/>
    </row>
    <row r="1045836" spans="1:11" s="55" customFormat="1" ht="12.75">
      <c r="A1045836" s="24"/>
      <c r="B1045836" s="24"/>
      <c r="C1045836" s="24"/>
      <c r="D1045836" s="24"/>
      <c r="E1045836" s="24"/>
      <c r="F1045836" s="24"/>
      <c r="G1045836" s="24"/>
      <c r="H1045836" s="24"/>
      <c r="I1045836" s="24"/>
      <c r="J1045836" s="24"/>
      <c r="K1045836" s="54"/>
    </row>
    <row r="1045837" spans="1:11" s="55" customFormat="1" ht="12.75">
      <c r="A1045837" s="24"/>
      <c r="B1045837" s="24"/>
      <c r="C1045837" s="24"/>
      <c r="D1045837" s="24"/>
      <c r="E1045837" s="24"/>
      <c r="F1045837" s="24"/>
      <c r="G1045837" s="24"/>
      <c r="H1045837" s="24"/>
      <c r="I1045837" s="24"/>
      <c r="J1045837" s="24"/>
      <c r="K1045837" s="54"/>
    </row>
    <row r="1045838" spans="1:11" s="55" customFormat="1" ht="12.75">
      <c r="A1045838" s="24"/>
      <c r="B1045838" s="24"/>
      <c r="C1045838" s="24"/>
      <c r="D1045838" s="24"/>
      <c r="E1045838" s="24"/>
      <c r="F1045838" s="24"/>
      <c r="G1045838" s="24"/>
      <c r="H1045838" s="24"/>
      <c r="I1045838" s="24"/>
      <c r="J1045838" s="24"/>
      <c r="K1045838" s="54"/>
    </row>
    <row r="1045839" spans="1:11" s="55" customFormat="1" ht="12.75">
      <c r="A1045839" s="24"/>
      <c r="B1045839" s="24"/>
      <c r="C1045839" s="24"/>
      <c r="D1045839" s="24"/>
      <c r="E1045839" s="24"/>
      <c r="F1045839" s="24"/>
      <c r="G1045839" s="24"/>
      <c r="H1045839" s="24"/>
      <c r="I1045839" s="24"/>
      <c r="J1045839" s="24"/>
      <c r="K1045839" s="54"/>
    </row>
    <row r="1045840" spans="1:11" s="55" customFormat="1" ht="12.75">
      <c r="A1045840" s="24"/>
      <c r="B1045840" s="24"/>
      <c r="C1045840" s="24"/>
      <c r="D1045840" s="24"/>
      <c r="E1045840" s="24"/>
      <c r="F1045840" s="24"/>
      <c r="G1045840" s="24"/>
      <c r="H1045840" s="24"/>
      <c r="I1045840" s="24"/>
      <c r="J1045840" s="24"/>
      <c r="K1045840" s="54"/>
    </row>
    <row r="1045841" spans="1:11" s="55" customFormat="1" ht="12.75">
      <c r="A1045841" s="24"/>
      <c r="B1045841" s="24"/>
      <c r="C1045841" s="24"/>
      <c r="D1045841" s="24"/>
      <c r="E1045841" s="24"/>
      <c r="F1045841" s="24"/>
      <c r="G1045841" s="24"/>
      <c r="H1045841" s="24"/>
      <c r="I1045841" s="24"/>
      <c r="J1045841" s="24"/>
      <c r="K1045841" s="54"/>
    </row>
    <row r="1045842" spans="1:11" s="55" customFormat="1" ht="12.75">
      <c r="A1045842" s="24"/>
      <c r="B1045842" s="24"/>
      <c r="C1045842" s="24"/>
      <c r="D1045842" s="24"/>
      <c r="E1045842" s="24"/>
      <c r="F1045842" s="24"/>
      <c r="G1045842" s="24"/>
      <c r="H1045842" s="24"/>
      <c r="I1045842" s="24"/>
      <c r="J1045842" s="24"/>
      <c r="K1045842" s="54"/>
    </row>
    <row r="1045843" spans="1:11" s="55" customFormat="1" ht="12.75">
      <c r="A1045843" s="24"/>
      <c r="B1045843" s="24"/>
      <c r="C1045843" s="24"/>
      <c r="D1045843" s="24"/>
      <c r="E1045843" s="24"/>
      <c r="F1045843" s="24"/>
      <c r="G1045843" s="24"/>
      <c r="H1045843" s="24"/>
      <c r="I1045843" s="24"/>
      <c r="J1045843" s="24"/>
      <c r="K1045843" s="54"/>
    </row>
    <row r="1045844" spans="1:11" s="55" customFormat="1" ht="12.75">
      <c r="A1045844" s="24"/>
      <c r="B1045844" s="24"/>
      <c r="C1045844" s="24"/>
      <c r="D1045844" s="24"/>
      <c r="E1045844" s="24"/>
      <c r="F1045844" s="24"/>
      <c r="G1045844" s="24"/>
      <c r="H1045844" s="24"/>
      <c r="I1045844" s="24"/>
      <c r="J1045844" s="24"/>
      <c r="K1045844" s="54"/>
    </row>
    <row r="1045845" spans="1:11" s="55" customFormat="1" ht="12.75">
      <c r="A1045845" s="24"/>
      <c r="B1045845" s="24"/>
      <c r="C1045845" s="24"/>
      <c r="D1045845" s="24"/>
      <c r="E1045845" s="24"/>
      <c r="F1045845" s="24"/>
      <c r="G1045845" s="24"/>
      <c r="H1045845" s="24"/>
      <c r="I1045845" s="24"/>
      <c r="J1045845" s="24"/>
      <c r="K1045845" s="54"/>
    </row>
    <row r="1045846" spans="1:11" s="55" customFormat="1" ht="12.75">
      <c r="A1045846" s="24"/>
      <c r="B1045846" s="24"/>
      <c r="C1045846" s="24"/>
      <c r="D1045846" s="24"/>
      <c r="E1045846" s="24"/>
      <c r="F1045846" s="24"/>
      <c r="G1045846" s="24"/>
      <c r="H1045846" s="24"/>
      <c r="I1045846" s="24"/>
      <c r="J1045846" s="24"/>
      <c r="K1045846" s="54"/>
    </row>
    <row r="1045847" spans="1:11" s="55" customFormat="1" ht="12.75">
      <c r="A1045847" s="24"/>
      <c r="B1045847" s="24"/>
      <c r="C1045847" s="24"/>
      <c r="D1045847" s="24"/>
      <c r="E1045847" s="24"/>
      <c r="F1045847" s="24"/>
      <c r="G1045847" s="24"/>
      <c r="H1045847" s="24"/>
      <c r="I1045847" s="24"/>
      <c r="J1045847" s="24"/>
      <c r="K1045847" s="54"/>
    </row>
    <row r="1045848" spans="1:11" s="55" customFormat="1" ht="12.75">
      <c r="A1045848" s="24"/>
      <c r="B1045848" s="24"/>
      <c r="C1045848" s="24"/>
      <c r="D1045848" s="24"/>
      <c r="E1045848" s="24"/>
      <c r="F1045848" s="24"/>
      <c r="G1045848" s="24"/>
      <c r="H1045848" s="24"/>
      <c r="I1045848" s="24"/>
      <c r="J1045848" s="24"/>
      <c r="K1045848" s="54"/>
    </row>
    <row r="1045849" spans="1:11" s="55" customFormat="1" ht="12.75">
      <c r="A1045849" s="24"/>
      <c r="B1045849" s="24"/>
      <c r="C1045849" s="24"/>
      <c r="D1045849" s="24"/>
      <c r="E1045849" s="24"/>
      <c r="F1045849" s="24"/>
      <c r="G1045849" s="24"/>
      <c r="H1045849" s="24"/>
      <c r="I1045849" s="24"/>
      <c r="J1045849" s="24"/>
      <c r="K1045849" s="54"/>
    </row>
    <row r="1045850" spans="1:11" s="55" customFormat="1" ht="12.75">
      <c r="A1045850" s="24"/>
      <c r="B1045850" s="24"/>
      <c r="C1045850" s="24"/>
      <c r="D1045850" s="24"/>
      <c r="E1045850" s="24"/>
      <c r="F1045850" s="24"/>
      <c r="G1045850" s="24"/>
      <c r="H1045850" s="24"/>
      <c r="I1045850" s="24"/>
      <c r="J1045850" s="24"/>
      <c r="K1045850" s="54"/>
    </row>
    <row r="1045851" spans="1:11" s="55" customFormat="1" ht="12.75">
      <c r="A1045851" s="24"/>
      <c r="B1045851" s="24"/>
      <c r="C1045851" s="24"/>
      <c r="D1045851" s="24"/>
      <c r="E1045851" s="24"/>
      <c r="F1045851" s="24"/>
      <c r="G1045851" s="24"/>
      <c r="H1045851" s="24"/>
      <c r="I1045851" s="24"/>
      <c r="J1045851" s="24"/>
      <c r="K1045851" s="54"/>
    </row>
    <row r="1045852" spans="1:11" s="55" customFormat="1" ht="12.75">
      <c r="A1045852" s="24"/>
      <c r="B1045852" s="24"/>
      <c r="C1045852" s="24"/>
      <c r="D1045852" s="24"/>
      <c r="E1045852" s="24"/>
      <c r="F1045852" s="24"/>
      <c r="G1045852" s="24"/>
      <c r="H1045852" s="24"/>
      <c r="I1045852" s="24"/>
      <c r="J1045852" s="24"/>
      <c r="K1045852" s="54"/>
    </row>
    <row r="1045853" spans="1:11" s="55" customFormat="1" ht="12.75">
      <c r="A1045853" s="24"/>
      <c r="B1045853" s="24"/>
      <c r="C1045853" s="24"/>
      <c r="D1045853" s="24"/>
      <c r="E1045853" s="24"/>
      <c r="F1045853" s="24"/>
      <c r="G1045853" s="24"/>
      <c r="H1045853" s="24"/>
      <c r="I1045853" s="24"/>
      <c r="J1045853" s="24"/>
      <c r="K1045853" s="54"/>
    </row>
    <row r="1045854" spans="1:11" s="55" customFormat="1" ht="12.75">
      <c r="A1045854" s="24"/>
      <c r="B1045854" s="24"/>
      <c r="C1045854" s="24"/>
      <c r="D1045854" s="24"/>
      <c r="E1045854" s="24"/>
      <c r="F1045854" s="24"/>
      <c r="G1045854" s="24"/>
      <c r="H1045854" s="24"/>
      <c r="I1045854" s="24"/>
      <c r="J1045854" s="24"/>
      <c r="K1045854" s="54"/>
    </row>
    <row r="1045855" spans="1:11" s="55" customFormat="1" ht="12.75">
      <c r="A1045855" s="24"/>
      <c r="B1045855" s="24"/>
      <c r="C1045855" s="24"/>
      <c r="D1045855" s="24"/>
      <c r="E1045855" s="24"/>
      <c r="F1045855" s="24"/>
      <c r="G1045855" s="24"/>
      <c r="H1045855" s="24"/>
      <c r="I1045855" s="24"/>
      <c r="J1045855" s="24"/>
      <c r="K1045855" s="54"/>
    </row>
    <row r="1045856" spans="1:11" s="55" customFormat="1" ht="12.75">
      <c r="A1045856" s="24"/>
      <c r="B1045856" s="24"/>
      <c r="C1045856" s="24"/>
      <c r="D1045856" s="24"/>
      <c r="E1045856" s="24"/>
      <c r="F1045856" s="24"/>
      <c r="G1045856" s="24"/>
      <c r="H1045856" s="24"/>
      <c r="I1045856" s="24"/>
      <c r="J1045856" s="24"/>
      <c r="K1045856" s="54"/>
    </row>
    <row r="1045857" spans="1:11" s="55" customFormat="1" ht="12.75">
      <c r="A1045857" s="24"/>
      <c r="B1045857" s="24"/>
      <c r="C1045857" s="24"/>
      <c r="D1045857" s="24"/>
      <c r="E1045857" s="24"/>
      <c r="F1045857" s="24"/>
      <c r="G1045857" s="24"/>
      <c r="H1045857" s="24"/>
      <c r="I1045857" s="24"/>
      <c r="J1045857" s="24"/>
      <c r="K1045857" s="54"/>
    </row>
    <row r="1045858" spans="1:11" s="55" customFormat="1" ht="12.75">
      <c r="A1045858" s="24"/>
      <c r="B1045858" s="24"/>
      <c r="C1045858" s="24"/>
      <c r="D1045858" s="24"/>
      <c r="E1045858" s="24"/>
      <c r="F1045858" s="24"/>
      <c r="G1045858" s="24"/>
      <c r="H1045858" s="24"/>
      <c r="I1045858" s="24"/>
      <c r="J1045858" s="24"/>
      <c r="K1045858" s="54"/>
    </row>
    <row r="1045859" spans="1:11" s="55" customFormat="1" ht="12.75">
      <c r="A1045859" s="24"/>
      <c r="B1045859" s="24"/>
      <c r="C1045859" s="24"/>
      <c r="D1045859" s="24"/>
      <c r="E1045859" s="24"/>
      <c r="F1045859" s="24"/>
      <c r="G1045859" s="24"/>
      <c r="H1045859" s="24"/>
      <c r="I1045859" s="24"/>
      <c r="J1045859" s="24"/>
      <c r="K1045859" s="54"/>
    </row>
    <row r="1045860" spans="1:11" s="55" customFormat="1" ht="12.75">
      <c r="A1045860" s="24"/>
      <c r="B1045860" s="24"/>
      <c r="C1045860" s="24"/>
      <c r="D1045860" s="24"/>
      <c r="E1045860" s="24"/>
      <c r="F1045860" s="24"/>
      <c r="G1045860" s="24"/>
      <c r="H1045860" s="24"/>
      <c r="I1045860" s="24"/>
      <c r="J1045860" s="24"/>
      <c r="K1045860" s="54"/>
    </row>
    <row r="1045861" spans="1:11" s="55" customFormat="1" ht="12.75">
      <c r="A1045861" s="24"/>
      <c r="B1045861" s="24"/>
      <c r="C1045861" s="24"/>
      <c r="D1045861" s="24"/>
      <c r="E1045861" s="24"/>
      <c r="F1045861" s="24"/>
      <c r="G1045861" s="24"/>
      <c r="H1045861" s="24"/>
      <c r="I1045861" s="24"/>
      <c r="J1045861" s="24"/>
      <c r="K1045861" s="54"/>
    </row>
    <row r="1045862" spans="1:11" s="55" customFormat="1" ht="12.75">
      <c r="A1045862" s="24"/>
      <c r="B1045862" s="24"/>
      <c r="C1045862" s="24"/>
      <c r="D1045862" s="24"/>
      <c r="E1045862" s="24"/>
      <c r="F1045862" s="24"/>
      <c r="G1045862" s="24"/>
      <c r="H1045862" s="24"/>
      <c r="I1045862" s="24"/>
      <c r="J1045862" s="24"/>
      <c r="K1045862" s="54"/>
    </row>
    <row r="1045863" spans="1:11" s="55" customFormat="1" ht="12.75">
      <c r="A1045863" s="24"/>
      <c r="B1045863" s="24"/>
      <c r="C1045863" s="24"/>
      <c r="D1045863" s="24"/>
      <c r="E1045863" s="24"/>
      <c r="F1045863" s="24"/>
      <c r="G1045863" s="24"/>
      <c r="H1045863" s="24"/>
      <c r="I1045863" s="24"/>
      <c r="J1045863" s="24"/>
      <c r="K1045863" s="54"/>
    </row>
    <row r="1045864" spans="1:11" s="55" customFormat="1" ht="12.75">
      <c r="A1045864" s="24"/>
      <c r="B1045864" s="24"/>
      <c r="C1045864" s="24"/>
      <c r="D1045864" s="24"/>
      <c r="E1045864" s="24"/>
      <c r="F1045864" s="24"/>
      <c r="G1045864" s="24"/>
      <c r="H1045864" s="24"/>
      <c r="I1045864" s="24"/>
      <c r="J1045864" s="24"/>
      <c r="K1045864" s="54"/>
    </row>
    <row r="1045865" spans="1:11" s="55" customFormat="1" ht="12.75">
      <c r="A1045865" s="24"/>
      <c r="B1045865" s="24"/>
      <c r="C1045865" s="24"/>
      <c r="D1045865" s="24"/>
      <c r="E1045865" s="24"/>
      <c r="F1045865" s="24"/>
      <c r="G1045865" s="24"/>
      <c r="H1045865" s="24"/>
      <c r="I1045865" s="24"/>
      <c r="J1045865" s="24"/>
      <c r="K1045865" s="54"/>
    </row>
    <row r="1045866" spans="1:11" s="55" customFormat="1" ht="12.75">
      <c r="A1045866" s="24"/>
      <c r="B1045866" s="24"/>
      <c r="C1045866" s="24"/>
      <c r="D1045866" s="24"/>
      <c r="E1045866" s="24"/>
      <c r="F1045866" s="24"/>
      <c r="G1045866" s="24"/>
      <c r="H1045866" s="24"/>
      <c r="I1045866" s="24"/>
      <c r="J1045866" s="24"/>
      <c r="K1045866" s="54"/>
    </row>
    <row r="1045867" spans="1:11" s="55" customFormat="1" ht="12.75">
      <c r="A1045867" s="24"/>
      <c r="B1045867" s="24"/>
      <c r="C1045867" s="24"/>
      <c r="D1045867" s="24"/>
      <c r="E1045867" s="24"/>
      <c r="F1045867" s="24"/>
      <c r="G1045867" s="24"/>
      <c r="H1045867" s="24"/>
      <c r="I1045867" s="24"/>
      <c r="J1045867" s="24"/>
      <c r="K1045867" s="54"/>
    </row>
    <row r="1045868" spans="1:11" s="55" customFormat="1" ht="12.75">
      <c r="A1045868" s="24"/>
      <c r="B1045868" s="24"/>
      <c r="C1045868" s="24"/>
      <c r="D1045868" s="24"/>
      <c r="E1045868" s="24"/>
      <c r="F1045868" s="24"/>
      <c r="G1045868" s="24"/>
      <c r="H1045868" s="24"/>
      <c r="I1045868" s="24"/>
      <c r="J1045868" s="24"/>
      <c r="K1045868" s="54"/>
    </row>
    <row r="1045869" spans="1:11" s="55" customFormat="1" ht="12.75">
      <c r="A1045869" s="24"/>
      <c r="B1045869" s="24"/>
      <c r="C1045869" s="24"/>
      <c r="D1045869" s="24"/>
      <c r="E1045869" s="24"/>
      <c r="F1045869" s="24"/>
      <c r="G1045869" s="24"/>
      <c r="H1045869" s="24"/>
      <c r="I1045869" s="24"/>
      <c r="J1045869" s="24"/>
      <c r="K1045869" s="54"/>
    </row>
    <row r="1045870" spans="1:11" s="55" customFormat="1" ht="12.75">
      <c r="A1045870" s="24"/>
      <c r="B1045870" s="24"/>
      <c r="C1045870" s="24"/>
      <c r="D1045870" s="24"/>
      <c r="E1045870" s="24"/>
      <c r="F1045870" s="24"/>
      <c r="G1045870" s="24"/>
      <c r="H1045870" s="24"/>
      <c r="I1045870" s="24"/>
      <c r="J1045870" s="24"/>
      <c r="K1045870" s="54"/>
    </row>
    <row r="1045871" spans="1:11" s="55" customFormat="1" ht="12.75">
      <c r="A1045871" s="24"/>
      <c r="B1045871" s="24"/>
      <c r="C1045871" s="24"/>
      <c r="D1045871" s="24"/>
      <c r="E1045871" s="24"/>
      <c r="F1045871" s="24"/>
      <c r="G1045871" s="24"/>
      <c r="H1045871" s="24"/>
      <c r="I1045871" s="24"/>
      <c r="J1045871" s="24"/>
      <c r="K1045871" s="54"/>
    </row>
    <row r="1045872" spans="1:11" s="55" customFormat="1" ht="12.75">
      <c r="A1045872" s="24"/>
      <c r="B1045872" s="24"/>
      <c r="C1045872" s="24"/>
      <c r="D1045872" s="24"/>
      <c r="E1045872" s="24"/>
      <c r="F1045872" s="24"/>
      <c r="G1045872" s="24"/>
      <c r="H1045872" s="24"/>
      <c r="I1045872" s="24"/>
      <c r="J1045872" s="24"/>
      <c r="K1045872" s="54"/>
    </row>
    <row r="1045873" spans="1:11" s="55" customFormat="1" ht="12.75">
      <c r="A1045873" s="24"/>
      <c r="B1045873" s="24"/>
      <c r="C1045873" s="24"/>
      <c r="D1045873" s="24"/>
      <c r="E1045873" s="24"/>
      <c r="F1045873" s="24"/>
      <c r="G1045873" s="24"/>
      <c r="H1045873" s="24"/>
      <c r="I1045873" s="24"/>
      <c r="J1045873" s="24"/>
      <c r="K1045873" s="54"/>
    </row>
    <row r="1045874" spans="1:11" s="55" customFormat="1" ht="12.75">
      <c r="A1045874" s="24"/>
      <c r="B1045874" s="24"/>
      <c r="C1045874" s="24"/>
      <c r="D1045874" s="24"/>
      <c r="E1045874" s="24"/>
      <c r="F1045874" s="24"/>
      <c r="G1045874" s="24"/>
      <c r="H1045874" s="24"/>
      <c r="I1045874" s="24"/>
      <c r="J1045874" s="24"/>
      <c r="K1045874" s="54"/>
    </row>
    <row r="1045875" spans="1:11" s="55" customFormat="1" ht="12.75">
      <c r="A1045875" s="24"/>
      <c r="B1045875" s="24"/>
      <c r="C1045875" s="24"/>
      <c r="D1045875" s="24"/>
      <c r="E1045875" s="24"/>
      <c r="F1045875" s="24"/>
      <c r="G1045875" s="24"/>
      <c r="H1045875" s="24"/>
      <c r="I1045875" s="24"/>
      <c r="J1045875" s="24"/>
      <c r="K1045875" s="54"/>
    </row>
    <row r="1045876" spans="1:11" s="55" customFormat="1" ht="12.75">
      <c r="A1045876" s="24"/>
      <c r="B1045876" s="24"/>
      <c r="C1045876" s="24"/>
      <c r="D1045876" s="24"/>
      <c r="E1045876" s="24"/>
      <c r="F1045876" s="24"/>
      <c r="G1045876" s="24"/>
      <c r="H1045876" s="24"/>
      <c r="I1045876" s="24"/>
      <c r="J1045876" s="24"/>
      <c r="K1045876" s="54"/>
    </row>
    <row r="1045877" spans="1:11" s="55" customFormat="1" ht="12.75">
      <c r="A1045877" s="24"/>
      <c r="B1045877" s="24"/>
      <c r="C1045877" s="24"/>
      <c r="D1045877" s="24"/>
      <c r="E1045877" s="24"/>
      <c r="F1045877" s="24"/>
      <c r="G1045877" s="24"/>
      <c r="H1045877" s="24"/>
      <c r="I1045877" s="24"/>
      <c r="J1045877" s="24"/>
      <c r="K1045877" s="54"/>
    </row>
    <row r="1045878" spans="1:11" s="55" customFormat="1" ht="12.75">
      <c r="A1045878" s="24"/>
      <c r="B1045878" s="24"/>
      <c r="C1045878" s="24"/>
      <c r="D1045878" s="24"/>
      <c r="E1045878" s="24"/>
      <c r="F1045878" s="24"/>
      <c r="G1045878" s="24"/>
      <c r="H1045878" s="24"/>
      <c r="I1045878" s="24"/>
      <c r="J1045878" s="24"/>
      <c r="K1045878" s="54"/>
    </row>
    <row r="1045879" spans="1:11" s="55" customFormat="1" ht="12.75">
      <c r="A1045879" s="24"/>
      <c r="B1045879" s="24"/>
      <c r="C1045879" s="24"/>
      <c r="D1045879" s="24"/>
      <c r="E1045879" s="24"/>
      <c r="F1045879" s="24"/>
      <c r="G1045879" s="24"/>
      <c r="H1045879" s="24"/>
      <c r="I1045879" s="24"/>
      <c r="J1045879" s="24"/>
      <c r="K1045879" s="54"/>
    </row>
    <row r="1045880" spans="1:11" s="55" customFormat="1" ht="12.75">
      <c r="A1045880" s="24"/>
      <c r="B1045880" s="24"/>
      <c r="C1045880" s="24"/>
      <c r="D1045880" s="24"/>
      <c r="E1045880" s="24"/>
      <c r="F1045880" s="24"/>
      <c r="G1045880" s="24"/>
      <c r="H1045880" s="24"/>
      <c r="I1045880" s="24"/>
      <c r="J1045880" s="24"/>
      <c r="K1045880" s="54"/>
    </row>
    <row r="1045881" spans="1:11" s="55" customFormat="1" ht="12.75">
      <c r="A1045881" s="24"/>
      <c r="B1045881" s="24"/>
      <c r="C1045881" s="24"/>
      <c r="D1045881" s="24"/>
      <c r="E1045881" s="24"/>
      <c r="F1045881" s="24"/>
      <c r="G1045881" s="24"/>
      <c r="H1045881" s="24"/>
      <c r="I1045881" s="24"/>
      <c r="J1045881" s="24"/>
      <c r="K1045881" s="54"/>
    </row>
    <row r="1045882" spans="1:11" s="55" customFormat="1" ht="12.75">
      <c r="A1045882" s="24"/>
      <c r="B1045882" s="24"/>
      <c r="C1045882" s="24"/>
      <c r="D1045882" s="24"/>
      <c r="E1045882" s="24"/>
      <c r="F1045882" s="24"/>
      <c r="G1045882" s="24"/>
      <c r="H1045882" s="24"/>
      <c r="I1045882" s="24"/>
      <c r="J1045882" s="24"/>
      <c r="K1045882" s="54"/>
    </row>
    <row r="1045883" spans="1:11" s="55" customFormat="1" ht="12.75">
      <c r="A1045883" s="24"/>
      <c r="B1045883" s="24"/>
      <c r="C1045883" s="24"/>
      <c r="D1045883" s="24"/>
      <c r="E1045883" s="24"/>
      <c r="F1045883" s="24"/>
      <c r="G1045883" s="24"/>
      <c r="H1045883" s="24"/>
      <c r="I1045883" s="24"/>
      <c r="J1045883" s="24"/>
      <c r="K1045883" s="54"/>
    </row>
    <row r="1045884" spans="1:11" s="55" customFormat="1" ht="12.75">
      <c r="A1045884" s="24"/>
      <c r="B1045884" s="24"/>
      <c r="C1045884" s="24"/>
      <c r="D1045884" s="24"/>
      <c r="E1045884" s="24"/>
      <c r="F1045884" s="24"/>
      <c r="G1045884" s="24"/>
      <c r="H1045884" s="24"/>
      <c r="I1045884" s="24"/>
      <c r="J1045884" s="24"/>
      <c r="K1045884" s="54"/>
    </row>
    <row r="1045885" spans="1:11" s="55" customFormat="1" ht="12.75">
      <c r="A1045885" s="24"/>
      <c r="B1045885" s="24"/>
      <c r="C1045885" s="24"/>
      <c r="D1045885" s="24"/>
      <c r="E1045885" s="24"/>
      <c r="F1045885" s="24"/>
      <c r="G1045885" s="24"/>
      <c r="H1045885" s="24"/>
      <c r="I1045885" s="24"/>
      <c r="J1045885" s="24"/>
      <c r="K1045885" s="54"/>
    </row>
    <row r="1045886" spans="1:11" s="55" customFormat="1" ht="12.75">
      <c r="A1045886" s="24"/>
      <c r="B1045886" s="24"/>
      <c r="C1045886" s="24"/>
      <c r="D1045886" s="24"/>
      <c r="E1045886" s="24"/>
      <c r="F1045886" s="24"/>
      <c r="G1045886" s="24"/>
      <c r="H1045886" s="24"/>
      <c r="I1045886" s="24"/>
      <c r="J1045886" s="24"/>
      <c r="K1045886" s="54"/>
    </row>
    <row r="1045887" spans="1:11" s="55" customFormat="1" ht="12.75">
      <c r="A1045887" s="24"/>
      <c r="B1045887" s="24"/>
      <c r="C1045887" s="24"/>
      <c r="D1045887" s="24"/>
      <c r="E1045887" s="24"/>
      <c r="F1045887" s="24"/>
      <c r="G1045887" s="24"/>
      <c r="H1045887" s="24"/>
      <c r="I1045887" s="24"/>
      <c r="J1045887" s="24"/>
      <c r="K1045887" s="54"/>
    </row>
    <row r="1045888" spans="1:11" s="55" customFormat="1" ht="12.75">
      <c r="A1045888" s="24"/>
      <c r="B1045888" s="24"/>
      <c r="C1045888" s="24"/>
      <c r="D1045888" s="24"/>
      <c r="E1045888" s="24"/>
      <c r="F1045888" s="24"/>
      <c r="G1045888" s="24"/>
      <c r="H1045888" s="24"/>
      <c r="I1045888" s="24"/>
      <c r="J1045888" s="24"/>
      <c r="K1045888" s="54"/>
    </row>
    <row r="1045889" spans="1:11" s="55" customFormat="1" ht="12.75">
      <c r="A1045889" s="24"/>
      <c r="B1045889" s="24"/>
      <c r="C1045889" s="24"/>
      <c r="D1045889" s="24"/>
      <c r="E1045889" s="24"/>
      <c r="F1045889" s="24"/>
      <c r="G1045889" s="24"/>
      <c r="H1045889" s="24"/>
      <c r="I1045889" s="24"/>
      <c r="J1045889" s="24"/>
      <c r="K1045889" s="54"/>
    </row>
    <row r="1045890" spans="1:11" s="55" customFormat="1" ht="12.75">
      <c r="A1045890" s="24"/>
      <c r="B1045890" s="24"/>
      <c r="C1045890" s="24"/>
      <c r="D1045890" s="24"/>
      <c r="E1045890" s="24"/>
      <c r="F1045890" s="24"/>
      <c r="G1045890" s="24"/>
      <c r="H1045890" s="24"/>
      <c r="I1045890" s="24"/>
      <c r="J1045890" s="24"/>
      <c r="K1045890" s="54"/>
    </row>
    <row r="1045891" spans="1:11" s="55" customFormat="1" ht="12.75">
      <c r="A1045891" s="24"/>
      <c r="B1045891" s="24"/>
      <c r="C1045891" s="24"/>
      <c r="D1045891" s="24"/>
      <c r="E1045891" s="24"/>
      <c r="F1045891" s="24"/>
      <c r="G1045891" s="24"/>
      <c r="H1045891" s="24"/>
      <c r="I1045891" s="24"/>
      <c r="J1045891" s="24"/>
      <c r="K1045891" s="54"/>
    </row>
    <row r="1045892" spans="1:11" s="55" customFormat="1" ht="12.75">
      <c r="A1045892" s="24"/>
      <c r="B1045892" s="24"/>
      <c r="C1045892" s="24"/>
      <c r="D1045892" s="24"/>
      <c r="E1045892" s="24"/>
      <c r="F1045892" s="24"/>
      <c r="G1045892" s="24"/>
      <c r="H1045892" s="24"/>
      <c r="I1045892" s="24"/>
      <c r="J1045892" s="24"/>
      <c r="K1045892" s="54"/>
    </row>
    <row r="1045893" spans="1:11" s="55" customFormat="1" ht="12.75">
      <c r="A1045893" s="24"/>
      <c r="B1045893" s="24"/>
      <c r="C1045893" s="24"/>
      <c r="D1045893" s="24"/>
      <c r="E1045893" s="24"/>
      <c r="F1045893" s="24"/>
      <c r="G1045893" s="24"/>
      <c r="H1045893" s="24"/>
      <c r="I1045893" s="24"/>
      <c r="J1045893" s="24"/>
      <c r="K1045893" s="54"/>
    </row>
    <row r="1045894" spans="1:11" s="55" customFormat="1" ht="12.75">
      <c r="A1045894" s="24"/>
      <c r="B1045894" s="24"/>
      <c r="C1045894" s="24"/>
      <c r="D1045894" s="24"/>
      <c r="E1045894" s="24"/>
      <c r="F1045894" s="24"/>
      <c r="G1045894" s="24"/>
      <c r="H1045894" s="24"/>
      <c r="I1045894" s="24"/>
      <c r="J1045894" s="24"/>
      <c r="K1045894" s="54"/>
    </row>
    <row r="1045895" spans="1:11" s="55" customFormat="1" ht="12.75">
      <c r="A1045895" s="24"/>
      <c r="B1045895" s="24"/>
      <c r="C1045895" s="24"/>
      <c r="D1045895" s="24"/>
      <c r="E1045895" s="24"/>
      <c r="F1045895" s="24"/>
      <c r="G1045895" s="24"/>
      <c r="H1045895" s="24"/>
      <c r="I1045895" s="24"/>
      <c r="J1045895" s="24"/>
      <c r="K1045895" s="54"/>
    </row>
    <row r="1045896" spans="1:11" s="55" customFormat="1" ht="12.75">
      <c r="A1045896" s="24"/>
      <c r="B1045896" s="24"/>
      <c r="C1045896" s="24"/>
      <c r="D1045896" s="24"/>
      <c r="E1045896" s="24"/>
      <c r="F1045896" s="24"/>
      <c r="G1045896" s="24"/>
      <c r="H1045896" s="24"/>
      <c r="I1045896" s="24"/>
      <c r="J1045896" s="24"/>
      <c r="K1045896" s="54"/>
    </row>
    <row r="1045897" spans="1:11" s="55" customFormat="1" ht="12.75">
      <c r="A1045897" s="24"/>
      <c r="B1045897" s="24"/>
      <c r="C1045897" s="24"/>
      <c r="D1045897" s="24"/>
      <c r="E1045897" s="24"/>
      <c r="F1045897" s="24"/>
      <c r="G1045897" s="24"/>
      <c r="H1045897" s="24"/>
      <c r="I1045897" s="24"/>
      <c r="J1045897" s="24"/>
      <c r="K1045897" s="54"/>
    </row>
    <row r="1045898" spans="1:11" s="55" customFormat="1" ht="12.75">
      <c r="A1045898" s="24"/>
      <c r="B1045898" s="24"/>
      <c r="C1045898" s="24"/>
      <c r="D1045898" s="24"/>
      <c r="E1045898" s="24"/>
      <c r="F1045898" s="24"/>
      <c r="G1045898" s="24"/>
      <c r="H1045898" s="24"/>
      <c r="I1045898" s="24"/>
      <c r="J1045898" s="24"/>
      <c r="K1045898" s="54"/>
    </row>
    <row r="1045899" spans="1:11" s="55" customFormat="1" ht="12.75">
      <c r="A1045899" s="24"/>
      <c r="B1045899" s="24"/>
      <c r="C1045899" s="24"/>
      <c r="D1045899" s="24"/>
      <c r="E1045899" s="24"/>
      <c r="F1045899" s="24"/>
      <c r="G1045899" s="24"/>
      <c r="H1045899" s="24"/>
      <c r="I1045899" s="24"/>
      <c r="J1045899" s="24"/>
      <c r="K1045899" s="54"/>
    </row>
    <row r="1045900" spans="1:11" s="55" customFormat="1" ht="12.75">
      <c r="A1045900" s="24"/>
      <c r="B1045900" s="24"/>
      <c r="C1045900" s="24"/>
      <c r="D1045900" s="24"/>
      <c r="E1045900" s="24"/>
      <c r="F1045900" s="24"/>
      <c r="G1045900" s="24"/>
      <c r="H1045900" s="24"/>
      <c r="I1045900" s="24"/>
      <c r="J1045900" s="24"/>
      <c r="K1045900" s="54"/>
    </row>
    <row r="1045901" spans="1:11" s="55" customFormat="1" ht="12.75">
      <c r="A1045901" s="24"/>
      <c r="B1045901" s="24"/>
      <c r="C1045901" s="24"/>
      <c r="D1045901" s="24"/>
      <c r="E1045901" s="24"/>
      <c r="F1045901" s="24"/>
      <c r="G1045901" s="24"/>
      <c r="H1045901" s="24"/>
      <c r="I1045901" s="24"/>
      <c r="J1045901" s="24"/>
      <c r="K1045901" s="54"/>
    </row>
    <row r="1045902" spans="1:11" s="55" customFormat="1" ht="12.75">
      <c r="A1045902" s="24"/>
      <c r="B1045902" s="24"/>
      <c r="C1045902" s="24"/>
      <c r="D1045902" s="24"/>
      <c r="E1045902" s="24"/>
      <c r="F1045902" s="24"/>
      <c r="G1045902" s="24"/>
      <c r="H1045902" s="24"/>
      <c r="I1045902" s="24"/>
      <c r="J1045902" s="24"/>
      <c r="K1045902" s="54"/>
    </row>
    <row r="1045903" spans="1:11" s="55" customFormat="1" ht="12.75">
      <c r="A1045903" s="24"/>
      <c r="B1045903" s="24"/>
      <c r="C1045903" s="24"/>
      <c r="D1045903" s="24"/>
      <c r="E1045903" s="24"/>
      <c r="F1045903" s="24"/>
      <c r="G1045903" s="24"/>
      <c r="H1045903" s="24"/>
      <c r="I1045903" s="24"/>
      <c r="J1045903" s="24"/>
      <c r="K1045903" s="54"/>
    </row>
    <row r="1045904" spans="1:11" s="55" customFormat="1" ht="12.75">
      <c r="A1045904" s="24"/>
      <c r="B1045904" s="24"/>
      <c r="C1045904" s="24"/>
      <c r="D1045904" s="24"/>
      <c r="E1045904" s="24"/>
      <c r="F1045904" s="24"/>
      <c r="G1045904" s="24"/>
      <c r="H1045904" s="24"/>
      <c r="I1045904" s="24"/>
      <c r="J1045904" s="24"/>
      <c r="K1045904" s="54"/>
    </row>
    <row r="1045905" spans="1:11" s="55" customFormat="1" ht="12.75">
      <c r="A1045905" s="24"/>
      <c r="B1045905" s="24"/>
      <c r="C1045905" s="24"/>
      <c r="D1045905" s="24"/>
      <c r="E1045905" s="24"/>
      <c r="F1045905" s="24"/>
      <c r="G1045905" s="24"/>
      <c r="H1045905" s="24"/>
      <c r="I1045905" s="24"/>
      <c r="J1045905" s="24"/>
      <c r="K1045905" s="54"/>
    </row>
    <row r="1045906" spans="1:11" s="55" customFormat="1" ht="12.75">
      <c r="A1045906" s="24"/>
      <c r="B1045906" s="24"/>
      <c r="C1045906" s="24"/>
      <c r="D1045906" s="24"/>
      <c r="E1045906" s="24"/>
      <c r="F1045906" s="24"/>
      <c r="G1045906" s="24"/>
      <c r="H1045906" s="24"/>
      <c r="I1045906" s="24"/>
      <c r="J1045906" s="24"/>
      <c r="K1045906" s="54"/>
    </row>
    <row r="1045907" spans="1:11" s="55" customFormat="1" ht="12.75">
      <c r="A1045907" s="24"/>
      <c r="B1045907" s="24"/>
      <c r="C1045907" s="24"/>
      <c r="D1045907" s="24"/>
      <c r="E1045907" s="24"/>
      <c r="F1045907" s="24"/>
      <c r="G1045907" s="24"/>
      <c r="H1045907" s="24"/>
      <c r="I1045907" s="24"/>
      <c r="J1045907" s="24"/>
      <c r="K1045907" s="54"/>
    </row>
    <row r="1045908" spans="1:11" s="55" customFormat="1" ht="12.75">
      <c r="A1045908" s="24"/>
      <c r="B1045908" s="24"/>
      <c r="C1045908" s="24"/>
      <c r="D1045908" s="24"/>
      <c r="E1045908" s="24"/>
      <c r="F1045908" s="24"/>
      <c r="G1045908" s="24"/>
      <c r="H1045908" s="24"/>
      <c r="I1045908" s="24"/>
      <c r="J1045908" s="24"/>
      <c r="K1045908" s="54"/>
    </row>
    <row r="1045909" spans="1:11" s="55" customFormat="1" ht="12.75">
      <c r="A1045909" s="24"/>
      <c r="B1045909" s="24"/>
      <c r="C1045909" s="24"/>
      <c r="D1045909" s="24"/>
      <c r="E1045909" s="24"/>
      <c r="F1045909" s="24"/>
      <c r="G1045909" s="24"/>
      <c r="H1045909" s="24"/>
      <c r="I1045909" s="24"/>
      <c r="J1045909" s="24"/>
      <c r="K1045909" s="54"/>
    </row>
    <row r="1045910" spans="1:11" s="55" customFormat="1" ht="12.75">
      <c r="A1045910" s="24"/>
      <c r="B1045910" s="24"/>
      <c r="C1045910" s="24"/>
      <c r="D1045910" s="24"/>
      <c r="E1045910" s="24"/>
      <c r="F1045910" s="24"/>
      <c r="G1045910" s="24"/>
      <c r="H1045910" s="24"/>
      <c r="I1045910" s="24"/>
      <c r="J1045910" s="24"/>
      <c r="K1045910" s="54"/>
    </row>
    <row r="1045911" spans="1:11" s="55" customFormat="1" ht="12.75">
      <c r="A1045911" s="24"/>
      <c r="B1045911" s="24"/>
      <c r="C1045911" s="24"/>
      <c r="D1045911" s="24"/>
      <c r="E1045911" s="24"/>
      <c r="F1045911" s="24"/>
      <c r="G1045911" s="24"/>
      <c r="H1045911" s="24"/>
      <c r="I1045911" s="24"/>
      <c r="J1045911" s="24"/>
      <c r="K1045911" s="54"/>
    </row>
    <row r="1045912" spans="1:11" s="55" customFormat="1" ht="12.75">
      <c r="A1045912" s="24"/>
      <c r="B1045912" s="24"/>
      <c r="C1045912" s="24"/>
      <c r="D1045912" s="24"/>
      <c r="E1045912" s="24"/>
      <c r="F1045912" s="24"/>
      <c r="G1045912" s="24"/>
      <c r="H1045912" s="24"/>
      <c r="I1045912" s="24"/>
      <c r="J1045912" s="24"/>
      <c r="K1045912" s="54"/>
    </row>
    <row r="1045913" spans="1:11" s="55" customFormat="1" ht="12.75">
      <c r="A1045913" s="24"/>
      <c r="B1045913" s="24"/>
      <c r="C1045913" s="24"/>
      <c r="D1045913" s="24"/>
      <c r="E1045913" s="24"/>
      <c r="F1045913" s="24"/>
      <c r="G1045913" s="24"/>
      <c r="H1045913" s="24"/>
      <c r="I1045913" s="24"/>
      <c r="J1045913" s="24"/>
      <c r="K1045913" s="54"/>
    </row>
    <row r="1045914" spans="1:11" s="55" customFormat="1" ht="12.75">
      <c r="A1045914" s="24"/>
      <c r="B1045914" s="24"/>
      <c r="C1045914" s="24"/>
      <c r="D1045914" s="24"/>
      <c r="E1045914" s="24"/>
      <c r="F1045914" s="24"/>
      <c r="G1045914" s="24"/>
      <c r="H1045914" s="24"/>
      <c r="I1045914" s="24"/>
      <c r="J1045914" s="24"/>
      <c r="K1045914" s="54"/>
    </row>
    <row r="1045915" spans="1:11" s="55" customFormat="1" ht="12.75">
      <c r="A1045915" s="24"/>
      <c r="B1045915" s="24"/>
      <c r="C1045915" s="24"/>
      <c r="D1045915" s="24"/>
      <c r="E1045915" s="24"/>
      <c r="F1045915" s="24"/>
      <c r="G1045915" s="24"/>
      <c r="H1045915" s="24"/>
      <c r="I1045915" s="24"/>
      <c r="J1045915" s="24"/>
      <c r="K1045915" s="54"/>
    </row>
    <row r="1045916" spans="1:11" s="55" customFormat="1" ht="12.75">
      <c r="A1045916" s="24"/>
      <c r="B1045916" s="24"/>
      <c r="C1045916" s="24"/>
      <c r="D1045916" s="24"/>
      <c r="E1045916" s="24"/>
      <c r="F1045916" s="24"/>
      <c r="G1045916" s="24"/>
      <c r="H1045916" s="24"/>
      <c r="I1045916" s="24"/>
      <c r="J1045916" s="24"/>
      <c r="K1045916" s="54"/>
    </row>
    <row r="1045917" spans="1:11" s="55" customFormat="1" ht="12.75">
      <c r="A1045917" s="24"/>
      <c r="B1045917" s="24"/>
      <c r="C1045917" s="24"/>
      <c r="D1045917" s="24"/>
      <c r="E1045917" s="24"/>
      <c r="F1045917" s="24"/>
      <c r="G1045917" s="24"/>
      <c r="H1045917" s="24"/>
      <c r="I1045917" s="24"/>
      <c r="J1045917" s="24"/>
      <c r="K1045917" s="54"/>
    </row>
    <row r="1045918" spans="1:11" s="55" customFormat="1" ht="12.75">
      <c r="A1045918" s="24"/>
      <c r="B1045918" s="24"/>
      <c r="C1045918" s="24"/>
      <c r="D1045918" s="24"/>
      <c r="E1045918" s="24"/>
      <c r="F1045918" s="24"/>
      <c r="G1045918" s="24"/>
      <c r="H1045918" s="24"/>
      <c r="I1045918" s="24"/>
      <c r="J1045918" s="24"/>
      <c r="K1045918" s="54"/>
    </row>
    <row r="1045919" spans="1:11" s="55" customFormat="1" ht="12.75">
      <c r="A1045919" s="24"/>
      <c r="B1045919" s="24"/>
      <c r="C1045919" s="24"/>
      <c r="D1045919" s="24"/>
      <c r="E1045919" s="24"/>
      <c r="F1045919" s="24"/>
      <c r="G1045919" s="24"/>
      <c r="H1045919" s="24"/>
      <c r="I1045919" s="24"/>
      <c r="J1045919" s="24"/>
      <c r="K1045919" s="54"/>
    </row>
    <row r="1045920" spans="1:11" s="55" customFormat="1" ht="12.75">
      <c r="A1045920" s="24"/>
      <c r="B1045920" s="24"/>
      <c r="C1045920" s="24"/>
      <c r="D1045920" s="24"/>
      <c r="E1045920" s="24"/>
      <c r="F1045920" s="24"/>
      <c r="G1045920" s="24"/>
      <c r="H1045920" s="24"/>
      <c r="I1045920" s="24"/>
      <c r="J1045920" s="24"/>
      <c r="K1045920" s="54"/>
    </row>
    <row r="1045921" spans="1:11" s="55" customFormat="1" ht="12.75">
      <c r="A1045921" s="24"/>
      <c r="B1045921" s="24"/>
      <c r="C1045921" s="24"/>
      <c r="D1045921" s="24"/>
      <c r="E1045921" s="24"/>
      <c r="F1045921" s="24"/>
      <c r="G1045921" s="24"/>
      <c r="H1045921" s="24"/>
      <c r="I1045921" s="24"/>
      <c r="J1045921" s="24"/>
      <c r="K1045921" s="54"/>
    </row>
    <row r="1045922" spans="1:11" s="55" customFormat="1" ht="12.75">
      <c r="A1045922" s="24"/>
      <c r="B1045922" s="24"/>
      <c r="C1045922" s="24"/>
      <c r="D1045922" s="24"/>
      <c r="E1045922" s="24"/>
      <c r="F1045922" s="24"/>
      <c r="G1045922" s="24"/>
      <c r="H1045922" s="24"/>
      <c r="I1045922" s="24"/>
      <c r="J1045922" s="24"/>
      <c r="K1045922" s="54"/>
    </row>
    <row r="1045923" spans="1:11" s="55" customFormat="1" ht="12.75">
      <c r="A1045923" s="24"/>
      <c r="B1045923" s="24"/>
      <c r="C1045923" s="24"/>
      <c r="D1045923" s="24"/>
      <c r="E1045923" s="24"/>
      <c r="F1045923" s="24"/>
      <c r="G1045923" s="24"/>
      <c r="H1045923" s="24"/>
      <c r="I1045923" s="24"/>
      <c r="J1045923" s="24"/>
      <c r="K1045923" s="54"/>
    </row>
    <row r="1045924" spans="1:11" s="55" customFormat="1" ht="12.75">
      <c r="A1045924" s="24"/>
      <c r="B1045924" s="24"/>
      <c r="C1045924" s="24"/>
      <c r="D1045924" s="24"/>
      <c r="E1045924" s="24"/>
      <c r="F1045924" s="24"/>
      <c r="G1045924" s="24"/>
      <c r="H1045924" s="24"/>
      <c r="I1045924" s="24"/>
      <c r="J1045924" s="24"/>
      <c r="K1045924" s="54"/>
    </row>
    <row r="1045925" spans="1:11" s="55" customFormat="1" ht="12.75">
      <c r="A1045925" s="24"/>
      <c r="B1045925" s="24"/>
      <c r="C1045925" s="24"/>
      <c r="D1045925" s="24"/>
      <c r="E1045925" s="24"/>
      <c r="F1045925" s="24"/>
      <c r="G1045925" s="24"/>
      <c r="H1045925" s="24"/>
      <c r="I1045925" s="24"/>
      <c r="J1045925" s="24"/>
      <c r="K1045925" s="54"/>
    </row>
    <row r="1045926" spans="1:11" s="55" customFormat="1" ht="12.75">
      <c r="A1045926" s="24"/>
      <c r="B1045926" s="24"/>
      <c r="C1045926" s="24"/>
      <c r="D1045926" s="24"/>
      <c r="E1045926" s="24"/>
      <c r="F1045926" s="24"/>
      <c r="G1045926" s="24"/>
      <c r="H1045926" s="24"/>
      <c r="I1045926" s="24"/>
      <c r="J1045926" s="24"/>
      <c r="K1045926" s="54"/>
    </row>
    <row r="1045927" spans="1:11" s="55" customFormat="1" ht="12.75">
      <c r="A1045927" s="24"/>
      <c r="B1045927" s="24"/>
      <c r="C1045927" s="24"/>
      <c r="D1045927" s="24"/>
      <c r="E1045927" s="24"/>
      <c r="F1045927" s="24"/>
      <c r="G1045927" s="24"/>
      <c r="H1045927" s="24"/>
      <c r="I1045927" s="24"/>
      <c r="J1045927" s="24"/>
      <c r="K1045927" s="54"/>
    </row>
    <row r="1045928" spans="1:11" s="55" customFormat="1" ht="12.75">
      <c r="A1045928" s="24"/>
      <c r="B1045928" s="24"/>
      <c r="C1045928" s="24"/>
      <c r="D1045928" s="24"/>
      <c r="E1045928" s="24"/>
      <c r="F1045928" s="24"/>
      <c r="G1045928" s="24"/>
      <c r="H1045928" s="24"/>
      <c r="I1045928" s="24"/>
      <c r="J1045928" s="24"/>
      <c r="K1045928" s="54"/>
    </row>
    <row r="1045929" spans="1:11" s="55" customFormat="1" ht="12.75">
      <c r="A1045929" s="24"/>
      <c r="B1045929" s="24"/>
      <c r="C1045929" s="24"/>
      <c r="D1045929" s="24"/>
      <c r="E1045929" s="24"/>
      <c r="F1045929" s="24"/>
      <c r="G1045929" s="24"/>
      <c r="H1045929" s="24"/>
      <c r="I1045929" s="24"/>
      <c r="J1045929" s="24"/>
      <c r="K1045929" s="54"/>
    </row>
    <row r="1045930" spans="1:11" s="55" customFormat="1" ht="12.75">
      <c r="A1045930" s="24"/>
      <c r="B1045930" s="24"/>
      <c r="C1045930" s="24"/>
      <c r="D1045930" s="24"/>
      <c r="E1045930" s="24"/>
      <c r="F1045930" s="24"/>
      <c r="G1045930" s="24"/>
      <c r="H1045930" s="24"/>
      <c r="I1045930" s="24"/>
      <c r="J1045930" s="24"/>
      <c r="K1045930" s="54"/>
    </row>
    <row r="1045931" spans="1:11" s="55" customFormat="1" ht="12.75">
      <c r="A1045931" s="24"/>
      <c r="B1045931" s="24"/>
      <c r="C1045931" s="24"/>
      <c r="D1045931" s="24"/>
      <c r="E1045931" s="24"/>
      <c r="F1045931" s="24"/>
      <c r="G1045931" s="24"/>
      <c r="H1045931" s="24"/>
      <c r="I1045931" s="24"/>
      <c r="J1045931" s="24"/>
      <c r="K1045931" s="54"/>
    </row>
    <row r="1045932" spans="1:11" s="55" customFormat="1" ht="12.75">
      <c r="A1045932" s="24"/>
      <c r="B1045932" s="24"/>
      <c r="C1045932" s="24"/>
      <c r="D1045932" s="24"/>
      <c r="E1045932" s="24"/>
      <c r="F1045932" s="24"/>
      <c r="G1045932" s="24"/>
      <c r="H1045932" s="24"/>
      <c r="I1045932" s="24"/>
      <c r="J1045932" s="24"/>
      <c r="K1045932" s="54"/>
    </row>
    <row r="1045933" spans="1:11" s="55" customFormat="1" ht="12.75">
      <c r="A1045933" s="24"/>
      <c r="B1045933" s="24"/>
      <c r="C1045933" s="24"/>
      <c r="D1045933" s="24"/>
      <c r="E1045933" s="24"/>
      <c r="F1045933" s="24"/>
      <c r="G1045933" s="24"/>
      <c r="H1045933" s="24"/>
      <c r="I1045933" s="24"/>
      <c r="J1045933" s="24"/>
      <c r="K1045933" s="54"/>
    </row>
    <row r="1045934" spans="1:11" s="55" customFormat="1" ht="12.75">
      <c r="A1045934" s="24"/>
      <c r="B1045934" s="24"/>
      <c r="C1045934" s="24"/>
      <c r="D1045934" s="24"/>
      <c r="E1045934" s="24"/>
      <c r="F1045934" s="24"/>
      <c r="G1045934" s="24"/>
      <c r="H1045934" s="24"/>
      <c r="I1045934" s="24"/>
      <c r="J1045934" s="24"/>
      <c r="K1045934" s="54"/>
    </row>
    <row r="1045935" spans="1:11" s="55" customFormat="1" ht="12.75">
      <c r="A1045935" s="24"/>
      <c r="B1045935" s="24"/>
      <c r="C1045935" s="24"/>
      <c r="D1045935" s="24"/>
      <c r="E1045935" s="24"/>
      <c r="F1045935" s="24"/>
      <c r="G1045935" s="24"/>
      <c r="H1045935" s="24"/>
      <c r="I1045935" s="24"/>
      <c r="J1045935" s="24"/>
      <c r="K1045935" s="54"/>
    </row>
    <row r="1045936" spans="1:11" s="55" customFormat="1" ht="12.75">
      <c r="A1045936" s="24"/>
      <c r="B1045936" s="24"/>
      <c r="C1045936" s="24"/>
      <c r="D1045936" s="24"/>
      <c r="E1045936" s="24"/>
      <c r="F1045936" s="24"/>
      <c r="G1045936" s="24"/>
      <c r="H1045936" s="24"/>
      <c r="I1045936" s="24"/>
      <c r="J1045936" s="24"/>
      <c r="K1045936" s="54"/>
    </row>
    <row r="1045937" spans="1:11" s="55" customFormat="1" ht="12.75">
      <c r="A1045937" s="24"/>
      <c r="B1045937" s="24"/>
      <c r="C1045937" s="24"/>
      <c r="D1045937" s="24"/>
      <c r="E1045937" s="24"/>
      <c r="F1045937" s="24"/>
      <c r="G1045937" s="24"/>
      <c r="H1045937" s="24"/>
      <c r="I1045937" s="24"/>
      <c r="J1045937" s="24"/>
      <c r="K1045937" s="54"/>
    </row>
    <row r="1045938" spans="1:11" s="55" customFormat="1" ht="12.75">
      <c r="A1045938" s="24"/>
      <c r="B1045938" s="24"/>
      <c r="C1045938" s="24"/>
      <c r="D1045938" s="24"/>
      <c r="E1045938" s="24"/>
      <c r="F1045938" s="24"/>
      <c r="G1045938" s="24"/>
      <c r="H1045938" s="24"/>
      <c r="I1045938" s="24"/>
      <c r="J1045938" s="24"/>
      <c r="K1045938" s="54"/>
    </row>
    <row r="1045939" spans="1:11" s="55" customFormat="1" ht="12.75">
      <c r="A1045939" s="24"/>
      <c r="B1045939" s="24"/>
      <c r="C1045939" s="24"/>
      <c r="D1045939" s="24"/>
      <c r="E1045939" s="24"/>
      <c r="F1045939" s="24"/>
      <c r="G1045939" s="24"/>
      <c r="H1045939" s="24"/>
      <c r="I1045939" s="24"/>
      <c r="J1045939" s="24"/>
      <c r="K1045939" s="54"/>
    </row>
    <row r="1045940" spans="1:11" s="55" customFormat="1" ht="12.75">
      <c r="A1045940" s="24"/>
      <c r="B1045940" s="24"/>
      <c r="C1045940" s="24"/>
      <c r="D1045940" s="24"/>
      <c r="E1045940" s="24"/>
      <c r="F1045940" s="24"/>
      <c r="G1045940" s="24"/>
      <c r="H1045940" s="24"/>
      <c r="I1045940" s="24"/>
      <c r="J1045940" s="24"/>
      <c r="K1045940" s="54"/>
    </row>
    <row r="1045941" spans="1:11" s="55" customFormat="1" ht="12.75">
      <c r="A1045941" s="24"/>
      <c r="B1045941" s="24"/>
      <c r="C1045941" s="24"/>
      <c r="D1045941" s="24"/>
      <c r="E1045941" s="24"/>
      <c r="F1045941" s="24"/>
      <c r="G1045941" s="24"/>
      <c r="H1045941" s="24"/>
      <c r="I1045941" s="24"/>
      <c r="J1045941" s="24"/>
      <c r="K1045941" s="54"/>
    </row>
    <row r="1045942" spans="1:11" s="55" customFormat="1" ht="12.75">
      <c r="A1045942" s="24"/>
      <c r="B1045942" s="24"/>
      <c r="C1045942" s="24"/>
      <c r="D1045942" s="24"/>
      <c r="E1045942" s="24"/>
      <c r="F1045942" s="24"/>
      <c r="G1045942" s="24"/>
      <c r="H1045942" s="24"/>
      <c r="I1045942" s="24"/>
      <c r="J1045942" s="24"/>
      <c r="K1045942" s="54"/>
    </row>
    <row r="1045943" spans="1:11" s="55" customFormat="1" ht="12.75">
      <c r="A1045943" s="24"/>
      <c r="B1045943" s="24"/>
      <c r="C1045943" s="24"/>
      <c r="D1045943" s="24"/>
      <c r="E1045943" s="24"/>
      <c r="F1045943" s="24"/>
      <c r="G1045943" s="24"/>
      <c r="H1045943" s="24"/>
      <c r="I1045943" s="24"/>
      <c r="J1045943" s="24"/>
      <c r="K1045943" s="54"/>
    </row>
    <row r="1045944" spans="1:11" s="55" customFormat="1" ht="12.75">
      <c r="A1045944" s="24"/>
      <c r="B1045944" s="24"/>
      <c r="C1045944" s="24"/>
      <c r="D1045944" s="24"/>
      <c r="E1045944" s="24"/>
      <c r="F1045944" s="24"/>
      <c r="G1045944" s="24"/>
      <c r="H1045944" s="24"/>
      <c r="I1045944" s="24"/>
      <c r="J1045944" s="24"/>
      <c r="K1045944" s="54"/>
    </row>
    <row r="1045945" spans="1:11" s="55" customFormat="1" ht="12.75">
      <c r="A1045945" s="24"/>
      <c r="B1045945" s="24"/>
      <c r="C1045945" s="24"/>
      <c r="D1045945" s="24"/>
      <c r="E1045945" s="24"/>
      <c r="F1045945" s="24"/>
      <c r="G1045945" s="24"/>
      <c r="H1045945" s="24"/>
      <c r="I1045945" s="24"/>
      <c r="J1045945" s="24"/>
      <c r="K1045945" s="54"/>
    </row>
    <row r="1045946" spans="1:11" s="55" customFormat="1" ht="12.75">
      <c r="A1045946" s="24"/>
      <c r="B1045946" s="24"/>
      <c r="C1045946" s="24"/>
      <c r="D1045946" s="24"/>
      <c r="E1045946" s="24"/>
      <c r="F1045946" s="24"/>
      <c r="G1045946" s="24"/>
      <c r="H1045946" s="24"/>
      <c r="I1045946" s="24"/>
      <c r="J1045946" s="24"/>
      <c r="K1045946" s="54"/>
    </row>
    <row r="1045947" spans="1:11" s="55" customFormat="1" ht="12.75">
      <c r="A1045947" s="24"/>
      <c r="B1045947" s="24"/>
      <c r="C1045947" s="24"/>
      <c r="D1045947" s="24"/>
      <c r="E1045947" s="24"/>
      <c r="F1045947" s="24"/>
      <c r="G1045947" s="24"/>
      <c r="H1045947" s="24"/>
      <c r="I1045947" s="24"/>
      <c r="J1045947" s="24"/>
      <c r="K1045947" s="54"/>
    </row>
    <row r="1045948" spans="1:11" s="55" customFormat="1" ht="12.75">
      <c r="A1045948" s="24"/>
      <c r="B1045948" s="24"/>
      <c r="C1045948" s="24"/>
      <c r="D1045948" s="24"/>
      <c r="E1045948" s="24"/>
      <c r="F1045948" s="24"/>
      <c r="G1045948" s="24"/>
      <c r="H1045948" s="24"/>
      <c r="I1045948" s="24"/>
      <c r="J1045948" s="24"/>
      <c r="K1045948" s="54"/>
    </row>
    <row r="1045949" spans="1:11" s="55" customFormat="1" ht="12.75">
      <c r="A1045949" s="24"/>
      <c r="B1045949" s="24"/>
      <c r="C1045949" s="24"/>
      <c r="D1045949" s="24"/>
      <c r="E1045949" s="24"/>
      <c r="F1045949" s="24"/>
      <c r="G1045949" s="24"/>
      <c r="H1045949" s="24"/>
      <c r="I1045949" s="24"/>
      <c r="J1045949" s="24"/>
      <c r="K1045949" s="54"/>
    </row>
    <row r="1045950" spans="1:11" s="55" customFormat="1" ht="12.75">
      <c r="A1045950" s="24"/>
      <c r="B1045950" s="24"/>
      <c r="C1045950" s="24"/>
      <c r="D1045950" s="24"/>
      <c r="E1045950" s="24"/>
      <c r="F1045950" s="24"/>
      <c r="G1045950" s="24"/>
      <c r="H1045950" s="24"/>
      <c r="I1045950" s="24"/>
      <c r="J1045950" s="24"/>
      <c r="K1045950" s="54"/>
    </row>
    <row r="1045951" spans="1:11" s="55" customFormat="1" ht="12.75">
      <c r="A1045951" s="24"/>
      <c r="B1045951" s="24"/>
      <c r="C1045951" s="24"/>
      <c r="D1045951" s="24"/>
      <c r="E1045951" s="24"/>
      <c r="F1045951" s="24"/>
      <c r="G1045951" s="24"/>
      <c r="H1045951" s="24"/>
      <c r="I1045951" s="24"/>
      <c r="J1045951" s="24"/>
      <c r="K1045951" s="54"/>
    </row>
    <row r="1045952" spans="1:11" s="55" customFormat="1" ht="12.75">
      <c r="A1045952" s="24"/>
      <c r="B1045952" s="24"/>
      <c r="C1045952" s="24"/>
      <c r="D1045952" s="24"/>
      <c r="E1045952" s="24"/>
      <c r="F1045952" s="24"/>
      <c r="G1045952" s="24"/>
      <c r="H1045952" s="24"/>
      <c r="I1045952" s="24"/>
      <c r="J1045952" s="24"/>
      <c r="K1045952" s="54"/>
    </row>
    <row r="1045953" spans="1:11" s="55" customFormat="1" ht="12.75">
      <c r="A1045953" s="24"/>
      <c r="B1045953" s="24"/>
      <c r="C1045953" s="24"/>
      <c r="D1045953" s="24"/>
      <c r="E1045953" s="24"/>
      <c r="F1045953" s="24"/>
      <c r="G1045953" s="24"/>
      <c r="H1045953" s="24"/>
      <c r="I1045953" s="24"/>
      <c r="J1045953" s="24"/>
      <c r="K1045953" s="54"/>
    </row>
    <row r="1045954" spans="1:11" s="55" customFormat="1" ht="12.75">
      <c r="A1045954" s="24"/>
      <c r="B1045954" s="24"/>
      <c r="C1045954" s="24"/>
      <c r="D1045954" s="24"/>
      <c r="E1045954" s="24"/>
      <c r="F1045954" s="24"/>
      <c r="G1045954" s="24"/>
      <c r="H1045954" s="24"/>
      <c r="I1045954" s="24"/>
      <c r="J1045954" s="24"/>
      <c r="K1045954" s="54"/>
    </row>
    <row r="1045955" spans="1:11" s="55" customFormat="1" ht="12.75">
      <c r="A1045955" s="24"/>
      <c r="B1045955" s="24"/>
      <c r="C1045955" s="24"/>
      <c r="D1045955" s="24"/>
      <c r="E1045955" s="24"/>
      <c r="F1045955" s="24"/>
      <c r="G1045955" s="24"/>
      <c r="H1045955" s="24"/>
      <c r="I1045955" s="24"/>
      <c r="J1045955" s="24"/>
      <c r="K1045955" s="54"/>
    </row>
    <row r="1045956" spans="1:11" s="55" customFormat="1" ht="12.75">
      <c r="A1045956" s="24"/>
      <c r="B1045956" s="24"/>
      <c r="C1045956" s="24"/>
      <c r="D1045956" s="24"/>
      <c r="E1045956" s="24"/>
      <c r="F1045956" s="24"/>
      <c r="G1045956" s="24"/>
      <c r="H1045956" s="24"/>
      <c r="I1045956" s="24"/>
      <c r="J1045956" s="24"/>
      <c r="K1045956" s="54"/>
    </row>
    <row r="1045957" spans="1:11" s="55" customFormat="1" ht="12.75">
      <c r="A1045957" s="24"/>
      <c r="B1045957" s="24"/>
      <c r="C1045957" s="24"/>
      <c r="D1045957" s="24"/>
      <c r="E1045957" s="24"/>
      <c r="F1045957" s="24"/>
      <c r="G1045957" s="24"/>
      <c r="H1045957" s="24"/>
      <c r="I1045957" s="24"/>
      <c r="J1045957" s="24"/>
      <c r="K1045957" s="54"/>
    </row>
    <row r="1045958" spans="1:11" s="55" customFormat="1" ht="12.75">
      <c r="A1045958" s="24"/>
      <c r="B1045958" s="24"/>
      <c r="C1045958" s="24"/>
      <c r="D1045958" s="24"/>
      <c r="E1045958" s="24"/>
      <c r="F1045958" s="24"/>
      <c r="G1045958" s="24"/>
      <c r="H1045958" s="24"/>
      <c r="I1045958" s="24"/>
      <c r="J1045958" s="24"/>
      <c r="K1045958" s="54"/>
    </row>
    <row r="1045959" spans="1:11" s="55" customFormat="1" ht="12.75">
      <c r="A1045959" s="24"/>
      <c r="B1045959" s="24"/>
      <c r="C1045959" s="24"/>
      <c r="D1045959" s="24"/>
      <c r="E1045959" s="24"/>
      <c r="F1045959" s="24"/>
      <c r="G1045959" s="24"/>
      <c r="H1045959" s="24"/>
      <c r="I1045959" s="24"/>
      <c r="J1045959" s="24"/>
      <c r="K1045959" s="54"/>
    </row>
    <row r="1045960" spans="1:11" s="55" customFormat="1" ht="12.75">
      <c r="A1045960" s="24"/>
      <c r="B1045960" s="24"/>
      <c r="C1045960" s="24"/>
      <c r="D1045960" s="24"/>
      <c r="E1045960" s="24"/>
      <c r="F1045960" s="24"/>
      <c r="G1045960" s="24"/>
      <c r="H1045960" s="24"/>
      <c r="I1045960" s="24"/>
      <c r="J1045960" s="24"/>
      <c r="K1045960" s="54"/>
    </row>
    <row r="1045961" spans="1:11" s="55" customFormat="1" ht="12.75">
      <c r="A1045961" s="24"/>
      <c r="B1045961" s="24"/>
      <c r="C1045961" s="24"/>
      <c r="D1045961" s="24"/>
      <c r="E1045961" s="24"/>
      <c r="F1045961" s="24"/>
      <c r="G1045961" s="24"/>
      <c r="H1045961" s="24"/>
      <c r="I1045961" s="24"/>
      <c r="J1045961" s="24"/>
      <c r="K1045961" s="54"/>
    </row>
    <row r="1045962" spans="1:11" s="55" customFormat="1" ht="12.75">
      <c r="A1045962" s="24"/>
      <c r="B1045962" s="24"/>
      <c r="C1045962" s="24"/>
      <c r="D1045962" s="24"/>
      <c r="E1045962" s="24"/>
      <c r="F1045962" s="24"/>
      <c r="G1045962" s="24"/>
      <c r="H1045962" s="24"/>
      <c r="I1045962" s="24"/>
      <c r="J1045962" s="24"/>
      <c r="K1045962" s="54"/>
    </row>
    <row r="1045963" spans="1:11" s="55" customFormat="1" ht="12.75">
      <c r="A1045963" s="24"/>
      <c r="B1045963" s="24"/>
      <c r="C1045963" s="24"/>
      <c r="D1045963" s="24"/>
      <c r="E1045963" s="24"/>
      <c r="F1045963" s="24"/>
      <c r="G1045963" s="24"/>
      <c r="H1045963" s="24"/>
      <c r="I1045963" s="24"/>
      <c r="J1045963" s="24"/>
      <c r="K1045963" s="54"/>
    </row>
    <row r="1045964" spans="1:11" s="55" customFormat="1" ht="12.75">
      <c r="A1045964" s="24"/>
      <c r="B1045964" s="24"/>
      <c r="C1045964" s="24"/>
      <c r="D1045964" s="24"/>
      <c r="E1045964" s="24"/>
      <c r="F1045964" s="24"/>
      <c r="G1045964" s="24"/>
      <c r="H1045964" s="24"/>
      <c r="I1045964" s="24"/>
      <c r="J1045964" s="24"/>
      <c r="K1045964" s="54"/>
    </row>
    <row r="1045965" spans="1:11" s="55" customFormat="1" ht="12.75">
      <c r="A1045965" s="24"/>
      <c r="B1045965" s="24"/>
      <c r="C1045965" s="24"/>
      <c r="D1045965" s="24"/>
      <c r="E1045965" s="24"/>
      <c r="F1045965" s="24"/>
      <c r="G1045965" s="24"/>
      <c r="H1045965" s="24"/>
      <c r="I1045965" s="24"/>
      <c r="J1045965" s="24"/>
      <c r="K1045965" s="54"/>
    </row>
    <row r="1045966" spans="1:11" s="55" customFormat="1" ht="12.75">
      <c r="A1045966" s="24"/>
      <c r="B1045966" s="24"/>
      <c r="C1045966" s="24"/>
      <c r="D1045966" s="24"/>
      <c r="E1045966" s="24"/>
      <c r="F1045966" s="24"/>
      <c r="G1045966" s="24"/>
      <c r="H1045966" s="24"/>
      <c r="I1045966" s="24"/>
      <c r="J1045966" s="24"/>
      <c r="K1045966" s="54"/>
    </row>
    <row r="1045967" spans="1:11" s="55" customFormat="1" ht="12.75">
      <c r="A1045967" s="24"/>
      <c r="B1045967" s="24"/>
      <c r="C1045967" s="24"/>
      <c r="D1045967" s="24"/>
      <c r="E1045967" s="24"/>
      <c r="F1045967" s="24"/>
      <c r="G1045967" s="24"/>
      <c r="H1045967" s="24"/>
      <c r="I1045967" s="24"/>
      <c r="J1045967" s="24"/>
      <c r="K1045967" s="54"/>
    </row>
    <row r="1045968" spans="1:11" s="55" customFormat="1" ht="12.75">
      <c r="A1045968" s="24"/>
      <c r="B1045968" s="24"/>
      <c r="C1045968" s="24"/>
      <c r="D1045968" s="24"/>
      <c r="E1045968" s="24"/>
      <c r="F1045968" s="24"/>
      <c r="G1045968" s="24"/>
      <c r="H1045968" s="24"/>
      <c r="I1045968" s="24"/>
      <c r="J1045968" s="24"/>
      <c r="K1045968" s="54"/>
    </row>
    <row r="1045969" spans="1:11" s="55" customFormat="1" ht="12.75">
      <c r="A1045969" s="24"/>
      <c r="B1045969" s="24"/>
      <c r="C1045969" s="24"/>
      <c r="D1045969" s="24"/>
      <c r="E1045969" s="24"/>
      <c r="F1045969" s="24"/>
      <c r="G1045969" s="24"/>
      <c r="H1045969" s="24"/>
      <c r="I1045969" s="24"/>
      <c r="J1045969" s="24"/>
      <c r="K1045969" s="54"/>
    </row>
    <row r="1045970" spans="1:11" s="55" customFormat="1" ht="12.75">
      <c r="A1045970" s="24"/>
      <c r="B1045970" s="24"/>
      <c r="C1045970" s="24"/>
      <c r="D1045970" s="24"/>
      <c r="E1045970" s="24"/>
      <c r="F1045970" s="24"/>
      <c r="G1045970" s="24"/>
      <c r="H1045970" s="24"/>
      <c r="I1045970" s="24"/>
      <c r="J1045970" s="24"/>
      <c r="K1045970" s="54"/>
    </row>
    <row r="1045971" spans="1:11" s="55" customFormat="1" ht="12.75">
      <c r="A1045971" s="24"/>
      <c r="B1045971" s="24"/>
      <c r="C1045971" s="24"/>
      <c r="D1045971" s="24"/>
      <c r="E1045971" s="24"/>
      <c r="F1045971" s="24"/>
      <c r="G1045971" s="24"/>
      <c r="H1045971" s="24"/>
      <c r="I1045971" s="24"/>
      <c r="J1045971" s="24"/>
      <c r="K1045971" s="54"/>
    </row>
    <row r="1045972" spans="1:11" s="55" customFormat="1" ht="12.75">
      <c r="A1045972" s="24"/>
      <c r="B1045972" s="24"/>
      <c r="C1045972" s="24"/>
      <c r="D1045972" s="24"/>
      <c r="E1045972" s="24"/>
      <c r="F1045972" s="24"/>
      <c r="G1045972" s="24"/>
      <c r="H1045972" s="24"/>
      <c r="I1045972" s="24"/>
      <c r="J1045972" s="24"/>
      <c r="K1045972" s="54"/>
    </row>
    <row r="1045973" spans="1:11" s="55" customFormat="1" ht="12.75">
      <c r="A1045973" s="24"/>
      <c r="B1045973" s="24"/>
      <c r="C1045973" s="24"/>
      <c r="D1045973" s="24"/>
      <c r="E1045973" s="24"/>
      <c r="F1045973" s="24"/>
      <c r="G1045973" s="24"/>
      <c r="H1045973" s="24"/>
      <c r="I1045973" s="24"/>
      <c r="J1045973" s="24"/>
      <c r="K1045973" s="54"/>
    </row>
    <row r="1045974" spans="1:11" s="55" customFormat="1" ht="12.75">
      <c r="A1045974" s="24"/>
      <c r="B1045974" s="24"/>
      <c r="C1045974" s="24"/>
      <c r="D1045974" s="24"/>
      <c r="E1045974" s="24"/>
      <c r="F1045974" s="24"/>
      <c r="G1045974" s="24"/>
      <c r="H1045974" s="24"/>
      <c r="I1045974" s="24"/>
      <c r="J1045974" s="24"/>
      <c r="K1045974" s="54"/>
    </row>
    <row r="1045975" spans="1:11" s="55" customFormat="1" ht="12.75">
      <c r="A1045975" s="24"/>
      <c r="B1045975" s="24"/>
      <c r="C1045975" s="24"/>
      <c r="D1045975" s="24"/>
      <c r="E1045975" s="24"/>
      <c r="F1045975" s="24"/>
      <c r="G1045975" s="24"/>
      <c r="H1045975" s="24"/>
      <c r="I1045975" s="24"/>
      <c r="J1045975" s="24"/>
      <c r="K1045975" s="54"/>
    </row>
    <row r="1045976" spans="1:11" s="55" customFormat="1" ht="12.75">
      <c r="A1045976" s="24"/>
      <c r="B1045976" s="24"/>
      <c r="C1045976" s="24"/>
      <c r="D1045976" s="24"/>
      <c r="E1045976" s="24"/>
      <c r="F1045976" s="24"/>
      <c r="G1045976" s="24"/>
      <c r="H1045976" s="24"/>
      <c r="I1045976" s="24"/>
      <c r="J1045976" s="24"/>
      <c r="K1045976" s="54"/>
    </row>
    <row r="1045977" spans="1:11" s="55" customFormat="1" ht="12.75">
      <c r="A1045977" s="24"/>
      <c r="B1045977" s="24"/>
      <c r="C1045977" s="24"/>
      <c r="D1045977" s="24"/>
      <c r="E1045977" s="24"/>
      <c r="F1045977" s="24"/>
      <c r="G1045977" s="24"/>
      <c r="H1045977" s="24"/>
      <c r="I1045977" s="24"/>
      <c r="J1045977" s="24"/>
      <c r="K1045977" s="54"/>
    </row>
    <row r="1045978" spans="1:11" s="55" customFormat="1" ht="12.75">
      <c r="A1045978" s="24"/>
      <c r="B1045978" s="24"/>
      <c r="C1045978" s="24"/>
      <c r="D1045978" s="24"/>
      <c r="E1045978" s="24"/>
      <c r="F1045978" s="24"/>
      <c r="G1045978" s="24"/>
      <c r="H1045978" s="24"/>
      <c r="I1045978" s="24"/>
      <c r="J1045978" s="24"/>
      <c r="K1045978" s="54"/>
    </row>
    <row r="1045979" spans="1:11" s="55" customFormat="1" ht="12.75">
      <c r="A1045979" s="24"/>
      <c r="B1045979" s="24"/>
      <c r="C1045979" s="24"/>
      <c r="D1045979" s="24"/>
      <c r="E1045979" s="24"/>
      <c r="F1045979" s="24"/>
      <c r="G1045979" s="24"/>
      <c r="H1045979" s="24"/>
      <c r="I1045979" s="24"/>
      <c r="J1045979" s="24"/>
      <c r="K1045979" s="54"/>
    </row>
    <row r="1045980" spans="1:11" s="55" customFormat="1" ht="12.75">
      <c r="A1045980" s="24"/>
      <c r="B1045980" s="24"/>
      <c r="C1045980" s="24"/>
      <c r="D1045980" s="24"/>
      <c r="E1045980" s="24"/>
      <c r="F1045980" s="24"/>
      <c r="G1045980" s="24"/>
      <c r="H1045980" s="24"/>
      <c r="I1045980" s="24"/>
      <c r="J1045980" s="24"/>
      <c r="K1045980" s="54"/>
    </row>
    <row r="1045981" spans="1:11" s="55" customFormat="1" ht="12.75">
      <c r="A1045981" s="24"/>
      <c r="B1045981" s="24"/>
      <c r="C1045981" s="24"/>
      <c r="D1045981" s="24"/>
      <c r="E1045981" s="24"/>
      <c r="F1045981" s="24"/>
      <c r="G1045981" s="24"/>
      <c r="H1045981" s="24"/>
      <c r="I1045981" s="24"/>
      <c r="J1045981" s="24"/>
      <c r="K1045981" s="54"/>
    </row>
    <row r="1045982" spans="1:11" s="55" customFormat="1" ht="12.75">
      <c r="A1045982" s="24"/>
      <c r="B1045982" s="24"/>
      <c r="C1045982" s="24"/>
      <c r="D1045982" s="24"/>
      <c r="E1045982" s="24"/>
      <c r="F1045982" s="24"/>
      <c r="G1045982" s="24"/>
      <c r="H1045982" s="24"/>
      <c r="I1045982" s="24"/>
      <c r="J1045982" s="24"/>
      <c r="K1045982" s="54"/>
    </row>
    <row r="1045983" spans="1:11" s="55" customFormat="1" ht="12.75">
      <c r="A1045983" s="24"/>
      <c r="B1045983" s="24"/>
      <c r="C1045983" s="24"/>
      <c r="D1045983" s="24"/>
      <c r="E1045983" s="24"/>
      <c r="F1045983" s="24"/>
      <c r="G1045983" s="24"/>
      <c r="H1045983" s="24"/>
      <c r="I1045983" s="24"/>
      <c r="J1045983" s="24"/>
      <c r="K1045983" s="54"/>
    </row>
    <row r="1045984" spans="1:11" s="55" customFormat="1" ht="12.75">
      <c r="A1045984" s="24"/>
      <c r="B1045984" s="24"/>
      <c r="C1045984" s="24"/>
      <c r="D1045984" s="24"/>
      <c r="E1045984" s="24"/>
      <c r="F1045984" s="24"/>
      <c r="G1045984" s="24"/>
      <c r="H1045984" s="24"/>
      <c r="I1045984" s="24"/>
      <c r="J1045984" s="24"/>
      <c r="K1045984" s="54"/>
    </row>
    <row r="1045985" spans="1:11" s="55" customFormat="1" ht="12.75">
      <c r="A1045985" s="24"/>
      <c r="B1045985" s="24"/>
      <c r="C1045985" s="24"/>
      <c r="D1045985" s="24"/>
      <c r="E1045985" s="24"/>
      <c r="F1045985" s="24"/>
      <c r="G1045985" s="24"/>
      <c r="H1045985" s="24"/>
      <c r="I1045985" s="24"/>
      <c r="J1045985" s="24"/>
      <c r="K1045985" s="54"/>
    </row>
    <row r="1045986" spans="1:11" s="55" customFormat="1" ht="12.75">
      <c r="A1045986" s="24"/>
      <c r="B1045986" s="24"/>
      <c r="C1045986" s="24"/>
      <c r="D1045986" s="24"/>
      <c r="E1045986" s="24"/>
      <c r="F1045986" s="24"/>
      <c r="G1045986" s="24"/>
      <c r="H1045986" s="24"/>
      <c r="I1045986" s="24"/>
      <c r="J1045986" s="24"/>
      <c r="K1045986" s="54"/>
    </row>
    <row r="1045987" spans="1:11" s="55" customFormat="1" ht="12.75">
      <c r="A1045987" s="24"/>
      <c r="B1045987" s="24"/>
      <c r="C1045987" s="24"/>
      <c r="D1045987" s="24"/>
      <c r="E1045987" s="24"/>
      <c r="F1045987" s="24"/>
      <c r="G1045987" s="24"/>
      <c r="H1045987" s="24"/>
      <c r="I1045987" s="24"/>
      <c r="J1045987" s="24"/>
      <c r="K1045987" s="54"/>
    </row>
    <row r="1045988" spans="1:11" s="55" customFormat="1" ht="12.75">
      <c r="A1045988" s="24"/>
      <c r="B1045988" s="24"/>
      <c r="C1045988" s="24"/>
      <c r="D1045988" s="24"/>
      <c r="E1045988" s="24"/>
      <c r="F1045988" s="24"/>
      <c r="G1045988" s="24"/>
      <c r="H1045988" s="24"/>
      <c r="I1045988" s="24"/>
      <c r="J1045988" s="24"/>
      <c r="K1045988" s="54"/>
    </row>
    <row r="1045989" spans="1:11" s="55" customFormat="1" ht="12.75">
      <c r="A1045989" s="24"/>
      <c r="B1045989" s="24"/>
      <c r="C1045989" s="24"/>
      <c r="D1045989" s="24"/>
      <c r="E1045989" s="24"/>
      <c r="F1045989" s="24"/>
      <c r="G1045989" s="24"/>
      <c r="H1045989" s="24"/>
      <c r="I1045989" s="24"/>
      <c r="J1045989" s="24"/>
      <c r="K1045989" s="54"/>
    </row>
    <row r="1045990" spans="1:11" s="55" customFormat="1" ht="12.75">
      <c r="A1045990" s="24"/>
      <c r="B1045990" s="24"/>
      <c r="C1045990" s="24"/>
      <c r="D1045990" s="24"/>
      <c r="E1045990" s="24"/>
      <c r="F1045990" s="24"/>
      <c r="G1045990" s="24"/>
      <c r="H1045990" s="24"/>
      <c r="I1045990" s="24"/>
      <c r="J1045990" s="24"/>
      <c r="K1045990" s="54"/>
    </row>
    <row r="1045991" spans="1:11" s="55" customFormat="1" ht="12.75">
      <c r="A1045991" s="24"/>
      <c r="B1045991" s="24"/>
      <c r="C1045991" s="24"/>
      <c r="D1045991" s="24"/>
      <c r="E1045991" s="24"/>
      <c r="F1045991" s="24"/>
      <c r="G1045991" s="24"/>
      <c r="H1045991" s="24"/>
      <c r="I1045991" s="24"/>
      <c r="J1045991" s="24"/>
      <c r="K1045991" s="54"/>
    </row>
    <row r="1045992" spans="1:11" s="55" customFormat="1" ht="12.75">
      <c r="A1045992" s="24"/>
      <c r="B1045992" s="24"/>
      <c r="C1045992" s="24"/>
      <c r="D1045992" s="24"/>
      <c r="E1045992" s="24"/>
      <c r="F1045992" s="24"/>
      <c r="G1045992" s="24"/>
      <c r="H1045992" s="24"/>
      <c r="I1045992" s="24"/>
      <c r="J1045992" s="24"/>
      <c r="K1045992" s="54"/>
    </row>
    <row r="1045993" spans="1:11" s="55" customFormat="1" ht="12.75">
      <c r="A1045993" s="24"/>
      <c r="B1045993" s="24"/>
      <c r="C1045993" s="24"/>
      <c r="D1045993" s="24"/>
      <c r="E1045993" s="24"/>
      <c r="F1045993" s="24"/>
      <c r="G1045993" s="24"/>
      <c r="H1045993" s="24"/>
      <c r="I1045993" s="24"/>
      <c r="J1045993" s="24"/>
      <c r="K1045993" s="54"/>
    </row>
    <row r="1045994" spans="1:11" s="55" customFormat="1" ht="12.75">
      <c r="A1045994" s="24"/>
      <c r="B1045994" s="24"/>
      <c r="C1045994" s="24"/>
      <c r="D1045994" s="24"/>
      <c r="E1045994" s="24"/>
      <c r="F1045994" s="24"/>
      <c r="G1045994" s="24"/>
      <c r="H1045994" s="24"/>
      <c r="I1045994" s="24"/>
      <c r="J1045994" s="24"/>
      <c r="K1045994" s="54"/>
    </row>
    <row r="1045995" spans="1:11" s="55" customFormat="1" ht="12.75">
      <c r="A1045995" s="24"/>
      <c r="B1045995" s="24"/>
      <c r="C1045995" s="24"/>
      <c r="D1045995" s="24"/>
      <c r="E1045995" s="24"/>
      <c r="F1045995" s="24"/>
      <c r="G1045995" s="24"/>
      <c r="H1045995" s="24"/>
      <c r="I1045995" s="24"/>
      <c r="J1045995" s="24"/>
      <c r="K1045995" s="54"/>
    </row>
    <row r="1045996" spans="1:11" s="55" customFormat="1" ht="12.75">
      <c r="A1045996" s="24"/>
      <c r="B1045996" s="24"/>
      <c r="C1045996" s="24"/>
      <c r="D1045996" s="24"/>
      <c r="E1045996" s="24"/>
      <c r="F1045996" s="24"/>
      <c r="G1045996" s="24"/>
      <c r="H1045996" s="24"/>
      <c r="I1045996" s="24"/>
      <c r="J1045996" s="24"/>
      <c r="K1045996" s="54"/>
    </row>
    <row r="1045997" spans="1:11" s="55" customFormat="1" ht="12.75">
      <c r="A1045997" s="24"/>
      <c r="B1045997" s="24"/>
      <c r="C1045997" s="24"/>
      <c r="D1045997" s="24"/>
      <c r="E1045997" s="24"/>
      <c r="F1045997" s="24"/>
      <c r="G1045997" s="24"/>
      <c r="H1045997" s="24"/>
      <c r="I1045997" s="24"/>
      <c r="J1045997" s="24"/>
      <c r="K1045997" s="54"/>
    </row>
    <row r="1045998" spans="1:11" s="55" customFormat="1" ht="12.75">
      <c r="A1045998" s="24"/>
      <c r="B1045998" s="24"/>
      <c r="C1045998" s="24"/>
      <c r="D1045998" s="24"/>
      <c r="E1045998" s="24"/>
      <c r="F1045998" s="24"/>
      <c r="G1045998" s="24"/>
      <c r="H1045998" s="24"/>
      <c r="I1045998" s="24"/>
      <c r="J1045998" s="24"/>
      <c r="K1045998" s="54"/>
    </row>
    <row r="1045999" spans="1:11" s="55" customFormat="1" ht="12.75">
      <c r="A1045999" s="24"/>
      <c r="B1045999" s="24"/>
      <c r="C1045999" s="24"/>
      <c r="D1045999" s="24"/>
      <c r="E1045999" s="24"/>
      <c r="F1045999" s="24"/>
      <c r="G1045999" s="24"/>
      <c r="H1045999" s="24"/>
      <c r="I1045999" s="24"/>
      <c r="J1045999" s="24"/>
      <c r="K1045999" s="54"/>
    </row>
    <row r="1046000" spans="1:11" s="55" customFormat="1" ht="12.75">
      <c r="A1046000" s="24"/>
      <c r="B1046000" s="24"/>
      <c r="C1046000" s="24"/>
      <c r="D1046000" s="24"/>
      <c r="E1046000" s="24"/>
      <c r="F1046000" s="24"/>
      <c r="G1046000" s="24"/>
      <c r="H1046000" s="24"/>
      <c r="I1046000" s="24"/>
      <c r="J1046000" s="24"/>
      <c r="K1046000" s="54"/>
    </row>
    <row r="1046001" spans="1:11" s="55" customFormat="1" ht="12.75">
      <c r="A1046001" s="24"/>
      <c r="B1046001" s="24"/>
      <c r="C1046001" s="24"/>
      <c r="D1046001" s="24"/>
      <c r="E1046001" s="24"/>
      <c r="F1046001" s="24"/>
      <c r="G1046001" s="24"/>
      <c r="H1046001" s="24"/>
      <c r="I1046001" s="24"/>
      <c r="J1046001" s="24"/>
      <c r="K1046001" s="54"/>
    </row>
    <row r="1046002" spans="1:11" s="55" customFormat="1" ht="12.75">
      <c r="A1046002" s="24"/>
      <c r="B1046002" s="24"/>
      <c r="C1046002" s="24"/>
      <c r="D1046002" s="24"/>
      <c r="E1046002" s="24"/>
      <c r="F1046002" s="24"/>
      <c r="G1046002" s="24"/>
      <c r="H1046002" s="24"/>
      <c r="I1046002" s="24"/>
      <c r="J1046002" s="24"/>
      <c r="K1046002" s="54"/>
    </row>
    <row r="1046003" spans="1:11" s="55" customFormat="1" ht="12.75">
      <c r="A1046003" s="24"/>
      <c r="B1046003" s="24"/>
      <c r="C1046003" s="24"/>
      <c r="D1046003" s="24"/>
      <c r="E1046003" s="24"/>
      <c r="F1046003" s="24"/>
      <c r="G1046003" s="24"/>
      <c r="H1046003" s="24"/>
      <c r="I1046003" s="24"/>
      <c r="J1046003" s="24"/>
      <c r="K1046003" s="54"/>
    </row>
    <row r="1046004" spans="1:11" s="55" customFormat="1" ht="12.75">
      <c r="A1046004" s="24"/>
      <c r="B1046004" s="24"/>
      <c r="C1046004" s="24"/>
      <c r="D1046004" s="24"/>
      <c r="E1046004" s="24"/>
      <c r="F1046004" s="24"/>
      <c r="G1046004" s="24"/>
      <c r="H1046004" s="24"/>
      <c r="I1046004" s="24"/>
      <c r="J1046004" s="24"/>
      <c r="K1046004" s="54"/>
    </row>
    <row r="1046005" spans="1:11" s="55" customFormat="1" ht="12.75">
      <c r="A1046005" s="24"/>
      <c r="B1046005" s="24"/>
      <c r="C1046005" s="24"/>
      <c r="D1046005" s="24"/>
      <c r="E1046005" s="24"/>
      <c r="F1046005" s="24"/>
      <c r="G1046005" s="24"/>
      <c r="H1046005" s="24"/>
      <c r="I1046005" s="24"/>
      <c r="J1046005" s="24"/>
      <c r="K1046005" s="54"/>
    </row>
    <row r="1046006" spans="1:11" s="55" customFormat="1" ht="12.75">
      <c r="A1046006" s="24"/>
      <c r="B1046006" s="24"/>
      <c r="C1046006" s="24"/>
      <c r="D1046006" s="24"/>
      <c r="E1046006" s="24"/>
      <c r="F1046006" s="24"/>
      <c r="G1046006" s="24"/>
      <c r="H1046006" s="24"/>
      <c r="I1046006" s="24"/>
      <c r="J1046006" s="24"/>
      <c r="K1046006" s="54"/>
    </row>
    <row r="1046007" spans="1:11" s="55" customFormat="1" ht="12.75">
      <c r="A1046007" s="24"/>
      <c r="B1046007" s="24"/>
      <c r="C1046007" s="24"/>
      <c r="D1046007" s="24"/>
      <c r="E1046007" s="24"/>
      <c r="F1046007" s="24"/>
      <c r="G1046007" s="24"/>
      <c r="H1046007" s="24"/>
      <c r="I1046007" s="24"/>
      <c r="J1046007" s="24"/>
      <c r="K1046007" s="54"/>
    </row>
    <row r="1046008" spans="1:11" s="55" customFormat="1" ht="12.75">
      <c r="A1046008" s="24"/>
      <c r="B1046008" s="24"/>
      <c r="C1046008" s="24"/>
      <c r="D1046008" s="24"/>
      <c r="E1046008" s="24"/>
      <c r="F1046008" s="24"/>
      <c r="G1046008" s="24"/>
      <c r="H1046008" s="24"/>
      <c r="I1046008" s="24"/>
      <c r="J1046008" s="24"/>
      <c r="K1046008" s="54"/>
    </row>
    <row r="1046009" spans="1:11" s="55" customFormat="1" ht="12.75">
      <c r="A1046009" s="24"/>
      <c r="B1046009" s="24"/>
      <c r="C1046009" s="24"/>
      <c r="D1046009" s="24"/>
      <c r="E1046009" s="24"/>
      <c r="F1046009" s="24"/>
      <c r="G1046009" s="24"/>
      <c r="H1046009" s="24"/>
      <c r="I1046009" s="24"/>
      <c r="J1046009" s="24"/>
      <c r="K1046009" s="54"/>
    </row>
    <row r="1046010" spans="1:11" s="55" customFormat="1" ht="12.75">
      <c r="A1046010" s="24"/>
      <c r="B1046010" s="24"/>
      <c r="C1046010" s="24"/>
      <c r="D1046010" s="24"/>
      <c r="E1046010" s="24"/>
      <c r="F1046010" s="24"/>
      <c r="G1046010" s="24"/>
      <c r="H1046010" s="24"/>
      <c r="I1046010" s="24"/>
      <c r="J1046010" s="24"/>
      <c r="K1046010" s="54"/>
    </row>
    <row r="1046011" spans="1:11" s="55" customFormat="1" ht="12.75">
      <c r="A1046011" s="24"/>
      <c r="B1046011" s="24"/>
      <c r="C1046011" s="24"/>
      <c r="D1046011" s="24"/>
      <c r="E1046011" s="24"/>
      <c r="F1046011" s="24"/>
      <c r="G1046011" s="24"/>
      <c r="H1046011" s="24"/>
      <c r="I1046011" s="24"/>
      <c r="J1046011" s="24"/>
      <c r="K1046011" s="54"/>
    </row>
    <row r="1046012" spans="1:11" s="55" customFormat="1" ht="12.75">
      <c r="A1046012" s="24"/>
      <c r="B1046012" s="24"/>
      <c r="C1046012" s="24"/>
      <c r="D1046012" s="24"/>
      <c r="E1046012" s="24"/>
      <c r="F1046012" s="24"/>
      <c r="G1046012" s="24"/>
      <c r="H1046012" s="24"/>
      <c r="I1046012" s="24"/>
      <c r="J1046012" s="24"/>
      <c r="K1046012" s="54"/>
    </row>
    <row r="1046013" spans="1:11" s="55" customFormat="1" ht="12.75">
      <c r="A1046013" s="24"/>
      <c r="B1046013" s="24"/>
      <c r="C1046013" s="24"/>
      <c r="D1046013" s="24"/>
      <c r="E1046013" s="24"/>
      <c r="F1046013" s="24"/>
      <c r="G1046013" s="24"/>
      <c r="H1046013" s="24"/>
      <c r="I1046013" s="24"/>
      <c r="J1046013" s="24"/>
      <c r="K1046013" s="54"/>
    </row>
    <row r="1046014" spans="1:11" s="55" customFormat="1" ht="12.75">
      <c r="A1046014" s="24"/>
      <c r="B1046014" s="24"/>
      <c r="C1046014" s="24"/>
      <c r="D1046014" s="24"/>
      <c r="E1046014" s="24"/>
      <c r="F1046014" s="24"/>
      <c r="G1046014" s="24"/>
      <c r="H1046014" s="24"/>
      <c r="I1046014" s="24"/>
      <c r="J1046014" s="24"/>
      <c r="K1046014" s="54"/>
    </row>
    <row r="1046015" spans="1:11" s="55" customFormat="1" ht="12.75">
      <c r="A1046015" s="24"/>
      <c r="B1046015" s="24"/>
      <c r="C1046015" s="24"/>
      <c r="D1046015" s="24"/>
      <c r="E1046015" s="24"/>
      <c r="F1046015" s="24"/>
      <c r="G1046015" s="24"/>
      <c r="H1046015" s="24"/>
      <c r="I1046015" s="24"/>
      <c r="J1046015" s="24"/>
      <c r="K1046015" s="54"/>
    </row>
    <row r="1046016" spans="1:11" s="55" customFormat="1" ht="12.75">
      <c r="A1046016" s="24"/>
      <c r="B1046016" s="24"/>
      <c r="C1046016" s="24"/>
      <c r="D1046016" s="24"/>
      <c r="E1046016" s="24"/>
      <c r="F1046016" s="24"/>
      <c r="G1046016" s="24"/>
      <c r="H1046016" s="24"/>
      <c r="I1046016" s="24"/>
      <c r="J1046016" s="24"/>
      <c r="K1046016" s="54"/>
    </row>
    <row r="1046017" spans="1:11" s="55" customFormat="1" ht="12.75">
      <c r="A1046017" s="24"/>
      <c r="B1046017" s="24"/>
      <c r="C1046017" s="24"/>
      <c r="D1046017" s="24"/>
      <c r="E1046017" s="24"/>
      <c r="F1046017" s="24"/>
      <c r="G1046017" s="24"/>
      <c r="H1046017" s="24"/>
      <c r="I1046017" s="24"/>
      <c r="J1046017" s="24"/>
      <c r="K1046017" s="54"/>
    </row>
    <row r="1046018" spans="1:11" s="55" customFormat="1" ht="12.75">
      <c r="A1046018" s="24"/>
      <c r="B1046018" s="24"/>
      <c r="C1046018" s="24"/>
      <c r="D1046018" s="24"/>
      <c r="E1046018" s="24"/>
      <c r="F1046018" s="24"/>
      <c r="G1046018" s="24"/>
      <c r="H1046018" s="24"/>
      <c r="I1046018" s="24"/>
      <c r="J1046018" s="24"/>
      <c r="K1046018" s="54"/>
    </row>
    <row r="1046019" spans="1:11" s="55" customFormat="1" ht="12.75">
      <c r="A1046019" s="24"/>
      <c r="B1046019" s="24"/>
      <c r="C1046019" s="24"/>
      <c r="D1046019" s="24"/>
      <c r="E1046019" s="24"/>
      <c r="F1046019" s="24"/>
      <c r="G1046019" s="24"/>
      <c r="H1046019" s="24"/>
      <c r="I1046019" s="24"/>
      <c r="J1046019" s="24"/>
      <c r="K1046019" s="54"/>
    </row>
    <row r="1046020" spans="1:11" s="55" customFormat="1" ht="12.75">
      <c r="A1046020" s="24"/>
      <c r="B1046020" s="24"/>
      <c r="C1046020" s="24"/>
      <c r="D1046020" s="24"/>
      <c r="E1046020" s="24"/>
      <c r="F1046020" s="24"/>
      <c r="G1046020" s="24"/>
      <c r="H1046020" s="24"/>
      <c r="I1046020" s="24"/>
      <c r="J1046020" s="24"/>
      <c r="K1046020" s="54"/>
    </row>
    <row r="1046021" spans="1:11" s="55" customFormat="1" ht="12.75">
      <c r="A1046021" s="24"/>
      <c r="B1046021" s="24"/>
      <c r="C1046021" s="24"/>
      <c r="D1046021" s="24"/>
      <c r="E1046021" s="24"/>
      <c r="F1046021" s="24"/>
      <c r="G1046021" s="24"/>
      <c r="H1046021" s="24"/>
      <c r="I1046021" s="24"/>
      <c r="J1046021" s="24"/>
      <c r="K1046021" s="54"/>
    </row>
    <row r="1046022" spans="1:11" s="55" customFormat="1" ht="12.75">
      <c r="A1046022" s="24"/>
      <c r="B1046022" s="24"/>
      <c r="C1046022" s="24"/>
      <c r="D1046022" s="24"/>
      <c r="E1046022" s="24"/>
      <c r="F1046022" s="24"/>
      <c r="G1046022" s="24"/>
      <c r="H1046022" s="24"/>
      <c r="I1046022" s="24"/>
      <c r="J1046022" s="24"/>
      <c r="K1046022" s="54"/>
    </row>
    <row r="1046023" spans="1:11" s="55" customFormat="1" ht="12.75">
      <c r="A1046023" s="24"/>
      <c r="B1046023" s="24"/>
      <c r="C1046023" s="24"/>
      <c r="D1046023" s="24"/>
      <c r="E1046023" s="24"/>
      <c r="F1046023" s="24"/>
      <c r="G1046023" s="24"/>
      <c r="H1046023" s="24"/>
      <c r="I1046023" s="24"/>
      <c r="J1046023" s="24"/>
      <c r="K1046023" s="54"/>
    </row>
    <row r="1046024" spans="1:11" s="55" customFormat="1" ht="12.75">
      <c r="A1046024" s="24"/>
      <c r="B1046024" s="24"/>
      <c r="C1046024" s="24"/>
      <c r="D1046024" s="24"/>
      <c r="E1046024" s="24"/>
      <c r="F1046024" s="24"/>
      <c r="G1046024" s="24"/>
      <c r="H1046024" s="24"/>
      <c r="I1046024" s="24"/>
      <c r="J1046024" s="24"/>
      <c r="K1046024" s="54"/>
    </row>
    <row r="1046025" spans="1:11" s="55" customFormat="1" ht="12.75">
      <c r="A1046025" s="24"/>
      <c r="B1046025" s="24"/>
      <c r="C1046025" s="24"/>
      <c r="D1046025" s="24"/>
      <c r="E1046025" s="24"/>
      <c r="F1046025" s="24"/>
      <c r="G1046025" s="24"/>
      <c r="H1046025" s="24"/>
      <c r="I1046025" s="24"/>
      <c r="J1046025" s="24"/>
      <c r="K1046025" s="54"/>
    </row>
    <row r="1046026" spans="1:11" s="55" customFormat="1" ht="12.75">
      <c r="A1046026" s="24"/>
      <c r="B1046026" s="24"/>
      <c r="C1046026" s="24"/>
      <c r="D1046026" s="24"/>
      <c r="E1046026" s="24"/>
      <c r="F1046026" s="24"/>
      <c r="G1046026" s="24"/>
      <c r="H1046026" s="24"/>
      <c r="I1046026" s="24"/>
      <c r="J1046026" s="24"/>
      <c r="K1046026" s="54"/>
    </row>
    <row r="1046027" spans="1:11" s="55" customFormat="1" ht="12.75">
      <c r="A1046027" s="24"/>
      <c r="B1046027" s="24"/>
      <c r="C1046027" s="24"/>
      <c r="D1046027" s="24"/>
      <c r="E1046027" s="24"/>
      <c r="F1046027" s="24"/>
      <c r="G1046027" s="24"/>
      <c r="H1046027" s="24"/>
      <c r="I1046027" s="24"/>
      <c r="J1046027" s="24"/>
      <c r="K1046027" s="54"/>
    </row>
    <row r="1046028" spans="1:11" s="55" customFormat="1" ht="12.75">
      <c r="A1046028" s="24"/>
      <c r="B1046028" s="24"/>
      <c r="C1046028" s="24"/>
      <c r="D1046028" s="24"/>
      <c r="E1046028" s="24"/>
      <c r="F1046028" s="24"/>
      <c r="G1046028" s="24"/>
      <c r="H1046028" s="24"/>
      <c r="I1046028" s="24"/>
      <c r="J1046028" s="24"/>
      <c r="K1046028" s="54"/>
    </row>
    <row r="1046029" spans="1:11" s="55" customFormat="1" ht="12.75">
      <c r="A1046029" s="24"/>
      <c r="B1046029" s="24"/>
      <c r="C1046029" s="24"/>
      <c r="D1046029" s="24"/>
      <c r="E1046029" s="24"/>
      <c r="F1046029" s="24"/>
      <c r="G1046029" s="24"/>
      <c r="H1046029" s="24"/>
      <c r="I1046029" s="24"/>
      <c r="J1046029" s="24"/>
      <c r="K1046029" s="54"/>
    </row>
    <row r="1046030" spans="1:11" s="55" customFormat="1" ht="12.75">
      <c r="A1046030" s="24"/>
      <c r="B1046030" s="24"/>
      <c r="C1046030" s="24"/>
      <c r="D1046030" s="24"/>
      <c r="E1046030" s="24"/>
      <c r="F1046030" s="24"/>
      <c r="G1046030" s="24"/>
      <c r="H1046030" s="24"/>
      <c r="I1046030" s="24"/>
      <c r="J1046030" s="24"/>
      <c r="K1046030" s="54"/>
    </row>
    <row r="1046031" spans="1:11" s="55" customFormat="1" ht="12.75">
      <c r="A1046031" s="24"/>
      <c r="B1046031" s="24"/>
      <c r="C1046031" s="24"/>
      <c r="D1046031" s="24"/>
      <c r="E1046031" s="24"/>
      <c r="F1046031" s="24"/>
      <c r="G1046031" s="24"/>
      <c r="H1046031" s="24"/>
      <c r="I1046031" s="24"/>
      <c r="J1046031" s="24"/>
      <c r="K1046031" s="54"/>
    </row>
    <row r="1046032" spans="1:11" s="55" customFormat="1" ht="12.75">
      <c r="A1046032" s="24"/>
      <c r="B1046032" s="24"/>
      <c r="C1046032" s="24"/>
      <c r="D1046032" s="24"/>
      <c r="E1046032" s="24"/>
      <c r="F1046032" s="24"/>
      <c r="G1046032" s="24"/>
      <c r="H1046032" s="24"/>
      <c r="I1046032" s="24"/>
      <c r="J1046032" s="24"/>
      <c r="K1046032" s="54"/>
    </row>
    <row r="1046033" spans="1:11" s="55" customFormat="1" ht="12.75">
      <c r="A1046033" s="24"/>
      <c r="B1046033" s="24"/>
      <c r="C1046033" s="24"/>
      <c r="D1046033" s="24"/>
      <c r="E1046033" s="24"/>
      <c r="F1046033" s="24"/>
      <c r="G1046033" s="24"/>
      <c r="H1046033" s="24"/>
      <c r="I1046033" s="24"/>
      <c r="J1046033" s="24"/>
      <c r="K1046033" s="54"/>
    </row>
    <row r="1046034" spans="1:11" s="55" customFormat="1" ht="12.75">
      <c r="A1046034" s="24"/>
      <c r="B1046034" s="24"/>
      <c r="C1046034" s="24"/>
      <c r="D1046034" s="24"/>
      <c r="E1046034" s="24"/>
      <c r="F1046034" s="24"/>
      <c r="G1046034" s="24"/>
      <c r="H1046034" s="24"/>
      <c r="I1046034" s="24"/>
      <c r="J1046034" s="24"/>
      <c r="K1046034" s="54"/>
    </row>
    <row r="1046035" spans="1:11" s="55" customFormat="1" ht="12.75">
      <c r="A1046035" s="24"/>
      <c r="B1046035" s="24"/>
      <c r="C1046035" s="24"/>
      <c r="D1046035" s="24"/>
      <c r="E1046035" s="24"/>
      <c r="F1046035" s="24"/>
      <c r="G1046035" s="24"/>
      <c r="H1046035" s="24"/>
      <c r="I1046035" s="24"/>
      <c r="J1046035" s="24"/>
      <c r="K1046035" s="54"/>
    </row>
    <row r="1046036" spans="1:11" s="55" customFormat="1" ht="12.75">
      <c r="A1046036" s="24"/>
      <c r="B1046036" s="24"/>
      <c r="C1046036" s="24"/>
      <c r="D1046036" s="24"/>
      <c r="E1046036" s="24"/>
      <c r="F1046036" s="24"/>
      <c r="G1046036" s="24"/>
      <c r="H1046036" s="24"/>
      <c r="I1046036" s="24"/>
      <c r="J1046036" s="24"/>
      <c r="K1046036" s="54"/>
    </row>
    <row r="1046037" spans="1:11" s="55" customFormat="1" ht="12.75">
      <c r="A1046037" s="24"/>
      <c r="B1046037" s="24"/>
      <c r="C1046037" s="24"/>
      <c r="D1046037" s="24"/>
      <c r="E1046037" s="24"/>
      <c r="F1046037" s="24"/>
      <c r="G1046037" s="24"/>
      <c r="H1046037" s="24"/>
      <c r="I1046037" s="24"/>
      <c r="J1046037" s="24"/>
      <c r="K1046037" s="54"/>
    </row>
    <row r="1046038" spans="1:11" s="55" customFormat="1" ht="12.75">
      <c r="A1046038" s="24"/>
      <c r="B1046038" s="24"/>
      <c r="C1046038" s="24"/>
      <c r="D1046038" s="24"/>
      <c r="E1046038" s="24"/>
      <c r="F1046038" s="24"/>
      <c r="G1046038" s="24"/>
      <c r="H1046038" s="24"/>
      <c r="I1046038" s="24"/>
      <c r="J1046038" s="24"/>
      <c r="K1046038" s="54"/>
    </row>
    <row r="1046039" spans="1:11" s="55" customFormat="1" ht="12.75">
      <c r="A1046039" s="24"/>
      <c r="B1046039" s="24"/>
      <c r="C1046039" s="24"/>
      <c r="D1046039" s="24"/>
      <c r="E1046039" s="24"/>
      <c r="F1046039" s="24"/>
      <c r="G1046039" s="24"/>
      <c r="H1046039" s="24"/>
      <c r="I1046039" s="24"/>
      <c r="J1046039" s="24"/>
      <c r="K1046039" s="54"/>
    </row>
    <row r="1046040" spans="1:11" s="55" customFormat="1" ht="12.75">
      <c r="A1046040" s="24"/>
      <c r="B1046040" s="24"/>
      <c r="C1046040" s="24"/>
      <c r="D1046040" s="24"/>
      <c r="E1046040" s="24"/>
      <c r="F1046040" s="24"/>
      <c r="G1046040" s="24"/>
      <c r="H1046040" s="24"/>
      <c r="I1046040" s="24"/>
      <c r="J1046040" s="24"/>
      <c r="K1046040" s="54"/>
    </row>
    <row r="1046041" spans="1:11" s="55" customFormat="1" ht="12.75">
      <c r="A1046041" s="24"/>
      <c r="B1046041" s="24"/>
      <c r="C1046041" s="24"/>
      <c r="D1046041" s="24"/>
      <c r="E1046041" s="24"/>
      <c r="F1046041" s="24"/>
      <c r="G1046041" s="24"/>
      <c r="H1046041" s="24"/>
      <c r="I1046041" s="24"/>
      <c r="J1046041" s="24"/>
      <c r="K1046041" s="54"/>
    </row>
    <row r="1046042" spans="1:11" s="55" customFormat="1" ht="12.75">
      <c r="A1046042" s="24"/>
      <c r="B1046042" s="24"/>
      <c r="C1046042" s="24"/>
      <c r="D1046042" s="24"/>
      <c r="E1046042" s="24"/>
      <c r="F1046042" s="24"/>
      <c r="G1046042" s="24"/>
      <c r="H1046042" s="24"/>
      <c r="I1046042" s="24"/>
      <c r="J1046042" s="24"/>
      <c r="K1046042" s="54"/>
    </row>
    <row r="1046043" spans="1:11" s="55" customFormat="1" ht="12.75">
      <c r="A1046043" s="24"/>
      <c r="B1046043" s="24"/>
      <c r="C1046043" s="24"/>
      <c r="D1046043" s="24"/>
      <c r="E1046043" s="24"/>
      <c r="F1046043" s="24"/>
      <c r="G1046043" s="24"/>
      <c r="H1046043" s="24"/>
      <c r="I1046043" s="24"/>
      <c r="J1046043" s="24"/>
      <c r="K1046043" s="54"/>
    </row>
    <row r="1046044" spans="1:11" s="55" customFormat="1" ht="12.75">
      <c r="A1046044" s="24"/>
      <c r="B1046044" s="24"/>
      <c r="C1046044" s="24"/>
      <c r="D1046044" s="24"/>
      <c r="E1046044" s="24"/>
      <c r="F1046044" s="24"/>
      <c r="G1046044" s="24"/>
      <c r="H1046044" s="24"/>
      <c r="I1046044" s="24"/>
      <c r="J1046044" s="24"/>
      <c r="K1046044" s="54"/>
    </row>
    <row r="1046045" spans="1:11" s="55" customFormat="1" ht="12.75">
      <c r="A1046045" s="24"/>
      <c r="B1046045" s="24"/>
      <c r="C1046045" s="24"/>
      <c r="D1046045" s="24"/>
      <c r="E1046045" s="24"/>
      <c r="F1046045" s="24"/>
      <c r="G1046045" s="24"/>
      <c r="H1046045" s="24"/>
      <c r="I1046045" s="24"/>
      <c r="J1046045" s="24"/>
      <c r="K1046045" s="54"/>
    </row>
    <row r="1046046" spans="1:11" s="55" customFormat="1" ht="12.75">
      <c r="A1046046" s="24"/>
      <c r="B1046046" s="24"/>
      <c r="C1046046" s="24"/>
      <c r="D1046046" s="24"/>
      <c r="E1046046" s="24"/>
      <c r="F1046046" s="24"/>
      <c r="G1046046" s="24"/>
      <c r="H1046046" s="24"/>
      <c r="I1046046" s="24"/>
      <c r="J1046046" s="24"/>
      <c r="K1046046" s="54"/>
    </row>
    <row r="1046047" spans="1:11" s="55" customFormat="1" ht="12.75">
      <c r="A1046047" s="24"/>
      <c r="B1046047" s="24"/>
      <c r="C1046047" s="24"/>
      <c r="D1046047" s="24"/>
      <c r="E1046047" s="24"/>
      <c r="F1046047" s="24"/>
      <c r="G1046047" s="24"/>
      <c r="H1046047" s="24"/>
      <c r="I1046047" s="24"/>
      <c r="J1046047" s="24"/>
      <c r="K1046047" s="54"/>
    </row>
    <row r="1046048" spans="1:11" s="55" customFormat="1" ht="12.75">
      <c r="A1046048" s="24"/>
      <c r="B1046048" s="24"/>
      <c r="C1046048" s="24"/>
      <c r="D1046048" s="24"/>
      <c r="E1046048" s="24"/>
      <c r="F1046048" s="24"/>
      <c r="G1046048" s="24"/>
      <c r="H1046048" s="24"/>
      <c r="I1046048" s="24"/>
      <c r="J1046048" s="24"/>
      <c r="K1046048" s="54"/>
    </row>
    <row r="1046049" spans="1:11" s="55" customFormat="1" ht="12.75">
      <c r="A1046049" s="24"/>
      <c r="B1046049" s="24"/>
      <c r="C1046049" s="24"/>
      <c r="D1046049" s="24"/>
      <c r="E1046049" s="24"/>
      <c r="F1046049" s="24"/>
      <c r="G1046049" s="24"/>
      <c r="H1046049" s="24"/>
      <c r="I1046049" s="24"/>
      <c r="J1046049" s="24"/>
      <c r="K1046049" s="54"/>
    </row>
    <row r="1046050" spans="1:11" s="55" customFormat="1" ht="12.75">
      <c r="A1046050" s="24"/>
      <c r="B1046050" s="24"/>
      <c r="C1046050" s="24"/>
      <c r="D1046050" s="24"/>
      <c r="E1046050" s="24"/>
      <c r="F1046050" s="24"/>
      <c r="G1046050" s="24"/>
      <c r="H1046050" s="24"/>
      <c r="I1046050" s="24"/>
      <c r="J1046050" s="24"/>
      <c r="K1046050" s="54"/>
    </row>
    <row r="1046051" spans="1:11" s="55" customFormat="1" ht="12.75">
      <c r="A1046051" s="24"/>
      <c r="B1046051" s="24"/>
      <c r="C1046051" s="24"/>
      <c r="D1046051" s="24"/>
      <c r="E1046051" s="24"/>
      <c r="F1046051" s="24"/>
      <c r="G1046051" s="24"/>
      <c r="H1046051" s="24"/>
      <c r="I1046051" s="24"/>
      <c r="J1046051" s="24"/>
      <c r="K1046051" s="54"/>
    </row>
    <row r="1046052" spans="1:11" s="55" customFormat="1" ht="12.75">
      <c r="A1046052" s="24"/>
      <c r="B1046052" s="24"/>
      <c r="C1046052" s="24"/>
      <c r="D1046052" s="24"/>
      <c r="E1046052" s="24"/>
      <c r="F1046052" s="24"/>
      <c r="G1046052" s="24"/>
      <c r="H1046052" s="24"/>
      <c r="I1046052" s="24"/>
      <c r="J1046052" s="24"/>
      <c r="K1046052" s="54"/>
    </row>
    <row r="1046053" spans="1:11" s="55" customFormat="1" ht="12.75">
      <c r="A1046053" s="24"/>
      <c r="B1046053" s="24"/>
      <c r="C1046053" s="24"/>
      <c r="D1046053" s="24"/>
      <c r="E1046053" s="24"/>
      <c r="F1046053" s="24"/>
      <c r="G1046053" s="24"/>
      <c r="H1046053" s="24"/>
      <c r="I1046053" s="24"/>
      <c r="J1046053" s="24"/>
      <c r="K1046053" s="54"/>
    </row>
    <row r="1046054" spans="1:11" s="55" customFormat="1" ht="12.75">
      <c r="A1046054" s="24"/>
      <c r="B1046054" s="24"/>
      <c r="C1046054" s="24"/>
      <c r="D1046054" s="24"/>
      <c r="E1046054" s="24"/>
      <c r="F1046054" s="24"/>
      <c r="G1046054" s="24"/>
      <c r="H1046054" s="24"/>
      <c r="I1046054" s="24"/>
      <c r="J1046054" s="24"/>
      <c r="K1046054" s="54"/>
    </row>
    <row r="1046055" spans="1:11" s="55" customFormat="1" ht="12.75">
      <c r="A1046055" s="24"/>
      <c r="B1046055" s="24"/>
      <c r="C1046055" s="24"/>
      <c r="D1046055" s="24"/>
      <c r="E1046055" s="24"/>
      <c r="F1046055" s="24"/>
      <c r="G1046055" s="24"/>
      <c r="H1046055" s="24"/>
      <c r="I1046055" s="24"/>
      <c r="J1046055" s="24"/>
      <c r="K1046055" s="54"/>
    </row>
    <row r="1046056" spans="1:11" s="55" customFormat="1" ht="12.75">
      <c r="A1046056" s="24"/>
      <c r="B1046056" s="24"/>
      <c r="C1046056" s="24"/>
      <c r="D1046056" s="24"/>
      <c r="E1046056" s="24"/>
      <c r="F1046056" s="24"/>
      <c r="G1046056" s="24"/>
      <c r="H1046056" s="24"/>
      <c r="I1046056" s="24"/>
      <c r="J1046056" s="24"/>
      <c r="K1046056" s="54"/>
    </row>
    <row r="1046057" spans="1:11" s="55" customFormat="1" ht="12.75">
      <c r="A1046057" s="24"/>
      <c r="B1046057" s="24"/>
      <c r="C1046057" s="24"/>
      <c r="D1046057" s="24"/>
      <c r="E1046057" s="24"/>
      <c r="F1046057" s="24"/>
      <c r="G1046057" s="24"/>
      <c r="H1046057" s="24"/>
      <c r="I1046057" s="24"/>
      <c r="J1046057" s="24"/>
      <c r="K1046057" s="54"/>
    </row>
    <row r="1046058" spans="1:11" s="55" customFormat="1" ht="12.75">
      <c r="A1046058" s="24"/>
      <c r="B1046058" s="24"/>
      <c r="C1046058" s="24"/>
      <c r="D1046058" s="24"/>
      <c r="E1046058" s="24"/>
      <c r="F1046058" s="24"/>
      <c r="G1046058" s="24"/>
      <c r="H1046058" s="24"/>
      <c r="I1046058" s="24"/>
      <c r="J1046058" s="24"/>
      <c r="K1046058" s="54"/>
    </row>
    <row r="1046059" spans="1:11" s="55" customFormat="1" ht="12.75">
      <c r="A1046059" s="24"/>
      <c r="B1046059" s="24"/>
      <c r="C1046059" s="24"/>
      <c r="D1046059" s="24"/>
      <c r="E1046059" s="24"/>
      <c r="F1046059" s="24"/>
      <c r="G1046059" s="24"/>
      <c r="H1046059" s="24"/>
      <c r="I1046059" s="24"/>
      <c r="J1046059" s="24"/>
      <c r="K1046059" s="54"/>
    </row>
    <row r="1046060" spans="1:11" s="55" customFormat="1" ht="12.75">
      <c r="A1046060" s="24"/>
      <c r="B1046060" s="24"/>
      <c r="C1046060" s="24"/>
      <c r="D1046060" s="24"/>
      <c r="E1046060" s="24"/>
      <c r="F1046060" s="24"/>
      <c r="G1046060" s="24"/>
      <c r="H1046060" s="24"/>
      <c r="I1046060" s="24"/>
      <c r="J1046060" s="24"/>
      <c r="K1046060" s="54"/>
    </row>
    <row r="1046061" spans="1:11" s="55" customFormat="1" ht="12.75">
      <c r="A1046061" s="24"/>
      <c r="B1046061" s="24"/>
      <c r="C1046061" s="24"/>
      <c r="D1046061" s="24"/>
      <c r="E1046061" s="24"/>
      <c r="F1046061" s="24"/>
      <c r="G1046061" s="24"/>
      <c r="H1046061" s="24"/>
      <c r="I1046061" s="24"/>
      <c r="J1046061" s="24"/>
      <c r="K1046061" s="54"/>
    </row>
    <row r="1046062" spans="1:11" s="55" customFormat="1" ht="12.75">
      <c r="A1046062" s="24"/>
      <c r="B1046062" s="24"/>
      <c r="C1046062" s="24"/>
      <c r="D1046062" s="24"/>
      <c r="E1046062" s="24"/>
      <c r="F1046062" s="24"/>
      <c r="G1046062" s="24"/>
      <c r="H1046062" s="24"/>
      <c r="I1046062" s="24"/>
      <c r="J1046062" s="24"/>
      <c r="K1046062" s="54"/>
    </row>
    <row r="1046063" spans="1:11" s="55" customFormat="1" ht="12.75">
      <c r="A1046063" s="24"/>
      <c r="B1046063" s="24"/>
      <c r="C1046063" s="24"/>
      <c r="D1046063" s="24"/>
      <c r="E1046063" s="24"/>
      <c r="F1046063" s="24"/>
      <c r="G1046063" s="24"/>
      <c r="H1046063" s="24"/>
      <c r="I1046063" s="24"/>
      <c r="J1046063" s="24"/>
      <c r="K1046063" s="54"/>
    </row>
    <row r="1046064" spans="1:11" s="55" customFormat="1" ht="12.75">
      <c r="A1046064" s="24"/>
      <c r="B1046064" s="24"/>
      <c r="C1046064" s="24"/>
      <c r="D1046064" s="24"/>
      <c r="E1046064" s="24"/>
      <c r="F1046064" s="24"/>
      <c r="G1046064" s="24"/>
      <c r="H1046064" s="24"/>
      <c r="I1046064" s="24"/>
      <c r="J1046064" s="24"/>
      <c r="K1046064" s="54"/>
    </row>
    <row r="1046065" spans="1:11" s="55" customFormat="1" ht="12.75">
      <c r="A1046065" s="24"/>
      <c r="B1046065" s="24"/>
      <c r="C1046065" s="24"/>
      <c r="D1046065" s="24"/>
      <c r="E1046065" s="24"/>
      <c r="F1046065" s="24"/>
      <c r="G1046065" s="24"/>
      <c r="H1046065" s="24"/>
      <c r="I1046065" s="24"/>
      <c r="J1046065" s="24"/>
      <c r="K1046065" s="54"/>
    </row>
    <row r="1046066" spans="1:11" s="55" customFormat="1" ht="12.75">
      <c r="A1046066" s="24"/>
      <c r="B1046066" s="24"/>
      <c r="C1046066" s="24"/>
      <c r="D1046066" s="24"/>
      <c r="E1046066" s="24"/>
      <c r="F1046066" s="24"/>
      <c r="G1046066" s="24"/>
      <c r="H1046066" s="24"/>
      <c r="I1046066" s="24"/>
      <c r="J1046066" s="24"/>
      <c r="K1046066" s="54"/>
    </row>
    <row r="1046067" spans="1:11" s="55" customFormat="1" ht="12.75">
      <c r="A1046067" s="24"/>
      <c r="B1046067" s="24"/>
      <c r="C1046067" s="24"/>
      <c r="D1046067" s="24"/>
      <c r="E1046067" s="24"/>
      <c r="F1046067" s="24"/>
      <c r="G1046067" s="24"/>
      <c r="H1046067" s="24"/>
      <c r="I1046067" s="24"/>
      <c r="J1046067" s="24"/>
      <c r="K1046067" s="54"/>
    </row>
    <row r="1046068" spans="1:11" s="55" customFormat="1" ht="12.75">
      <c r="A1046068" s="24"/>
      <c r="B1046068" s="24"/>
      <c r="C1046068" s="24"/>
      <c r="D1046068" s="24"/>
      <c r="E1046068" s="24"/>
      <c r="F1046068" s="24"/>
      <c r="G1046068" s="24"/>
      <c r="H1046068" s="24"/>
      <c r="I1046068" s="24"/>
      <c r="J1046068" s="24"/>
      <c r="K1046068" s="54"/>
    </row>
    <row r="1046069" spans="1:11" s="55" customFormat="1" ht="12.75">
      <c r="A1046069" s="24"/>
      <c r="B1046069" s="24"/>
      <c r="C1046069" s="24"/>
      <c r="D1046069" s="24"/>
      <c r="E1046069" s="24"/>
      <c r="F1046069" s="24"/>
      <c r="G1046069" s="24"/>
      <c r="H1046069" s="24"/>
      <c r="I1046069" s="24"/>
      <c r="J1046069" s="24"/>
      <c r="K1046069" s="54"/>
    </row>
    <row r="1046070" spans="1:11" s="55" customFormat="1" ht="12.75">
      <c r="A1046070" s="24"/>
      <c r="B1046070" s="24"/>
      <c r="C1046070" s="24"/>
      <c r="D1046070" s="24"/>
      <c r="E1046070" s="24"/>
      <c r="F1046070" s="24"/>
      <c r="G1046070" s="24"/>
      <c r="H1046070" s="24"/>
      <c r="I1046070" s="24"/>
      <c r="J1046070" s="24"/>
      <c r="K1046070" s="54"/>
    </row>
    <row r="1046071" spans="1:11" s="55" customFormat="1" ht="12.75">
      <c r="A1046071" s="24"/>
      <c r="B1046071" s="24"/>
      <c r="C1046071" s="24"/>
      <c r="D1046071" s="24"/>
      <c r="E1046071" s="24"/>
      <c r="F1046071" s="24"/>
      <c r="G1046071" s="24"/>
      <c r="H1046071" s="24"/>
      <c r="I1046071" s="24"/>
      <c r="J1046071" s="24"/>
      <c r="K1046071" s="54"/>
    </row>
    <row r="1046072" spans="1:11" s="55" customFormat="1" ht="12.75">
      <c r="A1046072" s="24"/>
      <c r="B1046072" s="24"/>
      <c r="C1046072" s="24"/>
      <c r="D1046072" s="24"/>
      <c r="E1046072" s="24"/>
      <c r="F1046072" s="24"/>
      <c r="G1046072" s="24"/>
      <c r="H1046072" s="24"/>
      <c r="I1046072" s="24"/>
      <c r="J1046072" s="24"/>
      <c r="K1046072" s="54"/>
    </row>
    <row r="1046073" spans="1:11" s="55" customFormat="1" ht="12.75">
      <c r="A1046073" s="24"/>
      <c r="B1046073" s="24"/>
      <c r="C1046073" s="24"/>
      <c r="D1046073" s="24"/>
      <c r="E1046073" s="24"/>
      <c r="F1046073" s="24"/>
      <c r="G1046073" s="24"/>
      <c r="H1046073" s="24"/>
      <c r="I1046073" s="24"/>
      <c r="J1046073" s="24"/>
      <c r="K1046073" s="54"/>
    </row>
    <row r="1046074" spans="1:11" s="55" customFormat="1" ht="12.75">
      <c r="A1046074" s="24"/>
      <c r="B1046074" s="24"/>
      <c r="C1046074" s="24"/>
      <c r="D1046074" s="24"/>
      <c r="E1046074" s="24"/>
      <c r="F1046074" s="24"/>
      <c r="G1046074" s="24"/>
      <c r="H1046074" s="24"/>
      <c r="I1046074" s="24"/>
      <c r="J1046074" s="24"/>
      <c r="K1046074" s="54"/>
    </row>
    <row r="1046075" spans="1:11" s="55" customFormat="1" ht="12.75">
      <c r="A1046075" s="24"/>
      <c r="B1046075" s="24"/>
      <c r="C1046075" s="24"/>
      <c r="D1046075" s="24"/>
      <c r="E1046075" s="24"/>
      <c r="F1046075" s="24"/>
      <c r="G1046075" s="24"/>
      <c r="H1046075" s="24"/>
      <c r="I1046075" s="24"/>
      <c r="J1046075" s="24"/>
      <c r="K1046075" s="54"/>
    </row>
    <row r="1046076" spans="1:11" s="55" customFormat="1" ht="12.75">
      <c r="A1046076" s="24"/>
      <c r="B1046076" s="24"/>
      <c r="C1046076" s="24"/>
      <c r="D1046076" s="24"/>
      <c r="E1046076" s="24"/>
      <c r="F1046076" s="24"/>
      <c r="G1046076" s="24"/>
      <c r="H1046076" s="24"/>
      <c r="I1046076" s="24"/>
      <c r="J1046076" s="24"/>
      <c r="K1046076" s="54"/>
    </row>
    <row r="1046077" spans="1:11" s="55" customFormat="1" ht="12.75">
      <c r="A1046077" s="24"/>
      <c r="B1046077" s="24"/>
      <c r="C1046077" s="24"/>
      <c r="D1046077" s="24"/>
      <c r="E1046077" s="24"/>
      <c r="F1046077" s="24"/>
      <c r="G1046077" s="24"/>
      <c r="H1046077" s="24"/>
      <c r="I1046077" s="24"/>
      <c r="J1046077" s="24"/>
      <c r="K1046077" s="54"/>
    </row>
    <row r="1046078" spans="1:11" s="55" customFormat="1" ht="12.75">
      <c r="A1046078" s="24"/>
      <c r="B1046078" s="24"/>
      <c r="C1046078" s="24"/>
      <c r="D1046078" s="24"/>
      <c r="E1046078" s="24"/>
      <c r="F1046078" s="24"/>
      <c r="G1046078" s="24"/>
      <c r="H1046078" s="24"/>
      <c r="I1046078" s="24"/>
      <c r="J1046078" s="24"/>
      <c r="K1046078" s="54"/>
    </row>
    <row r="1046079" spans="1:11" s="55" customFormat="1" ht="12.75">
      <c r="A1046079" s="24"/>
      <c r="B1046079" s="24"/>
      <c r="C1046079" s="24"/>
      <c r="D1046079" s="24"/>
      <c r="E1046079" s="24"/>
      <c r="F1046079" s="24"/>
      <c r="G1046079" s="24"/>
      <c r="H1046079" s="24"/>
      <c r="I1046079" s="24"/>
      <c r="J1046079" s="24"/>
      <c r="K1046079" s="54"/>
    </row>
    <row r="1046080" spans="1:11" s="55" customFormat="1" ht="12.75">
      <c r="A1046080" s="24"/>
      <c r="B1046080" s="24"/>
      <c r="C1046080" s="24"/>
      <c r="D1046080" s="24"/>
      <c r="E1046080" s="24"/>
      <c r="F1046080" s="24"/>
      <c r="G1046080" s="24"/>
      <c r="H1046080" s="24"/>
      <c r="I1046080" s="24"/>
      <c r="J1046080" s="24"/>
      <c r="K1046080" s="54"/>
    </row>
    <row r="1046081" spans="1:11" s="55" customFormat="1" ht="12.75">
      <c r="A1046081" s="24"/>
      <c r="B1046081" s="24"/>
      <c r="C1046081" s="24"/>
      <c r="D1046081" s="24"/>
      <c r="E1046081" s="24"/>
      <c r="F1046081" s="24"/>
      <c r="G1046081" s="24"/>
      <c r="H1046081" s="24"/>
      <c r="I1046081" s="24"/>
      <c r="J1046081" s="24"/>
      <c r="K1046081" s="54"/>
    </row>
    <row r="1046082" spans="1:11" s="55" customFormat="1" ht="12.75">
      <c r="A1046082" s="24"/>
      <c r="B1046082" s="24"/>
      <c r="C1046082" s="24"/>
      <c r="D1046082" s="24"/>
      <c r="E1046082" s="24"/>
      <c r="F1046082" s="24"/>
      <c r="G1046082" s="24"/>
      <c r="H1046082" s="24"/>
      <c r="I1046082" s="24"/>
      <c r="J1046082" s="24"/>
      <c r="K1046082" s="54"/>
    </row>
    <row r="1046083" spans="1:11" s="55" customFormat="1" ht="12.75">
      <c r="A1046083" s="24"/>
      <c r="B1046083" s="24"/>
      <c r="C1046083" s="24"/>
      <c r="D1046083" s="24"/>
      <c r="E1046083" s="24"/>
      <c r="F1046083" s="24"/>
      <c r="G1046083" s="24"/>
      <c r="H1046083" s="24"/>
      <c r="I1046083" s="24"/>
      <c r="J1046083" s="24"/>
      <c r="K1046083" s="54"/>
    </row>
    <row r="1046084" spans="1:11" s="55" customFormat="1" ht="12.75">
      <c r="A1046084" s="24"/>
      <c r="B1046084" s="24"/>
      <c r="C1046084" s="24"/>
      <c r="D1046084" s="24"/>
      <c r="E1046084" s="24"/>
      <c r="F1046084" s="24"/>
      <c r="G1046084" s="24"/>
      <c r="H1046084" s="24"/>
      <c r="I1046084" s="24"/>
      <c r="J1046084" s="24"/>
      <c r="K1046084" s="54"/>
    </row>
    <row r="1046085" spans="1:11" s="55" customFormat="1" ht="12.75">
      <c r="A1046085" s="24"/>
      <c r="B1046085" s="24"/>
      <c r="C1046085" s="24"/>
      <c r="D1046085" s="24"/>
      <c r="E1046085" s="24"/>
      <c r="F1046085" s="24"/>
      <c r="G1046085" s="24"/>
      <c r="H1046085" s="24"/>
      <c r="I1046085" s="24"/>
      <c r="J1046085" s="24"/>
      <c r="K1046085" s="54"/>
    </row>
    <row r="1046086" spans="1:11" s="55" customFormat="1" ht="12.75">
      <c r="A1046086" s="24"/>
      <c r="B1046086" s="24"/>
      <c r="C1046086" s="24"/>
      <c r="D1046086" s="24"/>
      <c r="E1046086" s="24"/>
      <c r="F1046086" s="24"/>
      <c r="G1046086" s="24"/>
      <c r="H1046086" s="24"/>
      <c r="I1046086" s="24"/>
      <c r="J1046086" s="24"/>
      <c r="K1046086" s="54"/>
    </row>
    <row r="1046087" spans="1:11" s="55" customFormat="1" ht="12.75">
      <c r="A1046087" s="24"/>
      <c r="B1046087" s="24"/>
      <c r="C1046087" s="24"/>
      <c r="D1046087" s="24"/>
      <c r="E1046087" s="24"/>
      <c r="F1046087" s="24"/>
      <c r="G1046087" s="24"/>
      <c r="H1046087" s="24"/>
      <c r="I1046087" s="24"/>
      <c r="J1046087" s="24"/>
      <c r="K1046087" s="54"/>
    </row>
    <row r="1046088" spans="1:11" s="55" customFormat="1" ht="12.75">
      <c r="A1046088" s="24"/>
      <c r="B1046088" s="24"/>
      <c r="C1046088" s="24"/>
      <c r="D1046088" s="24"/>
      <c r="E1046088" s="24"/>
      <c r="F1046088" s="24"/>
      <c r="G1046088" s="24"/>
      <c r="H1046088" s="24"/>
      <c r="I1046088" s="24"/>
      <c r="J1046088" s="24"/>
      <c r="K1046088" s="54"/>
    </row>
    <row r="1046089" spans="1:11" s="55" customFormat="1" ht="12.75">
      <c r="A1046089" s="24"/>
      <c r="B1046089" s="24"/>
      <c r="C1046089" s="24"/>
      <c r="D1046089" s="24"/>
      <c r="E1046089" s="24"/>
      <c r="F1046089" s="24"/>
      <c r="G1046089" s="24"/>
      <c r="H1046089" s="24"/>
      <c r="I1046089" s="24"/>
      <c r="J1046089" s="24"/>
      <c r="K1046089" s="54"/>
    </row>
    <row r="1046090" spans="1:11" s="55" customFormat="1" ht="12.75">
      <c r="A1046090" s="24"/>
      <c r="B1046090" s="24"/>
      <c r="C1046090" s="24"/>
      <c r="D1046090" s="24"/>
      <c r="E1046090" s="24"/>
      <c r="F1046090" s="24"/>
      <c r="G1046090" s="24"/>
      <c r="H1046090" s="24"/>
      <c r="I1046090" s="24"/>
      <c r="J1046090" s="24"/>
      <c r="K1046090" s="54"/>
    </row>
    <row r="1046091" spans="1:11" s="55" customFormat="1" ht="12.75">
      <c r="A1046091" s="24"/>
      <c r="B1046091" s="24"/>
      <c r="C1046091" s="24"/>
      <c r="D1046091" s="24"/>
      <c r="E1046091" s="24"/>
      <c r="F1046091" s="24"/>
      <c r="G1046091" s="24"/>
      <c r="H1046091" s="24"/>
      <c r="I1046091" s="24"/>
      <c r="J1046091" s="24"/>
      <c r="K1046091" s="54"/>
    </row>
    <row r="1046092" spans="1:11" s="55" customFormat="1" ht="12.75">
      <c r="A1046092" s="24"/>
      <c r="B1046092" s="24"/>
      <c r="C1046092" s="24"/>
      <c r="D1046092" s="24"/>
      <c r="E1046092" s="24"/>
      <c r="F1046092" s="24"/>
      <c r="G1046092" s="24"/>
      <c r="H1046092" s="24"/>
      <c r="I1046092" s="24"/>
      <c r="J1046092" s="24"/>
      <c r="K1046092" s="54"/>
    </row>
    <row r="1046093" spans="1:11" s="55" customFormat="1" ht="12.75">
      <c r="A1046093" s="24"/>
      <c r="B1046093" s="24"/>
      <c r="C1046093" s="24"/>
      <c r="D1046093" s="24"/>
      <c r="E1046093" s="24"/>
      <c r="F1046093" s="24"/>
      <c r="G1046093" s="24"/>
      <c r="H1046093" s="24"/>
      <c r="I1046093" s="24"/>
      <c r="J1046093" s="24"/>
      <c r="K1046093" s="54"/>
    </row>
    <row r="1046094" spans="1:11" s="55" customFormat="1" ht="12.75">
      <c r="A1046094" s="24"/>
      <c r="B1046094" s="24"/>
      <c r="C1046094" s="24"/>
      <c r="D1046094" s="24"/>
      <c r="E1046094" s="24"/>
      <c r="F1046094" s="24"/>
      <c r="G1046094" s="24"/>
      <c r="H1046094" s="24"/>
      <c r="I1046094" s="24"/>
      <c r="J1046094" s="24"/>
      <c r="K1046094" s="54"/>
    </row>
    <row r="1046095" spans="1:11" s="55" customFormat="1" ht="12.75">
      <c r="A1046095" s="24"/>
      <c r="B1046095" s="24"/>
      <c r="C1046095" s="24"/>
      <c r="D1046095" s="24"/>
      <c r="E1046095" s="24"/>
      <c r="F1046095" s="24"/>
      <c r="G1046095" s="24"/>
      <c r="H1046095" s="24"/>
      <c r="I1046095" s="24"/>
      <c r="J1046095" s="24"/>
      <c r="K1046095" s="54"/>
    </row>
    <row r="1046096" spans="1:11" s="55" customFormat="1" ht="12.75">
      <c r="A1046096" s="24"/>
      <c r="B1046096" s="24"/>
      <c r="C1046096" s="24"/>
      <c r="D1046096" s="24"/>
      <c r="E1046096" s="24"/>
      <c r="F1046096" s="24"/>
      <c r="G1046096" s="24"/>
      <c r="H1046096" s="24"/>
      <c r="I1046096" s="24"/>
      <c r="J1046096" s="24"/>
      <c r="K1046096" s="54"/>
    </row>
    <row r="1046097" spans="1:11" s="55" customFormat="1" ht="12.75">
      <c r="A1046097" s="24"/>
      <c r="B1046097" s="24"/>
      <c r="C1046097" s="24"/>
      <c r="D1046097" s="24"/>
      <c r="E1046097" s="24"/>
      <c r="F1046097" s="24"/>
      <c r="G1046097" s="24"/>
      <c r="H1046097" s="24"/>
      <c r="I1046097" s="24"/>
      <c r="J1046097" s="24"/>
      <c r="K1046097" s="54"/>
    </row>
    <row r="1046098" spans="1:11" s="55" customFormat="1" ht="12.75">
      <c r="A1046098" s="24"/>
      <c r="B1046098" s="24"/>
      <c r="C1046098" s="24"/>
      <c r="D1046098" s="24"/>
      <c r="E1046098" s="24"/>
      <c r="F1046098" s="24"/>
      <c r="G1046098" s="24"/>
      <c r="H1046098" s="24"/>
      <c r="I1046098" s="24"/>
      <c r="J1046098" s="24"/>
      <c r="K1046098" s="54"/>
    </row>
    <row r="1046099" spans="1:11" s="55" customFormat="1" ht="12.75">
      <c r="A1046099" s="24"/>
      <c r="B1046099" s="24"/>
      <c r="C1046099" s="24"/>
      <c r="D1046099" s="24"/>
      <c r="E1046099" s="24"/>
      <c r="F1046099" s="24"/>
      <c r="G1046099" s="24"/>
      <c r="H1046099" s="24"/>
      <c r="I1046099" s="24"/>
      <c r="J1046099" s="24"/>
      <c r="K1046099" s="54"/>
    </row>
    <row r="1046100" spans="1:11" s="55" customFormat="1" ht="12.75">
      <c r="A1046100" s="24"/>
      <c r="B1046100" s="24"/>
      <c r="C1046100" s="24"/>
      <c r="D1046100" s="24"/>
      <c r="E1046100" s="24"/>
      <c r="F1046100" s="24"/>
      <c r="G1046100" s="24"/>
      <c r="H1046100" s="24"/>
      <c r="I1046100" s="24"/>
      <c r="J1046100" s="24"/>
      <c r="K1046100" s="54"/>
    </row>
    <row r="1046101" spans="1:11" s="55" customFormat="1" ht="12.75">
      <c r="A1046101" s="24"/>
      <c r="B1046101" s="24"/>
      <c r="C1046101" s="24"/>
      <c r="D1046101" s="24"/>
      <c r="E1046101" s="24"/>
      <c r="F1046101" s="24"/>
      <c r="G1046101" s="24"/>
      <c r="H1046101" s="24"/>
      <c r="I1046101" s="24"/>
      <c r="J1046101" s="24"/>
      <c r="K1046101" s="54"/>
    </row>
    <row r="1046102" spans="1:11" s="55" customFormat="1" ht="12.75">
      <c r="A1046102" s="24"/>
      <c r="B1046102" s="24"/>
      <c r="C1046102" s="24"/>
      <c r="D1046102" s="24"/>
      <c r="E1046102" s="24"/>
      <c r="F1046102" s="24"/>
      <c r="G1046102" s="24"/>
      <c r="H1046102" s="24"/>
      <c r="I1046102" s="24"/>
      <c r="J1046102" s="24"/>
      <c r="K1046102" s="54"/>
    </row>
    <row r="1046103" spans="1:11" s="55" customFormat="1" ht="12.75">
      <c r="A1046103" s="24"/>
      <c r="B1046103" s="24"/>
      <c r="C1046103" s="24"/>
      <c r="D1046103" s="24"/>
      <c r="E1046103" s="24"/>
      <c r="F1046103" s="24"/>
      <c r="G1046103" s="24"/>
      <c r="H1046103" s="24"/>
      <c r="I1046103" s="24"/>
      <c r="J1046103" s="24"/>
      <c r="K1046103" s="54"/>
    </row>
    <row r="1046104" spans="1:11" s="55" customFormat="1" ht="12.75">
      <c r="A1046104" s="24"/>
      <c r="B1046104" s="24"/>
      <c r="C1046104" s="24"/>
      <c r="D1046104" s="24"/>
      <c r="E1046104" s="24"/>
      <c r="F1046104" s="24"/>
      <c r="G1046104" s="24"/>
      <c r="H1046104" s="24"/>
      <c r="I1046104" s="24"/>
      <c r="J1046104" s="24"/>
      <c r="K1046104" s="54"/>
    </row>
    <row r="1046105" spans="1:11" s="55" customFormat="1" ht="12.75">
      <c r="A1046105" s="24"/>
      <c r="B1046105" s="24"/>
      <c r="C1046105" s="24"/>
      <c r="D1046105" s="24"/>
      <c r="E1046105" s="24"/>
      <c r="F1046105" s="24"/>
      <c r="G1046105" s="24"/>
      <c r="H1046105" s="24"/>
      <c r="I1046105" s="24"/>
      <c r="J1046105" s="24"/>
      <c r="K1046105" s="54"/>
    </row>
    <row r="1046106" spans="1:11" s="55" customFormat="1" ht="12.75">
      <c r="A1046106" s="24"/>
      <c r="B1046106" s="24"/>
      <c r="C1046106" s="24"/>
      <c r="D1046106" s="24"/>
      <c r="E1046106" s="24"/>
      <c r="F1046106" s="24"/>
      <c r="G1046106" s="24"/>
      <c r="H1046106" s="24"/>
      <c r="I1046106" s="24"/>
      <c r="J1046106" s="24"/>
      <c r="K1046106" s="54"/>
    </row>
    <row r="1046107" spans="1:11" s="55" customFormat="1" ht="12.75">
      <c r="A1046107" s="24"/>
      <c r="B1046107" s="24"/>
      <c r="C1046107" s="24"/>
      <c r="D1046107" s="24"/>
      <c r="E1046107" s="24"/>
      <c r="F1046107" s="24"/>
      <c r="G1046107" s="24"/>
      <c r="H1046107" s="24"/>
      <c r="I1046107" s="24"/>
      <c r="J1046107" s="24"/>
      <c r="K1046107" s="54"/>
    </row>
    <row r="1046108" spans="1:11" s="55" customFormat="1" ht="12.75">
      <c r="A1046108" s="24"/>
      <c r="B1046108" s="24"/>
      <c r="C1046108" s="24"/>
      <c r="D1046108" s="24"/>
      <c r="E1046108" s="24"/>
      <c r="F1046108" s="24"/>
      <c r="G1046108" s="24"/>
      <c r="H1046108" s="24"/>
      <c r="I1046108" s="24"/>
      <c r="J1046108" s="24"/>
      <c r="K1046108" s="54"/>
    </row>
    <row r="1046109" spans="1:11" s="55" customFormat="1" ht="12.75">
      <c r="A1046109" s="24"/>
      <c r="B1046109" s="24"/>
      <c r="C1046109" s="24"/>
      <c r="D1046109" s="24"/>
      <c r="E1046109" s="24"/>
      <c r="F1046109" s="24"/>
      <c r="G1046109" s="24"/>
      <c r="H1046109" s="24"/>
      <c r="I1046109" s="24"/>
      <c r="J1046109" s="24"/>
      <c r="K1046109" s="54"/>
    </row>
    <row r="1046110" spans="1:11" s="55" customFormat="1" ht="12.75">
      <c r="A1046110" s="24"/>
      <c r="B1046110" s="24"/>
      <c r="C1046110" s="24"/>
      <c r="D1046110" s="24"/>
      <c r="E1046110" s="24"/>
      <c r="F1046110" s="24"/>
      <c r="G1046110" s="24"/>
      <c r="H1046110" s="24"/>
      <c r="I1046110" s="24"/>
      <c r="J1046110" s="24"/>
      <c r="K1046110" s="54"/>
    </row>
    <row r="1046111" spans="1:11" s="55" customFormat="1" ht="12.75">
      <c r="A1046111" s="24"/>
      <c r="B1046111" s="24"/>
      <c r="C1046111" s="24"/>
      <c r="D1046111" s="24"/>
      <c r="E1046111" s="24"/>
      <c r="F1046111" s="24"/>
      <c r="G1046111" s="24"/>
      <c r="H1046111" s="24"/>
      <c r="I1046111" s="24"/>
      <c r="J1046111" s="24"/>
      <c r="K1046111" s="54"/>
    </row>
    <row r="1046112" spans="1:11" s="55" customFormat="1" ht="12.75">
      <c r="A1046112" s="24"/>
      <c r="B1046112" s="24"/>
      <c r="C1046112" s="24"/>
      <c r="D1046112" s="24"/>
      <c r="E1046112" s="24"/>
      <c r="F1046112" s="24"/>
      <c r="G1046112" s="24"/>
      <c r="H1046112" s="24"/>
      <c r="I1046112" s="24"/>
      <c r="J1046112" s="24"/>
      <c r="K1046112" s="54"/>
    </row>
    <row r="1046113" spans="1:11" s="55" customFormat="1" ht="12.75">
      <c r="A1046113" s="24"/>
      <c r="B1046113" s="24"/>
      <c r="C1046113" s="24"/>
      <c r="D1046113" s="24"/>
      <c r="E1046113" s="24"/>
      <c r="F1046113" s="24"/>
      <c r="G1046113" s="24"/>
      <c r="H1046113" s="24"/>
      <c r="I1046113" s="24"/>
      <c r="J1046113" s="24"/>
      <c r="K1046113" s="54"/>
    </row>
    <row r="1046114" spans="1:11" s="55" customFormat="1" ht="12.75">
      <c r="A1046114" s="24"/>
      <c r="B1046114" s="24"/>
      <c r="C1046114" s="24"/>
      <c r="D1046114" s="24"/>
      <c r="E1046114" s="24"/>
      <c r="F1046114" s="24"/>
      <c r="G1046114" s="24"/>
      <c r="H1046114" s="24"/>
      <c r="I1046114" s="24"/>
      <c r="J1046114" s="24"/>
      <c r="K1046114" s="54"/>
    </row>
    <row r="1046115" spans="1:11" s="55" customFormat="1" ht="12.75">
      <c r="A1046115" s="24"/>
      <c r="B1046115" s="24"/>
      <c r="C1046115" s="24"/>
      <c r="D1046115" s="24"/>
      <c r="E1046115" s="24"/>
      <c r="F1046115" s="24"/>
      <c r="G1046115" s="24"/>
      <c r="H1046115" s="24"/>
      <c r="I1046115" s="24"/>
      <c r="J1046115" s="24"/>
      <c r="K1046115" s="54"/>
    </row>
    <row r="1046116" spans="1:11" s="55" customFormat="1" ht="12.75">
      <c r="A1046116" s="24"/>
      <c r="B1046116" s="24"/>
      <c r="C1046116" s="24"/>
      <c r="D1046116" s="24"/>
      <c r="E1046116" s="24"/>
      <c r="F1046116" s="24"/>
      <c r="G1046116" s="24"/>
      <c r="H1046116" s="24"/>
      <c r="I1046116" s="24"/>
      <c r="J1046116" s="24"/>
      <c r="K1046116" s="54"/>
    </row>
    <row r="1046117" spans="1:11" s="55" customFormat="1" ht="12.75">
      <c r="A1046117" s="24"/>
      <c r="B1046117" s="24"/>
      <c r="C1046117" s="24"/>
      <c r="D1046117" s="24"/>
      <c r="E1046117" s="24"/>
      <c r="F1046117" s="24"/>
      <c r="G1046117" s="24"/>
      <c r="H1046117" s="24"/>
      <c r="I1046117" s="24"/>
      <c r="J1046117" s="24"/>
      <c r="K1046117" s="54"/>
    </row>
    <row r="1046118" spans="1:11" s="55" customFormat="1" ht="12.75">
      <c r="A1046118" s="24"/>
      <c r="B1046118" s="24"/>
      <c r="C1046118" s="24"/>
      <c r="D1046118" s="24"/>
      <c r="E1046118" s="24"/>
      <c r="F1046118" s="24"/>
      <c r="G1046118" s="24"/>
      <c r="H1046118" s="24"/>
      <c r="I1046118" s="24"/>
      <c r="J1046118" s="24"/>
      <c r="K1046118" s="54"/>
    </row>
    <row r="1046119" spans="1:11" s="55" customFormat="1" ht="12.75">
      <c r="A1046119" s="24"/>
      <c r="B1046119" s="24"/>
      <c r="C1046119" s="24"/>
      <c r="D1046119" s="24"/>
      <c r="E1046119" s="24"/>
      <c r="F1046119" s="24"/>
      <c r="G1046119" s="24"/>
      <c r="H1046119" s="24"/>
      <c r="I1046119" s="24"/>
      <c r="J1046119" s="24"/>
      <c r="K1046119" s="54"/>
    </row>
    <row r="1046120" spans="1:11" s="55" customFormat="1" ht="12.75">
      <c r="A1046120" s="24"/>
      <c r="B1046120" s="24"/>
      <c r="C1046120" s="24"/>
      <c r="D1046120" s="24"/>
      <c r="E1046120" s="24"/>
      <c r="F1046120" s="24"/>
      <c r="G1046120" s="24"/>
      <c r="H1046120" s="24"/>
      <c r="I1046120" s="24"/>
      <c r="J1046120" s="24"/>
      <c r="K1046120" s="54"/>
    </row>
    <row r="1046121" spans="1:11" s="55" customFormat="1" ht="12.75">
      <c r="A1046121" s="24"/>
      <c r="B1046121" s="24"/>
      <c r="C1046121" s="24"/>
      <c r="D1046121" s="24"/>
      <c r="E1046121" s="24"/>
      <c r="F1046121" s="24"/>
      <c r="G1046121" s="24"/>
      <c r="H1046121" s="24"/>
      <c r="I1046121" s="24"/>
      <c r="J1046121" s="24"/>
      <c r="K1046121" s="54"/>
    </row>
    <row r="1046122" spans="1:11" s="55" customFormat="1" ht="12.75">
      <c r="A1046122" s="24"/>
      <c r="B1046122" s="24"/>
      <c r="C1046122" s="24"/>
      <c r="D1046122" s="24"/>
      <c r="E1046122" s="24"/>
      <c r="F1046122" s="24"/>
      <c r="G1046122" s="24"/>
      <c r="H1046122" s="24"/>
      <c r="I1046122" s="24"/>
      <c r="J1046122" s="24"/>
      <c r="K1046122" s="54"/>
    </row>
    <row r="1046123" spans="1:11" s="55" customFormat="1" ht="12.75">
      <c r="A1046123" s="24"/>
      <c r="B1046123" s="24"/>
      <c r="C1046123" s="24"/>
      <c r="D1046123" s="24"/>
      <c r="E1046123" s="24"/>
      <c r="F1046123" s="24"/>
      <c r="G1046123" s="24"/>
      <c r="H1046123" s="24"/>
      <c r="I1046123" s="24"/>
      <c r="J1046123" s="24"/>
      <c r="K1046123" s="54"/>
    </row>
    <row r="1046124" spans="1:11" s="55" customFormat="1" ht="12.75">
      <c r="A1046124" s="24"/>
      <c r="B1046124" s="24"/>
      <c r="C1046124" s="24"/>
      <c r="D1046124" s="24"/>
      <c r="E1046124" s="24"/>
      <c r="F1046124" s="24"/>
      <c r="G1046124" s="24"/>
      <c r="H1046124" s="24"/>
      <c r="I1046124" s="24"/>
      <c r="J1046124" s="24"/>
      <c r="K1046124" s="54"/>
    </row>
    <row r="1046125" spans="1:11" s="55" customFormat="1" ht="12.75">
      <c r="A1046125" s="24"/>
      <c r="B1046125" s="24"/>
      <c r="C1046125" s="24"/>
      <c r="D1046125" s="24"/>
      <c r="E1046125" s="24"/>
      <c r="F1046125" s="24"/>
      <c r="G1046125" s="24"/>
      <c r="H1046125" s="24"/>
      <c r="I1046125" s="24"/>
      <c r="J1046125" s="24"/>
      <c r="K1046125" s="54"/>
    </row>
    <row r="1046126" spans="1:11" s="55" customFormat="1" ht="12.75">
      <c r="A1046126" s="24"/>
      <c r="B1046126" s="24"/>
      <c r="C1046126" s="24"/>
      <c r="D1046126" s="24"/>
      <c r="E1046126" s="24"/>
      <c r="F1046126" s="24"/>
      <c r="G1046126" s="24"/>
      <c r="H1046126" s="24"/>
      <c r="I1046126" s="24"/>
      <c r="J1046126" s="24"/>
      <c r="K1046126" s="54"/>
    </row>
    <row r="1046127" spans="1:11" s="55" customFormat="1" ht="12.75">
      <c r="A1046127" s="24"/>
      <c r="B1046127" s="24"/>
      <c r="C1046127" s="24"/>
      <c r="D1046127" s="24"/>
      <c r="E1046127" s="24"/>
      <c r="F1046127" s="24"/>
      <c r="G1046127" s="24"/>
      <c r="H1046127" s="24"/>
      <c r="I1046127" s="24"/>
      <c r="J1046127" s="24"/>
      <c r="K1046127" s="54"/>
    </row>
    <row r="1046128" spans="1:11" s="55" customFormat="1" ht="12.75">
      <c r="A1046128" s="24"/>
      <c r="B1046128" s="24"/>
      <c r="C1046128" s="24"/>
      <c r="D1046128" s="24"/>
      <c r="E1046128" s="24"/>
      <c r="F1046128" s="24"/>
      <c r="G1046128" s="24"/>
      <c r="H1046128" s="24"/>
      <c r="I1046128" s="24"/>
      <c r="J1046128" s="24"/>
      <c r="K1046128" s="54"/>
    </row>
    <row r="1046129" spans="1:11" s="55" customFormat="1" ht="12.75">
      <c r="A1046129" s="24"/>
      <c r="B1046129" s="24"/>
      <c r="C1046129" s="24"/>
      <c r="D1046129" s="24"/>
      <c r="E1046129" s="24"/>
      <c r="F1046129" s="24"/>
      <c r="G1046129" s="24"/>
      <c r="H1046129" s="24"/>
      <c r="I1046129" s="24"/>
      <c r="J1046129" s="24"/>
      <c r="K1046129" s="54"/>
    </row>
    <row r="1046130" spans="1:11" s="55" customFormat="1" ht="12.75">
      <c r="A1046130" s="24"/>
      <c r="B1046130" s="24"/>
      <c r="C1046130" s="24"/>
      <c r="D1046130" s="24"/>
      <c r="E1046130" s="24"/>
      <c r="F1046130" s="24"/>
      <c r="G1046130" s="24"/>
      <c r="H1046130" s="24"/>
      <c r="I1046130" s="24"/>
      <c r="J1046130" s="24"/>
      <c r="K1046130" s="54"/>
    </row>
    <row r="1046131" spans="1:11" s="55" customFormat="1" ht="12.75">
      <c r="A1046131" s="24"/>
      <c r="B1046131" s="24"/>
      <c r="C1046131" s="24"/>
      <c r="D1046131" s="24"/>
      <c r="E1046131" s="24"/>
      <c r="F1046131" s="24"/>
      <c r="G1046131" s="24"/>
      <c r="H1046131" s="24"/>
      <c r="I1046131" s="24"/>
      <c r="J1046131" s="24"/>
      <c r="K1046131" s="54"/>
    </row>
    <row r="1046132" spans="1:11" s="55" customFormat="1" ht="12.75">
      <c r="A1046132" s="24"/>
      <c r="B1046132" s="24"/>
      <c r="C1046132" s="24"/>
      <c r="D1046132" s="24"/>
      <c r="E1046132" s="24"/>
      <c r="F1046132" s="24"/>
      <c r="G1046132" s="24"/>
      <c r="H1046132" s="24"/>
      <c r="I1046132" s="24"/>
      <c r="J1046132" s="24"/>
      <c r="K1046132" s="54"/>
    </row>
    <row r="1046133" spans="1:11" s="55" customFormat="1" ht="12.75">
      <c r="A1046133" s="24"/>
      <c r="B1046133" s="24"/>
      <c r="C1046133" s="24"/>
      <c r="D1046133" s="24"/>
      <c r="E1046133" s="24"/>
      <c r="F1046133" s="24"/>
      <c r="G1046133" s="24"/>
      <c r="H1046133" s="24"/>
      <c r="I1046133" s="24"/>
      <c r="J1046133" s="24"/>
      <c r="K1046133" s="54"/>
    </row>
    <row r="1046134" spans="1:11" s="55" customFormat="1" ht="12.75">
      <c r="A1046134" s="24"/>
      <c r="B1046134" s="24"/>
      <c r="C1046134" s="24"/>
      <c r="D1046134" s="24"/>
      <c r="E1046134" s="24"/>
      <c r="F1046134" s="24"/>
      <c r="G1046134" s="24"/>
      <c r="H1046134" s="24"/>
      <c r="I1046134" s="24"/>
      <c r="J1046134" s="24"/>
      <c r="K1046134" s="54"/>
    </row>
    <row r="1046135" spans="1:11" s="55" customFormat="1" ht="12.75">
      <c r="A1046135" s="24"/>
      <c r="B1046135" s="24"/>
      <c r="C1046135" s="24"/>
      <c r="D1046135" s="24"/>
      <c r="E1046135" s="24"/>
      <c r="F1046135" s="24"/>
      <c r="G1046135" s="24"/>
      <c r="H1046135" s="24"/>
      <c r="I1046135" s="24"/>
      <c r="J1046135" s="24"/>
      <c r="K1046135" s="54"/>
    </row>
    <row r="1046136" spans="1:11" s="55" customFormat="1" ht="12.75">
      <c r="A1046136" s="24"/>
      <c r="B1046136" s="24"/>
      <c r="C1046136" s="24"/>
      <c r="D1046136" s="24"/>
      <c r="E1046136" s="24"/>
      <c r="F1046136" s="24"/>
      <c r="G1046136" s="24"/>
      <c r="H1046136" s="24"/>
      <c r="I1046136" s="24"/>
      <c r="J1046136" s="24"/>
      <c r="K1046136" s="54"/>
    </row>
    <row r="1046137" spans="1:11" s="55" customFormat="1" ht="12.75">
      <c r="A1046137" s="24"/>
      <c r="B1046137" s="24"/>
      <c r="C1046137" s="24"/>
      <c r="D1046137" s="24"/>
      <c r="E1046137" s="24"/>
      <c r="F1046137" s="24"/>
      <c r="G1046137" s="24"/>
      <c r="H1046137" s="24"/>
      <c r="I1046137" s="24"/>
      <c r="J1046137" s="24"/>
      <c r="K1046137" s="54"/>
    </row>
    <row r="1046138" spans="1:11" s="55" customFormat="1" ht="12.75">
      <c r="A1046138" s="24"/>
      <c r="B1046138" s="24"/>
      <c r="C1046138" s="24"/>
      <c r="D1046138" s="24"/>
      <c r="E1046138" s="24"/>
      <c r="F1046138" s="24"/>
      <c r="G1046138" s="24"/>
      <c r="H1046138" s="24"/>
      <c r="I1046138" s="24"/>
      <c r="J1046138" s="24"/>
      <c r="K1046138" s="54"/>
    </row>
    <row r="1046139" spans="1:11" s="55" customFormat="1" ht="12.75">
      <c r="A1046139" s="24"/>
      <c r="B1046139" s="24"/>
      <c r="C1046139" s="24"/>
      <c r="D1046139" s="24"/>
      <c r="E1046139" s="24"/>
      <c r="F1046139" s="24"/>
      <c r="G1046139" s="24"/>
      <c r="H1046139" s="24"/>
      <c r="I1046139" s="24"/>
      <c r="J1046139" s="24"/>
      <c r="K1046139" s="54"/>
    </row>
    <row r="1046140" spans="1:11" s="55" customFormat="1" ht="12.75">
      <c r="A1046140" s="24"/>
      <c r="B1046140" s="24"/>
      <c r="C1046140" s="24"/>
      <c r="D1046140" s="24"/>
      <c r="E1046140" s="24"/>
      <c r="F1046140" s="24"/>
      <c r="G1046140" s="24"/>
      <c r="H1046140" s="24"/>
      <c r="I1046140" s="24"/>
      <c r="J1046140" s="24"/>
      <c r="K1046140" s="54"/>
    </row>
    <row r="1046141" spans="1:11" s="55" customFormat="1" ht="12.75">
      <c r="A1046141" s="24"/>
      <c r="B1046141" s="24"/>
      <c r="C1046141" s="24"/>
      <c r="D1046141" s="24"/>
      <c r="E1046141" s="24"/>
      <c r="F1046141" s="24"/>
      <c r="G1046141" s="24"/>
      <c r="H1046141" s="24"/>
      <c r="I1046141" s="24"/>
      <c r="J1046141" s="24"/>
      <c r="K1046141" s="54"/>
    </row>
    <row r="1046142" spans="1:11" s="55" customFormat="1" ht="12.75">
      <c r="A1046142" s="24"/>
      <c r="B1046142" s="24"/>
      <c r="C1046142" s="24"/>
      <c r="D1046142" s="24"/>
      <c r="E1046142" s="24"/>
      <c r="F1046142" s="24"/>
      <c r="G1046142" s="24"/>
      <c r="H1046142" s="24"/>
      <c r="I1046142" s="24"/>
      <c r="J1046142" s="24"/>
      <c r="K1046142" s="54"/>
    </row>
    <row r="1046143" spans="1:11" s="55" customFormat="1" ht="12.75">
      <c r="A1046143" s="24"/>
      <c r="B1046143" s="24"/>
      <c r="C1046143" s="24"/>
      <c r="D1046143" s="24"/>
      <c r="E1046143" s="24"/>
      <c r="F1046143" s="24"/>
      <c r="G1046143" s="24"/>
      <c r="H1046143" s="24"/>
      <c r="I1046143" s="24"/>
      <c r="J1046143" s="24"/>
      <c r="K1046143" s="54"/>
    </row>
    <row r="1046144" spans="1:11" s="55" customFormat="1" ht="12.75">
      <c r="A1046144" s="24"/>
      <c r="B1046144" s="24"/>
      <c r="C1046144" s="24"/>
      <c r="D1046144" s="24"/>
      <c r="E1046144" s="24"/>
      <c r="F1046144" s="24"/>
      <c r="G1046144" s="24"/>
      <c r="H1046144" s="24"/>
      <c r="I1046144" s="24"/>
      <c r="J1046144" s="24"/>
      <c r="K1046144" s="54"/>
    </row>
    <row r="1046145" spans="1:11" s="55" customFormat="1" ht="12.75">
      <c r="A1046145" s="24"/>
      <c r="B1046145" s="24"/>
      <c r="C1046145" s="24"/>
      <c r="D1046145" s="24"/>
      <c r="E1046145" s="24"/>
      <c r="F1046145" s="24"/>
      <c r="G1046145" s="24"/>
      <c r="H1046145" s="24"/>
      <c r="I1046145" s="24"/>
      <c r="J1046145" s="24"/>
      <c r="K1046145" s="54"/>
    </row>
    <row r="1046146" spans="1:11" s="55" customFormat="1" ht="12.75">
      <c r="A1046146" s="24"/>
      <c r="B1046146" s="24"/>
      <c r="C1046146" s="24"/>
      <c r="D1046146" s="24"/>
      <c r="E1046146" s="24"/>
      <c r="F1046146" s="24"/>
      <c r="G1046146" s="24"/>
      <c r="H1046146" s="24"/>
      <c r="I1046146" s="24"/>
      <c r="J1046146" s="24"/>
      <c r="K1046146" s="54"/>
    </row>
    <row r="1046147" spans="1:11" s="55" customFormat="1" ht="12.75">
      <c r="A1046147" s="24"/>
      <c r="B1046147" s="24"/>
      <c r="C1046147" s="24"/>
      <c r="D1046147" s="24"/>
      <c r="E1046147" s="24"/>
      <c r="F1046147" s="24"/>
      <c r="G1046147" s="24"/>
      <c r="H1046147" s="24"/>
      <c r="I1046147" s="24"/>
      <c r="J1046147" s="24"/>
      <c r="K1046147" s="54"/>
    </row>
    <row r="1046148" spans="1:11" s="55" customFormat="1" ht="12.75">
      <c r="A1046148" s="24"/>
      <c r="B1046148" s="24"/>
      <c r="C1046148" s="24"/>
      <c r="D1046148" s="24"/>
      <c r="E1046148" s="24"/>
      <c r="F1046148" s="24"/>
      <c r="G1046148" s="24"/>
      <c r="H1046148" s="24"/>
      <c r="I1046148" s="24"/>
      <c r="J1046148" s="24"/>
      <c r="K1046148" s="54"/>
    </row>
    <row r="1046149" spans="1:11" s="55" customFormat="1" ht="12.75">
      <c r="A1046149" s="24"/>
      <c r="B1046149" s="24"/>
      <c r="C1046149" s="24"/>
      <c r="D1046149" s="24"/>
      <c r="E1046149" s="24"/>
      <c r="F1046149" s="24"/>
      <c r="G1046149" s="24"/>
      <c r="H1046149" s="24"/>
      <c r="I1046149" s="24"/>
      <c r="J1046149" s="24"/>
      <c r="K1046149" s="54"/>
    </row>
    <row r="1046150" spans="1:11" s="55" customFormat="1" ht="12.75">
      <c r="A1046150" s="24"/>
      <c r="B1046150" s="24"/>
      <c r="C1046150" s="24"/>
      <c r="D1046150" s="24"/>
      <c r="E1046150" s="24"/>
      <c r="F1046150" s="24"/>
      <c r="G1046150" s="24"/>
      <c r="H1046150" s="24"/>
      <c r="I1046150" s="24"/>
      <c r="J1046150" s="24"/>
      <c r="K1046150" s="54"/>
    </row>
    <row r="1046151" spans="1:11" s="55" customFormat="1" ht="12.75">
      <c r="A1046151" s="24"/>
      <c r="B1046151" s="24"/>
      <c r="C1046151" s="24"/>
      <c r="D1046151" s="24"/>
      <c r="E1046151" s="24"/>
      <c r="F1046151" s="24"/>
      <c r="G1046151" s="24"/>
      <c r="H1046151" s="24"/>
      <c r="I1046151" s="24"/>
      <c r="J1046151" s="24"/>
      <c r="K1046151" s="54"/>
    </row>
    <row r="1046152" spans="1:11" s="55" customFormat="1" ht="12.75">
      <c r="A1046152" s="24"/>
      <c r="B1046152" s="24"/>
      <c r="C1046152" s="24"/>
      <c r="D1046152" s="24"/>
      <c r="E1046152" s="24"/>
      <c r="F1046152" s="24"/>
      <c r="G1046152" s="24"/>
      <c r="H1046152" s="24"/>
      <c r="I1046152" s="24"/>
      <c r="J1046152" s="24"/>
      <c r="K1046152" s="54"/>
    </row>
    <row r="1046153" spans="1:11" s="55" customFormat="1" ht="12.75">
      <c r="A1046153" s="24"/>
      <c r="B1046153" s="24"/>
      <c r="C1046153" s="24"/>
      <c r="D1046153" s="24"/>
      <c r="E1046153" s="24"/>
      <c r="F1046153" s="24"/>
      <c r="G1046153" s="24"/>
      <c r="H1046153" s="24"/>
      <c r="I1046153" s="24"/>
      <c r="J1046153" s="24"/>
      <c r="K1046153" s="54"/>
    </row>
    <row r="1046154" spans="1:11" s="55" customFormat="1" ht="12.75">
      <c r="A1046154" s="24"/>
      <c r="B1046154" s="24"/>
      <c r="C1046154" s="24"/>
      <c r="D1046154" s="24"/>
      <c r="E1046154" s="24"/>
      <c r="F1046154" s="24"/>
      <c r="G1046154" s="24"/>
      <c r="H1046154" s="24"/>
      <c r="I1046154" s="24"/>
      <c r="J1046154" s="24"/>
      <c r="K1046154" s="54"/>
    </row>
    <row r="1046155" spans="1:11" s="55" customFormat="1" ht="12.75">
      <c r="A1046155" s="24"/>
      <c r="B1046155" s="24"/>
      <c r="C1046155" s="24"/>
      <c r="D1046155" s="24"/>
      <c r="E1046155" s="24"/>
      <c r="F1046155" s="24"/>
      <c r="G1046155" s="24"/>
      <c r="H1046155" s="24"/>
      <c r="I1046155" s="24"/>
      <c r="J1046155" s="24"/>
      <c r="K1046155" s="54"/>
    </row>
    <row r="1046156" spans="1:11" s="55" customFormat="1" ht="12.75">
      <c r="A1046156" s="24"/>
      <c r="B1046156" s="24"/>
      <c r="C1046156" s="24"/>
      <c r="D1046156" s="24"/>
      <c r="E1046156" s="24"/>
      <c r="F1046156" s="24"/>
      <c r="G1046156" s="24"/>
      <c r="H1046156" s="24"/>
      <c r="I1046156" s="24"/>
      <c r="J1046156" s="24"/>
      <c r="K1046156" s="54"/>
    </row>
    <row r="1046157" spans="1:11" s="55" customFormat="1" ht="12.75">
      <c r="A1046157" s="24"/>
      <c r="B1046157" s="24"/>
      <c r="C1046157" s="24"/>
      <c r="D1046157" s="24"/>
      <c r="E1046157" s="24"/>
      <c r="F1046157" s="24"/>
      <c r="G1046157" s="24"/>
      <c r="H1046157" s="24"/>
      <c r="I1046157" s="24"/>
      <c r="J1046157" s="24"/>
      <c r="K1046157" s="54"/>
    </row>
    <row r="1046158" spans="1:11" s="55" customFormat="1" ht="12.75">
      <c r="A1046158" s="24"/>
      <c r="B1046158" s="24"/>
      <c r="C1046158" s="24"/>
      <c r="D1046158" s="24"/>
      <c r="E1046158" s="24"/>
      <c r="F1046158" s="24"/>
      <c r="G1046158" s="24"/>
      <c r="H1046158" s="24"/>
      <c r="I1046158" s="24"/>
      <c r="J1046158" s="24"/>
      <c r="K1046158" s="54"/>
    </row>
    <row r="1046159" spans="1:11" s="55" customFormat="1" ht="12.75">
      <c r="A1046159" s="24"/>
      <c r="B1046159" s="24"/>
      <c r="C1046159" s="24"/>
      <c r="D1046159" s="24"/>
      <c r="E1046159" s="24"/>
      <c r="F1046159" s="24"/>
      <c r="G1046159" s="24"/>
      <c r="H1046159" s="24"/>
      <c r="I1046159" s="24"/>
      <c r="J1046159" s="24"/>
      <c r="K1046159" s="54"/>
    </row>
    <row r="1046160" spans="1:11" s="55" customFormat="1" ht="12.75">
      <c r="A1046160" s="24"/>
      <c r="B1046160" s="24"/>
      <c r="C1046160" s="24"/>
      <c r="D1046160" s="24"/>
      <c r="E1046160" s="24"/>
      <c r="F1046160" s="24"/>
      <c r="G1046160" s="24"/>
      <c r="H1046160" s="24"/>
      <c r="I1046160" s="24"/>
      <c r="J1046160" s="24"/>
      <c r="K1046160" s="54"/>
    </row>
    <row r="1046161" spans="1:11" s="55" customFormat="1" ht="12.75">
      <c r="A1046161" s="24"/>
      <c r="B1046161" s="24"/>
      <c r="C1046161" s="24"/>
      <c r="D1046161" s="24"/>
      <c r="E1046161" s="24"/>
      <c r="F1046161" s="24"/>
      <c r="G1046161" s="24"/>
      <c r="H1046161" s="24"/>
      <c r="I1046161" s="24"/>
      <c r="J1046161" s="24"/>
      <c r="K1046161" s="54"/>
    </row>
    <row r="1046162" spans="1:11" s="55" customFormat="1" ht="12.75">
      <c r="A1046162" s="24"/>
      <c r="B1046162" s="24"/>
      <c r="C1046162" s="24"/>
      <c r="D1046162" s="24"/>
      <c r="E1046162" s="24"/>
      <c r="F1046162" s="24"/>
      <c r="G1046162" s="24"/>
      <c r="H1046162" s="24"/>
      <c r="I1046162" s="24"/>
      <c r="J1046162" s="24"/>
      <c r="K1046162" s="54"/>
    </row>
    <row r="1046163" spans="1:11" s="55" customFormat="1" ht="12.75">
      <c r="A1046163" s="24"/>
      <c r="B1046163" s="24"/>
      <c r="C1046163" s="24"/>
      <c r="D1046163" s="24"/>
      <c r="E1046163" s="24"/>
      <c r="F1046163" s="24"/>
      <c r="G1046163" s="24"/>
      <c r="H1046163" s="24"/>
      <c r="I1046163" s="24"/>
      <c r="J1046163" s="24"/>
      <c r="K1046163" s="54"/>
    </row>
    <row r="1046164" spans="1:11" s="55" customFormat="1" ht="12.75">
      <c r="A1046164" s="24"/>
      <c r="B1046164" s="24"/>
      <c r="C1046164" s="24"/>
      <c r="D1046164" s="24"/>
      <c r="E1046164" s="24"/>
      <c r="F1046164" s="24"/>
      <c r="G1046164" s="24"/>
      <c r="H1046164" s="24"/>
      <c r="I1046164" s="24"/>
      <c r="J1046164" s="24"/>
      <c r="K1046164" s="54"/>
    </row>
    <row r="1046165" spans="1:11" s="55" customFormat="1" ht="12.75">
      <c r="A1046165" s="24"/>
      <c r="B1046165" s="24"/>
      <c r="C1046165" s="24"/>
      <c r="D1046165" s="24"/>
      <c r="E1046165" s="24"/>
      <c r="F1046165" s="24"/>
      <c r="G1046165" s="24"/>
      <c r="H1046165" s="24"/>
      <c r="I1046165" s="24"/>
      <c r="J1046165" s="24"/>
      <c r="K1046165" s="54"/>
    </row>
    <row r="1046166" spans="1:11" s="55" customFormat="1" ht="12.75">
      <c r="A1046166" s="24"/>
      <c r="B1046166" s="24"/>
      <c r="C1046166" s="24"/>
      <c r="D1046166" s="24"/>
      <c r="E1046166" s="24"/>
      <c r="F1046166" s="24"/>
      <c r="G1046166" s="24"/>
      <c r="H1046166" s="24"/>
      <c r="I1046166" s="24"/>
      <c r="J1046166" s="24"/>
      <c r="K1046166" s="54"/>
    </row>
    <row r="1046167" spans="1:11" s="55" customFormat="1" ht="12.75">
      <c r="A1046167" s="24"/>
      <c r="B1046167" s="24"/>
      <c r="C1046167" s="24"/>
      <c r="D1046167" s="24"/>
      <c r="E1046167" s="24"/>
      <c r="F1046167" s="24"/>
      <c r="G1046167" s="24"/>
      <c r="H1046167" s="24"/>
      <c r="I1046167" s="24"/>
      <c r="J1046167" s="24"/>
      <c r="K1046167" s="54"/>
    </row>
    <row r="1046168" spans="1:11" s="55" customFormat="1" ht="12.75">
      <c r="A1046168" s="24"/>
      <c r="B1046168" s="24"/>
      <c r="C1046168" s="24"/>
      <c r="D1046168" s="24"/>
      <c r="E1046168" s="24"/>
      <c r="F1046168" s="24"/>
      <c r="G1046168" s="24"/>
      <c r="H1046168" s="24"/>
      <c r="I1046168" s="24"/>
      <c r="J1046168" s="24"/>
      <c r="K1046168" s="54"/>
    </row>
    <row r="1046169" spans="1:11" s="55" customFormat="1" ht="12.75">
      <c r="A1046169" s="24"/>
      <c r="B1046169" s="24"/>
      <c r="C1046169" s="24"/>
      <c r="D1046169" s="24"/>
      <c r="E1046169" s="24"/>
      <c r="F1046169" s="24"/>
      <c r="G1046169" s="24"/>
      <c r="H1046169" s="24"/>
      <c r="I1046169" s="24"/>
      <c r="J1046169" s="24"/>
      <c r="K1046169" s="54"/>
    </row>
    <row r="1046170" spans="1:11" s="55" customFormat="1" ht="12.75">
      <c r="A1046170" s="24"/>
      <c r="B1046170" s="24"/>
      <c r="C1046170" s="24"/>
      <c r="D1046170" s="24"/>
      <c r="E1046170" s="24"/>
      <c r="F1046170" s="24"/>
      <c r="G1046170" s="24"/>
      <c r="H1046170" s="24"/>
      <c r="I1046170" s="24"/>
      <c r="J1046170" s="24"/>
      <c r="K1046170" s="54"/>
    </row>
    <row r="1046171" spans="1:11" s="55" customFormat="1" ht="12.75">
      <c r="A1046171" s="24"/>
      <c r="B1046171" s="24"/>
      <c r="C1046171" s="24"/>
      <c r="D1046171" s="24"/>
      <c r="E1046171" s="24"/>
      <c r="F1046171" s="24"/>
      <c r="G1046171" s="24"/>
      <c r="H1046171" s="24"/>
      <c r="I1046171" s="24"/>
      <c r="J1046171" s="24"/>
      <c r="K1046171" s="54"/>
    </row>
    <row r="1046172" spans="1:11" s="55" customFormat="1" ht="12.75">
      <c r="A1046172" s="24"/>
      <c r="B1046172" s="24"/>
      <c r="C1046172" s="24"/>
      <c r="D1046172" s="24"/>
      <c r="E1046172" s="24"/>
      <c r="F1046172" s="24"/>
      <c r="G1046172" s="24"/>
      <c r="H1046172" s="24"/>
      <c r="I1046172" s="24"/>
      <c r="J1046172" s="24"/>
      <c r="K1046172" s="54"/>
    </row>
    <row r="1046173" spans="1:11" s="55" customFormat="1" ht="12.75">
      <c r="A1046173" s="24"/>
      <c r="B1046173" s="24"/>
      <c r="C1046173" s="24"/>
      <c r="D1046173" s="24"/>
      <c r="E1046173" s="24"/>
      <c r="F1046173" s="24"/>
      <c r="G1046173" s="24"/>
      <c r="H1046173" s="24"/>
      <c r="I1046173" s="24"/>
      <c r="J1046173" s="24"/>
      <c r="K1046173" s="54"/>
    </row>
    <row r="1046174" spans="1:11" s="55" customFormat="1" ht="12.75">
      <c r="A1046174" s="24"/>
      <c r="B1046174" s="24"/>
      <c r="C1046174" s="24"/>
      <c r="D1046174" s="24"/>
      <c r="E1046174" s="24"/>
      <c r="F1046174" s="24"/>
      <c r="G1046174" s="24"/>
      <c r="H1046174" s="24"/>
      <c r="I1046174" s="24"/>
      <c r="J1046174" s="24"/>
      <c r="K1046174" s="54"/>
    </row>
    <row r="1046175" spans="1:11" s="55" customFormat="1" ht="12.75">
      <c r="A1046175" s="24"/>
      <c r="B1046175" s="24"/>
      <c r="C1046175" s="24"/>
      <c r="D1046175" s="24"/>
      <c r="E1046175" s="24"/>
      <c r="F1046175" s="24"/>
      <c r="G1046175" s="24"/>
      <c r="H1046175" s="24"/>
      <c r="I1046175" s="24"/>
      <c r="J1046175" s="24"/>
      <c r="K1046175" s="54"/>
    </row>
    <row r="1046176" spans="1:11" s="55" customFormat="1" ht="12.75">
      <c r="A1046176" s="24"/>
      <c r="B1046176" s="24"/>
      <c r="C1046176" s="24"/>
      <c r="D1046176" s="24"/>
      <c r="E1046176" s="24"/>
      <c r="F1046176" s="24"/>
      <c r="G1046176" s="24"/>
      <c r="H1046176" s="24"/>
      <c r="I1046176" s="24"/>
      <c r="J1046176" s="24"/>
      <c r="K1046176" s="54"/>
    </row>
    <row r="1046177" spans="1:11" s="55" customFormat="1" ht="12.75">
      <c r="A1046177" s="24"/>
      <c r="B1046177" s="24"/>
      <c r="C1046177" s="24"/>
      <c r="D1046177" s="24"/>
      <c r="E1046177" s="24"/>
      <c r="F1046177" s="24"/>
      <c r="G1046177" s="24"/>
      <c r="H1046177" s="24"/>
      <c r="I1046177" s="24"/>
      <c r="J1046177" s="24"/>
      <c r="K1046177" s="54"/>
    </row>
    <row r="1046178" spans="1:11" s="55" customFormat="1" ht="12.75">
      <c r="A1046178" s="24"/>
      <c r="B1046178" s="24"/>
      <c r="C1046178" s="24"/>
      <c r="D1046178" s="24"/>
      <c r="E1046178" s="24"/>
      <c r="F1046178" s="24"/>
      <c r="G1046178" s="24"/>
      <c r="H1046178" s="24"/>
      <c r="I1046178" s="24"/>
      <c r="J1046178" s="24"/>
      <c r="K1046178" s="54"/>
    </row>
    <row r="1046179" spans="1:11" s="55" customFormat="1" ht="12.75">
      <c r="A1046179" s="24"/>
      <c r="B1046179" s="24"/>
      <c r="C1046179" s="24"/>
      <c r="D1046179" s="24"/>
      <c r="E1046179" s="24"/>
      <c r="F1046179" s="24"/>
      <c r="G1046179" s="24"/>
      <c r="H1046179" s="24"/>
      <c r="I1046179" s="24"/>
      <c r="J1046179" s="24"/>
      <c r="K1046179" s="54"/>
    </row>
    <row r="1046180" spans="1:11" s="55" customFormat="1" ht="12.75">
      <c r="A1046180" s="24"/>
      <c r="B1046180" s="24"/>
      <c r="C1046180" s="24"/>
      <c r="D1046180" s="24"/>
      <c r="E1046180" s="24"/>
      <c r="F1046180" s="24"/>
      <c r="G1046180" s="24"/>
      <c r="H1046180" s="24"/>
      <c r="I1046180" s="24"/>
      <c r="J1046180" s="24"/>
      <c r="K1046180" s="54"/>
    </row>
    <row r="1046181" spans="1:11" s="55" customFormat="1" ht="12.75">
      <c r="A1046181" s="24"/>
      <c r="B1046181" s="24"/>
      <c r="C1046181" s="24"/>
      <c r="D1046181" s="24"/>
      <c r="E1046181" s="24"/>
      <c r="F1046181" s="24"/>
      <c r="G1046181" s="24"/>
      <c r="H1046181" s="24"/>
      <c r="I1046181" s="24"/>
      <c r="J1046181" s="24"/>
      <c r="K1046181" s="54"/>
    </row>
    <row r="1046182" spans="1:11" s="55" customFormat="1" ht="12.75">
      <c r="A1046182" s="24"/>
      <c r="B1046182" s="24"/>
      <c r="C1046182" s="24"/>
      <c r="D1046182" s="24"/>
      <c r="E1046182" s="24"/>
      <c r="F1046182" s="24"/>
      <c r="G1046182" s="24"/>
      <c r="H1046182" s="24"/>
      <c r="I1046182" s="24"/>
      <c r="J1046182" s="24"/>
      <c r="K1046182" s="54"/>
    </row>
    <row r="1046183" spans="1:11" s="55" customFormat="1" ht="12.75">
      <c r="A1046183" s="24"/>
      <c r="B1046183" s="24"/>
      <c r="C1046183" s="24"/>
      <c r="D1046183" s="24"/>
      <c r="E1046183" s="24"/>
      <c r="F1046183" s="24"/>
      <c r="G1046183" s="24"/>
      <c r="H1046183" s="24"/>
      <c r="I1046183" s="24"/>
      <c r="J1046183" s="24"/>
      <c r="K1046183" s="54"/>
    </row>
    <row r="1046184" spans="1:11" s="55" customFormat="1" ht="12.75">
      <c r="A1046184" s="24"/>
      <c r="B1046184" s="24"/>
      <c r="C1046184" s="24"/>
      <c r="D1046184" s="24"/>
      <c r="E1046184" s="24"/>
      <c r="F1046184" s="24"/>
      <c r="G1046184" s="24"/>
      <c r="H1046184" s="24"/>
      <c r="I1046184" s="24"/>
      <c r="J1046184" s="24"/>
      <c r="K1046184" s="54"/>
    </row>
    <row r="1046185" spans="1:11" s="55" customFormat="1" ht="12.75">
      <c r="A1046185" s="24"/>
      <c r="B1046185" s="24"/>
      <c r="C1046185" s="24"/>
      <c r="D1046185" s="24"/>
      <c r="E1046185" s="24"/>
      <c r="F1046185" s="24"/>
      <c r="G1046185" s="24"/>
      <c r="H1046185" s="24"/>
      <c r="I1046185" s="24"/>
      <c r="J1046185" s="24"/>
      <c r="K1046185" s="54"/>
    </row>
    <row r="1046186" spans="1:11" s="55" customFormat="1" ht="12.75">
      <c r="A1046186" s="24"/>
      <c r="B1046186" s="24"/>
      <c r="C1046186" s="24"/>
      <c r="D1046186" s="24"/>
      <c r="E1046186" s="24"/>
      <c r="F1046186" s="24"/>
      <c r="G1046186" s="24"/>
      <c r="H1046186" s="24"/>
      <c r="I1046186" s="24"/>
      <c r="J1046186" s="24"/>
      <c r="K1046186" s="54"/>
    </row>
    <row r="1046187" spans="1:11" s="55" customFormat="1" ht="12.75">
      <c r="A1046187" s="24"/>
      <c r="B1046187" s="24"/>
      <c r="C1046187" s="24"/>
      <c r="D1046187" s="24"/>
      <c r="E1046187" s="24"/>
      <c r="F1046187" s="24"/>
      <c r="G1046187" s="24"/>
      <c r="H1046187" s="24"/>
      <c r="I1046187" s="24"/>
      <c r="J1046187" s="24"/>
      <c r="K1046187" s="54"/>
    </row>
    <row r="1046188" spans="1:11" s="55" customFormat="1" ht="12.75">
      <c r="A1046188" s="24"/>
      <c r="B1046188" s="24"/>
      <c r="C1046188" s="24"/>
      <c r="D1046188" s="24"/>
      <c r="E1046188" s="24"/>
      <c r="F1046188" s="24"/>
      <c r="G1046188" s="24"/>
      <c r="H1046188" s="24"/>
      <c r="I1046188" s="24"/>
      <c r="J1046188" s="24"/>
      <c r="K1046188" s="54"/>
    </row>
    <row r="1046189" spans="1:11" s="55" customFormat="1" ht="12.75">
      <c r="A1046189" s="24"/>
      <c r="B1046189" s="24"/>
      <c r="C1046189" s="24"/>
      <c r="D1046189" s="24"/>
      <c r="E1046189" s="24"/>
      <c r="F1046189" s="24"/>
      <c r="G1046189" s="24"/>
      <c r="H1046189" s="24"/>
      <c r="I1046189" s="24"/>
      <c r="J1046189" s="24"/>
      <c r="K1046189" s="54"/>
    </row>
    <row r="1046190" spans="1:11" s="55" customFormat="1" ht="12.75">
      <c r="A1046190" s="24"/>
      <c r="B1046190" s="24"/>
      <c r="C1046190" s="24"/>
      <c r="D1046190" s="24"/>
      <c r="E1046190" s="24"/>
      <c r="F1046190" s="24"/>
      <c r="G1046190" s="24"/>
      <c r="H1046190" s="24"/>
      <c r="I1046190" s="24"/>
      <c r="J1046190" s="24"/>
      <c r="K1046190" s="54"/>
    </row>
    <row r="1046191" spans="1:11" s="55" customFormat="1" ht="12.75">
      <c r="A1046191" s="24"/>
      <c r="B1046191" s="24"/>
      <c r="C1046191" s="24"/>
      <c r="D1046191" s="24"/>
      <c r="E1046191" s="24"/>
      <c r="F1046191" s="24"/>
      <c r="G1046191" s="24"/>
      <c r="H1046191" s="24"/>
      <c r="I1046191" s="24"/>
      <c r="J1046191" s="24"/>
      <c r="K1046191" s="54"/>
    </row>
    <row r="1046192" spans="1:11" s="55" customFormat="1" ht="12.75">
      <c r="A1046192" s="24"/>
      <c r="B1046192" s="24"/>
      <c r="C1046192" s="24"/>
      <c r="D1046192" s="24"/>
      <c r="E1046192" s="24"/>
      <c r="F1046192" s="24"/>
      <c r="G1046192" s="24"/>
      <c r="H1046192" s="24"/>
      <c r="I1046192" s="24"/>
      <c r="J1046192" s="24"/>
      <c r="K1046192" s="54"/>
    </row>
    <row r="1046193" spans="1:11" s="55" customFormat="1" ht="12.75">
      <c r="A1046193" s="24"/>
      <c r="B1046193" s="24"/>
      <c r="C1046193" s="24"/>
      <c r="D1046193" s="24"/>
      <c r="E1046193" s="24"/>
      <c r="F1046193" s="24"/>
      <c r="G1046193" s="24"/>
      <c r="H1046193" s="24"/>
      <c r="I1046193" s="24"/>
      <c r="J1046193" s="24"/>
      <c r="K1046193" s="54"/>
    </row>
    <row r="1046194" spans="1:11" s="55" customFormat="1" ht="12.75">
      <c r="A1046194" s="24"/>
      <c r="B1046194" s="24"/>
      <c r="C1046194" s="24"/>
      <c r="D1046194" s="24"/>
      <c r="E1046194" s="24"/>
      <c r="F1046194" s="24"/>
      <c r="G1046194" s="24"/>
      <c r="H1046194" s="24"/>
      <c r="I1046194" s="24"/>
      <c r="J1046194" s="24"/>
      <c r="K1046194" s="54"/>
    </row>
    <row r="1046195" spans="1:11" s="55" customFormat="1" ht="12.75">
      <c r="A1046195" s="24"/>
      <c r="B1046195" s="24"/>
      <c r="C1046195" s="24"/>
      <c r="D1046195" s="24"/>
      <c r="E1046195" s="24"/>
      <c r="F1046195" s="24"/>
      <c r="G1046195" s="24"/>
      <c r="H1046195" s="24"/>
      <c r="I1046195" s="24"/>
      <c r="J1046195" s="24"/>
      <c r="K1046195" s="54"/>
    </row>
    <row r="1046196" spans="1:11" s="55" customFormat="1" ht="12.75">
      <c r="A1046196" s="24"/>
      <c r="B1046196" s="24"/>
      <c r="C1046196" s="24"/>
      <c r="D1046196" s="24"/>
      <c r="E1046196" s="24"/>
      <c r="F1046196" s="24"/>
      <c r="G1046196" s="24"/>
      <c r="H1046196" s="24"/>
      <c r="I1046196" s="24"/>
      <c r="J1046196" s="24"/>
      <c r="K1046196" s="54"/>
    </row>
    <row r="1046197" spans="1:11" s="55" customFormat="1" ht="12.75">
      <c r="A1046197" s="24"/>
      <c r="B1046197" s="24"/>
      <c r="C1046197" s="24"/>
      <c r="D1046197" s="24"/>
      <c r="E1046197" s="24"/>
      <c r="F1046197" s="24"/>
      <c r="G1046197" s="24"/>
      <c r="H1046197" s="24"/>
      <c r="I1046197" s="24"/>
      <c r="J1046197" s="24"/>
      <c r="K1046197" s="54"/>
    </row>
    <row r="1046198" spans="1:11" s="55" customFormat="1" ht="12.75">
      <c r="A1046198" s="24"/>
      <c r="B1046198" s="24"/>
      <c r="C1046198" s="24"/>
      <c r="D1046198" s="24"/>
      <c r="E1046198" s="24"/>
      <c r="F1046198" s="24"/>
      <c r="G1046198" s="24"/>
      <c r="H1046198" s="24"/>
      <c r="I1046198" s="24"/>
      <c r="J1046198" s="24"/>
      <c r="K1046198" s="54"/>
    </row>
    <row r="1046199" spans="1:11" s="55" customFormat="1" ht="12.75">
      <c r="A1046199" s="24"/>
      <c r="B1046199" s="24"/>
      <c r="C1046199" s="24"/>
      <c r="D1046199" s="24"/>
      <c r="E1046199" s="24"/>
      <c r="F1046199" s="24"/>
      <c r="G1046199" s="24"/>
      <c r="H1046199" s="24"/>
      <c r="I1046199" s="24"/>
      <c r="J1046199" s="24"/>
      <c r="K1046199" s="54"/>
    </row>
    <row r="1046200" spans="1:11" s="55" customFormat="1" ht="12.75">
      <c r="A1046200" s="24"/>
      <c r="B1046200" s="24"/>
      <c r="C1046200" s="24"/>
      <c r="D1046200" s="24"/>
      <c r="E1046200" s="24"/>
      <c r="F1046200" s="24"/>
      <c r="G1046200" s="24"/>
      <c r="H1046200" s="24"/>
      <c r="I1046200" s="24"/>
      <c r="J1046200" s="24"/>
      <c r="K1046200" s="54"/>
    </row>
    <row r="1046201" spans="1:11" s="55" customFormat="1" ht="12.75">
      <c r="A1046201" s="24"/>
      <c r="B1046201" s="24"/>
      <c r="C1046201" s="24"/>
      <c r="D1046201" s="24"/>
      <c r="E1046201" s="24"/>
      <c r="F1046201" s="24"/>
      <c r="G1046201" s="24"/>
      <c r="H1046201" s="24"/>
      <c r="I1046201" s="24"/>
      <c r="J1046201" s="24"/>
      <c r="K1046201" s="54"/>
    </row>
    <row r="1046202" spans="1:11" s="55" customFormat="1" ht="12.75">
      <c r="A1046202" s="24"/>
      <c r="B1046202" s="24"/>
      <c r="C1046202" s="24"/>
      <c r="D1046202" s="24"/>
      <c r="E1046202" s="24"/>
      <c r="F1046202" s="24"/>
      <c r="G1046202" s="24"/>
      <c r="H1046202" s="24"/>
      <c r="I1046202" s="24"/>
      <c r="J1046202" s="24"/>
      <c r="K1046202" s="54"/>
    </row>
    <row r="1046203" spans="1:11" s="55" customFormat="1" ht="12.75">
      <c r="A1046203" s="24"/>
      <c r="B1046203" s="24"/>
      <c r="C1046203" s="24"/>
      <c r="D1046203" s="24"/>
      <c r="E1046203" s="24"/>
      <c r="F1046203" s="24"/>
      <c r="G1046203" s="24"/>
      <c r="H1046203" s="24"/>
      <c r="I1046203" s="24"/>
      <c r="J1046203" s="24"/>
      <c r="K1046203" s="54"/>
    </row>
    <row r="1046204" spans="1:11" s="55" customFormat="1" ht="12.75">
      <c r="A1046204" s="24"/>
      <c r="B1046204" s="24"/>
      <c r="C1046204" s="24"/>
      <c r="D1046204" s="24"/>
      <c r="E1046204" s="24"/>
      <c r="F1046204" s="24"/>
      <c r="G1046204" s="24"/>
      <c r="H1046204" s="24"/>
      <c r="I1046204" s="24"/>
      <c r="J1046204" s="24"/>
      <c r="K1046204" s="54"/>
    </row>
    <row r="1046205" spans="1:11" s="55" customFormat="1" ht="12.75">
      <c r="A1046205" s="24"/>
      <c r="B1046205" s="24"/>
      <c r="C1046205" s="24"/>
      <c r="D1046205" s="24"/>
      <c r="E1046205" s="24"/>
      <c r="F1046205" s="24"/>
      <c r="G1046205" s="24"/>
      <c r="H1046205" s="24"/>
      <c r="I1046205" s="24"/>
      <c r="J1046205" s="24"/>
      <c r="K1046205" s="54"/>
    </row>
    <row r="1046206" spans="1:11" s="55" customFormat="1" ht="12.75">
      <c r="A1046206" s="24"/>
      <c r="B1046206" s="24"/>
      <c r="C1046206" s="24"/>
      <c r="D1046206" s="24"/>
      <c r="E1046206" s="24"/>
      <c r="F1046206" s="24"/>
      <c r="G1046206" s="24"/>
      <c r="H1046206" s="24"/>
      <c r="I1046206" s="24"/>
      <c r="J1046206" s="24"/>
      <c r="K1046206" s="54"/>
    </row>
    <row r="1046207" spans="1:11" s="55" customFormat="1" ht="12.75">
      <c r="A1046207" s="24"/>
      <c r="B1046207" s="24"/>
      <c r="C1046207" s="24"/>
      <c r="D1046207" s="24"/>
      <c r="E1046207" s="24"/>
      <c r="F1046207" s="24"/>
      <c r="G1046207" s="24"/>
      <c r="H1046207" s="24"/>
      <c r="I1046207" s="24"/>
      <c r="J1046207" s="24"/>
      <c r="K1046207" s="54"/>
    </row>
    <row r="1046208" spans="1:11" s="55" customFormat="1" ht="12.75">
      <c r="A1046208" s="24"/>
      <c r="B1046208" s="24"/>
      <c r="C1046208" s="24"/>
      <c r="D1046208" s="24"/>
      <c r="E1046208" s="24"/>
      <c r="F1046208" s="24"/>
      <c r="G1046208" s="24"/>
      <c r="H1046208" s="24"/>
      <c r="I1046208" s="24"/>
      <c r="J1046208" s="24"/>
      <c r="K1046208" s="54"/>
    </row>
    <row r="1046209" spans="1:11" s="55" customFormat="1" ht="12.75">
      <c r="A1046209" s="24"/>
      <c r="B1046209" s="24"/>
      <c r="C1046209" s="24"/>
      <c r="D1046209" s="24"/>
      <c r="E1046209" s="24"/>
      <c r="F1046209" s="24"/>
      <c r="G1046209" s="24"/>
      <c r="H1046209" s="24"/>
      <c r="I1046209" s="24"/>
      <c r="J1046209" s="24"/>
      <c r="K1046209" s="54"/>
    </row>
    <row r="1046210" spans="1:11" s="55" customFormat="1" ht="12.75">
      <c r="A1046210" s="24"/>
      <c r="B1046210" s="24"/>
      <c r="C1046210" s="24"/>
      <c r="D1046210" s="24"/>
      <c r="E1046210" s="24"/>
      <c r="F1046210" s="24"/>
      <c r="G1046210" s="24"/>
      <c r="H1046210" s="24"/>
      <c r="I1046210" s="24"/>
      <c r="J1046210" s="24"/>
      <c r="K1046210" s="54"/>
    </row>
    <row r="1046211" spans="1:11" s="55" customFormat="1" ht="12.75">
      <c r="A1046211" s="24"/>
      <c r="B1046211" s="24"/>
      <c r="C1046211" s="24"/>
      <c r="D1046211" s="24"/>
      <c r="E1046211" s="24"/>
      <c r="F1046211" s="24"/>
      <c r="G1046211" s="24"/>
      <c r="H1046211" s="24"/>
      <c r="I1046211" s="24"/>
      <c r="J1046211" s="24"/>
      <c r="K1046211" s="54"/>
    </row>
    <row r="1046212" spans="1:11" s="55" customFormat="1" ht="12.75">
      <c r="A1046212" s="24"/>
      <c r="B1046212" s="24"/>
      <c r="C1046212" s="24"/>
      <c r="D1046212" s="24"/>
      <c r="E1046212" s="24"/>
      <c r="F1046212" s="24"/>
      <c r="G1046212" s="24"/>
      <c r="H1046212" s="24"/>
      <c r="I1046212" s="24"/>
      <c r="J1046212" s="24"/>
      <c r="K1046212" s="54"/>
    </row>
    <row r="1046213" spans="1:11" s="55" customFormat="1" ht="12.75">
      <c r="A1046213" s="24"/>
      <c r="B1046213" s="24"/>
      <c r="C1046213" s="24"/>
      <c r="D1046213" s="24"/>
      <c r="E1046213" s="24"/>
      <c r="F1046213" s="24"/>
      <c r="G1046213" s="24"/>
      <c r="H1046213" s="24"/>
      <c r="I1046213" s="24"/>
      <c r="J1046213" s="24"/>
      <c r="K1046213" s="54"/>
    </row>
    <row r="1046214" spans="1:11" s="55" customFormat="1" ht="12.75">
      <c r="A1046214" s="24"/>
      <c r="B1046214" s="24"/>
      <c r="C1046214" s="24"/>
      <c r="D1046214" s="24"/>
      <c r="E1046214" s="24"/>
      <c r="F1046214" s="24"/>
      <c r="G1046214" s="24"/>
      <c r="H1046214" s="24"/>
      <c r="I1046214" s="24"/>
      <c r="J1046214" s="24"/>
      <c r="K1046214" s="54"/>
    </row>
    <row r="1046215" spans="1:11" s="55" customFormat="1" ht="12.75">
      <c r="A1046215" s="24"/>
      <c r="B1046215" s="24"/>
      <c r="C1046215" s="24"/>
      <c r="D1046215" s="24"/>
      <c r="E1046215" s="24"/>
      <c r="F1046215" s="24"/>
      <c r="G1046215" s="24"/>
      <c r="H1046215" s="24"/>
      <c r="I1046215" s="24"/>
      <c r="J1046215" s="24"/>
      <c r="K1046215" s="54"/>
    </row>
    <row r="1046216" spans="1:11" s="55" customFormat="1" ht="12.75">
      <c r="A1046216" s="24"/>
      <c r="B1046216" s="24"/>
      <c r="C1046216" s="24"/>
      <c r="D1046216" s="24"/>
      <c r="E1046216" s="24"/>
      <c r="F1046216" s="24"/>
      <c r="G1046216" s="24"/>
      <c r="H1046216" s="24"/>
      <c r="I1046216" s="24"/>
      <c r="J1046216" s="24"/>
      <c r="K1046216" s="54"/>
    </row>
    <row r="1046217" spans="1:11" s="55" customFormat="1" ht="12.75">
      <c r="A1046217" s="24"/>
      <c r="B1046217" s="24"/>
      <c r="C1046217" s="24"/>
      <c r="D1046217" s="24"/>
      <c r="E1046217" s="24"/>
      <c r="F1046217" s="24"/>
      <c r="G1046217" s="24"/>
      <c r="H1046217" s="24"/>
      <c r="I1046217" s="24"/>
      <c r="J1046217" s="24"/>
      <c r="K1046217" s="54"/>
    </row>
    <row r="1046218" spans="1:11" s="55" customFormat="1" ht="12.75">
      <c r="A1046218" s="24"/>
      <c r="B1046218" s="24"/>
      <c r="C1046218" s="24"/>
      <c r="D1046218" s="24"/>
      <c r="E1046218" s="24"/>
      <c r="F1046218" s="24"/>
      <c r="G1046218" s="24"/>
      <c r="H1046218" s="24"/>
      <c r="I1046218" s="24"/>
      <c r="J1046218" s="24"/>
      <c r="K1046218" s="54"/>
    </row>
    <row r="1046219" spans="1:11" s="55" customFormat="1" ht="12.75">
      <c r="A1046219" s="24"/>
      <c r="B1046219" s="24"/>
      <c r="C1046219" s="24"/>
      <c r="D1046219" s="24"/>
      <c r="E1046219" s="24"/>
      <c r="F1046219" s="24"/>
      <c r="G1046219" s="24"/>
      <c r="H1046219" s="24"/>
      <c r="I1046219" s="24"/>
      <c r="J1046219" s="24"/>
      <c r="K1046219" s="54"/>
    </row>
    <row r="1046220" spans="1:11" s="55" customFormat="1" ht="12.75">
      <c r="A1046220" s="24"/>
      <c r="B1046220" s="24"/>
      <c r="C1046220" s="24"/>
      <c r="D1046220" s="24"/>
      <c r="E1046220" s="24"/>
      <c r="F1046220" s="24"/>
      <c r="G1046220" s="24"/>
      <c r="H1046220" s="24"/>
      <c r="I1046220" s="24"/>
      <c r="J1046220" s="24"/>
      <c r="K1046220" s="54"/>
    </row>
    <row r="1046221" spans="1:11" s="55" customFormat="1" ht="12.75">
      <c r="A1046221" s="24"/>
      <c r="B1046221" s="24"/>
      <c r="C1046221" s="24"/>
      <c r="D1046221" s="24"/>
      <c r="E1046221" s="24"/>
      <c r="F1046221" s="24"/>
      <c r="G1046221" s="24"/>
      <c r="H1046221" s="24"/>
      <c r="I1046221" s="24"/>
      <c r="J1046221" s="24"/>
      <c r="K1046221" s="54"/>
    </row>
    <row r="1046222" spans="1:11" s="55" customFormat="1" ht="12.75">
      <c r="A1046222" s="24"/>
      <c r="B1046222" s="24"/>
      <c r="C1046222" s="24"/>
      <c r="D1046222" s="24"/>
      <c r="E1046222" s="24"/>
      <c r="F1046222" s="24"/>
      <c r="G1046222" s="24"/>
      <c r="H1046222" s="24"/>
      <c r="I1046222" s="24"/>
      <c r="J1046222" s="24"/>
      <c r="K1046222" s="54"/>
    </row>
    <row r="1046223" spans="1:11" s="55" customFormat="1" ht="12.75">
      <c r="A1046223" s="24"/>
      <c r="B1046223" s="24"/>
      <c r="C1046223" s="24"/>
      <c r="D1046223" s="24"/>
      <c r="E1046223" s="24"/>
      <c r="F1046223" s="24"/>
      <c r="G1046223" s="24"/>
      <c r="H1046223" s="24"/>
      <c r="I1046223" s="24"/>
      <c r="J1046223" s="24"/>
      <c r="K1046223" s="54"/>
    </row>
    <row r="1046224" spans="1:11" s="55" customFormat="1" ht="12.75">
      <c r="A1046224" s="24"/>
      <c r="B1046224" s="24"/>
      <c r="C1046224" s="24"/>
      <c r="D1046224" s="24"/>
      <c r="E1046224" s="24"/>
      <c r="F1046224" s="24"/>
      <c r="G1046224" s="24"/>
      <c r="H1046224" s="24"/>
      <c r="I1046224" s="24"/>
      <c r="J1046224" s="24"/>
      <c r="K1046224" s="54"/>
    </row>
    <row r="1046225" spans="1:11" s="55" customFormat="1" ht="12.75">
      <c r="A1046225" s="24"/>
      <c r="B1046225" s="24"/>
      <c r="C1046225" s="24"/>
      <c r="D1046225" s="24"/>
      <c r="E1046225" s="24"/>
      <c r="F1046225" s="24"/>
      <c r="G1046225" s="24"/>
      <c r="H1046225" s="24"/>
      <c r="I1046225" s="24"/>
      <c r="J1046225" s="24"/>
      <c r="K1046225" s="54"/>
    </row>
    <row r="1046226" spans="1:11" s="55" customFormat="1" ht="12.75">
      <c r="A1046226" s="24"/>
      <c r="B1046226" s="24"/>
      <c r="C1046226" s="24"/>
      <c r="D1046226" s="24"/>
      <c r="E1046226" s="24"/>
      <c r="F1046226" s="24"/>
      <c r="G1046226" s="24"/>
      <c r="H1046226" s="24"/>
      <c r="I1046226" s="24"/>
      <c r="J1046226" s="24"/>
      <c r="K1046226" s="54"/>
    </row>
    <row r="1046227" spans="1:11" s="55" customFormat="1" ht="12.75">
      <c r="A1046227" s="24"/>
      <c r="B1046227" s="24"/>
      <c r="C1046227" s="24"/>
      <c r="D1046227" s="24"/>
      <c r="E1046227" s="24"/>
      <c r="F1046227" s="24"/>
      <c r="G1046227" s="24"/>
      <c r="H1046227" s="24"/>
      <c r="I1046227" s="24"/>
      <c r="J1046227" s="24"/>
      <c r="K1046227" s="54"/>
    </row>
    <row r="1046228" spans="1:11" s="55" customFormat="1" ht="12.75">
      <c r="A1046228" s="24"/>
      <c r="B1046228" s="24"/>
      <c r="C1046228" s="24"/>
      <c r="D1046228" s="24"/>
      <c r="E1046228" s="24"/>
      <c r="F1046228" s="24"/>
      <c r="G1046228" s="24"/>
      <c r="H1046228" s="24"/>
      <c r="I1046228" s="24"/>
      <c r="J1046228" s="24"/>
      <c r="K1046228" s="54"/>
    </row>
    <row r="1046229" spans="1:11" s="55" customFormat="1" ht="12.75">
      <c r="A1046229" s="24"/>
      <c r="B1046229" s="24"/>
      <c r="C1046229" s="24"/>
      <c r="D1046229" s="24"/>
      <c r="E1046229" s="24"/>
      <c r="F1046229" s="24"/>
      <c r="G1046229" s="24"/>
      <c r="H1046229" s="24"/>
      <c r="I1046229" s="24"/>
      <c r="J1046229" s="24"/>
      <c r="K1046229" s="54"/>
    </row>
    <row r="1046230" spans="1:11" s="55" customFormat="1" ht="12.75">
      <c r="A1046230" s="24"/>
      <c r="B1046230" s="24"/>
      <c r="C1046230" s="24"/>
      <c r="D1046230" s="24"/>
      <c r="E1046230" s="24"/>
      <c r="F1046230" s="24"/>
      <c r="G1046230" s="24"/>
      <c r="H1046230" s="24"/>
      <c r="I1046230" s="24"/>
      <c r="J1046230" s="24"/>
      <c r="K1046230" s="54"/>
    </row>
    <row r="1046231" spans="1:11" s="55" customFormat="1" ht="12.75">
      <c r="A1046231" s="24"/>
      <c r="B1046231" s="24"/>
      <c r="C1046231" s="24"/>
      <c r="D1046231" s="24"/>
      <c r="E1046231" s="24"/>
      <c r="F1046231" s="24"/>
      <c r="G1046231" s="24"/>
      <c r="H1046231" s="24"/>
      <c r="I1046231" s="24"/>
      <c r="J1046231" s="24"/>
      <c r="K1046231" s="54"/>
    </row>
    <row r="1046232" spans="1:11" s="55" customFormat="1" ht="12.75">
      <c r="A1046232" s="24"/>
      <c r="B1046232" s="24"/>
      <c r="C1046232" s="24"/>
      <c r="D1046232" s="24"/>
      <c r="E1046232" s="24"/>
      <c r="F1046232" s="24"/>
      <c r="G1046232" s="24"/>
      <c r="H1046232" s="24"/>
      <c r="I1046232" s="24"/>
      <c r="J1046232" s="24"/>
      <c r="K1046232" s="54"/>
    </row>
    <row r="1046233" spans="1:11" s="55" customFormat="1" ht="12.75">
      <c r="A1046233" s="24"/>
      <c r="B1046233" s="24"/>
      <c r="C1046233" s="24"/>
      <c r="D1046233" s="24"/>
      <c r="E1046233" s="24"/>
      <c r="F1046233" s="24"/>
      <c r="G1046233" s="24"/>
      <c r="H1046233" s="24"/>
      <c r="I1046233" s="24"/>
      <c r="J1046233" s="24"/>
      <c r="K1046233" s="54"/>
    </row>
    <row r="1046234" spans="1:11" s="55" customFormat="1" ht="12.75">
      <c r="A1046234" s="24"/>
      <c r="B1046234" s="24"/>
      <c r="C1046234" s="24"/>
      <c r="D1046234" s="24"/>
      <c r="E1046234" s="24"/>
      <c r="F1046234" s="24"/>
      <c r="G1046234" s="24"/>
      <c r="H1046234" s="24"/>
      <c r="I1046234" s="24"/>
      <c r="J1046234" s="24"/>
      <c r="K1046234" s="54"/>
    </row>
    <row r="1046235" spans="1:11" s="55" customFormat="1" ht="12.75">
      <c r="A1046235" s="24"/>
      <c r="B1046235" s="24"/>
      <c r="C1046235" s="24"/>
      <c r="D1046235" s="24"/>
      <c r="E1046235" s="24"/>
      <c r="F1046235" s="24"/>
      <c r="G1046235" s="24"/>
      <c r="H1046235" s="24"/>
      <c r="I1046235" s="24"/>
      <c r="J1046235" s="24"/>
      <c r="K1046235" s="54"/>
    </row>
    <row r="1046236" spans="1:11" s="55" customFormat="1" ht="12.75">
      <c r="A1046236" s="24"/>
      <c r="B1046236" s="24"/>
      <c r="C1046236" s="24"/>
      <c r="D1046236" s="24"/>
      <c r="E1046236" s="24"/>
      <c r="F1046236" s="24"/>
      <c r="G1046236" s="24"/>
      <c r="H1046236" s="24"/>
      <c r="I1046236" s="24"/>
      <c r="J1046236" s="24"/>
      <c r="K1046236" s="54"/>
    </row>
    <row r="1046237" spans="1:11" s="55" customFormat="1" ht="12.75">
      <c r="A1046237" s="24"/>
      <c r="B1046237" s="24"/>
      <c r="C1046237" s="24"/>
      <c r="D1046237" s="24"/>
      <c r="E1046237" s="24"/>
      <c r="F1046237" s="24"/>
      <c r="G1046237" s="24"/>
      <c r="H1046237" s="24"/>
      <c r="I1046237" s="24"/>
      <c r="J1046237" s="24"/>
      <c r="K1046237" s="54"/>
    </row>
    <row r="1046238" spans="1:11" s="55" customFormat="1" ht="12.75">
      <c r="A1046238" s="24"/>
      <c r="B1046238" s="24"/>
      <c r="C1046238" s="24"/>
      <c r="D1046238" s="24"/>
      <c r="E1046238" s="24"/>
      <c r="F1046238" s="24"/>
      <c r="G1046238" s="24"/>
      <c r="H1046238" s="24"/>
      <c r="I1046238" s="24"/>
      <c r="J1046238" s="24"/>
      <c r="K1046238" s="54"/>
    </row>
    <row r="1046239" spans="1:11" s="55" customFormat="1" ht="12.75">
      <c r="A1046239" s="24"/>
      <c r="B1046239" s="24"/>
      <c r="C1046239" s="24"/>
      <c r="D1046239" s="24"/>
      <c r="E1046239" s="24"/>
      <c r="F1046239" s="24"/>
      <c r="G1046239" s="24"/>
      <c r="H1046239" s="24"/>
      <c r="I1046239" s="24"/>
      <c r="J1046239" s="24"/>
      <c r="K1046239" s="54"/>
    </row>
    <row r="1046240" spans="1:11" s="55" customFormat="1" ht="12.75">
      <c r="A1046240" s="24"/>
      <c r="B1046240" s="24"/>
      <c r="C1046240" s="24"/>
      <c r="D1046240" s="24"/>
      <c r="E1046240" s="24"/>
      <c r="F1046240" s="24"/>
      <c r="G1046240" s="24"/>
      <c r="H1046240" s="24"/>
      <c r="I1046240" s="24"/>
      <c r="J1046240" s="24"/>
      <c r="K1046240" s="54"/>
    </row>
    <row r="1046241" spans="1:11" s="55" customFormat="1" ht="12.75">
      <c r="A1046241" s="24"/>
      <c r="B1046241" s="24"/>
      <c r="C1046241" s="24"/>
      <c r="D1046241" s="24"/>
      <c r="E1046241" s="24"/>
      <c r="F1046241" s="24"/>
      <c r="G1046241" s="24"/>
      <c r="H1046241" s="24"/>
      <c r="I1046241" s="24"/>
      <c r="J1046241" s="24"/>
      <c r="K1046241" s="54"/>
    </row>
    <row r="1046242" spans="1:11" s="55" customFormat="1" ht="12.75">
      <c r="A1046242" s="24"/>
      <c r="B1046242" s="24"/>
      <c r="C1046242" s="24"/>
      <c r="D1046242" s="24"/>
      <c r="E1046242" s="24"/>
      <c r="F1046242" s="24"/>
      <c r="G1046242" s="24"/>
      <c r="H1046242" s="24"/>
      <c r="I1046242" s="24"/>
      <c r="J1046242" s="24"/>
      <c r="K1046242" s="54"/>
    </row>
    <row r="1046243" spans="1:11" s="55" customFormat="1" ht="12.75">
      <c r="A1046243" s="24"/>
      <c r="B1046243" s="24"/>
      <c r="C1046243" s="24"/>
      <c r="D1046243" s="24"/>
      <c r="E1046243" s="24"/>
      <c r="F1046243" s="24"/>
      <c r="G1046243" s="24"/>
      <c r="H1046243" s="24"/>
      <c r="I1046243" s="24"/>
      <c r="J1046243" s="24"/>
      <c r="K1046243" s="54"/>
    </row>
    <row r="1046244" spans="1:11" s="55" customFormat="1" ht="12.75">
      <c r="A1046244" s="24"/>
      <c r="B1046244" s="24"/>
      <c r="C1046244" s="24"/>
      <c r="D1046244" s="24"/>
      <c r="E1046244" s="24"/>
      <c r="F1046244" s="24"/>
      <c r="G1046244" s="24"/>
      <c r="H1046244" s="24"/>
      <c r="I1046244" s="24"/>
      <c r="J1046244" s="24"/>
      <c r="K1046244" s="54"/>
    </row>
    <row r="1046245" spans="1:11" s="55" customFormat="1" ht="12.75">
      <c r="A1046245" s="24"/>
      <c r="B1046245" s="24"/>
      <c r="C1046245" s="24"/>
      <c r="D1046245" s="24"/>
      <c r="E1046245" s="24"/>
      <c r="F1046245" s="24"/>
      <c r="G1046245" s="24"/>
      <c r="H1046245" s="24"/>
      <c r="I1046245" s="24"/>
      <c r="J1046245" s="24"/>
      <c r="K1046245" s="54"/>
    </row>
    <row r="1046246" spans="1:11" s="55" customFormat="1" ht="12.75">
      <c r="A1046246" s="24"/>
      <c r="B1046246" s="24"/>
      <c r="C1046246" s="24"/>
      <c r="D1046246" s="24"/>
      <c r="E1046246" s="24"/>
      <c r="F1046246" s="24"/>
      <c r="G1046246" s="24"/>
      <c r="H1046246" s="24"/>
      <c r="I1046246" s="24"/>
      <c r="J1046246" s="24"/>
      <c r="K1046246" s="54"/>
    </row>
    <row r="1046247" spans="1:11" s="55" customFormat="1" ht="12.75">
      <c r="A1046247" s="24"/>
      <c r="B1046247" s="24"/>
      <c r="C1046247" s="24"/>
      <c r="D1046247" s="24"/>
      <c r="E1046247" s="24"/>
      <c r="F1046247" s="24"/>
      <c r="G1046247" s="24"/>
      <c r="H1046247" s="24"/>
      <c r="I1046247" s="24"/>
      <c r="J1046247" s="24"/>
      <c r="K1046247" s="54"/>
    </row>
    <row r="1046248" spans="1:11" s="55" customFormat="1" ht="12.75">
      <c r="A1046248" s="24"/>
      <c r="B1046248" s="24"/>
      <c r="C1046248" s="24"/>
      <c r="D1046248" s="24"/>
      <c r="E1046248" s="24"/>
      <c r="F1046248" s="24"/>
      <c r="G1046248" s="24"/>
      <c r="H1046248" s="24"/>
      <c r="I1046248" s="24"/>
      <c r="J1046248" s="24"/>
      <c r="K1046248" s="54"/>
    </row>
    <row r="1046249" spans="1:11" s="55" customFormat="1" ht="12.75">
      <c r="A1046249" s="24"/>
      <c r="B1046249" s="24"/>
      <c r="C1046249" s="24"/>
      <c r="D1046249" s="24"/>
      <c r="E1046249" s="24"/>
      <c r="F1046249" s="24"/>
      <c r="G1046249" s="24"/>
      <c r="H1046249" s="24"/>
      <c r="I1046249" s="24"/>
      <c r="J1046249" s="24"/>
      <c r="K1046249" s="54"/>
    </row>
    <row r="1046250" spans="1:11" s="55" customFormat="1" ht="12.75">
      <c r="A1046250" s="24"/>
      <c r="B1046250" s="24"/>
      <c r="C1046250" s="24"/>
      <c r="D1046250" s="24"/>
      <c r="E1046250" s="24"/>
      <c r="F1046250" s="24"/>
      <c r="G1046250" s="24"/>
      <c r="H1046250" s="24"/>
      <c r="I1046250" s="24"/>
      <c r="J1046250" s="24"/>
      <c r="K1046250" s="54"/>
    </row>
    <row r="1046251" spans="1:11" s="55" customFormat="1" ht="12.75">
      <c r="A1046251" s="24"/>
      <c r="B1046251" s="24"/>
      <c r="C1046251" s="24"/>
      <c r="D1046251" s="24"/>
      <c r="E1046251" s="24"/>
      <c r="F1046251" s="24"/>
      <c r="G1046251" s="24"/>
      <c r="H1046251" s="24"/>
      <c r="I1046251" s="24"/>
      <c r="J1046251" s="24"/>
      <c r="K1046251" s="54"/>
    </row>
    <row r="1046252" spans="1:11" s="55" customFormat="1" ht="12.75">
      <c r="A1046252" s="24"/>
      <c r="B1046252" s="24"/>
      <c r="C1046252" s="24"/>
      <c r="D1046252" s="24"/>
      <c r="E1046252" s="24"/>
      <c r="F1046252" s="24"/>
      <c r="G1046252" s="24"/>
      <c r="H1046252" s="24"/>
      <c r="I1046252" s="24"/>
      <c r="J1046252" s="24"/>
      <c r="K1046252" s="54"/>
    </row>
    <row r="1046253" spans="1:11" s="55" customFormat="1" ht="12.75">
      <c r="A1046253" s="24"/>
      <c r="B1046253" s="24"/>
      <c r="C1046253" s="24"/>
      <c r="D1046253" s="24"/>
      <c r="E1046253" s="24"/>
      <c r="F1046253" s="24"/>
      <c r="G1046253" s="24"/>
      <c r="H1046253" s="24"/>
      <c r="I1046253" s="24"/>
      <c r="J1046253" s="24"/>
      <c r="K1046253" s="54"/>
    </row>
    <row r="1046254" spans="1:11" s="55" customFormat="1" ht="12.75">
      <c r="A1046254" s="24"/>
      <c r="B1046254" s="24"/>
      <c r="C1046254" s="24"/>
      <c r="D1046254" s="24"/>
      <c r="E1046254" s="24"/>
      <c r="F1046254" s="24"/>
      <c r="G1046254" s="24"/>
      <c r="H1046254" s="24"/>
      <c r="I1046254" s="24"/>
      <c r="J1046254" s="24"/>
      <c r="K1046254" s="54"/>
    </row>
    <row r="1046255" spans="1:11" s="55" customFormat="1" ht="12.75">
      <c r="A1046255" s="24"/>
      <c r="B1046255" s="24"/>
      <c r="C1046255" s="24"/>
      <c r="D1046255" s="24"/>
      <c r="E1046255" s="24"/>
      <c r="F1046255" s="24"/>
      <c r="G1046255" s="24"/>
      <c r="H1046255" s="24"/>
      <c r="I1046255" s="24"/>
      <c r="J1046255" s="24"/>
      <c r="K1046255" s="54"/>
    </row>
    <row r="1046256" spans="1:11" s="55" customFormat="1" ht="12.75">
      <c r="A1046256" s="24"/>
      <c r="B1046256" s="24"/>
      <c r="C1046256" s="24"/>
      <c r="D1046256" s="24"/>
      <c r="E1046256" s="24"/>
      <c r="F1046256" s="24"/>
      <c r="G1046256" s="24"/>
      <c r="H1046256" s="24"/>
      <c r="I1046256" s="24"/>
      <c r="J1046256" s="24"/>
      <c r="K1046256" s="54"/>
    </row>
    <row r="1046257" spans="1:11" s="55" customFormat="1" ht="12.75">
      <c r="A1046257" s="24"/>
      <c r="B1046257" s="24"/>
      <c r="C1046257" s="24"/>
      <c r="D1046257" s="24"/>
      <c r="E1046257" s="24"/>
      <c r="F1046257" s="24"/>
      <c r="G1046257" s="24"/>
      <c r="H1046257" s="24"/>
      <c r="I1046257" s="24"/>
      <c r="J1046257" s="24"/>
      <c r="K1046257" s="54"/>
    </row>
    <row r="1046258" spans="1:11" s="55" customFormat="1" ht="12.75">
      <c r="A1046258" s="24"/>
      <c r="B1046258" s="24"/>
      <c r="C1046258" s="24"/>
      <c r="D1046258" s="24"/>
      <c r="E1046258" s="24"/>
      <c r="F1046258" s="24"/>
      <c r="G1046258" s="24"/>
      <c r="H1046258" s="24"/>
      <c r="I1046258" s="24"/>
      <c r="J1046258" s="24"/>
      <c r="K1046258" s="54"/>
    </row>
    <row r="1046259" spans="1:11" s="55" customFormat="1" ht="12.75">
      <c r="A1046259" s="24"/>
      <c r="B1046259" s="24"/>
      <c r="C1046259" s="24"/>
      <c r="D1046259" s="24"/>
      <c r="E1046259" s="24"/>
      <c r="F1046259" s="24"/>
      <c r="G1046259" s="24"/>
      <c r="H1046259" s="24"/>
      <c r="I1046259" s="24"/>
      <c r="J1046259" s="24"/>
      <c r="K1046259" s="54"/>
    </row>
    <row r="1046260" spans="1:11" s="55" customFormat="1" ht="12.75">
      <c r="A1046260" s="24"/>
      <c r="B1046260" s="24"/>
      <c r="C1046260" s="24"/>
      <c r="D1046260" s="24"/>
      <c r="E1046260" s="24"/>
      <c r="F1046260" s="24"/>
      <c r="G1046260" s="24"/>
      <c r="H1046260" s="24"/>
      <c r="I1046260" s="24"/>
      <c r="J1046260" s="24"/>
      <c r="K1046260" s="54"/>
    </row>
    <row r="1046261" spans="1:11" s="55" customFormat="1" ht="12.75">
      <c r="A1046261" s="24"/>
      <c r="B1046261" s="24"/>
      <c r="C1046261" s="24"/>
      <c r="D1046261" s="24"/>
      <c r="E1046261" s="24"/>
      <c r="F1046261" s="24"/>
      <c r="G1046261" s="24"/>
      <c r="H1046261" s="24"/>
      <c r="I1046261" s="24"/>
      <c r="J1046261" s="24"/>
      <c r="K1046261" s="54"/>
    </row>
    <row r="1046262" spans="1:11" s="55" customFormat="1" ht="12.75">
      <c r="A1046262" s="24"/>
      <c r="B1046262" s="24"/>
      <c r="C1046262" s="24"/>
      <c r="D1046262" s="24"/>
      <c r="E1046262" s="24"/>
      <c r="F1046262" s="24"/>
      <c r="G1046262" s="24"/>
      <c r="H1046262" s="24"/>
      <c r="I1046262" s="24"/>
      <c r="J1046262" s="24"/>
      <c r="K1046262" s="54"/>
    </row>
    <row r="1046263" spans="1:11" s="55" customFormat="1" ht="12.75">
      <c r="A1046263" s="24"/>
      <c r="B1046263" s="24"/>
      <c r="C1046263" s="24"/>
      <c r="D1046263" s="24"/>
      <c r="E1046263" s="24"/>
      <c r="F1046263" s="24"/>
      <c r="G1046263" s="24"/>
      <c r="H1046263" s="24"/>
      <c r="I1046263" s="24"/>
      <c r="J1046263" s="24"/>
      <c r="K1046263" s="54"/>
    </row>
    <row r="1046264" spans="1:11" s="55" customFormat="1" ht="12.75">
      <c r="A1046264" s="24"/>
      <c r="B1046264" s="24"/>
      <c r="C1046264" s="24"/>
      <c r="D1046264" s="24"/>
      <c r="E1046264" s="24"/>
      <c r="F1046264" s="24"/>
      <c r="G1046264" s="24"/>
      <c r="H1046264" s="24"/>
      <c r="I1046264" s="24"/>
      <c r="J1046264" s="24"/>
      <c r="K1046264" s="54"/>
    </row>
    <row r="1046265" spans="1:11" s="55" customFormat="1" ht="12.75">
      <c r="A1046265" s="24"/>
      <c r="B1046265" s="24"/>
      <c r="C1046265" s="24"/>
      <c r="D1046265" s="24"/>
      <c r="E1046265" s="24"/>
      <c r="F1046265" s="24"/>
      <c r="G1046265" s="24"/>
      <c r="H1046265" s="24"/>
      <c r="I1046265" s="24"/>
      <c r="J1046265" s="24"/>
      <c r="K1046265" s="54"/>
    </row>
    <row r="1046266" spans="1:11" s="55" customFormat="1" ht="12.75">
      <c r="A1046266" s="24"/>
      <c r="B1046266" s="24"/>
      <c r="C1046266" s="24"/>
      <c r="D1046266" s="24"/>
      <c r="E1046266" s="24"/>
      <c r="F1046266" s="24"/>
      <c r="G1046266" s="24"/>
      <c r="H1046266" s="24"/>
      <c r="I1046266" s="24"/>
      <c r="J1046266" s="24"/>
      <c r="K1046266" s="54"/>
    </row>
    <row r="1046267" spans="1:11" s="55" customFormat="1" ht="12.75">
      <c r="A1046267" s="24"/>
      <c r="B1046267" s="24"/>
      <c r="C1046267" s="24"/>
      <c r="D1046267" s="24"/>
      <c r="E1046267" s="24"/>
      <c r="F1046267" s="24"/>
      <c r="G1046267" s="24"/>
      <c r="H1046267" s="24"/>
      <c r="I1046267" s="24"/>
      <c r="J1046267" s="24"/>
      <c r="K1046267" s="54"/>
    </row>
    <row r="1046268" spans="1:11" s="55" customFormat="1" ht="12.75">
      <c r="A1046268" s="24"/>
      <c r="B1046268" s="24"/>
      <c r="C1046268" s="24"/>
      <c r="D1046268" s="24"/>
      <c r="E1046268" s="24"/>
      <c r="F1046268" s="24"/>
      <c r="G1046268" s="24"/>
      <c r="H1046268" s="24"/>
      <c r="I1046268" s="24"/>
      <c r="J1046268" s="24"/>
      <c r="K1046268" s="54"/>
    </row>
    <row r="1046269" spans="1:11" s="55" customFormat="1" ht="12.75">
      <c r="A1046269" s="24"/>
      <c r="B1046269" s="24"/>
      <c r="C1046269" s="24"/>
      <c r="D1046269" s="24"/>
      <c r="E1046269" s="24"/>
      <c r="F1046269" s="24"/>
      <c r="G1046269" s="24"/>
      <c r="H1046269" s="24"/>
      <c r="I1046269" s="24"/>
      <c r="J1046269" s="24"/>
      <c r="K1046269" s="54"/>
    </row>
    <row r="1046270" spans="1:11" s="55" customFormat="1" ht="12.75">
      <c r="A1046270" s="24"/>
      <c r="B1046270" s="24"/>
      <c r="C1046270" s="24"/>
      <c r="D1046270" s="24"/>
      <c r="E1046270" s="24"/>
      <c r="F1046270" s="24"/>
      <c r="G1046270" s="24"/>
      <c r="H1046270" s="24"/>
      <c r="I1046270" s="24"/>
      <c r="J1046270" s="24"/>
      <c r="K1046270" s="54"/>
    </row>
    <row r="1046271" spans="1:11" s="55" customFormat="1" ht="12.75">
      <c r="A1046271" s="24"/>
      <c r="B1046271" s="24"/>
      <c r="C1046271" s="24"/>
      <c r="D1046271" s="24"/>
      <c r="E1046271" s="24"/>
      <c r="F1046271" s="24"/>
      <c r="G1046271" s="24"/>
      <c r="H1046271" s="24"/>
      <c r="I1046271" s="24"/>
      <c r="J1046271" s="24"/>
      <c r="K1046271" s="54"/>
    </row>
    <row r="1046272" spans="1:11" s="55" customFormat="1" ht="12.75">
      <c r="A1046272" s="24"/>
      <c r="B1046272" s="24"/>
      <c r="C1046272" s="24"/>
      <c r="D1046272" s="24"/>
      <c r="E1046272" s="24"/>
      <c r="F1046272" s="24"/>
      <c r="G1046272" s="24"/>
      <c r="H1046272" s="24"/>
      <c r="I1046272" s="24"/>
      <c r="J1046272" s="24"/>
      <c r="K1046272" s="54"/>
    </row>
    <row r="1046273" spans="1:11" s="55" customFormat="1" ht="12.75">
      <c r="A1046273" s="24"/>
      <c r="B1046273" s="24"/>
      <c r="C1046273" s="24"/>
      <c r="D1046273" s="24"/>
      <c r="E1046273" s="24"/>
      <c r="F1046273" s="24"/>
      <c r="G1046273" s="24"/>
      <c r="H1046273" s="24"/>
      <c r="I1046273" s="24"/>
      <c r="J1046273" s="24"/>
      <c r="K1046273" s="54"/>
    </row>
    <row r="1046274" spans="1:11" s="55" customFormat="1" ht="12.75">
      <c r="A1046274" s="24"/>
      <c r="B1046274" s="24"/>
      <c r="C1046274" s="24"/>
      <c r="D1046274" s="24"/>
      <c r="E1046274" s="24"/>
      <c r="F1046274" s="24"/>
      <c r="G1046274" s="24"/>
      <c r="H1046274" s="24"/>
      <c r="I1046274" s="24"/>
      <c r="J1046274" s="24"/>
      <c r="K1046274" s="54"/>
    </row>
    <row r="1046275" spans="1:11" s="55" customFormat="1" ht="12.75">
      <c r="A1046275" s="24"/>
      <c r="B1046275" s="24"/>
      <c r="C1046275" s="24"/>
      <c r="D1046275" s="24"/>
      <c r="E1046275" s="24"/>
      <c r="F1046275" s="24"/>
      <c r="G1046275" s="24"/>
      <c r="H1046275" s="24"/>
      <c r="I1046275" s="24"/>
      <c r="J1046275" s="24"/>
      <c r="K1046275" s="54"/>
    </row>
    <row r="1046276" spans="1:11" s="55" customFormat="1" ht="12.75">
      <c r="A1046276" s="24"/>
      <c r="B1046276" s="24"/>
      <c r="C1046276" s="24"/>
      <c r="D1046276" s="24"/>
      <c r="E1046276" s="24"/>
      <c r="F1046276" s="24"/>
      <c r="G1046276" s="24"/>
      <c r="H1046276" s="24"/>
      <c r="I1046276" s="24"/>
      <c r="J1046276" s="24"/>
      <c r="K1046276" s="54"/>
    </row>
    <row r="1046277" spans="1:11" s="55" customFormat="1" ht="12.75">
      <c r="A1046277" s="24"/>
      <c r="B1046277" s="24"/>
      <c r="C1046277" s="24"/>
      <c r="D1046277" s="24"/>
      <c r="E1046277" s="24"/>
      <c r="F1046277" s="24"/>
      <c r="G1046277" s="24"/>
      <c r="H1046277" s="24"/>
      <c r="I1046277" s="24"/>
      <c r="J1046277" s="24"/>
      <c r="K1046277" s="54"/>
    </row>
    <row r="1046278" spans="1:11" s="55" customFormat="1" ht="12.75">
      <c r="A1046278" s="24"/>
      <c r="B1046278" s="24"/>
      <c r="C1046278" s="24"/>
      <c r="D1046278" s="24"/>
      <c r="E1046278" s="24"/>
      <c r="F1046278" s="24"/>
      <c r="G1046278" s="24"/>
      <c r="H1046278" s="24"/>
      <c r="I1046278" s="24"/>
      <c r="J1046278" s="24"/>
      <c r="K1046278" s="54"/>
    </row>
    <row r="1046279" spans="1:11" s="55" customFormat="1" ht="12.75">
      <c r="A1046279" s="24"/>
      <c r="B1046279" s="24"/>
      <c r="C1046279" s="24"/>
      <c r="D1046279" s="24"/>
      <c r="E1046279" s="24"/>
      <c r="F1046279" s="24"/>
      <c r="G1046279" s="24"/>
      <c r="H1046279" s="24"/>
      <c r="I1046279" s="24"/>
      <c r="J1046279" s="24"/>
      <c r="K1046279" s="54"/>
    </row>
    <row r="1046280" spans="1:11" s="55" customFormat="1" ht="12.75">
      <c r="A1046280" s="24"/>
      <c r="B1046280" s="24"/>
      <c r="C1046280" s="24"/>
      <c r="D1046280" s="24"/>
      <c r="E1046280" s="24"/>
      <c r="F1046280" s="24"/>
      <c r="G1046280" s="24"/>
      <c r="H1046280" s="24"/>
      <c r="I1046280" s="24"/>
      <c r="J1046280" s="24"/>
      <c r="K1046280" s="54"/>
    </row>
    <row r="1046281" spans="1:11" s="55" customFormat="1" ht="12.75">
      <c r="A1046281" s="24"/>
      <c r="B1046281" s="24"/>
      <c r="C1046281" s="24"/>
      <c r="D1046281" s="24"/>
      <c r="E1046281" s="24"/>
      <c r="F1046281" s="24"/>
      <c r="G1046281" s="24"/>
      <c r="H1046281" s="24"/>
      <c r="I1046281" s="24"/>
      <c r="J1046281" s="24"/>
      <c r="K1046281" s="54"/>
    </row>
    <row r="1046282" spans="1:11" s="55" customFormat="1" ht="12.75">
      <c r="A1046282" s="24"/>
      <c r="B1046282" s="24"/>
      <c r="C1046282" s="24"/>
      <c r="D1046282" s="24"/>
      <c r="E1046282" s="24"/>
      <c r="F1046282" s="24"/>
      <c r="G1046282" s="24"/>
      <c r="H1046282" s="24"/>
      <c r="I1046282" s="24"/>
      <c r="J1046282" s="24"/>
      <c r="K1046282" s="54"/>
    </row>
    <row r="1046283" spans="1:11" s="55" customFormat="1" ht="12.75">
      <c r="A1046283" s="24"/>
      <c r="B1046283" s="24"/>
      <c r="C1046283" s="24"/>
      <c r="D1046283" s="24"/>
      <c r="E1046283" s="24"/>
      <c r="F1046283" s="24"/>
      <c r="G1046283" s="24"/>
      <c r="H1046283" s="24"/>
      <c r="I1046283" s="24"/>
      <c r="J1046283" s="24"/>
      <c r="K1046283" s="54"/>
    </row>
    <row r="1046284" spans="1:11" s="55" customFormat="1" ht="12.75">
      <c r="A1046284" s="24"/>
      <c r="B1046284" s="24"/>
      <c r="C1046284" s="24"/>
      <c r="D1046284" s="24"/>
      <c r="E1046284" s="24"/>
      <c r="F1046284" s="24"/>
      <c r="G1046284" s="24"/>
      <c r="H1046284" s="24"/>
      <c r="I1046284" s="24"/>
      <c r="J1046284" s="24"/>
      <c r="K1046284" s="54"/>
    </row>
    <row r="1046285" spans="1:11" s="55" customFormat="1" ht="12.75">
      <c r="A1046285" s="24"/>
      <c r="B1046285" s="24"/>
      <c r="C1046285" s="24"/>
      <c r="D1046285" s="24"/>
      <c r="E1046285" s="24"/>
      <c r="F1046285" s="24"/>
      <c r="G1046285" s="24"/>
      <c r="H1046285" s="24"/>
      <c r="I1046285" s="24"/>
      <c r="J1046285" s="24"/>
      <c r="K1046285" s="54"/>
    </row>
    <row r="1046286" spans="1:11" s="55" customFormat="1" ht="12.75">
      <c r="A1046286" s="24"/>
      <c r="B1046286" s="24"/>
      <c r="C1046286" s="24"/>
      <c r="D1046286" s="24"/>
      <c r="E1046286" s="24"/>
      <c r="F1046286" s="24"/>
      <c r="G1046286" s="24"/>
      <c r="H1046286" s="24"/>
      <c r="I1046286" s="24"/>
      <c r="J1046286" s="24"/>
      <c r="K1046286" s="54"/>
    </row>
    <row r="1046287" spans="1:11" s="55" customFormat="1" ht="12.75">
      <c r="A1046287" s="24"/>
      <c r="B1046287" s="24"/>
      <c r="C1046287" s="24"/>
      <c r="D1046287" s="24"/>
      <c r="E1046287" s="24"/>
      <c r="F1046287" s="24"/>
      <c r="G1046287" s="24"/>
      <c r="H1046287" s="24"/>
      <c r="I1046287" s="24"/>
      <c r="J1046287" s="24"/>
      <c r="K1046287" s="54"/>
    </row>
    <row r="1046288" spans="1:11" s="55" customFormat="1" ht="12.75">
      <c r="A1046288" s="24"/>
      <c r="B1046288" s="24"/>
      <c r="C1046288" s="24"/>
      <c r="D1046288" s="24"/>
      <c r="E1046288" s="24"/>
      <c r="F1046288" s="24"/>
      <c r="G1046288" s="24"/>
      <c r="H1046288" s="24"/>
      <c r="I1046288" s="24"/>
      <c r="J1046288" s="24"/>
      <c r="K1046288" s="54"/>
    </row>
    <row r="1046289" spans="1:11" s="55" customFormat="1" ht="12.75">
      <c r="A1046289" s="24"/>
      <c r="B1046289" s="24"/>
      <c r="C1046289" s="24"/>
      <c r="D1046289" s="24"/>
      <c r="E1046289" s="24"/>
      <c r="F1046289" s="24"/>
      <c r="G1046289" s="24"/>
      <c r="H1046289" s="24"/>
      <c r="I1046289" s="24"/>
      <c r="J1046289" s="24"/>
      <c r="K1046289" s="54"/>
    </row>
    <row r="1046290" spans="1:11" s="55" customFormat="1" ht="12.75">
      <c r="A1046290" s="24"/>
      <c r="B1046290" s="24"/>
      <c r="C1046290" s="24"/>
      <c r="D1046290" s="24"/>
      <c r="E1046290" s="24"/>
      <c r="F1046290" s="24"/>
      <c r="G1046290" s="24"/>
      <c r="H1046290" s="24"/>
      <c r="I1046290" s="24"/>
      <c r="J1046290" s="24"/>
      <c r="K1046290" s="54"/>
    </row>
    <row r="1046291" spans="1:11" s="55" customFormat="1" ht="12.75">
      <c r="A1046291" s="24"/>
      <c r="B1046291" s="24"/>
      <c r="C1046291" s="24"/>
      <c r="D1046291" s="24"/>
      <c r="E1046291" s="24"/>
      <c r="F1046291" s="24"/>
      <c r="G1046291" s="24"/>
      <c r="H1046291" s="24"/>
      <c r="I1046291" s="24"/>
      <c r="J1046291" s="24"/>
      <c r="K1046291" s="54"/>
    </row>
    <row r="1046292" spans="1:11" s="55" customFormat="1" ht="12.75">
      <c r="A1046292" s="24"/>
      <c r="B1046292" s="24"/>
      <c r="C1046292" s="24"/>
      <c r="D1046292" s="24"/>
      <c r="E1046292" s="24"/>
      <c r="F1046292" s="24"/>
      <c r="G1046292" s="24"/>
      <c r="H1046292" s="24"/>
      <c r="I1046292" s="24"/>
      <c r="J1046292" s="24"/>
      <c r="K1046292" s="54"/>
    </row>
    <row r="1046293" spans="1:11" s="55" customFormat="1" ht="12.75">
      <c r="A1046293" s="24"/>
      <c r="B1046293" s="24"/>
      <c r="C1046293" s="24"/>
      <c r="D1046293" s="24"/>
      <c r="E1046293" s="24"/>
      <c r="F1046293" s="24"/>
      <c r="G1046293" s="24"/>
      <c r="H1046293" s="24"/>
      <c r="I1046293" s="24"/>
      <c r="J1046293" s="24"/>
      <c r="K1046293" s="54"/>
    </row>
    <row r="1046294" spans="1:11" s="55" customFormat="1" ht="12.75">
      <c r="A1046294" s="24"/>
      <c r="B1046294" s="24"/>
      <c r="C1046294" s="24"/>
      <c r="D1046294" s="24"/>
      <c r="E1046294" s="24"/>
      <c r="F1046294" s="24"/>
      <c r="G1046294" s="24"/>
      <c r="H1046294" s="24"/>
      <c r="I1046294" s="24"/>
      <c r="J1046294" s="24"/>
      <c r="K1046294" s="54"/>
    </row>
    <row r="1046295" spans="1:11" s="55" customFormat="1" ht="12.75">
      <c r="A1046295" s="24"/>
      <c r="B1046295" s="24"/>
      <c r="C1046295" s="24"/>
      <c r="D1046295" s="24"/>
      <c r="E1046295" s="24"/>
      <c r="F1046295" s="24"/>
      <c r="G1046295" s="24"/>
      <c r="H1046295" s="24"/>
      <c r="I1046295" s="24"/>
      <c r="J1046295" s="24"/>
      <c r="K1046295" s="54"/>
    </row>
    <row r="1046296" spans="1:11" s="55" customFormat="1" ht="12.75">
      <c r="A1046296" s="24"/>
      <c r="B1046296" s="24"/>
      <c r="C1046296" s="24"/>
      <c r="D1046296" s="24"/>
      <c r="E1046296" s="24"/>
      <c r="F1046296" s="24"/>
      <c r="G1046296" s="24"/>
      <c r="H1046296" s="24"/>
      <c r="I1046296" s="24"/>
      <c r="J1046296" s="24"/>
      <c r="K1046296" s="54"/>
    </row>
    <row r="1046297" spans="1:11" s="55" customFormat="1" ht="12.75">
      <c r="A1046297" s="24"/>
      <c r="B1046297" s="24"/>
      <c r="C1046297" s="24"/>
      <c r="D1046297" s="24"/>
      <c r="E1046297" s="24"/>
      <c r="F1046297" s="24"/>
      <c r="G1046297" s="24"/>
      <c r="H1046297" s="24"/>
      <c r="I1046297" s="24"/>
      <c r="J1046297" s="24"/>
      <c r="K1046297" s="54"/>
    </row>
    <row r="1046298" spans="1:11" s="55" customFormat="1" ht="12.75">
      <c r="A1046298" s="24"/>
      <c r="B1046298" s="24"/>
      <c r="C1046298" s="24"/>
      <c r="D1046298" s="24"/>
      <c r="E1046298" s="24"/>
      <c r="F1046298" s="24"/>
      <c r="G1046298" s="24"/>
      <c r="H1046298" s="24"/>
      <c r="I1046298" s="24"/>
      <c r="J1046298" s="24"/>
      <c r="K1046298" s="54"/>
    </row>
    <row r="1046299" spans="1:11" s="55" customFormat="1" ht="12.75">
      <c r="A1046299" s="24"/>
      <c r="B1046299" s="24"/>
      <c r="C1046299" s="24"/>
      <c r="D1046299" s="24"/>
      <c r="E1046299" s="24"/>
      <c r="F1046299" s="24"/>
      <c r="G1046299" s="24"/>
      <c r="H1046299" s="24"/>
      <c r="I1046299" s="24"/>
      <c r="J1046299" s="24"/>
      <c r="K1046299" s="54"/>
    </row>
    <row r="1046300" spans="1:11" s="55" customFormat="1" ht="12.75">
      <c r="A1046300" s="24"/>
      <c r="B1046300" s="24"/>
      <c r="C1046300" s="24"/>
      <c r="D1046300" s="24"/>
      <c r="E1046300" s="24"/>
      <c r="F1046300" s="24"/>
      <c r="G1046300" s="24"/>
      <c r="H1046300" s="24"/>
      <c r="I1046300" s="24"/>
      <c r="J1046300" s="24"/>
      <c r="K1046300" s="54"/>
    </row>
    <row r="1046301" spans="1:11" s="55" customFormat="1" ht="12.75">
      <c r="A1046301" s="24"/>
      <c r="B1046301" s="24"/>
      <c r="C1046301" s="24"/>
      <c r="D1046301" s="24"/>
      <c r="E1046301" s="24"/>
      <c r="F1046301" s="24"/>
      <c r="G1046301" s="24"/>
      <c r="H1046301" s="24"/>
      <c r="I1046301" s="24"/>
      <c r="J1046301" s="24"/>
      <c r="K1046301" s="54"/>
    </row>
    <row r="1046302" spans="1:11" s="55" customFormat="1" ht="12.75">
      <c r="A1046302" s="24"/>
      <c r="B1046302" s="24"/>
      <c r="C1046302" s="24"/>
      <c r="D1046302" s="24"/>
      <c r="E1046302" s="24"/>
      <c r="F1046302" s="24"/>
      <c r="G1046302" s="24"/>
      <c r="H1046302" s="24"/>
      <c r="I1046302" s="24"/>
      <c r="J1046302" s="24"/>
      <c r="K1046302" s="54"/>
    </row>
    <row r="1046303" spans="1:11" s="55" customFormat="1" ht="12.75">
      <c r="A1046303" s="24"/>
      <c r="B1046303" s="24"/>
      <c r="C1046303" s="24"/>
      <c r="D1046303" s="24"/>
      <c r="E1046303" s="24"/>
      <c r="F1046303" s="24"/>
      <c r="G1046303" s="24"/>
      <c r="H1046303" s="24"/>
      <c r="I1046303" s="24"/>
      <c r="J1046303" s="24"/>
      <c r="K1046303" s="54"/>
    </row>
    <row r="1046304" spans="1:11" s="55" customFormat="1" ht="12.75">
      <c r="A1046304" s="24"/>
      <c r="B1046304" s="24"/>
      <c r="C1046304" s="24"/>
      <c r="D1046304" s="24"/>
      <c r="E1046304" s="24"/>
      <c r="F1046304" s="24"/>
      <c r="G1046304" s="24"/>
      <c r="H1046304" s="24"/>
      <c r="I1046304" s="24"/>
      <c r="J1046304" s="24"/>
      <c r="K1046304" s="54"/>
    </row>
    <row r="1046305" spans="1:11" s="55" customFormat="1" ht="12.75">
      <c r="A1046305" s="24"/>
      <c r="B1046305" s="24"/>
      <c r="C1046305" s="24"/>
      <c r="D1046305" s="24"/>
      <c r="E1046305" s="24"/>
      <c r="F1046305" s="24"/>
      <c r="G1046305" s="24"/>
      <c r="H1046305" s="24"/>
      <c r="I1046305" s="24"/>
      <c r="J1046305" s="24"/>
      <c r="K1046305" s="54"/>
    </row>
    <row r="1046306" spans="1:11" s="55" customFormat="1" ht="12.75">
      <c r="A1046306" s="24"/>
      <c r="B1046306" s="24"/>
      <c r="C1046306" s="24"/>
      <c r="D1046306" s="24"/>
      <c r="E1046306" s="24"/>
      <c r="F1046306" s="24"/>
      <c r="G1046306" s="24"/>
      <c r="H1046306" s="24"/>
      <c r="I1046306" s="24"/>
      <c r="J1046306" s="24"/>
      <c r="K1046306" s="54"/>
    </row>
    <row r="1046307" spans="1:11" s="55" customFormat="1" ht="12.75">
      <c r="A1046307" s="24"/>
      <c r="B1046307" s="24"/>
      <c r="C1046307" s="24"/>
      <c r="D1046307" s="24"/>
      <c r="E1046307" s="24"/>
      <c r="F1046307" s="24"/>
      <c r="G1046307" s="24"/>
      <c r="H1046307" s="24"/>
      <c r="I1046307" s="24"/>
      <c r="J1046307" s="24"/>
      <c r="K1046307" s="54"/>
    </row>
    <row r="1046308" spans="1:11" s="55" customFormat="1" ht="12.75">
      <c r="A1046308" s="24"/>
      <c r="B1046308" s="24"/>
      <c r="C1046308" s="24"/>
      <c r="D1046308" s="24"/>
      <c r="E1046308" s="24"/>
      <c r="F1046308" s="24"/>
      <c r="G1046308" s="24"/>
      <c r="H1046308" s="24"/>
      <c r="I1046308" s="24"/>
      <c r="J1046308" s="24"/>
      <c r="K1046308" s="54"/>
    </row>
    <row r="1046309" spans="1:11" s="55" customFormat="1" ht="12.75">
      <c r="A1046309" s="24"/>
      <c r="B1046309" s="24"/>
      <c r="C1046309" s="24"/>
      <c r="D1046309" s="24"/>
      <c r="E1046309" s="24"/>
      <c r="F1046309" s="24"/>
      <c r="G1046309" s="24"/>
      <c r="H1046309" s="24"/>
      <c r="I1046309" s="24"/>
      <c r="J1046309" s="24"/>
      <c r="K1046309" s="54"/>
    </row>
    <row r="1046310" spans="1:11" s="55" customFormat="1" ht="12.75">
      <c r="A1046310" s="24"/>
      <c r="B1046310" s="24"/>
      <c r="C1046310" s="24"/>
      <c r="D1046310" s="24"/>
      <c r="E1046310" s="24"/>
      <c r="F1046310" s="24"/>
      <c r="G1046310" s="24"/>
      <c r="H1046310" s="24"/>
      <c r="I1046310" s="24"/>
      <c r="J1046310" s="24"/>
      <c r="K1046310" s="54"/>
    </row>
    <row r="1046311" spans="1:11" s="55" customFormat="1" ht="12.75">
      <c r="A1046311" s="24"/>
      <c r="B1046311" s="24"/>
      <c r="C1046311" s="24"/>
      <c r="D1046311" s="24"/>
      <c r="E1046311" s="24"/>
      <c r="F1046311" s="24"/>
      <c r="G1046311" s="24"/>
      <c r="H1046311" s="24"/>
      <c r="I1046311" s="24"/>
      <c r="J1046311" s="24"/>
      <c r="K1046311" s="54"/>
    </row>
    <row r="1046312" spans="1:11" s="55" customFormat="1" ht="12.75">
      <c r="A1046312" s="24"/>
      <c r="B1046312" s="24"/>
      <c r="C1046312" s="24"/>
      <c r="D1046312" s="24"/>
      <c r="E1046312" s="24"/>
      <c r="F1046312" s="24"/>
      <c r="G1046312" s="24"/>
      <c r="H1046312" s="24"/>
      <c r="I1046312" s="24"/>
      <c r="J1046312" s="24"/>
      <c r="K1046312" s="54"/>
    </row>
    <row r="1046313" spans="1:11" s="55" customFormat="1" ht="12.75">
      <c r="A1046313" s="24"/>
      <c r="B1046313" s="24"/>
      <c r="C1046313" s="24"/>
      <c r="D1046313" s="24"/>
      <c r="E1046313" s="24"/>
      <c r="F1046313" s="24"/>
      <c r="G1046313" s="24"/>
      <c r="H1046313" s="24"/>
      <c r="I1046313" s="24"/>
      <c r="J1046313" s="24"/>
      <c r="K1046313" s="54"/>
    </row>
    <row r="1046314" spans="1:11" s="55" customFormat="1" ht="12.75">
      <c r="A1046314" s="24"/>
      <c r="B1046314" s="24"/>
      <c r="C1046314" s="24"/>
      <c r="D1046314" s="24"/>
      <c r="E1046314" s="24"/>
      <c r="F1046314" s="24"/>
      <c r="G1046314" s="24"/>
      <c r="H1046314" s="24"/>
      <c r="I1046314" s="24"/>
      <c r="J1046314" s="24"/>
      <c r="K1046314" s="54"/>
    </row>
    <row r="1046315" spans="1:11" s="55" customFormat="1" ht="12.75">
      <c r="A1046315" s="24"/>
      <c r="B1046315" s="24"/>
      <c r="C1046315" s="24"/>
      <c r="D1046315" s="24"/>
      <c r="E1046315" s="24"/>
      <c r="F1046315" s="24"/>
      <c r="G1046315" s="24"/>
      <c r="H1046315" s="24"/>
      <c r="I1046315" s="24"/>
      <c r="J1046315" s="24"/>
      <c r="K1046315" s="54"/>
    </row>
    <row r="1046316" spans="1:11" s="55" customFormat="1" ht="12.75">
      <c r="A1046316" s="24"/>
      <c r="B1046316" s="24"/>
      <c r="C1046316" s="24"/>
      <c r="D1046316" s="24"/>
      <c r="E1046316" s="24"/>
      <c r="F1046316" s="24"/>
      <c r="G1046316" s="24"/>
      <c r="H1046316" s="24"/>
      <c r="I1046316" s="24"/>
      <c r="J1046316" s="24"/>
      <c r="K1046316" s="54"/>
    </row>
    <row r="1046317" spans="1:11" s="55" customFormat="1" ht="12.75">
      <c r="A1046317" s="24"/>
      <c r="B1046317" s="24"/>
      <c r="C1046317" s="24"/>
      <c r="D1046317" s="24"/>
      <c r="E1046317" s="24"/>
      <c r="F1046317" s="24"/>
      <c r="G1046317" s="24"/>
      <c r="H1046317" s="24"/>
      <c r="I1046317" s="24"/>
      <c r="J1046317" s="24"/>
      <c r="K1046317" s="54"/>
    </row>
    <row r="1046318" spans="1:11" s="55" customFormat="1" ht="12.75">
      <c r="A1046318" s="24"/>
      <c r="B1046318" s="24"/>
      <c r="C1046318" s="24"/>
      <c r="D1046318" s="24"/>
      <c r="E1046318" s="24"/>
      <c r="F1046318" s="24"/>
      <c r="G1046318" s="24"/>
      <c r="H1046318" s="24"/>
      <c r="I1046318" s="24"/>
      <c r="J1046318" s="24"/>
      <c r="K1046318" s="54"/>
    </row>
    <row r="1046319" spans="1:11" s="55" customFormat="1" ht="12.75">
      <c r="A1046319" s="24"/>
      <c r="B1046319" s="24"/>
      <c r="C1046319" s="24"/>
      <c r="D1046319" s="24"/>
      <c r="E1046319" s="24"/>
      <c r="F1046319" s="24"/>
      <c r="G1046319" s="24"/>
      <c r="H1046319" s="24"/>
      <c r="I1046319" s="24"/>
      <c r="J1046319" s="24"/>
      <c r="K1046319" s="54"/>
    </row>
    <row r="1046320" spans="1:11" s="55" customFormat="1" ht="12.75">
      <c r="A1046320" s="24"/>
      <c r="B1046320" s="24"/>
      <c r="C1046320" s="24"/>
      <c r="D1046320" s="24"/>
      <c r="E1046320" s="24"/>
      <c r="F1046320" s="24"/>
      <c r="G1046320" s="24"/>
      <c r="H1046320" s="24"/>
      <c r="I1046320" s="24"/>
      <c r="J1046320" s="24"/>
      <c r="K1046320" s="54"/>
    </row>
    <row r="1046321" spans="1:11" s="55" customFormat="1" ht="12.75">
      <c r="A1046321" s="24"/>
      <c r="B1046321" s="24"/>
      <c r="C1046321" s="24"/>
      <c r="D1046321" s="24"/>
      <c r="E1046321" s="24"/>
      <c r="F1046321" s="24"/>
      <c r="G1046321" s="24"/>
      <c r="H1046321" s="24"/>
      <c r="I1046321" s="24"/>
      <c r="J1046321" s="24"/>
      <c r="K1046321" s="54"/>
    </row>
    <row r="1046322" spans="1:11" s="55" customFormat="1" ht="12.75">
      <c r="A1046322" s="24"/>
      <c r="B1046322" s="24"/>
      <c r="C1046322" s="24"/>
      <c r="D1046322" s="24"/>
      <c r="E1046322" s="24"/>
      <c r="F1046322" s="24"/>
      <c r="G1046322" s="24"/>
      <c r="H1046322" s="24"/>
      <c r="I1046322" s="24"/>
      <c r="J1046322" s="24"/>
      <c r="K1046322" s="54"/>
    </row>
    <row r="1046323" spans="1:11" s="55" customFormat="1" ht="12.75">
      <c r="A1046323" s="24"/>
      <c r="B1046323" s="24"/>
      <c r="C1046323" s="24"/>
      <c r="D1046323" s="24"/>
      <c r="E1046323" s="24"/>
      <c r="F1046323" s="24"/>
      <c r="G1046323" s="24"/>
      <c r="H1046323" s="24"/>
      <c r="I1046323" s="24"/>
      <c r="J1046323" s="24"/>
      <c r="K1046323" s="54"/>
    </row>
    <row r="1046324" spans="1:11" s="55" customFormat="1" ht="12.75">
      <c r="A1046324" s="24"/>
      <c r="B1046324" s="24"/>
      <c r="C1046324" s="24"/>
      <c r="D1046324" s="24"/>
      <c r="E1046324" s="24"/>
      <c r="F1046324" s="24"/>
      <c r="G1046324" s="24"/>
      <c r="H1046324" s="24"/>
      <c r="I1046324" s="24"/>
      <c r="J1046324" s="24"/>
      <c r="K1046324" s="54"/>
    </row>
    <row r="1046325" spans="1:11" s="55" customFormat="1" ht="12.75">
      <c r="A1046325" s="24"/>
      <c r="B1046325" s="24"/>
      <c r="C1046325" s="24"/>
      <c r="D1046325" s="24"/>
      <c r="E1046325" s="24"/>
      <c r="F1046325" s="24"/>
      <c r="G1046325" s="24"/>
      <c r="H1046325" s="24"/>
      <c r="I1046325" s="24"/>
      <c r="J1046325" s="24"/>
      <c r="K1046325" s="54"/>
    </row>
    <row r="1046326" spans="1:11" s="55" customFormat="1" ht="12.75">
      <c r="A1046326" s="24"/>
      <c r="B1046326" s="24"/>
      <c r="C1046326" s="24"/>
      <c r="D1046326" s="24"/>
      <c r="E1046326" s="24"/>
      <c r="F1046326" s="24"/>
      <c r="G1046326" s="24"/>
      <c r="H1046326" s="24"/>
      <c r="I1046326" s="24"/>
      <c r="J1046326" s="24"/>
      <c r="K1046326" s="54"/>
    </row>
    <row r="1046327" spans="1:11" s="55" customFormat="1" ht="12.75">
      <c r="A1046327" s="24"/>
      <c r="B1046327" s="24"/>
      <c r="C1046327" s="24"/>
      <c r="D1046327" s="24"/>
      <c r="E1046327" s="24"/>
      <c r="F1046327" s="24"/>
      <c r="G1046327" s="24"/>
      <c r="H1046327" s="24"/>
      <c r="I1046327" s="24"/>
      <c r="J1046327" s="24"/>
      <c r="K1046327" s="54"/>
    </row>
    <row r="1046328" spans="1:11" s="55" customFormat="1" ht="12.75">
      <c r="A1046328" s="24"/>
      <c r="B1046328" s="24"/>
      <c r="C1046328" s="24"/>
      <c r="D1046328" s="24"/>
      <c r="E1046328" s="24"/>
      <c r="F1046328" s="24"/>
      <c r="G1046328" s="24"/>
      <c r="H1046328" s="24"/>
      <c r="I1046328" s="24"/>
      <c r="J1046328" s="24"/>
      <c r="K1046328" s="54"/>
    </row>
    <row r="1046329" spans="1:11" s="55" customFormat="1" ht="12.75">
      <c r="A1046329" s="24"/>
      <c r="B1046329" s="24"/>
      <c r="C1046329" s="24"/>
      <c r="D1046329" s="24"/>
      <c r="E1046329" s="24"/>
      <c r="F1046329" s="24"/>
      <c r="G1046329" s="24"/>
      <c r="H1046329" s="24"/>
      <c r="I1046329" s="24"/>
      <c r="J1046329" s="24"/>
      <c r="K1046329" s="54"/>
    </row>
    <row r="1046330" spans="1:11" s="55" customFormat="1" ht="12.75">
      <c r="A1046330" s="24"/>
      <c r="B1046330" s="24"/>
      <c r="C1046330" s="24"/>
      <c r="D1046330" s="24"/>
      <c r="E1046330" s="24"/>
      <c r="F1046330" s="24"/>
      <c r="G1046330" s="24"/>
      <c r="H1046330" s="24"/>
      <c r="I1046330" s="24"/>
      <c r="J1046330" s="24"/>
      <c r="K1046330" s="54"/>
    </row>
    <row r="1046331" spans="1:11" s="55" customFormat="1" ht="12.75">
      <c r="A1046331" s="24"/>
      <c r="B1046331" s="24"/>
      <c r="C1046331" s="24"/>
      <c r="D1046331" s="24"/>
      <c r="E1046331" s="24"/>
      <c r="F1046331" s="24"/>
      <c r="G1046331" s="24"/>
      <c r="H1046331" s="24"/>
      <c r="I1046331" s="24"/>
      <c r="J1046331" s="24"/>
      <c r="K1046331" s="54"/>
    </row>
    <row r="1046332" spans="1:11" s="55" customFormat="1" ht="12.75">
      <c r="A1046332" s="24"/>
      <c r="B1046332" s="24"/>
      <c r="C1046332" s="24"/>
      <c r="D1046332" s="24"/>
      <c r="E1046332" s="24"/>
      <c r="F1046332" s="24"/>
      <c r="G1046332" s="24"/>
      <c r="H1046332" s="24"/>
      <c r="I1046332" s="24"/>
      <c r="J1046332" s="24"/>
      <c r="K1046332" s="54"/>
    </row>
    <row r="1046333" spans="1:11" s="55" customFormat="1" ht="12.75">
      <c r="A1046333" s="24"/>
      <c r="B1046333" s="24"/>
      <c r="C1046333" s="24"/>
      <c r="D1046333" s="24"/>
      <c r="E1046333" s="24"/>
      <c r="F1046333" s="24"/>
      <c r="G1046333" s="24"/>
      <c r="H1046333" s="24"/>
      <c r="I1046333" s="24"/>
      <c r="J1046333" s="24"/>
      <c r="K1046333" s="54"/>
    </row>
    <row r="1046334" spans="1:11" s="55" customFormat="1" ht="12.75">
      <c r="A1046334" s="24"/>
      <c r="B1046334" s="24"/>
      <c r="C1046334" s="24"/>
      <c r="D1046334" s="24"/>
      <c r="E1046334" s="24"/>
      <c r="F1046334" s="24"/>
      <c r="G1046334" s="24"/>
      <c r="H1046334" s="24"/>
      <c r="I1046334" s="24"/>
      <c r="J1046334" s="24"/>
      <c r="K1046334" s="54"/>
    </row>
    <row r="1046335" spans="1:11" s="55" customFormat="1" ht="12.75">
      <c r="A1046335" s="24"/>
      <c r="B1046335" s="24"/>
      <c r="C1046335" s="24"/>
      <c r="D1046335" s="24"/>
      <c r="E1046335" s="24"/>
      <c r="F1046335" s="24"/>
      <c r="G1046335" s="24"/>
      <c r="H1046335" s="24"/>
      <c r="I1046335" s="24"/>
      <c r="J1046335" s="24"/>
      <c r="K1046335" s="54"/>
    </row>
    <row r="1046336" spans="1:11" s="55" customFormat="1" ht="12.75">
      <c r="A1046336" s="24"/>
      <c r="B1046336" s="24"/>
      <c r="C1046336" s="24"/>
      <c r="D1046336" s="24"/>
      <c r="E1046336" s="24"/>
      <c r="F1046336" s="24"/>
      <c r="G1046336" s="24"/>
      <c r="H1046336" s="24"/>
      <c r="I1046336" s="24"/>
      <c r="J1046336" s="24"/>
      <c r="K1046336" s="54"/>
    </row>
    <row r="1046337" spans="1:11" s="55" customFormat="1" ht="12.75">
      <c r="A1046337" s="24"/>
      <c r="B1046337" s="24"/>
      <c r="C1046337" s="24"/>
      <c r="D1046337" s="24"/>
      <c r="E1046337" s="24"/>
      <c r="F1046337" s="24"/>
      <c r="G1046337" s="24"/>
      <c r="H1046337" s="24"/>
      <c r="I1046337" s="24"/>
      <c r="J1046337" s="24"/>
      <c r="K1046337" s="54"/>
    </row>
    <row r="1046338" spans="1:11" s="55" customFormat="1" ht="12.75">
      <c r="A1046338" s="24"/>
      <c r="B1046338" s="24"/>
      <c r="C1046338" s="24"/>
      <c r="D1046338" s="24"/>
      <c r="E1046338" s="24"/>
      <c r="F1046338" s="24"/>
      <c r="G1046338" s="24"/>
      <c r="H1046338" s="24"/>
      <c r="I1046338" s="24"/>
      <c r="J1046338" s="24"/>
      <c r="K1046338" s="54"/>
    </row>
    <row r="1046339" spans="1:11" s="55" customFormat="1" ht="12.75">
      <c r="A1046339" s="24"/>
      <c r="B1046339" s="24"/>
      <c r="C1046339" s="24"/>
      <c r="D1046339" s="24"/>
      <c r="E1046339" s="24"/>
      <c r="F1046339" s="24"/>
      <c r="G1046339" s="24"/>
      <c r="H1046339" s="24"/>
      <c r="I1046339" s="24"/>
      <c r="J1046339" s="24"/>
      <c r="K1046339" s="54"/>
    </row>
    <row r="1046340" spans="1:11" s="55" customFormat="1" ht="12.75">
      <c r="A1046340" s="24"/>
      <c r="B1046340" s="24"/>
      <c r="C1046340" s="24"/>
      <c r="D1046340" s="24"/>
      <c r="E1046340" s="24"/>
      <c r="F1046340" s="24"/>
      <c r="G1046340" s="24"/>
      <c r="H1046340" s="24"/>
      <c r="I1046340" s="24"/>
      <c r="J1046340" s="24"/>
      <c r="K1046340" s="54"/>
    </row>
    <row r="1046341" spans="1:11" s="55" customFormat="1" ht="12.75">
      <c r="A1046341" s="24"/>
      <c r="B1046341" s="24"/>
      <c r="C1046341" s="24"/>
      <c r="D1046341" s="24"/>
      <c r="E1046341" s="24"/>
      <c r="F1046341" s="24"/>
      <c r="G1046341" s="24"/>
      <c r="H1046341" s="24"/>
      <c r="I1046341" s="24"/>
      <c r="J1046341" s="24"/>
      <c r="K1046341" s="54"/>
    </row>
    <row r="1046342" spans="1:11" s="55" customFormat="1" ht="12.75">
      <c r="A1046342" s="24"/>
      <c r="B1046342" s="24"/>
      <c r="C1046342" s="24"/>
      <c r="D1046342" s="24"/>
      <c r="E1046342" s="24"/>
      <c r="F1046342" s="24"/>
      <c r="G1046342" s="24"/>
      <c r="H1046342" s="24"/>
      <c r="I1046342" s="24"/>
      <c r="J1046342" s="24"/>
      <c r="K1046342" s="54"/>
    </row>
    <row r="1046343" spans="1:11" s="55" customFormat="1" ht="12.75">
      <c r="A1046343" s="24"/>
      <c r="B1046343" s="24"/>
      <c r="C1046343" s="24"/>
      <c r="D1046343" s="24"/>
      <c r="E1046343" s="24"/>
      <c r="F1046343" s="24"/>
      <c r="G1046343" s="24"/>
      <c r="H1046343" s="24"/>
      <c r="I1046343" s="24"/>
      <c r="J1046343" s="24"/>
      <c r="K1046343" s="54"/>
    </row>
    <row r="1046344" spans="1:11" s="55" customFormat="1" ht="12.75">
      <c r="A1046344" s="24"/>
      <c r="B1046344" s="24"/>
      <c r="C1046344" s="24"/>
      <c r="D1046344" s="24"/>
      <c r="E1046344" s="24"/>
      <c r="F1046344" s="24"/>
      <c r="G1046344" s="24"/>
      <c r="H1046344" s="24"/>
      <c r="I1046344" s="24"/>
      <c r="J1046344" s="24"/>
      <c r="K1046344" s="54"/>
    </row>
    <row r="1046345" spans="1:11" s="55" customFormat="1" ht="12.75">
      <c r="A1046345" s="24"/>
      <c r="B1046345" s="24"/>
      <c r="C1046345" s="24"/>
      <c r="D1046345" s="24"/>
      <c r="E1046345" s="24"/>
      <c r="F1046345" s="24"/>
      <c r="G1046345" s="24"/>
      <c r="H1046345" s="24"/>
      <c r="I1046345" s="24"/>
      <c r="J1046345" s="24"/>
      <c r="K1046345" s="54"/>
    </row>
    <row r="1046346" spans="1:11" s="55" customFormat="1" ht="12.75">
      <c r="A1046346" s="24"/>
      <c r="B1046346" s="24"/>
      <c r="C1046346" s="24"/>
      <c r="D1046346" s="24"/>
      <c r="E1046346" s="24"/>
      <c r="F1046346" s="24"/>
      <c r="G1046346" s="24"/>
      <c r="H1046346" s="24"/>
      <c r="I1046346" s="24"/>
      <c r="J1046346" s="24"/>
      <c r="K1046346" s="54"/>
    </row>
    <row r="1046347" spans="1:11" s="55" customFormat="1" ht="12.75">
      <c r="A1046347" s="24"/>
      <c r="B1046347" s="24"/>
      <c r="C1046347" s="24"/>
      <c r="D1046347" s="24"/>
      <c r="E1046347" s="24"/>
      <c r="F1046347" s="24"/>
      <c r="G1046347" s="24"/>
      <c r="H1046347" s="24"/>
      <c r="I1046347" s="24"/>
      <c r="J1046347" s="24"/>
      <c r="K1046347" s="54"/>
    </row>
    <row r="1046348" spans="1:11" s="55" customFormat="1" ht="12.75">
      <c r="A1046348" s="24"/>
      <c r="B1046348" s="24"/>
      <c r="C1046348" s="24"/>
      <c r="D1046348" s="24"/>
      <c r="E1046348" s="24"/>
      <c r="F1046348" s="24"/>
      <c r="G1046348" s="24"/>
      <c r="H1046348" s="24"/>
      <c r="I1046348" s="24"/>
      <c r="J1046348" s="24"/>
      <c r="K1046348" s="54"/>
    </row>
    <row r="1046349" spans="1:11" s="55" customFormat="1" ht="12.75">
      <c r="A1046349" s="24"/>
      <c r="B1046349" s="24"/>
      <c r="C1046349" s="24"/>
      <c r="D1046349" s="24"/>
      <c r="E1046349" s="24"/>
      <c r="F1046349" s="24"/>
      <c r="G1046349" s="24"/>
      <c r="H1046349" s="24"/>
      <c r="I1046349" s="24"/>
      <c r="J1046349" s="24"/>
      <c r="K1046349" s="54"/>
    </row>
    <row r="1046350" spans="1:11" s="55" customFormat="1" ht="12.75">
      <c r="A1046350" s="24"/>
      <c r="B1046350" s="24"/>
      <c r="C1046350" s="24"/>
      <c r="D1046350" s="24"/>
      <c r="E1046350" s="24"/>
      <c r="F1046350" s="24"/>
      <c r="G1046350" s="24"/>
      <c r="H1046350" s="24"/>
      <c r="I1046350" s="24"/>
      <c r="J1046350" s="24"/>
      <c r="K1046350" s="54"/>
    </row>
    <row r="1046351" spans="1:11" s="55" customFormat="1" ht="12.75">
      <c r="A1046351" s="24"/>
      <c r="B1046351" s="24"/>
      <c r="C1046351" s="24"/>
      <c r="D1046351" s="24"/>
      <c r="E1046351" s="24"/>
      <c r="F1046351" s="24"/>
      <c r="G1046351" s="24"/>
      <c r="H1046351" s="24"/>
      <c r="I1046351" s="24"/>
      <c r="J1046351" s="24"/>
      <c r="K1046351" s="54"/>
    </row>
    <row r="1046352" spans="1:11" s="55" customFormat="1" ht="12.75">
      <c r="A1046352" s="24"/>
      <c r="B1046352" s="24"/>
      <c r="C1046352" s="24"/>
      <c r="D1046352" s="24"/>
      <c r="E1046352" s="24"/>
      <c r="F1046352" s="24"/>
      <c r="G1046352" s="24"/>
      <c r="H1046352" s="24"/>
      <c r="I1046352" s="24"/>
      <c r="J1046352" s="24"/>
      <c r="K1046352" s="54"/>
    </row>
    <row r="1046353" spans="1:11" s="55" customFormat="1" ht="12.75">
      <c r="A1046353" s="24"/>
      <c r="B1046353" s="24"/>
      <c r="C1046353" s="24"/>
      <c r="D1046353" s="24"/>
      <c r="E1046353" s="24"/>
      <c r="F1046353" s="24"/>
      <c r="G1046353" s="24"/>
      <c r="H1046353" s="24"/>
      <c r="I1046353" s="24"/>
      <c r="J1046353" s="24"/>
      <c r="K1046353" s="54"/>
    </row>
    <row r="1046354" spans="1:11" s="55" customFormat="1" ht="12.75">
      <c r="A1046354" s="24"/>
      <c r="B1046354" s="24"/>
      <c r="C1046354" s="24"/>
      <c r="D1046354" s="24"/>
      <c r="E1046354" s="24"/>
      <c r="F1046354" s="24"/>
      <c r="G1046354" s="24"/>
      <c r="H1046354" s="24"/>
      <c r="I1046354" s="24"/>
      <c r="J1046354" s="24"/>
      <c r="K1046354" s="54"/>
    </row>
    <row r="1046355" spans="1:11" s="55" customFormat="1" ht="12.75">
      <c r="A1046355" s="24"/>
      <c r="B1046355" s="24"/>
      <c r="C1046355" s="24"/>
      <c r="D1046355" s="24"/>
      <c r="E1046355" s="24"/>
      <c r="F1046355" s="24"/>
      <c r="G1046355" s="24"/>
      <c r="H1046355" s="24"/>
      <c r="I1046355" s="24"/>
      <c r="J1046355" s="24"/>
      <c r="K1046355" s="54"/>
    </row>
    <row r="1046356" spans="1:11" s="55" customFormat="1" ht="12.75">
      <c r="A1046356" s="24"/>
      <c r="B1046356" s="24"/>
      <c r="C1046356" s="24"/>
      <c r="D1046356" s="24"/>
      <c r="E1046356" s="24"/>
      <c r="F1046356" s="24"/>
      <c r="G1046356" s="24"/>
      <c r="H1046356" s="24"/>
      <c r="I1046356" s="24"/>
      <c r="J1046356" s="24"/>
      <c r="K1046356" s="54"/>
    </row>
    <row r="1046357" spans="1:11" s="55" customFormat="1" ht="12.75">
      <c r="A1046357" s="24"/>
      <c r="B1046357" s="24"/>
      <c r="C1046357" s="24"/>
      <c r="D1046357" s="24"/>
      <c r="E1046357" s="24"/>
      <c r="F1046357" s="24"/>
      <c r="G1046357" s="24"/>
      <c r="H1046357" s="24"/>
      <c r="I1046357" s="24"/>
      <c r="J1046357" s="24"/>
      <c r="K1046357" s="54"/>
    </row>
    <row r="1046358" spans="1:11" s="55" customFormat="1" ht="12.75">
      <c r="A1046358" s="24"/>
      <c r="B1046358" s="24"/>
      <c r="C1046358" s="24"/>
      <c r="D1046358" s="24"/>
      <c r="E1046358" s="24"/>
      <c r="F1046358" s="24"/>
      <c r="G1046358" s="24"/>
      <c r="H1046358" s="24"/>
      <c r="I1046358" s="24"/>
      <c r="J1046358" s="24"/>
      <c r="K1046358" s="54"/>
    </row>
    <row r="1046359" spans="1:11" s="55" customFormat="1" ht="12.75">
      <c r="A1046359" s="24"/>
      <c r="B1046359" s="24"/>
      <c r="C1046359" s="24"/>
      <c r="D1046359" s="24"/>
      <c r="E1046359" s="24"/>
      <c r="F1046359" s="24"/>
      <c r="G1046359" s="24"/>
      <c r="H1046359" s="24"/>
      <c r="I1046359" s="24"/>
      <c r="J1046359" s="24"/>
      <c r="K1046359" s="54"/>
    </row>
    <row r="1046360" spans="1:11" s="55" customFormat="1" ht="12.75">
      <c r="A1046360" s="24"/>
      <c r="B1046360" s="24"/>
      <c r="C1046360" s="24"/>
      <c r="D1046360" s="24"/>
      <c r="E1046360" s="24"/>
      <c r="F1046360" s="24"/>
      <c r="G1046360" s="24"/>
      <c r="H1046360" s="24"/>
      <c r="I1046360" s="24"/>
      <c r="J1046360" s="24"/>
      <c r="K1046360" s="54"/>
    </row>
    <row r="1046361" spans="1:11" s="55" customFormat="1" ht="12.75">
      <c r="A1046361" s="24"/>
      <c r="B1046361" s="24"/>
      <c r="C1046361" s="24"/>
      <c r="D1046361" s="24"/>
      <c r="E1046361" s="24"/>
      <c r="F1046361" s="24"/>
      <c r="G1046361" s="24"/>
      <c r="H1046361" s="24"/>
      <c r="I1046361" s="24"/>
      <c r="J1046361" s="24"/>
      <c r="K1046361" s="54"/>
    </row>
    <row r="1046362" spans="1:11" s="55" customFormat="1" ht="12.75">
      <c r="A1046362" s="24"/>
      <c r="B1046362" s="24"/>
      <c r="C1046362" s="24"/>
      <c r="D1046362" s="24"/>
      <c r="E1046362" s="24"/>
      <c r="F1046362" s="24"/>
      <c r="G1046362" s="24"/>
      <c r="H1046362" s="24"/>
      <c r="I1046362" s="24"/>
      <c r="J1046362" s="24"/>
      <c r="K1046362" s="54"/>
    </row>
    <row r="1046363" spans="1:11" s="55" customFormat="1" ht="12.75">
      <c r="A1046363" s="24"/>
      <c r="B1046363" s="24"/>
      <c r="C1046363" s="24"/>
      <c r="D1046363" s="24"/>
      <c r="E1046363" s="24"/>
      <c r="F1046363" s="24"/>
      <c r="G1046363" s="24"/>
      <c r="H1046363" s="24"/>
      <c r="I1046363" s="24"/>
      <c r="J1046363" s="24"/>
      <c r="K1046363" s="54"/>
    </row>
    <row r="1046364" spans="1:11" s="55" customFormat="1" ht="12.75">
      <c r="A1046364" s="24"/>
      <c r="B1046364" s="24"/>
      <c r="C1046364" s="24"/>
      <c r="D1046364" s="24"/>
      <c r="E1046364" s="24"/>
      <c r="F1046364" s="24"/>
      <c r="G1046364" s="24"/>
      <c r="H1046364" s="24"/>
      <c r="I1046364" s="24"/>
      <c r="J1046364" s="24"/>
      <c r="K1046364" s="54"/>
    </row>
    <row r="1046365" spans="1:11" s="55" customFormat="1" ht="12.75">
      <c r="A1046365" s="24"/>
      <c r="B1046365" s="24"/>
      <c r="C1046365" s="24"/>
      <c r="D1046365" s="24"/>
      <c r="E1046365" s="24"/>
      <c r="F1046365" s="24"/>
      <c r="G1046365" s="24"/>
      <c r="H1046365" s="24"/>
      <c r="I1046365" s="24"/>
      <c r="J1046365" s="24"/>
      <c r="K1046365" s="54"/>
    </row>
    <row r="1046366" spans="1:11" s="55" customFormat="1" ht="12.75">
      <c r="A1046366" s="24"/>
      <c r="B1046366" s="24"/>
      <c r="C1046366" s="24"/>
      <c r="D1046366" s="24"/>
      <c r="E1046366" s="24"/>
      <c r="F1046366" s="24"/>
      <c r="G1046366" s="24"/>
      <c r="H1046366" s="24"/>
      <c r="I1046366" s="24"/>
      <c r="J1046366" s="24"/>
      <c r="K1046366" s="54"/>
    </row>
    <row r="1046367" spans="1:11" s="55" customFormat="1" ht="12.75">
      <c r="A1046367" s="24"/>
      <c r="B1046367" s="24"/>
      <c r="C1046367" s="24"/>
      <c r="D1046367" s="24"/>
      <c r="E1046367" s="24"/>
      <c r="F1046367" s="24"/>
      <c r="G1046367" s="24"/>
      <c r="H1046367" s="24"/>
      <c r="I1046367" s="24"/>
      <c r="J1046367" s="24"/>
      <c r="K1046367" s="54"/>
    </row>
    <row r="1046368" spans="1:11" s="55" customFormat="1" ht="12.75">
      <c r="A1046368" s="24"/>
      <c r="B1046368" s="24"/>
      <c r="C1046368" s="24"/>
      <c r="D1046368" s="24"/>
      <c r="E1046368" s="24"/>
      <c r="F1046368" s="24"/>
      <c r="G1046368" s="24"/>
      <c r="H1046368" s="24"/>
      <c r="I1046368" s="24"/>
      <c r="J1046368" s="24"/>
      <c r="K1046368" s="54"/>
    </row>
    <row r="1046369" spans="1:11" s="55" customFormat="1" ht="12.75">
      <c r="A1046369" s="24"/>
      <c r="B1046369" s="24"/>
      <c r="C1046369" s="24"/>
      <c r="D1046369" s="24"/>
      <c r="E1046369" s="24"/>
      <c r="F1046369" s="24"/>
      <c r="G1046369" s="24"/>
      <c r="H1046369" s="24"/>
      <c r="I1046369" s="24"/>
      <c r="J1046369" s="24"/>
      <c r="K1046369" s="54"/>
    </row>
    <row r="1046370" spans="1:11" s="55" customFormat="1" ht="12.75">
      <c r="A1046370" s="24"/>
      <c r="B1046370" s="24"/>
      <c r="C1046370" s="24"/>
      <c r="D1046370" s="24"/>
      <c r="E1046370" s="24"/>
      <c r="F1046370" s="24"/>
      <c r="G1046370" s="24"/>
      <c r="H1046370" s="24"/>
      <c r="I1046370" s="24"/>
      <c r="J1046370" s="24"/>
      <c r="K1046370" s="54"/>
    </row>
    <row r="1046371" spans="1:11" s="55" customFormat="1" ht="12.75">
      <c r="A1046371" s="24"/>
      <c r="B1046371" s="24"/>
      <c r="C1046371" s="24"/>
      <c r="D1046371" s="24"/>
      <c r="E1046371" s="24"/>
      <c r="F1046371" s="24"/>
      <c r="G1046371" s="24"/>
      <c r="H1046371" s="24"/>
      <c r="I1046371" s="24"/>
      <c r="J1046371" s="24"/>
      <c r="K1046371" s="54"/>
    </row>
    <row r="1046372" spans="1:11" s="55" customFormat="1" ht="12.75">
      <c r="A1046372" s="24"/>
      <c r="B1046372" s="24"/>
      <c r="C1046372" s="24"/>
      <c r="D1046372" s="24"/>
      <c r="E1046372" s="24"/>
      <c r="F1046372" s="24"/>
      <c r="G1046372" s="24"/>
      <c r="H1046372" s="24"/>
      <c r="I1046372" s="24"/>
      <c r="J1046372" s="24"/>
      <c r="K1046372" s="54"/>
    </row>
    <row r="1046373" spans="1:11" s="55" customFormat="1" ht="12.75">
      <c r="A1046373" s="24"/>
      <c r="B1046373" s="24"/>
      <c r="C1046373" s="24"/>
      <c r="D1046373" s="24"/>
      <c r="E1046373" s="24"/>
      <c r="F1046373" s="24"/>
      <c r="G1046373" s="24"/>
      <c r="H1046373" s="24"/>
      <c r="I1046373" s="24"/>
      <c r="J1046373" s="24"/>
      <c r="K1046373" s="54"/>
    </row>
    <row r="1046374" spans="1:11" s="55" customFormat="1" ht="12.75">
      <c r="A1046374" s="24"/>
      <c r="B1046374" s="24"/>
      <c r="C1046374" s="24"/>
      <c r="D1046374" s="24"/>
      <c r="E1046374" s="24"/>
      <c r="F1046374" s="24"/>
      <c r="G1046374" s="24"/>
      <c r="H1046374" s="24"/>
      <c r="I1046374" s="24"/>
      <c r="J1046374" s="24"/>
      <c r="K1046374" s="54"/>
    </row>
    <row r="1046375" spans="1:11" s="55" customFormat="1" ht="12.75">
      <c r="A1046375" s="24"/>
      <c r="B1046375" s="24"/>
      <c r="C1046375" s="24"/>
      <c r="D1046375" s="24"/>
      <c r="E1046375" s="24"/>
      <c r="F1046375" s="24"/>
      <c r="G1046375" s="24"/>
      <c r="H1046375" s="24"/>
      <c r="I1046375" s="24"/>
      <c r="J1046375" s="24"/>
      <c r="K1046375" s="54"/>
    </row>
    <row r="1046376" spans="1:11" s="55" customFormat="1" ht="12.75">
      <c r="A1046376" s="24"/>
      <c r="B1046376" s="24"/>
      <c r="C1046376" s="24"/>
      <c r="D1046376" s="24"/>
      <c r="E1046376" s="24"/>
      <c r="F1046376" s="24"/>
      <c r="G1046376" s="24"/>
      <c r="H1046376" s="24"/>
      <c r="I1046376" s="24"/>
      <c r="J1046376" s="24"/>
      <c r="K1046376" s="54"/>
    </row>
    <row r="1046377" spans="1:11" s="55" customFormat="1" ht="12.75">
      <c r="A1046377" s="24"/>
      <c r="B1046377" s="24"/>
      <c r="C1046377" s="24"/>
      <c r="D1046377" s="24"/>
      <c r="E1046377" s="24"/>
      <c r="F1046377" s="24"/>
      <c r="G1046377" s="24"/>
      <c r="H1046377" s="24"/>
      <c r="I1046377" s="24"/>
      <c r="J1046377" s="24"/>
      <c r="K1046377" s="54"/>
    </row>
    <row r="1046378" spans="1:11" s="55" customFormat="1" ht="12.75">
      <c r="A1046378" s="24"/>
      <c r="B1046378" s="24"/>
      <c r="C1046378" s="24"/>
      <c r="D1046378" s="24"/>
      <c r="E1046378" s="24"/>
      <c r="F1046378" s="24"/>
      <c r="G1046378" s="24"/>
      <c r="H1046378" s="24"/>
      <c r="I1046378" s="24"/>
      <c r="J1046378" s="24"/>
      <c r="K1046378" s="54"/>
    </row>
    <row r="1046379" spans="1:11" s="55" customFormat="1" ht="12.75">
      <c r="A1046379" s="24"/>
      <c r="B1046379" s="24"/>
      <c r="C1046379" s="24"/>
      <c r="D1046379" s="24"/>
      <c r="E1046379" s="24"/>
      <c r="F1046379" s="24"/>
      <c r="G1046379" s="24"/>
      <c r="H1046379" s="24"/>
      <c r="I1046379" s="24"/>
      <c r="J1046379" s="24"/>
      <c r="K1046379" s="54"/>
    </row>
    <row r="1046380" spans="1:11" s="55" customFormat="1" ht="12.75">
      <c r="A1046380" s="24"/>
      <c r="B1046380" s="24"/>
      <c r="C1046380" s="24"/>
      <c r="D1046380" s="24"/>
      <c r="E1046380" s="24"/>
      <c r="F1046380" s="24"/>
      <c r="G1046380" s="24"/>
      <c r="H1046380" s="24"/>
      <c r="I1046380" s="24"/>
      <c r="J1046380" s="24"/>
      <c r="K1046380" s="54"/>
    </row>
    <row r="1046381" spans="1:11" s="55" customFormat="1" ht="12.75">
      <c r="A1046381" s="24"/>
      <c r="B1046381" s="24"/>
      <c r="C1046381" s="24"/>
      <c r="D1046381" s="24"/>
      <c r="E1046381" s="24"/>
      <c r="F1046381" s="24"/>
      <c r="G1046381" s="24"/>
      <c r="H1046381" s="24"/>
      <c r="I1046381" s="24"/>
      <c r="J1046381" s="24"/>
      <c r="K1046381" s="54"/>
    </row>
    <row r="1046382" spans="1:11" s="55" customFormat="1" ht="12.75">
      <c r="A1046382" s="24"/>
      <c r="B1046382" s="24"/>
      <c r="C1046382" s="24"/>
      <c r="D1046382" s="24"/>
      <c r="E1046382" s="24"/>
      <c r="F1046382" s="24"/>
      <c r="G1046382" s="24"/>
      <c r="H1046382" s="24"/>
      <c r="I1046382" s="24"/>
      <c r="J1046382" s="24"/>
      <c r="K1046382" s="54"/>
    </row>
    <row r="1046383" spans="1:11" s="55" customFormat="1" ht="12.75">
      <c r="A1046383" s="24"/>
      <c r="B1046383" s="24"/>
      <c r="C1046383" s="24"/>
      <c r="D1046383" s="24"/>
      <c r="E1046383" s="24"/>
      <c r="F1046383" s="24"/>
      <c r="G1046383" s="24"/>
      <c r="H1046383" s="24"/>
      <c r="I1046383" s="24"/>
      <c r="J1046383" s="24"/>
      <c r="K1046383" s="54"/>
    </row>
    <row r="1046384" spans="1:11" s="55" customFormat="1" ht="12.75">
      <c r="A1046384" s="24"/>
      <c r="B1046384" s="24"/>
      <c r="C1046384" s="24"/>
      <c r="D1046384" s="24"/>
      <c r="E1046384" s="24"/>
      <c r="F1046384" s="24"/>
      <c r="G1046384" s="24"/>
      <c r="H1046384" s="24"/>
      <c r="I1046384" s="24"/>
      <c r="J1046384" s="24"/>
      <c r="K1046384" s="54"/>
    </row>
    <row r="1046385" spans="1:11" s="55" customFormat="1" ht="12.75">
      <c r="A1046385" s="24"/>
      <c r="B1046385" s="24"/>
      <c r="C1046385" s="24"/>
      <c r="D1046385" s="24"/>
      <c r="E1046385" s="24"/>
      <c r="F1046385" s="24"/>
      <c r="G1046385" s="24"/>
      <c r="H1046385" s="24"/>
      <c r="I1046385" s="24"/>
      <c r="J1046385" s="24"/>
      <c r="K1046385" s="54"/>
    </row>
    <row r="1046386" spans="1:11" s="55" customFormat="1" ht="12.75">
      <c r="A1046386" s="24"/>
      <c r="B1046386" s="24"/>
      <c r="C1046386" s="24"/>
      <c r="D1046386" s="24"/>
      <c r="E1046386" s="24"/>
      <c r="F1046386" s="24"/>
      <c r="G1046386" s="24"/>
      <c r="H1046386" s="24"/>
      <c r="I1046386" s="24"/>
      <c r="J1046386" s="24"/>
      <c r="K1046386" s="54"/>
    </row>
    <row r="1046387" spans="1:11" s="55" customFormat="1" ht="12.75">
      <c r="A1046387" s="24"/>
      <c r="B1046387" s="24"/>
      <c r="C1046387" s="24"/>
      <c r="D1046387" s="24"/>
      <c r="E1046387" s="24"/>
      <c r="F1046387" s="24"/>
      <c r="G1046387" s="24"/>
      <c r="H1046387" s="24"/>
      <c r="I1046387" s="24"/>
      <c r="J1046387" s="24"/>
      <c r="K1046387" s="54"/>
    </row>
    <row r="1046388" spans="1:11" s="55" customFormat="1" ht="12.75">
      <c r="A1046388" s="24"/>
      <c r="B1046388" s="24"/>
      <c r="C1046388" s="24"/>
      <c r="D1046388" s="24"/>
      <c r="E1046388" s="24"/>
      <c r="F1046388" s="24"/>
      <c r="G1046388" s="24"/>
      <c r="H1046388" s="24"/>
      <c r="I1046388" s="24"/>
      <c r="J1046388" s="24"/>
      <c r="K1046388" s="54"/>
    </row>
    <row r="1046389" spans="1:11" s="55" customFormat="1" ht="12.75">
      <c r="A1046389" s="24"/>
      <c r="B1046389" s="24"/>
      <c r="C1046389" s="24"/>
      <c r="D1046389" s="24"/>
      <c r="E1046389" s="24"/>
      <c r="F1046389" s="24"/>
      <c r="G1046389" s="24"/>
      <c r="H1046389" s="24"/>
      <c r="I1046389" s="24"/>
      <c r="J1046389" s="24"/>
      <c r="K1046389" s="54"/>
    </row>
    <row r="1046390" spans="1:11" s="55" customFormat="1" ht="12.75">
      <c r="A1046390" s="24"/>
      <c r="B1046390" s="24"/>
      <c r="C1046390" s="24"/>
      <c r="D1046390" s="24"/>
      <c r="E1046390" s="24"/>
      <c r="F1046390" s="24"/>
      <c r="G1046390" s="24"/>
      <c r="H1046390" s="24"/>
      <c r="I1046390" s="24"/>
      <c r="J1046390" s="24"/>
      <c r="K1046390" s="54"/>
    </row>
    <row r="1046391" spans="1:11" s="55" customFormat="1" ht="12.75">
      <c r="A1046391" s="24"/>
      <c r="B1046391" s="24"/>
      <c r="C1046391" s="24"/>
      <c r="D1046391" s="24"/>
      <c r="E1046391" s="24"/>
      <c r="F1046391" s="24"/>
      <c r="G1046391" s="24"/>
      <c r="H1046391" s="24"/>
      <c r="I1046391" s="24"/>
      <c r="J1046391" s="24"/>
      <c r="K1046391" s="54"/>
    </row>
    <row r="1046392" spans="1:11" s="55" customFormat="1" ht="12.75">
      <c r="A1046392" s="24"/>
      <c r="B1046392" s="24"/>
      <c r="C1046392" s="24"/>
      <c r="D1046392" s="24"/>
      <c r="E1046392" s="24"/>
      <c r="F1046392" s="24"/>
      <c r="G1046392" s="24"/>
      <c r="H1046392" s="24"/>
      <c r="I1046392" s="24"/>
      <c r="J1046392" s="24"/>
      <c r="K1046392" s="54"/>
    </row>
    <row r="1046393" spans="1:11" s="55" customFormat="1" ht="12.75">
      <c r="A1046393" s="24"/>
      <c r="B1046393" s="24"/>
      <c r="C1046393" s="24"/>
      <c r="D1046393" s="24"/>
      <c r="E1046393" s="24"/>
      <c r="F1046393" s="24"/>
      <c r="G1046393" s="24"/>
      <c r="H1046393" s="24"/>
      <c r="I1046393" s="24"/>
      <c r="J1046393" s="24"/>
      <c r="K1046393" s="54"/>
    </row>
    <row r="1046394" spans="1:11" s="55" customFormat="1" ht="12.75">
      <c r="A1046394" s="24"/>
      <c r="B1046394" s="24"/>
      <c r="C1046394" s="24"/>
      <c r="D1046394" s="24"/>
      <c r="E1046394" s="24"/>
      <c r="F1046394" s="24"/>
      <c r="G1046394" s="24"/>
      <c r="H1046394" s="24"/>
      <c r="I1046394" s="24"/>
      <c r="J1046394" s="24"/>
      <c r="K1046394" s="54"/>
    </row>
    <row r="1046395" spans="1:11" s="55" customFormat="1" ht="12.75">
      <c r="A1046395" s="24"/>
      <c r="B1046395" s="24"/>
      <c r="C1046395" s="24"/>
      <c r="D1046395" s="24"/>
      <c r="E1046395" s="24"/>
      <c r="F1046395" s="24"/>
      <c r="G1046395" s="24"/>
      <c r="H1046395" s="24"/>
      <c r="I1046395" s="24"/>
      <c r="J1046395" s="24"/>
      <c r="K1046395" s="54"/>
    </row>
    <row r="1046396" spans="1:11" s="55" customFormat="1" ht="12.75">
      <c r="A1046396" s="24"/>
      <c r="B1046396" s="24"/>
      <c r="C1046396" s="24"/>
      <c r="D1046396" s="24"/>
      <c r="E1046396" s="24"/>
      <c r="F1046396" s="24"/>
      <c r="G1046396" s="24"/>
      <c r="H1046396" s="24"/>
      <c r="I1046396" s="24"/>
      <c r="J1046396" s="24"/>
      <c r="K1046396" s="54"/>
    </row>
    <row r="1046397" spans="1:11" s="55" customFormat="1" ht="12.75">
      <c r="A1046397" s="24"/>
      <c r="B1046397" s="24"/>
      <c r="C1046397" s="24"/>
      <c r="D1046397" s="24"/>
      <c r="E1046397" s="24"/>
      <c r="F1046397" s="24"/>
      <c r="G1046397" s="24"/>
      <c r="H1046397" s="24"/>
      <c r="I1046397" s="24"/>
      <c r="J1046397" s="24"/>
      <c r="K1046397" s="54"/>
    </row>
    <row r="1046398" spans="1:11" s="55" customFormat="1" ht="12.75">
      <c r="A1046398" s="24"/>
      <c r="B1046398" s="24"/>
      <c r="C1046398" s="24"/>
      <c r="D1046398" s="24"/>
      <c r="E1046398" s="24"/>
      <c r="F1046398" s="24"/>
      <c r="G1046398" s="24"/>
      <c r="H1046398" s="24"/>
      <c r="I1046398" s="24"/>
      <c r="J1046398" s="24"/>
      <c r="K1046398" s="54"/>
    </row>
    <row r="1046399" spans="1:11" s="55" customFormat="1" ht="12.75">
      <c r="A1046399" s="24"/>
      <c r="B1046399" s="24"/>
      <c r="C1046399" s="24"/>
      <c r="D1046399" s="24"/>
      <c r="E1046399" s="24"/>
      <c r="F1046399" s="24"/>
      <c r="G1046399" s="24"/>
      <c r="H1046399" s="24"/>
      <c r="I1046399" s="24"/>
      <c r="J1046399" s="24"/>
      <c r="K1046399" s="54"/>
    </row>
    <row r="1046400" spans="1:11" s="55" customFormat="1" ht="12.75">
      <c r="A1046400" s="24"/>
      <c r="B1046400" s="24"/>
      <c r="C1046400" s="24"/>
      <c r="D1046400" s="24"/>
      <c r="E1046400" s="24"/>
      <c r="F1046400" s="24"/>
      <c r="G1046400" s="24"/>
      <c r="H1046400" s="24"/>
      <c r="I1046400" s="24"/>
      <c r="J1046400" s="24"/>
      <c r="K1046400" s="54"/>
    </row>
    <row r="1046401" spans="1:11" s="55" customFormat="1" ht="12.75">
      <c r="A1046401" s="24"/>
      <c r="B1046401" s="24"/>
      <c r="C1046401" s="24"/>
      <c r="D1046401" s="24"/>
      <c r="E1046401" s="24"/>
      <c r="F1046401" s="24"/>
      <c r="G1046401" s="24"/>
      <c r="H1046401" s="24"/>
      <c r="I1046401" s="24"/>
      <c r="J1046401" s="24"/>
      <c r="K1046401" s="54"/>
    </row>
    <row r="1046402" spans="1:11" s="55" customFormat="1" ht="12.75">
      <c r="A1046402" s="24"/>
      <c r="B1046402" s="24"/>
      <c r="C1046402" s="24"/>
      <c r="D1046402" s="24"/>
      <c r="E1046402" s="24"/>
      <c r="F1046402" s="24"/>
      <c r="G1046402" s="24"/>
      <c r="H1046402" s="24"/>
      <c r="I1046402" s="24"/>
      <c r="J1046402" s="24"/>
      <c r="K1046402" s="54"/>
    </row>
    <row r="1046403" spans="1:11" s="55" customFormat="1" ht="12.75">
      <c r="A1046403" s="24"/>
      <c r="B1046403" s="24"/>
      <c r="C1046403" s="24"/>
      <c r="D1046403" s="24"/>
      <c r="E1046403" s="24"/>
      <c r="F1046403" s="24"/>
      <c r="G1046403" s="24"/>
      <c r="H1046403" s="24"/>
      <c r="I1046403" s="24"/>
      <c r="J1046403" s="24"/>
      <c r="K1046403" s="54"/>
    </row>
    <row r="1046404" spans="1:11" s="55" customFormat="1" ht="12.75">
      <c r="A1046404" s="24"/>
      <c r="B1046404" s="24"/>
      <c r="C1046404" s="24"/>
      <c r="D1046404" s="24"/>
      <c r="E1046404" s="24"/>
      <c r="F1046404" s="24"/>
      <c r="G1046404" s="24"/>
      <c r="H1046404" s="24"/>
      <c r="I1046404" s="24"/>
      <c r="J1046404" s="24"/>
      <c r="K1046404" s="54"/>
    </row>
    <row r="1046405" spans="1:11" s="55" customFormat="1" ht="12.75">
      <c r="A1046405" s="24"/>
      <c r="B1046405" s="24"/>
      <c r="C1046405" s="24"/>
      <c r="D1046405" s="24"/>
      <c r="E1046405" s="24"/>
      <c r="F1046405" s="24"/>
      <c r="G1046405" s="24"/>
      <c r="H1046405" s="24"/>
      <c r="I1046405" s="24"/>
      <c r="J1046405" s="24"/>
      <c r="K1046405" s="54"/>
    </row>
    <row r="1046406" spans="1:11" s="55" customFormat="1" ht="12.75">
      <c r="A1046406" s="24"/>
      <c r="B1046406" s="24"/>
      <c r="C1046406" s="24"/>
      <c r="D1046406" s="24"/>
      <c r="E1046406" s="24"/>
      <c r="F1046406" s="24"/>
      <c r="G1046406" s="24"/>
      <c r="H1046406" s="24"/>
      <c r="I1046406" s="24"/>
      <c r="J1046406" s="24"/>
      <c r="K1046406" s="54"/>
    </row>
    <row r="1046407" spans="1:11" s="55" customFormat="1" ht="12.75">
      <c r="A1046407" s="24"/>
      <c r="B1046407" s="24"/>
      <c r="C1046407" s="24"/>
      <c r="D1046407" s="24"/>
      <c r="E1046407" s="24"/>
      <c r="F1046407" s="24"/>
      <c r="G1046407" s="24"/>
      <c r="H1046407" s="24"/>
      <c r="I1046407" s="24"/>
      <c r="J1046407" s="24"/>
      <c r="K1046407" s="54"/>
    </row>
    <row r="1046408" spans="1:11" s="55" customFormat="1" ht="12.75">
      <c r="A1046408" s="24"/>
      <c r="B1046408" s="24"/>
      <c r="C1046408" s="24"/>
      <c r="D1046408" s="24"/>
      <c r="E1046408" s="24"/>
      <c r="F1046408" s="24"/>
      <c r="G1046408" s="24"/>
      <c r="H1046408" s="24"/>
      <c r="I1046408" s="24"/>
      <c r="J1046408" s="24"/>
      <c r="K1046408" s="54"/>
    </row>
    <row r="1046409" spans="1:11" s="55" customFormat="1" ht="12.75">
      <c r="A1046409" s="24"/>
      <c r="B1046409" s="24"/>
      <c r="C1046409" s="24"/>
      <c r="D1046409" s="24"/>
      <c r="E1046409" s="24"/>
      <c r="F1046409" s="24"/>
      <c r="G1046409" s="24"/>
      <c r="H1046409" s="24"/>
      <c r="I1046409" s="24"/>
      <c r="J1046409" s="24"/>
      <c r="K1046409" s="54"/>
    </row>
    <row r="1046410" spans="1:11" s="55" customFormat="1" ht="12.75">
      <c r="A1046410" s="24"/>
      <c r="B1046410" s="24"/>
      <c r="C1046410" s="24"/>
      <c r="D1046410" s="24"/>
      <c r="E1046410" s="24"/>
      <c r="F1046410" s="24"/>
      <c r="G1046410" s="24"/>
      <c r="H1046410" s="24"/>
      <c r="I1046410" s="24"/>
      <c r="J1046410" s="24"/>
      <c r="K1046410" s="54"/>
    </row>
    <row r="1046411" spans="1:11" s="55" customFormat="1" ht="12.75">
      <c r="A1046411" s="24"/>
      <c r="B1046411" s="24"/>
      <c r="C1046411" s="24"/>
      <c r="D1046411" s="24"/>
      <c r="E1046411" s="24"/>
      <c r="F1046411" s="24"/>
      <c r="G1046411" s="24"/>
      <c r="H1046411" s="24"/>
      <c r="I1046411" s="24"/>
      <c r="J1046411" s="24"/>
      <c r="K1046411" s="54"/>
    </row>
    <row r="1046412" spans="1:11" s="55" customFormat="1" ht="12.75">
      <c r="A1046412" s="24"/>
      <c r="B1046412" s="24"/>
      <c r="C1046412" s="24"/>
      <c r="D1046412" s="24"/>
      <c r="E1046412" s="24"/>
      <c r="F1046412" s="24"/>
      <c r="G1046412" s="24"/>
      <c r="H1046412" s="24"/>
      <c r="I1046412" s="24"/>
      <c r="J1046412" s="24"/>
      <c r="K1046412" s="54"/>
    </row>
    <row r="1046413" spans="1:11" s="55" customFormat="1" ht="12.75">
      <c r="A1046413" s="24"/>
      <c r="B1046413" s="24"/>
      <c r="C1046413" s="24"/>
      <c r="D1046413" s="24"/>
      <c r="E1046413" s="24"/>
      <c r="F1046413" s="24"/>
      <c r="G1046413" s="24"/>
      <c r="H1046413" s="24"/>
      <c r="I1046413" s="24"/>
      <c r="J1046413" s="24"/>
      <c r="K1046413" s="54"/>
    </row>
    <row r="1046414" spans="1:11" s="55" customFormat="1" ht="12.75">
      <c r="A1046414" s="24"/>
      <c r="B1046414" s="24"/>
      <c r="C1046414" s="24"/>
      <c r="D1046414" s="24"/>
      <c r="E1046414" s="24"/>
      <c r="F1046414" s="24"/>
      <c r="G1046414" s="24"/>
      <c r="H1046414" s="24"/>
      <c r="I1046414" s="24"/>
      <c r="J1046414" s="24"/>
      <c r="K1046414" s="54"/>
    </row>
    <row r="1046415" spans="1:11" s="55" customFormat="1" ht="12.75">
      <c r="A1046415" s="24"/>
      <c r="B1046415" s="24"/>
      <c r="C1046415" s="24"/>
      <c r="D1046415" s="24"/>
      <c r="E1046415" s="24"/>
      <c r="F1046415" s="24"/>
      <c r="G1046415" s="24"/>
      <c r="H1046415" s="24"/>
      <c r="I1046415" s="24"/>
      <c r="J1046415" s="24"/>
      <c r="K1046415" s="54"/>
    </row>
    <row r="1046416" spans="1:11" s="55" customFormat="1" ht="12.75">
      <c r="A1046416" s="24"/>
      <c r="B1046416" s="24"/>
      <c r="C1046416" s="24"/>
      <c r="D1046416" s="24"/>
      <c r="E1046416" s="24"/>
      <c r="F1046416" s="24"/>
      <c r="G1046416" s="24"/>
      <c r="H1046416" s="24"/>
      <c r="I1046416" s="24"/>
      <c r="J1046416" s="24"/>
      <c r="K1046416" s="54"/>
    </row>
    <row r="1046417" spans="1:11" s="55" customFormat="1" ht="12.75">
      <c r="A1046417" s="24"/>
      <c r="B1046417" s="24"/>
      <c r="C1046417" s="24"/>
      <c r="D1046417" s="24"/>
      <c r="E1046417" s="24"/>
      <c r="F1046417" s="24"/>
      <c r="G1046417" s="24"/>
      <c r="H1046417" s="24"/>
      <c r="I1046417" s="24"/>
      <c r="J1046417" s="24"/>
      <c r="K1046417" s="54"/>
    </row>
    <row r="1046418" spans="1:11" s="55" customFormat="1" ht="12.75">
      <c r="A1046418" s="24"/>
      <c r="B1046418" s="24"/>
      <c r="C1046418" s="24"/>
      <c r="D1046418" s="24"/>
      <c r="E1046418" s="24"/>
      <c r="F1046418" s="24"/>
      <c r="G1046418" s="24"/>
      <c r="H1046418" s="24"/>
      <c r="I1046418" s="24"/>
      <c r="J1046418" s="24"/>
      <c r="K1046418" s="54"/>
    </row>
    <row r="1046419" spans="1:11" s="55" customFormat="1" ht="12.75">
      <c r="A1046419" s="24"/>
      <c r="B1046419" s="24"/>
      <c r="C1046419" s="24"/>
      <c r="D1046419" s="24"/>
      <c r="E1046419" s="24"/>
      <c r="F1046419" s="24"/>
      <c r="G1046419" s="24"/>
      <c r="H1046419" s="24"/>
      <c r="I1046419" s="24"/>
      <c r="J1046419" s="24"/>
      <c r="K1046419" s="54"/>
    </row>
    <row r="1046420" spans="1:11" s="55" customFormat="1" ht="12.75">
      <c r="A1046420" s="24"/>
      <c r="B1046420" s="24"/>
      <c r="C1046420" s="24"/>
      <c r="D1046420" s="24"/>
      <c r="E1046420" s="24"/>
      <c r="F1046420" s="24"/>
      <c r="G1046420" s="24"/>
      <c r="H1046420" s="24"/>
      <c r="I1046420" s="24"/>
      <c r="J1046420" s="24"/>
      <c r="K1046420" s="54"/>
    </row>
    <row r="1046421" spans="1:11" s="55" customFormat="1" ht="12.75">
      <c r="A1046421" s="24"/>
      <c r="B1046421" s="24"/>
      <c r="C1046421" s="24"/>
      <c r="D1046421" s="24"/>
      <c r="E1046421" s="24"/>
      <c r="F1046421" s="24"/>
      <c r="G1046421" s="24"/>
      <c r="H1046421" s="24"/>
      <c r="I1046421" s="24"/>
      <c r="J1046421" s="24"/>
      <c r="K1046421" s="54"/>
    </row>
    <row r="1046422" spans="1:11" s="55" customFormat="1" ht="12.75">
      <c r="A1046422" s="24"/>
      <c r="B1046422" s="24"/>
      <c r="C1046422" s="24"/>
      <c r="D1046422" s="24"/>
      <c r="E1046422" s="24"/>
      <c r="F1046422" s="24"/>
      <c r="G1046422" s="24"/>
      <c r="H1046422" s="24"/>
      <c r="I1046422" s="24"/>
      <c r="J1046422" s="24"/>
      <c r="K1046422" s="54"/>
    </row>
    <row r="1046423" spans="1:11" s="55" customFormat="1" ht="12.75">
      <c r="A1046423" s="24"/>
      <c r="B1046423" s="24"/>
      <c r="C1046423" s="24"/>
      <c r="D1046423" s="24"/>
      <c r="E1046423" s="24"/>
      <c r="F1046423" s="24"/>
      <c r="G1046423" s="24"/>
      <c r="H1046423" s="24"/>
      <c r="I1046423" s="24"/>
      <c r="J1046423" s="24"/>
      <c r="K1046423" s="54"/>
    </row>
    <row r="1046424" spans="1:11" s="55" customFormat="1" ht="12.75">
      <c r="A1046424" s="24"/>
      <c r="B1046424" s="24"/>
      <c r="C1046424" s="24"/>
      <c r="D1046424" s="24"/>
      <c r="E1046424" s="24"/>
      <c r="F1046424" s="24"/>
      <c r="G1046424" s="24"/>
      <c r="H1046424" s="24"/>
      <c r="I1046424" s="24"/>
      <c r="J1046424" s="24"/>
      <c r="K1046424" s="54"/>
    </row>
    <row r="1046425" spans="1:11" s="55" customFormat="1" ht="12.75">
      <c r="A1046425" s="24"/>
      <c r="B1046425" s="24"/>
      <c r="C1046425" s="24"/>
      <c r="D1046425" s="24"/>
      <c r="E1046425" s="24"/>
      <c r="F1046425" s="24"/>
      <c r="G1046425" s="24"/>
      <c r="H1046425" s="24"/>
      <c r="I1046425" s="24"/>
      <c r="J1046425" s="24"/>
      <c r="K1046425" s="54"/>
    </row>
    <row r="1046426" spans="1:11" s="55" customFormat="1" ht="12.75">
      <c r="A1046426" s="24"/>
      <c r="B1046426" s="24"/>
      <c r="C1046426" s="24"/>
      <c r="D1046426" s="24"/>
      <c r="E1046426" s="24"/>
      <c r="F1046426" s="24"/>
      <c r="G1046426" s="24"/>
      <c r="H1046426" s="24"/>
      <c r="I1046426" s="24"/>
      <c r="J1046426" s="24"/>
      <c r="K1046426" s="54"/>
    </row>
    <row r="1046427" spans="1:11" s="55" customFormat="1" ht="12.75">
      <c r="A1046427" s="24"/>
      <c r="B1046427" s="24"/>
      <c r="C1046427" s="24"/>
      <c r="D1046427" s="24"/>
      <c r="E1046427" s="24"/>
      <c r="F1046427" s="24"/>
      <c r="G1046427" s="24"/>
      <c r="H1046427" s="24"/>
      <c r="I1046427" s="24"/>
      <c r="J1046427" s="24"/>
      <c r="K1046427" s="54"/>
    </row>
    <row r="1046428" spans="1:11" s="55" customFormat="1" ht="12.75">
      <c r="A1046428" s="24"/>
      <c r="B1046428" s="24"/>
      <c r="C1046428" s="24"/>
      <c r="D1046428" s="24"/>
      <c r="E1046428" s="24"/>
      <c r="F1046428" s="24"/>
      <c r="G1046428" s="24"/>
      <c r="H1046428" s="24"/>
      <c r="I1046428" s="24"/>
      <c r="J1046428" s="24"/>
      <c r="K1046428" s="54"/>
    </row>
    <row r="1046429" spans="1:11" s="55" customFormat="1" ht="12.75">
      <c r="A1046429" s="24"/>
      <c r="B1046429" s="24"/>
      <c r="C1046429" s="24"/>
      <c r="D1046429" s="24"/>
      <c r="E1046429" s="24"/>
      <c r="F1046429" s="24"/>
      <c r="G1046429" s="24"/>
      <c r="H1046429" s="24"/>
      <c r="I1046429" s="24"/>
      <c r="J1046429" s="24"/>
      <c r="K1046429" s="54"/>
    </row>
    <row r="1046430" spans="1:11" s="55" customFormat="1" ht="12.75">
      <c r="A1046430" s="24"/>
      <c r="B1046430" s="24"/>
      <c r="C1046430" s="24"/>
      <c r="D1046430" s="24"/>
      <c r="E1046430" s="24"/>
      <c r="F1046430" s="24"/>
      <c r="G1046430" s="24"/>
      <c r="H1046430" s="24"/>
      <c r="I1046430" s="24"/>
      <c r="J1046430" s="24"/>
      <c r="K1046430" s="54"/>
    </row>
    <row r="1046431" spans="1:11" s="55" customFormat="1" ht="12.75">
      <c r="A1046431" s="24"/>
      <c r="B1046431" s="24"/>
      <c r="C1046431" s="24"/>
      <c r="D1046431" s="24"/>
      <c r="E1046431" s="24"/>
      <c r="F1046431" s="24"/>
      <c r="G1046431" s="24"/>
      <c r="H1046431" s="24"/>
      <c r="I1046431" s="24"/>
      <c r="J1046431" s="24"/>
      <c r="K1046431" s="54"/>
    </row>
    <row r="1046432" spans="1:11" s="55" customFormat="1" ht="12.75">
      <c r="A1046432" s="24"/>
      <c r="B1046432" s="24"/>
      <c r="C1046432" s="24"/>
      <c r="D1046432" s="24"/>
      <c r="E1046432" s="24"/>
      <c r="F1046432" s="24"/>
      <c r="G1046432" s="24"/>
      <c r="H1046432" s="24"/>
      <c r="I1046432" s="24"/>
      <c r="J1046432" s="24"/>
      <c r="K1046432" s="54"/>
    </row>
    <row r="1046433" spans="1:11" s="55" customFormat="1" ht="12.75">
      <c r="A1046433" s="24"/>
      <c r="B1046433" s="24"/>
      <c r="C1046433" s="24"/>
      <c r="D1046433" s="24"/>
      <c r="E1046433" s="24"/>
      <c r="F1046433" s="24"/>
      <c r="G1046433" s="24"/>
      <c r="H1046433" s="24"/>
      <c r="I1046433" s="24"/>
      <c r="J1046433" s="24"/>
      <c r="K1046433" s="54"/>
    </row>
    <row r="1046434" spans="1:11" s="55" customFormat="1" ht="12.75">
      <c r="A1046434" s="24"/>
      <c r="B1046434" s="24"/>
      <c r="C1046434" s="24"/>
      <c r="D1046434" s="24"/>
      <c r="E1046434" s="24"/>
      <c r="F1046434" s="24"/>
      <c r="G1046434" s="24"/>
      <c r="H1046434" s="24"/>
      <c r="I1046434" s="24"/>
      <c r="J1046434" s="24"/>
      <c r="K1046434" s="54"/>
    </row>
    <row r="1046435" spans="1:11" s="55" customFormat="1" ht="12.75">
      <c r="A1046435" s="24"/>
      <c r="B1046435" s="24"/>
      <c r="C1046435" s="24"/>
      <c r="D1046435" s="24"/>
      <c r="E1046435" s="24"/>
      <c r="F1046435" s="24"/>
      <c r="G1046435" s="24"/>
      <c r="H1046435" s="24"/>
      <c r="I1046435" s="24"/>
      <c r="J1046435" s="24"/>
      <c r="K1046435" s="54"/>
    </row>
    <row r="1046436" spans="1:11" s="55" customFormat="1" ht="12.75">
      <c r="A1046436" s="24"/>
      <c r="B1046436" s="24"/>
      <c r="C1046436" s="24"/>
      <c r="D1046436" s="24"/>
      <c r="E1046436" s="24"/>
      <c r="F1046436" s="24"/>
      <c r="G1046436" s="24"/>
      <c r="H1046436" s="24"/>
      <c r="I1046436" s="24"/>
      <c r="J1046436" s="24"/>
      <c r="K1046436" s="54"/>
    </row>
    <row r="1046437" spans="1:11" s="55" customFormat="1" ht="12.75">
      <c r="A1046437" s="24"/>
      <c r="B1046437" s="24"/>
      <c r="C1046437" s="24"/>
      <c r="D1046437" s="24"/>
      <c r="E1046437" s="24"/>
      <c r="F1046437" s="24"/>
      <c r="G1046437" s="24"/>
      <c r="H1046437" s="24"/>
      <c r="I1046437" s="24"/>
      <c r="J1046437" s="24"/>
      <c r="K1046437" s="54"/>
    </row>
    <row r="1046438" spans="1:11" s="55" customFormat="1" ht="12.75">
      <c r="A1046438" s="24"/>
      <c r="B1046438" s="24"/>
      <c r="C1046438" s="24"/>
      <c r="D1046438" s="24"/>
      <c r="E1046438" s="24"/>
      <c r="F1046438" s="24"/>
      <c r="G1046438" s="24"/>
      <c r="H1046438" s="24"/>
      <c r="I1046438" s="24"/>
      <c r="J1046438" s="24"/>
      <c r="K1046438" s="54"/>
    </row>
    <row r="1046439" spans="1:11" s="55" customFormat="1" ht="12.75">
      <c r="A1046439" s="24"/>
      <c r="B1046439" s="24"/>
      <c r="C1046439" s="24"/>
      <c r="D1046439" s="24"/>
      <c r="E1046439" s="24"/>
      <c r="F1046439" s="24"/>
      <c r="G1046439" s="24"/>
      <c r="H1046439" s="24"/>
      <c r="I1046439" s="24"/>
      <c r="J1046439" s="24"/>
      <c r="K1046439" s="54"/>
    </row>
    <row r="1046440" spans="1:11" s="55" customFormat="1" ht="12.75">
      <c r="A1046440" s="24"/>
      <c r="B1046440" s="24"/>
      <c r="C1046440" s="24"/>
      <c r="D1046440" s="24"/>
      <c r="E1046440" s="24"/>
      <c r="F1046440" s="24"/>
      <c r="G1046440" s="24"/>
      <c r="H1046440" s="24"/>
      <c r="I1046440" s="24"/>
      <c r="J1046440" s="24"/>
      <c r="K1046440" s="54"/>
    </row>
    <row r="1046441" spans="1:11" s="55" customFormat="1" ht="12.75">
      <c r="A1046441" s="24"/>
      <c r="B1046441" s="24"/>
      <c r="C1046441" s="24"/>
      <c r="D1046441" s="24"/>
      <c r="E1046441" s="24"/>
      <c r="F1046441" s="24"/>
      <c r="G1046441" s="24"/>
      <c r="H1046441" s="24"/>
      <c r="I1046441" s="24"/>
      <c r="J1046441" s="24"/>
      <c r="K1046441" s="54"/>
    </row>
    <row r="1046442" spans="1:11" s="55" customFormat="1" ht="12.75">
      <c r="A1046442" s="24"/>
      <c r="B1046442" s="24"/>
      <c r="C1046442" s="24"/>
      <c r="D1046442" s="24"/>
      <c r="E1046442" s="24"/>
      <c r="F1046442" s="24"/>
      <c r="G1046442" s="24"/>
      <c r="H1046442" s="24"/>
      <c r="I1046442" s="24"/>
      <c r="J1046442" s="24"/>
      <c r="K1046442" s="54"/>
    </row>
    <row r="1046443" spans="1:11" s="55" customFormat="1" ht="12.75">
      <c r="A1046443" s="24"/>
      <c r="B1046443" s="24"/>
      <c r="C1046443" s="24"/>
      <c r="D1046443" s="24"/>
      <c r="E1046443" s="24"/>
      <c r="F1046443" s="24"/>
      <c r="G1046443" s="24"/>
      <c r="H1046443" s="24"/>
      <c r="I1046443" s="24"/>
      <c r="J1046443" s="24"/>
      <c r="K1046443" s="54"/>
    </row>
    <row r="1046444" spans="1:11" s="55" customFormat="1" ht="12.75">
      <c r="A1046444" s="24"/>
      <c r="B1046444" s="24"/>
      <c r="C1046444" s="24"/>
      <c r="D1046444" s="24"/>
      <c r="E1046444" s="24"/>
      <c r="F1046444" s="24"/>
      <c r="G1046444" s="24"/>
      <c r="H1046444" s="24"/>
      <c r="I1046444" s="24"/>
      <c r="J1046444" s="24"/>
      <c r="K1046444" s="54"/>
    </row>
    <row r="1046445" spans="1:11" s="55" customFormat="1" ht="12.75">
      <c r="A1046445" s="24"/>
      <c r="B1046445" s="24"/>
      <c r="C1046445" s="24"/>
      <c r="D1046445" s="24"/>
      <c r="E1046445" s="24"/>
      <c r="F1046445" s="24"/>
      <c r="G1046445" s="24"/>
      <c r="H1046445" s="24"/>
      <c r="I1046445" s="24"/>
      <c r="J1046445" s="24"/>
      <c r="K1046445" s="54"/>
    </row>
    <row r="1046446" spans="1:11" s="55" customFormat="1" ht="12.75">
      <c r="A1046446" s="24"/>
      <c r="B1046446" s="24"/>
      <c r="C1046446" s="24"/>
      <c r="D1046446" s="24"/>
      <c r="E1046446" s="24"/>
      <c r="F1046446" s="24"/>
      <c r="G1046446" s="24"/>
      <c r="H1046446" s="24"/>
      <c r="I1046446" s="24"/>
      <c r="J1046446" s="24"/>
      <c r="K1046446" s="54"/>
    </row>
    <row r="1046447" spans="1:11" s="55" customFormat="1" ht="12.75">
      <c r="A1046447" s="24"/>
      <c r="B1046447" s="24"/>
      <c r="C1046447" s="24"/>
      <c r="D1046447" s="24"/>
      <c r="E1046447" s="24"/>
      <c r="F1046447" s="24"/>
      <c r="G1046447" s="24"/>
      <c r="H1046447" s="24"/>
      <c r="I1046447" s="24"/>
      <c r="J1046447" s="24"/>
      <c r="K1046447" s="54"/>
    </row>
    <row r="1046448" spans="1:11" s="55" customFormat="1" ht="12.75">
      <c r="A1046448" s="24"/>
      <c r="B1046448" s="24"/>
      <c r="C1046448" s="24"/>
      <c r="D1046448" s="24"/>
      <c r="E1046448" s="24"/>
      <c r="F1046448" s="24"/>
      <c r="G1046448" s="24"/>
      <c r="H1046448" s="24"/>
      <c r="I1046448" s="24"/>
      <c r="J1046448" s="24"/>
      <c r="K1046448" s="54"/>
    </row>
    <row r="1046449" spans="1:11" s="55" customFormat="1" ht="12.75">
      <c r="A1046449" s="24"/>
      <c r="B1046449" s="24"/>
      <c r="C1046449" s="24"/>
      <c r="D1046449" s="24"/>
      <c r="E1046449" s="24"/>
      <c r="F1046449" s="24"/>
      <c r="G1046449" s="24"/>
      <c r="H1046449" s="24"/>
      <c r="I1046449" s="24"/>
      <c r="J1046449" s="24"/>
      <c r="K1046449" s="54"/>
    </row>
    <row r="1046450" spans="1:11" s="55" customFormat="1" ht="12.75">
      <c r="A1046450" s="24"/>
      <c r="B1046450" s="24"/>
      <c r="C1046450" s="24"/>
      <c r="D1046450" s="24"/>
      <c r="E1046450" s="24"/>
      <c r="F1046450" s="24"/>
      <c r="G1046450" s="24"/>
      <c r="H1046450" s="24"/>
      <c r="I1046450" s="24"/>
      <c r="J1046450" s="24"/>
      <c r="K1046450" s="54"/>
    </row>
    <row r="1046451" spans="1:11" s="55" customFormat="1" ht="12.75">
      <c r="A1046451" s="24"/>
      <c r="B1046451" s="24"/>
      <c r="C1046451" s="24"/>
      <c r="D1046451" s="24"/>
      <c r="E1046451" s="24"/>
      <c r="F1046451" s="24"/>
      <c r="G1046451" s="24"/>
      <c r="H1046451" s="24"/>
      <c r="I1046451" s="24"/>
      <c r="J1046451" s="24"/>
      <c r="K1046451" s="54"/>
    </row>
    <row r="1046452" spans="1:11" s="55" customFormat="1" ht="12.75">
      <c r="A1046452" s="24"/>
      <c r="B1046452" s="24"/>
      <c r="C1046452" s="24"/>
      <c r="D1046452" s="24"/>
      <c r="E1046452" s="24"/>
      <c r="F1046452" s="24"/>
      <c r="G1046452" s="24"/>
      <c r="H1046452" s="24"/>
      <c r="I1046452" s="24"/>
      <c r="J1046452" s="24"/>
      <c r="K1046452" s="54"/>
    </row>
    <row r="1046453" spans="1:11" s="55" customFormat="1" ht="12.75">
      <c r="A1046453" s="24"/>
      <c r="B1046453" s="24"/>
      <c r="C1046453" s="24"/>
      <c r="D1046453" s="24"/>
      <c r="E1046453" s="24"/>
      <c r="F1046453" s="24"/>
      <c r="G1046453" s="24"/>
      <c r="H1046453" s="24"/>
      <c r="I1046453" s="24"/>
      <c r="J1046453" s="24"/>
      <c r="K1046453" s="54"/>
    </row>
    <row r="1046454" spans="1:11" s="55" customFormat="1" ht="12.75">
      <c r="A1046454" s="24"/>
      <c r="B1046454" s="24"/>
      <c r="C1046454" s="24"/>
      <c r="D1046454" s="24"/>
      <c r="E1046454" s="24"/>
      <c r="F1046454" s="24"/>
      <c r="G1046454" s="24"/>
      <c r="H1046454" s="24"/>
      <c r="I1046454" s="24"/>
      <c r="J1046454" s="24"/>
      <c r="K1046454" s="54"/>
    </row>
    <row r="1046455" spans="1:11" s="55" customFormat="1" ht="12.75">
      <c r="A1046455" s="24"/>
      <c r="B1046455" s="24"/>
      <c r="C1046455" s="24"/>
      <c r="D1046455" s="24"/>
      <c r="E1046455" s="24"/>
      <c r="F1046455" s="24"/>
      <c r="G1046455" s="24"/>
      <c r="H1046455" s="24"/>
      <c r="I1046455" s="24"/>
      <c r="J1046455" s="24"/>
      <c r="K1046455" s="54"/>
    </row>
    <row r="1046456" spans="1:11" s="55" customFormat="1" ht="12.75">
      <c r="A1046456" s="24"/>
      <c r="B1046456" s="24"/>
      <c r="C1046456" s="24"/>
      <c r="D1046456" s="24"/>
      <c r="E1046456" s="24"/>
      <c r="F1046456" s="24"/>
      <c r="G1046456" s="24"/>
      <c r="H1046456" s="24"/>
      <c r="I1046456" s="24"/>
      <c r="J1046456" s="24"/>
      <c r="K1046456" s="54"/>
    </row>
    <row r="1046457" spans="1:11" s="55" customFormat="1" ht="12.75">
      <c r="A1046457" s="24"/>
      <c r="B1046457" s="24"/>
      <c r="C1046457" s="24"/>
      <c r="D1046457" s="24"/>
      <c r="E1046457" s="24"/>
      <c r="F1046457" s="24"/>
      <c r="G1046457" s="24"/>
      <c r="H1046457" s="24"/>
      <c r="I1046457" s="24"/>
      <c r="J1046457" s="24"/>
      <c r="K1046457" s="54"/>
    </row>
    <row r="1046458" spans="1:11" s="55" customFormat="1" ht="12.75">
      <c r="A1046458" s="24"/>
      <c r="B1046458" s="24"/>
      <c r="C1046458" s="24"/>
      <c r="D1046458" s="24"/>
      <c r="E1046458" s="24"/>
      <c r="F1046458" s="24"/>
      <c r="G1046458" s="24"/>
      <c r="H1046458" s="24"/>
      <c r="I1046458" s="24"/>
      <c r="J1046458" s="24"/>
      <c r="K1046458" s="54"/>
    </row>
    <row r="1046459" spans="1:11" s="55" customFormat="1" ht="12.75">
      <c r="A1046459" s="24"/>
      <c r="B1046459" s="24"/>
      <c r="C1046459" s="24"/>
      <c r="D1046459" s="24"/>
      <c r="E1046459" s="24"/>
      <c r="F1046459" s="24"/>
      <c r="G1046459" s="24"/>
      <c r="H1046459" s="24"/>
      <c r="I1046459" s="24"/>
      <c r="J1046459" s="24"/>
      <c r="K1046459" s="54"/>
    </row>
    <row r="1046460" spans="1:11" s="55" customFormat="1" ht="12.75">
      <c r="A1046460" s="24"/>
      <c r="B1046460" s="24"/>
      <c r="C1046460" s="24"/>
      <c r="D1046460" s="24"/>
      <c r="E1046460" s="24"/>
      <c r="F1046460" s="24"/>
      <c r="G1046460" s="24"/>
      <c r="H1046460" s="24"/>
      <c r="I1046460" s="24"/>
      <c r="J1046460" s="24"/>
      <c r="K1046460" s="54"/>
    </row>
    <row r="1046461" spans="1:11" s="55" customFormat="1" ht="12.75">
      <c r="A1046461" s="24"/>
      <c r="B1046461" s="24"/>
      <c r="C1046461" s="24"/>
      <c r="D1046461" s="24"/>
      <c r="E1046461" s="24"/>
      <c r="F1046461" s="24"/>
      <c r="G1046461" s="24"/>
      <c r="H1046461" s="24"/>
      <c r="I1046461" s="24"/>
      <c r="J1046461" s="24"/>
      <c r="K1046461" s="54"/>
    </row>
    <row r="1046462" spans="1:11" s="55" customFormat="1" ht="12.75">
      <c r="A1046462" s="24"/>
      <c r="B1046462" s="24"/>
      <c r="C1046462" s="24"/>
      <c r="D1046462" s="24"/>
      <c r="E1046462" s="24"/>
      <c r="F1046462" s="24"/>
      <c r="G1046462" s="24"/>
      <c r="H1046462" s="24"/>
      <c r="I1046462" s="24"/>
      <c r="J1046462" s="24"/>
      <c r="K1046462" s="54"/>
    </row>
    <row r="1046463" spans="1:11" s="55" customFormat="1" ht="12.75">
      <c r="A1046463" s="24"/>
      <c r="B1046463" s="24"/>
      <c r="C1046463" s="24"/>
      <c r="D1046463" s="24"/>
      <c r="E1046463" s="24"/>
      <c r="F1046463" s="24"/>
      <c r="G1046463" s="24"/>
      <c r="H1046463" s="24"/>
      <c r="I1046463" s="24"/>
      <c r="J1046463" s="24"/>
      <c r="K1046463" s="54"/>
    </row>
    <row r="1046464" spans="1:11" s="55" customFormat="1" ht="12.75">
      <c r="A1046464" s="24"/>
      <c r="B1046464" s="24"/>
      <c r="C1046464" s="24"/>
      <c r="D1046464" s="24"/>
      <c r="E1046464" s="24"/>
      <c r="F1046464" s="24"/>
      <c r="G1046464" s="24"/>
      <c r="H1046464" s="24"/>
      <c r="I1046464" s="24"/>
      <c r="J1046464" s="24"/>
      <c r="K1046464" s="54"/>
    </row>
    <row r="1046465" spans="1:11" s="55" customFormat="1" ht="12.75">
      <c r="A1046465" s="24"/>
      <c r="B1046465" s="24"/>
      <c r="C1046465" s="24"/>
      <c r="D1046465" s="24"/>
      <c r="E1046465" s="24"/>
      <c r="F1046465" s="24"/>
      <c r="G1046465" s="24"/>
      <c r="H1046465" s="24"/>
      <c r="I1046465" s="24"/>
      <c r="J1046465" s="24"/>
      <c r="K1046465" s="54"/>
    </row>
    <row r="1046466" spans="1:11" s="55" customFormat="1" ht="12.75">
      <c r="A1046466" s="24"/>
      <c r="B1046466" s="24"/>
      <c r="C1046466" s="24"/>
      <c r="D1046466" s="24"/>
      <c r="E1046466" s="24"/>
      <c r="F1046466" s="24"/>
      <c r="G1046466" s="24"/>
      <c r="H1046466" s="24"/>
      <c r="I1046466" s="24"/>
      <c r="J1046466" s="24"/>
      <c r="K1046466" s="54"/>
    </row>
    <row r="1046467" spans="1:11" s="55" customFormat="1" ht="12.75">
      <c r="A1046467" s="24"/>
      <c r="B1046467" s="24"/>
      <c r="C1046467" s="24"/>
      <c r="D1046467" s="24"/>
      <c r="E1046467" s="24"/>
      <c r="F1046467" s="24"/>
      <c r="G1046467" s="24"/>
      <c r="H1046467" s="24"/>
      <c r="I1046467" s="24"/>
      <c r="J1046467" s="24"/>
      <c r="K1046467" s="54"/>
    </row>
    <row r="1046468" spans="1:11" s="55" customFormat="1" ht="12.75">
      <c r="A1046468" s="24"/>
      <c r="B1046468" s="24"/>
      <c r="C1046468" s="24"/>
      <c r="D1046468" s="24"/>
      <c r="E1046468" s="24"/>
      <c r="F1046468" s="24"/>
      <c r="G1046468" s="24"/>
      <c r="H1046468" s="24"/>
      <c r="I1046468" s="24"/>
      <c r="J1046468" s="24"/>
      <c r="K1046468" s="54"/>
    </row>
    <row r="1046469" spans="1:11" s="55" customFormat="1" ht="12.75">
      <c r="A1046469" s="24"/>
      <c r="B1046469" s="24"/>
      <c r="C1046469" s="24"/>
      <c r="D1046469" s="24"/>
      <c r="E1046469" s="24"/>
      <c r="F1046469" s="24"/>
      <c r="G1046469" s="24"/>
      <c r="H1046469" s="24"/>
      <c r="I1046469" s="24"/>
      <c r="J1046469" s="24"/>
      <c r="K1046469" s="54"/>
    </row>
    <row r="1046470" spans="1:11" s="55" customFormat="1" ht="12.75">
      <c r="A1046470" s="24"/>
      <c r="B1046470" s="24"/>
      <c r="C1046470" s="24"/>
      <c r="D1046470" s="24"/>
      <c r="E1046470" s="24"/>
      <c r="F1046470" s="24"/>
      <c r="G1046470" s="24"/>
      <c r="H1046470" s="24"/>
      <c r="I1046470" s="24"/>
      <c r="J1046470" s="24"/>
      <c r="K1046470" s="54"/>
    </row>
    <row r="1046471" spans="1:11" s="55" customFormat="1" ht="12.75">
      <c r="A1046471" s="24"/>
      <c r="B1046471" s="24"/>
      <c r="C1046471" s="24"/>
      <c r="D1046471" s="24"/>
      <c r="E1046471" s="24"/>
      <c r="F1046471" s="24"/>
      <c r="G1046471" s="24"/>
      <c r="H1046471" s="24"/>
      <c r="I1046471" s="24"/>
      <c r="J1046471" s="24"/>
      <c r="K1046471" s="54"/>
    </row>
    <row r="1046472" spans="1:11" s="55" customFormat="1" ht="12.75">
      <c r="A1046472" s="24"/>
      <c r="B1046472" s="24"/>
      <c r="C1046472" s="24"/>
      <c r="D1046472" s="24"/>
      <c r="E1046472" s="24"/>
      <c r="F1046472" s="24"/>
      <c r="G1046472" s="24"/>
      <c r="H1046472" s="24"/>
      <c r="I1046472" s="24"/>
      <c r="J1046472" s="24"/>
      <c r="K1046472" s="54"/>
    </row>
    <row r="1046473" spans="1:11" s="55" customFormat="1" ht="12.75">
      <c r="A1046473" s="24"/>
      <c r="B1046473" s="24"/>
      <c r="C1046473" s="24"/>
      <c r="D1046473" s="24"/>
      <c r="E1046473" s="24"/>
      <c r="F1046473" s="24"/>
      <c r="G1046473" s="24"/>
      <c r="H1046473" s="24"/>
      <c r="I1046473" s="24"/>
      <c r="J1046473" s="24"/>
      <c r="K1046473" s="54"/>
    </row>
    <row r="1046474" spans="1:11" s="55" customFormat="1" ht="12.75">
      <c r="A1046474" s="24"/>
      <c r="B1046474" s="24"/>
      <c r="C1046474" s="24"/>
      <c r="D1046474" s="24"/>
      <c r="E1046474" s="24"/>
      <c r="F1046474" s="24"/>
      <c r="G1046474" s="24"/>
      <c r="H1046474" s="24"/>
      <c r="I1046474" s="24"/>
      <c r="J1046474" s="24"/>
      <c r="K1046474" s="54"/>
    </row>
    <row r="1046475" spans="1:11" s="55" customFormat="1" ht="12.75">
      <c r="A1046475" s="24"/>
      <c r="B1046475" s="24"/>
      <c r="C1046475" s="24"/>
      <c r="D1046475" s="24"/>
      <c r="E1046475" s="24"/>
      <c r="F1046475" s="24"/>
      <c r="G1046475" s="24"/>
      <c r="H1046475" s="24"/>
      <c r="I1046475" s="24"/>
      <c r="J1046475" s="24"/>
      <c r="K1046475" s="54"/>
    </row>
    <row r="1046476" spans="1:11" s="55" customFormat="1" ht="12.75">
      <c r="A1046476" s="24"/>
      <c r="B1046476" s="24"/>
      <c r="C1046476" s="24"/>
      <c r="D1046476" s="24"/>
      <c r="E1046476" s="24"/>
      <c r="F1046476" s="24"/>
      <c r="G1046476" s="24"/>
      <c r="H1046476" s="24"/>
      <c r="I1046476" s="24"/>
      <c r="J1046476" s="24"/>
      <c r="K1046476" s="54"/>
    </row>
    <row r="1046477" spans="1:11" s="55" customFormat="1" ht="12.75">
      <c r="A1046477" s="24"/>
      <c r="B1046477" s="24"/>
      <c r="C1046477" s="24"/>
      <c r="D1046477" s="24"/>
      <c r="E1046477" s="24"/>
      <c r="F1046477" s="24"/>
      <c r="G1046477" s="24"/>
      <c r="H1046477" s="24"/>
      <c r="I1046477" s="24"/>
      <c r="J1046477" s="24"/>
      <c r="K1046477" s="54"/>
    </row>
    <row r="1046478" spans="1:11" s="55" customFormat="1" ht="12.75">
      <c r="A1046478" s="24"/>
      <c r="B1046478" s="24"/>
      <c r="C1046478" s="24"/>
      <c r="D1046478" s="24"/>
      <c r="E1046478" s="24"/>
      <c r="F1046478" s="24"/>
      <c r="G1046478" s="24"/>
      <c r="H1046478" s="24"/>
      <c r="I1046478" s="24"/>
      <c r="J1046478" s="24"/>
      <c r="K1046478" s="54"/>
    </row>
    <row r="1046479" spans="1:11" s="55" customFormat="1" ht="12.75">
      <c r="A1046479" s="24"/>
      <c r="B1046479" s="24"/>
      <c r="C1046479" s="24"/>
      <c r="D1046479" s="24"/>
      <c r="E1046479" s="24"/>
      <c r="F1046479" s="24"/>
      <c r="G1046479" s="24"/>
      <c r="H1046479" s="24"/>
      <c r="I1046479" s="24"/>
      <c r="J1046479" s="24"/>
      <c r="K1046479" s="54"/>
    </row>
    <row r="1046480" spans="1:11" s="55" customFormat="1" ht="12.75">
      <c r="A1046480" s="24"/>
      <c r="B1046480" s="24"/>
      <c r="C1046480" s="24"/>
      <c r="D1046480" s="24"/>
      <c r="E1046480" s="24"/>
      <c r="F1046480" s="24"/>
      <c r="G1046480" s="24"/>
      <c r="H1046480" s="24"/>
      <c r="I1046480" s="24"/>
      <c r="J1046480" s="24"/>
      <c r="K1046480" s="54"/>
    </row>
    <row r="1046481" spans="1:11" s="55" customFormat="1" ht="12.75">
      <c r="A1046481" s="24"/>
      <c r="B1046481" s="24"/>
      <c r="C1046481" s="24"/>
      <c r="D1046481" s="24"/>
      <c r="E1046481" s="24"/>
      <c r="F1046481" s="24"/>
      <c r="G1046481" s="24"/>
      <c r="H1046481" s="24"/>
      <c r="I1046481" s="24"/>
      <c r="J1046481" s="24"/>
      <c r="K1046481" s="54"/>
    </row>
    <row r="1046482" spans="1:11" s="55" customFormat="1" ht="12.75">
      <c r="A1046482" s="24"/>
      <c r="B1046482" s="24"/>
      <c r="C1046482" s="24"/>
      <c r="D1046482" s="24"/>
      <c r="E1046482" s="24"/>
      <c r="F1046482" s="24"/>
      <c r="G1046482" s="24"/>
      <c r="H1046482" s="24"/>
      <c r="I1046482" s="24"/>
      <c r="J1046482" s="24"/>
      <c r="K1046482" s="54"/>
    </row>
    <row r="1046483" spans="1:11" s="55" customFormat="1" ht="12.75">
      <c r="A1046483" s="24"/>
      <c r="B1046483" s="24"/>
      <c r="C1046483" s="24"/>
      <c r="D1046483" s="24"/>
      <c r="E1046483" s="24"/>
      <c r="F1046483" s="24"/>
      <c r="G1046483" s="24"/>
      <c r="H1046483" s="24"/>
      <c r="I1046483" s="24"/>
      <c r="J1046483" s="24"/>
      <c r="K1046483" s="54"/>
    </row>
    <row r="1046484" spans="1:11" s="55" customFormat="1" ht="12.75">
      <c r="A1046484" s="24"/>
      <c r="B1046484" s="24"/>
      <c r="C1046484" s="24"/>
      <c r="D1046484" s="24"/>
      <c r="E1046484" s="24"/>
      <c r="F1046484" s="24"/>
      <c r="G1046484" s="24"/>
      <c r="H1046484" s="24"/>
      <c r="I1046484" s="24"/>
      <c r="J1046484" s="24"/>
      <c r="K1046484" s="54"/>
    </row>
    <row r="1046485" spans="1:11" s="55" customFormat="1" ht="12.75">
      <c r="A1046485" s="24"/>
      <c r="B1046485" s="24"/>
      <c r="C1046485" s="24"/>
      <c r="D1046485" s="24"/>
      <c r="E1046485" s="24"/>
      <c r="F1046485" s="24"/>
      <c r="G1046485" s="24"/>
      <c r="H1046485" s="24"/>
      <c r="I1046485" s="24"/>
      <c r="J1046485" s="24"/>
      <c r="K1046485" s="54"/>
    </row>
    <row r="1046486" spans="1:11" s="55" customFormat="1" ht="12.75">
      <c r="A1046486" s="24"/>
      <c r="B1046486" s="24"/>
      <c r="C1046486" s="24"/>
      <c r="D1046486" s="24"/>
      <c r="E1046486" s="24"/>
      <c r="F1046486" s="24"/>
      <c r="G1046486" s="24"/>
      <c r="H1046486" s="24"/>
      <c r="I1046486" s="24"/>
      <c r="J1046486" s="24"/>
      <c r="K1046486" s="54"/>
    </row>
    <row r="1046487" spans="1:11" s="55" customFormat="1" ht="12.75">
      <c r="A1046487" s="24"/>
      <c r="B1046487" s="24"/>
      <c r="C1046487" s="24"/>
      <c r="D1046487" s="24"/>
      <c r="E1046487" s="24"/>
      <c r="F1046487" s="24"/>
      <c r="G1046487" s="24"/>
      <c r="H1046487" s="24"/>
      <c r="I1046487" s="24"/>
      <c r="J1046487" s="24"/>
      <c r="K1046487" s="54"/>
    </row>
    <row r="1046488" spans="1:11" s="55" customFormat="1" ht="12.75">
      <c r="A1046488" s="24"/>
      <c r="B1046488" s="24"/>
      <c r="C1046488" s="24"/>
      <c r="D1046488" s="24"/>
      <c r="E1046488" s="24"/>
      <c r="F1046488" s="24"/>
      <c r="G1046488" s="24"/>
      <c r="H1046488" s="24"/>
      <c r="I1046488" s="24"/>
      <c r="J1046488" s="24"/>
      <c r="K1046488" s="54"/>
    </row>
    <row r="1046489" spans="1:11" s="55" customFormat="1" ht="12.75">
      <c r="A1046489" s="24"/>
      <c r="B1046489" s="24"/>
      <c r="C1046489" s="24"/>
      <c r="D1046489" s="24"/>
      <c r="E1046489" s="24"/>
      <c r="F1046489" s="24"/>
      <c r="G1046489" s="24"/>
      <c r="H1046489" s="24"/>
      <c r="I1046489" s="24"/>
      <c r="J1046489" s="24"/>
      <c r="K1046489" s="54"/>
    </row>
    <row r="1046490" spans="1:11" s="55" customFormat="1" ht="12.75">
      <c r="A1046490" s="24"/>
      <c r="B1046490" s="24"/>
      <c r="C1046490" s="24"/>
      <c r="D1046490" s="24"/>
      <c r="E1046490" s="24"/>
      <c r="F1046490" s="24"/>
      <c r="G1046490" s="24"/>
      <c r="H1046490" s="24"/>
      <c r="I1046490" s="24"/>
      <c r="J1046490" s="24"/>
      <c r="K1046490" s="54"/>
    </row>
    <row r="1046491" spans="1:11" s="55" customFormat="1" ht="12.75">
      <c r="A1046491" s="24"/>
      <c r="B1046491" s="24"/>
      <c r="C1046491" s="24"/>
      <c r="D1046491" s="24"/>
      <c r="E1046491" s="24"/>
      <c r="F1046491" s="24"/>
      <c r="G1046491" s="24"/>
      <c r="H1046491" s="24"/>
      <c r="I1046491" s="24"/>
      <c r="J1046491" s="24"/>
      <c r="K1046491" s="54"/>
    </row>
    <row r="1046492" spans="1:11" s="55" customFormat="1" ht="12.75">
      <c r="A1046492" s="24"/>
      <c r="B1046492" s="24"/>
      <c r="C1046492" s="24"/>
      <c r="D1046492" s="24"/>
      <c r="E1046492" s="24"/>
      <c r="F1046492" s="24"/>
      <c r="G1046492" s="24"/>
      <c r="H1046492" s="24"/>
      <c r="I1046492" s="24"/>
      <c r="J1046492" s="24"/>
      <c r="K1046492" s="54"/>
    </row>
    <row r="1046493" spans="1:11" s="55" customFormat="1" ht="12.75">
      <c r="A1046493" s="24"/>
      <c r="B1046493" s="24"/>
      <c r="C1046493" s="24"/>
      <c r="D1046493" s="24"/>
      <c r="E1046493" s="24"/>
      <c r="F1046493" s="24"/>
      <c r="G1046493" s="24"/>
      <c r="H1046493" s="24"/>
      <c r="I1046493" s="24"/>
      <c r="J1046493" s="24"/>
      <c r="K1046493" s="54"/>
    </row>
    <row r="1046494" spans="1:11" s="55" customFormat="1" ht="12.75">
      <c r="A1046494" s="24"/>
      <c r="B1046494" s="24"/>
      <c r="C1046494" s="24"/>
      <c r="D1046494" s="24"/>
      <c r="E1046494" s="24"/>
      <c r="F1046494" s="24"/>
      <c r="G1046494" s="24"/>
      <c r="H1046494" s="24"/>
      <c r="I1046494" s="24"/>
      <c r="J1046494" s="24"/>
      <c r="K1046494" s="54"/>
    </row>
    <row r="1046495" spans="1:11" s="55" customFormat="1" ht="12.75">
      <c r="A1046495" s="24"/>
      <c r="B1046495" s="24"/>
      <c r="C1046495" s="24"/>
      <c r="D1046495" s="24"/>
      <c r="E1046495" s="24"/>
      <c r="F1046495" s="24"/>
      <c r="G1046495" s="24"/>
      <c r="H1046495" s="24"/>
      <c r="I1046495" s="24"/>
      <c r="J1046495" s="24"/>
      <c r="K1046495" s="54"/>
    </row>
    <row r="1046496" spans="1:11" s="55" customFormat="1" ht="12.75">
      <c r="A1046496" s="24"/>
      <c r="B1046496" s="24"/>
      <c r="C1046496" s="24"/>
      <c r="D1046496" s="24"/>
      <c r="E1046496" s="24"/>
      <c r="F1046496" s="24"/>
      <c r="G1046496" s="24"/>
      <c r="H1046496" s="24"/>
      <c r="I1046496" s="24"/>
      <c r="J1046496" s="24"/>
      <c r="K1046496" s="54"/>
    </row>
    <row r="1046497" spans="1:11" s="55" customFormat="1" ht="12.75">
      <c r="A1046497" s="24"/>
      <c r="B1046497" s="24"/>
      <c r="C1046497" s="24"/>
      <c r="D1046497" s="24"/>
      <c r="E1046497" s="24"/>
      <c r="F1046497" s="24"/>
      <c r="G1046497" s="24"/>
      <c r="H1046497" s="24"/>
      <c r="I1046497" s="24"/>
      <c r="J1046497" s="24"/>
      <c r="K1046497" s="54"/>
    </row>
    <row r="1046498" spans="1:11" s="55" customFormat="1" ht="12.75">
      <c r="A1046498" s="24"/>
      <c r="B1046498" s="24"/>
      <c r="C1046498" s="24"/>
      <c r="D1046498" s="24"/>
      <c r="E1046498" s="24"/>
      <c r="F1046498" s="24"/>
      <c r="G1046498" s="24"/>
      <c r="H1046498" s="24"/>
      <c r="I1046498" s="24"/>
      <c r="J1046498" s="24"/>
      <c r="K1046498" s="54"/>
    </row>
    <row r="1046499" spans="1:11" s="55" customFormat="1" ht="12.75">
      <c r="A1046499" s="24"/>
      <c r="B1046499" s="24"/>
      <c r="C1046499" s="24"/>
      <c r="D1046499" s="24"/>
      <c r="E1046499" s="24"/>
      <c r="F1046499" s="24"/>
      <c r="G1046499" s="24"/>
      <c r="H1046499" s="24"/>
      <c r="I1046499" s="24"/>
      <c r="J1046499" s="24"/>
      <c r="K1046499" s="54"/>
    </row>
    <row r="1046500" spans="1:11" s="55" customFormat="1" ht="12.75">
      <c r="A1046500" s="24"/>
      <c r="B1046500" s="24"/>
      <c r="C1046500" s="24"/>
      <c r="D1046500" s="24"/>
      <c r="E1046500" s="24"/>
      <c r="F1046500" s="24"/>
      <c r="G1046500" s="24"/>
      <c r="H1046500" s="24"/>
      <c r="I1046500" s="24"/>
      <c r="J1046500" s="24"/>
      <c r="K1046500" s="54"/>
    </row>
    <row r="1046501" spans="1:11" s="55" customFormat="1" ht="12.75">
      <c r="A1046501" s="24"/>
      <c r="B1046501" s="24"/>
      <c r="C1046501" s="24"/>
      <c r="D1046501" s="24"/>
      <c r="E1046501" s="24"/>
      <c r="F1046501" s="24"/>
      <c r="G1046501" s="24"/>
      <c r="H1046501" s="24"/>
      <c r="I1046501" s="24"/>
      <c r="J1046501" s="24"/>
      <c r="K1046501" s="54"/>
    </row>
    <row r="1046502" spans="1:11" s="55" customFormat="1" ht="12.75">
      <c r="A1046502" s="24"/>
      <c r="B1046502" s="24"/>
      <c r="C1046502" s="24"/>
      <c r="D1046502" s="24"/>
      <c r="E1046502" s="24"/>
      <c r="F1046502" s="24"/>
      <c r="G1046502" s="24"/>
      <c r="H1046502" s="24"/>
      <c r="I1046502" s="24"/>
      <c r="J1046502" s="24"/>
      <c r="K1046502" s="54"/>
    </row>
    <row r="1046503" spans="1:11" s="55" customFormat="1" ht="12.75">
      <c r="A1046503" s="24"/>
      <c r="B1046503" s="24"/>
      <c r="C1046503" s="24"/>
      <c r="D1046503" s="24"/>
      <c r="E1046503" s="24"/>
      <c r="F1046503" s="24"/>
      <c r="G1046503" s="24"/>
      <c r="H1046503" s="24"/>
      <c r="I1046503" s="24"/>
      <c r="J1046503" s="24"/>
      <c r="K1046503" s="54"/>
    </row>
    <row r="1046504" spans="1:11" s="55" customFormat="1" ht="12.75">
      <c r="A1046504" s="24"/>
      <c r="B1046504" s="24"/>
      <c r="C1046504" s="24"/>
      <c r="D1046504" s="24"/>
      <c r="E1046504" s="24"/>
      <c r="F1046504" s="24"/>
      <c r="G1046504" s="24"/>
      <c r="H1046504" s="24"/>
      <c r="I1046504" s="24"/>
      <c r="J1046504" s="24"/>
      <c r="K1046504" s="54"/>
    </row>
    <row r="1046505" spans="1:11" s="55" customFormat="1" ht="12.75">
      <c r="A1046505" s="24"/>
      <c r="B1046505" s="24"/>
      <c r="C1046505" s="24"/>
      <c r="D1046505" s="24"/>
      <c r="E1046505" s="24"/>
      <c r="F1046505" s="24"/>
      <c r="G1046505" s="24"/>
      <c r="H1046505" s="24"/>
      <c r="I1046505" s="24"/>
      <c r="J1046505" s="24"/>
      <c r="K1046505" s="54"/>
    </row>
    <row r="1046506" spans="1:11" s="55" customFormat="1" ht="12.75">
      <c r="A1046506" s="24"/>
      <c r="B1046506" s="24"/>
      <c r="C1046506" s="24"/>
      <c r="D1046506" s="24"/>
      <c r="E1046506" s="24"/>
      <c r="F1046506" s="24"/>
      <c r="G1046506" s="24"/>
      <c r="H1046506" s="24"/>
      <c r="I1046506" s="24"/>
      <c r="J1046506" s="24"/>
      <c r="K1046506" s="54"/>
    </row>
    <row r="1046507" spans="1:11" s="55" customFormat="1" ht="12.75">
      <c r="A1046507" s="24"/>
      <c r="B1046507" s="24"/>
      <c r="C1046507" s="24"/>
      <c r="D1046507" s="24"/>
      <c r="E1046507" s="24"/>
      <c r="F1046507" s="24"/>
      <c r="G1046507" s="24"/>
      <c r="H1046507" s="24"/>
      <c r="I1046507" s="24"/>
      <c r="J1046507" s="24"/>
      <c r="K1046507" s="54"/>
    </row>
    <row r="1046508" spans="1:11" s="55" customFormat="1" ht="12.75">
      <c r="A1046508" s="24"/>
      <c r="B1046508" s="24"/>
      <c r="C1046508" s="24"/>
      <c r="D1046508" s="24"/>
      <c r="E1046508" s="24"/>
      <c r="F1046508" s="24"/>
      <c r="G1046508" s="24"/>
      <c r="H1046508" s="24"/>
      <c r="I1046508" s="24"/>
      <c r="J1046508" s="24"/>
      <c r="K1046508" s="54"/>
    </row>
    <row r="1046509" spans="1:11" s="55" customFormat="1" ht="12.75">
      <c r="A1046509" s="24"/>
      <c r="B1046509" s="24"/>
      <c r="C1046509" s="24"/>
      <c r="D1046509" s="24"/>
      <c r="E1046509" s="24"/>
      <c r="F1046509" s="24"/>
      <c r="G1046509" s="24"/>
      <c r="H1046509" s="24"/>
      <c r="I1046509" s="24"/>
      <c r="J1046509" s="24"/>
      <c r="K1046509" s="54"/>
    </row>
    <row r="1046510" spans="1:11" s="55" customFormat="1" ht="12.75">
      <c r="A1046510" s="24"/>
      <c r="B1046510" s="24"/>
      <c r="C1046510" s="24"/>
      <c r="D1046510" s="24"/>
      <c r="E1046510" s="24"/>
      <c r="F1046510" s="24"/>
      <c r="G1046510" s="24"/>
      <c r="H1046510" s="24"/>
      <c r="I1046510" s="24"/>
      <c r="J1046510" s="24"/>
      <c r="K1046510" s="54"/>
    </row>
    <row r="1046511" spans="1:11" s="55" customFormat="1" ht="12.75">
      <c r="A1046511" s="24"/>
      <c r="B1046511" s="24"/>
      <c r="C1046511" s="24"/>
      <c r="D1046511" s="24"/>
      <c r="E1046511" s="24"/>
      <c r="F1046511" s="24"/>
      <c r="G1046511" s="24"/>
      <c r="H1046511" s="24"/>
      <c r="I1046511" s="24"/>
      <c r="J1046511" s="24"/>
      <c r="K1046511" s="54"/>
    </row>
    <row r="1046512" spans="1:11" s="55" customFormat="1" ht="12.75">
      <c r="A1046512" s="24"/>
      <c r="B1046512" s="24"/>
      <c r="C1046512" s="24"/>
      <c r="D1046512" s="24"/>
      <c r="E1046512" s="24"/>
      <c r="F1046512" s="24"/>
      <c r="G1046512" s="24"/>
      <c r="H1046512" s="24"/>
      <c r="I1046512" s="24"/>
      <c r="J1046512" s="24"/>
      <c r="K1046512" s="54"/>
    </row>
    <row r="1046513" spans="1:11" s="55" customFormat="1" ht="12.75">
      <c r="A1046513" s="24"/>
      <c r="B1046513" s="24"/>
      <c r="C1046513" s="24"/>
      <c r="D1046513" s="24"/>
      <c r="E1046513" s="24"/>
      <c r="F1046513" s="24"/>
      <c r="G1046513" s="24"/>
      <c r="H1046513" s="24"/>
      <c r="I1046513" s="24"/>
      <c r="J1046513" s="24"/>
      <c r="K1046513" s="54"/>
    </row>
    <row r="1046514" spans="1:11" s="55" customFormat="1" ht="12.75">
      <c r="A1046514" s="24"/>
      <c r="B1046514" s="24"/>
      <c r="C1046514" s="24"/>
      <c r="D1046514" s="24"/>
      <c r="E1046514" s="24"/>
      <c r="F1046514" s="24"/>
      <c r="G1046514" s="24"/>
      <c r="H1046514" s="24"/>
      <c r="I1046514" s="24"/>
      <c r="J1046514" s="24"/>
      <c r="K1046514" s="54"/>
    </row>
    <row r="1046515" spans="1:11" s="55" customFormat="1" ht="12.75">
      <c r="A1046515" s="24"/>
      <c r="B1046515" s="24"/>
      <c r="C1046515" s="24"/>
      <c r="D1046515" s="24"/>
      <c r="E1046515" s="24"/>
      <c r="F1046515" s="24"/>
      <c r="G1046515" s="24"/>
      <c r="H1046515" s="24"/>
      <c r="I1046515" s="24"/>
      <c r="J1046515" s="24"/>
      <c r="K1046515" s="54"/>
    </row>
    <row r="1046516" spans="1:11" s="55" customFormat="1" ht="12.75">
      <c r="A1046516" s="24"/>
      <c r="B1046516" s="24"/>
      <c r="C1046516" s="24"/>
      <c r="D1046516" s="24"/>
      <c r="E1046516" s="24"/>
      <c r="F1046516" s="24"/>
      <c r="G1046516" s="24"/>
      <c r="H1046516" s="24"/>
      <c r="I1046516" s="24"/>
      <c r="J1046516" s="24"/>
      <c r="K1046516" s="54"/>
    </row>
    <row r="1046517" spans="1:11" s="55" customFormat="1" ht="12.75">
      <c r="A1046517" s="24"/>
      <c r="B1046517" s="24"/>
      <c r="C1046517" s="24"/>
      <c r="D1046517" s="24"/>
      <c r="E1046517" s="24"/>
      <c r="F1046517" s="24"/>
      <c r="G1046517" s="24"/>
      <c r="H1046517" s="24"/>
      <c r="I1046517" s="24"/>
      <c r="J1046517" s="24"/>
      <c r="K1046517" s="54"/>
    </row>
    <row r="1046518" spans="1:11" s="55" customFormat="1" ht="12.75">
      <c r="A1046518" s="24"/>
      <c r="B1046518" s="24"/>
      <c r="C1046518" s="24"/>
      <c r="D1046518" s="24"/>
      <c r="E1046518" s="24"/>
      <c r="F1046518" s="24"/>
      <c r="G1046518" s="24"/>
      <c r="H1046518" s="24"/>
      <c r="I1046518" s="24"/>
      <c r="J1046518" s="24"/>
      <c r="K1046518" s="54"/>
    </row>
    <row r="1046519" spans="1:11" s="55" customFormat="1" ht="12.75">
      <c r="A1046519" s="24"/>
      <c r="B1046519" s="24"/>
      <c r="C1046519" s="24"/>
      <c r="D1046519" s="24"/>
      <c r="E1046519" s="24"/>
      <c r="F1046519" s="24"/>
      <c r="G1046519" s="24"/>
      <c r="H1046519" s="24"/>
      <c r="I1046519" s="24"/>
      <c r="J1046519" s="24"/>
      <c r="K1046519" s="54"/>
    </row>
    <row r="1046520" spans="1:11" s="55" customFormat="1" ht="12.75">
      <c r="A1046520" s="24"/>
      <c r="B1046520" s="24"/>
      <c r="C1046520" s="24"/>
      <c r="D1046520" s="24"/>
      <c r="E1046520" s="24"/>
      <c r="F1046520" s="24"/>
      <c r="G1046520" s="24"/>
      <c r="H1046520" s="24"/>
      <c r="I1046520" s="24"/>
      <c r="J1046520" s="24"/>
      <c r="K1046520" s="54"/>
    </row>
    <row r="1046521" spans="1:11" s="55" customFormat="1" ht="12.75">
      <c r="A1046521" s="24"/>
      <c r="B1046521" s="24"/>
      <c r="C1046521" s="24"/>
      <c r="D1046521" s="24"/>
      <c r="E1046521" s="24"/>
      <c r="F1046521" s="24"/>
      <c r="G1046521" s="24"/>
      <c r="H1046521" s="24"/>
      <c r="I1046521" s="24"/>
      <c r="J1046521" s="24"/>
      <c r="K1046521" s="54"/>
    </row>
    <row r="1046522" spans="1:11" s="55" customFormat="1" ht="12.75">
      <c r="A1046522" s="24"/>
      <c r="B1046522" s="24"/>
      <c r="C1046522" s="24"/>
      <c r="D1046522" s="24"/>
      <c r="E1046522" s="24"/>
      <c r="F1046522" s="24"/>
      <c r="G1046522" s="24"/>
      <c r="H1046522" s="24"/>
      <c r="I1046522" s="24"/>
      <c r="J1046522" s="24"/>
      <c r="K1046522" s="54"/>
    </row>
    <row r="1046523" spans="1:11" s="55" customFormat="1" ht="12.75">
      <c r="A1046523" s="24"/>
      <c r="B1046523" s="24"/>
      <c r="C1046523" s="24"/>
      <c r="D1046523" s="24"/>
      <c r="E1046523" s="24"/>
      <c r="F1046523" s="24"/>
      <c r="G1046523" s="24"/>
      <c r="H1046523" s="24"/>
      <c r="I1046523" s="24"/>
      <c r="J1046523" s="24"/>
      <c r="K1046523" s="54"/>
    </row>
    <row r="1046524" spans="1:11" s="55" customFormat="1" ht="12.75">
      <c r="A1046524" s="24"/>
      <c r="B1046524" s="24"/>
      <c r="C1046524" s="24"/>
      <c r="D1046524" s="24"/>
      <c r="E1046524" s="24"/>
      <c r="F1046524" s="24"/>
      <c r="G1046524" s="24"/>
      <c r="H1046524" s="24"/>
      <c r="I1046524" s="24"/>
      <c r="J1046524" s="24"/>
      <c r="K1046524" s="54"/>
    </row>
    <row r="1046525" spans="1:11" s="55" customFormat="1" ht="12.75">
      <c r="A1046525" s="24"/>
      <c r="B1046525" s="24"/>
      <c r="C1046525" s="24"/>
      <c r="D1046525" s="24"/>
      <c r="E1046525" s="24"/>
      <c r="F1046525" s="24"/>
      <c r="G1046525" s="24"/>
      <c r="H1046525" s="24"/>
      <c r="I1046525" s="24"/>
      <c r="J1046525" s="24"/>
      <c r="K1046525" s="54"/>
    </row>
    <row r="1046526" spans="1:11" s="55" customFormat="1" ht="12.75">
      <c r="A1046526" s="24"/>
      <c r="B1046526" s="24"/>
      <c r="C1046526" s="24"/>
      <c r="D1046526" s="24"/>
      <c r="E1046526" s="24"/>
      <c r="F1046526" s="24"/>
      <c r="G1046526" s="24"/>
      <c r="H1046526" s="24"/>
      <c r="I1046526" s="24"/>
      <c r="J1046526" s="24"/>
      <c r="K1046526" s="54"/>
    </row>
    <row r="1046527" spans="1:11" s="55" customFormat="1" ht="12.75">
      <c r="A1046527" s="24"/>
      <c r="B1046527" s="24"/>
      <c r="C1046527" s="24"/>
      <c r="D1046527" s="24"/>
      <c r="E1046527" s="24"/>
      <c r="F1046527" s="24"/>
      <c r="G1046527" s="24"/>
      <c r="H1046527" s="24"/>
      <c r="I1046527" s="24"/>
      <c r="J1046527" s="24"/>
      <c r="K1046527" s="54"/>
    </row>
    <row r="1046528" spans="1:11" s="55" customFormat="1" ht="12.75">
      <c r="A1046528" s="24"/>
      <c r="B1046528" s="24"/>
      <c r="C1046528" s="24"/>
      <c r="D1046528" s="24"/>
      <c r="E1046528" s="24"/>
      <c r="F1046528" s="24"/>
      <c r="G1046528" s="24"/>
      <c r="H1046528" s="24"/>
      <c r="I1046528" s="24"/>
      <c r="J1046528" s="24"/>
      <c r="K1046528" s="54"/>
    </row>
    <row r="1046529" spans="1:11" s="55" customFormat="1" ht="12.75">
      <c r="A1046529" s="24"/>
      <c r="B1046529" s="24"/>
      <c r="C1046529" s="24"/>
      <c r="D1046529" s="24"/>
      <c r="E1046529" s="24"/>
      <c r="F1046529" s="24"/>
      <c r="G1046529" s="24"/>
      <c r="H1046529" s="24"/>
      <c r="I1046529" s="24"/>
      <c r="J1046529" s="24"/>
      <c r="K1046529" s="54"/>
    </row>
    <row r="1046530" spans="1:11" s="55" customFormat="1" ht="12.75">
      <c r="A1046530" s="24"/>
      <c r="B1046530" s="24"/>
      <c r="C1046530" s="24"/>
      <c r="D1046530" s="24"/>
      <c r="E1046530" s="24"/>
      <c r="F1046530" s="24"/>
      <c r="G1046530" s="24"/>
      <c r="H1046530" s="24"/>
      <c r="I1046530" s="24"/>
      <c r="J1046530" s="24"/>
      <c r="K1046530" s="54"/>
    </row>
    <row r="1046531" spans="1:11" s="55" customFormat="1" ht="12.75">
      <c r="A1046531" s="24"/>
      <c r="B1046531" s="24"/>
      <c r="C1046531" s="24"/>
      <c r="D1046531" s="24"/>
      <c r="E1046531" s="24"/>
      <c r="F1046531" s="24"/>
      <c r="G1046531" s="24"/>
      <c r="H1046531" s="24"/>
      <c r="I1046531" s="24"/>
      <c r="J1046531" s="24"/>
      <c r="K1046531" s="54"/>
    </row>
    <row r="1046532" spans="1:11" s="55" customFormat="1" ht="12.75">
      <c r="A1046532" s="24"/>
      <c r="B1046532" s="24"/>
      <c r="C1046532" s="24"/>
      <c r="D1046532" s="24"/>
      <c r="E1046532" s="24"/>
      <c r="F1046532" s="24"/>
      <c r="G1046532" s="24"/>
      <c r="H1046532" s="24"/>
      <c r="I1046532" s="24"/>
      <c r="J1046532" s="24"/>
      <c r="K1046532" s="54"/>
    </row>
    <row r="1046533" spans="1:11" s="55" customFormat="1" ht="12.75">
      <c r="A1046533" s="24"/>
      <c r="B1046533" s="24"/>
      <c r="C1046533" s="24"/>
      <c r="D1046533" s="24"/>
      <c r="E1046533" s="24"/>
      <c r="F1046533" s="24"/>
      <c r="G1046533" s="24"/>
      <c r="H1046533" s="24"/>
      <c r="I1046533" s="24"/>
      <c r="J1046533" s="24"/>
      <c r="K1046533" s="54"/>
    </row>
    <row r="1046534" spans="1:11" s="55" customFormat="1" ht="12.75">
      <c r="A1046534" s="24"/>
      <c r="B1046534" s="24"/>
      <c r="C1046534" s="24"/>
      <c r="D1046534" s="24"/>
      <c r="E1046534" s="24"/>
      <c r="F1046534" s="24"/>
      <c r="G1046534" s="24"/>
      <c r="H1046534" s="24"/>
      <c r="I1046534" s="24"/>
      <c r="J1046534" s="24"/>
      <c r="K1046534" s="54"/>
    </row>
    <row r="1046535" spans="1:11" s="55" customFormat="1" ht="12.75">
      <c r="A1046535" s="24"/>
      <c r="B1046535" s="24"/>
      <c r="C1046535" s="24"/>
      <c r="D1046535" s="24"/>
      <c r="E1046535" s="24"/>
      <c r="F1046535" s="24"/>
      <c r="G1046535" s="24"/>
      <c r="H1046535" s="24"/>
      <c r="I1046535" s="24"/>
      <c r="J1046535" s="24"/>
      <c r="K1046535" s="54"/>
    </row>
    <row r="1046536" spans="1:11" s="55" customFormat="1" ht="12.75">
      <c r="A1046536" s="24"/>
      <c r="B1046536" s="24"/>
      <c r="C1046536" s="24"/>
      <c r="D1046536" s="24"/>
      <c r="E1046536" s="24"/>
      <c r="F1046536" s="24"/>
      <c r="G1046536" s="24"/>
      <c r="H1046536" s="24"/>
      <c r="I1046536" s="24"/>
      <c r="J1046536" s="24"/>
      <c r="K1046536" s="54"/>
    </row>
    <row r="1046537" spans="1:11" s="55" customFormat="1" ht="12.75">
      <c r="A1046537" s="24"/>
      <c r="B1046537" s="24"/>
      <c r="C1046537" s="24"/>
      <c r="D1046537" s="24"/>
      <c r="E1046537" s="24"/>
      <c r="F1046537" s="24"/>
      <c r="G1046537" s="24"/>
      <c r="H1046537" s="24"/>
      <c r="I1046537" s="24"/>
      <c r="J1046537" s="24"/>
      <c r="K1046537" s="54"/>
    </row>
    <row r="1046538" spans="1:11" s="55" customFormat="1" ht="12.75">
      <c r="A1046538" s="24"/>
      <c r="B1046538" s="24"/>
      <c r="C1046538" s="24"/>
      <c r="D1046538" s="24"/>
      <c r="E1046538" s="24"/>
      <c r="F1046538" s="24"/>
      <c r="G1046538" s="24"/>
      <c r="H1046538" s="24"/>
      <c r="I1046538" s="24"/>
      <c r="J1046538" s="24"/>
      <c r="K1046538" s="54"/>
    </row>
    <row r="1046539" spans="1:11" s="55" customFormat="1" ht="12.75">
      <c r="A1046539" s="24"/>
      <c r="B1046539" s="24"/>
      <c r="C1046539" s="24"/>
      <c r="D1046539" s="24"/>
      <c r="E1046539" s="24"/>
      <c r="F1046539" s="24"/>
      <c r="G1046539" s="24"/>
      <c r="H1046539" s="24"/>
      <c r="I1046539" s="24"/>
      <c r="J1046539" s="24"/>
      <c r="K1046539" s="54"/>
    </row>
    <row r="1046540" spans="1:11" s="55" customFormat="1" ht="12.75">
      <c r="A1046540" s="24"/>
      <c r="B1046540" s="24"/>
      <c r="C1046540" s="24"/>
      <c r="D1046540" s="24"/>
      <c r="E1046540" s="24"/>
      <c r="F1046540" s="24"/>
      <c r="G1046540" s="24"/>
      <c r="H1046540" s="24"/>
      <c r="I1046540" s="24"/>
      <c r="J1046540" s="24"/>
      <c r="K1046540" s="54"/>
    </row>
    <row r="1046541" spans="1:11" s="55" customFormat="1" ht="12.75">
      <c r="A1046541" s="24"/>
      <c r="B1046541" s="24"/>
      <c r="C1046541" s="24"/>
      <c r="D1046541" s="24"/>
      <c r="E1046541" s="24"/>
      <c r="F1046541" s="24"/>
      <c r="G1046541" s="24"/>
      <c r="H1046541" s="24"/>
      <c r="I1046541" s="24"/>
      <c r="J1046541" s="24"/>
      <c r="K1046541" s="54"/>
    </row>
    <row r="1046542" spans="1:11" s="55" customFormat="1" ht="12.75">
      <c r="A1046542" s="24"/>
      <c r="B1046542" s="24"/>
      <c r="C1046542" s="24"/>
      <c r="D1046542" s="24"/>
      <c r="E1046542" s="24"/>
      <c r="F1046542" s="24"/>
      <c r="G1046542" s="24"/>
      <c r="H1046542" s="24"/>
      <c r="I1046542" s="24"/>
      <c r="J1046542" s="24"/>
      <c r="K1046542" s="54"/>
    </row>
    <row r="1046543" spans="1:11" s="55" customFormat="1" ht="12.75">
      <c r="A1046543" s="24"/>
      <c r="B1046543" s="24"/>
      <c r="C1046543" s="24"/>
      <c r="D1046543" s="24"/>
      <c r="E1046543" s="24"/>
      <c r="F1046543" s="24"/>
      <c r="G1046543" s="24"/>
      <c r="H1046543" s="24"/>
      <c r="I1046543" s="24"/>
      <c r="J1046543" s="24"/>
      <c r="K1046543" s="54"/>
    </row>
    <row r="1046544" spans="1:11" s="55" customFormat="1" ht="12.75">
      <c r="A1046544" s="24"/>
      <c r="B1046544" s="24"/>
      <c r="C1046544" s="24"/>
      <c r="D1046544" s="24"/>
      <c r="E1046544" s="24"/>
      <c r="F1046544" s="24"/>
      <c r="G1046544" s="24"/>
      <c r="H1046544" s="24"/>
      <c r="I1046544" s="24"/>
      <c r="J1046544" s="24"/>
      <c r="K1046544" s="54"/>
    </row>
    <row r="1046545" spans="1:11" s="55" customFormat="1" ht="12.75">
      <c r="A1046545" s="24"/>
      <c r="B1046545" s="24"/>
      <c r="C1046545" s="24"/>
      <c r="D1046545" s="24"/>
      <c r="E1046545" s="24"/>
      <c r="F1046545" s="24"/>
      <c r="G1046545" s="24"/>
      <c r="H1046545" s="24"/>
      <c r="I1046545" s="24"/>
      <c r="J1046545" s="24"/>
      <c r="K1046545" s="54"/>
    </row>
    <row r="1046546" spans="1:11" s="55" customFormat="1" ht="12.75">
      <c r="A1046546" s="24"/>
      <c r="B1046546" s="24"/>
      <c r="C1046546" s="24"/>
      <c r="D1046546" s="24"/>
      <c r="E1046546" s="24"/>
      <c r="F1046546" s="24"/>
      <c r="G1046546" s="24"/>
      <c r="H1046546" s="24"/>
      <c r="I1046546" s="24"/>
      <c r="J1046546" s="24"/>
      <c r="K1046546" s="54"/>
    </row>
    <row r="1046547" spans="1:11" s="55" customFormat="1" ht="12.75">
      <c r="A1046547" s="24"/>
      <c r="B1046547" s="24"/>
      <c r="C1046547" s="24"/>
      <c r="D1046547" s="24"/>
      <c r="E1046547" s="24"/>
      <c r="F1046547" s="24"/>
      <c r="G1046547" s="24"/>
      <c r="H1046547" s="24"/>
      <c r="I1046547" s="24"/>
      <c r="J1046547" s="24"/>
      <c r="K1046547" s="54"/>
    </row>
    <row r="1046548" spans="1:11" s="55" customFormat="1" ht="12.75">
      <c r="A1046548" s="24"/>
      <c r="B1046548" s="24"/>
      <c r="C1046548" s="24"/>
      <c r="D1046548" s="24"/>
      <c r="E1046548" s="24"/>
      <c r="F1046548" s="24"/>
      <c r="G1046548" s="24"/>
      <c r="H1046548" s="24"/>
      <c r="I1046548" s="24"/>
      <c r="J1046548" s="24"/>
      <c r="K1046548" s="54"/>
    </row>
    <row r="1046549" spans="1:11" s="55" customFormat="1" ht="12.75">
      <c r="A1046549" s="24"/>
      <c r="B1046549" s="24"/>
      <c r="C1046549" s="24"/>
      <c r="D1046549" s="24"/>
      <c r="E1046549" s="24"/>
      <c r="F1046549" s="24"/>
      <c r="G1046549" s="24"/>
      <c r="H1046549" s="24"/>
      <c r="I1046549" s="24"/>
      <c r="J1046549" s="24"/>
      <c r="K1046549" s="54"/>
    </row>
    <row r="1046550" spans="1:11" s="55" customFormat="1" ht="12.75">
      <c r="A1046550" s="24"/>
      <c r="B1046550" s="24"/>
      <c r="C1046550" s="24"/>
      <c r="D1046550" s="24"/>
      <c r="E1046550" s="24"/>
      <c r="F1046550" s="24"/>
      <c r="G1046550" s="24"/>
      <c r="H1046550" s="24"/>
      <c r="I1046550" s="24"/>
      <c r="J1046550" s="24"/>
      <c r="K1046550" s="54"/>
    </row>
    <row r="1046551" spans="1:11" s="55" customFormat="1" ht="12.75">
      <c r="A1046551" s="24"/>
      <c r="B1046551" s="24"/>
      <c r="C1046551" s="24"/>
      <c r="D1046551" s="24"/>
      <c r="E1046551" s="24"/>
      <c r="F1046551" s="24"/>
      <c r="G1046551" s="24"/>
      <c r="H1046551" s="24"/>
      <c r="I1046551" s="24"/>
      <c r="J1046551" s="24"/>
      <c r="K1046551" s="54"/>
    </row>
    <row r="1046552" spans="1:11" s="55" customFormat="1" ht="12.75">
      <c r="A1046552" s="24"/>
      <c r="B1046552" s="24"/>
      <c r="C1046552" s="24"/>
      <c r="D1046552" s="24"/>
      <c r="E1046552" s="24"/>
      <c r="F1046552" s="24"/>
      <c r="G1046552" s="24"/>
      <c r="H1046552" s="24"/>
      <c r="I1046552" s="24"/>
      <c r="J1046552" s="24"/>
      <c r="K1046552" s="54"/>
    </row>
    <row r="1046553" spans="1:11" s="55" customFormat="1" ht="12.75">
      <c r="A1046553" s="24"/>
      <c r="B1046553" s="24"/>
      <c r="C1046553" s="24"/>
      <c r="D1046553" s="24"/>
      <c r="E1046553" s="24"/>
      <c r="F1046553" s="24"/>
      <c r="G1046553" s="24"/>
      <c r="H1046553" s="24"/>
      <c r="I1046553" s="24"/>
      <c r="J1046553" s="24"/>
      <c r="K1046553" s="54"/>
    </row>
    <row r="1046554" spans="1:11" s="55" customFormat="1" ht="12.75">
      <c r="A1046554" s="24"/>
      <c r="B1046554" s="24"/>
      <c r="C1046554" s="24"/>
      <c r="D1046554" s="24"/>
      <c r="E1046554" s="24"/>
      <c r="F1046554" s="24"/>
      <c r="G1046554" s="24"/>
      <c r="H1046554" s="24"/>
      <c r="I1046554" s="24"/>
      <c r="J1046554" s="24"/>
      <c r="K1046554" s="54"/>
    </row>
    <row r="1046555" spans="1:11" s="55" customFormat="1" ht="12.75">
      <c r="A1046555" s="24"/>
      <c r="B1046555" s="24"/>
      <c r="C1046555" s="24"/>
      <c r="D1046555" s="24"/>
      <c r="E1046555" s="24"/>
      <c r="F1046555" s="24"/>
      <c r="G1046555" s="24"/>
      <c r="H1046555" s="24"/>
      <c r="I1046555" s="24"/>
      <c r="J1046555" s="24"/>
      <c r="K1046555" s="54"/>
    </row>
    <row r="1046556" spans="1:11" s="55" customFormat="1" ht="12.75">
      <c r="A1046556" s="24"/>
      <c r="B1046556" s="24"/>
      <c r="C1046556" s="24"/>
      <c r="D1046556" s="24"/>
      <c r="E1046556" s="24"/>
      <c r="F1046556" s="24"/>
      <c r="G1046556" s="24"/>
      <c r="H1046556" s="24"/>
      <c r="I1046556" s="24"/>
      <c r="J1046556" s="24"/>
      <c r="K1046556" s="54"/>
    </row>
    <row r="1046557" spans="1:11" s="55" customFormat="1" ht="12.75">
      <c r="A1046557" s="24"/>
      <c r="B1046557" s="24"/>
      <c r="C1046557" s="24"/>
      <c r="D1046557" s="24"/>
      <c r="E1046557" s="24"/>
      <c r="F1046557" s="24"/>
      <c r="G1046557" s="24"/>
      <c r="H1046557" s="24"/>
      <c r="I1046557" s="24"/>
      <c r="J1046557" s="24"/>
      <c r="K1046557" s="54"/>
    </row>
    <row r="1046558" spans="1:11" s="55" customFormat="1" ht="12.75">
      <c r="A1046558" s="24"/>
      <c r="B1046558" s="24"/>
      <c r="C1046558" s="24"/>
      <c r="D1046558" s="24"/>
      <c r="E1046558" s="24"/>
      <c r="F1046558" s="24"/>
      <c r="G1046558" s="24"/>
      <c r="H1046558" s="24"/>
      <c r="I1046558" s="24"/>
      <c r="J1046558" s="24"/>
      <c r="K1046558" s="54"/>
    </row>
    <row r="1046559" spans="1:11" s="55" customFormat="1" ht="12.75">
      <c r="A1046559" s="24"/>
      <c r="B1046559" s="24"/>
      <c r="C1046559" s="24"/>
      <c r="D1046559" s="24"/>
      <c r="E1046559" s="24"/>
      <c r="F1046559" s="24"/>
      <c r="G1046559" s="24"/>
      <c r="H1046559" s="24"/>
      <c r="I1046559" s="24"/>
      <c r="J1046559" s="24"/>
      <c r="K1046559" s="54"/>
    </row>
    <row r="1046560" spans="1:11" s="55" customFormat="1" ht="12.75">
      <c r="A1046560" s="24"/>
      <c r="B1046560" s="24"/>
      <c r="C1046560" s="24"/>
      <c r="D1046560" s="24"/>
      <c r="E1046560" s="24"/>
      <c r="F1046560" s="24"/>
      <c r="G1046560" s="24"/>
      <c r="H1046560" s="24"/>
      <c r="I1046560" s="24"/>
      <c r="J1046560" s="24"/>
      <c r="K1046560" s="54"/>
    </row>
    <row r="1046561" spans="1:11" s="55" customFormat="1" ht="12.75">
      <c r="A1046561" s="24"/>
      <c r="B1046561" s="24"/>
      <c r="C1046561" s="24"/>
      <c r="D1046561" s="24"/>
      <c r="E1046561" s="24"/>
      <c r="F1046561" s="24"/>
      <c r="G1046561" s="24"/>
      <c r="H1046561" s="24"/>
      <c r="I1046561" s="24"/>
      <c r="J1046561" s="24"/>
      <c r="K1046561" s="54"/>
    </row>
    <row r="1046562" spans="1:11" s="55" customFormat="1" ht="12.75">
      <c r="A1046562" s="24"/>
      <c r="B1046562" s="24"/>
      <c r="C1046562" s="24"/>
      <c r="D1046562" s="24"/>
      <c r="E1046562" s="24"/>
      <c r="F1046562" s="24"/>
      <c r="G1046562" s="24"/>
      <c r="H1046562" s="24"/>
      <c r="I1046562" s="24"/>
      <c r="J1046562" s="24"/>
      <c r="K1046562" s="54"/>
    </row>
    <row r="1046563" spans="1:11" s="55" customFormat="1" ht="12.75">
      <c r="A1046563" s="24"/>
      <c r="B1046563" s="24"/>
      <c r="C1046563" s="24"/>
      <c r="D1046563" s="24"/>
      <c r="E1046563" s="24"/>
      <c r="F1046563" s="24"/>
      <c r="G1046563" s="24"/>
      <c r="H1046563" s="24"/>
      <c r="I1046563" s="24"/>
      <c r="J1046563" s="24"/>
      <c r="K1046563" s="54"/>
    </row>
    <row r="1046564" spans="1:11" s="55" customFormat="1" ht="12.75">
      <c r="A1046564" s="24"/>
      <c r="B1046564" s="24"/>
      <c r="C1046564" s="24"/>
      <c r="D1046564" s="24"/>
      <c r="E1046564" s="24"/>
      <c r="F1046564" s="24"/>
      <c r="G1046564" s="24"/>
      <c r="H1046564" s="24"/>
      <c r="I1046564" s="24"/>
      <c r="J1046564" s="24"/>
      <c r="K1046564" s="54"/>
    </row>
    <row r="1046565" spans="1:11" s="55" customFormat="1" ht="12.75">
      <c r="A1046565" s="24"/>
      <c r="B1046565" s="24"/>
      <c r="C1046565" s="24"/>
      <c r="D1046565" s="24"/>
      <c r="E1046565" s="24"/>
      <c r="F1046565" s="24"/>
      <c r="G1046565" s="24"/>
      <c r="H1046565" s="24"/>
      <c r="I1046565" s="24"/>
      <c r="J1046565" s="24"/>
      <c r="K1046565" s="54"/>
    </row>
    <row r="1046566" spans="1:11" s="55" customFormat="1" ht="12.75">
      <c r="A1046566" s="24"/>
      <c r="B1046566" s="24"/>
      <c r="C1046566" s="24"/>
      <c r="D1046566" s="24"/>
      <c r="E1046566" s="24"/>
      <c r="F1046566" s="24"/>
      <c r="G1046566" s="24"/>
      <c r="H1046566" s="24"/>
      <c r="I1046566" s="24"/>
      <c r="J1046566" s="24"/>
      <c r="K1046566" s="54"/>
    </row>
    <row r="1046567" spans="1:11" s="55" customFormat="1" ht="12.75">
      <c r="A1046567" s="24"/>
      <c r="B1046567" s="24"/>
      <c r="C1046567" s="24"/>
      <c r="D1046567" s="24"/>
      <c r="E1046567" s="24"/>
      <c r="F1046567" s="24"/>
      <c r="G1046567" s="24"/>
      <c r="H1046567" s="24"/>
      <c r="I1046567" s="24"/>
      <c r="J1046567" s="24"/>
      <c r="K1046567" s="54"/>
    </row>
    <row r="1046568" spans="1:11" s="55" customFormat="1" ht="12.75">
      <c r="A1046568" s="24"/>
      <c r="B1046568" s="24"/>
      <c r="C1046568" s="24"/>
      <c r="D1046568" s="24"/>
      <c r="E1046568" s="24"/>
      <c r="F1046568" s="24"/>
      <c r="G1046568" s="24"/>
      <c r="H1046568" s="24"/>
      <c r="I1046568" s="24"/>
      <c r="J1046568" s="24"/>
      <c r="K1046568" s="54"/>
    </row>
    <row r="1046569" spans="1:11" s="55" customFormat="1" ht="12.75">
      <c r="A1046569" s="24"/>
      <c r="B1046569" s="24"/>
      <c r="C1046569" s="24"/>
      <c r="D1046569" s="24"/>
      <c r="E1046569" s="24"/>
      <c r="F1046569" s="24"/>
      <c r="G1046569" s="24"/>
      <c r="H1046569" s="24"/>
      <c r="I1046569" s="24"/>
      <c r="J1046569" s="24"/>
      <c r="K1046569" s="54"/>
    </row>
    <row r="1046570" spans="1:11" s="55" customFormat="1" ht="12.75">
      <c r="A1046570" s="24"/>
      <c r="B1046570" s="24"/>
      <c r="C1046570" s="24"/>
      <c r="D1046570" s="24"/>
      <c r="E1046570" s="24"/>
      <c r="F1046570" s="24"/>
      <c r="G1046570" s="24"/>
      <c r="H1046570" s="24"/>
      <c r="I1046570" s="24"/>
      <c r="J1046570" s="24"/>
      <c r="K1046570" s="54"/>
    </row>
    <row r="1046571" spans="1:11" s="55" customFormat="1" ht="12.75">
      <c r="A1046571" s="24"/>
      <c r="B1046571" s="24"/>
      <c r="C1046571" s="24"/>
      <c r="D1046571" s="24"/>
      <c r="E1046571" s="24"/>
      <c r="F1046571" s="24"/>
      <c r="G1046571" s="24"/>
      <c r="H1046571" s="24"/>
      <c r="I1046571" s="24"/>
      <c r="J1046571" s="24"/>
      <c r="K1046571" s="54"/>
    </row>
    <row r="1046572" spans="1:11" s="55" customFormat="1" ht="12.75">
      <c r="A1046572" s="24"/>
      <c r="B1046572" s="24"/>
      <c r="C1046572" s="24"/>
      <c r="D1046572" s="24"/>
      <c r="E1046572" s="24"/>
      <c r="F1046572" s="24"/>
      <c r="G1046572" s="24"/>
      <c r="H1046572" s="24"/>
      <c r="I1046572" s="24"/>
      <c r="J1046572" s="24"/>
      <c r="K1046572" s="54"/>
    </row>
    <row r="1046573" spans="1:11" s="55" customFormat="1" ht="12.75">
      <c r="A1046573" s="24"/>
      <c r="B1046573" s="24"/>
      <c r="C1046573" s="24"/>
      <c r="D1046573" s="24"/>
      <c r="E1046573" s="24"/>
      <c r="F1046573" s="24"/>
      <c r="G1046573" s="24"/>
      <c r="H1046573" s="24"/>
      <c r="I1046573" s="24"/>
      <c r="J1046573" s="24"/>
      <c r="K1046573" s="54"/>
    </row>
    <row r="1046574" spans="1:11" s="55" customFormat="1" ht="12.75">
      <c r="A1046574" s="24"/>
      <c r="B1046574" s="24"/>
      <c r="C1046574" s="24"/>
      <c r="D1046574" s="24"/>
      <c r="E1046574" s="24"/>
      <c r="F1046574" s="24"/>
      <c r="G1046574" s="24"/>
      <c r="H1046574" s="24"/>
      <c r="I1046574" s="24"/>
      <c r="J1046574" s="24"/>
      <c r="K1046574" s="54"/>
    </row>
    <row r="1046575" spans="1:11" s="55" customFormat="1" ht="12.75">
      <c r="A1046575" s="24"/>
      <c r="B1046575" s="24"/>
      <c r="C1046575" s="24"/>
      <c r="D1046575" s="24"/>
      <c r="E1046575" s="24"/>
      <c r="F1046575" s="24"/>
      <c r="G1046575" s="24"/>
      <c r="H1046575" s="24"/>
      <c r="I1046575" s="24"/>
      <c r="J1046575" s="24"/>
      <c r="K1046575" s="54"/>
    </row>
    <row r="1046576" spans="1:11" s="55" customFormat="1" ht="12.75">
      <c r="A1046576" s="24"/>
      <c r="B1046576" s="24"/>
      <c r="C1046576" s="24"/>
      <c r="D1046576" s="24"/>
      <c r="E1046576" s="24"/>
      <c r="F1046576" s="24"/>
      <c r="G1046576" s="24"/>
      <c r="H1046576" s="24"/>
      <c r="I1046576" s="24"/>
      <c r="J1046576" s="24"/>
      <c r="K1046576" s="54"/>
    </row>
    <row r="1046577" spans="1:11" s="55" customFormat="1" ht="12.75">
      <c r="A1046577" s="24"/>
      <c r="B1046577" s="24"/>
      <c r="C1046577" s="24"/>
      <c r="D1046577" s="24"/>
      <c r="E1046577" s="24"/>
      <c r="F1046577" s="24"/>
      <c r="G1046577" s="24"/>
      <c r="H1046577" s="24"/>
      <c r="I1046577" s="24"/>
      <c r="J1046577" s="24"/>
      <c r="K1046577" s="54"/>
    </row>
    <row r="1046578" spans="1:11" s="55" customFormat="1" ht="12.75">
      <c r="A1046578" s="24"/>
      <c r="B1046578" s="24"/>
      <c r="C1046578" s="24"/>
      <c r="D1046578" s="24"/>
      <c r="E1046578" s="24"/>
      <c r="F1046578" s="24"/>
      <c r="G1046578" s="24"/>
      <c r="H1046578" s="24"/>
      <c r="I1046578" s="24"/>
      <c r="J1046578" s="24"/>
      <c r="K1046578" s="54"/>
    </row>
    <row r="1046579" spans="1:11" s="55" customFormat="1" ht="12.75">
      <c r="A1046579" s="24"/>
      <c r="B1046579" s="24"/>
      <c r="C1046579" s="24"/>
      <c r="D1046579" s="24"/>
      <c r="E1046579" s="24"/>
      <c r="F1046579" s="24"/>
      <c r="G1046579" s="24"/>
      <c r="H1046579" s="24"/>
      <c r="I1046579" s="24"/>
      <c r="J1046579" s="24"/>
      <c r="K1046579" s="54"/>
    </row>
    <row r="1046580" spans="1:11" s="55" customFormat="1" ht="12.75">
      <c r="A1046580" s="24"/>
      <c r="B1046580" s="24"/>
      <c r="C1046580" s="24"/>
      <c r="D1046580" s="24"/>
      <c r="E1046580" s="24"/>
      <c r="F1046580" s="24"/>
      <c r="G1046580" s="24"/>
      <c r="H1046580" s="24"/>
      <c r="I1046580" s="24"/>
      <c r="J1046580" s="24"/>
      <c r="K1046580" s="54"/>
    </row>
    <row r="1046581" spans="1:11" s="55" customFormat="1" ht="12.75">
      <c r="A1046581" s="24"/>
      <c r="B1046581" s="24"/>
      <c r="C1046581" s="24"/>
      <c r="D1046581" s="24"/>
      <c r="E1046581" s="24"/>
      <c r="F1046581" s="24"/>
      <c r="G1046581" s="24"/>
      <c r="H1046581" s="24"/>
      <c r="I1046581" s="24"/>
      <c r="J1046581" s="24"/>
      <c r="K1046581" s="54"/>
    </row>
    <row r="1046582" spans="1:11" s="55" customFormat="1" ht="12.75">
      <c r="A1046582" s="24"/>
      <c r="B1046582" s="24"/>
      <c r="C1046582" s="24"/>
      <c r="D1046582" s="24"/>
      <c r="E1046582" s="24"/>
      <c r="F1046582" s="24"/>
      <c r="G1046582" s="24"/>
      <c r="H1046582" s="24"/>
      <c r="I1046582" s="24"/>
      <c r="J1046582" s="24"/>
      <c r="K1046582" s="54"/>
    </row>
    <row r="1046583" spans="1:11" s="55" customFormat="1" ht="12.75">
      <c r="A1046583" s="24"/>
      <c r="B1046583" s="24"/>
      <c r="C1046583" s="24"/>
      <c r="D1046583" s="24"/>
      <c r="E1046583" s="24"/>
      <c r="F1046583" s="24"/>
      <c r="G1046583" s="24"/>
      <c r="H1046583" s="24"/>
      <c r="I1046583" s="24"/>
      <c r="J1046583" s="24"/>
      <c r="K1046583" s="54"/>
    </row>
    <row r="1046584" spans="1:11" s="55" customFormat="1" ht="12.75">
      <c r="A1046584" s="24"/>
      <c r="B1046584" s="24"/>
      <c r="C1046584" s="24"/>
      <c r="D1046584" s="24"/>
      <c r="E1046584" s="24"/>
      <c r="F1046584" s="24"/>
      <c r="G1046584" s="24"/>
      <c r="H1046584" s="24"/>
      <c r="I1046584" s="24"/>
      <c r="J1046584" s="24"/>
      <c r="K1046584" s="54"/>
    </row>
    <row r="1046585" spans="1:11" s="55" customFormat="1" ht="12.75">
      <c r="A1046585" s="24"/>
      <c r="B1046585" s="24"/>
      <c r="C1046585" s="24"/>
      <c r="D1046585" s="24"/>
      <c r="E1046585" s="24"/>
      <c r="F1046585" s="24"/>
      <c r="G1046585" s="24"/>
      <c r="H1046585" s="24"/>
      <c r="I1046585" s="24"/>
      <c r="J1046585" s="24"/>
      <c r="K1046585" s="54"/>
    </row>
    <row r="1046586" spans="1:11" s="55" customFormat="1" ht="12.75">
      <c r="A1046586" s="24"/>
      <c r="B1046586" s="24"/>
      <c r="C1046586" s="24"/>
      <c r="D1046586" s="24"/>
      <c r="E1046586" s="24"/>
      <c r="F1046586" s="24"/>
      <c r="G1046586" s="24"/>
      <c r="H1046586" s="24"/>
      <c r="I1046586" s="24"/>
      <c r="J1046586" s="24"/>
      <c r="K1046586" s="54"/>
    </row>
    <row r="1046587" spans="1:11" s="55" customFormat="1" ht="12.75">
      <c r="A1046587" s="24"/>
      <c r="B1046587" s="24"/>
      <c r="C1046587" s="24"/>
      <c r="D1046587" s="24"/>
      <c r="E1046587" s="24"/>
      <c r="F1046587" s="24"/>
      <c r="G1046587" s="24"/>
      <c r="H1046587" s="24"/>
      <c r="I1046587" s="24"/>
      <c r="J1046587" s="24"/>
      <c r="K1046587" s="54"/>
    </row>
    <row r="1046588" spans="1:11" s="55" customFormat="1" ht="12.75">
      <c r="A1046588" s="24"/>
      <c r="B1046588" s="24"/>
      <c r="C1046588" s="24"/>
      <c r="D1046588" s="24"/>
      <c r="E1046588" s="24"/>
      <c r="F1046588" s="24"/>
      <c r="G1046588" s="24"/>
      <c r="H1046588" s="24"/>
      <c r="I1046588" s="24"/>
      <c r="J1046588" s="24"/>
      <c r="K1046588" s="54"/>
    </row>
    <row r="1046589" spans="1:11" s="55" customFormat="1" ht="12.75">
      <c r="A1046589" s="24"/>
      <c r="B1046589" s="24"/>
      <c r="C1046589" s="24"/>
      <c r="D1046589" s="24"/>
      <c r="E1046589" s="24"/>
      <c r="F1046589" s="24"/>
      <c r="G1046589" s="24"/>
      <c r="H1046589" s="24"/>
      <c r="I1046589" s="24"/>
      <c r="J1046589" s="24"/>
      <c r="K1046589" s="54"/>
    </row>
    <row r="1046590" spans="1:11" s="55" customFormat="1" ht="12.75">
      <c r="A1046590" s="24"/>
      <c r="B1046590" s="24"/>
      <c r="C1046590" s="24"/>
      <c r="D1046590" s="24"/>
      <c r="E1046590" s="24"/>
      <c r="F1046590" s="24"/>
      <c r="G1046590" s="24"/>
      <c r="H1046590" s="24"/>
      <c r="I1046590" s="24"/>
      <c r="J1046590" s="24"/>
      <c r="K1046590" s="54"/>
    </row>
    <row r="1046591" spans="1:11" s="55" customFormat="1" ht="12.75">
      <c r="A1046591" s="24"/>
      <c r="B1046591" s="24"/>
      <c r="C1046591" s="24"/>
      <c r="D1046591" s="24"/>
      <c r="E1046591" s="24"/>
      <c r="F1046591" s="24"/>
      <c r="G1046591" s="24"/>
      <c r="H1046591" s="24"/>
      <c r="I1046591" s="24"/>
      <c r="J1046591" s="24"/>
      <c r="K1046591" s="54"/>
    </row>
    <row r="1046592" spans="1:11" s="55" customFormat="1" ht="12.75">
      <c r="A1046592" s="24"/>
      <c r="B1046592" s="24"/>
      <c r="C1046592" s="24"/>
      <c r="D1046592" s="24"/>
      <c r="E1046592" s="24"/>
      <c r="F1046592" s="24"/>
      <c r="G1046592" s="24"/>
      <c r="H1046592" s="24"/>
      <c r="I1046592" s="24"/>
      <c r="J1046592" s="24"/>
      <c r="K1046592" s="54"/>
    </row>
    <row r="1046593" spans="1:11" s="55" customFormat="1" ht="12.75">
      <c r="A1046593" s="24"/>
      <c r="B1046593" s="24"/>
      <c r="C1046593" s="24"/>
      <c r="D1046593" s="24"/>
      <c r="E1046593" s="24"/>
      <c r="F1046593" s="24"/>
      <c r="G1046593" s="24"/>
      <c r="H1046593" s="24"/>
      <c r="I1046593" s="24"/>
      <c r="J1046593" s="24"/>
      <c r="K1046593" s="54"/>
    </row>
    <row r="1046594" spans="1:11" s="55" customFormat="1" ht="12.75">
      <c r="A1046594" s="24"/>
      <c r="B1046594" s="24"/>
      <c r="C1046594" s="24"/>
      <c r="D1046594" s="24"/>
      <c r="E1046594" s="24"/>
      <c r="F1046594" s="24"/>
      <c r="G1046594" s="24"/>
      <c r="H1046594" s="24"/>
      <c r="I1046594" s="24"/>
      <c r="J1046594" s="24"/>
      <c r="K1046594" s="54"/>
    </row>
    <row r="1046595" spans="1:11" s="55" customFormat="1" ht="12.75">
      <c r="A1046595" s="24"/>
      <c r="B1046595" s="24"/>
      <c r="C1046595" s="24"/>
      <c r="D1046595" s="24"/>
      <c r="E1046595" s="24"/>
      <c r="F1046595" s="24"/>
      <c r="G1046595" s="24"/>
      <c r="H1046595" s="24"/>
      <c r="I1046595" s="24"/>
      <c r="J1046595" s="24"/>
      <c r="K1046595" s="54"/>
    </row>
    <row r="1046596" spans="1:11" s="55" customFormat="1" ht="12.75">
      <c r="A1046596" s="24"/>
      <c r="B1046596" s="24"/>
      <c r="C1046596" s="24"/>
      <c r="D1046596" s="24"/>
      <c r="E1046596" s="24"/>
      <c r="F1046596" s="24"/>
      <c r="G1046596" s="24"/>
      <c r="H1046596" s="24"/>
      <c r="I1046596" s="24"/>
      <c r="J1046596" s="24"/>
      <c r="K1046596" s="54"/>
    </row>
    <row r="1046597" spans="1:11" s="55" customFormat="1" ht="12.75">
      <c r="A1046597" s="24"/>
      <c r="B1046597" s="24"/>
      <c r="C1046597" s="24"/>
      <c r="D1046597" s="24"/>
      <c r="E1046597" s="24"/>
      <c r="F1046597" s="24"/>
      <c r="G1046597" s="24"/>
      <c r="H1046597" s="24"/>
      <c r="I1046597" s="24"/>
      <c r="J1046597" s="24"/>
      <c r="K1046597" s="54"/>
    </row>
    <row r="1046598" spans="1:11" s="55" customFormat="1" ht="12.75">
      <c r="A1046598" s="24"/>
      <c r="B1046598" s="24"/>
      <c r="C1046598" s="24"/>
      <c r="D1046598" s="24"/>
      <c r="E1046598" s="24"/>
      <c r="F1046598" s="24"/>
      <c r="G1046598" s="24"/>
      <c r="H1046598" s="24"/>
      <c r="I1046598" s="24"/>
      <c r="J1046598" s="24"/>
      <c r="K1046598" s="54"/>
    </row>
    <row r="1046599" spans="1:11" s="55" customFormat="1" ht="12.75">
      <c r="A1046599" s="24"/>
      <c r="B1046599" s="24"/>
      <c r="C1046599" s="24"/>
      <c r="D1046599" s="24"/>
      <c r="E1046599" s="24"/>
      <c r="F1046599" s="24"/>
      <c r="G1046599" s="24"/>
      <c r="H1046599" s="24"/>
      <c r="I1046599" s="24"/>
      <c r="J1046599" s="24"/>
      <c r="K1046599" s="54"/>
    </row>
    <row r="1046600" spans="1:11" s="55" customFormat="1" ht="12.75">
      <c r="A1046600" s="24"/>
      <c r="B1046600" s="24"/>
      <c r="C1046600" s="24"/>
      <c r="D1046600" s="24"/>
      <c r="E1046600" s="24"/>
      <c r="F1046600" s="24"/>
      <c r="G1046600" s="24"/>
      <c r="H1046600" s="24"/>
      <c r="I1046600" s="24"/>
      <c r="J1046600" s="24"/>
      <c r="K1046600" s="54"/>
    </row>
    <row r="1046601" spans="1:11" s="55" customFormat="1" ht="12.75">
      <c r="A1046601" s="24"/>
      <c r="B1046601" s="24"/>
      <c r="C1046601" s="24"/>
      <c r="D1046601" s="24"/>
      <c r="E1046601" s="24"/>
      <c r="F1046601" s="24"/>
      <c r="G1046601" s="24"/>
      <c r="H1046601" s="24"/>
      <c r="I1046601" s="24"/>
      <c r="J1046601" s="24"/>
      <c r="K1046601" s="54"/>
    </row>
    <row r="1046602" spans="1:11" s="55" customFormat="1" ht="12.75">
      <c r="A1046602" s="24"/>
      <c r="B1046602" s="24"/>
      <c r="C1046602" s="24"/>
      <c r="D1046602" s="24"/>
      <c r="E1046602" s="24"/>
      <c r="F1046602" s="24"/>
      <c r="G1046602" s="24"/>
      <c r="H1046602" s="24"/>
      <c r="I1046602" s="24"/>
      <c r="J1046602" s="24"/>
      <c r="K1046602" s="54"/>
    </row>
    <row r="1046603" spans="1:11" s="55" customFormat="1" ht="12.75">
      <c r="A1046603" s="24"/>
      <c r="B1046603" s="24"/>
      <c r="C1046603" s="24"/>
      <c r="D1046603" s="24"/>
      <c r="E1046603" s="24"/>
      <c r="F1046603" s="24"/>
      <c r="G1046603" s="24"/>
      <c r="H1046603" s="24"/>
      <c r="I1046603" s="24"/>
      <c r="J1046603" s="24"/>
      <c r="K1046603" s="54"/>
    </row>
    <row r="1046604" spans="1:11" s="55" customFormat="1" ht="12.75">
      <c r="A1046604" s="24"/>
      <c r="B1046604" s="24"/>
      <c r="C1046604" s="24"/>
      <c r="D1046604" s="24"/>
      <c r="E1046604" s="24"/>
      <c r="F1046604" s="24"/>
      <c r="G1046604" s="24"/>
      <c r="H1046604" s="24"/>
      <c r="I1046604" s="24"/>
      <c r="J1046604" s="24"/>
      <c r="K1046604" s="54"/>
    </row>
    <row r="1046605" spans="1:11" s="55" customFormat="1" ht="12.75">
      <c r="A1046605" s="24"/>
      <c r="B1046605" s="24"/>
      <c r="C1046605" s="24"/>
      <c r="D1046605" s="24"/>
      <c r="E1046605" s="24"/>
      <c r="F1046605" s="24"/>
      <c r="G1046605" s="24"/>
      <c r="H1046605" s="24"/>
      <c r="I1046605" s="24"/>
      <c r="J1046605" s="24"/>
      <c r="K1046605" s="54"/>
    </row>
    <row r="1046606" spans="1:11" s="55" customFormat="1" ht="12.75">
      <c r="A1046606" s="24"/>
      <c r="B1046606" s="24"/>
      <c r="C1046606" s="24"/>
      <c r="D1046606" s="24"/>
      <c r="E1046606" s="24"/>
      <c r="F1046606" s="24"/>
      <c r="G1046606" s="24"/>
      <c r="H1046606" s="24"/>
      <c r="I1046606" s="24"/>
      <c r="J1046606" s="24"/>
      <c r="K1046606" s="54"/>
    </row>
    <row r="1046607" spans="1:11" s="55" customFormat="1" ht="12.75">
      <c r="A1046607" s="24"/>
      <c r="B1046607" s="24"/>
      <c r="C1046607" s="24"/>
      <c r="D1046607" s="24"/>
      <c r="E1046607" s="24"/>
      <c r="F1046607" s="24"/>
      <c r="G1046607" s="24"/>
      <c r="H1046607" s="24"/>
      <c r="I1046607" s="24"/>
      <c r="J1046607" s="24"/>
      <c r="K1046607" s="54"/>
    </row>
    <row r="1046608" spans="1:11" s="55" customFormat="1" ht="12.75">
      <c r="A1046608" s="24"/>
      <c r="B1046608" s="24"/>
      <c r="C1046608" s="24"/>
      <c r="D1046608" s="24"/>
      <c r="E1046608" s="24"/>
      <c r="F1046608" s="24"/>
      <c r="G1046608" s="24"/>
      <c r="H1046608" s="24"/>
      <c r="I1046608" s="24"/>
      <c r="J1046608" s="24"/>
      <c r="K1046608" s="54"/>
    </row>
    <row r="1046609" spans="1:11" s="55" customFormat="1" ht="12.75">
      <c r="A1046609" s="24"/>
      <c r="B1046609" s="24"/>
      <c r="C1046609" s="24"/>
      <c r="D1046609" s="24"/>
      <c r="E1046609" s="24"/>
      <c r="F1046609" s="24"/>
      <c r="G1046609" s="24"/>
      <c r="H1046609" s="24"/>
      <c r="I1046609" s="24"/>
      <c r="J1046609" s="24"/>
      <c r="K1046609" s="54"/>
    </row>
    <row r="1046610" spans="1:11" s="55" customFormat="1" ht="12.75">
      <c r="A1046610" s="24"/>
      <c r="B1046610" s="24"/>
      <c r="C1046610" s="24"/>
      <c r="D1046610" s="24"/>
      <c r="E1046610" s="24"/>
      <c r="F1046610" s="24"/>
      <c r="G1046610" s="24"/>
      <c r="H1046610" s="24"/>
      <c r="I1046610" s="24"/>
      <c r="J1046610" s="24"/>
      <c r="K1046610" s="54"/>
    </row>
    <row r="1046611" spans="1:11" s="55" customFormat="1" ht="12.75">
      <c r="A1046611" s="24"/>
      <c r="B1046611" s="24"/>
      <c r="C1046611" s="24"/>
      <c r="D1046611" s="24"/>
      <c r="E1046611" s="24"/>
      <c r="F1046611" s="24"/>
      <c r="G1046611" s="24"/>
      <c r="H1046611" s="24"/>
      <c r="I1046611" s="24"/>
      <c r="J1046611" s="24"/>
      <c r="K1046611" s="54"/>
    </row>
    <row r="1046612" spans="1:11" s="55" customFormat="1" ht="12.75">
      <c r="A1046612" s="24"/>
      <c r="B1046612" s="24"/>
      <c r="C1046612" s="24"/>
      <c r="D1046612" s="24"/>
      <c r="E1046612" s="24"/>
      <c r="F1046612" s="24"/>
      <c r="G1046612" s="24"/>
      <c r="H1046612" s="24"/>
      <c r="I1046612" s="24"/>
      <c r="J1046612" s="24"/>
      <c r="K1046612" s="54"/>
    </row>
    <row r="1046613" spans="1:11" s="55" customFormat="1" ht="12.75">
      <c r="A1046613" s="24"/>
      <c r="B1046613" s="24"/>
      <c r="C1046613" s="24"/>
      <c r="D1046613" s="24"/>
      <c r="E1046613" s="24"/>
      <c r="F1046613" s="24"/>
      <c r="G1046613" s="24"/>
      <c r="H1046613" s="24"/>
      <c r="I1046613" s="24"/>
      <c r="J1046613" s="24"/>
      <c r="K1046613" s="54"/>
    </row>
    <row r="1046614" spans="1:11" s="55" customFormat="1" ht="12.75">
      <c r="A1046614" s="24"/>
      <c r="B1046614" s="24"/>
      <c r="C1046614" s="24"/>
      <c r="D1046614" s="24"/>
      <c r="E1046614" s="24"/>
      <c r="F1046614" s="24"/>
      <c r="G1046614" s="24"/>
      <c r="H1046614" s="24"/>
      <c r="I1046614" s="24"/>
      <c r="J1046614" s="24"/>
      <c r="K1046614" s="54"/>
    </row>
    <row r="1046615" spans="1:11" s="55" customFormat="1" ht="12.75">
      <c r="A1046615" s="24"/>
      <c r="B1046615" s="24"/>
      <c r="C1046615" s="24"/>
      <c r="D1046615" s="24"/>
      <c r="E1046615" s="24"/>
      <c r="F1046615" s="24"/>
      <c r="G1046615" s="24"/>
      <c r="H1046615" s="24"/>
      <c r="I1046615" s="24"/>
      <c r="J1046615" s="24"/>
      <c r="K1046615" s="54"/>
    </row>
    <row r="1046616" spans="1:11" s="55" customFormat="1" ht="12.75">
      <c r="A1046616" s="24"/>
      <c r="B1046616" s="24"/>
      <c r="C1046616" s="24"/>
      <c r="D1046616" s="24"/>
      <c r="E1046616" s="24"/>
      <c r="F1046616" s="24"/>
      <c r="G1046616" s="24"/>
      <c r="H1046616" s="24"/>
      <c r="I1046616" s="24"/>
      <c r="J1046616" s="24"/>
      <c r="K1046616" s="54"/>
    </row>
    <row r="1046617" spans="1:11" s="55" customFormat="1" ht="12.75">
      <c r="A1046617" s="24"/>
      <c r="B1046617" s="24"/>
      <c r="C1046617" s="24"/>
      <c r="D1046617" s="24"/>
      <c r="E1046617" s="24"/>
      <c r="F1046617" s="24"/>
      <c r="G1046617" s="24"/>
      <c r="H1046617" s="24"/>
      <c r="I1046617" s="24"/>
      <c r="J1046617" s="24"/>
      <c r="K1046617" s="54"/>
    </row>
    <row r="1046618" spans="1:11" s="55" customFormat="1" ht="12.75">
      <c r="A1046618" s="24"/>
      <c r="B1046618" s="24"/>
      <c r="C1046618" s="24"/>
      <c r="D1046618" s="24"/>
      <c r="E1046618" s="24"/>
      <c r="F1046618" s="24"/>
      <c r="G1046618" s="24"/>
      <c r="H1046618" s="24"/>
      <c r="I1046618" s="24"/>
      <c r="J1046618" s="24"/>
      <c r="K1046618" s="54"/>
    </row>
    <row r="1046619" spans="1:11" s="55" customFormat="1" ht="12.75">
      <c r="A1046619" s="24"/>
      <c r="B1046619" s="24"/>
      <c r="C1046619" s="24"/>
      <c r="D1046619" s="24"/>
      <c r="E1046619" s="24"/>
      <c r="F1046619" s="24"/>
      <c r="G1046619" s="24"/>
      <c r="H1046619" s="24"/>
      <c r="I1046619" s="24"/>
      <c r="J1046619" s="24"/>
      <c r="K1046619" s="54"/>
    </row>
    <row r="1046620" spans="1:11" s="55" customFormat="1" ht="12.75">
      <c r="A1046620" s="24"/>
      <c r="B1046620" s="24"/>
      <c r="C1046620" s="24"/>
      <c r="D1046620" s="24"/>
      <c r="E1046620" s="24"/>
      <c r="F1046620" s="24"/>
      <c r="G1046620" s="24"/>
      <c r="H1046620" s="24"/>
      <c r="I1046620" s="24"/>
      <c r="J1046620" s="24"/>
      <c r="K1046620" s="54"/>
    </row>
    <row r="1046621" spans="1:11" s="55" customFormat="1" ht="12.75">
      <c r="A1046621" s="24"/>
      <c r="B1046621" s="24"/>
      <c r="C1046621" s="24"/>
      <c r="D1046621" s="24"/>
      <c r="E1046621" s="24"/>
      <c r="F1046621" s="24"/>
      <c r="G1046621" s="24"/>
      <c r="H1046621" s="24"/>
      <c r="I1046621" s="24"/>
      <c r="J1046621" s="24"/>
      <c r="K1046621" s="54"/>
    </row>
    <row r="1046622" spans="1:11" s="55" customFormat="1" ht="12.75">
      <c r="A1046622" s="24"/>
      <c r="B1046622" s="24"/>
      <c r="C1046622" s="24"/>
      <c r="D1046622" s="24"/>
      <c r="E1046622" s="24"/>
      <c r="F1046622" s="24"/>
      <c r="G1046622" s="24"/>
      <c r="H1046622" s="24"/>
      <c r="I1046622" s="24"/>
      <c r="J1046622" s="24"/>
      <c r="K1046622" s="54"/>
    </row>
    <row r="1046623" spans="1:11" s="55" customFormat="1" ht="12.75">
      <c r="A1046623" s="24"/>
      <c r="B1046623" s="24"/>
      <c r="C1046623" s="24"/>
      <c r="D1046623" s="24"/>
      <c r="E1046623" s="24"/>
      <c r="F1046623" s="24"/>
      <c r="G1046623" s="24"/>
      <c r="H1046623" s="24"/>
      <c r="I1046623" s="24"/>
      <c r="J1046623" s="24"/>
      <c r="K1046623" s="54"/>
    </row>
    <row r="1046624" spans="1:11" s="55" customFormat="1" ht="12.75">
      <c r="A1046624" s="24"/>
      <c r="B1046624" s="24"/>
      <c r="C1046624" s="24"/>
      <c r="D1046624" s="24"/>
      <c r="E1046624" s="24"/>
      <c r="F1046624" s="24"/>
      <c r="G1046624" s="24"/>
      <c r="H1046624" s="24"/>
      <c r="I1046624" s="24"/>
      <c r="J1046624" s="24"/>
      <c r="K1046624" s="54"/>
    </row>
    <row r="1046625" spans="1:11" s="55" customFormat="1" ht="12.75">
      <c r="A1046625" s="24"/>
      <c r="B1046625" s="24"/>
      <c r="C1046625" s="24"/>
      <c r="D1046625" s="24"/>
      <c r="E1046625" s="24"/>
      <c r="F1046625" s="24"/>
      <c r="G1046625" s="24"/>
      <c r="H1046625" s="24"/>
      <c r="I1046625" s="24"/>
      <c r="J1046625" s="24"/>
      <c r="K1046625" s="54"/>
    </row>
    <row r="1046626" spans="1:11" s="55" customFormat="1" ht="12.75">
      <c r="A1046626" s="24"/>
      <c r="B1046626" s="24"/>
      <c r="C1046626" s="24"/>
      <c r="D1046626" s="24"/>
      <c r="E1046626" s="24"/>
      <c r="F1046626" s="24"/>
      <c r="G1046626" s="24"/>
      <c r="H1046626" s="24"/>
      <c r="I1046626" s="24"/>
      <c r="J1046626" s="24"/>
      <c r="K1046626" s="54"/>
    </row>
    <row r="1046627" spans="1:11" s="55" customFormat="1" ht="12.75">
      <c r="A1046627" s="24"/>
      <c r="B1046627" s="24"/>
      <c r="C1046627" s="24"/>
      <c r="D1046627" s="24"/>
      <c r="E1046627" s="24"/>
      <c r="F1046627" s="24"/>
      <c r="G1046627" s="24"/>
      <c r="H1046627" s="24"/>
      <c r="I1046627" s="24"/>
      <c r="J1046627" s="24"/>
      <c r="K1046627" s="54"/>
    </row>
    <row r="1046628" spans="1:11" s="55" customFormat="1" ht="12.75">
      <c r="A1046628" s="24"/>
      <c r="B1046628" s="24"/>
      <c r="C1046628" s="24"/>
      <c r="D1046628" s="24"/>
      <c r="E1046628" s="24"/>
      <c r="F1046628" s="24"/>
      <c r="G1046628" s="24"/>
      <c r="H1046628" s="24"/>
      <c r="I1046628" s="24"/>
      <c r="J1046628" s="24"/>
      <c r="K1046628" s="54"/>
    </row>
    <row r="1046629" spans="1:11" s="55" customFormat="1" ht="12.75">
      <c r="A1046629" s="24"/>
      <c r="B1046629" s="24"/>
      <c r="C1046629" s="24"/>
      <c r="D1046629" s="24"/>
      <c r="E1046629" s="24"/>
      <c r="F1046629" s="24"/>
      <c r="G1046629" s="24"/>
      <c r="H1046629" s="24"/>
      <c r="I1046629" s="24"/>
      <c r="J1046629" s="24"/>
      <c r="K1046629" s="54"/>
    </row>
    <row r="1046630" spans="1:11" s="55" customFormat="1" ht="12.75">
      <c r="A1046630" s="24"/>
      <c r="B1046630" s="24"/>
      <c r="C1046630" s="24"/>
      <c r="D1046630" s="24"/>
      <c r="E1046630" s="24"/>
      <c r="F1046630" s="24"/>
      <c r="G1046630" s="24"/>
      <c r="H1046630" s="24"/>
      <c r="I1046630" s="24"/>
      <c r="J1046630" s="24"/>
      <c r="K1046630" s="54"/>
    </row>
    <row r="1046631" spans="1:11" s="55" customFormat="1" ht="12.75">
      <c r="A1046631" s="24"/>
      <c r="B1046631" s="24"/>
      <c r="C1046631" s="24"/>
      <c r="D1046631" s="24"/>
      <c r="E1046631" s="24"/>
      <c r="F1046631" s="24"/>
      <c r="G1046631" s="24"/>
      <c r="H1046631" s="24"/>
      <c r="I1046631" s="24"/>
      <c r="J1046631" s="24"/>
      <c r="K1046631" s="54"/>
    </row>
    <row r="1046632" spans="1:11" s="55" customFormat="1" ht="12.75">
      <c r="A1046632" s="24"/>
      <c r="B1046632" s="24"/>
      <c r="C1046632" s="24"/>
      <c r="D1046632" s="24"/>
      <c r="E1046632" s="24"/>
      <c r="F1046632" s="24"/>
      <c r="G1046632" s="24"/>
      <c r="H1046632" s="24"/>
      <c r="I1046632" s="24"/>
      <c r="J1046632" s="24"/>
      <c r="K1046632" s="54"/>
    </row>
    <row r="1046633" spans="1:11" s="55" customFormat="1" ht="12.75">
      <c r="A1046633" s="24"/>
      <c r="B1046633" s="24"/>
      <c r="C1046633" s="24"/>
      <c r="D1046633" s="24"/>
      <c r="E1046633" s="24"/>
      <c r="F1046633" s="24"/>
      <c r="G1046633" s="24"/>
      <c r="H1046633" s="24"/>
      <c r="I1046633" s="24"/>
      <c r="J1046633" s="24"/>
      <c r="K1046633" s="54"/>
    </row>
    <row r="1046634" spans="1:11" s="55" customFormat="1" ht="12.75">
      <c r="A1046634" s="24"/>
      <c r="B1046634" s="24"/>
      <c r="C1046634" s="24"/>
      <c r="D1046634" s="24"/>
      <c r="E1046634" s="24"/>
      <c r="F1046634" s="24"/>
      <c r="G1046634" s="24"/>
      <c r="H1046634" s="24"/>
      <c r="I1046634" s="24"/>
      <c r="J1046634" s="24"/>
      <c r="K1046634" s="54"/>
    </row>
    <row r="1046635" spans="1:11" s="55" customFormat="1" ht="12.75">
      <c r="A1046635" s="24"/>
      <c r="B1046635" s="24"/>
      <c r="C1046635" s="24"/>
      <c r="D1046635" s="24"/>
      <c r="E1046635" s="24"/>
      <c r="F1046635" s="24"/>
      <c r="G1046635" s="24"/>
      <c r="H1046635" s="24"/>
      <c r="I1046635" s="24"/>
      <c r="J1046635" s="24"/>
      <c r="K1046635" s="54"/>
    </row>
    <row r="1046636" spans="1:11" s="55" customFormat="1" ht="12.75">
      <c r="A1046636" s="24"/>
      <c r="B1046636" s="24"/>
      <c r="C1046636" s="24"/>
      <c r="D1046636" s="24"/>
      <c r="E1046636" s="24"/>
      <c r="F1046636" s="24"/>
      <c r="G1046636" s="24"/>
      <c r="H1046636" s="24"/>
      <c r="I1046636" s="24"/>
      <c r="J1046636" s="24"/>
      <c r="K1046636" s="54"/>
    </row>
    <row r="1046637" spans="1:11" s="55" customFormat="1" ht="12.75">
      <c r="A1046637" s="24"/>
      <c r="B1046637" s="24"/>
      <c r="C1046637" s="24"/>
      <c r="D1046637" s="24"/>
      <c r="E1046637" s="24"/>
      <c r="F1046637" s="24"/>
      <c r="G1046637" s="24"/>
      <c r="H1046637" s="24"/>
      <c r="I1046637" s="24"/>
      <c r="J1046637" s="24"/>
      <c r="K1046637" s="54"/>
    </row>
    <row r="1046638" spans="1:11" s="55" customFormat="1" ht="12.75">
      <c r="A1046638" s="24"/>
      <c r="B1046638" s="24"/>
      <c r="C1046638" s="24"/>
      <c r="D1046638" s="24"/>
      <c r="E1046638" s="24"/>
      <c r="F1046638" s="24"/>
      <c r="G1046638" s="24"/>
      <c r="H1046638" s="24"/>
      <c r="I1046638" s="24"/>
      <c r="J1046638" s="24"/>
      <c r="K1046638" s="54"/>
    </row>
    <row r="1046639" spans="1:11" s="55" customFormat="1" ht="12.75">
      <c r="A1046639" s="24"/>
      <c r="B1046639" s="24"/>
      <c r="C1046639" s="24"/>
      <c r="D1046639" s="24"/>
      <c r="E1046639" s="24"/>
      <c r="F1046639" s="24"/>
      <c r="G1046639" s="24"/>
      <c r="H1046639" s="24"/>
      <c r="I1046639" s="24"/>
      <c r="J1046639" s="24"/>
      <c r="K1046639" s="54"/>
    </row>
    <row r="1046640" spans="1:11" s="55" customFormat="1" ht="12.75">
      <c r="A1046640" s="24"/>
      <c r="B1046640" s="24"/>
      <c r="C1046640" s="24"/>
      <c r="D1046640" s="24"/>
      <c r="E1046640" s="24"/>
      <c r="F1046640" s="24"/>
      <c r="G1046640" s="24"/>
      <c r="H1046640" s="24"/>
      <c r="I1046640" s="24"/>
      <c r="J1046640" s="24"/>
      <c r="K1046640" s="54"/>
    </row>
    <row r="1046641" spans="1:11" s="55" customFormat="1" ht="12.75">
      <c r="A1046641" s="24"/>
      <c r="B1046641" s="24"/>
      <c r="C1046641" s="24"/>
      <c r="D1046641" s="24"/>
      <c r="E1046641" s="24"/>
      <c r="F1046641" s="24"/>
      <c r="G1046641" s="24"/>
      <c r="H1046641" s="24"/>
      <c r="I1046641" s="24"/>
      <c r="J1046641" s="24"/>
      <c r="K1046641" s="54"/>
    </row>
    <row r="1046642" spans="1:11" s="55" customFormat="1" ht="12.75">
      <c r="A1046642" s="24"/>
      <c r="B1046642" s="24"/>
      <c r="C1046642" s="24"/>
      <c r="D1046642" s="24"/>
      <c r="E1046642" s="24"/>
      <c r="F1046642" s="24"/>
      <c r="G1046642" s="24"/>
      <c r="H1046642" s="24"/>
      <c r="I1046642" s="24"/>
      <c r="J1046642" s="24"/>
      <c r="K1046642" s="54"/>
    </row>
    <row r="1046643" spans="1:11" s="55" customFormat="1" ht="12.75">
      <c r="A1046643" s="24"/>
      <c r="B1046643" s="24"/>
      <c r="C1046643" s="24"/>
      <c r="D1046643" s="24"/>
      <c r="E1046643" s="24"/>
      <c r="F1046643" s="24"/>
      <c r="G1046643" s="24"/>
      <c r="H1046643" s="24"/>
      <c r="I1046643" s="24"/>
      <c r="J1046643" s="24"/>
      <c r="K1046643" s="54"/>
    </row>
    <row r="1046644" spans="1:11" s="55" customFormat="1" ht="12.75">
      <c r="A1046644" s="24"/>
      <c r="B1046644" s="24"/>
      <c r="C1046644" s="24"/>
      <c r="D1046644" s="24"/>
      <c r="E1046644" s="24"/>
      <c r="F1046644" s="24"/>
      <c r="G1046644" s="24"/>
      <c r="H1046644" s="24"/>
      <c r="I1046644" s="24"/>
      <c r="J1046644" s="24"/>
      <c r="K1046644" s="54"/>
    </row>
    <row r="1046645" spans="1:11" s="55" customFormat="1" ht="12.75">
      <c r="A1046645" s="24"/>
      <c r="B1046645" s="24"/>
      <c r="C1046645" s="24"/>
      <c r="D1046645" s="24"/>
      <c r="E1046645" s="24"/>
      <c r="F1046645" s="24"/>
      <c r="G1046645" s="24"/>
      <c r="H1046645" s="24"/>
      <c r="I1046645" s="24"/>
      <c r="J1046645" s="24"/>
      <c r="K1046645" s="54"/>
    </row>
    <row r="1046646" spans="1:11" s="55" customFormat="1" ht="12.75">
      <c r="A1046646" s="24"/>
      <c r="B1046646" s="24"/>
      <c r="C1046646" s="24"/>
      <c r="D1046646" s="24"/>
      <c r="E1046646" s="24"/>
      <c r="F1046646" s="24"/>
      <c r="G1046646" s="24"/>
      <c r="H1046646" s="24"/>
      <c r="I1046646" s="24"/>
      <c r="J1046646" s="24"/>
      <c r="K1046646" s="54"/>
    </row>
    <row r="1046647" spans="1:11" s="55" customFormat="1" ht="12.75">
      <c r="A1046647" s="24"/>
      <c r="B1046647" s="24"/>
      <c r="C1046647" s="24"/>
      <c r="D1046647" s="24"/>
      <c r="E1046647" s="24"/>
      <c r="F1046647" s="24"/>
      <c r="G1046647" s="24"/>
      <c r="H1046647" s="24"/>
      <c r="I1046647" s="24"/>
      <c r="J1046647" s="24"/>
      <c r="K1046647" s="54"/>
    </row>
    <row r="1046648" spans="1:11" s="55" customFormat="1" ht="12.75">
      <c r="A1046648" s="24"/>
      <c r="B1046648" s="24"/>
      <c r="C1046648" s="24"/>
      <c r="D1046648" s="24"/>
      <c r="E1046648" s="24"/>
      <c r="F1046648" s="24"/>
      <c r="G1046648" s="24"/>
      <c r="H1046648" s="24"/>
      <c r="I1046648" s="24"/>
      <c r="J1046648" s="24"/>
      <c r="K1046648" s="54"/>
    </row>
    <row r="1046649" spans="1:11" s="55" customFormat="1" ht="12.75">
      <c r="A1046649" s="24"/>
      <c r="B1046649" s="24"/>
      <c r="C1046649" s="24"/>
      <c r="D1046649" s="24"/>
      <c r="E1046649" s="24"/>
      <c r="F1046649" s="24"/>
      <c r="G1046649" s="24"/>
      <c r="H1046649" s="24"/>
      <c r="I1046649" s="24"/>
      <c r="J1046649" s="24"/>
      <c r="K1046649" s="54"/>
    </row>
    <row r="1046650" spans="1:11" s="55" customFormat="1" ht="12.75">
      <c r="A1046650" s="24"/>
      <c r="B1046650" s="24"/>
      <c r="C1046650" s="24"/>
      <c r="D1046650" s="24"/>
      <c r="E1046650" s="24"/>
      <c r="F1046650" s="24"/>
      <c r="G1046650" s="24"/>
      <c r="H1046650" s="24"/>
      <c r="I1046650" s="24"/>
      <c r="J1046650" s="24"/>
      <c r="K1046650" s="54"/>
    </row>
    <row r="1046651" spans="1:11" s="55" customFormat="1" ht="12.75">
      <c r="A1046651" s="24"/>
      <c r="B1046651" s="24"/>
      <c r="C1046651" s="24"/>
      <c r="D1046651" s="24"/>
      <c r="E1046651" s="24"/>
      <c r="F1046651" s="24"/>
      <c r="G1046651" s="24"/>
      <c r="H1046651" s="24"/>
      <c r="I1046651" s="24"/>
      <c r="J1046651" s="24"/>
      <c r="K1046651" s="54"/>
    </row>
    <row r="1046652" spans="1:11" s="55" customFormat="1" ht="12.75">
      <c r="A1046652" s="24"/>
      <c r="B1046652" s="24"/>
      <c r="C1046652" s="24"/>
      <c r="D1046652" s="24"/>
      <c r="E1046652" s="24"/>
      <c r="F1046652" s="24"/>
      <c r="G1046652" s="24"/>
      <c r="H1046652" s="24"/>
      <c r="I1046652" s="24"/>
      <c r="J1046652" s="24"/>
      <c r="K1046652" s="54"/>
    </row>
    <row r="1046653" spans="1:11" s="55" customFormat="1" ht="12.75">
      <c r="A1046653" s="24"/>
      <c r="B1046653" s="24"/>
      <c r="C1046653" s="24"/>
      <c r="D1046653" s="24"/>
      <c r="E1046653" s="24"/>
      <c r="F1046653" s="24"/>
      <c r="G1046653" s="24"/>
      <c r="H1046653" s="24"/>
      <c r="I1046653" s="24"/>
      <c r="J1046653" s="24"/>
      <c r="K1046653" s="54"/>
    </row>
    <row r="1046654" spans="1:11" s="55" customFormat="1" ht="12.75">
      <c r="A1046654" s="24"/>
      <c r="B1046654" s="24"/>
      <c r="C1046654" s="24"/>
      <c r="D1046654" s="24"/>
      <c r="E1046654" s="24"/>
      <c r="F1046654" s="24"/>
      <c r="G1046654" s="24"/>
      <c r="H1046654" s="24"/>
      <c r="I1046654" s="24"/>
      <c r="J1046654" s="24"/>
      <c r="K1046654" s="54"/>
    </row>
    <row r="1046655" spans="1:11" s="55" customFormat="1" ht="12.75">
      <c r="A1046655" s="24"/>
      <c r="B1046655" s="24"/>
      <c r="C1046655" s="24"/>
      <c r="D1046655" s="24"/>
      <c r="E1046655" s="24"/>
      <c r="F1046655" s="24"/>
      <c r="G1046655" s="24"/>
      <c r="H1046655" s="24"/>
      <c r="I1046655" s="24"/>
      <c r="J1046655" s="24"/>
      <c r="K1046655" s="54"/>
    </row>
    <row r="1046656" spans="1:11" s="55" customFormat="1" ht="12.75">
      <c r="A1046656" s="24"/>
      <c r="B1046656" s="24"/>
      <c r="C1046656" s="24"/>
      <c r="D1046656" s="24"/>
      <c r="E1046656" s="24"/>
      <c r="F1046656" s="24"/>
      <c r="G1046656" s="24"/>
      <c r="H1046656" s="24"/>
      <c r="I1046656" s="24"/>
      <c r="J1046656" s="24"/>
      <c r="K1046656" s="54"/>
    </row>
    <row r="1046657" spans="1:11" s="55" customFormat="1" ht="12.75">
      <c r="A1046657" s="24"/>
      <c r="B1046657" s="24"/>
      <c r="C1046657" s="24"/>
      <c r="D1046657" s="24"/>
      <c r="E1046657" s="24"/>
      <c r="F1046657" s="24"/>
      <c r="G1046657" s="24"/>
      <c r="H1046657" s="24"/>
      <c r="I1046657" s="24"/>
      <c r="J1046657" s="24"/>
      <c r="K1046657" s="54"/>
    </row>
    <row r="1046658" spans="1:11" s="55" customFormat="1" ht="12.75">
      <c r="A1046658" s="24"/>
      <c r="B1046658" s="24"/>
      <c r="C1046658" s="24"/>
      <c r="D1046658" s="24"/>
      <c r="E1046658" s="24"/>
      <c r="F1046658" s="24"/>
      <c r="G1046658" s="24"/>
      <c r="H1046658" s="24"/>
      <c r="I1046658" s="24"/>
      <c r="J1046658" s="24"/>
      <c r="K1046658" s="54"/>
    </row>
    <row r="1046659" spans="1:11" s="55" customFormat="1" ht="12.75">
      <c r="A1046659" s="24"/>
      <c r="B1046659" s="24"/>
      <c r="C1046659" s="24"/>
      <c r="D1046659" s="24"/>
      <c r="E1046659" s="24"/>
      <c r="F1046659" s="24"/>
      <c r="G1046659" s="24"/>
      <c r="H1046659" s="24"/>
      <c r="I1046659" s="24"/>
      <c r="J1046659" s="24"/>
      <c r="K1046659" s="54"/>
    </row>
    <row r="1046660" spans="1:11" s="55" customFormat="1" ht="12.75">
      <c r="A1046660" s="24"/>
      <c r="B1046660" s="24"/>
      <c r="C1046660" s="24"/>
      <c r="D1046660" s="24"/>
      <c r="E1046660" s="24"/>
      <c r="F1046660" s="24"/>
      <c r="G1046660" s="24"/>
      <c r="H1046660" s="24"/>
      <c r="I1046660" s="24"/>
      <c r="J1046660" s="24"/>
      <c r="K1046660" s="54"/>
    </row>
    <row r="1046661" spans="1:11" s="55" customFormat="1" ht="12.75">
      <c r="A1046661" s="24"/>
      <c r="B1046661" s="24"/>
      <c r="C1046661" s="24"/>
      <c r="D1046661" s="24"/>
      <c r="E1046661" s="24"/>
      <c r="F1046661" s="24"/>
      <c r="G1046661" s="24"/>
      <c r="H1046661" s="24"/>
      <c r="I1046661" s="24"/>
      <c r="J1046661" s="24"/>
      <c r="K1046661" s="54"/>
    </row>
    <row r="1046662" spans="1:11" s="55" customFormat="1" ht="12.75">
      <c r="A1046662" s="24"/>
      <c r="B1046662" s="24"/>
      <c r="C1046662" s="24"/>
      <c r="D1046662" s="24"/>
      <c r="E1046662" s="24"/>
      <c r="F1046662" s="24"/>
      <c r="G1046662" s="24"/>
      <c r="H1046662" s="24"/>
      <c r="I1046662" s="24"/>
      <c r="J1046662" s="24"/>
      <c r="K1046662" s="54"/>
    </row>
    <row r="1046663" spans="1:11" s="55" customFormat="1" ht="12.75">
      <c r="A1046663" s="24"/>
      <c r="B1046663" s="24"/>
      <c r="C1046663" s="24"/>
      <c r="D1046663" s="24"/>
      <c r="E1046663" s="24"/>
      <c r="F1046663" s="24"/>
      <c r="G1046663" s="24"/>
      <c r="H1046663" s="24"/>
      <c r="I1046663" s="24"/>
      <c r="J1046663" s="24"/>
      <c r="K1046663" s="54"/>
    </row>
    <row r="1046664" spans="1:11" s="55" customFormat="1" ht="12.75">
      <c r="A1046664" s="24"/>
      <c r="B1046664" s="24"/>
      <c r="C1046664" s="24"/>
      <c r="D1046664" s="24"/>
      <c r="E1046664" s="24"/>
      <c r="F1046664" s="24"/>
      <c r="G1046664" s="24"/>
      <c r="H1046664" s="24"/>
      <c r="I1046664" s="24"/>
      <c r="J1046664" s="24"/>
      <c r="K1046664" s="54"/>
    </row>
    <row r="1046665" spans="1:11" s="55" customFormat="1" ht="12.75">
      <c r="A1046665" s="24"/>
      <c r="B1046665" s="24"/>
      <c r="C1046665" s="24"/>
      <c r="D1046665" s="24"/>
      <c r="E1046665" s="24"/>
      <c r="F1046665" s="24"/>
      <c r="G1046665" s="24"/>
      <c r="H1046665" s="24"/>
      <c r="I1046665" s="24"/>
      <c r="J1046665" s="24"/>
      <c r="K1046665" s="54"/>
    </row>
    <row r="1046666" spans="1:11" s="55" customFormat="1" ht="12.75">
      <c r="A1046666" s="24"/>
      <c r="B1046666" s="24"/>
      <c r="C1046666" s="24"/>
      <c r="D1046666" s="24"/>
      <c r="E1046666" s="24"/>
      <c r="F1046666" s="24"/>
      <c r="G1046666" s="24"/>
      <c r="H1046666" s="24"/>
      <c r="I1046666" s="24"/>
      <c r="J1046666" s="24"/>
      <c r="K1046666" s="54"/>
    </row>
    <row r="1046667" spans="1:11" s="55" customFormat="1" ht="12.75">
      <c r="A1046667" s="24"/>
      <c r="B1046667" s="24"/>
      <c r="C1046667" s="24"/>
      <c r="D1046667" s="24"/>
      <c r="E1046667" s="24"/>
      <c r="F1046667" s="24"/>
      <c r="G1046667" s="24"/>
      <c r="H1046667" s="24"/>
      <c r="I1046667" s="24"/>
      <c r="J1046667" s="24"/>
      <c r="K1046667" s="54"/>
    </row>
    <row r="1046668" spans="1:11" s="55" customFormat="1" ht="12.75">
      <c r="A1046668" s="24"/>
      <c r="B1046668" s="24"/>
      <c r="C1046668" s="24"/>
      <c r="D1046668" s="24"/>
      <c r="E1046668" s="24"/>
      <c r="F1046668" s="24"/>
      <c r="G1046668" s="24"/>
      <c r="H1046668" s="24"/>
      <c r="I1046668" s="24"/>
      <c r="J1046668" s="24"/>
      <c r="K1046668" s="54"/>
    </row>
    <row r="1046669" spans="1:11" s="55" customFormat="1" ht="12.75">
      <c r="A1046669" s="24"/>
      <c r="B1046669" s="24"/>
      <c r="C1046669" s="24"/>
      <c r="D1046669" s="24"/>
      <c r="E1046669" s="24"/>
      <c r="F1046669" s="24"/>
      <c r="G1046669" s="24"/>
      <c r="H1046669" s="24"/>
      <c r="I1046669" s="24"/>
      <c r="J1046669" s="24"/>
      <c r="K1046669" s="54"/>
    </row>
    <row r="1046670" spans="1:11" s="55" customFormat="1" ht="12.75">
      <c r="A1046670" s="24"/>
      <c r="B1046670" s="24"/>
      <c r="C1046670" s="24"/>
      <c r="D1046670" s="24"/>
      <c r="E1046670" s="24"/>
      <c r="F1046670" s="24"/>
      <c r="G1046670" s="24"/>
      <c r="H1046670" s="24"/>
      <c r="I1046670" s="24"/>
      <c r="J1046670" s="24"/>
      <c r="K1046670" s="54"/>
    </row>
    <row r="1046671" spans="1:11" s="55" customFormat="1" ht="12.75">
      <c r="A1046671" s="24"/>
      <c r="B1046671" s="24"/>
      <c r="C1046671" s="24"/>
      <c r="D1046671" s="24"/>
      <c r="E1046671" s="24"/>
      <c r="F1046671" s="24"/>
      <c r="G1046671" s="24"/>
      <c r="H1046671" s="24"/>
      <c r="I1046671" s="24"/>
      <c r="J1046671" s="24"/>
      <c r="K1046671" s="54"/>
    </row>
    <row r="1046672" spans="1:11" s="55" customFormat="1" ht="12.75">
      <c r="A1046672" s="24"/>
      <c r="B1046672" s="24"/>
      <c r="C1046672" s="24"/>
      <c r="D1046672" s="24"/>
      <c r="E1046672" s="24"/>
      <c r="F1046672" s="24"/>
      <c r="G1046672" s="24"/>
      <c r="H1046672" s="24"/>
      <c r="I1046672" s="24"/>
      <c r="J1046672" s="24"/>
      <c r="K1046672" s="54"/>
    </row>
    <row r="1046673" spans="1:11" s="55" customFormat="1" ht="12.75">
      <c r="A1046673" s="24"/>
      <c r="B1046673" s="24"/>
      <c r="C1046673" s="24"/>
      <c r="D1046673" s="24"/>
      <c r="E1046673" s="24"/>
      <c r="F1046673" s="24"/>
      <c r="G1046673" s="24"/>
      <c r="H1046673" s="24"/>
      <c r="I1046673" s="24"/>
      <c r="J1046673" s="24"/>
      <c r="K1046673" s="54"/>
    </row>
    <row r="1046674" spans="1:11" s="55" customFormat="1" ht="12.75">
      <c r="A1046674" s="24"/>
      <c r="B1046674" s="24"/>
      <c r="C1046674" s="24"/>
      <c r="D1046674" s="24"/>
      <c r="E1046674" s="24"/>
      <c r="F1046674" s="24"/>
      <c r="G1046674" s="24"/>
      <c r="H1046674" s="24"/>
      <c r="I1046674" s="24"/>
      <c r="J1046674" s="24"/>
      <c r="K1046674" s="54"/>
    </row>
    <row r="1046675" spans="1:11" s="55" customFormat="1" ht="12.75">
      <c r="A1046675" s="24"/>
      <c r="B1046675" s="24"/>
      <c r="C1046675" s="24"/>
      <c r="D1046675" s="24"/>
      <c r="E1046675" s="24"/>
      <c r="F1046675" s="24"/>
      <c r="G1046675" s="24"/>
      <c r="H1046675" s="24"/>
      <c r="I1046675" s="24"/>
      <c r="J1046675" s="24"/>
      <c r="K1046675" s="54"/>
    </row>
    <row r="1046676" spans="1:11" s="55" customFormat="1" ht="12.75">
      <c r="A1046676" s="24"/>
      <c r="B1046676" s="24"/>
      <c r="C1046676" s="24"/>
      <c r="D1046676" s="24"/>
      <c r="E1046676" s="24"/>
      <c r="F1046676" s="24"/>
      <c r="G1046676" s="24"/>
      <c r="H1046676" s="24"/>
      <c r="I1046676" s="24"/>
      <c r="J1046676" s="24"/>
      <c r="K1046676" s="54"/>
    </row>
    <row r="1046677" spans="1:11" s="55" customFormat="1" ht="12.75">
      <c r="A1046677" s="24"/>
      <c r="B1046677" s="24"/>
      <c r="C1046677" s="24"/>
      <c r="D1046677" s="24"/>
      <c r="E1046677" s="24"/>
      <c r="F1046677" s="24"/>
      <c r="G1046677" s="24"/>
      <c r="H1046677" s="24"/>
      <c r="I1046677" s="24"/>
      <c r="J1046677" s="24"/>
      <c r="K1046677" s="54"/>
    </row>
    <row r="1046678" spans="1:11" s="55" customFormat="1" ht="12.75">
      <c r="A1046678" s="24"/>
      <c r="B1046678" s="24"/>
      <c r="C1046678" s="24"/>
      <c r="D1046678" s="24"/>
      <c r="E1046678" s="24"/>
      <c r="F1046678" s="24"/>
      <c r="G1046678" s="24"/>
      <c r="H1046678" s="24"/>
      <c r="I1046678" s="24"/>
      <c r="J1046678" s="24"/>
      <c r="K1046678" s="54"/>
    </row>
    <row r="1046679" spans="1:11" s="55" customFormat="1" ht="12.75">
      <c r="A1046679" s="24"/>
      <c r="B1046679" s="24"/>
      <c r="C1046679" s="24"/>
      <c r="D1046679" s="24"/>
      <c r="E1046679" s="24"/>
      <c r="F1046679" s="24"/>
      <c r="G1046679" s="24"/>
      <c r="H1046679" s="24"/>
      <c r="I1046679" s="24"/>
      <c r="J1046679" s="24"/>
      <c r="K1046679" s="54"/>
    </row>
    <row r="1046680" spans="1:11" s="55" customFormat="1" ht="12.75">
      <c r="A1046680" s="24"/>
      <c r="B1046680" s="24"/>
      <c r="C1046680" s="24"/>
      <c r="D1046680" s="24"/>
      <c r="E1046680" s="24"/>
      <c r="F1046680" s="24"/>
      <c r="G1046680" s="24"/>
      <c r="H1046680" s="24"/>
      <c r="I1046680" s="24"/>
      <c r="J1046680" s="24"/>
      <c r="K1046680" s="54"/>
    </row>
    <row r="1046681" spans="1:11" s="55" customFormat="1" ht="12.75">
      <c r="A1046681" s="24"/>
      <c r="B1046681" s="24"/>
      <c r="C1046681" s="24"/>
      <c r="D1046681" s="24"/>
      <c r="E1046681" s="24"/>
      <c r="F1046681" s="24"/>
      <c r="G1046681" s="24"/>
      <c r="H1046681" s="24"/>
      <c r="I1046681" s="24"/>
      <c r="J1046681" s="24"/>
      <c r="K1046681" s="54"/>
    </row>
    <row r="1046682" spans="1:11" s="55" customFormat="1" ht="12.75">
      <c r="A1046682" s="24"/>
      <c r="B1046682" s="24"/>
      <c r="C1046682" s="24"/>
      <c r="D1046682" s="24"/>
      <c r="E1046682" s="24"/>
      <c r="F1046682" s="24"/>
      <c r="G1046682" s="24"/>
      <c r="H1046682" s="24"/>
      <c r="I1046682" s="24"/>
      <c r="J1046682" s="24"/>
      <c r="K1046682" s="54"/>
    </row>
    <row r="1046683" spans="1:11" s="55" customFormat="1" ht="12.75">
      <c r="A1046683" s="24"/>
      <c r="B1046683" s="24"/>
      <c r="C1046683" s="24"/>
      <c r="D1046683" s="24"/>
      <c r="E1046683" s="24"/>
      <c r="F1046683" s="24"/>
      <c r="G1046683" s="24"/>
      <c r="H1046683" s="24"/>
      <c r="I1046683" s="24"/>
      <c r="J1046683" s="24"/>
      <c r="K1046683" s="54"/>
    </row>
    <row r="1046684" spans="1:11" s="55" customFormat="1" ht="12.75">
      <c r="A1046684" s="24"/>
      <c r="B1046684" s="24"/>
      <c r="C1046684" s="24"/>
      <c r="D1046684" s="24"/>
      <c r="E1046684" s="24"/>
      <c r="F1046684" s="24"/>
      <c r="G1046684" s="24"/>
      <c r="H1046684" s="24"/>
      <c r="I1046684" s="24"/>
      <c r="J1046684" s="24"/>
      <c r="K1046684" s="54"/>
    </row>
    <row r="1046685" spans="1:11" s="55" customFormat="1" ht="12.75">
      <c r="A1046685" s="24"/>
      <c r="B1046685" s="24"/>
      <c r="C1046685" s="24"/>
      <c r="D1046685" s="24"/>
      <c r="E1046685" s="24"/>
      <c r="F1046685" s="24"/>
      <c r="G1046685" s="24"/>
      <c r="H1046685" s="24"/>
      <c r="I1046685" s="24"/>
      <c r="J1046685" s="24"/>
      <c r="K1046685" s="54"/>
    </row>
    <row r="1046686" spans="1:11" s="55" customFormat="1" ht="12.75">
      <c r="A1046686" s="24"/>
      <c r="B1046686" s="24"/>
      <c r="C1046686" s="24"/>
      <c r="D1046686" s="24"/>
      <c r="E1046686" s="24"/>
      <c r="F1046686" s="24"/>
      <c r="G1046686" s="24"/>
      <c r="H1046686" s="24"/>
      <c r="I1046686" s="24"/>
      <c r="J1046686" s="24"/>
      <c r="K1046686" s="54"/>
    </row>
    <row r="1046687" spans="1:11" s="55" customFormat="1" ht="12.75">
      <c r="A1046687" s="24"/>
      <c r="B1046687" s="24"/>
      <c r="C1046687" s="24"/>
      <c r="D1046687" s="24"/>
      <c r="E1046687" s="24"/>
      <c r="F1046687" s="24"/>
      <c r="G1046687" s="24"/>
      <c r="H1046687" s="24"/>
      <c r="I1046687" s="24"/>
      <c r="J1046687" s="24"/>
      <c r="K1046687" s="54"/>
    </row>
    <row r="1046688" spans="1:11" s="55" customFormat="1" ht="12.75">
      <c r="A1046688" s="24"/>
      <c r="B1046688" s="24"/>
      <c r="C1046688" s="24"/>
      <c r="D1046688" s="24"/>
      <c r="E1046688" s="24"/>
      <c r="F1046688" s="24"/>
      <c r="G1046688" s="24"/>
      <c r="H1046688" s="24"/>
      <c r="I1046688" s="24"/>
      <c r="J1046688" s="24"/>
      <c r="K1046688" s="54"/>
    </row>
    <row r="1046689" spans="1:11" s="55" customFormat="1" ht="12.75">
      <c r="A1046689" s="24"/>
      <c r="B1046689" s="24"/>
      <c r="C1046689" s="24"/>
      <c r="D1046689" s="24"/>
      <c r="E1046689" s="24"/>
      <c r="F1046689" s="24"/>
      <c r="G1046689" s="24"/>
      <c r="H1046689" s="24"/>
      <c r="I1046689" s="24"/>
      <c r="J1046689" s="24"/>
      <c r="K1046689" s="54"/>
    </row>
    <row r="1046690" spans="1:11" s="55" customFormat="1" ht="12.75">
      <c r="A1046690" s="24"/>
      <c r="B1046690" s="24"/>
      <c r="C1046690" s="24"/>
      <c r="D1046690" s="24"/>
      <c r="E1046690" s="24"/>
      <c r="F1046690" s="24"/>
      <c r="G1046690" s="24"/>
      <c r="H1046690" s="24"/>
      <c r="I1046690" s="24"/>
      <c r="J1046690" s="24"/>
      <c r="K1046690" s="54"/>
    </row>
    <row r="1046691" spans="1:11" s="55" customFormat="1" ht="12.75">
      <c r="A1046691" s="24"/>
      <c r="B1046691" s="24"/>
      <c r="C1046691" s="24"/>
      <c r="D1046691" s="24"/>
      <c r="E1046691" s="24"/>
      <c r="F1046691" s="24"/>
      <c r="G1046691" s="24"/>
      <c r="H1046691" s="24"/>
      <c r="I1046691" s="24"/>
      <c r="J1046691" s="24"/>
      <c r="K1046691" s="54"/>
    </row>
    <row r="1046692" spans="1:11" s="55" customFormat="1" ht="12.75">
      <c r="A1046692" s="24"/>
      <c r="B1046692" s="24"/>
      <c r="C1046692" s="24"/>
      <c r="D1046692" s="24"/>
      <c r="E1046692" s="24"/>
      <c r="F1046692" s="24"/>
      <c r="G1046692" s="24"/>
      <c r="H1046692" s="24"/>
      <c r="I1046692" s="24"/>
      <c r="J1046692" s="24"/>
      <c r="K1046692" s="54"/>
    </row>
    <row r="1046693" spans="1:11" s="55" customFormat="1" ht="12.75">
      <c r="A1046693" s="24"/>
      <c r="B1046693" s="24"/>
      <c r="C1046693" s="24"/>
      <c r="D1046693" s="24"/>
      <c r="E1046693" s="24"/>
      <c r="F1046693" s="24"/>
      <c r="G1046693" s="24"/>
      <c r="H1046693" s="24"/>
      <c r="I1046693" s="24"/>
      <c r="J1046693" s="24"/>
      <c r="K1046693" s="54"/>
    </row>
    <row r="1046694" spans="1:11" s="55" customFormat="1" ht="12.75">
      <c r="A1046694" s="24"/>
      <c r="B1046694" s="24"/>
      <c r="C1046694" s="24"/>
      <c r="D1046694" s="24"/>
      <c r="E1046694" s="24"/>
      <c r="F1046694" s="24"/>
      <c r="G1046694" s="24"/>
      <c r="H1046694" s="24"/>
      <c r="I1046694" s="24"/>
      <c r="J1046694" s="24"/>
      <c r="K1046694" s="54"/>
    </row>
    <row r="1046695" spans="1:11" s="55" customFormat="1" ht="12.75">
      <c r="A1046695" s="24"/>
      <c r="B1046695" s="24"/>
      <c r="C1046695" s="24"/>
      <c r="D1046695" s="24"/>
      <c r="E1046695" s="24"/>
      <c r="F1046695" s="24"/>
      <c r="G1046695" s="24"/>
      <c r="H1046695" s="24"/>
      <c r="I1046695" s="24"/>
      <c r="J1046695" s="24"/>
      <c r="K1046695" s="54"/>
    </row>
    <row r="1046696" spans="1:11" s="55" customFormat="1" ht="12.75">
      <c r="A1046696" s="24"/>
      <c r="B1046696" s="24"/>
      <c r="C1046696" s="24"/>
      <c r="D1046696" s="24"/>
      <c r="E1046696" s="24"/>
      <c r="F1046696" s="24"/>
      <c r="G1046696" s="24"/>
      <c r="H1046696" s="24"/>
      <c r="I1046696" s="24"/>
      <c r="J1046696" s="24"/>
      <c r="K1046696" s="54"/>
    </row>
    <row r="1046697" spans="1:11" s="55" customFormat="1" ht="12.75">
      <c r="A1046697" s="24"/>
      <c r="B1046697" s="24"/>
      <c r="C1046697" s="24"/>
      <c r="D1046697" s="24"/>
      <c r="E1046697" s="24"/>
      <c r="F1046697" s="24"/>
      <c r="G1046697" s="24"/>
      <c r="H1046697" s="24"/>
      <c r="I1046697" s="24"/>
      <c r="J1046697" s="24"/>
      <c r="K1046697" s="54"/>
    </row>
    <row r="1046698" spans="1:11" s="55" customFormat="1" ht="12.75">
      <c r="A1046698" s="24"/>
      <c r="B1046698" s="24"/>
      <c r="C1046698" s="24"/>
      <c r="D1046698" s="24"/>
      <c r="E1046698" s="24"/>
      <c r="F1046698" s="24"/>
      <c r="G1046698" s="24"/>
      <c r="H1046698" s="24"/>
      <c r="I1046698" s="24"/>
      <c r="J1046698" s="24"/>
      <c r="K1046698" s="54"/>
    </row>
    <row r="1046699" spans="1:11" s="55" customFormat="1" ht="12.75">
      <c r="A1046699" s="24"/>
      <c r="B1046699" s="24"/>
      <c r="C1046699" s="24"/>
      <c r="D1046699" s="24"/>
      <c r="E1046699" s="24"/>
      <c r="F1046699" s="24"/>
      <c r="G1046699" s="24"/>
      <c r="H1046699" s="24"/>
      <c r="I1046699" s="24"/>
      <c r="J1046699" s="24"/>
      <c r="K1046699" s="54"/>
    </row>
    <row r="1046700" spans="1:11" s="55" customFormat="1" ht="12.75">
      <c r="A1046700" s="24"/>
      <c r="B1046700" s="24"/>
      <c r="C1046700" s="24"/>
      <c r="D1046700" s="24"/>
      <c r="E1046700" s="24"/>
      <c r="F1046700" s="24"/>
      <c r="G1046700" s="24"/>
      <c r="H1046700" s="24"/>
      <c r="I1046700" s="24"/>
      <c r="J1046700" s="24"/>
      <c r="K1046700" s="54"/>
    </row>
    <row r="1046701" spans="1:11" s="55" customFormat="1" ht="12.75">
      <c r="A1046701" s="24"/>
      <c r="B1046701" s="24"/>
      <c r="C1046701" s="24"/>
      <c r="D1046701" s="24"/>
      <c r="E1046701" s="24"/>
      <c r="F1046701" s="24"/>
      <c r="G1046701" s="24"/>
      <c r="H1046701" s="24"/>
      <c r="I1046701" s="24"/>
      <c r="J1046701" s="24"/>
      <c r="K1046701" s="54"/>
    </row>
    <row r="1046702" spans="1:11" s="55" customFormat="1" ht="12.75">
      <c r="A1046702" s="24"/>
      <c r="B1046702" s="24"/>
      <c r="C1046702" s="24"/>
      <c r="D1046702" s="24"/>
      <c r="E1046702" s="24"/>
      <c r="F1046702" s="24"/>
      <c r="G1046702" s="24"/>
      <c r="H1046702" s="24"/>
      <c r="I1046702" s="24"/>
      <c r="J1046702" s="24"/>
      <c r="K1046702" s="54"/>
    </row>
    <row r="1046703" spans="1:11" s="55" customFormat="1" ht="12.75">
      <c r="A1046703" s="24"/>
      <c r="B1046703" s="24"/>
      <c r="C1046703" s="24"/>
      <c r="D1046703" s="24"/>
      <c r="E1046703" s="24"/>
      <c r="F1046703" s="24"/>
      <c r="G1046703" s="24"/>
      <c r="H1046703" s="24"/>
      <c r="I1046703" s="24"/>
      <c r="J1046703" s="24"/>
      <c r="K1046703" s="54"/>
    </row>
    <row r="1046704" spans="1:11" s="55" customFormat="1" ht="12.75">
      <c r="A1046704" s="24"/>
      <c r="B1046704" s="24"/>
      <c r="C1046704" s="24"/>
      <c r="D1046704" s="24"/>
      <c r="E1046704" s="24"/>
      <c r="F1046704" s="24"/>
      <c r="G1046704" s="24"/>
      <c r="H1046704" s="24"/>
      <c r="I1046704" s="24"/>
      <c r="J1046704" s="24"/>
      <c r="K1046704" s="54"/>
    </row>
    <row r="1046705" spans="1:11" s="55" customFormat="1" ht="12.75">
      <c r="A1046705" s="24"/>
      <c r="B1046705" s="24"/>
      <c r="C1046705" s="24"/>
      <c r="D1046705" s="24"/>
      <c r="E1046705" s="24"/>
      <c r="F1046705" s="24"/>
      <c r="G1046705" s="24"/>
      <c r="H1046705" s="24"/>
      <c r="I1046705" s="24"/>
      <c r="J1046705" s="24"/>
      <c r="K1046705" s="54"/>
    </row>
    <row r="1046706" spans="1:11" s="55" customFormat="1" ht="12.75">
      <c r="A1046706" s="24"/>
      <c r="B1046706" s="24"/>
      <c r="C1046706" s="24"/>
      <c r="D1046706" s="24"/>
      <c r="E1046706" s="24"/>
      <c r="F1046706" s="24"/>
      <c r="G1046706" s="24"/>
      <c r="H1046706" s="24"/>
      <c r="I1046706" s="24"/>
      <c r="J1046706" s="24"/>
      <c r="K1046706" s="54"/>
    </row>
    <row r="1046707" spans="1:11" s="55" customFormat="1" ht="12.75">
      <c r="A1046707" s="24"/>
      <c r="B1046707" s="24"/>
      <c r="C1046707" s="24"/>
      <c r="D1046707" s="24"/>
      <c r="E1046707" s="24"/>
      <c r="F1046707" s="24"/>
      <c r="G1046707" s="24"/>
      <c r="H1046707" s="24"/>
      <c r="I1046707" s="24"/>
      <c r="J1046707" s="24"/>
      <c r="K1046707" s="54"/>
    </row>
    <row r="1046708" spans="1:11" s="55" customFormat="1" ht="12.75">
      <c r="A1046708" s="24"/>
      <c r="B1046708" s="24"/>
      <c r="C1046708" s="24"/>
      <c r="D1046708" s="24"/>
      <c r="E1046708" s="24"/>
      <c r="F1046708" s="24"/>
      <c r="G1046708" s="24"/>
      <c r="H1046708" s="24"/>
      <c r="I1046708" s="24"/>
      <c r="J1046708" s="24"/>
      <c r="K1046708" s="54"/>
    </row>
    <row r="1046709" spans="1:11" s="55" customFormat="1" ht="12.75">
      <c r="A1046709" s="24"/>
      <c r="B1046709" s="24"/>
      <c r="C1046709" s="24"/>
      <c r="D1046709" s="24"/>
      <c r="E1046709" s="24"/>
      <c r="F1046709" s="24"/>
      <c r="G1046709" s="24"/>
      <c r="H1046709" s="24"/>
      <c r="I1046709" s="24"/>
      <c r="J1046709" s="24"/>
      <c r="K1046709" s="54"/>
    </row>
    <row r="1046710" spans="1:11" s="55" customFormat="1" ht="12.75">
      <c r="A1046710" s="24"/>
      <c r="B1046710" s="24"/>
      <c r="C1046710" s="24"/>
      <c r="D1046710" s="24"/>
      <c r="E1046710" s="24"/>
      <c r="F1046710" s="24"/>
      <c r="G1046710" s="24"/>
      <c r="H1046710" s="24"/>
      <c r="I1046710" s="24"/>
      <c r="J1046710" s="24"/>
      <c r="K1046710" s="54"/>
    </row>
    <row r="1046711" spans="1:11" s="55" customFormat="1" ht="12.75">
      <c r="A1046711" s="24"/>
      <c r="B1046711" s="24"/>
      <c r="C1046711" s="24"/>
      <c r="D1046711" s="24"/>
      <c r="E1046711" s="24"/>
      <c r="F1046711" s="24"/>
      <c r="G1046711" s="24"/>
      <c r="H1046711" s="24"/>
      <c r="I1046711" s="24"/>
      <c r="J1046711" s="24"/>
      <c r="K1046711" s="54"/>
    </row>
    <row r="1046712" spans="1:11" s="55" customFormat="1" ht="12.75">
      <c r="A1046712" s="24"/>
      <c r="B1046712" s="24"/>
      <c r="C1046712" s="24"/>
      <c r="D1046712" s="24"/>
      <c r="E1046712" s="24"/>
      <c r="F1046712" s="24"/>
      <c r="G1046712" s="24"/>
      <c r="H1046712" s="24"/>
      <c r="I1046712" s="24"/>
      <c r="J1046712" s="24"/>
      <c r="K1046712" s="54"/>
    </row>
    <row r="1046713" spans="1:11" s="55" customFormat="1" ht="12.75">
      <c r="A1046713" s="24"/>
      <c r="B1046713" s="24"/>
      <c r="C1046713" s="24"/>
      <c r="D1046713" s="24"/>
      <c r="E1046713" s="24"/>
      <c r="F1046713" s="24"/>
      <c r="G1046713" s="24"/>
      <c r="H1046713" s="24"/>
      <c r="I1046713" s="24"/>
      <c r="J1046713" s="24"/>
      <c r="K1046713" s="54"/>
    </row>
    <row r="1046714" spans="1:11" s="55" customFormat="1" ht="12.75">
      <c r="A1046714" s="24"/>
      <c r="B1046714" s="24"/>
      <c r="C1046714" s="24"/>
      <c r="D1046714" s="24"/>
      <c r="E1046714" s="24"/>
      <c r="F1046714" s="24"/>
      <c r="G1046714" s="24"/>
      <c r="H1046714" s="24"/>
      <c r="I1046714" s="24"/>
      <c r="J1046714" s="24"/>
      <c r="K1046714" s="54"/>
    </row>
    <row r="1046715" spans="1:11" s="55" customFormat="1" ht="12.75">
      <c r="A1046715" s="24"/>
      <c r="B1046715" s="24"/>
      <c r="C1046715" s="24"/>
      <c r="D1046715" s="24"/>
      <c r="E1046715" s="24"/>
      <c r="F1046715" s="24"/>
      <c r="G1046715" s="24"/>
      <c r="H1046715" s="24"/>
      <c r="I1046715" s="24"/>
      <c r="J1046715" s="24"/>
      <c r="K1046715" s="54"/>
    </row>
    <row r="1046716" spans="1:11" s="55" customFormat="1" ht="12.75">
      <c r="A1046716" s="24"/>
      <c r="B1046716" s="24"/>
      <c r="C1046716" s="24"/>
      <c r="D1046716" s="24"/>
      <c r="E1046716" s="24"/>
      <c r="F1046716" s="24"/>
      <c r="G1046716" s="24"/>
      <c r="H1046716" s="24"/>
      <c r="I1046716" s="24"/>
      <c r="J1046716" s="24"/>
      <c r="K1046716" s="54"/>
    </row>
    <row r="1046717" spans="1:11" s="55" customFormat="1" ht="12.75">
      <c r="A1046717" s="24"/>
      <c r="B1046717" s="24"/>
      <c r="C1046717" s="24"/>
      <c r="D1046717" s="24"/>
      <c r="E1046717" s="24"/>
      <c r="F1046717" s="24"/>
      <c r="G1046717" s="24"/>
      <c r="H1046717" s="24"/>
      <c r="I1046717" s="24"/>
      <c r="J1046717" s="24"/>
      <c r="K1046717" s="54"/>
    </row>
    <row r="1046718" spans="1:11" s="55" customFormat="1" ht="12.75">
      <c r="A1046718" s="24"/>
      <c r="B1046718" s="24"/>
      <c r="C1046718" s="24"/>
      <c r="D1046718" s="24"/>
      <c r="E1046718" s="24"/>
      <c r="F1046718" s="24"/>
      <c r="G1046718" s="24"/>
      <c r="H1046718" s="24"/>
      <c r="I1046718" s="24"/>
      <c r="J1046718" s="24"/>
      <c r="K1046718" s="54"/>
    </row>
    <row r="1046719" spans="1:11" s="55" customFormat="1" ht="12.75">
      <c r="A1046719" s="24"/>
      <c r="B1046719" s="24"/>
      <c r="C1046719" s="24"/>
      <c r="D1046719" s="24"/>
      <c r="E1046719" s="24"/>
      <c r="F1046719" s="24"/>
      <c r="G1046719" s="24"/>
      <c r="H1046719" s="24"/>
      <c r="I1046719" s="24"/>
      <c r="J1046719" s="24"/>
      <c r="K1046719" s="54"/>
    </row>
    <row r="1046720" spans="1:11" s="55" customFormat="1" ht="12.75">
      <c r="A1046720" s="24"/>
      <c r="B1046720" s="24"/>
      <c r="C1046720" s="24"/>
      <c r="D1046720" s="24"/>
      <c r="E1046720" s="24"/>
      <c r="F1046720" s="24"/>
      <c r="G1046720" s="24"/>
      <c r="H1046720" s="24"/>
      <c r="I1046720" s="24"/>
      <c r="J1046720" s="24"/>
      <c r="K1046720" s="54"/>
    </row>
    <row r="1046721" spans="1:11" s="55" customFormat="1" ht="12.75">
      <c r="A1046721" s="24"/>
      <c r="B1046721" s="24"/>
      <c r="C1046721" s="24"/>
      <c r="D1046721" s="24"/>
      <c r="E1046721" s="24"/>
      <c r="F1046721" s="24"/>
      <c r="G1046721" s="24"/>
      <c r="H1046721" s="24"/>
      <c r="I1046721" s="24"/>
      <c r="J1046721" s="24"/>
      <c r="K1046721" s="54"/>
    </row>
    <row r="1046722" spans="1:11" s="55" customFormat="1" ht="12.75">
      <c r="A1046722" s="24"/>
      <c r="B1046722" s="24"/>
      <c r="C1046722" s="24"/>
      <c r="D1046722" s="24"/>
      <c r="E1046722" s="24"/>
      <c r="F1046722" s="24"/>
      <c r="G1046722" s="24"/>
      <c r="H1046722" s="24"/>
      <c r="I1046722" s="24"/>
      <c r="J1046722" s="24"/>
      <c r="K1046722" s="54"/>
    </row>
    <row r="1046723" spans="1:11" s="55" customFormat="1" ht="12.75">
      <c r="A1046723" s="24"/>
      <c r="B1046723" s="24"/>
      <c r="C1046723" s="24"/>
      <c r="D1046723" s="24"/>
      <c r="E1046723" s="24"/>
      <c r="F1046723" s="24"/>
      <c r="G1046723" s="24"/>
      <c r="H1046723" s="24"/>
      <c r="I1046723" s="24"/>
      <c r="J1046723" s="24"/>
      <c r="K1046723" s="54"/>
    </row>
    <row r="1046724" spans="1:11" s="55" customFormat="1" ht="12.75">
      <c r="A1046724" s="24"/>
      <c r="B1046724" s="24"/>
      <c r="C1046724" s="24"/>
      <c r="D1046724" s="24"/>
      <c r="E1046724" s="24"/>
      <c r="F1046724" s="24"/>
      <c r="G1046724" s="24"/>
      <c r="H1046724" s="24"/>
      <c r="I1046724" s="24"/>
      <c r="J1046724" s="24"/>
      <c r="K1046724" s="54"/>
    </row>
    <row r="1046725" spans="1:11" s="55" customFormat="1" ht="12.75">
      <c r="A1046725" s="24"/>
      <c r="B1046725" s="24"/>
      <c r="C1046725" s="24"/>
      <c r="D1046725" s="24"/>
      <c r="E1046725" s="24"/>
      <c r="F1046725" s="24"/>
      <c r="G1046725" s="24"/>
      <c r="H1046725" s="24"/>
      <c r="I1046725" s="24"/>
      <c r="J1046725" s="24"/>
      <c r="K1046725" s="54"/>
    </row>
    <row r="1046726" spans="1:11" s="55" customFormat="1" ht="12.75">
      <c r="A1046726" s="24"/>
      <c r="B1046726" s="24"/>
      <c r="C1046726" s="24"/>
      <c r="D1046726" s="24"/>
      <c r="E1046726" s="24"/>
      <c r="F1046726" s="24"/>
      <c r="G1046726" s="24"/>
      <c r="H1046726" s="24"/>
      <c r="I1046726" s="24"/>
      <c r="J1046726" s="24"/>
      <c r="K1046726" s="54"/>
    </row>
    <row r="1046727" spans="1:11" s="55" customFormat="1" ht="12.75">
      <c r="A1046727" s="24"/>
      <c r="B1046727" s="24"/>
      <c r="C1046727" s="24"/>
      <c r="D1046727" s="24"/>
      <c r="E1046727" s="24"/>
      <c r="F1046727" s="24"/>
      <c r="G1046727" s="24"/>
      <c r="H1046727" s="24"/>
      <c r="I1046727" s="24"/>
      <c r="J1046727" s="24"/>
      <c r="K1046727" s="54"/>
    </row>
    <row r="1046728" spans="1:11" s="55" customFormat="1" ht="12.75">
      <c r="A1046728" s="24"/>
      <c r="B1046728" s="24"/>
      <c r="C1046728" s="24"/>
      <c r="D1046728" s="24"/>
      <c r="E1046728" s="24"/>
      <c r="F1046728" s="24"/>
      <c r="G1046728" s="24"/>
      <c r="H1046728" s="24"/>
      <c r="I1046728" s="24"/>
      <c r="J1046728" s="24"/>
      <c r="K1046728" s="54"/>
    </row>
    <row r="1046729" spans="1:11" s="55" customFormat="1" ht="12.75">
      <c r="A1046729" s="24"/>
      <c r="B1046729" s="24"/>
      <c r="C1046729" s="24"/>
      <c r="D1046729" s="24"/>
      <c r="E1046729" s="24"/>
      <c r="F1046729" s="24"/>
      <c r="G1046729" s="24"/>
      <c r="H1046729" s="24"/>
      <c r="I1046729" s="24"/>
      <c r="J1046729" s="24"/>
      <c r="K1046729" s="54"/>
    </row>
    <row r="1046730" spans="1:11" s="55" customFormat="1" ht="12.75">
      <c r="A1046730" s="24"/>
      <c r="B1046730" s="24"/>
      <c r="C1046730" s="24"/>
      <c r="D1046730" s="24"/>
      <c r="E1046730" s="24"/>
      <c r="F1046730" s="24"/>
      <c r="G1046730" s="24"/>
      <c r="H1046730" s="24"/>
      <c r="I1046730" s="24"/>
      <c r="J1046730" s="24"/>
      <c r="K1046730" s="54"/>
    </row>
    <row r="1046731" spans="1:11" s="55" customFormat="1" ht="12.75">
      <c r="A1046731" s="24"/>
      <c r="B1046731" s="24"/>
      <c r="C1046731" s="24"/>
      <c r="D1046731" s="24"/>
      <c r="E1046731" s="24"/>
      <c r="F1046731" s="24"/>
      <c r="G1046731" s="24"/>
      <c r="H1046731" s="24"/>
      <c r="I1046731" s="24"/>
      <c r="J1046731" s="24"/>
      <c r="K1046731" s="54"/>
    </row>
    <row r="1046732" spans="1:11" s="55" customFormat="1" ht="12.75">
      <c r="A1046732" s="24"/>
      <c r="B1046732" s="24"/>
      <c r="C1046732" s="24"/>
      <c r="D1046732" s="24"/>
      <c r="E1046732" s="24"/>
      <c r="F1046732" s="24"/>
      <c r="G1046732" s="24"/>
      <c r="H1046732" s="24"/>
      <c r="I1046732" s="24"/>
      <c r="J1046732" s="24"/>
      <c r="K1046732" s="54"/>
    </row>
    <row r="1046733" spans="1:11" s="55" customFormat="1" ht="12.75">
      <c r="A1046733" s="24"/>
      <c r="B1046733" s="24"/>
      <c r="C1046733" s="24"/>
      <c r="D1046733" s="24"/>
      <c r="E1046733" s="24"/>
      <c r="F1046733" s="24"/>
      <c r="G1046733" s="24"/>
      <c r="H1046733" s="24"/>
      <c r="I1046733" s="24"/>
      <c r="J1046733" s="24"/>
      <c r="K1046733" s="54"/>
    </row>
    <row r="1046734" spans="1:11" s="55" customFormat="1" ht="12.75">
      <c r="A1046734" s="24"/>
      <c r="B1046734" s="24"/>
      <c r="C1046734" s="24"/>
      <c r="D1046734" s="24"/>
      <c r="E1046734" s="24"/>
      <c r="F1046734" s="24"/>
      <c r="G1046734" s="24"/>
      <c r="H1046734" s="24"/>
      <c r="I1046734" s="24"/>
      <c r="J1046734" s="24"/>
      <c r="K1046734" s="54"/>
    </row>
    <row r="1046735" spans="1:11" s="55" customFormat="1" ht="12.75">
      <c r="A1046735" s="24"/>
      <c r="B1046735" s="24"/>
      <c r="C1046735" s="24"/>
      <c r="D1046735" s="24"/>
      <c r="E1046735" s="24"/>
      <c r="F1046735" s="24"/>
      <c r="G1046735" s="24"/>
      <c r="H1046735" s="24"/>
      <c r="I1046735" s="24"/>
      <c r="J1046735" s="24"/>
      <c r="K1046735" s="54"/>
    </row>
    <row r="1046736" spans="1:11" s="55" customFormat="1" ht="12.75">
      <c r="A1046736" s="24"/>
      <c r="B1046736" s="24"/>
      <c r="C1046736" s="24"/>
      <c r="D1046736" s="24"/>
      <c r="E1046736" s="24"/>
      <c r="F1046736" s="24"/>
      <c r="G1046736" s="24"/>
      <c r="H1046736" s="24"/>
      <c r="I1046736" s="24"/>
      <c r="J1046736" s="24"/>
      <c r="K1046736" s="54"/>
    </row>
    <row r="1046737" spans="1:11" s="55" customFormat="1" ht="12.75">
      <c r="A1046737" s="24"/>
      <c r="B1046737" s="24"/>
      <c r="C1046737" s="24"/>
      <c r="D1046737" s="24"/>
      <c r="E1046737" s="24"/>
      <c r="F1046737" s="24"/>
      <c r="G1046737" s="24"/>
      <c r="H1046737" s="24"/>
      <c r="I1046737" s="24"/>
      <c r="J1046737" s="24"/>
      <c r="K1046737" s="54"/>
    </row>
    <row r="1046738" spans="1:11" s="55" customFormat="1" ht="12.75">
      <c r="A1046738" s="24"/>
      <c r="B1046738" s="24"/>
      <c r="C1046738" s="24"/>
      <c r="D1046738" s="24"/>
      <c r="E1046738" s="24"/>
      <c r="F1046738" s="24"/>
      <c r="G1046738" s="24"/>
      <c r="H1046738" s="24"/>
      <c r="I1046738" s="24"/>
      <c r="J1046738" s="24"/>
      <c r="K1046738" s="54"/>
    </row>
    <row r="1046739" spans="1:11" s="55" customFormat="1" ht="12.75">
      <c r="A1046739" s="24"/>
      <c r="B1046739" s="24"/>
      <c r="C1046739" s="24"/>
      <c r="D1046739" s="24"/>
      <c r="E1046739" s="24"/>
      <c r="F1046739" s="24"/>
      <c r="G1046739" s="24"/>
      <c r="H1046739" s="24"/>
      <c r="I1046739" s="24"/>
      <c r="J1046739" s="24"/>
      <c r="K1046739" s="54"/>
    </row>
    <row r="1046740" spans="1:11" s="55" customFormat="1" ht="12.75">
      <c r="A1046740" s="24"/>
      <c r="B1046740" s="24"/>
      <c r="C1046740" s="24"/>
      <c r="D1046740" s="24"/>
      <c r="E1046740" s="24"/>
      <c r="F1046740" s="24"/>
      <c r="G1046740" s="24"/>
      <c r="H1046740" s="24"/>
      <c r="I1046740" s="24"/>
      <c r="J1046740" s="24"/>
      <c r="K1046740" s="54"/>
    </row>
    <row r="1046741" spans="1:11" s="55" customFormat="1" ht="12.75">
      <c r="A1046741" s="24"/>
      <c r="B1046741" s="24"/>
      <c r="C1046741" s="24"/>
      <c r="D1046741" s="24"/>
      <c r="E1046741" s="24"/>
      <c r="F1046741" s="24"/>
      <c r="G1046741" s="24"/>
      <c r="H1046741" s="24"/>
      <c r="I1046741" s="24"/>
      <c r="J1046741" s="24"/>
      <c r="K1046741" s="54"/>
    </row>
    <row r="1046742" spans="1:11" s="55" customFormat="1" ht="12.75">
      <c r="A1046742" s="24"/>
      <c r="B1046742" s="24"/>
      <c r="C1046742" s="24"/>
      <c r="D1046742" s="24"/>
      <c r="E1046742" s="24"/>
      <c r="F1046742" s="24"/>
      <c r="G1046742" s="24"/>
      <c r="H1046742" s="24"/>
      <c r="I1046742" s="24"/>
      <c r="J1046742" s="24"/>
      <c r="K1046742" s="54"/>
    </row>
    <row r="1046743" spans="1:11" s="55" customFormat="1" ht="12.75">
      <c r="A1046743" s="24"/>
      <c r="B1046743" s="24"/>
      <c r="C1046743" s="24"/>
      <c r="D1046743" s="24"/>
      <c r="E1046743" s="24"/>
      <c r="F1046743" s="24"/>
      <c r="G1046743" s="24"/>
      <c r="H1046743" s="24"/>
      <c r="I1046743" s="24"/>
      <c r="J1046743" s="24"/>
      <c r="K1046743" s="54"/>
    </row>
    <row r="1046744" spans="1:11" s="55" customFormat="1" ht="12.75">
      <c r="A1046744" s="24"/>
      <c r="B1046744" s="24"/>
      <c r="C1046744" s="24"/>
      <c r="D1046744" s="24"/>
      <c r="E1046744" s="24"/>
      <c r="F1046744" s="24"/>
      <c r="G1046744" s="24"/>
      <c r="H1046744" s="24"/>
      <c r="I1046744" s="24"/>
      <c r="J1046744" s="24"/>
      <c r="K1046744" s="54"/>
    </row>
    <row r="1046745" spans="1:11" s="55" customFormat="1" ht="12.75">
      <c r="A1046745" s="24"/>
      <c r="B1046745" s="24"/>
      <c r="C1046745" s="24"/>
      <c r="D1046745" s="24"/>
      <c r="E1046745" s="24"/>
      <c r="F1046745" s="24"/>
      <c r="G1046745" s="24"/>
      <c r="H1046745" s="24"/>
      <c r="I1046745" s="24"/>
      <c r="J1046745" s="24"/>
      <c r="K1046745" s="54"/>
    </row>
    <row r="1046746" spans="1:11" s="55" customFormat="1" ht="12.75">
      <c r="A1046746" s="24"/>
      <c r="B1046746" s="24"/>
      <c r="C1046746" s="24"/>
      <c r="D1046746" s="24"/>
      <c r="E1046746" s="24"/>
      <c r="F1046746" s="24"/>
      <c r="G1046746" s="24"/>
      <c r="H1046746" s="24"/>
      <c r="I1046746" s="24"/>
      <c r="J1046746" s="24"/>
      <c r="K1046746" s="54"/>
    </row>
    <row r="1046747" spans="1:11" s="55" customFormat="1" ht="12.75">
      <c r="A1046747" s="24"/>
      <c r="B1046747" s="24"/>
      <c r="C1046747" s="24"/>
      <c r="D1046747" s="24"/>
      <c r="E1046747" s="24"/>
      <c r="F1046747" s="24"/>
      <c r="G1046747" s="24"/>
      <c r="H1046747" s="24"/>
      <c r="I1046747" s="24"/>
      <c r="J1046747" s="24"/>
      <c r="K1046747" s="54"/>
    </row>
    <row r="1046748" spans="1:11" s="55" customFormat="1" ht="12.75">
      <c r="A1046748" s="24"/>
      <c r="B1046748" s="24"/>
      <c r="C1046748" s="24"/>
      <c r="D1046748" s="24"/>
      <c r="E1046748" s="24"/>
      <c r="F1046748" s="24"/>
      <c r="G1046748" s="24"/>
      <c r="H1046748" s="24"/>
      <c r="I1046748" s="24"/>
      <c r="J1046748" s="24"/>
      <c r="K1046748" s="54"/>
    </row>
    <row r="1046749" spans="1:11" s="55" customFormat="1" ht="12.75">
      <c r="A1046749" s="24"/>
      <c r="B1046749" s="24"/>
      <c r="C1046749" s="24"/>
      <c r="D1046749" s="24"/>
      <c r="E1046749" s="24"/>
      <c r="F1046749" s="24"/>
      <c r="G1046749" s="24"/>
      <c r="H1046749" s="24"/>
      <c r="I1046749" s="24"/>
      <c r="J1046749" s="24"/>
      <c r="K1046749" s="54"/>
    </row>
    <row r="1046750" spans="1:11" s="55" customFormat="1" ht="12.75">
      <c r="A1046750" s="24"/>
      <c r="B1046750" s="24"/>
      <c r="C1046750" s="24"/>
      <c r="D1046750" s="24"/>
      <c r="E1046750" s="24"/>
      <c r="F1046750" s="24"/>
      <c r="G1046750" s="24"/>
      <c r="H1046750" s="24"/>
      <c r="I1046750" s="24"/>
      <c r="J1046750" s="24"/>
      <c r="K1046750" s="54"/>
    </row>
    <row r="1046751" spans="1:11" s="55" customFormat="1" ht="12.75">
      <c r="A1046751" s="24"/>
      <c r="B1046751" s="24"/>
      <c r="C1046751" s="24"/>
      <c r="D1046751" s="24"/>
      <c r="E1046751" s="24"/>
      <c r="F1046751" s="24"/>
      <c r="G1046751" s="24"/>
      <c r="H1046751" s="24"/>
      <c r="I1046751" s="24"/>
      <c r="J1046751" s="24"/>
      <c r="K1046751" s="54"/>
    </row>
    <row r="1046752" spans="1:11" s="55" customFormat="1" ht="12.75">
      <c r="A1046752" s="24"/>
      <c r="B1046752" s="24"/>
      <c r="C1046752" s="24"/>
      <c r="D1046752" s="24"/>
      <c r="E1046752" s="24"/>
      <c r="F1046752" s="24"/>
      <c r="G1046752" s="24"/>
      <c r="H1046752" s="24"/>
      <c r="I1046752" s="24"/>
      <c r="J1046752" s="24"/>
      <c r="K1046752" s="54"/>
    </row>
    <row r="1046753" spans="1:11" s="55" customFormat="1" ht="12.75">
      <c r="A1046753" s="24"/>
      <c r="B1046753" s="24"/>
      <c r="C1046753" s="24"/>
      <c r="D1046753" s="24"/>
      <c r="E1046753" s="24"/>
      <c r="F1046753" s="24"/>
      <c r="G1046753" s="24"/>
      <c r="H1046753" s="24"/>
      <c r="I1046753" s="24"/>
      <c r="J1046753" s="24"/>
      <c r="K1046753" s="54"/>
    </row>
    <row r="1046754" spans="1:11" s="55" customFormat="1" ht="12.75">
      <c r="A1046754" s="24"/>
      <c r="B1046754" s="24"/>
      <c r="C1046754" s="24"/>
      <c r="D1046754" s="24"/>
      <c r="E1046754" s="24"/>
      <c r="F1046754" s="24"/>
      <c r="G1046754" s="24"/>
      <c r="H1046754" s="24"/>
      <c r="I1046754" s="24"/>
      <c r="J1046754" s="24"/>
      <c r="K1046754" s="54"/>
    </row>
    <row r="1046755" spans="1:11" s="55" customFormat="1" ht="12.75">
      <c r="A1046755" s="24"/>
      <c r="B1046755" s="24"/>
      <c r="C1046755" s="24"/>
      <c r="D1046755" s="24"/>
      <c r="E1046755" s="24"/>
      <c r="F1046755" s="24"/>
      <c r="G1046755" s="24"/>
      <c r="H1046755" s="24"/>
      <c r="I1046755" s="24"/>
      <c r="J1046755" s="24"/>
      <c r="K1046755" s="54"/>
    </row>
    <row r="1046756" spans="1:11" s="55" customFormat="1" ht="12.75">
      <c r="A1046756" s="24"/>
      <c r="B1046756" s="24"/>
      <c r="C1046756" s="24"/>
      <c r="D1046756" s="24"/>
      <c r="E1046756" s="24"/>
      <c r="F1046756" s="24"/>
      <c r="G1046756" s="24"/>
      <c r="H1046756" s="24"/>
      <c r="I1046756" s="24"/>
      <c r="J1046756" s="24"/>
      <c r="K1046756" s="54"/>
    </row>
    <row r="1046757" spans="1:11" s="55" customFormat="1" ht="12.75">
      <c r="A1046757" s="24"/>
      <c r="B1046757" s="24"/>
      <c r="C1046757" s="24"/>
      <c r="D1046757" s="24"/>
      <c r="E1046757" s="24"/>
      <c r="F1046757" s="24"/>
      <c r="G1046757" s="24"/>
      <c r="H1046757" s="24"/>
      <c r="I1046757" s="24"/>
      <c r="J1046757" s="24"/>
      <c r="K1046757" s="54"/>
    </row>
    <row r="1046758" spans="1:11" s="55" customFormat="1" ht="12.75">
      <c r="A1046758" s="24"/>
      <c r="B1046758" s="24"/>
      <c r="C1046758" s="24"/>
      <c r="D1046758" s="24"/>
      <c r="E1046758" s="24"/>
      <c r="F1046758" s="24"/>
      <c r="G1046758" s="24"/>
      <c r="H1046758" s="24"/>
      <c r="I1046758" s="24"/>
      <c r="J1046758" s="24"/>
      <c r="K1046758" s="54"/>
    </row>
    <row r="1046759" spans="1:11" s="55" customFormat="1" ht="12.75">
      <c r="A1046759" s="24"/>
      <c r="B1046759" s="24"/>
      <c r="C1046759" s="24"/>
      <c r="D1046759" s="24"/>
      <c r="E1046759" s="24"/>
      <c r="F1046759" s="24"/>
      <c r="G1046759" s="24"/>
      <c r="H1046759" s="24"/>
      <c r="I1046759" s="24"/>
      <c r="J1046759" s="24"/>
      <c r="K1046759" s="54"/>
    </row>
    <row r="1046760" spans="1:11" s="55" customFormat="1" ht="12.75">
      <c r="A1046760" s="24"/>
      <c r="B1046760" s="24"/>
      <c r="C1046760" s="24"/>
      <c r="D1046760" s="24"/>
      <c r="E1046760" s="24"/>
      <c r="F1046760" s="24"/>
      <c r="G1046760" s="24"/>
      <c r="H1046760" s="24"/>
      <c r="I1046760" s="24"/>
      <c r="J1046760" s="24"/>
      <c r="K1046760" s="54"/>
    </row>
    <row r="1046761" spans="1:11" s="55" customFormat="1" ht="12.75">
      <c r="A1046761" s="24"/>
      <c r="B1046761" s="24"/>
      <c r="C1046761" s="24"/>
      <c r="D1046761" s="24"/>
      <c r="E1046761" s="24"/>
      <c r="F1046761" s="24"/>
      <c r="G1046761" s="24"/>
      <c r="H1046761" s="24"/>
      <c r="I1046761" s="24"/>
      <c r="J1046761" s="24"/>
      <c r="K1046761" s="54"/>
    </row>
    <row r="1046762" spans="1:11" s="55" customFormat="1" ht="12.75">
      <c r="A1046762" s="24"/>
      <c r="B1046762" s="24"/>
      <c r="C1046762" s="24"/>
      <c r="D1046762" s="24"/>
      <c r="E1046762" s="24"/>
      <c r="F1046762" s="24"/>
      <c r="G1046762" s="24"/>
      <c r="H1046762" s="24"/>
      <c r="I1046762" s="24"/>
      <c r="J1046762" s="24"/>
      <c r="K1046762" s="54"/>
    </row>
    <row r="1046763" spans="1:11" s="55" customFormat="1" ht="12.75">
      <c r="A1046763" s="24"/>
      <c r="B1046763" s="24"/>
      <c r="C1046763" s="24"/>
      <c r="D1046763" s="24"/>
      <c r="E1046763" s="24"/>
      <c r="F1046763" s="24"/>
      <c r="G1046763" s="24"/>
      <c r="H1046763" s="24"/>
      <c r="I1046763" s="24"/>
      <c r="J1046763" s="24"/>
      <c r="K1046763" s="54"/>
    </row>
    <row r="1046764" spans="1:11" s="55" customFormat="1" ht="12.75">
      <c r="A1046764" s="24"/>
      <c r="B1046764" s="24"/>
      <c r="C1046764" s="24"/>
      <c r="D1046764" s="24"/>
      <c r="E1046764" s="24"/>
      <c r="F1046764" s="24"/>
      <c r="G1046764" s="24"/>
      <c r="H1046764" s="24"/>
      <c r="I1046764" s="24"/>
      <c r="J1046764" s="24"/>
      <c r="K1046764" s="54"/>
    </row>
    <row r="1046765" spans="1:11" s="55" customFormat="1" ht="12.75">
      <c r="A1046765" s="24"/>
      <c r="B1046765" s="24"/>
      <c r="C1046765" s="24"/>
      <c r="D1046765" s="24"/>
      <c r="E1046765" s="24"/>
      <c r="F1046765" s="24"/>
      <c r="G1046765" s="24"/>
      <c r="H1046765" s="24"/>
      <c r="I1046765" s="24"/>
      <c r="J1046765" s="24"/>
      <c r="K1046765" s="54"/>
    </row>
    <row r="1046766" spans="1:11" s="55" customFormat="1" ht="12.75">
      <c r="A1046766" s="24"/>
      <c r="B1046766" s="24"/>
      <c r="C1046766" s="24"/>
      <c r="D1046766" s="24"/>
      <c r="E1046766" s="24"/>
      <c r="F1046766" s="24"/>
      <c r="G1046766" s="24"/>
      <c r="H1046766" s="24"/>
      <c r="I1046766" s="24"/>
      <c r="J1046766" s="24"/>
      <c r="K1046766" s="54"/>
    </row>
    <row r="1046767" spans="1:11" s="55" customFormat="1" ht="12.75">
      <c r="A1046767" s="24"/>
      <c r="B1046767" s="24"/>
      <c r="C1046767" s="24"/>
      <c r="D1046767" s="24"/>
      <c r="E1046767" s="24"/>
      <c r="F1046767" s="24"/>
      <c r="G1046767" s="24"/>
      <c r="H1046767" s="24"/>
      <c r="I1046767" s="24"/>
      <c r="J1046767" s="24"/>
      <c r="K1046767" s="54"/>
    </row>
    <row r="1046768" spans="1:11" s="55" customFormat="1" ht="12.75">
      <c r="A1046768" s="24"/>
      <c r="B1046768" s="24"/>
      <c r="C1046768" s="24"/>
      <c r="D1046768" s="24"/>
      <c r="E1046768" s="24"/>
      <c r="F1046768" s="24"/>
      <c r="G1046768" s="24"/>
      <c r="H1046768" s="24"/>
      <c r="I1046768" s="24"/>
      <c r="J1046768" s="24"/>
      <c r="K1046768" s="54"/>
    </row>
    <row r="1046769" spans="1:11" s="55" customFormat="1" ht="12.75">
      <c r="A1046769" s="24"/>
      <c r="B1046769" s="24"/>
      <c r="C1046769" s="24"/>
      <c r="D1046769" s="24"/>
      <c r="E1046769" s="24"/>
      <c r="F1046769" s="24"/>
      <c r="G1046769" s="24"/>
      <c r="H1046769" s="24"/>
      <c r="I1046769" s="24"/>
      <c r="J1046769" s="24"/>
      <c r="K1046769" s="54"/>
    </row>
    <row r="1046770" spans="1:11" s="55" customFormat="1" ht="12.75">
      <c r="A1046770" s="24"/>
      <c r="B1046770" s="24"/>
      <c r="C1046770" s="24"/>
      <c r="D1046770" s="24"/>
      <c r="E1046770" s="24"/>
      <c r="F1046770" s="24"/>
      <c r="G1046770" s="24"/>
      <c r="H1046770" s="24"/>
      <c r="I1046770" s="24"/>
      <c r="J1046770" s="24"/>
      <c r="K1046770" s="54"/>
    </row>
    <row r="1046771" spans="1:11" s="55" customFormat="1" ht="12.75">
      <c r="A1046771" s="24"/>
      <c r="B1046771" s="24"/>
      <c r="C1046771" s="24"/>
      <c r="D1046771" s="24"/>
      <c r="E1046771" s="24"/>
      <c r="F1046771" s="24"/>
      <c r="G1046771" s="24"/>
      <c r="H1046771" s="24"/>
      <c r="I1046771" s="24"/>
      <c r="J1046771" s="24"/>
      <c r="K1046771" s="54"/>
    </row>
    <row r="1046772" spans="1:11" s="55" customFormat="1" ht="12.75">
      <c r="A1046772" s="24"/>
      <c r="B1046772" s="24"/>
      <c r="C1046772" s="24"/>
      <c r="D1046772" s="24"/>
      <c r="E1046772" s="24"/>
      <c r="F1046772" s="24"/>
      <c r="G1046772" s="24"/>
      <c r="H1046772" s="24"/>
      <c r="I1046772" s="24"/>
      <c r="J1046772" s="24"/>
      <c r="K1046772" s="54"/>
    </row>
    <row r="1046773" spans="1:11" s="55" customFormat="1" ht="12.75">
      <c r="A1046773" s="24"/>
      <c r="B1046773" s="24"/>
      <c r="C1046773" s="24"/>
      <c r="D1046773" s="24"/>
      <c r="E1046773" s="24"/>
      <c r="F1046773" s="24"/>
      <c r="G1046773" s="24"/>
      <c r="H1046773" s="24"/>
      <c r="I1046773" s="24"/>
      <c r="J1046773" s="24"/>
      <c r="K1046773" s="54"/>
    </row>
    <row r="1046774" spans="1:11" s="55" customFormat="1" ht="12.75">
      <c r="A1046774" s="24"/>
      <c r="B1046774" s="24"/>
      <c r="C1046774" s="24"/>
      <c r="D1046774" s="24"/>
      <c r="E1046774" s="24"/>
      <c r="F1046774" s="24"/>
      <c r="G1046774" s="24"/>
      <c r="H1046774" s="24"/>
      <c r="I1046774" s="24"/>
      <c r="J1046774" s="24"/>
      <c r="K1046774" s="54"/>
    </row>
    <row r="1046775" spans="1:11" s="55" customFormat="1" ht="12.75">
      <c r="A1046775" s="24"/>
      <c r="B1046775" s="24"/>
      <c r="C1046775" s="24"/>
      <c r="D1046775" s="24"/>
      <c r="E1046775" s="24"/>
      <c r="F1046775" s="24"/>
      <c r="G1046775" s="24"/>
      <c r="H1046775" s="24"/>
      <c r="I1046775" s="24"/>
      <c r="J1046775" s="24"/>
      <c r="K1046775" s="54"/>
    </row>
    <row r="1046776" spans="1:11" s="55" customFormat="1" ht="12.75">
      <c r="A1046776" s="24"/>
      <c r="B1046776" s="24"/>
      <c r="C1046776" s="24"/>
      <c r="D1046776" s="24"/>
      <c r="E1046776" s="24"/>
      <c r="F1046776" s="24"/>
      <c r="G1046776" s="24"/>
      <c r="H1046776" s="24"/>
      <c r="I1046776" s="24"/>
      <c r="J1046776" s="24"/>
      <c r="K1046776" s="54"/>
    </row>
    <row r="1046777" spans="1:11" s="55" customFormat="1" ht="12.75">
      <c r="A1046777" s="24"/>
      <c r="B1046777" s="24"/>
      <c r="C1046777" s="24"/>
      <c r="D1046777" s="24"/>
      <c r="E1046777" s="24"/>
      <c r="F1046777" s="24"/>
      <c r="G1046777" s="24"/>
      <c r="H1046777" s="24"/>
      <c r="I1046777" s="24"/>
      <c r="J1046777" s="24"/>
      <c r="K1046777" s="54"/>
    </row>
    <row r="1046778" spans="1:11" s="55" customFormat="1" ht="12.75">
      <c r="A1046778" s="24"/>
      <c r="B1046778" s="24"/>
      <c r="C1046778" s="24"/>
      <c r="D1046778" s="24"/>
      <c r="E1046778" s="24"/>
      <c r="F1046778" s="24"/>
      <c r="G1046778" s="24"/>
      <c r="H1046778" s="24"/>
      <c r="I1046778" s="24"/>
      <c r="J1046778" s="24"/>
      <c r="K1046778" s="54"/>
    </row>
    <row r="1046779" spans="1:11" s="55" customFormat="1" ht="12.75">
      <c r="A1046779" s="24"/>
      <c r="B1046779" s="24"/>
      <c r="C1046779" s="24"/>
      <c r="D1046779" s="24"/>
      <c r="E1046779" s="24"/>
      <c r="F1046779" s="24"/>
      <c r="G1046779" s="24"/>
      <c r="H1046779" s="24"/>
      <c r="I1046779" s="24"/>
      <c r="J1046779" s="24"/>
      <c r="K1046779" s="54"/>
    </row>
    <row r="1046780" spans="1:11" s="55" customFormat="1" ht="12.75">
      <c r="A1046780" s="24"/>
      <c r="B1046780" s="24"/>
      <c r="C1046780" s="24"/>
      <c r="D1046780" s="24"/>
      <c r="E1046780" s="24"/>
      <c r="F1046780" s="24"/>
      <c r="G1046780" s="24"/>
      <c r="H1046780" s="24"/>
      <c r="I1046780" s="24"/>
      <c r="J1046780" s="24"/>
      <c r="K1046780" s="54"/>
    </row>
    <row r="1046781" spans="1:11" s="55" customFormat="1" ht="12.75">
      <c r="A1046781" s="24"/>
      <c r="B1046781" s="24"/>
      <c r="C1046781" s="24"/>
      <c r="D1046781" s="24"/>
      <c r="E1046781" s="24"/>
      <c r="F1046781" s="24"/>
      <c r="G1046781" s="24"/>
      <c r="H1046781" s="24"/>
      <c r="I1046781" s="24"/>
      <c r="J1046781" s="24"/>
      <c r="K1046781" s="54"/>
    </row>
    <row r="1046782" spans="1:11" s="55" customFormat="1" ht="12.75">
      <c r="A1046782" s="24"/>
      <c r="B1046782" s="24"/>
      <c r="C1046782" s="24"/>
      <c r="D1046782" s="24"/>
      <c r="E1046782" s="24"/>
      <c r="F1046782" s="24"/>
      <c r="G1046782" s="24"/>
      <c r="H1046782" s="24"/>
      <c r="I1046782" s="24"/>
      <c r="J1046782" s="24"/>
      <c r="K1046782" s="54"/>
    </row>
    <row r="1046783" spans="1:11" s="55" customFormat="1" ht="12.75">
      <c r="A1046783" s="24"/>
      <c r="B1046783" s="24"/>
      <c r="C1046783" s="24"/>
      <c r="D1046783" s="24"/>
      <c r="E1046783" s="24"/>
      <c r="F1046783" s="24"/>
      <c r="G1046783" s="24"/>
      <c r="H1046783" s="24"/>
      <c r="I1046783" s="24"/>
      <c r="J1046783" s="24"/>
      <c r="K1046783" s="54"/>
    </row>
    <row r="1046784" spans="1:11" s="55" customFormat="1" ht="12.75">
      <c r="A1046784" s="24"/>
      <c r="B1046784" s="24"/>
      <c r="C1046784" s="24"/>
      <c r="D1046784" s="24"/>
      <c r="E1046784" s="24"/>
      <c r="F1046784" s="24"/>
      <c r="G1046784" s="24"/>
      <c r="H1046784" s="24"/>
      <c r="I1046784" s="24"/>
      <c r="J1046784" s="24"/>
      <c r="K1046784" s="54"/>
    </row>
    <row r="1046785" spans="1:11" s="55" customFormat="1" ht="12.75">
      <c r="A1046785" s="24"/>
      <c r="B1046785" s="24"/>
      <c r="C1046785" s="24"/>
      <c r="D1046785" s="24"/>
      <c r="E1046785" s="24"/>
      <c r="F1046785" s="24"/>
      <c r="G1046785" s="24"/>
      <c r="H1046785" s="24"/>
      <c r="I1046785" s="24"/>
      <c r="J1046785" s="24"/>
      <c r="K1046785" s="54"/>
    </row>
    <row r="1046786" spans="1:11" s="55" customFormat="1" ht="12.75">
      <c r="A1046786" s="24"/>
      <c r="B1046786" s="24"/>
      <c r="C1046786" s="24"/>
      <c r="D1046786" s="24"/>
      <c r="E1046786" s="24"/>
      <c r="F1046786" s="24"/>
      <c r="G1046786" s="24"/>
      <c r="H1046786" s="24"/>
      <c r="I1046786" s="24"/>
      <c r="J1046786" s="24"/>
      <c r="K1046786" s="54"/>
    </row>
    <row r="1046787" spans="1:11" s="55" customFormat="1" ht="12.75">
      <c r="A1046787" s="24"/>
      <c r="B1046787" s="24"/>
      <c r="C1046787" s="24"/>
      <c r="D1046787" s="24"/>
      <c r="E1046787" s="24"/>
      <c r="F1046787" s="24"/>
      <c r="G1046787" s="24"/>
      <c r="H1046787" s="24"/>
      <c r="I1046787" s="24"/>
      <c r="J1046787" s="24"/>
      <c r="K1046787" s="54"/>
    </row>
    <row r="1046788" spans="1:11" s="55" customFormat="1" ht="12.75">
      <c r="A1046788" s="24"/>
      <c r="B1046788" s="24"/>
      <c r="C1046788" s="24"/>
      <c r="D1046788" s="24"/>
      <c r="E1046788" s="24"/>
      <c r="F1046788" s="24"/>
      <c r="G1046788" s="24"/>
      <c r="H1046788" s="24"/>
      <c r="I1046788" s="24"/>
      <c r="J1046788" s="24"/>
      <c r="K1046788" s="54"/>
    </row>
    <row r="1046789" spans="1:11" s="55" customFormat="1" ht="12.75">
      <c r="A1046789" s="24"/>
      <c r="B1046789" s="24"/>
      <c r="C1046789" s="24"/>
      <c r="D1046789" s="24"/>
      <c r="E1046789" s="24"/>
      <c r="F1046789" s="24"/>
      <c r="G1046789" s="24"/>
      <c r="H1046789" s="24"/>
      <c r="I1046789" s="24"/>
      <c r="J1046789" s="24"/>
      <c r="K1046789" s="54"/>
    </row>
    <row r="1046790" spans="1:11" s="55" customFormat="1" ht="12.75">
      <c r="A1046790" s="24"/>
      <c r="B1046790" s="24"/>
      <c r="C1046790" s="24"/>
      <c r="D1046790" s="24"/>
      <c r="E1046790" s="24"/>
      <c r="F1046790" s="24"/>
      <c r="G1046790" s="24"/>
      <c r="H1046790" s="24"/>
      <c r="I1046790" s="24"/>
      <c r="J1046790" s="24"/>
      <c r="K1046790" s="54"/>
    </row>
    <row r="1046791" spans="1:11" s="55" customFormat="1" ht="12.75">
      <c r="A1046791" s="24"/>
      <c r="B1046791" s="24"/>
      <c r="C1046791" s="24"/>
      <c r="D1046791" s="24"/>
      <c r="E1046791" s="24"/>
      <c r="F1046791" s="24"/>
      <c r="G1046791" s="24"/>
      <c r="H1046791" s="24"/>
      <c r="I1046791" s="24"/>
      <c r="J1046791" s="24"/>
      <c r="K1046791" s="54"/>
    </row>
    <row r="1046792" spans="1:11" s="55" customFormat="1" ht="12.75">
      <c r="A1046792" s="24"/>
      <c r="B1046792" s="24"/>
      <c r="C1046792" s="24"/>
      <c r="D1046792" s="24"/>
      <c r="E1046792" s="24"/>
      <c r="F1046792" s="24"/>
      <c r="G1046792" s="24"/>
      <c r="H1046792" s="24"/>
      <c r="I1046792" s="24"/>
      <c r="J1046792" s="24"/>
      <c r="K1046792" s="54"/>
    </row>
    <row r="1046793" spans="1:11" s="55" customFormat="1" ht="12.75">
      <c r="A1046793" s="24"/>
      <c r="B1046793" s="24"/>
      <c r="C1046793" s="24"/>
      <c r="D1046793" s="24"/>
      <c r="E1046793" s="24"/>
      <c r="F1046793" s="24"/>
      <c r="G1046793" s="24"/>
      <c r="H1046793" s="24"/>
      <c r="I1046793" s="24"/>
      <c r="J1046793" s="24"/>
      <c r="K1046793" s="54"/>
    </row>
    <row r="1046794" spans="1:11" s="55" customFormat="1" ht="12.75">
      <c r="A1046794" s="24"/>
      <c r="B1046794" s="24"/>
      <c r="C1046794" s="24"/>
      <c r="D1046794" s="24"/>
      <c r="E1046794" s="24"/>
      <c r="F1046794" s="24"/>
      <c r="G1046794" s="24"/>
      <c r="H1046794" s="24"/>
      <c r="I1046794" s="24"/>
      <c r="J1046794" s="24"/>
      <c r="K1046794" s="54"/>
    </row>
    <row r="1046795" spans="1:11" s="55" customFormat="1" ht="12.75">
      <c r="A1046795" s="24"/>
      <c r="B1046795" s="24"/>
      <c r="C1046795" s="24"/>
      <c r="D1046795" s="24"/>
      <c r="E1046795" s="24"/>
      <c r="F1046795" s="24"/>
      <c r="G1046795" s="24"/>
      <c r="H1046795" s="24"/>
      <c r="I1046795" s="24"/>
      <c r="J1046795" s="24"/>
      <c r="K1046795" s="54"/>
    </row>
    <row r="1046796" spans="1:11" s="55" customFormat="1" ht="12.75">
      <c r="A1046796" s="24"/>
      <c r="B1046796" s="24"/>
      <c r="C1046796" s="24"/>
      <c r="D1046796" s="24"/>
      <c r="E1046796" s="24"/>
      <c r="F1046796" s="24"/>
      <c r="G1046796" s="24"/>
      <c r="H1046796" s="24"/>
      <c r="I1046796" s="24"/>
      <c r="J1046796" s="24"/>
      <c r="K1046796" s="54"/>
    </row>
    <row r="1046797" spans="1:11" s="55" customFormat="1" ht="12.75">
      <c r="A1046797" s="24"/>
      <c r="B1046797" s="24"/>
      <c r="C1046797" s="24"/>
      <c r="D1046797" s="24"/>
      <c r="E1046797" s="24"/>
      <c r="F1046797" s="24"/>
      <c r="G1046797" s="24"/>
      <c r="H1046797" s="24"/>
      <c r="I1046797" s="24"/>
      <c r="J1046797" s="24"/>
      <c r="K1046797" s="54"/>
    </row>
    <row r="1046798" spans="1:11" s="55" customFormat="1" ht="12.75">
      <c r="A1046798" s="24"/>
      <c r="B1046798" s="24"/>
      <c r="C1046798" s="24"/>
      <c r="D1046798" s="24"/>
      <c r="E1046798" s="24"/>
      <c r="F1046798" s="24"/>
      <c r="G1046798" s="24"/>
      <c r="H1046798" s="24"/>
      <c r="I1046798" s="24"/>
      <c r="J1046798" s="24"/>
      <c r="K1046798" s="54"/>
    </row>
    <row r="1046799" spans="1:11" s="55" customFormat="1" ht="12.75">
      <c r="A1046799" s="24"/>
      <c r="B1046799" s="24"/>
      <c r="C1046799" s="24"/>
      <c r="D1046799" s="24"/>
      <c r="E1046799" s="24"/>
      <c r="F1046799" s="24"/>
      <c r="G1046799" s="24"/>
      <c r="H1046799" s="24"/>
      <c r="I1046799" s="24"/>
      <c r="J1046799" s="24"/>
      <c r="K1046799" s="54"/>
    </row>
    <row r="1046800" spans="1:11" s="55" customFormat="1" ht="12.75">
      <c r="A1046800" s="24"/>
      <c r="B1046800" s="24"/>
      <c r="C1046800" s="24"/>
      <c r="D1046800" s="24"/>
      <c r="E1046800" s="24"/>
      <c r="F1046800" s="24"/>
      <c r="G1046800" s="24"/>
      <c r="H1046800" s="24"/>
      <c r="I1046800" s="24"/>
      <c r="J1046800" s="24"/>
      <c r="K1046800" s="54"/>
    </row>
    <row r="1046801" spans="1:11" s="55" customFormat="1" ht="12.75">
      <c r="A1046801" s="24"/>
      <c r="B1046801" s="24"/>
      <c r="C1046801" s="24"/>
      <c r="D1046801" s="24"/>
      <c r="E1046801" s="24"/>
      <c r="F1046801" s="24"/>
      <c r="G1046801" s="24"/>
      <c r="H1046801" s="24"/>
      <c r="I1046801" s="24"/>
      <c r="J1046801" s="24"/>
      <c r="K1046801" s="54"/>
    </row>
    <row r="1046802" spans="1:11" s="55" customFormat="1" ht="12.75">
      <c r="A1046802" s="24"/>
      <c r="B1046802" s="24"/>
      <c r="C1046802" s="24"/>
      <c r="D1046802" s="24"/>
      <c r="E1046802" s="24"/>
      <c r="F1046802" s="24"/>
      <c r="G1046802" s="24"/>
      <c r="H1046802" s="24"/>
      <c r="I1046802" s="24"/>
      <c r="J1046802" s="24"/>
      <c r="K1046802" s="54"/>
    </row>
    <row r="1046803" spans="1:11" s="55" customFormat="1" ht="12.75">
      <c r="A1046803" s="24"/>
      <c r="B1046803" s="24"/>
      <c r="C1046803" s="24"/>
      <c r="D1046803" s="24"/>
      <c r="E1046803" s="24"/>
      <c r="F1046803" s="24"/>
      <c r="G1046803" s="24"/>
      <c r="H1046803" s="24"/>
      <c r="I1046803" s="24"/>
      <c r="J1046803" s="24"/>
      <c r="K1046803" s="54"/>
    </row>
    <row r="1046804" spans="1:11" s="55" customFormat="1" ht="12.75">
      <c r="A1046804" s="24"/>
      <c r="B1046804" s="24"/>
      <c r="C1046804" s="24"/>
      <c r="D1046804" s="24"/>
      <c r="E1046804" s="24"/>
      <c r="F1046804" s="24"/>
      <c r="G1046804" s="24"/>
      <c r="H1046804" s="24"/>
      <c r="I1046804" s="24"/>
      <c r="J1046804" s="24"/>
      <c r="K1046804" s="54"/>
    </row>
    <row r="1046805" spans="1:11" s="55" customFormat="1" ht="12.75">
      <c r="A1046805" s="24"/>
      <c r="B1046805" s="24"/>
      <c r="C1046805" s="24"/>
      <c r="D1046805" s="24"/>
      <c r="E1046805" s="24"/>
      <c r="F1046805" s="24"/>
      <c r="G1046805" s="24"/>
      <c r="H1046805" s="24"/>
      <c r="I1046805" s="24"/>
      <c r="J1046805" s="24"/>
      <c r="K1046805" s="54"/>
    </row>
    <row r="1046806" spans="1:11" s="55" customFormat="1" ht="12.75">
      <c r="A1046806" s="24"/>
      <c r="B1046806" s="24"/>
      <c r="C1046806" s="24"/>
      <c r="D1046806" s="24"/>
      <c r="E1046806" s="24"/>
      <c r="F1046806" s="24"/>
      <c r="G1046806" s="24"/>
      <c r="H1046806" s="24"/>
      <c r="I1046806" s="24"/>
      <c r="J1046806" s="24"/>
      <c r="K1046806" s="54"/>
    </row>
    <row r="1046807" spans="1:11" s="55" customFormat="1" ht="12.75">
      <c r="A1046807" s="24"/>
      <c r="B1046807" s="24"/>
      <c r="C1046807" s="24"/>
      <c r="D1046807" s="24"/>
      <c r="E1046807" s="24"/>
      <c r="F1046807" s="24"/>
      <c r="G1046807" s="24"/>
      <c r="H1046807" s="24"/>
      <c r="I1046807" s="24"/>
      <c r="J1046807" s="24"/>
      <c r="K1046807" s="54"/>
    </row>
    <row r="1046808" spans="1:11" s="55" customFormat="1" ht="12.75">
      <c r="A1046808" s="24"/>
      <c r="B1046808" s="24"/>
      <c r="C1046808" s="24"/>
      <c r="D1046808" s="24"/>
      <c r="E1046808" s="24"/>
      <c r="F1046808" s="24"/>
      <c r="G1046808" s="24"/>
      <c r="H1046808" s="24"/>
      <c r="I1046808" s="24"/>
      <c r="J1046808" s="24"/>
      <c r="K1046808" s="54"/>
    </row>
    <row r="1046809" spans="1:11" s="55" customFormat="1" ht="12.75">
      <c r="A1046809" s="24"/>
      <c r="B1046809" s="24"/>
      <c r="C1046809" s="24"/>
      <c r="D1046809" s="24"/>
      <c r="E1046809" s="24"/>
      <c r="F1046809" s="24"/>
      <c r="G1046809" s="24"/>
      <c r="H1046809" s="24"/>
      <c r="I1046809" s="24"/>
      <c r="J1046809" s="24"/>
      <c r="K1046809" s="54"/>
    </row>
    <row r="1046810" spans="1:11" s="55" customFormat="1" ht="12.75">
      <c r="A1046810" s="24"/>
      <c r="B1046810" s="24"/>
      <c r="C1046810" s="24"/>
      <c r="D1046810" s="24"/>
      <c r="E1046810" s="24"/>
      <c r="F1046810" s="24"/>
      <c r="G1046810" s="24"/>
      <c r="H1046810" s="24"/>
      <c r="I1046810" s="24"/>
      <c r="J1046810" s="24"/>
      <c r="K1046810" s="54"/>
    </row>
    <row r="1046811" spans="1:11" s="55" customFormat="1" ht="12.75">
      <c r="A1046811" s="24"/>
      <c r="B1046811" s="24"/>
      <c r="C1046811" s="24"/>
      <c r="D1046811" s="24"/>
      <c r="E1046811" s="24"/>
      <c r="F1046811" s="24"/>
      <c r="G1046811" s="24"/>
      <c r="H1046811" s="24"/>
      <c r="I1046811" s="24"/>
      <c r="J1046811" s="24"/>
      <c r="K1046811" s="54"/>
    </row>
    <row r="1046812" spans="1:11" s="55" customFormat="1" ht="12.75">
      <c r="A1046812" s="24"/>
      <c r="B1046812" s="24"/>
      <c r="C1046812" s="24"/>
      <c r="D1046812" s="24"/>
      <c r="E1046812" s="24"/>
      <c r="F1046812" s="24"/>
      <c r="G1046812" s="24"/>
      <c r="H1046812" s="24"/>
      <c r="I1046812" s="24"/>
      <c r="J1046812" s="24"/>
      <c r="K1046812" s="54"/>
    </row>
    <row r="1046813" spans="1:11" s="55" customFormat="1" ht="12.75">
      <c r="A1046813" s="24"/>
      <c r="B1046813" s="24"/>
      <c r="C1046813" s="24"/>
      <c r="D1046813" s="24"/>
      <c r="E1046813" s="24"/>
      <c r="F1046813" s="24"/>
      <c r="G1046813" s="24"/>
      <c r="H1046813" s="24"/>
      <c r="I1046813" s="24"/>
      <c r="J1046813" s="24"/>
      <c r="K1046813" s="54"/>
    </row>
    <row r="1046814" spans="1:11" s="55" customFormat="1" ht="12.75">
      <c r="A1046814" s="24"/>
      <c r="B1046814" s="24"/>
      <c r="C1046814" s="24"/>
      <c r="D1046814" s="24"/>
      <c r="E1046814" s="24"/>
      <c r="F1046814" s="24"/>
      <c r="G1046814" s="24"/>
      <c r="H1046814" s="24"/>
      <c r="I1046814" s="24"/>
      <c r="J1046814" s="24"/>
      <c r="K1046814" s="54"/>
    </row>
    <row r="1046815" spans="1:11" s="55" customFormat="1" ht="12.75">
      <c r="A1046815" s="24"/>
      <c r="B1046815" s="24"/>
      <c r="C1046815" s="24"/>
      <c r="D1046815" s="24"/>
      <c r="E1046815" s="24"/>
      <c r="F1046815" s="24"/>
      <c r="G1046815" s="24"/>
      <c r="H1046815" s="24"/>
      <c r="I1046815" s="24"/>
      <c r="J1046815" s="24"/>
      <c r="K1046815" s="54"/>
    </row>
    <row r="1046816" spans="1:11" s="55" customFormat="1" ht="12.75">
      <c r="A1046816" s="24"/>
      <c r="B1046816" s="24"/>
      <c r="C1046816" s="24"/>
      <c r="D1046816" s="24"/>
      <c r="E1046816" s="24"/>
      <c r="F1046816" s="24"/>
      <c r="G1046816" s="24"/>
      <c r="H1046816" s="24"/>
      <c r="I1046816" s="24"/>
      <c r="J1046816" s="24"/>
      <c r="K1046816" s="54"/>
    </row>
    <row r="1046817" spans="1:11" s="55" customFormat="1" ht="12.75">
      <c r="A1046817" s="24"/>
      <c r="B1046817" s="24"/>
      <c r="C1046817" s="24"/>
      <c r="D1046817" s="24"/>
      <c r="E1046817" s="24"/>
      <c r="F1046817" s="24"/>
      <c r="G1046817" s="24"/>
      <c r="H1046817" s="24"/>
      <c r="I1046817" s="24"/>
      <c r="J1046817" s="24"/>
      <c r="K1046817" s="54"/>
    </row>
    <row r="1046818" spans="1:11" s="55" customFormat="1" ht="12.75">
      <c r="A1046818" s="24"/>
      <c r="B1046818" s="24"/>
      <c r="C1046818" s="24"/>
      <c r="D1046818" s="24"/>
      <c r="E1046818" s="24"/>
      <c r="F1046818" s="24"/>
      <c r="G1046818" s="24"/>
      <c r="H1046818" s="24"/>
      <c r="I1046818" s="24"/>
      <c r="J1046818" s="24"/>
      <c r="K1046818" s="54"/>
    </row>
    <row r="1046819" spans="1:11" s="55" customFormat="1" ht="12.75">
      <c r="A1046819" s="24"/>
      <c r="B1046819" s="24"/>
      <c r="C1046819" s="24"/>
      <c r="D1046819" s="24"/>
      <c r="E1046819" s="24"/>
      <c r="F1046819" s="24"/>
      <c r="G1046819" s="24"/>
      <c r="H1046819" s="24"/>
      <c r="I1046819" s="24"/>
      <c r="J1046819" s="24"/>
      <c r="K1046819" s="54"/>
    </row>
    <row r="1046820" spans="1:11" s="55" customFormat="1" ht="12.75">
      <c r="A1046820" s="24"/>
      <c r="B1046820" s="24"/>
      <c r="C1046820" s="24"/>
      <c r="D1046820" s="24"/>
      <c r="E1046820" s="24"/>
      <c r="F1046820" s="24"/>
      <c r="G1046820" s="24"/>
      <c r="H1046820" s="24"/>
      <c r="I1046820" s="24"/>
      <c r="J1046820" s="24"/>
      <c r="K1046820" s="54"/>
    </row>
    <row r="1046821" spans="1:11" s="55" customFormat="1" ht="12.75">
      <c r="A1046821" s="24"/>
      <c r="B1046821" s="24"/>
      <c r="C1046821" s="24"/>
      <c r="D1046821" s="24"/>
      <c r="E1046821" s="24"/>
      <c r="F1046821" s="24"/>
      <c r="G1046821" s="24"/>
      <c r="H1046821" s="24"/>
      <c r="I1046821" s="24"/>
      <c r="J1046821" s="24"/>
      <c r="K1046821" s="54"/>
    </row>
    <row r="1046822" spans="1:11" s="55" customFormat="1" ht="12.75">
      <c r="A1046822" s="24"/>
      <c r="B1046822" s="24"/>
      <c r="C1046822" s="24"/>
      <c r="D1046822" s="24"/>
      <c r="E1046822" s="24"/>
      <c r="F1046822" s="24"/>
      <c r="G1046822" s="24"/>
      <c r="H1046822" s="24"/>
      <c r="I1046822" s="24"/>
      <c r="J1046822" s="24"/>
      <c r="K1046822" s="54"/>
    </row>
    <row r="1046823" spans="1:11" s="55" customFormat="1" ht="12.75">
      <c r="A1046823" s="24"/>
      <c r="B1046823" s="24"/>
      <c r="C1046823" s="24"/>
      <c r="D1046823" s="24"/>
      <c r="E1046823" s="24"/>
      <c r="F1046823" s="24"/>
      <c r="G1046823" s="24"/>
      <c r="H1046823" s="24"/>
      <c r="I1046823" s="24"/>
      <c r="J1046823" s="24"/>
      <c r="K1046823" s="54"/>
    </row>
    <row r="1046824" spans="1:11" s="55" customFormat="1" ht="12.75">
      <c r="A1046824" s="24"/>
      <c r="B1046824" s="24"/>
      <c r="C1046824" s="24"/>
      <c r="D1046824" s="24"/>
      <c r="E1046824" s="24"/>
      <c r="F1046824" s="24"/>
      <c r="G1046824" s="24"/>
      <c r="H1046824" s="24"/>
      <c r="I1046824" s="24"/>
      <c r="J1046824" s="24"/>
      <c r="K1046824" s="54"/>
    </row>
    <row r="1046825" spans="1:11" s="55" customFormat="1" ht="12.75">
      <c r="A1046825" s="24"/>
      <c r="B1046825" s="24"/>
      <c r="C1046825" s="24"/>
      <c r="D1046825" s="24"/>
      <c r="E1046825" s="24"/>
      <c r="F1046825" s="24"/>
      <c r="G1046825" s="24"/>
      <c r="H1046825" s="24"/>
      <c r="I1046825" s="24"/>
      <c r="J1046825" s="24"/>
      <c r="K1046825" s="54"/>
    </row>
    <row r="1046826" spans="1:11" s="55" customFormat="1" ht="12.75">
      <c r="A1046826" s="24"/>
      <c r="B1046826" s="24"/>
      <c r="C1046826" s="24"/>
      <c r="D1046826" s="24"/>
      <c r="E1046826" s="24"/>
      <c r="F1046826" s="24"/>
      <c r="G1046826" s="24"/>
      <c r="H1046826" s="24"/>
      <c r="I1046826" s="24"/>
      <c r="J1046826" s="24"/>
      <c r="K1046826" s="54"/>
    </row>
    <row r="1046827" spans="1:11" s="55" customFormat="1" ht="12.75">
      <c r="A1046827" s="24"/>
      <c r="B1046827" s="24"/>
      <c r="C1046827" s="24"/>
      <c r="D1046827" s="24"/>
      <c r="E1046827" s="24"/>
      <c r="F1046827" s="24"/>
      <c r="G1046827" s="24"/>
      <c r="H1046827" s="24"/>
      <c r="I1046827" s="24"/>
      <c r="J1046827" s="24"/>
      <c r="K1046827" s="54"/>
    </row>
    <row r="1046828" spans="1:11" s="55" customFormat="1" ht="12.75">
      <c r="A1046828" s="24"/>
      <c r="B1046828" s="24"/>
      <c r="C1046828" s="24"/>
      <c r="D1046828" s="24"/>
      <c r="E1046828" s="24"/>
      <c r="F1046828" s="24"/>
      <c r="G1046828" s="24"/>
      <c r="H1046828" s="24"/>
      <c r="I1046828" s="24"/>
      <c r="J1046828" s="24"/>
      <c r="K1046828" s="54"/>
    </row>
    <row r="1046829" spans="1:11" s="55" customFormat="1" ht="12.75">
      <c r="A1046829" s="24"/>
      <c r="B1046829" s="24"/>
      <c r="C1046829" s="24"/>
      <c r="D1046829" s="24"/>
      <c r="E1046829" s="24"/>
      <c r="F1046829" s="24"/>
      <c r="G1046829" s="24"/>
      <c r="H1046829" s="24"/>
      <c r="I1046829" s="24"/>
      <c r="J1046829" s="24"/>
      <c r="K1046829" s="54"/>
    </row>
    <row r="1046830" spans="1:11" s="55" customFormat="1" ht="12.75">
      <c r="A1046830" s="24"/>
      <c r="B1046830" s="24"/>
      <c r="C1046830" s="24"/>
      <c r="D1046830" s="24"/>
      <c r="E1046830" s="24"/>
      <c r="F1046830" s="24"/>
      <c r="G1046830" s="24"/>
      <c r="H1046830" s="24"/>
      <c r="I1046830" s="24"/>
      <c r="J1046830" s="24"/>
      <c r="K1046830" s="54"/>
    </row>
    <row r="1046831" spans="1:11" s="55" customFormat="1" ht="12.75">
      <c r="A1046831" s="24"/>
      <c r="B1046831" s="24"/>
      <c r="C1046831" s="24"/>
      <c r="D1046831" s="24"/>
      <c r="E1046831" s="24"/>
      <c r="F1046831" s="24"/>
      <c r="G1046831" s="24"/>
      <c r="H1046831" s="24"/>
      <c r="I1046831" s="24"/>
      <c r="J1046831" s="24"/>
      <c r="K1046831" s="54"/>
    </row>
    <row r="1046832" spans="1:11" s="55" customFormat="1" ht="12.75">
      <c r="A1046832" s="24"/>
      <c r="B1046832" s="24"/>
      <c r="C1046832" s="24"/>
      <c r="D1046832" s="24"/>
      <c r="E1046832" s="24"/>
      <c r="F1046832" s="24"/>
      <c r="G1046832" s="24"/>
      <c r="H1046832" s="24"/>
      <c r="I1046832" s="24"/>
      <c r="J1046832" s="24"/>
      <c r="K1046832" s="54"/>
    </row>
    <row r="1046833" spans="1:11" s="55" customFormat="1" ht="12.75">
      <c r="A1046833" s="24"/>
      <c r="B1046833" s="24"/>
      <c r="C1046833" s="24"/>
      <c r="D1046833" s="24"/>
      <c r="E1046833" s="24"/>
      <c r="F1046833" s="24"/>
      <c r="G1046833" s="24"/>
      <c r="H1046833" s="24"/>
      <c r="I1046833" s="24"/>
      <c r="J1046833" s="24"/>
      <c r="K1046833" s="54"/>
    </row>
    <row r="1046834" spans="1:11" s="55" customFormat="1" ht="12.75">
      <c r="A1046834" s="24"/>
      <c r="B1046834" s="24"/>
      <c r="C1046834" s="24"/>
      <c r="D1046834" s="24"/>
      <c r="E1046834" s="24"/>
      <c r="F1046834" s="24"/>
      <c r="G1046834" s="24"/>
      <c r="H1046834" s="24"/>
      <c r="I1046834" s="24"/>
      <c r="J1046834" s="24"/>
      <c r="K1046834" s="54"/>
    </row>
    <row r="1046835" spans="1:11" s="55" customFormat="1" ht="12.75">
      <c r="A1046835" s="24"/>
      <c r="B1046835" s="24"/>
      <c r="C1046835" s="24"/>
      <c r="D1046835" s="24"/>
      <c r="E1046835" s="24"/>
      <c r="F1046835" s="24"/>
      <c r="G1046835" s="24"/>
      <c r="H1046835" s="24"/>
      <c r="I1046835" s="24"/>
      <c r="J1046835" s="24"/>
      <c r="K1046835" s="54"/>
    </row>
    <row r="1046836" spans="1:11" s="55" customFormat="1" ht="12.75">
      <c r="A1046836" s="24"/>
      <c r="B1046836" s="24"/>
      <c r="C1046836" s="24"/>
      <c r="D1046836" s="24"/>
      <c r="E1046836" s="24"/>
      <c r="F1046836" s="24"/>
      <c r="G1046836" s="24"/>
      <c r="H1046836" s="24"/>
      <c r="I1046836" s="24"/>
      <c r="J1046836" s="24"/>
      <c r="K1046836" s="54"/>
    </row>
    <row r="1046837" spans="1:11" s="55" customFormat="1" ht="12.75">
      <c r="A1046837" s="24"/>
      <c r="B1046837" s="24"/>
      <c r="C1046837" s="24"/>
      <c r="D1046837" s="24"/>
      <c r="E1046837" s="24"/>
      <c r="F1046837" s="24"/>
      <c r="G1046837" s="24"/>
      <c r="H1046837" s="24"/>
      <c r="I1046837" s="24"/>
      <c r="J1046837" s="24"/>
      <c r="K1046837" s="54"/>
    </row>
    <row r="1046838" spans="1:11" s="55" customFormat="1" ht="12.75">
      <c r="A1046838" s="24"/>
      <c r="B1046838" s="24"/>
      <c r="C1046838" s="24"/>
      <c r="D1046838" s="24"/>
      <c r="E1046838" s="24"/>
      <c r="F1046838" s="24"/>
      <c r="G1046838" s="24"/>
      <c r="H1046838" s="24"/>
      <c r="I1046838" s="24"/>
      <c r="J1046838" s="24"/>
      <c r="K1046838" s="54"/>
    </row>
    <row r="1046839" spans="1:11" s="55" customFormat="1" ht="12.75">
      <c r="A1046839" s="24"/>
      <c r="B1046839" s="24"/>
      <c r="C1046839" s="24"/>
      <c r="D1046839" s="24"/>
      <c r="E1046839" s="24"/>
      <c r="F1046839" s="24"/>
      <c r="G1046839" s="24"/>
      <c r="H1046839" s="24"/>
      <c r="I1046839" s="24"/>
      <c r="J1046839" s="24"/>
      <c r="K1046839" s="54"/>
    </row>
    <row r="1046840" spans="1:11" s="55" customFormat="1" ht="12.75">
      <c r="A1046840" s="24"/>
      <c r="B1046840" s="24"/>
      <c r="C1046840" s="24"/>
      <c r="D1046840" s="24"/>
      <c r="E1046840" s="24"/>
      <c r="F1046840" s="24"/>
      <c r="G1046840" s="24"/>
      <c r="H1046840" s="24"/>
      <c r="I1046840" s="24"/>
      <c r="J1046840" s="24"/>
      <c r="K1046840" s="54"/>
    </row>
    <row r="1046841" spans="1:11" s="55" customFormat="1" ht="12.75">
      <c r="A1046841" s="24"/>
      <c r="B1046841" s="24"/>
      <c r="C1046841" s="24"/>
      <c r="D1046841" s="24"/>
      <c r="E1046841" s="24"/>
      <c r="F1046841" s="24"/>
      <c r="G1046841" s="24"/>
      <c r="H1046841" s="24"/>
      <c r="I1046841" s="24"/>
      <c r="J1046841" s="24"/>
      <c r="K1046841" s="54"/>
    </row>
    <row r="1046842" spans="1:11" s="55" customFormat="1" ht="12.75">
      <c r="A1046842" s="24"/>
      <c r="B1046842" s="24"/>
      <c r="C1046842" s="24"/>
      <c r="D1046842" s="24"/>
      <c r="E1046842" s="24"/>
      <c r="F1046842" s="24"/>
      <c r="G1046842" s="24"/>
      <c r="H1046842" s="24"/>
      <c r="I1046842" s="24"/>
      <c r="J1046842" s="24"/>
      <c r="K1046842" s="54"/>
    </row>
    <row r="1046843" spans="1:11" s="55" customFormat="1" ht="12.75">
      <c r="A1046843" s="24"/>
      <c r="B1046843" s="24"/>
      <c r="C1046843" s="24"/>
      <c r="D1046843" s="24"/>
      <c r="E1046843" s="24"/>
      <c r="F1046843" s="24"/>
      <c r="G1046843" s="24"/>
      <c r="H1046843" s="24"/>
      <c r="I1046843" s="24"/>
      <c r="J1046843" s="24"/>
      <c r="K1046843" s="54"/>
    </row>
    <row r="1046844" spans="1:11" s="55" customFormat="1" ht="12.75">
      <c r="A1046844" s="24"/>
      <c r="B1046844" s="24"/>
      <c r="C1046844" s="24"/>
      <c r="D1046844" s="24"/>
      <c r="E1046844" s="24"/>
      <c r="F1046844" s="24"/>
      <c r="G1046844" s="24"/>
      <c r="H1046844" s="24"/>
      <c r="I1046844" s="24"/>
      <c r="J1046844" s="24"/>
      <c r="K1046844" s="54"/>
    </row>
    <row r="1046845" spans="1:11" s="55" customFormat="1" ht="12.75">
      <c r="A1046845" s="24"/>
      <c r="B1046845" s="24"/>
      <c r="C1046845" s="24"/>
      <c r="D1046845" s="24"/>
      <c r="E1046845" s="24"/>
      <c r="F1046845" s="24"/>
      <c r="G1046845" s="24"/>
      <c r="H1046845" s="24"/>
      <c r="I1046845" s="24"/>
      <c r="J1046845" s="24"/>
      <c r="K1046845" s="54"/>
    </row>
    <row r="1046846" spans="1:11" s="55" customFormat="1" ht="12.75">
      <c r="A1046846" s="24"/>
      <c r="B1046846" s="24"/>
      <c r="C1046846" s="24"/>
      <c r="D1046846" s="24"/>
      <c r="E1046846" s="24"/>
      <c r="F1046846" s="24"/>
      <c r="G1046846" s="24"/>
      <c r="H1046846" s="24"/>
      <c r="I1046846" s="24"/>
      <c r="J1046846" s="24"/>
      <c r="K1046846" s="54"/>
    </row>
    <row r="1046847" spans="1:11" s="55" customFormat="1" ht="12.75">
      <c r="A1046847" s="24"/>
      <c r="B1046847" s="24"/>
      <c r="C1046847" s="24"/>
      <c r="D1046847" s="24"/>
      <c r="E1046847" s="24"/>
      <c r="F1046847" s="24"/>
      <c r="G1046847" s="24"/>
      <c r="H1046847" s="24"/>
      <c r="I1046847" s="24"/>
      <c r="J1046847" s="24"/>
      <c r="K1046847" s="54"/>
    </row>
    <row r="1046848" spans="1:11" s="55" customFormat="1" ht="12.75">
      <c r="A1046848" s="24"/>
      <c r="B1046848" s="24"/>
      <c r="C1046848" s="24"/>
      <c r="D1046848" s="24"/>
      <c r="E1046848" s="24"/>
      <c r="F1046848" s="24"/>
      <c r="G1046848" s="24"/>
      <c r="H1046848" s="24"/>
      <c r="I1046848" s="24"/>
      <c r="J1046848" s="24"/>
      <c r="K1046848" s="54"/>
    </row>
    <row r="1046849" spans="1:11" s="55" customFormat="1" ht="12.75">
      <c r="A1046849" s="24"/>
      <c r="B1046849" s="24"/>
      <c r="C1046849" s="24"/>
      <c r="D1046849" s="24"/>
      <c r="E1046849" s="24"/>
      <c r="F1046849" s="24"/>
      <c r="G1046849" s="24"/>
      <c r="H1046849" s="24"/>
      <c r="I1046849" s="24"/>
      <c r="J1046849" s="24"/>
      <c r="K1046849" s="54"/>
    </row>
    <row r="1046850" spans="1:11" s="55" customFormat="1" ht="12.75">
      <c r="A1046850" s="24"/>
      <c r="B1046850" s="24"/>
      <c r="C1046850" s="24"/>
      <c r="D1046850" s="24"/>
      <c r="E1046850" s="24"/>
      <c r="F1046850" s="24"/>
      <c r="G1046850" s="24"/>
      <c r="H1046850" s="24"/>
      <c r="I1046850" s="24"/>
      <c r="J1046850" s="24"/>
      <c r="K1046850" s="54"/>
    </row>
    <row r="1046851" spans="1:11" s="55" customFormat="1" ht="12.75">
      <c r="A1046851" s="24"/>
      <c r="B1046851" s="24"/>
      <c r="C1046851" s="24"/>
      <c r="D1046851" s="24"/>
      <c r="E1046851" s="24"/>
      <c r="F1046851" s="24"/>
      <c r="G1046851" s="24"/>
      <c r="H1046851" s="24"/>
      <c r="I1046851" s="24"/>
      <c r="J1046851" s="24"/>
      <c r="K1046851" s="54"/>
    </row>
    <row r="1046852" spans="1:11" s="55" customFormat="1" ht="12.75">
      <c r="A1046852" s="24"/>
      <c r="B1046852" s="24"/>
      <c r="C1046852" s="24"/>
      <c r="D1046852" s="24"/>
      <c r="E1046852" s="24"/>
      <c r="F1046852" s="24"/>
      <c r="G1046852" s="24"/>
      <c r="H1046852" s="24"/>
      <c r="I1046852" s="24"/>
      <c r="J1046852" s="24"/>
      <c r="K1046852" s="54"/>
    </row>
    <row r="1046853" spans="1:11" s="55" customFormat="1" ht="12.75">
      <c r="A1046853" s="24"/>
      <c r="B1046853" s="24"/>
      <c r="C1046853" s="24"/>
      <c r="D1046853" s="24"/>
      <c r="E1046853" s="24"/>
      <c r="F1046853" s="24"/>
      <c r="G1046853" s="24"/>
      <c r="H1046853" s="24"/>
      <c r="I1046853" s="24"/>
      <c r="J1046853" s="24"/>
      <c r="K1046853" s="54"/>
    </row>
    <row r="1046854" spans="1:11" s="55" customFormat="1" ht="12.75">
      <c r="A1046854" s="24"/>
      <c r="B1046854" s="24"/>
      <c r="C1046854" s="24"/>
      <c r="D1046854" s="24"/>
      <c r="E1046854" s="24"/>
      <c r="F1046854" s="24"/>
      <c r="G1046854" s="24"/>
      <c r="H1046854" s="24"/>
      <c r="I1046854" s="24"/>
      <c r="J1046854" s="24"/>
      <c r="K1046854" s="54"/>
    </row>
    <row r="1046855" spans="1:11" s="55" customFormat="1" ht="12.75">
      <c r="A1046855" s="24"/>
      <c r="B1046855" s="24"/>
      <c r="C1046855" s="24"/>
      <c r="D1046855" s="24"/>
      <c r="E1046855" s="24"/>
      <c r="F1046855" s="24"/>
      <c r="G1046855" s="24"/>
      <c r="H1046855" s="24"/>
      <c r="I1046855" s="24"/>
      <c r="J1046855" s="24"/>
      <c r="K1046855" s="54"/>
    </row>
    <row r="1046856" spans="1:11" s="55" customFormat="1" ht="12.75">
      <c r="A1046856" s="24"/>
      <c r="B1046856" s="24"/>
      <c r="C1046856" s="24"/>
      <c r="D1046856" s="24"/>
      <c r="E1046856" s="24"/>
      <c r="F1046856" s="24"/>
      <c r="G1046856" s="24"/>
      <c r="H1046856" s="24"/>
      <c r="I1046856" s="24"/>
      <c r="J1046856" s="24"/>
      <c r="K1046856" s="54"/>
    </row>
    <row r="1046857" spans="1:11" s="55" customFormat="1" ht="12.75">
      <c r="A1046857" s="24"/>
      <c r="B1046857" s="24"/>
      <c r="C1046857" s="24"/>
      <c r="D1046857" s="24"/>
      <c r="E1046857" s="24"/>
      <c r="F1046857" s="24"/>
      <c r="G1046857" s="24"/>
      <c r="H1046857" s="24"/>
      <c r="I1046857" s="24"/>
      <c r="J1046857" s="24"/>
      <c r="K1046857" s="54"/>
    </row>
    <row r="1046858" spans="1:11" s="55" customFormat="1" ht="12.75">
      <c r="A1046858" s="24"/>
      <c r="B1046858" s="24"/>
      <c r="C1046858" s="24"/>
      <c r="D1046858" s="24"/>
      <c r="E1046858" s="24"/>
      <c r="F1046858" s="24"/>
      <c r="G1046858" s="24"/>
      <c r="H1046858" s="24"/>
      <c r="I1046858" s="24"/>
      <c r="J1046858" s="24"/>
      <c r="K1046858" s="54"/>
    </row>
    <row r="1046859" spans="1:11" s="55" customFormat="1" ht="12.75">
      <c r="A1046859" s="24"/>
      <c r="B1046859" s="24"/>
      <c r="C1046859" s="24"/>
      <c r="D1046859" s="24"/>
      <c r="E1046859" s="24"/>
      <c r="F1046859" s="24"/>
      <c r="G1046859" s="24"/>
      <c r="H1046859" s="24"/>
      <c r="I1046859" s="24"/>
      <c r="J1046859" s="24"/>
      <c r="K1046859" s="54"/>
    </row>
    <row r="1046860" spans="1:11" s="55" customFormat="1" ht="12.75">
      <c r="A1046860" s="24"/>
      <c r="B1046860" s="24"/>
      <c r="C1046860" s="24"/>
      <c r="D1046860" s="24"/>
      <c r="E1046860" s="24"/>
      <c r="F1046860" s="24"/>
      <c r="G1046860" s="24"/>
      <c r="H1046860" s="24"/>
      <c r="I1046860" s="24"/>
      <c r="J1046860" s="24"/>
      <c r="K1046860" s="54"/>
    </row>
    <row r="1046861" spans="1:11" s="55" customFormat="1" ht="12.75">
      <c r="A1046861" s="24"/>
      <c r="B1046861" s="24"/>
      <c r="C1046861" s="24"/>
      <c r="D1046861" s="24"/>
      <c r="E1046861" s="24"/>
      <c r="F1046861" s="24"/>
      <c r="G1046861" s="24"/>
      <c r="H1046861" s="24"/>
      <c r="I1046861" s="24"/>
      <c r="J1046861" s="24"/>
      <c r="K1046861" s="54"/>
    </row>
    <row r="1046862" spans="1:11" s="55" customFormat="1" ht="12.75">
      <c r="A1046862" s="24"/>
      <c r="B1046862" s="24"/>
      <c r="C1046862" s="24"/>
      <c r="D1046862" s="24"/>
      <c r="E1046862" s="24"/>
      <c r="F1046862" s="24"/>
      <c r="G1046862" s="24"/>
      <c r="H1046862" s="24"/>
      <c r="I1046862" s="24"/>
      <c r="J1046862" s="24"/>
      <c r="K1046862" s="54"/>
    </row>
    <row r="1046863" spans="1:11" s="55" customFormat="1" ht="12.75">
      <c r="A1046863" s="24"/>
      <c r="B1046863" s="24"/>
      <c r="C1046863" s="24"/>
      <c r="D1046863" s="24"/>
      <c r="E1046863" s="24"/>
      <c r="F1046863" s="24"/>
      <c r="G1046863" s="24"/>
      <c r="H1046863" s="24"/>
      <c r="I1046863" s="24"/>
      <c r="J1046863" s="24"/>
      <c r="K1046863" s="54"/>
    </row>
    <row r="1046864" spans="1:11" s="55" customFormat="1" ht="12.75">
      <c r="A1046864" s="24"/>
      <c r="B1046864" s="24"/>
      <c r="C1046864" s="24"/>
      <c r="D1046864" s="24"/>
      <c r="E1046864" s="24"/>
      <c r="F1046864" s="24"/>
      <c r="G1046864" s="24"/>
      <c r="H1046864" s="24"/>
      <c r="I1046864" s="24"/>
      <c r="J1046864" s="24"/>
      <c r="K1046864" s="54"/>
    </row>
    <row r="1046865" spans="1:11" s="55" customFormat="1" ht="12.75">
      <c r="A1046865" s="24"/>
      <c r="B1046865" s="24"/>
      <c r="C1046865" s="24"/>
      <c r="D1046865" s="24"/>
      <c r="E1046865" s="24"/>
      <c r="F1046865" s="24"/>
      <c r="G1046865" s="24"/>
      <c r="H1046865" s="24"/>
      <c r="I1046865" s="24"/>
      <c r="J1046865" s="24"/>
      <c r="K1046865" s="54"/>
    </row>
    <row r="1046866" spans="1:11" s="55" customFormat="1" ht="12.75">
      <c r="A1046866" s="24"/>
      <c r="B1046866" s="24"/>
      <c r="C1046866" s="24"/>
      <c r="D1046866" s="24"/>
      <c r="E1046866" s="24"/>
      <c r="F1046866" s="24"/>
      <c r="G1046866" s="24"/>
      <c r="H1046866" s="24"/>
      <c r="I1046866" s="24"/>
      <c r="J1046866" s="24"/>
      <c r="K1046866" s="54"/>
    </row>
    <row r="1046867" spans="1:11" s="55" customFormat="1" ht="12.75">
      <c r="A1046867" s="24"/>
      <c r="B1046867" s="24"/>
      <c r="C1046867" s="24"/>
      <c r="D1046867" s="24"/>
      <c r="E1046867" s="24"/>
      <c r="F1046867" s="24"/>
      <c r="G1046867" s="24"/>
      <c r="H1046867" s="24"/>
      <c r="I1046867" s="24"/>
      <c r="J1046867" s="24"/>
      <c r="K1046867" s="54"/>
    </row>
    <row r="1046868" spans="1:11" s="55" customFormat="1" ht="12.75">
      <c r="A1046868" s="24"/>
      <c r="B1046868" s="24"/>
      <c r="C1046868" s="24"/>
      <c r="D1046868" s="24"/>
      <c r="E1046868" s="24"/>
      <c r="F1046868" s="24"/>
      <c r="G1046868" s="24"/>
      <c r="H1046868" s="24"/>
      <c r="I1046868" s="24"/>
      <c r="J1046868" s="24"/>
      <c r="K1046868" s="54"/>
    </row>
    <row r="1046869" spans="1:11" s="55" customFormat="1" ht="12.75">
      <c r="A1046869" s="24"/>
      <c r="B1046869" s="24"/>
      <c r="C1046869" s="24"/>
      <c r="D1046869" s="24"/>
      <c r="E1046869" s="24"/>
      <c r="F1046869" s="24"/>
      <c r="G1046869" s="24"/>
      <c r="H1046869" s="24"/>
      <c r="I1046869" s="24"/>
      <c r="J1046869" s="24"/>
      <c r="K1046869" s="54"/>
    </row>
    <row r="1046870" spans="1:11" s="55" customFormat="1" ht="12.75">
      <c r="A1046870" s="24"/>
      <c r="B1046870" s="24"/>
      <c r="C1046870" s="24"/>
      <c r="D1046870" s="24"/>
      <c r="E1046870" s="24"/>
      <c r="F1046870" s="24"/>
      <c r="G1046870" s="24"/>
      <c r="H1046870" s="24"/>
      <c r="I1046870" s="24"/>
      <c r="J1046870" s="24"/>
      <c r="K1046870" s="54"/>
    </row>
    <row r="1046871" spans="1:11" s="55" customFormat="1" ht="12.75">
      <c r="A1046871" s="24"/>
      <c r="B1046871" s="24"/>
      <c r="C1046871" s="24"/>
      <c r="D1046871" s="24"/>
      <c r="E1046871" s="24"/>
      <c r="F1046871" s="24"/>
      <c r="G1046871" s="24"/>
      <c r="H1046871" s="24"/>
      <c r="I1046871" s="24"/>
      <c r="J1046871" s="24"/>
      <c r="K1046871" s="54"/>
    </row>
    <row r="1046872" spans="1:11" s="55" customFormat="1" ht="12.75">
      <c r="A1046872" s="24"/>
      <c r="B1046872" s="24"/>
      <c r="C1046872" s="24"/>
      <c r="D1046872" s="24"/>
      <c r="E1046872" s="24"/>
      <c r="F1046872" s="24"/>
      <c r="G1046872" s="24"/>
      <c r="H1046872" s="24"/>
      <c r="I1046872" s="24"/>
      <c r="J1046872" s="24"/>
      <c r="K1046872" s="54"/>
    </row>
    <row r="1046873" spans="1:11" s="55" customFormat="1" ht="12.75">
      <c r="A1046873" s="24"/>
      <c r="B1046873" s="24"/>
      <c r="C1046873" s="24"/>
      <c r="D1046873" s="24"/>
      <c r="E1046873" s="24"/>
      <c r="F1046873" s="24"/>
      <c r="G1046873" s="24"/>
      <c r="H1046873" s="24"/>
      <c r="I1046873" s="24"/>
      <c r="J1046873" s="24"/>
      <c r="K1046873" s="54"/>
    </row>
    <row r="1046874" spans="1:11" s="55" customFormat="1" ht="12.75">
      <c r="A1046874" s="24"/>
      <c r="B1046874" s="24"/>
      <c r="C1046874" s="24"/>
      <c r="D1046874" s="24"/>
      <c r="E1046874" s="24"/>
      <c r="F1046874" s="24"/>
      <c r="G1046874" s="24"/>
      <c r="H1046874" s="24"/>
      <c r="I1046874" s="24"/>
      <c r="J1046874" s="24"/>
      <c r="K1046874" s="54"/>
    </row>
    <row r="1046875" spans="1:11" s="55" customFormat="1" ht="12.75">
      <c r="A1046875" s="24"/>
      <c r="B1046875" s="24"/>
      <c r="C1046875" s="24"/>
      <c r="D1046875" s="24"/>
      <c r="E1046875" s="24"/>
      <c r="F1046875" s="24"/>
      <c r="G1046875" s="24"/>
      <c r="H1046875" s="24"/>
      <c r="I1046875" s="24"/>
      <c r="J1046875" s="24"/>
      <c r="K1046875" s="54"/>
    </row>
    <row r="1046876" spans="1:11" s="55" customFormat="1" ht="12.75">
      <c r="A1046876" s="24"/>
      <c r="B1046876" s="24"/>
      <c r="C1046876" s="24"/>
      <c r="D1046876" s="24"/>
      <c r="E1046876" s="24"/>
      <c r="F1046876" s="24"/>
      <c r="G1046876" s="24"/>
      <c r="H1046876" s="24"/>
      <c r="I1046876" s="24"/>
      <c r="J1046876" s="24"/>
      <c r="K1046876" s="54"/>
    </row>
    <row r="1046877" spans="1:11" s="55" customFormat="1" ht="12.75">
      <c r="A1046877" s="24"/>
      <c r="B1046877" s="24"/>
      <c r="C1046877" s="24"/>
      <c r="D1046877" s="24"/>
      <c r="E1046877" s="24"/>
      <c r="F1046877" s="24"/>
      <c r="G1046877" s="24"/>
      <c r="H1046877" s="24"/>
      <c r="I1046877" s="24"/>
      <c r="J1046877" s="24"/>
      <c r="K1046877" s="54"/>
    </row>
    <row r="1046878" spans="1:11" s="55" customFormat="1" ht="12.75">
      <c r="A1046878" s="24"/>
      <c r="B1046878" s="24"/>
      <c r="C1046878" s="24"/>
      <c r="D1046878" s="24"/>
      <c r="E1046878" s="24"/>
      <c r="F1046878" s="24"/>
      <c r="G1046878" s="24"/>
      <c r="H1046878" s="24"/>
      <c r="I1046878" s="24"/>
      <c r="J1046878" s="24"/>
      <c r="K1046878" s="54"/>
    </row>
    <row r="1046879" spans="1:11" s="55" customFormat="1" ht="12.75">
      <c r="A1046879" s="24"/>
      <c r="B1046879" s="24"/>
      <c r="C1046879" s="24"/>
      <c r="D1046879" s="24"/>
      <c r="E1046879" s="24"/>
      <c r="F1046879" s="24"/>
      <c r="G1046879" s="24"/>
      <c r="H1046879" s="24"/>
      <c r="I1046879" s="24"/>
      <c r="J1046879" s="24"/>
      <c r="K1046879" s="54"/>
    </row>
    <row r="1046880" spans="1:11" s="55" customFormat="1" ht="12.75">
      <c r="A1046880" s="24"/>
      <c r="B1046880" s="24"/>
      <c r="C1046880" s="24"/>
      <c r="D1046880" s="24"/>
      <c r="E1046880" s="24"/>
      <c r="F1046880" s="24"/>
      <c r="G1046880" s="24"/>
      <c r="H1046880" s="24"/>
      <c r="I1046880" s="24"/>
      <c r="J1046880" s="24"/>
      <c r="K1046880" s="54"/>
    </row>
    <row r="1046881" spans="1:11" s="55" customFormat="1" ht="12.75">
      <c r="A1046881" s="24"/>
      <c r="B1046881" s="24"/>
      <c r="C1046881" s="24"/>
      <c r="D1046881" s="24"/>
      <c r="E1046881" s="24"/>
      <c r="F1046881" s="24"/>
      <c r="G1046881" s="24"/>
      <c r="H1046881" s="24"/>
      <c r="I1046881" s="24"/>
      <c r="J1046881" s="24"/>
      <c r="K1046881" s="54"/>
    </row>
    <row r="1046882" spans="1:11" s="55" customFormat="1" ht="12.75">
      <c r="A1046882" s="24"/>
      <c r="B1046882" s="24"/>
      <c r="C1046882" s="24"/>
      <c r="D1046882" s="24"/>
      <c r="E1046882" s="24"/>
      <c r="F1046882" s="24"/>
      <c r="G1046882" s="24"/>
      <c r="H1046882" s="24"/>
      <c r="I1046882" s="24"/>
      <c r="J1046882" s="24"/>
      <c r="K1046882" s="54"/>
    </row>
    <row r="1046883" spans="1:11" s="55" customFormat="1" ht="12.75">
      <c r="A1046883" s="24"/>
      <c r="B1046883" s="24"/>
      <c r="C1046883" s="24"/>
      <c r="D1046883" s="24"/>
      <c r="E1046883" s="24"/>
      <c r="F1046883" s="24"/>
      <c r="G1046883" s="24"/>
      <c r="H1046883" s="24"/>
      <c r="I1046883" s="24"/>
      <c r="J1046883" s="24"/>
      <c r="K1046883" s="54"/>
    </row>
    <row r="1046884" spans="1:11" s="55" customFormat="1" ht="12.75">
      <c r="A1046884" s="24"/>
      <c r="B1046884" s="24"/>
      <c r="C1046884" s="24"/>
      <c r="D1046884" s="24"/>
      <c r="E1046884" s="24"/>
      <c r="F1046884" s="24"/>
      <c r="G1046884" s="24"/>
      <c r="H1046884" s="24"/>
      <c r="I1046884" s="24"/>
      <c r="J1046884" s="24"/>
      <c r="K1046884" s="54"/>
    </row>
    <row r="1046885" spans="1:11" s="55" customFormat="1" ht="12.75">
      <c r="A1046885" s="24"/>
      <c r="B1046885" s="24"/>
      <c r="C1046885" s="24"/>
      <c r="D1046885" s="24"/>
      <c r="E1046885" s="24"/>
      <c r="F1046885" s="24"/>
      <c r="G1046885" s="24"/>
      <c r="H1046885" s="24"/>
      <c r="I1046885" s="24"/>
      <c r="J1046885" s="24"/>
      <c r="K1046885" s="54"/>
    </row>
    <row r="1046886" spans="1:11" s="55" customFormat="1" ht="12.75">
      <c r="A1046886" s="24"/>
      <c r="B1046886" s="24"/>
      <c r="C1046886" s="24"/>
      <c r="D1046886" s="24"/>
      <c r="E1046886" s="24"/>
      <c r="F1046886" s="24"/>
      <c r="G1046886" s="24"/>
      <c r="H1046886" s="24"/>
      <c r="I1046886" s="24"/>
      <c r="J1046886" s="24"/>
      <c r="K1046886" s="54"/>
    </row>
    <row r="1046887" spans="1:11" s="55" customFormat="1" ht="12.75">
      <c r="A1046887" s="24"/>
      <c r="B1046887" s="24"/>
      <c r="C1046887" s="24"/>
      <c r="D1046887" s="24"/>
      <c r="E1046887" s="24"/>
      <c r="F1046887" s="24"/>
      <c r="G1046887" s="24"/>
      <c r="H1046887" s="24"/>
      <c r="I1046887" s="24"/>
      <c r="J1046887" s="24"/>
      <c r="K1046887" s="54"/>
    </row>
    <row r="1046888" spans="1:11" s="55" customFormat="1" ht="12.75">
      <c r="A1046888" s="24"/>
      <c r="B1046888" s="24"/>
      <c r="C1046888" s="24"/>
      <c r="D1046888" s="24"/>
      <c r="E1046888" s="24"/>
      <c r="F1046888" s="24"/>
      <c r="G1046888" s="24"/>
      <c r="H1046888" s="24"/>
      <c r="I1046888" s="24"/>
      <c r="J1046888" s="24"/>
      <c r="K1046888" s="54"/>
    </row>
    <row r="1046889" spans="1:11" s="55" customFormat="1" ht="12.75">
      <c r="A1046889" s="24"/>
      <c r="B1046889" s="24"/>
      <c r="C1046889" s="24"/>
      <c r="D1046889" s="24"/>
      <c r="E1046889" s="24"/>
      <c r="F1046889" s="24"/>
      <c r="G1046889" s="24"/>
      <c r="H1046889" s="24"/>
      <c r="I1046889" s="24"/>
      <c r="J1046889" s="24"/>
      <c r="K1046889" s="54"/>
    </row>
    <row r="1046890" spans="1:11" s="55" customFormat="1" ht="12.75">
      <c r="A1046890" s="24"/>
      <c r="B1046890" s="24"/>
      <c r="C1046890" s="24"/>
      <c r="D1046890" s="24"/>
      <c r="E1046890" s="24"/>
      <c r="F1046890" s="24"/>
      <c r="G1046890" s="24"/>
      <c r="H1046890" s="24"/>
      <c r="I1046890" s="24"/>
      <c r="J1046890" s="24"/>
      <c r="K1046890" s="54"/>
    </row>
    <row r="1046891" spans="1:11" s="55" customFormat="1" ht="12.75">
      <c r="A1046891" s="24"/>
      <c r="B1046891" s="24"/>
      <c r="C1046891" s="24"/>
      <c r="D1046891" s="24"/>
      <c r="E1046891" s="24"/>
      <c r="F1046891" s="24"/>
      <c r="G1046891" s="24"/>
      <c r="H1046891" s="24"/>
      <c r="I1046891" s="24"/>
      <c r="J1046891" s="24"/>
      <c r="K1046891" s="54"/>
    </row>
    <row r="1046892" spans="1:11" s="55" customFormat="1" ht="12.75">
      <c r="A1046892" s="24"/>
      <c r="B1046892" s="24"/>
      <c r="C1046892" s="24"/>
      <c r="D1046892" s="24"/>
      <c r="E1046892" s="24"/>
      <c r="F1046892" s="24"/>
      <c r="G1046892" s="24"/>
      <c r="H1046892" s="24"/>
      <c r="I1046892" s="24"/>
      <c r="J1046892" s="24"/>
      <c r="K1046892" s="54"/>
    </row>
    <row r="1046893" spans="1:11" s="55" customFormat="1" ht="12.75">
      <c r="A1046893" s="24"/>
      <c r="B1046893" s="24"/>
      <c r="C1046893" s="24"/>
      <c r="D1046893" s="24"/>
      <c r="E1046893" s="24"/>
      <c r="F1046893" s="24"/>
      <c r="G1046893" s="24"/>
      <c r="H1046893" s="24"/>
      <c r="I1046893" s="24"/>
      <c r="J1046893" s="24"/>
      <c r="K1046893" s="54"/>
    </row>
    <row r="1046894" spans="1:11" s="55" customFormat="1" ht="12.75">
      <c r="A1046894" s="24"/>
      <c r="B1046894" s="24"/>
      <c r="C1046894" s="24"/>
      <c r="D1046894" s="24"/>
      <c r="E1046894" s="24"/>
      <c r="F1046894" s="24"/>
      <c r="G1046894" s="24"/>
      <c r="H1046894" s="24"/>
      <c r="I1046894" s="24"/>
      <c r="J1046894" s="24"/>
      <c r="K1046894" s="54"/>
    </row>
    <row r="1046895" spans="1:11" s="55" customFormat="1" ht="12.75">
      <c r="A1046895" s="24"/>
      <c r="B1046895" s="24"/>
      <c r="C1046895" s="24"/>
      <c r="D1046895" s="24"/>
      <c r="E1046895" s="24"/>
      <c r="F1046895" s="24"/>
      <c r="G1046895" s="24"/>
      <c r="H1046895" s="24"/>
      <c r="I1046895" s="24"/>
      <c r="J1046895" s="24"/>
      <c r="K1046895" s="54"/>
    </row>
    <row r="1046896" spans="1:11" s="55" customFormat="1" ht="12.75">
      <c r="A1046896" s="24"/>
      <c r="B1046896" s="24"/>
      <c r="C1046896" s="24"/>
      <c r="D1046896" s="24"/>
      <c r="E1046896" s="24"/>
      <c r="F1046896" s="24"/>
      <c r="G1046896" s="24"/>
      <c r="H1046896" s="24"/>
      <c r="I1046896" s="24"/>
      <c r="J1046896" s="24"/>
      <c r="K1046896" s="54"/>
    </row>
    <row r="1046897" spans="1:11" s="55" customFormat="1" ht="12.75">
      <c r="A1046897" s="24"/>
      <c r="B1046897" s="24"/>
      <c r="C1046897" s="24"/>
      <c r="D1046897" s="24"/>
      <c r="E1046897" s="24"/>
      <c r="F1046897" s="24"/>
      <c r="G1046897" s="24"/>
      <c r="H1046897" s="24"/>
      <c r="I1046897" s="24"/>
      <c r="J1046897" s="24"/>
      <c r="K1046897" s="54"/>
    </row>
    <row r="1046898" spans="1:11" s="55" customFormat="1" ht="12.75">
      <c r="A1046898" s="24"/>
      <c r="B1046898" s="24"/>
      <c r="C1046898" s="24"/>
      <c r="D1046898" s="24"/>
      <c r="E1046898" s="24"/>
      <c r="F1046898" s="24"/>
      <c r="G1046898" s="24"/>
      <c r="H1046898" s="24"/>
      <c r="I1046898" s="24"/>
      <c r="J1046898" s="24"/>
      <c r="K1046898" s="54"/>
    </row>
    <row r="1046899" spans="1:11" s="55" customFormat="1" ht="12.75">
      <c r="A1046899" s="24"/>
      <c r="B1046899" s="24"/>
      <c r="C1046899" s="24"/>
      <c r="D1046899" s="24"/>
      <c r="E1046899" s="24"/>
      <c r="F1046899" s="24"/>
      <c r="G1046899" s="24"/>
      <c r="H1046899" s="24"/>
      <c r="I1046899" s="24"/>
      <c r="J1046899" s="24"/>
      <c r="K1046899" s="54"/>
    </row>
    <row r="1046900" spans="1:11" s="55" customFormat="1" ht="12.75">
      <c r="A1046900" s="24"/>
      <c r="B1046900" s="24"/>
      <c r="C1046900" s="24"/>
      <c r="D1046900" s="24"/>
      <c r="E1046900" s="24"/>
      <c r="F1046900" s="24"/>
      <c r="G1046900" s="24"/>
      <c r="H1046900" s="24"/>
      <c r="I1046900" s="24"/>
      <c r="J1046900" s="24"/>
      <c r="K1046900" s="54"/>
    </row>
    <row r="1046901" spans="1:11" s="55" customFormat="1" ht="12.75">
      <c r="A1046901" s="24"/>
      <c r="B1046901" s="24"/>
      <c r="C1046901" s="24"/>
      <c r="D1046901" s="24"/>
      <c r="E1046901" s="24"/>
      <c r="F1046901" s="24"/>
      <c r="G1046901" s="24"/>
      <c r="H1046901" s="24"/>
      <c r="I1046901" s="24"/>
      <c r="J1046901" s="24"/>
      <c r="K1046901" s="54"/>
    </row>
    <row r="1046902" spans="1:11" s="55" customFormat="1" ht="12.75">
      <c r="A1046902" s="24"/>
      <c r="B1046902" s="24"/>
      <c r="C1046902" s="24"/>
      <c r="D1046902" s="24"/>
      <c r="E1046902" s="24"/>
      <c r="F1046902" s="24"/>
      <c r="G1046902" s="24"/>
      <c r="H1046902" s="24"/>
      <c r="I1046902" s="24"/>
      <c r="J1046902" s="24"/>
      <c r="K1046902" s="54"/>
    </row>
    <row r="1046903" spans="1:11" s="55" customFormat="1" ht="12.75">
      <c r="A1046903" s="24"/>
      <c r="B1046903" s="24"/>
      <c r="C1046903" s="24"/>
      <c r="D1046903" s="24"/>
      <c r="E1046903" s="24"/>
      <c r="F1046903" s="24"/>
      <c r="G1046903" s="24"/>
      <c r="H1046903" s="24"/>
      <c r="I1046903" s="24"/>
      <c r="J1046903" s="24"/>
      <c r="K1046903" s="54"/>
    </row>
    <row r="1046904" spans="1:11" s="55" customFormat="1" ht="12.75">
      <c r="A1046904" s="24"/>
      <c r="B1046904" s="24"/>
      <c r="C1046904" s="24"/>
      <c r="D1046904" s="24"/>
      <c r="E1046904" s="24"/>
      <c r="F1046904" s="24"/>
      <c r="G1046904" s="24"/>
      <c r="H1046904" s="24"/>
      <c r="I1046904" s="24"/>
      <c r="J1046904" s="24"/>
      <c r="K1046904" s="54"/>
    </row>
    <row r="1046905" spans="1:11" s="55" customFormat="1" ht="12.75">
      <c r="A1046905" s="24"/>
      <c r="B1046905" s="24"/>
      <c r="C1046905" s="24"/>
      <c r="D1046905" s="24"/>
      <c r="E1046905" s="24"/>
      <c r="F1046905" s="24"/>
      <c r="G1046905" s="24"/>
      <c r="H1046905" s="24"/>
      <c r="I1046905" s="24"/>
      <c r="J1046905" s="24"/>
      <c r="K1046905" s="54"/>
    </row>
    <row r="1046906" spans="1:11" s="55" customFormat="1" ht="12.75">
      <c r="A1046906" s="24"/>
      <c r="B1046906" s="24"/>
      <c r="C1046906" s="24"/>
      <c r="D1046906" s="24"/>
      <c r="E1046906" s="24"/>
      <c r="F1046906" s="24"/>
      <c r="G1046906" s="24"/>
      <c r="H1046906" s="24"/>
      <c r="I1046906" s="24"/>
      <c r="J1046906" s="24"/>
      <c r="K1046906" s="54"/>
    </row>
    <row r="1046907" spans="1:11" s="55" customFormat="1" ht="12.75">
      <c r="A1046907" s="24"/>
      <c r="B1046907" s="24"/>
      <c r="C1046907" s="24"/>
      <c r="D1046907" s="24"/>
      <c r="E1046907" s="24"/>
      <c r="F1046907" s="24"/>
      <c r="G1046907" s="24"/>
      <c r="H1046907" s="24"/>
      <c r="I1046907" s="24"/>
      <c r="J1046907" s="24"/>
      <c r="K1046907" s="54"/>
    </row>
    <row r="1046908" spans="1:11" s="55" customFormat="1" ht="12.75">
      <c r="A1046908" s="24"/>
      <c r="B1046908" s="24"/>
      <c r="C1046908" s="24"/>
      <c r="D1046908" s="24"/>
      <c r="E1046908" s="24"/>
      <c r="F1046908" s="24"/>
      <c r="G1046908" s="24"/>
      <c r="H1046908" s="24"/>
      <c r="I1046908" s="24"/>
      <c r="J1046908" s="24"/>
      <c r="K1046908" s="54"/>
    </row>
    <row r="1046909" spans="1:11" s="55" customFormat="1" ht="12.75">
      <c r="A1046909" s="24"/>
      <c r="B1046909" s="24"/>
      <c r="C1046909" s="24"/>
      <c r="D1046909" s="24"/>
      <c r="E1046909" s="24"/>
      <c r="F1046909" s="24"/>
      <c r="G1046909" s="24"/>
      <c r="H1046909" s="24"/>
      <c r="I1046909" s="24"/>
      <c r="J1046909" s="24"/>
      <c r="K1046909" s="54"/>
    </row>
    <row r="1046910" spans="1:11" s="55" customFormat="1" ht="12.75">
      <c r="A1046910" s="24"/>
      <c r="B1046910" s="24"/>
      <c r="C1046910" s="24"/>
      <c r="D1046910" s="24"/>
      <c r="E1046910" s="24"/>
      <c r="F1046910" s="24"/>
      <c r="G1046910" s="24"/>
      <c r="H1046910" s="24"/>
      <c r="I1046910" s="24"/>
      <c r="J1046910" s="24"/>
      <c r="K1046910" s="54"/>
    </row>
    <row r="1046911" spans="1:11" s="55" customFormat="1" ht="12.75">
      <c r="A1046911" s="24"/>
      <c r="B1046911" s="24"/>
      <c r="C1046911" s="24"/>
      <c r="D1046911" s="24"/>
      <c r="E1046911" s="24"/>
      <c r="F1046911" s="24"/>
      <c r="G1046911" s="24"/>
      <c r="H1046911" s="24"/>
      <c r="I1046911" s="24"/>
      <c r="J1046911" s="24"/>
      <c r="K1046911" s="54"/>
    </row>
    <row r="1046912" spans="1:11" s="55" customFormat="1" ht="12.75">
      <c r="A1046912" s="24"/>
      <c r="B1046912" s="24"/>
      <c r="C1046912" s="24"/>
      <c r="D1046912" s="24"/>
      <c r="E1046912" s="24"/>
      <c r="F1046912" s="24"/>
      <c r="G1046912" s="24"/>
      <c r="H1046912" s="24"/>
      <c r="I1046912" s="24"/>
      <c r="J1046912" s="24"/>
      <c r="K1046912" s="54"/>
    </row>
    <row r="1046913" spans="1:11" s="55" customFormat="1" ht="12.75">
      <c r="A1046913" s="24"/>
      <c r="B1046913" s="24"/>
      <c r="C1046913" s="24"/>
      <c r="D1046913" s="24"/>
      <c r="E1046913" s="24"/>
      <c r="F1046913" s="24"/>
      <c r="G1046913" s="24"/>
      <c r="H1046913" s="24"/>
      <c r="I1046913" s="24"/>
      <c r="J1046913" s="24"/>
      <c r="K1046913" s="54"/>
    </row>
    <row r="1046914" spans="1:11" s="55" customFormat="1" ht="12.75">
      <c r="A1046914" s="24"/>
      <c r="B1046914" s="24"/>
      <c r="C1046914" s="24"/>
      <c r="D1046914" s="24"/>
      <c r="E1046914" s="24"/>
      <c r="F1046914" s="24"/>
      <c r="G1046914" s="24"/>
      <c r="H1046914" s="24"/>
      <c r="I1046914" s="24"/>
      <c r="J1046914" s="24"/>
      <c r="K1046914" s="54"/>
    </row>
    <row r="1046915" spans="1:11" s="55" customFormat="1" ht="12.75">
      <c r="A1046915" s="24"/>
      <c r="B1046915" s="24"/>
      <c r="C1046915" s="24"/>
      <c r="D1046915" s="24"/>
      <c r="E1046915" s="24"/>
      <c r="F1046915" s="24"/>
      <c r="G1046915" s="24"/>
      <c r="H1046915" s="24"/>
      <c r="I1046915" s="24"/>
      <c r="J1046915" s="24"/>
      <c r="K1046915" s="54"/>
    </row>
    <row r="1046916" spans="1:11" s="55" customFormat="1" ht="12.75">
      <c r="A1046916" s="24"/>
      <c r="B1046916" s="24"/>
      <c r="C1046916" s="24"/>
      <c r="D1046916" s="24"/>
      <c r="E1046916" s="24"/>
      <c r="F1046916" s="24"/>
      <c r="G1046916" s="24"/>
      <c r="H1046916" s="24"/>
      <c r="I1046916" s="24"/>
      <c r="J1046916" s="24"/>
      <c r="K1046916" s="54"/>
    </row>
    <row r="1046917" spans="1:11" s="55" customFormat="1" ht="12.75">
      <c r="A1046917" s="24"/>
      <c r="B1046917" s="24"/>
      <c r="C1046917" s="24"/>
      <c r="D1046917" s="24"/>
      <c r="E1046917" s="24"/>
      <c r="F1046917" s="24"/>
      <c r="G1046917" s="24"/>
      <c r="H1046917" s="24"/>
      <c r="I1046917" s="24"/>
      <c r="J1046917" s="24"/>
      <c r="K1046917" s="54"/>
    </row>
    <row r="1046918" spans="1:11" s="55" customFormat="1" ht="12.75">
      <c r="A1046918" s="24"/>
      <c r="B1046918" s="24"/>
      <c r="C1046918" s="24"/>
      <c r="D1046918" s="24"/>
      <c r="E1046918" s="24"/>
      <c r="F1046918" s="24"/>
      <c r="G1046918" s="24"/>
      <c r="H1046918" s="24"/>
      <c r="I1046918" s="24"/>
      <c r="J1046918" s="24"/>
      <c r="K1046918" s="54"/>
    </row>
    <row r="1046919" spans="1:11" s="55" customFormat="1" ht="12.75">
      <c r="A1046919" s="24"/>
      <c r="B1046919" s="24"/>
      <c r="C1046919" s="24"/>
      <c r="D1046919" s="24"/>
      <c r="E1046919" s="24"/>
      <c r="F1046919" s="24"/>
      <c r="G1046919" s="24"/>
      <c r="H1046919" s="24"/>
      <c r="I1046919" s="24"/>
      <c r="J1046919" s="24"/>
      <c r="K1046919" s="54"/>
    </row>
    <row r="1046920" spans="1:11" s="55" customFormat="1" ht="12.75">
      <c r="A1046920" s="24"/>
      <c r="B1046920" s="24"/>
      <c r="C1046920" s="24"/>
      <c r="D1046920" s="24"/>
      <c r="E1046920" s="24"/>
      <c r="F1046920" s="24"/>
      <c r="G1046920" s="24"/>
      <c r="H1046920" s="24"/>
      <c r="I1046920" s="24"/>
      <c r="J1046920" s="24"/>
      <c r="K1046920" s="54"/>
    </row>
    <row r="1046921" spans="1:11" s="55" customFormat="1" ht="12.75">
      <c r="A1046921" s="24"/>
      <c r="B1046921" s="24"/>
      <c r="C1046921" s="24"/>
      <c r="D1046921" s="24"/>
      <c r="E1046921" s="24"/>
      <c r="F1046921" s="24"/>
      <c r="G1046921" s="24"/>
      <c r="H1046921" s="24"/>
      <c r="I1046921" s="24"/>
      <c r="J1046921" s="24"/>
      <c r="K1046921" s="54"/>
    </row>
    <row r="1046922" spans="1:11" s="55" customFormat="1" ht="12.75">
      <c r="A1046922" s="24"/>
      <c r="B1046922" s="24"/>
      <c r="C1046922" s="24"/>
      <c r="D1046922" s="24"/>
      <c r="E1046922" s="24"/>
      <c r="F1046922" s="24"/>
      <c r="G1046922" s="24"/>
      <c r="H1046922" s="24"/>
      <c r="I1046922" s="24"/>
      <c r="J1046922" s="24"/>
      <c r="K1046922" s="54"/>
    </row>
    <row r="1046923" spans="1:11" s="55" customFormat="1" ht="12.75">
      <c r="A1046923" s="24"/>
      <c r="B1046923" s="24"/>
      <c r="C1046923" s="24"/>
      <c r="D1046923" s="24"/>
      <c r="E1046923" s="24"/>
      <c r="F1046923" s="24"/>
      <c r="G1046923" s="24"/>
      <c r="H1046923" s="24"/>
      <c r="I1046923" s="24"/>
      <c r="J1046923" s="24"/>
      <c r="K1046923" s="54"/>
    </row>
    <row r="1046924" spans="1:11" s="55" customFormat="1" ht="12.75">
      <c r="A1046924" s="24"/>
      <c r="B1046924" s="24"/>
      <c r="C1046924" s="24"/>
      <c r="D1046924" s="24"/>
      <c r="E1046924" s="24"/>
      <c r="F1046924" s="24"/>
      <c r="G1046924" s="24"/>
      <c r="H1046924" s="24"/>
      <c r="I1046924" s="24"/>
      <c r="J1046924" s="24"/>
      <c r="K1046924" s="54"/>
    </row>
    <row r="1046925" spans="1:11" s="55" customFormat="1" ht="12.75">
      <c r="A1046925" s="24"/>
      <c r="B1046925" s="24"/>
      <c r="C1046925" s="24"/>
      <c r="D1046925" s="24"/>
      <c r="E1046925" s="24"/>
      <c r="F1046925" s="24"/>
      <c r="G1046925" s="24"/>
      <c r="H1046925" s="24"/>
      <c r="I1046925" s="24"/>
      <c r="J1046925" s="24"/>
      <c r="K1046925" s="54"/>
    </row>
    <row r="1046926" spans="1:11" s="55" customFormat="1" ht="12.75">
      <c r="A1046926" s="24"/>
      <c r="B1046926" s="24"/>
      <c r="C1046926" s="24"/>
      <c r="D1046926" s="24"/>
      <c r="E1046926" s="24"/>
      <c r="F1046926" s="24"/>
      <c r="G1046926" s="24"/>
      <c r="H1046926" s="24"/>
      <c r="I1046926" s="24"/>
      <c r="J1046926" s="24"/>
      <c r="K1046926" s="54"/>
    </row>
    <row r="1046927" spans="1:11" s="55" customFormat="1" ht="12.75">
      <c r="A1046927" s="24"/>
      <c r="B1046927" s="24"/>
      <c r="C1046927" s="24"/>
      <c r="D1046927" s="24"/>
      <c r="E1046927" s="24"/>
      <c r="F1046927" s="24"/>
      <c r="G1046927" s="24"/>
      <c r="H1046927" s="24"/>
      <c r="I1046927" s="24"/>
      <c r="J1046927" s="24"/>
      <c r="K1046927" s="54"/>
    </row>
    <row r="1046928" spans="1:11" s="55" customFormat="1" ht="12.75">
      <c r="A1046928" s="24"/>
      <c r="B1046928" s="24"/>
      <c r="C1046928" s="24"/>
      <c r="D1046928" s="24"/>
      <c r="E1046928" s="24"/>
      <c r="F1046928" s="24"/>
      <c r="G1046928" s="24"/>
      <c r="H1046928" s="24"/>
      <c r="I1046928" s="24"/>
      <c r="J1046928" s="24"/>
      <c r="K1046928" s="54"/>
    </row>
    <row r="1046929" spans="1:11" s="55" customFormat="1" ht="12.75">
      <c r="A1046929" s="24"/>
      <c r="B1046929" s="24"/>
      <c r="C1046929" s="24"/>
      <c r="D1046929" s="24"/>
      <c r="E1046929" s="24"/>
      <c r="F1046929" s="24"/>
      <c r="G1046929" s="24"/>
      <c r="H1046929" s="24"/>
      <c r="I1046929" s="24"/>
      <c r="J1046929" s="24"/>
      <c r="K1046929" s="54"/>
    </row>
    <row r="1046930" spans="1:11" s="55" customFormat="1" ht="12.75">
      <c r="A1046930" s="24"/>
      <c r="B1046930" s="24"/>
      <c r="C1046930" s="24"/>
      <c r="D1046930" s="24"/>
      <c r="E1046930" s="24"/>
      <c r="F1046930" s="24"/>
      <c r="G1046930" s="24"/>
      <c r="H1046930" s="24"/>
      <c r="I1046930" s="24"/>
      <c r="J1046930" s="24"/>
      <c r="K1046930" s="54"/>
    </row>
    <row r="1046931" spans="1:11" s="55" customFormat="1" ht="12.75">
      <c r="A1046931" s="24"/>
      <c r="B1046931" s="24"/>
      <c r="C1046931" s="24"/>
      <c r="D1046931" s="24"/>
      <c r="E1046931" s="24"/>
      <c r="F1046931" s="24"/>
      <c r="G1046931" s="24"/>
      <c r="H1046931" s="24"/>
      <c r="I1046931" s="24"/>
      <c r="J1046931" s="24"/>
      <c r="K1046931" s="54"/>
    </row>
    <row r="1046932" spans="1:11" s="55" customFormat="1" ht="12.75">
      <c r="A1046932" s="24"/>
      <c r="B1046932" s="24"/>
      <c r="C1046932" s="24"/>
      <c r="D1046932" s="24"/>
      <c r="E1046932" s="24"/>
      <c r="F1046932" s="24"/>
      <c r="G1046932" s="24"/>
      <c r="H1046932" s="24"/>
      <c r="I1046932" s="24"/>
      <c r="J1046932" s="24"/>
      <c r="K1046932" s="54"/>
    </row>
    <row r="1046933" spans="1:11" s="55" customFormat="1" ht="12.75">
      <c r="A1046933" s="24"/>
      <c r="B1046933" s="24"/>
      <c r="C1046933" s="24"/>
      <c r="D1046933" s="24"/>
      <c r="E1046933" s="24"/>
      <c r="F1046933" s="24"/>
      <c r="G1046933" s="24"/>
      <c r="H1046933" s="24"/>
      <c r="I1046933" s="24"/>
      <c r="J1046933" s="24"/>
      <c r="K1046933" s="54"/>
    </row>
    <row r="1046934" spans="1:11" s="55" customFormat="1" ht="12.75">
      <c r="A1046934" s="24"/>
      <c r="B1046934" s="24"/>
      <c r="C1046934" s="24"/>
      <c r="D1046934" s="24"/>
      <c r="E1046934" s="24"/>
      <c r="F1046934" s="24"/>
      <c r="G1046934" s="24"/>
      <c r="H1046934" s="24"/>
      <c r="I1046934" s="24"/>
      <c r="J1046934" s="24"/>
      <c r="K1046934" s="54"/>
    </row>
    <row r="1046935" spans="1:11" s="55" customFormat="1" ht="12.75">
      <c r="A1046935" s="24"/>
      <c r="B1046935" s="24"/>
      <c r="C1046935" s="24"/>
      <c r="D1046935" s="24"/>
      <c r="E1046935" s="24"/>
      <c r="F1046935" s="24"/>
      <c r="G1046935" s="24"/>
      <c r="H1046935" s="24"/>
      <c r="I1046935" s="24"/>
      <c r="J1046935" s="24"/>
      <c r="K1046935" s="54"/>
    </row>
    <row r="1046936" spans="1:11" s="55" customFormat="1" ht="12.75">
      <c r="A1046936" s="24"/>
      <c r="B1046936" s="24"/>
      <c r="C1046936" s="24"/>
      <c r="D1046936" s="24"/>
      <c r="E1046936" s="24"/>
      <c r="F1046936" s="24"/>
      <c r="G1046936" s="24"/>
      <c r="H1046936" s="24"/>
      <c r="I1046936" s="24"/>
      <c r="J1046936" s="24"/>
      <c r="K1046936" s="54"/>
    </row>
    <row r="1046937" spans="1:11" s="55" customFormat="1" ht="12.75">
      <c r="A1046937" s="24"/>
      <c r="B1046937" s="24"/>
      <c r="C1046937" s="24"/>
      <c r="D1046937" s="24"/>
      <c r="E1046937" s="24"/>
      <c r="F1046937" s="24"/>
      <c r="G1046937" s="24"/>
      <c r="H1046937" s="24"/>
      <c r="I1046937" s="24"/>
      <c r="J1046937" s="24"/>
      <c r="K1046937" s="54"/>
    </row>
    <row r="1046938" spans="1:11" s="55" customFormat="1" ht="12.75">
      <c r="A1046938" s="24"/>
      <c r="B1046938" s="24"/>
      <c r="C1046938" s="24"/>
      <c r="D1046938" s="24"/>
      <c r="E1046938" s="24"/>
      <c r="F1046938" s="24"/>
      <c r="G1046938" s="24"/>
      <c r="H1046938" s="24"/>
      <c r="I1046938" s="24"/>
      <c r="J1046938" s="24"/>
      <c r="K1046938" s="54"/>
    </row>
    <row r="1046939" spans="1:11" s="55" customFormat="1" ht="12.75">
      <c r="A1046939" s="24"/>
      <c r="B1046939" s="24"/>
      <c r="C1046939" s="24"/>
      <c r="D1046939" s="24"/>
      <c r="E1046939" s="24"/>
      <c r="F1046939" s="24"/>
      <c r="G1046939" s="24"/>
      <c r="H1046939" s="24"/>
      <c r="I1046939" s="24"/>
      <c r="J1046939" s="24"/>
      <c r="K1046939" s="54"/>
    </row>
    <row r="1046940" spans="1:11" s="55" customFormat="1" ht="12.75">
      <c r="A1046940" s="24"/>
      <c r="B1046940" s="24"/>
      <c r="C1046940" s="24"/>
      <c r="D1046940" s="24"/>
      <c r="E1046940" s="24"/>
      <c r="F1046940" s="24"/>
      <c r="G1046940" s="24"/>
      <c r="H1046940" s="24"/>
      <c r="I1046940" s="24"/>
      <c r="J1046940" s="24"/>
      <c r="K1046940" s="54"/>
    </row>
    <row r="1046941" spans="1:11" s="55" customFormat="1" ht="12.75">
      <c r="A1046941" s="24"/>
      <c r="B1046941" s="24"/>
      <c r="C1046941" s="24"/>
      <c r="D1046941" s="24"/>
      <c r="E1046941" s="24"/>
      <c r="F1046941" s="24"/>
      <c r="G1046941" s="24"/>
      <c r="H1046941" s="24"/>
      <c r="I1046941" s="24"/>
      <c r="J1046941" s="24"/>
      <c r="K1046941" s="54"/>
    </row>
    <row r="1046942" spans="1:11" s="55" customFormat="1" ht="12.75">
      <c r="A1046942" s="24"/>
      <c r="B1046942" s="24"/>
      <c r="C1046942" s="24"/>
      <c r="D1046942" s="24"/>
      <c r="E1046942" s="24"/>
      <c r="F1046942" s="24"/>
      <c r="G1046942" s="24"/>
      <c r="H1046942" s="24"/>
      <c r="I1046942" s="24"/>
      <c r="J1046942" s="24"/>
      <c r="K1046942" s="54"/>
    </row>
    <row r="1046943" spans="1:11" s="55" customFormat="1" ht="12.75">
      <c r="A1046943" s="24"/>
      <c r="B1046943" s="24"/>
      <c r="C1046943" s="24"/>
      <c r="D1046943" s="24"/>
      <c r="E1046943" s="24"/>
      <c r="F1046943" s="24"/>
      <c r="G1046943" s="24"/>
      <c r="H1046943" s="24"/>
      <c r="I1046943" s="24"/>
      <c r="J1046943" s="24"/>
      <c r="K1046943" s="54"/>
    </row>
    <row r="1046944" spans="1:11" s="55" customFormat="1" ht="12.75">
      <c r="A1046944" s="24"/>
      <c r="B1046944" s="24"/>
      <c r="C1046944" s="24"/>
      <c r="D1046944" s="24"/>
      <c r="E1046944" s="24"/>
      <c r="F1046944" s="24"/>
      <c r="G1046944" s="24"/>
      <c r="H1046944" s="24"/>
      <c r="I1046944" s="24"/>
      <c r="J1046944" s="24"/>
      <c r="K1046944" s="54"/>
    </row>
    <row r="1046945" spans="1:11" s="55" customFormat="1" ht="12.75">
      <c r="A1046945" s="24"/>
      <c r="B1046945" s="24"/>
      <c r="C1046945" s="24"/>
      <c r="D1046945" s="24"/>
      <c r="E1046945" s="24"/>
      <c r="F1046945" s="24"/>
      <c r="G1046945" s="24"/>
      <c r="H1046945" s="24"/>
      <c r="I1046945" s="24"/>
      <c r="J1046945" s="24"/>
      <c r="K1046945" s="54"/>
    </row>
    <row r="1046946" spans="1:11" s="55" customFormat="1" ht="12.75">
      <c r="A1046946" s="24"/>
      <c r="B1046946" s="24"/>
      <c r="C1046946" s="24"/>
      <c r="D1046946" s="24"/>
      <c r="E1046946" s="24"/>
      <c r="F1046946" s="24"/>
      <c r="G1046946" s="24"/>
      <c r="H1046946" s="24"/>
      <c r="I1046946" s="24"/>
      <c r="J1046946" s="24"/>
      <c r="K1046946" s="54"/>
    </row>
    <row r="1046947" spans="1:11" s="55" customFormat="1" ht="12.75">
      <c r="A1046947" s="24"/>
      <c r="B1046947" s="24"/>
      <c r="C1046947" s="24"/>
      <c r="D1046947" s="24"/>
      <c r="E1046947" s="24"/>
      <c r="F1046947" s="24"/>
      <c r="G1046947" s="24"/>
      <c r="H1046947" s="24"/>
      <c r="I1046947" s="24"/>
      <c r="J1046947" s="24"/>
      <c r="K1046947" s="54"/>
    </row>
    <row r="1046948" spans="1:11" s="55" customFormat="1" ht="12.75">
      <c r="A1046948" s="24"/>
      <c r="B1046948" s="24"/>
      <c r="C1046948" s="24"/>
      <c r="D1046948" s="24"/>
      <c r="E1046948" s="24"/>
      <c r="F1046948" s="24"/>
      <c r="G1046948" s="24"/>
      <c r="H1046948" s="24"/>
      <c r="I1046948" s="24"/>
      <c r="J1046948" s="24"/>
      <c r="K1046948" s="54"/>
    </row>
    <row r="1046949" spans="1:11" s="55" customFormat="1" ht="12.75">
      <c r="A1046949" s="24"/>
      <c r="B1046949" s="24"/>
      <c r="C1046949" s="24"/>
      <c r="D1046949" s="24"/>
      <c r="E1046949" s="24"/>
      <c r="F1046949" s="24"/>
      <c r="G1046949" s="24"/>
      <c r="H1046949" s="24"/>
      <c r="I1046949" s="24"/>
      <c r="J1046949" s="24"/>
      <c r="K1046949" s="54"/>
    </row>
    <row r="1046950" spans="1:11" s="55" customFormat="1" ht="12.75">
      <c r="A1046950" s="24"/>
      <c r="B1046950" s="24"/>
      <c r="C1046950" s="24"/>
      <c r="D1046950" s="24"/>
      <c r="E1046950" s="24"/>
      <c r="F1046950" s="24"/>
      <c r="G1046950" s="24"/>
      <c r="H1046950" s="24"/>
      <c r="I1046950" s="24"/>
      <c r="J1046950" s="24"/>
      <c r="K1046950" s="54"/>
    </row>
    <row r="1046951" spans="1:11" s="55" customFormat="1" ht="12.75">
      <c r="A1046951" s="24"/>
      <c r="B1046951" s="24"/>
      <c r="C1046951" s="24"/>
      <c r="D1046951" s="24"/>
      <c r="E1046951" s="24"/>
      <c r="F1046951" s="24"/>
      <c r="G1046951" s="24"/>
      <c r="H1046951" s="24"/>
      <c r="I1046951" s="24"/>
      <c r="J1046951" s="24"/>
      <c r="K1046951" s="54"/>
    </row>
    <row r="1046952" spans="1:11" s="55" customFormat="1" ht="12.75">
      <c r="A1046952" s="24"/>
      <c r="B1046952" s="24"/>
      <c r="C1046952" s="24"/>
      <c r="D1046952" s="24"/>
      <c r="E1046952" s="24"/>
      <c r="F1046952" s="24"/>
      <c r="G1046952" s="24"/>
      <c r="H1046952" s="24"/>
      <c r="I1046952" s="24"/>
      <c r="J1046952" s="24"/>
      <c r="K1046952" s="54"/>
    </row>
    <row r="1046953" spans="1:11" s="55" customFormat="1" ht="12.75">
      <c r="A1046953" s="24"/>
      <c r="B1046953" s="24"/>
      <c r="C1046953" s="24"/>
      <c r="D1046953" s="24"/>
      <c r="E1046953" s="24"/>
      <c r="F1046953" s="24"/>
      <c r="G1046953" s="24"/>
      <c r="H1046953" s="24"/>
      <c r="I1046953" s="24"/>
      <c r="J1046953" s="24"/>
      <c r="K1046953" s="54"/>
    </row>
    <row r="1046954" spans="1:11" s="55" customFormat="1" ht="12.75">
      <c r="A1046954" s="24"/>
      <c r="B1046954" s="24"/>
      <c r="C1046954" s="24"/>
      <c r="D1046954" s="24"/>
      <c r="E1046954" s="24"/>
      <c r="F1046954" s="24"/>
      <c r="G1046954" s="24"/>
      <c r="H1046954" s="24"/>
      <c r="I1046954" s="24"/>
      <c r="J1046954" s="24"/>
      <c r="K1046954" s="54"/>
    </row>
    <row r="1046955" spans="1:11" s="55" customFormat="1" ht="12.75">
      <c r="A1046955" s="24"/>
      <c r="B1046955" s="24"/>
      <c r="C1046955" s="24"/>
      <c r="D1046955" s="24"/>
      <c r="E1046955" s="24"/>
      <c r="F1046955" s="24"/>
      <c r="G1046955" s="24"/>
      <c r="H1046955" s="24"/>
      <c r="I1046955" s="24"/>
      <c r="J1046955" s="24"/>
      <c r="K1046955" s="54"/>
    </row>
    <row r="1046956" spans="1:11" s="55" customFormat="1" ht="12.75">
      <c r="A1046956" s="24"/>
      <c r="B1046956" s="24"/>
      <c r="C1046956" s="24"/>
      <c r="D1046956" s="24"/>
      <c r="E1046956" s="24"/>
      <c r="F1046956" s="24"/>
      <c r="G1046956" s="24"/>
      <c r="H1046956" s="24"/>
      <c r="I1046956" s="24"/>
      <c r="J1046956" s="24"/>
      <c r="K1046956" s="54"/>
    </row>
    <row r="1046957" spans="1:11" s="55" customFormat="1" ht="12.75">
      <c r="A1046957" s="24"/>
      <c r="B1046957" s="24"/>
      <c r="C1046957" s="24"/>
      <c r="D1046957" s="24"/>
      <c r="E1046957" s="24"/>
      <c r="F1046957" s="24"/>
      <c r="G1046957" s="24"/>
      <c r="H1046957" s="24"/>
      <c r="I1046957" s="24"/>
      <c r="J1046957" s="24"/>
      <c r="K1046957" s="54"/>
    </row>
    <row r="1046958" spans="1:11" s="55" customFormat="1" ht="12.75">
      <c r="A1046958" s="24"/>
      <c r="B1046958" s="24"/>
      <c r="C1046958" s="24"/>
      <c r="D1046958" s="24"/>
      <c r="E1046958" s="24"/>
      <c r="F1046958" s="24"/>
      <c r="G1046958" s="24"/>
      <c r="H1046958" s="24"/>
      <c r="I1046958" s="24"/>
      <c r="J1046958" s="24"/>
      <c r="K1046958" s="54"/>
    </row>
    <row r="1046959" spans="1:11" s="55" customFormat="1" ht="12.75">
      <c r="A1046959" s="24"/>
      <c r="B1046959" s="24"/>
      <c r="C1046959" s="24"/>
      <c r="D1046959" s="24"/>
      <c r="E1046959" s="24"/>
      <c r="F1046959" s="24"/>
      <c r="G1046959" s="24"/>
      <c r="H1046959" s="24"/>
      <c r="I1046959" s="24"/>
      <c r="J1046959" s="24"/>
      <c r="K1046959" s="54"/>
    </row>
    <row r="1046960" spans="1:11" s="55" customFormat="1" ht="12.75">
      <c r="A1046960" s="24"/>
      <c r="B1046960" s="24"/>
      <c r="C1046960" s="24"/>
      <c r="D1046960" s="24"/>
      <c r="E1046960" s="24"/>
      <c r="F1046960" s="24"/>
      <c r="G1046960" s="24"/>
      <c r="H1046960" s="24"/>
      <c r="I1046960" s="24"/>
      <c r="J1046960" s="24"/>
      <c r="K1046960" s="54"/>
    </row>
    <row r="1046961" spans="1:11" s="55" customFormat="1" ht="12.75">
      <c r="A1046961" s="24"/>
      <c r="B1046961" s="24"/>
      <c r="C1046961" s="24"/>
      <c r="D1046961" s="24"/>
      <c r="E1046961" s="24"/>
      <c r="F1046961" s="24"/>
      <c r="G1046961" s="24"/>
      <c r="H1046961" s="24"/>
      <c r="I1046961" s="24"/>
      <c r="J1046961" s="24"/>
      <c r="K1046961" s="54"/>
    </row>
    <row r="1046962" spans="1:11" s="55" customFormat="1" ht="12.75">
      <c r="A1046962" s="24"/>
      <c r="B1046962" s="24"/>
      <c r="C1046962" s="24"/>
      <c r="D1046962" s="24"/>
      <c r="E1046962" s="24"/>
      <c r="F1046962" s="24"/>
      <c r="G1046962" s="24"/>
      <c r="H1046962" s="24"/>
      <c r="I1046962" s="24"/>
      <c r="J1046962" s="24"/>
      <c r="K1046962" s="54"/>
    </row>
    <row r="1046963" spans="1:11" s="55" customFormat="1" ht="12.75">
      <c r="A1046963" s="24"/>
      <c r="B1046963" s="24"/>
      <c r="C1046963" s="24"/>
      <c r="D1046963" s="24"/>
      <c r="E1046963" s="24"/>
      <c r="F1046963" s="24"/>
      <c r="G1046963" s="24"/>
      <c r="H1046963" s="24"/>
      <c r="I1046963" s="24"/>
      <c r="J1046963" s="24"/>
      <c r="K1046963" s="54"/>
    </row>
    <row r="1046964" spans="1:11" s="55" customFormat="1" ht="12.75">
      <c r="A1046964" s="24"/>
      <c r="B1046964" s="24"/>
      <c r="C1046964" s="24"/>
      <c r="D1046964" s="24"/>
      <c r="E1046964" s="24"/>
      <c r="F1046964" s="24"/>
      <c r="G1046964" s="24"/>
      <c r="H1046964" s="24"/>
      <c r="I1046964" s="24"/>
      <c r="J1046964" s="24"/>
      <c r="K1046964" s="54"/>
    </row>
    <row r="1046965" spans="1:11" s="55" customFormat="1" ht="12.75">
      <c r="A1046965" s="24"/>
      <c r="B1046965" s="24"/>
      <c r="C1046965" s="24"/>
      <c r="D1046965" s="24"/>
      <c r="E1046965" s="24"/>
      <c r="F1046965" s="24"/>
      <c r="G1046965" s="24"/>
      <c r="H1046965" s="24"/>
      <c r="I1046965" s="24"/>
      <c r="J1046965" s="24"/>
      <c r="K1046965" s="54"/>
    </row>
    <row r="1046966" spans="1:11" s="55" customFormat="1" ht="12.75">
      <c r="A1046966" s="24"/>
      <c r="B1046966" s="24"/>
      <c r="C1046966" s="24"/>
      <c r="D1046966" s="24"/>
      <c r="E1046966" s="24"/>
      <c r="F1046966" s="24"/>
      <c r="G1046966" s="24"/>
      <c r="H1046966" s="24"/>
      <c r="I1046966" s="24"/>
      <c r="J1046966" s="24"/>
      <c r="K1046966" s="54"/>
    </row>
    <row r="1046967" spans="1:11" s="55" customFormat="1" ht="12.75">
      <c r="A1046967" s="24"/>
      <c r="B1046967" s="24"/>
      <c r="C1046967" s="24"/>
      <c r="D1046967" s="24"/>
      <c r="E1046967" s="24"/>
      <c r="F1046967" s="24"/>
      <c r="G1046967" s="24"/>
      <c r="H1046967" s="24"/>
      <c r="I1046967" s="24"/>
      <c r="J1046967" s="24"/>
      <c r="K1046967" s="54"/>
    </row>
    <row r="1046968" spans="1:11" s="55" customFormat="1" ht="12.75">
      <c r="A1046968" s="24"/>
      <c r="B1046968" s="24"/>
      <c r="C1046968" s="24"/>
      <c r="D1046968" s="24"/>
      <c r="E1046968" s="24"/>
      <c r="F1046968" s="24"/>
      <c r="G1046968" s="24"/>
      <c r="H1046968" s="24"/>
      <c r="I1046968" s="24"/>
      <c r="J1046968" s="24"/>
      <c r="K1046968" s="54"/>
    </row>
    <row r="1046969" spans="1:11" s="55" customFormat="1" ht="12.75">
      <c r="A1046969" s="24"/>
      <c r="B1046969" s="24"/>
      <c r="C1046969" s="24"/>
      <c r="D1046969" s="24"/>
      <c r="E1046969" s="24"/>
      <c r="F1046969" s="24"/>
      <c r="G1046969" s="24"/>
      <c r="H1046969" s="24"/>
      <c r="I1046969" s="24"/>
      <c r="J1046969" s="24"/>
      <c r="K1046969" s="54"/>
    </row>
    <row r="1046970" spans="1:11" s="55" customFormat="1" ht="12.75">
      <c r="A1046970" s="24"/>
      <c r="B1046970" s="24"/>
      <c r="C1046970" s="24"/>
      <c r="D1046970" s="24"/>
      <c r="E1046970" s="24"/>
      <c r="F1046970" s="24"/>
      <c r="G1046970" s="24"/>
      <c r="H1046970" s="24"/>
      <c r="I1046970" s="24"/>
      <c r="J1046970" s="24"/>
      <c r="K1046970" s="54"/>
    </row>
    <row r="1046971" spans="1:11" s="55" customFormat="1" ht="12.75">
      <c r="A1046971" s="24"/>
      <c r="B1046971" s="24"/>
      <c r="C1046971" s="24"/>
      <c r="D1046971" s="24"/>
      <c r="E1046971" s="24"/>
      <c r="F1046971" s="24"/>
      <c r="G1046971" s="24"/>
      <c r="H1046971" s="24"/>
      <c r="I1046971" s="24"/>
      <c r="J1046971" s="24"/>
      <c r="K1046971" s="54"/>
    </row>
    <row r="1046972" spans="1:11" s="55" customFormat="1" ht="12.75">
      <c r="A1046972" s="24"/>
      <c r="B1046972" s="24"/>
      <c r="C1046972" s="24"/>
      <c r="D1046972" s="24"/>
      <c r="E1046972" s="24"/>
      <c r="F1046972" s="24"/>
      <c r="G1046972" s="24"/>
      <c r="H1046972" s="24"/>
      <c r="I1046972" s="24"/>
      <c r="J1046972" s="24"/>
      <c r="K1046972" s="54"/>
    </row>
    <row r="1046973" spans="1:11" s="55" customFormat="1" ht="12.75">
      <c r="A1046973" s="24"/>
      <c r="B1046973" s="24"/>
      <c r="C1046973" s="24"/>
      <c r="D1046973" s="24"/>
      <c r="E1046973" s="24"/>
      <c r="F1046973" s="24"/>
      <c r="G1046973" s="24"/>
      <c r="H1046973" s="24"/>
      <c r="I1046973" s="24"/>
      <c r="J1046973" s="24"/>
      <c r="K1046973" s="54"/>
    </row>
    <row r="1046974" spans="1:11" s="55" customFormat="1" ht="12.75">
      <c r="A1046974" s="24"/>
      <c r="B1046974" s="24"/>
      <c r="C1046974" s="24"/>
      <c r="D1046974" s="24"/>
      <c r="E1046974" s="24"/>
      <c r="F1046974" s="24"/>
      <c r="G1046974" s="24"/>
      <c r="H1046974" s="24"/>
      <c r="I1046974" s="24"/>
      <c r="J1046974" s="24"/>
      <c r="K1046974" s="54"/>
    </row>
    <row r="1046975" spans="1:11" s="55" customFormat="1" ht="12.75">
      <c r="A1046975" s="24"/>
      <c r="B1046975" s="24"/>
      <c r="C1046975" s="24"/>
      <c r="D1046975" s="24"/>
      <c r="E1046975" s="24"/>
      <c r="F1046975" s="24"/>
      <c r="G1046975" s="24"/>
      <c r="H1046975" s="24"/>
      <c r="I1046975" s="24"/>
      <c r="J1046975" s="24"/>
      <c r="K1046975" s="54"/>
    </row>
    <row r="1046976" spans="1:11" s="55" customFormat="1" ht="12.75">
      <c r="A1046976" s="24"/>
      <c r="B1046976" s="24"/>
      <c r="C1046976" s="24"/>
      <c r="D1046976" s="24"/>
      <c r="E1046976" s="24"/>
      <c r="F1046976" s="24"/>
      <c r="G1046976" s="24"/>
      <c r="H1046976" s="24"/>
      <c r="I1046976" s="24"/>
      <c r="J1046976" s="24"/>
      <c r="K1046976" s="54"/>
    </row>
    <row r="1046977" spans="1:11" s="55" customFormat="1" ht="12.75">
      <c r="A1046977" s="24"/>
      <c r="B1046977" s="24"/>
      <c r="C1046977" s="24"/>
      <c r="D1046977" s="24"/>
      <c r="E1046977" s="24"/>
      <c r="F1046977" s="24"/>
      <c r="G1046977" s="24"/>
      <c r="H1046977" s="24"/>
      <c r="I1046977" s="24"/>
      <c r="J1046977" s="24"/>
      <c r="K1046977" s="54"/>
    </row>
    <row r="1046978" spans="1:11" s="55" customFormat="1" ht="12.75">
      <c r="A1046978" s="24"/>
      <c r="B1046978" s="24"/>
      <c r="C1046978" s="24"/>
      <c r="D1046978" s="24"/>
      <c r="E1046978" s="24"/>
      <c r="F1046978" s="24"/>
      <c r="G1046978" s="24"/>
      <c r="H1046978" s="24"/>
      <c r="I1046978" s="24"/>
      <c r="J1046978" s="24"/>
      <c r="K1046978" s="54"/>
    </row>
    <row r="1046979" spans="1:11" s="55" customFormat="1" ht="12.75">
      <c r="A1046979" s="24"/>
      <c r="B1046979" s="24"/>
      <c r="C1046979" s="24"/>
      <c r="D1046979" s="24"/>
      <c r="E1046979" s="24"/>
      <c r="F1046979" s="24"/>
      <c r="G1046979" s="24"/>
      <c r="H1046979" s="24"/>
      <c r="I1046979" s="24"/>
      <c r="J1046979" s="24"/>
      <c r="K1046979" s="54"/>
    </row>
    <row r="1046980" spans="1:11" s="55" customFormat="1" ht="12.75">
      <c r="A1046980" s="24"/>
      <c r="B1046980" s="24"/>
      <c r="C1046980" s="24"/>
      <c r="D1046980" s="24"/>
      <c r="E1046980" s="24"/>
      <c r="F1046980" s="24"/>
      <c r="G1046980" s="24"/>
      <c r="H1046980" s="24"/>
      <c r="I1046980" s="24"/>
      <c r="J1046980" s="24"/>
      <c r="K1046980" s="54"/>
    </row>
    <row r="1046981" spans="1:11" s="55" customFormat="1" ht="12.75">
      <c r="A1046981" s="24"/>
      <c r="B1046981" s="24"/>
      <c r="C1046981" s="24"/>
      <c r="D1046981" s="24"/>
      <c r="E1046981" s="24"/>
      <c r="F1046981" s="24"/>
      <c r="G1046981" s="24"/>
      <c r="H1046981" s="24"/>
      <c r="I1046981" s="24"/>
      <c r="J1046981" s="24"/>
      <c r="K1046981" s="54"/>
    </row>
    <row r="1046982" spans="1:11" s="55" customFormat="1" ht="12.75">
      <c r="A1046982" s="24"/>
      <c r="B1046982" s="24"/>
      <c r="C1046982" s="24"/>
      <c r="D1046982" s="24"/>
      <c r="E1046982" s="24"/>
      <c r="F1046982" s="24"/>
      <c r="G1046982" s="24"/>
      <c r="H1046982" s="24"/>
      <c r="I1046982" s="24"/>
      <c r="J1046982" s="24"/>
      <c r="K1046982" s="54"/>
    </row>
    <row r="1046983" spans="1:11" s="55" customFormat="1" ht="12.75">
      <c r="A1046983" s="24"/>
      <c r="B1046983" s="24"/>
      <c r="C1046983" s="24"/>
      <c r="D1046983" s="24"/>
      <c r="E1046983" s="24"/>
      <c r="F1046983" s="24"/>
      <c r="G1046983" s="24"/>
      <c r="H1046983" s="24"/>
      <c r="I1046983" s="24"/>
      <c r="J1046983" s="24"/>
      <c r="K1046983" s="54"/>
    </row>
    <row r="1046984" spans="1:11" s="55" customFormat="1" ht="12.75">
      <c r="A1046984" s="24"/>
      <c r="B1046984" s="24"/>
      <c r="C1046984" s="24"/>
      <c r="D1046984" s="24"/>
      <c r="E1046984" s="24"/>
      <c r="F1046984" s="24"/>
      <c r="G1046984" s="24"/>
      <c r="H1046984" s="24"/>
      <c r="I1046984" s="24"/>
      <c r="J1046984" s="24"/>
      <c r="K1046984" s="54"/>
    </row>
    <row r="1046985" spans="1:11" s="55" customFormat="1" ht="12.75">
      <c r="A1046985" s="24"/>
      <c r="B1046985" s="24"/>
      <c r="C1046985" s="24"/>
      <c r="D1046985" s="24"/>
      <c r="E1046985" s="24"/>
      <c r="F1046985" s="24"/>
      <c r="G1046985" s="24"/>
      <c r="H1046985" s="24"/>
      <c r="I1046985" s="24"/>
      <c r="J1046985" s="24"/>
      <c r="K1046985" s="54"/>
    </row>
    <row r="1046986" spans="1:11" s="55" customFormat="1" ht="12.75">
      <c r="A1046986" s="24"/>
      <c r="B1046986" s="24"/>
      <c r="C1046986" s="24"/>
      <c r="D1046986" s="24"/>
      <c r="E1046986" s="24"/>
      <c r="F1046986" s="24"/>
      <c r="G1046986" s="24"/>
      <c r="H1046986" s="24"/>
      <c r="I1046986" s="24"/>
      <c r="J1046986" s="24"/>
      <c r="K1046986" s="54"/>
    </row>
    <row r="1046987" spans="1:11" s="55" customFormat="1" ht="12.75">
      <c r="A1046987" s="24"/>
      <c r="B1046987" s="24"/>
      <c r="C1046987" s="24"/>
      <c r="D1046987" s="24"/>
      <c r="E1046987" s="24"/>
      <c r="F1046987" s="24"/>
      <c r="G1046987" s="24"/>
      <c r="H1046987" s="24"/>
      <c r="I1046987" s="24"/>
      <c r="J1046987" s="24"/>
      <c r="K1046987" s="54"/>
    </row>
    <row r="1046988" spans="1:11" s="55" customFormat="1" ht="12.75">
      <c r="A1046988" s="24"/>
      <c r="B1046988" s="24"/>
      <c r="C1046988" s="24"/>
      <c r="D1046988" s="24"/>
      <c r="E1046988" s="24"/>
      <c r="F1046988" s="24"/>
      <c r="G1046988" s="24"/>
      <c r="H1046988" s="24"/>
      <c r="I1046988" s="24"/>
      <c r="J1046988" s="24"/>
      <c r="K1046988" s="54"/>
    </row>
    <row r="1046989" spans="1:11" s="55" customFormat="1" ht="12.75">
      <c r="A1046989" s="24"/>
      <c r="B1046989" s="24"/>
      <c r="C1046989" s="24"/>
      <c r="D1046989" s="24"/>
      <c r="E1046989" s="24"/>
      <c r="F1046989" s="24"/>
      <c r="G1046989" s="24"/>
      <c r="H1046989" s="24"/>
      <c r="I1046989" s="24"/>
      <c r="J1046989" s="24"/>
      <c r="K1046989" s="54"/>
    </row>
    <row r="1046990" spans="1:11" s="55" customFormat="1" ht="12.75">
      <c r="A1046990" s="24"/>
      <c r="B1046990" s="24"/>
      <c r="C1046990" s="24"/>
      <c r="D1046990" s="24"/>
      <c r="E1046990" s="24"/>
      <c r="F1046990" s="24"/>
      <c r="G1046990" s="24"/>
      <c r="H1046990" s="24"/>
      <c r="I1046990" s="24"/>
      <c r="J1046990" s="24"/>
      <c r="K1046990" s="54"/>
    </row>
    <row r="1046991" spans="1:11" s="55" customFormat="1" ht="12.75">
      <c r="A1046991" s="24"/>
      <c r="B1046991" s="24"/>
      <c r="C1046991" s="24"/>
      <c r="D1046991" s="24"/>
      <c r="E1046991" s="24"/>
      <c r="F1046991" s="24"/>
      <c r="G1046991" s="24"/>
      <c r="H1046991" s="24"/>
      <c r="I1046991" s="24"/>
      <c r="J1046991" s="24"/>
      <c r="K1046991" s="54"/>
    </row>
    <row r="1046992" spans="1:11" s="55" customFormat="1" ht="12.75">
      <c r="A1046992" s="24"/>
      <c r="B1046992" s="24"/>
      <c r="C1046992" s="24"/>
      <c r="D1046992" s="24"/>
      <c r="E1046992" s="24"/>
      <c r="F1046992" s="24"/>
      <c r="G1046992" s="24"/>
      <c r="H1046992" s="24"/>
      <c r="I1046992" s="24"/>
      <c r="J1046992" s="24"/>
      <c r="K1046992" s="54"/>
    </row>
    <row r="1046993" spans="1:11" s="55" customFormat="1" ht="12.75">
      <c r="A1046993" s="24"/>
      <c r="B1046993" s="24"/>
      <c r="C1046993" s="24"/>
      <c r="D1046993" s="24"/>
      <c r="E1046993" s="24"/>
      <c r="F1046993" s="24"/>
      <c r="G1046993" s="24"/>
      <c r="H1046993" s="24"/>
      <c r="I1046993" s="24"/>
      <c r="J1046993" s="24"/>
      <c r="K1046993" s="54"/>
    </row>
    <row r="1046994" spans="1:11" s="55" customFormat="1" ht="12.75">
      <c r="A1046994" s="24"/>
      <c r="B1046994" s="24"/>
      <c r="C1046994" s="24"/>
      <c r="D1046994" s="24"/>
      <c r="E1046994" s="24"/>
      <c r="F1046994" s="24"/>
      <c r="G1046994" s="24"/>
      <c r="H1046994" s="24"/>
      <c r="I1046994" s="24"/>
      <c r="J1046994" s="24"/>
      <c r="K1046994" s="54"/>
    </row>
    <row r="1046995" spans="1:11" s="55" customFormat="1" ht="12.75">
      <c r="A1046995" s="24"/>
      <c r="B1046995" s="24"/>
      <c r="C1046995" s="24"/>
      <c r="D1046995" s="24"/>
      <c r="E1046995" s="24"/>
      <c r="F1046995" s="24"/>
      <c r="G1046995" s="24"/>
      <c r="H1046995" s="24"/>
      <c r="I1046995" s="24"/>
      <c r="J1046995" s="24"/>
      <c r="K1046995" s="54"/>
    </row>
    <row r="1046996" spans="1:11" s="55" customFormat="1" ht="12.75">
      <c r="A1046996" s="24"/>
      <c r="B1046996" s="24"/>
      <c r="C1046996" s="24"/>
      <c r="D1046996" s="24"/>
      <c r="E1046996" s="24"/>
      <c r="F1046996" s="24"/>
      <c r="G1046996" s="24"/>
      <c r="H1046996" s="24"/>
      <c r="I1046996" s="24"/>
      <c r="J1046996" s="24"/>
      <c r="K1046996" s="54"/>
    </row>
    <row r="1046997" spans="1:11" s="55" customFormat="1" ht="12.75">
      <c r="A1046997" s="24"/>
      <c r="B1046997" s="24"/>
      <c r="C1046997" s="24"/>
      <c r="D1046997" s="24"/>
      <c r="E1046997" s="24"/>
      <c r="F1046997" s="24"/>
      <c r="G1046997" s="24"/>
      <c r="H1046997" s="24"/>
      <c r="I1046997" s="24"/>
      <c r="J1046997" s="24"/>
      <c r="K1046997" s="54"/>
    </row>
    <row r="1046998" spans="1:11" s="55" customFormat="1" ht="12.75">
      <c r="A1046998" s="24"/>
      <c r="B1046998" s="24"/>
      <c r="C1046998" s="24"/>
      <c r="D1046998" s="24"/>
      <c r="E1046998" s="24"/>
      <c r="F1046998" s="24"/>
      <c r="G1046998" s="24"/>
      <c r="H1046998" s="24"/>
      <c r="I1046998" s="24"/>
      <c r="J1046998" s="24"/>
      <c r="K1046998" s="54"/>
    </row>
    <row r="1046999" spans="1:11" s="55" customFormat="1" ht="12.75">
      <c r="A1046999" s="24"/>
      <c r="B1046999" s="24"/>
      <c r="C1046999" s="24"/>
      <c r="D1046999" s="24"/>
      <c r="E1046999" s="24"/>
      <c r="F1046999" s="24"/>
      <c r="G1046999" s="24"/>
      <c r="H1046999" s="24"/>
      <c r="I1046999" s="24"/>
      <c r="J1046999" s="24"/>
      <c r="K1046999" s="54"/>
    </row>
    <row r="1047000" spans="1:11" s="55" customFormat="1" ht="12.75">
      <c r="A1047000" s="24"/>
      <c r="B1047000" s="24"/>
      <c r="C1047000" s="24"/>
      <c r="D1047000" s="24"/>
      <c r="E1047000" s="24"/>
      <c r="F1047000" s="24"/>
      <c r="G1047000" s="24"/>
      <c r="H1047000" s="24"/>
      <c r="I1047000" s="24"/>
      <c r="J1047000" s="24"/>
      <c r="K1047000" s="54"/>
    </row>
    <row r="1047001" spans="1:11" s="55" customFormat="1" ht="12.75">
      <c r="A1047001" s="24"/>
      <c r="B1047001" s="24"/>
      <c r="C1047001" s="24"/>
      <c r="D1047001" s="24"/>
      <c r="E1047001" s="24"/>
      <c r="F1047001" s="24"/>
      <c r="G1047001" s="24"/>
      <c r="H1047001" s="24"/>
      <c r="I1047001" s="24"/>
      <c r="J1047001" s="24"/>
      <c r="K1047001" s="54"/>
    </row>
    <row r="1047002" spans="1:11" s="55" customFormat="1" ht="12.75">
      <c r="A1047002" s="24"/>
      <c r="B1047002" s="24"/>
      <c r="C1047002" s="24"/>
      <c r="D1047002" s="24"/>
      <c r="E1047002" s="24"/>
      <c r="F1047002" s="24"/>
      <c r="G1047002" s="24"/>
      <c r="H1047002" s="24"/>
      <c r="I1047002" s="24"/>
      <c r="J1047002" s="24"/>
      <c r="K1047002" s="54"/>
    </row>
    <row r="1047003" spans="1:11" s="55" customFormat="1" ht="12.75">
      <c r="A1047003" s="24"/>
      <c r="B1047003" s="24"/>
      <c r="C1047003" s="24"/>
      <c r="D1047003" s="24"/>
      <c r="E1047003" s="24"/>
      <c r="F1047003" s="24"/>
      <c r="G1047003" s="24"/>
      <c r="H1047003" s="24"/>
      <c r="I1047003" s="24"/>
      <c r="J1047003" s="24"/>
      <c r="K1047003" s="54"/>
    </row>
    <row r="1047004" spans="1:11" s="55" customFormat="1" ht="12.75">
      <c r="A1047004" s="24"/>
      <c r="B1047004" s="24"/>
      <c r="C1047004" s="24"/>
      <c r="D1047004" s="24"/>
      <c r="E1047004" s="24"/>
      <c r="F1047004" s="24"/>
      <c r="G1047004" s="24"/>
      <c r="H1047004" s="24"/>
      <c r="I1047004" s="24"/>
      <c r="J1047004" s="24"/>
      <c r="K1047004" s="54"/>
    </row>
    <row r="1047005" spans="1:11" s="55" customFormat="1" ht="12.75">
      <c r="A1047005" s="24"/>
      <c r="B1047005" s="24"/>
      <c r="C1047005" s="24"/>
      <c r="D1047005" s="24"/>
      <c r="E1047005" s="24"/>
      <c r="F1047005" s="24"/>
      <c r="G1047005" s="24"/>
      <c r="H1047005" s="24"/>
      <c r="I1047005" s="24"/>
      <c r="J1047005" s="24"/>
      <c r="K1047005" s="54"/>
    </row>
    <row r="1047006" spans="1:11" s="55" customFormat="1" ht="12.75">
      <c r="A1047006" s="24"/>
      <c r="B1047006" s="24"/>
      <c r="C1047006" s="24"/>
      <c r="D1047006" s="24"/>
      <c r="E1047006" s="24"/>
      <c r="F1047006" s="24"/>
      <c r="G1047006" s="24"/>
      <c r="H1047006" s="24"/>
      <c r="I1047006" s="24"/>
      <c r="J1047006" s="24"/>
      <c r="K1047006" s="54"/>
    </row>
    <row r="1047007" spans="1:11" s="55" customFormat="1" ht="12.75">
      <c r="A1047007" s="24"/>
      <c r="B1047007" s="24"/>
      <c r="C1047007" s="24"/>
      <c r="D1047007" s="24"/>
      <c r="E1047007" s="24"/>
      <c r="F1047007" s="24"/>
      <c r="G1047007" s="24"/>
      <c r="H1047007" s="24"/>
      <c r="I1047007" s="24"/>
      <c r="J1047007" s="24"/>
      <c r="K1047007" s="54"/>
    </row>
    <row r="1047008" spans="1:11" s="55" customFormat="1" ht="12.75">
      <c r="A1047008" s="24"/>
      <c r="B1047008" s="24"/>
      <c r="C1047008" s="24"/>
      <c r="D1047008" s="24"/>
      <c r="E1047008" s="24"/>
      <c r="F1047008" s="24"/>
      <c r="G1047008" s="24"/>
      <c r="H1047008" s="24"/>
      <c r="I1047008" s="24"/>
      <c r="J1047008" s="24"/>
      <c r="K1047008" s="54"/>
    </row>
    <row r="1047009" spans="1:11" s="55" customFormat="1" ht="12.75">
      <c r="A1047009" s="24"/>
      <c r="B1047009" s="24"/>
      <c r="C1047009" s="24"/>
      <c r="D1047009" s="24"/>
      <c r="E1047009" s="24"/>
      <c r="F1047009" s="24"/>
      <c r="G1047009" s="24"/>
      <c r="H1047009" s="24"/>
      <c r="I1047009" s="24"/>
      <c r="J1047009" s="24"/>
      <c r="K1047009" s="54"/>
    </row>
    <row r="1047010" spans="1:11" s="55" customFormat="1" ht="12.75">
      <c r="A1047010" s="24"/>
      <c r="B1047010" s="24"/>
      <c r="C1047010" s="24"/>
      <c r="D1047010" s="24"/>
      <c r="E1047010" s="24"/>
      <c r="F1047010" s="24"/>
      <c r="G1047010" s="24"/>
      <c r="H1047010" s="24"/>
      <c r="I1047010" s="24"/>
      <c r="J1047010" s="24"/>
      <c r="K1047010" s="54"/>
    </row>
    <row r="1047011" spans="1:11" s="55" customFormat="1" ht="12.75">
      <c r="A1047011" s="24"/>
      <c r="B1047011" s="24"/>
      <c r="C1047011" s="24"/>
      <c r="D1047011" s="24"/>
      <c r="E1047011" s="24"/>
      <c r="F1047011" s="24"/>
      <c r="G1047011" s="24"/>
      <c r="H1047011" s="24"/>
      <c r="I1047011" s="24"/>
      <c r="J1047011" s="24"/>
      <c r="K1047011" s="54"/>
    </row>
    <row r="1047012" spans="1:11" s="55" customFormat="1" ht="12.75">
      <c r="A1047012" s="24"/>
      <c r="B1047012" s="24"/>
      <c r="C1047012" s="24"/>
      <c r="D1047012" s="24"/>
      <c r="E1047012" s="24"/>
      <c r="F1047012" s="24"/>
      <c r="G1047012" s="24"/>
      <c r="H1047012" s="24"/>
      <c r="I1047012" s="24"/>
      <c r="J1047012" s="24"/>
      <c r="K1047012" s="54"/>
    </row>
    <row r="1047013" spans="1:11" s="55" customFormat="1" ht="12.75">
      <c r="A1047013" s="24"/>
      <c r="B1047013" s="24"/>
      <c r="C1047013" s="24"/>
      <c r="D1047013" s="24"/>
      <c r="E1047013" s="24"/>
      <c r="F1047013" s="24"/>
      <c r="G1047013" s="24"/>
      <c r="H1047013" s="24"/>
      <c r="I1047013" s="24"/>
      <c r="J1047013" s="24"/>
      <c r="K1047013" s="54"/>
    </row>
    <row r="1047014" spans="1:11" s="55" customFormat="1" ht="12.75">
      <c r="A1047014" s="24"/>
      <c r="B1047014" s="24"/>
      <c r="C1047014" s="24"/>
      <c r="D1047014" s="24"/>
      <c r="E1047014" s="24"/>
      <c r="F1047014" s="24"/>
      <c r="G1047014" s="24"/>
      <c r="H1047014" s="24"/>
      <c r="I1047014" s="24"/>
      <c r="J1047014" s="24"/>
      <c r="K1047014" s="54"/>
    </row>
    <row r="1047015" spans="1:11" s="55" customFormat="1" ht="12.75">
      <c r="A1047015" s="24"/>
      <c r="B1047015" s="24"/>
      <c r="C1047015" s="24"/>
      <c r="D1047015" s="24"/>
      <c r="E1047015" s="24"/>
      <c r="F1047015" s="24"/>
      <c r="G1047015" s="24"/>
      <c r="H1047015" s="24"/>
      <c r="I1047015" s="24"/>
      <c r="J1047015" s="24"/>
      <c r="K1047015" s="54"/>
    </row>
    <row r="1047016" spans="1:11" s="55" customFormat="1" ht="12.75">
      <c r="A1047016" s="24"/>
      <c r="B1047016" s="24"/>
      <c r="C1047016" s="24"/>
      <c r="D1047016" s="24"/>
      <c r="E1047016" s="24"/>
      <c r="F1047016" s="24"/>
      <c r="G1047016" s="24"/>
      <c r="H1047016" s="24"/>
      <c r="I1047016" s="24"/>
      <c r="J1047016" s="24"/>
      <c r="K1047016" s="54"/>
    </row>
    <row r="1047017" spans="1:11" s="55" customFormat="1" ht="12.75">
      <c r="A1047017" s="24"/>
      <c r="B1047017" s="24"/>
      <c r="C1047017" s="24"/>
      <c r="D1047017" s="24"/>
      <c r="E1047017" s="24"/>
      <c r="F1047017" s="24"/>
      <c r="G1047017" s="24"/>
      <c r="H1047017" s="24"/>
      <c r="I1047017" s="24"/>
      <c r="J1047017" s="24"/>
      <c r="K1047017" s="54"/>
    </row>
    <row r="1047018" spans="1:11" s="55" customFormat="1" ht="12.75">
      <c r="A1047018" s="24"/>
      <c r="B1047018" s="24"/>
      <c r="C1047018" s="24"/>
      <c r="D1047018" s="24"/>
      <c r="E1047018" s="24"/>
      <c r="F1047018" s="24"/>
      <c r="G1047018" s="24"/>
      <c r="H1047018" s="24"/>
      <c r="I1047018" s="24"/>
      <c r="J1047018" s="24"/>
      <c r="K1047018" s="54"/>
    </row>
    <row r="1047019" spans="1:11" s="55" customFormat="1" ht="12.75">
      <c r="A1047019" s="24"/>
      <c r="B1047019" s="24"/>
      <c r="C1047019" s="24"/>
      <c r="D1047019" s="24"/>
      <c r="E1047019" s="24"/>
      <c r="F1047019" s="24"/>
      <c r="G1047019" s="24"/>
      <c r="H1047019" s="24"/>
      <c r="I1047019" s="24"/>
      <c r="J1047019" s="24"/>
      <c r="K1047019" s="54"/>
    </row>
    <row r="1047020" spans="1:11" s="55" customFormat="1" ht="12.75">
      <c r="A1047020" s="24"/>
      <c r="B1047020" s="24"/>
      <c r="C1047020" s="24"/>
      <c r="D1047020" s="24"/>
      <c r="E1047020" s="24"/>
      <c r="F1047020" s="24"/>
      <c r="G1047020" s="24"/>
      <c r="H1047020" s="24"/>
      <c r="I1047020" s="24"/>
      <c r="J1047020" s="24"/>
      <c r="K1047020" s="54"/>
    </row>
    <row r="1047021" spans="1:11" s="55" customFormat="1" ht="12.75">
      <c r="A1047021" s="24"/>
      <c r="B1047021" s="24"/>
      <c r="C1047021" s="24"/>
      <c r="D1047021" s="24"/>
      <c r="E1047021" s="24"/>
      <c r="F1047021" s="24"/>
      <c r="G1047021" s="24"/>
      <c r="H1047021" s="24"/>
      <c r="I1047021" s="24"/>
      <c r="J1047021" s="24"/>
      <c r="K1047021" s="54"/>
    </row>
    <row r="1047022" spans="1:11" s="55" customFormat="1" ht="12.75">
      <c r="A1047022" s="24"/>
      <c r="B1047022" s="24"/>
      <c r="C1047022" s="24"/>
      <c r="D1047022" s="24"/>
      <c r="E1047022" s="24"/>
      <c r="F1047022" s="24"/>
      <c r="G1047022" s="24"/>
      <c r="H1047022" s="24"/>
      <c r="I1047022" s="24"/>
      <c r="J1047022" s="24"/>
      <c r="K1047022" s="54"/>
    </row>
    <row r="1047023" spans="1:11" s="55" customFormat="1" ht="12.75">
      <c r="A1047023" s="24"/>
      <c r="B1047023" s="24"/>
      <c r="C1047023" s="24"/>
      <c r="D1047023" s="24"/>
      <c r="E1047023" s="24"/>
      <c r="F1047023" s="24"/>
      <c r="G1047023" s="24"/>
      <c r="H1047023" s="24"/>
      <c r="I1047023" s="24"/>
      <c r="J1047023" s="24"/>
      <c r="K1047023" s="54"/>
    </row>
    <row r="1047024" spans="1:11" s="55" customFormat="1" ht="12.75">
      <c r="A1047024" s="24"/>
      <c r="B1047024" s="24"/>
      <c r="C1047024" s="24"/>
      <c r="D1047024" s="24"/>
      <c r="E1047024" s="24"/>
      <c r="F1047024" s="24"/>
      <c r="G1047024" s="24"/>
      <c r="H1047024" s="24"/>
      <c r="I1047024" s="24"/>
      <c r="J1047024" s="24"/>
      <c r="K1047024" s="54"/>
    </row>
    <row r="1047025" spans="1:11" s="55" customFormat="1" ht="12.75">
      <c r="A1047025" s="24"/>
      <c r="B1047025" s="24"/>
      <c r="C1047025" s="24"/>
      <c r="D1047025" s="24"/>
      <c r="E1047025" s="24"/>
      <c r="F1047025" s="24"/>
      <c r="G1047025" s="24"/>
      <c r="H1047025" s="24"/>
      <c r="I1047025" s="24"/>
      <c r="J1047025" s="24"/>
      <c r="K1047025" s="54"/>
    </row>
    <row r="1047026" spans="1:11" s="55" customFormat="1" ht="12.75">
      <c r="A1047026" s="24"/>
      <c r="B1047026" s="24"/>
      <c r="C1047026" s="24"/>
      <c r="D1047026" s="24"/>
      <c r="E1047026" s="24"/>
      <c r="F1047026" s="24"/>
      <c r="G1047026" s="24"/>
      <c r="H1047026" s="24"/>
      <c r="I1047026" s="24"/>
      <c r="J1047026" s="24"/>
      <c r="K1047026" s="54"/>
    </row>
    <row r="1047027" spans="1:11" s="55" customFormat="1" ht="12.75">
      <c r="A1047027" s="24"/>
      <c r="B1047027" s="24"/>
      <c r="C1047027" s="24"/>
      <c r="D1047027" s="24"/>
      <c r="E1047027" s="24"/>
      <c r="F1047027" s="24"/>
      <c r="G1047027" s="24"/>
      <c r="H1047027" s="24"/>
      <c r="I1047027" s="24"/>
      <c r="J1047027" s="24"/>
      <c r="K1047027" s="54"/>
    </row>
    <row r="1047028" spans="1:11" s="55" customFormat="1" ht="12.75">
      <c r="A1047028" s="24"/>
      <c r="B1047028" s="24"/>
      <c r="C1047028" s="24"/>
      <c r="D1047028" s="24"/>
      <c r="E1047028" s="24"/>
      <c r="F1047028" s="24"/>
      <c r="G1047028" s="24"/>
      <c r="H1047028" s="24"/>
      <c r="I1047028" s="24"/>
      <c r="J1047028" s="24"/>
      <c r="K1047028" s="54"/>
    </row>
    <row r="1047029" spans="1:11" s="55" customFormat="1" ht="12.75">
      <c r="A1047029" s="24"/>
      <c r="B1047029" s="24"/>
      <c r="C1047029" s="24"/>
      <c r="D1047029" s="24"/>
      <c r="E1047029" s="24"/>
      <c r="F1047029" s="24"/>
      <c r="G1047029" s="24"/>
      <c r="H1047029" s="24"/>
      <c r="I1047029" s="24"/>
      <c r="J1047029" s="24"/>
      <c r="K1047029" s="54"/>
    </row>
    <row r="1047030" spans="1:11" s="55" customFormat="1" ht="12.75">
      <c r="A1047030" s="24"/>
      <c r="B1047030" s="24"/>
      <c r="C1047030" s="24"/>
      <c r="D1047030" s="24"/>
      <c r="E1047030" s="24"/>
      <c r="F1047030" s="24"/>
      <c r="G1047030" s="24"/>
      <c r="H1047030" s="24"/>
      <c r="I1047030" s="24"/>
      <c r="J1047030" s="24"/>
      <c r="K1047030" s="54"/>
    </row>
    <row r="1047031" spans="1:11" s="55" customFormat="1" ht="12.75">
      <c r="A1047031" s="24"/>
      <c r="B1047031" s="24"/>
      <c r="C1047031" s="24"/>
      <c r="D1047031" s="24"/>
      <c r="E1047031" s="24"/>
      <c r="F1047031" s="24"/>
      <c r="G1047031" s="24"/>
      <c r="H1047031" s="24"/>
      <c r="I1047031" s="24"/>
      <c r="J1047031" s="24"/>
      <c r="K1047031" s="54"/>
    </row>
    <row r="1047032" spans="1:11" s="55" customFormat="1" ht="12.75">
      <c r="A1047032" s="24"/>
      <c r="B1047032" s="24"/>
      <c r="C1047032" s="24"/>
      <c r="D1047032" s="24"/>
      <c r="E1047032" s="24"/>
      <c r="F1047032" s="24"/>
      <c r="G1047032" s="24"/>
      <c r="H1047032" s="24"/>
      <c r="I1047032" s="24"/>
      <c r="J1047032" s="24"/>
      <c r="K1047032" s="54"/>
    </row>
    <row r="1047033" spans="1:11" s="55" customFormat="1" ht="12.75">
      <c r="A1047033" s="24"/>
      <c r="B1047033" s="24"/>
      <c r="C1047033" s="24"/>
      <c r="D1047033" s="24"/>
      <c r="E1047033" s="24"/>
      <c r="F1047033" s="24"/>
      <c r="G1047033" s="24"/>
      <c r="H1047033" s="24"/>
      <c r="I1047033" s="24"/>
      <c r="J1047033" s="24"/>
      <c r="K1047033" s="54"/>
    </row>
    <row r="1047034" spans="1:11" s="55" customFormat="1" ht="12.75">
      <c r="A1047034" s="24"/>
      <c r="B1047034" s="24"/>
      <c r="C1047034" s="24"/>
      <c r="D1047034" s="24"/>
      <c r="E1047034" s="24"/>
      <c r="F1047034" s="24"/>
      <c r="G1047034" s="24"/>
      <c r="H1047034" s="24"/>
      <c r="I1047034" s="24"/>
      <c r="J1047034" s="24"/>
      <c r="K1047034" s="54"/>
    </row>
    <row r="1047035" spans="1:11" s="55" customFormat="1" ht="12.75">
      <c r="A1047035" s="24"/>
      <c r="B1047035" s="24"/>
      <c r="C1047035" s="24"/>
      <c r="D1047035" s="24"/>
      <c r="E1047035" s="24"/>
      <c r="F1047035" s="24"/>
      <c r="G1047035" s="24"/>
      <c r="H1047035" s="24"/>
      <c r="I1047035" s="24"/>
      <c r="J1047035" s="24"/>
      <c r="K1047035" s="54"/>
    </row>
    <row r="1047036" spans="1:11" s="55" customFormat="1" ht="12.75">
      <c r="A1047036" s="24"/>
      <c r="B1047036" s="24"/>
      <c r="C1047036" s="24"/>
      <c r="D1047036" s="24"/>
      <c r="E1047036" s="24"/>
      <c r="F1047036" s="24"/>
      <c r="G1047036" s="24"/>
      <c r="H1047036" s="24"/>
      <c r="I1047036" s="24"/>
      <c r="J1047036" s="24"/>
      <c r="K1047036" s="54"/>
    </row>
    <row r="1047037" spans="1:11" s="55" customFormat="1" ht="12.75">
      <c r="A1047037" s="24"/>
      <c r="B1047037" s="24"/>
      <c r="C1047037" s="24"/>
      <c r="D1047037" s="24"/>
      <c r="E1047037" s="24"/>
      <c r="F1047037" s="24"/>
      <c r="G1047037" s="24"/>
      <c r="H1047037" s="24"/>
      <c r="I1047037" s="24"/>
      <c r="J1047037" s="24"/>
      <c r="K1047037" s="54"/>
    </row>
    <row r="1047038" spans="1:11" s="55" customFormat="1" ht="12.75">
      <c r="A1047038" s="24"/>
      <c r="B1047038" s="24"/>
      <c r="C1047038" s="24"/>
      <c r="D1047038" s="24"/>
      <c r="E1047038" s="24"/>
      <c r="F1047038" s="24"/>
      <c r="G1047038" s="24"/>
      <c r="H1047038" s="24"/>
      <c r="I1047038" s="24"/>
      <c r="J1047038" s="24"/>
      <c r="K1047038" s="54"/>
    </row>
    <row r="1047039" spans="1:11" s="55" customFormat="1" ht="12.75">
      <c r="A1047039" s="24"/>
      <c r="B1047039" s="24"/>
      <c r="C1047039" s="24"/>
      <c r="D1047039" s="24"/>
      <c r="E1047039" s="24"/>
      <c r="F1047039" s="24"/>
      <c r="G1047039" s="24"/>
      <c r="H1047039" s="24"/>
      <c r="I1047039" s="24"/>
      <c r="J1047039" s="24"/>
      <c r="K1047039" s="54"/>
    </row>
    <row r="1047040" spans="1:11" s="55" customFormat="1" ht="12.75">
      <c r="A1047040" s="24"/>
      <c r="B1047040" s="24"/>
      <c r="C1047040" s="24"/>
      <c r="D1047040" s="24"/>
      <c r="E1047040" s="24"/>
      <c r="F1047040" s="24"/>
      <c r="G1047040" s="24"/>
      <c r="H1047040" s="24"/>
      <c r="I1047040" s="24"/>
      <c r="J1047040" s="24"/>
      <c r="K1047040" s="54"/>
    </row>
    <row r="1047041" spans="1:11" s="55" customFormat="1" ht="12.75">
      <c r="A1047041" s="24"/>
      <c r="B1047041" s="24"/>
      <c r="C1047041" s="24"/>
      <c r="D1047041" s="24"/>
      <c r="E1047041" s="24"/>
      <c r="F1047041" s="24"/>
      <c r="G1047041" s="24"/>
      <c r="H1047041" s="24"/>
      <c r="I1047041" s="24"/>
      <c r="J1047041" s="24"/>
      <c r="K1047041" s="54"/>
    </row>
    <row r="1047042" spans="1:11" s="55" customFormat="1" ht="12.75">
      <c r="A1047042" s="24"/>
      <c r="B1047042" s="24"/>
      <c r="C1047042" s="24"/>
      <c r="D1047042" s="24"/>
      <c r="E1047042" s="24"/>
      <c r="F1047042" s="24"/>
      <c r="G1047042" s="24"/>
      <c r="H1047042" s="24"/>
      <c r="I1047042" s="24"/>
      <c r="J1047042" s="24"/>
      <c r="K1047042" s="54"/>
    </row>
    <row r="1047043" spans="1:11" s="55" customFormat="1" ht="12.75">
      <c r="A1047043" s="24"/>
      <c r="B1047043" s="24"/>
      <c r="C1047043" s="24"/>
      <c r="D1047043" s="24"/>
      <c r="E1047043" s="24"/>
      <c r="F1047043" s="24"/>
      <c r="G1047043" s="24"/>
      <c r="H1047043" s="24"/>
      <c r="I1047043" s="24"/>
      <c r="J1047043" s="24"/>
      <c r="K1047043" s="54"/>
    </row>
    <row r="1047044" spans="1:11" s="55" customFormat="1" ht="12.75">
      <c r="A1047044" s="24"/>
      <c r="B1047044" s="24"/>
      <c r="C1047044" s="24"/>
      <c r="D1047044" s="24"/>
      <c r="E1047044" s="24"/>
      <c r="F1047044" s="24"/>
      <c r="G1047044" s="24"/>
      <c r="H1047044" s="24"/>
      <c r="I1047044" s="24"/>
      <c r="J1047044" s="24"/>
      <c r="K1047044" s="54"/>
    </row>
    <row r="1047045" spans="1:11" s="55" customFormat="1" ht="12.75">
      <c r="A1047045" s="24"/>
      <c r="B1047045" s="24"/>
      <c r="C1047045" s="24"/>
      <c r="D1047045" s="24"/>
      <c r="E1047045" s="24"/>
      <c r="F1047045" s="24"/>
      <c r="G1047045" s="24"/>
      <c r="H1047045" s="24"/>
      <c r="I1047045" s="24"/>
      <c r="J1047045" s="24"/>
      <c r="K1047045" s="54"/>
    </row>
    <row r="1047046" spans="1:11" s="55" customFormat="1" ht="12.75">
      <c r="A1047046" s="24"/>
      <c r="B1047046" s="24"/>
      <c r="C1047046" s="24"/>
      <c r="D1047046" s="24"/>
      <c r="E1047046" s="24"/>
      <c r="F1047046" s="24"/>
      <c r="G1047046" s="24"/>
      <c r="H1047046" s="24"/>
      <c r="I1047046" s="24"/>
      <c r="J1047046" s="24"/>
      <c r="K1047046" s="54"/>
    </row>
    <row r="1047047" spans="1:11" s="55" customFormat="1" ht="12.75">
      <c r="A1047047" s="24"/>
      <c r="B1047047" s="24"/>
      <c r="C1047047" s="24"/>
      <c r="D1047047" s="24"/>
      <c r="E1047047" s="24"/>
      <c r="F1047047" s="24"/>
      <c r="G1047047" s="24"/>
      <c r="H1047047" s="24"/>
      <c r="I1047047" s="24"/>
      <c r="J1047047" s="24"/>
      <c r="K1047047" s="54"/>
    </row>
    <row r="1047048" spans="1:11" s="55" customFormat="1" ht="12.75">
      <c r="A1047048" s="24"/>
      <c r="B1047048" s="24"/>
      <c r="C1047048" s="24"/>
      <c r="D1047048" s="24"/>
      <c r="E1047048" s="24"/>
      <c r="F1047048" s="24"/>
      <c r="G1047048" s="24"/>
      <c r="H1047048" s="24"/>
      <c r="I1047048" s="24"/>
      <c r="J1047048" s="24"/>
      <c r="K1047048" s="54"/>
    </row>
    <row r="1047049" spans="1:11" s="55" customFormat="1" ht="12.75">
      <c r="A1047049" s="24"/>
      <c r="B1047049" s="24"/>
      <c r="C1047049" s="24"/>
      <c r="D1047049" s="24"/>
      <c r="E1047049" s="24"/>
      <c r="F1047049" s="24"/>
      <c r="G1047049" s="24"/>
      <c r="H1047049" s="24"/>
      <c r="I1047049" s="24"/>
      <c r="J1047049" s="24"/>
      <c r="K1047049" s="54"/>
    </row>
    <row r="1047050" spans="1:11" s="55" customFormat="1" ht="12.75">
      <c r="A1047050" s="24"/>
      <c r="B1047050" s="24"/>
      <c r="C1047050" s="24"/>
      <c r="D1047050" s="24"/>
      <c r="E1047050" s="24"/>
      <c r="F1047050" s="24"/>
      <c r="G1047050" s="24"/>
      <c r="H1047050" s="24"/>
      <c r="I1047050" s="24"/>
      <c r="J1047050" s="24"/>
      <c r="K1047050" s="54"/>
    </row>
    <row r="1047051" spans="1:11" s="55" customFormat="1" ht="12.75">
      <c r="A1047051" s="24"/>
      <c r="B1047051" s="24"/>
      <c r="C1047051" s="24"/>
      <c r="D1047051" s="24"/>
      <c r="E1047051" s="24"/>
      <c r="F1047051" s="24"/>
      <c r="G1047051" s="24"/>
      <c r="H1047051" s="24"/>
      <c r="I1047051" s="24"/>
      <c r="J1047051" s="24"/>
      <c r="K1047051" s="54"/>
    </row>
    <row r="1047052" spans="1:11" s="55" customFormat="1" ht="12.75">
      <c r="A1047052" s="24"/>
      <c r="B1047052" s="24"/>
      <c r="C1047052" s="24"/>
      <c r="D1047052" s="24"/>
      <c r="E1047052" s="24"/>
      <c r="F1047052" s="24"/>
      <c r="G1047052" s="24"/>
      <c r="H1047052" s="24"/>
      <c r="I1047052" s="24"/>
      <c r="J1047052" s="24"/>
      <c r="K1047052" s="54"/>
    </row>
    <row r="1047053" spans="1:11" s="55" customFormat="1" ht="12.75">
      <c r="A1047053" s="24"/>
      <c r="B1047053" s="24"/>
      <c r="C1047053" s="24"/>
      <c r="D1047053" s="24"/>
      <c r="E1047053" s="24"/>
      <c r="F1047053" s="24"/>
      <c r="G1047053" s="24"/>
      <c r="H1047053" s="24"/>
      <c r="I1047053" s="24"/>
      <c r="J1047053" s="24"/>
      <c r="K1047053" s="54"/>
    </row>
    <row r="1047054" spans="1:11" s="55" customFormat="1" ht="12.75">
      <c r="A1047054" s="24"/>
      <c r="B1047054" s="24"/>
      <c r="C1047054" s="24"/>
      <c r="D1047054" s="24"/>
      <c r="E1047054" s="24"/>
      <c r="F1047054" s="24"/>
      <c r="G1047054" s="24"/>
      <c r="H1047054" s="24"/>
      <c r="I1047054" s="24"/>
      <c r="J1047054" s="24"/>
      <c r="K1047054" s="54"/>
    </row>
    <row r="1047055" spans="1:11" s="55" customFormat="1" ht="12.75">
      <c r="A1047055" s="24"/>
      <c r="B1047055" s="24"/>
      <c r="C1047055" s="24"/>
      <c r="D1047055" s="24"/>
      <c r="E1047055" s="24"/>
      <c r="F1047055" s="24"/>
      <c r="G1047055" s="24"/>
      <c r="H1047055" s="24"/>
      <c r="I1047055" s="24"/>
      <c r="J1047055" s="24"/>
      <c r="K1047055" s="54"/>
    </row>
    <row r="1047056" spans="1:11" s="55" customFormat="1" ht="12.75">
      <c r="A1047056" s="24"/>
      <c r="B1047056" s="24"/>
      <c r="C1047056" s="24"/>
      <c r="D1047056" s="24"/>
      <c r="E1047056" s="24"/>
      <c r="F1047056" s="24"/>
      <c r="G1047056" s="24"/>
      <c r="H1047056" s="24"/>
      <c r="I1047056" s="24"/>
      <c r="J1047056" s="24"/>
      <c r="K1047056" s="54"/>
    </row>
    <row r="1047057" spans="1:11" s="55" customFormat="1" ht="12.75">
      <c r="A1047057" s="24"/>
      <c r="B1047057" s="24"/>
      <c r="C1047057" s="24"/>
      <c r="D1047057" s="24"/>
      <c r="E1047057" s="24"/>
      <c r="F1047057" s="24"/>
      <c r="G1047057" s="24"/>
      <c r="H1047057" s="24"/>
      <c r="I1047057" s="24"/>
      <c r="J1047057" s="24"/>
      <c r="K1047057" s="54"/>
    </row>
    <row r="1047058" spans="1:11" s="55" customFormat="1" ht="12.75">
      <c r="A1047058" s="24"/>
      <c r="B1047058" s="24"/>
      <c r="C1047058" s="24"/>
      <c r="D1047058" s="24"/>
      <c r="E1047058" s="24"/>
      <c r="F1047058" s="24"/>
      <c r="G1047058" s="24"/>
      <c r="H1047058" s="24"/>
      <c r="I1047058" s="24"/>
      <c r="J1047058" s="24"/>
      <c r="K1047058" s="54"/>
    </row>
    <row r="1047059" spans="1:11" s="55" customFormat="1" ht="12.75">
      <c r="A1047059" s="24"/>
      <c r="B1047059" s="24"/>
      <c r="C1047059" s="24"/>
      <c r="D1047059" s="24"/>
      <c r="E1047059" s="24"/>
      <c r="F1047059" s="24"/>
      <c r="G1047059" s="24"/>
      <c r="H1047059" s="24"/>
      <c r="I1047059" s="24"/>
      <c r="J1047059" s="24"/>
      <c r="K1047059" s="54"/>
    </row>
    <row r="1047060" spans="1:11" s="55" customFormat="1" ht="12.75">
      <c r="A1047060" s="24"/>
      <c r="B1047060" s="24"/>
      <c r="C1047060" s="24"/>
      <c r="D1047060" s="24"/>
      <c r="E1047060" s="24"/>
      <c r="F1047060" s="24"/>
      <c r="G1047060" s="24"/>
      <c r="H1047060" s="24"/>
      <c r="I1047060" s="24"/>
      <c r="J1047060" s="24"/>
      <c r="K1047060" s="54"/>
    </row>
    <row r="1047061" spans="1:11" s="55" customFormat="1" ht="12.75">
      <c r="A1047061" s="24"/>
      <c r="B1047061" s="24"/>
      <c r="C1047061" s="24"/>
      <c r="D1047061" s="24"/>
      <c r="E1047061" s="24"/>
      <c r="F1047061" s="24"/>
      <c r="G1047061" s="24"/>
      <c r="H1047061" s="24"/>
      <c r="I1047061" s="24"/>
      <c r="J1047061" s="24"/>
      <c r="K1047061" s="54"/>
    </row>
    <row r="1047062" spans="1:11" s="55" customFormat="1" ht="12.75">
      <c r="A1047062" s="24"/>
      <c r="B1047062" s="24"/>
      <c r="C1047062" s="24"/>
      <c r="D1047062" s="24"/>
      <c r="E1047062" s="24"/>
      <c r="F1047062" s="24"/>
      <c r="G1047062" s="24"/>
      <c r="H1047062" s="24"/>
      <c r="I1047062" s="24"/>
      <c r="J1047062" s="24"/>
      <c r="K1047062" s="54"/>
    </row>
    <row r="1047063" spans="1:11" s="55" customFormat="1" ht="12.75">
      <c r="A1047063" s="24"/>
      <c r="B1047063" s="24"/>
      <c r="C1047063" s="24"/>
      <c r="D1047063" s="24"/>
      <c r="E1047063" s="24"/>
      <c r="F1047063" s="24"/>
      <c r="G1047063" s="24"/>
      <c r="H1047063" s="24"/>
      <c r="I1047063" s="24"/>
      <c r="J1047063" s="24"/>
      <c r="K1047063" s="54"/>
    </row>
    <row r="1047064" spans="1:11" s="55" customFormat="1" ht="12.75">
      <c r="A1047064" s="24"/>
      <c r="B1047064" s="24"/>
      <c r="C1047064" s="24"/>
      <c r="D1047064" s="24"/>
      <c r="E1047064" s="24"/>
      <c r="F1047064" s="24"/>
      <c r="G1047064" s="24"/>
      <c r="H1047064" s="24"/>
      <c r="I1047064" s="24"/>
      <c r="J1047064" s="24"/>
      <c r="K1047064" s="54"/>
    </row>
    <row r="1047065" spans="1:11" s="55" customFormat="1" ht="12.75">
      <c r="A1047065" s="24"/>
      <c r="B1047065" s="24"/>
      <c r="C1047065" s="24"/>
      <c r="D1047065" s="24"/>
      <c r="E1047065" s="24"/>
      <c r="F1047065" s="24"/>
      <c r="G1047065" s="24"/>
      <c r="H1047065" s="24"/>
      <c r="I1047065" s="24"/>
      <c r="J1047065" s="24"/>
      <c r="K1047065" s="54"/>
    </row>
    <row r="1047066" spans="1:11" s="55" customFormat="1" ht="12.75">
      <c r="A1047066" s="24"/>
      <c r="B1047066" s="24"/>
      <c r="C1047066" s="24"/>
      <c r="D1047066" s="24"/>
      <c r="E1047066" s="24"/>
      <c r="F1047066" s="24"/>
      <c r="G1047066" s="24"/>
      <c r="H1047066" s="24"/>
      <c r="I1047066" s="24"/>
      <c r="J1047066" s="24"/>
      <c r="K1047066" s="54"/>
    </row>
    <row r="1047067" spans="1:11" s="55" customFormat="1" ht="12.75">
      <c r="A1047067" s="24"/>
      <c r="B1047067" s="24"/>
      <c r="C1047067" s="24"/>
      <c r="D1047067" s="24"/>
      <c r="E1047067" s="24"/>
      <c r="F1047067" s="24"/>
      <c r="G1047067" s="24"/>
      <c r="H1047067" s="24"/>
      <c r="I1047067" s="24"/>
      <c r="J1047067" s="24"/>
      <c r="K1047067" s="54"/>
    </row>
    <row r="1047068" spans="1:11" s="55" customFormat="1" ht="12.75">
      <c r="A1047068" s="24"/>
      <c r="B1047068" s="24"/>
      <c r="C1047068" s="24"/>
      <c r="D1047068" s="24"/>
      <c r="E1047068" s="24"/>
      <c r="F1047068" s="24"/>
      <c r="G1047068" s="24"/>
      <c r="H1047068" s="24"/>
      <c r="I1047068" s="24"/>
      <c r="J1047068" s="24"/>
      <c r="K1047068" s="54"/>
    </row>
    <row r="1047069" spans="1:11" s="55" customFormat="1" ht="12.75">
      <c r="A1047069" s="24"/>
      <c r="B1047069" s="24"/>
      <c r="C1047069" s="24"/>
      <c r="D1047069" s="24"/>
      <c r="E1047069" s="24"/>
      <c r="F1047069" s="24"/>
      <c r="G1047069" s="24"/>
      <c r="H1047069" s="24"/>
      <c r="I1047069" s="24"/>
      <c r="J1047069" s="24"/>
      <c r="K1047069" s="54"/>
    </row>
    <row r="1047070" spans="1:11" s="55" customFormat="1" ht="12.75">
      <c r="A1047070" s="24"/>
      <c r="B1047070" s="24"/>
      <c r="C1047070" s="24"/>
      <c r="D1047070" s="24"/>
      <c r="E1047070" s="24"/>
      <c r="F1047070" s="24"/>
      <c r="G1047070" s="24"/>
      <c r="H1047070" s="24"/>
      <c r="I1047070" s="24"/>
      <c r="J1047070" s="24"/>
      <c r="K1047070" s="54"/>
    </row>
    <row r="1047071" spans="1:11" s="55" customFormat="1" ht="12.75">
      <c r="A1047071" s="24"/>
      <c r="B1047071" s="24"/>
      <c r="C1047071" s="24"/>
      <c r="D1047071" s="24"/>
      <c r="E1047071" s="24"/>
      <c r="F1047071" s="24"/>
      <c r="G1047071" s="24"/>
      <c r="H1047071" s="24"/>
      <c r="I1047071" s="24"/>
      <c r="J1047071" s="24"/>
      <c r="K1047071" s="54"/>
    </row>
    <row r="1047072" spans="1:11" s="55" customFormat="1" ht="12.75">
      <c r="A1047072" s="24"/>
      <c r="B1047072" s="24"/>
      <c r="C1047072" s="24"/>
      <c r="D1047072" s="24"/>
      <c r="E1047072" s="24"/>
      <c r="F1047072" s="24"/>
      <c r="G1047072" s="24"/>
      <c r="H1047072" s="24"/>
      <c r="I1047072" s="24"/>
      <c r="J1047072" s="24"/>
      <c r="K1047072" s="54"/>
    </row>
    <row r="1047073" spans="1:11" s="55" customFormat="1" ht="12.75">
      <c r="A1047073" s="24"/>
      <c r="B1047073" s="24"/>
      <c r="C1047073" s="24"/>
      <c r="D1047073" s="24"/>
      <c r="E1047073" s="24"/>
      <c r="F1047073" s="24"/>
      <c r="G1047073" s="24"/>
      <c r="H1047073" s="24"/>
      <c r="I1047073" s="24"/>
      <c r="J1047073" s="24"/>
      <c r="K1047073" s="54"/>
    </row>
    <row r="1047074" spans="1:11" s="55" customFormat="1" ht="12.75">
      <c r="A1047074" s="24"/>
      <c r="B1047074" s="24"/>
      <c r="C1047074" s="24"/>
      <c r="D1047074" s="24"/>
      <c r="E1047074" s="24"/>
      <c r="F1047074" s="24"/>
      <c r="G1047074" s="24"/>
      <c r="H1047074" s="24"/>
      <c r="I1047074" s="24"/>
      <c r="J1047074" s="24"/>
      <c r="K1047074" s="54"/>
    </row>
    <row r="1047075" spans="1:11" s="55" customFormat="1" ht="12.75">
      <c r="A1047075" s="24"/>
      <c r="B1047075" s="24"/>
      <c r="C1047075" s="24"/>
      <c r="D1047075" s="24"/>
      <c r="E1047075" s="24"/>
      <c r="F1047075" s="24"/>
      <c r="G1047075" s="24"/>
      <c r="H1047075" s="24"/>
      <c r="I1047075" s="24"/>
      <c r="J1047075" s="24"/>
      <c r="K1047075" s="54"/>
    </row>
    <row r="1047076" spans="1:11" s="55" customFormat="1" ht="12.75">
      <c r="A1047076" s="24"/>
      <c r="B1047076" s="24"/>
      <c r="C1047076" s="24"/>
      <c r="D1047076" s="24"/>
      <c r="E1047076" s="24"/>
      <c r="F1047076" s="24"/>
      <c r="G1047076" s="24"/>
      <c r="H1047076" s="24"/>
      <c r="I1047076" s="24"/>
      <c r="J1047076" s="24"/>
      <c r="K1047076" s="54"/>
    </row>
    <row r="1047077" spans="1:11" s="55" customFormat="1" ht="12.75">
      <c r="A1047077" s="24"/>
      <c r="B1047077" s="24"/>
      <c r="C1047077" s="24"/>
      <c r="D1047077" s="24"/>
      <c r="E1047077" s="24"/>
      <c r="F1047077" s="24"/>
      <c r="G1047077" s="24"/>
      <c r="H1047077" s="24"/>
      <c r="I1047077" s="24"/>
      <c r="J1047077" s="24"/>
      <c r="K1047077" s="54"/>
    </row>
    <row r="1047078" spans="1:11" s="55" customFormat="1" ht="12.75">
      <c r="A1047078" s="24"/>
      <c r="B1047078" s="24"/>
      <c r="C1047078" s="24"/>
      <c r="D1047078" s="24"/>
      <c r="E1047078" s="24"/>
      <c r="F1047078" s="24"/>
      <c r="G1047078" s="24"/>
      <c r="H1047078" s="24"/>
      <c r="I1047078" s="24"/>
      <c r="J1047078" s="24"/>
      <c r="K1047078" s="54"/>
    </row>
    <row r="1047079" spans="1:11" s="55" customFormat="1" ht="12.75">
      <c r="A1047079" s="24"/>
      <c r="B1047079" s="24"/>
      <c r="C1047079" s="24"/>
      <c r="D1047079" s="24"/>
      <c r="E1047079" s="24"/>
      <c r="F1047079" s="24"/>
      <c r="G1047079" s="24"/>
      <c r="H1047079" s="24"/>
      <c r="I1047079" s="24"/>
      <c r="J1047079" s="24"/>
      <c r="K1047079" s="54"/>
    </row>
    <row r="1047080" spans="1:11" s="55" customFormat="1" ht="12.75">
      <c r="A1047080" s="24"/>
      <c r="B1047080" s="24"/>
      <c r="C1047080" s="24"/>
      <c r="D1047080" s="24"/>
      <c r="E1047080" s="24"/>
      <c r="F1047080" s="24"/>
      <c r="G1047080" s="24"/>
      <c r="H1047080" s="24"/>
      <c r="I1047080" s="24"/>
      <c r="J1047080" s="24"/>
      <c r="K1047080" s="54"/>
    </row>
    <row r="1047081" spans="1:11" s="55" customFormat="1" ht="12.75">
      <c r="A1047081" s="24"/>
      <c r="B1047081" s="24"/>
      <c r="C1047081" s="24"/>
      <c r="D1047081" s="24"/>
      <c r="E1047081" s="24"/>
      <c r="F1047081" s="24"/>
      <c r="G1047081" s="24"/>
      <c r="H1047081" s="24"/>
      <c r="I1047081" s="24"/>
      <c r="J1047081" s="24"/>
      <c r="K1047081" s="54"/>
    </row>
    <row r="1047082" spans="1:11" s="55" customFormat="1" ht="12.75">
      <c r="A1047082" s="24"/>
      <c r="B1047082" s="24"/>
      <c r="C1047082" s="24"/>
      <c r="D1047082" s="24"/>
      <c r="E1047082" s="24"/>
      <c r="F1047082" s="24"/>
      <c r="G1047082" s="24"/>
      <c r="H1047082" s="24"/>
      <c r="I1047082" s="24"/>
      <c r="J1047082" s="24"/>
      <c r="K1047082" s="54"/>
    </row>
    <row r="1047083" spans="1:11" s="55" customFormat="1" ht="12.75">
      <c r="A1047083" s="24"/>
      <c r="B1047083" s="24"/>
      <c r="C1047083" s="24"/>
      <c r="D1047083" s="24"/>
      <c r="E1047083" s="24"/>
      <c r="F1047083" s="24"/>
      <c r="G1047083" s="24"/>
      <c r="H1047083" s="24"/>
      <c r="I1047083" s="24"/>
      <c r="J1047083" s="24"/>
      <c r="K1047083" s="54"/>
    </row>
    <row r="1047084" spans="1:11" s="55" customFormat="1" ht="12.75">
      <c r="A1047084" s="24"/>
      <c r="B1047084" s="24"/>
      <c r="C1047084" s="24"/>
      <c r="D1047084" s="24"/>
      <c r="E1047084" s="24"/>
      <c r="F1047084" s="24"/>
      <c r="G1047084" s="24"/>
      <c r="H1047084" s="24"/>
      <c r="I1047084" s="24"/>
      <c r="J1047084" s="24"/>
      <c r="K1047084" s="54"/>
    </row>
    <row r="1047085" spans="1:11" s="55" customFormat="1" ht="12.75">
      <c r="A1047085" s="24"/>
      <c r="B1047085" s="24"/>
      <c r="C1047085" s="24"/>
      <c r="D1047085" s="24"/>
      <c r="E1047085" s="24"/>
      <c r="F1047085" s="24"/>
      <c r="G1047085" s="24"/>
      <c r="H1047085" s="24"/>
      <c r="I1047085" s="24"/>
      <c r="J1047085" s="24"/>
      <c r="K1047085" s="54"/>
    </row>
    <row r="1047086" spans="1:11" s="55" customFormat="1" ht="12.75">
      <c r="A1047086" s="24"/>
      <c r="B1047086" s="24"/>
      <c r="C1047086" s="24"/>
      <c r="D1047086" s="24"/>
      <c r="E1047086" s="24"/>
      <c r="F1047086" s="24"/>
      <c r="G1047086" s="24"/>
      <c r="H1047086" s="24"/>
      <c r="I1047086" s="24"/>
      <c r="J1047086" s="24"/>
      <c r="K1047086" s="54"/>
    </row>
    <row r="1047087" spans="1:11" s="55" customFormat="1" ht="12.75">
      <c r="A1047087" s="24"/>
      <c r="B1047087" s="24"/>
      <c r="C1047087" s="24"/>
      <c r="D1047087" s="24"/>
      <c r="E1047087" s="24"/>
      <c r="F1047087" s="24"/>
      <c r="G1047087" s="24"/>
      <c r="H1047087" s="24"/>
      <c r="I1047087" s="24"/>
      <c r="J1047087" s="24"/>
      <c r="K1047087" s="54"/>
    </row>
    <row r="1047088" spans="1:11" s="55" customFormat="1" ht="12.75">
      <c r="A1047088" s="24"/>
      <c r="B1047088" s="24"/>
      <c r="C1047088" s="24"/>
      <c r="D1047088" s="24"/>
      <c r="E1047088" s="24"/>
      <c r="F1047088" s="24"/>
      <c r="G1047088" s="24"/>
      <c r="H1047088" s="24"/>
      <c r="I1047088" s="24"/>
      <c r="J1047088" s="24"/>
      <c r="K1047088" s="54"/>
    </row>
    <row r="1047089" spans="1:11" s="55" customFormat="1" ht="12.75">
      <c r="A1047089" s="24"/>
      <c r="B1047089" s="24"/>
      <c r="C1047089" s="24"/>
      <c r="D1047089" s="24"/>
      <c r="E1047089" s="24"/>
      <c r="F1047089" s="24"/>
      <c r="G1047089" s="24"/>
      <c r="H1047089" s="24"/>
      <c r="I1047089" s="24"/>
      <c r="J1047089" s="24"/>
      <c r="K1047089" s="54"/>
    </row>
    <row r="1047090" spans="1:11" s="55" customFormat="1" ht="12.75">
      <c r="A1047090" s="24"/>
      <c r="B1047090" s="24"/>
      <c r="C1047090" s="24"/>
      <c r="D1047090" s="24"/>
      <c r="E1047090" s="24"/>
      <c r="F1047090" s="24"/>
      <c r="G1047090" s="24"/>
      <c r="H1047090" s="24"/>
      <c r="I1047090" s="24"/>
      <c r="J1047090" s="24"/>
      <c r="K1047090" s="54"/>
    </row>
    <row r="1047091" spans="1:11" s="55" customFormat="1" ht="12.75">
      <c r="A1047091" s="24"/>
      <c r="B1047091" s="24"/>
      <c r="C1047091" s="24"/>
      <c r="D1047091" s="24"/>
      <c r="E1047091" s="24"/>
      <c r="F1047091" s="24"/>
      <c r="G1047091" s="24"/>
      <c r="H1047091" s="24"/>
      <c r="I1047091" s="24"/>
      <c r="J1047091" s="24"/>
      <c r="K1047091" s="54"/>
    </row>
    <row r="1047092" spans="1:11" s="55" customFormat="1" ht="12.75">
      <c r="A1047092" s="24"/>
      <c r="B1047092" s="24"/>
      <c r="C1047092" s="24"/>
      <c r="D1047092" s="24"/>
      <c r="E1047092" s="24"/>
      <c r="F1047092" s="24"/>
      <c r="G1047092" s="24"/>
      <c r="H1047092" s="24"/>
      <c r="I1047092" s="24"/>
      <c r="J1047092" s="24"/>
      <c r="K1047092" s="54"/>
    </row>
    <row r="1047093" spans="1:11" s="55" customFormat="1" ht="12.75">
      <c r="A1047093" s="24"/>
      <c r="B1047093" s="24"/>
      <c r="C1047093" s="24"/>
      <c r="D1047093" s="24"/>
      <c r="E1047093" s="24"/>
      <c r="F1047093" s="24"/>
      <c r="G1047093" s="24"/>
      <c r="H1047093" s="24"/>
      <c r="I1047093" s="24"/>
      <c r="J1047093" s="24"/>
      <c r="K1047093" s="54"/>
    </row>
    <row r="1047094" spans="1:11" s="55" customFormat="1" ht="12.75">
      <c r="A1047094" s="24"/>
      <c r="B1047094" s="24"/>
      <c r="C1047094" s="24"/>
      <c r="D1047094" s="24"/>
      <c r="E1047094" s="24"/>
      <c r="F1047094" s="24"/>
      <c r="G1047094" s="24"/>
      <c r="H1047094" s="24"/>
      <c r="I1047094" s="24"/>
      <c r="J1047094" s="24"/>
      <c r="K1047094" s="54"/>
    </row>
    <row r="1047095" spans="1:11" s="55" customFormat="1" ht="12.75">
      <c r="A1047095" s="24"/>
      <c r="B1047095" s="24"/>
      <c r="C1047095" s="24"/>
      <c r="D1047095" s="24"/>
      <c r="E1047095" s="24"/>
      <c r="F1047095" s="24"/>
      <c r="G1047095" s="24"/>
      <c r="H1047095" s="24"/>
      <c r="I1047095" s="24"/>
      <c r="J1047095" s="24"/>
      <c r="K1047095" s="54"/>
    </row>
    <row r="1047096" spans="1:11" s="55" customFormat="1" ht="12.75">
      <c r="A1047096" s="24"/>
      <c r="B1047096" s="24"/>
      <c r="C1047096" s="24"/>
      <c r="D1047096" s="24"/>
      <c r="E1047096" s="24"/>
      <c r="F1047096" s="24"/>
      <c r="G1047096" s="24"/>
      <c r="H1047096" s="24"/>
      <c r="I1047096" s="24"/>
      <c r="J1047096" s="24"/>
      <c r="K1047096" s="54"/>
    </row>
    <row r="1047097" spans="1:11" s="55" customFormat="1" ht="12.75">
      <c r="A1047097" s="24"/>
      <c r="B1047097" s="24"/>
      <c r="C1047097" s="24"/>
      <c r="D1047097" s="24"/>
      <c r="E1047097" s="24"/>
      <c r="F1047097" s="24"/>
      <c r="G1047097" s="24"/>
      <c r="H1047097" s="24"/>
      <c r="I1047097" s="24"/>
      <c r="J1047097" s="24"/>
      <c r="K1047097" s="54"/>
    </row>
    <row r="1047098" spans="1:11" s="55" customFormat="1" ht="12.75">
      <c r="A1047098" s="24"/>
      <c r="B1047098" s="24"/>
      <c r="C1047098" s="24"/>
      <c r="D1047098" s="24"/>
      <c r="E1047098" s="24"/>
      <c r="F1047098" s="24"/>
      <c r="G1047098" s="24"/>
      <c r="H1047098" s="24"/>
      <c r="I1047098" s="24"/>
      <c r="J1047098" s="24"/>
      <c r="K1047098" s="54"/>
    </row>
    <row r="1047099" spans="1:11" s="55" customFormat="1" ht="12.75">
      <c r="A1047099" s="24"/>
      <c r="B1047099" s="24"/>
      <c r="C1047099" s="24"/>
      <c r="D1047099" s="24"/>
      <c r="E1047099" s="24"/>
      <c r="F1047099" s="24"/>
      <c r="G1047099" s="24"/>
      <c r="H1047099" s="24"/>
      <c r="I1047099" s="24"/>
      <c r="J1047099" s="24"/>
      <c r="K1047099" s="54"/>
    </row>
    <row r="1047100" spans="1:11" s="55" customFormat="1" ht="12.75">
      <c r="A1047100" s="24"/>
      <c r="B1047100" s="24"/>
      <c r="C1047100" s="24"/>
      <c r="D1047100" s="24"/>
      <c r="E1047100" s="24"/>
      <c r="F1047100" s="24"/>
      <c r="G1047100" s="24"/>
      <c r="H1047100" s="24"/>
      <c r="I1047100" s="24"/>
      <c r="J1047100" s="24"/>
      <c r="K1047100" s="54"/>
    </row>
    <row r="1047101" spans="1:11" s="55" customFormat="1" ht="12.75">
      <c r="A1047101" s="24"/>
      <c r="B1047101" s="24"/>
      <c r="C1047101" s="24"/>
      <c r="D1047101" s="24"/>
      <c r="E1047101" s="24"/>
      <c r="F1047101" s="24"/>
      <c r="G1047101" s="24"/>
      <c r="H1047101" s="24"/>
      <c r="I1047101" s="24"/>
      <c r="J1047101" s="24"/>
      <c r="K1047101" s="54"/>
    </row>
    <row r="1047102" spans="1:11" s="55" customFormat="1" ht="12.75">
      <c r="A1047102" s="24"/>
      <c r="B1047102" s="24"/>
      <c r="C1047102" s="24"/>
      <c r="D1047102" s="24"/>
      <c r="E1047102" s="24"/>
      <c r="F1047102" s="24"/>
      <c r="G1047102" s="24"/>
      <c r="H1047102" s="24"/>
      <c r="I1047102" s="24"/>
      <c r="J1047102" s="24"/>
      <c r="K1047102" s="54"/>
    </row>
    <row r="1047103" spans="1:11" s="55" customFormat="1" ht="12.75">
      <c r="A1047103" s="24"/>
      <c r="B1047103" s="24"/>
      <c r="C1047103" s="24"/>
      <c r="D1047103" s="24"/>
      <c r="E1047103" s="24"/>
      <c r="F1047103" s="24"/>
      <c r="G1047103" s="24"/>
      <c r="H1047103" s="24"/>
      <c r="I1047103" s="24"/>
      <c r="J1047103" s="24"/>
      <c r="K1047103" s="54"/>
    </row>
    <row r="1047104" spans="1:11" s="55" customFormat="1" ht="12.75">
      <c r="A1047104" s="24"/>
      <c r="B1047104" s="24"/>
      <c r="C1047104" s="24"/>
      <c r="D1047104" s="24"/>
      <c r="E1047104" s="24"/>
      <c r="F1047104" s="24"/>
      <c r="G1047104" s="24"/>
      <c r="H1047104" s="24"/>
      <c r="I1047104" s="24"/>
      <c r="J1047104" s="24"/>
      <c r="K1047104" s="54"/>
    </row>
    <row r="1047105" spans="1:11" s="55" customFormat="1" ht="12.75">
      <c r="A1047105" s="24"/>
      <c r="B1047105" s="24"/>
      <c r="C1047105" s="24"/>
      <c r="D1047105" s="24"/>
      <c r="E1047105" s="24"/>
      <c r="F1047105" s="24"/>
      <c r="G1047105" s="24"/>
      <c r="H1047105" s="24"/>
      <c r="I1047105" s="24"/>
      <c r="J1047105" s="24"/>
      <c r="K1047105" s="54"/>
    </row>
    <row r="1047106" spans="1:11" s="55" customFormat="1" ht="12.75">
      <c r="A1047106" s="24"/>
      <c r="B1047106" s="24"/>
      <c r="C1047106" s="24"/>
      <c r="D1047106" s="24"/>
      <c r="E1047106" s="24"/>
      <c r="F1047106" s="24"/>
      <c r="G1047106" s="24"/>
      <c r="H1047106" s="24"/>
      <c r="I1047106" s="24"/>
      <c r="J1047106" s="24"/>
      <c r="K1047106" s="54"/>
    </row>
    <row r="1047107" spans="1:11" s="55" customFormat="1" ht="12.75">
      <c r="A1047107" s="24"/>
      <c r="B1047107" s="24"/>
      <c r="C1047107" s="24"/>
      <c r="D1047107" s="24"/>
      <c r="E1047107" s="24"/>
      <c r="F1047107" s="24"/>
      <c r="G1047107" s="24"/>
      <c r="H1047107" s="24"/>
      <c r="I1047107" s="24"/>
      <c r="J1047107" s="24"/>
      <c r="K1047107" s="54"/>
    </row>
    <row r="1047108" spans="1:11" s="55" customFormat="1" ht="12.75">
      <c r="A1047108" s="24"/>
      <c r="B1047108" s="24"/>
      <c r="C1047108" s="24"/>
      <c r="D1047108" s="24"/>
      <c r="E1047108" s="24"/>
      <c r="F1047108" s="24"/>
      <c r="G1047108" s="24"/>
      <c r="H1047108" s="24"/>
      <c r="I1047108" s="24"/>
      <c r="J1047108" s="24"/>
      <c r="K1047108" s="54"/>
    </row>
    <row r="1047109" spans="1:11" s="55" customFormat="1" ht="12.75">
      <c r="A1047109" s="24"/>
      <c r="B1047109" s="24"/>
      <c r="C1047109" s="24"/>
      <c r="D1047109" s="24"/>
      <c r="E1047109" s="24"/>
      <c r="F1047109" s="24"/>
      <c r="G1047109" s="24"/>
      <c r="H1047109" s="24"/>
      <c r="I1047109" s="24"/>
      <c r="J1047109" s="24"/>
      <c r="K1047109" s="54"/>
    </row>
    <row r="1047110" spans="1:11" s="55" customFormat="1" ht="12.75">
      <c r="A1047110" s="24"/>
      <c r="B1047110" s="24"/>
      <c r="C1047110" s="24"/>
      <c r="D1047110" s="24"/>
      <c r="E1047110" s="24"/>
      <c r="F1047110" s="24"/>
      <c r="G1047110" s="24"/>
      <c r="H1047110" s="24"/>
      <c r="I1047110" s="24"/>
      <c r="J1047110" s="24"/>
      <c r="K1047110" s="54"/>
    </row>
    <row r="1047111" spans="1:11" s="55" customFormat="1" ht="12.75">
      <c r="A1047111" s="24"/>
      <c r="B1047111" s="24"/>
      <c r="C1047111" s="24"/>
      <c r="D1047111" s="24"/>
      <c r="E1047111" s="24"/>
      <c r="F1047111" s="24"/>
      <c r="G1047111" s="24"/>
      <c r="H1047111" s="24"/>
      <c r="I1047111" s="24"/>
      <c r="J1047111" s="24"/>
      <c r="K1047111" s="54"/>
    </row>
    <row r="1047112" spans="1:11" s="55" customFormat="1" ht="12.75">
      <c r="A1047112" s="24"/>
      <c r="B1047112" s="24"/>
      <c r="C1047112" s="24"/>
      <c r="D1047112" s="24"/>
      <c r="E1047112" s="24"/>
      <c r="F1047112" s="24"/>
      <c r="G1047112" s="24"/>
      <c r="H1047112" s="24"/>
      <c r="I1047112" s="24"/>
      <c r="J1047112" s="24"/>
      <c r="K1047112" s="54"/>
    </row>
    <row r="1047113" spans="1:11" s="55" customFormat="1" ht="12.75">
      <c r="A1047113" s="24"/>
      <c r="B1047113" s="24"/>
      <c r="C1047113" s="24"/>
      <c r="D1047113" s="24"/>
      <c r="E1047113" s="24"/>
      <c r="F1047113" s="24"/>
      <c r="G1047113" s="24"/>
      <c r="H1047113" s="24"/>
      <c r="I1047113" s="24"/>
      <c r="J1047113" s="24"/>
      <c r="K1047113" s="54"/>
    </row>
    <row r="1047114" spans="1:11" s="55" customFormat="1" ht="12.75">
      <c r="A1047114" s="24"/>
      <c r="B1047114" s="24"/>
      <c r="C1047114" s="24"/>
      <c r="D1047114" s="24"/>
      <c r="E1047114" s="24"/>
      <c r="F1047114" s="24"/>
      <c r="G1047114" s="24"/>
      <c r="H1047114" s="24"/>
      <c r="I1047114" s="24"/>
      <c r="J1047114" s="24"/>
      <c r="K1047114" s="54"/>
    </row>
    <row r="1047115" spans="1:11" s="55" customFormat="1" ht="12.75">
      <c r="A1047115" s="24"/>
      <c r="B1047115" s="24"/>
      <c r="C1047115" s="24"/>
      <c r="D1047115" s="24"/>
      <c r="E1047115" s="24"/>
      <c r="F1047115" s="24"/>
      <c r="G1047115" s="24"/>
      <c r="H1047115" s="24"/>
      <c r="I1047115" s="24"/>
      <c r="J1047115" s="24"/>
      <c r="K1047115" s="54"/>
    </row>
    <row r="1047116" spans="1:11" s="55" customFormat="1" ht="12.75">
      <c r="A1047116" s="24"/>
      <c r="B1047116" s="24"/>
      <c r="C1047116" s="24"/>
      <c r="D1047116" s="24"/>
      <c r="E1047116" s="24"/>
      <c r="F1047116" s="24"/>
      <c r="G1047116" s="24"/>
      <c r="H1047116" s="24"/>
      <c r="I1047116" s="24"/>
      <c r="J1047116" s="24"/>
      <c r="K1047116" s="54"/>
    </row>
    <row r="1047117" spans="1:11" s="55" customFormat="1" ht="12.75">
      <c r="A1047117" s="24"/>
      <c r="B1047117" s="24"/>
      <c r="C1047117" s="24"/>
      <c r="D1047117" s="24"/>
      <c r="E1047117" s="24"/>
      <c r="F1047117" s="24"/>
      <c r="G1047117" s="24"/>
      <c r="H1047117" s="24"/>
      <c r="I1047117" s="24"/>
      <c r="J1047117" s="24"/>
      <c r="K1047117" s="54"/>
    </row>
    <row r="1047118" spans="1:11" s="55" customFormat="1" ht="12.75">
      <c r="A1047118" s="24"/>
      <c r="B1047118" s="24"/>
      <c r="C1047118" s="24"/>
      <c r="D1047118" s="24"/>
      <c r="E1047118" s="24"/>
      <c r="F1047118" s="24"/>
      <c r="G1047118" s="24"/>
      <c r="H1047118" s="24"/>
      <c r="I1047118" s="24"/>
      <c r="J1047118" s="24"/>
      <c r="K1047118" s="54"/>
    </row>
    <row r="1047119" spans="1:11" s="55" customFormat="1" ht="12.75">
      <c r="A1047119" s="24"/>
      <c r="B1047119" s="24"/>
      <c r="C1047119" s="24"/>
      <c r="D1047119" s="24"/>
      <c r="E1047119" s="24"/>
      <c r="F1047119" s="24"/>
      <c r="G1047119" s="24"/>
      <c r="H1047119" s="24"/>
      <c r="I1047119" s="24"/>
      <c r="J1047119" s="24"/>
      <c r="K1047119" s="54"/>
    </row>
    <row r="1047120" spans="1:11" s="55" customFormat="1" ht="12.75">
      <c r="A1047120" s="24"/>
      <c r="B1047120" s="24"/>
      <c r="C1047120" s="24"/>
      <c r="D1047120" s="24"/>
      <c r="E1047120" s="24"/>
      <c r="F1047120" s="24"/>
      <c r="G1047120" s="24"/>
      <c r="H1047120" s="24"/>
      <c r="I1047120" s="24"/>
      <c r="J1047120" s="24"/>
      <c r="K1047120" s="54"/>
    </row>
    <row r="1047121" spans="1:11" s="55" customFormat="1" ht="12.75">
      <c r="A1047121" s="24"/>
      <c r="B1047121" s="24"/>
      <c r="C1047121" s="24"/>
      <c r="D1047121" s="24"/>
      <c r="E1047121" s="24"/>
      <c r="F1047121" s="24"/>
      <c r="G1047121" s="24"/>
      <c r="H1047121" s="24"/>
      <c r="I1047121" s="24"/>
      <c r="J1047121" s="24"/>
      <c r="K1047121" s="54"/>
    </row>
    <row r="1047122" spans="1:11" s="55" customFormat="1" ht="12.75">
      <c r="A1047122" s="24"/>
      <c r="B1047122" s="24"/>
      <c r="C1047122" s="24"/>
      <c r="D1047122" s="24"/>
      <c r="E1047122" s="24"/>
      <c r="F1047122" s="24"/>
      <c r="G1047122" s="24"/>
      <c r="H1047122" s="24"/>
      <c r="I1047122" s="24"/>
      <c r="J1047122" s="24"/>
      <c r="K1047122" s="54"/>
    </row>
    <row r="1047123" spans="1:11" s="55" customFormat="1" ht="12.75">
      <c r="A1047123" s="24"/>
      <c r="B1047123" s="24"/>
      <c r="C1047123" s="24"/>
      <c r="D1047123" s="24"/>
      <c r="E1047123" s="24"/>
      <c r="F1047123" s="24"/>
      <c r="G1047123" s="24"/>
      <c r="H1047123" s="24"/>
      <c r="I1047123" s="24"/>
      <c r="J1047123" s="24"/>
      <c r="K1047123" s="54"/>
    </row>
    <row r="1047124" spans="1:11" s="55" customFormat="1" ht="12.75">
      <c r="A1047124" s="24"/>
      <c r="B1047124" s="24"/>
      <c r="C1047124" s="24"/>
      <c r="D1047124" s="24"/>
      <c r="E1047124" s="24"/>
      <c r="F1047124" s="24"/>
      <c r="G1047124" s="24"/>
      <c r="H1047124" s="24"/>
      <c r="I1047124" s="24"/>
      <c r="J1047124" s="24"/>
      <c r="K1047124" s="54"/>
    </row>
    <row r="1047125" spans="1:11" s="55" customFormat="1" ht="12.75">
      <c r="A1047125" s="24"/>
      <c r="B1047125" s="24"/>
      <c r="C1047125" s="24"/>
      <c r="D1047125" s="24"/>
      <c r="E1047125" s="24"/>
      <c r="F1047125" s="24"/>
      <c r="G1047125" s="24"/>
      <c r="H1047125" s="24"/>
      <c r="I1047125" s="24"/>
      <c r="J1047125" s="24"/>
      <c r="K1047125" s="54"/>
    </row>
    <row r="1047126" spans="1:11" s="55" customFormat="1" ht="12.75">
      <c r="A1047126" s="24"/>
      <c r="B1047126" s="24"/>
      <c r="C1047126" s="24"/>
      <c r="D1047126" s="24"/>
      <c r="E1047126" s="24"/>
      <c r="F1047126" s="24"/>
      <c r="G1047126" s="24"/>
      <c r="H1047126" s="24"/>
      <c r="I1047126" s="24"/>
      <c r="J1047126" s="24"/>
      <c r="K1047126" s="54"/>
    </row>
    <row r="1047127" spans="1:11" s="55" customFormat="1" ht="12.75">
      <c r="A1047127" s="24"/>
      <c r="B1047127" s="24"/>
      <c r="C1047127" s="24"/>
      <c r="D1047127" s="24"/>
      <c r="E1047127" s="24"/>
      <c r="F1047127" s="24"/>
      <c r="G1047127" s="24"/>
      <c r="H1047127" s="24"/>
      <c r="I1047127" s="24"/>
      <c r="J1047127" s="24"/>
      <c r="K1047127" s="54"/>
    </row>
    <row r="1047128" spans="1:11" s="55" customFormat="1" ht="12.75">
      <c r="A1047128" s="24"/>
      <c r="B1047128" s="24"/>
      <c r="C1047128" s="24"/>
      <c r="D1047128" s="24"/>
      <c r="E1047128" s="24"/>
      <c r="F1047128" s="24"/>
      <c r="G1047128" s="24"/>
      <c r="H1047128" s="24"/>
      <c r="I1047128" s="24"/>
      <c r="J1047128" s="24"/>
      <c r="K1047128" s="54"/>
    </row>
    <row r="1047129" spans="1:11" s="55" customFormat="1" ht="12.75">
      <c r="A1047129" s="24"/>
      <c r="B1047129" s="24"/>
      <c r="C1047129" s="24"/>
      <c r="D1047129" s="24"/>
      <c r="E1047129" s="24"/>
      <c r="F1047129" s="24"/>
      <c r="G1047129" s="24"/>
      <c r="H1047129" s="24"/>
      <c r="I1047129" s="24"/>
      <c r="J1047129" s="24"/>
      <c r="K1047129" s="54"/>
    </row>
    <row r="1047130" spans="1:11" s="55" customFormat="1" ht="12.75">
      <c r="A1047130" s="24"/>
      <c r="B1047130" s="24"/>
      <c r="C1047130" s="24"/>
      <c r="D1047130" s="24"/>
      <c r="E1047130" s="24"/>
      <c r="F1047130" s="24"/>
      <c r="G1047130" s="24"/>
      <c r="H1047130" s="24"/>
      <c r="I1047130" s="24"/>
      <c r="J1047130" s="24"/>
      <c r="K1047130" s="54"/>
    </row>
    <row r="1047131" spans="1:11" s="55" customFormat="1" ht="12.75">
      <c r="A1047131" s="24"/>
      <c r="B1047131" s="24"/>
      <c r="C1047131" s="24"/>
      <c r="D1047131" s="24"/>
      <c r="E1047131" s="24"/>
      <c r="F1047131" s="24"/>
      <c r="G1047131" s="24"/>
      <c r="H1047131" s="24"/>
      <c r="I1047131" s="24"/>
      <c r="J1047131" s="24"/>
      <c r="K1047131" s="54"/>
    </row>
    <row r="1047132" spans="1:11" s="55" customFormat="1" ht="12.75">
      <c r="A1047132" s="24"/>
      <c r="B1047132" s="24"/>
      <c r="C1047132" s="24"/>
      <c r="D1047132" s="24"/>
      <c r="E1047132" s="24"/>
      <c r="F1047132" s="24"/>
      <c r="G1047132" s="24"/>
      <c r="H1047132" s="24"/>
      <c r="I1047132" s="24"/>
      <c r="J1047132" s="24"/>
      <c r="K1047132" s="54"/>
    </row>
    <row r="1047133" spans="1:11" s="55" customFormat="1" ht="12.75">
      <c r="A1047133" s="24"/>
      <c r="B1047133" s="24"/>
      <c r="C1047133" s="24"/>
      <c r="D1047133" s="24"/>
      <c r="E1047133" s="24"/>
      <c r="F1047133" s="24"/>
      <c r="G1047133" s="24"/>
      <c r="H1047133" s="24"/>
      <c r="I1047133" s="24"/>
      <c r="J1047133" s="24"/>
      <c r="K1047133" s="54"/>
    </row>
    <row r="1047134" spans="1:11" s="55" customFormat="1" ht="12.75">
      <c r="A1047134" s="24"/>
      <c r="B1047134" s="24"/>
      <c r="C1047134" s="24"/>
      <c r="D1047134" s="24"/>
      <c r="E1047134" s="24"/>
      <c r="F1047134" s="24"/>
      <c r="G1047134" s="24"/>
      <c r="H1047134" s="24"/>
      <c r="I1047134" s="24"/>
      <c r="J1047134" s="24"/>
      <c r="K1047134" s="54"/>
    </row>
    <row r="1047135" spans="1:11" s="55" customFormat="1" ht="12.75">
      <c r="A1047135" s="24"/>
      <c r="B1047135" s="24"/>
      <c r="C1047135" s="24"/>
      <c r="D1047135" s="24"/>
      <c r="E1047135" s="24"/>
      <c r="F1047135" s="24"/>
      <c r="G1047135" s="24"/>
      <c r="H1047135" s="24"/>
      <c r="I1047135" s="24"/>
      <c r="J1047135" s="24"/>
      <c r="K1047135" s="54"/>
    </row>
    <row r="1047136" spans="1:11" s="55" customFormat="1" ht="12.75">
      <c r="A1047136" s="24"/>
      <c r="B1047136" s="24"/>
      <c r="C1047136" s="24"/>
      <c r="D1047136" s="24"/>
      <c r="E1047136" s="24"/>
      <c r="F1047136" s="24"/>
      <c r="G1047136" s="24"/>
      <c r="H1047136" s="24"/>
      <c r="I1047136" s="24"/>
      <c r="J1047136" s="24"/>
      <c r="K1047136" s="54"/>
    </row>
    <row r="1047137" spans="1:11" s="55" customFormat="1" ht="12.75">
      <c r="A1047137" s="24"/>
      <c r="B1047137" s="24"/>
      <c r="C1047137" s="24"/>
      <c r="D1047137" s="24"/>
      <c r="E1047137" s="24"/>
      <c r="F1047137" s="24"/>
      <c r="G1047137" s="24"/>
      <c r="H1047137" s="24"/>
      <c r="I1047137" s="24"/>
      <c r="J1047137" s="24"/>
      <c r="K1047137" s="54"/>
    </row>
    <row r="1047138" spans="1:11" s="55" customFormat="1" ht="12.75">
      <c r="A1047138" s="24"/>
      <c r="B1047138" s="24"/>
      <c r="C1047138" s="24"/>
      <c r="D1047138" s="24"/>
      <c r="E1047138" s="24"/>
      <c r="F1047138" s="24"/>
      <c r="G1047138" s="24"/>
      <c r="H1047138" s="24"/>
      <c r="I1047138" s="24"/>
      <c r="J1047138" s="24"/>
      <c r="K1047138" s="54"/>
    </row>
    <row r="1047139" spans="1:11" s="55" customFormat="1" ht="12.75">
      <c r="A1047139" s="24"/>
      <c r="B1047139" s="24"/>
      <c r="C1047139" s="24"/>
      <c r="D1047139" s="24"/>
      <c r="E1047139" s="24"/>
      <c r="F1047139" s="24"/>
      <c r="G1047139" s="24"/>
      <c r="H1047139" s="24"/>
      <c r="I1047139" s="24"/>
      <c r="J1047139" s="24"/>
      <c r="K1047139" s="54"/>
    </row>
    <row r="1047140" spans="1:11" s="55" customFormat="1" ht="12.75">
      <c r="A1047140" s="24"/>
      <c r="B1047140" s="24"/>
      <c r="C1047140" s="24"/>
      <c r="D1047140" s="24"/>
      <c r="E1047140" s="24"/>
      <c r="F1047140" s="24"/>
      <c r="G1047140" s="24"/>
      <c r="H1047140" s="24"/>
      <c r="I1047140" s="24"/>
      <c r="J1047140" s="24"/>
      <c r="K1047140" s="54"/>
    </row>
    <row r="1047141" spans="1:11" s="55" customFormat="1" ht="12.75">
      <c r="A1047141" s="24"/>
      <c r="B1047141" s="24"/>
      <c r="C1047141" s="24"/>
      <c r="D1047141" s="24"/>
      <c r="E1047141" s="24"/>
      <c r="F1047141" s="24"/>
      <c r="G1047141" s="24"/>
      <c r="H1047141" s="24"/>
      <c r="I1047141" s="24"/>
      <c r="J1047141" s="24"/>
      <c r="K1047141" s="54"/>
    </row>
    <row r="1047142" spans="1:11" s="55" customFormat="1" ht="12.75">
      <c r="A1047142" s="24"/>
      <c r="B1047142" s="24"/>
      <c r="C1047142" s="24"/>
      <c r="D1047142" s="24"/>
      <c r="E1047142" s="24"/>
      <c r="F1047142" s="24"/>
      <c r="G1047142" s="24"/>
      <c r="H1047142" s="24"/>
      <c r="I1047142" s="24"/>
      <c r="J1047142" s="24"/>
      <c r="K1047142" s="54"/>
    </row>
    <row r="1047143" spans="1:11" s="55" customFormat="1" ht="12.75">
      <c r="A1047143" s="24"/>
      <c r="B1047143" s="24"/>
      <c r="C1047143" s="24"/>
      <c r="D1047143" s="24"/>
      <c r="E1047143" s="24"/>
      <c r="F1047143" s="24"/>
      <c r="G1047143" s="24"/>
      <c r="H1047143" s="24"/>
      <c r="I1047143" s="24"/>
      <c r="J1047143" s="24"/>
      <c r="K1047143" s="54"/>
    </row>
    <row r="1047144" spans="1:11" s="55" customFormat="1" ht="12.75">
      <c r="A1047144" s="24"/>
      <c r="B1047144" s="24"/>
      <c r="C1047144" s="24"/>
      <c r="D1047144" s="24"/>
      <c r="E1047144" s="24"/>
      <c r="F1047144" s="24"/>
      <c r="G1047144" s="24"/>
      <c r="H1047144" s="24"/>
      <c r="I1047144" s="24"/>
      <c r="J1047144" s="24"/>
      <c r="K1047144" s="54"/>
    </row>
    <row r="1047145" spans="1:11" s="55" customFormat="1" ht="12.75">
      <c r="A1047145" s="24"/>
      <c r="B1047145" s="24"/>
      <c r="C1047145" s="24"/>
      <c r="D1047145" s="24"/>
      <c r="E1047145" s="24"/>
      <c r="F1047145" s="24"/>
      <c r="G1047145" s="24"/>
      <c r="H1047145" s="24"/>
      <c r="I1047145" s="24"/>
      <c r="J1047145" s="24"/>
      <c r="K1047145" s="54"/>
    </row>
    <row r="1047146" spans="1:11" s="55" customFormat="1" ht="12.75">
      <c r="A1047146" s="24"/>
      <c r="B1047146" s="24"/>
      <c r="C1047146" s="24"/>
      <c r="D1047146" s="24"/>
      <c r="E1047146" s="24"/>
      <c r="F1047146" s="24"/>
      <c r="G1047146" s="24"/>
      <c r="H1047146" s="24"/>
      <c r="I1047146" s="24"/>
      <c r="J1047146" s="24"/>
      <c r="K1047146" s="54"/>
    </row>
    <row r="1047147" spans="1:11" s="55" customFormat="1" ht="12.75">
      <c r="A1047147" s="24"/>
      <c r="B1047147" s="24"/>
      <c r="C1047147" s="24"/>
      <c r="D1047147" s="24"/>
      <c r="E1047147" s="24"/>
      <c r="F1047147" s="24"/>
      <c r="G1047147" s="24"/>
      <c r="H1047147" s="24"/>
      <c r="I1047147" s="24"/>
      <c r="J1047147" s="24"/>
      <c r="K1047147" s="54"/>
    </row>
    <row r="1047148" spans="1:11" s="55" customFormat="1" ht="12.75">
      <c r="A1047148" s="24"/>
      <c r="B1047148" s="24"/>
      <c r="C1047148" s="24"/>
      <c r="D1047148" s="24"/>
      <c r="E1047148" s="24"/>
      <c r="F1047148" s="24"/>
      <c r="G1047148" s="24"/>
      <c r="H1047148" s="24"/>
      <c r="I1047148" s="24"/>
      <c r="J1047148" s="24"/>
      <c r="K1047148" s="54"/>
    </row>
    <row r="1047149" spans="1:11" s="55" customFormat="1" ht="12.75">
      <c r="A1047149" s="24"/>
      <c r="B1047149" s="24"/>
      <c r="C1047149" s="24"/>
      <c r="D1047149" s="24"/>
      <c r="E1047149" s="24"/>
      <c r="F1047149" s="24"/>
      <c r="G1047149" s="24"/>
      <c r="H1047149" s="24"/>
      <c r="I1047149" s="24"/>
      <c r="J1047149" s="24"/>
      <c r="K1047149" s="54"/>
    </row>
    <row r="1047150" spans="1:11" s="55" customFormat="1" ht="12.75">
      <c r="A1047150" s="24"/>
      <c r="B1047150" s="24"/>
      <c r="C1047150" s="24"/>
      <c r="D1047150" s="24"/>
      <c r="E1047150" s="24"/>
      <c r="F1047150" s="24"/>
      <c r="G1047150" s="24"/>
      <c r="H1047150" s="24"/>
      <c r="I1047150" s="24"/>
      <c r="J1047150" s="24"/>
      <c r="K1047150" s="54"/>
    </row>
    <row r="1047151" spans="1:11" s="55" customFormat="1" ht="12.75">
      <c r="A1047151" s="24"/>
      <c r="B1047151" s="24"/>
      <c r="C1047151" s="24"/>
      <c r="D1047151" s="24"/>
      <c r="E1047151" s="24"/>
      <c r="F1047151" s="24"/>
      <c r="G1047151" s="24"/>
      <c r="H1047151" s="24"/>
      <c r="I1047151" s="24"/>
      <c r="J1047151" s="24"/>
      <c r="K1047151" s="54"/>
    </row>
    <row r="1047152" spans="1:11" s="55" customFormat="1" ht="12.75">
      <c r="A1047152" s="24"/>
      <c r="B1047152" s="24"/>
      <c r="C1047152" s="24"/>
      <c r="D1047152" s="24"/>
      <c r="E1047152" s="24"/>
      <c r="F1047152" s="24"/>
      <c r="G1047152" s="24"/>
      <c r="H1047152" s="24"/>
      <c r="I1047152" s="24"/>
      <c r="J1047152" s="24"/>
      <c r="K1047152" s="54"/>
    </row>
    <row r="1047153" spans="1:11" s="55" customFormat="1" ht="12.75">
      <c r="A1047153" s="24"/>
      <c r="B1047153" s="24"/>
      <c r="C1047153" s="24"/>
      <c r="D1047153" s="24"/>
      <c r="E1047153" s="24"/>
      <c r="F1047153" s="24"/>
      <c r="G1047153" s="24"/>
      <c r="H1047153" s="24"/>
      <c r="I1047153" s="24"/>
      <c r="J1047153" s="24"/>
      <c r="K1047153" s="54"/>
    </row>
    <row r="1047154" spans="1:11" s="55" customFormat="1" ht="12.75">
      <c r="A1047154" s="24"/>
      <c r="B1047154" s="24"/>
      <c r="C1047154" s="24"/>
      <c r="D1047154" s="24"/>
      <c r="E1047154" s="24"/>
      <c r="F1047154" s="24"/>
      <c r="G1047154" s="24"/>
      <c r="H1047154" s="24"/>
      <c r="I1047154" s="24"/>
      <c r="J1047154" s="24"/>
      <c r="K1047154" s="54"/>
    </row>
    <row r="1047155" spans="1:11" s="55" customFormat="1" ht="12.75">
      <c r="A1047155" s="24"/>
      <c r="B1047155" s="24"/>
      <c r="C1047155" s="24"/>
      <c r="D1047155" s="24"/>
      <c r="E1047155" s="24"/>
      <c r="F1047155" s="24"/>
      <c r="G1047155" s="24"/>
      <c r="H1047155" s="24"/>
      <c r="I1047155" s="24"/>
      <c r="J1047155" s="24"/>
      <c r="K1047155" s="54"/>
    </row>
    <row r="1047156" spans="1:11" s="55" customFormat="1" ht="12.75">
      <c r="A1047156" s="24"/>
      <c r="B1047156" s="24"/>
      <c r="C1047156" s="24"/>
      <c r="D1047156" s="24"/>
      <c r="E1047156" s="24"/>
      <c r="F1047156" s="24"/>
      <c r="G1047156" s="24"/>
      <c r="H1047156" s="24"/>
      <c r="I1047156" s="24"/>
      <c r="J1047156" s="24"/>
      <c r="K1047156" s="54"/>
    </row>
    <row r="1047157" spans="1:11" s="55" customFormat="1" ht="12.75">
      <c r="A1047157" s="24"/>
      <c r="B1047157" s="24"/>
      <c r="C1047157" s="24"/>
      <c r="D1047157" s="24"/>
      <c r="E1047157" s="24"/>
      <c r="F1047157" s="24"/>
      <c r="G1047157" s="24"/>
      <c r="H1047157" s="24"/>
      <c r="I1047157" s="24"/>
      <c r="J1047157" s="24"/>
      <c r="K1047157" s="54"/>
    </row>
    <row r="1047158" spans="1:11" s="55" customFormat="1" ht="12.75">
      <c r="A1047158" s="24"/>
      <c r="B1047158" s="24"/>
      <c r="C1047158" s="24"/>
      <c r="D1047158" s="24"/>
      <c r="E1047158" s="24"/>
      <c r="F1047158" s="24"/>
      <c r="G1047158" s="24"/>
      <c r="H1047158" s="24"/>
      <c r="I1047158" s="24"/>
      <c r="J1047158" s="24"/>
      <c r="K1047158" s="54"/>
    </row>
    <row r="1047159" spans="1:11" s="55" customFormat="1" ht="12.75">
      <c r="A1047159" s="24"/>
      <c r="B1047159" s="24"/>
      <c r="C1047159" s="24"/>
      <c r="D1047159" s="24"/>
      <c r="E1047159" s="24"/>
      <c r="F1047159" s="24"/>
      <c r="G1047159" s="24"/>
      <c r="H1047159" s="24"/>
      <c r="I1047159" s="24"/>
      <c r="J1047159" s="24"/>
      <c r="K1047159" s="54"/>
    </row>
    <row r="1047160" spans="1:11" s="55" customFormat="1" ht="12.75">
      <c r="A1047160" s="24"/>
      <c r="B1047160" s="24"/>
      <c r="C1047160" s="24"/>
      <c r="D1047160" s="24"/>
      <c r="E1047160" s="24"/>
      <c r="F1047160" s="24"/>
      <c r="G1047160" s="24"/>
      <c r="H1047160" s="24"/>
      <c r="I1047160" s="24"/>
      <c r="J1047160" s="24"/>
      <c r="K1047160" s="54"/>
    </row>
    <row r="1047161" spans="1:11" s="55" customFormat="1" ht="12.75">
      <c r="A1047161" s="24"/>
      <c r="B1047161" s="24"/>
      <c r="C1047161" s="24"/>
      <c r="D1047161" s="24"/>
      <c r="E1047161" s="24"/>
      <c r="F1047161" s="24"/>
      <c r="G1047161" s="24"/>
      <c r="H1047161" s="24"/>
      <c r="I1047161" s="24"/>
      <c r="J1047161" s="24"/>
      <c r="K1047161" s="54"/>
    </row>
    <row r="1047162" spans="1:11" s="55" customFormat="1" ht="12.75">
      <c r="A1047162" s="24"/>
      <c r="B1047162" s="24"/>
      <c r="C1047162" s="24"/>
      <c r="D1047162" s="24"/>
      <c r="E1047162" s="24"/>
      <c r="F1047162" s="24"/>
      <c r="G1047162" s="24"/>
      <c r="H1047162" s="24"/>
      <c r="I1047162" s="24"/>
      <c r="J1047162" s="24"/>
      <c r="K1047162" s="54"/>
    </row>
    <row r="1047163" spans="1:11" s="55" customFormat="1" ht="12.75">
      <c r="A1047163" s="24"/>
      <c r="B1047163" s="24"/>
      <c r="C1047163" s="24"/>
      <c r="D1047163" s="24"/>
      <c r="E1047163" s="24"/>
      <c r="F1047163" s="24"/>
      <c r="G1047163" s="24"/>
      <c r="H1047163" s="24"/>
      <c r="I1047163" s="24"/>
      <c r="J1047163" s="24"/>
      <c r="K1047163" s="54"/>
    </row>
    <row r="1047164" spans="1:11" s="55" customFormat="1" ht="12.75">
      <c r="A1047164" s="24"/>
      <c r="B1047164" s="24"/>
      <c r="C1047164" s="24"/>
      <c r="D1047164" s="24"/>
      <c r="E1047164" s="24"/>
      <c r="F1047164" s="24"/>
      <c r="G1047164" s="24"/>
      <c r="H1047164" s="24"/>
      <c r="I1047164" s="24"/>
      <c r="J1047164" s="24"/>
      <c r="K1047164" s="54"/>
    </row>
    <row r="1047165" spans="1:11" s="55" customFormat="1" ht="12.75">
      <c r="A1047165" s="24"/>
      <c r="B1047165" s="24"/>
      <c r="C1047165" s="24"/>
      <c r="D1047165" s="24"/>
      <c r="E1047165" s="24"/>
      <c r="F1047165" s="24"/>
      <c r="G1047165" s="24"/>
      <c r="H1047165" s="24"/>
      <c r="I1047165" s="24"/>
      <c r="J1047165" s="24"/>
      <c r="K1047165" s="54"/>
    </row>
    <row r="1047166" spans="1:11" s="55" customFormat="1" ht="12.75">
      <c r="A1047166" s="24"/>
      <c r="B1047166" s="24"/>
      <c r="C1047166" s="24"/>
      <c r="D1047166" s="24"/>
      <c r="E1047166" s="24"/>
      <c r="F1047166" s="24"/>
      <c r="G1047166" s="24"/>
      <c r="H1047166" s="24"/>
      <c r="I1047166" s="24"/>
      <c r="J1047166" s="24"/>
      <c r="K1047166" s="54"/>
    </row>
    <row r="1047167" spans="1:11" s="55" customFormat="1" ht="12.75">
      <c r="A1047167" s="24"/>
      <c r="B1047167" s="24"/>
      <c r="C1047167" s="24"/>
      <c r="D1047167" s="24"/>
      <c r="E1047167" s="24"/>
      <c r="F1047167" s="24"/>
      <c r="G1047167" s="24"/>
      <c r="H1047167" s="24"/>
      <c r="I1047167" s="24"/>
      <c r="J1047167" s="24"/>
      <c r="K1047167" s="54"/>
    </row>
    <row r="1047168" spans="1:11" s="55" customFormat="1" ht="12.75">
      <c r="A1047168" s="24"/>
      <c r="B1047168" s="24"/>
      <c r="C1047168" s="24"/>
      <c r="D1047168" s="24"/>
      <c r="E1047168" s="24"/>
      <c r="F1047168" s="24"/>
      <c r="G1047168" s="24"/>
      <c r="H1047168" s="24"/>
      <c r="I1047168" s="24"/>
      <c r="J1047168" s="24"/>
      <c r="K1047168" s="54"/>
    </row>
    <row r="1047169" spans="1:11" s="55" customFormat="1" ht="12.75">
      <c r="A1047169" s="24"/>
      <c r="B1047169" s="24"/>
      <c r="C1047169" s="24"/>
      <c r="D1047169" s="24"/>
      <c r="E1047169" s="24"/>
      <c r="F1047169" s="24"/>
      <c r="G1047169" s="24"/>
      <c r="H1047169" s="24"/>
      <c r="I1047169" s="24"/>
      <c r="J1047169" s="24"/>
      <c r="K1047169" s="54"/>
    </row>
    <row r="1047170" spans="1:11" s="55" customFormat="1" ht="12.75">
      <c r="A1047170" s="24"/>
      <c r="B1047170" s="24"/>
      <c r="C1047170" s="24"/>
      <c r="D1047170" s="24"/>
      <c r="E1047170" s="24"/>
      <c r="F1047170" s="24"/>
      <c r="G1047170" s="24"/>
      <c r="H1047170" s="24"/>
      <c r="I1047170" s="24"/>
      <c r="J1047170" s="24"/>
      <c r="K1047170" s="54"/>
    </row>
    <row r="1047171" spans="1:11" s="55" customFormat="1" ht="12.75">
      <c r="A1047171" s="24"/>
      <c r="B1047171" s="24"/>
      <c r="C1047171" s="24"/>
      <c r="D1047171" s="24"/>
      <c r="E1047171" s="24"/>
      <c r="F1047171" s="24"/>
      <c r="G1047171" s="24"/>
      <c r="H1047171" s="24"/>
      <c r="I1047171" s="24"/>
      <c r="J1047171" s="24"/>
      <c r="K1047171" s="54"/>
    </row>
    <row r="1047172" spans="1:11" s="55" customFormat="1" ht="12.75">
      <c r="A1047172" s="24"/>
      <c r="B1047172" s="24"/>
      <c r="C1047172" s="24"/>
      <c r="D1047172" s="24"/>
      <c r="E1047172" s="24"/>
      <c r="F1047172" s="24"/>
      <c r="G1047172" s="24"/>
      <c r="H1047172" s="24"/>
      <c r="I1047172" s="24"/>
      <c r="J1047172" s="24"/>
      <c r="K1047172" s="54"/>
    </row>
    <row r="1047173" spans="1:11" s="55" customFormat="1" ht="12.75">
      <c r="A1047173" s="24"/>
      <c r="B1047173" s="24"/>
      <c r="C1047173" s="24"/>
      <c r="D1047173" s="24"/>
      <c r="E1047173" s="24"/>
      <c r="F1047173" s="24"/>
      <c r="G1047173" s="24"/>
      <c r="H1047173" s="24"/>
      <c r="I1047173" s="24"/>
      <c r="J1047173" s="24"/>
      <c r="K1047173" s="54"/>
    </row>
    <row r="1047174" spans="1:11" s="55" customFormat="1" ht="12.75">
      <c r="A1047174" s="24"/>
      <c r="B1047174" s="24"/>
      <c r="C1047174" s="24"/>
      <c r="D1047174" s="24"/>
      <c r="E1047174" s="24"/>
      <c r="F1047174" s="24"/>
      <c r="G1047174" s="24"/>
      <c r="H1047174" s="24"/>
      <c r="I1047174" s="24"/>
      <c r="J1047174" s="24"/>
      <c r="K1047174" s="54"/>
    </row>
    <row r="1047175" spans="1:11" s="55" customFormat="1" ht="12.75">
      <c r="A1047175" s="24"/>
      <c r="B1047175" s="24"/>
      <c r="C1047175" s="24"/>
      <c r="D1047175" s="24"/>
      <c r="E1047175" s="24"/>
      <c r="F1047175" s="24"/>
      <c r="G1047175" s="24"/>
      <c r="H1047175" s="24"/>
      <c r="I1047175" s="24"/>
      <c r="J1047175" s="24"/>
      <c r="K1047175" s="54"/>
    </row>
    <row r="1047176" spans="1:11" s="55" customFormat="1" ht="12.75">
      <c r="A1047176" s="24"/>
      <c r="B1047176" s="24"/>
      <c r="C1047176" s="24"/>
      <c r="D1047176" s="24"/>
      <c r="E1047176" s="24"/>
      <c r="F1047176" s="24"/>
      <c r="G1047176" s="24"/>
      <c r="H1047176" s="24"/>
      <c r="I1047176" s="24"/>
      <c r="J1047176" s="24"/>
      <c r="K1047176" s="54"/>
    </row>
    <row r="1047177" spans="1:11" s="55" customFormat="1" ht="12.75">
      <c r="A1047177" s="24"/>
      <c r="B1047177" s="24"/>
      <c r="C1047177" s="24"/>
      <c r="D1047177" s="24"/>
      <c r="E1047177" s="24"/>
      <c r="F1047177" s="24"/>
      <c r="G1047177" s="24"/>
      <c r="H1047177" s="24"/>
      <c r="I1047177" s="24"/>
      <c r="J1047177" s="24"/>
      <c r="K1047177" s="54"/>
    </row>
    <row r="1047178" spans="1:11" s="55" customFormat="1" ht="12.75">
      <c r="A1047178" s="24"/>
      <c r="B1047178" s="24"/>
      <c r="C1047178" s="24"/>
      <c r="D1047178" s="24"/>
      <c r="E1047178" s="24"/>
      <c r="F1047178" s="24"/>
      <c r="G1047178" s="24"/>
      <c r="H1047178" s="24"/>
      <c r="I1047178" s="24"/>
      <c r="J1047178" s="24"/>
      <c r="K1047178" s="54"/>
    </row>
    <row r="1047179" spans="1:11" s="55" customFormat="1" ht="12.75">
      <c r="A1047179" s="24"/>
      <c r="B1047179" s="24"/>
      <c r="C1047179" s="24"/>
      <c r="D1047179" s="24"/>
      <c r="E1047179" s="24"/>
      <c r="F1047179" s="24"/>
      <c r="G1047179" s="24"/>
      <c r="H1047179" s="24"/>
      <c r="I1047179" s="24"/>
      <c r="J1047179" s="24"/>
      <c r="K1047179" s="54"/>
    </row>
    <row r="1047180" spans="1:11" s="55" customFormat="1" ht="12.75">
      <c r="A1047180" s="24"/>
      <c r="B1047180" s="24"/>
      <c r="C1047180" s="24"/>
      <c r="D1047180" s="24"/>
      <c r="E1047180" s="24"/>
      <c r="F1047180" s="24"/>
      <c r="G1047180" s="24"/>
      <c r="H1047180" s="24"/>
      <c r="I1047180" s="24"/>
      <c r="J1047180" s="24"/>
      <c r="K1047180" s="54"/>
    </row>
    <row r="1047181" spans="1:11" s="55" customFormat="1" ht="12.75">
      <c r="A1047181" s="24"/>
      <c r="B1047181" s="24"/>
      <c r="C1047181" s="24"/>
      <c r="D1047181" s="24"/>
      <c r="E1047181" s="24"/>
      <c r="F1047181" s="24"/>
      <c r="G1047181" s="24"/>
      <c r="H1047181" s="24"/>
      <c r="I1047181" s="24"/>
      <c r="J1047181" s="24"/>
      <c r="K1047181" s="54"/>
    </row>
    <row r="1047182" spans="1:11" s="55" customFormat="1" ht="12.75">
      <c r="A1047182" s="24"/>
      <c r="B1047182" s="24"/>
      <c r="C1047182" s="24"/>
      <c r="D1047182" s="24"/>
      <c r="E1047182" s="24"/>
      <c r="F1047182" s="24"/>
      <c r="G1047182" s="24"/>
      <c r="H1047182" s="24"/>
      <c r="I1047182" s="24"/>
      <c r="J1047182" s="24"/>
      <c r="K1047182" s="54"/>
    </row>
    <row r="1047183" spans="1:11" s="55" customFormat="1" ht="12.75">
      <c r="A1047183" s="24"/>
      <c r="B1047183" s="24"/>
      <c r="C1047183" s="24"/>
      <c r="D1047183" s="24"/>
      <c r="E1047183" s="24"/>
      <c r="F1047183" s="24"/>
      <c r="G1047183" s="24"/>
      <c r="H1047183" s="24"/>
      <c r="I1047183" s="24"/>
      <c r="J1047183" s="24"/>
      <c r="K1047183" s="54"/>
    </row>
    <row r="1047184" spans="1:11" s="55" customFormat="1" ht="12.75">
      <c r="A1047184" s="24"/>
      <c r="B1047184" s="24"/>
      <c r="C1047184" s="24"/>
      <c r="D1047184" s="24"/>
      <c r="E1047184" s="24"/>
      <c r="F1047184" s="24"/>
      <c r="G1047184" s="24"/>
      <c r="H1047184" s="24"/>
      <c r="I1047184" s="24"/>
      <c r="J1047184" s="24"/>
      <c r="K1047184" s="54"/>
    </row>
    <row r="1047185" spans="1:11" s="55" customFormat="1" ht="12.75">
      <c r="A1047185" s="24"/>
      <c r="B1047185" s="24"/>
      <c r="C1047185" s="24"/>
      <c r="D1047185" s="24"/>
      <c r="E1047185" s="24"/>
      <c r="F1047185" s="24"/>
      <c r="G1047185" s="24"/>
      <c r="H1047185" s="24"/>
      <c r="I1047185" s="24"/>
      <c r="J1047185" s="24"/>
      <c r="K1047185" s="54"/>
    </row>
    <row r="1047186" spans="1:11" s="55" customFormat="1" ht="12.75">
      <c r="A1047186" s="24"/>
      <c r="B1047186" s="24"/>
      <c r="C1047186" s="24"/>
      <c r="D1047186" s="24"/>
      <c r="E1047186" s="24"/>
      <c r="F1047186" s="24"/>
      <c r="G1047186" s="24"/>
      <c r="H1047186" s="24"/>
      <c r="I1047186" s="24"/>
      <c r="J1047186" s="24"/>
      <c r="K1047186" s="54"/>
    </row>
    <row r="1047187" spans="1:11" s="55" customFormat="1" ht="12.75">
      <c r="A1047187" s="24"/>
      <c r="B1047187" s="24"/>
      <c r="C1047187" s="24"/>
      <c r="D1047187" s="24"/>
      <c r="E1047187" s="24"/>
      <c r="F1047187" s="24"/>
      <c r="G1047187" s="24"/>
      <c r="H1047187" s="24"/>
      <c r="I1047187" s="24"/>
      <c r="J1047187" s="24"/>
      <c r="K1047187" s="54"/>
    </row>
    <row r="1047188" spans="1:11" s="55" customFormat="1" ht="12.75">
      <c r="A1047188" s="24"/>
      <c r="B1047188" s="24"/>
      <c r="C1047188" s="24"/>
      <c r="D1047188" s="24"/>
      <c r="E1047188" s="24"/>
      <c r="F1047188" s="24"/>
      <c r="G1047188" s="24"/>
      <c r="H1047188" s="24"/>
      <c r="I1047188" s="24"/>
      <c r="J1047188" s="24"/>
      <c r="K1047188" s="54"/>
    </row>
    <row r="1047189" spans="1:11" s="55" customFormat="1" ht="12.75">
      <c r="A1047189" s="24"/>
      <c r="B1047189" s="24"/>
      <c r="C1047189" s="24"/>
      <c r="D1047189" s="24"/>
      <c r="E1047189" s="24"/>
      <c r="F1047189" s="24"/>
      <c r="G1047189" s="24"/>
      <c r="H1047189" s="24"/>
      <c r="I1047189" s="24"/>
      <c r="J1047189" s="24"/>
      <c r="K1047189" s="54"/>
    </row>
    <row r="1047190" spans="1:11" s="55" customFormat="1" ht="12.75">
      <c r="A1047190" s="24"/>
      <c r="B1047190" s="24"/>
      <c r="C1047190" s="24"/>
      <c r="D1047190" s="24"/>
      <c r="E1047190" s="24"/>
      <c r="F1047190" s="24"/>
      <c r="G1047190" s="24"/>
      <c r="H1047190" s="24"/>
      <c r="I1047190" s="24"/>
      <c r="J1047190" s="24"/>
      <c r="K1047190" s="54"/>
    </row>
    <row r="1047191" spans="1:11" s="55" customFormat="1" ht="12.75">
      <c r="A1047191" s="24"/>
      <c r="B1047191" s="24"/>
      <c r="C1047191" s="24"/>
      <c r="D1047191" s="24"/>
      <c r="E1047191" s="24"/>
      <c r="F1047191" s="24"/>
      <c r="G1047191" s="24"/>
      <c r="H1047191" s="24"/>
      <c r="I1047191" s="24"/>
      <c r="J1047191" s="24"/>
      <c r="K1047191" s="54"/>
    </row>
    <row r="1047192" spans="1:11" s="55" customFormat="1" ht="12.75">
      <c r="A1047192" s="24"/>
      <c r="B1047192" s="24"/>
      <c r="C1047192" s="24"/>
      <c r="D1047192" s="24"/>
      <c r="E1047192" s="24"/>
      <c r="F1047192" s="24"/>
      <c r="G1047192" s="24"/>
      <c r="H1047192" s="24"/>
      <c r="I1047192" s="24"/>
      <c r="J1047192" s="24"/>
      <c r="K1047192" s="54"/>
    </row>
    <row r="1047193" spans="1:11" s="55" customFormat="1" ht="12.75">
      <c r="A1047193" s="24"/>
      <c r="B1047193" s="24"/>
      <c r="C1047193" s="24"/>
      <c r="D1047193" s="24"/>
      <c r="E1047193" s="24"/>
      <c r="F1047193" s="24"/>
      <c r="G1047193" s="24"/>
      <c r="H1047193" s="24"/>
      <c r="I1047193" s="24"/>
      <c r="J1047193" s="24"/>
      <c r="K1047193" s="54"/>
    </row>
    <row r="1047194" spans="1:11" s="55" customFormat="1" ht="12.75">
      <c r="A1047194" s="24"/>
      <c r="B1047194" s="24"/>
      <c r="C1047194" s="24"/>
      <c r="D1047194" s="24"/>
      <c r="E1047194" s="24"/>
      <c r="F1047194" s="24"/>
      <c r="G1047194" s="24"/>
      <c r="H1047194" s="24"/>
      <c r="I1047194" s="24"/>
      <c r="J1047194" s="24"/>
      <c r="K1047194" s="54"/>
    </row>
    <row r="1047195" spans="1:11" s="55" customFormat="1" ht="12.75">
      <c r="A1047195" s="24"/>
      <c r="B1047195" s="24"/>
      <c r="C1047195" s="24"/>
      <c r="D1047195" s="24"/>
      <c r="E1047195" s="24"/>
      <c r="F1047195" s="24"/>
      <c r="G1047195" s="24"/>
      <c r="H1047195" s="24"/>
      <c r="I1047195" s="24"/>
      <c r="J1047195" s="24"/>
      <c r="K1047195" s="54"/>
    </row>
    <row r="1047196" spans="1:11" s="55" customFormat="1" ht="12.75">
      <c r="A1047196" s="24"/>
      <c r="B1047196" s="24"/>
      <c r="C1047196" s="24"/>
      <c r="D1047196" s="24"/>
      <c r="E1047196" s="24"/>
      <c r="F1047196" s="24"/>
      <c r="G1047196" s="24"/>
      <c r="H1047196" s="24"/>
      <c r="I1047196" s="24"/>
      <c r="J1047196" s="24"/>
      <c r="K1047196" s="54"/>
    </row>
    <row r="1047197" spans="1:11" s="55" customFormat="1" ht="12.75">
      <c r="A1047197" s="24"/>
      <c r="B1047197" s="24"/>
      <c r="C1047197" s="24"/>
      <c r="D1047197" s="24"/>
      <c r="E1047197" s="24"/>
      <c r="F1047197" s="24"/>
      <c r="G1047197" s="24"/>
      <c r="H1047197" s="24"/>
      <c r="I1047197" s="24"/>
      <c r="J1047197" s="24"/>
      <c r="K1047197" s="54"/>
    </row>
    <row r="1047198" spans="1:11" s="55" customFormat="1" ht="12.75">
      <c r="A1047198" s="24"/>
      <c r="B1047198" s="24"/>
      <c r="C1047198" s="24"/>
      <c r="D1047198" s="24"/>
      <c r="E1047198" s="24"/>
      <c r="F1047198" s="24"/>
      <c r="G1047198" s="24"/>
      <c r="H1047198" s="24"/>
      <c r="I1047198" s="24"/>
      <c r="J1047198" s="24"/>
      <c r="K1047198" s="54"/>
    </row>
    <row r="1047199" spans="1:11" s="55" customFormat="1" ht="12.75">
      <c r="A1047199" s="24"/>
      <c r="B1047199" s="24"/>
      <c r="C1047199" s="24"/>
      <c r="D1047199" s="24"/>
      <c r="E1047199" s="24"/>
      <c r="F1047199" s="24"/>
      <c r="G1047199" s="24"/>
      <c r="H1047199" s="24"/>
      <c r="I1047199" s="24"/>
      <c r="J1047199" s="24"/>
      <c r="K1047199" s="54"/>
    </row>
    <row r="1047200" spans="1:11" s="55" customFormat="1" ht="12.75">
      <c r="A1047200" s="24"/>
      <c r="B1047200" s="24"/>
      <c r="C1047200" s="24"/>
      <c r="D1047200" s="24"/>
      <c r="E1047200" s="24"/>
      <c r="F1047200" s="24"/>
      <c r="G1047200" s="24"/>
      <c r="H1047200" s="24"/>
      <c r="I1047200" s="24"/>
      <c r="J1047200" s="24"/>
      <c r="K1047200" s="54"/>
    </row>
    <row r="1047201" spans="1:11" s="55" customFormat="1" ht="12.75">
      <c r="A1047201" s="24"/>
      <c r="B1047201" s="24"/>
      <c r="C1047201" s="24"/>
      <c r="D1047201" s="24"/>
      <c r="E1047201" s="24"/>
      <c r="F1047201" s="24"/>
      <c r="G1047201" s="24"/>
      <c r="H1047201" s="24"/>
      <c r="I1047201" s="24"/>
      <c r="J1047201" s="24"/>
      <c r="K1047201" s="54"/>
    </row>
    <row r="1047202" spans="1:11" s="55" customFormat="1" ht="12.75">
      <c r="A1047202" s="24"/>
      <c r="B1047202" s="24"/>
      <c r="C1047202" s="24"/>
      <c r="D1047202" s="24"/>
      <c r="E1047202" s="24"/>
      <c r="F1047202" s="24"/>
      <c r="G1047202" s="24"/>
      <c r="H1047202" s="24"/>
      <c r="I1047202" s="24"/>
      <c r="J1047202" s="24"/>
      <c r="K1047202" s="54"/>
    </row>
    <row r="1047203" spans="1:11" s="55" customFormat="1" ht="12.75">
      <c r="A1047203" s="24"/>
      <c r="B1047203" s="24"/>
      <c r="C1047203" s="24"/>
      <c r="D1047203" s="24"/>
      <c r="E1047203" s="24"/>
      <c r="F1047203" s="24"/>
      <c r="G1047203" s="24"/>
      <c r="H1047203" s="24"/>
      <c r="I1047203" s="24"/>
      <c r="J1047203" s="24"/>
      <c r="K1047203" s="54"/>
    </row>
    <row r="1047204" spans="1:11" s="55" customFormat="1" ht="12.75">
      <c r="A1047204" s="24"/>
      <c r="B1047204" s="24"/>
      <c r="C1047204" s="24"/>
      <c r="D1047204" s="24"/>
      <c r="E1047204" s="24"/>
      <c r="F1047204" s="24"/>
      <c r="G1047204" s="24"/>
      <c r="H1047204" s="24"/>
      <c r="I1047204" s="24"/>
      <c r="J1047204" s="24"/>
      <c r="K1047204" s="54"/>
    </row>
    <row r="1047205" spans="1:11" s="55" customFormat="1" ht="12.75">
      <c r="A1047205" s="24"/>
      <c r="B1047205" s="24"/>
      <c r="C1047205" s="24"/>
      <c r="D1047205" s="24"/>
      <c r="E1047205" s="24"/>
      <c r="F1047205" s="24"/>
      <c r="G1047205" s="24"/>
      <c r="H1047205" s="24"/>
      <c r="I1047205" s="24"/>
      <c r="J1047205" s="24"/>
      <c r="K1047205" s="54"/>
    </row>
    <row r="1047206" spans="1:11" s="55" customFormat="1" ht="12.75">
      <c r="A1047206" s="24"/>
      <c r="B1047206" s="24"/>
      <c r="C1047206" s="24"/>
      <c r="D1047206" s="24"/>
      <c r="E1047206" s="24"/>
      <c r="F1047206" s="24"/>
      <c r="G1047206" s="24"/>
      <c r="H1047206" s="24"/>
      <c r="I1047206" s="24"/>
      <c r="J1047206" s="24"/>
      <c r="K1047206" s="54"/>
    </row>
    <row r="1047207" spans="1:11" s="55" customFormat="1" ht="12.75">
      <c r="A1047207" s="24"/>
      <c r="B1047207" s="24"/>
      <c r="C1047207" s="24"/>
      <c r="D1047207" s="24"/>
      <c r="E1047207" s="24"/>
      <c r="F1047207" s="24"/>
      <c r="G1047207" s="24"/>
      <c r="H1047207" s="24"/>
      <c r="I1047207" s="24"/>
      <c r="J1047207" s="24"/>
      <c r="K1047207" s="54"/>
    </row>
    <row r="1047208" spans="1:11" s="55" customFormat="1" ht="12.75">
      <c r="A1047208" s="24"/>
      <c r="B1047208" s="24"/>
      <c r="C1047208" s="24"/>
      <c r="D1047208" s="24"/>
      <c r="E1047208" s="24"/>
      <c r="F1047208" s="24"/>
      <c r="G1047208" s="24"/>
      <c r="H1047208" s="24"/>
      <c r="I1047208" s="24"/>
      <c r="J1047208" s="24"/>
      <c r="K1047208" s="54"/>
    </row>
    <row r="1047209" spans="1:11" s="55" customFormat="1" ht="12.75">
      <c r="A1047209" s="24"/>
      <c r="B1047209" s="24"/>
      <c r="C1047209" s="24"/>
      <c r="D1047209" s="24"/>
      <c r="E1047209" s="24"/>
      <c r="F1047209" s="24"/>
      <c r="G1047209" s="24"/>
      <c r="H1047209" s="24"/>
      <c r="I1047209" s="24"/>
      <c r="J1047209" s="24"/>
      <c r="K1047209" s="54"/>
    </row>
    <row r="1047210" spans="1:11" s="55" customFormat="1" ht="12.75">
      <c r="A1047210" s="24"/>
      <c r="B1047210" s="24"/>
      <c r="C1047210" s="24"/>
      <c r="D1047210" s="24"/>
      <c r="E1047210" s="24"/>
      <c r="F1047210" s="24"/>
      <c r="G1047210" s="24"/>
      <c r="H1047210" s="24"/>
      <c r="I1047210" s="24"/>
      <c r="J1047210" s="24"/>
      <c r="K1047210" s="54"/>
    </row>
    <row r="1047211" spans="1:11" s="55" customFormat="1" ht="12.75">
      <c r="A1047211" s="24"/>
      <c r="B1047211" s="24"/>
      <c r="C1047211" s="24"/>
      <c r="D1047211" s="24"/>
      <c r="E1047211" s="24"/>
      <c r="F1047211" s="24"/>
      <c r="G1047211" s="24"/>
      <c r="H1047211" s="24"/>
      <c r="I1047211" s="24"/>
      <c r="J1047211" s="24"/>
      <c r="K1047211" s="54"/>
    </row>
    <row r="1047212" spans="1:11" s="55" customFormat="1" ht="12.75">
      <c r="A1047212" s="24"/>
      <c r="B1047212" s="24"/>
      <c r="C1047212" s="24"/>
      <c r="D1047212" s="24"/>
      <c r="E1047212" s="24"/>
      <c r="F1047212" s="24"/>
      <c r="G1047212" s="24"/>
      <c r="H1047212" s="24"/>
      <c r="I1047212" s="24"/>
      <c r="J1047212" s="24"/>
      <c r="K1047212" s="54"/>
    </row>
    <row r="1047213" spans="1:11" s="55" customFormat="1" ht="12.75">
      <c r="A1047213" s="24"/>
      <c r="B1047213" s="24"/>
      <c r="C1047213" s="24"/>
      <c r="D1047213" s="24"/>
      <c r="E1047213" s="24"/>
      <c r="F1047213" s="24"/>
      <c r="G1047213" s="24"/>
      <c r="H1047213" s="24"/>
      <c r="I1047213" s="24"/>
      <c r="J1047213" s="24"/>
      <c r="K1047213" s="54"/>
    </row>
    <row r="1047214" spans="1:11" s="55" customFormat="1" ht="12.75">
      <c r="A1047214" s="24"/>
      <c r="B1047214" s="24"/>
      <c r="C1047214" s="24"/>
      <c r="D1047214" s="24"/>
      <c r="E1047214" s="24"/>
      <c r="F1047214" s="24"/>
      <c r="G1047214" s="24"/>
      <c r="H1047214" s="24"/>
      <c r="I1047214" s="24"/>
      <c r="J1047214" s="24"/>
      <c r="K1047214" s="54"/>
    </row>
    <row r="1047215" spans="1:11" s="55" customFormat="1" ht="12.75">
      <c r="A1047215" s="24"/>
      <c r="B1047215" s="24"/>
      <c r="C1047215" s="24"/>
      <c r="D1047215" s="24"/>
      <c r="E1047215" s="24"/>
      <c r="F1047215" s="24"/>
      <c r="G1047215" s="24"/>
      <c r="H1047215" s="24"/>
      <c r="I1047215" s="24"/>
      <c r="J1047215" s="24"/>
      <c r="K1047215" s="54"/>
    </row>
    <row r="1047216" spans="1:11" s="55" customFormat="1" ht="12.75">
      <c r="A1047216" s="24"/>
      <c r="B1047216" s="24"/>
      <c r="C1047216" s="24"/>
      <c r="D1047216" s="24"/>
      <c r="E1047216" s="24"/>
      <c r="F1047216" s="24"/>
      <c r="G1047216" s="24"/>
      <c r="H1047216" s="24"/>
      <c r="I1047216" s="24"/>
      <c r="J1047216" s="24"/>
      <c r="K1047216" s="54"/>
    </row>
    <row r="1047217" spans="1:11" s="55" customFormat="1" ht="12.75">
      <c r="A1047217" s="24"/>
      <c r="B1047217" s="24"/>
      <c r="C1047217" s="24"/>
      <c r="D1047217" s="24"/>
      <c r="E1047217" s="24"/>
      <c r="F1047217" s="24"/>
      <c r="G1047217" s="24"/>
      <c r="H1047217" s="24"/>
      <c r="I1047217" s="24"/>
      <c r="J1047217" s="24"/>
      <c r="K1047217" s="54"/>
    </row>
    <row r="1047218" spans="1:11" s="55" customFormat="1" ht="12.75">
      <c r="A1047218" s="24"/>
      <c r="B1047218" s="24"/>
      <c r="C1047218" s="24"/>
      <c r="D1047218" s="24"/>
      <c r="E1047218" s="24"/>
      <c r="F1047218" s="24"/>
      <c r="G1047218" s="24"/>
      <c r="H1047218" s="24"/>
      <c r="I1047218" s="24"/>
      <c r="J1047218" s="24"/>
      <c r="K1047218" s="54"/>
    </row>
    <row r="1047219" spans="1:11" s="55" customFormat="1" ht="12.75">
      <c r="A1047219" s="24"/>
      <c r="B1047219" s="24"/>
      <c r="C1047219" s="24"/>
      <c r="D1047219" s="24"/>
      <c r="E1047219" s="24"/>
      <c r="F1047219" s="24"/>
      <c r="G1047219" s="24"/>
      <c r="H1047219" s="24"/>
      <c r="I1047219" s="24"/>
      <c r="J1047219" s="24"/>
      <c r="K1047219" s="54"/>
    </row>
    <row r="1047220" spans="1:11" s="55" customFormat="1" ht="12.75">
      <c r="A1047220" s="24"/>
      <c r="B1047220" s="24"/>
      <c r="C1047220" s="24"/>
      <c r="D1047220" s="24"/>
      <c r="E1047220" s="24"/>
      <c r="F1047220" s="24"/>
      <c r="G1047220" s="24"/>
      <c r="H1047220" s="24"/>
      <c r="I1047220" s="24"/>
      <c r="J1047220" s="24"/>
      <c r="K1047220" s="54"/>
    </row>
    <row r="1047221" spans="1:11" s="55" customFormat="1" ht="12.75">
      <c r="A1047221" s="24"/>
      <c r="B1047221" s="24"/>
      <c r="C1047221" s="24"/>
      <c r="D1047221" s="24"/>
      <c r="E1047221" s="24"/>
      <c r="F1047221" s="24"/>
      <c r="G1047221" s="24"/>
      <c r="H1047221" s="24"/>
      <c r="I1047221" s="24"/>
      <c r="J1047221" s="24"/>
      <c r="K1047221" s="54"/>
    </row>
    <row r="1047222" spans="1:11" s="55" customFormat="1" ht="12.75">
      <c r="A1047222" s="24"/>
      <c r="B1047222" s="24"/>
      <c r="C1047222" s="24"/>
      <c r="D1047222" s="24"/>
      <c r="E1047222" s="24"/>
      <c r="F1047222" s="24"/>
      <c r="G1047222" s="24"/>
      <c r="H1047222" s="24"/>
      <c r="I1047222" s="24"/>
      <c r="J1047222" s="24"/>
      <c r="K1047222" s="54"/>
    </row>
    <row r="1047223" spans="1:11" s="55" customFormat="1" ht="12.75">
      <c r="A1047223" s="24"/>
      <c r="B1047223" s="24"/>
      <c r="C1047223" s="24"/>
      <c r="D1047223" s="24"/>
      <c r="E1047223" s="24"/>
      <c r="F1047223" s="24"/>
      <c r="G1047223" s="24"/>
      <c r="H1047223" s="24"/>
      <c r="I1047223" s="24"/>
      <c r="J1047223" s="24"/>
      <c r="K1047223" s="54"/>
    </row>
    <row r="1047224" spans="1:11" s="55" customFormat="1" ht="12.75">
      <c r="A1047224" s="24"/>
      <c r="B1047224" s="24"/>
      <c r="C1047224" s="24"/>
      <c r="D1047224" s="24"/>
      <c r="E1047224" s="24"/>
      <c r="F1047224" s="24"/>
      <c r="G1047224" s="24"/>
      <c r="H1047224" s="24"/>
      <c r="I1047224" s="24"/>
      <c r="J1047224" s="24"/>
      <c r="K1047224" s="54"/>
    </row>
    <row r="1047225" spans="1:11" s="55" customFormat="1" ht="12.75">
      <c r="A1047225" s="24"/>
      <c r="B1047225" s="24"/>
      <c r="C1047225" s="24"/>
      <c r="D1047225" s="24"/>
      <c r="E1047225" s="24"/>
      <c r="F1047225" s="24"/>
      <c r="G1047225" s="24"/>
      <c r="H1047225" s="24"/>
      <c r="I1047225" s="24"/>
      <c r="J1047225" s="24"/>
      <c r="K1047225" s="54"/>
    </row>
    <row r="1047226" spans="1:11" s="55" customFormat="1" ht="12.75">
      <c r="A1047226" s="24"/>
      <c r="B1047226" s="24"/>
      <c r="C1047226" s="24"/>
      <c r="D1047226" s="24"/>
      <c r="E1047226" s="24"/>
      <c r="F1047226" s="24"/>
      <c r="G1047226" s="24"/>
      <c r="H1047226" s="24"/>
      <c r="I1047226" s="24"/>
      <c r="J1047226" s="24"/>
      <c r="K1047226" s="54"/>
    </row>
    <row r="1047227" spans="1:11" s="55" customFormat="1" ht="12.75">
      <c r="A1047227" s="24"/>
      <c r="B1047227" s="24"/>
      <c r="C1047227" s="24"/>
      <c r="D1047227" s="24"/>
      <c r="E1047227" s="24"/>
      <c r="F1047227" s="24"/>
      <c r="G1047227" s="24"/>
      <c r="H1047227" s="24"/>
      <c r="I1047227" s="24"/>
      <c r="J1047227" s="24"/>
      <c r="K1047227" s="54"/>
    </row>
    <row r="1047228" spans="1:11" s="55" customFormat="1" ht="12.75">
      <c r="A1047228" s="24"/>
      <c r="B1047228" s="24"/>
      <c r="C1047228" s="24"/>
      <c r="D1047228" s="24"/>
      <c r="E1047228" s="24"/>
      <c r="F1047228" s="24"/>
      <c r="G1047228" s="24"/>
      <c r="H1047228" s="24"/>
      <c r="I1047228" s="24"/>
      <c r="J1047228" s="24"/>
      <c r="K1047228" s="54"/>
    </row>
    <row r="1047229" spans="1:11" s="55" customFormat="1" ht="12.75">
      <c r="A1047229" s="24"/>
      <c r="B1047229" s="24"/>
      <c r="C1047229" s="24"/>
      <c r="D1047229" s="24"/>
      <c r="E1047229" s="24"/>
      <c r="F1047229" s="24"/>
      <c r="G1047229" s="24"/>
      <c r="H1047229" s="24"/>
      <c r="I1047229" s="24"/>
      <c r="J1047229" s="24"/>
      <c r="K1047229" s="54"/>
    </row>
    <row r="1047230" spans="1:11" s="55" customFormat="1" ht="12.75">
      <c r="A1047230" s="24"/>
      <c r="B1047230" s="24"/>
      <c r="C1047230" s="24"/>
      <c r="D1047230" s="24"/>
      <c r="E1047230" s="24"/>
      <c r="F1047230" s="24"/>
      <c r="G1047230" s="24"/>
      <c r="H1047230" s="24"/>
      <c r="I1047230" s="24"/>
      <c r="J1047230" s="24"/>
      <c r="K1047230" s="54"/>
    </row>
    <row r="1047231" spans="1:11" s="55" customFormat="1" ht="12.75">
      <c r="A1047231" s="24"/>
      <c r="B1047231" s="24"/>
      <c r="C1047231" s="24"/>
      <c r="D1047231" s="24"/>
      <c r="E1047231" s="24"/>
      <c r="F1047231" s="24"/>
      <c r="G1047231" s="24"/>
      <c r="H1047231" s="24"/>
      <c r="I1047231" s="24"/>
      <c r="J1047231" s="24"/>
      <c r="K1047231" s="54"/>
    </row>
    <row r="1047232" spans="1:11" s="55" customFormat="1" ht="12.75">
      <c r="A1047232" s="24"/>
      <c r="B1047232" s="24"/>
      <c r="C1047232" s="24"/>
      <c r="D1047232" s="24"/>
      <c r="E1047232" s="24"/>
      <c r="F1047232" s="24"/>
      <c r="G1047232" s="24"/>
      <c r="H1047232" s="24"/>
      <c r="I1047232" s="24"/>
      <c r="J1047232" s="24"/>
      <c r="K1047232" s="54"/>
    </row>
    <row r="1047233" spans="1:11" s="55" customFormat="1" ht="12.75">
      <c r="A1047233" s="24"/>
      <c r="B1047233" s="24"/>
      <c r="C1047233" s="24"/>
      <c r="D1047233" s="24"/>
      <c r="E1047233" s="24"/>
      <c r="F1047233" s="24"/>
      <c r="G1047233" s="24"/>
      <c r="H1047233" s="24"/>
      <c r="I1047233" s="24"/>
      <c r="J1047233" s="24"/>
      <c r="K1047233" s="54"/>
    </row>
    <row r="1047234" spans="1:11" s="55" customFormat="1" ht="12.75">
      <c r="A1047234" s="24"/>
      <c r="B1047234" s="24"/>
      <c r="C1047234" s="24"/>
      <c r="D1047234" s="24"/>
      <c r="E1047234" s="24"/>
      <c r="F1047234" s="24"/>
      <c r="G1047234" s="24"/>
      <c r="H1047234" s="24"/>
      <c r="I1047234" s="24"/>
      <c r="J1047234" s="24"/>
      <c r="K1047234" s="54"/>
    </row>
    <row r="1047235" spans="1:11" s="55" customFormat="1" ht="12.75">
      <c r="A1047235" s="24"/>
      <c r="B1047235" s="24"/>
      <c r="C1047235" s="24"/>
      <c r="D1047235" s="24"/>
      <c r="E1047235" s="24"/>
      <c r="F1047235" s="24"/>
      <c r="G1047235" s="24"/>
      <c r="H1047235" s="24"/>
      <c r="I1047235" s="24"/>
      <c r="J1047235" s="24"/>
      <c r="K1047235" s="54"/>
    </row>
    <row r="1047236" spans="1:11" s="55" customFormat="1" ht="12.75">
      <c r="A1047236" s="24"/>
      <c r="B1047236" s="24"/>
      <c r="C1047236" s="24"/>
      <c r="D1047236" s="24"/>
      <c r="E1047236" s="24"/>
      <c r="F1047236" s="24"/>
      <c r="G1047236" s="24"/>
      <c r="H1047236" s="24"/>
      <c r="I1047236" s="24"/>
      <c r="J1047236" s="24"/>
      <c r="K1047236" s="54"/>
    </row>
    <row r="1047237" spans="1:11" s="55" customFormat="1" ht="12.75">
      <c r="A1047237" s="24"/>
      <c r="B1047237" s="24"/>
      <c r="C1047237" s="24"/>
      <c r="D1047237" s="24"/>
      <c r="E1047237" s="24"/>
      <c r="F1047237" s="24"/>
      <c r="G1047237" s="24"/>
      <c r="H1047237" s="24"/>
      <c r="I1047237" s="24"/>
      <c r="J1047237" s="24"/>
      <c r="K1047237" s="54"/>
    </row>
    <row r="1047238" spans="1:11" s="55" customFormat="1" ht="12.75">
      <c r="A1047238" s="24"/>
      <c r="B1047238" s="24"/>
      <c r="C1047238" s="24"/>
      <c r="D1047238" s="24"/>
      <c r="E1047238" s="24"/>
      <c r="F1047238" s="24"/>
      <c r="G1047238" s="24"/>
      <c r="H1047238" s="24"/>
      <c r="I1047238" s="24"/>
      <c r="J1047238" s="24"/>
      <c r="K1047238" s="54"/>
    </row>
    <row r="1047239" spans="1:11" s="55" customFormat="1" ht="12.75">
      <c r="A1047239" s="24"/>
      <c r="B1047239" s="24"/>
      <c r="C1047239" s="24"/>
      <c r="D1047239" s="24"/>
      <c r="E1047239" s="24"/>
      <c r="F1047239" s="24"/>
      <c r="G1047239" s="24"/>
      <c r="H1047239" s="24"/>
      <c r="I1047239" s="24"/>
      <c r="J1047239" s="24"/>
      <c r="K1047239" s="54"/>
    </row>
    <row r="1047240" spans="1:11" s="55" customFormat="1" ht="12.75">
      <c r="A1047240" s="24"/>
      <c r="B1047240" s="24"/>
      <c r="C1047240" s="24"/>
      <c r="D1047240" s="24"/>
      <c r="E1047240" s="24"/>
      <c r="F1047240" s="24"/>
      <c r="G1047240" s="24"/>
      <c r="H1047240" s="24"/>
      <c r="I1047240" s="24"/>
      <c r="J1047240" s="24"/>
      <c r="K1047240" s="54"/>
    </row>
    <row r="1047241" spans="1:11" s="55" customFormat="1" ht="12.75">
      <c r="A1047241" s="24"/>
      <c r="B1047241" s="24"/>
      <c r="C1047241" s="24"/>
      <c r="D1047241" s="24"/>
      <c r="E1047241" s="24"/>
      <c r="F1047241" s="24"/>
      <c r="G1047241" s="24"/>
      <c r="H1047241" s="24"/>
      <c r="I1047241" s="24"/>
      <c r="J1047241" s="24"/>
      <c r="K1047241" s="54"/>
    </row>
    <row r="1047242" spans="1:11" s="55" customFormat="1" ht="12.75">
      <c r="A1047242" s="24"/>
      <c r="B1047242" s="24"/>
      <c r="C1047242" s="24"/>
      <c r="D1047242" s="24"/>
      <c r="E1047242" s="24"/>
      <c r="F1047242" s="24"/>
      <c r="G1047242" s="24"/>
      <c r="H1047242" s="24"/>
      <c r="I1047242" s="24"/>
      <c r="J1047242" s="24"/>
      <c r="K1047242" s="54"/>
    </row>
    <row r="1047243" spans="1:11" s="55" customFormat="1" ht="12.75">
      <c r="A1047243" s="24"/>
      <c r="B1047243" s="24"/>
      <c r="C1047243" s="24"/>
      <c r="D1047243" s="24"/>
      <c r="E1047243" s="24"/>
      <c r="F1047243" s="24"/>
      <c r="G1047243" s="24"/>
      <c r="H1047243" s="24"/>
      <c r="I1047243" s="24"/>
      <c r="J1047243" s="24"/>
      <c r="K1047243" s="54"/>
    </row>
    <row r="1047244" spans="1:11" s="55" customFormat="1" ht="12.75">
      <c r="A1047244" s="24"/>
      <c r="B1047244" s="24"/>
      <c r="C1047244" s="24"/>
      <c r="D1047244" s="24"/>
      <c r="E1047244" s="24"/>
      <c r="F1047244" s="24"/>
      <c r="G1047244" s="24"/>
      <c r="H1047244" s="24"/>
      <c r="I1047244" s="24"/>
      <c r="J1047244" s="24"/>
      <c r="K1047244" s="54"/>
    </row>
    <row r="1047245" spans="1:11" s="55" customFormat="1" ht="12.75">
      <c r="A1047245" s="24"/>
      <c r="B1047245" s="24"/>
      <c r="C1047245" s="24"/>
      <c r="D1047245" s="24"/>
      <c r="E1047245" s="24"/>
      <c r="F1047245" s="24"/>
      <c r="G1047245" s="24"/>
      <c r="H1047245" s="24"/>
      <c r="I1047245" s="24"/>
      <c r="J1047245" s="24"/>
      <c r="K1047245" s="54"/>
    </row>
    <row r="1047246" spans="1:11" s="55" customFormat="1" ht="12.75">
      <c r="A1047246" s="24"/>
      <c r="B1047246" s="24"/>
      <c r="C1047246" s="24"/>
      <c r="D1047246" s="24"/>
      <c r="E1047246" s="24"/>
      <c r="F1047246" s="24"/>
      <c r="G1047246" s="24"/>
      <c r="H1047246" s="24"/>
      <c r="I1047246" s="24"/>
      <c r="J1047246" s="24"/>
      <c r="K1047246" s="54"/>
    </row>
    <row r="1047247" spans="1:11" s="55" customFormat="1" ht="12.75">
      <c r="A1047247" s="24"/>
      <c r="B1047247" s="24"/>
      <c r="C1047247" s="24"/>
      <c r="D1047247" s="24"/>
      <c r="E1047247" s="24"/>
      <c r="F1047247" s="24"/>
      <c r="G1047247" s="24"/>
      <c r="H1047247" s="24"/>
      <c r="I1047247" s="24"/>
      <c r="J1047247" s="24"/>
      <c r="K1047247" s="54"/>
    </row>
    <row r="1047248" spans="1:11" s="55" customFormat="1" ht="12.75">
      <c r="A1047248" s="24"/>
      <c r="B1047248" s="24"/>
      <c r="C1047248" s="24"/>
      <c r="D1047248" s="24"/>
      <c r="E1047248" s="24"/>
      <c r="F1047248" s="24"/>
      <c r="G1047248" s="24"/>
      <c r="H1047248" s="24"/>
      <c r="I1047248" s="24"/>
      <c r="J1047248" s="24"/>
      <c r="K1047248" s="54"/>
    </row>
    <row r="1047249" spans="1:11" s="55" customFormat="1" ht="12.75">
      <c r="A1047249" s="24"/>
      <c r="B1047249" s="24"/>
      <c r="C1047249" s="24"/>
      <c r="D1047249" s="24"/>
      <c r="E1047249" s="24"/>
      <c r="F1047249" s="24"/>
      <c r="G1047249" s="24"/>
      <c r="H1047249" s="24"/>
      <c r="I1047249" s="24"/>
      <c r="J1047249" s="24"/>
      <c r="K1047249" s="54"/>
    </row>
    <row r="1047250" spans="1:11" s="55" customFormat="1" ht="12.75">
      <c r="A1047250" s="24"/>
      <c r="B1047250" s="24"/>
      <c r="C1047250" s="24"/>
      <c r="D1047250" s="24"/>
      <c r="E1047250" s="24"/>
      <c r="F1047250" s="24"/>
      <c r="G1047250" s="24"/>
      <c r="H1047250" s="24"/>
      <c r="I1047250" s="24"/>
      <c r="J1047250" s="24"/>
      <c r="K1047250" s="54"/>
    </row>
    <row r="1047251" spans="1:11" s="55" customFormat="1" ht="12.75">
      <c r="A1047251" s="24"/>
      <c r="B1047251" s="24"/>
      <c r="C1047251" s="24"/>
      <c r="D1047251" s="24"/>
      <c r="E1047251" s="24"/>
      <c r="F1047251" s="24"/>
      <c r="G1047251" s="24"/>
      <c r="H1047251" s="24"/>
      <c r="I1047251" s="24"/>
      <c r="J1047251" s="24"/>
      <c r="K1047251" s="54"/>
    </row>
    <row r="1047252" spans="1:11" s="55" customFormat="1" ht="12.75">
      <c r="A1047252" s="24"/>
      <c r="B1047252" s="24"/>
      <c r="C1047252" s="24"/>
      <c r="D1047252" s="24"/>
      <c r="E1047252" s="24"/>
      <c r="F1047252" s="24"/>
      <c r="G1047252" s="24"/>
      <c r="H1047252" s="24"/>
      <c r="I1047252" s="24"/>
      <c r="J1047252" s="24"/>
      <c r="K1047252" s="54"/>
    </row>
    <row r="1047253" spans="1:11" s="55" customFormat="1" ht="12.75">
      <c r="A1047253" s="24"/>
      <c r="B1047253" s="24"/>
      <c r="C1047253" s="24"/>
      <c r="D1047253" s="24"/>
      <c r="E1047253" s="24"/>
      <c r="F1047253" s="24"/>
      <c r="G1047253" s="24"/>
      <c r="H1047253" s="24"/>
      <c r="I1047253" s="24"/>
      <c r="J1047253" s="24"/>
      <c r="K1047253" s="54"/>
    </row>
    <row r="1047254" spans="1:11" s="55" customFormat="1" ht="12.75">
      <c r="A1047254" s="24"/>
      <c r="B1047254" s="24"/>
      <c r="C1047254" s="24"/>
      <c r="D1047254" s="24"/>
      <c r="E1047254" s="24"/>
      <c r="F1047254" s="24"/>
      <c r="G1047254" s="24"/>
      <c r="H1047254" s="24"/>
      <c r="I1047254" s="24"/>
      <c r="J1047254" s="24"/>
      <c r="K1047254" s="54"/>
    </row>
    <row r="1047255" spans="1:11" s="55" customFormat="1" ht="12.75">
      <c r="A1047255" s="24"/>
      <c r="B1047255" s="24"/>
      <c r="C1047255" s="24"/>
      <c r="D1047255" s="24"/>
      <c r="E1047255" s="24"/>
      <c r="F1047255" s="24"/>
      <c r="G1047255" s="24"/>
      <c r="H1047255" s="24"/>
      <c r="I1047255" s="24"/>
      <c r="J1047255" s="24"/>
      <c r="K1047255" s="54"/>
    </row>
    <row r="1047256" spans="1:11" s="55" customFormat="1" ht="12.75">
      <c r="A1047256" s="24"/>
      <c r="B1047256" s="24"/>
      <c r="C1047256" s="24"/>
      <c r="D1047256" s="24"/>
      <c r="E1047256" s="24"/>
      <c r="F1047256" s="24"/>
      <c r="G1047256" s="24"/>
      <c r="H1047256" s="24"/>
      <c r="I1047256" s="24"/>
      <c r="J1047256" s="24"/>
      <c r="K1047256" s="54"/>
    </row>
    <row r="1047257" spans="1:11" s="55" customFormat="1" ht="12.75">
      <c r="A1047257" s="24"/>
      <c r="B1047257" s="24"/>
      <c r="C1047257" s="24"/>
      <c r="D1047257" s="24"/>
      <c r="E1047257" s="24"/>
      <c r="F1047257" s="24"/>
      <c r="G1047257" s="24"/>
      <c r="H1047257" s="24"/>
      <c r="I1047257" s="24"/>
      <c r="J1047257" s="24"/>
      <c r="K1047257" s="54"/>
    </row>
    <row r="1047258" spans="1:11" s="55" customFormat="1" ht="12.75">
      <c r="A1047258" s="24"/>
      <c r="B1047258" s="24"/>
      <c r="C1047258" s="24"/>
      <c r="D1047258" s="24"/>
      <c r="E1047258" s="24"/>
      <c r="F1047258" s="24"/>
      <c r="G1047258" s="24"/>
      <c r="H1047258" s="24"/>
      <c r="I1047258" s="24"/>
      <c r="J1047258" s="24"/>
      <c r="K1047258" s="54"/>
    </row>
    <row r="1047259" spans="1:11" s="55" customFormat="1" ht="12.75">
      <c r="A1047259" s="24"/>
      <c r="B1047259" s="24"/>
      <c r="C1047259" s="24"/>
      <c r="D1047259" s="24"/>
      <c r="E1047259" s="24"/>
      <c r="F1047259" s="24"/>
      <c r="G1047259" s="24"/>
      <c r="H1047259" s="24"/>
      <c r="I1047259" s="24"/>
      <c r="J1047259" s="24"/>
      <c r="K1047259" s="54"/>
    </row>
    <row r="1047260" spans="1:11" s="55" customFormat="1" ht="12.75">
      <c r="A1047260" s="24"/>
      <c r="B1047260" s="24"/>
      <c r="C1047260" s="24"/>
      <c r="D1047260" s="24"/>
      <c r="E1047260" s="24"/>
      <c r="F1047260" s="24"/>
      <c r="G1047260" s="24"/>
      <c r="H1047260" s="24"/>
      <c r="I1047260" s="24"/>
      <c r="J1047260" s="24"/>
      <c r="K1047260" s="54"/>
    </row>
    <row r="1047261" spans="1:11" s="55" customFormat="1" ht="12.75">
      <c r="A1047261" s="24"/>
      <c r="B1047261" s="24"/>
      <c r="C1047261" s="24"/>
      <c r="D1047261" s="24"/>
      <c r="E1047261" s="24"/>
      <c r="F1047261" s="24"/>
      <c r="G1047261" s="24"/>
      <c r="H1047261" s="24"/>
      <c r="I1047261" s="24"/>
      <c r="J1047261" s="24"/>
      <c r="K1047261" s="54"/>
    </row>
    <row r="1047262" spans="1:11" s="55" customFormat="1" ht="12.75">
      <c r="A1047262" s="24"/>
      <c r="B1047262" s="24"/>
      <c r="C1047262" s="24"/>
      <c r="D1047262" s="24"/>
      <c r="E1047262" s="24"/>
      <c r="F1047262" s="24"/>
      <c r="G1047262" s="24"/>
      <c r="H1047262" s="24"/>
      <c r="I1047262" s="24"/>
      <c r="J1047262" s="24"/>
      <c r="K1047262" s="54"/>
    </row>
    <row r="1047263" spans="1:11" s="55" customFormat="1" ht="12.75">
      <c r="A1047263" s="24"/>
      <c r="B1047263" s="24"/>
      <c r="C1047263" s="24"/>
      <c r="D1047263" s="24"/>
      <c r="E1047263" s="24"/>
      <c r="F1047263" s="24"/>
      <c r="G1047263" s="24"/>
      <c r="H1047263" s="24"/>
      <c r="I1047263" s="24"/>
      <c r="J1047263" s="24"/>
      <c r="K1047263" s="54"/>
    </row>
    <row r="1047264" spans="1:11" s="55" customFormat="1" ht="12.75">
      <c r="A1047264" s="24"/>
      <c r="B1047264" s="24"/>
      <c r="C1047264" s="24"/>
      <c r="D1047264" s="24"/>
      <c r="E1047264" s="24"/>
      <c r="F1047264" s="24"/>
      <c r="G1047264" s="24"/>
      <c r="H1047264" s="24"/>
      <c r="I1047264" s="24"/>
      <c r="J1047264" s="24"/>
      <c r="K1047264" s="54"/>
    </row>
    <row r="1047265" spans="1:11" s="55" customFormat="1" ht="12.75">
      <c r="A1047265" s="24"/>
      <c r="B1047265" s="24"/>
      <c r="C1047265" s="24"/>
      <c r="D1047265" s="24"/>
      <c r="E1047265" s="24"/>
      <c r="F1047265" s="24"/>
      <c r="G1047265" s="24"/>
      <c r="H1047265" s="24"/>
      <c r="I1047265" s="24"/>
      <c r="J1047265" s="24"/>
      <c r="K1047265" s="54"/>
    </row>
    <row r="1047266" spans="1:11" s="55" customFormat="1" ht="12.75">
      <c r="A1047266" s="24"/>
      <c r="B1047266" s="24"/>
      <c r="C1047266" s="24"/>
      <c r="D1047266" s="24"/>
      <c r="E1047266" s="24"/>
      <c r="F1047266" s="24"/>
      <c r="G1047266" s="24"/>
      <c r="H1047266" s="24"/>
      <c r="I1047266" s="24"/>
      <c r="J1047266" s="24"/>
      <c r="K1047266" s="54"/>
    </row>
    <row r="1047267" spans="1:11" s="55" customFormat="1" ht="12.75">
      <c r="A1047267" s="24"/>
      <c r="B1047267" s="24"/>
      <c r="C1047267" s="24"/>
      <c r="D1047267" s="24"/>
      <c r="E1047267" s="24"/>
      <c r="F1047267" s="24"/>
      <c r="G1047267" s="24"/>
      <c r="H1047267" s="24"/>
      <c r="I1047267" s="24"/>
      <c r="J1047267" s="24"/>
      <c r="K1047267" s="54"/>
    </row>
    <row r="1047268" spans="1:11" s="55" customFormat="1" ht="12.75">
      <c r="A1047268" s="24"/>
      <c r="B1047268" s="24"/>
      <c r="C1047268" s="24"/>
      <c r="D1047268" s="24"/>
      <c r="E1047268" s="24"/>
      <c r="F1047268" s="24"/>
      <c r="G1047268" s="24"/>
      <c r="H1047268" s="24"/>
      <c r="I1047268" s="24"/>
      <c r="J1047268" s="24"/>
      <c r="K1047268" s="54"/>
    </row>
    <row r="1047269" spans="1:11" s="55" customFormat="1" ht="12.75">
      <c r="A1047269" s="24"/>
      <c r="B1047269" s="24"/>
      <c r="C1047269" s="24"/>
      <c r="D1047269" s="24"/>
      <c r="E1047269" s="24"/>
      <c r="F1047269" s="24"/>
      <c r="G1047269" s="24"/>
      <c r="H1047269" s="24"/>
      <c r="I1047269" s="24"/>
      <c r="J1047269" s="24"/>
      <c r="K1047269" s="54"/>
    </row>
    <row r="1047270" spans="1:11" s="55" customFormat="1" ht="12.75">
      <c r="A1047270" s="24"/>
      <c r="B1047270" s="24"/>
      <c r="C1047270" s="24"/>
      <c r="D1047270" s="24"/>
      <c r="E1047270" s="24"/>
      <c r="F1047270" s="24"/>
      <c r="G1047270" s="24"/>
      <c r="H1047270" s="24"/>
      <c r="I1047270" s="24"/>
      <c r="J1047270" s="24"/>
      <c r="K1047270" s="54"/>
    </row>
    <row r="1047271" spans="1:11" s="55" customFormat="1" ht="12.75">
      <c r="A1047271" s="24"/>
      <c r="B1047271" s="24"/>
      <c r="C1047271" s="24"/>
      <c r="D1047271" s="24"/>
      <c r="E1047271" s="24"/>
      <c r="F1047271" s="24"/>
      <c r="G1047271" s="24"/>
      <c r="H1047271" s="24"/>
      <c r="I1047271" s="24"/>
      <c r="J1047271" s="24"/>
      <c r="K1047271" s="54"/>
    </row>
    <row r="1047272" spans="1:11" s="55" customFormat="1" ht="12.75">
      <c r="A1047272" s="24"/>
      <c r="B1047272" s="24"/>
      <c r="C1047272" s="24"/>
      <c r="D1047272" s="24"/>
      <c r="E1047272" s="24"/>
      <c r="F1047272" s="24"/>
      <c r="G1047272" s="24"/>
      <c r="H1047272" s="24"/>
      <c r="I1047272" s="24"/>
      <c r="J1047272" s="24"/>
      <c r="K1047272" s="54"/>
    </row>
    <row r="1047273" spans="1:11" s="55" customFormat="1" ht="12.75">
      <c r="A1047273" s="24"/>
      <c r="B1047273" s="24"/>
      <c r="C1047273" s="24"/>
      <c r="D1047273" s="24"/>
      <c r="E1047273" s="24"/>
      <c r="F1047273" s="24"/>
      <c r="G1047273" s="24"/>
      <c r="H1047273" s="24"/>
      <c r="I1047273" s="24"/>
      <c r="J1047273" s="24"/>
      <c r="K1047273" s="54"/>
    </row>
    <row r="1047274" spans="1:11" s="55" customFormat="1" ht="12.75">
      <c r="A1047274" s="24"/>
      <c r="B1047274" s="24"/>
      <c r="C1047274" s="24"/>
      <c r="D1047274" s="24"/>
      <c r="E1047274" s="24"/>
      <c r="F1047274" s="24"/>
      <c r="G1047274" s="24"/>
      <c r="H1047274" s="24"/>
      <c r="I1047274" s="24"/>
      <c r="J1047274" s="24"/>
      <c r="K1047274" s="54"/>
    </row>
    <row r="1047275" spans="1:11" s="55" customFormat="1" ht="12.75">
      <c r="A1047275" s="24"/>
      <c r="B1047275" s="24"/>
      <c r="C1047275" s="24"/>
      <c r="D1047275" s="24"/>
      <c r="E1047275" s="24"/>
      <c r="F1047275" s="24"/>
      <c r="G1047275" s="24"/>
      <c r="H1047275" s="24"/>
      <c r="I1047275" s="24"/>
      <c r="J1047275" s="24"/>
      <c r="K1047275" s="54"/>
    </row>
    <row r="1047276" spans="1:11" s="55" customFormat="1" ht="12.75">
      <c r="A1047276" s="24"/>
      <c r="B1047276" s="24"/>
      <c r="C1047276" s="24"/>
      <c r="D1047276" s="24"/>
      <c r="E1047276" s="24"/>
      <c r="F1047276" s="24"/>
      <c r="G1047276" s="24"/>
      <c r="H1047276" s="24"/>
      <c r="I1047276" s="24"/>
      <c r="J1047276" s="24"/>
      <c r="K1047276" s="54"/>
    </row>
    <row r="1047277" spans="1:11" s="55" customFormat="1" ht="12.75">
      <c r="A1047277" s="24"/>
      <c r="B1047277" s="24"/>
      <c r="C1047277" s="24"/>
      <c r="D1047277" s="24"/>
      <c r="E1047277" s="24"/>
      <c r="F1047277" s="24"/>
      <c r="G1047277" s="24"/>
      <c r="H1047277" s="24"/>
      <c r="I1047277" s="24"/>
      <c r="J1047277" s="24"/>
      <c r="K1047277" s="54"/>
    </row>
    <row r="1047278" spans="1:11" s="55" customFormat="1" ht="12.75">
      <c r="A1047278" s="24"/>
      <c r="B1047278" s="24"/>
      <c r="C1047278" s="24"/>
      <c r="D1047278" s="24"/>
      <c r="E1047278" s="24"/>
      <c r="F1047278" s="24"/>
      <c r="G1047278" s="24"/>
      <c r="H1047278" s="24"/>
      <c r="I1047278" s="24"/>
      <c r="J1047278" s="24"/>
      <c r="K1047278" s="54"/>
    </row>
    <row r="1047279" spans="1:11" s="55" customFormat="1" ht="12.75">
      <c r="A1047279" s="24"/>
      <c r="B1047279" s="24"/>
      <c r="C1047279" s="24"/>
      <c r="D1047279" s="24"/>
      <c r="E1047279" s="24"/>
      <c r="F1047279" s="24"/>
      <c r="G1047279" s="24"/>
      <c r="H1047279" s="24"/>
      <c r="I1047279" s="24"/>
      <c r="J1047279" s="24"/>
      <c r="K1047279" s="54"/>
    </row>
    <row r="1047280" spans="1:11" s="55" customFormat="1" ht="12.75">
      <c r="A1047280" s="24"/>
      <c r="B1047280" s="24"/>
      <c r="C1047280" s="24"/>
      <c r="D1047280" s="24"/>
      <c r="E1047280" s="24"/>
      <c r="F1047280" s="24"/>
      <c r="G1047280" s="24"/>
      <c r="H1047280" s="24"/>
      <c r="I1047280" s="24"/>
      <c r="J1047280" s="24"/>
      <c r="K1047280" s="54"/>
    </row>
    <row r="1047281" spans="1:11" s="55" customFormat="1" ht="12.75">
      <c r="A1047281" s="24"/>
      <c r="B1047281" s="24"/>
      <c r="C1047281" s="24"/>
      <c r="D1047281" s="24"/>
      <c r="E1047281" s="24"/>
      <c r="F1047281" s="24"/>
      <c r="G1047281" s="24"/>
      <c r="H1047281" s="24"/>
      <c r="I1047281" s="24"/>
      <c r="J1047281" s="24"/>
      <c r="K1047281" s="54"/>
    </row>
    <row r="1047282" spans="1:11" s="55" customFormat="1" ht="12.75">
      <c r="A1047282" s="24"/>
      <c r="B1047282" s="24"/>
      <c r="C1047282" s="24"/>
      <c r="D1047282" s="24"/>
      <c r="E1047282" s="24"/>
      <c r="F1047282" s="24"/>
      <c r="G1047282" s="24"/>
      <c r="H1047282" s="24"/>
      <c r="I1047282" s="24"/>
      <c r="J1047282" s="24"/>
      <c r="K1047282" s="54"/>
    </row>
    <row r="1047283" spans="1:11" s="55" customFormat="1" ht="12.75">
      <c r="A1047283" s="24"/>
      <c r="B1047283" s="24"/>
      <c r="C1047283" s="24"/>
      <c r="D1047283" s="24"/>
      <c r="E1047283" s="24"/>
      <c r="F1047283" s="24"/>
      <c r="G1047283" s="24"/>
      <c r="H1047283" s="24"/>
      <c r="I1047283" s="24"/>
      <c r="J1047283" s="24"/>
      <c r="K1047283" s="54"/>
    </row>
    <row r="1047284" spans="1:11" s="55" customFormat="1" ht="12.75">
      <c r="A1047284" s="24"/>
      <c r="B1047284" s="24"/>
      <c r="C1047284" s="24"/>
      <c r="D1047284" s="24"/>
      <c r="E1047284" s="24"/>
      <c r="F1047284" s="24"/>
      <c r="G1047284" s="24"/>
      <c r="H1047284" s="24"/>
      <c r="I1047284" s="24"/>
      <c r="J1047284" s="24"/>
      <c r="K1047284" s="54"/>
    </row>
    <row r="1047285" spans="1:11" s="55" customFormat="1" ht="12.75">
      <c r="A1047285" s="24"/>
      <c r="B1047285" s="24"/>
      <c r="C1047285" s="24"/>
      <c r="D1047285" s="24"/>
      <c r="E1047285" s="24"/>
      <c r="F1047285" s="24"/>
      <c r="G1047285" s="24"/>
      <c r="H1047285" s="24"/>
      <c r="I1047285" s="24"/>
      <c r="J1047285" s="24"/>
      <c r="K1047285" s="54"/>
    </row>
    <row r="1047286" spans="1:11" s="55" customFormat="1" ht="12.75">
      <c r="A1047286" s="24"/>
      <c r="B1047286" s="24"/>
      <c r="C1047286" s="24"/>
      <c r="D1047286" s="24"/>
      <c r="E1047286" s="24"/>
      <c r="F1047286" s="24"/>
      <c r="G1047286" s="24"/>
      <c r="H1047286" s="24"/>
      <c r="I1047286" s="24"/>
      <c r="J1047286" s="24"/>
      <c r="K1047286" s="54"/>
    </row>
    <row r="1047287" spans="1:11" s="55" customFormat="1" ht="12.75">
      <c r="A1047287" s="24"/>
      <c r="B1047287" s="24"/>
      <c r="C1047287" s="24"/>
      <c r="D1047287" s="24"/>
      <c r="E1047287" s="24"/>
      <c r="F1047287" s="24"/>
      <c r="G1047287" s="24"/>
      <c r="H1047287" s="24"/>
      <c r="I1047287" s="24"/>
      <c r="J1047287" s="24"/>
      <c r="K1047287" s="54"/>
    </row>
    <row r="1047288" spans="1:11" s="55" customFormat="1" ht="12.75">
      <c r="A1047288" s="24"/>
      <c r="B1047288" s="24"/>
      <c r="C1047288" s="24"/>
      <c r="D1047288" s="24"/>
      <c r="E1047288" s="24"/>
      <c r="F1047288" s="24"/>
      <c r="G1047288" s="24"/>
      <c r="H1047288" s="24"/>
      <c r="I1047288" s="24"/>
      <c r="J1047288" s="24"/>
      <c r="K1047288" s="54"/>
    </row>
    <row r="1047289" spans="1:11" s="55" customFormat="1" ht="12.75">
      <c r="A1047289" s="24"/>
      <c r="B1047289" s="24"/>
      <c r="C1047289" s="24"/>
      <c r="D1047289" s="24"/>
      <c r="E1047289" s="24"/>
      <c r="F1047289" s="24"/>
      <c r="G1047289" s="24"/>
      <c r="H1047289" s="24"/>
      <c r="I1047289" s="24"/>
      <c r="J1047289" s="24"/>
      <c r="K1047289" s="54"/>
    </row>
    <row r="1047290" spans="1:11" s="55" customFormat="1" ht="12.75">
      <c r="A1047290" s="24"/>
      <c r="B1047290" s="24"/>
      <c r="C1047290" s="24"/>
      <c r="D1047290" s="24"/>
      <c r="E1047290" s="24"/>
      <c r="F1047290" s="24"/>
      <c r="G1047290" s="24"/>
      <c r="H1047290" s="24"/>
      <c r="I1047290" s="24"/>
      <c r="J1047290" s="24"/>
      <c r="K1047290" s="54"/>
    </row>
    <row r="1047291" spans="1:11" s="55" customFormat="1" ht="12.75">
      <c r="A1047291" s="24"/>
      <c r="B1047291" s="24"/>
      <c r="C1047291" s="24"/>
      <c r="D1047291" s="24"/>
      <c r="E1047291" s="24"/>
      <c r="F1047291" s="24"/>
      <c r="G1047291" s="24"/>
      <c r="H1047291" s="24"/>
      <c r="I1047291" s="24"/>
      <c r="J1047291" s="24"/>
      <c r="K1047291" s="54"/>
    </row>
    <row r="1047292" spans="1:11" s="55" customFormat="1" ht="12.75">
      <c r="A1047292" s="24"/>
      <c r="B1047292" s="24"/>
      <c r="C1047292" s="24"/>
      <c r="D1047292" s="24"/>
      <c r="E1047292" s="24"/>
      <c r="F1047292" s="24"/>
      <c r="G1047292" s="24"/>
      <c r="H1047292" s="24"/>
      <c r="I1047292" s="24"/>
      <c r="J1047292" s="24"/>
      <c r="K1047292" s="54"/>
    </row>
    <row r="1047293" spans="1:11" s="55" customFormat="1" ht="12.75">
      <c r="A1047293" s="24"/>
      <c r="B1047293" s="24"/>
      <c r="C1047293" s="24"/>
      <c r="D1047293" s="24"/>
      <c r="E1047293" s="24"/>
      <c r="F1047293" s="24"/>
      <c r="G1047293" s="24"/>
      <c r="H1047293" s="24"/>
      <c r="I1047293" s="24"/>
      <c r="J1047293" s="24"/>
      <c r="K1047293" s="54"/>
    </row>
    <row r="1047294" spans="1:11" s="55" customFormat="1" ht="12.75">
      <c r="A1047294" s="24"/>
      <c r="B1047294" s="24"/>
      <c r="C1047294" s="24"/>
      <c r="D1047294" s="24"/>
      <c r="E1047294" s="24"/>
      <c r="F1047294" s="24"/>
      <c r="G1047294" s="24"/>
      <c r="H1047294" s="24"/>
      <c r="I1047294" s="24"/>
      <c r="J1047294" s="24"/>
      <c r="K1047294" s="54"/>
    </row>
    <row r="1047295" spans="1:11" s="55" customFormat="1" ht="12.75">
      <c r="A1047295" s="24"/>
      <c r="B1047295" s="24"/>
      <c r="C1047295" s="24"/>
      <c r="D1047295" s="24"/>
      <c r="E1047295" s="24"/>
      <c r="F1047295" s="24"/>
      <c r="G1047295" s="24"/>
      <c r="H1047295" s="24"/>
      <c r="I1047295" s="24"/>
      <c r="J1047295" s="24"/>
      <c r="K1047295" s="54"/>
    </row>
    <row r="1047296" spans="1:11" s="55" customFormat="1" ht="12.75">
      <c r="A1047296" s="24"/>
      <c r="B1047296" s="24"/>
      <c r="C1047296" s="24"/>
      <c r="D1047296" s="24"/>
      <c r="E1047296" s="24"/>
      <c r="F1047296" s="24"/>
      <c r="G1047296" s="24"/>
      <c r="H1047296" s="24"/>
      <c r="I1047296" s="24"/>
      <c r="J1047296" s="24"/>
      <c r="K1047296" s="54"/>
    </row>
    <row r="1047297" spans="1:11" s="55" customFormat="1" ht="12.75">
      <c r="A1047297" s="24"/>
      <c r="B1047297" s="24"/>
      <c r="C1047297" s="24"/>
      <c r="D1047297" s="24"/>
      <c r="E1047297" s="24"/>
      <c r="F1047297" s="24"/>
      <c r="G1047297" s="24"/>
      <c r="H1047297" s="24"/>
      <c r="I1047297" s="24"/>
      <c r="J1047297" s="24"/>
      <c r="K1047297" s="54"/>
    </row>
    <row r="1047298" spans="1:11" s="55" customFormat="1" ht="12.75">
      <c r="A1047298" s="24"/>
      <c r="B1047298" s="24"/>
      <c r="C1047298" s="24"/>
      <c r="D1047298" s="24"/>
      <c r="E1047298" s="24"/>
      <c r="F1047298" s="24"/>
      <c r="G1047298" s="24"/>
      <c r="H1047298" s="24"/>
      <c r="I1047298" s="24"/>
      <c r="J1047298" s="24"/>
      <c r="K1047298" s="54"/>
    </row>
    <row r="1047299" spans="1:11" s="55" customFormat="1" ht="12.75">
      <c r="A1047299" s="24"/>
      <c r="B1047299" s="24"/>
      <c r="C1047299" s="24"/>
      <c r="D1047299" s="24"/>
      <c r="E1047299" s="24"/>
      <c r="F1047299" s="24"/>
      <c r="G1047299" s="24"/>
      <c r="H1047299" s="24"/>
      <c r="I1047299" s="24"/>
      <c r="J1047299" s="24"/>
      <c r="K1047299" s="54"/>
    </row>
    <row r="1047300" spans="1:11" s="55" customFormat="1" ht="12.75">
      <c r="A1047300" s="24"/>
      <c r="B1047300" s="24"/>
      <c r="C1047300" s="24"/>
      <c r="D1047300" s="24"/>
      <c r="E1047300" s="24"/>
      <c r="F1047300" s="24"/>
      <c r="G1047300" s="24"/>
      <c r="H1047300" s="24"/>
      <c r="I1047300" s="24"/>
      <c r="J1047300" s="24"/>
      <c r="K1047300" s="54"/>
    </row>
    <row r="1047301" spans="1:11" s="55" customFormat="1" ht="12.75">
      <c r="A1047301" s="24"/>
      <c r="B1047301" s="24"/>
      <c r="C1047301" s="24"/>
      <c r="D1047301" s="24"/>
      <c r="E1047301" s="24"/>
      <c r="F1047301" s="24"/>
      <c r="G1047301" s="24"/>
      <c r="H1047301" s="24"/>
      <c r="I1047301" s="24"/>
      <c r="J1047301" s="24"/>
      <c r="K1047301" s="54"/>
    </row>
    <row r="1047302" spans="1:11" s="55" customFormat="1" ht="12.75">
      <c r="A1047302" s="24"/>
      <c r="B1047302" s="24"/>
      <c r="C1047302" s="24"/>
      <c r="D1047302" s="24"/>
      <c r="E1047302" s="24"/>
      <c r="F1047302" s="24"/>
      <c r="G1047302" s="24"/>
      <c r="H1047302" s="24"/>
      <c r="I1047302" s="24"/>
      <c r="J1047302" s="24"/>
      <c r="K1047302" s="54"/>
    </row>
    <row r="1047303" spans="1:11" s="55" customFormat="1" ht="12.75">
      <c r="A1047303" s="24"/>
      <c r="B1047303" s="24"/>
      <c r="C1047303" s="24"/>
      <c r="D1047303" s="24"/>
      <c r="E1047303" s="24"/>
      <c r="F1047303" s="24"/>
      <c r="G1047303" s="24"/>
      <c r="H1047303" s="24"/>
      <c r="I1047303" s="24"/>
      <c r="J1047303" s="24"/>
      <c r="K1047303" s="54"/>
    </row>
    <row r="1047304" spans="1:11" s="55" customFormat="1" ht="12.75">
      <c r="A1047304" s="24"/>
      <c r="B1047304" s="24"/>
      <c r="C1047304" s="24"/>
      <c r="D1047304" s="24"/>
      <c r="E1047304" s="24"/>
      <c r="F1047304" s="24"/>
      <c r="G1047304" s="24"/>
      <c r="H1047304" s="24"/>
      <c r="I1047304" s="24"/>
      <c r="J1047304" s="24"/>
      <c r="K1047304" s="54"/>
    </row>
    <row r="1047305" spans="1:11" s="55" customFormat="1" ht="12.75">
      <c r="A1047305" s="24"/>
      <c r="B1047305" s="24"/>
      <c r="C1047305" s="24"/>
      <c r="D1047305" s="24"/>
      <c r="E1047305" s="24"/>
      <c r="F1047305" s="24"/>
      <c r="G1047305" s="24"/>
      <c r="H1047305" s="24"/>
      <c r="I1047305" s="24"/>
      <c r="J1047305" s="24"/>
      <c r="K1047305" s="54"/>
    </row>
    <row r="1047306" spans="1:11" s="55" customFormat="1" ht="12.75">
      <c r="A1047306" s="24"/>
      <c r="B1047306" s="24"/>
      <c r="C1047306" s="24"/>
      <c r="D1047306" s="24"/>
      <c r="E1047306" s="24"/>
      <c r="F1047306" s="24"/>
      <c r="G1047306" s="24"/>
      <c r="H1047306" s="24"/>
      <c r="I1047306" s="24"/>
      <c r="J1047306" s="24"/>
      <c r="K1047306" s="54"/>
    </row>
    <row r="1047307" spans="1:11" s="55" customFormat="1" ht="12.75">
      <c r="A1047307" s="24"/>
      <c r="B1047307" s="24"/>
      <c r="C1047307" s="24"/>
      <c r="D1047307" s="24"/>
      <c r="E1047307" s="24"/>
      <c r="F1047307" s="24"/>
      <c r="G1047307" s="24"/>
      <c r="H1047307" s="24"/>
      <c r="I1047307" s="24"/>
      <c r="J1047307" s="24"/>
      <c r="K1047307" s="54"/>
    </row>
    <row r="1047308" spans="1:11" s="55" customFormat="1" ht="12.75">
      <c r="A1047308" s="24"/>
      <c r="B1047308" s="24"/>
      <c r="C1047308" s="24"/>
      <c r="D1047308" s="24"/>
      <c r="E1047308" s="24"/>
      <c r="F1047308" s="24"/>
      <c r="G1047308" s="24"/>
      <c r="H1047308" s="24"/>
      <c r="I1047308" s="24"/>
      <c r="J1047308" s="24"/>
      <c r="K1047308" s="54"/>
    </row>
    <row r="1047309" spans="1:11" s="55" customFormat="1" ht="12.75">
      <c r="A1047309" s="24"/>
      <c r="B1047309" s="24"/>
      <c r="C1047309" s="24"/>
      <c r="D1047309" s="24"/>
      <c r="E1047309" s="24"/>
      <c r="F1047309" s="24"/>
      <c r="G1047309" s="24"/>
      <c r="H1047309" s="24"/>
      <c r="I1047309" s="24"/>
      <c r="J1047309" s="24"/>
      <c r="K1047309" s="54"/>
    </row>
    <row r="1047310" spans="1:11" s="55" customFormat="1" ht="12.75">
      <c r="A1047310" s="24"/>
      <c r="B1047310" s="24"/>
      <c r="C1047310" s="24"/>
      <c r="D1047310" s="24"/>
      <c r="E1047310" s="24"/>
      <c r="F1047310" s="24"/>
      <c r="G1047310" s="24"/>
      <c r="H1047310" s="24"/>
      <c r="I1047310" s="24"/>
      <c r="J1047310" s="24"/>
      <c r="K1047310" s="54"/>
    </row>
    <row r="1047311" spans="1:11" s="55" customFormat="1" ht="12.75">
      <c r="A1047311" s="24"/>
      <c r="B1047311" s="24"/>
      <c r="C1047311" s="24"/>
      <c r="D1047311" s="24"/>
      <c r="E1047311" s="24"/>
      <c r="F1047311" s="24"/>
      <c r="G1047311" s="24"/>
      <c r="H1047311" s="24"/>
      <c r="I1047311" s="24"/>
      <c r="J1047311" s="24"/>
      <c r="K1047311" s="54"/>
    </row>
    <row r="1047312" spans="1:11" s="55" customFormat="1" ht="12.75">
      <c r="A1047312" s="24"/>
      <c r="B1047312" s="24"/>
      <c r="C1047312" s="24"/>
      <c r="D1047312" s="24"/>
      <c r="E1047312" s="24"/>
      <c r="F1047312" s="24"/>
      <c r="G1047312" s="24"/>
      <c r="H1047312" s="24"/>
      <c r="I1047312" s="24"/>
      <c r="J1047312" s="24"/>
      <c r="K1047312" s="54"/>
    </row>
    <row r="1047313" spans="1:11" s="55" customFormat="1" ht="12.75">
      <c r="A1047313" s="24"/>
      <c r="B1047313" s="24"/>
      <c r="C1047313" s="24"/>
      <c r="D1047313" s="24"/>
      <c r="E1047313" s="24"/>
      <c r="F1047313" s="24"/>
      <c r="G1047313" s="24"/>
      <c r="H1047313" s="24"/>
      <c r="I1047313" s="24"/>
      <c r="J1047313" s="24"/>
      <c r="K1047313" s="54"/>
    </row>
    <row r="1047314" spans="1:11" s="55" customFormat="1" ht="12.75">
      <c r="A1047314" s="24"/>
      <c r="B1047314" s="24"/>
      <c r="C1047314" s="24"/>
      <c r="D1047314" s="24"/>
      <c r="E1047314" s="24"/>
      <c r="F1047314" s="24"/>
      <c r="G1047314" s="24"/>
      <c r="H1047314" s="24"/>
      <c r="I1047314" s="24"/>
      <c r="J1047314" s="24"/>
      <c r="K1047314" s="54"/>
    </row>
    <row r="1047315" spans="1:11" s="55" customFormat="1" ht="12.75">
      <c r="A1047315" s="24"/>
      <c r="B1047315" s="24"/>
      <c r="C1047315" s="24"/>
      <c r="D1047315" s="24"/>
      <c r="E1047315" s="24"/>
      <c r="F1047315" s="24"/>
      <c r="G1047315" s="24"/>
      <c r="H1047315" s="24"/>
      <c r="I1047315" s="24"/>
      <c r="J1047315" s="24"/>
      <c r="K1047315" s="54"/>
    </row>
    <row r="1047316" spans="1:11" s="55" customFormat="1" ht="12.75">
      <c r="A1047316" s="24"/>
      <c r="B1047316" s="24"/>
      <c r="C1047316" s="24"/>
      <c r="D1047316" s="24"/>
      <c r="E1047316" s="24"/>
      <c r="F1047316" s="24"/>
      <c r="G1047316" s="24"/>
      <c r="H1047316" s="24"/>
      <c r="I1047316" s="24"/>
      <c r="J1047316" s="24"/>
      <c r="K1047316" s="54"/>
    </row>
    <row r="1047317" spans="1:11" s="55" customFormat="1" ht="12.75">
      <c r="A1047317" s="24"/>
      <c r="B1047317" s="24"/>
      <c r="C1047317" s="24"/>
      <c r="D1047317" s="24"/>
      <c r="E1047317" s="24"/>
      <c r="F1047317" s="24"/>
      <c r="G1047317" s="24"/>
      <c r="H1047317" s="24"/>
      <c r="I1047317" s="24"/>
      <c r="J1047317" s="24"/>
      <c r="K1047317" s="54"/>
    </row>
    <row r="1047318" spans="1:11" s="55" customFormat="1" ht="12.75">
      <c r="A1047318" s="24"/>
      <c r="B1047318" s="24"/>
      <c r="C1047318" s="24"/>
      <c r="D1047318" s="24"/>
      <c r="E1047318" s="24"/>
      <c r="F1047318" s="24"/>
      <c r="G1047318" s="24"/>
      <c r="H1047318" s="24"/>
      <c r="I1047318" s="24"/>
      <c r="J1047318" s="24"/>
      <c r="K1047318" s="54"/>
    </row>
    <row r="1047319" spans="1:11" s="55" customFormat="1" ht="12.75">
      <c r="A1047319" s="24"/>
      <c r="B1047319" s="24"/>
      <c r="C1047319" s="24"/>
      <c r="D1047319" s="24"/>
      <c r="E1047319" s="24"/>
      <c r="F1047319" s="24"/>
      <c r="G1047319" s="24"/>
      <c r="H1047319" s="24"/>
      <c r="I1047319" s="24"/>
      <c r="J1047319" s="24"/>
      <c r="K1047319" s="54"/>
    </row>
    <row r="1047320" spans="1:11" s="55" customFormat="1" ht="12.75">
      <c r="A1047320" s="24"/>
      <c r="B1047320" s="24"/>
      <c r="C1047320" s="24"/>
      <c r="D1047320" s="24"/>
      <c r="E1047320" s="24"/>
      <c r="F1047320" s="24"/>
      <c r="G1047320" s="24"/>
      <c r="H1047320" s="24"/>
      <c r="I1047320" s="24"/>
      <c r="J1047320" s="24"/>
      <c r="K1047320" s="54"/>
    </row>
    <row r="1047321" spans="1:11" s="55" customFormat="1" ht="12.75">
      <c r="A1047321" s="24"/>
      <c r="B1047321" s="24"/>
      <c r="C1047321" s="24"/>
      <c r="D1047321" s="24"/>
      <c r="E1047321" s="24"/>
      <c r="F1047321" s="24"/>
      <c r="G1047321" s="24"/>
      <c r="H1047321" s="24"/>
      <c r="I1047321" s="24"/>
      <c r="J1047321" s="24"/>
      <c r="K1047321" s="54"/>
    </row>
    <row r="1047322" spans="1:11" s="55" customFormat="1" ht="12.75">
      <c r="A1047322" s="24"/>
      <c r="B1047322" s="24"/>
      <c r="C1047322" s="24"/>
      <c r="D1047322" s="24"/>
      <c r="E1047322" s="24"/>
      <c r="F1047322" s="24"/>
      <c r="G1047322" s="24"/>
      <c r="H1047322" s="24"/>
      <c r="I1047322" s="24"/>
      <c r="J1047322" s="24"/>
      <c r="K1047322" s="54"/>
    </row>
    <row r="1047323" spans="1:11" s="55" customFormat="1" ht="12.75">
      <c r="A1047323" s="24"/>
      <c r="B1047323" s="24"/>
      <c r="C1047323" s="24"/>
      <c r="D1047323" s="24"/>
      <c r="E1047323" s="24"/>
      <c r="F1047323" s="24"/>
      <c r="G1047323" s="24"/>
      <c r="H1047323" s="24"/>
      <c r="I1047323" s="24"/>
      <c r="J1047323" s="24"/>
      <c r="K1047323" s="54"/>
    </row>
    <row r="1047324" spans="1:11" s="55" customFormat="1" ht="12.75">
      <c r="A1047324" s="24"/>
      <c r="B1047324" s="24"/>
      <c r="C1047324" s="24"/>
      <c r="D1047324" s="24"/>
      <c r="E1047324" s="24"/>
      <c r="F1047324" s="24"/>
      <c r="G1047324" s="24"/>
      <c r="H1047324" s="24"/>
      <c r="I1047324" s="24"/>
      <c r="J1047324" s="24"/>
      <c r="K1047324" s="54"/>
    </row>
    <row r="1047325" spans="1:11" s="55" customFormat="1" ht="12.75">
      <c r="A1047325" s="24"/>
      <c r="B1047325" s="24"/>
      <c r="C1047325" s="24"/>
      <c r="D1047325" s="24"/>
      <c r="E1047325" s="24"/>
      <c r="F1047325" s="24"/>
      <c r="G1047325" s="24"/>
      <c r="H1047325" s="24"/>
      <c r="I1047325" s="24"/>
      <c r="J1047325" s="24"/>
      <c r="K1047325" s="54"/>
    </row>
    <row r="1047326" spans="1:11" s="55" customFormat="1" ht="12.75">
      <c r="A1047326" s="24"/>
      <c r="B1047326" s="24"/>
      <c r="C1047326" s="24"/>
      <c r="D1047326" s="24"/>
      <c r="E1047326" s="24"/>
      <c r="F1047326" s="24"/>
      <c r="G1047326" s="24"/>
      <c r="H1047326" s="24"/>
      <c r="I1047326" s="24"/>
      <c r="J1047326" s="24"/>
      <c r="K1047326" s="54"/>
    </row>
    <row r="1047327" spans="1:11" s="55" customFormat="1" ht="12.75">
      <c r="A1047327" s="24"/>
      <c r="B1047327" s="24"/>
      <c r="C1047327" s="24"/>
      <c r="D1047327" s="24"/>
      <c r="E1047327" s="24"/>
      <c r="F1047327" s="24"/>
      <c r="G1047327" s="24"/>
      <c r="H1047327" s="24"/>
      <c r="I1047327" s="24"/>
      <c r="J1047327" s="24"/>
      <c r="K1047327" s="54"/>
    </row>
    <row r="1047328" spans="1:11" s="55" customFormat="1" ht="12.75">
      <c r="A1047328" s="24"/>
      <c r="B1047328" s="24"/>
      <c r="C1047328" s="24"/>
      <c r="D1047328" s="24"/>
      <c r="E1047328" s="24"/>
      <c r="F1047328" s="24"/>
      <c r="G1047328" s="24"/>
      <c r="H1047328" s="24"/>
      <c r="I1047328" s="24"/>
      <c r="J1047328" s="24"/>
      <c r="K1047328" s="54"/>
    </row>
    <row r="1047329" spans="1:11" s="55" customFormat="1" ht="12.75">
      <c r="A1047329" s="24"/>
      <c r="B1047329" s="24"/>
      <c r="C1047329" s="24"/>
      <c r="D1047329" s="24"/>
      <c r="E1047329" s="24"/>
      <c r="F1047329" s="24"/>
      <c r="G1047329" s="24"/>
      <c r="H1047329" s="24"/>
      <c r="I1047329" s="24"/>
      <c r="J1047329" s="24"/>
      <c r="K1047329" s="54"/>
    </row>
    <row r="1047330" spans="1:11" s="55" customFormat="1" ht="12.75">
      <c r="A1047330" s="24"/>
      <c r="B1047330" s="24"/>
      <c r="C1047330" s="24"/>
      <c r="D1047330" s="24"/>
      <c r="E1047330" s="24"/>
      <c r="F1047330" s="24"/>
      <c r="G1047330" s="24"/>
      <c r="H1047330" s="24"/>
      <c r="I1047330" s="24"/>
      <c r="J1047330" s="24"/>
      <c r="K1047330" s="54"/>
    </row>
    <row r="1047331" spans="1:11" s="55" customFormat="1" ht="12.75">
      <c r="A1047331" s="24"/>
      <c r="B1047331" s="24"/>
      <c r="C1047331" s="24"/>
      <c r="D1047331" s="24"/>
      <c r="E1047331" s="24"/>
      <c r="F1047331" s="24"/>
      <c r="G1047331" s="24"/>
      <c r="H1047331" s="24"/>
      <c r="I1047331" s="24"/>
      <c r="J1047331" s="24"/>
      <c r="K1047331" s="54"/>
    </row>
    <row r="1047332" spans="1:11" s="55" customFormat="1" ht="12.75">
      <c r="A1047332" s="24"/>
      <c r="B1047332" s="24"/>
      <c r="C1047332" s="24"/>
      <c r="D1047332" s="24"/>
      <c r="E1047332" s="24"/>
      <c r="F1047332" s="24"/>
      <c r="G1047332" s="24"/>
      <c r="H1047332" s="24"/>
      <c r="I1047332" s="24"/>
      <c r="J1047332" s="24"/>
      <c r="K1047332" s="54"/>
    </row>
    <row r="1047333" spans="1:11" s="55" customFormat="1" ht="12.75">
      <c r="A1047333" s="24"/>
      <c r="B1047333" s="24"/>
      <c r="C1047333" s="24"/>
      <c r="D1047333" s="24"/>
      <c r="E1047333" s="24"/>
      <c r="F1047333" s="24"/>
      <c r="G1047333" s="24"/>
      <c r="H1047333" s="24"/>
      <c r="I1047333" s="24"/>
      <c r="J1047333" s="24"/>
      <c r="K1047333" s="54"/>
    </row>
    <row r="1047334" spans="1:11" s="55" customFormat="1" ht="12.75">
      <c r="A1047334" s="24"/>
      <c r="B1047334" s="24"/>
      <c r="C1047334" s="24"/>
      <c r="D1047334" s="24"/>
      <c r="E1047334" s="24"/>
      <c r="F1047334" s="24"/>
      <c r="G1047334" s="24"/>
      <c r="H1047334" s="24"/>
      <c r="I1047334" s="24"/>
      <c r="J1047334" s="24"/>
      <c r="K1047334" s="54"/>
    </row>
    <row r="1047335" spans="1:11" s="55" customFormat="1" ht="12.75">
      <c r="A1047335" s="24"/>
      <c r="B1047335" s="24"/>
      <c r="C1047335" s="24"/>
      <c r="D1047335" s="24"/>
      <c r="E1047335" s="24"/>
      <c r="F1047335" s="24"/>
      <c r="G1047335" s="24"/>
      <c r="H1047335" s="24"/>
      <c r="I1047335" s="24"/>
      <c r="J1047335" s="24"/>
      <c r="K1047335" s="54"/>
    </row>
    <row r="1047336" spans="1:11" s="55" customFormat="1" ht="12.75">
      <c r="A1047336" s="24"/>
      <c r="B1047336" s="24"/>
      <c r="C1047336" s="24"/>
      <c r="D1047336" s="24"/>
      <c r="E1047336" s="24"/>
      <c r="F1047336" s="24"/>
      <c r="G1047336" s="24"/>
      <c r="H1047336" s="24"/>
      <c r="I1047336" s="24"/>
      <c r="J1047336" s="24"/>
      <c r="K1047336" s="54"/>
    </row>
    <row r="1047337" spans="1:11" s="55" customFormat="1" ht="12.75">
      <c r="A1047337" s="24"/>
      <c r="B1047337" s="24"/>
      <c r="C1047337" s="24"/>
      <c r="D1047337" s="24"/>
      <c r="E1047337" s="24"/>
      <c r="F1047337" s="24"/>
      <c r="G1047337" s="24"/>
      <c r="H1047337" s="24"/>
      <c r="I1047337" s="24"/>
      <c r="J1047337" s="24"/>
      <c r="K1047337" s="54"/>
    </row>
    <row r="1047338" spans="1:11" s="55" customFormat="1" ht="12.75">
      <c r="A1047338" s="24"/>
      <c r="B1047338" s="24"/>
      <c r="C1047338" s="24"/>
      <c r="D1047338" s="24"/>
      <c r="E1047338" s="24"/>
      <c r="F1047338" s="24"/>
      <c r="G1047338" s="24"/>
      <c r="H1047338" s="24"/>
      <c r="I1047338" s="24"/>
      <c r="J1047338" s="24"/>
      <c r="K1047338" s="54"/>
    </row>
    <row r="1047339" spans="1:11" s="55" customFormat="1" ht="12.75">
      <c r="A1047339" s="24"/>
      <c r="B1047339" s="24"/>
      <c r="C1047339" s="24"/>
      <c r="D1047339" s="24"/>
      <c r="E1047339" s="24"/>
      <c r="F1047339" s="24"/>
      <c r="G1047339" s="24"/>
      <c r="H1047339" s="24"/>
      <c r="I1047339" s="24"/>
      <c r="J1047339" s="24"/>
      <c r="K1047339" s="54"/>
    </row>
    <row r="1047340" spans="1:11" s="55" customFormat="1" ht="12.75">
      <c r="A1047340" s="24"/>
      <c r="B1047340" s="24"/>
      <c r="C1047340" s="24"/>
      <c r="D1047340" s="24"/>
      <c r="E1047340" s="24"/>
      <c r="F1047340" s="24"/>
      <c r="G1047340" s="24"/>
      <c r="H1047340" s="24"/>
      <c r="I1047340" s="24"/>
      <c r="J1047340" s="24"/>
      <c r="K1047340" s="54"/>
    </row>
    <row r="1047341" spans="1:11" s="55" customFormat="1" ht="12.75">
      <c r="A1047341" s="24"/>
      <c r="B1047341" s="24"/>
      <c r="C1047341" s="24"/>
      <c r="D1047341" s="24"/>
      <c r="E1047341" s="24"/>
      <c r="F1047341" s="24"/>
      <c r="G1047341" s="24"/>
      <c r="H1047341" s="24"/>
      <c r="I1047341" s="24"/>
      <c r="J1047341" s="24"/>
      <c r="K1047341" s="54"/>
    </row>
    <row r="1047342" spans="1:11" s="55" customFormat="1" ht="12.75">
      <c r="A1047342" s="24"/>
      <c r="B1047342" s="24"/>
      <c r="C1047342" s="24"/>
      <c r="D1047342" s="24"/>
      <c r="E1047342" s="24"/>
      <c r="F1047342" s="24"/>
      <c r="G1047342" s="24"/>
      <c r="H1047342" s="24"/>
      <c r="I1047342" s="24"/>
      <c r="J1047342" s="24"/>
      <c r="K1047342" s="54"/>
    </row>
    <row r="1047343" spans="1:11" s="55" customFormat="1" ht="12.75">
      <c r="A1047343" s="24"/>
      <c r="B1047343" s="24"/>
      <c r="C1047343" s="24"/>
      <c r="D1047343" s="24"/>
      <c r="E1047343" s="24"/>
      <c r="F1047343" s="24"/>
      <c r="G1047343" s="24"/>
      <c r="H1047343" s="24"/>
      <c r="I1047343" s="24"/>
      <c r="J1047343" s="24"/>
      <c r="K1047343" s="54"/>
    </row>
    <row r="1047344" spans="1:11" s="55" customFormat="1" ht="12.75">
      <c r="A1047344" s="24"/>
      <c r="B1047344" s="24"/>
      <c r="C1047344" s="24"/>
      <c r="D1047344" s="24"/>
      <c r="E1047344" s="24"/>
      <c r="F1047344" s="24"/>
      <c r="G1047344" s="24"/>
      <c r="H1047344" s="24"/>
      <c r="I1047344" s="24"/>
      <c r="J1047344" s="24"/>
      <c r="K1047344" s="54"/>
    </row>
    <row r="1047345" spans="1:11" s="55" customFormat="1" ht="12.75">
      <c r="A1047345" s="24"/>
      <c r="B1047345" s="24"/>
      <c r="C1047345" s="24"/>
      <c r="D1047345" s="24"/>
      <c r="E1047345" s="24"/>
      <c r="F1047345" s="24"/>
      <c r="G1047345" s="24"/>
      <c r="H1047345" s="24"/>
      <c r="I1047345" s="24"/>
      <c r="J1047345" s="24"/>
      <c r="K1047345" s="54"/>
    </row>
    <row r="1047346" spans="1:11" s="55" customFormat="1" ht="12.75">
      <c r="A1047346" s="24"/>
      <c r="B1047346" s="24"/>
      <c r="C1047346" s="24"/>
      <c r="D1047346" s="24"/>
      <c r="E1047346" s="24"/>
      <c r="F1047346" s="24"/>
      <c r="G1047346" s="24"/>
      <c r="H1047346" s="24"/>
      <c r="I1047346" s="24"/>
      <c r="J1047346" s="24"/>
      <c r="K1047346" s="54"/>
    </row>
    <row r="1047347" spans="1:11" s="55" customFormat="1" ht="12.75">
      <c r="A1047347" s="24"/>
      <c r="B1047347" s="24"/>
      <c r="C1047347" s="24"/>
      <c r="D1047347" s="24"/>
      <c r="E1047347" s="24"/>
      <c r="F1047347" s="24"/>
      <c r="G1047347" s="24"/>
      <c r="H1047347" s="24"/>
      <c r="I1047347" s="24"/>
      <c r="J1047347" s="24"/>
      <c r="K1047347" s="54"/>
    </row>
    <row r="1047348" spans="1:11" s="55" customFormat="1" ht="12.75">
      <c r="A1047348" s="24"/>
      <c r="B1047348" s="24"/>
      <c r="C1047348" s="24"/>
      <c r="D1047348" s="24"/>
      <c r="E1047348" s="24"/>
      <c r="F1047348" s="24"/>
      <c r="G1047348" s="24"/>
      <c r="H1047348" s="24"/>
      <c r="I1047348" s="24"/>
      <c r="J1047348" s="24"/>
      <c r="K1047348" s="54"/>
    </row>
    <row r="1047349" spans="1:11" s="55" customFormat="1" ht="12.75">
      <c r="A1047349" s="24"/>
      <c r="B1047349" s="24"/>
      <c r="C1047349" s="24"/>
      <c r="D1047349" s="24"/>
      <c r="E1047349" s="24"/>
      <c r="F1047349" s="24"/>
      <c r="G1047349" s="24"/>
      <c r="H1047349" s="24"/>
      <c r="I1047349" s="24"/>
      <c r="J1047349" s="24"/>
      <c r="K1047349" s="54"/>
    </row>
    <row r="1047350" spans="1:11" s="55" customFormat="1" ht="12.75">
      <c r="A1047350" s="24"/>
      <c r="B1047350" s="24"/>
      <c r="C1047350" s="24"/>
      <c r="D1047350" s="24"/>
      <c r="E1047350" s="24"/>
      <c r="F1047350" s="24"/>
      <c r="G1047350" s="24"/>
      <c r="H1047350" s="24"/>
      <c r="I1047350" s="24"/>
      <c r="J1047350" s="24"/>
      <c r="K1047350" s="54"/>
    </row>
    <row r="1047351" spans="1:11" s="55" customFormat="1" ht="12.75">
      <c r="A1047351" s="24"/>
      <c r="B1047351" s="24"/>
      <c r="C1047351" s="24"/>
      <c r="D1047351" s="24"/>
      <c r="E1047351" s="24"/>
      <c r="F1047351" s="24"/>
      <c r="G1047351" s="24"/>
      <c r="H1047351" s="24"/>
      <c r="I1047351" s="24"/>
      <c r="J1047351" s="24"/>
      <c r="K1047351" s="54"/>
    </row>
    <row r="1047352" spans="1:11" s="55" customFormat="1" ht="12.75">
      <c r="A1047352" s="24"/>
      <c r="B1047352" s="24"/>
      <c r="C1047352" s="24"/>
      <c r="D1047352" s="24"/>
      <c r="E1047352" s="24"/>
      <c r="F1047352" s="24"/>
      <c r="G1047352" s="24"/>
      <c r="H1047352" s="24"/>
      <c r="I1047352" s="24"/>
      <c r="J1047352" s="24"/>
      <c r="K1047352" s="54"/>
    </row>
    <row r="1047353" spans="1:11" s="55" customFormat="1" ht="12.75">
      <c r="A1047353" s="24"/>
      <c r="B1047353" s="24"/>
      <c r="C1047353" s="24"/>
      <c r="D1047353" s="24"/>
      <c r="E1047353" s="24"/>
      <c r="F1047353" s="24"/>
      <c r="G1047353" s="24"/>
      <c r="H1047353" s="24"/>
      <c r="I1047353" s="24"/>
      <c r="J1047353" s="24"/>
      <c r="K1047353" s="54"/>
    </row>
    <row r="1047354" spans="1:11" s="55" customFormat="1" ht="12.75">
      <c r="A1047354" s="24"/>
      <c r="B1047354" s="24"/>
      <c r="C1047354" s="24"/>
      <c r="D1047354" s="24"/>
      <c r="E1047354" s="24"/>
      <c r="F1047354" s="24"/>
      <c r="G1047354" s="24"/>
      <c r="H1047354" s="24"/>
      <c r="I1047354" s="24"/>
      <c r="J1047354" s="24"/>
      <c r="K1047354" s="54"/>
    </row>
    <row r="1047355" spans="1:11" s="55" customFormat="1" ht="12.75">
      <c r="A1047355" s="24"/>
      <c r="B1047355" s="24"/>
      <c r="C1047355" s="24"/>
      <c r="D1047355" s="24"/>
      <c r="E1047355" s="24"/>
      <c r="F1047355" s="24"/>
      <c r="G1047355" s="24"/>
      <c r="H1047355" s="24"/>
      <c r="I1047355" s="24"/>
      <c r="J1047355" s="24"/>
      <c r="K1047355" s="54"/>
    </row>
    <row r="1047356" spans="1:11" s="55" customFormat="1" ht="12.75">
      <c r="A1047356" s="24"/>
      <c r="B1047356" s="24"/>
      <c r="C1047356" s="24"/>
      <c r="D1047356" s="24"/>
      <c r="E1047356" s="24"/>
      <c r="F1047356" s="24"/>
      <c r="G1047356" s="24"/>
      <c r="H1047356" s="24"/>
      <c r="I1047356" s="24"/>
      <c r="J1047356" s="24"/>
      <c r="K1047356" s="54"/>
    </row>
    <row r="1047357" spans="1:11" s="55" customFormat="1" ht="12.75">
      <c r="A1047357" s="24"/>
      <c r="B1047357" s="24"/>
      <c r="C1047357" s="24"/>
      <c r="D1047357" s="24"/>
      <c r="E1047357" s="24"/>
      <c r="F1047357" s="24"/>
      <c r="G1047357" s="24"/>
      <c r="H1047357" s="24"/>
      <c r="I1047357" s="24"/>
      <c r="J1047357" s="24"/>
      <c r="K1047357" s="54"/>
    </row>
    <row r="1047358" spans="1:11" s="55" customFormat="1" ht="12.75">
      <c r="A1047358" s="24"/>
      <c r="B1047358" s="24"/>
      <c r="C1047358" s="24"/>
      <c r="D1047358" s="24"/>
      <c r="E1047358" s="24"/>
      <c r="F1047358" s="24"/>
      <c r="G1047358" s="24"/>
      <c r="H1047358" s="24"/>
      <c r="I1047358" s="24"/>
      <c r="J1047358" s="24"/>
      <c r="K1047358" s="54"/>
    </row>
    <row r="1047359" spans="1:11" s="55" customFormat="1" ht="12.75">
      <c r="A1047359" s="24"/>
      <c r="B1047359" s="24"/>
      <c r="C1047359" s="24"/>
      <c r="D1047359" s="24"/>
      <c r="E1047359" s="24"/>
      <c r="F1047359" s="24"/>
      <c r="G1047359" s="24"/>
      <c r="H1047359" s="24"/>
      <c r="I1047359" s="24"/>
      <c r="J1047359" s="24"/>
      <c r="K1047359" s="54"/>
    </row>
    <row r="1047360" spans="1:11" s="55" customFormat="1" ht="12.75">
      <c r="A1047360" s="24"/>
      <c r="B1047360" s="24"/>
      <c r="C1047360" s="24"/>
      <c r="D1047360" s="24"/>
      <c r="E1047360" s="24"/>
      <c r="F1047360" s="24"/>
      <c r="G1047360" s="24"/>
      <c r="H1047360" s="24"/>
      <c r="I1047360" s="24"/>
      <c r="J1047360" s="24"/>
      <c r="K1047360" s="54"/>
    </row>
    <row r="1047361" spans="1:11" s="55" customFormat="1" ht="12.75">
      <c r="A1047361" s="24"/>
      <c r="B1047361" s="24"/>
      <c r="C1047361" s="24"/>
      <c r="D1047361" s="24"/>
      <c r="E1047361" s="24"/>
      <c r="F1047361" s="24"/>
      <c r="G1047361" s="24"/>
      <c r="H1047361" s="24"/>
      <c r="I1047361" s="24"/>
      <c r="J1047361" s="24"/>
      <c r="K1047361" s="54"/>
    </row>
    <row r="1047362" spans="1:11" s="55" customFormat="1" ht="12.75">
      <c r="A1047362" s="24"/>
      <c r="B1047362" s="24"/>
      <c r="C1047362" s="24"/>
      <c r="D1047362" s="24"/>
      <c r="E1047362" s="24"/>
      <c r="F1047362" s="24"/>
      <c r="G1047362" s="24"/>
      <c r="H1047362" s="24"/>
      <c r="I1047362" s="24"/>
      <c r="J1047362" s="24"/>
      <c r="K1047362" s="54"/>
    </row>
    <row r="1047363" spans="1:11" s="55" customFormat="1" ht="12.75">
      <c r="A1047363" s="24"/>
      <c r="B1047363" s="24"/>
      <c r="C1047363" s="24"/>
      <c r="D1047363" s="24"/>
      <c r="E1047363" s="24"/>
      <c r="F1047363" s="24"/>
      <c r="G1047363" s="24"/>
      <c r="H1047363" s="24"/>
      <c r="I1047363" s="24"/>
      <c r="J1047363" s="24"/>
      <c r="K1047363" s="54"/>
    </row>
    <row r="1047364" spans="1:11" s="55" customFormat="1" ht="12.75">
      <c r="A1047364" s="24"/>
      <c r="B1047364" s="24"/>
      <c r="C1047364" s="24"/>
      <c r="D1047364" s="24"/>
      <c r="E1047364" s="24"/>
      <c r="F1047364" s="24"/>
      <c r="G1047364" s="24"/>
      <c r="H1047364" s="24"/>
      <c r="I1047364" s="24"/>
      <c r="J1047364" s="24"/>
      <c r="K1047364" s="54"/>
    </row>
    <row r="1047365" spans="1:11" s="55" customFormat="1" ht="12.75">
      <c r="A1047365" s="24"/>
      <c r="B1047365" s="24"/>
      <c r="C1047365" s="24"/>
      <c r="D1047365" s="24"/>
      <c r="E1047365" s="24"/>
      <c r="F1047365" s="24"/>
      <c r="G1047365" s="24"/>
      <c r="H1047365" s="24"/>
      <c r="I1047365" s="24"/>
      <c r="J1047365" s="24"/>
      <c r="K1047365" s="54"/>
    </row>
    <row r="1047366" spans="1:11" s="55" customFormat="1" ht="12.75">
      <c r="A1047366" s="24"/>
      <c r="B1047366" s="24"/>
      <c r="C1047366" s="24"/>
      <c r="D1047366" s="24"/>
      <c r="E1047366" s="24"/>
      <c r="F1047366" s="24"/>
      <c r="G1047366" s="24"/>
      <c r="H1047366" s="24"/>
      <c r="I1047366" s="24"/>
      <c r="J1047366" s="24"/>
      <c r="K1047366" s="54"/>
    </row>
    <row r="1047367" spans="1:11" s="55" customFormat="1" ht="12.75">
      <c r="A1047367" s="24"/>
      <c r="B1047367" s="24"/>
      <c r="C1047367" s="24"/>
      <c r="D1047367" s="24"/>
      <c r="E1047367" s="24"/>
      <c r="F1047367" s="24"/>
      <c r="G1047367" s="24"/>
      <c r="H1047367" s="24"/>
      <c r="I1047367" s="24"/>
      <c r="J1047367" s="24"/>
      <c r="K1047367" s="54"/>
    </row>
    <row r="1047368" spans="1:11" s="55" customFormat="1" ht="12.75">
      <c r="A1047368" s="24"/>
      <c r="B1047368" s="24"/>
      <c r="C1047368" s="24"/>
      <c r="D1047368" s="24"/>
      <c r="E1047368" s="24"/>
      <c r="F1047368" s="24"/>
      <c r="G1047368" s="24"/>
      <c r="H1047368" s="24"/>
      <c r="I1047368" s="24"/>
      <c r="J1047368" s="24"/>
      <c r="K1047368" s="54"/>
    </row>
    <row r="1047369" spans="1:11" s="55" customFormat="1" ht="12.75">
      <c r="A1047369" s="24"/>
      <c r="B1047369" s="24"/>
      <c r="C1047369" s="24"/>
      <c r="D1047369" s="24"/>
      <c r="E1047369" s="24"/>
      <c r="F1047369" s="24"/>
      <c r="G1047369" s="24"/>
      <c r="H1047369" s="24"/>
      <c r="I1047369" s="24"/>
      <c r="J1047369" s="24"/>
      <c r="K1047369" s="54"/>
    </row>
    <row r="1047370" spans="1:11" s="55" customFormat="1" ht="12.75">
      <c r="A1047370" s="24"/>
      <c r="B1047370" s="24"/>
      <c r="C1047370" s="24"/>
      <c r="D1047370" s="24"/>
      <c r="E1047370" s="24"/>
      <c r="F1047370" s="24"/>
      <c r="G1047370" s="24"/>
      <c r="H1047370" s="24"/>
      <c r="I1047370" s="24"/>
      <c r="J1047370" s="24"/>
      <c r="K1047370" s="54"/>
    </row>
    <row r="1047371" spans="1:11" s="55" customFormat="1" ht="12.75">
      <c r="A1047371" s="24"/>
      <c r="B1047371" s="24"/>
      <c r="C1047371" s="24"/>
      <c r="D1047371" s="24"/>
      <c r="E1047371" s="24"/>
      <c r="F1047371" s="24"/>
      <c r="G1047371" s="24"/>
      <c r="H1047371" s="24"/>
      <c r="I1047371" s="24"/>
      <c r="J1047371" s="24"/>
      <c r="K1047371" s="54"/>
    </row>
    <row r="1047372" spans="1:11" s="55" customFormat="1" ht="12.75">
      <c r="A1047372" s="24"/>
      <c r="B1047372" s="24"/>
      <c r="C1047372" s="24"/>
      <c r="D1047372" s="24"/>
      <c r="E1047372" s="24"/>
      <c r="F1047372" s="24"/>
      <c r="G1047372" s="24"/>
      <c r="H1047372" s="24"/>
      <c r="I1047372" s="24"/>
      <c r="J1047372" s="24"/>
      <c r="K1047372" s="54"/>
    </row>
    <row r="1047373" spans="1:11" s="55" customFormat="1" ht="12.75">
      <c r="A1047373" s="24"/>
      <c r="B1047373" s="24"/>
      <c r="C1047373" s="24"/>
      <c r="D1047373" s="24"/>
      <c r="E1047373" s="24"/>
      <c r="F1047373" s="24"/>
      <c r="G1047373" s="24"/>
      <c r="H1047373" s="24"/>
      <c r="I1047373" s="24"/>
      <c r="J1047373" s="24"/>
      <c r="K1047373" s="54"/>
    </row>
    <row r="1047374" spans="1:11" s="55" customFormat="1" ht="12.75">
      <c r="A1047374" s="24"/>
      <c r="B1047374" s="24"/>
      <c r="C1047374" s="24"/>
      <c r="D1047374" s="24"/>
      <c r="E1047374" s="24"/>
      <c r="F1047374" s="24"/>
      <c r="G1047374" s="24"/>
      <c r="H1047374" s="24"/>
      <c r="I1047374" s="24"/>
      <c r="J1047374" s="24"/>
      <c r="K1047374" s="54"/>
    </row>
    <row r="1047375" spans="1:11" s="55" customFormat="1" ht="12.75">
      <c r="A1047375" s="24"/>
      <c r="B1047375" s="24"/>
      <c r="C1047375" s="24"/>
      <c r="D1047375" s="24"/>
      <c r="E1047375" s="24"/>
      <c r="F1047375" s="24"/>
      <c r="G1047375" s="24"/>
      <c r="H1047375" s="24"/>
      <c r="I1047375" s="24"/>
      <c r="J1047375" s="24"/>
      <c r="K1047375" s="54"/>
    </row>
    <row r="1047376" spans="1:11" s="55" customFormat="1" ht="12.75">
      <c r="A1047376" s="24"/>
      <c r="B1047376" s="24"/>
      <c r="C1047376" s="24"/>
      <c r="D1047376" s="24"/>
      <c r="E1047376" s="24"/>
      <c r="F1047376" s="24"/>
      <c r="G1047376" s="24"/>
      <c r="H1047376" s="24"/>
      <c r="I1047376" s="24"/>
      <c r="J1047376" s="24"/>
      <c r="K1047376" s="54"/>
    </row>
    <row r="1047377" spans="1:11" s="55" customFormat="1" ht="12.75">
      <c r="A1047377" s="24"/>
      <c r="B1047377" s="24"/>
      <c r="C1047377" s="24"/>
      <c r="D1047377" s="24"/>
      <c r="E1047377" s="24"/>
      <c r="F1047377" s="24"/>
      <c r="G1047377" s="24"/>
      <c r="H1047377" s="24"/>
      <c r="I1047377" s="24"/>
      <c r="J1047377" s="24"/>
      <c r="K1047377" s="54"/>
    </row>
    <row r="1047378" spans="1:11" s="55" customFormat="1" ht="12.75">
      <c r="A1047378" s="24"/>
      <c r="B1047378" s="24"/>
      <c r="C1047378" s="24"/>
      <c r="D1047378" s="24"/>
      <c r="E1047378" s="24"/>
      <c r="F1047378" s="24"/>
      <c r="G1047378" s="24"/>
      <c r="H1047378" s="24"/>
      <c r="I1047378" s="24"/>
      <c r="J1047378" s="24"/>
      <c r="K1047378" s="54"/>
    </row>
    <row r="1047379" spans="1:11" s="55" customFormat="1" ht="12.75">
      <c r="A1047379" s="24"/>
      <c r="B1047379" s="24"/>
      <c r="C1047379" s="24"/>
      <c r="D1047379" s="24"/>
      <c r="E1047379" s="24"/>
      <c r="F1047379" s="24"/>
      <c r="G1047379" s="24"/>
      <c r="H1047379" s="24"/>
      <c r="I1047379" s="24"/>
      <c r="J1047379" s="24"/>
      <c r="K1047379" s="54"/>
    </row>
    <row r="1047380" spans="1:11" s="55" customFormat="1" ht="12.75">
      <c r="A1047380" s="24"/>
      <c r="B1047380" s="24"/>
      <c r="C1047380" s="24"/>
      <c r="D1047380" s="24"/>
      <c r="E1047380" s="24"/>
      <c r="F1047380" s="24"/>
      <c r="G1047380" s="24"/>
      <c r="H1047380" s="24"/>
      <c r="I1047380" s="24"/>
      <c r="J1047380" s="24"/>
      <c r="K1047380" s="54"/>
    </row>
    <row r="1047381" spans="1:11" s="55" customFormat="1" ht="12.75">
      <c r="A1047381" s="24"/>
      <c r="B1047381" s="24"/>
      <c r="C1047381" s="24"/>
      <c r="D1047381" s="24"/>
      <c r="E1047381" s="24"/>
      <c r="F1047381" s="24"/>
      <c r="G1047381" s="24"/>
      <c r="H1047381" s="24"/>
      <c r="I1047381" s="24"/>
      <c r="J1047381" s="24"/>
      <c r="K1047381" s="54"/>
    </row>
    <row r="1047382" spans="1:11" s="55" customFormat="1" ht="12.75">
      <c r="A1047382" s="24"/>
      <c r="B1047382" s="24"/>
      <c r="C1047382" s="24"/>
      <c r="D1047382" s="24"/>
      <c r="E1047382" s="24"/>
      <c r="F1047382" s="24"/>
      <c r="G1047382" s="24"/>
      <c r="H1047382" s="24"/>
      <c r="I1047382" s="24"/>
      <c r="J1047382" s="24"/>
      <c r="K1047382" s="54"/>
    </row>
    <row r="1047383" spans="1:11" s="55" customFormat="1" ht="12.75">
      <c r="A1047383" s="24"/>
      <c r="B1047383" s="24"/>
      <c r="C1047383" s="24"/>
      <c r="D1047383" s="24"/>
      <c r="E1047383" s="24"/>
      <c r="F1047383" s="24"/>
      <c r="G1047383" s="24"/>
      <c r="H1047383" s="24"/>
      <c r="I1047383" s="24"/>
      <c r="J1047383" s="24"/>
      <c r="K1047383" s="54"/>
    </row>
    <row r="1047384" spans="1:11" s="55" customFormat="1" ht="12.75">
      <c r="A1047384" s="24"/>
      <c r="B1047384" s="24"/>
      <c r="C1047384" s="24"/>
      <c r="D1047384" s="24"/>
      <c r="E1047384" s="24"/>
      <c r="F1047384" s="24"/>
      <c r="G1047384" s="24"/>
      <c r="H1047384" s="24"/>
      <c r="I1047384" s="24"/>
      <c r="J1047384" s="24"/>
      <c r="K1047384" s="54"/>
    </row>
    <row r="1047385" spans="1:11" s="55" customFormat="1" ht="12.75">
      <c r="A1047385" s="24"/>
      <c r="B1047385" s="24"/>
      <c r="C1047385" s="24"/>
      <c r="D1047385" s="24"/>
      <c r="E1047385" s="24"/>
      <c r="F1047385" s="24"/>
      <c r="G1047385" s="24"/>
      <c r="H1047385" s="24"/>
      <c r="I1047385" s="24"/>
      <c r="J1047385" s="24"/>
      <c r="K1047385" s="54"/>
    </row>
    <row r="1047386" spans="1:11" s="55" customFormat="1" ht="12.75">
      <c r="A1047386" s="24"/>
      <c r="B1047386" s="24"/>
      <c r="C1047386" s="24"/>
      <c r="D1047386" s="24"/>
      <c r="E1047386" s="24"/>
      <c r="F1047386" s="24"/>
      <c r="G1047386" s="24"/>
      <c r="H1047386" s="24"/>
      <c r="I1047386" s="24"/>
      <c r="J1047386" s="24"/>
      <c r="K1047386" s="54"/>
    </row>
    <row r="1047387" spans="1:11" s="55" customFormat="1" ht="12.75">
      <c r="A1047387" s="24"/>
      <c r="B1047387" s="24"/>
      <c r="C1047387" s="24"/>
      <c r="D1047387" s="24"/>
      <c r="E1047387" s="24"/>
      <c r="F1047387" s="24"/>
      <c r="G1047387" s="24"/>
      <c r="H1047387" s="24"/>
      <c r="I1047387" s="24"/>
      <c r="J1047387" s="24"/>
      <c r="K1047387" s="54"/>
    </row>
    <row r="1047388" spans="1:11" s="55" customFormat="1" ht="12.75">
      <c r="A1047388" s="24"/>
      <c r="B1047388" s="24"/>
      <c r="C1047388" s="24"/>
      <c r="D1047388" s="24"/>
      <c r="E1047388" s="24"/>
      <c r="F1047388" s="24"/>
      <c r="G1047388" s="24"/>
      <c r="H1047388" s="24"/>
      <c r="I1047388" s="24"/>
      <c r="J1047388" s="24"/>
      <c r="K1047388" s="54"/>
    </row>
    <row r="1047389" spans="1:11" s="55" customFormat="1" ht="12.75">
      <c r="A1047389" s="24"/>
      <c r="B1047389" s="24"/>
      <c r="C1047389" s="24"/>
      <c r="D1047389" s="24"/>
      <c r="E1047389" s="24"/>
      <c r="F1047389" s="24"/>
      <c r="G1047389" s="24"/>
      <c r="H1047389" s="24"/>
      <c r="I1047389" s="24"/>
      <c r="J1047389" s="24"/>
      <c r="K1047389" s="54"/>
    </row>
    <row r="1047390" spans="1:11" s="55" customFormat="1" ht="12.75">
      <c r="A1047390" s="24"/>
      <c r="B1047390" s="24"/>
      <c r="C1047390" s="24"/>
      <c r="D1047390" s="24"/>
      <c r="E1047390" s="24"/>
      <c r="F1047390" s="24"/>
      <c r="G1047390" s="24"/>
      <c r="H1047390" s="24"/>
      <c r="I1047390" s="24"/>
      <c r="J1047390" s="24"/>
      <c r="K1047390" s="54"/>
    </row>
    <row r="1047391" spans="1:11" s="55" customFormat="1" ht="12.75">
      <c r="A1047391" s="24"/>
      <c r="B1047391" s="24"/>
      <c r="C1047391" s="24"/>
      <c r="D1047391" s="24"/>
      <c r="E1047391" s="24"/>
      <c r="F1047391" s="24"/>
      <c r="G1047391" s="24"/>
      <c r="H1047391" s="24"/>
      <c r="I1047391" s="24"/>
      <c r="J1047391" s="24"/>
      <c r="K1047391" s="54"/>
    </row>
    <row r="1047392" spans="1:11" s="55" customFormat="1" ht="12.75">
      <c r="A1047392" s="24"/>
      <c r="B1047392" s="24"/>
      <c r="C1047392" s="24"/>
      <c r="D1047392" s="24"/>
      <c r="E1047392" s="24"/>
      <c r="F1047392" s="24"/>
      <c r="G1047392" s="24"/>
      <c r="H1047392" s="24"/>
      <c r="I1047392" s="24"/>
      <c r="J1047392" s="24"/>
      <c r="K1047392" s="54"/>
    </row>
    <row r="1047393" spans="1:11" s="55" customFormat="1" ht="12.75">
      <c r="A1047393" s="24"/>
      <c r="B1047393" s="24"/>
      <c r="C1047393" s="24"/>
      <c r="D1047393" s="24"/>
      <c r="E1047393" s="24"/>
      <c r="F1047393" s="24"/>
      <c r="G1047393" s="24"/>
      <c r="H1047393" s="24"/>
      <c r="I1047393" s="24"/>
      <c r="J1047393" s="24"/>
      <c r="K1047393" s="54"/>
    </row>
    <row r="1047394" spans="1:11" s="55" customFormat="1" ht="12.75">
      <c r="A1047394" s="24"/>
      <c r="B1047394" s="24"/>
      <c r="C1047394" s="24"/>
      <c r="D1047394" s="24"/>
      <c r="E1047394" s="24"/>
      <c r="F1047394" s="24"/>
      <c r="G1047394" s="24"/>
      <c r="H1047394" s="24"/>
      <c r="I1047394" s="24"/>
      <c r="J1047394" s="24"/>
      <c r="K1047394" s="54"/>
    </row>
    <row r="1047395" spans="1:11" s="55" customFormat="1" ht="12.75">
      <c r="A1047395" s="24"/>
      <c r="B1047395" s="24"/>
      <c r="C1047395" s="24"/>
      <c r="D1047395" s="24"/>
      <c r="E1047395" s="24"/>
      <c r="F1047395" s="24"/>
      <c r="G1047395" s="24"/>
      <c r="H1047395" s="24"/>
      <c r="I1047395" s="24"/>
      <c r="J1047395" s="24"/>
      <c r="K1047395" s="54"/>
    </row>
    <row r="1047396" spans="1:11" s="55" customFormat="1" ht="12.75">
      <c r="A1047396" s="24"/>
      <c r="B1047396" s="24"/>
      <c r="C1047396" s="24"/>
      <c r="D1047396" s="24"/>
      <c r="E1047396" s="24"/>
      <c r="F1047396" s="24"/>
      <c r="G1047396" s="24"/>
      <c r="H1047396" s="24"/>
      <c r="I1047396" s="24"/>
      <c r="J1047396" s="24"/>
      <c r="K1047396" s="54"/>
    </row>
    <row r="1047397" spans="1:11" s="55" customFormat="1" ht="12.75">
      <c r="A1047397" s="24"/>
      <c r="B1047397" s="24"/>
      <c r="C1047397" s="24"/>
      <c r="D1047397" s="24"/>
      <c r="E1047397" s="24"/>
      <c r="F1047397" s="24"/>
      <c r="G1047397" s="24"/>
      <c r="H1047397" s="24"/>
      <c r="I1047397" s="24"/>
      <c r="J1047397" s="24"/>
      <c r="K1047397" s="54"/>
    </row>
    <row r="1047398" spans="1:11" s="55" customFormat="1" ht="12.75">
      <c r="A1047398" s="24"/>
      <c r="B1047398" s="24"/>
      <c r="C1047398" s="24"/>
      <c r="D1047398" s="24"/>
      <c r="E1047398" s="24"/>
      <c r="F1047398" s="24"/>
      <c r="G1047398" s="24"/>
      <c r="H1047398" s="24"/>
      <c r="I1047398" s="24"/>
      <c r="J1047398" s="24"/>
      <c r="K1047398" s="54"/>
    </row>
    <row r="1047399" spans="1:11" s="55" customFormat="1" ht="12.75">
      <c r="A1047399" s="24"/>
      <c r="B1047399" s="24"/>
      <c r="C1047399" s="24"/>
      <c r="D1047399" s="24"/>
      <c r="E1047399" s="24"/>
      <c r="F1047399" s="24"/>
      <c r="G1047399" s="24"/>
      <c r="H1047399" s="24"/>
      <c r="I1047399" s="24"/>
      <c r="J1047399" s="24"/>
      <c r="K1047399" s="54"/>
    </row>
    <row r="1047400" spans="1:11" s="55" customFormat="1" ht="12.75">
      <c r="A1047400" s="24"/>
      <c r="B1047400" s="24"/>
      <c r="C1047400" s="24"/>
      <c r="D1047400" s="24"/>
      <c r="E1047400" s="24"/>
      <c r="F1047400" s="24"/>
      <c r="G1047400" s="24"/>
      <c r="H1047400" s="24"/>
      <c r="I1047400" s="24"/>
      <c r="J1047400" s="24"/>
      <c r="K1047400" s="54"/>
    </row>
    <row r="1047401" spans="1:11" s="55" customFormat="1" ht="12.75">
      <c r="A1047401" s="24"/>
      <c r="B1047401" s="24"/>
      <c r="C1047401" s="24"/>
      <c r="D1047401" s="24"/>
      <c r="E1047401" s="24"/>
      <c r="F1047401" s="24"/>
      <c r="G1047401" s="24"/>
      <c r="H1047401" s="24"/>
      <c r="I1047401" s="24"/>
      <c r="J1047401" s="24"/>
      <c r="K1047401" s="54"/>
    </row>
    <row r="1047402" spans="1:11" s="55" customFormat="1" ht="12.75">
      <c r="A1047402" s="24"/>
      <c r="B1047402" s="24"/>
      <c r="C1047402" s="24"/>
      <c r="D1047402" s="24"/>
      <c r="E1047402" s="24"/>
      <c r="F1047402" s="24"/>
      <c r="G1047402" s="24"/>
      <c r="H1047402" s="24"/>
      <c r="I1047402" s="24"/>
      <c r="J1047402" s="24"/>
      <c r="K1047402" s="54"/>
    </row>
    <row r="1047403" spans="1:11" s="55" customFormat="1" ht="12.75">
      <c r="A1047403" s="24"/>
      <c r="B1047403" s="24"/>
      <c r="C1047403" s="24"/>
      <c r="D1047403" s="24"/>
      <c r="E1047403" s="24"/>
      <c r="F1047403" s="24"/>
      <c r="G1047403" s="24"/>
      <c r="H1047403" s="24"/>
      <c r="I1047403" s="24"/>
      <c r="J1047403" s="24"/>
      <c r="K1047403" s="54"/>
    </row>
    <row r="1047404" spans="1:11" s="55" customFormat="1" ht="12.75">
      <c r="A1047404" s="24"/>
      <c r="B1047404" s="24"/>
      <c r="C1047404" s="24"/>
      <c r="D1047404" s="24"/>
      <c r="E1047404" s="24"/>
      <c r="F1047404" s="24"/>
      <c r="G1047404" s="24"/>
      <c r="H1047404" s="24"/>
      <c r="I1047404" s="24"/>
      <c r="J1047404" s="24"/>
      <c r="K1047404" s="54"/>
    </row>
    <row r="1047405" spans="1:11" s="55" customFormat="1" ht="12.75">
      <c r="A1047405" s="24"/>
      <c r="B1047405" s="24"/>
      <c r="C1047405" s="24"/>
      <c r="D1047405" s="24"/>
      <c r="E1047405" s="24"/>
      <c r="F1047405" s="24"/>
      <c r="G1047405" s="24"/>
      <c r="H1047405" s="24"/>
      <c r="I1047405" s="24"/>
      <c r="J1047405" s="24"/>
      <c r="K1047405" s="54"/>
    </row>
    <row r="1047406" spans="1:11" s="55" customFormat="1" ht="12.75">
      <c r="A1047406" s="24"/>
      <c r="B1047406" s="24"/>
      <c r="C1047406" s="24"/>
      <c r="D1047406" s="24"/>
      <c r="E1047406" s="24"/>
      <c r="F1047406" s="24"/>
      <c r="G1047406" s="24"/>
      <c r="H1047406" s="24"/>
      <c r="I1047406" s="24"/>
      <c r="J1047406" s="24"/>
      <c r="K1047406" s="54"/>
    </row>
    <row r="1047407" spans="1:11" s="55" customFormat="1" ht="12.75">
      <c r="A1047407" s="24"/>
      <c r="B1047407" s="24"/>
      <c r="C1047407" s="24"/>
      <c r="D1047407" s="24"/>
      <c r="E1047407" s="24"/>
      <c r="F1047407" s="24"/>
      <c r="G1047407" s="24"/>
      <c r="H1047407" s="24"/>
      <c r="I1047407" s="24"/>
      <c r="J1047407" s="24"/>
      <c r="K1047407" s="54"/>
    </row>
    <row r="1047408" spans="1:11" s="55" customFormat="1" ht="12.75">
      <c r="A1047408" s="24"/>
      <c r="B1047408" s="24"/>
      <c r="C1047408" s="24"/>
      <c r="D1047408" s="24"/>
      <c r="E1047408" s="24"/>
      <c r="F1047408" s="24"/>
      <c r="G1047408" s="24"/>
      <c r="H1047408" s="24"/>
      <c r="I1047408" s="24"/>
      <c r="J1047408" s="24"/>
      <c r="K1047408" s="54"/>
    </row>
    <row r="1047409" spans="1:11" s="55" customFormat="1" ht="12.75">
      <c r="A1047409" s="24"/>
      <c r="B1047409" s="24"/>
      <c r="C1047409" s="24"/>
      <c r="D1047409" s="24"/>
      <c r="E1047409" s="24"/>
      <c r="F1047409" s="24"/>
      <c r="G1047409" s="24"/>
      <c r="H1047409" s="24"/>
      <c r="I1047409" s="24"/>
      <c r="J1047409" s="24"/>
      <c r="K1047409" s="54"/>
    </row>
    <row r="1047410" spans="1:11" s="55" customFormat="1" ht="12.75">
      <c r="A1047410" s="24"/>
      <c r="B1047410" s="24"/>
      <c r="C1047410" s="24"/>
      <c r="D1047410" s="24"/>
      <c r="E1047410" s="24"/>
      <c r="F1047410" s="24"/>
      <c r="G1047410" s="24"/>
      <c r="H1047410" s="24"/>
      <c r="I1047410" s="24"/>
      <c r="J1047410" s="24"/>
      <c r="K1047410" s="54"/>
    </row>
    <row r="1047411" spans="1:11" s="55" customFormat="1" ht="12.75">
      <c r="A1047411" s="24"/>
      <c r="B1047411" s="24"/>
      <c r="C1047411" s="24"/>
      <c r="D1047411" s="24"/>
      <c r="E1047411" s="24"/>
      <c r="F1047411" s="24"/>
      <c r="G1047411" s="24"/>
      <c r="H1047411" s="24"/>
      <c r="I1047411" s="24"/>
      <c r="J1047411" s="24"/>
      <c r="K1047411" s="54"/>
    </row>
    <row r="1047412" spans="1:11" s="55" customFormat="1" ht="12.75">
      <c r="A1047412" s="24"/>
      <c r="B1047412" s="24"/>
      <c r="C1047412" s="24"/>
      <c r="D1047412" s="24"/>
      <c r="E1047412" s="24"/>
      <c r="F1047412" s="24"/>
      <c r="G1047412" s="24"/>
      <c r="H1047412" s="24"/>
      <c r="I1047412" s="24"/>
      <c r="J1047412" s="24"/>
      <c r="K1047412" s="54"/>
    </row>
    <row r="1047413" spans="1:11" s="55" customFormat="1" ht="12.75">
      <c r="A1047413" s="24"/>
      <c r="B1047413" s="24"/>
      <c r="C1047413" s="24"/>
      <c r="D1047413" s="24"/>
      <c r="E1047413" s="24"/>
      <c r="F1047413" s="24"/>
      <c r="G1047413" s="24"/>
      <c r="H1047413" s="24"/>
      <c r="I1047413" s="24"/>
      <c r="J1047413" s="24"/>
      <c r="K1047413" s="54"/>
    </row>
    <row r="1047414" spans="1:11" s="55" customFormat="1" ht="12.75">
      <c r="A1047414" s="24"/>
      <c r="B1047414" s="24"/>
      <c r="C1047414" s="24"/>
      <c r="D1047414" s="24"/>
      <c r="E1047414" s="24"/>
      <c r="F1047414" s="24"/>
      <c r="G1047414" s="24"/>
      <c r="H1047414" s="24"/>
      <c r="I1047414" s="24"/>
      <c r="J1047414" s="24"/>
      <c r="K1047414" s="54"/>
    </row>
    <row r="1047415" spans="1:11" s="55" customFormat="1" ht="12.75">
      <c r="A1047415" s="24"/>
      <c r="B1047415" s="24"/>
      <c r="C1047415" s="24"/>
      <c r="D1047415" s="24"/>
      <c r="E1047415" s="24"/>
      <c r="F1047415" s="24"/>
      <c r="G1047415" s="24"/>
      <c r="H1047415" s="24"/>
      <c r="I1047415" s="24"/>
      <c r="J1047415" s="24"/>
      <c r="K1047415" s="54"/>
    </row>
    <row r="1047416" spans="1:11" s="55" customFormat="1" ht="12.75">
      <c r="A1047416" s="24"/>
      <c r="B1047416" s="24"/>
      <c r="C1047416" s="24"/>
      <c r="D1047416" s="24"/>
      <c r="E1047416" s="24"/>
      <c r="F1047416" s="24"/>
      <c r="G1047416" s="24"/>
      <c r="H1047416" s="24"/>
      <c r="I1047416" s="24"/>
      <c r="J1047416" s="24"/>
      <c r="K1047416" s="54"/>
    </row>
    <row r="1047417" spans="1:11" s="55" customFormat="1" ht="12.75">
      <c r="A1047417" s="24"/>
      <c r="B1047417" s="24"/>
      <c r="C1047417" s="24"/>
      <c r="D1047417" s="24"/>
      <c r="E1047417" s="24"/>
      <c r="F1047417" s="24"/>
      <c r="G1047417" s="24"/>
      <c r="H1047417" s="24"/>
      <c r="I1047417" s="24"/>
      <c r="J1047417" s="24"/>
      <c r="K1047417" s="54"/>
    </row>
    <row r="1047418" spans="1:11" s="55" customFormat="1" ht="12.75">
      <c r="A1047418" s="24"/>
      <c r="B1047418" s="24"/>
      <c r="C1047418" s="24"/>
      <c r="D1047418" s="24"/>
      <c r="E1047418" s="24"/>
      <c r="F1047418" s="24"/>
      <c r="G1047418" s="24"/>
      <c r="H1047418" s="24"/>
      <c r="I1047418" s="24"/>
      <c r="J1047418" s="24"/>
      <c r="K1047418" s="54"/>
    </row>
    <row r="1047419" spans="1:11" s="55" customFormat="1" ht="12.75">
      <c r="A1047419" s="24"/>
      <c r="B1047419" s="24"/>
      <c r="C1047419" s="24"/>
      <c r="D1047419" s="24"/>
      <c r="E1047419" s="24"/>
      <c r="F1047419" s="24"/>
      <c r="G1047419" s="24"/>
      <c r="H1047419" s="24"/>
      <c r="I1047419" s="24"/>
      <c r="J1047419" s="24"/>
      <c r="K1047419" s="54"/>
    </row>
    <row r="1047420" spans="1:11" s="55" customFormat="1" ht="12.75">
      <c r="A1047420" s="24"/>
      <c r="B1047420" s="24"/>
      <c r="C1047420" s="24"/>
      <c r="D1047420" s="24"/>
      <c r="E1047420" s="24"/>
      <c r="F1047420" s="24"/>
      <c r="G1047420" s="24"/>
      <c r="H1047420" s="24"/>
      <c r="I1047420" s="24"/>
      <c r="J1047420" s="24"/>
      <c r="K1047420" s="54"/>
    </row>
    <row r="1047421" spans="1:11" s="55" customFormat="1" ht="12.75">
      <c r="A1047421" s="24"/>
      <c r="B1047421" s="24"/>
      <c r="C1047421" s="24"/>
      <c r="D1047421" s="24"/>
      <c r="E1047421" s="24"/>
      <c r="F1047421" s="24"/>
      <c r="G1047421" s="24"/>
      <c r="H1047421" s="24"/>
      <c r="I1047421" s="24"/>
      <c r="J1047421" s="24"/>
      <c r="K1047421" s="54"/>
    </row>
    <row r="1047422" spans="1:11" s="55" customFormat="1" ht="12.75">
      <c r="A1047422" s="24"/>
      <c r="B1047422" s="24"/>
      <c r="C1047422" s="24"/>
      <c r="D1047422" s="24"/>
      <c r="E1047422" s="24"/>
      <c r="F1047422" s="24"/>
      <c r="G1047422" s="24"/>
      <c r="H1047422" s="24"/>
      <c r="I1047422" s="24"/>
      <c r="J1047422" s="24"/>
      <c r="K1047422" s="54"/>
    </row>
    <row r="1047423" spans="1:11" s="55" customFormat="1" ht="12.75">
      <c r="A1047423" s="24"/>
      <c r="B1047423" s="24"/>
      <c r="C1047423" s="24"/>
      <c r="D1047423" s="24"/>
      <c r="E1047423" s="24"/>
      <c r="F1047423" s="24"/>
      <c r="G1047423" s="24"/>
      <c r="H1047423" s="24"/>
      <c r="I1047423" s="24"/>
      <c r="J1047423" s="24"/>
      <c r="K1047423" s="54"/>
    </row>
    <row r="1047424" spans="1:11" s="55" customFormat="1" ht="12.75">
      <c r="A1047424" s="24"/>
      <c r="B1047424" s="24"/>
      <c r="C1047424" s="24"/>
      <c r="D1047424" s="24"/>
      <c r="E1047424" s="24"/>
      <c r="F1047424" s="24"/>
      <c r="G1047424" s="24"/>
      <c r="H1047424" s="24"/>
      <c r="I1047424" s="24"/>
      <c r="J1047424" s="24"/>
      <c r="K1047424" s="54"/>
    </row>
    <row r="1047425" spans="1:11" s="55" customFormat="1" ht="12.75">
      <c r="A1047425" s="24"/>
      <c r="B1047425" s="24"/>
      <c r="C1047425" s="24"/>
      <c r="D1047425" s="24"/>
      <c r="E1047425" s="24"/>
      <c r="F1047425" s="24"/>
      <c r="G1047425" s="24"/>
      <c r="H1047425" s="24"/>
      <c r="I1047425" s="24"/>
      <c r="J1047425" s="24"/>
      <c r="K1047425" s="54"/>
    </row>
    <row r="1047426" spans="1:11" s="55" customFormat="1" ht="12.75">
      <c r="A1047426" s="24"/>
      <c r="B1047426" s="24"/>
      <c r="C1047426" s="24"/>
      <c r="D1047426" s="24"/>
      <c r="E1047426" s="24"/>
      <c r="F1047426" s="24"/>
      <c r="G1047426" s="24"/>
      <c r="H1047426" s="24"/>
      <c r="I1047426" s="24"/>
      <c r="J1047426" s="24"/>
      <c r="K1047426" s="54"/>
    </row>
    <row r="1047427" spans="1:11" s="55" customFormat="1" ht="12.75">
      <c r="A1047427" s="24"/>
      <c r="B1047427" s="24"/>
      <c r="C1047427" s="24"/>
      <c r="D1047427" s="24"/>
      <c r="E1047427" s="24"/>
      <c r="F1047427" s="24"/>
      <c r="G1047427" s="24"/>
      <c r="H1047427" s="24"/>
      <c r="I1047427" s="24"/>
      <c r="J1047427" s="24"/>
      <c r="K1047427" s="54"/>
    </row>
    <row r="1047428" spans="1:11" s="55" customFormat="1" ht="12.75">
      <c r="A1047428" s="24"/>
      <c r="B1047428" s="24"/>
      <c r="C1047428" s="24"/>
      <c r="D1047428" s="24"/>
      <c r="E1047428" s="24"/>
      <c r="F1047428" s="24"/>
      <c r="G1047428" s="24"/>
      <c r="H1047428" s="24"/>
      <c r="I1047428" s="24"/>
      <c r="J1047428" s="24"/>
      <c r="K1047428" s="54"/>
    </row>
    <row r="1047429" spans="1:11" s="55" customFormat="1" ht="12.75">
      <c r="A1047429" s="24"/>
      <c r="B1047429" s="24"/>
      <c r="C1047429" s="24"/>
      <c r="D1047429" s="24"/>
      <c r="E1047429" s="24"/>
      <c r="F1047429" s="24"/>
      <c r="G1047429" s="24"/>
      <c r="H1047429" s="24"/>
      <c r="I1047429" s="24"/>
      <c r="J1047429" s="24"/>
      <c r="K1047429" s="54"/>
    </row>
    <row r="1047430" spans="1:11" s="55" customFormat="1" ht="12.75">
      <c r="A1047430" s="24"/>
      <c r="B1047430" s="24"/>
      <c r="C1047430" s="24"/>
      <c r="D1047430" s="24"/>
      <c r="E1047430" s="24"/>
      <c r="F1047430" s="24"/>
      <c r="G1047430" s="24"/>
      <c r="H1047430" s="24"/>
      <c r="I1047430" s="24"/>
      <c r="J1047430" s="24"/>
      <c r="K1047430" s="54"/>
    </row>
    <row r="1047431" spans="1:11" s="55" customFormat="1" ht="12.75">
      <c r="A1047431" s="24"/>
      <c r="B1047431" s="24"/>
      <c r="C1047431" s="24"/>
      <c r="D1047431" s="24"/>
      <c r="E1047431" s="24"/>
      <c r="F1047431" s="24"/>
      <c r="G1047431" s="24"/>
      <c r="H1047431" s="24"/>
      <c r="I1047431" s="24"/>
      <c r="J1047431" s="24"/>
      <c r="K1047431" s="54"/>
    </row>
    <row r="1047432" spans="1:11" s="55" customFormat="1" ht="12.75">
      <c r="A1047432" s="24"/>
      <c r="B1047432" s="24"/>
      <c r="C1047432" s="24"/>
      <c r="D1047432" s="24"/>
      <c r="E1047432" s="24"/>
      <c r="F1047432" s="24"/>
      <c r="G1047432" s="24"/>
      <c r="H1047432" s="24"/>
      <c r="I1047432" s="24"/>
      <c r="J1047432" s="24"/>
      <c r="K1047432" s="54"/>
    </row>
    <row r="1047433" spans="1:11" s="55" customFormat="1" ht="12.75">
      <c r="A1047433" s="24"/>
      <c r="B1047433" s="24"/>
      <c r="C1047433" s="24"/>
      <c r="D1047433" s="24"/>
      <c r="E1047433" s="24"/>
      <c r="F1047433" s="24"/>
      <c r="G1047433" s="24"/>
      <c r="H1047433" s="24"/>
      <c r="I1047433" s="24"/>
      <c r="J1047433" s="24"/>
      <c r="K1047433" s="54"/>
    </row>
    <row r="1047434" spans="1:11" s="55" customFormat="1" ht="12.75">
      <c r="A1047434" s="24"/>
      <c r="B1047434" s="24"/>
      <c r="C1047434" s="24"/>
      <c r="D1047434" s="24"/>
      <c r="E1047434" s="24"/>
      <c r="F1047434" s="24"/>
      <c r="G1047434" s="24"/>
      <c r="H1047434" s="24"/>
      <c r="I1047434" s="24"/>
      <c r="J1047434" s="24"/>
      <c r="K1047434" s="54"/>
    </row>
    <row r="1047435" spans="1:11" s="55" customFormat="1" ht="12.75">
      <c r="A1047435" s="24"/>
      <c r="B1047435" s="24"/>
      <c r="C1047435" s="24"/>
      <c r="D1047435" s="24"/>
      <c r="E1047435" s="24"/>
      <c r="F1047435" s="24"/>
      <c r="G1047435" s="24"/>
      <c r="H1047435" s="24"/>
      <c r="I1047435" s="24"/>
      <c r="J1047435" s="24"/>
      <c r="K1047435" s="54"/>
    </row>
    <row r="1047436" spans="1:11" s="55" customFormat="1" ht="12.75">
      <c r="A1047436" s="24"/>
      <c r="B1047436" s="24"/>
      <c r="C1047436" s="24"/>
      <c r="D1047436" s="24"/>
      <c r="E1047436" s="24"/>
      <c r="F1047436" s="24"/>
      <c r="G1047436" s="24"/>
      <c r="H1047436" s="24"/>
      <c r="I1047436" s="24"/>
      <c r="J1047436" s="24"/>
      <c r="K1047436" s="54"/>
    </row>
    <row r="1047437" spans="1:11" s="55" customFormat="1" ht="12.75">
      <c r="A1047437" s="24"/>
      <c r="B1047437" s="24"/>
      <c r="C1047437" s="24"/>
      <c r="D1047437" s="24"/>
      <c r="E1047437" s="24"/>
      <c r="F1047437" s="24"/>
      <c r="G1047437" s="24"/>
      <c r="H1047437" s="24"/>
      <c r="I1047437" s="24"/>
      <c r="J1047437" s="24"/>
      <c r="K1047437" s="54"/>
    </row>
    <row r="1047438" spans="1:11" s="55" customFormat="1" ht="12.75">
      <c r="A1047438" s="24"/>
      <c r="B1047438" s="24"/>
      <c r="C1047438" s="24"/>
      <c r="D1047438" s="24"/>
      <c r="E1047438" s="24"/>
      <c r="F1047438" s="24"/>
      <c r="G1047438" s="24"/>
      <c r="H1047438" s="24"/>
      <c r="I1047438" s="24"/>
      <c r="J1047438" s="24"/>
      <c r="K1047438" s="54"/>
    </row>
    <row r="1047439" spans="1:11" s="55" customFormat="1" ht="12.75">
      <c r="A1047439" s="24"/>
      <c r="B1047439" s="24"/>
      <c r="C1047439" s="24"/>
      <c r="D1047439" s="24"/>
      <c r="E1047439" s="24"/>
      <c r="F1047439" s="24"/>
      <c r="G1047439" s="24"/>
      <c r="H1047439" s="24"/>
      <c r="I1047439" s="24"/>
      <c r="J1047439" s="24"/>
      <c r="K1047439" s="54"/>
    </row>
    <row r="1047440" spans="1:11" s="55" customFormat="1" ht="12.75">
      <c r="A1047440" s="24"/>
      <c r="B1047440" s="24"/>
      <c r="C1047440" s="24"/>
      <c r="D1047440" s="24"/>
      <c r="E1047440" s="24"/>
      <c r="F1047440" s="24"/>
      <c r="G1047440" s="24"/>
      <c r="H1047440" s="24"/>
      <c r="I1047440" s="24"/>
      <c r="J1047440" s="24"/>
      <c r="K1047440" s="54"/>
    </row>
    <row r="1047441" spans="1:11" s="55" customFormat="1" ht="12.75">
      <c r="A1047441" s="24"/>
      <c r="B1047441" s="24"/>
      <c r="C1047441" s="24"/>
      <c r="D1047441" s="24"/>
      <c r="E1047441" s="24"/>
      <c r="F1047441" s="24"/>
      <c r="G1047441" s="24"/>
      <c r="H1047441" s="24"/>
      <c r="I1047441" s="24"/>
      <c r="J1047441" s="24"/>
      <c r="K1047441" s="54"/>
    </row>
    <row r="1047442" spans="1:11" s="55" customFormat="1" ht="12.75">
      <c r="A1047442" s="24"/>
      <c r="B1047442" s="24"/>
      <c r="C1047442" s="24"/>
      <c r="D1047442" s="24"/>
      <c r="E1047442" s="24"/>
      <c r="F1047442" s="24"/>
      <c r="G1047442" s="24"/>
      <c r="H1047442" s="24"/>
      <c r="I1047442" s="24"/>
      <c r="J1047442" s="24"/>
      <c r="K1047442" s="54"/>
    </row>
    <row r="1047443" spans="1:11" s="55" customFormat="1" ht="12.75">
      <c r="A1047443" s="24"/>
      <c r="B1047443" s="24"/>
      <c r="C1047443" s="24"/>
      <c r="D1047443" s="24"/>
      <c r="E1047443" s="24"/>
      <c r="F1047443" s="24"/>
      <c r="G1047443" s="24"/>
      <c r="H1047443" s="24"/>
      <c r="I1047443" s="24"/>
      <c r="J1047443" s="24"/>
      <c r="K1047443" s="54"/>
    </row>
    <row r="1047444" spans="1:11" s="55" customFormat="1" ht="12.75">
      <c r="A1047444" s="24"/>
      <c r="B1047444" s="24"/>
      <c r="C1047444" s="24"/>
      <c r="D1047444" s="24"/>
      <c r="E1047444" s="24"/>
      <c r="F1047444" s="24"/>
      <c r="G1047444" s="24"/>
      <c r="H1047444" s="24"/>
      <c r="I1047444" s="24"/>
      <c r="J1047444" s="24"/>
      <c r="K1047444" s="54"/>
    </row>
    <row r="1047445" spans="1:11" s="55" customFormat="1" ht="12.75">
      <c r="A1047445" s="24"/>
      <c r="B1047445" s="24"/>
      <c r="C1047445" s="24"/>
      <c r="D1047445" s="24"/>
      <c r="E1047445" s="24"/>
      <c r="F1047445" s="24"/>
      <c r="G1047445" s="24"/>
      <c r="H1047445" s="24"/>
      <c r="I1047445" s="24"/>
      <c r="J1047445" s="24"/>
      <c r="K1047445" s="54"/>
    </row>
    <row r="1047446" spans="1:11" s="55" customFormat="1" ht="12.75">
      <c r="A1047446" s="24"/>
      <c r="B1047446" s="24"/>
      <c r="C1047446" s="24"/>
      <c r="D1047446" s="24"/>
      <c r="E1047446" s="24"/>
      <c r="F1047446" s="24"/>
      <c r="G1047446" s="24"/>
      <c r="H1047446" s="24"/>
      <c r="I1047446" s="24"/>
      <c r="J1047446" s="24"/>
      <c r="K1047446" s="54"/>
    </row>
    <row r="1047447" spans="1:11" s="55" customFormat="1" ht="12.75">
      <c r="A1047447" s="24"/>
      <c r="B1047447" s="24"/>
      <c r="C1047447" s="24"/>
      <c r="D1047447" s="24"/>
      <c r="E1047447" s="24"/>
      <c r="F1047447" s="24"/>
      <c r="G1047447" s="24"/>
      <c r="H1047447" s="24"/>
      <c r="I1047447" s="24"/>
      <c r="J1047447" s="24"/>
      <c r="K1047447" s="54"/>
    </row>
    <row r="1047448" spans="1:11" s="55" customFormat="1" ht="12.75">
      <c r="A1047448" s="24"/>
      <c r="B1047448" s="24"/>
      <c r="C1047448" s="24"/>
      <c r="D1047448" s="24"/>
      <c r="E1047448" s="24"/>
      <c r="F1047448" s="24"/>
      <c r="G1047448" s="24"/>
      <c r="H1047448" s="24"/>
      <c r="I1047448" s="24"/>
      <c r="J1047448" s="24"/>
      <c r="K1047448" s="54"/>
    </row>
    <row r="1047449" spans="1:11" s="55" customFormat="1" ht="12.75">
      <c r="A1047449" s="24"/>
      <c r="B1047449" s="24"/>
      <c r="C1047449" s="24"/>
      <c r="D1047449" s="24"/>
      <c r="E1047449" s="24"/>
      <c r="F1047449" s="24"/>
      <c r="G1047449" s="24"/>
      <c r="H1047449" s="24"/>
      <c r="I1047449" s="24"/>
      <c r="J1047449" s="24"/>
      <c r="K1047449" s="54"/>
    </row>
    <row r="1047450" spans="1:11" s="55" customFormat="1" ht="12.75">
      <c r="A1047450" s="24"/>
      <c r="B1047450" s="24"/>
      <c r="C1047450" s="24"/>
      <c r="D1047450" s="24"/>
      <c r="E1047450" s="24"/>
      <c r="F1047450" s="24"/>
      <c r="G1047450" s="24"/>
      <c r="H1047450" s="24"/>
      <c r="I1047450" s="24"/>
      <c r="J1047450" s="24"/>
      <c r="K1047450" s="54"/>
    </row>
    <row r="1047451" spans="1:11" s="55" customFormat="1" ht="12.75">
      <c r="A1047451" s="24"/>
      <c r="B1047451" s="24"/>
      <c r="C1047451" s="24"/>
      <c r="D1047451" s="24"/>
      <c r="E1047451" s="24"/>
      <c r="F1047451" s="24"/>
      <c r="G1047451" s="24"/>
      <c r="H1047451" s="24"/>
      <c r="I1047451" s="24"/>
      <c r="J1047451" s="24"/>
      <c r="K1047451" s="54"/>
    </row>
    <row r="1047452" spans="1:11" s="55" customFormat="1" ht="12.75">
      <c r="A1047452" s="24"/>
      <c r="B1047452" s="24"/>
      <c r="C1047452" s="24"/>
      <c r="D1047452" s="24"/>
      <c r="E1047452" s="24"/>
      <c r="F1047452" s="24"/>
      <c r="G1047452" s="24"/>
      <c r="H1047452" s="24"/>
      <c r="I1047452" s="24"/>
      <c r="J1047452" s="24"/>
      <c r="K1047452" s="54"/>
    </row>
    <row r="1047453" spans="1:11" s="55" customFormat="1" ht="12.75">
      <c r="A1047453" s="24"/>
      <c r="B1047453" s="24"/>
      <c r="C1047453" s="24"/>
      <c r="D1047453" s="24"/>
      <c r="E1047453" s="24"/>
      <c r="F1047453" s="24"/>
      <c r="G1047453" s="24"/>
      <c r="H1047453" s="24"/>
      <c r="I1047453" s="24"/>
      <c r="J1047453" s="24"/>
      <c r="K1047453" s="54"/>
    </row>
    <row r="1047454" spans="1:11" s="55" customFormat="1" ht="12.75">
      <c r="A1047454" s="24"/>
      <c r="B1047454" s="24"/>
      <c r="C1047454" s="24"/>
      <c r="D1047454" s="24"/>
      <c r="E1047454" s="24"/>
      <c r="F1047454" s="24"/>
      <c r="G1047454" s="24"/>
      <c r="H1047454" s="24"/>
      <c r="I1047454" s="24"/>
      <c r="J1047454" s="24"/>
      <c r="K1047454" s="54"/>
    </row>
    <row r="1047455" spans="1:11" s="55" customFormat="1" ht="12.75">
      <c r="A1047455" s="24"/>
      <c r="B1047455" s="24"/>
      <c r="C1047455" s="24"/>
      <c r="D1047455" s="24"/>
      <c r="E1047455" s="24"/>
      <c r="F1047455" s="24"/>
      <c r="G1047455" s="24"/>
      <c r="H1047455" s="24"/>
      <c r="I1047455" s="24"/>
      <c r="J1047455" s="24"/>
      <c r="K1047455" s="54"/>
    </row>
    <row r="1047456" spans="1:11" s="55" customFormat="1" ht="12.75">
      <c r="A1047456" s="24"/>
      <c r="B1047456" s="24"/>
      <c r="C1047456" s="24"/>
      <c r="D1047456" s="24"/>
      <c r="E1047456" s="24"/>
      <c r="F1047456" s="24"/>
      <c r="G1047456" s="24"/>
      <c r="H1047456" s="24"/>
      <c r="I1047456" s="24"/>
      <c r="J1047456" s="24"/>
      <c r="K1047456" s="54"/>
    </row>
    <row r="1047457" spans="1:11" s="55" customFormat="1" ht="12.75">
      <c r="A1047457" s="24"/>
      <c r="B1047457" s="24"/>
      <c r="C1047457" s="24"/>
      <c r="D1047457" s="24"/>
      <c r="E1047457" s="24"/>
      <c r="F1047457" s="24"/>
      <c r="G1047457" s="24"/>
      <c r="H1047457" s="24"/>
      <c r="I1047457" s="24"/>
      <c r="J1047457" s="24"/>
      <c r="K1047457" s="54"/>
    </row>
    <row r="1047458" spans="1:11" s="55" customFormat="1" ht="12.75">
      <c r="A1047458" s="24"/>
      <c r="B1047458" s="24"/>
      <c r="C1047458" s="24"/>
      <c r="D1047458" s="24"/>
      <c r="E1047458" s="24"/>
      <c r="F1047458" s="24"/>
      <c r="G1047458" s="24"/>
      <c r="H1047458" s="24"/>
      <c r="I1047458" s="24"/>
      <c r="J1047458" s="24"/>
      <c r="K1047458" s="54"/>
    </row>
    <row r="1047459" spans="1:11" s="55" customFormat="1" ht="12.75">
      <c r="A1047459" s="24"/>
      <c r="B1047459" s="24"/>
      <c r="C1047459" s="24"/>
      <c r="D1047459" s="24"/>
      <c r="E1047459" s="24"/>
      <c r="F1047459" s="24"/>
      <c r="G1047459" s="24"/>
      <c r="H1047459" s="24"/>
      <c r="I1047459" s="24"/>
      <c r="J1047459" s="24"/>
      <c r="K1047459" s="54"/>
    </row>
    <row r="1047460" spans="1:11" s="55" customFormat="1" ht="12.75">
      <c r="A1047460" s="24"/>
      <c r="B1047460" s="24"/>
      <c r="C1047460" s="24"/>
      <c r="D1047460" s="24"/>
      <c r="E1047460" s="24"/>
      <c r="F1047460" s="24"/>
      <c r="G1047460" s="24"/>
      <c r="H1047460" s="24"/>
      <c r="I1047460" s="24"/>
      <c r="J1047460" s="24"/>
      <c r="K1047460" s="54"/>
    </row>
    <row r="1047461" spans="1:11" s="55" customFormat="1" ht="12.75">
      <c r="A1047461" s="24"/>
      <c r="B1047461" s="24"/>
      <c r="C1047461" s="24"/>
      <c r="D1047461" s="24"/>
      <c r="E1047461" s="24"/>
      <c r="F1047461" s="24"/>
      <c r="G1047461" s="24"/>
      <c r="H1047461" s="24"/>
      <c r="I1047461" s="24"/>
      <c r="J1047461" s="24"/>
      <c r="K1047461" s="54"/>
    </row>
    <row r="1047462" spans="1:11" s="55" customFormat="1" ht="12.75">
      <c r="A1047462" s="24"/>
      <c r="B1047462" s="24"/>
      <c r="C1047462" s="24"/>
      <c r="D1047462" s="24"/>
      <c r="E1047462" s="24"/>
      <c r="F1047462" s="24"/>
      <c r="G1047462" s="24"/>
      <c r="H1047462" s="24"/>
      <c r="I1047462" s="24"/>
      <c r="J1047462" s="24"/>
      <c r="K1047462" s="54"/>
    </row>
    <row r="1047463" spans="1:11" s="55" customFormat="1" ht="12.75">
      <c r="A1047463" s="24"/>
      <c r="B1047463" s="24"/>
      <c r="C1047463" s="24"/>
      <c r="D1047463" s="24"/>
      <c r="E1047463" s="24"/>
      <c r="F1047463" s="24"/>
      <c r="G1047463" s="24"/>
      <c r="H1047463" s="24"/>
      <c r="I1047463" s="24"/>
      <c r="J1047463" s="24"/>
      <c r="K1047463" s="54"/>
    </row>
    <row r="1047464" spans="1:11" s="55" customFormat="1" ht="12.75">
      <c r="A1047464" s="24"/>
      <c r="B1047464" s="24"/>
      <c r="C1047464" s="24"/>
      <c r="D1047464" s="24"/>
      <c r="E1047464" s="24"/>
      <c r="F1047464" s="24"/>
      <c r="G1047464" s="24"/>
      <c r="H1047464" s="24"/>
      <c r="I1047464" s="24"/>
      <c r="J1047464" s="24"/>
      <c r="K1047464" s="54"/>
    </row>
    <row r="1047465" spans="1:11" s="55" customFormat="1" ht="12.75">
      <c r="A1047465" s="24"/>
      <c r="B1047465" s="24"/>
      <c r="C1047465" s="24"/>
      <c r="D1047465" s="24"/>
      <c r="E1047465" s="24"/>
      <c r="F1047465" s="24"/>
      <c r="G1047465" s="24"/>
      <c r="H1047465" s="24"/>
      <c r="I1047465" s="24"/>
      <c r="J1047465" s="24"/>
      <c r="K1047465" s="54"/>
    </row>
    <row r="1047466" spans="1:11" s="55" customFormat="1" ht="12.75">
      <c r="A1047466" s="24"/>
      <c r="B1047466" s="24"/>
      <c r="C1047466" s="24"/>
      <c r="D1047466" s="24"/>
      <c r="E1047466" s="24"/>
      <c r="F1047466" s="24"/>
      <c r="G1047466" s="24"/>
      <c r="H1047466" s="24"/>
      <c r="I1047466" s="24"/>
      <c r="J1047466" s="24"/>
      <c r="K1047466" s="54"/>
    </row>
    <row r="1047467" spans="1:11" s="55" customFormat="1" ht="12.75">
      <c r="A1047467" s="24"/>
      <c r="B1047467" s="24"/>
      <c r="C1047467" s="24"/>
      <c r="D1047467" s="24"/>
      <c r="E1047467" s="24"/>
      <c r="F1047467" s="24"/>
      <c r="G1047467" s="24"/>
      <c r="H1047467" s="24"/>
      <c r="I1047467" s="24"/>
      <c r="J1047467" s="24"/>
      <c r="K1047467" s="54"/>
    </row>
    <row r="1047468" spans="1:11" s="55" customFormat="1" ht="12.75">
      <c r="A1047468" s="24"/>
      <c r="B1047468" s="24"/>
      <c r="C1047468" s="24"/>
      <c r="D1047468" s="24"/>
      <c r="E1047468" s="24"/>
      <c r="F1047468" s="24"/>
      <c r="G1047468" s="24"/>
      <c r="H1047468" s="24"/>
      <c r="I1047468" s="24"/>
      <c r="J1047468" s="24"/>
      <c r="K1047468" s="54"/>
    </row>
    <row r="1047469" spans="1:11" s="55" customFormat="1" ht="12.75">
      <c r="A1047469" s="24"/>
      <c r="B1047469" s="24"/>
      <c r="C1047469" s="24"/>
      <c r="D1047469" s="24"/>
      <c r="E1047469" s="24"/>
      <c r="F1047469" s="24"/>
      <c r="G1047469" s="24"/>
      <c r="H1047469" s="24"/>
      <c r="I1047469" s="24"/>
      <c r="J1047469" s="24"/>
      <c r="K1047469" s="54"/>
    </row>
    <row r="1047470" spans="1:11" s="55" customFormat="1" ht="12.75">
      <c r="A1047470" s="24"/>
      <c r="B1047470" s="24"/>
      <c r="C1047470" s="24"/>
      <c r="D1047470" s="24"/>
      <c r="E1047470" s="24"/>
      <c r="F1047470" s="24"/>
      <c r="G1047470" s="24"/>
      <c r="H1047470" s="24"/>
      <c r="I1047470" s="24"/>
      <c r="J1047470" s="24"/>
      <c r="K1047470" s="54"/>
    </row>
    <row r="1047471" spans="1:11" s="55" customFormat="1" ht="12.75">
      <c r="A1047471" s="24"/>
      <c r="B1047471" s="24"/>
      <c r="C1047471" s="24"/>
      <c r="D1047471" s="24"/>
      <c r="E1047471" s="24"/>
      <c r="F1047471" s="24"/>
      <c r="G1047471" s="24"/>
      <c r="H1047471" s="24"/>
      <c r="I1047471" s="24"/>
      <c r="J1047471" s="24"/>
      <c r="K1047471" s="54"/>
    </row>
    <row r="1047472" spans="1:11" s="55" customFormat="1" ht="12.75">
      <c r="A1047472" s="24"/>
      <c r="B1047472" s="24"/>
      <c r="C1047472" s="24"/>
      <c r="D1047472" s="24"/>
      <c r="E1047472" s="24"/>
      <c r="F1047472" s="24"/>
      <c r="G1047472" s="24"/>
      <c r="H1047472" s="24"/>
      <c r="I1047472" s="24"/>
      <c r="J1047472" s="24"/>
      <c r="K1047472" s="54"/>
    </row>
    <row r="1047473" spans="1:11" s="55" customFormat="1" ht="12.75">
      <c r="A1047473" s="24"/>
      <c r="B1047473" s="24"/>
      <c r="C1047473" s="24"/>
      <c r="D1047473" s="24"/>
      <c r="E1047473" s="24"/>
      <c r="F1047473" s="24"/>
      <c r="G1047473" s="24"/>
      <c r="H1047473" s="24"/>
      <c r="I1047473" s="24"/>
      <c r="J1047473" s="24"/>
      <c r="K1047473" s="54"/>
    </row>
    <row r="1047474" spans="1:11" s="55" customFormat="1" ht="12.75">
      <c r="A1047474" s="24"/>
      <c r="B1047474" s="24"/>
      <c r="C1047474" s="24"/>
      <c r="D1047474" s="24"/>
      <c r="E1047474" s="24"/>
      <c r="F1047474" s="24"/>
      <c r="G1047474" s="24"/>
      <c r="H1047474" s="24"/>
      <c r="I1047474" s="24"/>
      <c r="J1047474" s="24"/>
      <c r="K1047474" s="54"/>
    </row>
    <row r="1047475" spans="1:11" s="55" customFormat="1" ht="12.75">
      <c r="A1047475" s="24"/>
      <c r="B1047475" s="24"/>
      <c r="C1047475" s="24"/>
      <c r="D1047475" s="24"/>
      <c r="E1047475" s="24"/>
      <c r="F1047475" s="24"/>
      <c r="G1047475" s="24"/>
      <c r="H1047475" s="24"/>
      <c r="I1047475" s="24"/>
      <c r="J1047475" s="24"/>
      <c r="K1047475" s="54"/>
    </row>
    <row r="1047476" spans="1:11" s="55" customFormat="1" ht="12.75">
      <c r="A1047476" s="24"/>
      <c r="B1047476" s="24"/>
      <c r="C1047476" s="24"/>
      <c r="D1047476" s="24"/>
      <c r="E1047476" s="24"/>
      <c r="F1047476" s="24"/>
      <c r="G1047476" s="24"/>
      <c r="H1047476" s="24"/>
      <c r="I1047476" s="24"/>
      <c r="J1047476" s="24"/>
      <c r="K1047476" s="54"/>
    </row>
    <row r="1047477" spans="1:11" s="55" customFormat="1" ht="12.75">
      <c r="A1047477" s="24"/>
      <c r="B1047477" s="24"/>
      <c r="C1047477" s="24"/>
      <c r="D1047477" s="24"/>
      <c r="E1047477" s="24"/>
      <c r="F1047477" s="24"/>
      <c r="G1047477" s="24"/>
      <c r="H1047477" s="24"/>
      <c r="I1047477" s="24"/>
      <c r="J1047477" s="24"/>
      <c r="K1047477" s="54"/>
    </row>
    <row r="1047478" spans="1:11" s="55" customFormat="1" ht="12.75">
      <c r="A1047478" s="24"/>
      <c r="B1047478" s="24"/>
      <c r="C1047478" s="24"/>
      <c r="D1047478" s="24"/>
      <c r="E1047478" s="24"/>
      <c r="F1047478" s="24"/>
      <c r="G1047478" s="24"/>
      <c r="H1047478" s="24"/>
      <c r="I1047478" s="24"/>
      <c r="J1047478" s="24"/>
      <c r="K1047478" s="54"/>
    </row>
    <row r="1047479" spans="1:11" s="55" customFormat="1" ht="12.75">
      <c r="A1047479" s="24"/>
      <c r="B1047479" s="24"/>
      <c r="C1047479" s="24"/>
      <c r="D1047479" s="24"/>
      <c r="E1047479" s="24"/>
      <c r="F1047479" s="24"/>
      <c r="G1047479" s="24"/>
      <c r="H1047479" s="24"/>
      <c r="I1047479" s="24"/>
      <c r="J1047479" s="24"/>
      <c r="K1047479" s="54"/>
    </row>
    <row r="1047480" spans="1:11" s="55" customFormat="1" ht="12.75">
      <c r="A1047480" s="24"/>
      <c r="B1047480" s="24"/>
      <c r="C1047480" s="24"/>
      <c r="D1047480" s="24"/>
      <c r="E1047480" s="24"/>
      <c r="F1047480" s="24"/>
      <c r="G1047480" s="24"/>
      <c r="H1047480" s="24"/>
      <c r="I1047480" s="24"/>
      <c r="J1047480" s="24"/>
      <c r="K1047480" s="54"/>
    </row>
    <row r="1047481" spans="1:11" s="55" customFormat="1" ht="12.75">
      <c r="A1047481" s="24"/>
      <c r="B1047481" s="24"/>
      <c r="C1047481" s="24"/>
      <c r="D1047481" s="24"/>
      <c r="E1047481" s="24"/>
      <c r="F1047481" s="24"/>
      <c r="G1047481" s="24"/>
      <c r="H1047481" s="24"/>
      <c r="I1047481" s="24"/>
      <c r="J1047481" s="24"/>
      <c r="K1047481" s="54"/>
    </row>
    <row r="1047482" spans="1:11" s="55" customFormat="1" ht="12.75">
      <c r="A1047482" s="24"/>
      <c r="B1047482" s="24"/>
      <c r="C1047482" s="24"/>
      <c r="D1047482" s="24"/>
      <c r="E1047482" s="24"/>
      <c r="F1047482" s="24"/>
      <c r="G1047482" s="24"/>
      <c r="H1047482" s="24"/>
      <c r="I1047482" s="24"/>
      <c r="J1047482" s="24"/>
      <c r="K1047482" s="54"/>
    </row>
    <row r="1047483" spans="1:11" s="55" customFormat="1" ht="12.75">
      <c r="A1047483" s="24"/>
      <c r="B1047483" s="24"/>
      <c r="C1047483" s="24"/>
      <c r="D1047483" s="24"/>
      <c r="E1047483" s="24"/>
      <c r="F1047483" s="24"/>
      <c r="G1047483" s="24"/>
      <c r="H1047483" s="24"/>
      <c r="I1047483" s="24"/>
      <c r="J1047483" s="24"/>
      <c r="K1047483" s="54"/>
    </row>
    <row r="1047484" spans="1:11" s="55" customFormat="1" ht="12.75">
      <c r="A1047484" s="24"/>
      <c r="B1047484" s="24"/>
      <c r="C1047484" s="24"/>
      <c r="D1047484" s="24"/>
      <c r="E1047484" s="24"/>
      <c r="F1047484" s="24"/>
      <c r="G1047484" s="24"/>
      <c r="H1047484" s="24"/>
      <c r="I1047484" s="24"/>
      <c r="J1047484" s="24"/>
      <c r="K1047484" s="54"/>
    </row>
    <row r="1047485" spans="1:11" s="55" customFormat="1" ht="12.75">
      <c r="A1047485" s="24"/>
      <c r="B1047485" s="24"/>
      <c r="C1047485" s="24"/>
      <c r="D1047485" s="24"/>
      <c r="E1047485" s="24"/>
      <c r="F1047485" s="24"/>
      <c r="G1047485" s="24"/>
      <c r="H1047485" s="24"/>
      <c r="I1047485" s="24"/>
      <c r="J1047485" s="24"/>
      <c r="K1047485" s="54"/>
    </row>
    <row r="1047486" spans="1:11" s="55" customFormat="1" ht="12.75">
      <c r="A1047486" s="24"/>
      <c r="B1047486" s="24"/>
      <c r="C1047486" s="24"/>
      <c r="D1047486" s="24"/>
      <c r="E1047486" s="24"/>
      <c r="F1047486" s="24"/>
      <c r="G1047486" s="24"/>
      <c r="H1047486" s="24"/>
      <c r="I1047486" s="24"/>
      <c r="J1047486" s="24"/>
      <c r="K1047486" s="54"/>
    </row>
    <row r="1047487" spans="1:11" s="55" customFormat="1" ht="12.75">
      <c r="A1047487" s="24"/>
      <c r="B1047487" s="24"/>
      <c r="C1047487" s="24"/>
      <c r="D1047487" s="24"/>
      <c r="E1047487" s="24"/>
      <c r="F1047487" s="24"/>
      <c r="G1047487" s="24"/>
      <c r="H1047487" s="24"/>
      <c r="I1047487" s="24"/>
      <c r="J1047487" s="24"/>
      <c r="K1047487" s="54"/>
    </row>
    <row r="1047488" spans="1:11" s="55" customFormat="1" ht="12.75">
      <c r="A1047488" s="24"/>
      <c r="B1047488" s="24"/>
      <c r="C1047488" s="24"/>
      <c r="D1047488" s="24"/>
      <c r="E1047488" s="24"/>
      <c r="F1047488" s="24"/>
      <c r="G1047488" s="24"/>
      <c r="H1047488" s="24"/>
      <c r="I1047488" s="24"/>
      <c r="J1047488" s="24"/>
      <c r="K1047488" s="54"/>
    </row>
    <row r="1047489" spans="1:11" s="55" customFormat="1" ht="12.75">
      <c r="A1047489" s="24"/>
      <c r="B1047489" s="24"/>
      <c r="C1047489" s="24"/>
      <c r="D1047489" s="24"/>
      <c r="E1047489" s="24"/>
      <c r="F1047489" s="24"/>
      <c r="G1047489" s="24"/>
      <c r="H1047489" s="24"/>
      <c r="I1047489" s="24"/>
      <c r="J1047489" s="24"/>
      <c r="K1047489" s="54"/>
    </row>
    <row r="1047490" spans="1:11" s="55" customFormat="1" ht="12.75">
      <c r="A1047490" s="24"/>
      <c r="B1047490" s="24"/>
      <c r="C1047490" s="24"/>
      <c r="D1047490" s="24"/>
      <c r="E1047490" s="24"/>
      <c r="F1047490" s="24"/>
      <c r="G1047490" s="24"/>
      <c r="H1047490" s="24"/>
      <c r="I1047490" s="24"/>
      <c r="J1047490" s="24"/>
      <c r="K1047490" s="54"/>
    </row>
    <row r="1047491" spans="1:11" s="55" customFormat="1" ht="12.75">
      <c r="A1047491" s="24"/>
      <c r="B1047491" s="24"/>
      <c r="C1047491" s="24"/>
      <c r="D1047491" s="24"/>
      <c r="E1047491" s="24"/>
      <c r="F1047491" s="24"/>
      <c r="G1047491" s="24"/>
      <c r="H1047491" s="24"/>
      <c r="I1047491" s="24"/>
      <c r="J1047491" s="24"/>
      <c r="K1047491" s="54"/>
    </row>
    <row r="1047492" spans="1:11" s="55" customFormat="1" ht="12.75">
      <c r="A1047492" s="24"/>
      <c r="B1047492" s="24"/>
      <c r="C1047492" s="24"/>
      <c r="D1047492" s="24"/>
      <c r="E1047492" s="24"/>
      <c r="F1047492" s="24"/>
      <c r="G1047492" s="24"/>
      <c r="H1047492" s="24"/>
      <c r="I1047492" s="24"/>
      <c r="J1047492" s="24"/>
      <c r="K1047492" s="54"/>
    </row>
    <row r="1047493" spans="1:11" s="55" customFormat="1" ht="12.75">
      <c r="A1047493" s="24"/>
      <c r="B1047493" s="24"/>
      <c r="C1047493" s="24"/>
      <c r="D1047493" s="24"/>
      <c r="E1047493" s="24"/>
      <c r="F1047493" s="24"/>
      <c r="G1047493" s="24"/>
      <c r="H1047493" s="24"/>
      <c r="I1047493" s="24"/>
      <c r="J1047493" s="24"/>
      <c r="K1047493" s="54"/>
    </row>
    <row r="1047494" spans="1:11" s="55" customFormat="1" ht="12.75">
      <c r="A1047494" s="24"/>
      <c r="B1047494" s="24"/>
      <c r="C1047494" s="24"/>
      <c r="D1047494" s="24"/>
      <c r="E1047494" s="24"/>
      <c r="F1047494" s="24"/>
      <c r="G1047494" s="24"/>
      <c r="H1047494" s="24"/>
      <c r="I1047494" s="24"/>
      <c r="J1047494" s="24"/>
      <c r="K1047494" s="54"/>
    </row>
    <row r="1047495" spans="1:11" s="55" customFormat="1" ht="12.75">
      <c r="A1047495" s="24"/>
      <c r="B1047495" s="24"/>
      <c r="C1047495" s="24"/>
      <c r="D1047495" s="24"/>
      <c r="E1047495" s="24"/>
      <c r="F1047495" s="24"/>
      <c r="G1047495" s="24"/>
      <c r="H1047495" s="24"/>
      <c r="I1047495" s="24"/>
      <c r="J1047495" s="24"/>
      <c r="K1047495" s="54"/>
    </row>
    <row r="1047496" spans="1:11" s="55" customFormat="1" ht="12.75">
      <c r="A1047496" s="24"/>
      <c r="B1047496" s="24"/>
      <c r="C1047496" s="24"/>
      <c r="D1047496" s="24"/>
      <c r="E1047496" s="24"/>
      <c r="F1047496" s="24"/>
      <c r="G1047496" s="24"/>
      <c r="H1047496" s="24"/>
      <c r="I1047496" s="24"/>
      <c r="J1047496" s="24"/>
      <c r="K1047496" s="54"/>
    </row>
    <row r="1047497" spans="1:11" s="55" customFormat="1" ht="12.75">
      <c r="A1047497" s="24"/>
      <c r="B1047497" s="24"/>
      <c r="C1047497" s="24"/>
      <c r="D1047497" s="24"/>
      <c r="E1047497" s="24"/>
      <c r="F1047497" s="24"/>
      <c r="G1047497" s="24"/>
      <c r="H1047497" s="24"/>
      <c r="I1047497" s="24"/>
      <c r="J1047497" s="24"/>
      <c r="K1047497" s="54"/>
    </row>
    <row r="1047498" spans="1:11" s="55" customFormat="1" ht="12.75">
      <c r="A1047498" s="24"/>
      <c r="B1047498" s="24"/>
      <c r="C1047498" s="24"/>
      <c r="D1047498" s="24"/>
      <c r="E1047498" s="24"/>
      <c r="F1047498" s="24"/>
      <c r="G1047498" s="24"/>
      <c r="H1047498" s="24"/>
      <c r="I1047498" s="24"/>
      <c r="J1047498" s="24"/>
      <c r="K1047498" s="54"/>
    </row>
    <row r="1047499" spans="1:11" s="55" customFormat="1" ht="12.75">
      <c r="A1047499" s="24"/>
      <c r="B1047499" s="24"/>
      <c r="C1047499" s="24"/>
      <c r="D1047499" s="24"/>
      <c r="E1047499" s="24"/>
      <c r="F1047499" s="24"/>
      <c r="G1047499" s="24"/>
      <c r="H1047499" s="24"/>
      <c r="I1047499" s="24"/>
      <c r="J1047499" s="24"/>
      <c r="K1047499" s="54"/>
    </row>
    <row r="1047500" spans="1:11" s="55" customFormat="1" ht="12.75">
      <c r="A1047500" s="24"/>
      <c r="B1047500" s="24"/>
      <c r="C1047500" s="24"/>
      <c r="D1047500" s="24"/>
      <c r="E1047500" s="24"/>
      <c r="F1047500" s="24"/>
      <c r="G1047500" s="24"/>
      <c r="H1047500" s="24"/>
      <c r="I1047500" s="24"/>
      <c r="J1047500" s="24"/>
      <c r="K1047500" s="54"/>
    </row>
    <row r="1047501" spans="1:11" s="55" customFormat="1" ht="12.75">
      <c r="A1047501" s="24"/>
      <c r="B1047501" s="24"/>
      <c r="C1047501" s="24"/>
      <c r="D1047501" s="24"/>
      <c r="E1047501" s="24"/>
      <c r="F1047501" s="24"/>
      <c r="G1047501" s="24"/>
      <c r="H1047501" s="24"/>
      <c r="I1047501" s="24"/>
      <c r="J1047501" s="24"/>
      <c r="K1047501" s="54"/>
    </row>
    <row r="1047502" spans="1:11" s="55" customFormat="1" ht="12.75">
      <c r="A1047502" s="24"/>
      <c r="B1047502" s="24"/>
      <c r="C1047502" s="24"/>
      <c r="D1047502" s="24"/>
      <c r="E1047502" s="24"/>
      <c r="F1047502" s="24"/>
      <c r="G1047502" s="24"/>
      <c r="H1047502" s="24"/>
      <c r="I1047502" s="24"/>
      <c r="J1047502" s="24"/>
      <c r="K1047502" s="54"/>
    </row>
    <row r="1047503" spans="1:11" s="55" customFormat="1" ht="12.75">
      <c r="A1047503" s="24"/>
      <c r="B1047503" s="24"/>
      <c r="C1047503" s="24"/>
      <c r="D1047503" s="24"/>
      <c r="E1047503" s="24"/>
      <c r="F1047503" s="24"/>
      <c r="G1047503" s="24"/>
      <c r="H1047503" s="24"/>
      <c r="I1047503" s="24"/>
      <c r="J1047503" s="24"/>
      <c r="K1047503" s="54"/>
    </row>
    <row r="1047504" spans="1:11" s="55" customFormat="1" ht="12.75">
      <c r="A1047504" s="24"/>
      <c r="B1047504" s="24"/>
      <c r="C1047504" s="24"/>
      <c r="D1047504" s="24"/>
      <c r="E1047504" s="24"/>
      <c r="F1047504" s="24"/>
      <c r="G1047504" s="24"/>
      <c r="H1047504" s="24"/>
      <c r="I1047504" s="24"/>
      <c r="J1047504" s="24"/>
      <c r="K1047504" s="54"/>
    </row>
    <row r="1047505" spans="1:11" s="55" customFormat="1" ht="12.75">
      <c r="A1047505" s="24"/>
      <c r="B1047505" s="24"/>
      <c r="C1047505" s="24"/>
      <c r="D1047505" s="24"/>
      <c r="E1047505" s="24"/>
      <c r="F1047505" s="24"/>
      <c r="G1047505" s="24"/>
      <c r="H1047505" s="24"/>
      <c r="I1047505" s="24"/>
      <c r="J1047505" s="24"/>
      <c r="K1047505" s="54"/>
    </row>
    <row r="1047506" spans="1:11" s="55" customFormat="1" ht="12.75">
      <c r="A1047506" s="24"/>
      <c r="B1047506" s="24"/>
      <c r="C1047506" s="24"/>
      <c r="D1047506" s="24"/>
      <c r="E1047506" s="24"/>
      <c r="F1047506" s="24"/>
      <c r="G1047506" s="24"/>
      <c r="H1047506" s="24"/>
      <c r="I1047506" s="24"/>
      <c r="J1047506" s="24"/>
      <c r="K1047506" s="54"/>
    </row>
    <row r="1047507" spans="1:11" s="55" customFormat="1" ht="12.75">
      <c r="A1047507" s="24"/>
      <c r="B1047507" s="24"/>
      <c r="C1047507" s="24"/>
      <c r="D1047507" s="24"/>
      <c r="E1047507" s="24"/>
      <c r="F1047507" s="24"/>
      <c r="G1047507" s="24"/>
      <c r="H1047507" s="24"/>
      <c r="I1047507" s="24"/>
      <c r="J1047507" s="24"/>
      <c r="K1047507" s="54"/>
    </row>
    <row r="1047508" spans="1:11" s="55" customFormat="1" ht="12.75">
      <c r="A1047508" s="24"/>
      <c r="B1047508" s="24"/>
      <c r="C1047508" s="24"/>
      <c r="D1047508" s="24"/>
      <c r="E1047508" s="24"/>
      <c r="F1047508" s="24"/>
      <c r="G1047508" s="24"/>
      <c r="H1047508" s="24"/>
      <c r="I1047508" s="24"/>
      <c r="J1047508" s="24"/>
      <c r="K1047508" s="54"/>
    </row>
    <row r="1047509" spans="1:11" s="55" customFormat="1" ht="12.75">
      <c r="A1047509" s="24"/>
      <c r="B1047509" s="24"/>
      <c r="C1047509" s="24"/>
      <c r="D1047509" s="24"/>
      <c r="E1047509" s="24"/>
      <c r="F1047509" s="24"/>
      <c r="G1047509" s="24"/>
      <c r="H1047509" s="24"/>
      <c r="I1047509" s="24"/>
      <c r="J1047509" s="24"/>
      <c r="K1047509" s="54"/>
    </row>
    <row r="1047510" spans="1:11" s="55" customFormat="1" ht="12.75">
      <c r="A1047510" s="24"/>
      <c r="B1047510" s="24"/>
      <c r="C1047510" s="24"/>
      <c r="D1047510" s="24"/>
      <c r="E1047510" s="24"/>
      <c r="F1047510" s="24"/>
      <c r="G1047510" s="24"/>
      <c r="H1047510" s="24"/>
      <c r="I1047510" s="24"/>
      <c r="J1047510" s="24"/>
      <c r="K1047510" s="54"/>
    </row>
    <row r="1047511" spans="1:11" s="55" customFormat="1" ht="12.75">
      <c r="A1047511" s="24"/>
      <c r="B1047511" s="24"/>
      <c r="C1047511" s="24"/>
      <c r="D1047511" s="24"/>
      <c r="E1047511" s="24"/>
      <c r="F1047511" s="24"/>
      <c r="G1047511" s="24"/>
      <c r="H1047511" s="24"/>
      <c r="I1047511" s="24"/>
      <c r="J1047511" s="24"/>
      <c r="K1047511" s="54"/>
    </row>
    <row r="1047512" spans="1:11" s="55" customFormat="1" ht="12.75">
      <c r="A1047512" s="24"/>
      <c r="B1047512" s="24"/>
      <c r="C1047512" s="24"/>
      <c r="D1047512" s="24"/>
      <c r="E1047512" s="24"/>
      <c r="F1047512" s="24"/>
      <c r="G1047512" s="24"/>
      <c r="H1047512" s="24"/>
      <c r="I1047512" s="24"/>
      <c r="J1047512" s="24"/>
      <c r="K1047512" s="54"/>
    </row>
    <row r="1047513" spans="1:11" s="55" customFormat="1" ht="12.75">
      <c r="A1047513" s="24"/>
      <c r="B1047513" s="24"/>
      <c r="C1047513" s="24"/>
      <c r="D1047513" s="24"/>
      <c r="E1047513" s="24"/>
      <c r="F1047513" s="24"/>
      <c r="G1047513" s="24"/>
      <c r="H1047513" s="24"/>
      <c r="I1047513" s="24"/>
      <c r="J1047513" s="24"/>
      <c r="K1047513" s="54"/>
    </row>
    <row r="1047514" spans="1:11" s="55" customFormat="1" ht="12.75">
      <c r="A1047514" s="24"/>
      <c r="B1047514" s="24"/>
      <c r="C1047514" s="24"/>
      <c r="D1047514" s="24"/>
      <c r="E1047514" s="24"/>
      <c r="F1047514" s="24"/>
      <c r="G1047514" s="24"/>
      <c r="H1047514" s="24"/>
      <c r="I1047514" s="24"/>
      <c r="J1047514" s="24"/>
      <c r="K1047514" s="54"/>
    </row>
    <row r="1047515" spans="1:11" s="55" customFormat="1" ht="12.75">
      <c r="A1047515" s="24"/>
      <c r="B1047515" s="24"/>
      <c r="C1047515" s="24"/>
      <c r="D1047515" s="24"/>
      <c r="E1047515" s="24"/>
      <c r="F1047515" s="24"/>
      <c r="G1047515" s="24"/>
      <c r="H1047515" s="24"/>
      <c r="I1047515" s="24"/>
      <c r="J1047515" s="24"/>
      <c r="K1047515" s="54"/>
    </row>
    <row r="1047516" spans="1:11" s="55" customFormat="1" ht="12.75">
      <c r="A1047516" s="24"/>
      <c r="B1047516" s="24"/>
      <c r="C1047516" s="24"/>
      <c r="D1047516" s="24"/>
      <c r="E1047516" s="24"/>
      <c r="F1047516" s="24"/>
      <c r="G1047516" s="24"/>
      <c r="H1047516" s="24"/>
      <c r="I1047516" s="24"/>
      <c r="J1047516" s="24"/>
      <c r="K1047516" s="54"/>
    </row>
    <row r="1047517" spans="1:11" s="55" customFormat="1" ht="12.75">
      <c r="A1047517" s="24"/>
      <c r="B1047517" s="24"/>
      <c r="C1047517" s="24"/>
      <c r="D1047517" s="24"/>
      <c r="E1047517" s="24"/>
      <c r="F1047517" s="24"/>
      <c r="G1047517" s="24"/>
      <c r="H1047517" s="24"/>
      <c r="I1047517" s="24"/>
      <c r="J1047517" s="24"/>
      <c r="K1047517" s="54"/>
    </row>
    <row r="1047518" spans="1:11" s="55" customFormat="1" ht="12.75">
      <c r="A1047518" s="24"/>
      <c r="B1047518" s="24"/>
      <c r="C1047518" s="24"/>
      <c r="D1047518" s="24"/>
      <c r="E1047518" s="24"/>
      <c r="F1047518" s="24"/>
      <c r="G1047518" s="24"/>
      <c r="H1047518" s="24"/>
      <c r="I1047518" s="24"/>
      <c r="J1047518" s="24"/>
      <c r="K1047518" s="54"/>
    </row>
    <row r="1047519" spans="1:11" s="55" customFormat="1" ht="12.75">
      <c r="A1047519" s="24"/>
      <c r="B1047519" s="24"/>
      <c r="C1047519" s="24"/>
      <c r="D1047519" s="24"/>
      <c r="E1047519" s="24"/>
      <c r="F1047519" s="24"/>
      <c r="G1047519" s="24"/>
      <c r="H1047519" s="24"/>
      <c r="I1047519" s="24"/>
      <c r="J1047519" s="24"/>
      <c r="K1047519" s="54"/>
    </row>
    <row r="1047520" spans="1:11" s="55" customFormat="1" ht="12.75">
      <c r="A1047520" s="24"/>
      <c r="B1047520" s="24"/>
      <c r="C1047520" s="24"/>
      <c r="D1047520" s="24"/>
      <c r="E1047520" s="24"/>
      <c r="F1047520" s="24"/>
      <c r="G1047520" s="24"/>
      <c r="H1047520" s="24"/>
      <c r="I1047520" s="24"/>
      <c r="J1047520" s="24"/>
      <c r="K1047520" s="54"/>
    </row>
    <row r="1047521" spans="1:11" s="55" customFormat="1" ht="12.75">
      <c r="A1047521" s="24"/>
      <c r="B1047521" s="24"/>
      <c r="C1047521" s="24"/>
      <c r="D1047521" s="24"/>
      <c r="E1047521" s="24"/>
      <c r="F1047521" s="24"/>
      <c r="G1047521" s="24"/>
      <c r="H1047521" s="24"/>
      <c r="I1047521" s="24"/>
      <c r="J1047521" s="24"/>
      <c r="K1047521" s="54"/>
    </row>
    <row r="1047522" spans="1:11" s="55" customFormat="1" ht="12.75">
      <c r="A1047522" s="24"/>
      <c r="B1047522" s="24"/>
      <c r="C1047522" s="24"/>
      <c r="D1047522" s="24"/>
      <c r="E1047522" s="24"/>
      <c r="F1047522" s="24"/>
      <c r="G1047522" s="24"/>
      <c r="H1047522" s="24"/>
      <c r="I1047522" s="24"/>
      <c r="J1047522" s="24"/>
      <c r="K1047522" s="54"/>
    </row>
    <row r="1047523" spans="1:11" s="55" customFormat="1" ht="12.75">
      <c r="A1047523" s="24"/>
      <c r="B1047523" s="24"/>
      <c r="C1047523" s="24"/>
      <c r="D1047523" s="24"/>
      <c r="E1047523" s="24"/>
      <c r="F1047523" s="24"/>
      <c r="G1047523" s="24"/>
      <c r="H1047523" s="24"/>
      <c r="I1047523" s="24"/>
      <c r="J1047523" s="24"/>
      <c r="K1047523" s="54"/>
    </row>
    <row r="1047524" spans="1:11" s="55" customFormat="1" ht="12.75">
      <c r="A1047524" s="24"/>
      <c r="B1047524" s="24"/>
      <c r="C1047524" s="24"/>
      <c r="D1047524" s="24"/>
      <c r="E1047524" s="24"/>
      <c r="F1047524" s="24"/>
      <c r="G1047524" s="24"/>
      <c r="H1047524" s="24"/>
      <c r="I1047524" s="24"/>
      <c r="J1047524" s="24"/>
      <c r="K1047524" s="54"/>
    </row>
    <row r="1047525" spans="1:11" s="55" customFormat="1" ht="12.75">
      <c r="A1047525" s="24"/>
      <c r="B1047525" s="24"/>
      <c r="C1047525" s="24"/>
      <c r="D1047525" s="24"/>
      <c r="E1047525" s="24"/>
      <c r="F1047525" s="24"/>
      <c r="G1047525" s="24"/>
      <c r="H1047525" s="24"/>
      <c r="I1047525" s="24"/>
      <c r="J1047525" s="24"/>
      <c r="K1047525" s="54"/>
    </row>
    <row r="1047526" spans="1:11" s="55" customFormat="1" ht="12.75">
      <c r="A1047526" s="24"/>
      <c r="B1047526" s="24"/>
      <c r="C1047526" s="24"/>
      <c r="D1047526" s="24"/>
      <c r="E1047526" s="24"/>
      <c r="F1047526" s="24"/>
      <c r="G1047526" s="24"/>
      <c r="H1047526" s="24"/>
      <c r="I1047526" s="24"/>
      <c r="J1047526" s="24"/>
      <c r="K1047526" s="54"/>
    </row>
    <row r="1047527" spans="1:11" s="55" customFormat="1" ht="12.75">
      <c r="A1047527" s="24"/>
      <c r="B1047527" s="24"/>
      <c r="C1047527" s="24"/>
      <c r="D1047527" s="24"/>
      <c r="E1047527" s="24"/>
      <c r="F1047527" s="24"/>
      <c r="G1047527" s="24"/>
      <c r="H1047527" s="24"/>
      <c r="I1047527" s="24"/>
      <c r="J1047527" s="24"/>
      <c r="K1047527" s="54"/>
    </row>
    <row r="1047528" spans="1:11" s="55" customFormat="1" ht="12.75">
      <c r="A1047528" s="24"/>
      <c r="B1047528" s="24"/>
      <c r="C1047528" s="24"/>
      <c r="D1047528" s="24"/>
      <c r="E1047528" s="24"/>
      <c r="F1047528" s="24"/>
      <c r="G1047528" s="24"/>
      <c r="H1047528" s="24"/>
      <c r="I1047528" s="24"/>
      <c r="J1047528" s="24"/>
      <c r="K1047528" s="54"/>
    </row>
    <row r="1047529" spans="1:11" s="55" customFormat="1" ht="12.75">
      <c r="A1047529" s="24"/>
      <c r="B1047529" s="24"/>
      <c r="C1047529" s="24"/>
      <c r="D1047529" s="24"/>
      <c r="E1047529" s="24"/>
      <c r="F1047529" s="24"/>
      <c r="G1047529" s="24"/>
      <c r="H1047529" s="24"/>
      <c r="I1047529" s="24"/>
      <c r="J1047529" s="24"/>
      <c r="K1047529" s="54"/>
    </row>
    <row r="1047530" spans="1:11" s="55" customFormat="1" ht="12.75">
      <c r="A1047530" s="24"/>
      <c r="B1047530" s="24"/>
      <c r="C1047530" s="24"/>
      <c r="D1047530" s="24"/>
      <c r="E1047530" s="24"/>
      <c r="F1047530" s="24"/>
      <c r="G1047530" s="24"/>
      <c r="H1047530" s="24"/>
      <c r="I1047530" s="24"/>
      <c r="J1047530" s="24"/>
      <c r="K1047530" s="54"/>
    </row>
    <row r="1047531" spans="1:11" s="55" customFormat="1" ht="12.75">
      <c r="A1047531" s="24"/>
      <c r="B1047531" s="24"/>
      <c r="C1047531" s="24"/>
      <c r="D1047531" s="24"/>
      <c r="E1047531" s="24"/>
      <c r="F1047531" s="24"/>
      <c r="G1047531" s="24"/>
      <c r="H1047531" s="24"/>
      <c r="I1047531" s="24"/>
      <c r="J1047531" s="24"/>
      <c r="K1047531" s="54"/>
    </row>
    <row r="1047532" spans="1:11" s="55" customFormat="1" ht="12.75">
      <c r="A1047532" s="24"/>
      <c r="B1047532" s="24"/>
      <c r="C1047532" s="24"/>
      <c r="D1047532" s="24"/>
      <c r="E1047532" s="24"/>
      <c r="F1047532" s="24"/>
      <c r="G1047532" s="24"/>
      <c r="H1047532" s="24"/>
      <c r="I1047532" s="24"/>
      <c r="J1047532" s="24"/>
      <c r="K1047532" s="54"/>
    </row>
    <row r="1047533" spans="1:11" s="55" customFormat="1" ht="12.75">
      <c r="A1047533" s="24"/>
      <c r="B1047533" s="24"/>
      <c r="C1047533" s="24"/>
      <c r="D1047533" s="24"/>
      <c r="E1047533" s="24"/>
      <c r="F1047533" s="24"/>
      <c r="G1047533" s="24"/>
      <c r="H1047533" s="24"/>
      <c r="I1047533" s="24"/>
      <c r="J1047533" s="24"/>
      <c r="K1047533" s="54"/>
    </row>
    <row r="1047534" spans="1:11" s="55" customFormat="1" ht="12.75">
      <c r="A1047534" s="24"/>
      <c r="B1047534" s="24"/>
      <c r="C1047534" s="24"/>
      <c r="D1047534" s="24"/>
      <c r="E1047534" s="24"/>
      <c r="F1047534" s="24"/>
      <c r="G1047534" s="24"/>
      <c r="H1047534" s="24"/>
      <c r="I1047534" s="24"/>
      <c r="J1047534" s="24"/>
      <c r="K1047534" s="54"/>
    </row>
    <row r="1047535" spans="1:11" s="55" customFormat="1" ht="12.75">
      <c r="A1047535" s="24"/>
      <c r="B1047535" s="24"/>
      <c r="C1047535" s="24"/>
      <c r="D1047535" s="24"/>
      <c r="E1047535" s="24"/>
      <c r="F1047535" s="24"/>
      <c r="G1047535" s="24"/>
      <c r="H1047535" s="24"/>
      <c r="I1047535" s="24"/>
      <c r="J1047535" s="24"/>
      <c r="K1047535" s="54"/>
    </row>
    <row r="1047536" spans="1:11" s="55" customFormat="1" ht="12.75">
      <c r="A1047536" s="24"/>
      <c r="B1047536" s="24"/>
      <c r="C1047536" s="24"/>
      <c r="D1047536" s="24"/>
      <c r="E1047536" s="24"/>
      <c r="F1047536" s="24"/>
      <c r="G1047536" s="24"/>
      <c r="H1047536" s="24"/>
      <c r="I1047536" s="24"/>
      <c r="J1047536" s="24"/>
      <c r="K1047536" s="54"/>
    </row>
    <row r="1047537" spans="1:11" s="55" customFormat="1" ht="12.75">
      <c r="A1047537" s="24"/>
      <c r="B1047537" s="24"/>
      <c r="C1047537" s="24"/>
      <c r="D1047537" s="24"/>
      <c r="E1047537" s="24"/>
      <c r="F1047537" s="24"/>
      <c r="G1047537" s="24"/>
      <c r="H1047537" s="24"/>
      <c r="I1047537" s="24"/>
      <c r="J1047537" s="24"/>
      <c r="K1047537" s="54"/>
    </row>
    <row r="1047538" spans="1:11" s="55" customFormat="1" ht="12.75">
      <c r="A1047538" s="24"/>
      <c r="B1047538" s="24"/>
      <c r="C1047538" s="24"/>
      <c r="D1047538" s="24"/>
      <c r="E1047538" s="24"/>
      <c r="F1047538" s="24"/>
      <c r="G1047538" s="24"/>
      <c r="H1047538" s="24"/>
      <c r="I1047538" s="24"/>
      <c r="J1047538" s="24"/>
      <c r="K1047538" s="54"/>
    </row>
    <row r="1047539" spans="1:11" s="55" customFormat="1" ht="12.75">
      <c r="A1047539" s="24"/>
      <c r="B1047539" s="24"/>
      <c r="C1047539" s="24"/>
      <c r="D1047539" s="24"/>
      <c r="E1047539" s="24"/>
      <c r="F1047539" s="24"/>
      <c r="G1047539" s="24"/>
      <c r="H1047539" s="24"/>
      <c r="I1047539" s="24"/>
      <c r="J1047539" s="24"/>
      <c r="K1047539" s="54"/>
    </row>
    <row r="1047540" spans="1:11" s="55" customFormat="1" ht="12.75">
      <c r="A1047540" s="24"/>
      <c r="B1047540" s="24"/>
      <c r="C1047540" s="24"/>
      <c r="D1047540" s="24"/>
      <c r="E1047540" s="24"/>
      <c r="F1047540" s="24"/>
      <c r="G1047540" s="24"/>
      <c r="H1047540" s="24"/>
      <c r="I1047540" s="24"/>
      <c r="J1047540" s="24"/>
      <c r="K1047540" s="54"/>
    </row>
    <row r="1047541" spans="1:11" s="55" customFormat="1" ht="12.75">
      <c r="A1047541" s="24"/>
      <c r="B1047541" s="24"/>
      <c r="C1047541" s="24"/>
      <c r="D1047541" s="24"/>
      <c r="E1047541" s="24"/>
      <c r="F1047541" s="24"/>
      <c r="G1047541" s="24"/>
      <c r="H1047541" s="24"/>
      <c r="I1047541" s="24"/>
      <c r="J1047541" s="24"/>
      <c r="K1047541" s="54"/>
    </row>
    <row r="1047542" spans="1:11" s="55" customFormat="1" ht="12.75">
      <c r="A1047542" s="24"/>
      <c r="B1047542" s="24"/>
      <c r="C1047542" s="24"/>
      <c r="D1047542" s="24"/>
      <c r="E1047542" s="24"/>
      <c r="F1047542" s="24"/>
      <c r="G1047542" s="24"/>
      <c r="H1047542" s="24"/>
      <c r="I1047542" s="24"/>
      <c r="J1047542" s="24"/>
      <c r="K1047542" s="54"/>
    </row>
    <row r="1047543" spans="1:11" s="55" customFormat="1" ht="12.75">
      <c r="A1047543" s="24"/>
      <c r="B1047543" s="24"/>
      <c r="C1047543" s="24"/>
      <c r="D1047543" s="24"/>
      <c r="E1047543" s="24"/>
      <c r="F1047543" s="24"/>
      <c r="G1047543" s="24"/>
      <c r="H1047543" s="24"/>
      <c r="I1047543" s="24"/>
      <c r="J1047543" s="24"/>
      <c r="K1047543" s="54"/>
    </row>
    <row r="1047544" spans="1:11" s="55" customFormat="1" ht="12.75">
      <c r="A1047544" s="24"/>
      <c r="B1047544" s="24"/>
      <c r="C1047544" s="24"/>
      <c r="D1047544" s="24"/>
      <c r="E1047544" s="24"/>
      <c r="F1047544" s="24"/>
      <c r="G1047544" s="24"/>
      <c r="H1047544" s="24"/>
      <c r="I1047544" s="24"/>
      <c r="J1047544" s="24"/>
      <c r="K1047544" s="54"/>
    </row>
    <row r="1047545" spans="1:11" s="55" customFormat="1" ht="12.75">
      <c r="A1047545" s="24"/>
      <c r="B1047545" s="24"/>
      <c r="C1047545" s="24"/>
      <c r="D1047545" s="24"/>
      <c r="E1047545" s="24"/>
      <c r="F1047545" s="24"/>
      <c r="G1047545" s="24"/>
      <c r="H1047545" s="24"/>
      <c r="I1047545" s="24"/>
      <c r="J1047545" s="24"/>
      <c r="K1047545" s="54"/>
    </row>
    <row r="1047546" spans="1:11" s="55" customFormat="1" ht="12.75">
      <c r="A1047546" s="24"/>
      <c r="B1047546" s="24"/>
      <c r="C1047546" s="24"/>
      <c r="D1047546" s="24"/>
      <c r="E1047546" s="24"/>
      <c r="F1047546" s="24"/>
      <c r="G1047546" s="24"/>
      <c r="H1047546" s="24"/>
      <c r="I1047546" s="24"/>
      <c r="J1047546" s="24"/>
      <c r="K1047546" s="54"/>
    </row>
    <row r="1047547" spans="1:11" s="55" customFormat="1" ht="12.75">
      <c r="A1047547" s="24"/>
      <c r="B1047547" s="24"/>
      <c r="C1047547" s="24"/>
      <c r="D1047547" s="24"/>
      <c r="E1047547" s="24"/>
      <c r="F1047547" s="24"/>
      <c r="G1047547" s="24"/>
      <c r="H1047547" s="24"/>
      <c r="I1047547" s="24"/>
      <c r="J1047547" s="24"/>
      <c r="K1047547" s="54"/>
    </row>
    <row r="1047548" spans="1:11" s="55" customFormat="1" ht="12.75">
      <c r="A1047548" s="24"/>
      <c r="B1047548" s="24"/>
      <c r="C1047548" s="24"/>
      <c r="D1047548" s="24"/>
      <c r="E1047548" s="24"/>
      <c r="F1047548" s="24"/>
      <c r="G1047548" s="24"/>
      <c r="H1047548" s="24"/>
      <c r="I1047548" s="24"/>
      <c r="J1047548" s="24"/>
      <c r="K1047548" s="54"/>
    </row>
    <row r="1047549" spans="1:11" s="55" customFormat="1" ht="12.75">
      <c r="A1047549" s="24"/>
      <c r="B1047549" s="24"/>
      <c r="C1047549" s="24"/>
      <c r="D1047549" s="24"/>
      <c r="E1047549" s="24"/>
      <c r="F1047549" s="24"/>
      <c r="G1047549" s="24"/>
      <c r="H1047549" s="24"/>
      <c r="I1047549" s="24"/>
      <c r="J1047549" s="24"/>
      <c r="K1047549" s="54"/>
    </row>
    <row r="1047550" spans="1:11" s="55" customFormat="1" ht="12.75">
      <c r="A1047550" s="24"/>
      <c r="B1047550" s="24"/>
      <c r="C1047550" s="24"/>
      <c r="D1047550" s="24"/>
      <c r="E1047550" s="24"/>
      <c r="F1047550" s="24"/>
      <c r="G1047550" s="24"/>
      <c r="H1047550" s="24"/>
      <c r="I1047550" s="24"/>
      <c r="J1047550" s="24"/>
      <c r="K1047550" s="54"/>
    </row>
    <row r="1047551" spans="1:11" s="55" customFormat="1" ht="12.75">
      <c r="A1047551" s="24"/>
      <c r="B1047551" s="24"/>
      <c r="C1047551" s="24"/>
      <c r="D1047551" s="24"/>
      <c r="E1047551" s="24"/>
      <c r="F1047551" s="24"/>
      <c r="G1047551" s="24"/>
      <c r="H1047551" s="24"/>
      <c r="I1047551" s="24"/>
      <c r="J1047551" s="24"/>
      <c r="K1047551" s="54"/>
    </row>
    <row r="1047552" spans="1:11" s="55" customFormat="1" ht="12.75">
      <c r="A1047552" s="24"/>
      <c r="B1047552" s="24"/>
      <c r="C1047552" s="24"/>
      <c r="D1047552" s="24"/>
      <c r="E1047552" s="24"/>
      <c r="F1047552" s="24"/>
      <c r="G1047552" s="24"/>
      <c r="H1047552" s="24"/>
      <c r="I1047552" s="24"/>
      <c r="J1047552" s="24"/>
      <c r="K1047552" s="54"/>
    </row>
    <row r="1047553" spans="1:11" s="55" customFormat="1" ht="12.75">
      <c r="A1047553" s="24"/>
      <c r="B1047553" s="24"/>
      <c r="C1047553" s="24"/>
      <c r="D1047553" s="24"/>
      <c r="E1047553" s="24"/>
      <c r="F1047553" s="24"/>
      <c r="G1047553" s="24"/>
      <c r="H1047553" s="24"/>
      <c r="I1047553" s="24"/>
      <c r="J1047553" s="24"/>
      <c r="K1047553" s="54"/>
    </row>
    <row r="1047554" spans="1:11" s="55" customFormat="1" ht="12.75">
      <c r="A1047554" s="24"/>
      <c r="B1047554" s="24"/>
      <c r="C1047554" s="24"/>
      <c r="D1047554" s="24"/>
      <c r="E1047554" s="24"/>
      <c r="F1047554" s="24"/>
      <c r="G1047554" s="24"/>
      <c r="H1047554" s="24"/>
      <c r="I1047554" s="24"/>
      <c r="J1047554" s="24"/>
      <c r="K1047554" s="54"/>
    </row>
    <row r="1047555" spans="1:11" s="55" customFormat="1" ht="12.75">
      <c r="A1047555" s="24"/>
      <c r="B1047555" s="24"/>
      <c r="C1047555" s="24"/>
      <c r="D1047555" s="24"/>
      <c r="E1047555" s="24"/>
      <c r="F1047555" s="24"/>
      <c r="G1047555" s="24"/>
      <c r="H1047555" s="24"/>
      <c r="I1047555" s="24"/>
      <c r="J1047555" s="24"/>
      <c r="K1047555" s="54"/>
    </row>
    <row r="1047556" spans="1:11" s="55" customFormat="1" ht="12.75">
      <c r="A1047556" s="24"/>
      <c r="B1047556" s="24"/>
      <c r="C1047556" s="24"/>
      <c r="D1047556" s="24"/>
      <c r="E1047556" s="24"/>
      <c r="F1047556" s="24"/>
      <c r="G1047556" s="24"/>
      <c r="H1047556" s="24"/>
      <c r="I1047556" s="24"/>
      <c r="J1047556" s="24"/>
      <c r="K1047556" s="54"/>
    </row>
    <row r="1047557" spans="1:11" s="55" customFormat="1" ht="12.75">
      <c r="A1047557" s="24"/>
      <c r="B1047557" s="24"/>
      <c r="C1047557" s="24"/>
      <c r="D1047557" s="24"/>
      <c r="E1047557" s="24"/>
      <c r="F1047557" s="24"/>
      <c r="G1047557" s="24"/>
      <c r="H1047557" s="24"/>
      <c r="I1047557" s="24"/>
      <c r="J1047557" s="24"/>
      <c r="K1047557" s="54"/>
    </row>
    <row r="1047558" spans="1:11" s="55" customFormat="1" ht="12.75">
      <c r="A1047558" s="24"/>
      <c r="B1047558" s="24"/>
      <c r="C1047558" s="24"/>
      <c r="D1047558" s="24"/>
      <c r="E1047558" s="24"/>
      <c r="F1047558" s="24"/>
      <c r="G1047558" s="24"/>
      <c r="H1047558" s="24"/>
      <c r="I1047558" s="24"/>
      <c r="J1047558" s="24"/>
      <c r="K1047558" s="54"/>
    </row>
    <row r="1047559" spans="1:11" s="55" customFormat="1" ht="12.75">
      <c r="A1047559" s="24"/>
      <c r="B1047559" s="24"/>
      <c r="C1047559" s="24"/>
      <c r="D1047559" s="24"/>
      <c r="E1047559" s="24"/>
      <c r="F1047559" s="24"/>
      <c r="G1047559" s="24"/>
      <c r="H1047559" s="24"/>
      <c r="I1047559" s="24"/>
      <c r="J1047559" s="24"/>
      <c r="K1047559" s="54"/>
    </row>
    <row r="1047560" spans="1:11" s="55" customFormat="1" ht="12.75">
      <c r="A1047560" s="24"/>
      <c r="B1047560" s="24"/>
      <c r="C1047560" s="24"/>
      <c r="D1047560" s="24"/>
      <c r="E1047560" s="24"/>
      <c r="F1047560" s="24"/>
      <c r="G1047560" s="24"/>
      <c r="H1047560" s="24"/>
      <c r="I1047560" s="24"/>
      <c r="J1047560" s="24"/>
      <c r="K1047560" s="54"/>
    </row>
    <row r="1047561" spans="1:11" s="55" customFormat="1" ht="12.75">
      <c r="A1047561" s="24"/>
      <c r="B1047561" s="24"/>
      <c r="C1047561" s="24"/>
      <c r="D1047561" s="24"/>
      <c r="E1047561" s="24"/>
      <c r="F1047561" s="24"/>
      <c r="G1047561" s="24"/>
      <c r="H1047561" s="24"/>
      <c r="I1047561" s="24"/>
      <c r="J1047561" s="24"/>
      <c r="K1047561" s="54"/>
    </row>
    <row r="1047562" spans="1:11" s="55" customFormat="1" ht="12.75">
      <c r="A1047562" s="24"/>
      <c r="B1047562" s="24"/>
      <c r="C1047562" s="24"/>
      <c r="D1047562" s="24"/>
      <c r="E1047562" s="24"/>
      <c r="F1047562" s="24"/>
      <c r="G1047562" s="24"/>
      <c r="H1047562" s="24"/>
      <c r="I1047562" s="24"/>
      <c r="J1047562" s="24"/>
      <c r="K1047562" s="54"/>
    </row>
    <row r="1047563" spans="1:11" s="55" customFormat="1" ht="12.75">
      <c r="A1047563" s="24"/>
      <c r="B1047563" s="24"/>
      <c r="C1047563" s="24"/>
      <c r="D1047563" s="24"/>
      <c r="E1047563" s="24"/>
      <c r="F1047563" s="24"/>
      <c r="G1047563" s="24"/>
      <c r="H1047563" s="24"/>
      <c r="I1047563" s="24"/>
      <c r="J1047563" s="24"/>
      <c r="K1047563" s="54"/>
    </row>
    <row r="1047564" spans="1:11" s="55" customFormat="1" ht="12.75">
      <c r="A1047564" s="24"/>
      <c r="B1047564" s="24"/>
      <c r="C1047564" s="24"/>
      <c r="D1047564" s="24"/>
      <c r="E1047564" s="24"/>
      <c r="F1047564" s="24"/>
      <c r="G1047564" s="24"/>
      <c r="H1047564" s="24"/>
      <c r="I1047564" s="24"/>
      <c r="J1047564" s="24"/>
      <c r="K1047564" s="54"/>
    </row>
    <row r="1047565" spans="1:11" s="55" customFormat="1" ht="12.75">
      <c r="A1047565" s="24"/>
      <c r="B1047565" s="24"/>
      <c r="C1047565" s="24"/>
      <c r="D1047565" s="24"/>
      <c r="E1047565" s="24"/>
      <c r="F1047565" s="24"/>
      <c r="G1047565" s="24"/>
      <c r="H1047565" s="24"/>
      <c r="I1047565" s="24"/>
      <c r="J1047565" s="24"/>
      <c r="K1047565" s="54"/>
    </row>
    <row r="1047566" spans="1:11" s="55" customFormat="1" ht="12.75">
      <c r="A1047566" s="24"/>
      <c r="B1047566" s="24"/>
      <c r="C1047566" s="24"/>
      <c r="D1047566" s="24"/>
      <c r="E1047566" s="24"/>
      <c r="F1047566" s="24"/>
      <c r="G1047566" s="24"/>
      <c r="H1047566" s="24"/>
      <c r="I1047566" s="24"/>
      <c r="J1047566" s="24"/>
      <c r="K1047566" s="54"/>
    </row>
    <row r="1047567" spans="1:11" s="55" customFormat="1" ht="12.75">
      <c r="A1047567" s="24"/>
      <c r="B1047567" s="24"/>
      <c r="C1047567" s="24"/>
      <c r="D1047567" s="24"/>
      <c r="E1047567" s="24"/>
      <c r="F1047567" s="24"/>
      <c r="G1047567" s="24"/>
      <c r="H1047567" s="24"/>
      <c r="I1047567" s="24"/>
      <c r="J1047567" s="24"/>
      <c r="K1047567" s="54"/>
    </row>
    <row r="1047568" spans="1:11" s="55" customFormat="1" ht="12.75">
      <c r="A1047568" s="24"/>
      <c r="B1047568" s="24"/>
      <c r="C1047568" s="24"/>
      <c r="D1047568" s="24"/>
      <c r="E1047568" s="24"/>
      <c r="F1047568" s="24"/>
      <c r="G1047568" s="24"/>
      <c r="H1047568" s="24"/>
      <c r="I1047568" s="24"/>
      <c r="J1047568" s="24"/>
      <c r="K1047568" s="54"/>
    </row>
    <row r="1047569" spans="1:11" s="55" customFormat="1" ht="12.75">
      <c r="A1047569" s="24"/>
      <c r="B1047569" s="24"/>
      <c r="C1047569" s="24"/>
      <c r="D1047569" s="24"/>
      <c r="E1047569" s="24"/>
      <c r="F1047569" s="24"/>
      <c r="G1047569" s="24"/>
      <c r="H1047569" s="24"/>
      <c r="I1047569" s="24"/>
      <c r="J1047569" s="24"/>
      <c r="K1047569" s="54"/>
    </row>
    <row r="1047570" spans="1:11" s="55" customFormat="1" ht="12.75">
      <c r="A1047570" s="24"/>
      <c r="B1047570" s="24"/>
      <c r="C1047570" s="24"/>
      <c r="D1047570" s="24"/>
      <c r="E1047570" s="24"/>
      <c r="F1047570" s="24"/>
      <c r="G1047570" s="24"/>
      <c r="H1047570" s="24"/>
      <c r="I1047570" s="24"/>
      <c r="J1047570" s="24"/>
      <c r="K1047570" s="54"/>
    </row>
    <row r="1047571" spans="1:11" s="55" customFormat="1" ht="12.75">
      <c r="A1047571" s="24"/>
      <c r="B1047571" s="24"/>
      <c r="C1047571" s="24"/>
      <c r="D1047571" s="24"/>
      <c r="E1047571" s="24"/>
      <c r="F1047571" s="24"/>
      <c r="G1047571" s="24"/>
      <c r="H1047571" s="24"/>
      <c r="I1047571" s="24"/>
      <c r="J1047571" s="24"/>
      <c r="K1047571" s="54"/>
    </row>
    <row r="1047572" spans="1:11" s="55" customFormat="1" ht="12.75">
      <c r="A1047572" s="24"/>
      <c r="B1047572" s="24"/>
      <c r="C1047572" s="24"/>
      <c r="D1047572" s="24"/>
      <c r="E1047572" s="24"/>
      <c r="F1047572" s="24"/>
      <c r="G1047572" s="24"/>
      <c r="H1047572" s="24"/>
      <c r="I1047572" s="24"/>
      <c r="J1047572" s="24"/>
      <c r="K1047572" s="54"/>
    </row>
    <row r="1047573" spans="1:11" s="55" customFormat="1" ht="12.75">
      <c r="A1047573" s="24"/>
      <c r="B1047573" s="24"/>
      <c r="C1047573" s="24"/>
      <c r="D1047573" s="24"/>
      <c r="E1047573" s="24"/>
      <c r="F1047573" s="24"/>
      <c r="G1047573" s="24"/>
      <c r="H1047573" s="24"/>
      <c r="I1047573" s="24"/>
      <c r="J1047573" s="24"/>
      <c r="K1047573" s="54"/>
    </row>
    <row r="1047574" spans="1:11" s="55" customFormat="1" ht="12.75">
      <c r="A1047574" s="24"/>
      <c r="B1047574" s="24"/>
      <c r="C1047574" s="24"/>
      <c r="D1047574" s="24"/>
      <c r="E1047574" s="24"/>
      <c r="F1047574" s="24"/>
      <c r="G1047574" s="24"/>
      <c r="H1047574" s="24"/>
      <c r="I1047574" s="24"/>
      <c r="J1047574" s="24"/>
      <c r="K1047574" s="54"/>
    </row>
    <row r="1047575" spans="1:11" s="55" customFormat="1" ht="12.75">
      <c r="A1047575" s="24"/>
      <c r="B1047575" s="24"/>
      <c r="C1047575" s="24"/>
      <c r="D1047575" s="24"/>
      <c r="E1047575" s="24"/>
      <c r="F1047575" s="24"/>
      <c r="G1047575" s="24"/>
      <c r="H1047575" s="24"/>
      <c r="I1047575" s="24"/>
      <c r="J1047575" s="24"/>
      <c r="K1047575" s="54"/>
    </row>
    <row r="1047576" spans="1:11" s="55" customFormat="1" ht="12.75">
      <c r="A1047576" s="24"/>
      <c r="B1047576" s="24"/>
      <c r="C1047576" s="24"/>
      <c r="D1047576" s="24"/>
      <c r="E1047576" s="24"/>
      <c r="F1047576" s="24"/>
      <c r="G1047576" s="24"/>
      <c r="H1047576" s="24"/>
      <c r="I1047576" s="24"/>
      <c r="J1047576" s="24"/>
      <c r="K1047576" s="54"/>
    </row>
    <row r="1047577" spans="1:11" s="55" customFormat="1" ht="12.75">
      <c r="A1047577" s="24"/>
      <c r="B1047577" s="24"/>
      <c r="C1047577" s="24"/>
      <c r="D1047577" s="24"/>
      <c r="E1047577" s="24"/>
      <c r="F1047577" s="24"/>
      <c r="G1047577" s="24"/>
      <c r="H1047577" s="24"/>
      <c r="I1047577" s="24"/>
      <c r="J1047577" s="24"/>
      <c r="K1047577" s="54"/>
    </row>
    <row r="1047578" spans="1:11" s="55" customFormat="1" ht="12.75">
      <c r="A1047578" s="24"/>
      <c r="B1047578" s="24"/>
      <c r="C1047578" s="24"/>
      <c r="D1047578" s="24"/>
      <c r="E1047578" s="24"/>
      <c r="F1047578" s="24"/>
      <c r="G1047578" s="24"/>
      <c r="H1047578" s="24"/>
      <c r="I1047578" s="24"/>
      <c r="J1047578" s="24"/>
      <c r="K1047578" s="54"/>
    </row>
    <row r="1047579" spans="1:11" s="55" customFormat="1" ht="12.75">
      <c r="A1047579" s="24"/>
      <c r="B1047579" s="24"/>
      <c r="C1047579" s="24"/>
      <c r="D1047579" s="24"/>
      <c r="E1047579" s="24"/>
      <c r="F1047579" s="24"/>
      <c r="G1047579" s="24"/>
      <c r="H1047579" s="24"/>
      <c r="I1047579" s="24"/>
      <c r="J1047579" s="24"/>
      <c r="K1047579" s="54"/>
    </row>
    <row r="1047580" spans="1:11" s="55" customFormat="1" ht="12.75">
      <c r="A1047580" s="24"/>
      <c r="B1047580" s="24"/>
      <c r="C1047580" s="24"/>
      <c r="D1047580" s="24"/>
      <c r="E1047580" s="24"/>
      <c r="F1047580" s="24"/>
      <c r="G1047580" s="24"/>
      <c r="H1047580" s="24"/>
      <c r="I1047580" s="24"/>
      <c r="J1047580" s="24"/>
      <c r="K1047580" s="54"/>
    </row>
    <row r="1047581" spans="1:11" s="55" customFormat="1" ht="12.75">
      <c r="A1047581" s="24"/>
      <c r="B1047581" s="24"/>
      <c r="C1047581" s="24"/>
      <c r="D1047581" s="24"/>
      <c r="E1047581" s="24"/>
      <c r="F1047581" s="24"/>
      <c r="G1047581" s="24"/>
      <c r="H1047581" s="24"/>
      <c r="I1047581" s="24"/>
      <c r="J1047581" s="24"/>
      <c r="K1047581" s="54"/>
    </row>
    <row r="1047582" spans="1:11" s="55" customFormat="1" ht="12.75">
      <c r="A1047582" s="24"/>
      <c r="B1047582" s="24"/>
      <c r="C1047582" s="24"/>
      <c r="D1047582" s="24"/>
      <c r="E1047582" s="24"/>
      <c r="F1047582" s="24"/>
      <c r="G1047582" s="24"/>
      <c r="H1047582" s="24"/>
      <c r="I1047582" s="24"/>
      <c r="J1047582" s="24"/>
      <c r="K1047582" s="54"/>
    </row>
    <row r="1047583" spans="1:11" s="55" customFormat="1" ht="12.75">
      <c r="A1047583" s="24"/>
      <c r="B1047583" s="24"/>
      <c r="C1047583" s="24"/>
      <c r="D1047583" s="24"/>
      <c r="E1047583" s="24"/>
      <c r="F1047583" s="24"/>
      <c r="G1047583" s="24"/>
      <c r="H1047583" s="24"/>
      <c r="I1047583" s="24"/>
      <c r="J1047583" s="24"/>
      <c r="K1047583" s="54"/>
    </row>
    <row r="1047584" spans="1:11" s="55" customFormat="1" ht="12.75">
      <c r="A1047584" s="24"/>
      <c r="B1047584" s="24"/>
      <c r="C1047584" s="24"/>
      <c r="D1047584" s="24"/>
      <c r="E1047584" s="24"/>
      <c r="F1047584" s="24"/>
      <c r="G1047584" s="24"/>
      <c r="H1047584" s="24"/>
      <c r="I1047584" s="24"/>
      <c r="J1047584" s="24"/>
      <c r="K1047584" s="54"/>
    </row>
    <row r="1047585" spans="1:11" s="55" customFormat="1" ht="12.75">
      <c r="A1047585" s="24"/>
      <c r="B1047585" s="24"/>
      <c r="C1047585" s="24"/>
      <c r="D1047585" s="24"/>
      <c r="E1047585" s="24"/>
      <c r="F1047585" s="24"/>
      <c r="G1047585" s="24"/>
      <c r="H1047585" s="24"/>
      <c r="I1047585" s="24"/>
      <c r="J1047585" s="24"/>
      <c r="K1047585" s="54"/>
    </row>
    <row r="1047586" spans="1:11" s="55" customFormat="1" ht="12.75">
      <c r="A1047586" s="24"/>
      <c r="B1047586" s="24"/>
      <c r="C1047586" s="24"/>
      <c r="D1047586" s="24"/>
      <c r="E1047586" s="24"/>
      <c r="F1047586" s="24"/>
      <c r="G1047586" s="24"/>
      <c r="H1047586" s="24"/>
      <c r="I1047586" s="24"/>
      <c r="J1047586" s="24"/>
      <c r="K1047586" s="54"/>
    </row>
    <row r="1047587" spans="1:11" s="55" customFormat="1" ht="12.75">
      <c r="A1047587" s="24"/>
      <c r="B1047587" s="24"/>
      <c r="C1047587" s="24"/>
      <c r="D1047587" s="24"/>
      <c r="E1047587" s="24"/>
      <c r="F1047587" s="24"/>
      <c r="G1047587" s="24"/>
      <c r="H1047587" s="24"/>
      <c r="I1047587" s="24"/>
      <c r="J1047587" s="24"/>
      <c r="K1047587" s="54"/>
    </row>
    <row r="1047588" spans="1:11" s="55" customFormat="1" ht="12.75">
      <c r="A1047588" s="24"/>
      <c r="B1047588" s="24"/>
      <c r="C1047588" s="24"/>
      <c r="D1047588" s="24"/>
      <c r="E1047588" s="24"/>
      <c r="F1047588" s="24"/>
      <c r="G1047588" s="24"/>
      <c r="H1047588" s="24"/>
      <c r="I1047588" s="24"/>
      <c r="J1047588" s="24"/>
      <c r="K1047588" s="54"/>
    </row>
    <row r="1047589" spans="1:11" s="55" customFormat="1" ht="12.75">
      <c r="A1047589" s="24"/>
      <c r="B1047589" s="24"/>
      <c r="C1047589" s="24"/>
      <c r="D1047589" s="24"/>
      <c r="E1047589" s="24"/>
      <c r="F1047589" s="24"/>
      <c r="G1047589" s="24"/>
      <c r="H1047589" s="24"/>
      <c r="I1047589" s="24"/>
      <c r="J1047589" s="24"/>
      <c r="K1047589" s="54"/>
    </row>
    <row r="1047590" spans="1:11" s="55" customFormat="1" ht="12.75">
      <c r="A1047590" s="24"/>
      <c r="B1047590" s="24"/>
      <c r="C1047590" s="24"/>
      <c r="D1047590" s="24"/>
      <c r="E1047590" s="24"/>
      <c r="F1047590" s="24"/>
      <c r="G1047590" s="24"/>
      <c r="H1047590" s="24"/>
      <c r="I1047590" s="24"/>
      <c r="J1047590" s="24"/>
      <c r="K1047590" s="54"/>
    </row>
    <row r="1047591" spans="1:11" s="55" customFormat="1" ht="12.75">
      <c r="A1047591" s="24"/>
      <c r="B1047591" s="24"/>
      <c r="C1047591" s="24"/>
      <c r="D1047591" s="24"/>
      <c r="E1047591" s="24"/>
      <c r="F1047591" s="24"/>
      <c r="G1047591" s="24"/>
      <c r="H1047591" s="24"/>
      <c r="I1047591" s="24"/>
      <c r="J1047591" s="24"/>
      <c r="K1047591" s="54"/>
    </row>
    <row r="1047592" spans="1:11" s="55" customFormat="1" ht="12.75">
      <c r="A1047592" s="24"/>
      <c r="B1047592" s="24"/>
      <c r="C1047592" s="24"/>
      <c r="D1047592" s="24"/>
      <c r="E1047592" s="24"/>
      <c r="F1047592" s="24"/>
      <c r="G1047592" s="24"/>
      <c r="H1047592" s="24"/>
      <c r="I1047592" s="24"/>
      <c r="J1047592" s="24"/>
      <c r="K1047592" s="54"/>
    </row>
    <row r="1047593" spans="1:11" s="55" customFormat="1" ht="12.75">
      <c r="A1047593" s="24"/>
      <c r="B1047593" s="24"/>
      <c r="C1047593" s="24"/>
      <c r="D1047593" s="24"/>
      <c r="E1047593" s="24"/>
      <c r="F1047593" s="24"/>
      <c r="G1047593" s="24"/>
      <c r="H1047593" s="24"/>
      <c r="I1047593" s="24"/>
      <c r="J1047593" s="24"/>
      <c r="K1047593" s="54"/>
    </row>
    <row r="1047594" spans="1:11" s="55" customFormat="1" ht="12.75">
      <c r="A1047594" s="24"/>
      <c r="B1047594" s="24"/>
      <c r="C1047594" s="24"/>
      <c r="D1047594" s="24"/>
      <c r="E1047594" s="24"/>
      <c r="F1047594" s="24"/>
      <c r="G1047594" s="24"/>
      <c r="H1047594" s="24"/>
      <c r="I1047594" s="24"/>
      <c r="J1047594" s="24"/>
      <c r="K1047594" s="54"/>
    </row>
    <row r="1047595" spans="1:11" s="55" customFormat="1" ht="12.75">
      <c r="A1047595" s="24"/>
      <c r="B1047595" s="24"/>
      <c r="C1047595" s="24"/>
      <c r="D1047595" s="24"/>
      <c r="E1047595" s="24"/>
      <c r="F1047595" s="24"/>
      <c r="G1047595" s="24"/>
      <c r="H1047595" s="24"/>
      <c r="I1047595" s="24"/>
      <c r="J1047595" s="24"/>
      <c r="K1047595" s="54"/>
    </row>
    <row r="1047596" spans="1:11" s="55" customFormat="1" ht="12.75">
      <c r="A1047596" s="24"/>
      <c r="B1047596" s="24"/>
      <c r="C1047596" s="24"/>
      <c r="D1047596" s="24"/>
      <c r="E1047596" s="24"/>
      <c r="F1047596" s="24"/>
      <c r="G1047596" s="24"/>
      <c r="H1047596" s="24"/>
      <c r="I1047596" s="24"/>
      <c r="J1047596" s="24"/>
      <c r="K1047596" s="54"/>
    </row>
    <row r="1047597" spans="1:11" s="55" customFormat="1" ht="12.75">
      <c r="A1047597" s="24"/>
      <c r="B1047597" s="24"/>
      <c r="C1047597" s="24"/>
      <c r="D1047597" s="24"/>
      <c r="E1047597" s="24"/>
      <c r="F1047597" s="24"/>
      <c r="G1047597" s="24"/>
      <c r="H1047597" s="24"/>
      <c r="I1047597" s="24"/>
      <c r="J1047597" s="24"/>
      <c r="K1047597" s="54"/>
    </row>
    <row r="1047598" spans="1:11" s="55" customFormat="1" ht="12.75">
      <c r="A1047598" s="24"/>
      <c r="B1047598" s="24"/>
      <c r="C1047598" s="24"/>
      <c r="D1047598" s="24"/>
      <c r="E1047598" s="24"/>
      <c r="F1047598" s="24"/>
      <c r="G1047598" s="24"/>
      <c r="H1047598" s="24"/>
      <c r="I1047598" s="24"/>
      <c r="J1047598" s="24"/>
      <c r="K1047598" s="54"/>
    </row>
    <row r="1047599" spans="1:11" s="55" customFormat="1" ht="12.75">
      <c r="A1047599" s="24"/>
      <c r="B1047599" s="24"/>
      <c r="C1047599" s="24"/>
      <c r="D1047599" s="24"/>
      <c r="E1047599" s="24"/>
      <c r="F1047599" s="24"/>
      <c r="G1047599" s="24"/>
      <c r="H1047599" s="24"/>
      <c r="I1047599" s="24"/>
      <c r="J1047599" s="24"/>
      <c r="K1047599" s="54"/>
    </row>
    <row r="1047600" spans="1:11" s="55" customFormat="1" ht="12.75">
      <c r="A1047600" s="24"/>
      <c r="B1047600" s="24"/>
      <c r="C1047600" s="24"/>
      <c r="D1047600" s="24"/>
      <c r="E1047600" s="24"/>
      <c r="F1047600" s="24"/>
      <c r="G1047600" s="24"/>
      <c r="H1047600" s="24"/>
      <c r="I1047600" s="24"/>
      <c r="J1047600" s="24"/>
      <c r="K1047600" s="54"/>
    </row>
    <row r="1047601" spans="1:11" s="55" customFormat="1" ht="12.75">
      <c r="A1047601" s="24"/>
      <c r="B1047601" s="24"/>
      <c r="C1047601" s="24"/>
      <c r="D1047601" s="24"/>
      <c r="E1047601" s="24"/>
      <c r="F1047601" s="24"/>
      <c r="G1047601" s="24"/>
      <c r="H1047601" s="24"/>
      <c r="I1047601" s="24"/>
      <c r="J1047601" s="24"/>
      <c r="K1047601" s="54"/>
    </row>
    <row r="1047602" spans="1:11" s="55" customFormat="1" ht="12.75">
      <c r="A1047602" s="24"/>
      <c r="B1047602" s="24"/>
      <c r="C1047602" s="24"/>
      <c r="D1047602" s="24"/>
      <c r="E1047602" s="24"/>
      <c r="F1047602" s="24"/>
      <c r="G1047602" s="24"/>
      <c r="H1047602" s="24"/>
      <c r="I1047602" s="24"/>
      <c r="J1047602" s="24"/>
      <c r="K1047602" s="54"/>
    </row>
    <row r="1047603" spans="1:11" s="55" customFormat="1" ht="12.75">
      <c r="A1047603" s="24"/>
      <c r="B1047603" s="24"/>
      <c r="C1047603" s="24"/>
      <c r="D1047603" s="24"/>
      <c r="E1047603" s="24"/>
      <c r="F1047603" s="24"/>
      <c r="G1047603" s="24"/>
      <c r="H1047603" s="24"/>
      <c r="I1047603" s="24"/>
      <c r="J1047603" s="24"/>
      <c r="K1047603" s="54"/>
    </row>
    <row r="1047604" spans="1:11" s="55" customFormat="1" ht="12.75">
      <c r="A1047604" s="24"/>
      <c r="B1047604" s="24"/>
      <c r="C1047604" s="24"/>
      <c r="D1047604" s="24"/>
      <c r="E1047604" s="24"/>
      <c r="F1047604" s="24"/>
      <c r="G1047604" s="24"/>
      <c r="H1047604" s="24"/>
      <c r="I1047604" s="24"/>
      <c r="J1047604" s="24"/>
      <c r="K1047604" s="54"/>
    </row>
    <row r="1047605" spans="1:11" s="55" customFormat="1" ht="12.75">
      <c r="A1047605" s="24"/>
      <c r="B1047605" s="24"/>
      <c r="C1047605" s="24"/>
      <c r="D1047605" s="24"/>
      <c r="E1047605" s="24"/>
      <c r="F1047605" s="24"/>
      <c r="G1047605" s="24"/>
      <c r="H1047605" s="24"/>
      <c r="I1047605" s="24"/>
      <c r="J1047605" s="24"/>
      <c r="K1047605" s="54"/>
    </row>
    <row r="1047606" spans="1:11" s="55" customFormat="1" ht="12.75">
      <c r="A1047606" s="24"/>
      <c r="B1047606" s="24"/>
      <c r="C1047606" s="24"/>
      <c r="D1047606" s="24"/>
      <c r="E1047606" s="24"/>
      <c r="F1047606" s="24"/>
      <c r="G1047606" s="24"/>
      <c r="H1047606" s="24"/>
      <c r="I1047606" s="24"/>
      <c r="J1047606" s="24"/>
      <c r="K1047606" s="54"/>
    </row>
    <row r="1047607" spans="1:11" s="55" customFormat="1" ht="12.75">
      <c r="A1047607" s="24"/>
      <c r="B1047607" s="24"/>
      <c r="C1047607" s="24"/>
      <c r="D1047607" s="24"/>
      <c r="E1047607" s="24"/>
      <c r="F1047607" s="24"/>
      <c r="G1047607" s="24"/>
      <c r="H1047607" s="24"/>
      <c r="I1047607" s="24"/>
      <c r="J1047607" s="24"/>
      <c r="K1047607" s="54"/>
    </row>
    <row r="1047608" spans="1:11" s="55" customFormat="1" ht="12.75">
      <c r="A1047608" s="24"/>
      <c r="B1047608" s="24"/>
      <c r="C1047608" s="24"/>
      <c r="D1047608" s="24"/>
      <c r="E1047608" s="24"/>
      <c r="F1047608" s="24"/>
      <c r="G1047608" s="24"/>
      <c r="H1047608" s="24"/>
      <c r="I1047608" s="24"/>
      <c r="J1047608" s="24"/>
      <c r="K1047608" s="54"/>
    </row>
    <row r="1047609" spans="1:11" s="55" customFormat="1" ht="12.75">
      <c r="A1047609" s="24"/>
      <c r="B1047609" s="24"/>
      <c r="C1047609" s="24"/>
      <c r="D1047609" s="24"/>
      <c r="E1047609" s="24"/>
      <c r="F1047609" s="24"/>
      <c r="G1047609" s="24"/>
      <c r="H1047609" s="24"/>
      <c r="I1047609" s="24"/>
      <c r="J1047609" s="24"/>
      <c r="K1047609" s="54"/>
    </row>
    <row r="1047610" spans="1:11" s="55" customFormat="1" ht="12.75">
      <c r="A1047610" s="24"/>
      <c r="B1047610" s="24"/>
      <c r="C1047610" s="24"/>
      <c r="D1047610" s="24"/>
      <c r="E1047610" s="24"/>
      <c r="F1047610" s="24"/>
      <c r="G1047610" s="24"/>
      <c r="H1047610" s="24"/>
      <c r="I1047610" s="24"/>
      <c r="J1047610" s="24"/>
      <c r="K1047610" s="54"/>
    </row>
    <row r="1047611" spans="1:11" s="55" customFormat="1" ht="12.75">
      <c r="A1047611" s="24"/>
      <c r="B1047611" s="24"/>
      <c r="C1047611" s="24"/>
      <c r="D1047611" s="24"/>
      <c r="E1047611" s="24"/>
      <c r="F1047611" s="24"/>
      <c r="G1047611" s="24"/>
      <c r="H1047611" s="24"/>
      <c r="I1047611" s="24"/>
      <c r="J1047611" s="24"/>
      <c r="K1047611" s="54"/>
    </row>
    <row r="1047612" spans="1:11" s="55" customFormat="1" ht="12.75">
      <c r="A1047612" s="24"/>
      <c r="B1047612" s="24"/>
      <c r="C1047612" s="24"/>
      <c r="D1047612" s="24"/>
      <c r="E1047612" s="24"/>
      <c r="F1047612" s="24"/>
      <c r="G1047612" s="24"/>
      <c r="H1047612" s="24"/>
      <c r="I1047612" s="24"/>
      <c r="J1047612" s="24"/>
      <c r="K1047612" s="54"/>
    </row>
    <row r="1047613" spans="1:11" s="55" customFormat="1" ht="12.75">
      <c r="A1047613" s="24"/>
      <c r="B1047613" s="24"/>
      <c r="C1047613" s="24"/>
      <c r="D1047613" s="24"/>
      <c r="E1047613" s="24"/>
      <c r="F1047613" s="24"/>
      <c r="G1047613" s="24"/>
      <c r="H1047613" s="24"/>
      <c r="I1047613" s="24"/>
      <c r="J1047613" s="24"/>
      <c r="K1047613" s="54"/>
    </row>
    <row r="1047614" spans="1:11" s="55" customFormat="1" ht="12.75">
      <c r="A1047614" s="24"/>
      <c r="B1047614" s="24"/>
      <c r="C1047614" s="24"/>
      <c r="D1047614" s="24"/>
      <c r="E1047614" s="24"/>
      <c r="F1047614" s="24"/>
      <c r="G1047614" s="24"/>
      <c r="H1047614" s="24"/>
      <c r="I1047614" s="24"/>
      <c r="J1047614" s="24"/>
      <c r="K1047614" s="54"/>
    </row>
    <row r="1047615" spans="1:11" s="55" customFormat="1" ht="12.75">
      <c r="A1047615" s="24"/>
      <c r="B1047615" s="24"/>
      <c r="C1047615" s="24"/>
      <c r="D1047615" s="24"/>
      <c r="E1047615" s="24"/>
      <c r="F1047615" s="24"/>
      <c r="G1047615" s="24"/>
      <c r="H1047615" s="24"/>
      <c r="I1047615" s="24"/>
      <c r="J1047615" s="24"/>
      <c r="K1047615" s="54"/>
    </row>
    <row r="1047616" spans="1:11" s="55" customFormat="1" ht="12.75">
      <c r="A1047616" s="24"/>
      <c r="B1047616" s="24"/>
      <c r="C1047616" s="24"/>
      <c r="D1047616" s="24"/>
      <c r="E1047616" s="24"/>
      <c r="F1047616" s="24"/>
      <c r="G1047616" s="24"/>
      <c r="H1047616" s="24"/>
      <c r="I1047616" s="24"/>
      <c r="J1047616" s="24"/>
      <c r="K1047616" s="54"/>
    </row>
    <row r="1047617" spans="1:11" s="55" customFormat="1" ht="12.75">
      <c r="A1047617" s="24"/>
      <c r="B1047617" s="24"/>
      <c r="C1047617" s="24"/>
      <c r="D1047617" s="24"/>
      <c r="E1047617" s="24"/>
      <c r="F1047617" s="24"/>
      <c r="G1047617" s="24"/>
      <c r="H1047617" s="24"/>
      <c r="I1047617" s="24"/>
      <c r="J1047617" s="24"/>
      <c r="K1047617" s="54"/>
    </row>
    <row r="1047618" spans="1:11" s="55" customFormat="1" ht="12.75">
      <c r="A1047618" s="24"/>
      <c r="B1047618" s="24"/>
      <c r="C1047618" s="24"/>
      <c r="D1047618" s="24"/>
      <c r="E1047618" s="24"/>
      <c r="F1047618" s="24"/>
      <c r="G1047618" s="24"/>
      <c r="H1047618" s="24"/>
      <c r="I1047618" s="24"/>
      <c r="J1047618" s="24"/>
      <c r="K1047618" s="54"/>
    </row>
    <row r="1047619" spans="1:11" s="55" customFormat="1" ht="12.75">
      <c r="A1047619" s="24"/>
      <c r="B1047619" s="24"/>
      <c r="C1047619" s="24"/>
      <c r="D1047619" s="24"/>
      <c r="E1047619" s="24"/>
      <c r="F1047619" s="24"/>
      <c r="G1047619" s="24"/>
      <c r="H1047619" s="24"/>
      <c r="I1047619" s="24"/>
      <c r="J1047619" s="24"/>
      <c r="K1047619" s="54"/>
    </row>
    <row r="1047620" spans="1:11" s="55" customFormat="1" ht="12.75">
      <c r="A1047620" s="24"/>
      <c r="B1047620" s="24"/>
      <c r="C1047620" s="24"/>
      <c r="D1047620" s="24"/>
      <c r="E1047620" s="24"/>
      <c r="F1047620" s="24"/>
      <c r="G1047620" s="24"/>
      <c r="H1047620" s="24"/>
      <c r="I1047620" s="24"/>
      <c r="J1047620" s="24"/>
      <c r="K1047620" s="54"/>
    </row>
    <row r="1047621" spans="1:11" s="55" customFormat="1" ht="12.75">
      <c r="A1047621" s="24"/>
      <c r="B1047621" s="24"/>
      <c r="C1047621" s="24"/>
      <c r="D1047621" s="24"/>
      <c r="E1047621" s="24"/>
      <c r="F1047621" s="24"/>
      <c r="G1047621" s="24"/>
      <c r="H1047621" s="24"/>
      <c r="I1047621" s="24"/>
      <c r="J1047621" s="24"/>
      <c r="K1047621" s="54"/>
    </row>
    <row r="1047622" spans="1:11" s="55" customFormat="1" ht="12.75">
      <c r="A1047622" s="24"/>
      <c r="B1047622" s="24"/>
      <c r="C1047622" s="24"/>
      <c r="D1047622" s="24"/>
      <c r="E1047622" s="24"/>
      <c r="F1047622" s="24"/>
      <c r="G1047622" s="24"/>
      <c r="H1047622" s="24"/>
      <c r="I1047622" s="24"/>
      <c r="J1047622" s="24"/>
      <c r="K1047622" s="54"/>
    </row>
    <row r="1047623" spans="1:11" s="55" customFormat="1" ht="12.75">
      <c r="A1047623" s="24"/>
      <c r="B1047623" s="24"/>
      <c r="C1047623" s="24"/>
      <c r="D1047623" s="24"/>
      <c r="E1047623" s="24"/>
      <c r="F1047623" s="24"/>
      <c r="G1047623" s="24"/>
      <c r="H1047623" s="24"/>
      <c r="I1047623" s="24"/>
      <c r="J1047623" s="24"/>
      <c r="K1047623" s="54"/>
    </row>
    <row r="1047624" spans="1:11" s="55" customFormat="1" ht="12.75">
      <c r="A1047624" s="24"/>
      <c r="B1047624" s="24"/>
      <c r="C1047624" s="24"/>
      <c r="D1047624" s="24"/>
      <c r="E1047624" s="24"/>
      <c r="F1047624" s="24"/>
      <c r="G1047624" s="24"/>
      <c r="H1047624" s="24"/>
      <c r="I1047624" s="24"/>
      <c r="J1047624" s="24"/>
      <c r="K1047624" s="54"/>
    </row>
    <row r="1047625" spans="1:11" s="55" customFormat="1" ht="12.75">
      <c r="A1047625" s="24"/>
      <c r="B1047625" s="24"/>
      <c r="C1047625" s="24"/>
      <c r="D1047625" s="24"/>
      <c r="E1047625" s="24"/>
      <c r="F1047625" s="24"/>
      <c r="G1047625" s="24"/>
      <c r="H1047625" s="24"/>
      <c r="I1047625" s="24"/>
      <c r="J1047625" s="24"/>
      <c r="K1047625" s="54"/>
    </row>
    <row r="1047626" spans="1:11" s="55" customFormat="1" ht="12.75">
      <c r="A1047626" s="24"/>
      <c r="B1047626" s="24"/>
      <c r="C1047626" s="24"/>
      <c r="D1047626" s="24"/>
      <c r="E1047626" s="24"/>
      <c r="F1047626" s="24"/>
      <c r="G1047626" s="24"/>
      <c r="H1047626" s="24"/>
      <c r="I1047626" s="24"/>
      <c r="J1047626" s="24"/>
      <c r="K1047626" s="54"/>
    </row>
    <row r="1047627" spans="1:11" s="55" customFormat="1" ht="12.75">
      <c r="A1047627" s="24"/>
      <c r="B1047627" s="24"/>
      <c r="C1047627" s="24"/>
      <c r="D1047627" s="24"/>
      <c r="E1047627" s="24"/>
      <c r="F1047627" s="24"/>
      <c r="G1047627" s="24"/>
      <c r="H1047627" s="24"/>
      <c r="I1047627" s="24"/>
      <c r="J1047627" s="24"/>
      <c r="K1047627" s="54"/>
    </row>
    <row r="1047628" spans="1:11" s="55" customFormat="1" ht="12.75">
      <c r="A1047628" s="24"/>
      <c r="B1047628" s="24"/>
      <c r="C1047628" s="24"/>
      <c r="D1047628" s="24"/>
      <c r="E1047628" s="24"/>
      <c r="F1047628" s="24"/>
      <c r="G1047628" s="24"/>
      <c r="H1047628" s="24"/>
      <c r="I1047628" s="24"/>
      <c r="J1047628" s="24"/>
      <c r="K1047628" s="54"/>
    </row>
    <row r="1047629" spans="1:11" s="55" customFormat="1" ht="12.75">
      <c r="A1047629" s="24"/>
      <c r="B1047629" s="24"/>
      <c r="C1047629" s="24"/>
      <c r="D1047629" s="24"/>
      <c r="E1047629" s="24"/>
      <c r="F1047629" s="24"/>
      <c r="G1047629" s="24"/>
      <c r="H1047629" s="24"/>
      <c r="I1047629" s="24"/>
      <c r="J1047629" s="24"/>
      <c r="K1047629" s="54"/>
    </row>
    <row r="1047630" spans="1:11" s="55" customFormat="1" ht="12.75">
      <c r="A1047630" s="24"/>
      <c r="B1047630" s="24"/>
      <c r="C1047630" s="24"/>
      <c r="D1047630" s="24"/>
      <c r="E1047630" s="24"/>
      <c r="F1047630" s="24"/>
      <c r="G1047630" s="24"/>
      <c r="H1047630" s="24"/>
      <c r="I1047630" s="24"/>
      <c r="J1047630" s="24"/>
      <c r="K1047630" s="54"/>
    </row>
    <row r="1047631" spans="1:11" s="55" customFormat="1" ht="12.75">
      <c r="A1047631" s="24"/>
      <c r="B1047631" s="24"/>
      <c r="C1047631" s="24"/>
      <c r="D1047631" s="24"/>
      <c r="E1047631" s="24"/>
      <c r="F1047631" s="24"/>
      <c r="G1047631" s="24"/>
      <c r="H1047631" s="24"/>
      <c r="I1047631" s="24"/>
      <c r="J1047631" s="24"/>
      <c r="K1047631" s="54"/>
    </row>
    <row r="1047632" spans="1:11" s="55" customFormat="1" ht="12.75">
      <c r="A1047632" s="24"/>
      <c r="B1047632" s="24"/>
      <c r="C1047632" s="24"/>
      <c r="D1047632" s="24"/>
      <c r="E1047632" s="24"/>
      <c r="F1047632" s="24"/>
      <c r="G1047632" s="24"/>
      <c r="H1047632" s="24"/>
      <c r="I1047632" s="24"/>
      <c r="J1047632" s="24"/>
      <c r="K1047632" s="54"/>
    </row>
    <row r="1047633" spans="1:11" s="55" customFormat="1" ht="12.75">
      <c r="A1047633" s="24"/>
      <c r="B1047633" s="24"/>
      <c r="C1047633" s="24"/>
      <c r="D1047633" s="24"/>
      <c r="E1047633" s="24"/>
      <c r="F1047633" s="24"/>
      <c r="G1047633" s="24"/>
      <c r="H1047633" s="24"/>
      <c r="I1047633" s="24"/>
      <c r="J1047633" s="24"/>
      <c r="K1047633" s="54"/>
    </row>
    <row r="1047634" spans="1:11" s="55" customFormat="1" ht="12.75">
      <c r="A1047634" s="24"/>
      <c r="B1047634" s="24"/>
      <c r="C1047634" s="24"/>
      <c r="D1047634" s="24"/>
      <c r="E1047634" s="24"/>
      <c r="F1047634" s="24"/>
      <c r="G1047634" s="24"/>
      <c r="H1047634" s="24"/>
      <c r="I1047634" s="24"/>
      <c r="J1047634" s="24"/>
      <c r="K1047634" s="54"/>
    </row>
    <row r="1047635" spans="1:11" s="55" customFormat="1" ht="12.75">
      <c r="A1047635" s="24"/>
      <c r="B1047635" s="24"/>
      <c r="C1047635" s="24"/>
      <c r="D1047635" s="24"/>
      <c r="E1047635" s="24"/>
      <c r="F1047635" s="24"/>
      <c r="G1047635" s="24"/>
      <c r="H1047635" s="24"/>
      <c r="I1047635" s="24"/>
      <c r="J1047635" s="24"/>
      <c r="K1047635" s="54"/>
    </row>
    <row r="1047636" spans="1:11" s="55" customFormat="1" ht="12.75">
      <c r="A1047636" s="24"/>
      <c r="B1047636" s="24"/>
      <c r="C1047636" s="24"/>
      <c r="D1047636" s="24"/>
      <c r="E1047636" s="24"/>
      <c r="F1047636" s="24"/>
      <c r="G1047636" s="24"/>
      <c r="H1047636" s="24"/>
      <c r="I1047636" s="24"/>
      <c r="J1047636" s="24"/>
      <c r="K1047636" s="54"/>
    </row>
    <row r="1047637" spans="1:11" s="55" customFormat="1" ht="12.75">
      <c r="A1047637" s="24"/>
      <c r="B1047637" s="24"/>
      <c r="C1047637" s="24"/>
      <c r="D1047637" s="24"/>
      <c r="E1047637" s="24"/>
      <c r="F1047637" s="24"/>
      <c r="G1047637" s="24"/>
      <c r="H1047637" s="24"/>
      <c r="I1047637" s="24"/>
      <c r="J1047637" s="24"/>
      <c r="K1047637" s="54"/>
    </row>
    <row r="1047638" spans="1:11" s="55" customFormat="1" ht="12.75">
      <c r="A1047638" s="24"/>
      <c r="B1047638" s="24"/>
      <c r="C1047638" s="24"/>
      <c r="D1047638" s="24"/>
      <c r="E1047638" s="24"/>
      <c r="F1047638" s="24"/>
      <c r="G1047638" s="24"/>
      <c r="H1047638" s="24"/>
      <c r="I1047638" s="24"/>
      <c r="J1047638" s="24"/>
      <c r="K1047638" s="54"/>
    </row>
    <row r="1047639" spans="1:11" s="55" customFormat="1" ht="12.75">
      <c r="A1047639" s="24"/>
      <c r="B1047639" s="24"/>
      <c r="C1047639" s="24"/>
      <c r="D1047639" s="24"/>
      <c r="E1047639" s="24"/>
      <c r="F1047639" s="24"/>
      <c r="G1047639" s="24"/>
      <c r="H1047639" s="24"/>
      <c r="I1047639" s="24"/>
      <c r="J1047639" s="24"/>
      <c r="K1047639" s="54"/>
    </row>
    <row r="1047640" spans="1:11" s="55" customFormat="1" ht="12.75">
      <c r="A1047640" s="24"/>
      <c r="B1047640" s="24"/>
      <c r="C1047640" s="24"/>
      <c r="D1047640" s="24"/>
      <c r="E1047640" s="24"/>
      <c r="F1047640" s="24"/>
      <c r="G1047640" s="24"/>
      <c r="H1047640" s="24"/>
      <c r="I1047640" s="24"/>
      <c r="J1047640" s="24"/>
      <c r="K1047640" s="54"/>
    </row>
    <row r="1047641" spans="1:11" s="55" customFormat="1" ht="12.75">
      <c r="A1047641" s="24"/>
      <c r="B1047641" s="24"/>
      <c r="C1047641" s="24"/>
      <c r="D1047641" s="24"/>
      <c r="E1047641" s="24"/>
      <c r="F1047641" s="24"/>
      <c r="G1047641" s="24"/>
      <c r="H1047641" s="24"/>
      <c r="I1047641" s="24"/>
      <c r="J1047641" s="24"/>
      <c r="K1047641" s="54"/>
    </row>
    <row r="1047642" spans="1:11" s="55" customFormat="1" ht="12.75">
      <c r="A1047642" s="24"/>
      <c r="B1047642" s="24"/>
      <c r="C1047642" s="24"/>
      <c r="D1047642" s="24"/>
      <c r="E1047642" s="24"/>
      <c r="F1047642" s="24"/>
      <c r="G1047642" s="24"/>
      <c r="H1047642" s="24"/>
      <c r="I1047642" s="24"/>
      <c r="J1047642" s="24"/>
      <c r="K1047642" s="54"/>
    </row>
    <row r="1047643" spans="1:11" s="55" customFormat="1" ht="12.75">
      <c r="A1047643" s="24"/>
      <c r="B1047643" s="24"/>
      <c r="C1047643" s="24"/>
      <c r="D1047643" s="24"/>
      <c r="E1047643" s="24"/>
      <c r="F1047643" s="24"/>
      <c r="G1047643" s="24"/>
      <c r="H1047643" s="24"/>
      <c r="I1047643" s="24"/>
      <c r="J1047643" s="24"/>
      <c r="K1047643" s="54"/>
    </row>
    <row r="1047644" spans="1:11" s="55" customFormat="1" ht="12.75">
      <c r="A1047644" s="24"/>
      <c r="B1047644" s="24"/>
      <c r="C1047644" s="24"/>
      <c r="D1047644" s="24"/>
      <c r="E1047644" s="24"/>
      <c r="F1047644" s="24"/>
      <c r="G1047644" s="24"/>
      <c r="H1047644" s="24"/>
      <c r="I1047644" s="24"/>
      <c r="J1047644" s="24"/>
      <c r="K1047644" s="54"/>
    </row>
    <row r="1047645" spans="1:11" s="55" customFormat="1" ht="12.75">
      <c r="A1047645" s="24"/>
      <c r="B1047645" s="24"/>
      <c r="C1047645" s="24"/>
      <c r="D1047645" s="24"/>
      <c r="E1047645" s="24"/>
      <c r="F1047645" s="24"/>
      <c r="G1047645" s="24"/>
      <c r="H1047645" s="24"/>
      <c r="I1047645" s="24"/>
      <c r="J1047645" s="24"/>
      <c r="K1047645" s="54"/>
    </row>
    <row r="1047646" spans="1:11" s="55" customFormat="1" ht="12.75">
      <c r="A1047646" s="24"/>
      <c r="B1047646" s="24"/>
      <c r="C1047646" s="24"/>
      <c r="D1047646" s="24"/>
      <c r="E1047646" s="24"/>
      <c r="F1047646" s="24"/>
      <c r="G1047646" s="24"/>
      <c r="H1047646" s="24"/>
      <c r="I1047646" s="24"/>
      <c r="J1047646" s="24"/>
      <c r="K1047646" s="54"/>
    </row>
    <row r="1047647" spans="1:11" s="55" customFormat="1" ht="12.75">
      <c r="A1047647" s="24"/>
      <c r="B1047647" s="24"/>
      <c r="C1047647" s="24"/>
      <c r="D1047647" s="24"/>
      <c r="E1047647" s="24"/>
      <c r="F1047647" s="24"/>
      <c r="G1047647" s="24"/>
      <c r="H1047647" s="24"/>
      <c r="I1047647" s="24"/>
      <c r="J1047647" s="24"/>
      <c r="K1047647" s="54"/>
    </row>
    <row r="1047648" spans="1:11" s="55" customFormat="1" ht="12.75">
      <c r="A1047648" s="24"/>
      <c r="B1047648" s="24"/>
      <c r="C1047648" s="24"/>
      <c r="D1047648" s="24"/>
      <c r="E1047648" s="24"/>
      <c r="F1047648" s="24"/>
      <c r="G1047648" s="24"/>
      <c r="H1047648" s="24"/>
      <c r="I1047648" s="24"/>
      <c r="J1047648" s="24"/>
      <c r="K1047648" s="54"/>
    </row>
    <row r="1047649" spans="1:11" s="55" customFormat="1" ht="12.75">
      <c r="A1047649" s="24"/>
      <c r="B1047649" s="24"/>
      <c r="C1047649" s="24"/>
      <c r="D1047649" s="24"/>
      <c r="E1047649" s="24"/>
      <c r="F1047649" s="24"/>
      <c r="G1047649" s="24"/>
      <c r="H1047649" s="24"/>
      <c r="I1047649" s="24"/>
      <c r="J1047649" s="24"/>
      <c r="K1047649" s="54"/>
    </row>
    <row r="1047650" spans="1:11" s="55" customFormat="1" ht="12.75">
      <c r="A1047650" s="24"/>
      <c r="B1047650" s="24"/>
      <c r="C1047650" s="24"/>
      <c r="D1047650" s="24"/>
      <c r="E1047650" s="24"/>
      <c r="F1047650" s="24"/>
      <c r="G1047650" s="24"/>
      <c r="H1047650" s="24"/>
      <c r="I1047650" s="24"/>
      <c r="J1047650" s="24"/>
      <c r="K1047650" s="54"/>
    </row>
    <row r="1047651" spans="1:11" s="55" customFormat="1" ht="12.75">
      <c r="A1047651" s="24"/>
      <c r="B1047651" s="24"/>
      <c r="C1047651" s="24"/>
      <c r="D1047651" s="24"/>
      <c r="E1047651" s="24"/>
      <c r="F1047651" s="24"/>
      <c r="G1047651" s="24"/>
      <c r="H1047651" s="24"/>
      <c r="I1047651" s="24"/>
      <c r="J1047651" s="24"/>
      <c r="K1047651" s="54"/>
    </row>
    <row r="1047652" spans="1:11" s="55" customFormat="1" ht="12.75">
      <c r="A1047652" s="24"/>
      <c r="B1047652" s="24"/>
      <c r="C1047652" s="24"/>
      <c r="D1047652" s="24"/>
      <c r="E1047652" s="24"/>
      <c r="F1047652" s="24"/>
      <c r="G1047652" s="24"/>
      <c r="H1047652" s="24"/>
      <c r="I1047652" s="24"/>
      <c r="J1047652" s="24"/>
      <c r="K1047652" s="54"/>
    </row>
    <row r="1047653" spans="1:11" s="55" customFormat="1" ht="12.75">
      <c r="A1047653" s="24"/>
      <c r="B1047653" s="24"/>
      <c r="C1047653" s="24"/>
      <c r="D1047653" s="24"/>
      <c r="E1047653" s="24"/>
      <c r="F1047653" s="24"/>
      <c r="G1047653" s="24"/>
      <c r="H1047653" s="24"/>
      <c r="I1047653" s="24"/>
      <c r="J1047653" s="24"/>
      <c r="K1047653" s="54"/>
    </row>
    <row r="1047654" spans="1:11" s="55" customFormat="1" ht="12.75">
      <c r="A1047654" s="24"/>
      <c r="B1047654" s="24"/>
      <c r="C1047654" s="24"/>
      <c r="D1047654" s="24"/>
      <c r="E1047654" s="24"/>
      <c r="F1047654" s="24"/>
      <c r="G1047654" s="24"/>
      <c r="H1047654" s="24"/>
      <c r="I1047654" s="24"/>
      <c r="J1047654" s="24"/>
      <c r="K1047654" s="54"/>
    </row>
    <row r="1047655" spans="1:11" s="55" customFormat="1" ht="12.75">
      <c r="A1047655" s="24"/>
      <c r="B1047655" s="24"/>
      <c r="C1047655" s="24"/>
      <c r="D1047655" s="24"/>
      <c r="E1047655" s="24"/>
      <c r="F1047655" s="24"/>
      <c r="G1047655" s="24"/>
      <c r="H1047655" s="24"/>
      <c r="I1047655" s="24"/>
      <c r="J1047655" s="24"/>
      <c r="K1047655" s="54"/>
    </row>
    <row r="1047656" spans="1:11" s="55" customFormat="1" ht="12.75">
      <c r="A1047656" s="24"/>
      <c r="B1047656" s="24"/>
      <c r="C1047656" s="24"/>
      <c r="D1047656" s="24"/>
      <c r="E1047656" s="24"/>
      <c r="F1047656" s="24"/>
      <c r="G1047656" s="24"/>
      <c r="H1047656" s="24"/>
      <c r="I1047656" s="24"/>
      <c r="J1047656" s="24"/>
      <c r="K1047656" s="54"/>
    </row>
    <row r="1047657" spans="1:11" s="55" customFormat="1" ht="12.75">
      <c r="A1047657" s="24"/>
      <c r="B1047657" s="24"/>
      <c r="C1047657" s="24"/>
      <c r="D1047657" s="24"/>
      <c r="E1047657" s="24"/>
      <c r="F1047657" s="24"/>
      <c r="G1047657" s="24"/>
      <c r="H1047657" s="24"/>
      <c r="I1047657" s="24"/>
      <c r="J1047657" s="24"/>
      <c r="K1047657" s="54"/>
    </row>
    <row r="1047658" spans="1:11" s="55" customFormat="1" ht="12.75">
      <c r="A1047658" s="24"/>
      <c r="B1047658" s="24"/>
      <c r="C1047658" s="24"/>
      <c r="D1047658" s="24"/>
      <c r="E1047658" s="24"/>
      <c r="F1047658" s="24"/>
      <c r="G1047658" s="24"/>
      <c r="H1047658" s="24"/>
      <c r="I1047658" s="24"/>
      <c r="J1047658" s="24"/>
      <c r="K1047658" s="54"/>
    </row>
    <row r="1047659" spans="1:11" s="55" customFormat="1" ht="12.75">
      <c r="A1047659" s="24"/>
      <c r="B1047659" s="24"/>
      <c r="C1047659" s="24"/>
      <c r="D1047659" s="24"/>
      <c r="E1047659" s="24"/>
      <c r="F1047659" s="24"/>
      <c r="G1047659" s="24"/>
      <c r="H1047659" s="24"/>
      <c r="I1047659" s="24"/>
      <c r="J1047659" s="24"/>
      <c r="K1047659" s="54"/>
    </row>
    <row r="1047660" spans="1:11" s="55" customFormat="1" ht="12.75">
      <c r="A1047660" s="24"/>
      <c r="B1047660" s="24"/>
      <c r="C1047660" s="24"/>
      <c r="D1047660" s="24"/>
      <c r="E1047660" s="24"/>
      <c r="F1047660" s="24"/>
      <c r="G1047660" s="24"/>
      <c r="H1047660" s="24"/>
      <c r="I1047660" s="24"/>
      <c r="J1047660" s="24"/>
      <c r="K1047660" s="54"/>
    </row>
    <row r="1047661" spans="1:11" s="55" customFormat="1" ht="12.75">
      <c r="A1047661" s="24"/>
      <c r="B1047661" s="24"/>
      <c r="C1047661" s="24"/>
      <c r="D1047661" s="24"/>
      <c r="E1047661" s="24"/>
      <c r="F1047661" s="24"/>
      <c r="G1047661" s="24"/>
      <c r="H1047661" s="24"/>
      <c r="I1047661" s="24"/>
      <c r="J1047661" s="24"/>
      <c r="K1047661" s="54"/>
    </row>
    <row r="1047662" spans="1:11" s="55" customFormat="1" ht="12.75">
      <c r="A1047662" s="24"/>
      <c r="B1047662" s="24"/>
      <c r="C1047662" s="24"/>
      <c r="D1047662" s="24"/>
      <c r="E1047662" s="24"/>
      <c r="F1047662" s="24"/>
      <c r="G1047662" s="24"/>
      <c r="H1047662" s="24"/>
      <c r="I1047662" s="24"/>
      <c r="J1047662" s="24"/>
      <c r="K1047662" s="54"/>
    </row>
    <row r="1047663" spans="1:11" s="55" customFormat="1" ht="12.75">
      <c r="A1047663" s="24"/>
      <c r="B1047663" s="24"/>
      <c r="C1047663" s="24"/>
      <c r="D1047663" s="24"/>
      <c r="E1047663" s="24"/>
      <c r="F1047663" s="24"/>
      <c r="G1047663" s="24"/>
      <c r="H1047663" s="24"/>
      <c r="I1047663" s="24"/>
      <c r="J1047663" s="24"/>
      <c r="K1047663" s="54"/>
    </row>
    <row r="1047664" spans="1:11" s="55" customFormat="1" ht="12.75">
      <c r="A1047664" s="24"/>
      <c r="B1047664" s="24"/>
      <c r="C1047664" s="24"/>
      <c r="D1047664" s="24"/>
      <c r="E1047664" s="24"/>
      <c r="F1047664" s="24"/>
      <c r="G1047664" s="24"/>
      <c r="H1047664" s="24"/>
      <c r="I1047664" s="24"/>
      <c r="J1047664" s="24"/>
      <c r="K1047664" s="54"/>
    </row>
    <row r="1047665" spans="1:11" s="55" customFormat="1" ht="12.75">
      <c r="A1047665" s="24"/>
      <c r="B1047665" s="24"/>
      <c r="C1047665" s="24"/>
      <c r="D1047665" s="24"/>
      <c r="E1047665" s="24"/>
      <c r="F1047665" s="24"/>
      <c r="G1047665" s="24"/>
      <c r="H1047665" s="24"/>
      <c r="I1047665" s="24"/>
      <c r="J1047665" s="24"/>
      <c r="K1047665" s="54"/>
    </row>
    <row r="1047666" spans="1:11" s="55" customFormat="1" ht="12.75">
      <c r="A1047666" s="24"/>
      <c r="B1047666" s="24"/>
      <c r="C1047666" s="24"/>
      <c r="D1047666" s="24"/>
      <c r="E1047666" s="24"/>
      <c r="F1047666" s="24"/>
      <c r="G1047666" s="24"/>
      <c r="H1047666" s="24"/>
      <c r="I1047666" s="24"/>
      <c r="J1047666" s="24"/>
      <c r="K1047666" s="54"/>
    </row>
    <row r="1047667" spans="1:11" s="55" customFormat="1" ht="12.75">
      <c r="A1047667" s="24"/>
      <c r="B1047667" s="24"/>
      <c r="C1047667" s="24"/>
      <c r="D1047667" s="24"/>
      <c r="E1047667" s="24"/>
      <c r="F1047667" s="24"/>
      <c r="G1047667" s="24"/>
      <c r="H1047667" s="24"/>
      <c r="I1047667" s="24"/>
      <c r="J1047667" s="24"/>
      <c r="K1047667" s="54"/>
    </row>
    <row r="1047668" spans="1:11" s="55" customFormat="1" ht="12.75">
      <c r="A1047668" s="24"/>
      <c r="B1047668" s="24"/>
      <c r="C1047668" s="24"/>
      <c r="D1047668" s="24"/>
      <c r="E1047668" s="24"/>
      <c r="F1047668" s="24"/>
      <c r="G1047668" s="24"/>
      <c r="H1047668" s="24"/>
      <c r="I1047668" s="24"/>
      <c r="J1047668" s="24"/>
      <c r="K1047668" s="54"/>
    </row>
    <row r="1047669" spans="1:11" s="55" customFormat="1" ht="12.75">
      <c r="A1047669" s="24"/>
      <c r="B1047669" s="24"/>
      <c r="C1047669" s="24"/>
      <c r="D1047669" s="24"/>
      <c r="E1047669" s="24"/>
      <c r="F1047669" s="24"/>
      <c r="G1047669" s="24"/>
      <c r="H1047669" s="24"/>
      <c r="I1047669" s="24"/>
      <c r="J1047669" s="24"/>
      <c r="K1047669" s="54"/>
    </row>
    <row r="1047670" spans="1:11" s="55" customFormat="1" ht="12.75">
      <c r="A1047670" s="24"/>
      <c r="B1047670" s="24"/>
      <c r="C1047670" s="24"/>
      <c r="D1047670" s="24"/>
      <c r="E1047670" s="24"/>
      <c r="F1047670" s="24"/>
      <c r="G1047670" s="24"/>
      <c r="H1047670" s="24"/>
      <c r="I1047670" s="24"/>
      <c r="J1047670" s="24"/>
      <c r="K1047670" s="54"/>
    </row>
    <row r="1047671" spans="1:11" s="55" customFormat="1" ht="12.75">
      <c r="A1047671" s="24"/>
      <c r="B1047671" s="24"/>
      <c r="C1047671" s="24"/>
      <c r="D1047671" s="24"/>
      <c r="E1047671" s="24"/>
      <c r="F1047671" s="24"/>
      <c r="G1047671" s="24"/>
      <c r="H1047671" s="24"/>
      <c r="I1047671" s="24"/>
      <c r="J1047671" s="24"/>
      <c r="K1047671" s="54"/>
    </row>
    <row r="1047672" spans="1:11" s="55" customFormat="1" ht="12.75">
      <c r="A1047672" s="24"/>
      <c r="B1047672" s="24"/>
      <c r="C1047672" s="24"/>
      <c r="D1047672" s="24"/>
      <c r="E1047672" s="24"/>
      <c r="F1047672" s="24"/>
      <c r="G1047672" s="24"/>
      <c r="H1047672" s="24"/>
      <c r="I1047672" s="24"/>
      <c r="J1047672" s="24"/>
      <c r="K1047672" s="54"/>
    </row>
    <row r="1047673" spans="1:11" s="55" customFormat="1" ht="12.75">
      <c r="A1047673" s="24"/>
      <c r="B1047673" s="24"/>
      <c r="C1047673" s="24"/>
      <c r="D1047673" s="24"/>
      <c r="E1047673" s="24"/>
      <c r="F1047673" s="24"/>
      <c r="G1047673" s="24"/>
      <c r="H1047673" s="24"/>
      <c r="I1047673" s="24"/>
      <c r="J1047673" s="24"/>
      <c r="K1047673" s="54"/>
    </row>
    <row r="1047674" spans="1:11" s="55" customFormat="1" ht="12.75">
      <c r="A1047674" s="24"/>
      <c r="B1047674" s="24"/>
      <c r="C1047674" s="24"/>
      <c r="D1047674" s="24"/>
      <c r="E1047674" s="24"/>
      <c r="F1047674" s="24"/>
      <c r="G1047674" s="24"/>
      <c r="H1047674" s="24"/>
      <c r="I1047674" s="24"/>
      <c r="J1047674" s="24"/>
      <c r="K1047674" s="54"/>
    </row>
    <row r="1047675" spans="1:11" s="55" customFormat="1" ht="12.75">
      <c r="A1047675" s="24"/>
      <c r="B1047675" s="24"/>
      <c r="C1047675" s="24"/>
      <c r="D1047675" s="24"/>
      <c r="E1047675" s="24"/>
      <c r="F1047675" s="24"/>
      <c r="G1047675" s="24"/>
      <c r="H1047675" s="24"/>
      <c r="I1047675" s="24"/>
      <c r="J1047675" s="24"/>
      <c r="K1047675" s="54"/>
    </row>
    <row r="1047676" spans="1:11" s="55" customFormat="1" ht="12.75">
      <c r="A1047676" s="24"/>
      <c r="B1047676" s="24"/>
      <c r="C1047676" s="24"/>
      <c r="D1047676" s="24"/>
      <c r="E1047676" s="24"/>
      <c r="F1047676" s="24"/>
      <c r="G1047676" s="24"/>
      <c r="H1047676" s="24"/>
      <c r="I1047676" s="24"/>
      <c r="J1047676" s="24"/>
      <c r="K1047676" s="54"/>
    </row>
    <row r="1047677" spans="1:11" s="55" customFormat="1" ht="12.75">
      <c r="A1047677" s="24"/>
      <c r="B1047677" s="24"/>
      <c r="C1047677" s="24"/>
      <c r="D1047677" s="24"/>
      <c r="E1047677" s="24"/>
      <c r="F1047677" s="24"/>
      <c r="G1047677" s="24"/>
      <c r="H1047677" s="24"/>
      <c r="I1047677" s="24"/>
      <c r="J1047677" s="24"/>
      <c r="K1047677" s="54"/>
    </row>
    <row r="1047678" spans="1:11" s="55" customFormat="1" ht="12.75">
      <c r="A1047678" s="24"/>
      <c r="B1047678" s="24"/>
      <c r="C1047678" s="24"/>
      <c r="D1047678" s="24"/>
      <c r="E1047678" s="24"/>
      <c r="F1047678" s="24"/>
      <c r="G1047678" s="24"/>
      <c r="H1047678" s="24"/>
      <c r="I1047678" s="24"/>
      <c r="J1047678" s="24"/>
      <c r="K1047678" s="54"/>
    </row>
    <row r="1047679" spans="1:11" s="55" customFormat="1" ht="12.75">
      <c r="A1047679" s="24"/>
      <c r="B1047679" s="24"/>
      <c r="C1047679" s="24"/>
      <c r="D1047679" s="24"/>
      <c r="E1047679" s="24"/>
      <c r="F1047679" s="24"/>
      <c r="G1047679" s="24"/>
      <c r="H1047679" s="24"/>
      <c r="I1047679" s="24"/>
      <c r="J1047679" s="24"/>
      <c r="K1047679" s="54"/>
    </row>
    <row r="1047680" spans="1:11" s="55" customFormat="1" ht="12.75">
      <c r="A1047680" s="24"/>
      <c r="B1047680" s="24"/>
      <c r="C1047680" s="24"/>
      <c r="D1047680" s="24"/>
      <c r="E1047680" s="24"/>
      <c r="F1047680" s="24"/>
      <c r="G1047680" s="24"/>
      <c r="H1047680" s="24"/>
      <c r="I1047680" s="24"/>
      <c r="J1047680" s="24"/>
      <c r="K1047680" s="54"/>
    </row>
    <row r="1047681" spans="1:11" s="55" customFormat="1" ht="12.75">
      <c r="A1047681" s="24"/>
      <c r="B1047681" s="24"/>
      <c r="C1047681" s="24"/>
      <c r="D1047681" s="24"/>
      <c r="E1047681" s="24"/>
      <c r="F1047681" s="24"/>
      <c r="G1047681" s="24"/>
      <c r="H1047681" s="24"/>
      <c r="I1047681" s="24"/>
      <c r="J1047681" s="24"/>
      <c r="K1047681" s="54"/>
    </row>
    <row r="1047682" spans="1:11" s="55" customFormat="1" ht="12.75">
      <c r="A1047682" s="24"/>
      <c r="B1047682" s="24"/>
      <c r="C1047682" s="24"/>
      <c r="D1047682" s="24"/>
      <c r="E1047682" s="24"/>
      <c r="F1047682" s="24"/>
      <c r="G1047682" s="24"/>
      <c r="H1047682" s="24"/>
      <c r="I1047682" s="24"/>
      <c r="J1047682" s="24"/>
      <c r="K1047682" s="54"/>
    </row>
    <row r="1047683" spans="1:11" s="55" customFormat="1" ht="12.75">
      <c r="A1047683" s="24"/>
      <c r="B1047683" s="24"/>
      <c r="C1047683" s="24"/>
      <c r="D1047683" s="24"/>
      <c r="E1047683" s="24"/>
      <c r="F1047683" s="24"/>
      <c r="G1047683" s="24"/>
      <c r="H1047683" s="24"/>
      <c r="I1047683" s="24"/>
      <c r="J1047683" s="24"/>
      <c r="K1047683" s="54"/>
    </row>
    <row r="1047684" spans="1:11" s="55" customFormat="1" ht="12.75">
      <c r="A1047684" s="24"/>
      <c r="B1047684" s="24"/>
      <c r="C1047684" s="24"/>
      <c r="D1047684" s="24"/>
      <c r="E1047684" s="24"/>
      <c r="F1047684" s="24"/>
      <c r="G1047684" s="24"/>
      <c r="H1047684" s="24"/>
      <c r="I1047684" s="24"/>
      <c r="J1047684" s="24"/>
      <c r="K1047684" s="54"/>
    </row>
    <row r="1047685" spans="1:11" s="55" customFormat="1" ht="12.75">
      <c r="A1047685" s="24"/>
      <c r="B1047685" s="24"/>
      <c r="C1047685" s="24"/>
      <c r="D1047685" s="24"/>
      <c r="E1047685" s="24"/>
      <c r="F1047685" s="24"/>
      <c r="G1047685" s="24"/>
      <c r="H1047685" s="24"/>
      <c r="I1047685" s="24"/>
      <c r="J1047685" s="24"/>
      <c r="K1047685" s="54"/>
    </row>
    <row r="1047686" spans="1:11" s="55" customFormat="1" ht="12.75">
      <c r="A1047686" s="24"/>
      <c r="B1047686" s="24"/>
      <c r="C1047686" s="24"/>
      <c r="D1047686" s="24"/>
      <c r="E1047686" s="24"/>
      <c r="F1047686" s="24"/>
      <c r="G1047686" s="24"/>
      <c r="H1047686" s="24"/>
      <c r="I1047686" s="24"/>
      <c r="J1047686" s="24"/>
      <c r="K1047686" s="54"/>
    </row>
    <row r="1047687" spans="1:11" s="55" customFormat="1" ht="12.75">
      <c r="A1047687" s="24"/>
      <c r="B1047687" s="24"/>
      <c r="C1047687" s="24"/>
      <c r="D1047687" s="24"/>
      <c r="E1047687" s="24"/>
      <c r="F1047687" s="24"/>
      <c r="G1047687" s="24"/>
      <c r="H1047687" s="24"/>
      <c r="I1047687" s="24"/>
      <c r="J1047687" s="24"/>
      <c r="K1047687" s="54"/>
    </row>
    <row r="1047688" spans="1:11" s="55" customFormat="1" ht="12.75">
      <c r="A1047688" s="24"/>
      <c r="B1047688" s="24"/>
      <c r="C1047688" s="24"/>
      <c r="D1047688" s="24"/>
      <c r="E1047688" s="24"/>
      <c r="F1047688" s="24"/>
      <c r="G1047688" s="24"/>
      <c r="H1047688" s="24"/>
      <c r="I1047688" s="24"/>
      <c r="J1047688" s="24"/>
      <c r="K1047688" s="54"/>
    </row>
    <row r="1047689" spans="1:11" s="55" customFormat="1" ht="12.75">
      <c r="A1047689" s="24"/>
      <c r="B1047689" s="24"/>
      <c r="C1047689" s="24"/>
      <c r="D1047689" s="24"/>
      <c r="E1047689" s="24"/>
      <c r="F1047689" s="24"/>
      <c r="G1047689" s="24"/>
      <c r="H1047689" s="24"/>
      <c r="I1047689" s="24"/>
      <c r="J1047689" s="24"/>
      <c r="K1047689" s="54"/>
    </row>
    <row r="1047690" spans="1:11" s="55" customFormat="1" ht="12.75">
      <c r="A1047690" s="24"/>
      <c r="B1047690" s="24"/>
      <c r="C1047690" s="24"/>
      <c r="D1047690" s="24"/>
      <c r="E1047690" s="24"/>
      <c r="F1047690" s="24"/>
      <c r="G1047690" s="24"/>
      <c r="H1047690" s="24"/>
      <c r="I1047690" s="24"/>
      <c r="J1047690" s="24"/>
      <c r="K1047690" s="54"/>
    </row>
    <row r="1047691" spans="1:11" s="55" customFormat="1" ht="12.75">
      <c r="A1047691" s="24"/>
      <c r="B1047691" s="24"/>
      <c r="C1047691" s="24"/>
      <c r="D1047691" s="24"/>
      <c r="E1047691" s="24"/>
      <c r="F1047691" s="24"/>
      <c r="G1047691" s="24"/>
      <c r="H1047691" s="24"/>
      <c r="I1047691" s="24"/>
      <c r="J1047691" s="24"/>
      <c r="K1047691" s="54"/>
    </row>
    <row r="1047692" spans="1:11" s="55" customFormat="1" ht="12.75">
      <c r="A1047692" s="24"/>
      <c r="B1047692" s="24"/>
      <c r="C1047692" s="24"/>
      <c r="D1047692" s="24"/>
      <c r="E1047692" s="24"/>
      <c r="F1047692" s="24"/>
      <c r="G1047692" s="24"/>
      <c r="H1047692" s="24"/>
      <c r="I1047692" s="24"/>
      <c r="J1047692" s="24"/>
      <c r="K1047692" s="54"/>
    </row>
    <row r="1047693" spans="1:11" s="55" customFormat="1" ht="12.75">
      <c r="A1047693" s="24"/>
      <c r="B1047693" s="24"/>
      <c r="C1047693" s="24"/>
      <c r="D1047693" s="24"/>
      <c r="E1047693" s="24"/>
      <c r="F1047693" s="24"/>
      <c r="G1047693" s="24"/>
      <c r="H1047693" s="24"/>
      <c r="I1047693" s="24"/>
      <c r="J1047693" s="24"/>
      <c r="K1047693" s="54"/>
    </row>
    <row r="1047694" spans="1:11" s="55" customFormat="1" ht="12.75">
      <c r="A1047694" s="24"/>
      <c r="B1047694" s="24"/>
      <c r="C1047694" s="24"/>
      <c r="D1047694" s="24"/>
      <c r="E1047694" s="24"/>
      <c r="F1047694" s="24"/>
      <c r="G1047694" s="24"/>
      <c r="H1047694" s="24"/>
      <c r="I1047694" s="24"/>
      <c r="J1047694" s="24"/>
      <c r="K1047694" s="54"/>
    </row>
    <row r="1047695" spans="1:11" s="55" customFormat="1" ht="12.75">
      <c r="A1047695" s="24"/>
      <c r="B1047695" s="24"/>
      <c r="C1047695" s="24"/>
      <c r="D1047695" s="24"/>
      <c r="E1047695" s="24"/>
      <c r="F1047695" s="24"/>
      <c r="G1047695" s="24"/>
      <c r="H1047695" s="24"/>
      <c r="I1047695" s="24"/>
      <c r="J1047695" s="24"/>
      <c r="K1047695" s="54"/>
    </row>
    <row r="1047696" spans="1:11" s="55" customFormat="1" ht="12.75">
      <c r="A1047696" s="24"/>
      <c r="B1047696" s="24"/>
      <c r="C1047696" s="24"/>
      <c r="D1047696" s="24"/>
      <c r="E1047696" s="24"/>
      <c r="F1047696" s="24"/>
      <c r="G1047696" s="24"/>
      <c r="H1047696" s="24"/>
      <c r="I1047696" s="24"/>
      <c r="J1047696" s="24"/>
      <c r="K1047696" s="54"/>
    </row>
    <row r="1047697" spans="1:11" s="55" customFormat="1" ht="12.75">
      <c r="A1047697" s="24"/>
      <c r="B1047697" s="24"/>
      <c r="C1047697" s="24"/>
      <c r="D1047697" s="24"/>
      <c r="E1047697" s="24"/>
      <c r="F1047697" s="24"/>
      <c r="G1047697" s="24"/>
      <c r="H1047697" s="24"/>
      <c r="I1047697" s="24"/>
      <c r="J1047697" s="24"/>
      <c r="K1047697" s="54"/>
    </row>
    <row r="1047698" spans="1:11" s="55" customFormat="1" ht="12.75">
      <c r="A1047698" s="24"/>
      <c r="B1047698" s="24"/>
      <c r="C1047698" s="24"/>
      <c r="D1047698" s="24"/>
      <c r="E1047698" s="24"/>
      <c r="F1047698" s="24"/>
      <c r="G1047698" s="24"/>
      <c r="H1047698" s="24"/>
      <c r="I1047698" s="24"/>
      <c r="J1047698" s="24"/>
      <c r="K1047698" s="54"/>
    </row>
    <row r="1047699" spans="1:11" s="55" customFormat="1" ht="12.75">
      <c r="A1047699" s="24"/>
      <c r="B1047699" s="24"/>
      <c r="C1047699" s="24"/>
      <c r="D1047699" s="24"/>
      <c r="E1047699" s="24"/>
      <c r="F1047699" s="24"/>
      <c r="G1047699" s="24"/>
      <c r="H1047699" s="24"/>
      <c r="I1047699" s="24"/>
      <c r="J1047699" s="24"/>
      <c r="K1047699" s="54"/>
    </row>
    <row r="1047700" spans="1:11" s="55" customFormat="1" ht="12.75">
      <c r="A1047700" s="24"/>
      <c r="B1047700" s="24"/>
      <c r="C1047700" s="24"/>
      <c r="D1047700" s="24"/>
      <c r="E1047700" s="24"/>
      <c r="F1047700" s="24"/>
      <c r="G1047700" s="24"/>
      <c r="H1047700" s="24"/>
      <c r="I1047700" s="24"/>
      <c r="J1047700" s="24"/>
      <c r="K1047700" s="54"/>
    </row>
    <row r="1047701" spans="1:11" s="55" customFormat="1" ht="12.75">
      <c r="A1047701" s="24"/>
      <c r="B1047701" s="24"/>
      <c r="C1047701" s="24"/>
      <c r="D1047701" s="24"/>
      <c r="E1047701" s="24"/>
      <c r="F1047701" s="24"/>
      <c r="G1047701" s="24"/>
      <c r="H1047701" s="24"/>
      <c r="I1047701" s="24"/>
      <c r="J1047701" s="24"/>
      <c r="K1047701" s="54"/>
    </row>
    <row r="1047702" spans="1:11" s="55" customFormat="1" ht="12.75">
      <c r="A1047702" s="24"/>
      <c r="B1047702" s="24"/>
      <c r="C1047702" s="24"/>
      <c r="D1047702" s="24"/>
      <c r="E1047702" s="24"/>
      <c r="F1047702" s="24"/>
      <c r="G1047702" s="24"/>
      <c r="H1047702" s="24"/>
      <c r="I1047702" s="24"/>
      <c r="J1047702" s="24"/>
      <c r="K1047702" s="54"/>
    </row>
    <row r="1047703" spans="1:11" s="55" customFormat="1" ht="12.75">
      <c r="A1047703" s="24"/>
      <c r="B1047703" s="24"/>
      <c r="C1047703" s="24"/>
      <c r="D1047703" s="24"/>
      <c r="E1047703" s="24"/>
      <c r="F1047703" s="24"/>
      <c r="G1047703" s="24"/>
      <c r="H1047703" s="24"/>
      <c r="I1047703" s="24"/>
      <c r="J1047703" s="24"/>
      <c r="K1047703" s="54"/>
    </row>
    <row r="1047704" spans="1:11" s="55" customFormat="1" ht="12.75">
      <c r="A1047704" s="24"/>
      <c r="B1047704" s="24"/>
      <c r="C1047704" s="24"/>
      <c r="D1047704" s="24"/>
      <c r="E1047704" s="24"/>
      <c r="F1047704" s="24"/>
      <c r="G1047704" s="24"/>
      <c r="H1047704" s="24"/>
      <c r="I1047704" s="24"/>
      <c r="J1047704" s="24"/>
      <c r="K1047704" s="54"/>
    </row>
    <row r="1047705" spans="1:11" s="55" customFormat="1" ht="12.75">
      <c r="A1047705" s="24"/>
      <c r="B1047705" s="24"/>
      <c r="C1047705" s="24"/>
      <c r="D1047705" s="24"/>
      <c r="E1047705" s="24"/>
      <c r="F1047705" s="24"/>
      <c r="G1047705" s="24"/>
      <c r="H1047705" s="24"/>
      <c r="I1047705" s="24"/>
      <c r="J1047705" s="24"/>
      <c r="K1047705" s="54"/>
    </row>
    <row r="1047706" spans="1:11" s="55" customFormat="1" ht="12.75">
      <c r="A1047706" s="24"/>
      <c r="B1047706" s="24"/>
      <c r="C1047706" s="24"/>
      <c r="D1047706" s="24"/>
      <c r="E1047706" s="24"/>
      <c r="F1047706" s="24"/>
      <c r="G1047706" s="24"/>
      <c r="H1047706" s="24"/>
      <c r="I1047706" s="24"/>
      <c r="J1047706" s="24"/>
      <c r="K1047706" s="54"/>
    </row>
    <row r="1047707" spans="1:11" s="55" customFormat="1" ht="12.75">
      <c r="A1047707" s="24"/>
      <c r="B1047707" s="24"/>
      <c r="C1047707" s="24"/>
      <c r="D1047707" s="24"/>
      <c r="E1047707" s="24"/>
      <c r="F1047707" s="24"/>
      <c r="G1047707" s="24"/>
      <c r="H1047707" s="24"/>
      <c r="I1047707" s="24"/>
      <c r="J1047707" s="24"/>
      <c r="K1047707" s="54"/>
    </row>
    <row r="1047708" spans="1:11" s="55" customFormat="1" ht="12.75">
      <c r="A1047708" s="24"/>
      <c r="B1047708" s="24"/>
      <c r="C1047708" s="24"/>
      <c r="D1047708" s="24"/>
      <c r="E1047708" s="24"/>
      <c r="F1047708" s="24"/>
      <c r="G1047708" s="24"/>
      <c r="H1047708" s="24"/>
      <c r="I1047708" s="24"/>
      <c r="J1047708" s="24"/>
      <c r="K1047708" s="54"/>
    </row>
    <row r="1047709" spans="1:11" s="55" customFormat="1" ht="12.75">
      <c r="A1047709" s="24"/>
      <c r="B1047709" s="24"/>
      <c r="C1047709" s="24"/>
      <c r="D1047709" s="24"/>
      <c r="E1047709" s="24"/>
      <c r="F1047709" s="24"/>
      <c r="G1047709" s="24"/>
      <c r="H1047709" s="24"/>
      <c r="I1047709" s="24"/>
      <c r="J1047709" s="24"/>
      <c r="K1047709" s="54"/>
    </row>
    <row r="1047710" spans="1:11" s="55" customFormat="1" ht="12.75">
      <c r="A1047710" s="24"/>
      <c r="B1047710" s="24"/>
      <c r="C1047710" s="24"/>
      <c r="D1047710" s="24"/>
      <c r="E1047710" s="24"/>
      <c r="F1047710" s="24"/>
      <c r="G1047710" s="24"/>
      <c r="H1047710" s="24"/>
      <c r="I1047710" s="24"/>
      <c r="J1047710" s="24"/>
      <c r="K1047710" s="54"/>
    </row>
    <row r="1047711" spans="1:11" s="55" customFormat="1" ht="12.75">
      <c r="A1047711" s="24"/>
      <c r="B1047711" s="24"/>
      <c r="C1047711" s="24"/>
      <c r="D1047711" s="24"/>
      <c r="E1047711" s="24"/>
      <c r="F1047711" s="24"/>
      <c r="G1047711" s="24"/>
      <c r="H1047711" s="24"/>
      <c r="I1047711" s="24"/>
      <c r="J1047711" s="24"/>
      <c r="K1047711" s="54"/>
    </row>
    <row r="1047712" spans="1:11" s="55" customFormat="1" ht="12.75">
      <c r="A1047712" s="24"/>
      <c r="B1047712" s="24"/>
      <c r="C1047712" s="24"/>
      <c r="D1047712" s="24"/>
      <c r="E1047712" s="24"/>
      <c r="F1047712" s="24"/>
      <c r="G1047712" s="24"/>
      <c r="H1047712" s="24"/>
      <c r="I1047712" s="24"/>
      <c r="J1047712" s="24"/>
      <c r="K1047712" s="54"/>
    </row>
    <row r="1047713" spans="1:11" s="55" customFormat="1" ht="12.75">
      <c r="A1047713" s="24"/>
      <c r="B1047713" s="24"/>
      <c r="C1047713" s="24"/>
      <c r="D1047713" s="24"/>
      <c r="E1047713" s="24"/>
      <c r="F1047713" s="24"/>
      <c r="G1047713" s="24"/>
      <c r="H1047713" s="24"/>
      <c r="I1047713" s="24"/>
      <c r="J1047713" s="24"/>
      <c r="K1047713" s="54"/>
    </row>
    <row r="1047714" spans="1:11" s="55" customFormat="1" ht="12.75">
      <c r="A1047714" s="24"/>
      <c r="B1047714" s="24"/>
      <c r="C1047714" s="24"/>
      <c r="D1047714" s="24"/>
      <c r="E1047714" s="24"/>
      <c r="F1047714" s="24"/>
      <c r="G1047714" s="24"/>
      <c r="H1047714" s="24"/>
      <c r="I1047714" s="24"/>
      <c r="J1047714" s="24"/>
      <c r="K1047714" s="54"/>
    </row>
    <row r="1047715" spans="1:11" s="55" customFormat="1" ht="12.75">
      <c r="A1047715" s="24"/>
      <c r="B1047715" s="24"/>
      <c r="C1047715" s="24"/>
      <c r="D1047715" s="24"/>
      <c r="E1047715" s="24"/>
      <c r="F1047715" s="24"/>
      <c r="G1047715" s="24"/>
      <c r="H1047715" s="24"/>
      <c r="I1047715" s="24"/>
      <c r="J1047715" s="24"/>
      <c r="K1047715" s="54"/>
    </row>
    <row r="1047716" spans="1:11" s="55" customFormat="1" ht="12.75">
      <c r="A1047716" s="24"/>
      <c r="B1047716" s="24"/>
      <c r="C1047716" s="24"/>
      <c r="D1047716" s="24"/>
      <c r="E1047716" s="24"/>
      <c r="F1047716" s="24"/>
      <c r="G1047716" s="24"/>
      <c r="H1047716" s="24"/>
      <c r="I1047716" s="24"/>
      <c r="J1047716" s="24"/>
      <c r="K1047716" s="54"/>
    </row>
    <row r="1047717" spans="1:11" s="55" customFormat="1" ht="12.75">
      <c r="A1047717" s="24"/>
      <c r="B1047717" s="24"/>
      <c r="C1047717" s="24"/>
      <c r="D1047717" s="24"/>
      <c r="E1047717" s="24"/>
      <c r="F1047717" s="24"/>
      <c r="G1047717" s="24"/>
      <c r="H1047717" s="24"/>
      <c r="I1047717" s="24"/>
      <c r="J1047717" s="24"/>
      <c r="K1047717" s="54"/>
    </row>
    <row r="1047718" spans="1:11" s="55" customFormat="1" ht="12.75">
      <c r="A1047718" s="24"/>
      <c r="B1047718" s="24"/>
      <c r="C1047718" s="24"/>
      <c r="D1047718" s="24"/>
      <c r="E1047718" s="24"/>
      <c r="F1047718" s="24"/>
      <c r="G1047718" s="24"/>
      <c r="H1047718" s="24"/>
      <c r="I1047718" s="24"/>
      <c r="J1047718" s="24"/>
      <c r="K1047718" s="54"/>
    </row>
    <row r="1047719" spans="1:11" s="55" customFormat="1" ht="12.75">
      <c r="A1047719" s="24"/>
      <c r="B1047719" s="24"/>
      <c r="C1047719" s="24"/>
      <c r="D1047719" s="24"/>
      <c r="E1047719" s="24"/>
      <c r="F1047719" s="24"/>
      <c r="G1047719" s="24"/>
      <c r="H1047719" s="24"/>
      <c r="I1047719" s="24"/>
      <c r="J1047719" s="24"/>
      <c r="K1047719" s="54"/>
    </row>
    <row r="1047720" spans="1:11" s="55" customFormat="1" ht="12.75">
      <c r="A1047720" s="24"/>
      <c r="B1047720" s="24"/>
      <c r="C1047720" s="24"/>
      <c r="D1047720" s="24"/>
      <c r="E1047720" s="24"/>
      <c r="F1047720" s="24"/>
      <c r="G1047720" s="24"/>
      <c r="H1047720" s="24"/>
      <c r="I1047720" s="24"/>
      <c r="J1047720" s="24"/>
      <c r="K1047720" s="54"/>
    </row>
    <row r="1047721" spans="1:11" s="55" customFormat="1" ht="12.75">
      <c r="A1047721" s="24"/>
      <c r="B1047721" s="24"/>
      <c r="C1047721" s="24"/>
      <c r="D1047721" s="24"/>
      <c r="E1047721" s="24"/>
      <c r="F1047721" s="24"/>
      <c r="G1047721" s="24"/>
      <c r="H1047721" s="24"/>
      <c r="I1047721" s="24"/>
      <c r="J1047721" s="24"/>
      <c r="K1047721" s="54"/>
    </row>
    <row r="1047722" spans="1:11" s="55" customFormat="1" ht="12.75">
      <c r="A1047722" s="24"/>
      <c r="B1047722" s="24"/>
      <c r="C1047722" s="24"/>
      <c r="D1047722" s="24"/>
      <c r="E1047722" s="24"/>
      <c r="F1047722" s="24"/>
      <c r="G1047722" s="24"/>
      <c r="H1047722" s="24"/>
      <c r="I1047722" s="24"/>
      <c r="J1047722" s="24"/>
      <c r="K1047722" s="54"/>
    </row>
    <row r="1047723" spans="1:11" s="55" customFormat="1" ht="12.75">
      <c r="A1047723" s="24"/>
      <c r="B1047723" s="24"/>
      <c r="C1047723" s="24"/>
      <c r="D1047723" s="24"/>
      <c r="E1047723" s="24"/>
      <c r="F1047723" s="24"/>
      <c r="G1047723" s="24"/>
      <c r="H1047723" s="24"/>
      <c r="I1047723" s="24"/>
      <c r="J1047723" s="24"/>
      <c r="K1047723" s="54"/>
    </row>
    <row r="1047724" spans="1:11" s="55" customFormat="1" ht="12.75">
      <c r="A1047724" s="24"/>
      <c r="B1047724" s="24"/>
      <c r="C1047724" s="24"/>
      <c r="D1047724" s="24"/>
      <c r="E1047724" s="24"/>
      <c r="F1047724" s="24"/>
      <c r="G1047724" s="24"/>
      <c r="H1047724" s="24"/>
      <c r="I1047724" s="24"/>
      <c r="J1047724" s="24"/>
      <c r="K1047724" s="54"/>
    </row>
    <row r="1047725" spans="1:11" s="55" customFormat="1" ht="12.75">
      <c r="A1047725" s="24"/>
      <c r="B1047725" s="24"/>
      <c r="C1047725" s="24"/>
      <c r="D1047725" s="24"/>
      <c r="E1047725" s="24"/>
      <c r="F1047725" s="24"/>
      <c r="G1047725" s="24"/>
      <c r="H1047725" s="24"/>
      <c r="I1047725" s="24"/>
      <c r="J1047725" s="24"/>
      <c r="K1047725" s="54"/>
    </row>
    <row r="1047726" spans="1:11" s="55" customFormat="1" ht="12.75">
      <c r="A1047726" s="24"/>
      <c r="B1047726" s="24"/>
      <c r="C1047726" s="24"/>
      <c r="D1047726" s="24"/>
      <c r="E1047726" s="24"/>
      <c r="F1047726" s="24"/>
      <c r="G1047726" s="24"/>
      <c r="H1047726" s="24"/>
      <c r="I1047726" s="24"/>
      <c r="J1047726" s="24"/>
      <c r="K1047726" s="54"/>
    </row>
    <row r="1047727" spans="1:11" s="55" customFormat="1" ht="12.75">
      <c r="A1047727" s="24"/>
      <c r="B1047727" s="24"/>
      <c r="C1047727" s="24"/>
      <c r="D1047727" s="24"/>
      <c r="E1047727" s="24"/>
      <c r="F1047727" s="24"/>
      <c r="G1047727" s="24"/>
      <c r="H1047727" s="24"/>
      <c r="I1047727" s="24"/>
      <c r="J1047727" s="24"/>
      <c r="K1047727" s="54"/>
    </row>
    <row r="1047728" spans="1:11" s="55" customFormat="1" ht="12.75">
      <c r="A1047728" s="24"/>
      <c r="B1047728" s="24"/>
      <c r="C1047728" s="24"/>
      <c r="D1047728" s="24"/>
      <c r="E1047728" s="24"/>
      <c r="F1047728" s="24"/>
      <c r="G1047728" s="24"/>
      <c r="H1047728" s="24"/>
      <c r="I1047728" s="24"/>
      <c r="J1047728" s="24"/>
      <c r="K1047728" s="54"/>
    </row>
    <row r="1047729" spans="1:11" s="55" customFormat="1" ht="12.75">
      <c r="A1047729" s="24"/>
      <c r="B1047729" s="24"/>
      <c r="C1047729" s="24"/>
      <c r="D1047729" s="24"/>
      <c r="E1047729" s="24"/>
      <c r="F1047729" s="24"/>
      <c r="G1047729" s="24"/>
      <c r="H1047729" s="24"/>
      <c r="I1047729" s="24"/>
      <c r="J1047729" s="24"/>
      <c r="K1047729" s="54"/>
    </row>
    <row r="1047730" spans="1:11" s="55" customFormat="1" ht="12.75">
      <c r="A1047730" s="24"/>
      <c r="B1047730" s="24"/>
      <c r="C1047730" s="24"/>
      <c r="D1047730" s="24"/>
      <c r="E1047730" s="24"/>
      <c r="F1047730" s="24"/>
      <c r="G1047730" s="24"/>
      <c r="H1047730" s="24"/>
      <c r="I1047730" s="24"/>
      <c r="J1047730" s="24"/>
      <c r="K1047730" s="54"/>
    </row>
    <row r="1047731" spans="1:11" s="55" customFormat="1" ht="12.75">
      <c r="A1047731" s="24"/>
      <c r="B1047731" s="24"/>
      <c r="C1047731" s="24"/>
      <c r="D1047731" s="24"/>
      <c r="E1047731" s="24"/>
      <c r="F1047731" s="24"/>
      <c r="G1047731" s="24"/>
      <c r="H1047731" s="24"/>
      <c r="I1047731" s="24"/>
      <c r="J1047731" s="24"/>
      <c r="K1047731" s="54"/>
    </row>
    <row r="1047732" spans="1:11" s="55" customFormat="1" ht="12.75">
      <c r="A1047732" s="24"/>
      <c r="B1047732" s="24"/>
      <c r="C1047732" s="24"/>
      <c r="D1047732" s="24"/>
      <c r="E1047732" s="24"/>
      <c r="F1047732" s="24"/>
      <c r="G1047732" s="24"/>
      <c r="H1047732" s="24"/>
      <c r="I1047732" s="24"/>
      <c r="J1047732" s="24"/>
      <c r="K1047732" s="54"/>
    </row>
    <row r="1047733" spans="1:11" s="55" customFormat="1" ht="12.75">
      <c r="A1047733" s="24"/>
      <c r="B1047733" s="24"/>
      <c r="C1047733" s="24"/>
      <c r="D1047733" s="24"/>
      <c r="E1047733" s="24"/>
      <c r="F1047733" s="24"/>
      <c r="G1047733" s="24"/>
      <c r="H1047733" s="24"/>
      <c r="I1047733" s="24"/>
      <c r="J1047733" s="24"/>
      <c r="K1047733" s="54"/>
    </row>
    <row r="1047734" spans="1:11" s="55" customFormat="1" ht="12.75">
      <c r="A1047734" s="24"/>
      <c r="B1047734" s="24"/>
      <c r="C1047734" s="24"/>
      <c r="D1047734" s="24"/>
      <c r="E1047734" s="24"/>
      <c r="F1047734" s="24"/>
      <c r="G1047734" s="24"/>
      <c r="H1047734" s="24"/>
      <c r="I1047734" s="24"/>
      <c r="J1047734" s="24"/>
      <c r="K1047734" s="54"/>
    </row>
    <row r="1047735" spans="1:11" s="55" customFormat="1" ht="12.75">
      <c r="A1047735" s="24"/>
      <c r="B1047735" s="24"/>
      <c r="C1047735" s="24"/>
      <c r="D1047735" s="24"/>
      <c r="E1047735" s="24"/>
      <c r="F1047735" s="24"/>
      <c r="G1047735" s="24"/>
      <c r="H1047735" s="24"/>
      <c r="I1047735" s="24"/>
      <c r="J1047735" s="24"/>
      <c r="K1047735" s="54"/>
    </row>
    <row r="1047736" spans="1:11" s="55" customFormat="1" ht="12.75">
      <c r="A1047736" s="24"/>
      <c r="B1047736" s="24"/>
      <c r="C1047736" s="24"/>
      <c r="D1047736" s="24"/>
      <c r="E1047736" s="24"/>
      <c r="F1047736" s="24"/>
      <c r="G1047736" s="24"/>
      <c r="H1047736" s="24"/>
      <c r="I1047736" s="24"/>
      <c r="J1047736" s="24"/>
      <c r="K1047736" s="54"/>
    </row>
    <row r="1047737" spans="1:11" s="55" customFormat="1" ht="12.75">
      <c r="A1047737" s="24"/>
      <c r="B1047737" s="24"/>
      <c r="C1047737" s="24"/>
      <c r="D1047737" s="24"/>
      <c r="E1047737" s="24"/>
      <c r="F1047737" s="24"/>
      <c r="G1047737" s="24"/>
      <c r="H1047737" s="24"/>
      <c r="I1047737" s="24"/>
      <c r="J1047737" s="24"/>
      <c r="K1047737" s="54"/>
    </row>
    <row r="1047738" spans="1:11" s="55" customFormat="1" ht="12.75">
      <c r="A1047738" s="24"/>
      <c r="B1047738" s="24"/>
      <c r="C1047738" s="24"/>
      <c r="D1047738" s="24"/>
      <c r="E1047738" s="24"/>
      <c r="F1047738" s="24"/>
      <c r="G1047738" s="24"/>
      <c r="H1047738" s="24"/>
      <c r="I1047738" s="24"/>
      <c r="J1047738" s="24"/>
      <c r="K1047738" s="54"/>
    </row>
    <row r="1047739" spans="1:11" s="55" customFormat="1" ht="12.75">
      <c r="A1047739" s="24"/>
      <c r="B1047739" s="24"/>
      <c r="C1047739" s="24"/>
      <c r="D1047739" s="24"/>
      <c r="E1047739" s="24"/>
      <c r="F1047739" s="24"/>
      <c r="G1047739" s="24"/>
      <c r="H1047739" s="24"/>
      <c r="I1047739" s="24"/>
      <c r="J1047739" s="24"/>
      <c r="K1047739" s="54"/>
    </row>
    <row r="1047740" spans="1:11" s="55" customFormat="1" ht="12.75">
      <c r="A1047740" s="24"/>
      <c r="B1047740" s="24"/>
      <c r="C1047740" s="24"/>
      <c r="D1047740" s="24"/>
      <c r="E1047740" s="24"/>
      <c r="F1047740" s="24"/>
      <c r="G1047740" s="24"/>
      <c r="H1047740" s="24"/>
      <c r="I1047740" s="24"/>
      <c r="J1047740" s="24"/>
      <c r="K1047740" s="54"/>
    </row>
    <row r="1047741" spans="1:11" s="55" customFormat="1" ht="12.75">
      <c r="A1047741" s="24"/>
      <c r="B1047741" s="24"/>
      <c r="C1047741" s="24"/>
      <c r="D1047741" s="24"/>
      <c r="E1047741" s="24"/>
      <c r="F1047741" s="24"/>
      <c r="G1047741" s="24"/>
      <c r="H1047741" s="24"/>
      <c r="I1047741" s="24"/>
      <c r="J1047741" s="24"/>
      <c r="K1047741" s="54"/>
    </row>
    <row r="1047742" spans="1:11" s="55" customFormat="1" ht="12.75">
      <c r="A1047742" s="24"/>
      <c r="B1047742" s="24"/>
      <c r="C1047742" s="24"/>
      <c r="D1047742" s="24"/>
      <c r="E1047742" s="24"/>
      <c r="F1047742" s="24"/>
      <c r="G1047742" s="24"/>
      <c r="H1047742" s="24"/>
      <c r="I1047742" s="24"/>
      <c r="J1047742" s="24"/>
      <c r="K1047742" s="54"/>
    </row>
    <row r="1047743" spans="1:11" s="55" customFormat="1" ht="12.75">
      <c r="A1047743" s="24"/>
      <c r="B1047743" s="24"/>
      <c r="C1047743" s="24"/>
      <c r="D1047743" s="24"/>
      <c r="E1047743" s="24"/>
      <c r="F1047743" s="24"/>
      <c r="G1047743" s="24"/>
      <c r="H1047743" s="24"/>
      <c r="I1047743" s="24"/>
      <c r="J1047743" s="24"/>
      <c r="K1047743" s="54"/>
    </row>
    <row r="1047744" spans="1:11" s="55" customFormat="1" ht="12.75">
      <c r="A1047744" s="24"/>
      <c r="B1047744" s="24"/>
      <c r="C1047744" s="24"/>
      <c r="D1047744" s="24"/>
      <c r="E1047744" s="24"/>
      <c r="F1047744" s="24"/>
      <c r="G1047744" s="24"/>
      <c r="H1047744" s="24"/>
      <c r="I1047744" s="24"/>
      <c r="J1047744" s="24"/>
      <c r="K1047744" s="54"/>
    </row>
    <row r="1047745" spans="1:11" s="55" customFormat="1" ht="12.75">
      <c r="A1047745" s="24"/>
      <c r="B1047745" s="24"/>
      <c r="C1047745" s="24"/>
      <c r="D1047745" s="24"/>
      <c r="E1047745" s="24"/>
      <c r="F1047745" s="24"/>
      <c r="G1047745" s="24"/>
      <c r="H1047745" s="24"/>
      <c r="I1047745" s="24"/>
      <c r="J1047745" s="24"/>
      <c r="K1047745" s="54"/>
    </row>
    <row r="1047746" spans="1:11" s="55" customFormat="1" ht="12.75">
      <c r="A1047746" s="24"/>
      <c r="B1047746" s="24"/>
      <c r="C1047746" s="24"/>
      <c r="D1047746" s="24"/>
      <c r="E1047746" s="24"/>
      <c r="F1047746" s="24"/>
      <c r="G1047746" s="24"/>
      <c r="H1047746" s="24"/>
      <c r="I1047746" s="24"/>
      <c r="J1047746" s="24"/>
      <c r="K1047746" s="54"/>
    </row>
    <row r="1047747" spans="1:11" s="55" customFormat="1" ht="12.75">
      <c r="A1047747" s="24"/>
      <c r="B1047747" s="24"/>
      <c r="C1047747" s="24"/>
      <c r="D1047747" s="24"/>
      <c r="E1047747" s="24"/>
      <c r="F1047747" s="24"/>
      <c r="G1047747" s="24"/>
      <c r="H1047747" s="24"/>
      <c r="I1047747" s="24"/>
      <c r="J1047747" s="24"/>
      <c r="K1047747" s="54"/>
    </row>
    <row r="1047748" spans="1:11" s="55" customFormat="1" ht="12.75">
      <c r="A1047748" s="24"/>
      <c r="B1047748" s="24"/>
      <c r="C1047748" s="24"/>
      <c r="D1047748" s="24"/>
      <c r="E1047748" s="24"/>
      <c r="F1047748" s="24"/>
      <c r="G1047748" s="24"/>
      <c r="H1047748" s="24"/>
      <c r="I1047748" s="24"/>
      <c r="J1047748" s="24"/>
      <c r="K1047748" s="54"/>
    </row>
    <row r="1047749" spans="1:11" s="55" customFormat="1" ht="12.75">
      <c r="A1047749" s="24"/>
      <c r="B1047749" s="24"/>
      <c r="C1047749" s="24"/>
      <c r="D1047749" s="24"/>
      <c r="E1047749" s="24"/>
      <c r="F1047749" s="24"/>
      <c r="G1047749" s="24"/>
      <c r="H1047749" s="24"/>
      <c r="I1047749" s="24"/>
      <c r="J1047749" s="24"/>
      <c r="K1047749" s="54"/>
    </row>
    <row r="1047750" spans="1:11" s="55" customFormat="1" ht="12.75">
      <c r="A1047750" s="24"/>
      <c r="B1047750" s="24"/>
      <c r="C1047750" s="24"/>
      <c r="D1047750" s="24"/>
      <c r="E1047750" s="24"/>
      <c r="F1047750" s="24"/>
      <c r="G1047750" s="24"/>
      <c r="H1047750" s="24"/>
      <c r="I1047750" s="24"/>
      <c r="J1047750" s="24"/>
      <c r="K1047750" s="54"/>
    </row>
    <row r="1047751" spans="1:11" s="55" customFormat="1" ht="12.75">
      <c r="A1047751" s="24"/>
      <c r="B1047751" s="24"/>
      <c r="C1047751" s="24"/>
      <c r="D1047751" s="24"/>
      <c r="E1047751" s="24"/>
      <c r="F1047751" s="24"/>
      <c r="G1047751" s="24"/>
      <c r="H1047751" s="24"/>
      <c r="I1047751" s="24"/>
      <c r="J1047751" s="24"/>
      <c r="K1047751" s="54"/>
    </row>
    <row r="1047752" spans="1:11" s="55" customFormat="1" ht="12.75">
      <c r="A1047752" s="24"/>
      <c r="B1047752" s="24"/>
      <c r="C1047752" s="24"/>
      <c r="D1047752" s="24"/>
      <c r="E1047752" s="24"/>
      <c r="F1047752" s="24"/>
      <c r="G1047752" s="24"/>
      <c r="H1047752" s="24"/>
      <c r="I1047752" s="24"/>
      <c r="J1047752" s="24"/>
      <c r="K1047752" s="54"/>
    </row>
    <row r="1047753" spans="1:11" s="55" customFormat="1" ht="12.75">
      <c r="A1047753" s="24"/>
      <c r="B1047753" s="24"/>
      <c r="C1047753" s="24"/>
      <c r="D1047753" s="24"/>
      <c r="E1047753" s="24"/>
      <c r="F1047753" s="24"/>
      <c r="G1047753" s="24"/>
      <c r="H1047753" s="24"/>
      <c r="I1047753" s="24"/>
      <c r="J1047753" s="24"/>
      <c r="K1047753" s="54"/>
    </row>
    <row r="1047754" spans="1:11" s="55" customFormat="1" ht="12.75">
      <c r="A1047754" s="24"/>
      <c r="B1047754" s="24"/>
      <c r="C1047754" s="24"/>
      <c r="D1047754" s="24"/>
      <c r="E1047754" s="24"/>
      <c r="F1047754" s="24"/>
      <c r="G1047754" s="24"/>
      <c r="H1047754" s="24"/>
      <c r="I1047754" s="24"/>
      <c r="J1047754" s="24"/>
      <c r="K1047754" s="54"/>
    </row>
    <row r="1047755" spans="1:11" s="55" customFormat="1" ht="12.75">
      <c r="A1047755" s="24"/>
      <c r="B1047755" s="24"/>
      <c r="C1047755" s="24"/>
      <c r="D1047755" s="24"/>
      <c r="E1047755" s="24"/>
      <c r="F1047755" s="24"/>
      <c r="G1047755" s="24"/>
      <c r="H1047755" s="24"/>
      <c r="I1047755" s="24"/>
      <c r="J1047755" s="24"/>
      <c r="K1047755" s="54"/>
    </row>
    <row r="1047756" spans="1:11" s="55" customFormat="1" ht="12.75">
      <c r="A1047756" s="24"/>
      <c r="B1047756" s="24"/>
      <c r="C1047756" s="24"/>
      <c r="D1047756" s="24"/>
      <c r="E1047756" s="24"/>
      <c r="F1047756" s="24"/>
      <c r="G1047756" s="24"/>
      <c r="H1047756" s="24"/>
      <c r="I1047756" s="24"/>
      <c r="J1047756" s="24"/>
      <c r="K1047756" s="54"/>
    </row>
    <row r="1047757" spans="1:11" s="55" customFormat="1" ht="12.75">
      <c r="A1047757" s="24"/>
      <c r="B1047757" s="24"/>
      <c r="C1047757" s="24"/>
      <c r="D1047757" s="24"/>
      <c r="E1047757" s="24"/>
      <c r="F1047757" s="24"/>
      <c r="G1047757" s="24"/>
      <c r="H1047757" s="24"/>
      <c r="I1047757" s="24"/>
      <c r="J1047757" s="24"/>
      <c r="K1047757" s="54"/>
    </row>
    <row r="1047758" spans="1:11" s="55" customFormat="1" ht="12.75">
      <c r="A1047758" s="24"/>
      <c r="B1047758" s="24"/>
      <c r="C1047758" s="24"/>
      <c r="D1047758" s="24"/>
      <c r="E1047758" s="24"/>
      <c r="F1047758" s="24"/>
      <c r="G1047758" s="24"/>
      <c r="H1047758" s="24"/>
      <c r="I1047758" s="24"/>
      <c r="J1047758" s="24"/>
      <c r="K1047758" s="54"/>
    </row>
    <row r="1047759" spans="1:11" s="55" customFormat="1" ht="12.75">
      <c r="A1047759" s="24"/>
      <c r="B1047759" s="24"/>
      <c r="C1047759" s="24"/>
      <c r="D1047759" s="24"/>
      <c r="E1047759" s="24"/>
      <c r="F1047759" s="24"/>
      <c r="G1047759" s="24"/>
      <c r="H1047759" s="24"/>
      <c r="I1047759" s="24"/>
      <c r="J1047759" s="24"/>
      <c r="K1047759" s="54"/>
    </row>
    <row r="1047760" spans="1:11" s="55" customFormat="1" ht="12.75">
      <c r="A1047760" s="24"/>
      <c r="B1047760" s="24"/>
      <c r="C1047760" s="24"/>
      <c r="D1047760" s="24"/>
      <c r="E1047760" s="24"/>
      <c r="F1047760" s="24"/>
      <c r="G1047760" s="24"/>
      <c r="H1047760" s="24"/>
      <c r="I1047760" s="24"/>
      <c r="J1047760" s="24"/>
      <c r="K1047760" s="54"/>
    </row>
    <row r="1047761" spans="1:11" s="55" customFormat="1" ht="12.75">
      <c r="A1047761" s="24"/>
      <c r="B1047761" s="24"/>
      <c r="C1047761" s="24"/>
      <c r="D1047761" s="24"/>
      <c r="E1047761" s="24"/>
      <c r="F1047761" s="24"/>
      <c r="G1047761" s="24"/>
      <c r="H1047761" s="24"/>
      <c r="I1047761" s="24"/>
      <c r="J1047761" s="24"/>
      <c r="K1047761" s="54"/>
    </row>
    <row r="1047762" spans="1:11" s="55" customFormat="1" ht="12.75">
      <c r="A1047762" s="24"/>
      <c r="B1047762" s="24"/>
      <c r="C1047762" s="24"/>
      <c r="D1047762" s="24"/>
      <c r="E1047762" s="24"/>
      <c r="F1047762" s="24"/>
      <c r="G1047762" s="24"/>
      <c r="H1047762" s="24"/>
      <c r="I1047762" s="24"/>
      <c r="J1047762" s="24"/>
      <c r="K1047762" s="54"/>
    </row>
    <row r="1047763" spans="1:11" s="55" customFormat="1" ht="12.75">
      <c r="A1047763" s="24"/>
      <c r="B1047763" s="24"/>
      <c r="C1047763" s="24"/>
      <c r="D1047763" s="24"/>
      <c r="E1047763" s="24"/>
      <c r="F1047763" s="24"/>
      <c r="G1047763" s="24"/>
      <c r="H1047763" s="24"/>
      <c r="I1047763" s="24"/>
      <c r="J1047763" s="24"/>
      <c r="K1047763" s="54"/>
    </row>
    <row r="1047764" spans="1:11" s="55" customFormat="1" ht="12.75">
      <c r="A1047764" s="24"/>
      <c r="B1047764" s="24"/>
      <c r="C1047764" s="24"/>
      <c r="D1047764" s="24"/>
      <c r="E1047764" s="24"/>
      <c r="F1047764" s="24"/>
      <c r="G1047764" s="24"/>
      <c r="H1047764" s="24"/>
      <c r="I1047764" s="24"/>
      <c r="J1047764" s="24"/>
      <c r="K1047764" s="54"/>
    </row>
    <row r="1047765" spans="1:11" s="55" customFormat="1" ht="12.75">
      <c r="A1047765" s="24"/>
      <c r="B1047765" s="24"/>
      <c r="C1047765" s="24"/>
      <c r="D1047765" s="24"/>
      <c r="E1047765" s="24"/>
      <c r="F1047765" s="24"/>
      <c r="G1047765" s="24"/>
      <c r="H1047765" s="24"/>
      <c r="I1047765" s="24"/>
      <c r="J1047765" s="24"/>
      <c r="K1047765" s="54"/>
    </row>
    <row r="1047766" spans="1:11" s="55" customFormat="1" ht="12.75">
      <c r="A1047766" s="24"/>
      <c r="B1047766" s="24"/>
      <c r="C1047766" s="24"/>
      <c r="D1047766" s="24"/>
      <c r="E1047766" s="24"/>
      <c r="F1047766" s="24"/>
      <c r="G1047766" s="24"/>
      <c r="H1047766" s="24"/>
      <c r="I1047766" s="24"/>
      <c r="J1047766" s="24"/>
      <c r="K1047766" s="54"/>
    </row>
    <row r="1047767" spans="1:11" s="55" customFormat="1" ht="12.75">
      <c r="A1047767" s="24"/>
      <c r="B1047767" s="24"/>
      <c r="C1047767" s="24"/>
      <c r="D1047767" s="24"/>
      <c r="E1047767" s="24"/>
      <c r="F1047767" s="24"/>
      <c r="G1047767" s="24"/>
      <c r="H1047767" s="24"/>
      <c r="I1047767" s="24"/>
      <c r="J1047767" s="24"/>
      <c r="K1047767" s="54"/>
    </row>
    <row r="1047768" spans="1:11" s="55" customFormat="1" ht="12.75">
      <c r="A1047768" s="24"/>
      <c r="B1047768" s="24"/>
      <c r="C1047768" s="24"/>
      <c r="D1047768" s="24"/>
      <c r="E1047768" s="24"/>
      <c r="F1047768" s="24"/>
      <c r="G1047768" s="24"/>
      <c r="H1047768" s="24"/>
      <c r="I1047768" s="24"/>
      <c r="J1047768" s="24"/>
      <c r="K1047768" s="54"/>
    </row>
    <row r="1047769" spans="1:11" s="55" customFormat="1" ht="12.75">
      <c r="A1047769" s="24"/>
      <c r="B1047769" s="24"/>
      <c r="C1047769" s="24"/>
      <c r="D1047769" s="24"/>
      <c r="E1047769" s="24"/>
      <c r="F1047769" s="24"/>
      <c r="G1047769" s="24"/>
      <c r="H1047769" s="24"/>
      <c r="I1047769" s="24"/>
      <c r="J1047769" s="24"/>
      <c r="K1047769" s="54"/>
    </row>
    <row r="1047770" spans="1:11" s="55" customFormat="1" ht="12.75">
      <c r="A1047770" s="24"/>
      <c r="B1047770" s="24"/>
      <c r="C1047770" s="24"/>
      <c r="D1047770" s="24"/>
      <c r="E1047770" s="24"/>
      <c r="F1047770" s="24"/>
      <c r="G1047770" s="24"/>
      <c r="H1047770" s="24"/>
      <c r="I1047770" s="24"/>
      <c r="J1047770" s="24"/>
      <c r="K1047770" s="54"/>
    </row>
    <row r="1047771" spans="1:11" s="55" customFormat="1" ht="12.75">
      <c r="A1047771" s="24"/>
      <c r="B1047771" s="24"/>
      <c r="C1047771" s="24"/>
      <c r="D1047771" s="24"/>
      <c r="E1047771" s="24"/>
      <c r="F1047771" s="24"/>
      <c r="G1047771" s="24"/>
      <c r="H1047771" s="24"/>
      <c r="I1047771" s="24"/>
      <c r="J1047771" s="24"/>
      <c r="K1047771" s="54"/>
    </row>
    <row r="1047772" spans="1:11" s="55" customFormat="1" ht="12.75">
      <c r="A1047772" s="24"/>
      <c r="B1047772" s="24"/>
      <c r="C1047772" s="24"/>
      <c r="D1047772" s="24"/>
      <c r="E1047772" s="24"/>
      <c r="F1047772" s="24"/>
      <c r="G1047772" s="24"/>
      <c r="H1047772" s="24"/>
      <c r="I1047772" s="24"/>
      <c r="J1047772" s="24"/>
      <c r="K1047772" s="54"/>
    </row>
    <row r="1047773" spans="1:11" s="55" customFormat="1" ht="12.75">
      <c r="A1047773" s="24"/>
      <c r="B1047773" s="24"/>
      <c r="C1047773" s="24"/>
      <c r="D1047773" s="24"/>
      <c r="E1047773" s="24"/>
      <c r="F1047773" s="24"/>
      <c r="G1047773" s="24"/>
      <c r="H1047773" s="24"/>
      <c r="I1047773" s="24"/>
      <c r="J1047773" s="24"/>
      <c r="K1047773" s="54"/>
    </row>
    <row r="1047774" spans="1:11" s="55" customFormat="1" ht="12.75">
      <c r="A1047774" s="24"/>
      <c r="B1047774" s="24"/>
      <c r="C1047774" s="24"/>
      <c r="D1047774" s="24"/>
      <c r="E1047774" s="24"/>
      <c r="F1047774" s="24"/>
      <c r="G1047774" s="24"/>
      <c r="H1047774" s="24"/>
      <c r="I1047774" s="24"/>
      <c r="J1047774" s="24"/>
      <c r="K1047774" s="54"/>
    </row>
    <row r="1047775" spans="1:11" s="55" customFormat="1" ht="12.75">
      <c r="A1047775" s="24"/>
      <c r="B1047775" s="24"/>
      <c r="C1047775" s="24"/>
      <c r="D1047775" s="24"/>
      <c r="E1047775" s="24"/>
      <c r="F1047775" s="24"/>
      <c r="G1047775" s="24"/>
      <c r="H1047775" s="24"/>
      <c r="I1047775" s="24"/>
      <c r="J1047775" s="24"/>
      <c r="K1047775" s="54"/>
    </row>
    <row r="1047776" spans="1:11" s="55" customFormat="1" ht="12.75">
      <c r="A1047776" s="24"/>
      <c r="B1047776" s="24"/>
      <c r="C1047776" s="24"/>
      <c r="D1047776" s="24"/>
      <c r="E1047776" s="24"/>
      <c r="F1047776" s="24"/>
      <c r="G1047776" s="24"/>
      <c r="H1047776" s="24"/>
      <c r="I1047776" s="24"/>
      <c r="J1047776" s="24"/>
      <c r="K1047776" s="54"/>
    </row>
    <row r="1047777" spans="1:11" s="55" customFormat="1" ht="12.75">
      <c r="A1047777" s="24"/>
      <c r="B1047777" s="24"/>
      <c r="C1047777" s="24"/>
      <c r="D1047777" s="24"/>
      <c r="E1047777" s="24"/>
      <c r="F1047777" s="24"/>
      <c r="G1047777" s="24"/>
      <c r="H1047777" s="24"/>
      <c r="I1047777" s="24"/>
      <c r="J1047777" s="24"/>
      <c r="K1047777" s="54"/>
    </row>
    <row r="1047778" spans="1:11" s="55" customFormat="1" ht="12.75">
      <c r="A1047778" s="24"/>
      <c r="B1047778" s="24"/>
      <c r="C1047778" s="24"/>
      <c r="D1047778" s="24"/>
      <c r="E1047778" s="24"/>
      <c r="F1047778" s="24"/>
      <c r="G1047778" s="24"/>
      <c r="H1047778" s="24"/>
      <c r="I1047778" s="24"/>
      <c r="J1047778" s="24"/>
      <c r="K1047778" s="54"/>
    </row>
    <row r="1047779" spans="1:11" s="55" customFormat="1" ht="12.75">
      <c r="A1047779" s="24"/>
      <c r="B1047779" s="24"/>
      <c r="C1047779" s="24"/>
      <c r="D1047779" s="24"/>
      <c r="E1047779" s="24"/>
      <c r="F1047779" s="24"/>
      <c r="G1047779" s="24"/>
      <c r="H1047779" s="24"/>
      <c r="I1047779" s="24"/>
      <c r="J1047779" s="24"/>
      <c r="K1047779" s="54"/>
    </row>
    <row r="1047780" spans="1:11" s="55" customFormat="1" ht="12.75">
      <c r="A1047780" s="24"/>
      <c r="B1047780" s="24"/>
      <c r="C1047780" s="24"/>
      <c r="D1047780" s="24"/>
      <c r="E1047780" s="24"/>
      <c r="F1047780" s="24"/>
      <c r="G1047780" s="24"/>
      <c r="H1047780" s="24"/>
      <c r="I1047780" s="24"/>
      <c r="J1047780" s="24"/>
      <c r="K1047780" s="54"/>
    </row>
    <row r="1047781" spans="1:11" s="55" customFormat="1" ht="12.75">
      <c r="A1047781" s="24"/>
      <c r="B1047781" s="24"/>
      <c r="C1047781" s="24"/>
      <c r="D1047781" s="24"/>
      <c r="E1047781" s="24"/>
      <c r="F1047781" s="24"/>
      <c r="G1047781" s="24"/>
      <c r="H1047781" s="24"/>
      <c r="I1047781" s="24"/>
      <c r="J1047781" s="24"/>
      <c r="K1047781" s="54"/>
    </row>
    <row r="1047782" spans="1:11" s="55" customFormat="1" ht="12.75">
      <c r="A1047782" s="24"/>
      <c r="B1047782" s="24"/>
      <c r="C1047782" s="24"/>
      <c r="D1047782" s="24"/>
      <c r="E1047782" s="24"/>
      <c r="F1047782" s="24"/>
      <c r="G1047782" s="24"/>
      <c r="H1047782" s="24"/>
      <c r="I1047782" s="24"/>
      <c r="J1047782" s="24"/>
      <c r="K1047782" s="54"/>
    </row>
    <row r="1047783" spans="1:11" s="55" customFormat="1" ht="12.75">
      <c r="A1047783" s="24"/>
      <c r="B1047783" s="24"/>
      <c r="C1047783" s="24"/>
      <c r="D1047783" s="24"/>
      <c r="E1047783" s="24"/>
      <c r="F1047783" s="24"/>
      <c r="G1047783" s="24"/>
      <c r="H1047783" s="24"/>
      <c r="I1047783" s="24"/>
      <c r="J1047783" s="24"/>
      <c r="K1047783" s="54"/>
    </row>
    <row r="1047784" spans="1:11" s="55" customFormat="1" ht="12.75">
      <c r="A1047784" s="24"/>
      <c r="B1047784" s="24"/>
      <c r="C1047784" s="24"/>
      <c r="D1047784" s="24"/>
      <c r="E1047784" s="24"/>
      <c r="F1047784" s="24"/>
      <c r="G1047784" s="24"/>
      <c r="H1047784" s="24"/>
      <c r="I1047784" s="24"/>
      <c r="J1047784" s="24"/>
      <c r="K1047784" s="54"/>
    </row>
    <row r="1047785" spans="1:11" s="55" customFormat="1" ht="12.75">
      <c r="A1047785" s="24"/>
      <c r="B1047785" s="24"/>
      <c r="C1047785" s="24"/>
      <c r="D1047785" s="24"/>
      <c r="E1047785" s="24"/>
      <c r="F1047785" s="24"/>
      <c r="G1047785" s="24"/>
      <c r="H1047785" s="24"/>
      <c r="I1047785" s="24"/>
      <c r="J1047785" s="24"/>
      <c r="K1047785" s="54"/>
    </row>
    <row r="1047786" spans="1:11" s="55" customFormat="1" ht="12.75">
      <c r="A1047786" s="24"/>
      <c r="B1047786" s="24"/>
      <c r="C1047786" s="24"/>
      <c r="D1047786" s="24"/>
      <c r="E1047786" s="24"/>
      <c r="F1047786" s="24"/>
      <c r="G1047786" s="24"/>
      <c r="H1047786" s="24"/>
      <c r="I1047786" s="24"/>
      <c r="J1047786" s="24"/>
      <c r="K1047786" s="54"/>
    </row>
    <row r="1047787" spans="1:11" s="55" customFormat="1" ht="12.75">
      <c r="A1047787" s="24"/>
      <c r="B1047787" s="24"/>
      <c r="C1047787" s="24"/>
      <c r="D1047787" s="24"/>
      <c r="E1047787" s="24"/>
      <c r="F1047787" s="24"/>
      <c r="G1047787" s="24"/>
      <c r="H1047787" s="24"/>
      <c r="I1047787" s="24"/>
      <c r="J1047787" s="24"/>
      <c r="K1047787" s="54"/>
    </row>
    <row r="1047788" spans="1:11" s="55" customFormat="1" ht="12.75">
      <c r="A1047788" s="24"/>
      <c r="B1047788" s="24"/>
      <c r="C1047788" s="24"/>
      <c r="D1047788" s="24"/>
      <c r="E1047788" s="24"/>
      <c r="F1047788" s="24"/>
      <c r="G1047788" s="24"/>
      <c r="H1047788" s="24"/>
      <c r="I1047788" s="24"/>
      <c r="J1047788" s="24"/>
      <c r="K1047788" s="54"/>
    </row>
    <row r="1047789" spans="1:11" s="55" customFormat="1" ht="12.75">
      <c r="A1047789" s="24"/>
      <c r="B1047789" s="24"/>
      <c r="C1047789" s="24"/>
      <c r="D1047789" s="24"/>
      <c r="E1047789" s="24"/>
      <c r="F1047789" s="24"/>
      <c r="G1047789" s="24"/>
      <c r="H1047789" s="24"/>
      <c r="I1047789" s="24"/>
      <c r="J1047789" s="24"/>
      <c r="K1047789" s="54"/>
    </row>
    <row r="1047790" spans="1:11" s="55" customFormat="1" ht="12.75">
      <c r="A1047790" s="24"/>
      <c r="B1047790" s="24"/>
      <c r="C1047790" s="24"/>
      <c r="D1047790" s="24"/>
      <c r="E1047790" s="24"/>
      <c r="F1047790" s="24"/>
      <c r="G1047790" s="24"/>
      <c r="H1047790" s="24"/>
      <c r="I1047790" s="24"/>
      <c r="J1047790" s="24"/>
      <c r="K1047790" s="54"/>
    </row>
    <row r="1047791" spans="1:11" s="55" customFormat="1" ht="12.75">
      <c r="A1047791" s="24"/>
      <c r="B1047791" s="24"/>
      <c r="C1047791" s="24"/>
      <c r="D1047791" s="24"/>
      <c r="E1047791" s="24"/>
      <c r="F1047791" s="24"/>
      <c r="G1047791" s="24"/>
      <c r="H1047791" s="24"/>
      <c r="I1047791" s="24"/>
      <c r="J1047791" s="24"/>
      <c r="K1047791" s="54"/>
    </row>
    <row r="1047792" spans="1:11" s="55" customFormat="1" ht="12.75">
      <c r="A1047792" s="24"/>
      <c r="B1047792" s="24"/>
      <c r="C1047792" s="24"/>
      <c r="D1047792" s="24"/>
      <c r="E1047792" s="24"/>
      <c r="F1047792" s="24"/>
      <c r="G1047792" s="24"/>
      <c r="H1047792" s="24"/>
      <c r="I1047792" s="24"/>
      <c r="J1047792" s="24"/>
      <c r="K1047792" s="54"/>
    </row>
    <row r="1047793" spans="1:11" s="55" customFormat="1" ht="12.75">
      <c r="A1047793" s="24"/>
      <c r="B1047793" s="24"/>
      <c r="C1047793" s="24"/>
      <c r="D1047793" s="24"/>
      <c r="E1047793" s="24"/>
      <c r="F1047793" s="24"/>
      <c r="G1047793" s="24"/>
      <c r="H1047793" s="24"/>
      <c r="I1047793" s="24"/>
      <c r="J1047793" s="24"/>
      <c r="K1047793" s="54"/>
    </row>
    <row r="1047794" spans="1:11" s="55" customFormat="1" ht="12.75">
      <c r="A1047794" s="24"/>
      <c r="B1047794" s="24"/>
      <c r="C1047794" s="24"/>
      <c r="D1047794" s="24"/>
      <c r="E1047794" s="24"/>
      <c r="F1047794" s="24"/>
      <c r="G1047794" s="24"/>
      <c r="H1047794" s="24"/>
      <c r="I1047794" s="24"/>
      <c r="J1047794" s="24"/>
      <c r="K1047794" s="54"/>
    </row>
    <row r="1047795" spans="1:11" s="55" customFormat="1" ht="12.75">
      <c r="A1047795" s="24"/>
      <c r="B1047795" s="24"/>
      <c r="C1047795" s="24"/>
      <c r="D1047795" s="24"/>
      <c r="E1047795" s="24"/>
      <c r="F1047795" s="24"/>
      <c r="G1047795" s="24"/>
      <c r="H1047795" s="24"/>
      <c r="I1047795" s="24"/>
      <c r="J1047795" s="24"/>
      <c r="K1047795" s="54"/>
    </row>
    <row r="1047796" spans="1:11" s="55" customFormat="1" ht="12.75">
      <c r="A1047796" s="24"/>
      <c r="B1047796" s="24"/>
      <c r="C1047796" s="24"/>
      <c r="D1047796" s="24"/>
      <c r="E1047796" s="24"/>
      <c r="F1047796" s="24"/>
      <c r="G1047796" s="24"/>
      <c r="H1047796" s="24"/>
      <c r="I1047796" s="24"/>
      <c r="J1047796" s="24"/>
      <c r="K1047796" s="54"/>
    </row>
    <row r="1047797" spans="1:11" s="55" customFormat="1" ht="12.75">
      <c r="A1047797" s="24"/>
      <c r="B1047797" s="24"/>
      <c r="C1047797" s="24"/>
      <c r="D1047797" s="24"/>
      <c r="E1047797" s="24"/>
      <c r="F1047797" s="24"/>
      <c r="G1047797" s="24"/>
      <c r="H1047797" s="24"/>
      <c r="I1047797" s="24"/>
      <c r="J1047797" s="24"/>
      <c r="K1047797" s="54"/>
    </row>
    <row r="1047798" spans="1:11" s="55" customFormat="1" ht="12.75">
      <c r="A1047798" s="24"/>
      <c r="B1047798" s="24"/>
      <c r="C1047798" s="24"/>
      <c r="D1047798" s="24"/>
      <c r="E1047798" s="24"/>
      <c r="F1047798" s="24"/>
      <c r="G1047798" s="24"/>
      <c r="H1047798" s="24"/>
      <c r="I1047798" s="24"/>
      <c r="J1047798" s="24"/>
      <c r="K1047798" s="54"/>
    </row>
    <row r="1047799" spans="1:11" s="55" customFormat="1" ht="12.75">
      <c r="A1047799" s="24"/>
      <c r="B1047799" s="24"/>
      <c r="C1047799" s="24"/>
      <c r="D1047799" s="24"/>
      <c r="E1047799" s="24"/>
      <c r="F1047799" s="24"/>
      <c r="G1047799" s="24"/>
      <c r="H1047799" s="24"/>
      <c r="I1047799" s="24"/>
      <c r="J1047799" s="24"/>
      <c r="K1047799" s="54"/>
    </row>
    <row r="1047800" spans="1:11" s="55" customFormat="1" ht="12.75">
      <c r="A1047800" s="24"/>
      <c r="B1047800" s="24"/>
      <c r="C1047800" s="24"/>
      <c r="D1047800" s="24"/>
      <c r="E1047800" s="24"/>
      <c r="F1047800" s="24"/>
      <c r="G1047800" s="24"/>
      <c r="H1047800" s="24"/>
      <c r="I1047800" s="24"/>
      <c r="J1047800" s="24"/>
      <c r="K1047800" s="54"/>
    </row>
    <row r="1047801" spans="1:11" s="55" customFormat="1" ht="12.75">
      <c r="A1047801" s="24"/>
      <c r="B1047801" s="24"/>
      <c r="C1047801" s="24"/>
      <c r="D1047801" s="24"/>
      <c r="E1047801" s="24"/>
      <c r="F1047801" s="24"/>
      <c r="G1047801" s="24"/>
      <c r="H1047801" s="24"/>
      <c r="I1047801" s="24"/>
      <c r="J1047801" s="24"/>
      <c r="K1047801" s="54"/>
    </row>
    <row r="1047802" spans="1:11" s="55" customFormat="1" ht="12.75">
      <c r="A1047802" s="24"/>
      <c r="B1047802" s="24"/>
      <c r="C1047802" s="24"/>
      <c r="D1047802" s="24"/>
      <c r="E1047802" s="24"/>
      <c r="F1047802" s="24"/>
      <c r="G1047802" s="24"/>
      <c r="H1047802" s="24"/>
      <c r="I1047802" s="24"/>
      <c r="J1047802" s="24"/>
      <c r="K1047802" s="54"/>
    </row>
    <row r="1047803" spans="1:11" s="55" customFormat="1" ht="12.75">
      <c r="A1047803" s="24"/>
      <c r="B1047803" s="24"/>
      <c r="C1047803" s="24"/>
      <c r="D1047803" s="24"/>
      <c r="E1047803" s="24"/>
      <c r="F1047803" s="24"/>
      <c r="G1047803" s="24"/>
      <c r="H1047803" s="24"/>
      <c r="I1047803" s="24"/>
      <c r="J1047803" s="24"/>
      <c r="K1047803" s="54"/>
    </row>
    <row r="1047804" spans="1:11" s="55" customFormat="1" ht="12.75">
      <c r="A1047804" s="24"/>
      <c r="B1047804" s="24"/>
      <c r="C1047804" s="24"/>
      <c r="D1047804" s="24"/>
      <c r="E1047804" s="24"/>
      <c r="F1047804" s="24"/>
      <c r="G1047804" s="24"/>
      <c r="H1047804" s="24"/>
      <c r="I1047804" s="24"/>
      <c r="J1047804" s="24"/>
      <c r="K1047804" s="54"/>
    </row>
    <row r="1047805" spans="1:11" s="55" customFormat="1" ht="12.75">
      <c r="A1047805" s="24"/>
      <c r="B1047805" s="24"/>
      <c r="C1047805" s="24"/>
      <c r="D1047805" s="24"/>
      <c r="E1047805" s="24"/>
      <c r="F1047805" s="24"/>
      <c r="G1047805" s="24"/>
      <c r="H1047805" s="24"/>
      <c r="I1047805" s="24"/>
      <c r="J1047805" s="24"/>
      <c r="K1047805" s="54"/>
    </row>
    <row r="1047806" spans="1:11" s="55" customFormat="1" ht="12.75">
      <c r="A1047806" s="24"/>
      <c r="B1047806" s="24"/>
      <c r="C1047806" s="24"/>
      <c r="D1047806" s="24"/>
      <c r="E1047806" s="24"/>
      <c r="F1047806" s="24"/>
      <c r="G1047806" s="24"/>
      <c r="H1047806" s="24"/>
      <c r="I1047806" s="24"/>
      <c r="J1047806" s="24"/>
      <c r="K1047806" s="54"/>
    </row>
    <row r="1047807" spans="1:11" s="55" customFormat="1" ht="12.75">
      <c r="A1047807" s="24"/>
      <c r="B1047807" s="24"/>
      <c r="C1047807" s="24"/>
      <c r="D1047807" s="24"/>
      <c r="E1047807" s="24"/>
      <c r="F1047807" s="24"/>
      <c r="G1047807" s="24"/>
      <c r="H1047807" s="24"/>
      <c r="I1047807" s="24"/>
      <c r="J1047807" s="24"/>
      <c r="K1047807" s="54"/>
    </row>
    <row r="1047808" spans="1:11" s="55" customFormat="1" ht="12.75">
      <c r="A1047808" s="24"/>
      <c r="B1047808" s="24"/>
      <c r="C1047808" s="24"/>
      <c r="D1047808" s="24"/>
      <c r="E1047808" s="24"/>
      <c r="F1047808" s="24"/>
      <c r="G1047808" s="24"/>
      <c r="H1047808" s="24"/>
      <c r="I1047808" s="24"/>
      <c r="J1047808" s="24"/>
      <c r="K1047808" s="54"/>
    </row>
    <row r="1047809" spans="1:11" s="55" customFormat="1" ht="12.75">
      <c r="A1047809" s="24"/>
      <c r="B1047809" s="24"/>
      <c r="C1047809" s="24"/>
      <c r="D1047809" s="24"/>
      <c r="E1047809" s="24"/>
      <c r="F1047809" s="24"/>
      <c r="G1047809" s="24"/>
      <c r="H1047809" s="24"/>
      <c r="I1047809" s="24"/>
      <c r="J1047809" s="24"/>
      <c r="K1047809" s="54"/>
    </row>
    <row r="1047810" spans="1:11" s="55" customFormat="1" ht="12.75">
      <c r="A1047810" s="24"/>
      <c r="B1047810" s="24"/>
      <c r="C1047810" s="24"/>
      <c r="D1047810" s="24"/>
      <c r="E1047810" s="24"/>
      <c r="F1047810" s="24"/>
      <c r="G1047810" s="24"/>
      <c r="H1047810" s="24"/>
      <c r="I1047810" s="24"/>
      <c r="J1047810" s="24"/>
      <c r="K1047810" s="54"/>
    </row>
    <row r="1047811" spans="1:11" s="55" customFormat="1" ht="12.75">
      <c r="A1047811" s="24"/>
      <c r="B1047811" s="24"/>
      <c r="C1047811" s="24"/>
      <c r="D1047811" s="24"/>
      <c r="E1047811" s="24"/>
      <c r="F1047811" s="24"/>
      <c r="G1047811" s="24"/>
      <c r="H1047811" s="24"/>
      <c r="I1047811" s="24"/>
      <c r="J1047811" s="24"/>
      <c r="K1047811" s="54"/>
    </row>
    <row r="1047812" spans="1:11" s="55" customFormat="1" ht="12.75">
      <c r="A1047812" s="24"/>
      <c r="B1047812" s="24"/>
      <c r="C1047812" s="24"/>
      <c r="D1047812" s="24"/>
      <c r="E1047812" s="24"/>
      <c r="F1047812" s="24"/>
      <c r="G1047812" s="24"/>
      <c r="H1047812" s="24"/>
      <c r="I1047812" s="24"/>
      <c r="J1047812" s="24"/>
      <c r="K1047812" s="54"/>
    </row>
    <row r="1047813" spans="1:11" s="55" customFormat="1" ht="12.75">
      <c r="A1047813" s="24"/>
      <c r="B1047813" s="24"/>
      <c r="C1047813" s="24"/>
      <c r="D1047813" s="24"/>
      <c r="E1047813" s="24"/>
      <c r="F1047813" s="24"/>
      <c r="G1047813" s="24"/>
      <c r="H1047813" s="24"/>
      <c r="I1047813" s="24"/>
      <c r="J1047813" s="24"/>
      <c r="K1047813" s="54"/>
    </row>
    <row r="1047814" spans="1:11" s="55" customFormat="1" ht="12.75">
      <c r="A1047814" s="24"/>
      <c r="B1047814" s="24"/>
      <c r="C1047814" s="24"/>
      <c r="D1047814" s="24"/>
      <c r="E1047814" s="24"/>
      <c r="F1047814" s="24"/>
      <c r="G1047814" s="24"/>
      <c r="H1047814" s="24"/>
      <c r="I1047814" s="24"/>
      <c r="J1047814" s="24"/>
      <c r="K1047814" s="54"/>
    </row>
    <row r="1047815" spans="1:11" s="55" customFormat="1" ht="12.75">
      <c r="A1047815" s="24"/>
      <c r="B1047815" s="24"/>
      <c r="C1047815" s="24"/>
      <c r="D1047815" s="24"/>
      <c r="E1047815" s="24"/>
      <c r="F1047815" s="24"/>
      <c r="G1047815" s="24"/>
      <c r="H1047815" s="24"/>
      <c r="I1047815" s="24"/>
      <c r="J1047815" s="24"/>
      <c r="K1047815" s="54"/>
    </row>
    <row r="1047816" spans="1:11" s="55" customFormat="1" ht="12.75">
      <c r="A1047816" s="24"/>
      <c r="B1047816" s="24"/>
      <c r="C1047816" s="24"/>
      <c r="D1047816" s="24"/>
      <c r="E1047816" s="24"/>
      <c r="F1047816" s="24"/>
      <c r="G1047816" s="24"/>
      <c r="H1047816" s="24"/>
      <c r="I1047816" s="24"/>
      <c r="J1047816" s="24"/>
      <c r="K1047816" s="54"/>
    </row>
    <row r="1047817" spans="1:11" s="55" customFormat="1" ht="12.75">
      <c r="A1047817" s="24"/>
      <c r="B1047817" s="24"/>
      <c r="C1047817" s="24"/>
      <c r="D1047817" s="24"/>
      <c r="E1047817" s="24"/>
      <c r="F1047817" s="24"/>
      <c r="G1047817" s="24"/>
      <c r="H1047817" s="24"/>
      <c r="I1047817" s="24"/>
      <c r="J1047817" s="24"/>
      <c r="K1047817" s="54"/>
    </row>
    <row r="1047818" spans="1:11" s="55" customFormat="1" ht="12.75">
      <c r="A1047818" s="24"/>
      <c r="B1047818" s="24"/>
      <c r="C1047818" s="24"/>
      <c r="D1047818" s="24"/>
      <c r="E1047818" s="24"/>
      <c r="F1047818" s="24"/>
      <c r="G1047818" s="24"/>
      <c r="H1047818" s="24"/>
      <c r="I1047818" s="24"/>
      <c r="J1047818" s="24"/>
      <c r="K1047818" s="54"/>
    </row>
    <row r="1047819" spans="1:11" s="55" customFormat="1" ht="12.75">
      <c r="A1047819" s="24"/>
      <c r="B1047819" s="24"/>
      <c r="C1047819" s="24"/>
      <c r="D1047819" s="24"/>
      <c r="E1047819" s="24"/>
      <c r="F1047819" s="24"/>
      <c r="G1047819" s="24"/>
      <c r="H1047819" s="24"/>
      <c r="I1047819" s="24"/>
      <c r="J1047819" s="24"/>
      <c r="K1047819" s="54"/>
    </row>
    <row r="1047820" spans="1:11" s="55" customFormat="1" ht="12.75">
      <c r="A1047820" s="24"/>
      <c r="B1047820" s="24"/>
      <c r="C1047820" s="24"/>
      <c r="D1047820" s="24"/>
      <c r="E1047820" s="24"/>
      <c r="F1047820" s="24"/>
      <c r="G1047820" s="24"/>
      <c r="H1047820" s="24"/>
      <c r="I1047820" s="24"/>
      <c r="J1047820" s="24"/>
      <c r="K1047820" s="54"/>
    </row>
    <row r="1047821" spans="1:11" s="55" customFormat="1" ht="12.75">
      <c r="A1047821" s="24"/>
      <c r="B1047821" s="24"/>
      <c r="C1047821" s="24"/>
      <c r="D1047821" s="24"/>
      <c r="E1047821" s="24"/>
      <c r="F1047821" s="24"/>
      <c r="G1047821" s="24"/>
      <c r="H1047821" s="24"/>
      <c r="I1047821" s="24"/>
      <c r="J1047821" s="24"/>
      <c r="K1047821" s="54"/>
    </row>
    <row r="1047822" spans="1:11" s="55" customFormat="1" ht="12.75">
      <c r="A1047822" s="24"/>
      <c r="B1047822" s="24"/>
      <c r="C1047822" s="24"/>
      <c r="D1047822" s="24"/>
      <c r="E1047822" s="24"/>
      <c r="F1047822" s="24"/>
      <c r="G1047822" s="24"/>
      <c r="H1047822" s="24"/>
      <c r="I1047822" s="24"/>
      <c r="J1047822" s="24"/>
      <c r="K1047822" s="54"/>
    </row>
    <row r="1047823" spans="1:11" s="55" customFormat="1" ht="12.75">
      <c r="A1047823" s="24"/>
      <c r="B1047823" s="24"/>
      <c r="C1047823" s="24"/>
      <c r="D1047823" s="24"/>
      <c r="E1047823" s="24"/>
      <c r="F1047823" s="24"/>
      <c r="G1047823" s="24"/>
      <c r="H1047823" s="24"/>
      <c r="I1047823" s="24"/>
      <c r="J1047823" s="24"/>
      <c r="K1047823" s="54"/>
    </row>
    <row r="1047824" spans="1:11" s="55" customFormat="1" ht="12.75">
      <c r="A1047824" s="24"/>
      <c r="B1047824" s="24"/>
      <c r="C1047824" s="24"/>
      <c r="D1047824" s="24"/>
      <c r="E1047824" s="24"/>
      <c r="F1047824" s="24"/>
      <c r="G1047824" s="24"/>
      <c r="H1047824" s="24"/>
      <c r="I1047824" s="24"/>
      <c r="J1047824" s="24"/>
      <c r="K1047824" s="54"/>
    </row>
    <row r="1047825" spans="1:11" s="55" customFormat="1" ht="12.75">
      <c r="A1047825" s="24"/>
      <c r="B1047825" s="24"/>
      <c r="C1047825" s="24"/>
      <c r="D1047825" s="24"/>
      <c r="E1047825" s="24"/>
      <c r="F1047825" s="24"/>
      <c r="G1047825" s="24"/>
      <c r="H1047825" s="24"/>
      <c r="I1047825" s="24"/>
      <c r="J1047825" s="24"/>
      <c r="K1047825" s="54"/>
    </row>
    <row r="1047826" spans="1:11" s="55" customFormat="1" ht="12.75">
      <c r="A1047826" s="24"/>
      <c r="B1047826" s="24"/>
      <c r="C1047826" s="24"/>
      <c r="D1047826" s="24"/>
      <c r="E1047826" s="24"/>
      <c r="F1047826" s="24"/>
      <c r="G1047826" s="24"/>
      <c r="H1047826" s="24"/>
      <c r="I1047826" s="24"/>
      <c r="J1047826" s="24"/>
      <c r="K1047826" s="54"/>
    </row>
    <row r="1047827" spans="1:11" s="55" customFormat="1" ht="12.75">
      <c r="A1047827" s="24"/>
      <c r="B1047827" s="24"/>
      <c r="C1047827" s="24"/>
      <c r="D1047827" s="24"/>
      <c r="E1047827" s="24"/>
      <c r="F1047827" s="24"/>
      <c r="G1047827" s="24"/>
      <c r="H1047827" s="24"/>
      <c r="I1047827" s="24"/>
      <c r="J1047827" s="24"/>
      <c r="K1047827" s="54"/>
    </row>
    <row r="1047828" spans="1:11" s="55" customFormat="1" ht="12.75">
      <c r="A1047828" s="24"/>
      <c r="B1047828" s="24"/>
      <c r="C1047828" s="24"/>
      <c r="D1047828" s="24"/>
      <c r="E1047828" s="24"/>
      <c r="F1047828" s="24"/>
      <c r="G1047828" s="24"/>
      <c r="H1047828" s="24"/>
      <c r="I1047828" s="24"/>
      <c r="J1047828" s="24"/>
      <c r="K1047828" s="54"/>
    </row>
    <row r="1047829" spans="1:11" s="55" customFormat="1" ht="12.75">
      <c r="A1047829" s="24"/>
      <c r="B1047829" s="24"/>
      <c r="C1047829" s="24"/>
      <c r="D1047829" s="24"/>
      <c r="E1047829" s="24"/>
      <c r="F1047829" s="24"/>
      <c r="G1047829" s="24"/>
      <c r="H1047829" s="24"/>
      <c r="I1047829" s="24"/>
      <c r="J1047829" s="24"/>
      <c r="K1047829" s="54"/>
    </row>
    <row r="1047830" spans="1:11" s="55" customFormat="1" ht="12.75">
      <c r="A1047830" s="24"/>
      <c r="B1047830" s="24"/>
      <c r="C1047830" s="24"/>
      <c r="D1047830" s="24"/>
      <c r="E1047830" s="24"/>
      <c r="F1047830" s="24"/>
      <c r="G1047830" s="24"/>
      <c r="H1047830" s="24"/>
      <c r="I1047830" s="24"/>
      <c r="J1047830" s="24"/>
      <c r="K1047830" s="54"/>
    </row>
    <row r="1047831" spans="1:11" s="55" customFormat="1" ht="12.75">
      <c r="A1047831" s="24"/>
      <c r="B1047831" s="24"/>
      <c r="C1047831" s="24"/>
      <c r="D1047831" s="24"/>
      <c r="E1047831" s="24"/>
      <c r="F1047831" s="24"/>
      <c r="G1047831" s="24"/>
      <c r="H1047831" s="24"/>
      <c r="I1047831" s="24"/>
      <c r="J1047831" s="24"/>
      <c r="K1047831" s="54"/>
    </row>
    <row r="1047832" spans="1:11" s="55" customFormat="1" ht="12.75">
      <c r="A1047832" s="24"/>
      <c r="B1047832" s="24"/>
      <c r="C1047832" s="24"/>
      <c r="D1047832" s="24"/>
      <c r="E1047832" s="24"/>
      <c r="F1047832" s="24"/>
      <c r="G1047832" s="24"/>
      <c r="H1047832" s="24"/>
      <c r="I1047832" s="24"/>
      <c r="J1047832" s="24"/>
      <c r="K1047832" s="54"/>
    </row>
    <row r="1047833" spans="1:11" s="55" customFormat="1" ht="12.75">
      <c r="A1047833" s="24"/>
      <c r="B1047833" s="24"/>
      <c r="C1047833" s="24"/>
      <c r="D1047833" s="24"/>
      <c r="E1047833" s="24"/>
      <c r="F1047833" s="24"/>
      <c r="G1047833" s="24"/>
      <c r="H1047833" s="24"/>
      <c r="I1047833" s="24"/>
      <c r="J1047833" s="24"/>
      <c r="K1047833" s="54"/>
    </row>
    <row r="1047834" spans="1:11" s="55" customFormat="1" ht="12.75">
      <c r="A1047834" s="24"/>
      <c r="B1047834" s="24"/>
      <c r="C1047834" s="24"/>
      <c r="D1047834" s="24"/>
      <c r="E1047834" s="24"/>
      <c r="F1047834" s="24"/>
      <c r="G1047834" s="24"/>
      <c r="H1047834" s="24"/>
      <c r="I1047834" s="24"/>
      <c r="J1047834" s="24"/>
      <c r="K1047834" s="54"/>
    </row>
    <row r="1047835" spans="1:11" s="55" customFormat="1" ht="12.75">
      <c r="A1047835" s="24"/>
      <c r="B1047835" s="24"/>
      <c r="C1047835" s="24"/>
      <c r="D1047835" s="24"/>
      <c r="E1047835" s="24"/>
      <c r="F1047835" s="24"/>
      <c r="G1047835" s="24"/>
      <c r="H1047835" s="24"/>
      <c r="I1047835" s="24"/>
      <c r="J1047835" s="24"/>
      <c r="K1047835" s="54"/>
    </row>
    <row r="1047836" spans="1:11" s="55" customFormat="1" ht="12.75">
      <c r="A1047836" s="24"/>
      <c r="B1047836" s="24"/>
      <c r="C1047836" s="24"/>
      <c r="D1047836" s="24"/>
      <c r="E1047836" s="24"/>
      <c r="F1047836" s="24"/>
      <c r="G1047836" s="24"/>
      <c r="H1047836" s="24"/>
      <c r="I1047836" s="24"/>
      <c r="J1047836" s="24"/>
      <c r="K1047836" s="54"/>
    </row>
    <row r="1047837" spans="1:11" s="55" customFormat="1" ht="12.75">
      <c r="A1047837" s="24"/>
      <c r="B1047837" s="24"/>
      <c r="C1047837" s="24"/>
      <c r="D1047837" s="24"/>
      <c r="E1047837" s="24"/>
      <c r="F1047837" s="24"/>
      <c r="G1047837" s="24"/>
      <c r="H1047837" s="24"/>
      <c r="I1047837" s="24"/>
      <c r="J1047837" s="24"/>
      <c r="K1047837" s="54"/>
    </row>
    <row r="1047838" spans="1:11" s="55" customFormat="1" ht="12.75">
      <c r="A1047838" s="24"/>
      <c r="B1047838" s="24"/>
      <c r="C1047838" s="24"/>
      <c r="D1047838" s="24"/>
      <c r="E1047838" s="24"/>
      <c r="F1047838" s="24"/>
      <c r="G1047838" s="24"/>
      <c r="H1047838" s="24"/>
      <c r="I1047838" s="24"/>
      <c r="J1047838" s="24"/>
      <c r="K1047838" s="54"/>
    </row>
    <row r="1047839" spans="1:11" s="55" customFormat="1" ht="12.75">
      <c r="A1047839" s="24"/>
      <c r="B1047839" s="24"/>
      <c r="C1047839" s="24"/>
      <c r="D1047839" s="24"/>
      <c r="E1047839" s="24"/>
      <c r="F1047839" s="24"/>
      <c r="G1047839" s="24"/>
      <c r="H1047839" s="24"/>
      <c r="I1047839" s="24"/>
      <c r="J1047839" s="24"/>
      <c r="K1047839" s="54"/>
    </row>
    <row r="1047840" spans="1:11" s="55" customFormat="1" ht="12.75">
      <c r="A1047840" s="24"/>
      <c r="B1047840" s="24"/>
      <c r="C1047840" s="24"/>
      <c r="D1047840" s="24"/>
      <c r="E1047840" s="24"/>
      <c r="F1047840" s="24"/>
      <c r="G1047840" s="24"/>
      <c r="H1047840" s="24"/>
      <c r="I1047840" s="24"/>
      <c r="J1047840" s="24"/>
      <c r="K1047840" s="54"/>
    </row>
    <row r="1047841" spans="1:11" s="55" customFormat="1" ht="12.75">
      <c r="A1047841" s="24"/>
      <c r="B1047841" s="24"/>
      <c r="C1047841" s="24"/>
      <c r="D1047841" s="24"/>
      <c r="E1047841" s="24"/>
      <c r="F1047841" s="24"/>
      <c r="G1047841" s="24"/>
      <c r="H1047841" s="24"/>
      <c r="I1047841" s="24"/>
      <c r="J1047841" s="24"/>
      <c r="K1047841" s="54"/>
    </row>
    <row r="1047842" spans="1:11" s="55" customFormat="1" ht="12.75">
      <c r="A1047842" s="24"/>
      <c r="B1047842" s="24"/>
      <c r="C1047842" s="24"/>
      <c r="D1047842" s="24"/>
      <c r="E1047842" s="24"/>
      <c r="F1047842" s="24"/>
      <c r="G1047842" s="24"/>
      <c r="H1047842" s="24"/>
      <c r="I1047842" s="24"/>
      <c r="J1047842" s="24"/>
      <c r="K1047842" s="54"/>
    </row>
    <row r="1047843" spans="1:11" s="55" customFormat="1" ht="12.75">
      <c r="A1047843" s="24"/>
      <c r="B1047843" s="24"/>
      <c r="C1047843" s="24"/>
      <c r="D1047843" s="24"/>
      <c r="E1047843" s="24"/>
      <c r="F1047843" s="24"/>
      <c r="G1047843" s="24"/>
      <c r="H1047843" s="24"/>
      <c r="I1047843" s="24"/>
      <c r="J1047843" s="24"/>
      <c r="K1047843" s="54"/>
    </row>
    <row r="1047844" spans="1:11" s="55" customFormat="1" ht="12.75">
      <c r="A1047844" s="24"/>
      <c r="B1047844" s="24"/>
      <c r="C1047844" s="24"/>
      <c r="D1047844" s="24"/>
      <c r="E1047844" s="24"/>
      <c r="F1047844" s="24"/>
      <c r="G1047844" s="24"/>
      <c r="H1047844" s="24"/>
      <c r="I1047844" s="24"/>
      <c r="J1047844" s="24"/>
      <c r="K1047844" s="54"/>
    </row>
    <row r="1047845" spans="1:11" s="55" customFormat="1" ht="12.75">
      <c r="A1047845" s="24"/>
      <c r="B1047845" s="24"/>
      <c r="C1047845" s="24"/>
      <c r="D1047845" s="24"/>
      <c r="E1047845" s="24"/>
      <c r="F1047845" s="24"/>
      <c r="G1047845" s="24"/>
      <c r="H1047845" s="24"/>
      <c r="I1047845" s="24"/>
      <c r="J1047845" s="24"/>
      <c r="K1047845" s="54"/>
    </row>
    <row r="1047846" spans="1:11" s="55" customFormat="1" ht="12.75">
      <c r="A1047846" s="24"/>
      <c r="B1047846" s="24"/>
      <c r="C1047846" s="24"/>
      <c r="D1047846" s="24"/>
      <c r="E1047846" s="24"/>
      <c r="F1047846" s="24"/>
      <c r="G1047846" s="24"/>
      <c r="H1047846" s="24"/>
      <c r="I1047846" s="24"/>
      <c r="J1047846" s="24"/>
      <c r="K1047846" s="54"/>
    </row>
    <row r="1047847" spans="1:11" s="55" customFormat="1" ht="12.75">
      <c r="A1047847" s="24"/>
      <c r="B1047847" s="24"/>
      <c r="C1047847" s="24"/>
      <c r="D1047847" s="24"/>
      <c r="E1047847" s="24"/>
      <c r="F1047847" s="24"/>
      <c r="G1047847" s="24"/>
      <c r="H1047847" s="24"/>
      <c r="I1047847" s="24"/>
      <c r="J1047847" s="24"/>
      <c r="K1047847" s="54"/>
    </row>
    <row r="1047848" spans="1:11" s="55" customFormat="1" ht="12.75">
      <c r="A1047848" s="24"/>
      <c r="B1047848" s="24"/>
      <c r="C1047848" s="24"/>
      <c r="D1047848" s="24"/>
      <c r="E1047848" s="24"/>
      <c r="F1047848" s="24"/>
      <c r="G1047848" s="24"/>
      <c r="H1047848" s="24"/>
      <c r="I1047848" s="24"/>
      <c r="J1047848" s="24"/>
      <c r="K1047848" s="54"/>
    </row>
    <row r="1047849" spans="1:11" s="55" customFormat="1" ht="12.75">
      <c r="A1047849" s="24"/>
      <c r="B1047849" s="24"/>
      <c r="C1047849" s="24"/>
      <c r="D1047849" s="24"/>
      <c r="E1047849" s="24"/>
      <c r="F1047849" s="24"/>
      <c r="G1047849" s="24"/>
      <c r="H1047849" s="24"/>
      <c r="I1047849" s="24"/>
      <c r="J1047849" s="24"/>
      <c r="K1047849" s="54"/>
    </row>
    <row r="1047850" spans="1:11" s="55" customFormat="1" ht="12.75">
      <c r="A1047850" s="24"/>
      <c r="B1047850" s="24"/>
      <c r="C1047850" s="24"/>
      <c r="D1047850" s="24"/>
      <c r="E1047850" s="24"/>
      <c r="F1047850" s="24"/>
      <c r="G1047850" s="24"/>
      <c r="H1047850" s="24"/>
      <c r="I1047850" s="24"/>
      <c r="J1047850" s="24"/>
      <c r="K1047850" s="54"/>
    </row>
    <row r="1047851" spans="1:11" s="55" customFormat="1" ht="12.75">
      <c r="A1047851" s="24"/>
      <c r="B1047851" s="24"/>
      <c r="C1047851" s="24"/>
      <c r="D1047851" s="24"/>
      <c r="E1047851" s="24"/>
      <c r="F1047851" s="24"/>
      <c r="G1047851" s="24"/>
      <c r="H1047851" s="24"/>
      <c r="I1047851" s="24"/>
      <c r="J1047851" s="24"/>
      <c r="K1047851" s="54"/>
    </row>
    <row r="1047852" spans="1:11" s="55" customFormat="1" ht="12.75">
      <c r="A1047852" s="24"/>
      <c r="B1047852" s="24"/>
      <c r="C1047852" s="24"/>
      <c r="D1047852" s="24"/>
      <c r="E1047852" s="24"/>
      <c r="F1047852" s="24"/>
      <c r="G1047852" s="24"/>
      <c r="H1047852" s="24"/>
      <c r="I1047852" s="24"/>
      <c r="J1047852" s="24"/>
      <c r="K1047852" s="54"/>
    </row>
    <row r="1047853" spans="1:11" s="55" customFormat="1" ht="12.75">
      <c r="A1047853" s="24"/>
      <c r="B1047853" s="24"/>
      <c r="C1047853" s="24"/>
      <c r="D1047853" s="24"/>
      <c r="E1047853" s="24"/>
      <c r="F1047853" s="24"/>
      <c r="G1047853" s="24"/>
      <c r="H1047853" s="24"/>
      <c r="I1047853" s="24"/>
      <c r="J1047853" s="24"/>
      <c r="K1047853" s="54"/>
    </row>
    <row r="1047854" spans="1:11" s="55" customFormat="1" ht="12.75">
      <c r="A1047854" s="24"/>
      <c r="B1047854" s="24"/>
      <c r="C1047854" s="24"/>
      <c r="D1047854" s="24"/>
      <c r="E1047854" s="24"/>
      <c r="F1047854" s="24"/>
      <c r="G1047854" s="24"/>
      <c r="H1047854" s="24"/>
      <c r="I1047854" s="24"/>
      <c r="J1047854" s="24"/>
      <c r="K1047854" s="54"/>
    </row>
    <row r="1047855" spans="1:11" s="55" customFormat="1" ht="12.75">
      <c r="A1047855" s="24"/>
      <c r="B1047855" s="24"/>
      <c r="C1047855" s="24"/>
      <c r="D1047855" s="24"/>
      <c r="E1047855" s="24"/>
      <c r="F1047855" s="24"/>
      <c r="G1047855" s="24"/>
      <c r="H1047855" s="24"/>
      <c r="I1047855" s="24"/>
      <c r="J1047855" s="24"/>
      <c r="K1047855" s="54"/>
    </row>
    <row r="1047856" spans="1:11" s="55" customFormat="1" ht="12.75">
      <c r="A1047856" s="24"/>
      <c r="B1047856" s="24"/>
      <c r="C1047856" s="24"/>
      <c r="D1047856" s="24"/>
      <c r="E1047856" s="24"/>
      <c r="F1047856" s="24"/>
      <c r="G1047856" s="24"/>
      <c r="H1047856" s="24"/>
      <c r="I1047856" s="24"/>
      <c r="J1047856" s="24"/>
      <c r="K1047856" s="54"/>
    </row>
    <row r="1047857" spans="1:11" s="55" customFormat="1" ht="12.75">
      <c r="A1047857" s="24"/>
      <c r="B1047857" s="24"/>
      <c r="C1047857" s="24"/>
      <c r="D1047857" s="24"/>
      <c r="E1047857" s="24"/>
      <c r="F1047857" s="24"/>
      <c r="G1047857" s="24"/>
      <c r="H1047857" s="24"/>
      <c r="I1047857" s="24"/>
      <c r="J1047857" s="24"/>
      <c r="K1047857" s="54"/>
    </row>
    <row r="1047858" spans="1:11" s="55" customFormat="1" ht="12.75">
      <c r="A1047858" s="24"/>
      <c r="B1047858" s="24"/>
      <c r="C1047858" s="24"/>
      <c r="D1047858" s="24"/>
      <c r="E1047858" s="24"/>
      <c r="F1047858" s="24"/>
      <c r="G1047858" s="24"/>
      <c r="H1047858" s="24"/>
      <c r="I1047858" s="24"/>
      <c r="J1047858" s="24"/>
      <c r="K1047858" s="54"/>
    </row>
    <row r="1047859" spans="1:11" s="55" customFormat="1" ht="12.75">
      <c r="A1047859" s="24"/>
      <c r="B1047859" s="24"/>
      <c r="C1047859" s="24"/>
      <c r="D1047859" s="24"/>
      <c r="E1047859" s="24"/>
      <c r="F1047859" s="24"/>
      <c r="G1047859" s="24"/>
      <c r="H1047859" s="24"/>
      <c r="I1047859" s="24"/>
      <c r="J1047859" s="24"/>
      <c r="K1047859" s="54"/>
    </row>
    <row r="1047860" spans="1:11" s="55" customFormat="1" ht="12.75">
      <c r="A1047860" s="24"/>
      <c r="B1047860" s="24"/>
      <c r="C1047860" s="24"/>
      <c r="D1047860" s="24"/>
      <c r="E1047860" s="24"/>
      <c r="F1047860" s="24"/>
      <c r="G1047860" s="24"/>
      <c r="H1047860" s="24"/>
      <c r="I1047860" s="24"/>
      <c r="J1047860" s="24"/>
      <c r="K1047860" s="54"/>
    </row>
    <row r="1047861" spans="1:11" s="55" customFormat="1" ht="12.75">
      <c r="A1047861" s="24"/>
      <c r="B1047861" s="24"/>
      <c r="C1047861" s="24"/>
      <c r="D1047861" s="24"/>
      <c r="E1047861" s="24"/>
      <c r="F1047861" s="24"/>
      <c r="G1047861" s="24"/>
      <c r="H1047861" s="24"/>
      <c r="I1047861" s="24"/>
      <c r="J1047861" s="24"/>
      <c r="K1047861" s="54"/>
    </row>
    <row r="1047862" spans="1:11" s="55" customFormat="1" ht="12.75">
      <c r="A1047862" s="24"/>
      <c r="B1047862" s="24"/>
      <c r="C1047862" s="24"/>
      <c r="D1047862" s="24"/>
      <c r="E1047862" s="24"/>
      <c r="F1047862" s="24"/>
      <c r="G1047862" s="24"/>
      <c r="H1047862" s="24"/>
      <c r="I1047862" s="24"/>
      <c r="J1047862" s="24"/>
      <c r="K1047862" s="54"/>
    </row>
    <row r="1047863" spans="1:11" s="55" customFormat="1" ht="12.75">
      <c r="A1047863" s="24"/>
      <c r="B1047863" s="24"/>
      <c r="C1047863" s="24"/>
      <c r="D1047863" s="24"/>
      <c r="E1047863" s="24"/>
      <c r="F1047863" s="24"/>
      <c r="G1047863" s="24"/>
      <c r="H1047863" s="24"/>
      <c r="I1047863" s="24"/>
      <c r="J1047863" s="24"/>
      <c r="K1047863" s="54"/>
    </row>
    <row r="1047864" spans="1:11" s="55" customFormat="1" ht="12.75">
      <c r="A1047864" s="24"/>
      <c r="B1047864" s="24"/>
      <c r="C1047864" s="24"/>
      <c r="D1047864" s="24"/>
      <c r="E1047864" s="24"/>
      <c r="F1047864" s="24"/>
      <c r="G1047864" s="24"/>
      <c r="H1047864" s="24"/>
      <c r="I1047864" s="24"/>
      <c r="J1047864" s="24"/>
      <c r="K1047864" s="54"/>
    </row>
    <row r="1047865" spans="1:11" s="55" customFormat="1" ht="12.75">
      <c r="A1047865" s="24"/>
      <c r="B1047865" s="24"/>
      <c r="C1047865" s="24"/>
      <c r="D1047865" s="24"/>
      <c r="E1047865" s="24"/>
      <c r="F1047865" s="24"/>
      <c r="G1047865" s="24"/>
      <c r="H1047865" s="24"/>
      <c r="I1047865" s="24"/>
      <c r="J1047865" s="24"/>
      <c r="K1047865" s="54"/>
    </row>
    <row r="1047866" spans="1:11" s="55" customFormat="1" ht="12.75">
      <c r="A1047866" s="24"/>
      <c r="B1047866" s="24"/>
      <c r="C1047866" s="24"/>
      <c r="D1047866" s="24"/>
      <c r="E1047866" s="24"/>
      <c r="F1047866" s="24"/>
      <c r="G1047866" s="24"/>
      <c r="H1047866" s="24"/>
      <c r="I1047866" s="24"/>
      <c r="J1047866" s="24"/>
      <c r="K1047866" s="54"/>
    </row>
    <row r="1047867" spans="1:11" s="55" customFormat="1" ht="12.75">
      <c r="A1047867" s="24"/>
      <c r="B1047867" s="24"/>
      <c r="C1047867" s="24"/>
      <c r="D1047867" s="24"/>
      <c r="E1047867" s="24"/>
      <c r="F1047867" s="24"/>
      <c r="G1047867" s="24"/>
      <c r="H1047867" s="24"/>
      <c r="I1047867" s="24"/>
      <c r="J1047867" s="24"/>
      <c r="K1047867" s="54"/>
    </row>
    <row r="1047868" spans="1:11" s="55" customFormat="1" ht="12.75">
      <c r="A1047868" s="24"/>
      <c r="B1047868" s="24"/>
      <c r="C1047868" s="24"/>
      <c r="D1047868" s="24"/>
      <c r="E1047868" s="24"/>
      <c r="F1047868" s="24"/>
      <c r="G1047868" s="24"/>
      <c r="H1047868" s="24"/>
      <c r="I1047868" s="24"/>
      <c r="J1047868" s="24"/>
      <c r="K1047868" s="54"/>
    </row>
    <row r="1047869" spans="1:11" s="55" customFormat="1" ht="12.75">
      <c r="A1047869" s="24"/>
      <c r="B1047869" s="24"/>
      <c r="C1047869" s="24"/>
      <c r="D1047869" s="24"/>
      <c r="E1047869" s="24"/>
      <c r="F1047869" s="24"/>
      <c r="G1047869" s="24"/>
      <c r="H1047869" s="24"/>
      <c r="I1047869" s="24"/>
      <c r="J1047869" s="24"/>
      <c r="K1047869" s="54"/>
    </row>
    <row r="1047870" spans="1:11" s="55" customFormat="1" ht="12.75">
      <c r="A1047870" s="24"/>
      <c r="B1047870" s="24"/>
      <c r="C1047870" s="24"/>
      <c r="D1047870" s="24"/>
      <c r="E1047870" s="24"/>
      <c r="F1047870" s="24"/>
      <c r="G1047870" s="24"/>
      <c r="H1047870" s="24"/>
      <c r="I1047870" s="24"/>
      <c r="J1047870" s="24"/>
      <c r="K1047870" s="54"/>
    </row>
    <row r="1047871" spans="1:11" s="55" customFormat="1" ht="12.75">
      <c r="A1047871" s="24"/>
      <c r="B1047871" s="24"/>
      <c r="C1047871" s="24"/>
      <c r="D1047871" s="24"/>
      <c r="E1047871" s="24"/>
      <c r="F1047871" s="24"/>
      <c r="G1047871" s="24"/>
      <c r="H1047871" s="24"/>
      <c r="I1047871" s="24"/>
      <c r="J1047871" s="24"/>
      <c r="K1047871" s="54"/>
    </row>
    <row r="1047872" spans="1:11" s="55" customFormat="1" ht="12.75">
      <c r="A1047872" s="24"/>
      <c r="B1047872" s="24"/>
      <c r="C1047872" s="24"/>
      <c r="D1047872" s="24"/>
      <c r="E1047872" s="24"/>
      <c r="F1047872" s="24"/>
      <c r="G1047872" s="24"/>
      <c r="H1047872" s="24"/>
      <c r="I1047872" s="24"/>
      <c r="J1047872" s="24"/>
      <c r="K1047872" s="54"/>
    </row>
    <row r="1047873" spans="1:11" s="55" customFormat="1" ht="12.75">
      <c r="A1047873" s="24"/>
      <c r="B1047873" s="24"/>
      <c r="C1047873" s="24"/>
      <c r="D1047873" s="24"/>
      <c r="E1047873" s="24"/>
      <c r="F1047873" s="24"/>
      <c r="G1047873" s="24"/>
      <c r="H1047873" s="24"/>
      <c r="I1047873" s="24"/>
      <c r="J1047873" s="24"/>
      <c r="K1047873" s="54"/>
    </row>
    <row r="1047874" spans="1:11" s="55" customFormat="1" ht="12.75">
      <c r="A1047874" s="24"/>
      <c r="B1047874" s="24"/>
      <c r="C1047874" s="24"/>
      <c r="D1047874" s="24"/>
      <c r="E1047874" s="24"/>
      <c r="F1047874" s="24"/>
      <c r="G1047874" s="24"/>
      <c r="H1047874" s="24"/>
      <c r="I1047874" s="24"/>
      <c r="J1047874" s="24"/>
      <c r="K1047874" s="54"/>
    </row>
    <row r="1047875" spans="1:11" s="55" customFormat="1" ht="12.75">
      <c r="A1047875" s="24"/>
      <c r="B1047875" s="24"/>
      <c r="C1047875" s="24"/>
      <c r="D1047875" s="24"/>
      <c r="E1047875" s="24"/>
      <c r="F1047875" s="24"/>
      <c r="G1047875" s="24"/>
      <c r="H1047875" s="24"/>
      <c r="I1047875" s="24"/>
      <c r="J1047875" s="24"/>
      <c r="K1047875" s="54"/>
    </row>
    <row r="1047876" spans="1:11" s="55" customFormat="1" ht="12.75">
      <c r="A1047876" s="24"/>
      <c r="B1047876" s="24"/>
      <c r="C1047876" s="24"/>
      <c r="D1047876" s="24"/>
      <c r="E1047876" s="24"/>
      <c r="F1047876" s="24"/>
      <c r="G1047876" s="24"/>
      <c r="H1047876" s="24"/>
      <c r="I1047876" s="24"/>
      <c r="J1047876" s="24"/>
      <c r="K1047876" s="54"/>
    </row>
    <row r="1047877" spans="1:11" s="55" customFormat="1" ht="12.75">
      <c r="A1047877" s="24"/>
      <c r="B1047877" s="24"/>
      <c r="C1047877" s="24"/>
      <c r="D1047877" s="24"/>
      <c r="E1047877" s="24"/>
      <c r="F1047877" s="24"/>
      <c r="G1047877" s="24"/>
      <c r="H1047877" s="24"/>
      <c r="I1047877" s="24"/>
      <c r="J1047877" s="24"/>
      <c r="K1047877" s="54"/>
    </row>
    <row r="1047878" spans="1:11" s="55" customFormat="1" ht="12.75">
      <c r="A1047878" s="24"/>
      <c r="B1047878" s="24"/>
      <c r="C1047878" s="24"/>
      <c r="D1047878" s="24"/>
      <c r="E1047878" s="24"/>
      <c r="F1047878" s="24"/>
      <c r="G1047878" s="24"/>
      <c r="H1047878" s="24"/>
      <c r="I1047878" s="24"/>
      <c r="J1047878" s="24"/>
      <c r="K1047878" s="54"/>
    </row>
    <row r="1047879" spans="1:11" s="55" customFormat="1" ht="12.75">
      <c r="A1047879" s="24"/>
      <c r="B1047879" s="24"/>
      <c r="C1047879" s="24"/>
      <c r="D1047879" s="24"/>
      <c r="E1047879" s="24"/>
      <c r="F1047879" s="24"/>
      <c r="G1047879" s="24"/>
      <c r="H1047879" s="24"/>
      <c r="I1047879" s="24"/>
      <c r="J1047879" s="24"/>
      <c r="K1047879" s="54"/>
    </row>
    <row r="1047880" spans="1:11" s="55" customFormat="1" ht="12.75">
      <c r="A1047880" s="24"/>
      <c r="B1047880" s="24"/>
      <c r="C1047880" s="24"/>
      <c r="D1047880" s="24"/>
      <c r="E1047880" s="24"/>
      <c r="F1047880" s="24"/>
      <c r="G1047880" s="24"/>
      <c r="H1047880" s="24"/>
      <c r="I1047880" s="24"/>
      <c r="J1047880" s="24"/>
      <c r="K1047880" s="54"/>
    </row>
    <row r="1047881" spans="1:11" s="55" customFormat="1" ht="12.75">
      <c r="A1047881" s="24"/>
      <c r="B1047881" s="24"/>
      <c r="C1047881" s="24"/>
      <c r="D1047881" s="24"/>
      <c r="E1047881" s="24"/>
      <c r="F1047881" s="24"/>
      <c r="G1047881" s="24"/>
      <c r="H1047881" s="24"/>
      <c r="I1047881" s="24"/>
      <c r="J1047881" s="24"/>
      <c r="K1047881" s="54"/>
    </row>
    <row r="1047882" spans="1:11" s="55" customFormat="1" ht="12.75">
      <c r="A1047882" s="24"/>
      <c r="B1047882" s="24"/>
      <c r="C1047882" s="24"/>
      <c r="D1047882" s="24"/>
      <c r="E1047882" s="24"/>
      <c r="F1047882" s="24"/>
      <c r="G1047882" s="24"/>
      <c r="H1047882" s="24"/>
      <c r="I1047882" s="24"/>
      <c r="J1047882" s="24"/>
      <c r="K1047882" s="54"/>
    </row>
    <row r="1047883" spans="1:11" s="55" customFormat="1" ht="12.75">
      <c r="A1047883" s="24"/>
      <c r="B1047883" s="24"/>
      <c r="C1047883" s="24"/>
      <c r="D1047883" s="24"/>
      <c r="E1047883" s="24"/>
      <c r="F1047883" s="24"/>
      <c r="G1047883" s="24"/>
      <c r="H1047883" s="24"/>
      <c r="I1047883" s="24"/>
      <c r="J1047883" s="24"/>
      <c r="K1047883" s="54"/>
    </row>
    <row r="1047884" spans="1:11" s="55" customFormat="1" ht="12.75">
      <c r="A1047884" s="24"/>
      <c r="B1047884" s="24"/>
      <c r="C1047884" s="24"/>
      <c r="D1047884" s="24"/>
      <c r="E1047884" s="24"/>
      <c r="F1047884" s="24"/>
      <c r="G1047884" s="24"/>
      <c r="H1047884" s="24"/>
      <c r="I1047884" s="24"/>
      <c r="J1047884" s="24"/>
      <c r="K1047884" s="54"/>
    </row>
    <row r="1047885" spans="1:11" s="55" customFormat="1" ht="12.75">
      <c r="A1047885" s="24"/>
      <c r="B1047885" s="24"/>
      <c r="C1047885" s="24"/>
      <c r="D1047885" s="24"/>
      <c r="E1047885" s="24"/>
      <c r="F1047885" s="24"/>
      <c r="G1047885" s="24"/>
      <c r="H1047885" s="24"/>
      <c r="I1047885" s="24"/>
      <c r="J1047885" s="24"/>
      <c r="K1047885" s="54"/>
    </row>
    <row r="1047886" spans="1:11" s="55" customFormat="1" ht="12.75">
      <c r="A1047886" s="24"/>
      <c r="B1047886" s="24"/>
      <c r="C1047886" s="24"/>
      <c r="D1047886" s="24"/>
      <c r="E1047886" s="24"/>
      <c r="F1047886" s="24"/>
      <c r="G1047886" s="24"/>
      <c r="H1047886" s="24"/>
      <c r="I1047886" s="24"/>
      <c r="J1047886" s="24"/>
      <c r="K1047886" s="54"/>
    </row>
    <row r="1047887" spans="1:11" s="55" customFormat="1" ht="12.75">
      <c r="A1047887" s="24"/>
      <c r="B1047887" s="24"/>
      <c r="C1047887" s="24"/>
      <c r="D1047887" s="24"/>
      <c r="E1047887" s="24"/>
      <c r="F1047887" s="24"/>
      <c r="G1047887" s="24"/>
      <c r="H1047887" s="24"/>
      <c r="I1047887" s="24"/>
      <c r="J1047887" s="24"/>
      <c r="K1047887" s="54"/>
    </row>
    <row r="1047888" spans="1:11" s="55" customFormat="1" ht="12.75">
      <c r="A1047888" s="24"/>
      <c r="B1047888" s="24"/>
      <c r="C1047888" s="24"/>
      <c r="D1047888" s="24"/>
      <c r="E1047888" s="24"/>
      <c r="F1047888" s="24"/>
      <c r="G1047888" s="24"/>
      <c r="H1047888" s="24"/>
      <c r="I1047888" s="24"/>
      <c r="J1047888" s="24"/>
      <c r="K1047888" s="54"/>
    </row>
    <row r="1047889" spans="1:11" s="55" customFormat="1" ht="12.75">
      <c r="A1047889" s="24"/>
      <c r="B1047889" s="24"/>
      <c r="C1047889" s="24"/>
      <c r="D1047889" s="24"/>
      <c r="E1047889" s="24"/>
      <c r="F1047889" s="24"/>
      <c r="G1047889" s="24"/>
      <c r="H1047889" s="24"/>
      <c r="I1047889" s="24"/>
      <c r="J1047889" s="24"/>
      <c r="K1047889" s="54"/>
    </row>
    <row r="1047890" spans="1:11" s="55" customFormat="1" ht="12.75">
      <c r="A1047890" s="24"/>
      <c r="B1047890" s="24"/>
      <c r="C1047890" s="24"/>
      <c r="D1047890" s="24"/>
      <c r="E1047890" s="24"/>
      <c r="F1047890" s="24"/>
      <c r="G1047890" s="24"/>
      <c r="H1047890" s="24"/>
      <c r="I1047890" s="24"/>
      <c r="J1047890" s="24"/>
      <c r="K1047890" s="54"/>
    </row>
    <row r="1047891" spans="1:11" s="55" customFormat="1" ht="12.75">
      <c r="A1047891" s="24"/>
      <c r="B1047891" s="24"/>
      <c r="C1047891" s="24"/>
      <c r="D1047891" s="24"/>
      <c r="E1047891" s="24"/>
      <c r="F1047891" s="24"/>
      <c r="G1047891" s="24"/>
      <c r="H1047891" s="24"/>
      <c r="I1047891" s="24"/>
      <c r="J1047891" s="24"/>
      <c r="K1047891" s="54"/>
    </row>
    <row r="1047892" spans="1:11" s="55" customFormat="1" ht="12.75">
      <c r="A1047892" s="24"/>
      <c r="B1047892" s="24"/>
      <c r="C1047892" s="24"/>
      <c r="D1047892" s="24"/>
      <c r="E1047892" s="24"/>
      <c r="F1047892" s="24"/>
      <c r="G1047892" s="24"/>
      <c r="H1047892" s="24"/>
      <c r="I1047892" s="24"/>
      <c r="J1047892" s="24"/>
      <c r="K1047892" s="54"/>
    </row>
    <row r="1047893" spans="1:11" s="55" customFormat="1" ht="12.75">
      <c r="A1047893" s="24"/>
      <c r="B1047893" s="24"/>
      <c r="C1047893" s="24"/>
      <c r="D1047893" s="24"/>
      <c r="E1047893" s="24"/>
      <c r="F1047893" s="24"/>
      <c r="G1047893" s="24"/>
      <c r="H1047893" s="24"/>
      <c r="I1047893" s="24"/>
      <c r="J1047893" s="24"/>
      <c r="K1047893" s="54"/>
    </row>
    <row r="1047894" spans="1:11" s="55" customFormat="1" ht="12.75">
      <c r="A1047894" s="24"/>
      <c r="B1047894" s="24"/>
      <c r="C1047894" s="24"/>
      <c r="D1047894" s="24"/>
      <c r="E1047894" s="24"/>
      <c r="F1047894" s="24"/>
      <c r="G1047894" s="24"/>
      <c r="H1047894" s="24"/>
      <c r="I1047894" s="24"/>
      <c r="J1047894" s="24"/>
      <c r="K1047894" s="54"/>
    </row>
    <row r="1047895" spans="1:11" s="55" customFormat="1" ht="12.75">
      <c r="A1047895" s="24"/>
      <c r="B1047895" s="24"/>
      <c r="C1047895" s="24"/>
      <c r="D1047895" s="24"/>
      <c r="E1047895" s="24"/>
      <c r="F1047895" s="24"/>
      <c r="G1047895" s="24"/>
      <c r="H1047895" s="24"/>
      <c r="I1047895" s="24"/>
      <c r="J1047895" s="24"/>
      <c r="K1047895" s="54"/>
    </row>
    <row r="1047896" spans="1:11" s="55" customFormat="1" ht="12.75">
      <c r="A1047896" s="24"/>
      <c r="B1047896" s="24"/>
      <c r="C1047896" s="24"/>
      <c r="D1047896" s="24"/>
      <c r="E1047896" s="24"/>
      <c r="F1047896" s="24"/>
      <c r="G1047896" s="24"/>
      <c r="H1047896" s="24"/>
      <c r="I1047896" s="24"/>
      <c r="J1047896" s="24"/>
      <c r="K1047896" s="54"/>
    </row>
    <row r="1047897" spans="1:11" s="55" customFormat="1" ht="12.75">
      <c r="A1047897" s="24"/>
      <c r="B1047897" s="24"/>
      <c r="C1047897" s="24"/>
      <c r="D1047897" s="24"/>
      <c r="E1047897" s="24"/>
      <c r="F1047897" s="24"/>
      <c r="G1047897" s="24"/>
      <c r="H1047897" s="24"/>
      <c r="I1047897" s="24"/>
      <c r="J1047897" s="24"/>
      <c r="K1047897" s="54"/>
    </row>
    <row r="1047898" spans="1:11" s="55" customFormat="1" ht="12.75">
      <c r="A1047898" s="24"/>
      <c r="B1047898" s="24"/>
      <c r="C1047898" s="24"/>
      <c r="D1047898" s="24"/>
      <c r="E1047898" s="24"/>
      <c r="F1047898" s="24"/>
      <c r="G1047898" s="24"/>
      <c r="H1047898" s="24"/>
      <c r="I1047898" s="24"/>
      <c r="J1047898" s="24"/>
      <c r="K1047898" s="54"/>
    </row>
    <row r="1047899" spans="1:11" s="55" customFormat="1" ht="12.75">
      <c r="A1047899" s="24"/>
      <c r="B1047899" s="24"/>
      <c r="C1047899" s="24"/>
      <c r="D1047899" s="24"/>
      <c r="E1047899" s="24"/>
      <c r="F1047899" s="24"/>
      <c r="G1047899" s="24"/>
      <c r="H1047899" s="24"/>
      <c r="I1047899" s="24"/>
      <c r="J1047899" s="24"/>
      <c r="K1047899" s="54"/>
    </row>
    <row r="1047900" spans="1:11" s="55" customFormat="1" ht="12.75">
      <c r="A1047900" s="24"/>
      <c r="B1047900" s="24"/>
      <c r="C1047900" s="24"/>
      <c r="D1047900" s="24"/>
      <c r="E1047900" s="24"/>
      <c r="F1047900" s="24"/>
      <c r="G1047900" s="24"/>
      <c r="H1047900" s="24"/>
      <c r="I1047900" s="24"/>
      <c r="J1047900" s="24"/>
      <c r="K1047900" s="54"/>
    </row>
    <row r="1047901" spans="1:11" s="55" customFormat="1" ht="12.75">
      <c r="A1047901" s="24"/>
      <c r="B1047901" s="24"/>
      <c r="C1047901" s="24"/>
      <c r="D1047901" s="24"/>
      <c r="E1047901" s="24"/>
      <c r="F1047901" s="24"/>
      <c r="G1047901" s="24"/>
      <c r="H1047901" s="24"/>
      <c r="I1047901" s="24"/>
      <c r="J1047901" s="24"/>
      <c r="K1047901" s="54"/>
    </row>
    <row r="1047902" spans="1:11" s="55" customFormat="1" ht="12.75">
      <c r="A1047902" s="24"/>
      <c r="B1047902" s="24"/>
      <c r="C1047902" s="24"/>
      <c r="D1047902" s="24"/>
      <c r="E1047902" s="24"/>
      <c r="F1047902" s="24"/>
      <c r="G1047902" s="24"/>
      <c r="H1047902" s="24"/>
      <c r="I1047902" s="24"/>
      <c r="J1047902" s="24"/>
      <c r="K1047902" s="54"/>
    </row>
    <row r="1047903" spans="1:11" s="55" customFormat="1" ht="12.75">
      <c r="A1047903" s="24"/>
      <c r="B1047903" s="24"/>
      <c r="C1047903" s="24"/>
      <c r="D1047903" s="24"/>
      <c r="E1047903" s="24"/>
      <c r="F1047903" s="24"/>
      <c r="G1047903" s="24"/>
      <c r="H1047903" s="24"/>
      <c r="I1047903" s="24"/>
      <c r="J1047903" s="24"/>
      <c r="K1047903" s="54"/>
    </row>
    <row r="1047904" spans="1:11" s="55" customFormat="1" ht="12.75">
      <c r="A1047904" s="24"/>
      <c r="B1047904" s="24"/>
      <c r="C1047904" s="24"/>
      <c r="D1047904" s="24"/>
      <c r="E1047904" s="24"/>
      <c r="F1047904" s="24"/>
      <c r="G1047904" s="24"/>
      <c r="H1047904" s="24"/>
      <c r="I1047904" s="24"/>
      <c r="J1047904" s="24"/>
      <c r="K1047904" s="54"/>
    </row>
    <row r="1047905" spans="1:11" s="55" customFormat="1" ht="12.75">
      <c r="A1047905" s="24"/>
      <c r="B1047905" s="24"/>
      <c r="C1047905" s="24"/>
      <c r="D1047905" s="24"/>
      <c r="E1047905" s="24"/>
      <c r="F1047905" s="24"/>
      <c r="G1047905" s="24"/>
      <c r="H1047905" s="24"/>
      <c r="I1047905" s="24"/>
      <c r="J1047905" s="24"/>
      <c r="K1047905" s="54"/>
    </row>
    <row r="1047906" spans="1:11" s="55" customFormat="1" ht="12.75">
      <c r="A1047906" s="24"/>
      <c r="B1047906" s="24"/>
      <c r="C1047906" s="24"/>
      <c r="D1047906" s="24"/>
      <c r="E1047906" s="24"/>
      <c r="F1047906" s="24"/>
      <c r="G1047906" s="24"/>
      <c r="H1047906" s="24"/>
      <c r="I1047906" s="24"/>
      <c r="J1047906" s="24"/>
      <c r="K1047906" s="54"/>
    </row>
    <row r="1047907" spans="1:11" s="55" customFormat="1" ht="12.75">
      <c r="A1047907" s="24"/>
      <c r="B1047907" s="24"/>
      <c r="C1047907" s="24"/>
      <c r="D1047907" s="24"/>
      <c r="E1047907" s="24"/>
      <c r="F1047907" s="24"/>
      <c r="G1047907" s="24"/>
      <c r="H1047907" s="24"/>
      <c r="I1047907" s="24"/>
      <c r="J1047907" s="24"/>
      <c r="K1047907" s="54"/>
    </row>
    <row r="1047908" spans="1:11" s="55" customFormat="1" ht="12.75">
      <c r="A1047908" s="24"/>
      <c r="B1047908" s="24"/>
      <c r="C1047908" s="24"/>
      <c r="D1047908" s="24"/>
      <c r="E1047908" s="24"/>
      <c r="F1047908" s="24"/>
      <c r="G1047908" s="24"/>
      <c r="H1047908" s="24"/>
      <c r="I1047908" s="24"/>
      <c r="J1047908" s="24"/>
      <c r="K1047908" s="54"/>
    </row>
    <row r="1047909" spans="1:11" s="55" customFormat="1" ht="12.75">
      <c r="A1047909" s="24"/>
      <c r="B1047909" s="24"/>
      <c r="C1047909" s="24"/>
      <c r="D1047909" s="24"/>
      <c r="E1047909" s="24"/>
      <c r="F1047909" s="24"/>
      <c r="G1047909" s="24"/>
      <c r="H1047909" s="24"/>
      <c r="I1047909" s="24"/>
      <c r="J1047909" s="24"/>
      <c r="K1047909" s="54"/>
    </row>
    <row r="1047910" spans="1:11" s="55" customFormat="1" ht="12.75">
      <c r="A1047910" s="24"/>
      <c r="B1047910" s="24"/>
      <c r="C1047910" s="24"/>
      <c r="D1047910" s="24"/>
      <c r="E1047910" s="24"/>
      <c r="F1047910" s="24"/>
      <c r="G1047910" s="24"/>
      <c r="H1047910" s="24"/>
      <c r="I1047910" s="24"/>
      <c r="J1047910" s="24"/>
      <c r="K1047910" s="54"/>
    </row>
    <row r="1047911" spans="1:11" s="55" customFormat="1" ht="12.75">
      <c r="A1047911" s="24"/>
      <c r="B1047911" s="24"/>
      <c r="C1047911" s="24"/>
      <c r="D1047911" s="24"/>
      <c r="E1047911" s="24"/>
      <c r="F1047911" s="24"/>
      <c r="G1047911" s="24"/>
      <c r="H1047911" s="24"/>
      <c r="I1047911" s="24"/>
      <c r="J1047911" s="24"/>
      <c r="K1047911" s="54"/>
    </row>
    <row r="1047912" spans="1:11" s="55" customFormat="1" ht="12.75">
      <c r="A1047912" s="24"/>
      <c r="B1047912" s="24"/>
      <c r="C1047912" s="24"/>
      <c r="D1047912" s="24"/>
      <c r="E1047912" s="24"/>
      <c r="F1047912" s="24"/>
      <c r="G1047912" s="24"/>
      <c r="H1047912" s="24"/>
      <c r="I1047912" s="24"/>
      <c r="J1047912" s="24"/>
      <c r="K1047912" s="54"/>
    </row>
    <row r="1047913" spans="1:11" s="55" customFormat="1" ht="12.75">
      <c r="A1047913" s="24"/>
      <c r="B1047913" s="24"/>
      <c r="C1047913" s="24"/>
      <c r="D1047913" s="24"/>
      <c r="E1047913" s="24"/>
      <c r="F1047913" s="24"/>
      <c r="G1047913" s="24"/>
      <c r="H1047913" s="24"/>
      <c r="I1047913" s="24"/>
      <c r="J1047913" s="24"/>
      <c r="K1047913" s="54"/>
    </row>
    <row r="1047914" spans="1:11" s="55" customFormat="1" ht="12.75">
      <c r="A1047914" s="24"/>
      <c r="B1047914" s="24"/>
      <c r="C1047914" s="24"/>
      <c r="D1047914" s="24"/>
      <c r="E1047914" s="24"/>
      <c r="F1047914" s="24"/>
      <c r="G1047914" s="24"/>
      <c r="H1047914" s="24"/>
      <c r="I1047914" s="24"/>
      <c r="J1047914" s="24"/>
      <c r="K1047914" s="54"/>
    </row>
    <row r="1047915" spans="1:11" s="55" customFormat="1" ht="12.75">
      <c r="A1047915" s="24"/>
      <c r="B1047915" s="24"/>
      <c r="C1047915" s="24"/>
      <c r="D1047915" s="24"/>
      <c r="E1047915" s="24"/>
      <c r="F1047915" s="24"/>
      <c r="G1047915" s="24"/>
      <c r="H1047915" s="24"/>
      <c r="I1047915" s="24"/>
      <c r="J1047915" s="24"/>
      <c r="K1047915" s="54"/>
    </row>
    <row r="1047916" spans="1:11" s="55" customFormat="1" ht="12.75">
      <c r="A1047916" s="24"/>
      <c r="B1047916" s="24"/>
      <c r="C1047916" s="24"/>
      <c r="D1047916" s="24"/>
      <c r="E1047916" s="24"/>
      <c r="F1047916" s="24"/>
      <c r="G1047916" s="24"/>
      <c r="H1047916" s="24"/>
      <c r="I1047916" s="24"/>
      <c r="J1047916" s="24"/>
      <c r="K1047916" s="54"/>
    </row>
    <row r="1047917" spans="1:11" s="55" customFormat="1" ht="12.75">
      <c r="A1047917" s="24"/>
      <c r="B1047917" s="24"/>
      <c r="C1047917" s="24"/>
      <c r="D1047917" s="24"/>
      <c r="E1047917" s="24"/>
      <c r="F1047917" s="24"/>
      <c r="G1047917" s="24"/>
      <c r="H1047917" s="24"/>
      <c r="I1047917" s="24"/>
      <c r="J1047917" s="24"/>
      <c r="K1047917" s="54"/>
    </row>
    <row r="1047918" spans="1:11" s="55" customFormat="1" ht="12.75">
      <c r="A1047918" s="24"/>
      <c r="B1047918" s="24"/>
      <c r="C1047918" s="24"/>
      <c r="D1047918" s="24"/>
      <c r="E1047918" s="24"/>
      <c r="F1047918" s="24"/>
      <c r="G1047918" s="24"/>
      <c r="H1047918" s="24"/>
      <c r="I1047918" s="24"/>
      <c r="J1047918" s="24"/>
      <c r="K1047918" s="54"/>
    </row>
    <row r="1047919" spans="1:11" s="55" customFormat="1" ht="12.75">
      <c r="A1047919" s="24"/>
      <c r="B1047919" s="24"/>
      <c r="C1047919" s="24"/>
      <c r="D1047919" s="24"/>
      <c r="E1047919" s="24"/>
      <c r="F1047919" s="24"/>
      <c r="G1047919" s="24"/>
      <c r="H1047919" s="24"/>
      <c r="I1047919" s="24"/>
      <c r="J1047919" s="24"/>
      <c r="K1047919" s="54"/>
    </row>
    <row r="1047920" spans="1:11" s="55" customFormat="1" ht="12.75">
      <c r="A1047920" s="24"/>
      <c r="B1047920" s="24"/>
      <c r="C1047920" s="24"/>
      <c r="D1047920" s="24"/>
      <c r="E1047920" s="24"/>
      <c r="F1047920" s="24"/>
      <c r="G1047920" s="24"/>
      <c r="H1047920" s="24"/>
      <c r="I1047920" s="24"/>
      <c r="J1047920" s="24"/>
      <c r="K1047920" s="54"/>
    </row>
    <row r="1047921" spans="1:11" s="55" customFormat="1" ht="12.75">
      <c r="A1047921" s="24"/>
      <c r="B1047921" s="24"/>
      <c r="C1047921" s="24"/>
      <c r="D1047921" s="24"/>
      <c r="E1047921" s="24"/>
      <c r="F1047921" s="24"/>
      <c r="G1047921" s="24"/>
      <c r="H1047921" s="24"/>
      <c r="I1047921" s="24"/>
      <c r="J1047921" s="24"/>
      <c r="K1047921" s="54"/>
    </row>
    <row r="1047922" spans="1:11" s="55" customFormat="1" ht="12.75">
      <c r="A1047922" s="24"/>
      <c r="B1047922" s="24"/>
      <c r="C1047922" s="24"/>
      <c r="D1047922" s="24"/>
      <c r="E1047922" s="24"/>
      <c r="F1047922" s="24"/>
      <c r="G1047922" s="24"/>
      <c r="H1047922" s="24"/>
      <c r="I1047922" s="24"/>
      <c r="J1047922" s="24"/>
      <c r="K1047922" s="54"/>
    </row>
    <row r="1047923" spans="1:11" s="55" customFormat="1" ht="12.75">
      <c r="A1047923" s="24"/>
      <c r="B1047923" s="24"/>
      <c r="C1047923" s="24"/>
      <c r="D1047923" s="24"/>
      <c r="E1047923" s="24"/>
      <c r="F1047923" s="24"/>
      <c r="G1047923" s="24"/>
      <c r="H1047923" s="24"/>
      <c r="I1047923" s="24"/>
      <c r="J1047923" s="24"/>
      <c r="K1047923" s="54"/>
    </row>
    <row r="1047924" spans="1:11" s="55" customFormat="1" ht="12.75">
      <c r="A1047924" s="24"/>
      <c r="B1047924" s="24"/>
      <c r="C1047924" s="24"/>
      <c r="D1047924" s="24"/>
      <c r="E1047924" s="24"/>
      <c r="F1047924" s="24"/>
      <c r="G1047924" s="24"/>
      <c r="H1047924" s="24"/>
      <c r="I1047924" s="24"/>
      <c r="J1047924" s="24"/>
      <c r="K1047924" s="54"/>
    </row>
    <row r="1047925" spans="1:11" s="55" customFormat="1" ht="12.75">
      <c r="A1047925" s="24"/>
      <c r="B1047925" s="24"/>
      <c r="C1047925" s="24"/>
      <c r="D1047925" s="24"/>
      <c r="E1047925" s="24"/>
      <c r="F1047925" s="24"/>
      <c r="G1047925" s="24"/>
      <c r="H1047925" s="24"/>
      <c r="I1047925" s="24"/>
      <c r="J1047925" s="24"/>
      <c r="K1047925" s="54"/>
    </row>
    <row r="1047926" spans="1:11" s="55" customFormat="1" ht="12.75">
      <c r="A1047926" s="24"/>
      <c r="B1047926" s="24"/>
      <c r="C1047926" s="24"/>
      <c r="D1047926" s="24"/>
      <c r="E1047926" s="24"/>
      <c r="F1047926" s="24"/>
      <c r="G1047926" s="24"/>
      <c r="H1047926" s="24"/>
      <c r="I1047926" s="24"/>
      <c r="J1047926" s="24"/>
      <c r="K1047926" s="54"/>
    </row>
    <row r="1047927" spans="1:11" s="55" customFormat="1" ht="12.75">
      <c r="A1047927" s="24"/>
      <c r="B1047927" s="24"/>
      <c r="C1047927" s="24"/>
      <c r="D1047927" s="24"/>
      <c r="E1047927" s="24"/>
      <c r="F1047927" s="24"/>
      <c r="G1047927" s="24"/>
      <c r="H1047927" s="24"/>
      <c r="I1047927" s="24"/>
      <c r="J1047927" s="24"/>
      <c r="K1047927" s="54"/>
    </row>
    <row r="1047928" spans="1:11" s="55" customFormat="1" ht="12.75">
      <c r="A1047928" s="24"/>
      <c r="B1047928" s="24"/>
      <c r="C1047928" s="24"/>
      <c r="D1047928" s="24"/>
      <c r="E1047928" s="24"/>
      <c r="F1047928" s="24"/>
      <c r="G1047928" s="24"/>
      <c r="H1047928" s="24"/>
      <c r="I1047928" s="24"/>
      <c r="J1047928" s="24"/>
      <c r="K1047928" s="54"/>
    </row>
    <row r="1047929" spans="1:11" s="55" customFormat="1" ht="12.75">
      <c r="A1047929" s="24"/>
      <c r="B1047929" s="24"/>
      <c r="C1047929" s="24"/>
      <c r="D1047929" s="24"/>
      <c r="E1047929" s="24"/>
      <c r="F1047929" s="24"/>
      <c r="G1047929" s="24"/>
      <c r="H1047929" s="24"/>
      <c r="I1047929" s="24"/>
      <c r="J1047929" s="24"/>
      <c r="K1047929" s="54"/>
    </row>
    <row r="1047930" spans="1:11" s="55" customFormat="1" ht="12.75">
      <c r="A1047930" s="24"/>
      <c r="B1047930" s="24"/>
      <c r="C1047930" s="24"/>
      <c r="D1047930" s="24"/>
      <c r="E1047930" s="24"/>
      <c r="F1047930" s="24"/>
      <c r="G1047930" s="24"/>
      <c r="H1047930" s="24"/>
      <c r="I1047930" s="24"/>
      <c r="J1047930" s="24"/>
      <c r="K1047930" s="54"/>
    </row>
    <row r="1047931" spans="1:11" s="55" customFormat="1" ht="12.75">
      <c r="A1047931" s="24"/>
      <c r="B1047931" s="24"/>
      <c r="C1047931" s="24"/>
      <c r="D1047931" s="24"/>
      <c r="E1047931" s="24"/>
      <c r="F1047931" s="24"/>
      <c r="G1047931" s="24"/>
      <c r="H1047931" s="24"/>
      <c r="I1047931" s="24"/>
      <c r="J1047931" s="24"/>
      <c r="K1047931" s="54"/>
    </row>
    <row r="1047932" spans="1:11" s="55" customFormat="1" ht="12.75">
      <c r="A1047932" s="24"/>
      <c r="B1047932" s="24"/>
      <c r="C1047932" s="24"/>
      <c r="D1047932" s="24"/>
      <c r="E1047932" s="24"/>
      <c r="F1047932" s="24"/>
      <c r="G1047932" s="24"/>
      <c r="H1047932" s="24"/>
      <c r="I1047932" s="24"/>
      <c r="J1047932" s="24"/>
      <c r="K1047932" s="54"/>
    </row>
    <row r="1047933" spans="1:11" s="55" customFormat="1" ht="12.75">
      <c r="A1047933" s="24"/>
      <c r="B1047933" s="24"/>
      <c r="C1047933" s="24"/>
      <c r="D1047933" s="24"/>
      <c r="E1047933" s="24"/>
      <c r="F1047933" s="24"/>
      <c r="G1047933" s="24"/>
      <c r="H1047933" s="24"/>
      <c r="I1047933" s="24"/>
      <c r="J1047933" s="24"/>
      <c r="K1047933" s="54"/>
    </row>
    <row r="1047934" spans="1:11" s="55" customFormat="1" ht="12.75">
      <c r="A1047934" s="24"/>
      <c r="B1047934" s="24"/>
      <c r="C1047934" s="24"/>
      <c r="D1047934" s="24"/>
      <c r="E1047934" s="24"/>
      <c r="F1047934" s="24"/>
      <c r="G1047934" s="24"/>
      <c r="H1047934" s="24"/>
      <c r="I1047934" s="24"/>
      <c r="J1047934" s="24"/>
      <c r="K1047934" s="54"/>
    </row>
    <row r="1047935" spans="1:11" s="55" customFormat="1" ht="12.75">
      <c r="A1047935" s="24"/>
      <c r="B1047935" s="24"/>
      <c r="C1047935" s="24"/>
      <c r="D1047935" s="24"/>
      <c r="E1047935" s="24"/>
      <c r="F1047935" s="24"/>
      <c r="G1047935" s="24"/>
      <c r="H1047935" s="24"/>
      <c r="I1047935" s="24"/>
      <c r="J1047935" s="24"/>
      <c r="K1047935" s="54"/>
    </row>
    <row r="1047936" spans="1:11" s="55" customFormat="1" ht="12.75">
      <c r="A1047936" s="24"/>
      <c r="B1047936" s="24"/>
      <c r="C1047936" s="24"/>
      <c r="D1047936" s="24"/>
      <c r="E1047936" s="24"/>
      <c r="F1047936" s="24"/>
      <c r="G1047936" s="24"/>
      <c r="H1047936" s="24"/>
      <c r="I1047936" s="24"/>
      <c r="J1047936" s="24"/>
      <c r="K1047936" s="54"/>
    </row>
    <row r="1047937" spans="1:11" s="55" customFormat="1" ht="12.75">
      <c r="A1047937" s="24"/>
      <c r="B1047937" s="24"/>
      <c r="C1047937" s="24"/>
      <c r="D1047937" s="24"/>
      <c r="E1047937" s="24"/>
      <c r="F1047937" s="24"/>
      <c r="G1047937" s="24"/>
      <c r="H1047937" s="24"/>
      <c r="I1047937" s="24"/>
      <c r="J1047937" s="24"/>
      <c r="K1047937" s="54"/>
    </row>
    <row r="1047938" spans="1:11" s="55" customFormat="1" ht="12.75">
      <c r="A1047938" s="24"/>
      <c r="B1047938" s="24"/>
      <c r="C1047938" s="24"/>
      <c r="D1047938" s="24"/>
      <c r="E1047938" s="24"/>
      <c r="F1047938" s="24"/>
      <c r="G1047938" s="24"/>
      <c r="H1047938" s="24"/>
      <c r="I1047938" s="24"/>
      <c r="J1047938" s="24"/>
      <c r="K1047938" s="54"/>
    </row>
    <row r="1047939" spans="1:11" s="55" customFormat="1" ht="12.75">
      <c r="A1047939" s="24"/>
      <c r="B1047939" s="24"/>
      <c r="C1047939" s="24"/>
      <c r="D1047939" s="24"/>
      <c r="E1047939" s="24"/>
      <c r="F1047939" s="24"/>
      <c r="G1047939" s="24"/>
      <c r="H1047939" s="24"/>
      <c r="I1047939" s="24"/>
      <c r="J1047939" s="24"/>
      <c r="K1047939" s="54"/>
    </row>
    <row r="1047940" spans="1:11" s="55" customFormat="1" ht="12.75">
      <c r="A1047940" s="24"/>
      <c r="B1047940" s="24"/>
      <c r="C1047940" s="24"/>
      <c r="D1047940" s="24"/>
      <c r="E1047940" s="24"/>
      <c r="F1047940" s="24"/>
      <c r="G1047940" s="24"/>
      <c r="H1047940" s="24"/>
      <c r="I1047940" s="24"/>
      <c r="J1047940" s="24"/>
      <c r="K1047940" s="54"/>
    </row>
    <row r="1047941" spans="1:11" s="55" customFormat="1" ht="12.75">
      <c r="A1047941" s="24"/>
      <c r="B1047941" s="24"/>
      <c r="C1047941" s="24"/>
      <c r="D1047941" s="24"/>
      <c r="E1047941" s="24"/>
      <c r="F1047941" s="24"/>
      <c r="G1047941" s="24"/>
      <c r="H1047941" s="24"/>
      <c r="I1047941" s="24"/>
      <c r="J1047941" s="24"/>
      <c r="K1047941" s="54"/>
    </row>
    <row r="1047942" spans="1:11" s="55" customFormat="1" ht="12.75">
      <c r="A1047942" s="24"/>
      <c r="B1047942" s="24"/>
      <c r="C1047942" s="24"/>
      <c r="D1047942" s="24"/>
      <c r="E1047942" s="24"/>
      <c r="F1047942" s="24"/>
      <c r="G1047942" s="24"/>
      <c r="H1047942" s="24"/>
      <c r="I1047942" s="24"/>
      <c r="J1047942" s="24"/>
      <c r="K1047942" s="54"/>
    </row>
    <row r="1047943" spans="1:11" s="55" customFormat="1" ht="12.75">
      <c r="A1047943" s="24"/>
      <c r="B1047943" s="24"/>
      <c r="C1047943" s="24"/>
      <c r="D1047943" s="24"/>
      <c r="E1047943" s="24"/>
      <c r="F1047943" s="24"/>
      <c r="G1047943" s="24"/>
      <c r="H1047943" s="24"/>
      <c r="I1047943" s="24"/>
      <c r="J1047943" s="24"/>
      <c r="K1047943" s="54"/>
    </row>
    <row r="1047944" spans="1:11" s="55" customFormat="1" ht="12.75">
      <c r="A1047944" s="24"/>
      <c r="B1047944" s="24"/>
      <c r="C1047944" s="24"/>
      <c r="D1047944" s="24"/>
      <c r="E1047944" s="24"/>
      <c r="F1047944" s="24"/>
      <c r="G1047944" s="24"/>
      <c r="H1047944" s="24"/>
      <c r="I1047944" s="24"/>
      <c r="J1047944" s="24"/>
      <c r="K1047944" s="54"/>
    </row>
    <row r="1047945" spans="1:11" s="55" customFormat="1" ht="12.75">
      <c r="A1047945" s="24"/>
      <c r="B1047945" s="24"/>
      <c r="C1047945" s="24"/>
      <c r="D1047945" s="24"/>
      <c r="E1047945" s="24"/>
      <c r="F1047945" s="24"/>
      <c r="G1047945" s="24"/>
      <c r="H1047945" s="24"/>
      <c r="I1047945" s="24"/>
      <c r="J1047945" s="24"/>
      <c r="K1047945" s="54"/>
    </row>
    <row r="1047946" spans="1:11" s="55" customFormat="1" ht="12.75">
      <c r="A1047946" s="24"/>
      <c r="B1047946" s="24"/>
      <c r="C1047946" s="24"/>
      <c r="D1047946" s="24"/>
      <c r="E1047946" s="24"/>
      <c r="F1047946" s="24"/>
      <c r="G1047946" s="24"/>
      <c r="H1047946" s="24"/>
      <c r="I1047946" s="24"/>
      <c r="J1047946" s="24"/>
      <c r="K1047946" s="54"/>
    </row>
    <row r="1047947" spans="1:11" s="55" customFormat="1" ht="12.75">
      <c r="A1047947" s="24"/>
      <c r="B1047947" s="24"/>
      <c r="C1047947" s="24"/>
      <c r="D1047947" s="24"/>
      <c r="E1047947" s="24"/>
      <c r="F1047947" s="24"/>
      <c r="G1047947" s="24"/>
      <c r="H1047947" s="24"/>
      <c r="I1047947" s="24"/>
      <c r="J1047947" s="24"/>
      <c r="K1047947" s="54"/>
    </row>
    <row r="1047948" spans="1:11" s="55" customFormat="1" ht="12.75">
      <c r="A1047948" s="24"/>
      <c r="B1047948" s="24"/>
      <c r="C1047948" s="24"/>
      <c r="D1047948" s="24"/>
      <c r="E1047948" s="24"/>
      <c r="F1047948" s="24"/>
      <c r="G1047948" s="24"/>
      <c r="H1047948" s="24"/>
      <c r="I1047948" s="24"/>
      <c r="J1047948" s="24"/>
      <c r="K1047948" s="54"/>
    </row>
    <row r="1047949" spans="1:11" s="55" customFormat="1" ht="12.75">
      <c r="A1047949" s="24"/>
      <c r="B1047949" s="24"/>
      <c r="C1047949" s="24"/>
      <c r="D1047949" s="24"/>
      <c r="E1047949" s="24"/>
      <c r="F1047949" s="24"/>
      <c r="G1047949" s="24"/>
      <c r="H1047949" s="24"/>
      <c r="I1047949" s="24"/>
      <c r="J1047949" s="24"/>
      <c r="K1047949" s="54"/>
    </row>
    <row r="1047950" spans="1:11" s="55" customFormat="1" ht="12.75">
      <c r="A1047950" s="24"/>
      <c r="B1047950" s="24"/>
      <c r="C1047950" s="24"/>
      <c r="D1047950" s="24"/>
      <c r="E1047950" s="24"/>
      <c r="F1047950" s="24"/>
      <c r="G1047950" s="24"/>
      <c r="H1047950" s="24"/>
      <c r="I1047950" s="24"/>
      <c r="J1047950" s="24"/>
      <c r="K1047950" s="54"/>
    </row>
    <row r="1047951" spans="1:11" s="55" customFormat="1" ht="12.75">
      <c r="A1047951" s="24"/>
      <c r="B1047951" s="24"/>
      <c r="C1047951" s="24"/>
      <c r="D1047951" s="24"/>
      <c r="E1047951" s="24"/>
      <c r="F1047951" s="24"/>
      <c r="G1047951" s="24"/>
      <c r="H1047951" s="24"/>
      <c r="I1047951" s="24"/>
      <c r="J1047951" s="24"/>
      <c r="K1047951" s="54"/>
    </row>
    <row r="1047952" spans="1:11" s="55" customFormat="1" ht="12.75">
      <c r="A1047952" s="24"/>
      <c r="B1047952" s="24"/>
      <c r="C1047952" s="24"/>
      <c r="D1047952" s="24"/>
      <c r="E1047952" s="24"/>
      <c r="F1047952" s="24"/>
      <c r="G1047952" s="24"/>
      <c r="H1047952" s="24"/>
      <c r="I1047952" s="24"/>
      <c r="J1047952" s="24"/>
      <c r="K1047952" s="54"/>
    </row>
    <row r="1047953" spans="1:11" s="55" customFormat="1" ht="12.75">
      <c r="A1047953" s="24"/>
      <c r="B1047953" s="24"/>
      <c r="C1047953" s="24"/>
      <c r="D1047953" s="24"/>
      <c r="E1047953" s="24"/>
      <c r="F1047953" s="24"/>
      <c r="G1047953" s="24"/>
      <c r="H1047953" s="24"/>
      <c r="I1047953" s="24"/>
      <c r="J1047953" s="24"/>
      <c r="K1047953" s="54"/>
    </row>
    <row r="1047954" spans="1:11" s="55" customFormat="1" ht="12.75">
      <c r="A1047954" s="24"/>
      <c r="B1047954" s="24"/>
      <c r="C1047954" s="24"/>
      <c r="D1047954" s="24"/>
      <c r="E1047954" s="24"/>
      <c r="F1047954" s="24"/>
      <c r="G1047954" s="24"/>
      <c r="H1047954" s="24"/>
      <c r="I1047954" s="24"/>
      <c r="J1047954" s="24"/>
      <c r="K1047954" s="54"/>
    </row>
    <row r="1047955" spans="1:11" s="55" customFormat="1" ht="12.75">
      <c r="A1047955" s="24"/>
      <c r="B1047955" s="24"/>
      <c r="C1047955" s="24"/>
      <c r="D1047955" s="24"/>
      <c r="E1047955" s="24"/>
      <c r="F1047955" s="24"/>
      <c r="G1047955" s="24"/>
      <c r="H1047955" s="24"/>
      <c r="I1047955" s="24"/>
      <c r="J1047955" s="24"/>
      <c r="K1047955" s="54"/>
    </row>
    <row r="1047956" spans="1:11" s="55" customFormat="1" ht="12.75">
      <c r="A1047956" s="24"/>
      <c r="B1047956" s="24"/>
      <c r="C1047956" s="24"/>
      <c r="D1047956" s="24"/>
      <c r="E1047956" s="24"/>
      <c r="F1047956" s="24"/>
      <c r="G1047956" s="24"/>
      <c r="H1047956" s="24"/>
      <c r="I1047956" s="24"/>
      <c r="J1047956" s="24"/>
      <c r="K1047956" s="54"/>
    </row>
    <row r="1047957" spans="1:11" s="55" customFormat="1" ht="12.75">
      <c r="A1047957" s="24"/>
      <c r="B1047957" s="24"/>
      <c r="C1047957" s="24"/>
      <c r="D1047957" s="24"/>
      <c r="E1047957" s="24"/>
      <c r="F1047957" s="24"/>
      <c r="G1047957" s="24"/>
      <c r="H1047957" s="24"/>
      <c r="I1047957" s="24"/>
      <c r="J1047957" s="24"/>
      <c r="K1047957" s="54"/>
    </row>
    <row r="1047958" spans="1:11" s="55" customFormat="1" ht="12.75">
      <c r="A1047958" s="24"/>
      <c r="B1047958" s="24"/>
      <c r="C1047958" s="24"/>
      <c r="D1047958" s="24"/>
      <c r="E1047958" s="24"/>
      <c r="F1047958" s="24"/>
      <c r="G1047958" s="24"/>
      <c r="H1047958" s="24"/>
      <c r="I1047958" s="24"/>
      <c r="J1047958" s="24"/>
      <c r="K1047958" s="54"/>
    </row>
    <row r="1047959" spans="1:11" s="55" customFormat="1" ht="12.75">
      <c r="A1047959" s="24"/>
      <c r="B1047959" s="24"/>
      <c r="C1047959" s="24"/>
      <c r="D1047959" s="24"/>
      <c r="E1047959" s="24"/>
      <c r="F1047959" s="24"/>
      <c r="G1047959" s="24"/>
      <c r="H1047959" s="24"/>
      <c r="I1047959" s="24"/>
      <c r="J1047959" s="24"/>
      <c r="K1047959" s="54"/>
    </row>
    <row r="1047960" spans="1:11" s="55" customFormat="1" ht="12.75">
      <c r="A1047960" s="24"/>
      <c r="B1047960" s="24"/>
      <c r="C1047960" s="24"/>
      <c r="D1047960" s="24"/>
      <c r="E1047960" s="24"/>
      <c r="F1047960" s="24"/>
      <c r="G1047960" s="24"/>
      <c r="H1047960" s="24"/>
      <c r="I1047960" s="24"/>
      <c r="J1047960" s="24"/>
      <c r="K1047960" s="54"/>
    </row>
    <row r="1047961" spans="1:11" s="55" customFormat="1" ht="12.75">
      <c r="A1047961" s="24"/>
      <c r="B1047961" s="24"/>
      <c r="C1047961" s="24"/>
      <c r="D1047961" s="24"/>
      <c r="E1047961" s="24"/>
      <c r="F1047961" s="24"/>
      <c r="G1047961" s="24"/>
      <c r="H1047961" s="24"/>
      <c r="I1047961" s="24"/>
      <c r="J1047961" s="24"/>
      <c r="K1047961" s="54"/>
    </row>
    <row r="1047962" spans="1:11" s="55" customFormat="1" ht="12.75">
      <c r="A1047962" s="24"/>
      <c r="B1047962" s="24"/>
      <c r="C1047962" s="24"/>
      <c r="D1047962" s="24"/>
      <c r="E1047962" s="24"/>
      <c r="F1047962" s="24"/>
      <c r="G1047962" s="24"/>
      <c r="H1047962" s="24"/>
      <c r="I1047962" s="24"/>
      <c r="J1047962" s="24"/>
      <c r="K1047962" s="54"/>
    </row>
    <row r="1047963" spans="1:11" s="55" customFormat="1" ht="12.75">
      <c r="A1047963" s="24"/>
      <c r="B1047963" s="24"/>
      <c r="C1047963" s="24"/>
      <c r="D1047963" s="24"/>
      <c r="E1047963" s="24"/>
      <c r="F1047963" s="24"/>
      <c r="G1047963" s="24"/>
      <c r="H1047963" s="24"/>
      <c r="I1047963" s="24"/>
      <c r="J1047963" s="24"/>
      <c r="K1047963" s="54"/>
    </row>
    <row r="1047964" spans="1:11" s="55" customFormat="1" ht="12.75">
      <c r="A1047964" s="24"/>
      <c r="B1047964" s="24"/>
      <c r="C1047964" s="24"/>
      <c r="D1047964" s="24"/>
      <c r="E1047964" s="24"/>
      <c r="F1047964" s="24"/>
      <c r="G1047964" s="24"/>
      <c r="H1047964" s="24"/>
      <c r="I1047964" s="24"/>
      <c r="J1047964" s="24"/>
      <c r="K1047964" s="54"/>
    </row>
    <row r="1047965" spans="1:11" s="55" customFormat="1" ht="12.75">
      <c r="A1047965" s="24"/>
      <c r="B1047965" s="24"/>
      <c r="C1047965" s="24"/>
      <c r="D1047965" s="24"/>
      <c r="E1047965" s="24"/>
      <c r="F1047965" s="24"/>
      <c r="G1047965" s="24"/>
      <c r="H1047965" s="24"/>
      <c r="I1047965" s="24"/>
      <c r="J1047965" s="24"/>
      <c r="K1047965" s="54"/>
    </row>
    <row r="1047966" spans="1:11" s="55" customFormat="1" ht="12.75">
      <c r="A1047966" s="24"/>
      <c r="B1047966" s="24"/>
      <c r="C1047966" s="24"/>
      <c r="D1047966" s="24"/>
      <c r="E1047966" s="24"/>
      <c r="F1047966" s="24"/>
      <c r="G1047966" s="24"/>
      <c r="H1047966" s="24"/>
      <c r="I1047966" s="24"/>
      <c r="J1047966" s="24"/>
      <c r="K1047966" s="54"/>
    </row>
    <row r="1047967" spans="1:11" s="55" customFormat="1" ht="12.75">
      <c r="A1047967" s="24"/>
      <c r="B1047967" s="24"/>
      <c r="C1047967" s="24"/>
      <c r="D1047967" s="24"/>
      <c r="E1047967" s="24"/>
      <c r="F1047967" s="24"/>
      <c r="G1047967" s="24"/>
      <c r="H1047967" s="24"/>
      <c r="I1047967" s="24"/>
      <c r="J1047967" s="24"/>
      <c r="K1047967" s="54"/>
    </row>
    <row r="1047968" spans="1:11" s="55" customFormat="1" ht="12.75">
      <c r="A1047968" s="24"/>
      <c r="B1047968" s="24"/>
      <c r="C1047968" s="24"/>
      <c r="D1047968" s="24"/>
      <c r="E1047968" s="24"/>
      <c r="F1047968" s="24"/>
      <c r="G1047968" s="24"/>
      <c r="H1047968" s="24"/>
      <c r="I1047968" s="24"/>
      <c r="J1047968" s="24"/>
      <c r="K1047968" s="54"/>
    </row>
    <row r="1047969" spans="1:11" s="55" customFormat="1" ht="12.75">
      <c r="A1047969" s="24"/>
      <c r="B1047969" s="24"/>
      <c r="C1047969" s="24"/>
      <c r="D1047969" s="24"/>
      <c r="E1047969" s="24"/>
      <c r="F1047969" s="24"/>
      <c r="G1047969" s="24"/>
      <c r="H1047969" s="24"/>
      <c r="I1047969" s="24"/>
      <c r="J1047969" s="24"/>
      <c r="K1047969" s="54"/>
    </row>
    <row r="1047970" spans="1:11" s="55" customFormat="1" ht="12.75">
      <c r="A1047970" s="24"/>
      <c r="B1047970" s="24"/>
      <c r="C1047970" s="24"/>
      <c r="D1047970" s="24"/>
      <c r="E1047970" s="24"/>
      <c r="F1047970" s="24"/>
      <c r="G1047970" s="24"/>
      <c r="H1047970" s="24"/>
      <c r="I1047970" s="24"/>
      <c r="J1047970" s="24"/>
      <c r="K1047970" s="54"/>
    </row>
    <row r="1047971" spans="1:11" s="55" customFormat="1" ht="12.75">
      <c r="A1047971" s="24"/>
      <c r="B1047971" s="24"/>
      <c r="C1047971" s="24"/>
      <c r="D1047971" s="24"/>
      <c r="E1047971" s="24"/>
      <c r="F1047971" s="24"/>
      <c r="G1047971" s="24"/>
      <c r="H1047971" s="24"/>
      <c r="I1047971" s="24"/>
      <c r="J1047971" s="24"/>
      <c r="K1047971" s="54"/>
    </row>
    <row r="1047972" spans="1:11" s="55" customFormat="1" ht="12.75">
      <c r="A1047972" s="24"/>
      <c r="B1047972" s="24"/>
      <c r="C1047972" s="24"/>
      <c r="D1047972" s="24"/>
      <c r="E1047972" s="24"/>
      <c r="F1047972" s="24"/>
      <c r="G1047972" s="24"/>
      <c r="H1047972" s="24"/>
      <c r="I1047972" s="24"/>
      <c r="J1047972" s="24"/>
      <c r="K1047972" s="54"/>
    </row>
    <row r="1047973" spans="1:11" s="55" customFormat="1" ht="12.75">
      <c r="A1047973" s="24"/>
      <c r="B1047973" s="24"/>
      <c r="C1047973" s="24"/>
      <c r="D1047973" s="24"/>
      <c r="E1047973" s="24"/>
      <c r="F1047973" s="24"/>
      <c r="G1047973" s="24"/>
      <c r="H1047973" s="24"/>
      <c r="I1047973" s="24"/>
      <c r="J1047973" s="24"/>
      <c r="K1047973" s="54"/>
    </row>
    <row r="1047974" spans="1:11" s="55" customFormat="1" ht="12.75">
      <c r="A1047974" s="24"/>
      <c r="B1047974" s="24"/>
      <c r="C1047974" s="24"/>
      <c r="D1047974" s="24"/>
      <c r="E1047974" s="24"/>
      <c r="F1047974" s="24"/>
      <c r="G1047974" s="24"/>
      <c r="H1047974" s="24"/>
      <c r="I1047974" s="24"/>
      <c r="J1047974" s="24"/>
      <c r="K1047974" s="54"/>
    </row>
    <row r="1047975" spans="1:11" s="55" customFormat="1" ht="12.75">
      <c r="A1047975" s="24"/>
      <c r="B1047975" s="24"/>
      <c r="C1047975" s="24"/>
      <c r="D1047975" s="24"/>
      <c r="E1047975" s="24"/>
      <c r="F1047975" s="24"/>
      <c r="G1047975" s="24"/>
      <c r="H1047975" s="24"/>
      <c r="I1047975" s="24"/>
      <c r="J1047975" s="24"/>
      <c r="K1047975" s="54"/>
    </row>
    <row r="1047976" spans="1:11" s="55" customFormat="1" ht="12.75">
      <c r="A1047976" s="24"/>
      <c r="B1047976" s="24"/>
      <c r="C1047976" s="24"/>
      <c r="D1047976" s="24"/>
      <c r="E1047976" s="24"/>
      <c r="F1047976" s="24"/>
      <c r="G1047976" s="24"/>
      <c r="H1047976" s="24"/>
      <c r="I1047976" s="24"/>
      <c r="J1047976" s="24"/>
      <c r="K1047976" s="54"/>
    </row>
    <row r="1047977" spans="1:11" s="55" customFormat="1" ht="12.75">
      <c r="A1047977" s="24"/>
      <c r="B1047977" s="24"/>
      <c r="C1047977" s="24"/>
      <c r="D1047977" s="24"/>
      <c r="E1047977" s="24"/>
      <c r="F1047977" s="24"/>
      <c r="G1047977" s="24"/>
      <c r="H1047977" s="24"/>
      <c r="I1047977" s="24"/>
      <c r="J1047977" s="24"/>
      <c r="K1047977" s="54"/>
    </row>
    <row r="1047978" spans="1:11" s="55" customFormat="1" ht="12.75">
      <c r="A1047978" s="24"/>
      <c r="B1047978" s="24"/>
      <c r="C1047978" s="24"/>
      <c r="D1047978" s="24"/>
      <c r="E1047978" s="24"/>
      <c r="F1047978" s="24"/>
      <c r="G1047978" s="24"/>
      <c r="H1047978" s="24"/>
      <c r="I1047978" s="24"/>
      <c r="J1047978" s="24"/>
      <c r="K1047978" s="54"/>
    </row>
    <row r="1047979" spans="1:11" s="55" customFormat="1" ht="12.75">
      <c r="A1047979" s="24"/>
      <c r="B1047979" s="24"/>
      <c r="C1047979" s="24"/>
      <c r="D1047979" s="24"/>
      <c r="E1047979" s="24"/>
      <c r="F1047979" s="24"/>
      <c r="G1047979" s="24"/>
      <c r="H1047979" s="24"/>
      <c r="I1047979" s="24"/>
      <c r="J1047979" s="24"/>
      <c r="K1047979" s="54"/>
    </row>
    <row r="1047980" spans="1:11" s="55" customFormat="1" ht="12.75">
      <c r="A1047980" s="24"/>
      <c r="B1047980" s="24"/>
      <c r="C1047980" s="24"/>
      <c r="D1047980" s="24"/>
      <c r="E1047980" s="24"/>
      <c r="F1047980" s="24"/>
      <c r="G1047980" s="24"/>
      <c r="H1047980" s="24"/>
      <c r="I1047980" s="24"/>
      <c r="J1047980" s="24"/>
      <c r="K1047980" s="54"/>
    </row>
    <row r="1047981" spans="1:11" s="55" customFormat="1" ht="12.75">
      <c r="A1047981" s="24"/>
      <c r="B1047981" s="24"/>
      <c r="C1047981" s="24"/>
      <c r="D1047981" s="24"/>
      <c r="E1047981" s="24"/>
      <c r="F1047981" s="24"/>
      <c r="G1047981" s="24"/>
      <c r="H1047981" s="24"/>
      <c r="I1047981" s="24"/>
      <c r="J1047981" s="24"/>
      <c r="K1047981" s="54"/>
    </row>
    <row r="1047982" spans="1:11" s="55" customFormat="1" ht="12.75">
      <c r="A1047982" s="24"/>
      <c r="B1047982" s="24"/>
      <c r="C1047982" s="24"/>
      <c r="D1047982" s="24"/>
      <c r="E1047982" s="24"/>
      <c r="F1047982" s="24"/>
      <c r="G1047982" s="24"/>
      <c r="H1047982" s="24"/>
      <c r="I1047982" s="24"/>
      <c r="J1047982" s="24"/>
      <c r="K1047982" s="54"/>
    </row>
    <row r="1047983" spans="1:11" s="55" customFormat="1" ht="12.75">
      <c r="A1047983" s="24"/>
      <c r="B1047983" s="24"/>
      <c r="C1047983" s="24"/>
      <c r="D1047983" s="24"/>
      <c r="E1047983" s="24"/>
      <c r="F1047983" s="24"/>
      <c r="G1047983" s="24"/>
      <c r="H1047983" s="24"/>
      <c r="I1047983" s="24"/>
      <c r="J1047983" s="24"/>
      <c r="K1047983" s="54"/>
    </row>
    <row r="1047984" spans="1:11" s="55" customFormat="1" ht="12.75">
      <c r="A1047984" s="24"/>
      <c r="B1047984" s="24"/>
      <c r="C1047984" s="24"/>
      <c r="D1047984" s="24"/>
      <c r="E1047984" s="24"/>
      <c r="F1047984" s="24"/>
      <c r="G1047984" s="24"/>
      <c r="H1047984" s="24"/>
      <c r="I1047984" s="24"/>
      <c r="J1047984" s="24"/>
      <c r="K1047984" s="54"/>
    </row>
    <row r="1047985" spans="1:11" s="55" customFormat="1" ht="12.75">
      <c r="A1047985" s="24"/>
      <c r="B1047985" s="24"/>
      <c r="C1047985" s="24"/>
      <c r="D1047985" s="24"/>
      <c r="E1047985" s="24"/>
      <c r="F1047985" s="24"/>
      <c r="G1047985" s="24"/>
      <c r="H1047985" s="24"/>
      <c r="I1047985" s="24"/>
      <c r="J1047985" s="24"/>
      <c r="K1047985" s="54"/>
    </row>
    <row r="1047986" spans="1:11" s="55" customFormat="1" ht="12.75">
      <c r="A1047986" s="24"/>
      <c r="B1047986" s="24"/>
      <c r="C1047986" s="24"/>
      <c r="D1047986" s="24"/>
      <c r="E1047986" s="24"/>
      <c r="F1047986" s="24"/>
      <c r="G1047986" s="24"/>
      <c r="H1047986" s="24"/>
      <c r="I1047986" s="24"/>
      <c r="J1047986" s="24"/>
      <c r="K1047986" s="54"/>
    </row>
    <row r="1047987" spans="1:11" s="55" customFormat="1" ht="12.75">
      <c r="A1047987" s="24"/>
      <c r="B1047987" s="24"/>
      <c r="C1047987" s="24"/>
      <c r="D1047987" s="24"/>
      <c r="E1047987" s="24"/>
      <c r="F1047987" s="24"/>
      <c r="G1047987" s="24"/>
      <c r="H1047987" s="24"/>
      <c r="I1047987" s="24"/>
      <c r="J1047987" s="24"/>
      <c r="K1047987" s="54"/>
    </row>
    <row r="1047988" spans="1:11" s="55" customFormat="1" ht="12.75">
      <c r="A1047988" s="24"/>
      <c r="B1047988" s="24"/>
      <c r="C1047988" s="24"/>
      <c r="D1047988" s="24"/>
      <c r="E1047988" s="24"/>
      <c r="F1047988" s="24"/>
      <c r="G1047988" s="24"/>
      <c r="H1047988" s="24"/>
      <c r="I1047988" s="24"/>
      <c r="J1047988" s="24"/>
      <c r="K1047988" s="54"/>
    </row>
    <row r="1047989" spans="1:11" s="55" customFormat="1" ht="12.75">
      <c r="A1047989" s="24"/>
      <c r="B1047989" s="24"/>
      <c r="C1047989" s="24"/>
      <c r="D1047989" s="24"/>
      <c r="E1047989" s="24"/>
      <c r="F1047989" s="24"/>
      <c r="G1047989" s="24"/>
      <c r="H1047989" s="24"/>
      <c r="I1047989" s="24"/>
      <c r="J1047989" s="24"/>
      <c r="K1047989" s="54"/>
    </row>
    <row r="1047990" spans="1:11" s="55" customFormat="1" ht="12.75">
      <c r="A1047990" s="24"/>
      <c r="B1047990" s="24"/>
      <c r="C1047990" s="24"/>
      <c r="D1047990" s="24"/>
      <c r="E1047990" s="24"/>
      <c r="F1047990" s="24"/>
      <c r="G1047990" s="24"/>
      <c r="H1047990" s="24"/>
      <c r="I1047990" s="24"/>
      <c r="J1047990" s="24"/>
      <c r="K1047990" s="54"/>
    </row>
    <row r="1047991" spans="1:11" s="55" customFormat="1" ht="12.75">
      <c r="A1047991" s="24"/>
      <c r="B1047991" s="24"/>
      <c r="C1047991" s="24"/>
      <c r="D1047991" s="24"/>
      <c r="E1047991" s="24"/>
      <c r="F1047991" s="24"/>
      <c r="G1047991" s="24"/>
      <c r="H1047991" s="24"/>
      <c r="I1047991" s="24"/>
      <c r="J1047991" s="24"/>
      <c r="K1047991" s="54"/>
    </row>
    <row r="1047992" spans="1:11" s="55" customFormat="1" ht="12.75">
      <c r="A1047992" s="24"/>
      <c r="B1047992" s="24"/>
      <c r="C1047992" s="24"/>
      <c r="D1047992" s="24"/>
      <c r="E1047992" s="24"/>
      <c r="F1047992" s="24"/>
      <c r="G1047992" s="24"/>
      <c r="H1047992" s="24"/>
      <c r="I1047992" s="24"/>
      <c r="J1047992" s="24"/>
      <c r="K1047992" s="54"/>
    </row>
    <row r="1047993" spans="1:11" s="55" customFormat="1" ht="12.75">
      <c r="A1047993" s="24"/>
      <c r="B1047993" s="24"/>
      <c r="C1047993" s="24"/>
      <c r="D1047993" s="24"/>
      <c r="E1047993" s="24"/>
      <c r="F1047993" s="24"/>
      <c r="G1047993" s="24"/>
      <c r="H1047993" s="24"/>
      <c r="I1047993" s="24"/>
      <c r="J1047993" s="24"/>
      <c r="K1047993" s="54"/>
    </row>
    <row r="1047994" spans="1:11" s="55" customFormat="1" ht="12.75">
      <c r="A1047994" s="24"/>
      <c r="B1047994" s="24"/>
      <c r="C1047994" s="24"/>
      <c r="D1047994" s="24"/>
      <c r="E1047994" s="24"/>
      <c r="F1047994" s="24"/>
      <c r="G1047994" s="24"/>
      <c r="H1047994" s="24"/>
      <c r="I1047994" s="24"/>
      <c r="J1047994" s="24"/>
      <c r="K1047994" s="54"/>
    </row>
    <row r="1047995" spans="1:11" s="55" customFormat="1" ht="12.75">
      <c r="A1047995" s="24"/>
      <c r="B1047995" s="24"/>
      <c r="C1047995" s="24"/>
      <c r="D1047995" s="24"/>
      <c r="E1047995" s="24"/>
      <c r="F1047995" s="24"/>
      <c r="G1047995" s="24"/>
      <c r="H1047995" s="24"/>
      <c r="I1047995" s="24"/>
      <c r="J1047995" s="24"/>
      <c r="K1047995" s="54"/>
    </row>
    <row r="1047996" spans="1:11" s="55" customFormat="1" ht="12.75">
      <c r="A1047996" s="24"/>
      <c r="B1047996" s="24"/>
      <c r="C1047996" s="24"/>
      <c r="D1047996" s="24"/>
      <c r="E1047996" s="24"/>
      <c r="F1047996" s="24"/>
      <c r="G1047996" s="24"/>
      <c r="H1047996" s="24"/>
      <c r="I1047996" s="24"/>
      <c r="J1047996" s="24"/>
      <c r="K1047996" s="54"/>
    </row>
    <row r="1047997" spans="1:11" s="55" customFormat="1" ht="12.75">
      <c r="A1047997" s="24"/>
      <c r="B1047997" s="24"/>
      <c r="C1047997" s="24"/>
      <c r="D1047997" s="24"/>
      <c r="E1047997" s="24"/>
      <c r="F1047997" s="24"/>
      <c r="G1047997" s="24"/>
      <c r="H1047997" s="24"/>
      <c r="I1047997" s="24"/>
      <c r="J1047997" s="24"/>
      <c r="K1047997" s="54"/>
    </row>
    <row r="1047998" spans="1:11" s="55" customFormat="1" ht="12.75">
      <c r="A1047998" s="24"/>
      <c r="B1047998" s="24"/>
      <c r="C1047998" s="24"/>
      <c r="D1047998" s="24"/>
      <c r="E1047998" s="24"/>
      <c r="F1047998" s="24"/>
      <c r="G1047998" s="24"/>
      <c r="H1047998" s="24"/>
      <c r="I1047998" s="24"/>
      <c r="J1047998" s="24"/>
      <c r="K1047998" s="54"/>
    </row>
    <row r="1047999" spans="1:11" s="55" customFormat="1" ht="12.75">
      <c r="A1047999" s="24"/>
      <c r="B1047999" s="24"/>
      <c r="C1047999" s="24"/>
      <c r="D1047999" s="24"/>
      <c r="E1047999" s="24"/>
      <c r="F1047999" s="24"/>
      <c r="G1047999" s="24"/>
      <c r="H1047999" s="24"/>
      <c r="I1047999" s="24"/>
      <c r="J1047999" s="24"/>
      <c r="K1047999" s="54"/>
    </row>
    <row r="1048000" spans="1:11" s="55" customFormat="1" ht="12.75">
      <c r="A1048000" s="24"/>
      <c r="B1048000" s="24"/>
      <c r="C1048000" s="24"/>
      <c r="D1048000" s="24"/>
      <c r="E1048000" s="24"/>
      <c r="F1048000" s="24"/>
      <c r="G1048000" s="24"/>
      <c r="H1048000" s="24"/>
      <c r="I1048000" s="24"/>
      <c r="J1048000" s="24"/>
      <c r="K1048000" s="54"/>
    </row>
    <row r="1048001" spans="1:11" s="55" customFormat="1" ht="12.75">
      <c r="A1048001" s="24"/>
      <c r="B1048001" s="24"/>
      <c r="C1048001" s="24"/>
      <c r="D1048001" s="24"/>
      <c r="E1048001" s="24"/>
      <c r="F1048001" s="24"/>
      <c r="G1048001" s="24"/>
      <c r="H1048001" s="24"/>
      <c r="I1048001" s="24"/>
      <c r="J1048001" s="24"/>
      <c r="K1048001" s="54"/>
    </row>
    <row r="1048002" spans="1:11" s="55" customFormat="1" ht="12.75">
      <c r="A1048002" s="24"/>
      <c r="B1048002" s="24"/>
      <c r="C1048002" s="24"/>
      <c r="D1048002" s="24"/>
      <c r="E1048002" s="24"/>
      <c r="F1048002" s="24"/>
      <c r="G1048002" s="24"/>
      <c r="H1048002" s="24"/>
      <c r="I1048002" s="24"/>
      <c r="J1048002" s="24"/>
      <c r="K1048002" s="54"/>
    </row>
    <row r="1048003" spans="1:11" s="55" customFormat="1" ht="12.75">
      <c r="A1048003" s="24"/>
      <c r="B1048003" s="24"/>
      <c r="C1048003" s="24"/>
      <c r="D1048003" s="24"/>
      <c r="E1048003" s="24"/>
      <c r="F1048003" s="24"/>
      <c r="G1048003" s="24"/>
      <c r="H1048003" s="24"/>
      <c r="I1048003" s="24"/>
      <c r="J1048003" s="24"/>
      <c r="K1048003" s="54"/>
    </row>
    <row r="1048004" spans="1:11" s="55" customFormat="1" ht="12.75">
      <c r="A1048004" s="24"/>
      <c r="B1048004" s="24"/>
      <c r="C1048004" s="24"/>
      <c r="D1048004" s="24"/>
      <c r="E1048004" s="24"/>
      <c r="F1048004" s="24"/>
      <c r="G1048004" s="24"/>
      <c r="H1048004" s="24"/>
      <c r="I1048004" s="24"/>
      <c r="J1048004" s="24"/>
      <c r="K1048004" s="54"/>
    </row>
    <row r="1048005" spans="1:11" s="55" customFormat="1" ht="12.75">
      <c r="A1048005" s="24"/>
      <c r="B1048005" s="24"/>
      <c r="C1048005" s="24"/>
      <c r="D1048005" s="24"/>
      <c r="E1048005" s="24"/>
      <c r="F1048005" s="24"/>
      <c r="G1048005" s="24"/>
      <c r="H1048005" s="24"/>
      <c r="I1048005" s="24"/>
      <c r="J1048005" s="24"/>
      <c r="K1048005" s="54"/>
    </row>
    <row r="1048006" spans="1:11" s="55" customFormat="1" ht="12.75">
      <c r="A1048006" s="24"/>
      <c r="B1048006" s="24"/>
      <c r="C1048006" s="24"/>
      <c r="D1048006" s="24"/>
      <c r="E1048006" s="24"/>
      <c r="F1048006" s="24"/>
      <c r="G1048006" s="24"/>
      <c r="H1048006" s="24"/>
      <c r="I1048006" s="24"/>
      <c r="J1048006" s="24"/>
      <c r="K1048006" s="54"/>
    </row>
    <row r="1048007" spans="1:11" s="55" customFormat="1" ht="12.75">
      <c r="A1048007" s="24"/>
      <c r="B1048007" s="24"/>
      <c r="C1048007" s="24"/>
      <c r="D1048007" s="24"/>
      <c r="E1048007" s="24"/>
      <c r="F1048007" s="24"/>
      <c r="G1048007" s="24"/>
      <c r="H1048007" s="24"/>
      <c r="I1048007" s="24"/>
      <c r="J1048007" s="24"/>
      <c r="K1048007" s="54"/>
    </row>
    <row r="1048008" spans="1:11" s="55" customFormat="1" ht="12.75">
      <c r="A1048008" s="24"/>
      <c r="B1048008" s="24"/>
      <c r="C1048008" s="24"/>
      <c r="D1048008" s="24"/>
      <c r="E1048008" s="24"/>
      <c r="F1048008" s="24"/>
      <c r="G1048008" s="24"/>
      <c r="H1048008" s="24"/>
      <c r="I1048008" s="24"/>
      <c r="J1048008" s="24"/>
      <c r="K1048008" s="54"/>
    </row>
    <row r="1048009" spans="1:11" s="55" customFormat="1" ht="12.75">
      <c r="A1048009" s="24"/>
      <c r="B1048009" s="24"/>
      <c r="C1048009" s="24"/>
      <c r="D1048009" s="24"/>
      <c r="E1048009" s="24"/>
      <c r="F1048009" s="24"/>
      <c r="G1048009" s="24"/>
      <c r="H1048009" s="24"/>
      <c r="I1048009" s="24"/>
      <c r="J1048009" s="24"/>
      <c r="K1048009" s="54"/>
    </row>
    <row r="1048010" spans="1:11" s="55" customFormat="1" ht="12.75">
      <c r="A1048010" s="24"/>
      <c r="B1048010" s="24"/>
      <c r="C1048010" s="24"/>
      <c r="D1048010" s="24"/>
      <c r="E1048010" s="24"/>
      <c r="F1048010" s="24"/>
      <c r="G1048010" s="24"/>
      <c r="H1048010" s="24"/>
      <c r="I1048010" s="24"/>
      <c r="J1048010" s="24"/>
      <c r="K1048010" s="54"/>
    </row>
    <row r="1048011" spans="1:11" s="55" customFormat="1" ht="12.75">
      <c r="A1048011" s="24"/>
      <c r="B1048011" s="24"/>
      <c r="C1048011" s="24"/>
      <c r="D1048011" s="24"/>
      <c r="E1048011" s="24"/>
      <c r="F1048011" s="24"/>
      <c r="G1048011" s="24"/>
      <c r="H1048011" s="24"/>
      <c r="I1048011" s="24"/>
      <c r="J1048011" s="24"/>
      <c r="K1048011" s="54"/>
    </row>
    <row r="1048012" spans="1:11" s="55" customFormat="1" ht="12.75">
      <c r="A1048012" s="24"/>
      <c r="B1048012" s="24"/>
      <c r="C1048012" s="24"/>
      <c r="D1048012" s="24"/>
      <c r="E1048012" s="24"/>
      <c r="F1048012" s="24"/>
      <c r="G1048012" s="24"/>
      <c r="H1048012" s="24"/>
      <c r="I1048012" s="24"/>
      <c r="J1048012" s="24"/>
      <c r="K1048012" s="54"/>
    </row>
    <row r="1048013" spans="1:11" s="55" customFormat="1" ht="12.75">
      <c r="A1048013" s="24"/>
      <c r="B1048013" s="24"/>
      <c r="C1048013" s="24"/>
      <c r="D1048013" s="24"/>
      <c r="E1048013" s="24"/>
      <c r="F1048013" s="24"/>
      <c r="G1048013" s="24"/>
      <c r="H1048013" s="24"/>
      <c r="I1048013" s="24"/>
      <c r="J1048013" s="24"/>
      <c r="K1048013" s="54"/>
    </row>
    <row r="1048014" spans="1:11" s="55" customFormat="1" ht="12.75">
      <c r="A1048014" s="24"/>
      <c r="B1048014" s="24"/>
      <c r="C1048014" s="24"/>
      <c r="D1048014" s="24"/>
      <c r="E1048014" s="24"/>
      <c r="F1048014" s="24"/>
      <c r="G1048014" s="24"/>
      <c r="H1048014" s="24"/>
      <c r="I1048014" s="24"/>
      <c r="J1048014" s="24"/>
      <c r="K1048014" s="54"/>
    </row>
    <row r="1048015" spans="1:11" s="55" customFormat="1" ht="12.75">
      <c r="A1048015" s="24"/>
      <c r="B1048015" s="24"/>
      <c r="C1048015" s="24"/>
      <c r="D1048015" s="24"/>
      <c r="E1048015" s="24"/>
      <c r="F1048015" s="24"/>
      <c r="G1048015" s="24"/>
      <c r="H1048015" s="24"/>
      <c r="I1048015" s="24"/>
      <c r="J1048015" s="24"/>
      <c r="K1048015" s="54"/>
    </row>
    <row r="1048016" spans="1:11" s="55" customFormat="1" ht="12.75">
      <c r="A1048016" s="24"/>
      <c r="B1048016" s="24"/>
      <c r="C1048016" s="24"/>
      <c r="D1048016" s="24"/>
      <c r="E1048016" s="24"/>
      <c r="F1048016" s="24"/>
      <c r="G1048016" s="24"/>
      <c r="H1048016" s="24"/>
      <c r="I1048016" s="24"/>
      <c r="J1048016" s="24"/>
      <c r="K1048016" s="54"/>
    </row>
    <row r="1048017" spans="1:11" s="55" customFormat="1" ht="12.75">
      <c r="A1048017" s="24"/>
      <c r="B1048017" s="24"/>
      <c r="C1048017" s="24"/>
      <c r="D1048017" s="24"/>
      <c r="E1048017" s="24"/>
      <c r="F1048017" s="24"/>
      <c r="G1048017" s="24"/>
      <c r="H1048017" s="24"/>
      <c r="I1048017" s="24"/>
      <c r="J1048017" s="24"/>
      <c r="K1048017" s="54"/>
    </row>
    <row r="1048018" spans="1:11" s="55" customFormat="1" ht="12.75">
      <c r="A1048018" s="24"/>
      <c r="B1048018" s="24"/>
      <c r="C1048018" s="24"/>
      <c r="D1048018" s="24"/>
      <c r="E1048018" s="24"/>
      <c r="F1048018" s="24"/>
      <c r="G1048018" s="24"/>
      <c r="H1048018" s="24"/>
      <c r="I1048018" s="24"/>
      <c r="J1048018" s="24"/>
      <c r="K1048018" s="54"/>
    </row>
    <row r="1048019" spans="1:11" s="55" customFormat="1" ht="12.75">
      <c r="A1048019" s="24"/>
      <c r="B1048019" s="24"/>
      <c r="C1048019" s="24"/>
      <c r="D1048019" s="24"/>
      <c r="E1048019" s="24"/>
      <c r="F1048019" s="24"/>
      <c r="G1048019" s="24"/>
      <c r="H1048019" s="24"/>
      <c r="I1048019" s="24"/>
      <c r="J1048019" s="24"/>
      <c r="K1048019" s="54"/>
    </row>
    <row r="1048020" spans="1:11" s="55" customFormat="1" ht="12.75">
      <c r="A1048020" s="24"/>
      <c r="B1048020" s="24"/>
      <c r="C1048020" s="24"/>
      <c r="D1048020" s="24"/>
      <c r="E1048020" s="24"/>
      <c r="F1048020" s="24"/>
      <c r="G1048020" s="24"/>
      <c r="H1048020" s="24"/>
      <c r="I1048020" s="24"/>
      <c r="J1048020" s="24"/>
      <c r="K1048020" s="54"/>
    </row>
    <row r="1048021" spans="1:11" s="55" customFormat="1" ht="12.75">
      <c r="A1048021" s="24"/>
      <c r="B1048021" s="24"/>
      <c r="C1048021" s="24"/>
      <c r="D1048021" s="24"/>
      <c r="E1048021" s="24"/>
      <c r="F1048021" s="24"/>
      <c r="G1048021" s="24"/>
      <c r="H1048021" s="24"/>
      <c r="I1048021" s="24"/>
      <c r="J1048021" s="24"/>
      <c r="K1048021" s="54"/>
    </row>
    <row r="1048022" spans="1:11" s="55" customFormat="1" ht="12.75">
      <c r="A1048022" s="24"/>
      <c r="B1048022" s="24"/>
      <c r="C1048022" s="24"/>
      <c r="D1048022" s="24"/>
      <c r="E1048022" s="24"/>
      <c r="F1048022" s="24"/>
      <c r="G1048022" s="24"/>
      <c r="H1048022" s="24"/>
      <c r="I1048022" s="24"/>
      <c r="J1048022" s="24"/>
      <c r="K1048022" s="54"/>
    </row>
    <row r="1048023" spans="1:11" s="55" customFormat="1" ht="12.75">
      <c r="A1048023" s="24"/>
      <c r="B1048023" s="24"/>
      <c r="C1048023" s="24"/>
      <c r="D1048023" s="24"/>
      <c r="E1048023" s="24"/>
      <c r="F1048023" s="24"/>
      <c r="G1048023" s="24"/>
      <c r="H1048023" s="24"/>
      <c r="I1048023" s="24"/>
      <c r="J1048023" s="24"/>
      <c r="K1048023" s="54"/>
    </row>
    <row r="1048024" spans="1:11" s="55" customFormat="1" ht="12.75">
      <c r="A1048024" s="24"/>
      <c r="B1048024" s="24"/>
      <c r="C1048024" s="24"/>
      <c r="D1048024" s="24"/>
      <c r="E1048024" s="24"/>
      <c r="F1048024" s="24"/>
      <c r="G1048024" s="24"/>
      <c r="H1048024" s="24"/>
      <c r="I1048024" s="24"/>
      <c r="J1048024" s="24"/>
      <c r="K1048024" s="54"/>
    </row>
    <row r="1048025" spans="1:11" s="55" customFormat="1" ht="12.75">
      <c r="A1048025" s="24"/>
      <c r="B1048025" s="24"/>
      <c r="C1048025" s="24"/>
      <c r="D1048025" s="24"/>
      <c r="E1048025" s="24"/>
      <c r="F1048025" s="24"/>
      <c r="G1048025" s="24"/>
      <c r="H1048025" s="24"/>
      <c r="I1048025" s="24"/>
      <c r="J1048025" s="24"/>
      <c r="K1048025" s="54"/>
    </row>
    <row r="1048026" spans="1:11" s="55" customFormat="1" ht="12.75">
      <c r="A1048026" s="24"/>
      <c r="B1048026" s="24"/>
      <c r="C1048026" s="24"/>
      <c r="D1048026" s="24"/>
      <c r="E1048026" s="24"/>
      <c r="F1048026" s="24"/>
      <c r="G1048026" s="24"/>
      <c r="H1048026" s="24"/>
      <c r="I1048026" s="24"/>
      <c r="J1048026" s="24"/>
      <c r="K1048026" s="54"/>
    </row>
    <row r="1048027" spans="1:11" s="55" customFormat="1" ht="12.75">
      <c r="A1048027" s="24"/>
      <c r="B1048027" s="24"/>
      <c r="C1048027" s="24"/>
      <c r="D1048027" s="24"/>
      <c r="E1048027" s="24"/>
      <c r="F1048027" s="24"/>
      <c r="G1048027" s="24"/>
      <c r="H1048027" s="24"/>
      <c r="I1048027" s="24"/>
      <c r="J1048027" s="24"/>
      <c r="K1048027" s="54"/>
    </row>
    <row r="1048028" spans="1:11" s="55" customFormat="1" ht="12.75">
      <c r="A1048028" s="24"/>
      <c r="B1048028" s="24"/>
      <c r="C1048028" s="24"/>
      <c r="D1048028" s="24"/>
      <c r="E1048028" s="24"/>
      <c r="F1048028" s="24"/>
      <c r="G1048028" s="24"/>
      <c r="H1048028" s="24"/>
      <c r="I1048028" s="24"/>
      <c r="J1048028" s="24"/>
      <c r="K1048028" s="54"/>
    </row>
    <row r="1048029" spans="1:11" s="55" customFormat="1" ht="12.75">
      <c r="A1048029" s="24"/>
      <c r="B1048029" s="24"/>
      <c r="C1048029" s="24"/>
      <c r="D1048029" s="24"/>
      <c r="E1048029" s="24"/>
      <c r="F1048029" s="24"/>
      <c r="G1048029" s="24"/>
      <c r="H1048029" s="24"/>
      <c r="I1048029" s="24"/>
      <c r="J1048029" s="24"/>
      <c r="K1048029" s="54"/>
    </row>
    <row r="1048030" spans="1:11" s="55" customFormat="1" ht="12.75">
      <c r="A1048030" s="24"/>
      <c r="B1048030" s="24"/>
      <c r="C1048030" s="24"/>
      <c r="D1048030" s="24"/>
      <c r="E1048030" s="24"/>
      <c r="F1048030" s="24"/>
      <c r="G1048030" s="24"/>
      <c r="H1048030" s="24"/>
      <c r="I1048030" s="24"/>
      <c r="J1048030" s="24"/>
      <c r="K1048030" s="54"/>
    </row>
    <row r="1048031" spans="1:11" s="55" customFormat="1" ht="12.75">
      <c r="A1048031" s="24"/>
      <c r="B1048031" s="24"/>
      <c r="C1048031" s="24"/>
      <c r="D1048031" s="24"/>
      <c r="E1048031" s="24"/>
      <c r="F1048031" s="24"/>
      <c r="G1048031" s="24"/>
      <c r="H1048031" s="24"/>
      <c r="I1048031" s="24"/>
      <c r="J1048031" s="24"/>
      <c r="K1048031" s="54"/>
    </row>
    <row r="1048032" spans="1:11" s="55" customFormat="1" ht="12.75">
      <c r="A1048032" s="24"/>
      <c r="B1048032" s="24"/>
      <c r="C1048032" s="24"/>
      <c r="D1048032" s="24"/>
      <c r="E1048032" s="24"/>
      <c r="F1048032" s="24"/>
      <c r="G1048032" s="24"/>
      <c r="H1048032" s="24"/>
      <c r="I1048032" s="24"/>
      <c r="J1048032" s="24"/>
      <c r="K1048032" s="54"/>
    </row>
    <row r="1048033" spans="1:11" s="55" customFormat="1" ht="12.75">
      <c r="A1048033" s="24"/>
      <c r="B1048033" s="24"/>
      <c r="C1048033" s="24"/>
      <c r="D1048033" s="24"/>
      <c r="E1048033" s="24"/>
      <c r="F1048033" s="24"/>
      <c r="G1048033" s="24"/>
      <c r="H1048033" s="24"/>
      <c r="I1048033" s="24"/>
      <c r="J1048033" s="24"/>
      <c r="K1048033" s="54"/>
    </row>
    <row r="1048034" spans="1:11" s="55" customFormat="1" ht="12.75">
      <c r="A1048034" s="24"/>
      <c r="B1048034" s="24"/>
      <c r="C1048034" s="24"/>
      <c r="D1048034" s="24"/>
      <c r="E1048034" s="24"/>
      <c r="F1048034" s="24"/>
      <c r="G1048034" s="24"/>
      <c r="H1048034" s="24"/>
      <c r="I1048034" s="24"/>
      <c r="J1048034" s="24"/>
      <c r="K1048034" s="54"/>
    </row>
    <row r="1048035" spans="1:11" s="55" customFormat="1" ht="12.75">
      <c r="A1048035" s="24"/>
      <c r="B1048035" s="24"/>
      <c r="C1048035" s="24"/>
      <c r="D1048035" s="24"/>
      <c r="E1048035" s="24"/>
      <c r="F1048035" s="24"/>
      <c r="G1048035" s="24"/>
      <c r="H1048035" s="24"/>
      <c r="I1048035" s="24"/>
      <c r="J1048035" s="24"/>
      <c r="K1048035" s="54"/>
    </row>
    <row r="1048036" spans="1:11" s="55" customFormat="1" ht="12.75">
      <c r="A1048036" s="24"/>
      <c r="B1048036" s="24"/>
      <c r="C1048036" s="24"/>
      <c r="D1048036" s="24"/>
      <c r="E1048036" s="24"/>
      <c r="F1048036" s="24"/>
      <c r="G1048036" s="24"/>
      <c r="H1048036" s="24"/>
      <c r="I1048036" s="24"/>
      <c r="J1048036" s="24"/>
      <c r="K1048036" s="54"/>
    </row>
    <row r="1048037" spans="1:11" s="55" customFormat="1" ht="12.75">
      <c r="A1048037" s="24"/>
      <c r="B1048037" s="24"/>
      <c r="C1048037" s="24"/>
      <c r="D1048037" s="24"/>
      <c r="E1048037" s="24"/>
      <c r="F1048037" s="24"/>
      <c r="G1048037" s="24"/>
      <c r="H1048037" s="24"/>
      <c r="I1048037" s="24"/>
      <c r="J1048037" s="24"/>
      <c r="K1048037" s="54"/>
    </row>
    <row r="1048038" spans="1:11" s="55" customFormat="1" ht="12.75">
      <c r="A1048038" s="24"/>
      <c r="B1048038" s="24"/>
      <c r="C1048038" s="24"/>
      <c r="D1048038" s="24"/>
      <c r="E1048038" s="24"/>
      <c r="F1048038" s="24"/>
      <c r="G1048038" s="24"/>
      <c r="H1048038" s="24"/>
      <c r="I1048038" s="24"/>
      <c r="J1048038" s="24"/>
      <c r="K1048038" s="54"/>
    </row>
    <row r="1048039" spans="1:11" s="55" customFormat="1" ht="12.75">
      <c r="A1048039" s="24"/>
      <c r="B1048039" s="24"/>
      <c r="C1048039" s="24"/>
      <c r="D1048039" s="24"/>
      <c r="E1048039" s="24"/>
      <c r="F1048039" s="24"/>
      <c r="G1048039" s="24"/>
      <c r="H1048039" s="24"/>
      <c r="I1048039" s="24"/>
      <c r="J1048039" s="24"/>
      <c r="K1048039" s="54"/>
    </row>
    <row r="1048040" spans="1:11" s="55" customFormat="1" ht="12.75">
      <c r="A1048040" s="24"/>
      <c r="B1048040" s="24"/>
      <c r="C1048040" s="24"/>
      <c r="D1048040" s="24"/>
      <c r="E1048040" s="24"/>
      <c r="F1048040" s="24"/>
      <c r="G1048040" s="24"/>
      <c r="H1048040" s="24"/>
      <c r="I1048040" s="24"/>
      <c r="J1048040" s="24"/>
      <c r="K1048040" s="54"/>
    </row>
    <row r="1048041" spans="1:11" s="55" customFormat="1" ht="12.75">
      <c r="A1048041" s="24"/>
      <c r="B1048041" s="24"/>
      <c r="C1048041" s="24"/>
      <c r="D1048041" s="24"/>
      <c r="E1048041" s="24"/>
      <c r="F1048041" s="24"/>
      <c r="G1048041" s="24"/>
      <c r="H1048041" s="24"/>
      <c r="I1048041" s="24"/>
      <c r="J1048041" s="24"/>
      <c r="K1048041" s="54"/>
    </row>
    <row r="1048042" spans="1:11" s="55" customFormat="1" ht="12.75">
      <c r="A1048042" s="24"/>
      <c r="B1048042" s="24"/>
      <c r="C1048042" s="24"/>
      <c r="D1048042" s="24"/>
      <c r="E1048042" s="24"/>
      <c r="F1048042" s="24"/>
      <c r="G1048042" s="24"/>
      <c r="H1048042" s="24"/>
      <c r="I1048042" s="24"/>
      <c r="J1048042" s="24"/>
      <c r="K1048042" s="54"/>
    </row>
    <row r="1048043" spans="1:11" s="55" customFormat="1" ht="12.75">
      <c r="A1048043" s="24"/>
      <c r="B1048043" s="24"/>
      <c r="C1048043" s="24"/>
      <c r="D1048043" s="24"/>
      <c r="E1048043" s="24"/>
      <c r="F1048043" s="24"/>
      <c r="G1048043" s="24"/>
      <c r="H1048043" s="24"/>
      <c r="I1048043" s="24"/>
      <c r="J1048043" s="24"/>
      <c r="K1048043" s="54"/>
    </row>
    <row r="1048044" spans="1:11" s="55" customFormat="1" ht="12.75">
      <c r="A1048044" s="24"/>
      <c r="B1048044" s="24"/>
      <c r="C1048044" s="24"/>
      <c r="D1048044" s="24"/>
      <c r="E1048044" s="24"/>
      <c r="F1048044" s="24"/>
      <c r="G1048044" s="24"/>
      <c r="H1048044" s="24"/>
      <c r="I1048044" s="24"/>
      <c r="J1048044" s="24"/>
      <c r="K1048044" s="54"/>
    </row>
    <row r="1048045" spans="1:11" s="55" customFormat="1" ht="12.75">
      <c r="A1048045" s="24"/>
      <c r="B1048045" s="24"/>
      <c r="C1048045" s="24"/>
      <c r="D1048045" s="24"/>
      <c r="E1048045" s="24"/>
      <c r="F1048045" s="24"/>
      <c r="G1048045" s="24"/>
      <c r="H1048045" s="24"/>
      <c r="I1048045" s="24"/>
      <c r="J1048045" s="24"/>
      <c r="K1048045" s="54"/>
    </row>
    <row r="1048046" spans="1:11" s="55" customFormat="1" ht="12.75">
      <c r="A1048046" s="24"/>
      <c r="B1048046" s="24"/>
      <c r="C1048046" s="24"/>
      <c r="D1048046" s="24"/>
      <c r="E1048046" s="24"/>
      <c r="F1048046" s="24"/>
      <c r="G1048046" s="24"/>
      <c r="H1048046" s="24"/>
      <c r="I1048046" s="24"/>
      <c r="J1048046" s="24"/>
      <c r="K1048046" s="54"/>
    </row>
    <row r="1048047" spans="1:11" s="55" customFormat="1" ht="12.75">
      <c r="A1048047" s="24"/>
      <c r="B1048047" s="24"/>
      <c r="C1048047" s="24"/>
      <c r="D1048047" s="24"/>
      <c r="E1048047" s="24"/>
      <c r="F1048047" s="24"/>
      <c r="G1048047" s="24"/>
      <c r="H1048047" s="24"/>
      <c r="I1048047" s="24"/>
      <c r="J1048047" s="24"/>
      <c r="K1048047" s="54"/>
    </row>
    <row r="1048048" spans="1:11" s="55" customFormat="1" ht="12.75">
      <c r="A1048048" s="24"/>
      <c r="B1048048" s="24"/>
      <c r="C1048048" s="24"/>
      <c r="D1048048" s="24"/>
      <c r="E1048048" s="24"/>
      <c r="F1048048" s="24"/>
      <c r="G1048048" s="24"/>
      <c r="H1048048" s="24"/>
      <c r="I1048048" s="24"/>
      <c r="J1048048" s="24"/>
      <c r="K1048048" s="54"/>
    </row>
    <row r="1048049" spans="1:11" s="55" customFormat="1" ht="12.75">
      <c r="A1048049" s="24"/>
      <c r="B1048049" s="24"/>
      <c r="C1048049" s="24"/>
      <c r="D1048049" s="24"/>
      <c r="E1048049" s="24"/>
      <c r="F1048049" s="24"/>
      <c r="G1048049" s="24"/>
      <c r="H1048049" s="24"/>
      <c r="I1048049" s="24"/>
      <c r="J1048049" s="24"/>
      <c r="K1048049" s="54"/>
    </row>
    <row r="1048050" spans="1:11" s="55" customFormat="1" ht="12.75">
      <c r="A1048050" s="24"/>
      <c r="B1048050" s="24"/>
      <c r="C1048050" s="24"/>
      <c r="D1048050" s="24"/>
      <c r="E1048050" s="24"/>
      <c r="F1048050" s="24"/>
      <c r="G1048050" s="24"/>
      <c r="H1048050" s="24"/>
      <c r="I1048050" s="24"/>
      <c r="J1048050" s="24"/>
      <c r="K1048050" s="54"/>
    </row>
    <row r="1048051" spans="1:11" s="55" customFormat="1" ht="12.75">
      <c r="A1048051" s="24"/>
      <c r="B1048051" s="24"/>
      <c r="C1048051" s="24"/>
      <c r="D1048051" s="24"/>
      <c r="E1048051" s="24"/>
      <c r="F1048051" s="24"/>
      <c r="G1048051" s="24"/>
      <c r="H1048051" s="24"/>
      <c r="I1048051" s="24"/>
      <c r="J1048051" s="24"/>
      <c r="K1048051" s="54"/>
    </row>
    <row r="1048052" spans="1:11" s="55" customFormat="1" ht="12.75">
      <c r="A1048052" s="24"/>
      <c r="B1048052" s="24"/>
      <c r="C1048052" s="24"/>
      <c r="D1048052" s="24"/>
      <c r="E1048052" s="24"/>
      <c r="F1048052" s="24"/>
      <c r="G1048052" s="24"/>
      <c r="H1048052" s="24"/>
      <c r="I1048052" s="24"/>
      <c r="J1048052" s="24"/>
      <c r="K1048052" s="54"/>
    </row>
    <row r="1048053" spans="1:11" s="55" customFormat="1" ht="12.75">
      <c r="A1048053" s="24"/>
      <c r="B1048053" s="24"/>
      <c r="C1048053" s="24"/>
      <c r="D1048053" s="24"/>
      <c r="E1048053" s="24"/>
      <c r="F1048053" s="24"/>
      <c r="G1048053" s="24"/>
      <c r="H1048053" s="24"/>
      <c r="I1048053" s="24"/>
      <c r="J1048053" s="24"/>
      <c r="K1048053" s="54"/>
    </row>
    <row r="1048054" spans="1:11" s="55" customFormat="1" ht="12.75">
      <c r="A1048054" s="24"/>
      <c r="B1048054" s="24"/>
      <c r="C1048054" s="24"/>
      <c r="D1048054" s="24"/>
      <c r="E1048054" s="24"/>
      <c r="F1048054" s="24"/>
      <c r="G1048054" s="24"/>
      <c r="H1048054" s="24"/>
      <c r="I1048054" s="24"/>
      <c r="J1048054" s="24"/>
      <c r="K1048054" s="54"/>
    </row>
    <row r="1048055" spans="1:11" s="55" customFormat="1" ht="12.75">
      <c r="A1048055" s="24"/>
      <c r="B1048055" s="24"/>
      <c r="C1048055" s="24"/>
      <c r="D1048055" s="24"/>
      <c r="E1048055" s="24"/>
      <c r="F1048055" s="24"/>
      <c r="G1048055" s="24"/>
      <c r="H1048055" s="24"/>
      <c r="I1048055" s="24"/>
      <c r="J1048055" s="24"/>
      <c r="K1048055" s="54"/>
    </row>
    <row r="1048056" spans="1:11" s="55" customFormat="1" ht="12.75">
      <c r="A1048056" s="24"/>
      <c r="B1048056" s="24"/>
      <c r="C1048056" s="24"/>
      <c r="D1048056" s="24"/>
      <c r="E1048056" s="24"/>
      <c r="F1048056" s="24"/>
      <c r="G1048056" s="24"/>
      <c r="H1048056" s="24"/>
      <c r="I1048056" s="24"/>
      <c r="J1048056" s="24"/>
      <c r="K1048056" s="54"/>
    </row>
    <row r="1048057" spans="1:11" s="55" customFormat="1" ht="12.75">
      <c r="A1048057" s="24"/>
      <c r="B1048057" s="24"/>
      <c r="C1048057" s="24"/>
      <c r="D1048057" s="24"/>
      <c r="E1048057" s="24"/>
      <c r="F1048057" s="24"/>
      <c r="G1048057" s="24"/>
      <c r="H1048057" s="24"/>
      <c r="I1048057" s="24"/>
      <c r="J1048057" s="24"/>
      <c r="K1048057" s="54"/>
    </row>
    <row r="1048058" spans="1:11" s="55" customFormat="1" ht="12.75">
      <c r="A1048058" s="24"/>
      <c r="B1048058" s="24"/>
      <c r="C1048058" s="24"/>
      <c r="D1048058" s="24"/>
      <c r="E1048058" s="24"/>
      <c r="F1048058" s="24"/>
      <c r="G1048058" s="24"/>
      <c r="H1048058" s="24"/>
      <c r="I1048058" s="24"/>
      <c r="J1048058" s="24"/>
      <c r="K1048058" s="54"/>
    </row>
    <row r="1048059" spans="1:11" s="55" customFormat="1" ht="12.75">
      <c r="A1048059" s="24"/>
      <c r="B1048059" s="24"/>
      <c r="C1048059" s="24"/>
      <c r="D1048059" s="24"/>
      <c r="E1048059" s="24"/>
      <c r="F1048059" s="24"/>
      <c r="G1048059" s="24"/>
      <c r="H1048059" s="24"/>
      <c r="I1048059" s="24"/>
      <c r="J1048059" s="24"/>
      <c r="K1048059" s="54"/>
    </row>
    <row r="1048060" spans="1:11" s="55" customFormat="1" ht="12.75">
      <c r="A1048060" s="24"/>
      <c r="B1048060" s="24"/>
      <c r="C1048060" s="24"/>
      <c r="D1048060" s="24"/>
      <c r="E1048060" s="24"/>
      <c r="F1048060" s="24"/>
      <c r="G1048060" s="24"/>
      <c r="H1048060" s="24"/>
      <c r="I1048060" s="24"/>
      <c r="J1048060" s="24"/>
      <c r="K1048060" s="54"/>
    </row>
    <row r="1048061" spans="1:11" s="55" customFormat="1" ht="12.75">
      <c r="A1048061" s="24"/>
      <c r="B1048061" s="24"/>
      <c r="C1048061" s="24"/>
      <c r="D1048061" s="24"/>
      <c r="E1048061" s="24"/>
      <c r="F1048061" s="24"/>
      <c r="G1048061" s="24"/>
      <c r="H1048061" s="24"/>
      <c r="I1048061" s="24"/>
      <c r="J1048061" s="24"/>
      <c r="K1048061" s="54"/>
    </row>
    <row r="1048062" spans="1:11" s="55" customFormat="1" ht="12.75">
      <c r="A1048062" s="24"/>
      <c r="B1048062" s="24"/>
      <c r="C1048062" s="24"/>
      <c r="D1048062" s="24"/>
      <c r="E1048062" s="24"/>
      <c r="F1048062" s="24"/>
      <c r="G1048062" s="24"/>
      <c r="H1048062" s="24"/>
      <c r="I1048062" s="24"/>
      <c r="J1048062" s="24"/>
      <c r="K1048062" s="54"/>
    </row>
    <row r="1048063" spans="1:11" s="55" customFormat="1" ht="12.75">
      <c r="A1048063" s="24"/>
      <c r="B1048063" s="24"/>
      <c r="C1048063" s="24"/>
      <c r="D1048063" s="24"/>
      <c r="E1048063" s="24"/>
      <c r="F1048063" s="24"/>
      <c r="G1048063" s="24"/>
      <c r="H1048063" s="24"/>
      <c r="I1048063" s="24"/>
      <c r="J1048063" s="24"/>
      <c r="K1048063" s="54"/>
    </row>
    <row r="1048064" spans="1:11" s="55" customFormat="1" ht="12.75">
      <c r="A1048064" s="24"/>
      <c r="B1048064" s="24"/>
      <c r="C1048064" s="24"/>
      <c r="D1048064" s="24"/>
      <c r="E1048064" s="24"/>
      <c r="F1048064" s="24"/>
      <c r="G1048064" s="24"/>
      <c r="H1048064" s="24"/>
      <c r="I1048064" s="24"/>
      <c r="J1048064" s="24"/>
      <c r="K1048064" s="54"/>
    </row>
    <row r="1048065" spans="1:11" s="55" customFormat="1" ht="12.75">
      <c r="A1048065" s="24"/>
      <c r="B1048065" s="24"/>
      <c r="C1048065" s="24"/>
      <c r="D1048065" s="24"/>
      <c r="E1048065" s="24"/>
      <c r="F1048065" s="24"/>
      <c r="G1048065" s="24"/>
      <c r="H1048065" s="24"/>
      <c r="I1048065" s="24"/>
      <c r="J1048065" s="24"/>
      <c r="K1048065" s="54"/>
    </row>
    <row r="1048066" spans="1:11" s="55" customFormat="1" ht="12.75">
      <c r="A1048066" s="24"/>
      <c r="B1048066" s="24"/>
      <c r="C1048066" s="24"/>
      <c r="D1048066" s="24"/>
      <c r="E1048066" s="24"/>
      <c r="F1048066" s="24"/>
      <c r="G1048066" s="24"/>
      <c r="H1048066" s="24"/>
      <c r="I1048066" s="24"/>
      <c r="J1048066" s="24"/>
      <c r="K1048066" s="54"/>
    </row>
    <row r="1048067" spans="1:11" s="55" customFormat="1" ht="12.75">
      <c r="A1048067" s="24"/>
      <c r="B1048067" s="24"/>
      <c r="C1048067" s="24"/>
      <c r="D1048067" s="24"/>
      <c r="E1048067" s="24"/>
      <c r="F1048067" s="24"/>
      <c r="G1048067" s="24"/>
      <c r="H1048067" s="24"/>
      <c r="I1048067" s="24"/>
      <c r="J1048067" s="24"/>
      <c r="K1048067" s="54"/>
    </row>
    <row r="1048068" spans="1:11" s="55" customFormat="1" ht="12.75">
      <c r="A1048068" s="24"/>
      <c r="B1048068" s="24"/>
      <c r="C1048068" s="24"/>
      <c r="D1048068" s="24"/>
      <c r="E1048068" s="24"/>
      <c r="F1048068" s="24"/>
      <c r="G1048068" s="24"/>
      <c r="H1048068" s="24"/>
      <c r="I1048068" s="24"/>
      <c r="J1048068" s="24"/>
      <c r="K1048068" s="54"/>
    </row>
    <row r="1048069" spans="1:11" s="55" customFormat="1" ht="12.75">
      <c r="A1048069" s="24"/>
      <c r="B1048069" s="24"/>
      <c r="C1048069" s="24"/>
      <c r="D1048069" s="24"/>
      <c r="E1048069" s="24"/>
      <c r="F1048069" s="24"/>
      <c r="G1048069" s="24"/>
      <c r="H1048069" s="24"/>
      <c r="I1048069" s="24"/>
      <c r="J1048069" s="24"/>
      <c r="K1048069" s="54"/>
    </row>
    <row r="1048070" spans="1:11" s="55" customFormat="1" ht="12.75">
      <c r="A1048070" s="24"/>
      <c r="B1048070" s="24"/>
      <c r="C1048070" s="24"/>
      <c r="D1048070" s="24"/>
      <c r="E1048070" s="24"/>
      <c r="F1048070" s="24"/>
      <c r="G1048070" s="24"/>
      <c r="H1048070" s="24"/>
      <c r="I1048070" s="24"/>
      <c r="J1048070" s="24"/>
      <c r="K1048070" s="54"/>
    </row>
    <row r="1048071" spans="1:11" s="55" customFormat="1" ht="12.75">
      <c r="A1048071" s="24"/>
      <c r="B1048071" s="24"/>
      <c r="C1048071" s="24"/>
      <c r="D1048071" s="24"/>
      <c r="E1048071" s="24"/>
      <c r="F1048071" s="24"/>
      <c r="G1048071" s="24"/>
      <c r="H1048071" s="24"/>
      <c r="I1048071" s="24"/>
      <c r="J1048071" s="24"/>
      <c r="K1048071" s="54"/>
    </row>
    <row r="1048072" spans="1:11" s="55" customFormat="1" ht="12.75">
      <c r="A1048072" s="24"/>
      <c r="B1048072" s="24"/>
      <c r="C1048072" s="24"/>
      <c r="D1048072" s="24"/>
      <c r="E1048072" s="24"/>
      <c r="F1048072" s="24"/>
      <c r="G1048072" s="24"/>
      <c r="H1048072" s="24"/>
      <c r="I1048072" s="24"/>
      <c r="J1048072" s="24"/>
      <c r="K1048072" s="54"/>
    </row>
    <row r="1048073" spans="1:11" s="55" customFormat="1" ht="12.75">
      <c r="A1048073" s="24"/>
      <c r="B1048073" s="24"/>
      <c r="C1048073" s="24"/>
      <c r="D1048073" s="24"/>
      <c r="E1048073" s="24"/>
      <c r="F1048073" s="24"/>
      <c r="G1048073" s="24"/>
      <c r="H1048073" s="24"/>
      <c r="I1048073" s="24"/>
      <c r="J1048073" s="24"/>
      <c r="K1048073" s="54"/>
    </row>
    <row r="1048074" spans="1:11" s="55" customFormat="1" ht="12.75">
      <c r="A1048074" s="24"/>
      <c r="B1048074" s="24"/>
      <c r="C1048074" s="24"/>
      <c r="D1048074" s="24"/>
      <c r="E1048074" s="24"/>
      <c r="F1048074" s="24"/>
      <c r="G1048074" s="24"/>
      <c r="H1048074" s="24"/>
      <c r="I1048074" s="24"/>
      <c r="J1048074" s="24"/>
      <c r="K1048074" s="54"/>
    </row>
    <row r="1048075" spans="1:11" s="55" customFormat="1" ht="12.75">
      <c r="A1048075" s="24"/>
      <c r="B1048075" s="24"/>
      <c r="C1048075" s="24"/>
      <c r="D1048075" s="24"/>
      <c r="E1048075" s="24"/>
      <c r="F1048075" s="24"/>
      <c r="G1048075" s="24"/>
      <c r="H1048075" s="24"/>
      <c r="I1048075" s="24"/>
      <c r="J1048075" s="24"/>
      <c r="K1048075" s="54"/>
    </row>
    <row r="1048076" spans="1:11" s="55" customFormat="1" ht="12.75">
      <c r="A1048076" s="24"/>
      <c r="B1048076" s="24"/>
      <c r="C1048076" s="24"/>
      <c r="D1048076" s="24"/>
      <c r="E1048076" s="24"/>
      <c r="F1048076" s="24"/>
      <c r="G1048076" s="24"/>
      <c r="H1048076" s="24"/>
      <c r="I1048076" s="24"/>
      <c r="J1048076" s="24"/>
      <c r="K1048076" s="54"/>
    </row>
    <row r="1048077" spans="1:11" s="55" customFormat="1" ht="12.75">
      <c r="A1048077" s="24"/>
      <c r="B1048077" s="24"/>
      <c r="C1048077" s="24"/>
      <c r="D1048077" s="24"/>
      <c r="E1048077" s="24"/>
      <c r="F1048077" s="24"/>
      <c r="G1048077" s="24"/>
      <c r="H1048077" s="24"/>
      <c r="I1048077" s="24"/>
      <c r="J1048077" s="24"/>
      <c r="K1048077" s="54"/>
    </row>
    <row r="1048078" spans="1:11" s="55" customFormat="1" ht="12.75">
      <c r="A1048078" s="24"/>
      <c r="B1048078" s="24"/>
      <c r="C1048078" s="24"/>
      <c r="D1048078" s="24"/>
      <c r="E1048078" s="24"/>
      <c r="F1048078" s="24"/>
      <c r="G1048078" s="24"/>
      <c r="H1048078" s="24"/>
      <c r="I1048078" s="24"/>
      <c r="J1048078" s="24"/>
      <c r="K1048078" s="54"/>
    </row>
    <row r="1048079" spans="1:11" s="55" customFormat="1" ht="12.75">
      <c r="A1048079" s="24"/>
      <c r="B1048079" s="24"/>
      <c r="C1048079" s="24"/>
      <c r="D1048079" s="24"/>
      <c r="E1048079" s="24"/>
      <c r="F1048079" s="24"/>
      <c r="G1048079" s="24"/>
      <c r="H1048079" s="24"/>
      <c r="I1048079" s="24"/>
      <c r="J1048079" s="24"/>
      <c r="K1048079" s="54"/>
    </row>
    <row r="1048080" spans="1:11" s="55" customFormat="1" ht="12.75">
      <c r="A1048080" s="24"/>
      <c r="B1048080" s="24"/>
      <c r="C1048080" s="24"/>
      <c r="D1048080" s="24"/>
      <c r="E1048080" s="24"/>
      <c r="F1048080" s="24"/>
      <c r="G1048080" s="24"/>
      <c r="H1048080" s="24"/>
      <c r="I1048080" s="24"/>
      <c r="J1048080" s="24"/>
      <c r="K1048080" s="54"/>
    </row>
    <row r="1048081" spans="1:11" s="55" customFormat="1" ht="12.75">
      <c r="A1048081" s="24"/>
      <c r="B1048081" s="24"/>
      <c r="C1048081" s="24"/>
      <c r="D1048081" s="24"/>
      <c r="E1048081" s="24"/>
      <c r="F1048081" s="24"/>
      <c r="G1048081" s="24"/>
      <c r="H1048081" s="24"/>
      <c r="I1048081" s="24"/>
      <c r="J1048081" s="24"/>
      <c r="K1048081" s="54"/>
    </row>
    <row r="1048082" spans="1:11" s="55" customFormat="1" ht="12.75">
      <c r="A1048082" s="24"/>
      <c r="B1048082" s="24"/>
      <c r="C1048082" s="24"/>
      <c r="D1048082" s="24"/>
      <c r="E1048082" s="24"/>
      <c r="F1048082" s="24"/>
      <c r="G1048082" s="24"/>
      <c r="H1048082" s="24"/>
      <c r="I1048082" s="24"/>
      <c r="J1048082" s="24"/>
      <c r="K1048082" s="54"/>
    </row>
    <row r="1048083" spans="1:11" s="55" customFormat="1" ht="12.75">
      <c r="A1048083" s="24"/>
      <c r="B1048083" s="24"/>
      <c r="C1048083" s="24"/>
      <c r="D1048083" s="24"/>
      <c r="E1048083" s="24"/>
      <c r="F1048083" s="24"/>
      <c r="G1048083" s="24"/>
      <c r="H1048083" s="24"/>
      <c r="I1048083" s="24"/>
      <c r="J1048083" s="24"/>
      <c r="K1048083" s="54"/>
    </row>
    <row r="1048084" spans="1:11" s="55" customFormat="1" ht="12.75">
      <c r="A1048084" s="24"/>
      <c r="B1048084" s="24"/>
      <c r="C1048084" s="24"/>
      <c r="D1048084" s="24"/>
      <c r="E1048084" s="24"/>
      <c r="F1048084" s="24"/>
      <c r="G1048084" s="24"/>
      <c r="H1048084" s="24"/>
      <c r="I1048084" s="24"/>
      <c r="J1048084" s="24"/>
      <c r="K1048084" s="54"/>
    </row>
    <row r="1048085" spans="1:11" s="55" customFormat="1" ht="12.75">
      <c r="A1048085" s="24"/>
      <c r="B1048085" s="24"/>
      <c r="C1048085" s="24"/>
      <c r="D1048085" s="24"/>
      <c r="E1048085" s="24"/>
      <c r="F1048085" s="24"/>
      <c r="G1048085" s="24"/>
      <c r="H1048085" s="24"/>
      <c r="I1048085" s="24"/>
      <c r="J1048085" s="24"/>
      <c r="K1048085" s="54"/>
    </row>
    <row r="1048086" spans="1:11" s="55" customFormat="1" ht="12.75">
      <c r="A1048086" s="24"/>
      <c r="B1048086" s="24"/>
      <c r="C1048086" s="24"/>
      <c r="D1048086" s="24"/>
      <c r="E1048086" s="24"/>
      <c r="F1048086" s="24"/>
      <c r="G1048086" s="24"/>
      <c r="H1048086" s="24"/>
      <c r="I1048086" s="24"/>
      <c r="J1048086" s="24"/>
      <c r="K1048086" s="54"/>
    </row>
    <row r="1048087" spans="1:11" s="55" customFormat="1" ht="12.75">
      <c r="A1048087" s="24"/>
      <c r="B1048087" s="24"/>
      <c r="C1048087" s="24"/>
      <c r="D1048087" s="24"/>
      <c r="E1048087" s="24"/>
      <c r="F1048087" s="24"/>
      <c r="G1048087" s="24"/>
      <c r="H1048087" s="24"/>
      <c r="I1048087" s="24"/>
      <c r="J1048087" s="24"/>
      <c r="K1048087" s="54"/>
    </row>
    <row r="1048088" spans="1:11" s="55" customFormat="1" ht="12.75">
      <c r="A1048088" s="24"/>
      <c r="B1048088" s="24"/>
      <c r="C1048088" s="24"/>
      <c r="D1048088" s="24"/>
      <c r="E1048088" s="24"/>
      <c r="F1048088" s="24"/>
      <c r="G1048088" s="24"/>
      <c r="H1048088" s="24"/>
      <c r="I1048088" s="24"/>
      <c r="J1048088" s="24"/>
      <c r="K1048088" s="54"/>
    </row>
    <row r="1048089" spans="1:11" s="55" customFormat="1" ht="12.75">
      <c r="A1048089" s="24"/>
      <c r="B1048089" s="24"/>
      <c r="C1048089" s="24"/>
      <c r="D1048089" s="24"/>
      <c r="E1048089" s="24"/>
      <c r="F1048089" s="24"/>
      <c r="G1048089" s="24"/>
      <c r="H1048089" s="24"/>
      <c r="I1048089" s="24"/>
      <c r="J1048089" s="24"/>
      <c r="K1048089" s="54"/>
    </row>
    <row r="1048090" spans="1:11" s="55" customFormat="1" ht="12.75">
      <c r="A1048090" s="24"/>
      <c r="B1048090" s="24"/>
      <c r="C1048090" s="24"/>
      <c r="D1048090" s="24"/>
      <c r="E1048090" s="24"/>
      <c r="F1048090" s="24"/>
      <c r="G1048090" s="24"/>
      <c r="H1048090" s="24"/>
      <c r="I1048090" s="24"/>
      <c r="J1048090" s="24"/>
      <c r="K1048090" s="54"/>
    </row>
    <row r="1048091" spans="1:11" s="55" customFormat="1" ht="12.75">
      <c r="A1048091" s="24"/>
      <c r="B1048091" s="24"/>
      <c r="C1048091" s="24"/>
      <c r="D1048091" s="24"/>
      <c r="E1048091" s="24"/>
      <c r="F1048091" s="24"/>
      <c r="G1048091" s="24"/>
      <c r="H1048091" s="24"/>
      <c r="I1048091" s="24"/>
      <c r="J1048091" s="24"/>
      <c r="K1048091" s="54"/>
    </row>
    <row r="1048092" spans="1:11" s="55" customFormat="1" ht="12.75">
      <c r="A1048092" s="24"/>
      <c r="B1048092" s="24"/>
      <c r="C1048092" s="24"/>
      <c r="D1048092" s="24"/>
      <c r="E1048092" s="24"/>
      <c r="F1048092" s="24"/>
      <c r="G1048092" s="24"/>
      <c r="H1048092" s="24"/>
      <c r="I1048092" s="24"/>
      <c r="J1048092" s="24"/>
      <c r="K1048092" s="54"/>
    </row>
    <row r="1048093" spans="1:11" s="55" customFormat="1" ht="12.75">
      <c r="A1048093" s="24"/>
      <c r="B1048093" s="24"/>
      <c r="C1048093" s="24"/>
      <c r="D1048093" s="24"/>
      <c r="E1048093" s="24"/>
      <c r="F1048093" s="24"/>
      <c r="G1048093" s="24"/>
      <c r="H1048093" s="24"/>
      <c r="I1048093" s="24"/>
      <c r="J1048093" s="24"/>
      <c r="K1048093" s="54"/>
    </row>
    <row r="1048094" spans="1:11" s="55" customFormat="1" ht="12.75">
      <c r="A1048094" s="24"/>
      <c r="B1048094" s="24"/>
      <c r="C1048094" s="24"/>
      <c r="D1048094" s="24"/>
      <c r="E1048094" s="24"/>
      <c r="F1048094" s="24"/>
      <c r="G1048094" s="24"/>
      <c r="H1048094" s="24"/>
      <c r="I1048094" s="24"/>
      <c r="J1048094" s="24"/>
      <c r="K1048094" s="54"/>
    </row>
    <row r="1048095" spans="1:11" s="55" customFormat="1" ht="12.75">
      <c r="A1048095" s="24"/>
      <c r="B1048095" s="24"/>
      <c r="C1048095" s="24"/>
      <c r="D1048095" s="24"/>
      <c r="E1048095" s="24"/>
      <c r="F1048095" s="24"/>
      <c r="G1048095" s="24"/>
      <c r="H1048095" s="24"/>
      <c r="I1048095" s="24"/>
      <c r="J1048095" s="24"/>
      <c r="K1048095" s="54"/>
    </row>
    <row r="1048096" spans="1:11" s="55" customFormat="1" ht="12.75">
      <c r="A1048096" s="24"/>
      <c r="B1048096" s="24"/>
      <c r="C1048096" s="24"/>
      <c r="D1048096" s="24"/>
      <c r="E1048096" s="24"/>
      <c r="F1048096" s="24"/>
      <c r="G1048096" s="24"/>
      <c r="H1048096" s="24"/>
      <c r="I1048096" s="24"/>
      <c r="J1048096" s="24"/>
      <c r="K1048096" s="54"/>
    </row>
    <row r="1048097" spans="1:11" s="55" customFormat="1" ht="12.75">
      <c r="A1048097" s="24"/>
      <c r="B1048097" s="24"/>
      <c r="C1048097" s="24"/>
      <c r="D1048097" s="24"/>
      <c r="E1048097" s="24"/>
      <c r="F1048097" s="24"/>
      <c r="G1048097" s="24"/>
      <c r="H1048097" s="24"/>
      <c r="I1048097" s="24"/>
      <c r="J1048097" s="24"/>
      <c r="K1048097" s="54"/>
    </row>
    <row r="1048098" spans="1:11" s="55" customFormat="1" ht="12.75">
      <c r="A1048098" s="24"/>
      <c r="B1048098" s="24"/>
      <c r="C1048098" s="24"/>
      <c r="D1048098" s="24"/>
      <c r="E1048098" s="24"/>
      <c r="F1048098" s="24"/>
      <c r="G1048098" s="24"/>
      <c r="H1048098" s="24"/>
      <c r="I1048098" s="24"/>
      <c r="J1048098" s="24"/>
      <c r="K1048098" s="54"/>
    </row>
    <row r="1048099" spans="1:11" s="55" customFormat="1" ht="12.75">
      <c r="A1048099" s="24"/>
      <c r="B1048099" s="24"/>
      <c r="C1048099" s="24"/>
      <c r="D1048099" s="24"/>
      <c r="E1048099" s="24"/>
      <c r="F1048099" s="24"/>
      <c r="G1048099" s="24"/>
      <c r="H1048099" s="24"/>
      <c r="I1048099" s="24"/>
      <c r="J1048099" s="24"/>
      <c r="K1048099" s="54"/>
    </row>
    <row r="1048100" spans="1:11" s="55" customFormat="1" ht="12.75">
      <c r="A1048100" s="24"/>
      <c r="B1048100" s="24"/>
      <c r="C1048100" s="24"/>
      <c r="D1048100" s="24"/>
      <c r="E1048100" s="24"/>
      <c r="F1048100" s="24"/>
      <c r="G1048100" s="24"/>
      <c r="H1048100" s="24"/>
      <c r="I1048100" s="24"/>
      <c r="J1048100" s="24"/>
      <c r="K1048100" s="54"/>
    </row>
    <row r="1048101" spans="1:11" s="55" customFormat="1" ht="12.75">
      <c r="A1048101" s="24"/>
      <c r="B1048101" s="24"/>
      <c r="C1048101" s="24"/>
      <c r="D1048101" s="24"/>
      <c r="E1048101" s="24"/>
      <c r="F1048101" s="24"/>
      <c r="G1048101" s="24"/>
      <c r="H1048101" s="24"/>
      <c r="I1048101" s="24"/>
      <c r="J1048101" s="24"/>
      <c r="K1048101" s="54"/>
    </row>
    <row r="1048102" spans="1:11" s="55" customFormat="1" ht="12.75">
      <c r="A1048102" s="24"/>
      <c r="B1048102" s="24"/>
      <c r="C1048102" s="24"/>
      <c r="D1048102" s="24"/>
      <c r="E1048102" s="24"/>
      <c r="F1048102" s="24"/>
      <c r="G1048102" s="24"/>
      <c r="H1048102" s="24"/>
      <c r="I1048102" s="24"/>
      <c r="J1048102" s="24"/>
      <c r="K1048102" s="54"/>
    </row>
    <row r="1048103" spans="1:11" s="55" customFormat="1" ht="12.75">
      <c r="A1048103" s="24"/>
      <c r="B1048103" s="24"/>
      <c r="C1048103" s="24"/>
      <c r="D1048103" s="24"/>
      <c r="E1048103" s="24"/>
      <c r="F1048103" s="24"/>
      <c r="G1048103" s="24"/>
      <c r="H1048103" s="24"/>
      <c r="I1048103" s="24"/>
      <c r="J1048103" s="24"/>
      <c r="K1048103" s="54"/>
    </row>
    <row r="1048104" spans="1:11" s="55" customFormat="1" ht="12.75">
      <c r="A1048104" s="24"/>
      <c r="B1048104" s="24"/>
      <c r="C1048104" s="24"/>
      <c r="D1048104" s="24"/>
      <c r="E1048104" s="24"/>
      <c r="F1048104" s="24"/>
      <c r="G1048104" s="24"/>
      <c r="H1048104" s="24"/>
      <c r="I1048104" s="24"/>
      <c r="J1048104" s="24"/>
      <c r="K1048104" s="54"/>
    </row>
    <row r="1048105" spans="1:11" s="55" customFormat="1" ht="12.75">
      <c r="A1048105" s="24"/>
      <c r="B1048105" s="24"/>
      <c r="C1048105" s="24"/>
      <c r="D1048105" s="24"/>
      <c r="E1048105" s="24"/>
      <c r="F1048105" s="24"/>
      <c r="G1048105" s="24"/>
      <c r="H1048105" s="24"/>
      <c r="I1048105" s="24"/>
      <c r="J1048105" s="24"/>
      <c r="K1048105" s="54"/>
    </row>
    <row r="1048106" spans="1:11" s="55" customFormat="1" ht="12.75">
      <c r="A1048106" s="24"/>
      <c r="B1048106" s="24"/>
      <c r="C1048106" s="24"/>
      <c r="D1048106" s="24"/>
      <c r="E1048106" s="24"/>
      <c r="F1048106" s="24"/>
      <c r="G1048106" s="24"/>
      <c r="H1048106" s="24"/>
      <c r="I1048106" s="24"/>
      <c r="J1048106" s="24"/>
      <c r="K1048106" s="54"/>
    </row>
    <row r="1048107" spans="1:11" s="55" customFormat="1" ht="12.75">
      <c r="A1048107" s="24"/>
      <c r="B1048107" s="24"/>
      <c r="C1048107" s="24"/>
      <c r="D1048107" s="24"/>
      <c r="E1048107" s="24"/>
      <c r="F1048107" s="24"/>
      <c r="G1048107" s="24"/>
      <c r="H1048107" s="24"/>
      <c r="I1048107" s="24"/>
      <c r="J1048107" s="24"/>
      <c r="K1048107" s="54"/>
    </row>
    <row r="1048108" spans="1:11" s="55" customFormat="1" ht="12.75">
      <c r="A1048108" s="24"/>
      <c r="B1048108" s="24"/>
      <c r="C1048108" s="24"/>
      <c r="D1048108" s="24"/>
      <c r="E1048108" s="24"/>
      <c r="F1048108" s="24"/>
      <c r="G1048108" s="24"/>
      <c r="H1048108" s="24"/>
      <c r="I1048108" s="24"/>
      <c r="J1048108" s="24"/>
      <c r="K1048108" s="54"/>
    </row>
    <row r="1048109" spans="1:11" s="55" customFormat="1" ht="12.75">
      <c r="A1048109" s="24"/>
      <c r="B1048109" s="24"/>
      <c r="C1048109" s="24"/>
      <c r="D1048109" s="24"/>
      <c r="E1048109" s="24"/>
      <c r="F1048109" s="24"/>
      <c r="G1048109" s="24"/>
      <c r="H1048109" s="24"/>
      <c r="I1048109" s="24"/>
      <c r="J1048109" s="24"/>
      <c r="K1048109" s="54"/>
    </row>
    <row r="1048110" spans="1:11" s="55" customFormat="1" ht="12.75">
      <c r="A1048110" s="24"/>
      <c r="B1048110" s="24"/>
      <c r="C1048110" s="24"/>
      <c r="D1048110" s="24"/>
      <c r="E1048110" s="24"/>
      <c r="F1048110" s="24"/>
      <c r="G1048110" s="24"/>
      <c r="H1048110" s="24"/>
      <c r="I1048110" s="24"/>
      <c r="J1048110" s="24"/>
      <c r="K1048110" s="54"/>
    </row>
    <row r="1048111" spans="1:11" s="55" customFormat="1" ht="12.75">
      <c r="A1048111" s="24"/>
      <c r="B1048111" s="24"/>
      <c r="C1048111" s="24"/>
      <c r="D1048111" s="24"/>
      <c r="E1048111" s="24"/>
      <c r="F1048111" s="24"/>
      <c r="G1048111" s="24"/>
      <c r="H1048111" s="24"/>
      <c r="I1048111" s="24"/>
      <c r="J1048111" s="24"/>
      <c r="K1048111" s="54"/>
    </row>
    <row r="1048112" spans="1:11" s="55" customFormat="1" ht="12.75">
      <c r="A1048112" s="24"/>
      <c r="B1048112" s="24"/>
      <c r="C1048112" s="24"/>
      <c r="D1048112" s="24"/>
      <c r="E1048112" s="24"/>
      <c r="F1048112" s="24"/>
      <c r="G1048112" s="24"/>
      <c r="H1048112" s="24"/>
      <c r="I1048112" s="24"/>
      <c r="J1048112" s="24"/>
      <c r="K1048112" s="54"/>
    </row>
    <row r="1048113" spans="1:11" s="55" customFormat="1" ht="12.75">
      <c r="A1048113" s="24"/>
      <c r="B1048113" s="24"/>
      <c r="C1048113" s="24"/>
      <c r="D1048113" s="24"/>
      <c r="E1048113" s="24"/>
      <c r="F1048113" s="24"/>
      <c r="G1048113" s="24"/>
      <c r="H1048113" s="24"/>
      <c r="I1048113" s="24"/>
      <c r="J1048113" s="24"/>
      <c r="K1048113" s="54"/>
    </row>
    <row r="1048114" spans="1:11" s="55" customFormat="1" ht="12.75">
      <c r="A1048114" s="24"/>
      <c r="B1048114" s="24"/>
      <c r="C1048114" s="24"/>
      <c r="D1048114" s="24"/>
      <c r="E1048114" s="24"/>
      <c r="F1048114" s="24"/>
      <c r="G1048114" s="24"/>
      <c r="H1048114" s="24"/>
      <c r="I1048114" s="24"/>
      <c r="J1048114" s="24"/>
      <c r="K1048114" s="54"/>
    </row>
    <row r="1048115" spans="1:11" s="55" customFormat="1" ht="12.75">
      <c r="A1048115" s="24"/>
      <c r="B1048115" s="24"/>
      <c r="C1048115" s="24"/>
      <c r="D1048115" s="24"/>
      <c r="E1048115" s="24"/>
      <c r="F1048115" s="24"/>
      <c r="G1048115" s="24"/>
      <c r="H1048115" s="24"/>
      <c r="I1048115" s="24"/>
      <c r="J1048115" s="24"/>
      <c r="K1048115" s="54"/>
    </row>
    <row r="1048116" spans="1:11" s="55" customFormat="1" ht="12.75">
      <c r="A1048116" s="24"/>
      <c r="B1048116" s="24"/>
      <c r="C1048116" s="24"/>
      <c r="D1048116" s="24"/>
      <c r="E1048116" s="24"/>
      <c r="F1048116" s="24"/>
      <c r="G1048116" s="24"/>
      <c r="H1048116" s="24"/>
      <c r="I1048116" s="24"/>
      <c r="J1048116" s="24"/>
      <c r="K1048116" s="54"/>
    </row>
    <row r="1048117" spans="1:11" s="55" customFormat="1" ht="12.75">
      <c r="A1048117" s="24"/>
      <c r="B1048117" s="24"/>
      <c r="C1048117" s="24"/>
      <c r="D1048117" s="24"/>
      <c r="E1048117" s="24"/>
      <c r="F1048117" s="24"/>
      <c r="G1048117" s="24"/>
      <c r="H1048117" s="24"/>
      <c r="I1048117" s="24"/>
      <c r="J1048117" s="24"/>
      <c r="K1048117" s="54"/>
    </row>
    <row r="1048118" spans="1:11" s="55" customFormat="1" ht="12.75">
      <c r="A1048118" s="24"/>
      <c r="B1048118" s="24"/>
      <c r="C1048118" s="24"/>
      <c r="D1048118" s="24"/>
      <c r="E1048118" s="24"/>
      <c r="F1048118" s="24"/>
      <c r="G1048118" s="24"/>
      <c r="H1048118" s="24"/>
      <c r="I1048118" s="24"/>
      <c r="J1048118" s="24"/>
      <c r="K1048118" s="54"/>
    </row>
    <row r="1048119" spans="1:11" s="55" customFormat="1" ht="12.75">
      <c r="A1048119" s="24"/>
      <c r="B1048119" s="24"/>
      <c r="C1048119" s="24"/>
      <c r="D1048119" s="24"/>
      <c r="E1048119" s="24"/>
      <c r="F1048119" s="24"/>
      <c r="G1048119" s="24"/>
      <c r="H1048119" s="24"/>
      <c r="I1048119" s="24"/>
      <c r="J1048119" s="24"/>
      <c r="K1048119" s="54"/>
    </row>
    <row r="1048120" spans="1:11" s="55" customFormat="1" ht="12.75">
      <c r="A1048120" s="24"/>
      <c r="B1048120" s="24"/>
      <c r="C1048120" s="24"/>
      <c r="D1048120" s="24"/>
      <c r="E1048120" s="24"/>
      <c r="F1048120" s="24"/>
      <c r="G1048120" s="24"/>
      <c r="H1048120" s="24"/>
      <c r="I1048120" s="24"/>
      <c r="J1048120" s="24"/>
      <c r="K1048120" s="54"/>
    </row>
    <row r="1048121" spans="1:11" s="55" customFormat="1" ht="12.75">
      <c r="A1048121" s="24"/>
      <c r="B1048121" s="24"/>
      <c r="C1048121" s="24"/>
      <c r="D1048121" s="24"/>
      <c r="E1048121" s="24"/>
      <c r="F1048121" s="24"/>
      <c r="G1048121" s="24"/>
      <c r="H1048121" s="24"/>
      <c r="I1048121" s="24"/>
      <c r="J1048121" s="24"/>
      <c r="K1048121" s="54"/>
    </row>
    <row r="1048122" spans="1:11" s="55" customFormat="1" ht="12.75">
      <c r="A1048122" s="24"/>
      <c r="B1048122" s="24"/>
      <c r="C1048122" s="24"/>
      <c r="D1048122" s="24"/>
      <c r="E1048122" s="24"/>
      <c r="F1048122" s="24"/>
      <c r="G1048122" s="24"/>
      <c r="H1048122" s="24"/>
      <c r="I1048122" s="24"/>
      <c r="J1048122" s="24"/>
      <c r="K1048122" s="54"/>
    </row>
    <row r="1048123" spans="1:11" s="55" customFormat="1" ht="12.75">
      <c r="A1048123" s="24"/>
      <c r="B1048123" s="24"/>
      <c r="C1048123" s="24"/>
      <c r="D1048123" s="24"/>
      <c r="E1048123" s="24"/>
      <c r="F1048123" s="24"/>
      <c r="G1048123" s="24"/>
      <c r="H1048123" s="24"/>
      <c r="I1048123" s="24"/>
      <c r="J1048123" s="24"/>
      <c r="K1048123" s="54"/>
    </row>
    <row r="1048124" spans="1:11" s="55" customFormat="1" ht="12.75">
      <c r="A1048124" s="24"/>
      <c r="B1048124" s="24"/>
      <c r="C1048124" s="24"/>
      <c r="D1048124" s="24"/>
      <c r="E1048124" s="24"/>
      <c r="F1048124" s="24"/>
      <c r="G1048124" s="24"/>
      <c r="H1048124" s="24"/>
      <c r="I1048124" s="24"/>
      <c r="J1048124" s="24"/>
      <c r="K1048124" s="54"/>
    </row>
    <row r="1048125" spans="1:11" s="55" customFormat="1" ht="12.75">
      <c r="A1048125" s="24"/>
      <c r="B1048125" s="24"/>
      <c r="C1048125" s="24"/>
      <c r="D1048125" s="24"/>
      <c r="E1048125" s="24"/>
      <c r="F1048125" s="24"/>
      <c r="G1048125" s="24"/>
      <c r="H1048125" s="24"/>
      <c r="I1048125" s="24"/>
      <c r="J1048125" s="24"/>
      <c r="K1048125" s="54"/>
    </row>
    <row r="1048126" spans="1:11" s="55" customFormat="1" ht="12.75">
      <c r="A1048126" s="24"/>
      <c r="B1048126" s="24"/>
      <c r="C1048126" s="24"/>
      <c r="D1048126" s="24"/>
      <c r="E1048126" s="24"/>
      <c r="F1048126" s="24"/>
      <c r="G1048126" s="24"/>
      <c r="H1048126" s="24"/>
      <c r="I1048126" s="24"/>
      <c r="J1048126" s="24"/>
      <c r="K1048126" s="54"/>
    </row>
    <row r="1048127" spans="1:11" s="55" customFormat="1" ht="12.75">
      <c r="A1048127" s="24"/>
      <c r="B1048127" s="24"/>
      <c r="C1048127" s="24"/>
      <c r="D1048127" s="24"/>
      <c r="E1048127" s="24"/>
      <c r="F1048127" s="24"/>
      <c r="G1048127" s="24"/>
      <c r="H1048127" s="24"/>
      <c r="I1048127" s="24"/>
      <c r="J1048127" s="24"/>
      <c r="K1048127" s="54"/>
    </row>
    <row r="1048128" spans="1:11" s="55" customFormat="1" ht="12.75">
      <c r="A1048128" s="24"/>
      <c r="B1048128" s="24"/>
      <c r="C1048128" s="24"/>
      <c r="D1048128" s="24"/>
      <c r="E1048128" s="24"/>
      <c r="F1048128" s="24"/>
      <c r="G1048128" s="24"/>
      <c r="H1048128" s="24"/>
      <c r="I1048128" s="24"/>
      <c r="J1048128" s="24"/>
      <c r="K1048128" s="54"/>
    </row>
    <row r="1048129" spans="1:11" s="55" customFormat="1" ht="12.75">
      <c r="A1048129" s="24"/>
      <c r="B1048129" s="24"/>
      <c r="C1048129" s="24"/>
      <c r="D1048129" s="24"/>
      <c r="E1048129" s="24"/>
      <c r="F1048129" s="24"/>
      <c r="G1048129" s="24"/>
      <c r="H1048129" s="24"/>
      <c r="I1048129" s="24"/>
      <c r="J1048129" s="24"/>
      <c r="K1048129" s="54"/>
    </row>
    <row r="1048130" spans="1:11" s="55" customFormat="1" ht="12.75">
      <c r="A1048130" s="24"/>
      <c r="B1048130" s="24"/>
      <c r="C1048130" s="24"/>
      <c r="D1048130" s="24"/>
      <c r="E1048130" s="24"/>
      <c r="F1048130" s="24"/>
      <c r="G1048130" s="24"/>
      <c r="H1048130" s="24"/>
      <c r="I1048130" s="24"/>
      <c r="J1048130" s="24"/>
      <c r="K1048130" s="54"/>
    </row>
    <row r="1048131" spans="1:11" s="55" customFormat="1" ht="12.75">
      <c r="A1048131" s="24"/>
      <c r="B1048131" s="24"/>
      <c r="C1048131" s="24"/>
      <c r="D1048131" s="24"/>
      <c r="E1048131" s="24"/>
      <c r="F1048131" s="24"/>
      <c r="G1048131" s="24"/>
      <c r="H1048131" s="24"/>
      <c r="I1048131" s="24"/>
      <c r="J1048131" s="24"/>
      <c r="K1048131" s="54"/>
    </row>
    <row r="1048132" spans="1:11" s="55" customFormat="1" ht="12.75">
      <c r="A1048132" s="24"/>
      <c r="B1048132" s="24"/>
      <c r="C1048132" s="24"/>
      <c r="D1048132" s="24"/>
      <c r="E1048132" s="24"/>
      <c r="F1048132" s="24"/>
      <c r="G1048132" s="24"/>
      <c r="H1048132" s="24"/>
      <c r="I1048132" s="24"/>
      <c r="J1048132" s="24"/>
      <c r="K1048132" s="54"/>
    </row>
    <row r="1048133" spans="1:11" s="55" customFormat="1" ht="12.75">
      <c r="A1048133" s="24"/>
      <c r="B1048133" s="24"/>
      <c r="C1048133" s="24"/>
      <c r="D1048133" s="24"/>
      <c r="E1048133" s="24"/>
      <c r="F1048133" s="24"/>
      <c r="G1048133" s="24"/>
      <c r="H1048133" s="24"/>
      <c r="I1048133" s="24"/>
      <c r="J1048133" s="24"/>
      <c r="K1048133" s="54"/>
    </row>
    <row r="1048134" spans="1:11" s="55" customFormat="1" ht="12.75">
      <c r="A1048134" s="24"/>
      <c r="B1048134" s="24"/>
      <c r="C1048134" s="24"/>
      <c r="D1048134" s="24"/>
      <c r="E1048134" s="24"/>
      <c r="F1048134" s="24"/>
      <c r="G1048134" s="24"/>
      <c r="H1048134" s="24"/>
      <c r="I1048134" s="24"/>
      <c r="J1048134" s="24"/>
      <c r="K1048134" s="54"/>
    </row>
    <row r="1048135" spans="1:11" s="55" customFormat="1" ht="12.75">
      <c r="A1048135" s="24"/>
      <c r="B1048135" s="24"/>
      <c r="C1048135" s="24"/>
      <c r="D1048135" s="24"/>
      <c r="E1048135" s="24"/>
      <c r="F1048135" s="24"/>
      <c r="G1048135" s="24"/>
      <c r="H1048135" s="24"/>
      <c r="I1048135" s="24"/>
      <c r="J1048135" s="24"/>
      <c r="K1048135" s="54"/>
    </row>
    <row r="1048136" spans="1:11" s="55" customFormat="1" ht="12.75">
      <c r="A1048136" s="24"/>
      <c r="B1048136" s="24"/>
      <c r="C1048136" s="24"/>
      <c r="D1048136" s="24"/>
      <c r="E1048136" s="24"/>
      <c r="F1048136" s="24"/>
      <c r="G1048136" s="24"/>
      <c r="H1048136" s="24"/>
      <c r="I1048136" s="24"/>
      <c r="J1048136" s="24"/>
      <c r="K1048136" s="54"/>
    </row>
    <row r="1048137" spans="1:11" s="55" customFormat="1" ht="12.75">
      <c r="A1048137" s="24"/>
      <c r="B1048137" s="24"/>
      <c r="C1048137" s="24"/>
      <c r="D1048137" s="24"/>
      <c r="E1048137" s="24"/>
      <c r="F1048137" s="24"/>
      <c r="G1048137" s="24"/>
      <c r="H1048137" s="24"/>
      <c r="I1048137" s="24"/>
      <c r="J1048137" s="24"/>
      <c r="K1048137" s="54"/>
    </row>
    <row r="1048138" spans="1:11" s="55" customFormat="1" ht="12.75">
      <c r="A1048138" s="24"/>
      <c r="B1048138" s="24"/>
      <c r="C1048138" s="24"/>
      <c r="D1048138" s="24"/>
      <c r="E1048138" s="24"/>
      <c r="F1048138" s="24"/>
      <c r="G1048138" s="24"/>
      <c r="H1048138" s="24"/>
      <c r="I1048138" s="24"/>
      <c r="J1048138" s="24"/>
      <c r="K1048138" s="54"/>
    </row>
    <row r="1048139" spans="1:11" s="55" customFormat="1" ht="12.75">
      <c r="A1048139" s="24"/>
      <c r="B1048139" s="24"/>
      <c r="C1048139" s="24"/>
      <c r="D1048139" s="24"/>
      <c r="E1048139" s="24"/>
      <c r="F1048139" s="24"/>
      <c r="G1048139" s="24"/>
      <c r="H1048139" s="24"/>
      <c r="I1048139" s="24"/>
      <c r="J1048139" s="24"/>
      <c r="K1048139" s="54"/>
    </row>
    <row r="1048140" spans="1:11" s="55" customFormat="1" ht="12.75">
      <c r="A1048140" s="24"/>
      <c r="B1048140" s="24"/>
      <c r="C1048140" s="24"/>
      <c r="D1048140" s="24"/>
      <c r="E1048140" s="24"/>
      <c r="F1048140" s="24"/>
      <c r="G1048140" s="24"/>
      <c r="H1048140" s="24"/>
      <c r="I1048140" s="24"/>
      <c r="J1048140" s="24"/>
      <c r="K1048140" s="54"/>
    </row>
    <row r="1048141" spans="1:11" s="55" customFormat="1" ht="12.75">
      <c r="A1048141" s="24"/>
      <c r="B1048141" s="24"/>
      <c r="C1048141" s="24"/>
      <c r="D1048141" s="24"/>
      <c r="E1048141" s="24"/>
      <c r="F1048141" s="24"/>
      <c r="G1048141" s="24"/>
      <c r="H1048141" s="24"/>
      <c r="I1048141" s="24"/>
      <c r="J1048141" s="24"/>
      <c r="K1048141" s="54"/>
    </row>
    <row r="1048142" spans="1:11" s="55" customFormat="1" ht="12.75">
      <c r="A1048142" s="24"/>
      <c r="B1048142" s="24"/>
      <c r="C1048142" s="24"/>
      <c r="D1048142" s="24"/>
      <c r="E1048142" s="24"/>
      <c r="F1048142" s="24"/>
      <c r="G1048142" s="24"/>
      <c r="H1048142" s="24"/>
      <c r="I1048142" s="24"/>
      <c r="J1048142" s="24"/>
      <c r="K1048142" s="54"/>
    </row>
    <row r="1048143" spans="1:11" s="55" customFormat="1" ht="12.75">
      <c r="A1048143" s="24"/>
      <c r="B1048143" s="24"/>
      <c r="C1048143" s="24"/>
      <c r="D1048143" s="24"/>
      <c r="E1048143" s="24"/>
      <c r="F1048143" s="24"/>
      <c r="G1048143" s="24"/>
      <c r="H1048143" s="24"/>
      <c r="I1048143" s="24"/>
      <c r="J1048143" s="24"/>
      <c r="K1048143" s="54"/>
    </row>
    <row r="1048144" spans="1:11" s="55" customFormat="1" ht="12.75">
      <c r="A1048144" s="24"/>
      <c r="B1048144" s="24"/>
      <c r="C1048144" s="24"/>
      <c r="D1048144" s="24"/>
      <c r="E1048144" s="24"/>
      <c r="F1048144" s="24"/>
      <c r="G1048144" s="24"/>
      <c r="H1048144" s="24"/>
      <c r="I1048144" s="24"/>
      <c r="J1048144" s="24"/>
      <c r="K1048144" s="54"/>
    </row>
    <row r="1048145" spans="1:11" s="55" customFormat="1" ht="12.75">
      <c r="A1048145" s="24"/>
      <c r="B1048145" s="24"/>
      <c r="C1048145" s="24"/>
      <c r="D1048145" s="24"/>
      <c r="E1048145" s="24"/>
      <c r="F1048145" s="24"/>
      <c r="G1048145" s="24"/>
      <c r="H1048145" s="24"/>
      <c r="I1048145" s="24"/>
      <c r="J1048145" s="24"/>
      <c r="K1048145" s="54"/>
    </row>
    <row r="1048146" spans="1:11" s="55" customFormat="1" ht="12.75">
      <c r="A1048146" s="24"/>
      <c r="B1048146" s="24"/>
      <c r="C1048146" s="24"/>
      <c r="D1048146" s="24"/>
      <c r="E1048146" s="24"/>
      <c r="F1048146" s="24"/>
      <c r="G1048146" s="24"/>
      <c r="H1048146" s="24"/>
      <c r="I1048146" s="24"/>
      <c r="J1048146" s="24"/>
      <c r="K1048146" s="54"/>
    </row>
    <row r="1048147" spans="1:11" s="55" customFormat="1" ht="12.75">
      <c r="A1048147" s="24"/>
      <c r="B1048147" s="24"/>
      <c r="C1048147" s="24"/>
      <c r="D1048147" s="24"/>
      <c r="E1048147" s="24"/>
      <c r="F1048147" s="24"/>
      <c r="G1048147" s="24"/>
      <c r="H1048147" s="24"/>
      <c r="I1048147" s="24"/>
      <c r="J1048147" s="24"/>
      <c r="K1048147" s="54"/>
    </row>
    <row r="1048148" spans="1:11" s="55" customFormat="1" ht="12.75">
      <c r="A1048148" s="24"/>
      <c r="B1048148" s="24"/>
      <c r="C1048148" s="24"/>
      <c r="D1048148" s="24"/>
      <c r="E1048148" s="24"/>
      <c r="F1048148" s="24"/>
      <c r="G1048148" s="24"/>
      <c r="H1048148" s="24"/>
      <c r="I1048148" s="24"/>
      <c r="J1048148" s="24"/>
      <c r="K1048148" s="54"/>
    </row>
    <row r="1048149" spans="1:11" s="55" customFormat="1" ht="12.75">
      <c r="A1048149" s="24"/>
      <c r="B1048149" s="24"/>
      <c r="C1048149" s="24"/>
      <c r="D1048149" s="24"/>
      <c r="E1048149" s="24"/>
      <c r="F1048149" s="24"/>
      <c r="G1048149" s="24"/>
      <c r="H1048149" s="24"/>
      <c r="I1048149" s="24"/>
      <c r="J1048149" s="24"/>
      <c r="K1048149" s="54"/>
    </row>
    <row r="1048150" spans="1:11" s="55" customFormat="1" ht="12.75">
      <c r="A1048150" s="24"/>
      <c r="B1048150" s="24"/>
      <c r="C1048150" s="24"/>
      <c r="D1048150" s="24"/>
      <c r="E1048150" s="24"/>
      <c r="F1048150" s="24"/>
      <c r="G1048150" s="24"/>
      <c r="H1048150" s="24"/>
      <c r="I1048150" s="24"/>
      <c r="J1048150" s="24"/>
      <c r="K1048150" s="54"/>
    </row>
    <row r="1048151" spans="1:11" s="55" customFormat="1" ht="12.75">
      <c r="A1048151" s="24"/>
      <c r="B1048151" s="24"/>
      <c r="C1048151" s="24"/>
      <c r="D1048151" s="24"/>
      <c r="E1048151" s="24"/>
      <c r="F1048151" s="24"/>
      <c r="G1048151" s="24"/>
      <c r="H1048151" s="24"/>
      <c r="I1048151" s="24"/>
      <c r="J1048151" s="24"/>
      <c r="K1048151" s="54"/>
    </row>
    <row r="1048152" spans="1:11" s="55" customFormat="1" ht="12.75">
      <c r="A1048152" s="24"/>
      <c r="B1048152" s="24"/>
      <c r="C1048152" s="24"/>
      <c r="D1048152" s="24"/>
      <c r="E1048152" s="24"/>
      <c r="F1048152" s="24"/>
      <c r="G1048152" s="24"/>
      <c r="H1048152" s="24"/>
      <c r="I1048152" s="24"/>
      <c r="J1048152" s="24"/>
      <c r="K1048152" s="54"/>
    </row>
    <row r="1048153" spans="1:11" s="55" customFormat="1" ht="12.75">
      <c r="A1048153" s="24"/>
      <c r="B1048153" s="24"/>
      <c r="C1048153" s="24"/>
      <c r="D1048153" s="24"/>
      <c r="E1048153" s="24"/>
      <c r="F1048153" s="24"/>
      <c r="G1048153" s="24"/>
      <c r="H1048153" s="24"/>
      <c r="I1048153" s="24"/>
      <c r="J1048153" s="24"/>
      <c r="K1048153" s="54"/>
    </row>
    <row r="1048154" spans="1:11" s="55" customFormat="1" ht="12.75">
      <c r="A1048154" s="24"/>
      <c r="B1048154" s="24"/>
      <c r="C1048154" s="24"/>
      <c r="D1048154" s="24"/>
      <c r="E1048154" s="24"/>
      <c r="F1048154" s="24"/>
      <c r="G1048154" s="24"/>
      <c r="H1048154" s="24"/>
      <c r="I1048154" s="24"/>
      <c r="J1048154" s="24"/>
      <c r="K1048154" s="54"/>
    </row>
    <row r="1048155" spans="1:11" s="55" customFormat="1" ht="12.75">
      <c r="A1048155" s="24"/>
      <c r="B1048155" s="24"/>
      <c r="C1048155" s="24"/>
      <c r="D1048155" s="24"/>
      <c r="E1048155" s="24"/>
      <c r="F1048155" s="24"/>
      <c r="G1048155" s="24"/>
      <c r="H1048155" s="24"/>
      <c r="I1048155" s="24"/>
      <c r="J1048155" s="24"/>
      <c r="K1048155" s="54"/>
    </row>
    <row r="1048156" spans="1:11" s="55" customFormat="1" ht="12.75">
      <c r="A1048156" s="24"/>
      <c r="B1048156" s="24"/>
      <c r="C1048156" s="24"/>
      <c r="D1048156" s="24"/>
      <c r="E1048156" s="24"/>
      <c r="F1048156" s="24"/>
      <c r="G1048156" s="24"/>
      <c r="H1048156" s="24"/>
      <c r="I1048156" s="24"/>
      <c r="J1048156" s="24"/>
      <c r="K1048156" s="54"/>
    </row>
    <row r="1048157" spans="1:11" s="55" customFormat="1" ht="12.75">
      <c r="A1048157" s="24"/>
      <c r="B1048157" s="24"/>
      <c r="C1048157" s="24"/>
      <c r="D1048157" s="24"/>
      <c r="E1048157" s="24"/>
      <c r="F1048157" s="24"/>
      <c r="G1048157" s="24"/>
      <c r="H1048157" s="24"/>
      <c r="I1048157" s="24"/>
      <c r="J1048157" s="24"/>
      <c r="K1048157" s="54"/>
    </row>
    <row r="1048158" spans="1:11" s="55" customFormat="1" ht="12.75">
      <c r="A1048158" s="24"/>
      <c r="B1048158" s="24"/>
      <c r="C1048158" s="24"/>
      <c r="D1048158" s="24"/>
      <c r="E1048158" s="24"/>
      <c r="F1048158" s="24"/>
      <c r="G1048158" s="24"/>
      <c r="H1048158" s="24"/>
      <c r="I1048158" s="24"/>
      <c r="J1048158" s="24"/>
      <c r="K1048158" s="54"/>
    </row>
    <row r="1048159" spans="1:11" s="55" customFormat="1" ht="12.75">
      <c r="A1048159" s="24"/>
      <c r="B1048159" s="24"/>
      <c r="C1048159" s="24"/>
      <c r="D1048159" s="24"/>
      <c r="E1048159" s="24"/>
      <c r="F1048159" s="24"/>
      <c r="G1048159" s="24"/>
      <c r="H1048159" s="24"/>
      <c r="I1048159" s="24"/>
      <c r="J1048159" s="24"/>
      <c r="K1048159" s="54"/>
    </row>
    <row r="1048160" spans="1:11" s="55" customFormat="1" ht="12.75">
      <c r="A1048160" s="24"/>
      <c r="B1048160" s="24"/>
      <c r="C1048160" s="24"/>
      <c r="D1048160" s="24"/>
      <c r="E1048160" s="24"/>
      <c r="F1048160" s="24"/>
      <c r="G1048160" s="24"/>
      <c r="H1048160" s="24"/>
      <c r="I1048160" s="24"/>
      <c r="J1048160" s="24"/>
      <c r="K1048160" s="54"/>
    </row>
    <row r="1048161" spans="1:11" s="55" customFormat="1" ht="12.75">
      <c r="A1048161" s="24"/>
      <c r="B1048161" s="24"/>
      <c r="C1048161" s="24"/>
      <c r="D1048161" s="24"/>
      <c r="E1048161" s="24"/>
      <c r="F1048161" s="24"/>
      <c r="G1048161" s="24"/>
      <c r="H1048161" s="24"/>
      <c r="I1048161" s="24"/>
      <c r="J1048161" s="24"/>
      <c r="K1048161" s="54"/>
    </row>
    <row r="1048162" spans="1:11" s="55" customFormat="1" ht="12.75">
      <c r="A1048162" s="24"/>
      <c r="B1048162" s="24"/>
      <c r="C1048162" s="24"/>
      <c r="D1048162" s="24"/>
      <c r="E1048162" s="24"/>
      <c r="F1048162" s="24"/>
      <c r="G1048162" s="24"/>
      <c r="H1048162" s="24"/>
      <c r="I1048162" s="24"/>
      <c r="J1048162" s="24"/>
      <c r="K1048162" s="54"/>
    </row>
    <row r="1048163" spans="1:11" s="55" customFormat="1" ht="12.75">
      <c r="A1048163" s="24"/>
      <c r="B1048163" s="24"/>
      <c r="C1048163" s="24"/>
      <c r="D1048163" s="24"/>
      <c r="E1048163" s="24"/>
      <c r="F1048163" s="24"/>
      <c r="G1048163" s="24"/>
      <c r="H1048163" s="24"/>
      <c r="I1048163" s="24"/>
      <c r="J1048163" s="24"/>
      <c r="K1048163" s="54"/>
    </row>
    <row r="1048164" spans="1:11" s="55" customFormat="1" ht="12.75">
      <c r="A1048164" s="24"/>
      <c r="B1048164" s="24"/>
      <c r="C1048164" s="24"/>
      <c r="D1048164" s="24"/>
      <c r="E1048164" s="24"/>
      <c r="F1048164" s="24"/>
      <c r="G1048164" s="24"/>
      <c r="H1048164" s="24"/>
      <c r="I1048164" s="24"/>
      <c r="J1048164" s="24"/>
      <c r="K1048164" s="54"/>
    </row>
    <row r="1048165" spans="1:11" s="55" customFormat="1" ht="12.75">
      <c r="A1048165" s="24"/>
      <c r="B1048165" s="24"/>
      <c r="C1048165" s="24"/>
      <c r="D1048165" s="24"/>
      <c r="E1048165" s="24"/>
      <c r="F1048165" s="24"/>
      <c r="G1048165" s="24"/>
      <c r="H1048165" s="24"/>
      <c r="I1048165" s="24"/>
      <c r="J1048165" s="24"/>
      <c r="K1048165" s="54"/>
    </row>
    <row r="1048166" spans="1:11" s="55" customFormat="1" ht="12.75">
      <c r="A1048166" s="24"/>
      <c r="B1048166" s="24"/>
      <c r="C1048166" s="24"/>
      <c r="D1048166" s="24"/>
      <c r="E1048166" s="24"/>
      <c r="F1048166" s="24"/>
      <c r="G1048166" s="24"/>
      <c r="H1048166" s="24"/>
      <c r="I1048166" s="24"/>
      <c r="J1048166" s="24"/>
      <c r="K1048166" s="54"/>
    </row>
    <row r="1048167" spans="1:11" s="55" customFormat="1" ht="12.75">
      <c r="A1048167" s="24"/>
      <c r="B1048167" s="24"/>
      <c r="C1048167" s="24"/>
      <c r="D1048167" s="24"/>
      <c r="E1048167" s="24"/>
      <c r="F1048167" s="24"/>
      <c r="G1048167" s="24"/>
      <c r="H1048167" s="24"/>
      <c r="I1048167" s="24"/>
      <c r="J1048167" s="24"/>
      <c r="K1048167" s="54"/>
    </row>
    <row r="1048168" spans="1:11" s="55" customFormat="1" ht="12.75">
      <c r="A1048168" s="24"/>
      <c r="B1048168" s="24"/>
      <c r="C1048168" s="24"/>
      <c r="D1048168" s="24"/>
      <c r="E1048168" s="24"/>
      <c r="F1048168" s="24"/>
      <c r="G1048168" s="24"/>
      <c r="H1048168" s="24"/>
      <c r="I1048168" s="24"/>
      <c r="J1048168" s="24"/>
      <c r="K1048168" s="54"/>
    </row>
    <row r="1048169" spans="1:11" s="55" customFormat="1" ht="12.75">
      <c r="A1048169" s="24"/>
      <c r="B1048169" s="24"/>
      <c r="C1048169" s="24"/>
      <c r="D1048169" s="24"/>
      <c r="E1048169" s="24"/>
      <c r="F1048169" s="24"/>
      <c r="G1048169" s="24"/>
      <c r="H1048169" s="24"/>
      <c r="I1048169" s="24"/>
      <c r="J1048169" s="24"/>
      <c r="K1048169" s="54"/>
    </row>
    <row r="1048170" spans="1:11" s="55" customFormat="1" ht="12.75">
      <c r="A1048170" s="24"/>
      <c r="B1048170" s="24"/>
      <c r="C1048170" s="24"/>
      <c r="D1048170" s="24"/>
      <c r="E1048170" s="24"/>
      <c r="F1048170" s="24"/>
      <c r="G1048170" s="24"/>
      <c r="H1048170" s="24"/>
      <c r="I1048170" s="24"/>
      <c r="J1048170" s="24"/>
      <c r="K1048170" s="54"/>
    </row>
    <row r="1048171" spans="1:11" s="55" customFormat="1" ht="12.75">
      <c r="A1048171" s="24"/>
      <c r="B1048171" s="24"/>
      <c r="C1048171" s="24"/>
      <c r="D1048171" s="24"/>
      <c r="E1048171" s="24"/>
      <c r="F1048171" s="24"/>
      <c r="G1048171" s="24"/>
      <c r="H1048171" s="24"/>
      <c r="I1048171" s="24"/>
      <c r="J1048171" s="24"/>
      <c r="K1048171" s="54"/>
    </row>
    <row r="1048172" spans="1:11" s="55" customFormat="1" ht="12.75">
      <c r="A1048172" s="24"/>
      <c r="B1048172" s="24"/>
      <c r="C1048172" s="24"/>
      <c r="D1048172" s="24"/>
      <c r="E1048172" s="24"/>
      <c r="F1048172" s="24"/>
      <c r="G1048172" s="24"/>
      <c r="H1048172" s="24"/>
      <c r="I1048172" s="24"/>
      <c r="J1048172" s="24"/>
      <c r="K1048172" s="54"/>
    </row>
    <row r="1048173" spans="1:11" s="55" customFormat="1" ht="12.75">
      <c r="A1048173" s="24"/>
      <c r="B1048173" s="24"/>
      <c r="C1048173" s="24"/>
      <c r="D1048173" s="24"/>
      <c r="E1048173" s="24"/>
      <c r="F1048173" s="24"/>
      <c r="G1048173" s="24"/>
      <c r="H1048173" s="24"/>
      <c r="I1048173" s="24"/>
      <c r="J1048173" s="24"/>
      <c r="K1048173" s="54"/>
    </row>
    <row r="1048174" spans="1:11" s="55" customFormat="1" ht="12.75">
      <c r="A1048174" s="24"/>
      <c r="B1048174" s="24"/>
      <c r="C1048174" s="24"/>
      <c r="D1048174" s="24"/>
      <c r="E1048174" s="24"/>
      <c r="F1048174" s="24"/>
      <c r="G1048174" s="24"/>
      <c r="H1048174" s="24"/>
      <c r="I1048174" s="24"/>
      <c r="J1048174" s="24"/>
      <c r="K1048174" s="54"/>
    </row>
    <row r="1048175" spans="1:11" s="55" customFormat="1" ht="12.75">
      <c r="A1048175" s="24"/>
      <c r="B1048175" s="24"/>
      <c r="C1048175" s="24"/>
      <c r="D1048175" s="24"/>
      <c r="E1048175" s="24"/>
      <c r="F1048175" s="24"/>
      <c r="G1048175" s="24"/>
      <c r="H1048175" s="24"/>
      <c r="I1048175" s="24"/>
      <c r="J1048175" s="24"/>
      <c r="K1048175" s="54"/>
    </row>
    <row r="1048176" spans="1:11" s="55" customFormat="1" ht="12.75">
      <c r="A1048176" s="24"/>
      <c r="B1048176" s="24"/>
      <c r="C1048176" s="24"/>
      <c r="D1048176" s="24"/>
      <c r="E1048176" s="24"/>
      <c r="F1048176" s="24"/>
      <c r="G1048176" s="24"/>
      <c r="H1048176" s="24"/>
      <c r="I1048176" s="24"/>
      <c r="J1048176" s="24"/>
      <c r="K1048176" s="54"/>
    </row>
    <row r="1048177" spans="1:11" s="55" customFormat="1" ht="12.75">
      <c r="A1048177" s="24"/>
      <c r="B1048177" s="24"/>
      <c r="C1048177" s="24"/>
      <c r="D1048177" s="24"/>
      <c r="E1048177" s="24"/>
      <c r="F1048177" s="24"/>
      <c r="G1048177" s="24"/>
      <c r="H1048177" s="24"/>
      <c r="I1048177" s="24"/>
      <c r="J1048177" s="24"/>
      <c r="K1048177" s="54"/>
    </row>
    <row r="1048178" spans="1:11" s="55" customFormat="1" ht="12.75">
      <c r="A1048178" s="24"/>
      <c r="B1048178" s="24"/>
      <c r="C1048178" s="24"/>
      <c r="D1048178" s="24"/>
      <c r="E1048178" s="24"/>
      <c r="F1048178" s="24"/>
      <c r="G1048178" s="24"/>
      <c r="H1048178" s="24"/>
      <c r="I1048178" s="24"/>
      <c r="J1048178" s="24"/>
      <c r="K1048178" s="54"/>
    </row>
    <row r="1048179" spans="1:11" s="55" customFormat="1" ht="12.75">
      <c r="A1048179" s="24"/>
      <c r="B1048179" s="24"/>
      <c r="C1048179" s="24"/>
      <c r="D1048179" s="24"/>
      <c r="E1048179" s="24"/>
      <c r="F1048179" s="24"/>
      <c r="G1048179" s="24"/>
      <c r="H1048179" s="24"/>
      <c r="I1048179" s="24"/>
      <c r="J1048179" s="24"/>
      <c r="K1048179" s="54"/>
    </row>
    <row r="1048180" spans="1:11" s="55" customFormat="1" ht="12.75">
      <c r="A1048180" s="24"/>
      <c r="B1048180" s="24"/>
      <c r="C1048180" s="24"/>
      <c r="D1048180" s="24"/>
      <c r="E1048180" s="24"/>
      <c r="F1048180" s="24"/>
      <c r="G1048180" s="24"/>
      <c r="H1048180" s="24"/>
      <c r="I1048180" s="24"/>
      <c r="J1048180" s="24"/>
      <c r="K1048180" s="54"/>
    </row>
    <row r="1048181" spans="1:11" s="55" customFormat="1" ht="12.75">
      <c r="A1048181" s="24"/>
      <c r="B1048181" s="24"/>
      <c r="C1048181" s="24"/>
      <c r="D1048181" s="24"/>
      <c r="E1048181" s="24"/>
      <c r="F1048181" s="24"/>
      <c r="G1048181" s="24"/>
      <c r="H1048181" s="24"/>
      <c r="I1048181" s="24"/>
      <c r="J1048181" s="24"/>
      <c r="K1048181" s="54"/>
    </row>
    <row r="1048182" spans="1:11" s="55" customFormat="1" ht="12.75">
      <c r="A1048182" s="24"/>
      <c r="B1048182" s="24"/>
      <c r="C1048182" s="24"/>
      <c r="D1048182" s="24"/>
      <c r="E1048182" s="24"/>
      <c r="F1048182" s="24"/>
      <c r="G1048182" s="24"/>
      <c r="H1048182" s="24"/>
      <c r="I1048182" s="24"/>
      <c r="J1048182" s="24"/>
      <c r="K1048182" s="54"/>
    </row>
    <row r="1048183" spans="1:11" s="55" customFormat="1" ht="12.75">
      <c r="A1048183" s="24"/>
      <c r="B1048183" s="24"/>
      <c r="C1048183" s="24"/>
      <c r="D1048183" s="24"/>
      <c r="E1048183" s="24"/>
      <c r="F1048183" s="24"/>
      <c r="G1048183" s="24"/>
      <c r="H1048183" s="24"/>
      <c r="I1048183" s="24"/>
      <c r="J1048183" s="24"/>
      <c r="K1048183" s="54"/>
    </row>
    <row r="1048184" spans="1:11" s="55" customFormat="1" ht="12.75">
      <c r="A1048184" s="24"/>
      <c r="B1048184" s="24"/>
      <c r="C1048184" s="24"/>
      <c r="D1048184" s="24"/>
      <c r="E1048184" s="24"/>
      <c r="F1048184" s="24"/>
      <c r="G1048184" s="24"/>
      <c r="H1048184" s="24"/>
      <c r="I1048184" s="24"/>
      <c r="J1048184" s="24"/>
      <c r="K1048184" s="54"/>
    </row>
    <row r="1048185" spans="1:11" s="55" customFormat="1" ht="12.75">
      <c r="A1048185" s="24"/>
      <c r="B1048185" s="24"/>
      <c r="C1048185" s="24"/>
      <c r="D1048185" s="24"/>
      <c r="E1048185" s="24"/>
      <c r="F1048185" s="24"/>
      <c r="G1048185" s="24"/>
      <c r="H1048185" s="24"/>
      <c r="I1048185" s="24"/>
      <c r="J1048185" s="24"/>
      <c r="K1048185" s="54"/>
    </row>
    <row r="1048186" spans="1:11" s="55" customFormat="1" ht="12.75">
      <c r="A1048186" s="24"/>
      <c r="B1048186" s="24"/>
      <c r="C1048186" s="24"/>
      <c r="D1048186" s="24"/>
      <c r="E1048186" s="24"/>
      <c r="F1048186" s="24"/>
      <c r="G1048186" s="24"/>
      <c r="H1048186" s="24"/>
      <c r="I1048186" s="24"/>
      <c r="J1048186" s="24"/>
      <c r="K1048186" s="54"/>
    </row>
    <row r="1048187" spans="1:11" s="55" customFormat="1" ht="12.75">
      <c r="A1048187" s="24"/>
      <c r="B1048187" s="24"/>
      <c r="C1048187" s="24"/>
      <c r="D1048187" s="24"/>
      <c r="E1048187" s="24"/>
      <c r="F1048187" s="24"/>
      <c r="G1048187" s="24"/>
      <c r="H1048187" s="24"/>
      <c r="I1048187" s="24"/>
      <c r="J1048187" s="24"/>
      <c r="K1048187" s="54"/>
    </row>
    <row r="1048188" spans="1:11" s="55" customFormat="1" ht="12.75">
      <c r="A1048188" s="24"/>
      <c r="B1048188" s="24"/>
      <c r="C1048188" s="24"/>
      <c r="D1048188" s="24"/>
      <c r="E1048188" s="24"/>
      <c r="F1048188" s="24"/>
      <c r="G1048188" s="24"/>
      <c r="H1048188" s="24"/>
      <c r="I1048188" s="24"/>
      <c r="J1048188" s="24"/>
      <c r="K1048188" s="54"/>
    </row>
    <row r="1048189" spans="1:11" s="55" customFormat="1" ht="12.75">
      <c r="A1048189" s="24"/>
      <c r="B1048189" s="24"/>
      <c r="C1048189" s="24"/>
      <c r="D1048189" s="24"/>
      <c r="E1048189" s="24"/>
      <c r="F1048189" s="24"/>
      <c r="G1048189" s="24"/>
      <c r="H1048189" s="24"/>
      <c r="I1048189" s="24"/>
      <c r="J1048189" s="24"/>
      <c r="K1048189" s="54"/>
    </row>
    <row r="1048190" spans="1:11" s="55" customFormat="1" ht="12.75">
      <c r="A1048190" s="24"/>
      <c r="B1048190" s="24"/>
      <c r="C1048190" s="24"/>
      <c r="D1048190" s="24"/>
      <c r="E1048190" s="24"/>
      <c r="F1048190" s="24"/>
      <c r="G1048190" s="24"/>
      <c r="H1048190" s="24"/>
      <c r="I1048190" s="24"/>
      <c r="J1048190" s="24"/>
      <c r="K1048190" s="54"/>
    </row>
    <row r="1048191" spans="1:11" s="55" customFormat="1" ht="12.75">
      <c r="A1048191" s="24"/>
      <c r="B1048191" s="24"/>
      <c r="C1048191" s="24"/>
      <c r="D1048191" s="24"/>
      <c r="E1048191" s="24"/>
      <c r="F1048191" s="24"/>
      <c r="G1048191" s="24"/>
      <c r="H1048191" s="24"/>
      <c r="I1048191" s="24"/>
      <c r="J1048191" s="24"/>
      <c r="K1048191" s="54"/>
    </row>
    <row r="1048192" spans="1:11" s="55" customFormat="1" ht="12.75">
      <c r="A1048192" s="24"/>
      <c r="B1048192" s="24"/>
      <c r="C1048192" s="24"/>
      <c r="D1048192" s="24"/>
      <c r="E1048192" s="24"/>
      <c r="F1048192" s="24"/>
      <c r="G1048192" s="24"/>
      <c r="H1048192" s="24"/>
      <c r="I1048192" s="24"/>
      <c r="J1048192" s="24"/>
      <c r="K1048192" s="54"/>
    </row>
    <row r="1048193" spans="1:11" s="55" customFormat="1" ht="12.75">
      <c r="A1048193" s="24"/>
      <c r="B1048193" s="24"/>
      <c r="C1048193" s="24"/>
      <c r="D1048193" s="24"/>
      <c r="E1048193" s="24"/>
      <c r="F1048193" s="24"/>
      <c r="G1048193" s="24"/>
      <c r="H1048193" s="24"/>
      <c r="I1048193" s="24"/>
      <c r="J1048193" s="24"/>
      <c r="K1048193" s="54"/>
    </row>
    <row r="1048194" spans="1:11" s="55" customFormat="1" ht="12.75">
      <c r="A1048194" s="24"/>
      <c r="B1048194" s="24"/>
      <c r="C1048194" s="24"/>
      <c r="D1048194" s="24"/>
      <c r="E1048194" s="24"/>
      <c r="F1048194" s="24"/>
      <c r="G1048194" s="24"/>
      <c r="H1048194" s="24"/>
      <c r="I1048194" s="24"/>
      <c r="J1048194" s="24"/>
      <c r="K1048194" s="54"/>
    </row>
    <row r="1048195" spans="1:11" s="55" customFormat="1" ht="12.75">
      <c r="A1048195" s="24"/>
      <c r="B1048195" s="24"/>
      <c r="C1048195" s="24"/>
      <c r="D1048195" s="24"/>
      <c r="E1048195" s="24"/>
      <c r="F1048195" s="24"/>
      <c r="G1048195" s="24"/>
      <c r="H1048195" s="24"/>
      <c r="I1048195" s="24"/>
      <c r="J1048195" s="24"/>
      <c r="K1048195" s="54"/>
    </row>
    <row r="1048196" spans="1:11" s="55" customFormat="1" ht="12.75">
      <c r="A1048196" s="24"/>
      <c r="B1048196" s="24"/>
      <c r="C1048196" s="24"/>
      <c r="D1048196" s="24"/>
      <c r="E1048196" s="24"/>
      <c r="F1048196" s="24"/>
      <c r="G1048196" s="24"/>
      <c r="H1048196" s="24"/>
      <c r="I1048196" s="24"/>
      <c r="J1048196" s="24"/>
      <c r="K1048196" s="54"/>
    </row>
    <row r="1048197" spans="1:11" s="55" customFormat="1" ht="12.75">
      <c r="A1048197" s="24"/>
      <c r="B1048197" s="24"/>
      <c r="C1048197" s="24"/>
      <c r="D1048197" s="24"/>
      <c r="E1048197" s="24"/>
      <c r="F1048197" s="24"/>
      <c r="G1048197" s="24"/>
      <c r="H1048197" s="24"/>
      <c r="I1048197" s="24"/>
      <c r="J1048197" s="24"/>
      <c r="K1048197" s="54"/>
    </row>
    <row r="1048198" spans="1:11" s="55" customFormat="1" ht="12.75">
      <c r="A1048198" s="24"/>
      <c r="B1048198" s="24"/>
      <c r="C1048198" s="24"/>
      <c r="D1048198" s="24"/>
      <c r="E1048198" s="24"/>
      <c r="F1048198" s="24"/>
      <c r="G1048198" s="24"/>
      <c r="H1048198" s="24"/>
      <c r="I1048198" s="24"/>
      <c r="J1048198" s="24"/>
      <c r="K1048198" s="54"/>
    </row>
    <row r="1048199" spans="1:11" s="55" customFormat="1" ht="12.75">
      <c r="A1048199" s="24"/>
      <c r="B1048199" s="24"/>
      <c r="C1048199" s="24"/>
      <c r="D1048199" s="24"/>
      <c r="E1048199" s="24"/>
      <c r="F1048199" s="24"/>
      <c r="G1048199" s="24"/>
      <c r="H1048199" s="24"/>
      <c r="I1048199" s="24"/>
      <c r="J1048199" s="24"/>
      <c r="K1048199" s="54"/>
    </row>
    <row r="1048200" spans="1:11" s="55" customFormat="1" ht="12.75">
      <c r="A1048200" s="24"/>
      <c r="B1048200" s="24"/>
      <c r="C1048200" s="24"/>
      <c r="D1048200" s="24"/>
      <c r="E1048200" s="24"/>
      <c r="F1048200" s="24"/>
      <c r="G1048200" s="24"/>
      <c r="H1048200" s="24"/>
      <c r="I1048200" s="24"/>
      <c r="J1048200" s="24"/>
      <c r="K1048200" s="54"/>
    </row>
    <row r="1048201" spans="1:11" s="55" customFormat="1" ht="12.75">
      <c r="A1048201" s="24"/>
      <c r="B1048201" s="24"/>
      <c r="C1048201" s="24"/>
      <c r="D1048201" s="24"/>
      <c r="E1048201" s="24"/>
      <c r="F1048201" s="24"/>
      <c r="G1048201" s="24"/>
      <c r="H1048201" s="24"/>
      <c r="I1048201" s="24"/>
      <c r="J1048201" s="24"/>
      <c r="K1048201" s="54"/>
    </row>
    <row r="1048202" spans="1:11" s="55" customFormat="1" ht="12.75">
      <c r="A1048202" s="24"/>
      <c r="B1048202" s="24"/>
      <c r="C1048202" s="24"/>
      <c r="D1048202" s="24"/>
      <c r="E1048202" s="24"/>
      <c r="F1048202" s="24"/>
      <c r="G1048202" s="24"/>
      <c r="H1048202" s="24"/>
      <c r="I1048202" s="24"/>
      <c r="J1048202" s="24"/>
      <c r="K1048202" s="54"/>
    </row>
    <row r="1048203" spans="1:11" s="55" customFormat="1" ht="12.75">
      <c r="A1048203" s="24"/>
      <c r="B1048203" s="24"/>
      <c r="C1048203" s="24"/>
      <c r="D1048203" s="24"/>
      <c r="E1048203" s="24"/>
      <c r="F1048203" s="24"/>
      <c r="G1048203" s="24"/>
      <c r="H1048203" s="24"/>
      <c r="I1048203" s="24"/>
      <c r="J1048203" s="24"/>
      <c r="K1048203" s="54"/>
    </row>
    <row r="1048204" spans="1:11" s="55" customFormat="1" ht="12.75">
      <c r="A1048204" s="24"/>
      <c r="B1048204" s="24"/>
      <c r="C1048204" s="24"/>
      <c r="D1048204" s="24"/>
      <c r="E1048204" s="24"/>
      <c r="F1048204" s="24"/>
      <c r="G1048204" s="24"/>
      <c r="H1048204" s="24"/>
      <c r="I1048204" s="24"/>
      <c r="J1048204" s="24"/>
      <c r="K1048204" s="54"/>
    </row>
    <row r="1048205" spans="1:11" s="55" customFormat="1" ht="12.75">
      <c r="A1048205" s="24"/>
      <c r="B1048205" s="24"/>
      <c r="C1048205" s="24"/>
      <c r="D1048205" s="24"/>
      <c r="E1048205" s="24"/>
      <c r="F1048205" s="24"/>
      <c r="G1048205" s="24"/>
      <c r="H1048205" s="24"/>
      <c r="I1048205" s="24"/>
      <c r="J1048205" s="24"/>
      <c r="K1048205" s="54"/>
    </row>
    <row r="1048206" spans="1:11" s="55" customFormat="1" ht="12.75">
      <c r="A1048206" s="24"/>
      <c r="B1048206" s="24"/>
      <c r="C1048206" s="24"/>
      <c r="D1048206" s="24"/>
      <c r="E1048206" s="24"/>
      <c r="F1048206" s="24"/>
      <c r="G1048206" s="24"/>
      <c r="H1048206" s="24"/>
      <c r="I1048206" s="24"/>
      <c r="J1048206" s="24"/>
      <c r="K1048206" s="54"/>
    </row>
    <row r="1048207" spans="1:11" s="55" customFormat="1" ht="12.75">
      <c r="A1048207" s="24"/>
      <c r="B1048207" s="24"/>
      <c r="C1048207" s="24"/>
      <c r="D1048207" s="24"/>
      <c r="E1048207" s="24"/>
      <c r="F1048207" s="24"/>
      <c r="G1048207" s="24"/>
      <c r="H1048207" s="24"/>
      <c r="I1048207" s="24"/>
      <c r="J1048207" s="24"/>
      <c r="K1048207" s="54"/>
    </row>
    <row r="1048208" spans="1:11" s="55" customFormat="1" ht="12.75">
      <c r="A1048208" s="24"/>
      <c r="B1048208" s="24"/>
      <c r="C1048208" s="24"/>
      <c r="D1048208" s="24"/>
      <c r="E1048208" s="24"/>
      <c r="F1048208" s="24"/>
      <c r="G1048208" s="24"/>
      <c r="H1048208" s="24"/>
      <c r="I1048208" s="24"/>
      <c r="J1048208" s="24"/>
      <c r="K1048208" s="54"/>
    </row>
    <row r="1048209" spans="1:11" s="55" customFormat="1" ht="12.75">
      <c r="A1048209" s="24"/>
      <c r="B1048209" s="24"/>
      <c r="C1048209" s="24"/>
      <c r="D1048209" s="24"/>
      <c r="E1048209" s="24"/>
      <c r="F1048209" s="24"/>
      <c r="G1048209" s="24"/>
      <c r="H1048209" s="24"/>
      <c r="I1048209" s="24"/>
      <c r="J1048209" s="24"/>
      <c r="K1048209" s="54"/>
    </row>
    <row r="1048210" spans="1:11" s="55" customFormat="1" ht="12.75">
      <c r="A1048210" s="24"/>
      <c r="B1048210" s="24"/>
      <c r="C1048210" s="24"/>
      <c r="D1048210" s="24"/>
      <c r="E1048210" s="24"/>
      <c r="F1048210" s="24"/>
      <c r="G1048210" s="24"/>
      <c r="H1048210" s="24"/>
      <c r="I1048210" s="24"/>
      <c r="J1048210" s="24"/>
      <c r="K1048210" s="54"/>
    </row>
    <row r="1048211" spans="1:11" s="55" customFormat="1" ht="12.75">
      <c r="A1048211" s="24"/>
      <c r="B1048211" s="24"/>
      <c r="C1048211" s="24"/>
      <c r="D1048211" s="24"/>
      <c r="E1048211" s="24"/>
      <c r="F1048211" s="24"/>
      <c r="G1048211" s="24"/>
      <c r="H1048211" s="24"/>
      <c r="I1048211" s="24"/>
      <c r="J1048211" s="24"/>
      <c r="K1048211" s="54"/>
    </row>
    <row r="1048212" spans="1:11" s="55" customFormat="1" ht="12.75">
      <c r="A1048212" s="24"/>
      <c r="B1048212" s="24"/>
      <c r="C1048212" s="24"/>
      <c r="D1048212" s="24"/>
      <c r="E1048212" s="24"/>
      <c r="F1048212" s="24"/>
      <c r="G1048212" s="24"/>
      <c r="H1048212" s="24"/>
      <c r="I1048212" s="24"/>
      <c r="J1048212" s="24"/>
      <c r="K1048212" s="54"/>
    </row>
    <row r="1048213" spans="1:11" s="55" customFormat="1" ht="12.75">
      <c r="A1048213" s="24"/>
      <c r="B1048213" s="24"/>
      <c r="C1048213" s="24"/>
      <c r="D1048213" s="24"/>
      <c r="E1048213" s="24"/>
      <c r="F1048213" s="24"/>
      <c r="G1048213" s="24"/>
      <c r="H1048213" s="24"/>
      <c r="I1048213" s="24"/>
      <c r="J1048213" s="24"/>
      <c r="K1048213" s="54"/>
    </row>
    <row r="1048214" spans="1:11" s="55" customFormat="1" ht="12.75">
      <c r="A1048214" s="24"/>
      <c r="B1048214" s="24"/>
      <c r="C1048214" s="24"/>
      <c r="D1048214" s="24"/>
      <c r="E1048214" s="24"/>
      <c r="F1048214" s="24"/>
      <c r="G1048214" s="24"/>
      <c r="H1048214" s="24"/>
      <c r="I1048214" s="24"/>
      <c r="J1048214" s="24"/>
      <c r="K1048214" s="54"/>
    </row>
    <row r="1048215" spans="1:11" s="55" customFormat="1" ht="12.75">
      <c r="A1048215" s="24"/>
      <c r="B1048215" s="24"/>
      <c r="C1048215" s="24"/>
      <c r="D1048215" s="24"/>
      <c r="E1048215" s="24"/>
      <c r="F1048215" s="24"/>
      <c r="G1048215" s="24"/>
      <c r="H1048215" s="24"/>
      <c r="I1048215" s="24"/>
      <c r="J1048215" s="24"/>
      <c r="K1048215" s="54"/>
    </row>
    <row r="1048216" spans="1:11" s="55" customFormat="1" ht="12.75">
      <c r="A1048216" s="24"/>
      <c r="B1048216" s="24"/>
      <c r="C1048216" s="24"/>
      <c r="D1048216" s="24"/>
      <c r="E1048216" s="24"/>
      <c r="F1048216" s="24"/>
      <c r="G1048216" s="24"/>
      <c r="H1048216" s="24"/>
      <c r="I1048216" s="24"/>
      <c r="J1048216" s="24"/>
      <c r="K1048216" s="54"/>
    </row>
    <row r="1048217" spans="1:11" s="55" customFormat="1" ht="12.75">
      <c r="A1048217" s="24"/>
      <c r="B1048217" s="24"/>
      <c r="C1048217" s="24"/>
      <c r="D1048217" s="24"/>
      <c r="E1048217" s="24"/>
      <c r="F1048217" s="24"/>
      <c r="G1048217" s="24"/>
      <c r="H1048217" s="24"/>
      <c r="I1048217" s="24"/>
      <c r="J1048217" s="24"/>
      <c r="K1048217" s="54"/>
    </row>
    <row r="1048218" spans="1:11" s="55" customFormat="1" ht="12.75">
      <c r="A1048218" s="24"/>
      <c r="B1048218" s="24"/>
      <c r="C1048218" s="24"/>
      <c r="D1048218" s="24"/>
      <c r="E1048218" s="24"/>
      <c r="F1048218" s="24"/>
      <c r="G1048218" s="24"/>
      <c r="H1048218" s="24"/>
      <c r="I1048218" s="24"/>
      <c r="J1048218" s="24"/>
      <c r="K1048218" s="54"/>
    </row>
    <row r="1048219" spans="1:11" s="55" customFormat="1" ht="12.75">
      <c r="A1048219" s="24"/>
      <c r="B1048219" s="24"/>
      <c r="C1048219" s="24"/>
      <c r="D1048219" s="24"/>
      <c r="E1048219" s="24"/>
      <c r="F1048219" s="24"/>
      <c r="G1048219" s="24"/>
      <c r="H1048219" s="24"/>
      <c r="I1048219" s="24"/>
      <c r="J1048219" s="24"/>
      <c r="K1048219" s="54"/>
    </row>
    <row r="1048220" spans="1:11" s="55" customFormat="1" ht="12.75">
      <c r="A1048220" s="24"/>
      <c r="B1048220" s="24"/>
      <c r="C1048220" s="24"/>
      <c r="D1048220" s="24"/>
      <c r="E1048220" s="24"/>
      <c r="F1048220" s="24"/>
      <c r="G1048220" s="24"/>
      <c r="H1048220" s="24"/>
      <c r="I1048220" s="24"/>
      <c r="J1048220" s="24"/>
      <c r="K1048220" s="54"/>
    </row>
    <row r="1048221" spans="1:11" s="55" customFormat="1" ht="12.75">
      <c r="A1048221" s="24"/>
      <c r="B1048221" s="24"/>
      <c r="C1048221" s="24"/>
      <c r="D1048221" s="24"/>
      <c r="E1048221" s="24"/>
      <c r="F1048221" s="24"/>
      <c r="G1048221" s="24"/>
      <c r="H1048221" s="24"/>
      <c r="I1048221" s="24"/>
      <c r="J1048221" s="24"/>
      <c r="K1048221" s="54"/>
    </row>
    <row r="1048222" spans="1:11" s="55" customFormat="1" ht="12.75">
      <c r="A1048222" s="24"/>
      <c r="B1048222" s="24"/>
      <c r="C1048222" s="24"/>
      <c r="D1048222" s="24"/>
      <c r="E1048222" s="24"/>
      <c r="F1048222" s="24"/>
      <c r="G1048222" s="24"/>
      <c r="H1048222" s="24"/>
      <c r="I1048222" s="24"/>
      <c r="J1048222" s="24"/>
      <c r="K1048222" s="54"/>
    </row>
    <row r="1048223" spans="1:11" s="55" customFormat="1" ht="12.75">
      <c r="A1048223" s="24"/>
      <c r="B1048223" s="24"/>
      <c r="C1048223" s="24"/>
      <c r="D1048223" s="24"/>
      <c r="E1048223" s="24"/>
      <c r="F1048223" s="24"/>
      <c r="G1048223" s="24"/>
      <c r="H1048223" s="24"/>
      <c r="I1048223" s="24"/>
      <c r="J1048223" s="24"/>
      <c r="K1048223" s="54"/>
    </row>
    <row r="1048224" spans="1:11" s="55" customFormat="1" ht="12.75">
      <c r="A1048224" s="24"/>
      <c r="B1048224" s="24"/>
      <c r="C1048224" s="24"/>
      <c r="D1048224" s="24"/>
      <c r="E1048224" s="24"/>
      <c r="F1048224" s="24"/>
      <c r="G1048224" s="24"/>
      <c r="H1048224" s="24"/>
      <c r="I1048224" s="24"/>
      <c r="J1048224" s="24"/>
      <c r="K1048224" s="54"/>
    </row>
    <row r="1048225" spans="1:11" s="55" customFormat="1" ht="12.75">
      <c r="A1048225" s="24"/>
      <c r="B1048225" s="24"/>
      <c r="C1048225" s="24"/>
      <c r="D1048225" s="24"/>
      <c r="E1048225" s="24"/>
      <c r="F1048225" s="24"/>
      <c r="G1048225" s="24"/>
      <c r="H1048225" s="24"/>
      <c r="I1048225" s="24"/>
      <c r="J1048225" s="24"/>
      <c r="K1048225" s="54"/>
    </row>
    <row r="1048226" spans="1:11" s="55" customFormat="1" ht="12.75">
      <c r="A1048226" s="24"/>
      <c r="B1048226" s="24"/>
      <c r="C1048226" s="24"/>
      <c r="D1048226" s="24"/>
      <c r="E1048226" s="24"/>
      <c r="F1048226" s="24"/>
      <c r="G1048226" s="24"/>
      <c r="H1048226" s="24"/>
      <c r="I1048226" s="24"/>
      <c r="J1048226" s="24"/>
      <c r="K1048226" s="54"/>
    </row>
    <row r="1048227" spans="1:11" s="55" customFormat="1" ht="12.75">
      <c r="A1048227" s="24"/>
      <c r="B1048227" s="24"/>
      <c r="C1048227" s="24"/>
      <c r="D1048227" s="24"/>
      <c r="E1048227" s="24"/>
      <c r="F1048227" s="24"/>
      <c r="G1048227" s="24"/>
      <c r="H1048227" s="24"/>
      <c r="I1048227" s="24"/>
      <c r="J1048227" s="24"/>
      <c r="K1048227" s="54"/>
    </row>
    <row r="1048228" spans="1:11" s="55" customFormat="1" ht="12.75">
      <c r="A1048228" s="24"/>
      <c r="B1048228" s="24"/>
      <c r="C1048228" s="24"/>
      <c r="D1048228" s="24"/>
      <c r="E1048228" s="24"/>
      <c r="F1048228" s="24"/>
      <c r="G1048228" s="24"/>
      <c r="H1048228" s="24"/>
      <c r="I1048228" s="24"/>
      <c r="J1048228" s="24"/>
      <c r="K1048228" s="54"/>
    </row>
    <row r="1048229" spans="1:11" s="55" customFormat="1" ht="12.75">
      <c r="A1048229" s="24"/>
      <c r="B1048229" s="24"/>
      <c r="C1048229" s="24"/>
      <c r="D1048229" s="24"/>
      <c r="E1048229" s="24"/>
      <c r="F1048229" s="24"/>
      <c r="G1048229" s="24"/>
      <c r="H1048229" s="24"/>
      <c r="I1048229" s="24"/>
      <c r="J1048229" s="24"/>
      <c r="K1048229" s="54"/>
    </row>
    <row r="1048230" spans="1:11" s="55" customFormat="1" ht="12.75">
      <c r="A1048230" s="24"/>
      <c r="B1048230" s="24"/>
      <c r="C1048230" s="24"/>
      <c r="D1048230" s="24"/>
      <c r="E1048230" s="24"/>
      <c r="F1048230" s="24"/>
      <c r="G1048230" s="24"/>
      <c r="H1048230" s="24"/>
      <c r="I1048230" s="24"/>
      <c r="J1048230" s="24"/>
      <c r="K1048230" s="54"/>
    </row>
    <row r="1048231" spans="1:11" s="55" customFormat="1" ht="12.75">
      <c r="A1048231" s="24"/>
      <c r="B1048231" s="24"/>
      <c r="C1048231" s="24"/>
      <c r="D1048231" s="24"/>
      <c r="E1048231" s="24"/>
      <c r="F1048231" s="24"/>
      <c r="G1048231" s="24"/>
      <c r="H1048231" s="24"/>
      <c r="I1048231" s="24"/>
      <c r="J1048231" s="24"/>
      <c r="K1048231" s="54"/>
    </row>
    <row r="1048232" spans="1:11" s="55" customFormat="1" ht="12.75">
      <c r="A1048232" s="24"/>
      <c r="B1048232" s="24"/>
      <c r="C1048232" s="24"/>
      <c r="D1048232" s="24"/>
      <c r="E1048232" s="24"/>
      <c r="F1048232" s="24"/>
      <c r="G1048232" s="24"/>
      <c r="H1048232" s="24"/>
      <c r="I1048232" s="24"/>
      <c r="J1048232" s="24"/>
      <c r="K1048232" s="54"/>
    </row>
    <row r="1048233" spans="1:11" s="55" customFormat="1" ht="12.75">
      <c r="A1048233" s="24"/>
      <c r="B1048233" s="24"/>
      <c r="C1048233" s="24"/>
      <c r="D1048233" s="24"/>
      <c r="E1048233" s="24"/>
      <c r="F1048233" s="24"/>
      <c r="G1048233" s="24"/>
      <c r="H1048233" s="24"/>
      <c r="I1048233" s="24"/>
      <c r="J1048233" s="24"/>
      <c r="K1048233" s="54"/>
    </row>
    <row r="1048234" spans="1:11" s="55" customFormat="1" ht="12.75">
      <c r="A1048234" s="24"/>
      <c r="B1048234" s="24"/>
      <c r="C1048234" s="24"/>
      <c r="D1048234" s="24"/>
      <c r="E1048234" s="24"/>
      <c r="F1048234" s="24"/>
      <c r="G1048234" s="24"/>
      <c r="H1048234" s="24"/>
      <c r="I1048234" s="24"/>
      <c r="J1048234" s="24"/>
      <c r="K1048234" s="54"/>
    </row>
    <row r="1048235" spans="1:11" s="55" customFormat="1" ht="12.75">
      <c r="A1048235" s="24"/>
      <c r="B1048235" s="24"/>
      <c r="C1048235" s="24"/>
      <c r="D1048235" s="24"/>
      <c r="E1048235" s="24"/>
      <c r="F1048235" s="24"/>
      <c r="G1048235" s="24"/>
      <c r="H1048235" s="24"/>
      <c r="I1048235" s="24"/>
      <c r="J1048235" s="24"/>
      <c r="K1048235" s="54"/>
    </row>
    <row r="1048236" spans="1:11" s="55" customFormat="1" ht="12.75">
      <c r="A1048236" s="24"/>
      <c r="B1048236" s="24"/>
      <c r="C1048236" s="24"/>
      <c r="D1048236" s="24"/>
      <c r="E1048236" s="24"/>
      <c r="F1048236" s="24"/>
      <c r="G1048236" s="24"/>
      <c r="H1048236" s="24"/>
      <c r="I1048236" s="24"/>
      <c r="J1048236" s="24"/>
      <c r="K1048236" s="54"/>
    </row>
    <row r="1048237" spans="1:11" s="55" customFormat="1" ht="12.75">
      <c r="A1048237" s="24"/>
      <c r="B1048237" s="24"/>
      <c r="C1048237" s="24"/>
      <c r="D1048237" s="24"/>
      <c r="E1048237" s="24"/>
      <c r="F1048237" s="24"/>
      <c r="G1048237" s="24"/>
      <c r="H1048237" s="24"/>
      <c r="I1048237" s="24"/>
      <c r="J1048237" s="24"/>
      <c r="K1048237" s="54"/>
    </row>
    <row r="1048238" spans="1:11" s="55" customFormat="1" ht="12.75">
      <c r="A1048238" s="24"/>
      <c r="B1048238" s="24"/>
      <c r="C1048238" s="24"/>
      <c r="D1048238" s="24"/>
      <c r="E1048238" s="24"/>
      <c r="F1048238" s="24"/>
      <c r="G1048238" s="24"/>
      <c r="H1048238" s="24"/>
      <c r="I1048238" s="24"/>
      <c r="J1048238" s="24"/>
      <c r="K1048238" s="54"/>
    </row>
    <row r="1048239" spans="1:11" s="55" customFormat="1" ht="12.75">
      <c r="A1048239" s="24"/>
      <c r="B1048239" s="24"/>
      <c r="C1048239" s="24"/>
      <c r="D1048239" s="24"/>
      <c r="E1048239" s="24"/>
      <c r="F1048239" s="24"/>
      <c r="G1048239" s="24"/>
      <c r="H1048239" s="24"/>
      <c r="I1048239" s="24"/>
      <c r="J1048239" s="24"/>
      <c r="K1048239" s="54"/>
    </row>
    <row r="1048240" spans="1:11" s="55" customFormat="1" ht="12.75">
      <c r="A1048240" s="24"/>
      <c r="B1048240" s="24"/>
      <c r="C1048240" s="24"/>
      <c r="D1048240" s="24"/>
      <c r="E1048240" s="24"/>
      <c r="F1048240" s="24"/>
      <c r="G1048240" s="24"/>
      <c r="H1048240" s="24"/>
      <c r="I1048240" s="24"/>
      <c r="J1048240" s="24"/>
      <c r="K1048240" s="54"/>
    </row>
    <row r="1048241" spans="1:11" s="55" customFormat="1" ht="12.75">
      <c r="A1048241" s="24"/>
      <c r="B1048241" s="24"/>
      <c r="C1048241" s="24"/>
      <c r="D1048241" s="24"/>
      <c r="E1048241" s="24"/>
      <c r="F1048241" s="24"/>
      <c r="G1048241" s="24"/>
      <c r="H1048241" s="24"/>
      <c r="I1048241" s="24"/>
      <c r="J1048241" s="24"/>
      <c r="K1048241" s="54"/>
    </row>
    <row r="1048242" spans="1:11" s="55" customFormat="1" ht="12.75">
      <c r="A1048242" s="24"/>
      <c r="B1048242" s="24"/>
      <c r="C1048242" s="24"/>
      <c r="D1048242" s="24"/>
      <c r="E1048242" s="24"/>
      <c r="F1048242" s="24"/>
      <c r="G1048242" s="24"/>
      <c r="H1048242" s="24"/>
      <c r="I1048242" s="24"/>
      <c r="J1048242" s="24"/>
      <c r="K1048242" s="54"/>
    </row>
    <row r="1048243" spans="1:11" s="55" customFormat="1" ht="12.75">
      <c r="A1048243" s="24"/>
      <c r="B1048243" s="24"/>
      <c r="C1048243" s="24"/>
      <c r="D1048243" s="24"/>
      <c r="E1048243" s="24"/>
      <c r="F1048243" s="24"/>
      <c r="G1048243" s="24"/>
      <c r="H1048243" s="24"/>
      <c r="I1048243" s="24"/>
      <c r="J1048243" s="24"/>
      <c r="K1048243" s="54"/>
    </row>
    <row r="1048244" spans="1:11" s="55" customFormat="1" ht="12.75">
      <c r="A1048244" s="24"/>
      <c r="B1048244" s="24"/>
      <c r="C1048244" s="24"/>
      <c r="D1048244" s="24"/>
      <c r="E1048244" s="24"/>
      <c r="F1048244" s="24"/>
      <c r="G1048244" s="24"/>
      <c r="H1048244" s="24"/>
      <c r="I1048244" s="24"/>
      <c r="J1048244" s="24"/>
      <c r="K1048244" s="54"/>
    </row>
    <row r="1048245" spans="1:11" s="55" customFormat="1" ht="12.75">
      <c r="A1048245" s="24"/>
      <c r="B1048245" s="24"/>
      <c r="C1048245" s="24"/>
      <c r="D1048245" s="24"/>
      <c r="E1048245" s="24"/>
      <c r="F1048245" s="24"/>
      <c r="G1048245" s="24"/>
      <c r="H1048245" s="24"/>
      <c r="I1048245" s="24"/>
      <c r="J1048245" s="24"/>
      <c r="K1048245" s="54"/>
    </row>
    <row r="1048246" spans="1:11" s="55" customFormat="1" ht="12.75">
      <c r="A1048246" s="24"/>
      <c r="B1048246" s="24"/>
      <c r="C1048246" s="24"/>
      <c r="D1048246" s="24"/>
      <c r="E1048246" s="24"/>
      <c r="F1048246" s="24"/>
      <c r="G1048246" s="24"/>
      <c r="H1048246" s="24"/>
      <c r="I1048246" s="24"/>
      <c r="J1048246" s="24"/>
      <c r="K1048246" s="54"/>
    </row>
    <row r="1048247" spans="1:11" s="55" customFormat="1" ht="12.75">
      <c r="A1048247" s="24"/>
      <c r="B1048247" s="24"/>
      <c r="C1048247" s="24"/>
      <c r="D1048247" s="24"/>
      <c r="E1048247" s="24"/>
      <c r="F1048247" s="24"/>
      <c r="G1048247" s="24"/>
      <c r="H1048247" s="24"/>
      <c r="I1048247" s="24"/>
      <c r="J1048247" s="24"/>
      <c r="K1048247" s="54"/>
    </row>
    <row r="1048248" spans="1:11" s="55" customFormat="1" ht="12.75">
      <c r="A1048248" s="24"/>
      <c r="B1048248" s="24"/>
      <c r="C1048248" s="24"/>
      <c r="D1048248" s="24"/>
      <c r="E1048248" s="24"/>
      <c r="F1048248" s="24"/>
      <c r="G1048248" s="24"/>
      <c r="H1048248" s="24"/>
      <c r="I1048248" s="24"/>
      <c r="J1048248" s="24"/>
      <c r="K1048248" s="54"/>
    </row>
    <row r="1048249" spans="1:11" s="55" customFormat="1" ht="12.75">
      <c r="A1048249" s="24"/>
      <c r="B1048249" s="24"/>
      <c r="C1048249" s="24"/>
      <c r="D1048249" s="24"/>
      <c r="E1048249" s="24"/>
      <c r="F1048249" s="24"/>
      <c r="G1048249" s="24"/>
      <c r="H1048249" s="24"/>
      <c r="I1048249" s="24"/>
      <c r="J1048249" s="24"/>
      <c r="K1048249" s="54"/>
    </row>
    <row r="1048250" spans="1:11" s="55" customFormat="1" ht="12.75">
      <c r="A1048250" s="24"/>
      <c r="B1048250" s="24"/>
      <c r="C1048250" s="24"/>
      <c r="D1048250" s="24"/>
      <c r="E1048250" s="24"/>
      <c r="F1048250" s="24"/>
      <c r="G1048250" s="24"/>
      <c r="H1048250" s="24"/>
      <c r="I1048250" s="24"/>
      <c r="J1048250" s="24"/>
      <c r="K1048250" s="54"/>
    </row>
    <row r="1048251" spans="1:11" s="55" customFormat="1" ht="12.75">
      <c r="A1048251" s="24"/>
      <c r="B1048251" s="24"/>
      <c r="C1048251" s="24"/>
      <c r="D1048251" s="24"/>
      <c r="E1048251" s="24"/>
      <c r="F1048251" s="24"/>
      <c r="G1048251" s="24"/>
      <c r="H1048251" s="24"/>
      <c r="I1048251" s="24"/>
      <c r="J1048251" s="24"/>
      <c r="K1048251" s="54"/>
    </row>
    <row r="1048252" spans="1:11" s="55" customFormat="1" ht="12.75">
      <c r="A1048252" s="24"/>
      <c r="B1048252" s="24"/>
      <c r="C1048252" s="24"/>
      <c r="D1048252" s="24"/>
      <c r="E1048252" s="24"/>
      <c r="F1048252" s="24"/>
      <c r="G1048252" s="24"/>
      <c r="H1048252" s="24"/>
      <c r="I1048252" s="24"/>
      <c r="J1048252" s="24"/>
      <c r="K1048252" s="54"/>
    </row>
    <row r="1048253" spans="1:11" s="55" customFormat="1" ht="12.75">
      <c r="A1048253" s="24"/>
      <c r="B1048253" s="24"/>
      <c r="C1048253" s="24"/>
      <c r="D1048253" s="24"/>
      <c r="E1048253" s="24"/>
      <c r="F1048253" s="24"/>
      <c r="G1048253" s="24"/>
      <c r="H1048253" s="24"/>
      <c r="I1048253" s="24"/>
      <c r="J1048253" s="24"/>
      <c r="K1048253" s="54"/>
    </row>
    <row r="1048254" spans="1:11" s="55" customFormat="1" ht="12.75">
      <c r="A1048254" s="24"/>
      <c r="B1048254" s="24"/>
      <c r="C1048254" s="24"/>
      <c r="D1048254" s="24"/>
      <c r="E1048254" s="24"/>
      <c r="F1048254" s="24"/>
      <c r="G1048254" s="24"/>
      <c r="H1048254" s="24"/>
      <c r="I1048254" s="24"/>
      <c r="J1048254" s="24"/>
      <c r="K1048254" s="54"/>
    </row>
    <row r="1048255" spans="1:11" s="55" customFormat="1" ht="12.75">
      <c r="A1048255" s="24"/>
      <c r="B1048255" s="24"/>
      <c r="C1048255" s="24"/>
      <c r="D1048255" s="24"/>
      <c r="E1048255" s="24"/>
      <c r="F1048255" s="24"/>
      <c r="G1048255" s="24"/>
      <c r="H1048255" s="24"/>
      <c r="I1048255" s="24"/>
      <c r="J1048255" s="24"/>
      <c r="K1048255" s="54"/>
    </row>
    <row r="1048256" spans="1:11" s="55" customFormat="1" ht="12.75">
      <c r="A1048256" s="24"/>
      <c r="B1048256" s="24"/>
      <c r="C1048256" s="24"/>
      <c r="D1048256" s="24"/>
      <c r="E1048256" s="24"/>
      <c r="F1048256" s="24"/>
      <c r="G1048256" s="24"/>
      <c r="H1048256" s="24"/>
      <c r="I1048256" s="24"/>
      <c r="J1048256" s="24"/>
      <c r="K1048256" s="54"/>
    </row>
    <row r="1048257" spans="1:11" s="55" customFormat="1" ht="12.75">
      <c r="A1048257" s="24"/>
      <c r="B1048257" s="24"/>
      <c r="C1048257" s="24"/>
      <c r="D1048257" s="24"/>
      <c r="E1048257" s="24"/>
      <c r="F1048257" s="24"/>
      <c r="G1048257" s="24"/>
      <c r="H1048257" s="24"/>
      <c r="I1048257" s="24"/>
      <c r="J1048257" s="24"/>
      <c r="K1048257" s="54"/>
    </row>
    <row r="1048258" spans="1:11" s="55" customFormat="1" ht="12.75">
      <c r="A1048258" s="24"/>
      <c r="B1048258" s="24"/>
      <c r="C1048258" s="24"/>
      <c r="D1048258" s="24"/>
      <c r="E1048258" s="24"/>
      <c r="F1048258" s="24"/>
      <c r="G1048258" s="24"/>
      <c r="H1048258" s="24"/>
      <c r="I1048258" s="24"/>
      <c r="J1048258" s="24"/>
      <c r="K1048258" s="54"/>
    </row>
    <row r="1048259" spans="1:11" s="55" customFormat="1" ht="12.75">
      <c r="A1048259" s="24"/>
      <c r="B1048259" s="24"/>
      <c r="C1048259" s="24"/>
      <c r="D1048259" s="24"/>
      <c r="E1048259" s="24"/>
      <c r="F1048259" s="24"/>
      <c r="G1048259" s="24"/>
      <c r="H1048259" s="24"/>
      <c r="I1048259" s="24"/>
      <c r="J1048259" s="24"/>
      <c r="K1048259" s="54"/>
    </row>
    <row r="1048260" spans="1:11" s="55" customFormat="1" ht="12.75">
      <c r="A1048260" s="24"/>
      <c r="B1048260" s="24"/>
      <c r="C1048260" s="24"/>
      <c r="D1048260" s="24"/>
      <c r="E1048260" s="24"/>
      <c r="F1048260" s="24"/>
      <c r="G1048260" s="24"/>
      <c r="H1048260" s="24"/>
      <c r="I1048260" s="24"/>
      <c r="J1048260" s="24"/>
      <c r="K1048260" s="54"/>
    </row>
    <row r="1048261" spans="1:11" s="55" customFormat="1" ht="12.75">
      <c r="A1048261" s="24"/>
      <c r="B1048261" s="24"/>
      <c r="C1048261" s="24"/>
      <c r="D1048261" s="24"/>
      <c r="E1048261" s="24"/>
      <c r="F1048261" s="24"/>
      <c r="G1048261" s="24"/>
      <c r="H1048261" s="24"/>
      <c r="I1048261" s="24"/>
      <c r="J1048261" s="24"/>
      <c r="K1048261" s="54"/>
    </row>
    <row r="1048262" spans="1:11" s="55" customFormat="1" ht="12.75">
      <c r="A1048262" s="24"/>
      <c r="B1048262" s="24"/>
      <c r="C1048262" s="24"/>
      <c r="D1048262" s="24"/>
      <c r="E1048262" s="24"/>
      <c r="F1048262" s="24"/>
      <c r="G1048262" s="24"/>
      <c r="H1048262" s="24"/>
      <c r="I1048262" s="24"/>
      <c r="J1048262" s="24"/>
      <c r="K1048262" s="54"/>
    </row>
    <row r="1048263" spans="1:11" s="55" customFormat="1" ht="12.75">
      <c r="A1048263" s="24"/>
      <c r="B1048263" s="24"/>
      <c r="C1048263" s="24"/>
      <c r="D1048263" s="24"/>
      <c r="E1048263" s="24"/>
      <c r="F1048263" s="24"/>
      <c r="G1048263" s="24"/>
      <c r="H1048263" s="24"/>
      <c r="I1048263" s="24"/>
      <c r="J1048263" s="24"/>
      <c r="K1048263" s="54"/>
    </row>
    <row r="1048264" spans="1:11" s="55" customFormat="1" ht="12.75">
      <c r="A1048264" s="24"/>
      <c r="B1048264" s="24"/>
      <c r="C1048264" s="24"/>
      <c r="D1048264" s="24"/>
      <c r="E1048264" s="24"/>
      <c r="F1048264" s="24"/>
      <c r="G1048264" s="24"/>
      <c r="H1048264" s="24"/>
      <c r="I1048264" s="24"/>
      <c r="J1048264" s="24"/>
      <c r="K1048264" s="54"/>
    </row>
    <row r="1048265" spans="1:11" s="55" customFormat="1" ht="12.75">
      <c r="A1048265" s="24"/>
      <c r="B1048265" s="24"/>
      <c r="C1048265" s="24"/>
      <c r="D1048265" s="24"/>
      <c r="E1048265" s="24"/>
      <c r="F1048265" s="24"/>
      <c r="G1048265" s="24"/>
      <c r="H1048265" s="24"/>
      <c r="I1048265" s="24"/>
      <c r="J1048265" s="24"/>
      <c r="K1048265" s="54"/>
    </row>
    <row r="1048266" spans="1:11" s="55" customFormat="1" ht="12.75">
      <c r="A1048266" s="24"/>
      <c r="B1048266" s="24"/>
      <c r="C1048266" s="24"/>
      <c r="D1048266" s="24"/>
      <c r="E1048266" s="24"/>
      <c r="F1048266" s="24"/>
      <c r="G1048266" s="24"/>
      <c r="H1048266" s="24"/>
      <c r="I1048266" s="24"/>
      <c r="J1048266" s="24"/>
      <c r="K1048266" s="54"/>
    </row>
    <row r="1048267" spans="1:11" s="55" customFormat="1" ht="12.75">
      <c r="A1048267" s="24"/>
      <c r="B1048267" s="24"/>
      <c r="C1048267" s="24"/>
      <c r="D1048267" s="24"/>
      <c r="E1048267" s="24"/>
      <c r="F1048267" s="24"/>
      <c r="G1048267" s="24"/>
      <c r="H1048267" s="24"/>
      <c r="I1048267" s="24"/>
      <c r="J1048267" s="24"/>
      <c r="K1048267" s="54"/>
    </row>
    <row r="1048268" spans="1:11" s="55" customFormat="1" ht="12.75">
      <c r="A1048268" s="24"/>
      <c r="B1048268" s="24"/>
      <c r="C1048268" s="24"/>
      <c r="D1048268" s="24"/>
      <c r="E1048268" s="24"/>
      <c r="F1048268" s="24"/>
      <c r="G1048268" s="24"/>
      <c r="H1048268" s="24"/>
      <c r="I1048268" s="24"/>
      <c r="J1048268" s="24"/>
      <c r="K1048268" s="54"/>
    </row>
    <row r="1048269" spans="1:11" s="55" customFormat="1" ht="12.75">
      <c r="A1048269" s="24"/>
      <c r="B1048269" s="24"/>
      <c r="C1048269" s="24"/>
      <c r="D1048269" s="24"/>
      <c r="E1048269" s="24"/>
      <c r="F1048269" s="24"/>
      <c r="G1048269" s="24"/>
      <c r="H1048269" s="24"/>
      <c r="I1048269" s="24"/>
      <c r="J1048269" s="24"/>
      <c r="K1048269" s="54"/>
    </row>
    <row r="1048270" spans="1:11" s="55" customFormat="1" ht="12.75">
      <c r="A1048270" s="24"/>
      <c r="B1048270" s="24"/>
      <c r="C1048270" s="24"/>
      <c r="D1048270" s="24"/>
      <c r="E1048270" s="24"/>
      <c r="F1048270" s="24"/>
      <c r="G1048270" s="24"/>
      <c r="H1048270" s="24"/>
      <c r="I1048270" s="24"/>
      <c r="J1048270" s="24"/>
      <c r="K1048270" s="54"/>
    </row>
    <row r="1048271" spans="1:11" s="55" customFormat="1" ht="12.75">
      <c r="A1048271" s="24"/>
      <c r="B1048271" s="24"/>
      <c r="C1048271" s="24"/>
      <c r="D1048271" s="24"/>
      <c r="E1048271" s="24"/>
      <c r="F1048271" s="24"/>
      <c r="G1048271" s="24"/>
      <c r="H1048271" s="24"/>
      <c r="I1048271" s="24"/>
      <c r="J1048271" s="24"/>
      <c r="K1048271" s="54"/>
    </row>
    <row r="1048272" spans="1:11" s="55" customFormat="1" ht="12.75">
      <c r="A1048272" s="24"/>
      <c r="B1048272" s="24"/>
      <c r="C1048272" s="24"/>
      <c r="D1048272" s="24"/>
      <c r="E1048272" s="24"/>
      <c r="F1048272" s="24"/>
      <c r="G1048272" s="24"/>
      <c r="H1048272" s="24"/>
      <c r="I1048272" s="24"/>
      <c r="J1048272" s="24"/>
      <c r="K1048272" s="54"/>
    </row>
    <row r="1048273" spans="1:11" s="55" customFormat="1" ht="12.75">
      <c r="A1048273" s="24"/>
      <c r="B1048273" s="24"/>
      <c r="C1048273" s="24"/>
      <c r="D1048273" s="24"/>
      <c r="E1048273" s="24"/>
      <c r="F1048273" s="24"/>
      <c r="G1048273" s="24"/>
      <c r="H1048273" s="24"/>
      <c r="I1048273" s="24"/>
      <c r="J1048273" s="24"/>
      <c r="K1048273" s="54"/>
    </row>
    <row r="1048274" spans="1:11" s="55" customFormat="1" ht="12.75">
      <c r="A1048274" s="24"/>
      <c r="B1048274" s="24"/>
      <c r="C1048274" s="24"/>
      <c r="D1048274" s="24"/>
      <c r="E1048274" s="24"/>
      <c r="F1048274" s="24"/>
      <c r="G1048274" s="24"/>
      <c r="H1048274" s="24"/>
      <c r="I1048274" s="24"/>
      <c r="J1048274" s="24"/>
      <c r="K1048274" s="54"/>
    </row>
    <row r="1048275" spans="1:11" s="55" customFormat="1" ht="12.75">
      <c r="A1048275" s="24"/>
      <c r="B1048275" s="24"/>
      <c r="C1048275" s="24"/>
      <c r="D1048275" s="24"/>
      <c r="E1048275" s="24"/>
      <c r="F1048275" s="24"/>
      <c r="G1048275" s="24"/>
      <c r="H1048275" s="24"/>
      <c r="I1048275" s="24"/>
      <c r="J1048275" s="24"/>
      <c r="K1048275" s="54"/>
    </row>
    <row r="1048276" spans="1:11" s="55" customFormat="1" ht="12.75">
      <c r="A1048276" s="24"/>
      <c r="B1048276" s="24"/>
      <c r="C1048276" s="24"/>
      <c r="D1048276" s="24"/>
      <c r="E1048276" s="24"/>
      <c r="F1048276" s="24"/>
      <c r="G1048276" s="24"/>
      <c r="H1048276" s="24"/>
      <c r="I1048276" s="24"/>
      <c r="J1048276" s="24"/>
      <c r="K1048276" s="54"/>
    </row>
    <row r="1048277" spans="1:11" s="55" customFormat="1" ht="12.75">
      <c r="A1048277" s="24"/>
      <c r="B1048277" s="24"/>
      <c r="C1048277" s="24"/>
      <c r="D1048277" s="24"/>
      <c r="E1048277" s="24"/>
      <c r="F1048277" s="24"/>
      <c r="G1048277" s="24"/>
      <c r="H1048277" s="24"/>
      <c r="I1048277" s="24"/>
      <c r="J1048277" s="24"/>
      <c r="K1048277" s="54"/>
    </row>
    <row r="1048278" spans="1:11" s="55" customFormat="1" ht="12.75">
      <c r="A1048278" s="24"/>
      <c r="B1048278" s="24"/>
      <c r="C1048278" s="24"/>
      <c r="D1048278" s="24"/>
      <c r="E1048278" s="24"/>
      <c r="F1048278" s="24"/>
      <c r="G1048278" s="24"/>
      <c r="H1048278" s="24"/>
      <c r="I1048278" s="24"/>
      <c r="J1048278" s="24"/>
      <c r="K1048278" s="54"/>
    </row>
    <row r="1048279" spans="1:11" s="55" customFormat="1" ht="12.75">
      <c r="A1048279" s="24"/>
      <c r="B1048279" s="24"/>
      <c r="C1048279" s="24"/>
      <c r="D1048279" s="24"/>
      <c r="E1048279" s="24"/>
      <c r="F1048279" s="24"/>
      <c r="G1048279" s="24"/>
      <c r="H1048279" s="24"/>
      <c r="I1048279" s="24"/>
      <c r="J1048279" s="24"/>
      <c r="K1048279" s="54"/>
    </row>
    <row r="1048280" spans="1:11" s="55" customFormat="1" ht="12.75">
      <c r="A1048280" s="24"/>
      <c r="B1048280" s="24"/>
      <c r="C1048280" s="24"/>
      <c r="D1048280" s="24"/>
      <c r="E1048280" s="24"/>
      <c r="F1048280" s="24"/>
      <c r="G1048280" s="24"/>
      <c r="H1048280" s="24"/>
      <c r="I1048280" s="24"/>
      <c r="J1048280" s="24"/>
      <c r="K1048280" s="54"/>
    </row>
    <row r="1048281" spans="1:11" s="55" customFormat="1" ht="12.75">
      <c r="A1048281" s="24"/>
      <c r="B1048281" s="24"/>
      <c r="C1048281" s="24"/>
      <c r="D1048281" s="24"/>
      <c r="E1048281" s="24"/>
      <c r="F1048281" s="24"/>
      <c r="G1048281" s="24"/>
      <c r="H1048281" s="24"/>
      <c r="I1048281" s="24"/>
      <c r="J1048281" s="24"/>
      <c r="K1048281" s="54"/>
    </row>
    <row r="1048282" spans="1:11" s="55" customFormat="1" ht="12.75">
      <c r="A1048282" s="24"/>
      <c r="B1048282" s="24"/>
      <c r="C1048282" s="24"/>
      <c r="D1048282" s="24"/>
      <c r="E1048282" s="24"/>
      <c r="F1048282" s="24"/>
      <c r="G1048282" s="24"/>
      <c r="H1048282" s="24"/>
      <c r="I1048282" s="24"/>
      <c r="J1048282" s="24"/>
      <c r="K1048282" s="54"/>
    </row>
    <row r="1048283" spans="1:11" s="55" customFormat="1" ht="12.75">
      <c r="A1048283" s="24"/>
      <c r="B1048283" s="24"/>
      <c r="C1048283" s="24"/>
      <c r="D1048283" s="24"/>
      <c r="E1048283" s="24"/>
      <c r="F1048283" s="24"/>
      <c r="G1048283" s="24"/>
      <c r="H1048283" s="24"/>
      <c r="I1048283" s="24"/>
      <c r="J1048283" s="24"/>
      <c r="K1048283" s="54"/>
    </row>
    <row r="1048284" spans="1:11" s="55" customFormat="1" ht="12.75">
      <c r="A1048284" s="24"/>
      <c r="B1048284" s="24"/>
      <c r="C1048284" s="24"/>
      <c r="D1048284" s="24"/>
      <c r="E1048284" s="24"/>
      <c r="F1048284" s="24"/>
      <c r="G1048284" s="24"/>
      <c r="H1048284" s="24"/>
      <c r="I1048284" s="24"/>
      <c r="J1048284" s="24"/>
      <c r="K1048284" s="54"/>
    </row>
    <row r="1048285" spans="1:11" s="55" customFormat="1" ht="12.75">
      <c r="A1048285" s="24"/>
      <c r="B1048285" s="24"/>
      <c r="C1048285" s="24"/>
      <c r="D1048285" s="24"/>
      <c r="E1048285" s="24"/>
      <c r="F1048285" s="24"/>
      <c r="G1048285" s="24"/>
      <c r="H1048285" s="24"/>
      <c r="I1048285" s="24"/>
      <c r="J1048285" s="24"/>
      <c r="K1048285" s="54"/>
    </row>
    <row r="1048286" spans="1:11" s="55" customFormat="1" ht="12.75">
      <c r="A1048286" s="24"/>
      <c r="B1048286" s="24"/>
      <c r="C1048286" s="24"/>
      <c r="D1048286" s="24"/>
      <c r="E1048286" s="24"/>
      <c r="F1048286" s="24"/>
      <c r="G1048286" s="24"/>
      <c r="H1048286" s="24"/>
      <c r="I1048286" s="24"/>
      <c r="J1048286" s="24"/>
      <c r="K1048286" s="54"/>
    </row>
    <row r="1048287" spans="1:11" s="55" customFormat="1" ht="12.75">
      <c r="A1048287" s="24"/>
      <c r="B1048287" s="24"/>
      <c r="C1048287" s="24"/>
      <c r="D1048287" s="24"/>
      <c r="E1048287" s="24"/>
      <c r="F1048287" s="24"/>
      <c r="G1048287" s="24"/>
      <c r="H1048287" s="24"/>
      <c r="I1048287" s="24"/>
      <c r="J1048287" s="24"/>
      <c r="K1048287" s="54"/>
    </row>
    <row r="1048288" spans="1:11" s="55" customFormat="1" ht="12.75">
      <c r="A1048288" s="24"/>
      <c r="B1048288" s="24"/>
      <c r="C1048288" s="24"/>
      <c r="D1048288" s="24"/>
      <c r="E1048288" s="24"/>
      <c r="F1048288" s="24"/>
      <c r="G1048288" s="24"/>
      <c r="H1048288" s="24"/>
      <c r="I1048288" s="24"/>
      <c r="J1048288" s="24"/>
      <c r="K1048288" s="54"/>
    </row>
    <row r="1048289" spans="1:11" s="55" customFormat="1" ht="12.75">
      <c r="A1048289" s="24"/>
      <c r="B1048289" s="24"/>
      <c r="C1048289" s="24"/>
      <c r="D1048289" s="24"/>
      <c r="E1048289" s="24"/>
      <c r="F1048289" s="24"/>
      <c r="G1048289" s="24"/>
      <c r="H1048289" s="24"/>
      <c r="I1048289" s="24"/>
      <c r="J1048289" s="24"/>
      <c r="K1048289" s="54"/>
    </row>
    <row r="1048290" spans="1:11" s="55" customFormat="1" ht="12.75">
      <c r="A1048290" s="24"/>
      <c r="B1048290" s="24"/>
      <c r="C1048290" s="24"/>
      <c r="D1048290" s="24"/>
      <c r="E1048290" s="24"/>
      <c r="F1048290" s="24"/>
      <c r="G1048290" s="24"/>
      <c r="H1048290" s="24"/>
      <c r="I1048290" s="24"/>
      <c r="J1048290" s="24"/>
      <c r="K1048290" s="54"/>
    </row>
    <row r="1048291" spans="1:11" s="55" customFormat="1" ht="12.75">
      <c r="A1048291" s="24"/>
      <c r="B1048291" s="24"/>
      <c r="C1048291" s="24"/>
      <c r="D1048291" s="24"/>
      <c r="E1048291" s="24"/>
      <c r="F1048291" s="24"/>
      <c r="G1048291" s="24"/>
      <c r="H1048291" s="24"/>
      <c r="I1048291" s="24"/>
      <c r="J1048291" s="24"/>
      <c r="K1048291" s="54"/>
    </row>
    <row r="1048292" spans="1:11" s="55" customFormat="1" ht="12.75">
      <c r="A1048292" s="24"/>
      <c r="B1048292" s="24"/>
      <c r="C1048292" s="24"/>
      <c r="D1048292" s="24"/>
      <c r="E1048292" s="24"/>
      <c r="F1048292" s="24"/>
      <c r="G1048292" s="24"/>
      <c r="H1048292" s="24"/>
      <c r="I1048292" s="24"/>
      <c r="J1048292" s="24"/>
      <c r="K1048292" s="54"/>
    </row>
    <row r="1048293" spans="1:11" s="55" customFormat="1" ht="12.75">
      <c r="A1048293" s="24"/>
      <c r="B1048293" s="24"/>
      <c r="C1048293" s="24"/>
      <c r="D1048293" s="24"/>
      <c r="E1048293" s="24"/>
      <c r="F1048293" s="24"/>
      <c r="G1048293" s="24"/>
      <c r="H1048293" s="24"/>
      <c r="I1048293" s="24"/>
      <c r="J1048293" s="24"/>
      <c r="K1048293" s="54"/>
    </row>
    <row r="1048294" spans="1:11" s="55" customFormat="1" ht="12.75">
      <c r="A1048294" s="24"/>
      <c r="B1048294" s="24"/>
      <c r="C1048294" s="24"/>
      <c r="D1048294" s="24"/>
      <c r="E1048294" s="24"/>
      <c r="F1048294" s="24"/>
      <c r="G1048294" s="24"/>
      <c r="H1048294" s="24"/>
      <c r="I1048294" s="24"/>
      <c r="J1048294" s="24"/>
      <c r="K1048294" s="54"/>
    </row>
    <row r="1048295" spans="1:11" s="55" customFormat="1" ht="12.75">
      <c r="A1048295" s="24"/>
      <c r="B1048295" s="24"/>
      <c r="C1048295" s="24"/>
      <c r="D1048295" s="24"/>
      <c r="E1048295" s="24"/>
      <c r="F1048295" s="24"/>
      <c r="G1048295" s="24"/>
      <c r="H1048295" s="24"/>
      <c r="I1048295" s="24"/>
      <c r="J1048295" s="24"/>
      <c r="K1048295" s="54"/>
    </row>
    <row r="1048296" spans="1:11" s="55" customFormat="1" ht="12.75">
      <c r="A1048296" s="24"/>
      <c r="B1048296" s="24"/>
      <c r="C1048296" s="24"/>
      <c r="D1048296" s="24"/>
      <c r="E1048296" s="24"/>
      <c r="F1048296" s="24"/>
      <c r="G1048296" s="24"/>
      <c r="H1048296" s="24"/>
      <c r="I1048296" s="24"/>
      <c r="J1048296" s="24"/>
      <c r="K1048296" s="54"/>
    </row>
    <row r="1048297" spans="1:11" s="55" customFormat="1" ht="12.75">
      <c r="A1048297" s="24"/>
      <c r="B1048297" s="24"/>
      <c r="C1048297" s="24"/>
      <c r="D1048297" s="24"/>
      <c r="E1048297" s="24"/>
      <c r="F1048297" s="24"/>
      <c r="G1048297" s="24"/>
      <c r="H1048297" s="24"/>
      <c r="I1048297" s="24"/>
      <c r="J1048297" s="24"/>
      <c r="K1048297" s="54"/>
    </row>
    <row r="1048298" spans="1:11" s="55" customFormat="1" ht="12.75">
      <c r="A1048298" s="24"/>
      <c r="B1048298" s="24"/>
      <c r="C1048298" s="24"/>
      <c r="D1048298" s="24"/>
      <c r="E1048298" s="24"/>
      <c r="F1048298" s="24"/>
      <c r="G1048298" s="24"/>
      <c r="H1048298" s="24"/>
      <c r="I1048298" s="24"/>
      <c r="J1048298" s="24"/>
      <c r="K1048298" s="54"/>
    </row>
    <row r="1048299" spans="1:11" s="55" customFormat="1" ht="12.75">
      <c r="A1048299" s="24"/>
      <c r="B1048299" s="24"/>
      <c r="C1048299" s="24"/>
      <c r="D1048299" s="24"/>
      <c r="E1048299" s="24"/>
      <c r="F1048299" s="24"/>
      <c r="G1048299" s="24"/>
      <c r="H1048299" s="24"/>
      <c r="I1048299" s="24"/>
      <c r="J1048299" s="24"/>
      <c r="K1048299" s="54"/>
    </row>
    <row r="1048300" spans="1:11" s="55" customFormat="1" ht="12.75">
      <c r="A1048300" s="24"/>
      <c r="B1048300" s="24"/>
      <c r="C1048300" s="24"/>
      <c r="D1048300" s="24"/>
      <c r="E1048300" s="24"/>
      <c r="F1048300" s="24"/>
      <c r="G1048300" s="24"/>
      <c r="H1048300" s="24"/>
      <c r="I1048300" s="24"/>
      <c r="J1048300" s="24"/>
      <c r="K1048300" s="54"/>
    </row>
    <row r="1048301" spans="1:11" s="55" customFormat="1" ht="12.75">
      <c r="A1048301" s="24"/>
      <c r="B1048301" s="24"/>
      <c r="C1048301" s="24"/>
      <c r="D1048301" s="24"/>
      <c r="E1048301" s="24"/>
      <c r="F1048301" s="24"/>
      <c r="G1048301" s="24"/>
      <c r="H1048301" s="24"/>
      <c r="I1048301" s="24"/>
      <c r="J1048301" s="24"/>
      <c r="K1048301" s="54"/>
    </row>
    <row r="1048302" spans="1:11" s="55" customFormat="1" ht="12.75">
      <c r="A1048302" s="24"/>
      <c r="B1048302" s="24"/>
      <c r="C1048302" s="24"/>
      <c r="D1048302" s="24"/>
      <c r="E1048302" s="24"/>
      <c r="F1048302" s="24"/>
      <c r="G1048302" s="24"/>
      <c r="H1048302" s="24"/>
      <c r="I1048302" s="24"/>
      <c r="J1048302" s="24"/>
      <c r="K1048302" s="54"/>
    </row>
    <row r="1048303" spans="1:11" s="55" customFormat="1" ht="12.75">
      <c r="A1048303" s="24"/>
      <c r="B1048303" s="24"/>
      <c r="C1048303" s="24"/>
      <c r="D1048303" s="24"/>
      <c r="E1048303" s="24"/>
      <c r="F1048303" s="24"/>
      <c r="G1048303" s="24"/>
      <c r="H1048303" s="24"/>
      <c r="I1048303" s="24"/>
      <c r="J1048303" s="24"/>
      <c r="K1048303" s="54"/>
    </row>
    <row r="1048304" spans="1:11" s="55" customFormat="1" ht="12.75">
      <c r="A1048304" s="24"/>
      <c r="B1048304" s="24"/>
      <c r="C1048304" s="24"/>
      <c r="D1048304" s="24"/>
      <c r="E1048304" s="24"/>
      <c r="F1048304" s="24"/>
      <c r="G1048304" s="24"/>
      <c r="H1048304" s="24"/>
      <c r="I1048304" s="24"/>
      <c r="J1048304" s="24"/>
      <c r="K1048304" s="54"/>
    </row>
    <row r="1048305" spans="1:11" s="55" customFormat="1" ht="12.75">
      <c r="A1048305" s="24"/>
      <c r="B1048305" s="24"/>
      <c r="C1048305" s="24"/>
      <c r="D1048305" s="24"/>
      <c r="E1048305" s="24"/>
      <c r="F1048305" s="24"/>
      <c r="G1048305" s="24"/>
      <c r="H1048305" s="24"/>
      <c r="I1048305" s="24"/>
      <c r="J1048305" s="24"/>
      <c r="K1048305" s="54"/>
    </row>
    <row r="1048306" spans="1:11" s="55" customFormat="1" ht="12.75">
      <c r="A1048306" s="24"/>
      <c r="B1048306" s="24"/>
      <c r="C1048306" s="24"/>
      <c r="D1048306" s="24"/>
      <c r="E1048306" s="24"/>
      <c r="F1048306" s="24"/>
      <c r="G1048306" s="24"/>
      <c r="H1048306" s="24"/>
      <c r="I1048306" s="24"/>
      <c r="J1048306" s="24"/>
      <c r="K1048306" s="54"/>
    </row>
    <row r="1048307" spans="1:11" s="55" customFormat="1" ht="12.75">
      <c r="A1048307" s="24"/>
      <c r="B1048307" s="24"/>
      <c r="C1048307" s="24"/>
      <c r="D1048307" s="24"/>
      <c r="E1048307" s="24"/>
      <c r="F1048307" s="24"/>
      <c r="G1048307" s="24"/>
      <c r="H1048307" s="24"/>
      <c r="I1048307" s="24"/>
      <c r="J1048307" s="24"/>
      <c r="K1048307" s="54"/>
    </row>
    <row r="1048308" spans="1:11" s="55" customFormat="1" ht="12.75">
      <c r="A1048308" s="24"/>
      <c r="B1048308" s="24"/>
      <c r="C1048308" s="24"/>
      <c r="D1048308" s="24"/>
      <c r="E1048308" s="24"/>
      <c r="F1048308" s="24"/>
      <c r="G1048308" s="24"/>
      <c r="H1048308" s="24"/>
      <c r="I1048308" s="24"/>
      <c r="J1048308" s="24"/>
      <c r="K1048308" s="54"/>
    </row>
    <row r="1048309" spans="1:11" s="55" customFormat="1" ht="12.75">
      <c r="A1048309" s="24"/>
      <c r="B1048309" s="24"/>
      <c r="C1048309" s="24"/>
      <c r="D1048309" s="24"/>
      <c r="E1048309" s="24"/>
      <c r="F1048309" s="24"/>
      <c r="G1048309" s="24"/>
      <c r="H1048309" s="24"/>
      <c r="I1048309" s="24"/>
      <c r="J1048309" s="24"/>
      <c r="K1048309" s="54"/>
    </row>
    <row r="1048310" spans="1:11" s="55" customFormat="1" ht="12.75">
      <c r="A1048310" s="24"/>
      <c r="B1048310" s="24"/>
      <c r="C1048310" s="24"/>
      <c r="D1048310" s="24"/>
      <c r="E1048310" s="24"/>
      <c r="F1048310" s="24"/>
      <c r="G1048310" s="24"/>
      <c r="H1048310" s="24"/>
      <c r="I1048310" s="24"/>
      <c r="J1048310" s="24"/>
      <c r="K1048310" s="54"/>
    </row>
    <row r="1048311" spans="1:11" s="55" customFormat="1" ht="12.75">
      <c r="A1048311" s="24"/>
      <c r="B1048311" s="24"/>
      <c r="C1048311" s="24"/>
      <c r="D1048311" s="24"/>
      <c r="E1048311" s="24"/>
      <c r="F1048311" s="24"/>
      <c r="G1048311" s="24"/>
      <c r="H1048311" s="24"/>
      <c r="I1048311" s="24"/>
      <c r="J1048311" s="24"/>
      <c r="K1048311" s="54"/>
    </row>
    <row r="1048312" spans="1:11" s="55" customFormat="1" ht="12.75">
      <c r="A1048312" s="24"/>
      <c r="B1048312" s="24"/>
      <c r="C1048312" s="24"/>
      <c r="D1048312" s="24"/>
      <c r="E1048312" s="24"/>
      <c r="F1048312" s="24"/>
      <c r="G1048312" s="24"/>
      <c r="H1048312" s="24"/>
      <c r="I1048312" s="24"/>
      <c r="J1048312" s="24"/>
      <c r="K1048312" s="54"/>
    </row>
    <row r="1048313" spans="1:11" s="55" customFormat="1" ht="12.75">
      <c r="A1048313" s="24"/>
      <c r="B1048313" s="24"/>
      <c r="C1048313" s="24"/>
      <c r="D1048313" s="24"/>
      <c r="E1048313" s="24"/>
      <c r="F1048313" s="24"/>
      <c r="G1048313" s="24"/>
      <c r="H1048313" s="24"/>
      <c r="I1048313" s="24"/>
      <c r="J1048313" s="24"/>
      <c r="K1048313" s="54"/>
    </row>
    <row r="1048314" spans="1:11" s="55" customFormat="1" ht="12.75">
      <c r="A1048314" s="24"/>
      <c r="B1048314" s="24"/>
      <c r="C1048314" s="24"/>
      <c r="D1048314" s="24"/>
      <c r="E1048314" s="24"/>
      <c r="F1048314" s="24"/>
      <c r="G1048314" s="24"/>
      <c r="H1048314" s="24"/>
      <c r="I1048314" s="24"/>
      <c r="J1048314" s="24"/>
      <c r="K1048314" s="54"/>
    </row>
    <row r="1048315" spans="1:11" s="55" customFormat="1" ht="12.75">
      <c r="A1048315" s="24"/>
      <c r="B1048315" s="24"/>
      <c r="C1048315" s="24"/>
      <c r="D1048315" s="24"/>
      <c r="E1048315" s="24"/>
      <c r="F1048315" s="24"/>
      <c r="G1048315" s="24"/>
      <c r="H1048315" s="24"/>
      <c r="I1048315" s="24"/>
      <c r="J1048315" s="24"/>
      <c r="K1048315" s="54"/>
    </row>
    <row r="1048316" spans="1:11" s="55" customFormat="1" ht="12.75">
      <c r="A1048316" s="24"/>
      <c r="B1048316" s="24"/>
      <c r="C1048316" s="24"/>
      <c r="D1048316" s="24"/>
      <c r="E1048316" s="24"/>
      <c r="F1048316" s="24"/>
      <c r="G1048316" s="24"/>
      <c r="H1048316" s="24"/>
      <c r="I1048316" s="24"/>
      <c r="J1048316" s="24"/>
      <c r="K1048316" s="54"/>
    </row>
    <row r="1048317" spans="1:11" s="55" customFormat="1" ht="12.75">
      <c r="A1048317" s="24"/>
      <c r="B1048317" s="24"/>
      <c r="C1048317" s="24"/>
      <c r="D1048317" s="24"/>
      <c r="E1048317" s="24"/>
      <c r="F1048317" s="24"/>
      <c r="G1048317" s="24"/>
      <c r="H1048317" s="24"/>
      <c r="I1048317" s="24"/>
      <c r="J1048317" s="24"/>
      <c r="K1048317" s="54"/>
    </row>
    <row r="1048318" spans="1:11" s="55" customFormat="1" ht="12.75">
      <c r="A1048318" s="24"/>
      <c r="B1048318" s="24"/>
      <c r="C1048318" s="24"/>
      <c r="D1048318" s="24"/>
      <c r="E1048318" s="24"/>
      <c r="F1048318" s="24"/>
      <c r="G1048318" s="24"/>
      <c r="H1048318" s="24"/>
      <c r="I1048318" s="24"/>
      <c r="J1048318" s="24"/>
      <c r="K1048318" s="54"/>
    </row>
    <row r="1048319" spans="1:11" s="55" customFormat="1" ht="12.75">
      <c r="A1048319" s="24"/>
      <c r="B1048319" s="24"/>
      <c r="C1048319" s="24"/>
      <c r="D1048319" s="24"/>
      <c r="E1048319" s="24"/>
      <c r="F1048319" s="24"/>
      <c r="G1048319" s="24"/>
      <c r="H1048319" s="24"/>
      <c r="I1048319" s="24"/>
      <c r="J1048319" s="24"/>
      <c r="K1048319" s="54"/>
    </row>
    <row r="1048320" spans="1:11" s="55" customFormat="1" ht="12.75">
      <c r="A1048320" s="24"/>
      <c r="B1048320" s="24"/>
      <c r="C1048320" s="24"/>
      <c r="D1048320" s="24"/>
      <c r="E1048320" s="24"/>
      <c r="F1048320" s="24"/>
      <c r="G1048320" s="24"/>
      <c r="H1048320" s="24"/>
      <c r="I1048320" s="24"/>
      <c r="J1048320" s="24"/>
      <c r="K1048320" s="54"/>
    </row>
    <row r="1048321" spans="1:11" s="55" customFormat="1" ht="12.75">
      <c r="A1048321" s="24"/>
      <c r="B1048321" s="24"/>
      <c r="C1048321" s="24"/>
      <c r="D1048321" s="24"/>
      <c r="E1048321" s="24"/>
      <c r="F1048321" s="24"/>
      <c r="G1048321" s="24"/>
      <c r="H1048321" s="24"/>
      <c r="I1048321" s="24"/>
      <c r="J1048321" s="24"/>
      <c r="K1048321" s="54"/>
    </row>
    <row r="1048322" spans="1:11" s="55" customFormat="1" ht="12.75">
      <c r="A1048322" s="24"/>
      <c r="B1048322" s="24"/>
      <c r="C1048322" s="24"/>
      <c r="D1048322" s="24"/>
      <c r="E1048322" s="24"/>
      <c r="F1048322" s="24"/>
      <c r="G1048322" s="24"/>
      <c r="H1048322" s="24"/>
      <c r="I1048322" s="24"/>
      <c r="J1048322" s="24"/>
      <c r="K1048322" s="54"/>
    </row>
    <row r="1048323" spans="1:11" s="55" customFormat="1" ht="12.75">
      <c r="A1048323" s="24"/>
      <c r="B1048323" s="24"/>
      <c r="C1048323" s="24"/>
      <c r="D1048323" s="24"/>
      <c r="E1048323" s="24"/>
      <c r="F1048323" s="24"/>
      <c r="G1048323" s="24"/>
      <c r="H1048323" s="24"/>
      <c r="I1048323" s="24"/>
      <c r="J1048323" s="24"/>
      <c r="K1048323" s="54"/>
    </row>
    <row r="1048324" spans="1:11" s="55" customFormat="1" ht="12.75">
      <c r="A1048324" s="24"/>
      <c r="B1048324" s="24"/>
      <c r="C1048324" s="24"/>
      <c r="D1048324" s="24"/>
      <c r="E1048324" s="24"/>
      <c r="F1048324" s="24"/>
      <c r="G1048324" s="24"/>
      <c r="H1048324" s="24"/>
      <c r="I1048324" s="24"/>
      <c r="J1048324" s="24"/>
      <c r="K1048324" s="54"/>
    </row>
    <row r="1048325" spans="1:11" s="55" customFormat="1" ht="12.75">
      <c r="A1048325" s="24"/>
      <c r="B1048325" s="24"/>
      <c r="C1048325" s="24"/>
      <c r="D1048325" s="24"/>
      <c r="E1048325" s="24"/>
      <c r="F1048325" s="24"/>
      <c r="G1048325" s="24"/>
      <c r="H1048325" s="24"/>
      <c r="I1048325" s="24"/>
      <c r="J1048325" s="24"/>
      <c r="K1048325" s="54"/>
    </row>
    <row r="1048326" spans="1:11" s="55" customFormat="1" ht="12.75">
      <c r="A1048326" s="24"/>
      <c r="B1048326" s="24"/>
      <c r="C1048326" s="24"/>
      <c r="D1048326" s="24"/>
      <c r="E1048326" s="24"/>
      <c r="F1048326" s="24"/>
      <c r="G1048326" s="24"/>
      <c r="H1048326" s="24"/>
      <c r="I1048326" s="24"/>
      <c r="J1048326" s="24"/>
      <c r="K1048326" s="54"/>
    </row>
    <row r="1048327" spans="1:11" s="55" customFormat="1" ht="12.75">
      <c r="A1048327" s="24"/>
      <c r="B1048327" s="24"/>
      <c r="C1048327" s="24"/>
      <c r="D1048327" s="24"/>
      <c r="E1048327" s="24"/>
      <c r="F1048327" s="24"/>
      <c r="G1048327" s="24"/>
      <c r="H1048327" s="24"/>
      <c r="I1048327" s="24"/>
      <c r="J1048327" s="24"/>
      <c r="K1048327" s="54"/>
    </row>
    <row r="1048328" spans="1:11" s="55" customFormat="1" ht="12.75">
      <c r="A1048328" s="24"/>
      <c r="B1048328" s="24"/>
      <c r="C1048328" s="24"/>
      <c r="D1048328" s="24"/>
      <c r="E1048328" s="24"/>
      <c r="F1048328" s="24"/>
      <c r="G1048328" s="24"/>
      <c r="H1048328" s="24"/>
      <c r="I1048328" s="24"/>
      <c r="J1048328" s="24"/>
      <c r="K1048328" s="54"/>
    </row>
    <row r="1048329" spans="1:11" s="55" customFormat="1" ht="12.75">
      <c r="A1048329" s="24"/>
      <c r="B1048329" s="24"/>
      <c r="C1048329" s="24"/>
      <c r="D1048329" s="24"/>
      <c r="E1048329" s="24"/>
      <c r="F1048329" s="24"/>
      <c r="G1048329" s="24"/>
      <c r="H1048329" s="24"/>
      <c r="I1048329" s="24"/>
      <c r="J1048329" s="24"/>
      <c r="K1048329" s="54"/>
    </row>
    <row r="1048330" spans="1:11" s="55" customFormat="1" ht="12.75">
      <c r="A1048330" s="24"/>
      <c r="B1048330" s="24"/>
      <c r="C1048330" s="24"/>
      <c r="D1048330" s="24"/>
      <c r="E1048330" s="24"/>
      <c r="F1048330" s="24"/>
      <c r="G1048330" s="24"/>
      <c r="H1048330" s="24"/>
      <c r="I1048330" s="24"/>
      <c r="J1048330" s="24"/>
      <c r="K1048330" s="54"/>
    </row>
    <row r="1048331" spans="1:11" s="55" customFormat="1" ht="12.75">
      <c r="A1048331" s="24"/>
      <c r="B1048331" s="24"/>
      <c r="C1048331" s="24"/>
      <c r="D1048331" s="24"/>
      <c r="E1048331" s="24"/>
      <c r="F1048331" s="24"/>
      <c r="G1048331" s="24"/>
      <c r="H1048331" s="24"/>
      <c r="I1048331" s="24"/>
      <c r="J1048331" s="24"/>
      <c r="K1048331" s="54"/>
    </row>
    <row r="1048332" spans="1:11" s="55" customFormat="1" ht="12.75">
      <c r="A1048332" s="24"/>
      <c r="B1048332" s="24"/>
      <c r="C1048332" s="24"/>
      <c r="D1048332" s="24"/>
      <c r="E1048332" s="24"/>
      <c r="F1048332" s="24"/>
      <c r="G1048332" s="24"/>
      <c r="H1048332" s="24"/>
      <c r="I1048332" s="24"/>
      <c r="J1048332" s="24"/>
      <c r="K1048332" s="54"/>
    </row>
    <row r="1048333" spans="1:11" s="55" customFormat="1" ht="12.75">
      <c r="A1048333" s="24"/>
      <c r="B1048333" s="24"/>
      <c r="C1048333" s="24"/>
      <c r="D1048333" s="24"/>
      <c r="E1048333" s="24"/>
      <c r="F1048333" s="24"/>
      <c r="G1048333" s="24"/>
      <c r="H1048333" s="24"/>
      <c r="I1048333" s="24"/>
      <c r="J1048333" s="24"/>
      <c r="K1048333" s="54"/>
    </row>
    <row r="1048334" spans="1:11" s="55" customFormat="1" ht="12.75">
      <c r="A1048334" s="24"/>
      <c r="B1048334" s="24"/>
      <c r="C1048334" s="24"/>
      <c r="D1048334" s="24"/>
      <c r="E1048334" s="24"/>
      <c r="F1048334" s="24"/>
      <c r="G1048334" s="24"/>
      <c r="H1048334" s="24"/>
      <c r="I1048334" s="24"/>
      <c r="J1048334" s="24"/>
      <c r="K1048334" s="54"/>
    </row>
    <row r="1048335" spans="1:11" s="55" customFormat="1" ht="12.75">
      <c r="A1048335" s="24"/>
      <c r="B1048335" s="24"/>
      <c r="C1048335" s="24"/>
      <c r="D1048335" s="24"/>
      <c r="E1048335" s="24"/>
      <c r="F1048335" s="24"/>
      <c r="G1048335" s="24"/>
      <c r="H1048335" s="24"/>
      <c r="I1048335" s="24"/>
      <c r="J1048335" s="24"/>
      <c r="K1048335" s="54"/>
    </row>
    <row r="1048336" spans="1:11" s="55" customFormat="1" ht="12.75">
      <c r="A1048336" s="24"/>
      <c r="B1048336" s="24"/>
      <c r="C1048336" s="24"/>
      <c r="D1048336" s="24"/>
      <c r="E1048336" s="24"/>
      <c r="F1048336" s="24"/>
      <c r="G1048336" s="24"/>
      <c r="H1048336" s="24"/>
      <c r="I1048336" s="24"/>
      <c r="J1048336" s="24"/>
      <c r="K1048336" s="54"/>
    </row>
    <row r="1048337" spans="1:11" s="55" customFormat="1" ht="12.75">
      <c r="A1048337" s="24"/>
      <c r="B1048337" s="24"/>
      <c r="C1048337" s="24"/>
      <c r="D1048337" s="24"/>
      <c r="E1048337" s="24"/>
      <c r="F1048337" s="24"/>
      <c r="G1048337" s="24"/>
      <c r="H1048337" s="24"/>
      <c r="I1048337" s="24"/>
      <c r="J1048337" s="24"/>
      <c r="K1048337" s="54"/>
    </row>
    <row r="1048338" spans="1:11" s="55" customFormat="1" ht="12.75">
      <c r="A1048338" s="24"/>
      <c r="B1048338" s="24"/>
      <c r="C1048338" s="24"/>
      <c r="D1048338" s="24"/>
      <c r="E1048338" s="24"/>
      <c r="F1048338" s="24"/>
      <c r="G1048338" s="24"/>
      <c r="H1048338" s="24"/>
      <c r="I1048338" s="24"/>
      <c r="J1048338" s="24"/>
      <c r="K1048338" s="54"/>
    </row>
    <row r="1048339" spans="1:11" s="55" customFormat="1" ht="12.75">
      <c r="A1048339" s="24"/>
      <c r="B1048339" s="24"/>
      <c r="C1048339" s="24"/>
      <c r="D1048339" s="24"/>
      <c r="E1048339" s="24"/>
      <c r="F1048339" s="24"/>
      <c r="G1048339" s="24"/>
      <c r="H1048339" s="24"/>
      <c r="I1048339" s="24"/>
      <c r="J1048339" s="24"/>
      <c r="K1048339" s="54"/>
    </row>
    <row r="1048340" spans="1:11" s="55" customFormat="1" ht="12.75">
      <c r="A1048340" s="24"/>
      <c r="B1048340" s="24"/>
      <c r="C1048340" s="24"/>
      <c r="D1048340" s="24"/>
      <c r="E1048340" s="24"/>
      <c r="F1048340" s="24"/>
      <c r="G1048340" s="24"/>
      <c r="H1048340" s="24"/>
      <c r="I1048340" s="24"/>
      <c r="J1048340" s="24"/>
      <c r="K1048340" s="54"/>
    </row>
    <row r="1048341" spans="1:11" s="55" customFormat="1" ht="12.75">
      <c r="A1048341" s="24"/>
      <c r="B1048341" s="24"/>
      <c r="C1048341" s="24"/>
      <c r="D1048341" s="24"/>
      <c r="E1048341" s="24"/>
      <c r="F1048341" s="24"/>
      <c r="G1048341" s="24"/>
      <c r="H1048341" s="24"/>
      <c r="I1048341" s="24"/>
      <c r="J1048341" s="24"/>
      <c r="K1048341" s="54"/>
    </row>
    <row r="1048342" spans="1:11" s="55" customFormat="1" ht="12.75">
      <c r="A1048342" s="24"/>
      <c r="B1048342" s="24"/>
      <c r="C1048342" s="24"/>
      <c r="D1048342" s="24"/>
      <c r="E1048342" s="24"/>
      <c r="F1048342" s="24"/>
      <c r="G1048342" s="24"/>
      <c r="H1048342" s="24"/>
      <c r="I1048342" s="24"/>
      <c r="J1048342" s="24"/>
      <c r="K1048342" s="54"/>
    </row>
    <row r="1048343" spans="1:11" s="55" customFormat="1" ht="12.75">
      <c r="A1048343" s="24"/>
      <c r="B1048343" s="24"/>
      <c r="C1048343" s="24"/>
      <c r="D1048343" s="24"/>
      <c r="E1048343" s="24"/>
      <c r="F1048343" s="24"/>
      <c r="G1048343" s="24"/>
      <c r="H1048343" s="24"/>
      <c r="I1048343" s="24"/>
      <c r="J1048343" s="24"/>
      <c r="K1048343" s="54"/>
    </row>
    <row r="1048344" spans="1:11" s="55" customFormat="1" ht="12.75">
      <c r="A1048344" s="24"/>
      <c r="B1048344" s="24"/>
      <c r="C1048344" s="24"/>
      <c r="D1048344" s="24"/>
      <c r="E1048344" s="24"/>
      <c r="F1048344" s="24"/>
      <c r="G1048344" s="24"/>
      <c r="H1048344" s="24"/>
      <c r="I1048344" s="24"/>
      <c r="J1048344" s="24"/>
      <c r="K1048344" s="54"/>
    </row>
    <row r="1048345" spans="1:11" s="55" customFormat="1" ht="12.75">
      <c r="A1048345" s="24"/>
      <c r="B1048345" s="24"/>
      <c r="C1048345" s="24"/>
      <c r="D1048345" s="24"/>
      <c r="E1048345" s="24"/>
      <c r="F1048345" s="24"/>
      <c r="G1048345" s="24"/>
      <c r="H1048345" s="24"/>
      <c r="I1048345" s="24"/>
      <c r="J1048345" s="24"/>
      <c r="K1048345" s="54"/>
    </row>
    <row r="1048346" spans="1:11" s="55" customFormat="1" ht="12.75">
      <c r="A1048346" s="24"/>
      <c r="B1048346" s="24"/>
      <c r="C1048346" s="24"/>
      <c r="D1048346" s="24"/>
      <c r="E1048346" s="24"/>
      <c r="F1048346" s="24"/>
      <c r="G1048346" s="24"/>
      <c r="H1048346" s="24"/>
      <c r="I1048346" s="24"/>
      <c r="J1048346" s="24"/>
      <c r="K1048346" s="54"/>
    </row>
    <row r="1048347" spans="1:11" s="55" customFormat="1" ht="12.75">
      <c r="A1048347" s="24"/>
      <c r="B1048347" s="24"/>
      <c r="C1048347" s="24"/>
      <c r="D1048347" s="24"/>
      <c r="E1048347" s="24"/>
      <c r="F1048347" s="24"/>
      <c r="G1048347" s="24"/>
      <c r="H1048347" s="24"/>
      <c r="I1048347" s="24"/>
      <c r="J1048347" s="24"/>
      <c r="K1048347" s="54"/>
    </row>
    <row r="1048348" spans="1:11" s="55" customFormat="1" ht="12.75">
      <c r="A1048348" s="24"/>
      <c r="B1048348" s="24"/>
      <c r="C1048348" s="24"/>
      <c r="D1048348" s="24"/>
      <c r="E1048348" s="24"/>
      <c r="F1048348" s="24"/>
      <c r="G1048348" s="24"/>
      <c r="H1048348" s="24"/>
      <c r="I1048348" s="24"/>
      <c r="J1048348" s="24"/>
      <c r="K1048348" s="54"/>
    </row>
    <row r="1048349" spans="1:11" s="55" customFormat="1" ht="12.75">
      <c r="A1048349" s="24"/>
      <c r="B1048349" s="24"/>
      <c r="C1048349" s="24"/>
      <c r="D1048349" s="24"/>
      <c r="E1048349" s="24"/>
      <c r="F1048349" s="24"/>
      <c r="G1048349" s="24"/>
      <c r="H1048349" s="24"/>
      <c r="I1048349" s="24"/>
      <c r="J1048349" s="24"/>
      <c r="K1048349" s="54"/>
    </row>
    <row r="1048350" spans="1:11" s="55" customFormat="1" ht="12.75">
      <c r="A1048350" s="24"/>
      <c r="B1048350" s="24"/>
      <c r="C1048350" s="24"/>
      <c r="D1048350" s="24"/>
      <c r="E1048350" s="24"/>
      <c r="F1048350" s="24"/>
      <c r="G1048350" s="24"/>
      <c r="H1048350" s="24"/>
      <c r="I1048350" s="24"/>
      <c r="J1048350" s="24"/>
      <c r="K1048350" s="54"/>
    </row>
    <row r="1048351" spans="1:11" s="55" customFormat="1" ht="12.75">
      <c r="A1048351" s="24"/>
      <c r="B1048351" s="24"/>
      <c r="C1048351" s="24"/>
      <c r="D1048351" s="24"/>
      <c r="E1048351" s="24"/>
      <c r="F1048351" s="24"/>
      <c r="G1048351" s="24"/>
      <c r="H1048351" s="24"/>
      <c r="I1048351" s="24"/>
      <c r="J1048351" s="24"/>
      <c r="K1048351" s="54"/>
    </row>
    <row r="1048352" spans="1:11" s="55" customFormat="1" ht="12.75">
      <c r="A1048352" s="24"/>
      <c r="B1048352" s="24"/>
      <c r="C1048352" s="24"/>
      <c r="D1048352" s="24"/>
      <c r="E1048352" s="24"/>
      <c r="F1048352" s="24"/>
      <c r="G1048352" s="24"/>
      <c r="H1048352" s="24"/>
      <c r="I1048352" s="24"/>
      <c r="J1048352" s="24"/>
      <c r="K1048352" s="54"/>
    </row>
    <row r="1048353" spans="1:11" s="55" customFormat="1" ht="12.75">
      <c r="A1048353" s="24"/>
      <c r="B1048353" s="24"/>
      <c r="C1048353" s="24"/>
      <c r="D1048353" s="24"/>
      <c r="E1048353" s="24"/>
      <c r="F1048353" s="24"/>
      <c r="G1048353" s="24"/>
      <c r="H1048353" s="24"/>
      <c r="I1048353" s="24"/>
      <c r="J1048353" s="24"/>
      <c r="K1048353" s="54"/>
    </row>
    <row r="1048354" spans="1:11" s="55" customFormat="1" ht="12.75">
      <c r="A1048354" s="24"/>
      <c r="B1048354" s="24"/>
      <c r="C1048354" s="24"/>
      <c r="D1048354" s="24"/>
      <c r="E1048354" s="24"/>
      <c r="F1048354" s="24"/>
      <c r="G1048354" s="24"/>
      <c r="H1048354" s="24"/>
      <c r="I1048354" s="24"/>
      <c r="J1048354" s="24"/>
      <c r="K1048354" s="54"/>
    </row>
    <row r="1048355" spans="1:11" s="55" customFormat="1" ht="12.75">
      <c r="A1048355" s="24"/>
      <c r="B1048355" s="24"/>
      <c r="C1048355" s="24"/>
      <c r="D1048355" s="24"/>
      <c r="E1048355" s="24"/>
      <c r="F1048355" s="24"/>
      <c r="G1048355" s="24"/>
      <c r="H1048355" s="24"/>
      <c r="I1048355" s="24"/>
      <c r="J1048355" s="24"/>
      <c r="K1048355" s="54"/>
    </row>
    <row r="1048356" spans="1:11" s="55" customFormat="1" ht="12.75">
      <c r="A1048356" s="24"/>
      <c r="B1048356" s="24"/>
      <c r="C1048356" s="24"/>
      <c r="D1048356" s="24"/>
      <c r="E1048356" s="24"/>
      <c r="F1048356" s="24"/>
      <c r="G1048356" s="24"/>
      <c r="H1048356" s="24"/>
      <c r="I1048356" s="24"/>
      <c r="J1048356" s="24"/>
      <c r="K1048356" s="54"/>
    </row>
    <row r="1048357" spans="1:11" s="55" customFormat="1" ht="12.75">
      <c r="A1048357" s="24"/>
      <c r="B1048357" s="24"/>
      <c r="C1048357" s="24"/>
      <c r="D1048357" s="24"/>
      <c r="E1048357" s="24"/>
      <c r="F1048357" s="24"/>
      <c r="G1048357" s="24"/>
      <c r="H1048357" s="24"/>
      <c r="I1048357" s="24"/>
      <c r="J1048357" s="24"/>
      <c r="K1048357" s="54"/>
    </row>
    <row r="1048358" spans="1:11" s="55" customFormat="1" ht="12.75">
      <c r="A1048358" s="24"/>
      <c r="B1048358" s="24"/>
      <c r="C1048358" s="24"/>
      <c r="D1048358" s="24"/>
      <c r="E1048358" s="24"/>
      <c r="F1048358" s="24"/>
      <c r="G1048358" s="24"/>
      <c r="H1048358" s="24"/>
      <c r="I1048358" s="24"/>
      <c r="J1048358" s="24"/>
      <c r="K1048358" s="54"/>
    </row>
    <row r="1048359" spans="1:11" s="55" customFormat="1" ht="12.75">
      <c r="A1048359" s="24"/>
      <c r="B1048359" s="24"/>
      <c r="C1048359" s="24"/>
      <c r="D1048359" s="24"/>
      <c r="E1048359" s="24"/>
      <c r="F1048359" s="24"/>
      <c r="G1048359" s="24"/>
      <c r="H1048359" s="24"/>
      <c r="I1048359" s="24"/>
      <c r="J1048359" s="24"/>
      <c r="K1048359" s="54"/>
    </row>
    <row r="1048360" spans="1:11" s="55" customFormat="1" ht="12.75">
      <c r="A1048360" s="24"/>
      <c r="B1048360" s="24"/>
      <c r="C1048360" s="24"/>
      <c r="D1048360" s="24"/>
      <c r="E1048360" s="24"/>
      <c r="F1048360" s="24"/>
      <c r="G1048360" s="24"/>
      <c r="H1048360" s="24"/>
      <c r="I1048360" s="24"/>
      <c r="J1048360" s="24"/>
      <c r="K1048360" s="54"/>
    </row>
    <row r="1048361" spans="1:11" s="55" customFormat="1" ht="12.75">
      <c r="A1048361" s="24"/>
      <c r="B1048361" s="24"/>
      <c r="C1048361" s="24"/>
      <c r="D1048361" s="24"/>
      <c r="E1048361" s="24"/>
      <c r="F1048361" s="24"/>
      <c r="G1048361" s="24"/>
      <c r="H1048361" s="24"/>
      <c r="I1048361" s="24"/>
      <c r="J1048361" s="24"/>
      <c r="K1048361" s="54"/>
    </row>
    <row r="1048362" spans="1:11" s="55" customFormat="1" ht="12.75">
      <c r="A1048362" s="24"/>
      <c r="B1048362" s="24"/>
      <c r="C1048362" s="24"/>
      <c r="D1048362" s="24"/>
      <c r="E1048362" s="24"/>
      <c r="F1048362" s="24"/>
      <c r="G1048362" s="24"/>
      <c r="H1048362" s="24"/>
      <c r="I1048362" s="24"/>
      <c r="J1048362" s="24"/>
      <c r="K1048362" s="54"/>
    </row>
    <row r="1048363" spans="1:11" s="55" customFormat="1" ht="12.75">
      <c r="A1048363" s="24"/>
      <c r="B1048363" s="24"/>
      <c r="C1048363" s="24"/>
      <c r="D1048363" s="24"/>
      <c r="E1048363" s="24"/>
      <c r="F1048363" s="24"/>
      <c r="G1048363" s="24"/>
      <c r="H1048363" s="24"/>
      <c r="I1048363" s="24"/>
      <c r="J1048363" s="24"/>
      <c r="K1048363" s="54"/>
    </row>
    <row r="1048364" spans="1:11" s="55" customFormat="1" ht="12.75">
      <c r="A1048364" s="24"/>
      <c r="B1048364" s="24"/>
      <c r="C1048364" s="24"/>
      <c r="D1048364" s="24"/>
      <c r="E1048364" s="24"/>
      <c r="F1048364" s="24"/>
      <c r="G1048364" s="24"/>
      <c r="H1048364" s="24"/>
      <c r="I1048364" s="24"/>
      <c r="J1048364" s="24"/>
      <c r="K1048364" s="54"/>
    </row>
    <row r="1048365" spans="1:11" s="55" customFormat="1" ht="12.75">
      <c r="A1048365" s="24"/>
      <c r="B1048365" s="24"/>
      <c r="C1048365" s="24"/>
      <c r="D1048365" s="24"/>
      <c r="E1048365" s="24"/>
      <c r="F1048365" s="24"/>
      <c r="G1048365" s="24"/>
      <c r="H1048365" s="24"/>
      <c r="I1048365" s="24"/>
      <c r="J1048365" s="24"/>
      <c r="K1048365" s="54"/>
    </row>
    <row r="1048366" spans="1:11" s="55" customFormat="1" ht="12.75">
      <c r="A1048366" s="24"/>
      <c r="B1048366" s="24"/>
      <c r="C1048366" s="24"/>
      <c r="D1048366" s="24"/>
      <c r="E1048366" s="24"/>
      <c r="F1048366" s="24"/>
      <c r="G1048366" s="24"/>
      <c r="H1048366" s="24"/>
      <c r="I1048366" s="24"/>
      <c r="J1048366" s="24"/>
      <c r="K1048366" s="54"/>
    </row>
    <row r="1048367" spans="1:11" s="55" customFormat="1" ht="12.75">
      <c r="A1048367" s="24"/>
      <c r="B1048367" s="24"/>
      <c r="C1048367" s="24"/>
      <c r="D1048367" s="24"/>
      <c r="E1048367" s="24"/>
      <c r="F1048367" s="24"/>
      <c r="G1048367" s="24"/>
      <c r="H1048367" s="24"/>
      <c r="I1048367" s="24"/>
      <c r="J1048367" s="24"/>
      <c r="K1048367" s="54"/>
    </row>
    <row r="1048368" spans="1:11" s="55" customFormat="1" ht="12.75">
      <c r="A1048368" s="24"/>
      <c r="B1048368" s="24"/>
      <c r="C1048368" s="24"/>
      <c r="D1048368" s="24"/>
      <c r="E1048368" s="24"/>
      <c r="F1048368" s="24"/>
      <c r="G1048368" s="24"/>
      <c r="H1048368" s="24"/>
      <c r="I1048368" s="24"/>
      <c r="J1048368" s="24"/>
      <c r="K1048368" s="54"/>
    </row>
    <row r="1048369" spans="1:11" s="55" customFormat="1" ht="12.75">
      <c r="A1048369" s="24"/>
      <c r="B1048369" s="24"/>
      <c r="C1048369" s="24"/>
      <c r="D1048369" s="24"/>
      <c r="E1048369" s="24"/>
      <c r="F1048369" s="24"/>
      <c r="G1048369" s="24"/>
      <c r="H1048369" s="24"/>
      <c r="I1048369" s="24"/>
      <c r="J1048369" s="24"/>
      <c r="K1048369" s="54"/>
    </row>
    <row r="1048370" spans="1:11" s="55" customFormat="1" ht="12.75">
      <c r="A1048370" s="24"/>
      <c r="B1048370" s="24"/>
      <c r="C1048370" s="24"/>
      <c r="D1048370" s="24"/>
      <c r="E1048370" s="24"/>
      <c r="F1048370" s="24"/>
      <c r="G1048370" s="24"/>
      <c r="H1048370" s="24"/>
      <c r="I1048370" s="24"/>
      <c r="J1048370" s="24"/>
      <c r="K1048370" s="54"/>
    </row>
    <row r="1048371" spans="1:11" s="55" customFormat="1" ht="12.75">
      <c r="A1048371" s="24"/>
      <c r="B1048371" s="24"/>
      <c r="C1048371" s="24"/>
      <c r="D1048371" s="24"/>
      <c r="E1048371" s="24"/>
      <c r="F1048371" s="24"/>
      <c r="G1048371" s="24"/>
      <c r="H1048371" s="24"/>
      <c r="I1048371" s="24"/>
      <c r="J1048371" s="24"/>
      <c r="K1048371" s="54"/>
    </row>
    <row r="1048372" spans="1:11" s="55" customFormat="1" ht="12.75">
      <c r="A1048372" s="24"/>
      <c r="B1048372" s="24"/>
      <c r="C1048372" s="24"/>
      <c r="D1048372" s="24"/>
      <c r="E1048372" s="24"/>
      <c r="F1048372" s="24"/>
      <c r="G1048372" s="24"/>
      <c r="H1048372" s="24"/>
      <c r="I1048372" s="24"/>
      <c r="J1048372" s="24"/>
      <c r="K1048372" s="54"/>
    </row>
    <row r="1048373" spans="1:11" s="55" customFormat="1" ht="12.75">
      <c r="A1048373" s="24"/>
      <c r="B1048373" s="24"/>
      <c r="C1048373" s="24"/>
      <c r="D1048373" s="24"/>
      <c r="E1048373" s="24"/>
      <c r="F1048373" s="24"/>
      <c r="G1048373" s="24"/>
      <c r="H1048373" s="24"/>
      <c r="I1048373" s="24"/>
      <c r="J1048373" s="24"/>
      <c r="K1048373" s="54"/>
    </row>
    <row r="1048374" spans="1:11" s="55" customFormat="1" ht="12.75">
      <c r="A1048374" s="24"/>
      <c r="B1048374" s="24"/>
      <c r="C1048374" s="24"/>
      <c r="D1048374" s="24"/>
      <c r="E1048374" s="24"/>
      <c r="F1048374" s="24"/>
      <c r="G1048374" s="24"/>
      <c r="H1048374" s="24"/>
      <c r="I1048374" s="24"/>
      <c r="J1048374" s="24"/>
      <c r="K1048374" s="54"/>
    </row>
    <row r="1048375" spans="1:11" s="55" customFormat="1" ht="12.75">
      <c r="A1048375" s="24"/>
      <c r="B1048375" s="24"/>
      <c r="C1048375" s="24"/>
      <c r="D1048375" s="24"/>
      <c r="E1048375" s="24"/>
      <c r="F1048375" s="24"/>
      <c r="G1048375" s="24"/>
      <c r="H1048375" s="24"/>
      <c r="I1048375" s="24"/>
      <c r="J1048375" s="24"/>
      <c r="K1048375" s="54"/>
    </row>
    <row r="1048376" spans="1:11" s="55" customFormat="1" ht="12.75">
      <c r="A1048376" s="24"/>
      <c r="B1048376" s="24"/>
      <c r="C1048376" s="24"/>
      <c r="D1048376" s="24"/>
      <c r="E1048376" s="24"/>
      <c r="F1048376" s="24"/>
      <c r="G1048376" s="24"/>
      <c r="H1048376" s="24"/>
      <c r="I1048376" s="24"/>
      <c r="J1048376" s="24"/>
      <c r="K1048376" s="54"/>
    </row>
    <row r="1048377" spans="1:11" s="55" customFormat="1" ht="12.75">
      <c r="A1048377" s="24"/>
      <c r="B1048377" s="24"/>
      <c r="C1048377" s="24"/>
      <c r="D1048377" s="24"/>
      <c r="E1048377" s="24"/>
      <c r="F1048377" s="24"/>
      <c r="G1048377" s="24"/>
      <c r="H1048377" s="24"/>
      <c r="I1048377" s="24"/>
      <c r="J1048377" s="24"/>
      <c r="K1048377" s="54"/>
    </row>
    <row r="1048378" spans="1:11" s="55" customFormat="1" ht="12.75">
      <c r="A1048378" s="24"/>
      <c r="B1048378" s="24"/>
      <c r="C1048378" s="24"/>
      <c r="D1048378" s="24"/>
      <c r="E1048378" s="24"/>
      <c r="F1048378" s="24"/>
      <c r="G1048378" s="24"/>
      <c r="H1048378" s="24"/>
      <c r="I1048378" s="24"/>
      <c r="J1048378" s="24"/>
      <c r="K1048378" s="54"/>
    </row>
    <row r="1048379" spans="1:11" s="55" customFormat="1" ht="12.75">
      <c r="A1048379" s="24"/>
      <c r="B1048379" s="24"/>
      <c r="C1048379" s="24"/>
      <c r="D1048379" s="24"/>
      <c r="E1048379" s="24"/>
      <c r="F1048379" s="24"/>
      <c r="G1048379" s="24"/>
      <c r="H1048379" s="24"/>
      <c r="I1048379" s="24"/>
      <c r="J1048379" s="24"/>
      <c r="K1048379" s="54"/>
    </row>
    <row r="1048380" spans="1:11" s="55" customFormat="1" ht="12.75">
      <c r="A1048380" s="24"/>
      <c r="B1048380" s="24"/>
      <c r="C1048380" s="24"/>
      <c r="D1048380" s="24"/>
      <c r="E1048380" s="24"/>
      <c r="F1048380" s="24"/>
      <c r="G1048380" s="24"/>
      <c r="H1048380" s="24"/>
      <c r="I1048380" s="24"/>
      <c r="J1048380" s="24"/>
      <c r="K1048380" s="54"/>
    </row>
    <row r="1048381" spans="1:11" s="55" customFormat="1" ht="12.75">
      <c r="A1048381" s="24"/>
      <c r="B1048381" s="24"/>
      <c r="C1048381" s="24"/>
      <c r="D1048381" s="24"/>
      <c r="E1048381" s="24"/>
      <c r="F1048381" s="24"/>
      <c r="G1048381" s="24"/>
      <c r="H1048381" s="24"/>
      <c r="I1048381" s="24"/>
      <c r="J1048381" s="24"/>
      <c r="K1048381" s="54"/>
    </row>
    <row r="1048382" spans="1:11" s="55" customFormat="1" ht="12.75">
      <c r="A1048382" s="24"/>
      <c r="B1048382" s="24"/>
      <c r="C1048382" s="24"/>
      <c r="D1048382" s="24"/>
      <c r="E1048382" s="24"/>
      <c r="F1048382" s="24"/>
      <c r="G1048382" s="24"/>
      <c r="H1048382" s="24"/>
      <c r="I1048382" s="24"/>
      <c r="J1048382" s="24"/>
      <c r="K1048382" s="54"/>
    </row>
    <row r="1048383" spans="1:11" s="55" customFormat="1" ht="12.75">
      <c r="A1048383" s="24"/>
      <c r="B1048383" s="24"/>
      <c r="C1048383" s="24"/>
      <c r="D1048383" s="24"/>
      <c r="E1048383" s="24"/>
      <c r="F1048383" s="24"/>
      <c r="G1048383" s="24"/>
      <c r="H1048383" s="24"/>
      <c r="I1048383" s="24"/>
      <c r="J1048383" s="24"/>
      <c r="K1048383" s="54"/>
    </row>
    <row r="1048384" spans="1:11" s="55" customFormat="1" ht="12.75">
      <c r="A1048384" s="24"/>
      <c r="B1048384" s="24"/>
      <c r="C1048384" s="24"/>
      <c r="D1048384" s="24"/>
      <c r="E1048384" s="24"/>
      <c r="F1048384" s="24"/>
      <c r="G1048384" s="24"/>
      <c r="H1048384" s="24"/>
      <c r="I1048384" s="24"/>
      <c r="J1048384" s="24"/>
      <c r="K1048384" s="54"/>
    </row>
    <row r="1048385" spans="1:11" s="55" customFormat="1" ht="12.75">
      <c r="A1048385" s="24"/>
      <c r="B1048385" s="24"/>
      <c r="C1048385" s="24"/>
      <c r="D1048385" s="24"/>
      <c r="E1048385" s="24"/>
      <c r="F1048385" s="24"/>
      <c r="G1048385" s="24"/>
      <c r="H1048385" s="24"/>
      <c r="I1048385" s="24"/>
      <c r="J1048385" s="24"/>
      <c r="K1048385" s="54"/>
    </row>
    <row r="1048386" spans="1:11" s="55" customFormat="1" ht="12.75">
      <c r="A1048386" s="24"/>
      <c r="B1048386" s="24"/>
      <c r="C1048386" s="24"/>
      <c r="D1048386" s="24"/>
      <c r="E1048386" s="24"/>
      <c r="F1048386" s="24"/>
      <c r="G1048386" s="24"/>
      <c r="H1048386" s="24"/>
      <c r="I1048386" s="24"/>
      <c r="J1048386" s="24"/>
      <c r="K1048386" s="54"/>
    </row>
    <row r="1048387" spans="1:11" s="55" customFormat="1" ht="12.75">
      <c r="A1048387" s="24"/>
      <c r="B1048387" s="24"/>
      <c r="C1048387" s="24"/>
      <c r="D1048387" s="24"/>
      <c r="E1048387" s="24"/>
      <c r="F1048387" s="24"/>
      <c r="G1048387" s="24"/>
      <c r="H1048387" s="24"/>
      <c r="I1048387" s="24"/>
      <c r="J1048387" s="24"/>
      <c r="K1048387" s="54"/>
    </row>
    <row r="1048388" spans="1:11" s="55" customFormat="1" ht="12.75">
      <c r="A1048388" s="24"/>
      <c r="B1048388" s="24"/>
      <c r="C1048388" s="24"/>
      <c r="D1048388" s="24"/>
      <c r="E1048388" s="24"/>
      <c r="F1048388" s="24"/>
      <c r="G1048388" s="24"/>
      <c r="H1048388" s="24"/>
      <c r="I1048388" s="24"/>
      <c r="J1048388" s="24"/>
      <c r="K1048388" s="54"/>
    </row>
    <row r="1048389" spans="1:11" s="55" customFormat="1" ht="12.75">
      <c r="A1048389" s="24"/>
      <c r="B1048389" s="24"/>
      <c r="C1048389" s="24"/>
      <c r="D1048389" s="24"/>
      <c r="E1048389" s="24"/>
      <c r="F1048389" s="24"/>
      <c r="G1048389" s="24"/>
      <c r="H1048389" s="24"/>
      <c r="I1048389" s="24"/>
      <c r="J1048389" s="24"/>
      <c r="K1048389" s="54"/>
    </row>
    <row r="1048390" spans="1:11" s="55" customFormat="1" ht="12.75">
      <c r="A1048390" s="24"/>
      <c r="B1048390" s="24"/>
      <c r="C1048390" s="24"/>
      <c r="D1048390" s="24"/>
      <c r="E1048390" s="24"/>
      <c r="F1048390" s="24"/>
      <c r="G1048390" s="24"/>
      <c r="H1048390" s="24"/>
      <c r="I1048390" s="24"/>
      <c r="J1048390" s="24"/>
      <c r="K1048390" s="54"/>
    </row>
    <row r="1048391" spans="1:11" s="55" customFormat="1" ht="12.75">
      <c r="A1048391" s="24"/>
      <c r="B1048391" s="24"/>
      <c r="C1048391" s="24"/>
      <c r="D1048391" s="24"/>
      <c r="E1048391" s="24"/>
      <c r="F1048391" s="24"/>
      <c r="G1048391" s="24"/>
      <c r="H1048391" s="24"/>
      <c r="I1048391" s="24"/>
      <c r="J1048391" s="24"/>
      <c r="K1048391" s="54"/>
    </row>
    <row r="1048392" spans="1:11" s="55" customFormat="1" ht="12.75">
      <c r="A1048392" s="24"/>
      <c r="B1048392" s="24"/>
      <c r="C1048392" s="24"/>
      <c r="D1048392" s="24"/>
      <c r="E1048392" s="24"/>
      <c r="F1048392" s="24"/>
      <c r="G1048392" s="24"/>
      <c r="H1048392" s="24"/>
      <c r="I1048392" s="24"/>
      <c r="J1048392" s="24"/>
      <c r="K1048392" s="54"/>
    </row>
    <row r="1048393" spans="1:11" s="55" customFormat="1" ht="12.75">
      <c r="A1048393" s="24"/>
      <c r="B1048393" s="24"/>
      <c r="C1048393" s="24"/>
      <c r="D1048393" s="24"/>
      <c r="E1048393" s="24"/>
      <c r="F1048393" s="24"/>
      <c r="G1048393" s="24"/>
      <c r="H1048393" s="24"/>
      <c r="I1048393" s="24"/>
      <c r="J1048393" s="24"/>
      <c r="K1048393" s="54"/>
    </row>
    <row r="1048394" spans="1:11" s="55" customFormat="1" ht="12.75">
      <c r="A1048394" s="24"/>
      <c r="B1048394" s="24"/>
      <c r="C1048394" s="24"/>
      <c r="D1048394" s="24"/>
      <c r="E1048394" s="24"/>
      <c r="F1048394" s="24"/>
      <c r="G1048394" s="24"/>
      <c r="H1048394" s="24"/>
      <c r="I1048394" s="24"/>
      <c r="J1048394" s="24"/>
      <c r="K1048394" s="54"/>
    </row>
    <row r="1048395" spans="1:11" s="55" customFormat="1" ht="12.75">
      <c r="A1048395" s="24"/>
      <c r="B1048395" s="24"/>
      <c r="C1048395" s="24"/>
      <c r="D1048395" s="24"/>
      <c r="E1048395" s="24"/>
      <c r="F1048395" s="24"/>
      <c r="G1048395" s="24"/>
      <c r="H1048395" s="24"/>
      <c r="I1048395" s="24"/>
      <c r="J1048395" s="24"/>
      <c r="K1048395" s="54"/>
    </row>
    <row r="1048396" spans="1:11" s="55" customFormat="1" ht="12.75">
      <c r="A1048396" s="24"/>
      <c r="B1048396" s="24"/>
      <c r="C1048396" s="24"/>
      <c r="D1048396" s="24"/>
      <c r="E1048396" s="24"/>
      <c r="F1048396" s="24"/>
      <c r="G1048396" s="24"/>
      <c r="H1048396" s="24"/>
      <c r="I1048396" s="24"/>
      <c r="J1048396" s="24"/>
      <c r="K1048396" s="54"/>
    </row>
    <row r="1048397" spans="1:11" s="55" customFormat="1" ht="12.75">
      <c r="A1048397" s="24"/>
      <c r="B1048397" s="24"/>
      <c r="C1048397" s="24"/>
      <c r="D1048397" s="24"/>
      <c r="E1048397" s="24"/>
      <c r="F1048397" s="24"/>
      <c r="G1048397" s="24"/>
      <c r="H1048397" s="24"/>
      <c r="I1048397" s="24"/>
      <c r="J1048397" s="24"/>
      <c r="K1048397" s="54"/>
    </row>
    <row r="1048398" spans="1:11" s="55" customFormat="1" ht="12.75">
      <c r="A1048398" s="24"/>
      <c r="B1048398" s="24"/>
      <c r="C1048398" s="24"/>
      <c r="D1048398" s="24"/>
      <c r="E1048398" s="24"/>
      <c r="F1048398" s="24"/>
      <c r="G1048398" s="24"/>
      <c r="H1048398" s="24"/>
      <c r="I1048398" s="24"/>
      <c r="J1048398" s="24"/>
      <c r="K1048398" s="54"/>
    </row>
    <row r="1048399" spans="1:11" s="55" customFormat="1" ht="12.75">
      <c r="A1048399" s="24"/>
      <c r="B1048399" s="24"/>
      <c r="C1048399" s="24"/>
      <c r="D1048399" s="24"/>
      <c r="E1048399" s="24"/>
      <c r="F1048399" s="24"/>
      <c r="G1048399" s="24"/>
      <c r="H1048399" s="24"/>
      <c r="I1048399" s="24"/>
      <c r="J1048399" s="24"/>
      <c r="K1048399" s="54"/>
    </row>
    <row r="1048400" spans="1:11" s="55" customFormat="1" ht="12.75">
      <c r="A1048400" s="24"/>
      <c r="B1048400" s="24"/>
      <c r="C1048400" s="24"/>
      <c r="D1048400" s="24"/>
      <c r="E1048400" s="24"/>
      <c r="F1048400" s="24"/>
      <c r="G1048400" s="24"/>
      <c r="H1048400" s="24"/>
      <c r="I1048400" s="24"/>
      <c r="J1048400" s="24"/>
      <c r="K1048400" s="54"/>
    </row>
    <row r="1048401" spans="1:11" s="55" customFormat="1" ht="12.75">
      <c r="A1048401" s="24"/>
      <c r="B1048401" s="24"/>
      <c r="C1048401" s="24"/>
      <c r="D1048401" s="24"/>
      <c r="E1048401" s="24"/>
      <c r="F1048401" s="24"/>
      <c r="G1048401" s="24"/>
      <c r="H1048401" s="24"/>
      <c r="I1048401" s="24"/>
      <c r="J1048401" s="24"/>
      <c r="K1048401" s="54"/>
    </row>
    <row r="1048402" spans="1:11" s="55" customFormat="1" ht="12.75">
      <c r="A1048402" s="24"/>
      <c r="B1048402" s="24"/>
      <c r="C1048402" s="24"/>
      <c r="D1048402" s="24"/>
      <c r="E1048402" s="24"/>
      <c r="F1048402" s="24"/>
      <c r="G1048402" s="24"/>
      <c r="H1048402" s="24"/>
      <c r="I1048402" s="24"/>
      <c r="J1048402" s="24"/>
      <c r="K1048402" s="54"/>
    </row>
    <row r="1048403" spans="1:11" s="55" customFormat="1" ht="12.75">
      <c r="A1048403" s="24"/>
      <c r="B1048403" s="24"/>
      <c r="C1048403" s="24"/>
      <c r="D1048403" s="24"/>
      <c r="E1048403" s="24"/>
      <c r="F1048403" s="24"/>
      <c r="G1048403" s="24"/>
      <c r="H1048403" s="24"/>
      <c r="I1048403" s="24"/>
      <c r="J1048403" s="24"/>
      <c r="K1048403" s="54"/>
    </row>
    <row r="1048404" spans="1:11" s="55" customFormat="1" ht="12.75">
      <c r="A1048404" s="24"/>
      <c r="B1048404" s="24"/>
      <c r="C1048404" s="24"/>
      <c r="D1048404" s="24"/>
      <c r="E1048404" s="24"/>
      <c r="F1048404" s="24"/>
      <c r="G1048404" s="24"/>
      <c r="H1048404" s="24"/>
      <c r="I1048404" s="24"/>
      <c r="J1048404" s="24"/>
      <c r="K1048404" s="54"/>
    </row>
    <row r="1048405" spans="1:11" s="55" customFormat="1" ht="12.75">
      <c r="A1048405" s="24"/>
      <c r="B1048405" s="24"/>
      <c r="C1048405" s="24"/>
      <c r="D1048405" s="24"/>
      <c r="E1048405" s="24"/>
      <c r="F1048405" s="24"/>
      <c r="G1048405" s="24"/>
      <c r="H1048405" s="24"/>
      <c r="I1048405" s="24"/>
      <c r="J1048405" s="24"/>
      <c r="K1048405" s="54"/>
    </row>
    <row r="1048406" spans="1:11" s="55" customFormat="1" ht="12.75">
      <c r="A1048406" s="24"/>
      <c r="B1048406" s="24"/>
      <c r="C1048406" s="24"/>
      <c r="D1048406" s="24"/>
      <c r="E1048406" s="24"/>
      <c r="F1048406" s="24"/>
      <c r="G1048406" s="24"/>
      <c r="H1048406" s="24"/>
      <c r="I1048406" s="24"/>
      <c r="J1048406" s="24"/>
      <c r="K1048406" s="54"/>
    </row>
    <row r="1048407" spans="1:11" s="55" customFormat="1" ht="12.75">
      <c r="A1048407" s="24"/>
      <c r="B1048407" s="24"/>
      <c r="C1048407" s="24"/>
      <c r="D1048407" s="24"/>
      <c r="E1048407" s="24"/>
      <c r="F1048407" s="24"/>
      <c r="G1048407" s="24"/>
      <c r="H1048407" s="24"/>
      <c r="I1048407" s="24"/>
      <c r="J1048407" s="24"/>
      <c r="K1048407" s="54"/>
    </row>
    <row r="1048408" spans="1:11" s="55" customFormat="1" ht="12.75">
      <c r="A1048408" s="24"/>
      <c r="B1048408" s="24"/>
      <c r="C1048408" s="24"/>
      <c r="D1048408" s="24"/>
      <c r="E1048408" s="24"/>
      <c r="F1048408" s="24"/>
      <c r="G1048408" s="24"/>
      <c r="H1048408" s="24"/>
      <c r="I1048408" s="24"/>
      <c r="J1048408" s="24"/>
      <c r="K1048408" s="54"/>
    </row>
    <row r="1048409" spans="1:11" s="55" customFormat="1" ht="12.75">
      <c r="A1048409" s="24"/>
      <c r="B1048409" s="24"/>
      <c r="C1048409" s="24"/>
      <c r="D1048409" s="24"/>
      <c r="E1048409" s="24"/>
      <c r="F1048409" s="24"/>
      <c r="G1048409" s="24"/>
      <c r="H1048409" s="24"/>
      <c r="I1048409" s="24"/>
      <c r="J1048409" s="24"/>
      <c r="K1048409" s="54"/>
    </row>
    <row r="1048410" spans="1:11" s="55" customFormat="1" ht="12.75">
      <c r="A1048410" s="24"/>
      <c r="B1048410" s="24"/>
      <c r="C1048410" s="24"/>
      <c r="D1048410" s="24"/>
      <c r="E1048410" s="24"/>
      <c r="F1048410" s="24"/>
      <c r="G1048410" s="24"/>
      <c r="H1048410" s="24"/>
      <c r="I1048410" s="24"/>
      <c r="J1048410" s="24"/>
      <c r="K1048410" s="54"/>
    </row>
    <row r="1048411" spans="1:11" s="55" customFormat="1" ht="12.75">
      <c r="A1048411" s="24"/>
      <c r="B1048411" s="24"/>
      <c r="C1048411" s="24"/>
      <c r="D1048411" s="24"/>
      <c r="E1048411" s="24"/>
      <c r="F1048411" s="24"/>
      <c r="G1048411" s="24"/>
      <c r="H1048411" s="24"/>
      <c r="I1048411" s="24"/>
      <c r="J1048411" s="24"/>
      <c r="K1048411" s="54"/>
    </row>
    <row r="1048412" spans="1:11" s="55" customFormat="1" ht="12.75">
      <c r="A1048412" s="24"/>
      <c r="B1048412" s="24"/>
      <c r="C1048412" s="24"/>
      <c r="D1048412" s="24"/>
      <c r="E1048412" s="24"/>
      <c r="F1048412" s="24"/>
      <c r="G1048412" s="24"/>
      <c r="H1048412" s="24"/>
      <c r="I1048412" s="24"/>
      <c r="J1048412" s="24"/>
      <c r="K1048412" s="54"/>
    </row>
    <row r="1048413" spans="1:11" s="55" customFormat="1" ht="12.75">
      <c r="A1048413" s="24"/>
      <c r="B1048413" s="24"/>
      <c r="C1048413" s="24"/>
      <c r="D1048413" s="24"/>
      <c r="E1048413" s="24"/>
      <c r="F1048413" s="24"/>
      <c r="G1048413" s="24"/>
      <c r="H1048413" s="24"/>
      <c r="I1048413" s="24"/>
      <c r="J1048413" s="24"/>
      <c r="K1048413" s="54"/>
    </row>
    <row r="1048414" spans="1:11" s="55" customFormat="1" ht="12.75">
      <c r="A1048414" s="24"/>
      <c r="B1048414" s="24"/>
      <c r="C1048414" s="24"/>
      <c r="D1048414" s="24"/>
      <c r="E1048414" s="24"/>
      <c r="F1048414" s="24"/>
      <c r="G1048414" s="24"/>
      <c r="H1048414" s="24"/>
      <c r="I1048414" s="24"/>
      <c r="J1048414" s="24"/>
      <c r="K1048414" s="54"/>
    </row>
    <row r="1048415" spans="1:11" s="55" customFormat="1" ht="12.75">
      <c r="A1048415" s="24"/>
      <c r="B1048415" s="24"/>
      <c r="C1048415" s="24"/>
      <c r="D1048415" s="24"/>
      <c r="E1048415" s="24"/>
      <c r="F1048415" s="24"/>
      <c r="G1048415" s="24"/>
      <c r="H1048415" s="24"/>
      <c r="I1048415" s="24"/>
      <c r="J1048415" s="24"/>
      <c r="K1048415" s="54"/>
    </row>
    <row r="1048416" spans="1:11" s="55" customFormat="1" ht="12.75">
      <c r="A1048416" s="24"/>
      <c r="B1048416" s="24"/>
      <c r="C1048416" s="24"/>
      <c r="D1048416" s="24"/>
      <c r="E1048416" s="24"/>
      <c r="F1048416" s="24"/>
      <c r="G1048416" s="24"/>
      <c r="H1048416" s="24"/>
      <c r="I1048416" s="24"/>
      <c r="J1048416" s="24"/>
      <c r="K1048416" s="54"/>
    </row>
    <row r="1048417" spans="1:11" s="55" customFormat="1" ht="12.75">
      <c r="A1048417" s="24"/>
      <c r="B1048417" s="24"/>
      <c r="C1048417" s="24"/>
      <c r="D1048417" s="24"/>
      <c r="E1048417" s="24"/>
      <c r="F1048417" s="24"/>
      <c r="G1048417" s="24"/>
      <c r="H1048417" s="24"/>
      <c r="I1048417" s="24"/>
      <c r="J1048417" s="24"/>
      <c r="K1048417" s="54"/>
    </row>
    <row r="1048418" spans="1:11" s="55" customFormat="1" ht="12.75">
      <c r="A1048418" s="24"/>
      <c r="B1048418" s="24"/>
      <c r="C1048418" s="24"/>
      <c r="D1048418" s="24"/>
      <c r="E1048418" s="24"/>
      <c r="F1048418" s="24"/>
      <c r="G1048418" s="24"/>
      <c r="H1048418" s="24"/>
      <c r="I1048418" s="24"/>
      <c r="J1048418" s="24"/>
      <c r="K1048418" s="54"/>
    </row>
    <row r="1048419" spans="1:11" s="55" customFormat="1" ht="12.75">
      <c r="A1048419" s="24"/>
      <c r="B1048419" s="24"/>
      <c r="C1048419" s="24"/>
      <c r="D1048419" s="24"/>
      <c r="E1048419" s="24"/>
      <c r="F1048419" s="24"/>
      <c r="G1048419" s="24"/>
      <c r="H1048419" s="24"/>
      <c r="I1048419" s="24"/>
      <c r="J1048419" s="24"/>
      <c r="K1048419" s="54"/>
    </row>
    <row r="1048420" spans="1:11" s="55" customFormat="1" ht="12.75">
      <c r="A1048420" s="24"/>
      <c r="B1048420" s="24"/>
      <c r="C1048420" s="24"/>
      <c r="D1048420" s="24"/>
      <c r="E1048420" s="24"/>
      <c r="F1048420" s="24"/>
      <c r="G1048420" s="24"/>
      <c r="H1048420" s="24"/>
      <c r="I1048420" s="24"/>
      <c r="J1048420" s="24"/>
      <c r="K1048420" s="54"/>
    </row>
    <row r="1048421" spans="1:11" s="55" customFormat="1" ht="12.75">
      <c r="A1048421" s="24"/>
      <c r="B1048421" s="24"/>
      <c r="C1048421" s="24"/>
      <c r="D1048421" s="24"/>
      <c r="E1048421" s="24"/>
      <c r="F1048421" s="24"/>
      <c r="G1048421" s="24"/>
      <c r="H1048421" s="24"/>
      <c r="I1048421" s="24"/>
      <c r="J1048421" s="24"/>
      <c r="K1048421" s="54"/>
    </row>
    <row r="1048422" spans="1:11" s="55" customFormat="1" ht="12.75">
      <c r="A1048422" s="24"/>
      <c r="B1048422" s="24"/>
      <c r="C1048422" s="24"/>
      <c r="D1048422" s="24"/>
      <c r="E1048422" s="24"/>
      <c r="F1048422" s="24"/>
      <c r="G1048422" s="24"/>
      <c r="H1048422" s="24"/>
      <c r="I1048422" s="24"/>
      <c r="J1048422" s="24"/>
      <c r="K1048422" s="54"/>
    </row>
    <row r="1048423" spans="1:11" s="55" customFormat="1" ht="12.75">
      <c r="A1048423" s="24"/>
      <c r="B1048423" s="24"/>
      <c r="C1048423" s="24"/>
      <c r="D1048423" s="24"/>
      <c r="E1048423" s="24"/>
      <c r="F1048423" s="24"/>
      <c r="G1048423" s="24"/>
      <c r="H1048423" s="24"/>
      <c r="I1048423" s="24"/>
      <c r="J1048423" s="24"/>
      <c r="K1048423" s="54"/>
    </row>
    <row r="1048424" spans="1:11" s="55" customFormat="1" ht="12.75">
      <c r="A1048424" s="24"/>
      <c r="B1048424" s="24"/>
      <c r="C1048424" s="24"/>
      <c r="D1048424" s="24"/>
      <c r="E1048424" s="24"/>
      <c r="F1048424" s="24"/>
      <c r="G1048424" s="24"/>
      <c r="H1048424" s="24"/>
      <c r="I1048424" s="24"/>
      <c r="J1048424" s="24"/>
      <c r="K1048424" s="54"/>
    </row>
    <row r="1048425" spans="1:11" s="55" customFormat="1" ht="12.75">
      <c r="A1048425" s="24"/>
      <c r="B1048425" s="24"/>
      <c r="C1048425" s="24"/>
      <c r="D1048425" s="24"/>
      <c r="E1048425" s="24"/>
      <c r="F1048425" s="24"/>
      <c r="G1048425" s="24"/>
      <c r="H1048425" s="24"/>
      <c r="I1048425" s="24"/>
      <c r="J1048425" s="24"/>
      <c r="K1048425" s="54"/>
    </row>
    <row r="1048426" spans="1:11" s="55" customFormat="1" ht="12.75">
      <c r="A1048426" s="24"/>
      <c r="B1048426" s="24"/>
      <c r="C1048426" s="24"/>
      <c r="D1048426" s="24"/>
      <c r="E1048426" s="24"/>
      <c r="F1048426" s="24"/>
      <c r="G1048426" s="24"/>
      <c r="H1048426" s="24"/>
      <c r="I1048426" s="24"/>
      <c r="J1048426" s="24"/>
      <c r="K1048426" s="54"/>
    </row>
    <row r="1048427" spans="1:11" s="55" customFormat="1" ht="12.75">
      <c r="A1048427" s="24"/>
      <c r="B1048427" s="24"/>
      <c r="C1048427" s="24"/>
      <c r="D1048427" s="24"/>
      <c r="E1048427" s="24"/>
      <c r="F1048427" s="24"/>
      <c r="G1048427" s="24"/>
      <c r="H1048427" s="24"/>
      <c r="I1048427" s="24"/>
      <c r="J1048427" s="24"/>
      <c r="K1048427" s="54"/>
    </row>
    <row r="1048428" spans="1:11" s="55" customFormat="1" ht="12.75">
      <c r="A1048428" s="24"/>
      <c r="B1048428" s="24"/>
      <c r="C1048428" s="24"/>
      <c r="D1048428" s="24"/>
      <c r="E1048428" s="24"/>
      <c r="F1048428" s="24"/>
      <c r="G1048428" s="24"/>
      <c r="H1048428" s="24"/>
      <c r="I1048428" s="24"/>
      <c r="J1048428" s="24"/>
      <c r="K1048428" s="54"/>
    </row>
    <row r="1048429" spans="1:11" s="55" customFormat="1" ht="12.75">
      <c r="A1048429" s="24"/>
      <c r="B1048429" s="24"/>
      <c r="C1048429" s="24"/>
      <c r="D1048429" s="24"/>
      <c r="E1048429" s="24"/>
      <c r="F1048429" s="24"/>
      <c r="G1048429" s="24"/>
      <c r="H1048429" s="24"/>
      <c r="I1048429" s="24"/>
      <c r="J1048429" s="24"/>
      <c r="K1048429" s="54"/>
    </row>
    <row r="1048430" spans="1:11" s="55" customFormat="1" ht="12.75">
      <c r="A1048430" s="24"/>
      <c r="B1048430" s="24"/>
      <c r="C1048430" s="24"/>
      <c r="D1048430" s="24"/>
      <c r="E1048430" s="24"/>
      <c r="F1048430" s="24"/>
      <c r="G1048430" s="24"/>
      <c r="H1048430" s="24"/>
      <c r="I1048430" s="24"/>
      <c r="J1048430" s="24"/>
      <c r="K1048430" s="54"/>
    </row>
    <row r="1048431" spans="1:11" s="55" customFormat="1" ht="12.75">
      <c r="A1048431" s="24"/>
      <c r="B1048431" s="24"/>
      <c r="C1048431" s="24"/>
      <c r="D1048431" s="24"/>
      <c r="E1048431" s="24"/>
      <c r="F1048431" s="24"/>
      <c r="G1048431" s="24"/>
      <c r="H1048431" s="24"/>
      <c r="I1048431" s="24"/>
      <c r="J1048431" s="24"/>
      <c r="K1048431" s="54"/>
    </row>
    <row r="1048432" spans="1:11" s="55" customFormat="1" ht="12.75">
      <c r="A1048432" s="24"/>
      <c r="B1048432" s="24"/>
      <c r="C1048432" s="24"/>
      <c r="D1048432" s="24"/>
      <c r="E1048432" s="24"/>
      <c r="F1048432" s="24"/>
      <c r="G1048432" s="24"/>
      <c r="H1048432" s="24"/>
      <c r="I1048432" s="24"/>
      <c r="J1048432" s="24"/>
      <c r="K1048432" s="54"/>
    </row>
    <row r="1048433" spans="1:11" s="55" customFormat="1" ht="12.75">
      <c r="A1048433" s="24"/>
      <c r="B1048433" s="24"/>
      <c r="C1048433" s="24"/>
      <c r="D1048433" s="24"/>
      <c r="E1048433" s="24"/>
      <c r="F1048433" s="24"/>
      <c r="G1048433" s="24"/>
      <c r="H1048433" s="24"/>
      <c r="I1048433" s="24"/>
      <c r="J1048433" s="24"/>
      <c r="K1048433" s="54"/>
    </row>
    <row r="1048434" spans="1:11" s="55" customFormat="1" ht="12.75">
      <c r="A1048434" s="24"/>
      <c r="B1048434" s="24"/>
      <c r="C1048434" s="24"/>
      <c r="D1048434" s="24"/>
      <c r="E1048434" s="24"/>
      <c r="F1048434" s="24"/>
      <c r="G1048434" s="24"/>
      <c r="H1048434" s="24"/>
      <c r="I1048434" s="24"/>
      <c r="J1048434" s="24"/>
      <c r="K1048434" s="54"/>
    </row>
    <row r="1048435" spans="1:11" s="55" customFormat="1" ht="12.75">
      <c r="A1048435" s="24"/>
      <c r="B1048435" s="24"/>
      <c r="C1048435" s="24"/>
      <c r="D1048435" s="24"/>
      <c r="E1048435" s="24"/>
      <c r="F1048435" s="24"/>
      <c r="G1048435" s="24"/>
      <c r="H1048435" s="24"/>
      <c r="I1048435" s="24"/>
      <c r="J1048435" s="24"/>
      <c r="K1048435" s="54"/>
    </row>
    <row r="1048436" spans="1:11" s="55" customFormat="1" ht="12.75">
      <c r="A1048436" s="24"/>
      <c r="B1048436" s="24"/>
      <c r="C1048436" s="24"/>
      <c r="D1048436" s="24"/>
      <c r="E1048436" s="24"/>
      <c r="F1048436" s="24"/>
      <c r="G1048436" s="24"/>
      <c r="H1048436" s="24"/>
      <c r="I1048436" s="24"/>
      <c r="J1048436" s="24"/>
      <c r="K1048436" s="54"/>
    </row>
    <row r="1048437" spans="1:11" s="55" customFormat="1" ht="12.75">
      <c r="A1048437" s="24"/>
      <c r="B1048437" s="24"/>
      <c r="C1048437" s="24"/>
      <c r="D1048437" s="24"/>
      <c r="E1048437" s="24"/>
      <c r="F1048437" s="24"/>
      <c r="G1048437" s="24"/>
      <c r="H1048437" s="24"/>
      <c r="I1048437" s="24"/>
      <c r="J1048437" s="24"/>
      <c r="K1048437" s="54"/>
    </row>
    <row r="1048438" spans="1:11" s="55" customFormat="1" ht="12.75">
      <c r="A1048438" s="24"/>
      <c r="B1048438" s="24"/>
      <c r="C1048438" s="24"/>
      <c r="D1048438" s="24"/>
      <c r="E1048438" s="24"/>
      <c r="F1048438" s="24"/>
      <c r="G1048438" s="24"/>
      <c r="H1048438" s="24"/>
      <c r="I1048438" s="24"/>
      <c r="J1048438" s="24"/>
      <c r="K1048438" s="54"/>
    </row>
    <row r="1048439" spans="1:11" s="55" customFormat="1" ht="12.75">
      <c r="A1048439" s="24"/>
      <c r="B1048439" s="24"/>
      <c r="C1048439" s="24"/>
      <c r="D1048439" s="24"/>
      <c r="E1048439" s="24"/>
      <c r="F1048439" s="24"/>
      <c r="G1048439" s="24"/>
      <c r="H1048439" s="24"/>
      <c r="I1048439" s="24"/>
      <c r="J1048439" s="24"/>
      <c r="K1048439" s="54"/>
    </row>
    <row r="1048440" spans="1:11" s="55" customFormat="1" ht="12.75">
      <c r="A1048440" s="24"/>
      <c r="B1048440" s="24"/>
      <c r="C1048440" s="24"/>
      <c r="D1048440" s="24"/>
      <c r="E1048440" s="24"/>
      <c r="F1048440" s="24"/>
      <c r="G1048440" s="24"/>
      <c r="H1048440" s="24"/>
      <c r="I1048440" s="24"/>
      <c r="J1048440" s="24"/>
      <c r="K1048440" s="54"/>
    </row>
    <row r="1048441" spans="1:11" s="55" customFormat="1" ht="12.75">
      <c r="A1048441" s="24"/>
      <c r="B1048441" s="24"/>
      <c r="C1048441" s="24"/>
      <c r="D1048441" s="24"/>
      <c r="E1048441" s="24"/>
      <c r="F1048441" s="24"/>
      <c r="G1048441" s="24"/>
      <c r="H1048441" s="24"/>
      <c r="I1048441" s="24"/>
      <c r="J1048441" s="24"/>
      <c r="K1048441" s="54"/>
    </row>
    <row r="1048442" spans="1:11" s="55" customFormat="1" ht="12.75">
      <c r="A1048442" s="24"/>
      <c r="B1048442" s="24"/>
      <c r="C1048442" s="24"/>
      <c r="D1048442" s="24"/>
      <c r="E1048442" s="24"/>
      <c r="F1048442" s="24"/>
      <c r="G1048442" s="24"/>
      <c r="H1048442" s="24"/>
      <c r="I1048442" s="24"/>
      <c r="J1048442" s="24"/>
      <c r="K1048442" s="54"/>
    </row>
    <row r="1048443" spans="1:11" s="55" customFormat="1" ht="12.75">
      <c r="A1048443" s="24"/>
      <c r="B1048443" s="24"/>
      <c r="C1048443" s="24"/>
      <c r="D1048443" s="24"/>
      <c r="E1048443" s="24"/>
      <c r="F1048443" s="24"/>
      <c r="G1048443" s="24"/>
      <c r="H1048443" s="24"/>
      <c r="I1048443" s="24"/>
      <c r="J1048443" s="24"/>
      <c r="K1048443" s="54"/>
    </row>
    <row r="1048444" spans="1:11" s="55" customFormat="1" ht="12.75">
      <c r="A1048444" s="24"/>
      <c r="B1048444" s="24"/>
      <c r="C1048444" s="24"/>
      <c r="D1048444" s="24"/>
      <c r="E1048444" s="24"/>
      <c r="F1048444" s="24"/>
      <c r="G1048444" s="24"/>
      <c r="H1048444" s="24"/>
      <c r="I1048444" s="24"/>
      <c r="J1048444" s="24"/>
      <c r="K1048444" s="54"/>
    </row>
    <row r="1048445" spans="1:11" s="55" customFormat="1" ht="12.75">
      <c r="A1048445" s="24"/>
      <c r="B1048445" s="24"/>
      <c r="C1048445" s="24"/>
      <c r="D1048445" s="24"/>
      <c r="E1048445" s="24"/>
      <c r="F1048445" s="24"/>
      <c r="G1048445" s="24"/>
      <c r="H1048445" s="24"/>
      <c r="I1048445" s="24"/>
      <c r="J1048445" s="24"/>
      <c r="K1048445" s="54"/>
    </row>
    <row r="1048446" spans="1:11" s="55" customFormat="1" ht="12.75">
      <c r="A1048446" s="24"/>
      <c r="B1048446" s="24"/>
      <c r="C1048446" s="24"/>
      <c r="D1048446" s="24"/>
      <c r="E1048446" s="24"/>
      <c r="F1048446" s="24"/>
      <c r="G1048446" s="24"/>
      <c r="H1048446" s="24"/>
      <c r="I1048446" s="24"/>
      <c r="J1048446" s="24"/>
      <c r="K1048446" s="54"/>
    </row>
    <row r="1048447" spans="1:11" s="55" customFormat="1" ht="12.75">
      <c r="A1048447" s="24"/>
      <c r="B1048447" s="24"/>
      <c r="C1048447" s="24"/>
      <c r="D1048447" s="24"/>
      <c r="E1048447" s="24"/>
      <c r="F1048447" s="24"/>
      <c r="G1048447" s="24"/>
      <c r="H1048447" s="24"/>
      <c r="I1048447" s="24"/>
      <c r="J1048447" s="24"/>
      <c r="K1048447" s="54"/>
    </row>
    <row r="1048448" spans="1:11" s="55" customFormat="1" ht="12.75">
      <c r="A1048448" s="24"/>
      <c r="B1048448" s="24"/>
      <c r="C1048448" s="24"/>
      <c r="D1048448" s="24"/>
      <c r="E1048448" s="24"/>
      <c r="F1048448" s="24"/>
      <c r="G1048448" s="24"/>
      <c r="H1048448" s="24"/>
      <c r="I1048448" s="24"/>
      <c r="J1048448" s="24"/>
      <c r="K1048448" s="54"/>
    </row>
    <row r="1048449" spans="1:11" s="55" customFormat="1" ht="12.75">
      <c r="A1048449" s="24"/>
      <c r="B1048449" s="24"/>
      <c r="C1048449" s="24"/>
      <c r="D1048449" s="24"/>
      <c r="E1048449" s="24"/>
      <c r="F1048449" s="24"/>
      <c r="G1048449" s="24"/>
      <c r="H1048449" s="24"/>
      <c r="I1048449" s="24"/>
      <c r="J1048449" s="24"/>
      <c r="K1048449" s="54"/>
    </row>
    <row r="1048450" spans="1:11" s="55" customFormat="1" ht="12.75">
      <c r="A1048450" s="24"/>
      <c r="B1048450" s="24"/>
      <c r="C1048450" s="24"/>
      <c r="D1048450" s="24"/>
      <c r="E1048450" s="24"/>
      <c r="F1048450" s="24"/>
      <c r="G1048450" s="24"/>
      <c r="H1048450" s="24"/>
      <c r="I1048450" s="24"/>
      <c r="J1048450" s="24"/>
      <c r="K1048450" s="54"/>
    </row>
    <row r="1048451" spans="1:11" s="55" customFormat="1" ht="12.75">
      <c r="A1048451" s="24"/>
      <c r="B1048451" s="24"/>
      <c r="C1048451" s="24"/>
      <c r="D1048451" s="24"/>
      <c r="E1048451" s="24"/>
      <c r="F1048451" s="24"/>
      <c r="G1048451" s="24"/>
      <c r="H1048451" s="24"/>
      <c r="I1048451" s="24"/>
      <c r="J1048451" s="24"/>
      <c r="K1048451" s="54"/>
    </row>
    <row r="1048452" spans="1:11" s="55" customFormat="1" ht="12.75">
      <c r="A1048452" s="24"/>
      <c r="B1048452" s="24"/>
      <c r="C1048452" s="24"/>
      <c r="D1048452" s="24"/>
      <c r="E1048452" s="24"/>
      <c r="F1048452" s="24"/>
      <c r="G1048452" s="24"/>
      <c r="H1048452" s="24"/>
      <c r="I1048452" s="24"/>
      <c r="J1048452" s="24"/>
      <c r="K1048452" s="54"/>
    </row>
    <row r="1048453" spans="1:11" s="55" customFormat="1" ht="12.75">
      <c r="A1048453" s="24"/>
      <c r="B1048453" s="24"/>
      <c r="C1048453" s="24"/>
      <c r="D1048453" s="24"/>
      <c r="E1048453" s="24"/>
      <c r="F1048453" s="24"/>
      <c r="G1048453" s="24"/>
      <c r="H1048453" s="24"/>
      <c r="I1048453" s="24"/>
      <c r="J1048453" s="24"/>
      <c r="K1048453" s="54"/>
    </row>
    <row r="1048454" spans="1:11" s="55" customFormat="1" ht="12.75">
      <c r="A1048454" s="24"/>
      <c r="B1048454" s="24"/>
      <c r="C1048454" s="24"/>
      <c r="D1048454" s="24"/>
      <c r="E1048454" s="24"/>
      <c r="F1048454" s="24"/>
      <c r="G1048454" s="24"/>
      <c r="H1048454" s="24"/>
      <c r="I1048454" s="24"/>
      <c r="J1048454" s="24"/>
      <c r="K1048454" s="54"/>
    </row>
    <row r="1048455" spans="1:11" s="55" customFormat="1" ht="12.75">
      <c r="A1048455" s="24"/>
      <c r="B1048455" s="24"/>
      <c r="C1048455" s="24"/>
      <c r="D1048455" s="24"/>
      <c r="E1048455" s="24"/>
      <c r="F1048455" s="24"/>
      <c r="G1048455" s="24"/>
      <c r="H1048455" s="24"/>
      <c r="I1048455" s="24"/>
      <c r="J1048455" s="24"/>
      <c r="K1048455" s="54"/>
    </row>
    <row r="1048456" spans="1:11" s="55" customFormat="1" ht="12.75">
      <c r="A1048456" s="24"/>
      <c r="B1048456" s="24"/>
      <c r="C1048456" s="24"/>
      <c r="D1048456" s="24"/>
      <c r="E1048456" s="24"/>
      <c r="F1048456" s="24"/>
      <c r="G1048456" s="24"/>
      <c r="H1048456" s="24"/>
      <c r="I1048456" s="24"/>
      <c r="J1048456" s="24"/>
      <c r="K1048456" s="54"/>
    </row>
    <row r="1048457" spans="1:11" s="55" customFormat="1" ht="12.75">
      <c r="A1048457" s="24"/>
      <c r="B1048457" s="24"/>
      <c r="C1048457" s="24"/>
      <c r="D1048457" s="24"/>
      <c r="E1048457" s="24"/>
      <c r="F1048457" s="24"/>
      <c r="G1048457" s="24"/>
      <c r="H1048457" s="24"/>
      <c r="I1048457" s="24"/>
      <c r="J1048457" s="24"/>
      <c r="K1048457" s="54"/>
    </row>
    <row r="1048458" spans="1:11" s="55" customFormat="1" ht="12.75">
      <c r="A1048458" s="24"/>
      <c r="B1048458" s="24"/>
      <c r="C1048458" s="24"/>
      <c r="D1048458" s="24"/>
      <c r="E1048458" s="24"/>
      <c r="F1048458" s="24"/>
      <c r="G1048458" s="24"/>
      <c r="H1048458" s="24"/>
      <c r="I1048458" s="24"/>
      <c r="J1048458" s="24"/>
      <c r="K1048458" s="54"/>
    </row>
    <row r="1048459" spans="1:11" s="55" customFormat="1" ht="12.75">
      <c r="A1048459" s="24"/>
      <c r="B1048459" s="24"/>
      <c r="C1048459" s="24"/>
      <c r="D1048459" s="24"/>
      <c r="E1048459" s="24"/>
      <c r="F1048459" s="24"/>
      <c r="G1048459" s="24"/>
      <c r="H1048459" s="24"/>
      <c r="I1048459" s="24"/>
      <c r="J1048459" s="24"/>
      <c r="K1048459" s="54"/>
    </row>
    <row r="1048460" spans="1:11" s="55" customFormat="1" ht="12.75">
      <c r="A1048460" s="24"/>
      <c r="B1048460" s="24"/>
      <c r="C1048460" s="24"/>
      <c r="D1048460" s="24"/>
      <c r="E1048460" s="24"/>
      <c r="F1048460" s="24"/>
      <c r="G1048460" s="24"/>
      <c r="H1048460" s="24"/>
      <c r="I1048460" s="24"/>
      <c r="J1048460" s="24"/>
      <c r="K1048460" s="54"/>
    </row>
    <row r="1048461" spans="1:11" s="55" customFormat="1" ht="12.75">
      <c r="A1048461" s="24"/>
      <c r="B1048461" s="24"/>
      <c r="C1048461" s="24"/>
      <c r="D1048461" s="24"/>
      <c r="E1048461" s="24"/>
      <c r="F1048461" s="24"/>
      <c r="G1048461" s="24"/>
      <c r="H1048461" s="24"/>
      <c r="I1048461" s="24"/>
      <c r="J1048461" s="24"/>
      <c r="K1048461" s="54"/>
    </row>
    <row r="1048462" spans="1:11" s="55" customFormat="1" ht="12.75">
      <c r="A1048462" s="24"/>
      <c r="B1048462" s="24"/>
      <c r="C1048462" s="24"/>
      <c r="D1048462" s="24"/>
      <c r="E1048462" s="24"/>
      <c r="F1048462" s="24"/>
      <c r="G1048462" s="24"/>
      <c r="H1048462" s="24"/>
      <c r="I1048462" s="24"/>
      <c r="J1048462" s="24"/>
      <c r="K1048462" s="54"/>
    </row>
    <row r="1048463" spans="1:11" s="55" customFormat="1" ht="12.75">
      <c r="A1048463" s="24"/>
      <c r="B1048463" s="24"/>
      <c r="C1048463" s="24"/>
      <c r="D1048463" s="24"/>
      <c r="E1048463" s="24"/>
      <c r="F1048463" s="24"/>
      <c r="G1048463" s="24"/>
      <c r="H1048463" s="24"/>
      <c r="I1048463" s="24"/>
      <c r="J1048463" s="24"/>
      <c r="K1048463" s="54"/>
    </row>
    <row r="1048464" spans="1:11" s="55" customFormat="1" ht="12.75">
      <c r="A1048464" s="24"/>
      <c r="B1048464" s="24"/>
      <c r="C1048464" s="24"/>
      <c r="D1048464" s="24"/>
      <c r="E1048464" s="24"/>
      <c r="F1048464" s="24"/>
      <c r="G1048464" s="24"/>
      <c r="H1048464" s="24"/>
      <c r="I1048464" s="24"/>
      <c r="J1048464" s="24"/>
      <c r="K1048464" s="54"/>
    </row>
    <row r="1048465" spans="1:11" s="55" customFormat="1" ht="12.75">
      <c r="A1048465" s="24"/>
      <c r="B1048465" s="24"/>
      <c r="C1048465" s="24"/>
      <c r="D1048465" s="24"/>
      <c r="E1048465" s="24"/>
      <c r="F1048465" s="24"/>
      <c r="G1048465" s="24"/>
      <c r="H1048465" s="24"/>
      <c r="I1048465" s="24"/>
      <c r="J1048465" s="24"/>
      <c r="K1048465" s="54"/>
    </row>
    <row r="1048466" spans="1:11" s="55" customFormat="1" ht="12.75">
      <c r="A1048466" s="24"/>
      <c r="B1048466" s="24"/>
      <c r="C1048466" s="24"/>
      <c r="D1048466" s="24"/>
      <c r="E1048466" s="24"/>
      <c r="F1048466" s="24"/>
      <c r="G1048466" s="24"/>
      <c r="H1048466" s="24"/>
      <c r="I1048466" s="24"/>
      <c r="J1048466" s="24"/>
      <c r="K1048466" s="54"/>
    </row>
    <row r="1048467" spans="1:11" s="55" customFormat="1" ht="12.75">
      <c r="A1048467" s="24"/>
      <c r="B1048467" s="24"/>
      <c r="C1048467" s="24"/>
      <c r="D1048467" s="24"/>
      <c r="E1048467" s="24"/>
      <c r="F1048467" s="24"/>
      <c r="G1048467" s="24"/>
      <c r="H1048467" s="24"/>
      <c r="I1048467" s="24"/>
      <c r="J1048467" s="24"/>
      <c r="K1048467" s="54"/>
    </row>
    <row r="1048468" spans="1:11" s="55" customFormat="1" ht="12.75">
      <c r="A1048468" s="24"/>
      <c r="B1048468" s="24"/>
      <c r="C1048468" s="24"/>
      <c r="D1048468" s="24"/>
      <c r="E1048468" s="24"/>
      <c r="F1048468" s="24"/>
      <c r="G1048468" s="24"/>
      <c r="H1048468" s="24"/>
      <c r="I1048468" s="24"/>
      <c r="J1048468" s="24"/>
      <c r="K1048468" s="54"/>
    </row>
    <row r="1048469" spans="1:11" s="55" customFormat="1" ht="12.75">
      <c r="A1048469" s="24"/>
      <c r="B1048469" s="24"/>
      <c r="C1048469" s="24"/>
      <c r="D1048469" s="24"/>
      <c r="E1048469" s="24"/>
      <c r="F1048469" s="24"/>
      <c r="G1048469" s="24"/>
      <c r="H1048469" s="24"/>
      <c r="I1048469" s="24"/>
      <c r="J1048469" s="24"/>
      <c r="K1048469" s="54"/>
    </row>
    <row r="1048470" spans="1:11" s="55" customFormat="1" ht="12.75">
      <c r="A1048470" s="24"/>
      <c r="B1048470" s="24"/>
      <c r="C1048470" s="24"/>
      <c r="D1048470" s="24"/>
      <c r="E1048470" s="24"/>
      <c r="F1048470" s="24"/>
      <c r="G1048470" s="24"/>
      <c r="H1048470" s="24"/>
      <c r="I1048470" s="24"/>
      <c r="J1048470" s="24"/>
      <c r="K1048470" s="54"/>
    </row>
    <row r="1048471" spans="1:11" s="55" customFormat="1" ht="12.75">
      <c r="A1048471" s="24"/>
      <c r="B1048471" s="24"/>
      <c r="C1048471" s="24"/>
      <c r="D1048471" s="24"/>
      <c r="E1048471" s="24"/>
      <c r="F1048471" s="24"/>
      <c r="G1048471" s="24"/>
      <c r="H1048471" s="24"/>
      <c r="I1048471" s="24"/>
      <c r="J1048471" s="24"/>
      <c r="K1048471" s="54"/>
    </row>
    <row r="1048472" spans="1:11" s="55" customFormat="1" ht="12.75">
      <c r="A1048472" s="24"/>
      <c r="B1048472" s="24"/>
      <c r="C1048472" s="24"/>
      <c r="D1048472" s="24"/>
      <c r="E1048472" s="24"/>
      <c r="F1048472" s="24"/>
      <c r="G1048472" s="24"/>
      <c r="H1048472" s="24"/>
      <c r="I1048472" s="24"/>
      <c r="J1048472" s="24"/>
      <c r="K1048472" s="54"/>
    </row>
    <row r="1048473" spans="1:11" s="55" customFormat="1" ht="12.75">
      <c r="A1048473" s="24"/>
      <c r="B1048473" s="24"/>
      <c r="C1048473" s="24"/>
      <c r="D1048473" s="24"/>
      <c r="E1048473" s="24"/>
      <c r="F1048473" s="24"/>
      <c r="G1048473" s="24"/>
      <c r="H1048473" s="24"/>
      <c r="I1048473" s="24"/>
      <c r="J1048473" s="24"/>
      <c r="K1048473" s="54"/>
    </row>
    <row r="1048474" spans="1:11" s="55" customFormat="1" ht="12.75">
      <c r="A1048474" s="24"/>
      <c r="B1048474" s="24"/>
      <c r="C1048474" s="24"/>
      <c r="D1048474" s="24"/>
      <c r="E1048474" s="24"/>
      <c r="F1048474" s="24"/>
      <c r="G1048474" s="24"/>
      <c r="H1048474" s="24"/>
      <c r="I1048474" s="24"/>
      <c r="J1048474" s="24"/>
      <c r="K1048474" s="54"/>
    </row>
    <row r="1048475" spans="1:11" s="55" customFormat="1" ht="12.75">
      <c r="A1048475" s="24"/>
      <c r="B1048475" s="24"/>
      <c r="C1048475" s="24"/>
      <c r="D1048475" s="24"/>
      <c r="E1048475" s="24"/>
      <c r="F1048475" s="24"/>
      <c r="G1048475" s="24"/>
      <c r="H1048475" s="24"/>
      <c r="I1048475" s="24"/>
      <c r="J1048475" s="24"/>
      <c r="K1048475" s="54"/>
    </row>
    <row r="1048476" spans="1:11" s="55" customFormat="1" ht="12.75">
      <c r="A1048476" s="24"/>
      <c r="B1048476" s="24"/>
      <c r="C1048476" s="24"/>
      <c r="D1048476" s="24"/>
      <c r="E1048476" s="24"/>
      <c r="F1048476" s="24"/>
      <c r="G1048476" s="24"/>
      <c r="H1048476" s="24"/>
      <c r="I1048476" s="24"/>
      <c r="J1048476" s="24"/>
      <c r="K1048476" s="54"/>
    </row>
    <row r="1048477" spans="1:11" s="55" customFormat="1" ht="12.75">
      <c r="A1048477" s="24"/>
      <c r="B1048477" s="24"/>
      <c r="C1048477" s="24"/>
      <c r="D1048477" s="24"/>
      <c r="E1048477" s="24"/>
      <c r="F1048477" s="24"/>
      <c r="G1048477" s="24"/>
      <c r="H1048477" s="24"/>
      <c r="I1048477" s="24"/>
      <c r="J1048477" s="24"/>
      <c r="K1048477" s="54"/>
    </row>
    <row r="1048478" spans="1:11" s="55" customFormat="1" ht="12.75">
      <c r="A1048478" s="24"/>
      <c r="B1048478" s="24"/>
      <c r="C1048478" s="24"/>
      <c r="D1048478" s="24"/>
      <c r="E1048478" s="24"/>
      <c r="F1048478" s="24"/>
      <c r="G1048478" s="24"/>
      <c r="H1048478" s="24"/>
      <c r="I1048478" s="24"/>
      <c r="J1048478" s="24"/>
      <c r="K1048478" s="54"/>
    </row>
    <row r="1048479" spans="1:11" s="55" customFormat="1" ht="12.75">
      <c r="A1048479" s="24"/>
      <c r="B1048479" s="24"/>
      <c r="C1048479" s="24"/>
      <c r="D1048479" s="24"/>
      <c r="E1048479" s="24"/>
      <c r="F1048479" s="24"/>
      <c r="G1048479" s="24"/>
      <c r="H1048479" s="24"/>
      <c r="I1048479" s="24"/>
      <c r="J1048479" s="24"/>
      <c r="K1048479" s="54"/>
    </row>
    <row r="1048480" spans="1:11" s="55" customFormat="1" ht="12.75">
      <c r="A1048480" s="24"/>
      <c r="B1048480" s="24"/>
      <c r="C1048480" s="24"/>
      <c r="D1048480" s="24"/>
      <c r="E1048480" s="24"/>
      <c r="F1048480" s="24"/>
      <c r="G1048480" s="24"/>
      <c r="H1048480" s="24"/>
      <c r="I1048480" s="24"/>
      <c r="J1048480" s="24"/>
      <c r="K1048480" s="54"/>
    </row>
    <row r="1048481" spans="1:11" s="55" customFormat="1" ht="12.75">
      <c r="A1048481" s="24"/>
      <c r="B1048481" s="24"/>
      <c r="C1048481" s="24"/>
      <c r="D1048481" s="24"/>
      <c r="E1048481" s="24"/>
      <c r="F1048481" s="24"/>
      <c r="G1048481" s="24"/>
      <c r="H1048481" s="24"/>
      <c r="I1048481" s="24"/>
      <c r="J1048481" s="24"/>
      <c r="K1048481" s="54"/>
    </row>
    <row r="1048482" spans="1:11" s="55" customFormat="1" ht="12.75">
      <c r="A1048482" s="24"/>
      <c r="B1048482" s="24"/>
      <c r="C1048482" s="24"/>
      <c r="D1048482" s="24"/>
      <c r="E1048482" s="24"/>
      <c r="F1048482" s="24"/>
      <c r="G1048482" s="24"/>
      <c r="H1048482" s="24"/>
      <c r="I1048482" s="24"/>
      <c r="J1048482" s="24"/>
      <c r="K1048482" s="54"/>
    </row>
    <row r="1048483" spans="1:11" s="55" customFormat="1" ht="12.75">
      <c r="A1048483" s="24"/>
      <c r="B1048483" s="24"/>
      <c r="C1048483" s="24"/>
      <c r="D1048483" s="24"/>
      <c r="E1048483" s="24"/>
      <c r="F1048483" s="24"/>
      <c r="G1048483" s="24"/>
      <c r="H1048483" s="24"/>
      <c r="I1048483" s="24"/>
      <c r="J1048483" s="24"/>
      <c r="K1048483" s="54"/>
    </row>
    <row r="1048484" spans="1:11" s="55" customFormat="1" ht="12.75">
      <c r="A1048484" s="24"/>
      <c r="B1048484" s="24"/>
      <c r="C1048484" s="24"/>
      <c r="D1048484" s="24"/>
      <c r="E1048484" s="24"/>
      <c r="F1048484" s="24"/>
      <c r="G1048484" s="24"/>
      <c r="H1048484" s="24"/>
      <c r="I1048484" s="24"/>
      <c r="J1048484" s="24"/>
      <c r="K1048484" s="54"/>
    </row>
    <row r="1048485" spans="1:11" s="55" customFormat="1" ht="12.75">
      <c r="A1048485" s="24"/>
      <c r="B1048485" s="24"/>
      <c r="C1048485" s="24"/>
      <c r="D1048485" s="24"/>
      <c r="E1048485" s="24"/>
      <c r="F1048485" s="24"/>
      <c r="G1048485" s="24"/>
      <c r="H1048485" s="24"/>
      <c r="I1048485" s="24"/>
      <c r="J1048485" s="24"/>
      <c r="K1048485" s="54"/>
    </row>
    <row r="1048486" spans="1:11" s="55" customFormat="1" ht="12.75">
      <c r="A1048486" s="24"/>
      <c r="B1048486" s="24"/>
      <c r="C1048486" s="24"/>
      <c r="D1048486" s="24"/>
      <c r="E1048486" s="24"/>
      <c r="F1048486" s="24"/>
      <c r="G1048486" s="24"/>
      <c r="H1048486" s="24"/>
      <c r="I1048486" s="24"/>
      <c r="J1048486" s="24"/>
      <c r="K1048486" s="54"/>
    </row>
    <row r="1048487" spans="1:11" s="55" customFormat="1" ht="12.75">
      <c r="A1048487" s="24"/>
      <c r="B1048487" s="24"/>
      <c r="C1048487" s="24"/>
      <c r="D1048487" s="24"/>
      <c r="E1048487" s="24"/>
      <c r="F1048487" s="24"/>
      <c r="G1048487" s="24"/>
      <c r="H1048487" s="24"/>
      <c r="I1048487" s="24"/>
      <c r="J1048487" s="24"/>
      <c r="K1048487" s="54"/>
    </row>
    <row r="1048488" spans="1:11" s="55" customFormat="1" ht="12.75">
      <c r="A1048488" s="24"/>
      <c r="B1048488" s="24"/>
      <c r="C1048488" s="24"/>
      <c r="D1048488" s="24"/>
      <c r="E1048488" s="24"/>
      <c r="F1048488" s="24"/>
      <c r="G1048488" s="24"/>
      <c r="H1048488" s="24"/>
      <c r="I1048488" s="24"/>
      <c r="J1048488" s="24"/>
      <c r="K1048488" s="54"/>
    </row>
    <row r="1048489" spans="1:11" s="55" customFormat="1" ht="12.75">
      <c r="A1048489" s="24"/>
      <c r="B1048489" s="24"/>
      <c r="C1048489" s="24"/>
      <c r="D1048489" s="24"/>
      <c r="E1048489" s="24"/>
      <c r="F1048489" s="24"/>
      <c r="G1048489" s="24"/>
      <c r="H1048489" s="24"/>
      <c r="I1048489" s="24"/>
      <c r="J1048489" s="24"/>
      <c r="K1048489" s="54"/>
    </row>
    <row r="1048490" spans="1:11" s="55" customFormat="1" ht="12.75">
      <c r="A1048490" s="24"/>
      <c r="B1048490" s="24"/>
      <c r="C1048490" s="24"/>
      <c r="D1048490" s="24"/>
      <c r="E1048490" s="24"/>
      <c r="F1048490" s="24"/>
      <c r="G1048490" s="24"/>
      <c r="H1048490" s="24"/>
      <c r="I1048490" s="24"/>
      <c r="J1048490" s="24"/>
      <c r="K1048490" s="54"/>
    </row>
    <row r="1048491" spans="1:11" s="55" customFormat="1" ht="12.75">
      <c r="A1048491" s="24"/>
      <c r="B1048491" s="24"/>
      <c r="C1048491" s="24"/>
      <c r="D1048491" s="24"/>
      <c r="E1048491" s="24"/>
      <c r="F1048491" s="24"/>
      <c r="G1048491" s="24"/>
      <c r="H1048491" s="24"/>
      <c r="I1048491" s="24"/>
      <c r="J1048491" s="24"/>
      <c r="K1048491" s="54"/>
    </row>
    <row r="1048492" spans="1:11" s="55" customFormat="1" ht="12.75">
      <c r="A1048492" s="24"/>
      <c r="B1048492" s="24"/>
      <c r="C1048492" s="24"/>
      <c r="D1048492" s="24"/>
      <c r="E1048492" s="24"/>
      <c r="F1048492" s="24"/>
      <c r="G1048492" s="24"/>
      <c r="H1048492" s="24"/>
      <c r="I1048492" s="24"/>
      <c r="J1048492" s="24"/>
      <c r="K1048492" s="54"/>
    </row>
    <row r="1048493" spans="1:11" s="55" customFormat="1" ht="12.75">
      <c r="A1048493" s="24"/>
      <c r="B1048493" s="24"/>
      <c r="C1048493" s="24"/>
      <c r="D1048493" s="24"/>
      <c r="E1048493" s="24"/>
      <c r="F1048493" s="24"/>
      <c r="G1048493" s="24"/>
      <c r="H1048493" s="24"/>
      <c r="I1048493" s="24"/>
      <c r="J1048493" s="24"/>
      <c r="K1048493" s="54"/>
    </row>
    <row r="1048494" spans="1:11" s="55" customFormat="1" ht="12.75">
      <c r="A1048494" s="24"/>
      <c r="B1048494" s="24"/>
      <c r="C1048494" s="24"/>
      <c r="D1048494" s="24"/>
      <c r="E1048494" s="24"/>
      <c r="F1048494" s="24"/>
      <c r="G1048494" s="24"/>
      <c r="H1048494" s="24"/>
      <c r="I1048494" s="24"/>
      <c r="J1048494" s="24"/>
      <c r="K1048494" s="54"/>
    </row>
    <row r="1048495" spans="1:11" s="55" customFormat="1" ht="12.75">
      <c r="A1048495" s="24"/>
      <c r="B1048495" s="24"/>
      <c r="C1048495" s="24"/>
      <c r="D1048495" s="24"/>
      <c r="E1048495" s="24"/>
      <c r="F1048495" s="24"/>
      <c r="G1048495" s="24"/>
      <c r="H1048495" s="24"/>
      <c r="I1048495" s="24"/>
      <c r="J1048495" s="24"/>
      <c r="K1048495" s="54"/>
    </row>
    <row r="1048496" spans="1:11" s="55" customFormat="1" ht="12.75">
      <c r="A1048496" s="24"/>
      <c r="B1048496" s="24"/>
      <c r="C1048496" s="24"/>
      <c r="D1048496" s="24"/>
      <c r="E1048496" s="24"/>
      <c r="F1048496" s="24"/>
      <c r="G1048496" s="24"/>
      <c r="H1048496" s="24"/>
      <c r="I1048496" s="24"/>
      <c r="J1048496" s="24"/>
      <c r="K1048496" s="54"/>
    </row>
    <row r="1048497" spans="1:11" s="55" customFormat="1" ht="12.75">
      <c r="A1048497" s="24"/>
      <c r="B1048497" s="24"/>
      <c r="C1048497" s="24"/>
      <c r="D1048497" s="24"/>
      <c r="E1048497" s="24"/>
      <c r="F1048497" s="24"/>
      <c r="G1048497" s="24"/>
      <c r="H1048497" s="24"/>
      <c r="I1048497" s="24"/>
      <c r="J1048497" s="24"/>
      <c r="K1048497" s="54"/>
    </row>
    <row r="1048498" spans="1:11" s="55" customFormat="1" ht="12.75">
      <c r="A1048498" s="24"/>
      <c r="B1048498" s="24"/>
      <c r="C1048498" s="24"/>
      <c r="D1048498" s="24"/>
      <c r="E1048498" s="24"/>
      <c r="F1048498" s="24"/>
      <c r="G1048498" s="24"/>
      <c r="H1048498" s="24"/>
      <c r="I1048498" s="24"/>
      <c r="J1048498" s="24"/>
      <c r="K1048498" s="54"/>
    </row>
    <row r="1048499" spans="1:11" s="55" customFormat="1" ht="12.75">
      <c r="A1048499" s="24"/>
      <c r="B1048499" s="24"/>
      <c r="C1048499" s="24"/>
      <c r="D1048499" s="24"/>
      <c r="E1048499" s="24"/>
      <c r="F1048499" s="24"/>
      <c r="G1048499" s="24"/>
      <c r="H1048499" s="24"/>
      <c r="I1048499" s="24"/>
      <c r="J1048499" s="24"/>
      <c r="K1048499" s="54"/>
    </row>
    <row r="1048500" spans="1:11" s="55" customFormat="1" ht="12.75">
      <c r="A1048500" s="24"/>
      <c r="B1048500" s="24"/>
      <c r="C1048500" s="24"/>
      <c r="D1048500" s="24"/>
      <c r="E1048500" s="24"/>
      <c r="F1048500" s="24"/>
      <c r="G1048500" s="24"/>
      <c r="H1048500" s="24"/>
      <c r="I1048500" s="24"/>
      <c r="J1048500" s="24"/>
      <c r="K1048500" s="54"/>
    </row>
    <row r="1048501" spans="1:11" s="55" customFormat="1" ht="12.75">
      <c r="A1048501" s="24"/>
      <c r="B1048501" s="24"/>
      <c r="C1048501" s="24"/>
      <c r="D1048501" s="24"/>
      <c r="E1048501" s="24"/>
      <c r="F1048501" s="24"/>
      <c r="G1048501" s="24"/>
      <c r="H1048501" s="24"/>
      <c r="I1048501" s="24"/>
      <c r="J1048501" s="24"/>
      <c r="K1048501" s="54"/>
    </row>
    <row r="1048502" spans="1:11" s="55" customFormat="1" ht="12.75">
      <c r="A1048502" s="24"/>
      <c r="B1048502" s="24"/>
      <c r="C1048502" s="24"/>
      <c r="D1048502" s="24"/>
      <c r="E1048502" s="24"/>
      <c r="F1048502" s="24"/>
      <c r="G1048502" s="24"/>
      <c r="H1048502" s="24"/>
      <c r="I1048502" s="24"/>
      <c r="J1048502" s="24"/>
      <c r="K1048502" s="54"/>
    </row>
    <row r="1048503" spans="1:11" s="55" customFormat="1" ht="12.75">
      <c r="A1048503" s="24"/>
      <c r="B1048503" s="24"/>
      <c r="C1048503" s="24"/>
      <c r="D1048503" s="24"/>
      <c r="E1048503" s="24"/>
      <c r="F1048503" s="24"/>
      <c r="G1048503" s="24"/>
      <c r="H1048503" s="24"/>
      <c r="I1048503" s="24"/>
      <c r="J1048503" s="24"/>
      <c r="K1048503" s="54"/>
    </row>
    <row r="1048504" spans="1:11" s="55" customFormat="1" ht="12.75">
      <c r="A1048504" s="24"/>
      <c r="B1048504" s="24"/>
      <c r="C1048504" s="24"/>
      <c r="D1048504" s="24"/>
      <c r="E1048504" s="24"/>
      <c r="F1048504" s="24"/>
      <c r="G1048504" s="24"/>
      <c r="H1048504" s="24"/>
      <c r="I1048504" s="24"/>
      <c r="J1048504" s="24"/>
      <c r="K1048504" s="54"/>
    </row>
    <row r="1048505" spans="1:11" s="55" customFormat="1" ht="12.75">
      <c r="A1048505" s="24"/>
      <c r="B1048505" s="24"/>
      <c r="C1048505" s="24"/>
      <c r="D1048505" s="24"/>
      <c r="E1048505" s="24"/>
      <c r="F1048505" s="24"/>
      <c r="G1048505" s="24"/>
      <c r="H1048505" s="24"/>
      <c r="I1048505" s="24"/>
      <c r="J1048505" s="24"/>
      <c r="K1048505" s="54"/>
    </row>
    <row r="1048506" spans="1:11" s="55" customFormat="1" ht="12.75">
      <c r="A1048506" s="24"/>
      <c r="B1048506" s="24"/>
      <c r="C1048506" s="24"/>
      <c r="D1048506" s="24"/>
      <c r="E1048506" s="24"/>
      <c r="F1048506" s="24"/>
      <c r="G1048506" s="24"/>
      <c r="H1048506" s="24"/>
      <c r="I1048506" s="24"/>
      <c r="J1048506" s="24"/>
      <c r="K1048506" s="54"/>
    </row>
    <row r="1048507" spans="1:11" s="55" customFormat="1" ht="12.75">
      <c r="A1048507" s="24"/>
      <c r="B1048507" s="24"/>
      <c r="C1048507" s="24"/>
      <c r="D1048507" s="24"/>
      <c r="E1048507" s="24"/>
      <c r="F1048507" s="24"/>
      <c r="G1048507" s="24"/>
      <c r="H1048507" s="24"/>
      <c r="I1048507" s="24"/>
      <c r="J1048507" s="24"/>
      <c r="K1048507" s="54"/>
    </row>
    <row r="1048508" spans="1:11" s="55" customFormat="1" ht="12.75">
      <c r="A1048508" s="24"/>
      <c r="B1048508" s="24"/>
      <c r="C1048508" s="24"/>
      <c r="D1048508" s="24"/>
      <c r="E1048508" s="24"/>
      <c r="F1048508" s="24"/>
      <c r="G1048508" s="24"/>
      <c r="H1048508" s="24"/>
      <c r="I1048508" s="24"/>
      <c r="J1048508" s="24"/>
      <c r="K1048508" s="54"/>
    </row>
    <row r="1048509" spans="1:11" s="55" customFormat="1" ht="12.75">
      <c r="A1048509" s="24"/>
      <c r="B1048509" s="24"/>
      <c r="C1048509" s="24"/>
      <c r="D1048509" s="24"/>
      <c r="E1048509" s="24"/>
      <c r="F1048509" s="24"/>
      <c r="G1048509" s="24"/>
      <c r="H1048509" s="24"/>
      <c r="I1048509" s="24"/>
      <c r="J1048509" s="24"/>
      <c r="K1048509" s="54"/>
    </row>
    <row r="1048510" spans="1:11" s="55" customFormat="1" ht="12.75">
      <c r="A1048510" s="24"/>
      <c r="B1048510" s="24"/>
      <c r="C1048510" s="24"/>
      <c r="D1048510" s="24"/>
      <c r="E1048510" s="24"/>
      <c r="F1048510" s="24"/>
      <c r="G1048510" s="24"/>
      <c r="H1048510" s="24"/>
      <c r="I1048510" s="24"/>
      <c r="J1048510" s="24"/>
      <c r="K1048510" s="54"/>
    </row>
    <row r="1048511" spans="1:11" s="55" customFormat="1" ht="12.75">
      <c r="A1048511" s="24"/>
      <c r="B1048511" s="24"/>
      <c r="C1048511" s="24"/>
      <c r="D1048511" s="24"/>
      <c r="E1048511" s="24"/>
      <c r="F1048511" s="24"/>
      <c r="G1048511" s="24"/>
      <c r="H1048511" s="24"/>
      <c r="I1048511" s="24"/>
      <c r="J1048511" s="24"/>
      <c r="K1048511" s="54"/>
    </row>
    <row r="1048512" spans="1:11" s="55" customFormat="1" ht="12.75">
      <c r="A1048512" s="24"/>
      <c r="B1048512" s="24"/>
      <c r="C1048512" s="24"/>
      <c r="D1048512" s="24"/>
      <c r="E1048512" s="24"/>
      <c r="F1048512" s="24"/>
      <c r="G1048512" s="24"/>
      <c r="H1048512" s="24"/>
      <c r="I1048512" s="24"/>
      <c r="J1048512" s="24"/>
      <c r="K1048512" s="54"/>
    </row>
  </sheetData>
  <mergeCells count="20">
    <mergeCell ref="D1:M7"/>
    <mergeCell ref="D8:H8"/>
    <mergeCell ref="B9:I9"/>
    <mergeCell ref="B10:H10"/>
    <mergeCell ref="B11:H11"/>
    <mergeCell ref="B12:H12"/>
    <mergeCell ref="A15:M15"/>
    <mergeCell ref="A16:D16"/>
    <mergeCell ref="E16:H16"/>
    <mergeCell ref="I16:L16"/>
    <mergeCell ref="M16:M17"/>
    <mergeCell ref="E32:F32"/>
    <mergeCell ref="G32:H32"/>
    <mergeCell ref="E33:F33"/>
    <mergeCell ref="G33:H33"/>
    <mergeCell ref="E24:F24"/>
    <mergeCell ref="G24:H25"/>
    <mergeCell ref="E25:F25"/>
    <mergeCell ref="E26:F31"/>
    <mergeCell ref="G26:H31"/>
  </mergeCells>
  <conditionalFormatting sqref="L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{827C424D-D10C-4DE3-B169-1C85096CB559}</x14:id>
        </ext>
      </extLst>
    </cfRule>
  </conditionalFormatting>
  <conditionalFormatting sqref="M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{976D7B00-7B6E-4F56-9BD0-B890C94526F9}</x14:id>
        </ext>
      </extLst>
    </cfRule>
  </conditionalFormatting>
  <conditionalFormatting sqref="A17:D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{6A8AD439-8F5D-4228-A376-533279E37957}</x14:id>
        </ext>
      </extLst>
    </cfRule>
  </conditionalFormatting>
  <conditionalFormatting sqref="A16 E16 E17:K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{3713BCBA-5A6F-4923-90B5-F5C02FB24184}</x14:id>
        </ext>
      </extLst>
    </cfRule>
  </conditionalFormatting>
  <pageMargins left="0.7" right="0.7" top="0.75" bottom="0.75" header="0.3" footer="0.3"/>
  <pageSetup scale="4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7C424D-D10C-4DE3-B169-1C85096CB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76D7B00-7B6E-4F56-9BD0-B890C9452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A8AD439-8F5D-4228-A376-533279E37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A17:D17</xm:sqref>
        </x14:conditionalFormatting>
        <x14:conditionalFormatting xmlns:xm="http://schemas.microsoft.com/office/excel/2006/main">
          <x14:cfRule type="dataBar" id="{3713BCBA-5A6F-4923-90B5-F5C02FB24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 E16 E17:K17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8"/>
  <sheetViews>
    <sheetView topLeftCell="A48" workbookViewId="0">
      <selection activeCell="A6" sqref="A6:I68"/>
    </sheetView>
  </sheetViews>
  <sheetFormatPr baseColWidth="10" defaultRowHeight="15"/>
  <cols>
    <col min="1" max="1" width="5.28515625" customWidth="1"/>
    <col min="2" max="2" width="23" customWidth="1"/>
    <col min="3" max="3" width="14.140625" customWidth="1"/>
    <col min="4" max="4" width="18.5703125" style="134" customWidth="1"/>
    <col min="7" max="7" width="16" customWidth="1"/>
    <col min="9" max="9" width="23.85546875" customWidth="1"/>
  </cols>
  <sheetData>
    <row r="1" spans="1:9" s="158" customFormat="1">
      <c r="A1" s="357"/>
      <c r="B1" s="357"/>
      <c r="C1" s="357"/>
      <c r="D1" s="157"/>
      <c r="E1" s="358" t="s">
        <v>0</v>
      </c>
      <c r="F1" s="358"/>
      <c r="G1" s="358"/>
      <c r="H1" s="358"/>
      <c r="I1" s="358"/>
    </row>
    <row r="2" spans="1:9" s="158" customFormat="1" ht="21" customHeight="1">
      <c r="A2" s="357"/>
      <c r="B2" s="357"/>
      <c r="C2" s="357"/>
      <c r="D2" s="157"/>
      <c r="E2" s="358"/>
      <c r="F2" s="358"/>
      <c r="G2" s="358"/>
      <c r="H2" s="358"/>
      <c r="I2" s="358"/>
    </row>
    <row r="3" spans="1:9" s="158" customFormat="1">
      <c r="A3" s="357"/>
      <c r="B3" s="357"/>
      <c r="C3" s="357"/>
      <c r="D3" s="157"/>
    </row>
    <row r="4" spans="1:9">
      <c r="A4" s="1" t="s">
        <v>1</v>
      </c>
      <c r="B4" s="2"/>
      <c r="C4" s="311" t="str">
        <f>'CONTROL DE VACACIONES'!C3:F3</f>
        <v xml:space="preserve">MINISTERIO DE SALUD PUBLICA COORDINACIÓN ZONA 7 SALUD </v>
      </c>
      <c r="D4" s="311"/>
      <c r="E4" s="311"/>
      <c r="F4" s="311"/>
      <c r="G4" s="311"/>
      <c r="H4" s="311"/>
      <c r="I4" s="311"/>
    </row>
    <row r="5" spans="1:9" s="158" customFormat="1"/>
    <row r="6" spans="1:9" ht="15" customHeight="1">
      <c r="A6" s="363" t="s">
        <v>3</v>
      </c>
      <c r="B6" s="363" t="s">
        <v>71</v>
      </c>
      <c r="C6" s="359" t="s">
        <v>78</v>
      </c>
      <c r="D6" s="359" t="s">
        <v>79</v>
      </c>
      <c r="E6" s="363" t="s">
        <v>4</v>
      </c>
      <c r="F6" s="363"/>
      <c r="G6" s="363" t="s">
        <v>5</v>
      </c>
      <c r="H6" s="363"/>
      <c r="I6" s="361" t="s">
        <v>6</v>
      </c>
    </row>
    <row r="7" spans="1:9">
      <c r="A7" s="363"/>
      <c r="B7" s="363"/>
      <c r="C7" s="360"/>
      <c r="D7" s="360"/>
      <c r="E7" s="4" t="s">
        <v>7</v>
      </c>
      <c r="F7" s="4" t="s">
        <v>8</v>
      </c>
      <c r="G7" s="4" t="s">
        <v>9</v>
      </c>
      <c r="H7" s="4" t="s">
        <v>10</v>
      </c>
      <c r="I7" s="362"/>
    </row>
    <row r="8" spans="1:9" ht="15" customHeight="1">
      <c r="A8" s="351">
        <v>1</v>
      </c>
      <c r="B8" s="354" t="s">
        <v>190</v>
      </c>
      <c r="C8" s="232">
        <v>44217</v>
      </c>
      <c r="D8" s="151" t="str">
        <f>TEXT(C8,"DDDD")</f>
        <v>jueves</v>
      </c>
      <c r="E8" s="6" t="s">
        <v>176</v>
      </c>
      <c r="F8" s="6"/>
      <c r="G8" s="6"/>
      <c r="H8" s="210"/>
      <c r="I8" s="348" t="s">
        <v>194</v>
      </c>
    </row>
    <row r="9" spans="1:9" s="134" customFormat="1">
      <c r="A9" s="352"/>
      <c r="B9" s="355"/>
      <c r="C9" s="150">
        <v>44224</v>
      </c>
      <c r="D9" s="151" t="str">
        <f t="shared" ref="D9:D21" si="0">TEXT(C9,"DDDD")</f>
        <v>jueves</v>
      </c>
      <c r="E9" s="9" t="s">
        <v>150</v>
      </c>
      <c r="F9" s="6" t="s">
        <v>177</v>
      </c>
      <c r="G9" s="6"/>
      <c r="H9" s="210"/>
      <c r="I9" s="349"/>
    </row>
    <row r="10" spans="1:9" s="134" customFormat="1">
      <c r="A10" s="352"/>
      <c r="B10" s="355"/>
      <c r="C10" s="150">
        <v>44214</v>
      </c>
      <c r="D10" s="151" t="str">
        <f t="shared" si="0"/>
        <v>lunes</v>
      </c>
      <c r="E10" s="9" t="s">
        <v>150</v>
      </c>
      <c r="F10" s="6" t="s">
        <v>150</v>
      </c>
      <c r="G10" s="6"/>
      <c r="H10" s="210"/>
      <c r="I10" s="349"/>
    </row>
    <row r="11" spans="1:9" s="134" customFormat="1">
      <c r="A11" s="352"/>
      <c r="B11" s="355"/>
      <c r="C11" s="150">
        <v>44200</v>
      </c>
      <c r="D11" s="151" t="str">
        <f t="shared" si="0"/>
        <v>lunes</v>
      </c>
      <c r="E11" s="9" t="s">
        <v>178</v>
      </c>
      <c r="F11" s="6" t="s">
        <v>179</v>
      </c>
      <c r="G11" s="6"/>
      <c r="H11" s="210"/>
      <c r="I11" s="349"/>
    </row>
    <row r="12" spans="1:9" s="134" customFormat="1">
      <c r="A12" s="352"/>
      <c r="B12" s="355"/>
      <c r="C12" s="150">
        <v>44202</v>
      </c>
      <c r="D12" s="151" t="str">
        <f t="shared" si="0"/>
        <v>miércoles</v>
      </c>
      <c r="E12" s="9" t="s">
        <v>180</v>
      </c>
      <c r="F12" s="6" t="s">
        <v>181</v>
      </c>
      <c r="G12" s="6"/>
      <c r="H12" s="210"/>
      <c r="I12" s="349"/>
    </row>
    <row r="13" spans="1:9" s="134" customFormat="1">
      <c r="A13" s="352"/>
      <c r="B13" s="355"/>
      <c r="C13" s="150">
        <v>44203</v>
      </c>
      <c r="D13" s="233" t="str">
        <f t="shared" si="0"/>
        <v>jueves</v>
      </c>
      <c r="E13" s="9" t="s">
        <v>185</v>
      </c>
      <c r="F13" s="6" t="s">
        <v>186</v>
      </c>
      <c r="G13" s="6"/>
      <c r="H13" s="210"/>
      <c r="I13" s="349"/>
    </row>
    <row r="14" spans="1:9" s="134" customFormat="1">
      <c r="A14" s="352"/>
      <c r="B14" s="355"/>
      <c r="C14" s="150">
        <v>44934</v>
      </c>
      <c r="D14" s="233" t="str">
        <f t="shared" si="0"/>
        <v>domingo</v>
      </c>
      <c r="E14" s="9" t="s">
        <v>187</v>
      </c>
      <c r="F14" s="6" t="s">
        <v>188</v>
      </c>
      <c r="G14" s="6"/>
      <c r="H14" s="210"/>
      <c r="I14" s="349"/>
    </row>
    <row r="15" spans="1:9" s="134" customFormat="1">
      <c r="A15" s="352"/>
      <c r="B15" s="355"/>
      <c r="C15" s="150">
        <v>44940</v>
      </c>
      <c r="D15" s="233" t="str">
        <f t="shared" si="0"/>
        <v>sábado</v>
      </c>
      <c r="E15" s="9" t="s">
        <v>187</v>
      </c>
      <c r="F15" s="6" t="s">
        <v>189</v>
      </c>
      <c r="G15" s="6"/>
      <c r="H15" s="210"/>
      <c r="I15" s="349"/>
    </row>
    <row r="16" spans="1:9" s="134" customFormat="1">
      <c r="A16" s="352"/>
      <c r="B16" s="355"/>
      <c r="C16" s="150">
        <v>44581</v>
      </c>
      <c r="D16" s="233" t="str">
        <f t="shared" si="0"/>
        <v>jueves</v>
      </c>
      <c r="E16" s="9" t="s">
        <v>206</v>
      </c>
      <c r="F16" s="6" t="s">
        <v>207</v>
      </c>
      <c r="G16" s="6"/>
      <c r="H16" s="210"/>
      <c r="I16" s="349"/>
    </row>
    <row r="17" spans="1:9" s="134" customFormat="1">
      <c r="A17" s="352"/>
      <c r="B17" s="355"/>
      <c r="C17" s="150">
        <v>44585</v>
      </c>
      <c r="D17" s="233" t="str">
        <f t="shared" si="0"/>
        <v>lunes</v>
      </c>
      <c r="E17" s="9" t="s">
        <v>208</v>
      </c>
      <c r="F17" s="6" t="s">
        <v>209</v>
      </c>
      <c r="G17" s="6"/>
      <c r="H17" s="210"/>
      <c r="I17" s="349"/>
    </row>
    <row r="18" spans="1:9" s="134" customFormat="1">
      <c r="A18" s="352"/>
      <c r="B18" s="355"/>
      <c r="C18" s="150">
        <v>44588</v>
      </c>
      <c r="D18" s="233" t="str">
        <f t="shared" si="0"/>
        <v>jueves</v>
      </c>
      <c r="E18" s="9" t="s">
        <v>210</v>
      </c>
      <c r="F18" s="6" t="s">
        <v>209</v>
      </c>
      <c r="G18" s="6"/>
      <c r="H18" s="210"/>
      <c r="I18" s="349"/>
    </row>
    <row r="19" spans="1:9" s="134" customFormat="1">
      <c r="A19" s="352"/>
      <c r="B19" s="355"/>
      <c r="C19" s="150">
        <v>44995</v>
      </c>
      <c r="D19" s="233" t="str">
        <f t="shared" si="0"/>
        <v>viernes</v>
      </c>
      <c r="E19" s="9" t="s">
        <v>244</v>
      </c>
      <c r="F19" s="6" t="s">
        <v>150</v>
      </c>
      <c r="G19" s="6"/>
      <c r="H19" s="210"/>
      <c r="I19" s="349"/>
    </row>
    <row r="20" spans="1:9" s="134" customFormat="1">
      <c r="A20" s="352"/>
      <c r="B20" s="355"/>
      <c r="C20" s="150">
        <v>45005</v>
      </c>
      <c r="D20" s="233" t="str">
        <f t="shared" si="0"/>
        <v>lunes</v>
      </c>
      <c r="E20" s="9" t="s">
        <v>150</v>
      </c>
      <c r="F20" s="6" t="s">
        <v>245</v>
      </c>
      <c r="G20" s="6"/>
      <c r="H20" s="210"/>
      <c r="I20" s="349"/>
    </row>
    <row r="21" spans="1:9" s="134" customFormat="1">
      <c r="A21" s="352"/>
      <c r="B21" s="355"/>
      <c r="C21" s="150">
        <v>45006</v>
      </c>
      <c r="D21" s="233" t="str">
        <f t="shared" si="0"/>
        <v>martes</v>
      </c>
      <c r="E21" s="9" t="s">
        <v>246</v>
      </c>
      <c r="F21" s="6" t="s">
        <v>150</v>
      </c>
      <c r="G21" s="6"/>
      <c r="H21" s="210"/>
      <c r="I21" s="349"/>
    </row>
    <row r="22" spans="1:9" s="134" customFormat="1">
      <c r="A22" s="352"/>
      <c r="B22" s="355"/>
      <c r="C22" s="150"/>
      <c r="D22" s="233"/>
      <c r="E22" s="9"/>
      <c r="F22" s="6"/>
      <c r="G22" s="6"/>
      <c r="H22" s="210"/>
      <c r="I22" s="349"/>
    </row>
    <row r="23" spans="1:9" s="134" customFormat="1">
      <c r="A23" s="352"/>
      <c r="B23" s="355"/>
      <c r="C23" s="150"/>
      <c r="D23" s="233"/>
      <c r="E23" s="9"/>
      <c r="F23" s="6"/>
      <c r="G23" s="6"/>
      <c r="H23" s="210"/>
      <c r="I23" s="349"/>
    </row>
    <row r="24" spans="1:9" s="134" customFormat="1">
      <c r="A24" s="353"/>
      <c r="B24" s="356"/>
      <c r="C24" s="150"/>
      <c r="D24" s="233"/>
      <c r="E24" s="9"/>
      <c r="F24" s="6"/>
      <c r="G24" s="6"/>
      <c r="H24" s="210"/>
      <c r="I24" s="350"/>
    </row>
    <row r="25" spans="1:9" s="134" customFormat="1">
      <c r="A25" s="351">
        <v>2</v>
      </c>
      <c r="B25" s="354" t="s">
        <v>191</v>
      </c>
      <c r="C25" s="150">
        <v>44547</v>
      </c>
      <c r="D25" s="233" t="str">
        <f t="shared" ref="D25:D30" si="1">TEXT(C25,"DDDD")</f>
        <v>viernes</v>
      </c>
      <c r="E25" s="9" t="s">
        <v>192</v>
      </c>
      <c r="F25" s="6" t="s">
        <v>150</v>
      </c>
      <c r="G25" s="6"/>
      <c r="H25" s="210"/>
      <c r="I25" s="348" t="s">
        <v>253</v>
      </c>
    </row>
    <row r="26" spans="1:9" s="134" customFormat="1">
      <c r="A26" s="352"/>
      <c r="B26" s="355"/>
      <c r="C26" s="150">
        <v>44566</v>
      </c>
      <c r="D26" s="233" t="str">
        <f t="shared" si="1"/>
        <v>miércoles</v>
      </c>
      <c r="E26" s="9" t="s">
        <v>211</v>
      </c>
      <c r="F26" s="6" t="s">
        <v>212</v>
      </c>
      <c r="G26" s="6"/>
      <c r="H26" s="210"/>
      <c r="I26" s="349"/>
    </row>
    <row r="27" spans="1:9">
      <c r="A27" s="352"/>
      <c r="B27" s="355"/>
      <c r="C27" s="150">
        <v>44572</v>
      </c>
      <c r="D27" s="233" t="str">
        <f t="shared" si="1"/>
        <v>martes</v>
      </c>
      <c r="E27" s="9" t="s">
        <v>178</v>
      </c>
      <c r="F27" s="6" t="s">
        <v>213</v>
      </c>
      <c r="G27" s="6"/>
      <c r="H27" s="210"/>
      <c r="I27" s="349"/>
    </row>
    <row r="28" spans="1:9" s="134" customFormat="1">
      <c r="A28" s="352"/>
      <c r="B28" s="355"/>
      <c r="C28" s="150">
        <v>44585</v>
      </c>
      <c r="D28" s="233" t="str">
        <f t="shared" si="1"/>
        <v>lunes</v>
      </c>
      <c r="E28" s="9" t="s">
        <v>215</v>
      </c>
      <c r="F28" s="6" t="s">
        <v>214</v>
      </c>
      <c r="G28" s="6"/>
      <c r="H28" s="210"/>
      <c r="I28" s="349"/>
    </row>
    <row r="29" spans="1:9" s="134" customFormat="1">
      <c r="A29" s="352"/>
      <c r="B29" s="355"/>
      <c r="C29" s="150">
        <v>44588</v>
      </c>
      <c r="D29" s="233" t="str">
        <f t="shared" si="1"/>
        <v>jueves</v>
      </c>
      <c r="E29" s="9" t="s">
        <v>216</v>
      </c>
      <c r="F29" s="6" t="s">
        <v>214</v>
      </c>
      <c r="G29" s="6"/>
      <c r="H29" s="210"/>
      <c r="I29" s="349"/>
    </row>
    <row r="30" spans="1:9" s="134" customFormat="1">
      <c r="A30" s="352"/>
      <c r="B30" s="355"/>
      <c r="C30" s="150">
        <v>44986</v>
      </c>
      <c r="D30" s="233" t="str">
        <f t="shared" si="1"/>
        <v>miércoles</v>
      </c>
      <c r="E30" s="9" t="s">
        <v>247</v>
      </c>
      <c r="F30" s="6" t="s">
        <v>248</v>
      </c>
      <c r="G30" s="6"/>
      <c r="H30" s="210"/>
      <c r="I30" s="349"/>
    </row>
    <row r="31" spans="1:9" s="134" customFormat="1">
      <c r="A31" s="352"/>
      <c r="B31" s="355"/>
      <c r="C31" s="8"/>
      <c r="D31" s="233"/>
      <c r="E31" s="9"/>
      <c r="F31" s="6"/>
      <c r="G31" s="6"/>
      <c r="H31" s="210"/>
      <c r="I31" s="349"/>
    </row>
    <row r="32" spans="1:9">
      <c r="A32" s="352"/>
      <c r="B32" s="355"/>
      <c r="C32" s="5"/>
      <c r="D32" s="5"/>
      <c r="E32" s="6"/>
      <c r="F32" s="6"/>
      <c r="G32" s="6"/>
      <c r="H32" s="210"/>
      <c r="I32" s="349"/>
    </row>
    <row r="33" spans="1:9" s="134" customFormat="1">
      <c r="A33" s="353"/>
      <c r="B33" s="356"/>
      <c r="C33" s="8"/>
      <c r="D33" s="8"/>
      <c r="E33" s="9"/>
      <c r="F33" s="6"/>
      <c r="G33" s="6"/>
      <c r="H33" s="210"/>
      <c r="I33" s="350"/>
    </row>
    <row r="34" spans="1:9" ht="15" customHeight="1">
      <c r="A34" s="354">
        <v>3</v>
      </c>
      <c r="B34" s="354" t="s">
        <v>193</v>
      </c>
      <c r="C34" s="150">
        <v>44536</v>
      </c>
      <c r="D34" s="233" t="str">
        <f t="shared" ref="D34:D51" si="2">TEXT(C34,"DDDD")</f>
        <v>lunes</v>
      </c>
      <c r="E34" s="236" t="s">
        <v>195</v>
      </c>
      <c r="F34" s="6" t="s">
        <v>150</v>
      </c>
      <c r="G34" s="6"/>
      <c r="H34" s="210"/>
      <c r="I34" s="348" t="s">
        <v>253</v>
      </c>
    </row>
    <row r="35" spans="1:9">
      <c r="A35" s="355"/>
      <c r="B35" s="355"/>
      <c r="C35" s="237">
        <v>44539</v>
      </c>
      <c r="D35" s="233" t="str">
        <f t="shared" si="2"/>
        <v>jueves</v>
      </c>
      <c r="E35" s="6" t="s">
        <v>196</v>
      </c>
      <c r="F35" s="6" t="s">
        <v>197</v>
      </c>
      <c r="G35" s="6"/>
      <c r="H35" s="210"/>
      <c r="I35" s="349"/>
    </row>
    <row r="36" spans="1:9">
      <c r="A36" s="355"/>
      <c r="B36" s="355"/>
      <c r="C36" s="150">
        <v>44544</v>
      </c>
      <c r="D36" s="233" t="str">
        <f t="shared" si="2"/>
        <v>martes</v>
      </c>
      <c r="E36" s="9" t="s">
        <v>195</v>
      </c>
      <c r="F36" s="6" t="s">
        <v>198</v>
      </c>
      <c r="G36" s="6"/>
      <c r="H36" s="210"/>
      <c r="I36" s="349"/>
    </row>
    <row r="37" spans="1:9" s="134" customFormat="1">
      <c r="A37" s="355"/>
      <c r="B37" s="355"/>
      <c r="C37" s="150">
        <v>44545</v>
      </c>
      <c r="D37" s="233" t="str">
        <f t="shared" si="2"/>
        <v>miércoles</v>
      </c>
      <c r="E37" s="9" t="s">
        <v>199</v>
      </c>
      <c r="F37" s="6" t="s">
        <v>200</v>
      </c>
      <c r="G37" s="6"/>
      <c r="H37" s="210"/>
      <c r="I37" s="349"/>
    </row>
    <row r="38" spans="1:9" s="134" customFormat="1">
      <c r="A38" s="355"/>
      <c r="B38" s="355"/>
      <c r="C38" s="150">
        <v>44565</v>
      </c>
      <c r="D38" s="233" t="str">
        <f t="shared" si="2"/>
        <v>martes</v>
      </c>
      <c r="E38" s="9" t="s">
        <v>217</v>
      </c>
      <c r="F38" s="6" t="s">
        <v>218</v>
      </c>
      <c r="G38" s="6"/>
      <c r="H38" s="210"/>
      <c r="I38" s="349"/>
    </row>
    <row r="39" spans="1:9" s="134" customFormat="1">
      <c r="A39" s="355"/>
      <c r="B39" s="355"/>
      <c r="C39" s="150">
        <v>44566</v>
      </c>
      <c r="D39" s="233" t="str">
        <f t="shared" si="2"/>
        <v>miércoles</v>
      </c>
      <c r="E39" s="9" t="s">
        <v>215</v>
      </c>
      <c r="F39" s="6" t="s">
        <v>219</v>
      </c>
      <c r="G39" s="6"/>
      <c r="H39" s="210"/>
      <c r="I39" s="349"/>
    </row>
    <row r="40" spans="1:9" s="134" customFormat="1">
      <c r="A40" s="355"/>
      <c r="B40" s="355"/>
      <c r="C40" s="150">
        <v>44567</v>
      </c>
      <c r="D40" s="233" t="str">
        <f t="shared" si="2"/>
        <v>jueves</v>
      </c>
      <c r="E40" s="9" t="s">
        <v>220</v>
      </c>
      <c r="F40" s="6" t="s">
        <v>221</v>
      </c>
      <c r="G40" s="6"/>
      <c r="H40" s="210"/>
      <c r="I40" s="349"/>
    </row>
    <row r="41" spans="1:9" s="134" customFormat="1">
      <c r="A41" s="355"/>
      <c r="B41" s="355"/>
      <c r="C41" s="150">
        <v>44572</v>
      </c>
      <c r="D41" s="233" t="str">
        <f t="shared" si="2"/>
        <v>martes</v>
      </c>
      <c r="E41" s="9" t="s">
        <v>208</v>
      </c>
      <c r="F41" s="6" t="s">
        <v>222</v>
      </c>
      <c r="G41" s="6"/>
      <c r="H41" s="210"/>
      <c r="I41" s="349"/>
    </row>
    <row r="42" spans="1:9" s="134" customFormat="1">
      <c r="A42" s="355"/>
      <c r="B42" s="355"/>
      <c r="C42" s="150">
        <v>44575</v>
      </c>
      <c r="D42" s="233" t="str">
        <f t="shared" si="2"/>
        <v>viernes</v>
      </c>
      <c r="E42" s="9" t="s">
        <v>220</v>
      </c>
      <c r="F42" s="6" t="s">
        <v>223</v>
      </c>
      <c r="G42" s="6"/>
      <c r="H42" s="210"/>
      <c r="I42" s="349"/>
    </row>
    <row r="43" spans="1:9">
      <c r="A43" s="355"/>
      <c r="B43" s="355"/>
      <c r="C43" s="237">
        <v>44578</v>
      </c>
      <c r="D43" s="5" t="str">
        <f t="shared" si="2"/>
        <v>lunes</v>
      </c>
      <c r="E43" s="6" t="s">
        <v>224</v>
      </c>
      <c r="F43" s="6" t="s">
        <v>225</v>
      </c>
      <c r="G43" s="6"/>
      <c r="H43" s="210"/>
      <c r="I43" s="349"/>
    </row>
    <row r="44" spans="1:9" s="134" customFormat="1">
      <c r="A44" s="355"/>
      <c r="B44" s="355"/>
      <c r="C44" s="150">
        <v>44580</v>
      </c>
      <c r="D44" s="8" t="str">
        <f t="shared" si="2"/>
        <v>miércoles</v>
      </c>
      <c r="E44" s="9" t="s">
        <v>226</v>
      </c>
      <c r="F44" s="6" t="s">
        <v>227</v>
      </c>
      <c r="G44" s="6"/>
      <c r="H44" s="210"/>
      <c r="I44" s="349"/>
    </row>
    <row r="45" spans="1:9" s="134" customFormat="1">
      <c r="A45" s="355"/>
      <c r="B45" s="355"/>
      <c r="C45" s="150">
        <v>44585</v>
      </c>
      <c r="D45" s="8" t="str">
        <f t="shared" si="2"/>
        <v>lunes</v>
      </c>
      <c r="E45" s="9" t="s">
        <v>215</v>
      </c>
      <c r="F45" s="6" t="s">
        <v>228</v>
      </c>
      <c r="G45" s="6"/>
      <c r="H45" s="210"/>
      <c r="I45" s="349"/>
    </row>
    <row r="46" spans="1:9" s="134" customFormat="1">
      <c r="A46" s="355"/>
      <c r="B46" s="355"/>
      <c r="C46" s="150">
        <v>44951</v>
      </c>
      <c r="D46" s="8" t="str">
        <f t="shared" si="2"/>
        <v>miércoles</v>
      </c>
      <c r="E46" s="9" t="s">
        <v>229</v>
      </c>
      <c r="F46" s="6" t="s">
        <v>230</v>
      </c>
      <c r="G46" s="6"/>
      <c r="H46" s="210"/>
      <c r="I46" s="349"/>
    </row>
    <row r="47" spans="1:9">
      <c r="A47" s="355"/>
      <c r="B47" s="355"/>
      <c r="C47" s="150">
        <v>44592</v>
      </c>
      <c r="D47" s="8" t="str">
        <f t="shared" si="2"/>
        <v>lunes</v>
      </c>
      <c r="E47" s="9" t="s">
        <v>229</v>
      </c>
      <c r="F47" s="6" t="s">
        <v>231</v>
      </c>
      <c r="G47" s="6"/>
      <c r="H47" s="210"/>
      <c r="I47" s="349"/>
    </row>
    <row r="48" spans="1:9" s="134" customFormat="1">
      <c r="A48" s="355"/>
      <c r="B48" s="355"/>
      <c r="C48" s="150">
        <v>45001</v>
      </c>
      <c r="D48" s="8" t="str">
        <f t="shared" si="2"/>
        <v>jueves</v>
      </c>
      <c r="E48" s="9" t="s">
        <v>195</v>
      </c>
      <c r="F48" s="6" t="s">
        <v>249</v>
      </c>
      <c r="G48" s="6"/>
      <c r="H48" s="210"/>
      <c r="I48" s="349"/>
    </row>
    <row r="49" spans="1:9" s="134" customFormat="1">
      <c r="A49" s="355"/>
      <c r="B49" s="355"/>
      <c r="C49" s="150">
        <v>45000</v>
      </c>
      <c r="D49" s="8" t="str">
        <f t="shared" si="2"/>
        <v>miércoles</v>
      </c>
      <c r="E49" s="9" t="s">
        <v>195</v>
      </c>
      <c r="F49" s="6" t="s">
        <v>250</v>
      </c>
      <c r="G49" s="6"/>
      <c r="H49" s="210"/>
      <c r="I49" s="349"/>
    </row>
    <row r="50" spans="1:9" s="134" customFormat="1">
      <c r="A50" s="355"/>
      <c r="B50" s="355"/>
      <c r="C50" s="150">
        <v>45009</v>
      </c>
      <c r="D50" s="8" t="str">
        <f t="shared" si="2"/>
        <v>viernes</v>
      </c>
      <c r="E50" s="9" t="s">
        <v>242</v>
      </c>
      <c r="F50" s="6" t="s">
        <v>243</v>
      </c>
      <c r="G50" s="6"/>
      <c r="H50" s="210"/>
      <c r="I50" s="349"/>
    </row>
    <row r="51" spans="1:9" s="134" customFormat="1">
      <c r="A51" s="356"/>
      <c r="B51" s="356"/>
      <c r="C51" s="150">
        <v>45016</v>
      </c>
      <c r="D51" s="8" t="str">
        <f t="shared" si="2"/>
        <v>viernes</v>
      </c>
      <c r="E51" s="9" t="s">
        <v>195</v>
      </c>
      <c r="F51" s="6" t="s">
        <v>251</v>
      </c>
      <c r="G51" s="6"/>
      <c r="H51" s="210"/>
      <c r="I51" s="350"/>
    </row>
    <row r="52" spans="1:9" s="134" customFormat="1">
      <c r="A52" s="351">
        <v>4</v>
      </c>
      <c r="B52" s="354" t="s">
        <v>201</v>
      </c>
      <c r="C52" s="150">
        <v>44553</v>
      </c>
      <c r="D52" s="233" t="str">
        <f t="shared" ref="D52:D59" si="3">TEXT(C52,"DDDD")</f>
        <v>jueves</v>
      </c>
      <c r="E52" s="9" t="s">
        <v>150</v>
      </c>
      <c r="F52" s="6" t="s">
        <v>202</v>
      </c>
      <c r="G52" s="6"/>
      <c r="H52" s="210"/>
      <c r="I52" s="348" t="s">
        <v>253</v>
      </c>
    </row>
    <row r="53" spans="1:9" s="134" customFormat="1">
      <c r="A53" s="352"/>
      <c r="B53" s="355"/>
      <c r="C53" s="150">
        <v>44532</v>
      </c>
      <c r="D53" s="233" t="str">
        <f t="shared" si="3"/>
        <v>jueves</v>
      </c>
      <c r="E53" s="9"/>
      <c r="F53" s="6"/>
      <c r="G53" s="6"/>
      <c r="H53" s="210"/>
      <c r="I53" s="349"/>
    </row>
    <row r="54" spans="1:9" s="134" customFormat="1">
      <c r="A54" s="352"/>
      <c r="B54" s="355"/>
      <c r="C54" s="150">
        <v>44565</v>
      </c>
      <c r="D54" s="8" t="str">
        <f t="shared" si="3"/>
        <v>martes</v>
      </c>
      <c r="E54" s="9" t="s">
        <v>232</v>
      </c>
      <c r="F54" s="6" t="s">
        <v>233</v>
      </c>
      <c r="G54" s="6"/>
      <c r="H54" s="210"/>
      <c r="I54" s="349"/>
    </row>
    <row r="55" spans="1:9" s="134" customFormat="1">
      <c r="A55" s="352"/>
      <c r="B55" s="355"/>
      <c r="C55" s="150">
        <v>44572</v>
      </c>
      <c r="D55" s="8" t="str">
        <f t="shared" si="3"/>
        <v>martes</v>
      </c>
      <c r="E55" s="9" t="s">
        <v>216</v>
      </c>
      <c r="F55" s="6" t="s">
        <v>234</v>
      </c>
      <c r="G55" s="6"/>
      <c r="H55" s="210"/>
      <c r="I55" s="349"/>
    </row>
    <row r="56" spans="1:9" s="134" customFormat="1">
      <c r="A56" s="352"/>
      <c r="B56" s="355"/>
      <c r="C56" s="150">
        <v>44575</v>
      </c>
      <c r="D56" s="8" t="str">
        <f t="shared" si="3"/>
        <v>viernes</v>
      </c>
      <c r="E56" s="9" t="s">
        <v>210</v>
      </c>
      <c r="F56" s="6" t="s">
        <v>150</v>
      </c>
      <c r="G56" s="6"/>
      <c r="H56" s="210"/>
      <c r="I56" s="349"/>
    </row>
    <row r="57" spans="1:9" s="134" customFormat="1">
      <c r="A57" s="352"/>
      <c r="B57" s="355"/>
      <c r="C57" s="150">
        <v>44585</v>
      </c>
      <c r="D57" s="8" t="str">
        <f t="shared" si="3"/>
        <v>lunes</v>
      </c>
      <c r="E57" s="9" t="s">
        <v>178</v>
      </c>
      <c r="F57" s="6" t="s">
        <v>235</v>
      </c>
      <c r="G57" s="6"/>
      <c r="H57" s="210"/>
      <c r="I57" s="349"/>
    </row>
    <row r="58" spans="1:9" s="134" customFormat="1">
      <c r="A58" s="352"/>
      <c r="B58" s="355"/>
      <c r="C58" s="150">
        <v>44588</v>
      </c>
      <c r="D58" s="8" t="str">
        <f t="shared" si="3"/>
        <v>jueves</v>
      </c>
      <c r="E58" s="9" t="s">
        <v>236</v>
      </c>
      <c r="F58" s="6" t="s">
        <v>214</v>
      </c>
      <c r="G58" s="6"/>
      <c r="H58" s="210"/>
      <c r="I58" s="349"/>
    </row>
    <row r="59" spans="1:9" s="134" customFormat="1">
      <c r="A59" s="352"/>
      <c r="B59" s="355"/>
      <c r="C59" s="150">
        <v>44988</v>
      </c>
      <c r="D59" s="8" t="str">
        <f t="shared" si="3"/>
        <v>viernes</v>
      </c>
      <c r="E59" s="9" t="s">
        <v>252</v>
      </c>
      <c r="F59" s="6" t="s">
        <v>150</v>
      </c>
      <c r="G59" s="6"/>
      <c r="H59" s="210"/>
      <c r="I59" s="350"/>
    </row>
    <row r="60" spans="1:9" s="134" customFormat="1">
      <c r="A60" s="351">
        <v>5</v>
      </c>
      <c r="B60" s="354" t="s">
        <v>205</v>
      </c>
      <c r="C60" s="150">
        <v>44532</v>
      </c>
      <c r="D60" s="233" t="str">
        <f t="shared" ref="D60:D64" si="4">TEXT(C60,"DDDD")</f>
        <v>jueves</v>
      </c>
      <c r="E60" s="9" t="s">
        <v>203</v>
      </c>
      <c r="F60" s="6" t="s">
        <v>204</v>
      </c>
      <c r="G60" s="6"/>
      <c r="H60" s="210"/>
      <c r="I60" s="348" t="s">
        <v>253</v>
      </c>
    </row>
    <row r="61" spans="1:9">
      <c r="A61" s="352"/>
      <c r="B61" s="355"/>
      <c r="C61" s="237">
        <v>44580</v>
      </c>
      <c r="D61" s="233" t="str">
        <f t="shared" si="4"/>
        <v>miércoles</v>
      </c>
      <c r="E61" s="6" t="s">
        <v>195</v>
      </c>
      <c r="F61" s="6" t="s">
        <v>237</v>
      </c>
      <c r="G61" s="6"/>
      <c r="H61" s="210"/>
      <c r="I61" s="349"/>
    </row>
    <row r="62" spans="1:9" s="134" customFormat="1">
      <c r="A62" s="352"/>
      <c r="B62" s="355"/>
      <c r="C62" s="150">
        <v>44585</v>
      </c>
      <c r="D62" s="233" t="str">
        <f t="shared" si="4"/>
        <v>lunes</v>
      </c>
      <c r="E62" s="9" t="s">
        <v>238</v>
      </c>
      <c r="F62" s="6" t="s">
        <v>239</v>
      </c>
      <c r="G62" s="6"/>
      <c r="H62" s="210"/>
      <c r="I62" s="349"/>
    </row>
    <row r="63" spans="1:9" s="134" customFormat="1">
      <c r="A63" s="352"/>
      <c r="B63" s="355"/>
      <c r="C63" s="150">
        <v>44588</v>
      </c>
      <c r="D63" s="233" t="str">
        <f t="shared" si="4"/>
        <v>jueves</v>
      </c>
      <c r="E63" s="9" t="s">
        <v>240</v>
      </c>
      <c r="F63" s="6" t="s">
        <v>241</v>
      </c>
      <c r="G63" s="6"/>
      <c r="H63" s="210"/>
      <c r="I63" s="349"/>
    </row>
    <row r="64" spans="1:9" s="134" customFormat="1">
      <c r="A64" s="352"/>
      <c r="B64" s="355"/>
      <c r="C64" s="150">
        <v>44589</v>
      </c>
      <c r="D64" s="233" t="str">
        <f t="shared" si="4"/>
        <v>viernes</v>
      </c>
      <c r="E64" s="9" t="s">
        <v>242</v>
      </c>
      <c r="F64" s="6" t="s">
        <v>243</v>
      </c>
      <c r="G64" s="6"/>
      <c r="H64" s="210"/>
      <c r="I64" s="349"/>
    </row>
    <row r="65" spans="1:9" s="134" customFormat="1">
      <c r="A65" s="352"/>
      <c r="B65" s="355"/>
      <c r="C65" s="150"/>
      <c r="D65" s="233"/>
      <c r="E65" s="9"/>
      <c r="F65" s="6"/>
      <c r="G65" s="6"/>
      <c r="H65" s="210"/>
      <c r="I65" s="349"/>
    </row>
    <row r="66" spans="1:9" s="134" customFormat="1">
      <c r="A66" s="352"/>
      <c r="B66" s="355"/>
      <c r="C66" s="150"/>
      <c r="D66" s="233"/>
      <c r="E66" s="9"/>
      <c r="F66" s="6"/>
      <c r="G66" s="6"/>
      <c r="H66" s="210"/>
      <c r="I66" s="349"/>
    </row>
    <row r="67" spans="1:9" s="134" customFormat="1">
      <c r="A67" s="352"/>
      <c r="B67" s="355"/>
      <c r="C67" s="150"/>
      <c r="D67" s="233"/>
      <c r="E67" s="9"/>
      <c r="F67" s="6"/>
      <c r="G67" s="6"/>
      <c r="H67" s="210"/>
      <c r="I67" s="349"/>
    </row>
    <row r="68" spans="1:9">
      <c r="A68" s="353"/>
      <c r="B68" s="356"/>
      <c r="C68" s="8"/>
      <c r="D68" s="8"/>
      <c r="E68" s="9"/>
      <c r="F68" s="6"/>
      <c r="G68" s="6"/>
      <c r="H68" s="210"/>
      <c r="I68" s="350"/>
    </row>
    <row r="69" spans="1:9">
      <c r="I69" s="235"/>
    </row>
    <row r="70" spans="1:9">
      <c r="A70" s="10" t="s">
        <v>11</v>
      </c>
      <c r="B70" s="11"/>
      <c r="C70" s="11"/>
      <c r="D70" s="11"/>
      <c r="E70" s="11"/>
      <c r="F70" s="11"/>
      <c r="G70" s="11"/>
      <c r="H70" s="11"/>
      <c r="I70" s="12"/>
    </row>
    <row r="71" spans="1:9">
      <c r="A71" s="13"/>
      <c r="B71" s="14"/>
      <c r="C71" s="14"/>
      <c r="D71" s="14"/>
      <c r="E71" s="14"/>
      <c r="F71" s="14"/>
      <c r="G71" s="14"/>
      <c r="H71" s="14"/>
      <c r="I71" s="15"/>
    </row>
    <row r="72" spans="1:9">
      <c r="A72" s="13"/>
      <c r="B72" s="14"/>
      <c r="C72" s="14"/>
      <c r="D72" s="14"/>
      <c r="E72" s="14"/>
      <c r="F72" s="14"/>
      <c r="G72" s="14"/>
      <c r="H72" s="14"/>
      <c r="I72" s="15"/>
    </row>
    <row r="73" spans="1:9">
      <c r="A73" s="13"/>
      <c r="B73" s="14"/>
      <c r="C73" s="14"/>
      <c r="D73" s="14"/>
      <c r="E73" s="14"/>
      <c r="F73" s="14"/>
      <c r="G73" s="14"/>
      <c r="H73" s="14"/>
      <c r="I73" s="15"/>
    </row>
    <row r="74" spans="1:9">
      <c r="A74" s="13"/>
      <c r="B74" s="14" t="s">
        <v>80</v>
      </c>
      <c r="C74" s="14"/>
      <c r="D74" s="14"/>
      <c r="E74" s="14"/>
      <c r="F74" s="14"/>
      <c r="G74" s="14"/>
      <c r="H74" s="14"/>
      <c r="I74" s="15"/>
    </row>
    <row r="75" spans="1:9">
      <c r="A75" s="13"/>
      <c r="B75" s="14"/>
      <c r="C75" s="14"/>
      <c r="D75" s="14"/>
      <c r="E75" s="14"/>
      <c r="F75" s="14"/>
      <c r="G75" s="14"/>
      <c r="H75" s="14"/>
      <c r="I75" s="15"/>
    </row>
    <row r="76" spans="1:9">
      <c r="A76" s="16"/>
      <c r="B76" s="17"/>
      <c r="C76" s="17"/>
      <c r="D76" s="17"/>
      <c r="E76" s="17"/>
      <c r="F76" s="17"/>
      <c r="G76" s="17"/>
      <c r="H76" s="17"/>
      <c r="I76" s="18"/>
    </row>
    <row r="78" spans="1:9" ht="15.75" thickBot="1"/>
    <row r="79" spans="1:9">
      <c r="D79" s="282" t="s">
        <v>156</v>
      </c>
      <c r="E79" s="283"/>
      <c r="F79" s="284" t="s">
        <v>157</v>
      </c>
      <c r="G79" s="285"/>
    </row>
    <row r="80" spans="1:9" ht="15.75" thickBot="1">
      <c r="D80" s="288" t="s">
        <v>158</v>
      </c>
      <c r="E80" s="289"/>
      <c r="F80" s="286"/>
      <c r="G80" s="287"/>
    </row>
    <row r="81" spans="4:7">
      <c r="D81" s="262"/>
      <c r="E81" s="263"/>
      <c r="F81" s="266"/>
      <c r="G81" s="267"/>
    </row>
    <row r="82" spans="4:7">
      <c r="D82" s="264"/>
      <c r="E82" s="265"/>
      <c r="F82" s="268"/>
      <c r="G82" s="269"/>
    </row>
    <row r="83" spans="4:7">
      <c r="D83" s="264"/>
      <c r="E83" s="265"/>
      <c r="F83" s="268"/>
      <c r="G83" s="269"/>
    </row>
    <row r="84" spans="4:7">
      <c r="D84" s="264"/>
      <c r="E84" s="265"/>
      <c r="F84" s="268"/>
      <c r="G84" s="269"/>
    </row>
    <row r="85" spans="4:7">
      <c r="D85" s="264"/>
      <c r="E85" s="265"/>
      <c r="F85" s="268"/>
      <c r="G85" s="269"/>
    </row>
    <row r="86" spans="4:7">
      <c r="D86" s="264"/>
      <c r="E86" s="265"/>
      <c r="F86" s="268"/>
      <c r="G86" s="269"/>
    </row>
    <row r="87" spans="4:7">
      <c r="D87" s="270" t="s">
        <v>159</v>
      </c>
      <c r="E87" s="270"/>
      <c r="F87" s="271" t="s">
        <v>160</v>
      </c>
      <c r="G87" s="271"/>
    </row>
    <row r="88" spans="4:7" ht="33" customHeight="1" thickBot="1">
      <c r="D88" s="272" t="s">
        <v>161</v>
      </c>
      <c r="E88" s="273"/>
      <c r="F88" s="274" t="s">
        <v>162</v>
      </c>
      <c r="G88" s="275"/>
    </row>
  </sheetData>
  <mergeCells count="34">
    <mergeCell ref="E1:I2"/>
    <mergeCell ref="C4:I4"/>
    <mergeCell ref="D6:D7"/>
    <mergeCell ref="I6:I7"/>
    <mergeCell ref="A6:A7"/>
    <mergeCell ref="B6:B7"/>
    <mergeCell ref="C6:C7"/>
    <mergeCell ref="E6:F6"/>
    <mergeCell ref="G6:H6"/>
    <mergeCell ref="B8:B24"/>
    <mergeCell ref="A8:A24"/>
    <mergeCell ref="B34:B51"/>
    <mergeCell ref="A34:A51"/>
    <mergeCell ref="A1:C3"/>
    <mergeCell ref="A52:A59"/>
    <mergeCell ref="A60:A68"/>
    <mergeCell ref="B60:B68"/>
    <mergeCell ref="B52:B59"/>
    <mergeCell ref="A25:A33"/>
    <mergeCell ref="B25:B33"/>
    <mergeCell ref="I8:I24"/>
    <mergeCell ref="I25:I33"/>
    <mergeCell ref="I34:I51"/>
    <mergeCell ref="I52:I59"/>
    <mergeCell ref="I60:I68"/>
    <mergeCell ref="D87:E87"/>
    <mergeCell ref="F87:G87"/>
    <mergeCell ref="D88:E88"/>
    <mergeCell ref="F88:G88"/>
    <mergeCell ref="D79:E79"/>
    <mergeCell ref="F79:G80"/>
    <mergeCell ref="D80:E80"/>
    <mergeCell ref="D81:E86"/>
    <mergeCell ref="F81:G86"/>
  </mergeCells>
  <pageMargins left="0.7" right="0.7" top="0.75" bottom="0.75" header="0.3" footer="0.3"/>
  <pageSetup scale="65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abSelected="1" topLeftCell="A13" workbookViewId="0">
      <selection activeCell="B29" sqref="B29:B33"/>
    </sheetView>
  </sheetViews>
  <sheetFormatPr baseColWidth="10" defaultRowHeight="15"/>
  <cols>
    <col min="1" max="1" width="5.28515625" style="134" customWidth="1"/>
    <col min="2" max="2" width="23" style="134" customWidth="1"/>
    <col min="3" max="3" width="14.140625" style="134" customWidth="1"/>
    <col min="4" max="4" width="18.5703125" style="134" customWidth="1"/>
    <col min="5" max="5" width="11.42578125" style="134"/>
    <col min="6" max="6" width="19.140625" style="134" customWidth="1"/>
    <col min="7" max="8" width="11.42578125" style="134"/>
    <col min="9" max="9" width="32.42578125" style="134" customWidth="1"/>
    <col min="10" max="10" width="11.42578125" style="134"/>
    <col min="11" max="11" width="0" style="134" hidden="1" customWidth="1"/>
    <col min="12" max="16384" width="11.42578125" style="134"/>
  </cols>
  <sheetData>
    <row r="1" spans="1:11" s="158" customFormat="1">
      <c r="A1" s="357"/>
      <c r="B1" s="357"/>
      <c r="C1" s="357"/>
      <c r="D1" s="157"/>
      <c r="E1" s="358" t="s">
        <v>0</v>
      </c>
      <c r="F1" s="358"/>
      <c r="G1" s="358"/>
      <c r="H1" s="358"/>
      <c r="I1" s="358"/>
      <c r="K1" s="158" t="s">
        <v>70</v>
      </c>
    </row>
    <row r="2" spans="1:11" s="158" customFormat="1" ht="21" customHeight="1">
      <c r="A2" s="357"/>
      <c r="B2" s="357"/>
      <c r="C2" s="357"/>
      <c r="D2" s="157"/>
      <c r="E2" s="358"/>
      <c r="F2" s="358"/>
      <c r="G2" s="358"/>
      <c r="H2" s="358"/>
      <c r="I2" s="358"/>
      <c r="K2" s="158" t="s">
        <v>83</v>
      </c>
    </row>
    <row r="3" spans="1:11" s="158" customFormat="1">
      <c r="A3" s="357"/>
      <c r="B3" s="357"/>
      <c r="C3" s="357"/>
      <c r="D3" s="364" t="s">
        <v>116</v>
      </c>
      <c r="E3" s="364"/>
      <c r="F3" s="364"/>
      <c r="G3" s="364"/>
      <c r="H3" s="364"/>
      <c r="I3" s="163" t="s">
        <v>70</v>
      </c>
    </row>
    <row r="4" spans="1:11">
      <c r="A4" s="1" t="s">
        <v>1</v>
      </c>
      <c r="B4" s="2"/>
      <c r="C4" s="311" t="str">
        <f>'CONTROL DE VACACIONES'!C3:F3</f>
        <v xml:space="preserve">MINISTERIO DE SALUD PUBLICA COORDINACIÓN ZONA 7 SALUD </v>
      </c>
      <c r="D4" s="311"/>
      <c r="E4" s="311"/>
      <c r="F4" s="311"/>
      <c r="G4" s="311"/>
      <c r="H4" s="311"/>
      <c r="I4" s="311"/>
    </row>
    <row r="5" spans="1:11">
      <c r="A5" s="152" t="s">
        <v>2</v>
      </c>
      <c r="B5" s="2"/>
      <c r="C5" s="311" t="e">
        <f>'CONTROL DE VACACIONES'!#REF!</f>
        <v>#REF!</v>
      </c>
      <c r="D5" s="311"/>
      <c r="E5" s="311"/>
      <c r="F5" s="311"/>
      <c r="G5" s="311"/>
      <c r="H5" s="311"/>
      <c r="I5" s="311"/>
    </row>
    <row r="6" spans="1:11" s="158" customFormat="1"/>
    <row r="7" spans="1:11" ht="15" customHeight="1">
      <c r="A7" s="363" t="s">
        <v>258</v>
      </c>
      <c r="B7" s="363" t="s">
        <v>71</v>
      </c>
      <c r="C7" s="359" t="s">
        <v>78</v>
      </c>
      <c r="D7" s="359" t="s">
        <v>79</v>
      </c>
      <c r="E7" s="363" t="s">
        <v>4</v>
      </c>
      <c r="F7" s="363"/>
      <c r="G7" s="363" t="s">
        <v>5</v>
      </c>
      <c r="H7" s="363"/>
      <c r="I7" s="361" t="s">
        <v>6</v>
      </c>
    </row>
    <row r="8" spans="1:11">
      <c r="A8" s="363"/>
      <c r="B8" s="363"/>
      <c r="C8" s="360"/>
      <c r="D8" s="360"/>
      <c r="E8" s="153" t="s">
        <v>7</v>
      </c>
      <c r="F8" s="153" t="s">
        <v>8</v>
      </c>
      <c r="G8" s="153" t="s">
        <v>9</v>
      </c>
      <c r="H8" s="153" t="s">
        <v>10</v>
      </c>
      <c r="I8" s="362"/>
    </row>
    <row r="9" spans="1:11">
      <c r="A9" s="351">
        <v>1</v>
      </c>
      <c r="B9" s="354" t="s">
        <v>128</v>
      </c>
      <c r="C9" s="370">
        <v>44200</v>
      </c>
      <c r="D9" s="382" t="str">
        <f>TEXT(C9,"DDDD")</f>
        <v>lunes</v>
      </c>
      <c r="E9" s="385" t="s">
        <v>136</v>
      </c>
      <c r="F9" s="385" t="s">
        <v>137</v>
      </c>
      <c r="G9" s="385" t="s">
        <v>138</v>
      </c>
      <c r="H9" s="385" t="s">
        <v>139</v>
      </c>
      <c r="I9" s="348" t="s">
        <v>146</v>
      </c>
    </row>
    <row r="10" spans="1:11">
      <c r="A10" s="352"/>
      <c r="B10" s="355"/>
      <c r="C10" s="371"/>
      <c r="D10" s="383"/>
      <c r="E10" s="386"/>
      <c r="F10" s="386"/>
      <c r="G10" s="386"/>
      <c r="H10" s="386"/>
      <c r="I10" s="349"/>
    </row>
    <row r="11" spans="1:11">
      <c r="A11" s="352"/>
      <c r="B11" s="355"/>
      <c r="C11" s="371"/>
      <c r="D11" s="383"/>
      <c r="E11" s="386"/>
      <c r="F11" s="386"/>
      <c r="G11" s="386"/>
      <c r="H11" s="386"/>
      <c r="I11" s="349"/>
    </row>
    <row r="12" spans="1:11">
      <c r="A12" s="352"/>
      <c r="B12" s="355"/>
      <c r="C12" s="371"/>
      <c r="D12" s="383"/>
      <c r="E12" s="386"/>
      <c r="F12" s="386"/>
      <c r="G12" s="386"/>
      <c r="H12" s="386"/>
      <c r="I12" s="349"/>
    </row>
    <row r="13" spans="1:11">
      <c r="A13" s="353"/>
      <c r="B13" s="356"/>
      <c r="C13" s="372"/>
      <c r="D13" s="384"/>
      <c r="E13" s="387"/>
      <c r="F13" s="387"/>
      <c r="G13" s="387"/>
      <c r="H13" s="387"/>
      <c r="I13" s="349"/>
    </row>
    <row r="14" spans="1:11">
      <c r="A14" s="351">
        <v>2</v>
      </c>
      <c r="B14" s="354" t="s">
        <v>129</v>
      </c>
      <c r="C14" s="370" t="s">
        <v>140</v>
      </c>
      <c r="D14" s="376"/>
      <c r="E14" s="373" t="s">
        <v>136</v>
      </c>
      <c r="F14" s="373" t="s">
        <v>137</v>
      </c>
      <c r="G14" s="373" t="s">
        <v>138</v>
      </c>
      <c r="H14" s="373" t="s">
        <v>139</v>
      </c>
      <c r="I14" s="349"/>
    </row>
    <row r="15" spans="1:11">
      <c r="A15" s="352"/>
      <c r="B15" s="355"/>
      <c r="C15" s="371"/>
      <c r="D15" s="377"/>
      <c r="E15" s="374"/>
      <c r="F15" s="374"/>
      <c r="G15" s="374"/>
      <c r="H15" s="374"/>
      <c r="I15" s="349"/>
    </row>
    <row r="16" spans="1:11">
      <c r="A16" s="352"/>
      <c r="B16" s="355"/>
      <c r="C16" s="371"/>
      <c r="D16" s="377"/>
      <c r="E16" s="374"/>
      <c r="F16" s="374"/>
      <c r="G16" s="374"/>
      <c r="H16" s="374"/>
      <c r="I16" s="349"/>
    </row>
    <row r="17" spans="1:9">
      <c r="A17" s="352"/>
      <c r="B17" s="355"/>
      <c r="C17" s="371"/>
      <c r="D17" s="377"/>
      <c r="E17" s="374"/>
      <c r="F17" s="374"/>
      <c r="G17" s="374"/>
      <c r="H17" s="374"/>
      <c r="I17" s="349"/>
    </row>
    <row r="18" spans="1:9">
      <c r="A18" s="353"/>
      <c r="B18" s="356"/>
      <c r="C18" s="372"/>
      <c r="D18" s="378"/>
      <c r="E18" s="375"/>
      <c r="F18" s="375"/>
      <c r="G18" s="375"/>
      <c r="H18" s="375"/>
      <c r="I18" s="349"/>
    </row>
    <row r="19" spans="1:9">
      <c r="A19" s="351">
        <v>3</v>
      </c>
      <c r="B19" s="354" t="s">
        <v>130</v>
      </c>
      <c r="C19" s="367" t="s">
        <v>140</v>
      </c>
      <c r="D19" s="367"/>
      <c r="E19" s="373" t="s">
        <v>136</v>
      </c>
      <c r="F19" s="373" t="s">
        <v>137</v>
      </c>
      <c r="G19" s="373" t="s">
        <v>138</v>
      </c>
      <c r="H19" s="373" t="s">
        <v>139</v>
      </c>
      <c r="I19" s="349"/>
    </row>
    <row r="20" spans="1:9">
      <c r="A20" s="352"/>
      <c r="B20" s="355"/>
      <c r="C20" s="368"/>
      <c r="D20" s="368"/>
      <c r="E20" s="374"/>
      <c r="F20" s="374"/>
      <c r="G20" s="374"/>
      <c r="H20" s="374"/>
      <c r="I20" s="349"/>
    </row>
    <row r="21" spans="1:9">
      <c r="A21" s="352"/>
      <c r="B21" s="355"/>
      <c r="C21" s="368"/>
      <c r="D21" s="368"/>
      <c r="E21" s="374"/>
      <c r="F21" s="374"/>
      <c r="G21" s="374"/>
      <c r="H21" s="374"/>
      <c r="I21" s="349"/>
    </row>
    <row r="22" spans="1:9">
      <c r="A22" s="352"/>
      <c r="B22" s="355"/>
      <c r="C22" s="368"/>
      <c r="D22" s="368"/>
      <c r="E22" s="374"/>
      <c r="F22" s="374"/>
      <c r="G22" s="374"/>
      <c r="H22" s="374"/>
      <c r="I22" s="349"/>
    </row>
    <row r="23" spans="1:9">
      <c r="A23" s="353"/>
      <c r="B23" s="356"/>
      <c r="C23" s="369"/>
      <c r="D23" s="369"/>
      <c r="E23" s="375"/>
      <c r="F23" s="375"/>
      <c r="G23" s="375"/>
      <c r="H23" s="375"/>
      <c r="I23" s="349"/>
    </row>
    <row r="24" spans="1:9">
      <c r="A24" s="351">
        <v>4</v>
      </c>
      <c r="B24" s="354" t="s">
        <v>131</v>
      </c>
      <c r="C24" s="367" t="s">
        <v>141</v>
      </c>
      <c r="D24" s="367"/>
      <c r="E24" s="373" t="s">
        <v>136</v>
      </c>
      <c r="F24" s="373" t="s">
        <v>137</v>
      </c>
      <c r="G24" s="373" t="s">
        <v>138</v>
      </c>
      <c r="H24" s="373" t="s">
        <v>139</v>
      </c>
      <c r="I24" s="349"/>
    </row>
    <row r="25" spans="1:9">
      <c r="A25" s="352"/>
      <c r="B25" s="355"/>
      <c r="C25" s="368"/>
      <c r="D25" s="368"/>
      <c r="E25" s="374"/>
      <c r="F25" s="374"/>
      <c r="G25" s="374"/>
      <c r="H25" s="374"/>
      <c r="I25" s="349"/>
    </row>
    <row r="26" spans="1:9">
      <c r="A26" s="352"/>
      <c r="B26" s="355"/>
      <c r="C26" s="368"/>
      <c r="D26" s="368"/>
      <c r="E26" s="374"/>
      <c r="F26" s="374"/>
      <c r="G26" s="374"/>
      <c r="H26" s="374"/>
      <c r="I26" s="349"/>
    </row>
    <row r="27" spans="1:9">
      <c r="A27" s="352"/>
      <c r="B27" s="355"/>
      <c r="C27" s="368"/>
      <c r="D27" s="368"/>
      <c r="E27" s="374"/>
      <c r="F27" s="374"/>
      <c r="G27" s="374"/>
      <c r="H27" s="374"/>
      <c r="I27" s="349"/>
    </row>
    <row r="28" spans="1:9">
      <c r="A28" s="353"/>
      <c r="B28" s="356"/>
      <c r="C28" s="369"/>
      <c r="D28" s="369"/>
      <c r="E28" s="375"/>
      <c r="F28" s="375"/>
      <c r="G28" s="375"/>
      <c r="H28" s="375"/>
      <c r="I28" s="349"/>
    </row>
    <row r="29" spans="1:9" ht="18" customHeight="1">
      <c r="A29" s="366">
        <v>5</v>
      </c>
      <c r="B29" s="365" t="s">
        <v>132</v>
      </c>
      <c r="C29" s="367" t="s">
        <v>142</v>
      </c>
      <c r="D29" s="367"/>
      <c r="E29" s="373" t="s">
        <v>136</v>
      </c>
      <c r="F29" s="373" t="s">
        <v>137</v>
      </c>
      <c r="G29" s="373" t="s">
        <v>138</v>
      </c>
      <c r="H29" s="373" t="s">
        <v>139</v>
      </c>
      <c r="I29" s="349"/>
    </row>
    <row r="30" spans="1:9">
      <c r="A30" s="366"/>
      <c r="B30" s="365"/>
      <c r="C30" s="368"/>
      <c r="D30" s="368"/>
      <c r="E30" s="374"/>
      <c r="F30" s="374"/>
      <c r="G30" s="374"/>
      <c r="H30" s="374"/>
      <c r="I30" s="349"/>
    </row>
    <row r="31" spans="1:9">
      <c r="A31" s="366"/>
      <c r="B31" s="365"/>
      <c r="C31" s="368"/>
      <c r="D31" s="368"/>
      <c r="E31" s="374"/>
      <c r="F31" s="374"/>
      <c r="G31" s="374"/>
      <c r="H31" s="374"/>
      <c r="I31" s="349"/>
    </row>
    <row r="32" spans="1:9">
      <c r="A32" s="366"/>
      <c r="B32" s="365"/>
      <c r="C32" s="368"/>
      <c r="D32" s="368"/>
      <c r="E32" s="374"/>
      <c r="F32" s="374"/>
      <c r="G32" s="374"/>
      <c r="H32" s="374"/>
      <c r="I32" s="349"/>
    </row>
    <row r="33" spans="1:9">
      <c r="A33" s="366"/>
      <c r="B33" s="365"/>
      <c r="C33" s="369"/>
      <c r="D33" s="369"/>
      <c r="E33" s="375"/>
      <c r="F33" s="375"/>
      <c r="G33" s="375"/>
      <c r="H33" s="375"/>
      <c r="I33" s="349"/>
    </row>
    <row r="34" spans="1:9">
      <c r="A34" s="366">
        <v>6</v>
      </c>
      <c r="B34" s="354" t="s">
        <v>129</v>
      </c>
      <c r="C34" s="367" t="s">
        <v>140</v>
      </c>
      <c r="D34" s="367"/>
      <c r="E34" s="373" t="s">
        <v>136</v>
      </c>
      <c r="F34" s="373" t="s">
        <v>137</v>
      </c>
      <c r="G34" s="373" t="s">
        <v>138</v>
      </c>
      <c r="H34" s="373" t="s">
        <v>139</v>
      </c>
      <c r="I34" s="349"/>
    </row>
    <row r="35" spans="1:9">
      <c r="A35" s="366"/>
      <c r="B35" s="355"/>
      <c r="C35" s="368"/>
      <c r="D35" s="368"/>
      <c r="E35" s="374"/>
      <c r="F35" s="374"/>
      <c r="G35" s="374"/>
      <c r="H35" s="374"/>
      <c r="I35" s="349"/>
    </row>
    <row r="36" spans="1:9">
      <c r="A36" s="366"/>
      <c r="B36" s="355"/>
      <c r="C36" s="368"/>
      <c r="D36" s="368"/>
      <c r="E36" s="374"/>
      <c r="F36" s="374"/>
      <c r="G36" s="374"/>
      <c r="H36" s="374"/>
      <c r="I36" s="349"/>
    </row>
    <row r="37" spans="1:9">
      <c r="A37" s="366"/>
      <c r="B37" s="355"/>
      <c r="C37" s="368"/>
      <c r="D37" s="368"/>
      <c r="E37" s="374"/>
      <c r="F37" s="374"/>
      <c r="G37" s="374"/>
      <c r="H37" s="374"/>
      <c r="I37" s="349"/>
    </row>
    <row r="38" spans="1:9">
      <c r="A38" s="366"/>
      <c r="B38" s="356"/>
      <c r="C38" s="369"/>
      <c r="D38" s="369"/>
      <c r="E38" s="375"/>
      <c r="F38" s="375"/>
      <c r="G38" s="375"/>
      <c r="H38" s="375"/>
      <c r="I38" s="349"/>
    </row>
    <row r="39" spans="1:9">
      <c r="A39" s="351">
        <v>7</v>
      </c>
      <c r="B39" s="354" t="s">
        <v>133</v>
      </c>
      <c r="C39" s="367" t="s">
        <v>143</v>
      </c>
      <c r="D39" s="367"/>
      <c r="E39" s="373" t="s">
        <v>136</v>
      </c>
      <c r="F39" s="373" t="s">
        <v>137</v>
      </c>
      <c r="G39" s="373" t="s">
        <v>138</v>
      </c>
      <c r="H39" s="373" t="s">
        <v>139</v>
      </c>
      <c r="I39" s="349"/>
    </row>
    <row r="40" spans="1:9">
      <c r="A40" s="352"/>
      <c r="B40" s="355"/>
      <c r="C40" s="368"/>
      <c r="D40" s="368"/>
      <c r="E40" s="374"/>
      <c r="F40" s="374"/>
      <c r="G40" s="374"/>
      <c r="H40" s="374"/>
      <c r="I40" s="349"/>
    </row>
    <row r="41" spans="1:9">
      <c r="A41" s="352"/>
      <c r="B41" s="355"/>
      <c r="C41" s="368"/>
      <c r="D41" s="368"/>
      <c r="E41" s="374"/>
      <c r="F41" s="374"/>
      <c r="G41" s="374"/>
      <c r="H41" s="374"/>
      <c r="I41" s="349"/>
    </row>
    <row r="42" spans="1:9">
      <c r="A42" s="352"/>
      <c r="B42" s="355"/>
      <c r="C42" s="368"/>
      <c r="D42" s="368"/>
      <c r="E42" s="374"/>
      <c r="F42" s="374"/>
      <c r="G42" s="374"/>
      <c r="H42" s="374"/>
      <c r="I42" s="349"/>
    </row>
    <row r="43" spans="1:9">
      <c r="A43" s="353"/>
      <c r="B43" s="356"/>
      <c r="C43" s="369"/>
      <c r="D43" s="369"/>
      <c r="E43" s="375"/>
      <c r="F43" s="375"/>
      <c r="G43" s="375"/>
      <c r="H43" s="375"/>
      <c r="I43" s="349"/>
    </row>
    <row r="44" spans="1:9" ht="18" customHeight="1">
      <c r="A44" s="351">
        <v>8</v>
      </c>
      <c r="B44" s="354" t="s">
        <v>134</v>
      </c>
      <c r="C44" s="367" t="s">
        <v>144</v>
      </c>
      <c r="D44" s="367"/>
      <c r="E44" s="373" t="s">
        <v>136</v>
      </c>
      <c r="F44" s="373" t="s">
        <v>137</v>
      </c>
      <c r="G44" s="373" t="s">
        <v>138</v>
      </c>
      <c r="H44" s="373" t="s">
        <v>139</v>
      </c>
      <c r="I44" s="349"/>
    </row>
    <row r="45" spans="1:9">
      <c r="A45" s="352"/>
      <c r="B45" s="355"/>
      <c r="C45" s="368"/>
      <c r="D45" s="368"/>
      <c r="E45" s="374"/>
      <c r="F45" s="374"/>
      <c r="G45" s="374"/>
      <c r="H45" s="374"/>
      <c r="I45" s="349"/>
    </row>
    <row r="46" spans="1:9">
      <c r="A46" s="352"/>
      <c r="B46" s="355"/>
      <c r="C46" s="368"/>
      <c r="D46" s="368"/>
      <c r="E46" s="374"/>
      <c r="F46" s="374"/>
      <c r="G46" s="374"/>
      <c r="H46" s="374"/>
      <c r="I46" s="349"/>
    </row>
    <row r="47" spans="1:9">
      <c r="A47" s="352"/>
      <c r="B47" s="355"/>
      <c r="C47" s="368"/>
      <c r="D47" s="368"/>
      <c r="E47" s="374"/>
      <c r="F47" s="374"/>
      <c r="G47" s="374"/>
      <c r="H47" s="374"/>
      <c r="I47" s="349"/>
    </row>
    <row r="48" spans="1:9">
      <c r="A48" s="353"/>
      <c r="B48" s="356"/>
      <c r="C48" s="369"/>
      <c r="D48" s="369"/>
      <c r="E48" s="375"/>
      <c r="F48" s="375"/>
      <c r="G48" s="375"/>
      <c r="H48" s="375"/>
      <c r="I48" s="349"/>
    </row>
    <row r="49" spans="1:9" ht="18" customHeight="1">
      <c r="A49" s="351">
        <v>9</v>
      </c>
      <c r="B49" s="354" t="s">
        <v>135</v>
      </c>
      <c r="C49" s="367" t="s">
        <v>145</v>
      </c>
      <c r="D49" s="367"/>
      <c r="E49" s="373" t="s">
        <v>136</v>
      </c>
      <c r="F49" s="373" t="s">
        <v>137</v>
      </c>
      <c r="G49" s="373" t="s">
        <v>138</v>
      </c>
      <c r="H49" s="373" t="s">
        <v>139</v>
      </c>
      <c r="I49" s="349"/>
    </row>
    <row r="50" spans="1:9">
      <c r="A50" s="352"/>
      <c r="B50" s="355"/>
      <c r="C50" s="368"/>
      <c r="D50" s="368"/>
      <c r="E50" s="374"/>
      <c r="F50" s="374"/>
      <c r="G50" s="374"/>
      <c r="H50" s="374"/>
      <c r="I50" s="349"/>
    </row>
    <row r="51" spans="1:9">
      <c r="A51" s="352"/>
      <c r="B51" s="355"/>
      <c r="C51" s="368"/>
      <c r="D51" s="368"/>
      <c r="E51" s="374"/>
      <c r="F51" s="374"/>
      <c r="G51" s="374"/>
      <c r="H51" s="374"/>
      <c r="I51" s="349"/>
    </row>
    <row r="52" spans="1:9">
      <c r="A52" s="352"/>
      <c r="B52" s="355"/>
      <c r="C52" s="368"/>
      <c r="D52" s="368"/>
      <c r="E52" s="374"/>
      <c r="F52" s="374"/>
      <c r="G52" s="374"/>
      <c r="H52" s="374"/>
      <c r="I52" s="349"/>
    </row>
    <row r="53" spans="1:9">
      <c r="A53" s="353"/>
      <c r="B53" s="356"/>
      <c r="C53" s="369"/>
      <c r="D53" s="369"/>
      <c r="E53" s="375"/>
      <c r="F53" s="375"/>
      <c r="G53" s="375"/>
      <c r="H53" s="375"/>
      <c r="I53" s="350"/>
    </row>
    <row r="54" spans="1:9">
      <c r="D54" s="200"/>
    </row>
    <row r="55" spans="1:9">
      <c r="A55" s="10" t="s">
        <v>11</v>
      </c>
      <c r="B55" s="11"/>
      <c r="C55" s="11"/>
      <c r="D55" s="11"/>
      <c r="E55" s="11"/>
      <c r="F55" s="11"/>
      <c r="G55" s="11"/>
      <c r="H55" s="11"/>
      <c r="I55" s="12"/>
    </row>
    <row r="56" spans="1:9">
      <c r="A56" s="13"/>
      <c r="B56" s="14"/>
      <c r="C56" s="14"/>
      <c r="D56" s="14"/>
      <c r="E56" s="14"/>
      <c r="F56" s="14"/>
      <c r="G56" s="14"/>
      <c r="H56" s="14"/>
      <c r="I56" s="15"/>
    </row>
    <row r="57" spans="1:9">
      <c r="A57" s="379" t="s">
        <v>254</v>
      </c>
      <c r="B57" s="380"/>
      <c r="C57" s="380"/>
      <c r="D57" s="380"/>
      <c r="E57" s="380"/>
      <c r="F57" s="380"/>
      <c r="G57" s="380"/>
      <c r="H57" s="380"/>
      <c r="I57" s="381"/>
    </row>
    <row r="58" spans="1:9">
      <c r="A58" s="379"/>
      <c r="B58" s="380"/>
      <c r="C58" s="380"/>
      <c r="D58" s="380"/>
      <c r="E58" s="380"/>
      <c r="F58" s="380"/>
      <c r="G58" s="380"/>
      <c r="H58" s="380"/>
      <c r="I58" s="381"/>
    </row>
    <row r="59" spans="1:9">
      <c r="A59" s="379"/>
      <c r="B59" s="380"/>
      <c r="C59" s="380"/>
      <c r="D59" s="380"/>
      <c r="E59" s="380"/>
      <c r="F59" s="380"/>
      <c r="G59" s="380"/>
      <c r="H59" s="380"/>
      <c r="I59" s="381"/>
    </row>
    <row r="60" spans="1:9">
      <c r="A60" s="13"/>
      <c r="B60" s="14"/>
      <c r="C60" s="14"/>
      <c r="D60" s="14"/>
      <c r="E60" s="14"/>
      <c r="F60" s="14"/>
      <c r="G60" s="14"/>
      <c r="H60" s="14"/>
      <c r="I60" s="15"/>
    </row>
    <row r="61" spans="1:9">
      <c r="A61" s="16"/>
      <c r="B61" s="17"/>
      <c r="C61" s="17"/>
      <c r="D61" s="17"/>
      <c r="E61" s="17"/>
      <c r="F61" s="17"/>
      <c r="G61" s="17"/>
      <c r="H61" s="17"/>
      <c r="I61" s="18"/>
    </row>
    <row r="63" spans="1:9" ht="15.75" thickBot="1"/>
    <row r="64" spans="1:9">
      <c r="C64" s="282" t="s">
        <v>156</v>
      </c>
      <c r="D64" s="283"/>
      <c r="E64" s="284" t="s">
        <v>157</v>
      </c>
      <c r="F64" s="285"/>
    </row>
    <row r="65" spans="3:6" ht="15.75" thickBot="1">
      <c r="C65" s="288" t="s">
        <v>158</v>
      </c>
      <c r="D65" s="289"/>
      <c r="E65" s="286"/>
      <c r="F65" s="287"/>
    </row>
    <row r="66" spans="3:6">
      <c r="C66" s="262"/>
      <c r="D66" s="263"/>
      <c r="E66" s="266"/>
      <c r="F66" s="267"/>
    </row>
    <row r="67" spans="3:6">
      <c r="C67" s="264"/>
      <c r="D67" s="265"/>
      <c r="E67" s="268"/>
      <c r="F67" s="269"/>
    </row>
    <row r="68" spans="3:6">
      <c r="C68" s="264"/>
      <c r="D68" s="265"/>
      <c r="E68" s="268"/>
      <c r="F68" s="269"/>
    </row>
    <row r="69" spans="3:6">
      <c r="C69" s="264"/>
      <c r="D69" s="265"/>
      <c r="E69" s="268"/>
      <c r="F69" s="269"/>
    </row>
    <row r="70" spans="3:6">
      <c r="C70" s="264"/>
      <c r="D70" s="265"/>
      <c r="E70" s="268"/>
      <c r="F70" s="269"/>
    </row>
    <row r="71" spans="3:6">
      <c r="C71" s="264"/>
      <c r="D71" s="265"/>
      <c r="E71" s="268"/>
      <c r="F71" s="269"/>
    </row>
    <row r="72" spans="3:6">
      <c r="C72" s="270" t="s">
        <v>159</v>
      </c>
      <c r="D72" s="270"/>
      <c r="E72" s="271" t="s">
        <v>160</v>
      </c>
      <c r="F72" s="271"/>
    </row>
    <row r="73" spans="3:6" ht="42" customHeight="1" thickBot="1">
      <c r="C73" s="272" t="s">
        <v>161</v>
      </c>
      <c r="D73" s="273"/>
      <c r="E73" s="274" t="s">
        <v>162</v>
      </c>
      <c r="F73" s="275"/>
    </row>
  </sheetData>
  <mergeCells count="95">
    <mergeCell ref="A57:I59"/>
    <mergeCell ref="H49:H53"/>
    <mergeCell ref="D49:D53"/>
    <mergeCell ref="E49:E53"/>
    <mergeCell ref="F49:F53"/>
    <mergeCell ref="G49:G53"/>
    <mergeCell ref="A49:A53"/>
    <mergeCell ref="B49:B53"/>
    <mergeCell ref="I9:I53"/>
    <mergeCell ref="D9:D13"/>
    <mergeCell ref="E9:E13"/>
    <mergeCell ref="F9:F13"/>
    <mergeCell ref="G9:G13"/>
    <mergeCell ref="H9:H13"/>
    <mergeCell ref="H39:H43"/>
    <mergeCell ref="C44:C48"/>
    <mergeCell ref="D44:D48"/>
    <mergeCell ref="E44:E48"/>
    <mergeCell ref="F44:F48"/>
    <mergeCell ref="G44:G48"/>
    <mergeCell ref="H44:H48"/>
    <mergeCell ref="D39:D43"/>
    <mergeCell ref="E39:E43"/>
    <mergeCell ref="F39:F43"/>
    <mergeCell ref="G39:G43"/>
    <mergeCell ref="D34:D38"/>
    <mergeCell ref="E34:E38"/>
    <mergeCell ref="F34:F38"/>
    <mergeCell ref="G34:G38"/>
    <mergeCell ref="H34:H38"/>
    <mergeCell ref="D29:D33"/>
    <mergeCell ref="E29:E33"/>
    <mergeCell ref="F29:F33"/>
    <mergeCell ref="G29:G33"/>
    <mergeCell ref="H29:H33"/>
    <mergeCell ref="D24:D28"/>
    <mergeCell ref="E24:E28"/>
    <mergeCell ref="F24:F28"/>
    <mergeCell ref="G24:G28"/>
    <mergeCell ref="H24:H28"/>
    <mergeCell ref="E14:E18"/>
    <mergeCell ref="F14:F18"/>
    <mergeCell ref="G14:G18"/>
    <mergeCell ref="H14:H18"/>
    <mergeCell ref="D19:D23"/>
    <mergeCell ref="E19:E23"/>
    <mergeCell ref="F19:F23"/>
    <mergeCell ref="G19:G23"/>
    <mergeCell ref="H19:H23"/>
    <mergeCell ref="D14:D18"/>
    <mergeCell ref="C9:C13"/>
    <mergeCell ref="C14:C18"/>
    <mergeCell ref="C19:C23"/>
    <mergeCell ref="C24:C28"/>
    <mergeCell ref="C29:C33"/>
    <mergeCell ref="C34:C38"/>
    <mergeCell ref="C39:C43"/>
    <mergeCell ref="C49:C53"/>
    <mergeCell ref="A24:A28"/>
    <mergeCell ref="B24:B28"/>
    <mergeCell ref="A39:A43"/>
    <mergeCell ref="B39:B43"/>
    <mergeCell ref="A9:A13"/>
    <mergeCell ref="B9:B13"/>
    <mergeCell ref="A14:A18"/>
    <mergeCell ref="B14:B18"/>
    <mergeCell ref="A44:A48"/>
    <mergeCell ref="B44:B48"/>
    <mergeCell ref="A19:A23"/>
    <mergeCell ref="B19:B23"/>
    <mergeCell ref="B29:B33"/>
    <mergeCell ref="B34:B38"/>
    <mergeCell ref="A29:A33"/>
    <mergeCell ref="A34:A38"/>
    <mergeCell ref="A1:C3"/>
    <mergeCell ref="E1:I2"/>
    <mergeCell ref="C4:I4"/>
    <mergeCell ref="C5:I5"/>
    <mergeCell ref="A7:A8"/>
    <mergeCell ref="B7:B8"/>
    <mergeCell ref="C7:C8"/>
    <mergeCell ref="D7:D8"/>
    <mergeCell ref="E7:F7"/>
    <mergeCell ref="G7:H7"/>
    <mergeCell ref="D3:H3"/>
    <mergeCell ref="I7:I8"/>
    <mergeCell ref="C72:D72"/>
    <mergeCell ref="E72:F72"/>
    <mergeCell ref="C73:D73"/>
    <mergeCell ref="E73:F73"/>
    <mergeCell ref="C64:D64"/>
    <mergeCell ref="E64:F65"/>
    <mergeCell ref="C65:D65"/>
    <mergeCell ref="C66:D71"/>
    <mergeCell ref="E66:F71"/>
  </mergeCells>
  <dataValidations count="1">
    <dataValidation type="list" allowBlank="1" showInputMessage="1" showErrorMessage="1" sqref="I3">
      <formula1>$K$1:$K$2</formula1>
    </dataValidation>
  </dataValidations>
  <pageMargins left="0.7" right="0.7" top="0.75" bottom="0.75" header="0.3" footer="0.3"/>
  <pageSetup scale="6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7"/>
  <sheetViews>
    <sheetView topLeftCell="B1" workbookViewId="0">
      <selection activeCell="F11" sqref="F11"/>
    </sheetView>
  </sheetViews>
  <sheetFormatPr baseColWidth="10" defaultRowHeight="15"/>
  <cols>
    <col min="2" max="2" width="25.5703125" customWidth="1"/>
    <col min="3" max="3" width="23" customWidth="1"/>
    <col min="4" max="4" width="18.7109375" customWidth="1"/>
    <col min="5" max="5" width="28.140625" customWidth="1"/>
  </cols>
  <sheetData>
    <row r="1" spans="1:5" ht="22.5" customHeight="1">
      <c r="A1" s="276"/>
      <c r="B1" s="276"/>
      <c r="C1" s="276"/>
      <c r="D1" s="278" t="s">
        <v>82</v>
      </c>
      <c r="E1" s="278"/>
    </row>
    <row r="2" spans="1:5" s="134" customFormat="1" ht="22.5" customHeight="1">
      <c r="A2" s="276"/>
      <c r="B2" s="276"/>
      <c r="C2" s="276"/>
      <c r="D2" s="278"/>
      <c r="E2" s="278"/>
    </row>
    <row r="3" spans="1:5" s="134" customFormat="1" ht="21.75" customHeight="1">
      <c r="A3" s="1" t="s">
        <v>1</v>
      </c>
      <c r="B3" s="2"/>
      <c r="C3" s="277" t="str">
        <f>'JORNADA LABORAL '!C4:I4</f>
        <v xml:space="preserve">MINISTERIO DE SALUD PUBLICA COORDINACIÓN ZONA 7 SALUD </v>
      </c>
      <c r="D3" s="277"/>
      <c r="E3" s="277"/>
    </row>
    <row r="4" spans="1:5" s="162" customFormat="1" ht="21.75" customHeight="1">
      <c r="A4" s="160"/>
      <c r="B4" s="161"/>
      <c r="C4" s="388"/>
      <c r="D4" s="388"/>
      <c r="E4" s="388"/>
    </row>
    <row r="5" spans="1:5" ht="25.5">
      <c r="A5" s="116" t="s">
        <v>3</v>
      </c>
      <c r="B5" s="116" t="s">
        <v>26</v>
      </c>
      <c r="C5" s="116" t="s">
        <v>71</v>
      </c>
      <c r="D5" s="117" t="s">
        <v>59</v>
      </c>
      <c r="E5" s="117" t="s">
        <v>60</v>
      </c>
    </row>
    <row r="6" spans="1:5">
      <c r="A6" s="180">
        <v>1</v>
      </c>
      <c r="B6" s="180"/>
      <c r="C6" s="180"/>
      <c r="D6" s="182"/>
      <c r="E6" s="185"/>
    </row>
    <row r="7" spans="1:5">
      <c r="A7" s="180">
        <v>2</v>
      </c>
      <c r="B7" s="180"/>
      <c r="C7" s="180"/>
      <c r="D7" s="182"/>
      <c r="E7" s="185"/>
    </row>
    <row r="8" spans="1:5">
      <c r="A8" s="180">
        <v>3</v>
      </c>
      <c r="B8" s="180"/>
      <c r="C8" s="180"/>
      <c r="D8" s="182"/>
      <c r="E8" s="185"/>
    </row>
    <row r="9" spans="1:5">
      <c r="A9" s="180">
        <v>4</v>
      </c>
      <c r="B9" s="180"/>
      <c r="C9" s="180"/>
      <c r="D9" s="182"/>
      <c r="E9" s="185"/>
    </row>
    <row r="10" spans="1:5">
      <c r="A10" s="180">
        <v>5</v>
      </c>
      <c r="B10" s="180"/>
      <c r="C10" s="180"/>
      <c r="D10" s="182"/>
      <c r="E10" s="185"/>
    </row>
    <row r="11" spans="1:5">
      <c r="A11" s="180"/>
      <c r="B11" s="180"/>
      <c r="C11" s="180"/>
      <c r="D11" s="182"/>
      <c r="E11" s="185"/>
    </row>
    <row r="12" spans="1:5">
      <c r="A12" s="180"/>
      <c r="B12" s="180"/>
      <c r="C12" s="180"/>
      <c r="D12" s="182"/>
      <c r="E12" s="185"/>
    </row>
    <row r="13" spans="1:5">
      <c r="A13" s="180"/>
      <c r="B13" s="180"/>
      <c r="C13" s="180"/>
      <c r="D13" s="182"/>
      <c r="E13" s="185"/>
    </row>
    <row r="14" spans="1:5">
      <c r="A14" s="180"/>
      <c r="B14" s="180"/>
      <c r="C14" s="180"/>
      <c r="D14" s="182"/>
      <c r="E14" s="185"/>
    </row>
    <row r="15" spans="1:5">
      <c r="A15" s="180"/>
      <c r="B15" s="180"/>
      <c r="C15" s="180"/>
      <c r="D15" s="182"/>
      <c r="E15" s="185"/>
    </row>
    <row r="16" spans="1:5">
      <c r="A16" s="180"/>
      <c r="B16" s="180"/>
      <c r="C16" s="180"/>
      <c r="D16" s="182"/>
      <c r="E16" s="185"/>
    </row>
    <row r="17" spans="1:5">
      <c r="A17" s="180"/>
      <c r="B17" s="180"/>
      <c r="C17" s="180"/>
      <c r="D17" s="182"/>
      <c r="E17" s="185"/>
    </row>
    <row r="18" spans="1:5">
      <c r="A18" s="180"/>
      <c r="B18" s="180"/>
      <c r="C18" s="180"/>
      <c r="D18" s="182"/>
      <c r="E18" s="185"/>
    </row>
    <row r="19" spans="1:5">
      <c r="A19" s="180"/>
      <c r="B19" s="180"/>
      <c r="C19" s="180"/>
      <c r="D19" s="182"/>
      <c r="E19" s="185"/>
    </row>
    <row r="20" spans="1:5">
      <c r="A20" s="180"/>
      <c r="B20" s="180"/>
      <c r="C20" s="180"/>
      <c r="D20" s="182"/>
      <c r="E20" s="185"/>
    </row>
    <row r="21" spans="1:5">
      <c r="A21" s="180"/>
      <c r="B21" s="180"/>
      <c r="C21" s="180"/>
      <c r="D21" s="182"/>
      <c r="E21" s="185"/>
    </row>
    <row r="22" spans="1:5">
      <c r="A22" s="180"/>
      <c r="B22" s="180"/>
      <c r="C22" s="180"/>
      <c r="D22" s="182"/>
      <c r="E22" s="185"/>
    </row>
    <row r="23" spans="1:5">
      <c r="A23" s="180"/>
      <c r="B23" s="180"/>
      <c r="C23" s="180"/>
      <c r="D23" s="182"/>
      <c r="E23" s="185"/>
    </row>
    <row r="24" spans="1:5">
      <c r="A24" s="180"/>
      <c r="B24" s="180"/>
      <c r="C24" s="180"/>
      <c r="D24" s="182"/>
      <c r="E24" s="185"/>
    </row>
    <row r="25" spans="1:5">
      <c r="A25" s="180"/>
      <c r="B25" s="180"/>
      <c r="C25" s="180"/>
      <c r="D25" s="182"/>
      <c r="E25" s="185"/>
    </row>
    <row r="26" spans="1:5">
      <c r="A26" s="180"/>
      <c r="B26" s="180"/>
      <c r="C26" s="180"/>
      <c r="D26" s="182"/>
      <c r="E26" s="185"/>
    </row>
    <row r="27" spans="1:5">
      <c r="A27" s="180"/>
      <c r="B27" s="180"/>
      <c r="C27" s="180"/>
      <c r="D27" s="182"/>
      <c r="E27" s="185"/>
    </row>
    <row r="28" spans="1:5">
      <c r="A28" s="180"/>
      <c r="B28" s="180"/>
      <c r="C28" s="180"/>
      <c r="D28" s="182"/>
      <c r="E28" s="185"/>
    </row>
    <row r="29" spans="1:5">
      <c r="A29" s="180"/>
      <c r="B29" s="180"/>
      <c r="C29" s="180"/>
      <c r="D29" s="182"/>
      <c r="E29" s="185"/>
    </row>
    <row r="30" spans="1:5">
      <c r="A30" s="180"/>
      <c r="B30" s="180"/>
      <c r="C30" s="180"/>
      <c r="D30" s="182"/>
      <c r="E30" s="185"/>
    </row>
    <row r="31" spans="1:5">
      <c r="A31" s="180"/>
      <c r="B31" s="180"/>
      <c r="C31" s="180"/>
      <c r="D31" s="182"/>
      <c r="E31" s="185"/>
    </row>
    <row r="32" spans="1:5">
      <c r="A32" s="180"/>
      <c r="B32" s="180"/>
      <c r="C32" s="180"/>
      <c r="D32" s="182"/>
      <c r="E32" s="185"/>
    </row>
    <row r="33" spans="1:5">
      <c r="A33" s="180"/>
      <c r="B33" s="180"/>
      <c r="C33" s="180"/>
      <c r="D33" s="182"/>
      <c r="E33" s="185"/>
    </row>
    <row r="34" spans="1:5">
      <c r="A34" s="119"/>
      <c r="B34" s="119"/>
      <c r="C34" s="119"/>
      <c r="D34" s="120"/>
      <c r="E34" s="121"/>
    </row>
    <row r="35" spans="1:5">
      <c r="A35" s="119"/>
      <c r="B35" s="119"/>
      <c r="C35" s="119"/>
      <c r="D35" s="120"/>
      <c r="E35" s="121"/>
    </row>
    <row r="37" spans="1:5" ht="15.75" thickBot="1"/>
    <row r="38" spans="1:5">
      <c r="A38" s="282" t="s">
        <v>156</v>
      </c>
      <c r="B38" s="283"/>
      <c r="C38" s="284" t="s">
        <v>157</v>
      </c>
      <c r="D38" s="285"/>
    </row>
    <row r="39" spans="1:5" ht="15.75" thickBot="1">
      <c r="A39" s="288" t="s">
        <v>158</v>
      </c>
      <c r="B39" s="289"/>
      <c r="C39" s="286"/>
      <c r="D39" s="287"/>
    </row>
    <row r="40" spans="1:5">
      <c r="A40" s="262"/>
      <c r="B40" s="263"/>
      <c r="C40" s="266"/>
      <c r="D40" s="267"/>
    </row>
    <row r="41" spans="1:5">
      <c r="A41" s="264"/>
      <c r="B41" s="265"/>
      <c r="C41" s="268"/>
      <c r="D41" s="269"/>
    </row>
    <row r="42" spans="1:5">
      <c r="A42" s="264"/>
      <c r="B42" s="265"/>
      <c r="C42" s="268"/>
      <c r="D42" s="269"/>
    </row>
    <row r="43" spans="1:5">
      <c r="A43" s="264"/>
      <c r="B43" s="265"/>
      <c r="C43" s="268"/>
      <c r="D43" s="269"/>
    </row>
    <row r="44" spans="1:5">
      <c r="A44" s="264"/>
      <c r="B44" s="265"/>
      <c r="C44" s="268"/>
      <c r="D44" s="269"/>
    </row>
    <row r="45" spans="1:5">
      <c r="A45" s="264"/>
      <c r="B45" s="265"/>
      <c r="C45" s="268"/>
      <c r="D45" s="269"/>
    </row>
    <row r="46" spans="1:5">
      <c r="A46" s="270" t="s">
        <v>159</v>
      </c>
      <c r="B46" s="270"/>
      <c r="C46" s="271" t="s">
        <v>160</v>
      </c>
      <c r="D46" s="271"/>
    </row>
    <row r="47" spans="1:5" ht="46.5" customHeight="1" thickBot="1">
      <c r="A47" s="272" t="s">
        <v>161</v>
      </c>
      <c r="B47" s="273"/>
      <c r="C47" s="274" t="s">
        <v>162</v>
      </c>
      <c r="D47" s="275"/>
    </row>
  </sheetData>
  <mergeCells count="13">
    <mergeCell ref="A1:C2"/>
    <mergeCell ref="D1:E2"/>
    <mergeCell ref="C3:E3"/>
    <mergeCell ref="C4:E4"/>
    <mergeCell ref="A38:B38"/>
    <mergeCell ref="C38:D39"/>
    <mergeCell ref="A39:B39"/>
    <mergeCell ref="A40:B45"/>
    <mergeCell ref="C40:D45"/>
    <mergeCell ref="A46:B46"/>
    <mergeCell ref="C46:D46"/>
    <mergeCell ref="A47:B47"/>
    <mergeCell ref="C47:D47"/>
  </mergeCells>
  <conditionalFormatting sqref="E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{5262A182-9947-4AC7-9F06-2C1D6FD0E11B}</x14:id>
        </ext>
      </extLst>
    </cfRule>
  </conditionalFormatting>
  <conditionalFormatting sqref="A5:D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{F8B3979F-E0DE-4DDB-A125-E516A96EA285}</x14:id>
        </ext>
      </extLst>
    </cfRule>
  </conditionalFormatting>
  <pageMargins left="0.7" right="0.7" top="0.75" bottom="0.75" header="0.3" footer="0.3"/>
  <pageSetup scale="80" orientation="portrait" horizontalDpi="4294967293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62A182-9947-4AC7-9F06-2C1D6FD0E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</xm:sqref>
        </x14:conditionalFormatting>
        <x14:conditionalFormatting xmlns:xm="http://schemas.microsoft.com/office/excel/2006/main">
          <x14:cfRule type="dataBar" id="{F8B3979F-E0DE-4DDB-A125-E516A96EA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A5:D5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4</vt:i4>
      </vt:variant>
    </vt:vector>
  </HeadingPairs>
  <TitlesOfParts>
    <vt:vector size="16" baseType="lpstr">
      <vt:lpstr>CRONOGRAMA EJECUTADO</vt:lpstr>
      <vt:lpstr>ESTUDIOS PREVIOS</vt:lpstr>
      <vt:lpstr>REGLAMENTO-PROCEDIMIENTO</vt:lpstr>
      <vt:lpstr>CONTROL DE VACACIONES</vt:lpstr>
      <vt:lpstr>MUESTRA SALDO DE VACACIONES</vt:lpstr>
      <vt:lpstr>DETALLE PERMISOS</vt:lpstr>
      <vt:lpstr>DETALLE VACACIONES</vt:lpstr>
      <vt:lpstr>SALDO DE VACACIONES MDT</vt:lpstr>
      <vt:lpstr>COMPARACIÓN DE SALDOS</vt:lpstr>
      <vt:lpstr>JORNADA LABORAL </vt:lpstr>
      <vt:lpstr>TELETRABAJO</vt:lpstr>
      <vt:lpstr>MUESTRA ANTICIPO DE VACACIONES</vt:lpstr>
      <vt:lpstr>'COMPARACIÓN DE SALDOS'!Área_de_impresión</vt:lpstr>
      <vt:lpstr>'CONTROL DE VACACIONES'!Área_de_impresión</vt:lpstr>
      <vt:lpstr>'SALDO DE VACACIONES MDT'!Área_de_impresión</vt:lpstr>
      <vt:lpstr>TELETRABAJO!Área_de_impresión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María_Nole</cp:lastModifiedBy>
  <cp:lastPrinted>2023-05-25T21:39:11Z</cp:lastPrinted>
  <dcterms:created xsi:type="dcterms:W3CDTF">2020-09-30T18:25:24Z</dcterms:created>
  <dcterms:modified xsi:type="dcterms:W3CDTF">2023-10-03T16:16:24Z</dcterms:modified>
</cp:coreProperties>
</file>