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cumita\CONTROL TECNICO\2. ESTUDIOS DE CONTROL\COORDINACION ZONAL DE MINISTERIO DE SALUD PUBLICA\4. ANALISIS EN SITIO\5. VACACIONES\2. SALDO DE VACACIONES\"/>
    </mc:Choice>
  </mc:AlternateContent>
  <bookViews>
    <workbookView xWindow="-105" yWindow="-105" windowWidth="23250" windowHeight="12450" tabRatio="500" activeTab="2"/>
  </bookViews>
  <sheets>
    <sheet name="VACACIONES COORDINACION 2021" sheetId="1" r:id="rId1"/>
    <sheet name="VACACIONES COORDINACION 2022" sheetId="2" r:id="rId2"/>
    <sheet name="VACACIONES COORDINACION 2023" sheetId="3" r:id="rId3"/>
  </sheets>
  <definedNames>
    <definedName name="_xlnm._FilterDatabase" localSheetId="0" hidden="1">'VACACIONES COORDINACION 2021'!$A$6:$AW$190</definedName>
    <definedName name="_xlnm._FilterDatabase" localSheetId="1" hidden="1">'VACACIONES COORDINACION 2022'!$A$6:$AW$6</definedName>
    <definedName name="_xlnm._FilterDatabase" localSheetId="2" hidden="1">'VACACIONES COORDINACION 2023'!$A$6:$AW$190</definedName>
    <definedName name="_xlnm.Print_Area" localSheetId="0">'VACACIONES COORDINACION 2021'!$B$6:$L$7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90" i="3" l="1"/>
  <c r="K190" i="3" s="1"/>
  <c r="L189" i="3"/>
  <c r="K189" i="3" s="1"/>
  <c r="L188" i="3"/>
  <c r="K188" i="3"/>
  <c r="L187" i="3"/>
  <c r="K187" i="3" s="1"/>
  <c r="L186" i="3"/>
  <c r="K186" i="3"/>
  <c r="L185" i="3"/>
  <c r="K185" i="3" s="1"/>
  <c r="L184" i="3"/>
  <c r="K184" i="3"/>
  <c r="L183" i="3"/>
  <c r="K183" i="3"/>
  <c r="L182" i="3"/>
  <c r="K182" i="3" s="1"/>
  <c r="L181" i="3"/>
  <c r="K181" i="3" s="1"/>
  <c r="L180" i="3"/>
  <c r="K180" i="3"/>
  <c r="L179" i="3"/>
  <c r="K179" i="3" s="1"/>
  <c r="L178" i="3"/>
  <c r="K178" i="3"/>
  <c r="L177" i="3"/>
  <c r="K177" i="3" s="1"/>
  <c r="L176" i="3"/>
  <c r="K176" i="3"/>
  <c r="L175" i="3"/>
  <c r="K175" i="3"/>
  <c r="L174" i="3"/>
  <c r="K174" i="3" s="1"/>
  <c r="L173" i="3"/>
  <c r="K173" i="3" s="1"/>
  <c r="L172" i="3"/>
  <c r="K172" i="3"/>
  <c r="L171" i="3"/>
  <c r="K171" i="3"/>
  <c r="L170" i="3"/>
  <c r="K170" i="3"/>
  <c r="L169" i="3"/>
  <c r="K169" i="3" s="1"/>
  <c r="L168" i="3"/>
  <c r="K168" i="3"/>
  <c r="L167" i="3"/>
  <c r="K167" i="3" s="1"/>
  <c r="L166" i="3"/>
  <c r="K166" i="3" s="1"/>
  <c r="L165" i="3"/>
  <c r="K165" i="3" s="1"/>
  <c r="L164" i="3"/>
  <c r="K164" i="3" s="1"/>
  <c r="L163" i="3"/>
  <c r="K163" i="3"/>
  <c r="L162" i="3"/>
  <c r="K162" i="3" s="1"/>
  <c r="L161" i="3"/>
  <c r="K161" i="3" s="1"/>
  <c r="L160" i="3"/>
  <c r="K160" i="3"/>
  <c r="L159" i="3"/>
  <c r="K159" i="3"/>
  <c r="L158" i="3"/>
  <c r="K158" i="3" s="1"/>
  <c r="L157" i="3"/>
  <c r="K157" i="3" s="1"/>
  <c r="L156" i="3"/>
  <c r="K156" i="3"/>
  <c r="L155" i="3"/>
  <c r="K155" i="3"/>
  <c r="L154" i="3"/>
  <c r="K154" i="3"/>
  <c r="L153" i="3"/>
  <c r="K153" i="3" s="1"/>
  <c r="L152" i="3"/>
  <c r="K152" i="3" s="1"/>
  <c r="L151" i="3"/>
  <c r="K151" i="3"/>
  <c r="L150" i="3"/>
  <c r="K150" i="3" s="1"/>
  <c r="L149" i="3"/>
  <c r="K149" i="3" s="1"/>
  <c r="L148" i="3"/>
  <c r="K148" i="3"/>
  <c r="L147" i="3"/>
  <c r="K147" i="3" s="1"/>
  <c r="L146" i="3"/>
  <c r="K146" i="3"/>
  <c r="L145" i="3"/>
  <c r="K145" i="3" s="1"/>
  <c r="L144" i="3"/>
  <c r="K144" i="3"/>
  <c r="L143" i="3"/>
  <c r="K143" i="3"/>
  <c r="L142" i="3"/>
  <c r="K142" i="3" s="1"/>
  <c r="L141" i="3"/>
  <c r="K141" i="3" s="1"/>
  <c r="L140" i="3"/>
  <c r="K140" i="3"/>
  <c r="L139" i="3"/>
  <c r="K139" i="3"/>
  <c r="L138" i="3"/>
  <c r="K138" i="3"/>
  <c r="L137" i="3"/>
  <c r="K137" i="3" s="1"/>
  <c r="L136" i="3"/>
  <c r="K136" i="3" s="1"/>
  <c r="L135" i="3"/>
  <c r="K135" i="3"/>
  <c r="L134" i="3"/>
  <c r="K134" i="3" s="1"/>
  <c r="L133" i="3"/>
  <c r="K133" i="3"/>
  <c r="L132" i="3"/>
  <c r="K132" i="3" s="1"/>
  <c r="L131" i="3"/>
  <c r="K131" i="3"/>
  <c r="L130" i="3"/>
  <c r="K130" i="3" s="1"/>
  <c r="L129" i="3"/>
  <c r="K129" i="3" s="1"/>
  <c r="L128" i="3"/>
  <c r="K128" i="3" s="1"/>
  <c r="L127" i="3"/>
  <c r="K127" i="3" s="1"/>
  <c r="L126" i="3"/>
  <c r="K126" i="3" s="1"/>
  <c r="L125" i="3"/>
  <c r="K125" i="3"/>
  <c r="L124" i="3"/>
  <c r="K124" i="3"/>
  <c r="L123" i="3"/>
  <c r="K123" i="3"/>
  <c r="L122" i="3"/>
  <c r="K122" i="3"/>
  <c r="L121" i="3"/>
  <c r="K121" i="3" s="1"/>
  <c r="L120" i="3"/>
  <c r="K120" i="3" s="1"/>
  <c r="L119" i="3"/>
  <c r="K119" i="3"/>
  <c r="L118" i="3"/>
  <c r="K118" i="3" s="1"/>
  <c r="L117" i="3"/>
  <c r="K117" i="3" s="1"/>
  <c r="K116" i="3"/>
  <c r="L115" i="3"/>
  <c r="K115" i="3" s="1"/>
  <c r="L114" i="3"/>
  <c r="K114" i="3" s="1"/>
  <c r="L113" i="3"/>
  <c r="K113" i="3" s="1"/>
  <c r="L112" i="3"/>
  <c r="K112" i="3"/>
  <c r="L111" i="3"/>
  <c r="K111" i="3"/>
  <c r="L110" i="3"/>
  <c r="K110" i="3" s="1"/>
  <c r="L109" i="3"/>
  <c r="K109" i="3" s="1"/>
  <c r="L108" i="3"/>
  <c r="K108" i="3" s="1"/>
  <c r="L107" i="3"/>
  <c r="K107" i="3" s="1"/>
  <c r="L106" i="3"/>
  <c r="K106" i="3"/>
  <c r="L105" i="3"/>
  <c r="K105" i="3" s="1"/>
  <c r="L104" i="3"/>
  <c r="K104" i="3"/>
  <c r="L103" i="3"/>
  <c r="K103" i="3" s="1"/>
  <c r="L102" i="3"/>
  <c r="K102" i="3" s="1"/>
  <c r="L101" i="3"/>
  <c r="K101" i="3" s="1"/>
  <c r="L100" i="3"/>
  <c r="K100" i="3" s="1"/>
  <c r="L99" i="3"/>
  <c r="K99" i="3" s="1"/>
  <c r="L98" i="3"/>
  <c r="K98" i="3"/>
  <c r="L97" i="3"/>
  <c r="K97" i="3" s="1"/>
  <c r="L96" i="3"/>
  <c r="K96" i="3"/>
  <c r="L95" i="3"/>
  <c r="K95" i="3"/>
  <c r="L94" i="3"/>
  <c r="K94" i="3" s="1"/>
  <c r="L93" i="3"/>
  <c r="K93" i="3" s="1"/>
  <c r="L92" i="3"/>
  <c r="K92" i="3" s="1"/>
  <c r="L91" i="3"/>
  <c r="K91" i="3" s="1"/>
  <c r="L90" i="3"/>
  <c r="K90" i="3"/>
  <c r="L89" i="3"/>
  <c r="K89" i="3" s="1"/>
  <c r="L88" i="3"/>
  <c r="K88" i="3" s="1"/>
  <c r="L87" i="3"/>
  <c r="K87" i="3"/>
  <c r="L86" i="3"/>
  <c r="K86" i="3" s="1"/>
  <c r="L85" i="3"/>
  <c r="K85" i="3" s="1"/>
  <c r="L84" i="3"/>
  <c r="K84" i="3" s="1"/>
  <c r="L83" i="3"/>
  <c r="K83" i="3" s="1"/>
  <c r="L82" i="3"/>
  <c r="K82" i="3" s="1"/>
  <c r="L81" i="3"/>
  <c r="K81" i="3" s="1"/>
  <c r="L80" i="3"/>
  <c r="K80" i="3"/>
  <c r="L79" i="3"/>
  <c r="K79" i="3"/>
  <c r="L78" i="3"/>
  <c r="K78" i="3" s="1"/>
  <c r="L77" i="3"/>
  <c r="K77" i="3" s="1"/>
  <c r="L76" i="3"/>
  <c r="K76" i="3" s="1"/>
  <c r="L75" i="3"/>
  <c r="K75" i="3" s="1"/>
  <c r="L74" i="3"/>
  <c r="K74" i="3"/>
  <c r="L73" i="3"/>
  <c r="K73" i="3" s="1"/>
  <c r="K72" i="3"/>
  <c r="L71" i="3"/>
  <c r="K71" i="3"/>
  <c r="L70" i="3"/>
  <c r="K70" i="3"/>
  <c r="L69" i="3"/>
  <c r="K69" i="3"/>
  <c r="L68" i="3"/>
  <c r="K68" i="3"/>
  <c r="L67" i="3"/>
  <c r="K67" i="3" s="1"/>
  <c r="L66" i="3"/>
  <c r="K66" i="3" s="1"/>
  <c r="L65" i="3"/>
  <c r="K65" i="3"/>
  <c r="L64" i="3"/>
  <c r="K64" i="3" s="1"/>
  <c r="L63" i="3"/>
  <c r="K63" i="3" s="1"/>
  <c r="L62" i="3"/>
  <c r="K62" i="3"/>
  <c r="L61" i="3"/>
  <c r="K61" i="3" s="1"/>
  <c r="L60" i="3"/>
  <c r="K60" i="3"/>
  <c r="L59" i="3"/>
  <c r="K59" i="3" s="1"/>
  <c r="L58" i="3"/>
  <c r="K58" i="3" s="1"/>
  <c r="L57" i="3"/>
  <c r="K57" i="3"/>
  <c r="L56" i="3"/>
  <c r="K56" i="3" s="1"/>
  <c r="L55" i="3"/>
  <c r="K55" i="3"/>
  <c r="Q54" i="3"/>
  <c r="L54" i="3"/>
  <c r="K54" i="3" s="1"/>
  <c r="R53" i="3"/>
  <c r="L53" i="3"/>
  <c r="K53" i="3"/>
  <c r="L52" i="3"/>
  <c r="K52" i="3" s="1"/>
  <c r="L51" i="3"/>
  <c r="K51" i="3"/>
  <c r="L50" i="3"/>
  <c r="K50" i="3" s="1"/>
  <c r="L49" i="3"/>
  <c r="K49" i="3" s="1"/>
  <c r="L48" i="3"/>
  <c r="K48" i="3" s="1"/>
  <c r="L47" i="3"/>
  <c r="K47" i="3" s="1"/>
  <c r="L46" i="3"/>
  <c r="K46" i="3" s="1"/>
  <c r="L45" i="3"/>
  <c r="K45" i="3"/>
  <c r="L44" i="3"/>
  <c r="K44" i="3"/>
  <c r="L43" i="3"/>
  <c r="K43" i="3"/>
  <c r="L42" i="3"/>
  <c r="K42" i="3"/>
  <c r="L41" i="3"/>
  <c r="K41" i="3" s="1"/>
  <c r="L40" i="3"/>
  <c r="K40" i="3" s="1"/>
  <c r="L39" i="3"/>
  <c r="K39" i="3"/>
  <c r="L38" i="3"/>
  <c r="K38" i="3" s="1"/>
  <c r="L37" i="3"/>
  <c r="K37" i="3" s="1"/>
  <c r="L36" i="3"/>
  <c r="L35" i="3"/>
  <c r="K35" i="3" s="1"/>
  <c r="L34" i="3"/>
  <c r="K34" i="3" s="1"/>
  <c r="L33" i="3"/>
  <c r="K33" i="3"/>
  <c r="L32" i="3"/>
  <c r="K32" i="3" s="1"/>
  <c r="L31" i="3"/>
  <c r="L30" i="3"/>
  <c r="K30" i="3" s="1"/>
  <c r="L29" i="3"/>
  <c r="K29" i="3" s="1"/>
  <c r="L28" i="3"/>
  <c r="K28" i="3"/>
  <c r="L27" i="3"/>
  <c r="K27" i="3" s="1"/>
  <c r="L26" i="3"/>
  <c r="K26" i="3" s="1"/>
  <c r="L25" i="3"/>
  <c r="K25" i="3" s="1"/>
  <c r="L24" i="3"/>
  <c r="K24" i="3" s="1"/>
  <c r="L23" i="3"/>
  <c r="K23" i="3" s="1"/>
  <c r="L22" i="3"/>
  <c r="K22" i="3" s="1"/>
  <c r="L21" i="3"/>
  <c r="K21" i="3"/>
  <c r="L20" i="3"/>
  <c r="K20" i="3"/>
  <c r="L19" i="3"/>
  <c r="K19" i="3" s="1"/>
  <c r="L18" i="3"/>
  <c r="K18" i="3" s="1"/>
  <c r="L17" i="3"/>
  <c r="K17" i="3" s="1"/>
  <c r="L15" i="3"/>
  <c r="K15" i="3"/>
  <c r="L14" i="3"/>
  <c r="K14" i="3" s="1"/>
  <c r="L13" i="3"/>
  <c r="K13" i="3" s="1"/>
  <c r="L12" i="3"/>
  <c r="K12" i="3" s="1"/>
  <c r="L11" i="3"/>
  <c r="K11" i="3"/>
  <c r="L10" i="3"/>
  <c r="K10" i="3" s="1"/>
  <c r="L9" i="3"/>
  <c r="K9" i="3"/>
  <c r="A9" i="3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L8" i="3"/>
  <c r="K8" i="3" s="1"/>
  <c r="A8" i="3"/>
  <c r="L7" i="3"/>
  <c r="K7" i="3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7" i="2"/>
  <c r="K156" i="2"/>
  <c r="K155" i="2"/>
  <c r="K154" i="2"/>
  <c r="K153" i="2"/>
  <c r="K152" i="2"/>
  <c r="K151" i="2"/>
  <c r="K149" i="2"/>
  <c r="K148" i="2"/>
  <c r="K147" i="2"/>
  <c r="K146" i="2"/>
  <c r="K145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6" i="2"/>
  <c r="K125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5" i="2"/>
  <c r="K14" i="2"/>
  <c r="K13" i="2"/>
  <c r="K12" i="2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K10" i="2"/>
  <c r="K9" i="2"/>
  <c r="K8" i="2"/>
  <c r="A8" i="2"/>
  <c r="A9" i="2" s="1"/>
  <c r="A10" i="2" s="1"/>
  <c r="K7" i="2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</calcChain>
</file>

<file path=xl/sharedStrings.xml><?xml version="1.0" encoding="utf-8"?>
<sst xmlns="http://schemas.openxmlformats.org/spreadsheetml/2006/main" count="3906" uniqueCount="579">
  <si>
    <t>SALDO DE VACACIONES DE LOS SERVIDORES DE LA ENTIDAD</t>
  </si>
  <si>
    <t>FECHA DE CORTE DE SALDOS VACACIONES:</t>
  </si>
  <si>
    <t>INSTITUCIÓN EVALUADA:</t>
  </si>
  <si>
    <t>FECHA DE ENTREGA DE LA INFORMACIÓN:</t>
  </si>
  <si>
    <t>Nro.</t>
  </si>
  <si>
    <t xml:space="preserve">CÉDULA </t>
  </si>
  <si>
    <t>NOMBRES Y APELLIDOS</t>
  </si>
  <si>
    <r>
      <rPr>
        <b/>
        <sz val="6"/>
        <color rgb="FF000000"/>
        <rFont val="Calibri"/>
        <family val="2"/>
        <charset val="1"/>
      </rPr>
      <t xml:space="preserve"> </t>
    </r>
    <r>
      <rPr>
        <b/>
        <sz val="8"/>
        <color rgb="FF000000"/>
        <rFont val="Calibri"/>
        <family val="2"/>
        <charset val="1"/>
      </rPr>
      <t xml:space="preserve">UNIDAD ADMINISTRATIVA </t>
    </r>
  </si>
  <si>
    <t>DENOMINACIÓN DEL PUESTO</t>
  </si>
  <si>
    <t xml:space="preserve">GRUPO OCUPACIONAL </t>
  </si>
  <si>
    <t>REMUNERACIÓN MENSUAL UNIFICADA</t>
  </si>
  <si>
    <t xml:space="preserve">MODALIDAD </t>
  </si>
  <si>
    <t>FECHA DE INGRESO A LA INSTITUCIÓN (DD/MM/AAAA)</t>
  </si>
  <si>
    <t>SALDO DE VACACIONES</t>
  </si>
  <si>
    <t>SALDO DE DÍAS  LABORABLES</t>
  </si>
  <si>
    <t>SALDO DE DÍAS NO LABORABLES</t>
  </si>
  <si>
    <t>OBSERVACIONES</t>
  </si>
  <si>
    <t>0703939520</t>
  </si>
  <si>
    <t>ALBURQUEQUE FEIJOO FRANCISCO GEOVANNY</t>
  </si>
  <si>
    <t>ATENCION INTEGRAL DE SALUD</t>
  </si>
  <si>
    <t>AUXILIAR DE ENFERMERIA</t>
  </si>
  <si>
    <t>SERVIDOR PUBLICO DE APOYO 3</t>
  </si>
  <si>
    <t>675.00</t>
  </si>
  <si>
    <t>CONTRATOS OCASIONALES</t>
  </si>
  <si>
    <t>1103873046</t>
  </si>
  <si>
    <t>ALDEAN CONSTANTE DIANA JUDITH</t>
  </si>
  <si>
    <t>DIRECCION ZONAL DE PROVISION DE SERVICIOS DE SALUD</t>
  </si>
  <si>
    <t>MEDICO GENERAL DE PRIMER NIVEL DE ATENCION 2</t>
  </si>
  <si>
    <t>SERVIDOR PUBLICO 9 DE LA SALUD</t>
  </si>
  <si>
    <t>2,034.00</t>
  </si>
  <si>
    <t>NOMBRAMIENTO</t>
  </si>
  <si>
    <t>0705698173</t>
  </si>
  <si>
    <t>ALVARADO RODRIGUEZ MARIA FERNANDA</t>
  </si>
  <si>
    <t>PARAMEDICO/A 3</t>
  </si>
  <si>
    <t>SERVIDOR PUBLICO 5 DE LA SALUD</t>
  </si>
  <si>
    <t>1,212.00</t>
  </si>
  <si>
    <t>1103694871</t>
  </si>
  <si>
    <t>ALVEAR MOREIRA MABEL KARINA</t>
  </si>
  <si>
    <t>GESTION DEL TALENTO HUMANO</t>
  </si>
  <si>
    <t>ANALISTA DE TALENTO HUMANO  1</t>
  </si>
  <si>
    <t>SERVIDOR PUBLICO 4</t>
  </si>
  <si>
    <t>1,086.00</t>
  </si>
  <si>
    <t>NOMBRAMIENTO PROVISIONAL</t>
  </si>
  <si>
    <t>1104326200</t>
  </si>
  <si>
    <t>ALVERCA CHIMBO MONICA ALEXANDRA</t>
  </si>
  <si>
    <t>DIRECCIÓN ZONAL ADMINISTRATIVA FINANCIERA</t>
  </si>
  <si>
    <t>ANALISTA ZONAL DE SERVICIOS INSTITUCIONALES, MANTENIMIENTO Y TRANSPORTES</t>
  </si>
  <si>
    <t>SERVIDOR PUBLICO 5</t>
  </si>
  <si>
    <t>SERVIDORA QUE PASA DE CONTRATO  A N/P Y ARRASTRA SALDO DEL CONTRATO</t>
  </si>
  <si>
    <t>1900598788</t>
  </si>
  <si>
    <t>AMARI JARAMILLO ELIZABETH MARLENE</t>
  </si>
  <si>
    <t>1103010102</t>
  </si>
  <si>
    <t>ANDINO SALAZAR MARIA SOLEDAD</t>
  </si>
  <si>
    <t>1104244882</t>
  </si>
  <si>
    <t>ANGAMARCA LOAIZA ANA GABRIELA</t>
  </si>
  <si>
    <t>DIRECCION ZONAL DE PROVISION Y CALIDAD DE LOS SERVICIOS DE SALUD</t>
  </si>
  <si>
    <t>ESPECIALISTA ZONAL DE MEDICAMENTOS Y DISPOSITIVOS MEDICOS</t>
  </si>
  <si>
    <t>SERVIDOR PUBLICO 7</t>
  </si>
  <si>
    <t>1,676.00</t>
  </si>
  <si>
    <t>1104310451</t>
  </si>
  <si>
    <t>ANGAMARCA SALAZAR CECIBEL PATRICIA</t>
  </si>
  <si>
    <t>ASISTENTE DE DIRECTOR/A ZONAL</t>
  </si>
  <si>
    <t>1103693717</t>
  </si>
  <si>
    <t>ARMIJOS ARIAS PAULINA ALEXANDRA</t>
  </si>
  <si>
    <t>DIRECCIÓN ZONAL DE ASESORÍA JURÍDICA</t>
  </si>
  <si>
    <t>ANALISTA ZONAL DE ASESORIA JURIDICA</t>
  </si>
  <si>
    <t>1103421663</t>
  </si>
  <si>
    <t>ARMIJOS ORTIZ MARIA LORENA</t>
  </si>
  <si>
    <t>DIRECCION ZONAL DE GOBERNANZA DE LA SALUD</t>
  </si>
  <si>
    <t>ANALISTA ZONAL DE CONTROL DOCUMENTAL Y TARIFAS</t>
  </si>
  <si>
    <t>0105295265</t>
  </si>
  <si>
    <t>AYALA YUNGA LUIS FELIPE</t>
  </si>
  <si>
    <t>DIRECCION ZONAL DE PROVISION Y CALIDAD DE LOS SERVICIOS DE SALUD DESCONCENTRADOS</t>
  </si>
  <si>
    <t>PARAMEDICO/A 2</t>
  </si>
  <si>
    <t>SERVIDOR PUBLICO 1 DE LA SALUD</t>
  </si>
  <si>
    <t>817.00</t>
  </si>
  <si>
    <t>SERVIDOR QUE PASA DE CONTRATO  A N/P Y ARRASTRA SALDO DEL CONTRATO</t>
  </si>
  <si>
    <t>1104490832</t>
  </si>
  <si>
    <t>AZANZA VILLACIS FREDDY VICENTE</t>
  </si>
  <si>
    <t>ESPECIALISTA ZONAL DE DISCAPACIDADES 1</t>
  </si>
  <si>
    <t>1103795645</t>
  </si>
  <si>
    <t>BALCAZAR QUEZADA GABRIELA ELIZABETH</t>
  </si>
  <si>
    <t>ANALISTA DISTRITAL DE TALENTO HUMANO</t>
  </si>
  <si>
    <t>0705824753</t>
  </si>
  <si>
    <t>BARRAGAN GRANDA SILVIA ISMENIA</t>
  </si>
  <si>
    <t>ATENCIÓN INTEGRAL EN SALUD</t>
  </si>
  <si>
    <t>PSICOLOGO/A CLINICO/A  1</t>
  </si>
  <si>
    <t>0105087985</t>
  </si>
  <si>
    <t>BARRERA LOJA ESTEBAN PAUL</t>
  </si>
  <si>
    <t>1102793419</t>
  </si>
  <si>
    <t>BARRIGA ABARCA BETTY ELIZABETH</t>
  </si>
  <si>
    <t>TECNOLOGO MEDICO DE LABORATORIO 4</t>
  </si>
  <si>
    <t>SERVIDOR PUBLICO 6 DE LA SALUD</t>
  </si>
  <si>
    <t>1,412.00</t>
  </si>
  <si>
    <t>1900747500</t>
  </si>
  <si>
    <t>BARROS JIMA JHONATAN</t>
  </si>
  <si>
    <t>0705704872</t>
  </si>
  <si>
    <t>BENITES ACARO KATHERINE ANABEL</t>
  </si>
  <si>
    <t>0704832732</t>
  </si>
  <si>
    <t>BERMEO GARAY MARIA PAMELA</t>
  </si>
  <si>
    <t>PARAMEDICO/A 1</t>
  </si>
  <si>
    <t>SERVIDOR PUBLICO DE APOYO 3 DE LA SALUD</t>
  </si>
  <si>
    <t>0701154296</t>
  </si>
  <si>
    <t>BERMEO MURILLO VIDAL HERIBERTO</t>
  </si>
  <si>
    <t>PARAMEDICO/A 5</t>
  </si>
  <si>
    <t>SERVIDOR PUBLICO 7 DE LA SALUD</t>
  </si>
  <si>
    <t>0705832764</t>
  </si>
  <si>
    <t>BERREZUETA CEDILLO GLENDA MARITZA</t>
  </si>
  <si>
    <t>0104286521</t>
  </si>
  <si>
    <t>BERREZUETA SOLANO KLEBER PATRICIO</t>
  </si>
  <si>
    <t>1104344401</t>
  </si>
  <si>
    <t>BRAVO FERNANDEZ MARIA DEL CISNE</t>
  </si>
  <si>
    <t>DIRECCIÓN ZONAL DE VIGILANCIA DE LA SALUD</t>
  </si>
  <si>
    <t>ESPECIALISTA ZONAL DE ESTRATEGIAS DE PREVENCION Y CONTROL 1</t>
  </si>
  <si>
    <t>1103316186</t>
  </si>
  <si>
    <t>BUSTAMANTE YEPEZ LIDER VINICIO</t>
  </si>
  <si>
    <t>DIRECCIÓN ZONAL DE PLANIFICACIÓN</t>
  </si>
  <si>
    <t>ANALISTA DISTRITAL DE ESTADISTICA Y ANALISIS DE LA INFORMACION DE SALUD</t>
  </si>
  <si>
    <t>1103833818</t>
  </si>
  <si>
    <t>BUSTILLOS REYES HERNAN ALBERTO</t>
  </si>
  <si>
    <t>DIRECCIÓN ZONAL DE TECNOLOGÍAS DE LA INFORMACIÓN Y COMUNICACIONES</t>
  </si>
  <si>
    <t>ANALISTA ZONAL DE REDES Y COMUNICACIONES</t>
  </si>
  <si>
    <t>SERVIDOR PUBLICO 6</t>
  </si>
  <si>
    <t>1725133308</t>
  </si>
  <si>
    <t>CAHUASQUI RIVERA RENATO DANIEL</t>
  </si>
  <si>
    <t>1105656217</t>
  </si>
  <si>
    <t>CALDERON ZHINGRE ANA GABRIELA</t>
  </si>
  <si>
    <t>1104908114</t>
  </si>
  <si>
    <t>CAMACHO ESPINOSA LIZETTE ADRIANA</t>
  </si>
  <si>
    <t>1726598673</t>
  </si>
  <si>
    <t>CAMPOS JUCA JOSELO ADRIANO</t>
  </si>
  <si>
    <t>1104586340</t>
  </si>
  <si>
    <t>CARAGUAY CUENCA DIANA NOEMI</t>
  </si>
  <si>
    <t>0705832954</t>
  </si>
  <si>
    <t>CARBO CORONEL GABRIELA MARILU</t>
  </si>
  <si>
    <t>1103986350</t>
  </si>
  <si>
    <t>CARDENAS RIOFRIO ANA BELEN</t>
  </si>
  <si>
    <t>REAHABILITACIÓN Y TERAPIA EN SALUD MENTAL</t>
  </si>
  <si>
    <t>PSICOLOGO/A CLINICO/A  3</t>
  </si>
  <si>
    <t>1103872113</t>
  </si>
  <si>
    <t>CARDENAS SANCHEZ DOLORES CECILIA</t>
  </si>
  <si>
    <t>ESPECIALISTA ZONAL DE CONTROL TECNICO MEDICO 1</t>
  </si>
  <si>
    <t>1103578801</t>
  </si>
  <si>
    <t>CARDENAS VEINTIMILLA ANA MARIA</t>
  </si>
  <si>
    <t>CALIDAD DE LOS SERVICIOS DE SALUD</t>
  </si>
  <si>
    <t>ESPECIALISTA ZONAL DE CALIDAD DE LOS SERVICIOS 1</t>
  </si>
  <si>
    <t>0107092231</t>
  </si>
  <si>
    <t>CARGUITONGO LOZANO ERIKA BELEN</t>
  </si>
  <si>
    <t>1103882898</t>
  </si>
  <si>
    <t>CARRION ESPINOSA LUIS FELIPE</t>
  </si>
  <si>
    <t>1104883523</t>
  </si>
  <si>
    <t>CARRION HERRERA DIANA DEL CARMEN</t>
  </si>
  <si>
    <t>1103309017</t>
  </si>
  <si>
    <t>CARRION RIVERA FABIAN RODRIGO</t>
  </si>
  <si>
    <t>DIRECCIÓN ZONAL DE COMUNICACIÓN, IMAGEN Y PRENSA</t>
  </si>
  <si>
    <t>ANALISTA ZONAL DE COMUNICACION, IMAGEN Y PRENSA</t>
  </si>
  <si>
    <t>SERVIDOR QUE FUE TRASPASADO SU PUESTO DESDE EL DISTRITO 11D03 Y VIENE CON ARRASTRE DE VACACIONES</t>
  </si>
  <si>
    <t>1718645953</t>
  </si>
  <si>
    <t>CARTUCHE PEREZ JUAN CARLOS</t>
  </si>
  <si>
    <t>1103842637</t>
  </si>
  <si>
    <t>CASTILLO ROJAS ANA LUCIA</t>
  </si>
  <si>
    <t>DIRECCION ZONAL DE PROMOCION DE LA SALUD</t>
  </si>
  <si>
    <t>ESPECIALISTA ZONAL DE PROMOCION DE LA SALUD Y SALUD AMBIENTAL 1</t>
  </si>
  <si>
    <t>1900327600</t>
  </si>
  <si>
    <t>CASTILLO TORRES ROSA ISABEL</t>
  </si>
  <si>
    <t>ENFERMERO/A 3</t>
  </si>
  <si>
    <t>SERVIDORA CON CAMBIO ADMINISTRATIVO DE PRIMER NIVEL Y ARRASTRA SALDO</t>
  </si>
  <si>
    <t>1103666580</t>
  </si>
  <si>
    <t>CASTILLO VALAREZO JANNETH LUCIA</t>
  </si>
  <si>
    <t>ATENCION AL USUARIO</t>
  </si>
  <si>
    <t>ASISTENTE DE ADMISIONES Y ATENCION AL USUARIO 1</t>
  </si>
  <si>
    <t>SERVIDOR PUBLICO DE APOYO 1</t>
  </si>
  <si>
    <t>585.00</t>
  </si>
  <si>
    <t>1105669327</t>
  </si>
  <si>
    <t>CASTRO ESPINOSA HENRY GERARDO</t>
  </si>
  <si>
    <t>0105924021</t>
  </si>
  <si>
    <t>CEDILLO VASQUEZ JOSELYN PAOLA</t>
  </si>
  <si>
    <t>1103733521</t>
  </si>
  <si>
    <t>CELI ENRIQUEZ VIVIANA DEL CISNE</t>
  </si>
  <si>
    <t>CONTROL TECNICO MEDICO DE LAS PRESTACIONES DE SALUD</t>
  </si>
  <si>
    <t>1724150451</t>
  </si>
  <si>
    <t>CHALA MENDEZ ERIKA IVETH</t>
  </si>
  <si>
    <t>TERAPISTA OCUPACIONAL</t>
  </si>
  <si>
    <t>0104812623</t>
  </si>
  <si>
    <t>CHITACAPA VIVAR DANIEL FRANCISCO</t>
  </si>
  <si>
    <t>1102513403</t>
  </si>
  <si>
    <t>COLLAHUAZO DURAZNO RITA LUCRECIA</t>
  </si>
  <si>
    <t>ESPECIALISTA 1</t>
  </si>
  <si>
    <t>ESPECIALISTA</t>
  </si>
  <si>
    <t>1,550.00</t>
  </si>
  <si>
    <t>1103047963</t>
  </si>
  <si>
    <t>CUENCA ACARO JOSE VICENTE</t>
  </si>
  <si>
    <t>1900370634</t>
  </si>
  <si>
    <t>CUEVA OCHOA MARCELO DARWIN</t>
  </si>
  <si>
    <t>1101789947</t>
  </si>
  <si>
    <t>CUEVA ORTEGA ISABEL MARIA DEL CISNE</t>
  </si>
  <si>
    <t>COORDINACIÓN ZONAL DE SALUD</t>
  </si>
  <si>
    <t>COORDINADOR/A ZONAL DE SALUD 7</t>
  </si>
  <si>
    <t>NIVEL JERARQUICO SUPERIOR 2 DEC. 601</t>
  </si>
  <si>
    <t>2,368.00</t>
  </si>
  <si>
    <t>1103213219</t>
  </si>
  <si>
    <t>CUEVA TUTILLO GINA ALEXANDRA</t>
  </si>
  <si>
    <t>1103213227</t>
  </si>
  <si>
    <t>CUEVA TUTILLO JHULIANA ELIZABETH</t>
  </si>
  <si>
    <t>1105684631</t>
  </si>
  <si>
    <t>DELGADO TAPIA JAMIL ALEJANDRO</t>
  </si>
  <si>
    <t>0705851921</t>
  </si>
  <si>
    <t>DIAZ DIAZ KARLA JESSENIA</t>
  </si>
  <si>
    <t>1102907852</t>
  </si>
  <si>
    <t>DIAZ JARAMILLO DANILO WILFRIDO</t>
  </si>
  <si>
    <t>ANALISTA ZONAL DE PLANIFICACION, INVERSION, SEGUIMIENTO, EVALUACION Y CONTROL</t>
  </si>
  <si>
    <t>1105875353</t>
  </si>
  <si>
    <t>ESCUDERO SANCHEZ EVELYN ALEXANDRA</t>
  </si>
  <si>
    <t>ANALISTA ZONAL DE GESTION DE RIESGOS 1</t>
  </si>
  <si>
    <t>1104360837</t>
  </si>
  <si>
    <t>ESPINOSA ARMIJOS ANDREA SUSANA</t>
  </si>
  <si>
    <t>ANALISTA ZONAL DE ESTADISTICA Y ANALISIS DE LA INFORMACION DE SALUD</t>
  </si>
  <si>
    <t>1900332287</t>
  </si>
  <si>
    <t>FLORES GUERRERO JHEIDY GIOCONDA</t>
  </si>
  <si>
    <t>ANALISTA ZONAL DE ADMINISTRACION DE CAJA</t>
  </si>
  <si>
    <t>0105942643</t>
  </si>
  <si>
    <t>FLORES PAUCHE KAREN YADIRA</t>
  </si>
  <si>
    <t>TRABAJADOR/A SOCIAL 1</t>
  </si>
  <si>
    <t>1104172463</t>
  </si>
  <si>
    <t>GALVEZ ALVAREZ ALEX FERNANDO</t>
  </si>
  <si>
    <t>DIRECCION NACIONAL DE INFRAESTRUCTURA SANITARIA</t>
  </si>
  <si>
    <t>ESPECIALISTA ZONAL DE INFRAESTRUCTURA, EQUIPAMIENTO Y MANTENIMIENTO SANITARIO</t>
  </si>
  <si>
    <t>1104492192</t>
  </si>
  <si>
    <t>GAONA GAONA MIRIA DEL CISNE</t>
  </si>
  <si>
    <t>0705348571</t>
  </si>
  <si>
    <t>GOMEZ PEÑALOZA TANNYA LEONELA</t>
  </si>
  <si>
    <t>0703635243</t>
  </si>
  <si>
    <t>GONZALEZ PLAZA KIRYA MARIA</t>
  </si>
  <si>
    <t>ANALISTA ZONAL DE ATENCION AL USUARIO</t>
  </si>
  <si>
    <t>0106626336</t>
  </si>
  <si>
    <t>GORDILLO GUTIERREZ JAVIER ANDRES</t>
  </si>
  <si>
    <t>0104830120</t>
  </si>
  <si>
    <t>GRANDA CAMPOVERDE CARLOS XAVIER</t>
  </si>
  <si>
    <t>1103504286</t>
  </si>
  <si>
    <t>GRANDA CANDO KELA MALUC</t>
  </si>
  <si>
    <t>ANALISTA ZONAL DE PRESUPUESTO</t>
  </si>
  <si>
    <t>1103435127</t>
  </si>
  <si>
    <t>GRANDA SARANGO NELSON AUGUSTO</t>
  </si>
  <si>
    <t>1104739709</t>
  </si>
  <si>
    <t>GUACHON MEDINA TANIA CECILIA</t>
  </si>
  <si>
    <t>QUIMICO / BIOQUIMICO FARMACEUTICO 1</t>
  </si>
  <si>
    <t>1104834765</t>
  </si>
  <si>
    <t>GUAICHA GUAICHA FRANCO DAVID</t>
  </si>
  <si>
    <t>0605194406</t>
  </si>
  <si>
    <t>GUALLI CHINLLI JOSE FERNANDO</t>
  </si>
  <si>
    <t>0107549545</t>
  </si>
  <si>
    <t>GUAMAN CHILLOGALLI MANUEL EDUARDO</t>
  </si>
  <si>
    <t>1900261452</t>
  </si>
  <si>
    <t>GUARNIZO CORREA ROSA EMERITA</t>
  </si>
  <si>
    <t>MEDICO GENERAL</t>
  </si>
  <si>
    <t>1103501829</t>
  </si>
  <si>
    <t>GUERRERO VALDIVIESO CLAUDIA ELIZABETH</t>
  </si>
  <si>
    <t>1103577613</t>
  </si>
  <si>
    <t>HERRERA LOZANO KARLA MONSERRATH</t>
  </si>
  <si>
    <t>1105908311</t>
  </si>
  <si>
    <t>HIDALGO QUIZHPE ANDREA REBECA</t>
  </si>
  <si>
    <t>1102357173</t>
  </si>
  <si>
    <t>IÑIGUEZ CASTILLO FREDI MANUEL</t>
  </si>
  <si>
    <t>TECNICO ZONAL DE ARCHIVO</t>
  </si>
  <si>
    <t>SERVIDOR PUBLICO DE APOYO 4</t>
  </si>
  <si>
    <t>733.00</t>
  </si>
  <si>
    <t>0104667704</t>
  </si>
  <si>
    <t>JARAMILLO CAJAS EVELIN CAROLINA</t>
  </si>
  <si>
    <t>1103654933</t>
  </si>
  <si>
    <t>JARAMILLO CASTILLO ROMEO JAVIER</t>
  </si>
  <si>
    <t>1102463633</t>
  </si>
  <si>
    <t>JARAMILLO HIDALGO PACO ISIDRO</t>
  </si>
  <si>
    <t>JARAMILLO SANCHEZ SANDRA LUCIA</t>
  </si>
  <si>
    <t>TRABAJADORA SOCIAL ZONAL</t>
  </si>
  <si>
    <t>1104460785</t>
  </si>
  <si>
    <t>JARAMILLO TROYA PIEDAD ALEJANDRA</t>
  </si>
  <si>
    <t>TECNICO DE VENTANILLA UNICA</t>
  </si>
  <si>
    <t>SERVIDOR PUBLICO 1</t>
  </si>
  <si>
    <t>1103927164</t>
  </si>
  <si>
    <t>JAYA JARAMILLO JOSE LEONARDO</t>
  </si>
  <si>
    <t>ANALISTA ZONAL DE SOPORTE TECNICO</t>
  </si>
  <si>
    <t>1104541386</t>
  </si>
  <si>
    <t>JIMENEZ ALBAN MICHELLE ALEXANDRA</t>
  </si>
  <si>
    <t>ESPECIALISTA ZONAL DE VIGILANCIA EPIDEMIOLOGICA 1</t>
  </si>
  <si>
    <t>1103507008</t>
  </si>
  <si>
    <t>JIMENEZ CARTUCHE RICHARD ALEXANDER</t>
  </si>
  <si>
    <t>1104834203</t>
  </si>
  <si>
    <t>JIMENEZ CUMBICUS TATIANA CECIBEL</t>
  </si>
  <si>
    <t>1900448463</t>
  </si>
  <si>
    <t>JIMENEZ JIMENEZ CHRISTOPHER ANDRES</t>
  </si>
  <si>
    <t>1102767116</t>
  </si>
  <si>
    <t>JUCA SILVA NORMA ESPERANZA</t>
  </si>
  <si>
    <t>1103798532</t>
  </si>
  <si>
    <t>LEON CASTILLO DIEGO ALEJANDRO</t>
  </si>
  <si>
    <t>ANALISTAS DISTRITAL DE ADQUISICIONES</t>
  </si>
  <si>
    <t>1102573894</t>
  </si>
  <si>
    <t>LEON CONTENTO MARIA SOLEDAD</t>
  </si>
  <si>
    <t>DERECHOS HUMANOS. EQUIDAD, INTERCULTURALIDAD Y PARTICIPACION SOCIAL EN SALUD</t>
  </si>
  <si>
    <t>ESPECIALISTA ZONAL DE DERECHOS HUMANOS, EQUIDAD, INTERCULTURALIDAD Y PARTICIPACION SOCIAL EN SALUD 1</t>
  </si>
  <si>
    <t>1104490519</t>
  </si>
  <si>
    <t>LOJA MOROCHO MERCEDES BEATRIZ</t>
  </si>
  <si>
    <t>1102975289</t>
  </si>
  <si>
    <t>LOJAN GONZALEZ FABRICIO ANTONIO</t>
  </si>
  <si>
    <t>1103665442</t>
  </si>
  <si>
    <t>LOPEZ AÑAZCO SANDRA EMILIA</t>
  </si>
  <si>
    <t>0704581032</t>
  </si>
  <si>
    <t>LOPEZ APOLO FELIX GABRIEL</t>
  </si>
  <si>
    <t>1102316427</t>
  </si>
  <si>
    <t>LOPEZ CORREA ANGELITA ELENA</t>
  </si>
  <si>
    <t>ANALISTA ZONAL DE NOMINA</t>
  </si>
  <si>
    <t>1102827282</t>
  </si>
  <si>
    <t>LOPEZ SAMANIEGO WASHINGTON RICHAR</t>
  </si>
  <si>
    <t>SERVIDOR PUBLICO 3</t>
  </si>
  <si>
    <t>986.00</t>
  </si>
  <si>
    <t>1103706436</t>
  </si>
  <si>
    <t>LOYAGA VILLAVICENCIO TANIA BERONICA</t>
  </si>
  <si>
    <t>1103773592</t>
  </si>
  <si>
    <t>LUDEÑA NORAMBIL VERONICA YULIANA</t>
  </si>
  <si>
    <t>1104130388</t>
  </si>
  <si>
    <t>LUDEÑA PALACIOS PABLO EDUARDO</t>
  </si>
  <si>
    <t>1103871073</t>
  </si>
  <si>
    <t>LUDEÑA SALAZAR VANESSA DE LOS ANGELES</t>
  </si>
  <si>
    <t>1104328875</t>
  </si>
  <si>
    <t>LUNA AGUILERA SANTIAGO DARIO</t>
  </si>
  <si>
    <t>MEDICO/A GENERAL DE PRIMER NIVEL DE ATENCION</t>
  </si>
  <si>
    <t>1104506918</t>
  </si>
  <si>
    <t>LUNA CEVALLOS CARMEN MANUELA</t>
  </si>
  <si>
    <t>TRABAJADOR(A) SOCIAL ZONAL</t>
  </si>
  <si>
    <t>1104782881</t>
  </si>
  <si>
    <t>LUZURIAGA CARPIO RONNY XAVIER</t>
  </si>
  <si>
    <t>1103002950</t>
  </si>
  <si>
    <t>LUZURIAGA MARTINEZ CLARA ESTHELA</t>
  </si>
  <si>
    <t>ANALISTA DISTRITAL DE CONTABILIDAD Y NOMINA</t>
  </si>
  <si>
    <t>1105164006</t>
  </si>
  <si>
    <t>MALDONADO ALEJANDRO ANA BELEN</t>
  </si>
  <si>
    <t>NUTRICIONISTA 2</t>
  </si>
  <si>
    <t>1103220982</t>
  </si>
  <si>
    <t>MALDONADO ORTEGA JASMIN MARINA</t>
  </si>
  <si>
    <t>0701828808</t>
  </si>
  <si>
    <t>MALDONADO PEREIRA ELISA SUSANA</t>
  </si>
  <si>
    <t>1104167968</t>
  </si>
  <si>
    <t>MALDONADO PINZON VINICIO XAVIER</t>
  </si>
  <si>
    <t>1104116049</t>
  </si>
  <si>
    <t>MALLA GONZALEZ ROOSEVELT LENIN</t>
  </si>
  <si>
    <t>1709827404</t>
  </si>
  <si>
    <t>MANZANILLAS SARANGO CIRO ANIBAL</t>
  </si>
  <si>
    <t>1104632649</t>
  </si>
  <si>
    <t>MARCHENA SANCHEZ DIANA DEL ROSARIO</t>
  </si>
  <si>
    <t>1104493547</t>
  </si>
  <si>
    <t>MENDEZ ZAQUINAULA FREDY RODRIGO</t>
  </si>
  <si>
    <t>0705067775</t>
  </si>
  <si>
    <t>MERINO LUNA EDDER LUCIANO</t>
  </si>
  <si>
    <t>1306074988</t>
  </si>
  <si>
    <t>MERO ARTEAGA DIONICIO RAMON</t>
  </si>
  <si>
    <t>NUTRICIONISTA 1</t>
  </si>
  <si>
    <t>SERVIDOR PUBLICO 2 DE LA SALUD</t>
  </si>
  <si>
    <t>901.00</t>
  </si>
  <si>
    <t>1104104292</t>
  </si>
  <si>
    <t>MICHAY CARAGUAY ANA JACKELINE</t>
  </si>
  <si>
    <t>1103664510</t>
  </si>
  <si>
    <t>MOGROVEJO LEON LAURA CECILIA</t>
  </si>
  <si>
    <t>ANALISTA ZONAL DE REGIMEN DISCIPLINARIO</t>
  </si>
  <si>
    <t>0704245117</t>
  </si>
  <si>
    <t>MONCADA RUEDA ANGELICA MARIA</t>
  </si>
  <si>
    <t>1104082134</t>
  </si>
  <si>
    <t>MONTEROS CARREÑO EHINSTEEN LEONARDO</t>
  </si>
  <si>
    <t>PSICOLOGO/A CLINICO/A 5</t>
  </si>
  <si>
    <t>0705220366</t>
  </si>
  <si>
    <t>MORA ARMIJOS JULIA GABRIELA</t>
  </si>
  <si>
    <t>1103496129</t>
  </si>
  <si>
    <t>MORA PEÑA DIEGO PETRONEO</t>
  </si>
  <si>
    <t>1900468396</t>
  </si>
  <si>
    <t>MORALES ARCINIEGA LUIS EDUARDO</t>
  </si>
  <si>
    <t>1103644736</t>
  </si>
  <si>
    <t>MORILLO RODRIGUEZ CRISTIAN EDUARDO</t>
  </si>
  <si>
    <t>1103913248</t>
  </si>
  <si>
    <t>MOROCHO GUADALIMA JOSE FERNANDO</t>
  </si>
  <si>
    <t>1102110317</t>
  </si>
  <si>
    <t>MUÑOZ ESPINOZA FANNY AMADA ORFELINA</t>
  </si>
  <si>
    <t>1102248679</t>
  </si>
  <si>
    <t>ONTANEDA GUARNIZO EUFRACIA GUICELA</t>
  </si>
  <si>
    <t>1102404546</t>
  </si>
  <si>
    <t>ORDOÑEZ ORTEGA KARLA ALEJANDRA</t>
  </si>
  <si>
    <t>0302680442</t>
  </si>
  <si>
    <t>ORTIZ CALLE MIRIAM YOLANDA</t>
  </si>
  <si>
    <t>1104488653</t>
  </si>
  <si>
    <t>ORTIZ PESANTES TATIANA MARICELA</t>
  </si>
  <si>
    <t>1103139091</t>
  </si>
  <si>
    <t>PACHECO CELI GLADYS MAGNELI</t>
  </si>
  <si>
    <t>1102312715</t>
  </si>
  <si>
    <t>PACHECO JIMENEZ JOHN PATRICIO</t>
  </si>
  <si>
    <t>1102931217</t>
  </si>
  <si>
    <t>PACHECO VASQUEZ PATRICIA KATERINE</t>
  </si>
  <si>
    <t>1103471098</t>
  </si>
  <si>
    <t>PANAMITO BUSTAMANTE JHONY DARWIN</t>
  </si>
  <si>
    <t>ANALISTA DISTRITAL DE SOPORTE TECNICO</t>
  </si>
  <si>
    <t>1103973804</t>
  </si>
  <si>
    <t>PARDO FLORES MAGALY NOEMI</t>
  </si>
  <si>
    <t>ANALISTA ZONAL DE ADQUISICIONES</t>
  </si>
  <si>
    <t>1103327860</t>
  </si>
  <si>
    <t>PAREDES SOLORZANO JONATHAN ISMAEL</t>
  </si>
  <si>
    <t>0702414731</t>
  </si>
  <si>
    <t>PEÑA RAMIREZ CECILIA ELIZABETH</t>
  </si>
  <si>
    <t>0105290357</t>
  </si>
  <si>
    <t>PESANTEZ URGILES ANGEL ESTEBAN</t>
  </si>
  <si>
    <t>1103588594</t>
  </si>
  <si>
    <t>PIEDRA ILLESCAS GONZALO PATRICIO</t>
  </si>
  <si>
    <t>1103694178</t>
  </si>
  <si>
    <t>QUEZADA MONTOYA ANGEL LEONARDO</t>
  </si>
  <si>
    <t>ANALISTA ZONAL DE GESTION DE RIESGOS 3</t>
  </si>
  <si>
    <t>1103406235</t>
  </si>
  <si>
    <t>QUEZADA ORDOÑEZ PAULINA DE LOS ANGELES</t>
  </si>
  <si>
    <t>1103965719</t>
  </si>
  <si>
    <t>QUITUIZACA GRANDA JANETH LORENA</t>
  </si>
  <si>
    <t>1103062111</t>
  </si>
  <si>
    <t>QUIZHPE MOROCHO CECILIA MARGOTH</t>
  </si>
  <si>
    <t>0302631403</t>
  </si>
  <si>
    <t>QUIZHPE MOROCHO MILTON GEOVANNY</t>
  </si>
  <si>
    <t>0107481566</t>
  </si>
  <si>
    <t>QUIZHPILEMA AMENDAÑO JUAN PABLO</t>
  </si>
  <si>
    <t>1103339063</t>
  </si>
  <si>
    <t>RAMIREZ CARRION MARLON EDUARDO</t>
  </si>
  <si>
    <t>1104163348</t>
  </si>
  <si>
    <t>RAMIREZ PROCEL JORGE EDUARDO</t>
  </si>
  <si>
    <t>RAMON MENDIETA LORENA ELIZABET</t>
  </si>
  <si>
    <t>ENFERMERA</t>
  </si>
  <si>
    <t>1104130040</t>
  </si>
  <si>
    <t>RAMON ORDOÑEZ CRISTINA MARISOL</t>
  </si>
  <si>
    <t>RECEPCIONISTA ZONAL</t>
  </si>
  <si>
    <t>SERVIDOR PUBLICO DE APOYO 2</t>
  </si>
  <si>
    <t>622.00</t>
  </si>
  <si>
    <t>1103733869</t>
  </si>
  <si>
    <t>RAMON PERALTA ANA KARINA</t>
  </si>
  <si>
    <t>1104665334</t>
  </si>
  <si>
    <t>REY AMBULUDI DANILO ROLANDO</t>
  </si>
  <si>
    <t>0705389047</t>
  </si>
  <si>
    <t>REYES ORDOÑEZ PIEDAD JACKELINE</t>
  </si>
  <si>
    <t>1725694341</t>
  </si>
  <si>
    <t>RIVADENEIRA VILLARREAL DARWIN DANIEL</t>
  </si>
  <si>
    <t>1105614208</t>
  </si>
  <si>
    <t>ROA ARMIJOS EVELIN DANIELA</t>
  </si>
  <si>
    <t>ASISTENTE DE COORDINADOR/A ZONAL</t>
  </si>
  <si>
    <t>1104234545</t>
  </si>
  <si>
    <t>ROBLES DIAZ MARIA DE LOS ANGELES</t>
  </si>
  <si>
    <t>1102823463</t>
  </si>
  <si>
    <t>RODRIGUEZ ARTEAGA GILBERT ALEJANDRO</t>
  </si>
  <si>
    <t>ANALISTA ZONAL ADMINISTRATIVO</t>
  </si>
  <si>
    <t>1102359237</t>
  </si>
  <si>
    <t>ROJAS BETANCOURT RAMIRO PATRICIO</t>
  </si>
  <si>
    <t>ANALISTA ZONAL DE TALENTO HUMANO 1</t>
  </si>
  <si>
    <t>1103026355</t>
  </si>
  <si>
    <t>ROJAS JARAMILLO GLADYS PATRICIA</t>
  </si>
  <si>
    <t>ANALISTA DISTRITAL DE PLANIFICACION</t>
  </si>
  <si>
    <t>0702188905</t>
  </si>
  <si>
    <t>ROMERO ESPINOZA SANDRA GRACIELA</t>
  </si>
  <si>
    <t>1102372644</t>
  </si>
  <si>
    <t>SALAZAR CUEVA LESLIE DEL CISNE</t>
  </si>
  <si>
    <t>ANALISTA ZONAL DE TALENTO HUMANO 3</t>
  </si>
  <si>
    <t>1103580500</t>
  </si>
  <si>
    <t>SALAZAR PALADINES MONICA MARITZA</t>
  </si>
  <si>
    <t>1104021579</t>
  </si>
  <si>
    <t>SAMANIEGO IÑIGUEZ ORFA DEL CISNE</t>
  </si>
  <si>
    <t>0105187173</t>
  </si>
  <si>
    <t>SAQUINAULA DUCHITANGA LILIANA ISABEL</t>
  </si>
  <si>
    <t>1105029092</t>
  </si>
  <si>
    <t>SARANGO RIBERA FRANCIS DAVID</t>
  </si>
  <si>
    <t>1103907802</t>
  </si>
  <si>
    <t>SARANGO SOLANO ESTHELA MARIA</t>
  </si>
  <si>
    <t>1104092489</t>
  </si>
  <si>
    <t>SARMIENTO COSTA MARIA JOSE</t>
  </si>
  <si>
    <t>ANALISTA ZONAL DE SECRETARIA GENERAL</t>
  </si>
  <si>
    <t>1104710189</t>
  </si>
  <si>
    <t>SARMIENTO SOTOMAYOR VIVIANA LUCIA</t>
  </si>
  <si>
    <t>0702250325</t>
  </si>
  <si>
    <t>SEVERINO CORREA CARMELINA ESPERANZA</t>
  </si>
  <si>
    <t>1102648340</t>
  </si>
  <si>
    <t>SILVA PACHECO LORENA CECILIA</t>
  </si>
  <si>
    <t>1103395180</t>
  </si>
  <si>
    <t>SONGOR ESPARZA FRANCISCO EFRAIN</t>
  </si>
  <si>
    <t>1103568331</t>
  </si>
  <si>
    <t>SONGOR ESPARZA MARTHA ELENA</t>
  </si>
  <si>
    <t>1103666895</t>
  </si>
  <si>
    <t>SOTOMAYOR MOREIRA CLAUDIA PATRICIA</t>
  </si>
  <si>
    <t>1103707491</t>
  </si>
  <si>
    <t>TAPIA ROMERO ROSA FERNANDA</t>
  </si>
  <si>
    <t>1104578917</t>
  </si>
  <si>
    <t>TITUANA SALINAS MAIDA LUCIA</t>
  </si>
  <si>
    <t>1103705370</t>
  </si>
  <si>
    <t>TOLEDO ALDEAN NATALIA PAULINA</t>
  </si>
  <si>
    <t>1103697700</t>
  </si>
  <si>
    <t>TORRES BAILON ROSA ALBA</t>
  </si>
  <si>
    <t>1104325004</t>
  </si>
  <si>
    <t>TORRES CASTILLO YENSY MABEL</t>
  </si>
  <si>
    <t>GUARDALMACEN</t>
  </si>
  <si>
    <t>1104297112</t>
  </si>
  <si>
    <t>VARGAS PINEDA LORENA NATALY</t>
  </si>
  <si>
    <t>1104978984</t>
  </si>
  <si>
    <t>VASQUEZ AGUILERA KATHERINE TATIANA</t>
  </si>
  <si>
    <t>1104611791</t>
  </si>
  <si>
    <t>VASQUEZ ESPINOSA MARIA JOSE</t>
  </si>
  <si>
    <t>0703862656</t>
  </si>
  <si>
    <t>VEGA RAMIREZ OMAR MAURICIO</t>
  </si>
  <si>
    <t>0107112732</t>
  </si>
  <si>
    <t>VELECELA SANCHEZ LADY MARICELA</t>
  </si>
  <si>
    <t>1706560248</t>
  </si>
  <si>
    <t>VILELA MORA LUIS DAGOBERTO</t>
  </si>
  <si>
    <t>EPIDEMIOLOGO/A DE VIGILACIA ZONAL</t>
  </si>
  <si>
    <t>1104212103</t>
  </si>
  <si>
    <t>VILLACIS VILLA DIANA GABRIELA</t>
  </si>
  <si>
    <t>1104613078</t>
  </si>
  <si>
    <t>VIÑAMAGUA CORDOVA DIANA ISABEL</t>
  </si>
  <si>
    <t>1104641988</t>
  </si>
  <si>
    <t>CALDERON MAZA GABRIELA STEFANY</t>
  </si>
  <si>
    <t>0704407428</t>
  </si>
  <si>
    <t>CAMACHO TORRES DIANA ELIZABETH</t>
  </si>
  <si>
    <t>1104060213</t>
  </si>
  <si>
    <t>CARDENAS SARITAMA LUIS ANDRES</t>
  </si>
  <si>
    <t>1106054107</t>
  </si>
  <si>
    <t>CARTUCHE VALVERDE JESSICA STEPHANIE</t>
  </si>
  <si>
    <t>0706752094</t>
  </si>
  <si>
    <t>CHANTONG CABRERA KEVIN LEONEL</t>
  </si>
  <si>
    <t>1104599418</t>
  </si>
  <si>
    <t>CRUZ ALDEAN ROSANA CAROLINA</t>
  </si>
  <si>
    <t>1104727324</t>
  </si>
  <si>
    <t>CUENCA MALDONADO KARLA VALERIA</t>
  </si>
  <si>
    <t>1104023336</t>
  </si>
  <si>
    <t>FEBRES TORRES SANTIAGO JAVIER</t>
  </si>
  <si>
    <t>1105225476</t>
  </si>
  <si>
    <t>LOYOLA SARMIENTO MARIA JOSE</t>
  </si>
  <si>
    <t>0705045409</t>
  </si>
  <si>
    <t>MONCADA ALVARADO LORENA DEL ROCIO</t>
  </si>
  <si>
    <t>MEDICO/A GENERAL EN FUNCIONES HOSPITALARIAS</t>
  </si>
  <si>
    <t>1103827612</t>
  </si>
  <si>
    <t>MORA PEÑA JORGE LUIS</t>
  </si>
  <si>
    <t>0706858347</t>
  </si>
  <si>
    <t>PEREZ GONZALEZ CRISTINA ELIZABETH</t>
  </si>
  <si>
    <t>1103489736</t>
  </si>
  <si>
    <t>QUEZADA MONTOYA MARTHA CECILIA</t>
  </si>
  <si>
    <t>1104887169</t>
  </si>
  <si>
    <t>RODRIGUEZ SALCEDO JOSE PAUL</t>
  </si>
  <si>
    <t>0706628203</t>
  </si>
  <si>
    <t>ROMERO DUCHICELA MARIUXI MARILU</t>
  </si>
  <si>
    <t>1104806730</t>
  </si>
  <si>
    <t>TORRES CALBA MAIRA ESPERANZA</t>
  </si>
  <si>
    <t>1104496052</t>
  </si>
  <si>
    <t>VELEPUCHA CUESTA CLAUDIA ALEXANDRA</t>
  </si>
  <si>
    <t>ODONTOLOGO/A</t>
  </si>
  <si>
    <t>1720634185</t>
  </si>
  <si>
    <t>YANANGOMEZ PALADINES ANGEL MEDARDO</t>
  </si>
  <si>
    <t>1723846133</t>
  </si>
  <si>
    <t>ZAMBRANO VERDUGO KAREN STEFANYA</t>
  </si>
  <si>
    <t>1104465859</t>
  </si>
  <si>
    <t>ZARUMA SANCHEZ ALBA MERCEDES</t>
  </si>
  <si>
    <t>1104170715</t>
  </si>
  <si>
    <t>ARIAS FERNANDEZ ANA LUCIA</t>
  </si>
  <si>
    <t>ASISTENTE DE ATENCION AL USUARIO</t>
  </si>
  <si>
    <t>1104977556</t>
  </si>
  <si>
    <t>BRAVO REMACHE ANA GABRIELA</t>
  </si>
  <si>
    <t>1104019284</t>
  </si>
  <si>
    <t>CUEVA MALDONADO LUIS FELIPE</t>
  </si>
  <si>
    <t>PLANIFICACIÓN, SEGUIMIENTO Y EVALUACIÓN DE LA GESTIÓN</t>
  </si>
  <si>
    <t>ANALISTA DE PLANIFICACION, SEGUIMIENTO Y EVALUACION DE LA GESTION 1</t>
  </si>
  <si>
    <t>1103551501</t>
  </si>
  <si>
    <t>CUEVA OCHOA MARLENE PIEDAD</t>
  </si>
  <si>
    <t>1104734528</t>
  </si>
  <si>
    <t>GUERRERO JUMBO JHONSON FABIAN</t>
  </si>
  <si>
    <t>1104171408</t>
  </si>
  <si>
    <t>HERNANDEZ SALCEDO DANIELA CUMANDA</t>
  </si>
  <si>
    <t>TRABAJADORA SOCIAL DISTRITAL</t>
  </si>
  <si>
    <t>JUMBO JADAN LISBETH DEL ROCIO</t>
  </si>
  <si>
    <t xml:space="preserve">MÉDICO GENERAL DE PRIMER NIVEL DE ATENCIÒN </t>
  </si>
  <si>
    <t>1103291991</t>
  </si>
  <si>
    <t>MARTINEZ MARTINEZ YEMINA STEPHANIA</t>
  </si>
  <si>
    <t>1103863583</t>
  </si>
  <si>
    <t>SARANGO MAITA RONALD STIWARD</t>
  </si>
  <si>
    <t>TENEDA JARAMILLO JORGE CRISTHIAN</t>
  </si>
  <si>
    <t>INSPECTOR SANITARIO</t>
  </si>
  <si>
    <t>607.28</t>
  </si>
  <si>
    <t>NOMBRAMIENTO DEFINITIVO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</si>
</sst>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dd/mm/yyyy;@"/>
    <numFmt numFmtId="166" formatCode="0.0"/>
  </numFmts>
  <fonts count="17" x14ac:knownFonts="1">
    <font>
      <sz val="11"/>
      <color rgb="FF000000"/>
      <name val="Calibri"/>
      <family val="2"/>
      <charset val="1"/>
    </font>
    <font>
      <sz val="6"/>
      <name val="Calibri"/>
      <family val="2"/>
      <charset val="1"/>
    </font>
    <font>
      <b/>
      <sz val="6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8"/>
      <color rgb="FFFFFFFF"/>
      <name val="Calibri"/>
      <family val="2"/>
      <charset val="1"/>
    </font>
    <font>
      <b/>
      <sz val="6"/>
      <name val="Calibri"/>
      <family val="2"/>
      <charset val="1"/>
    </font>
    <font>
      <b/>
      <sz val="6"/>
      <color rgb="FF1F4E79"/>
      <name val="Calibri"/>
      <family val="2"/>
      <charset val="1"/>
    </font>
    <font>
      <b/>
      <sz val="6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44546A"/>
        <bgColor rgb="FF1F4E79"/>
      </patternFill>
    </fill>
    <fill>
      <patternFill patternType="solid">
        <fgColor rgb="FFD9D9D9"/>
        <b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/>
    <xf numFmtId="0" fontId="1" fillId="2" borderId="0" xfId="0" applyFont="1" applyFill="1" applyAlignment="1" applyProtection="1">
      <alignment vertical="center"/>
      <protection locked="0" hidden="1"/>
    </xf>
    <xf numFmtId="0" fontId="2" fillId="2" borderId="0" xfId="0" applyFont="1" applyFill="1" applyAlignment="1" applyProtection="1">
      <alignment horizontal="center" vertical="center"/>
      <protection locked="0" hidden="1"/>
    </xf>
    <xf numFmtId="0" fontId="5" fillId="3" borderId="0" xfId="0" applyFont="1" applyFill="1" applyAlignment="1">
      <alignment vertical="center"/>
    </xf>
    <xf numFmtId="0" fontId="1" fillId="3" borderId="0" xfId="0" applyFont="1" applyFill="1" applyAlignment="1" applyProtection="1">
      <alignment vertical="center"/>
      <protection locked="0" hidden="1"/>
    </xf>
    <xf numFmtId="0" fontId="2" fillId="3" borderId="0" xfId="0" applyFont="1" applyFill="1" applyAlignment="1" applyProtection="1">
      <alignment horizontal="center" vertical="center"/>
      <protection locked="0" hidden="1"/>
    </xf>
    <xf numFmtId="0" fontId="7" fillId="3" borderId="0" xfId="0" applyFont="1" applyFill="1" applyAlignment="1" applyProtection="1">
      <alignment vertical="top"/>
      <protection locked="0" hidden="1"/>
    </xf>
    <xf numFmtId="0" fontId="6" fillId="0" borderId="0" xfId="0" applyFont="1" applyAlignment="1" applyProtection="1">
      <alignment horizontal="center" vertical="center"/>
      <protection locked="0" hidden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 applyProtection="1">
      <alignment vertical="center"/>
      <protection locked="0" hidden="1"/>
    </xf>
    <xf numFmtId="0" fontId="7" fillId="0" borderId="0" xfId="0" applyFont="1" applyAlignment="1" applyProtection="1">
      <alignment vertical="center"/>
      <protection locked="0" hidden="1"/>
    </xf>
    <xf numFmtId="164" fontId="6" fillId="0" borderId="0" xfId="0" applyNumberFormat="1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1" fillId="0" borderId="2" xfId="0" applyFont="1" applyBorder="1"/>
    <xf numFmtId="0" fontId="3" fillId="0" borderId="2" xfId="0" applyFont="1" applyBorder="1"/>
    <xf numFmtId="165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right"/>
    </xf>
    <xf numFmtId="165" fontId="0" fillId="2" borderId="2" xfId="0" applyNumberFormat="1" applyFill="1" applyBorder="1" applyAlignment="1">
      <alignment horizontal="center"/>
    </xf>
    <xf numFmtId="0" fontId="10" fillId="0" borderId="2" xfId="0" applyFont="1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2" borderId="2" xfId="0" applyFill="1" applyBorder="1"/>
    <xf numFmtId="0" fontId="12" fillId="4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0" borderId="3" xfId="0" applyFont="1" applyBorder="1"/>
    <xf numFmtId="0" fontId="3" fillId="0" borderId="3" xfId="0" applyFont="1" applyBorder="1"/>
    <xf numFmtId="165" fontId="0" fillId="2" borderId="3" xfId="0" applyNumberFormat="1" applyFill="1" applyBorder="1" applyAlignment="1">
      <alignment horizontal="center" vertical="top"/>
    </xf>
    <xf numFmtId="0" fontId="0" fillId="2" borderId="3" xfId="0" applyFill="1" applyBorder="1" applyAlignment="1">
      <alignment horizontal="right" vertical="top"/>
    </xf>
    <xf numFmtId="0" fontId="0" fillId="2" borderId="3" xfId="0" applyFill="1" applyBorder="1" applyAlignment="1">
      <alignment vertical="top"/>
    </xf>
    <xf numFmtId="0" fontId="13" fillId="2" borderId="0" xfId="0" applyFont="1" applyFill="1"/>
    <xf numFmtId="0" fontId="13" fillId="0" borderId="0" xfId="0" applyFont="1"/>
    <xf numFmtId="0" fontId="11" fillId="2" borderId="3" xfId="0" applyFont="1" applyFill="1" applyBorder="1" applyAlignment="1">
      <alignment horizontal="left"/>
    </xf>
    <xf numFmtId="0" fontId="11" fillId="2" borderId="3" xfId="0" applyFont="1" applyFill="1" applyBorder="1"/>
    <xf numFmtId="0" fontId="3" fillId="2" borderId="3" xfId="0" applyFont="1" applyFill="1" applyBorder="1"/>
    <xf numFmtId="164" fontId="0" fillId="2" borderId="3" xfId="0" applyNumberFormat="1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right"/>
    </xf>
    <xf numFmtId="0" fontId="0" fillId="2" borderId="4" xfId="0" applyFill="1" applyBorder="1"/>
    <xf numFmtId="0" fontId="12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/>
    </xf>
    <xf numFmtId="0" fontId="15" fillId="0" borderId="2" xfId="0" applyFont="1" applyBorder="1" applyAlignment="1">
      <alignment horizontal="left"/>
    </xf>
    <xf numFmtId="0" fontId="15" fillId="0" borderId="2" xfId="0" applyFont="1" applyBorder="1"/>
    <xf numFmtId="0" fontId="16" fillId="0" borderId="2" xfId="0" applyFont="1" applyBorder="1"/>
    <xf numFmtId="165" fontId="14" fillId="0" borderId="2" xfId="0" applyNumberFormat="1" applyFont="1" applyBorder="1" applyAlignment="1">
      <alignment horizontal="left" vertical="center"/>
    </xf>
    <xf numFmtId="0" fontId="14" fillId="0" borderId="2" xfId="0" applyFont="1" applyBorder="1" applyAlignment="1">
      <alignment horizontal="right" vertical="center"/>
    </xf>
    <xf numFmtId="0" fontId="14" fillId="0" borderId="2" xfId="0" applyFont="1" applyBorder="1" applyAlignment="1">
      <alignment horizontal="right"/>
    </xf>
    <xf numFmtId="166" fontId="14" fillId="0" borderId="2" xfId="0" applyNumberFormat="1" applyFont="1" applyBorder="1" applyAlignment="1">
      <alignment horizontal="right" vertical="top"/>
    </xf>
    <xf numFmtId="0" fontId="14" fillId="0" borderId="2" xfId="0" applyFont="1" applyBorder="1" applyAlignment="1">
      <alignment horizontal="left"/>
    </xf>
    <xf numFmtId="0" fontId="14" fillId="0" borderId="2" xfId="0" applyFont="1" applyBorder="1"/>
    <xf numFmtId="0" fontId="11" fillId="0" borderId="0" xfId="0" applyFont="1"/>
    <xf numFmtId="2" fontId="16" fillId="0" borderId="2" xfId="0" applyNumberFormat="1" applyFont="1" applyBorder="1" applyAlignment="1">
      <alignment horizontal="left"/>
    </xf>
    <xf numFmtId="4" fontId="16" fillId="0" borderId="2" xfId="0" applyNumberFormat="1" applyFont="1" applyBorder="1" applyAlignment="1">
      <alignment horizontal="left"/>
    </xf>
    <xf numFmtId="164" fontId="15" fillId="0" borderId="2" xfId="0" applyNumberFormat="1" applyFont="1" applyBorder="1"/>
    <xf numFmtId="164" fontId="14" fillId="0" borderId="2" xfId="0" applyNumberFormat="1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locked="0" hidden="1"/>
    </xf>
    <xf numFmtId="0" fontId="3" fillId="2" borderId="0" xfId="0" applyFont="1" applyFill="1" applyAlignment="1" applyProtection="1">
      <alignment horizontal="center" vertical="center"/>
      <protection locked="0" hidden="1"/>
    </xf>
    <xf numFmtId="0" fontId="4" fillId="2" borderId="0" xfId="0" applyFont="1" applyFill="1" applyAlignment="1" applyProtection="1">
      <alignment horizontal="center" vertical="center"/>
      <protection locked="0" hidden="1"/>
    </xf>
    <xf numFmtId="0" fontId="6" fillId="2" borderId="0" xfId="0" applyFont="1" applyFill="1" applyAlignment="1" applyProtection="1">
      <alignment horizontal="left" vertical="center"/>
      <protection locked="0" hidden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0</xdr:row>
      <xdr:rowOff>209520</xdr:rowOff>
    </xdr:from>
    <xdr:to>
      <xdr:col>2</xdr:col>
      <xdr:colOff>2083680</xdr:colOff>
      <xdr:row>1</xdr:row>
      <xdr:rowOff>119160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30880" y="209520"/>
          <a:ext cx="1855080" cy="5094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2520</xdr:colOff>
      <xdr:row>0</xdr:row>
      <xdr:rowOff>0</xdr:rowOff>
    </xdr:from>
    <xdr:to>
      <xdr:col>11</xdr:col>
      <xdr:colOff>663615</xdr:colOff>
      <xdr:row>0</xdr:row>
      <xdr:rowOff>509760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43160" y="0"/>
          <a:ext cx="18770400" cy="5097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2880</xdr:colOff>
      <xdr:row>0</xdr:row>
      <xdr:rowOff>0</xdr:rowOff>
    </xdr:from>
    <xdr:to>
      <xdr:col>5</xdr:col>
      <xdr:colOff>9000</xdr:colOff>
      <xdr:row>0</xdr:row>
      <xdr:rowOff>510120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35320" y="0"/>
          <a:ext cx="8546400" cy="51012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W190"/>
  <sheetViews>
    <sheetView showGridLines="0" topLeftCell="B1" zoomScale="90" zoomScaleNormal="90" workbookViewId="0">
      <pane ySplit="6" topLeftCell="A7" activePane="bottomLeft" state="frozen"/>
      <selection pane="bottomLeft" activeCell="C48" sqref="C48"/>
    </sheetView>
  </sheetViews>
  <sheetFormatPr baseColWidth="10" defaultColWidth="8.85546875" defaultRowHeight="15" x14ac:dyDescent="0.25"/>
  <cols>
    <col min="1" max="1" width="5.85546875" customWidth="1"/>
    <col min="2" max="2" width="11" customWidth="1"/>
    <col min="3" max="3" width="32" style="1" customWidth="1"/>
    <col min="4" max="4" width="19" style="1" customWidth="1"/>
    <col min="5" max="5" width="20.28515625" style="1" customWidth="1"/>
    <col min="6" max="6" width="12.85546875" style="1" customWidth="1"/>
    <col min="7" max="7" width="9.28515625" customWidth="1"/>
    <col min="8" max="8" width="24.7109375" style="1" customWidth="1"/>
    <col min="9" max="9" width="14.5703125" style="2" customWidth="1"/>
    <col min="10" max="10" width="12.5703125" style="2" customWidth="1"/>
    <col min="11" max="11" width="4.7109375" style="2" customWidth="1"/>
    <col min="12" max="12" width="15.28515625" style="3" customWidth="1"/>
    <col min="13" max="13" width="37.140625" style="4" customWidth="1"/>
    <col min="14" max="49" width="11.42578125" style="4"/>
    <col min="50" max="1025" width="10.5703125" customWidth="1"/>
  </cols>
  <sheetData>
    <row r="1" spans="1:49" s="5" customFormat="1" ht="47.25" customHeight="1" x14ac:dyDescent="0.25">
      <c r="B1" s="71"/>
      <c r="C1" s="71"/>
      <c r="D1" s="71"/>
      <c r="E1" s="72" t="s">
        <v>0</v>
      </c>
      <c r="F1" s="72"/>
      <c r="G1" s="72"/>
      <c r="H1" s="72"/>
      <c r="I1" s="72"/>
      <c r="J1" s="72"/>
      <c r="K1" s="72"/>
      <c r="L1" s="72"/>
      <c r="M1" s="6"/>
    </row>
    <row r="2" spans="1:49" s="5" customFormat="1" ht="24.75" customHeight="1" x14ac:dyDescent="0.25">
      <c r="A2" s="73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49" s="5" customFormat="1" ht="13.5" customHeight="1" x14ac:dyDescent="0.25">
      <c r="A3" s="7" t="s">
        <v>2</v>
      </c>
      <c r="B3" s="8"/>
      <c r="C3" s="9"/>
      <c r="D3" s="74"/>
      <c r="E3" s="74"/>
      <c r="F3" s="74"/>
      <c r="G3" s="74"/>
      <c r="H3" s="74"/>
      <c r="I3" s="6"/>
      <c r="J3" s="6"/>
      <c r="K3" s="6"/>
      <c r="L3" s="6"/>
      <c r="M3" s="6"/>
    </row>
    <row r="4" spans="1:49" s="13" customFormat="1" ht="12" customHeight="1" x14ac:dyDescent="0.25">
      <c r="A4" s="7" t="s">
        <v>3</v>
      </c>
      <c r="B4" s="8"/>
      <c r="C4" s="10"/>
      <c r="D4" s="74"/>
      <c r="E4" s="74"/>
      <c r="F4" s="74"/>
      <c r="G4" s="74"/>
      <c r="H4" s="74"/>
      <c r="I4" s="11"/>
      <c r="J4" s="75"/>
      <c r="K4" s="75"/>
      <c r="L4" s="75"/>
      <c r="M4" s="75"/>
    </row>
    <row r="5" spans="1:49" s="13" customFormat="1" ht="17.25" customHeight="1" x14ac:dyDescent="0.25">
      <c r="B5" s="14"/>
      <c r="C5" s="14"/>
      <c r="D5" s="14"/>
      <c r="G5" s="12"/>
      <c r="H5" s="12"/>
      <c r="I5" s="11"/>
      <c r="J5" s="15"/>
      <c r="K5" s="12"/>
      <c r="L5" s="12"/>
      <c r="M5" s="12"/>
    </row>
    <row r="6" spans="1:49" s="19" customFormat="1" ht="60.75" customHeight="1" x14ac:dyDescent="0.25">
      <c r="A6" s="16" t="s">
        <v>4</v>
      </c>
      <c r="B6" s="16" t="s">
        <v>5</v>
      </c>
      <c r="C6" s="16" t="s">
        <v>6</v>
      </c>
      <c r="D6" s="17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</row>
    <row r="7" spans="1:49" ht="22.7" hidden="1" customHeight="1" x14ac:dyDescent="0.25">
      <c r="A7" s="20">
        <v>1</v>
      </c>
      <c r="B7" s="21" t="s">
        <v>17</v>
      </c>
      <c r="C7" s="22" t="s">
        <v>18</v>
      </c>
      <c r="D7" s="22" t="s">
        <v>19</v>
      </c>
      <c r="E7" s="22" t="s">
        <v>20</v>
      </c>
      <c r="F7" s="22" t="s">
        <v>21</v>
      </c>
      <c r="G7" s="23" t="s">
        <v>22</v>
      </c>
      <c r="H7" s="22" t="s">
        <v>23</v>
      </c>
      <c r="I7" s="24">
        <v>44197</v>
      </c>
      <c r="J7" s="25">
        <v>10.53</v>
      </c>
      <c r="K7" s="25">
        <v>8.5299999999999994</v>
      </c>
      <c r="L7" s="25">
        <v>2</v>
      </c>
      <c r="M7" s="26"/>
    </row>
    <row r="8" spans="1:49" ht="22.7" hidden="1" customHeight="1" x14ac:dyDescent="0.25">
      <c r="A8" s="20">
        <f t="shared" ref="A8:A39" si="0">SUM(A7:A7+1)</f>
        <v>2</v>
      </c>
      <c r="B8" s="21" t="s">
        <v>24</v>
      </c>
      <c r="C8" s="22" t="s">
        <v>25</v>
      </c>
      <c r="D8" s="22" t="s">
        <v>26</v>
      </c>
      <c r="E8" s="22" t="s">
        <v>27</v>
      </c>
      <c r="F8" s="22" t="s">
        <v>28</v>
      </c>
      <c r="G8" s="23" t="s">
        <v>29</v>
      </c>
      <c r="H8" s="22" t="s">
        <v>30</v>
      </c>
      <c r="I8" s="24">
        <v>44197</v>
      </c>
      <c r="J8" s="25">
        <v>8.5</v>
      </c>
      <c r="K8" s="25">
        <v>4.5</v>
      </c>
      <c r="L8" s="25">
        <v>4</v>
      </c>
      <c r="M8" s="26"/>
    </row>
    <row r="9" spans="1:49" s="4" customFormat="1" ht="22.7" hidden="1" customHeight="1" x14ac:dyDescent="0.25">
      <c r="A9" s="20">
        <f t="shared" si="0"/>
        <v>3</v>
      </c>
      <c r="B9" s="21" t="s">
        <v>31</v>
      </c>
      <c r="C9" s="22" t="s">
        <v>32</v>
      </c>
      <c r="D9" s="22" t="s">
        <v>26</v>
      </c>
      <c r="E9" s="22" t="s">
        <v>33</v>
      </c>
      <c r="F9" s="22" t="s">
        <v>34</v>
      </c>
      <c r="G9" s="23" t="s">
        <v>35</v>
      </c>
      <c r="H9" s="22" t="s">
        <v>30</v>
      </c>
      <c r="I9" s="24">
        <v>42156</v>
      </c>
      <c r="J9" s="25">
        <v>5.63</v>
      </c>
      <c r="K9" s="25">
        <v>5</v>
      </c>
      <c r="L9" s="27">
        <v>0.63</v>
      </c>
      <c r="M9" s="26"/>
    </row>
    <row r="10" spans="1:49" s="4" customFormat="1" ht="22.7" hidden="1" customHeight="1" x14ac:dyDescent="0.25">
      <c r="A10" s="20">
        <f t="shared" si="0"/>
        <v>4</v>
      </c>
      <c r="B10" s="21" t="s">
        <v>36</v>
      </c>
      <c r="C10" s="22" t="s">
        <v>37</v>
      </c>
      <c r="D10" s="22" t="s">
        <v>38</v>
      </c>
      <c r="E10" s="22" t="s">
        <v>39</v>
      </c>
      <c r="F10" s="22" t="s">
        <v>40</v>
      </c>
      <c r="G10" s="23" t="s">
        <v>41</v>
      </c>
      <c r="H10" s="22" t="s">
        <v>42</v>
      </c>
      <c r="I10" s="28">
        <v>43467</v>
      </c>
      <c r="J10" s="27">
        <v>18.170000000000002</v>
      </c>
      <c r="K10" s="27">
        <v>14.17</v>
      </c>
      <c r="L10" s="27">
        <v>4</v>
      </c>
      <c r="M10" s="26"/>
    </row>
    <row r="11" spans="1:49" s="4" customFormat="1" ht="22.7" hidden="1" customHeight="1" x14ac:dyDescent="0.25">
      <c r="A11" s="20">
        <f t="shared" si="0"/>
        <v>5</v>
      </c>
      <c r="B11" s="21" t="s">
        <v>43</v>
      </c>
      <c r="C11" s="22" t="s">
        <v>44</v>
      </c>
      <c r="D11" s="22" t="s">
        <v>45</v>
      </c>
      <c r="E11" s="22" t="s">
        <v>46</v>
      </c>
      <c r="F11" s="22" t="s">
        <v>47</v>
      </c>
      <c r="G11" s="23" t="s">
        <v>35</v>
      </c>
      <c r="H11" s="22" t="s">
        <v>42</v>
      </c>
      <c r="I11" s="28">
        <v>44501</v>
      </c>
      <c r="J11" s="27">
        <v>30.2</v>
      </c>
      <c r="K11" s="27">
        <v>22.5</v>
      </c>
      <c r="L11" s="27">
        <v>8</v>
      </c>
      <c r="M11" s="29" t="s">
        <v>48</v>
      </c>
    </row>
    <row r="12" spans="1:49" s="4" customFormat="1" ht="22.7" hidden="1" customHeight="1" x14ac:dyDescent="0.25">
      <c r="A12" s="20">
        <f t="shared" si="0"/>
        <v>6</v>
      </c>
      <c r="B12" s="21" t="s">
        <v>49</v>
      </c>
      <c r="C12" s="22" t="s">
        <v>50</v>
      </c>
      <c r="D12" s="22" t="s">
        <v>26</v>
      </c>
      <c r="E12" s="22" t="s">
        <v>33</v>
      </c>
      <c r="F12" s="22" t="s">
        <v>34</v>
      </c>
      <c r="G12" s="23" t="s">
        <v>35</v>
      </c>
      <c r="H12" s="22" t="s">
        <v>30</v>
      </c>
      <c r="I12" s="28">
        <v>42767</v>
      </c>
      <c r="J12" s="27">
        <v>26.48</v>
      </c>
      <c r="K12" s="27">
        <f t="shared" ref="K12:K43" si="1">J12-L12</f>
        <v>18.48</v>
      </c>
      <c r="L12" s="27">
        <v>8</v>
      </c>
      <c r="M12" s="26"/>
    </row>
    <row r="13" spans="1:49" s="4" customFormat="1" ht="22.7" hidden="1" customHeight="1" x14ac:dyDescent="0.25">
      <c r="A13" s="20">
        <f t="shared" si="0"/>
        <v>7</v>
      </c>
      <c r="B13" s="21" t="s">
        <v>51</v>
      </c>
      <c r="C13" s="22" t="s">
        <v>52</v>
      </c>
      <c r="D13" s="22" t="s">
        <v>26</v>
      </c>
      <c r="E13" s="22" t="s">
        <v>33</v>
      </c>
      <c r="F13" s="22" t="s">
        <v>34</v>
      </c>
      <c r="G13" s="23" t="s">
        <v>35</v>
      </c>
      <c r="H13" s="22" t="s">
        <v>30</v>
      </c>
      <c r="I13" s="28">
        <v>42887</v>
      </c>
      <c r="J13" s="27">
        <v>9</v>
      </c>
      <c r="K13" s="27">
        <f t="shared" si="1"/>
        <v>7</v>
      </c>
      <c r="L13" s="27">
        <v>2</v>
      </c>
      <c r="M13" s="26"/>
    </row>
    <row r="14" spans="1:49" s="4" customFormat="1" ht="22.7" hidden="1" customHeight="1" x14ac:dyDescent="0.25">
      <c r="A14" s="20">
        <f t="shared" si="0"/>
        <v>8</v>
      </c>
      <c r="B14" s="21" t="s">
        <v>53</v>
      </c>
      <c r="C14" s="22" t="s">
        <v>54</v>
      </c>
      <c r="D14" s="22" t="s">
        <v>55</v>
      </c>
      <c r="E14" s="22" t="s">
        <v>56</v>
      </c>
      <c r="F14" s="22" t="s">
        <v>57</v>
      </c>
      <c r="G14" s="23" t="s">
        <v>58</v>
      </c>
      <c r="H14" s="22" t="s">
        <v>42</v>
      </c>
      <c r="I14" s="28">
        <v>43739</v>
      </c>
      <c r="J14" s="27">
        <v>25.3</v>
      </c>
      <c r="K14" s="27">
        <f t="shared" si="1"/>
        <v>19.3</v>
      </c>
      <c r="L14" s="27">
        <v>6</v>
      </c>
      <c r="M14" s="26"/>
    </row>
    <row r="15" spans="1:49" s="4" customFormat="1" ht="22.7" hidden="1" customHeight="1" x14ac:dyDescent="0.25">
      <c r="A15" s="20">
        <f t="shared" si="0"/>
        <v>9</v>
      </c>
      <c r="B15" s="21" t="s">
        <v>59</v>
      </c>
      <c r="C15" s="22" t="s">
        <v>60</v>
      </c>
      <c r="D15" s="22" t="s">
        <v>45</v>
      </c>
      <c r="E15" s="22" t="s">
        <v>61</v>
      </c>
      <c r="F15" s="22" t="s">
        <v>21</v>
      </c>
      <c r="G15" s="23" t="s">
        <v>22</v>
      </c>
      <c r="H15" s="22" t="s">
        <v>42</v>
      </c>
      <c r="I15" s="28">
        <v>44013</v>
      </c>
      <c r="J15" s="27">
        <v>0.83</v>
      </c>
      <c r="K15" s="27">
        <f t="shared" si="1"/>
        <v>0.83</v>
      </c>
      <c r="L15" s="27">
        <v>0</v>
      </c>
      <c r="M15" s="26"/>
    </row>
    <row r="16" spans="1:49" s="4" customFormat="1" ht="22.7" hidden="1" customHeight="1" x14ac:dyDescent="0.25">
      <c r="A16" s="20">
        <f t="shared" si="0"/>
        <v>10</v>
      </c>
      <c r="B16" s="21" t="s">
        <v>62</v>
      </c>
      <c r="C16" s="22" t="s">
        <v>63</v>
      </c>
      <c r="D16" s="22" t="s">
        <v>64</v>
      </c>
      <c r="E16" s="22" t="s">
        <v>65</v>
      </c>
      <c r="F16" s="22" t="s">
        <v>47</v>
      </c>
      <c r="G16" s="23" t="s">
        <v>35</v>
      </c>
      <c r="H16" s="22" t="s">
        <v>42</v>
      </c>
      <c r="I16" s="28">
        <v>42506</v>
      </c>
      <c r="J16" s="27">
        <v>3.78</v>
      </c>
      <c r="K16" s="27">
        <f t="shared" si="1"/>
        <v>3.78</v>
      </c>
      <c r="L16" s="27">
        <v>0</v>
      </c>
      <c r="M16" s="26"/>
    </row>
    <row r="17" spans="1:13" s="4" customFormat="1" ht="22.7" hidden="1" customHeight="1" x14ac:dyDescent="0.25">
      <c r="A17" s="20">
        <f t="shared" si="0"/>
        <v>11</v>
      </c>
      <c r="B17" s="21" t="s">
        <v>66</v>
      </c>
      <c r="C17" s="22" t="s">
        <v>67</v>
      </c>
      <c r="D17" s="22" t="s">
        <v>68</v>
      </c>
      <c r="E17" s="22" t="s">
        <v>69</v>
      </c>
      <c r="F17" s="22" t="s">
        <v>47</v>
      </c>
      <c r="G17" s="23" t="s">
        <v>35</v>
      </c>
      <c r="H17" s="22" t="s">
        <v>23</v>
      </c>
      <c r="I17" s="28">
        <v>44197</v>
      </c>
      <c r="J17" s="27">
        <v>0</v>
      </c>
      <c r="K17" s="27">
        <f t="shared" si="1"/>
        <v>0</v>
      </c>
      <c r="L17" s="27">
        <v>0</v>
      </c>
      <c r="M17" s="26"/>
    </row>
    <row r="18" spans="1:13" s="4" customFormat="1" ht="22.7" hidden="1" customHeight="1" x14ac:dyDescent="0.25">
      <c r="A18" s="20">
        <f t="shared" si="0"/>
        <v>12</v>
      </c>
      <c r="B18" s="21" t="s">
        <v>70</v>
      </c>
      <c r="C18" s="22" t="s">
        <v>71</v>
      </c>
      <c r="D18" s="22" t="s">
        <v>72</v>
      </c>
      <c r="E18" s="22" t="s">
        <v>73</v>
      </c>
      <c r="F18" s="22" t="s">
        <v>74</v>
      </c>
      <c r="G18" s="23" t="s">
        <v>75</v>
      </c>
      <c r="H18" s="22" t="s">
        <v>30</v>
      </c>
      <c r="I18" s="28">
        <v>44470</v>
      </c>
      <c r="J18" s="27">
        <v>29.7</v>
      </c>
      <c r="K18" s="27">
        <f t="shared" si="1"/>
        <v>21.7</v>
      </c>
      <c r="L18" s="27">
        <v>8</v>
      </c>
      <c r="M18" s="29" t="s">
        <v>76</v>
      </c>
    </row>
    <row r="19" spans="1:13" s="4" customFormat="1" ht="22.7" hidden="1" customHeight="1" x14ac:dyDescent="0.25">
      <c r="A19" s="20">
        <f t="shared" si="0"/>
        <v>13</v>
      </c>
      <c r="B19" s="21" t="s">
        <v>77</v>
      </c>
      <c r="C19" s="22" t="s">
        <v>78</v>
      </c>
      <c r="D19" s="22" t="s">
        <v>26</v>
      </c>
      <c r="E19" s="22" t="s">
        <v>79</v>
      </c>
      <c r="F19" s="22" t="s">
        <v>57</v>
      </c>
      <c r="G19" s="23" t="s">
        <v>58</v>
      </c>
      <c r="H19" s="22" t="s">
        <v>42</v>
      </c>
      <c r="I19" s="28">
        <v>42278</v>
      </c>
      <c r="J19" s="27">
        <v>11.1</v>
      </c>
      <c r="K19" s="27">
        <f t="shared" si="1"/>
        <v>9.1</v>
      </c>
      <c r="L19" s="27">
        <v>2</v>
      </c>
      <c r="M19" s="26"/>
    </row>
    <row r="20" spans="1:13" s="4" customFormat="1" ht="22.7" hidden="1" customHeight="1" x14ac:dyDescent="0.25">
      <c r="A20" s="20">
        <f t="shared" si="0"/>
        <v>14</v>
      </c>
      <c r="B20" s="21" t="s">
        <v>80</v>
      </c>
      <c r="C20" s="22" t="s">
        <v>81</v>
      </c>
      <c r="D20" s="22" t="s">
        <v>45</v>
      </c>
      <c r="E20" s="22" t="s">
        <v>82</v>
      </c>
      <c r="F20" s="22" t="s">
        <v>47</v>
      </c>
      <c r="G20" s="23" t="s">
        <v>35</v>
      </c>
      <c r="H20" s="22" t="s">
        <v>42</v>
      </c>
      <c r="I20" s="28">
        <v>42248</v>
      </c>
      <c r="J20" s="27">
        <v>18.100000000000001</v>
      </c>
      <c r="K20" s="27">
        <f t="shared" si="1"/>
        <v>14.100000000000001</v>
      </c>
      <c r="L20" s="27">
        <v>4</v>
      </c>
      <c r="M20" s="29"/>
    </row>
    <row r="21" spans="1:13" s="4" customFormat="1" ht="22.7" hidden="1" customHeight="1" x14ac:dyDescent="0.25">
      <c r="A21" s="20">
        <f t="shared" si="0"/>
        <v>15</v>
      </c>
      <c r="B21" s="21" t="s">
        <v>83</v>
      </c>
      <c r="C21" s="22" t="s">
        <v>84</v>
      </c>
      <c r="D21" s="22" t="s">
        <v>85</v>
      </c>
      <c r="E21" s="22" t="s">
        <v>86</v>
      </c>
      <c r="F21" s="22" t="s">
        <v>34</v>
      </c>
      <c r="G21" s="23" t="s">
        <v>35</v>
      </c>
      <c r="H21" s="22" t="s">
        <v>23</v>
      </c>
      <c r="I21" s="28">
        <v>44197</v>
      </c>
      <c r="J21" s="27">
        <v>0.4</v>
      </c>
      <c r="K21" s="27">
        <f t="shared" si="1"/>
        <v>0.4</v>
      </c>
      <c r="L21" s="27">
        <v>0</v>
      </c>
      <c r="M21" s="29"/>
    </row>
    <row r="22" spans="1:13" s="4" customFormat="1" ht="22.7" hidden="1" customHeight="1" x14ac:dyDescent="0.25">
      <c r="A22" s="20">
        <f t="shared" si="0"/>
        <v>16</v>
      </c>
      <c r="B22" s="21" t="s">
        <v>87</v>
      </c>
      <c r="C22" s="22" t="s">
        <v>88</v>
      </c>
      <c r="D22" s="22" t="s">
        <v>72</v>
      </c>
      <c r="E22" s="22" t="s">
        <v>73</v>
      </c>
      <c r="F22" s="22" t="s">
        <v>74</v>
      </c>
      <c r="G22" s="23" t="s">
        <v>75</v>
      </c>
      <c r="H22" s="22" t="s">
        <v>30</v>
      </c>
      <c r="I22" s="28">
        <v>44470</v>
      </c>
      <c r="J22" s="27">
        <v>30</v>
      </c>
      <c r="K22" s="27">
        <f t="shared" si="1"/>
        <v>22</v>
      </c>
      <c r="L22" s="27">
        <v>8</v>
      </c>
      <c r="M22" s="29"/>
    </row>
    <row r="23" spans="1:13" s="4" customFormat="1" ht="22.7" hidden="1" customHeight="1" x14ac:dyDescent="0.25">
      <c r="A23" s="20">
        <f t="shared" si="0"/>
        <v>17</v>
      </c>
      <c r="B23" s="21" t="s">
        <v>89</v>
      </c>
      <c r="C23" s="22" t="s">
        <v>90</v>
      </c>
      <c r="D23" s="22" t="s">
        <v>26</v>
      </c>
      <c r="E23" s="22" t="s">
        <v>91</v>
      </c>
      <c r="F23" s="22" t="s">
        <v>92</v>
      </c>
      <c r="G23" s="23" t="s">
        <v>93</v>
      </c>
      <c r="H23" s="22" t="s">
        <v>30</v>
      </c>
      <c r="I23" s="28">
        <v>37135</v>
      </c>
      <c r="J23" s="27">
        <v>46.1</v>
      </c>
      <c r="K23" s="27">
        <f t="shared" si="1"/>
        <v>40.1</v>
      </c>
      <c r="L23" s="27">
        <v>6</v>
      </c>
      <c r="M23" s="29"/>
    </row>
    <row r="24" spans="1:13" s="4" customFormat="1" ht="22.7" hidden="1" customHeight="1" x14ac:dyDescent="0.25">
      <c r="A24" s="20">
        <f t="shared" si="0"/>
        <v>18</v>
      </c>
      <c r="B24" s="21" t="s">
        <v>94</v>
      </c>
      <c r="C24" s="22" t="s">
        <v>95</v>
      </c>
      <c r="D24" s="22" t="s">
        <v>72</v>
      </c>
      <c r="E24" s="22" t="s">
        <v>73</v>
      </c>
      <c r="F24" s="22" t="s">
        <v>74</v>
      </c>
      <c r="G24" s="23" t="s">
        <v>75</v>
      </c>
      <c r="H24" s="22" t="s">
        <v>30</v>
      </c>
      <c r="I24" s="28">
        <v>44470</v>
      </c>
      <c r="J24" s="27">
        <v>16</v>
      </c>
      <c r="K24" s="27">
        <f t="shared" si="1"/>
        <v>12</v>
      </c>
      <c r="L24" s="27">
        <v>4</v>
      </c>
      <c r="M24" s="29"/>
    </row>
    <row r="25" spans="1:13" s="4" customFormat="1" ht="22.7" hidden="1" customHeight="1" x14ac:dyDescent="0.25">
      <c r="A25" s="20">
        <f t="shared" si="0"/>
        <v>19</v>
      </c>
      <c r="B25" s="21" t="s">
        <v>96</v>
      </c>
      <c r="C25" s="22" t="s">
        <v>97</v>
      </c>
      <c r="D25" s="22" t="s">
        <v>45</v>
      </c>
      <c r="E25" s="22" t="s">
        <v>61</v>
      </c>
      <c r="F25" s="22" t="s">
        <v>21</v>
      </c>
      <c r="G25" s="23" t="s">
        <v>22</v>
      </c>
      <c r="H25" s="22" t="s">
        <v>42</v>
      </c>
      <c r="I25" s="28">
        <v>43467</v>
      </c>
      <c r="J25" s="27">
        <v>27.11</v>
      </c>
      <c r="K25" s="27">
        <f t="shared" si="1"/>
        <v>19.11</v>
      </c>
      <c r="L25" s="27">
        <v>8</v>
      </c>
      <c r="M25" s="29"/>
    </row>
    <row r="26" spans="1:13" s="4" customFormat="1" ht="22.7" hidden="1" customHeight="1" x14ac:dyDescent="0.25">
      <c r="A26" s="20">
        <f t="shared" si="0"/>
        <v>20</v>
      </c>
      <c r="B26" s="21" t="s">
        <v>98</v>
      </c>
      <c r="C26" s="22" t="s">
        <v>99</v>
      </c>
      <c r="D26" s="22" t="s">
        <v>26</v>
      </c>
      <c r="E26" s="22" t="s">
        <v>100</v>
      </c>
      <c r="F26" s="22" t="s">
        <v>101</v>
      </c>
      <c r="G26" s="23" t="s">
        <v>22</v>
      </c>
      <c r="H26" s="22" t="s">
        <v>23</v>
      </c>
      <c r="I26" s="28">
        <v>44197</v>
      </c>
      <c r="J26" s="27">
        <v>0</v>
      </c>
      <c r="K26" s="27">
        <f t="shared" si="1"/>
        <v>0</v>
      </c>
      <c r="L26" s="27">
        <v>0</v>
      </c>
      <c r="M26" s="29"/>
    </row>
    <row r="27" spans="1:13" s="4" customFormat="1" ht="22.7" hidden="1" customHeight="1" x14ac:dyDescent="0.25">
      <c r="A27" s="20">
        <f t="shared" si="0"/>
        <v>21</v>
      </c>
      <c r="B27" s="21" t="s">
        <v>102</v>
      </c>
      <c r="C27" s="22" t="s">
        <v>103</v>
      </c>
      <c r="D27" s="22" t="s">
        <v>72</v>
      </c>
      <c r="E27" s="22" t="s">
        <v>104</v>
      </c>
      <c r="F27" s="22" t="s">
        <v>105</v>
      </c>
      <c r="G27" s="23" t="s">
        <v>58</v>
      </c>
      <c r="H27" s="22" t="s">
        <v>30</v>
      </c>
      <c r="I27" s="28">
        <v>44470</v>
      </c>
      <c r="J27" s="27">
        <v>8</v>
      </c>
      <c r="K27" s="27">
        <f t="shared" si="1"/>
        <v>6</v>
      </c>
      <c r="L27" s="27">
        <v>2</v>
      </c>
      <c r="M27" s="29"/>
    </row>
    <row r="28" spans="1:13" s="4" customFormat="1" ht="22.7" hidden="1" customHeight="1" x14ac:dyDescent="0.25">
      <c r="A28" s="20">
        <f t="shared" si="0"/>
        <v>22</v>
      </c>
      <c r="B28" s="21" t="s">
        <v>106</v>
      </c>
      <c r="C28" s="22" t="s">
        <v>107</v>
      </c>
      <c r="D28" s="22" t="s">
        <v>85</v>
      </c>
      <c r="E28" s="22" t="s">
        <v>86</v>
      </c>
      <c r="F28" s="22" t="s">
        <v>34</v>
      </c>
      <c r="G28" s="23" t="s">
        <v>35</v>
      </c>
      <c r="H28" s="22" t="s">
        <v>23</v>
      </c>
      <c r="I28" s="28">
        <v>44197</v>
      </c>
      <c r="J28" s="27">
        <v>1</v>
      </c>
      <c r="K28" s="27">
        <f t="shared" si="1"/>
        <v>1</v>
      </c>
      <c r="L28" s="27">
        <v>0</v>
      </c>
      <c r="M28" s="29"/>
    </row>
    <row r="29" spans="1:13" s="4" customFormat="1" ht="22.7" hidden="1" customHeight="1" x14ac:dyDescent="0.25">
      <c r="A29" s="20">
        <f t="shared" si="0"/>
        <v>23</v>
      </c>
      <c r="B29" s="21" t="s">
        <v>108</v>
      </c>
      <c r="C29" s="22" t="s">
        <v>109</v>
      </c>
      <c r="D29" s="22" t="s">
        <v>72</v>
      </c>
      <c r="E29" s="22" t="s">
        <v>73</v>
      </c>
      <c r="F29" s="22" t="s">
        <v>74</v>
      </c>
      <c r="G29" s="23" t="s">
        <v>75</v>
      </c>
      <c r="H29" s="22" t="s">
        <v>30</v>
      </c>
      <c r="I29" s="28">
        <v>44470</v>
      </c>
      <c r="J29" s="27">
        <v>30</v>
      </c>
      <c r="K29" s="27">
        <f t="shared" si="1"/>
        <v>22</v>
      </c>
      <c r="L29" s="27">
        <v>8</v>
      </c>
      <c r="M29" s="29" t="s">
        <v>76</v>
      </c>
    </row>
    <row r="30" spans="1:13" s="4" customFormat="1" ht="22.7" hidden="1" customHeight="1" x14ac:dyDescent="0.25">
      <c r="A30" s="20">
        <f t="shared" si="0"/>
        <v>24</v>
      </c>
      <c r="B30" s="21" t="s">
        <v>110</v>
      </c>
      <c r="C30" s="22" t="s">
        <v>111</v>
      </c>
      <c r="D30" s="22" t="s">
        <v>112</v>
      </c>
      <c r="E30" s="22" t="s">
        <v>113</v>
      </c>
      <c r="F30" s="22" t="s">
        <v>57</v>
      </c>
      <c r="G30" s="23" t="s">
        <v>58</v>
      </c>
      <c r="H30" s="22" t="s">
        <v>42</v>
      </c>
      <c r="I30" s="28">
        <v>44378</v>
      </c>
      <c r="J30" s="27">
        <v>13.18</v>
      </c>
      <c r="K30" s="27">
        <f t="shared" si="1"/>
        <v>11.18</v>
      </c>
      <c r="L30" s="27">
        <v>2</v>
      </c>
      <c r="M30" s="29"/>
    </row>
    <row r="31" spans="1:13" s="4" customFormat="1" ht="22.7" hidden="1" customHeight="1" x14ac:dyDescent="0.25">
      <c r="A31" s="20">
        <f t="shared" si="0"/>
        <v>25</v>
      </c>
      <c r="B31" s="21" t="s">
        <v>114</v>
      </c>
      <c r="C31" s="22" t="s">
        <v>115</v>
      </c>
      <c r="D31" s="22" t="s">
        <v>116</v>
      </c>
      <c r="E31" s="22" t="s">
        <v>117</v>
      </c>
      <c r="F31" s="22" t="s">
        <v>47</v>
      </c>
      <c r="G31" s="23" t="s">
        <v>35</v>
      </c>
      <c r="H31" s="22" t="s">
        <v>30</v>
      </c>
      <c r="I31" s="28">
        <v>42005</v>
      </c>
      <c r="J31" s="27">
        <v>16.690000000000001</v>
      </c>
      <c r="K31" s="27">
        <f t="shared" si="1"/>
        <v>12.690000000000001</v>
      </c>
      <c r="L31" s="27">
        <v>4</v>
      </c>
      <c r="M31" s="29"/>
    </row>
    <row r="32" spans="1:13" s="4" customFormat="1" ht="22.7" hidden="1" customHeight="1" x14ac:dyDescent="0.25">
      <c r="A32" s="20">
        <f t="shared" si="0"/>
        <v>26</v>
      </c>
      <c r="B32" s="21" t="s">
        <v>118</v>
      </c>
      <c r="C32" s="22" t="s">
        <v>119</v>
      </c>
      <c r="D32" s="22" t="s">
        <v>120</v>
      </c>
      <c r="E32" s="22" t="s">
        <v>121</v>
      </c>
      <c r="F32" s="22" t="s">
        <v>122</v>
      </c>
      <c r="G32" s="23" t="s">
        <v>93</v>
      </c>
      <c r="H32" s="22" t="s">
        <v>42</v>
      </c>
      <c r="I32" s="28">
        <v>42339</v>
      </c>
      <c r="J32" s="27">
        <v>11.5</v>
      </c>
      <c r="K32" s="27">
        <f t="shared" si="1"/>
        <v>9.5</v>
      </c>
      <c r="L32" s="27">
        <v>2</v>
      </c>
      <c r="M32" s="29"/>
    </row>
    <row r="33" spans="1:13" s="4" customFormat="1" ht="22.7" hidden="1" customHeight="1" x14ac:dyDescent="0.25">
      <c r="A33" s="20">
        <f t="shared" si="0"/>
        <v>27</v>
      </c>
      <c r="B33" s="21" t="s">
        <v>123</v>
      </c>
      <c r="C33" s="22" t="s">
        <v>124</v>
      </c>
      <c r="D33" s="22" t="s">
        <v>72</v>
      </c>
      <c r="E33" s="22" t="s">
        <v>73</v>
      </c>
      <c r="F33" s="22" t="s">
        <v>74</v>
      </c>
      <c r="G33" s="23" t="s">
        <v>75</v>
      </c>
      <c r="H33" s="22" t="s">
        <v>30</v>
      </c>
      <c r="I33" s="28">
        <v>44470</v>
      </c>
      <c r="J33" s="27">
        <v>0</v>
      </c>
      <c r="K33" s="27">
        <f t="shared" si="1"/>
        <v>0</v>
      </c>
      <c r="L33" s="27">
        <v>0</v>
      </c>
      <c r="M33" s="29"/>
    </row>
    <row r="34" spans="1:13" s="4" customFormat="1" ht="22.7" hidden="1" customHeight="1" x14ac:dyDescent="0.25">
      <c r="A34" s="20">
        <f t="shared" si="0"/>
        <v>28</v>
      </c>
      <c r="B34" s="21" t="s">
        <v>125</v>
      </c>
      <c r="C34" s="22" t="s">
        <v>126</v>
      </c>
      <c r="D34" s="22" t="s">
        <v>64</v>
      </c>
      <c r="E34" s="22" t="s">
        <v>65</v>
      </c>
      <c r="F34" s="22" t="s">
        <v>47</v>
      </c>
      <c r="G34" s="23" t="s">
        <v>35</v>
      </c>
      <c r="H34" s="22" t="s">
        <v>42</v>
      </c>
      <c r="I34" s="28">
        <v>43891</v>
      </c>
      <c r="J34" s="27">
        <v>1.57</v>
      </c>
      <c r="K34" s="27">
        <f t="shared" si="1"/>
        <v>1.57</v>
      </c>
      <c r="L34" s="27">
        <v>0</v>
      </c>
      <c r="M34" s="29"/>
    </row>
    <row r="35" spans="1:13" s="4" customFormat="1" ht="22.7" hidden="1" customHeight="1" x14ac:dyDescent="0.25">
      <c r="A35" s="20">
        <f t="shared" si="0"/>
        <v>29</v>
      </c>
      <c r="B35" s="21" t="s">
        <v>127</v>
      </c>
      <c r="C35" s="22" t="s">
        <v>128</v>
      </c>
      <c r="D35" s="22" t="s">
        <v>45</v>
      </c>
      <c r="E35" s="22" t="s">
        <v>61</v>
      </c>
      <c r="F35" s="22" t="s">
        <v>21</v>
      </c>
      <c r="G35" s="23" t="s">
        <v>22</v>
      </c>
      <c r="H35" s="22" t="s">
        <v>42</v>
      </c>
      <c r="I35" s="28">
        <v>42522</v>
      </c>
      <c r="J35" s="27">
        <v>38</v>
      </c>
      <c r="K35" s="27">
        <f t="shared" si="1"/>
        <v>29</v>
      </c>
      <c r="L35" s="27">
        <v>9</v>
      </c>
      <c r="M35" s="29"/>
    </row>
    <row r="36" spans="1:13" s="4" customFormat="1" ht="22.7" hidden="1" customHeight="1" x14ac:dyDescent="0.25">
      <c r="A36" s="20">
        <f t="shared" si="0"/>
        <v>30</v>
      </c>
      <c r="B36" s="21" t="s">
        <v>129</v>
      </c>
      <c r="C36" s="22" t="s">
        <v>130</v>
      </c>
      <c r="D36" s="22" t="s">
        <v>72</v>
      </c>
      <c r="E36" s="22" t="s">
        <v>73</v>
      </c>
      <c r="F36" s="22" t="s">
        <v>74</v>
      </c>
      <c r="G36" s="23" t="s">
        <v>75</v>
      </c>
      <c r="H36" s="22" t="s">
        <v>30</v>
      </c>
      <c r="I36" s="28">
        <v>44470</v>
      </c>
      <c r="J36" s="27">
        <v>14</v>
      </c>
      <c r="K36" s="27">
        <f t="shared" si="1"/>
        <v>10</v>
      </c>
      <c r="L36" s="27">
        <v>4</v>
      </c>
      <c r="M36" s="29" t="s">
        <v>76</v>
      </c>
    </row>
    <row r="37" spans="1:13" s="4" customFormat="1" ht="22.7" hidden="1" customHeight="1" x14ac:dyDescent="0.25">
      <c r="A37" s="20">
        <f t="shared" si="0"/>
        <v>31</v>
      </c>
      <c r="B37" s="21" t="s">
        <v>131</v>
      </c>
      <c r="C37" s="22" t="s">
        <v>132</v>
      </c>
      <c r="D37" s="22" t="s">
        <v>112</v>
      </c>
      <c r="E37" s="22" t="s">
        <v>113</v>
      </c>
      <c r="F37" s="22" t="s">
        <v>57</v>
      </c>
      <c r="G37" s="23" t="s">
        <v>58</v>
      </c>
      <c r="H37" s="22" t="s">
        <v>23</v>
      </c>
      <c r="I37" s="28">
        <v>44317</v>
      </c>
      <c r="J37" s="27">
        <v>0.53</v>
      </c>
      <c r="K37" s="27">
        <f t="shared" si="1"/>
        <v>0.53</v>
      </c>
      <c r="L37" s="27">
        <v>0</v>
      </c>
      <c r="M37" s="29"/>
    </row>
    <row r="38" spans="1:13" s="4" customFormat="1" ht="22.7" hidden="1" customHeight="1" x14ac:dyDescent="0.25">
      <c r="A38" s="20">
        <f t="shared" si="0"/>
        <v>32</v>
      </c>
      <c r="B38" s="21" t="s">
        <v>133</v>
      </c>
      <c r="C38" s="22" t="s">
        <v>134</v>
      </c>
      <c r="D38" s="22" t="s">
        <v>72</v>
      </c>
      <c r="E38" s="22" t="s">
        <v>33</v>
      </c>
      <c r="F38" s="22" t="s">
        <v>34</v>
      </c>
      <c r="G38" s="23" t="s">
        <v>35</v>
      </c>
      <c r="H38" s="22" t="s">
        <v>30</v>
      </c>
      <c r="I38" s="28">
        <v>44470</v>
      </c>
      <c r="J38" s="27">
        <v>5</v>
      </c>
      <c r="K38" s="27">
        <f t="shared" si="1"/>
        <v>3.5</v>
      </c>
      <c r="L38" s="27">
        <v>1.5</v>
      </c>
      <c r="M38" s="29"/>
    </row>
    <row r="39" spans="1:13" s="4" customFormat="1" ht="22.7" hidden="1" customHeight="1" x14ac:dyDescent="0.25">
      <c r="A39" s="20">
        <f t="shared" si="0"/>
        <v>33</v>
      </c>
      <c r="B39" s="21" t="s">
        <v>135</v>
      </c>
      <c r="C39" s="22" t="s">
        <v>136</v>
      </c>
      <c r="D39" s="22" t="s">
        <v>137</v>
      </c>
      <c r="E39" s="22" t="s">
        <v>138</v>
      </c>
      <c r="F39" s="22" t="s">
        <v>105</v>
      </c>
      <c r="G39" s="23" t="s">
        <v>58</v>
      </c>
      <c r="H39" s="22" t="s">
        <v>42</v>
      </c>
      <c r="I39" s="28">
        <v>44531</v>
      </c>
      <c r="J39" s="27">
        <v>0</v>
      </c>
      <c r="K39" s="27">
        <f t="shared" si="1"/>
        <v>0</v>
      </c>
      <c r="L39" s="27">
        <v>0</v>
      </c>
      <c r="M39" s="29"/>
    </row>
    <row r="40" spans="1:13" s="4" customFormat="1" ht="22.7" hidden="1" customHeight="1" x14ac:dyDescent="0.25">
      <c r="A40" s="20">
        <f t="shared" ref="A40:A71" si="2">SUM(A39:A39+1)</f>
        <v>34</v>
      </c>
      <c r="B40" s="21" t="s">
        <v>139</v>
      </c>
      <c r="C40" s="22" t="s">
        <v>140</v>
      </c>
      <c r="D40" s="22" t="s">
        <v>68</v>
      </c>
      <c r="E40" s="22" t="s">
        <v>141</v>
      </c>
      <c r="F40" s="22" t="s">
        <v>57</v>
      </c>
      <c r="G40" s="23" t="s">
        <v>58</v>
      </c>
      <c r="H40" s="22" t="s">
        <v>42</v>
      </c>
      <c r="I40" s="28">
        <v>42278</v>
      </c>
      <c r="J40" s="27">
        <v>2.42</v>
      </c>
      <c r="K40" s="27">
        <f t="shared" si="1"/>
        <v>2.42</v>
      </c>
      <c r="L40" s="27">
        <v>0</v>
      </c>
      <c r="M40" s="29"/>
    </row>
    <row r="41" spans="1:13" s="4" customFormat="1" ht="22.7" hidden="1" customHeight="1" x14ac:dyDescent="0.25">
      <c r="A41" s="20">
        <f t="shared" si="2"/>
        <v>35</v>
      </c>
      <c r="B41" s="21" t="s">
        <v>142</v>
      </c>
      <c r="C41" s="22" t="s">
        <v>143</v>
      </c>
      <c r="D41" s="22" t="s">
        <v>144</v>
      </c>
      <c r="E41" s="22" t="s">
        <v>145</v>
      </c>
      <c r="F41" s="22" t="s">
        <v>57</v>
      </c>
      <c r="G41" s="23" t="s">
        <v>58</v>
      </c>
      <c r="H41" s="22" t="s">
        <v>30</v>
      </c>
      <c r="I41" s="28">
        <v>42156</v>
      </c>
      <c r="J41" s="27">
        <v>0.48</v>
      </c>
      <c r="K41" s="27">
        <f t="shared" si="1"/>
        <v>0.48</v>
      </c>
      <c r="L41" s="27">
        <v>0</v>
      </c>
      <c r="M41" s="29"/>
    </row>
    <row r="42" spans="1:13" s="4" customFormat="1" ht="22.7" hidden="1" customHeight="1" x14ac:dyDescent="0.25">
      <c r="A42" s="20">
        <f t="shared" si="2"/>
        <v>36</v>
      </c>
      <c r="B42" s="21" t="s">
        <v>146</v>
      </c>
      <c r="C42" s="22" t="s">
        <v>147</v>
      </c>
      <c r="D42" s="22" t="s">
        <v>72</v>
      </c>
      <c r="E42" s="22" t="s">
        <v>73</v>
      </c>
      <c r="F42" s="22" t="s">
        <v>74</v>
      </c>
      <c r="G42" s="23" t="s">
        <v>75</v>
      </c>
      <c r="H42" s="22" t="s">
        <v>30</v>
      </c>
      <c r="I42" s="28">
        <v>44470</v>
      </c>
      <c r="J42" s="27">
        <v>14</v>
      </c>
      <c r="K42" s="27">
        <f t="shared" si="1"/>
        <v>10</v>
      </c>
      <c r="L42" s="27">
        <v>4</v>
      </c>
      <c r="M42" s="29" t="s">
        <v>76</v>
      </c>
    </row>
    <row r="43" spans="1:13" s="4" customFormat="1" ht="22.7" hidden="1" customHeight="1" x14ac:dyDescent="0.25">
      <c r="A43" s="20">
        <f t="shared" si="2"/>
        <v>37</v>
      </c>
      <c r="B43" s="21" t="s">
        <v>148</v>
      </c>
      <c r="C43" s="22" t="s">
        <v>149</v>
      </c>
      <c r="D43" s="22" t="s">
        <v>64</v>
      </c>
      <c r="E43" s="22" t="s">
        <v>65</v>
      </c>
      <c r="F43" s="22" t="s">
        <v>47</v>
      </c>
      <c r="G43" s="23" t="s">
        <v>35</v>
      </c>
      <c r="H43" s="22" t="s">
        <v>42</v>
      </c>
      <c r="I43" s="28">
        <v>44470</v>
      </c>
      <c r="J43" s="27">
        <v>14</v>
      </c>
      <c r="K43" s="27">
        <f t="shared" si="1"/>
        <v>10</v>
      </c>
      <c r="L43" s="27">
        <v>4</v>
      </c>
      <c r="M43" s="29"/>
    </row>
    <row r="44" spans="1:13" s="4" customFormat="1" ht="22.7" hidden="1" customHeight="1" x14ac:dyDescent="0.25">
      <c r="A44" s="20">
        <f t="shared" si="2"/>
        <v>38</v>
      </c>
      <c r="B44" s="21" t="s">
        <v>150</v>
      </c>
      <c r="C44" s="22" t="s">
        <v>151</v>
      </c>
      <c r="D44" s="22" t="s">
        <v>26</v>
      </c>
      <c r="E44" s="22" t="s">
        <v>104</v>
      </c>
      <c r="F44" s="22" t="s">
        <v>105</v>
      </c>
      <c r="G44" s="23" t="s">
        <v>58</v>
      </c>
      <c r="H44" s="22" t="s">
        <v>30</v>
      </c>
      <c r="I44" s="28">
        <v>42767</v>
      </c>
      <c r="J44" s="27">
        <v>24</v>
      </c>
      <c r="K44" s="27">
        <f t="shared" ref="K44:K75" si="3">J44-L44</f>
        <v>18</v>
      </c>
      <c r="L44" s="27">
        <v>6</v>
      </c>
      <c r="M44" s="29"/>
    </row>
    <row r="45" spans="1:13" s="4" customFormat="1" ht="22.7" hidden="1" customHeight="1" x14ac:dyDescent="0.25">
      <c r="A45" s="20">
        <f t="shared" si="2"/>
        <v>39</v>
      </c>
      <c r="B45" s="21" t="s">
        <v>152</v>
      </c>
      <c r="C45" s="22" t="s">
        <v>153</v>
      </c>
      <c r="D45" s="22" t="s">
        <v>154</v>
      </c>
      <c r="E45" s="22" t="s">
        <v>155</v>
      </c>
      <c r="F45" s="22" t="s">
        <v>40</v>
      </c>
      <c r="G45" s="23" t="s">
        <v>41</v>
      </c>
      <c r="H45" s="22" t="s">
        <v>42</v>
      </c>
      <c r="I45" s="28">
        <v>43466</v>
      </c>
      <c r="J45" s="27">
        <v>55.68</v>
      </c>
      <c r="K45" s="27">
        <f t="shared" si="3"/>
        <v>41.68</v>
      </c>
      <c r="L45" s="27">
        <v>14</v>
      </c>
      <c r="M45" s="29" t="s">
        <v>156</v>
      </c>
    </row>
    <row r="46" spans="1:13" s="4" customFormat="1" ht="22.7" hidden="1" customHeight="1" x14ac:dyDescent="0.25">
      <c r="A46" s="20">
        <f t="shared" si="2"/>
        <v>40</v>
      </c>
      <c r="B46" s="21" t="s">
        <v>157</v>
      </c>
      <c r="C46" s="22" t="s">
        <v>158</v>
      </c>
      <c r="D46" s="22" t="s">
        <v>45</v>
      </c>
      <c r="E46" s="22" t="s">
        <v>61</v>
      </c>
      <c r="F46" s="22" t="s">
        <v>21</v>
      </c>
      <c r="G46" s="23" t="s">
        <v>22</v>
      </c>
      <c r="H46" s="22" t="s">
        <v>42</v>
      </c>
      <c r="I46" s="28">
        <v>43252</v>
      </c>
      <c r="J46" s="27">
        <v>12</v>
      </c>
      <c r="K46" s="27">
        <f t="shared" si="3"/>
        <v>9</v>
      </c>
      <c r="L46" s="27">
        <v>3</v>
      </c>
      <c r="M46" s="29"/>
    </row>
    <row r="47" spans="1:13" s="4" customFormat="1" ht="22.7" hidden="1" customHeight="1" x14ac:dyDescent="0.25">
      <c r="A47" s="20">
        <f t="shared" si="2"/>
        <v>41</v>
      </c>
      <c r="B47" s="21" t="s">
        <v>159</v>
      </c>
      <c r="C47" s="22" t="s">
        <v>160</v>
      </c>
      <c r="D47" s="22" t="s">
        <v>161</v>
      </c>
      <c r="E47" s="22" t="s">
        <v>162</v>
      </c>
      <c r="F47" s="22" t="s">
        <v>57</v>
      </c>
      <c r="G47" s="23" t="s">
        <v>58</v>
      </c>
      <c r="H47" s="22" t="s">
        <v>42</v>
      </c>
      <c r="I47" s="28">
        <v>43374</v>
      </c>
      <c r="J47" s="27">
        <v>30.3</v>
      </c>
      <c r="K47" s="27">
        <f t="shared" si="3"/>
        <v>22.3</v>
      </c>
      <c r="L47" s="27">
        <v>8</v>
      </c>
      <c r="M47" s="29"/>
    </row>
    <row r="48" spans="1:13" s="4" customFormat="1" ht="22.7" customHeight="1" x14ac:dyDescent="0.25">
      <c r="A48" s="20">
        <f t="shared" si="2"/>
        <v>42</v>
      </c>
      <c r="B48" s="21" t="s">
        <v>163</v>
      </c>
      <c r="C48" s="22" t="s">
        <v>164</v>
      </c>
      <c r="D48" s="22" t="s">
        <v>26</v>
      </c>
      <c r="E48" s="22" t="s">
        <v>165</v>
      </c>
      <c r="F48" s="22" t="s">
        <v>34</v>
      </c>
      <c r="G48" s="23" t="s">
        <v>35</v>
      </c>
      <c r="H48" s="22" t="s">
        <v>42</v>
      </c>
      <c r="I48" s="28">
        <v>42887</v>
      </c>
      <c r="J48" s="27">
        <v>84</v>
      </c>
      <c r="K48" s="27">
        <f t="shared" si="3"/>
        <v>62</v>
      </c>
      <c r="L48" s="27">
        <v>22</v>
      </c>
      <c r="M48" s="29" t="s">
        <v>166</v>
      </c>
    </row>
    <row r="49" spans="1:13" s="4" customFormat="1" ht="22.7" hidden="1" customHeight="1" x14ac:dyDescent="0.25">
      <c r="A49" s="20">
        <f t="shared" si="2"/>
        <v>43</v>
      </c>
      <c r="B49" s="21" t="s">
        <v>167</v>
      </c>
      <c r="C49" s="22" t="s">
        <v>168</v>
      </c>
      <c r="D49" s="22" t="s">
        <v>169</v>
      </c>
      <c r="E49" s="22" t="s">
        <v>170</v>
      </c>
      <c r="F49" s="22" t="s">
        <v>171</v>
      </c>
      <c r="G49" s="23" t="s">
        <v>172</v>
      </c>
      <c r="H49" s="22" t="s">
        <v>30</v>
      </c>
      <c r="I49" s="28">
        <v>44378</v>
      </c>
      <c r="J49" s="27">
        <v>0.85</v>
      </c>
      <c r="K49" s="27">
        <f t="shared" si="3"/>
        <v>0.85</v>
      </c>
      <c r="L49" s="27">
        <v>0</v>
      </c>
      <c r="M49" s="29"/>
    </row>
    <row r="50" spans="1:13" s="4" customFormat="1" ht="22.7" hidden="1" customHeight="1" x14ac:dyDescent="0.25">
      <c r="A50" s="20">
        <f t="shared" si="2"/>
        <v>44</v>
      </c>
      <c r="B50" s="21" t="s">
        <v>173</v>
      </c>
      <c r="C50" s="22" t="s">
        <v>174</v>
      </c>
      <c r="D50" s="22" t="s">
        <v>26</v>
      </c>
      <c r="E50" s="22" t="s">
        <v>100</v>
      </c>
      <c r="F50" s="22" t="s">
        <v>101</v>
      </c>
      <c r="G50" s="23" t="s">
        <v>22</v>
      </c>
      <c r="H50" s="22" t="s">
        <v>23</v>
      </c>
      <c r="I50" s="28">
        <v>44197</v>
      </c>
      <c r="J50" s="27">
        <v>0</v>
      </c>
      <c r="K50" s="27">
        <f t="shared" si="3"/>
        <v>0</v>
      </c>
      <c r="L50" s="27">
        <v>0</v>
      </c>
      <c r="M50" s="29"/>
    </row>
    <row r="51" spans="1:13" s="4" customFormat="1" ht="22.7" hidden="1" customHeight="1" x14ac:dyDescent="0.25">
      <c r="A51" s="20">
        <f t="shared" si="2"/>
        <v>45</v>
      </c>
      <c r="B51" s="21" t="s">
        <v>175</v>
      </c>
      <c r="C51" s="22" t="s">
        <v>176</v>
      </c>
      <c r="D51" s="22" t="s">
        <v>72</v>
      </c>
      <c r="E51" s="22" t="s">
        <v>73</v>
      </c>
      <c r="F51" s="22" t="s">
        <v>74</v>
      </c>
      <c r="G51" s="23" t="s">
        <v>75</v>
      </c>
      <c r="H51" s="22" t="s">
        <v>30</v>
      </c>
      <c r="I51" s="28">
        <v>44470</v>
      </c>
      <c r="J51" s="27">
        <v>30</v>
      </c>
      <c r="K51" s="27">
        <f t="shared" si="3"/>
        <v>22</v>
      </c>
      <c r="L51" s="27">
        <v>8</v>
      </c>
      <c r="M51" s="29"/>
    </row>
    <row r="52" spans="1:13" s="4" customFormat="1" ht="22.7" hidden="1" customHeight="1" x14ac:dyDescent="0.25">
      <c r="A52" s="20">
        <f t="shared" si="2"/>
        <v>46</v>
      </c>
      <c r="B52" s="21" t="s">
        <v>177</v>
      </c>
      <c r="C52" s="22" t="s">
        <v>178</v>
      </c>
      <c r="D52" s="22" t="s">
        <v>179</v>
      </c>
      <c r="E52" s="22" t="s">
        <v>141</v>
      </c>
      <c r="F52" s="22" t="s">
        <v>57</v>
      </c>
      <c r="G52" s="23" t="s">
        <v>58</v>
      </c>
      <c r="H52" s="22" t="s">
        <v>23</v>
      </c>
      <c r="I52" s="28">
        <v>44197</v>
      </c>
      <c r="J52" s="27">
        <v>0</v>
      </c>
      <c r="K52" s="27">
        <f t="shared" si="3"/>
        <v>0</v>
      </c>
      <c r="L52" s="27">
        <v>0</v>
      </c>
      <c r="M52" s="29"/>
    </row>
    <row r="53" spans="1:13" s="4" customFormat="1" ht="22.7" hidden="1" customHeight="1" x14ac:dyDescent="0.25">
      <c r="A53" s="20">
        <f t="shared" si="2"/>
        <v>47</v>
      </c>
      <c r="B53" s="21" t="s">
        <v>180</v>
      </c>
      <c r="C53" s="22" t="s">
        <v>181</v>
      </c>
      <c r="D53" s="22" t="s">
        <v>85</v>
      </c>
      <c r="E53" s="22" t="s">
        <v>182</v>
      </c>
      <c r="F53" s="22" t="s">
        <v>34</v>
      </c>
      <c r="G53" s="23" t="s">
        <v>35</v>
      </c>
      <c r="H53" s="22" t="s">
        <v>23</v>
      </c>
      <c r="I53" s="28">
        <v>44197</v>
      </c>
      <c r="J53" s="27">
        <v>0</v>
      </c>
      <c r="K53" s="27">
        <f t="shared" si="3"/>
        <v>0</v>
      </c>
      <c r="L53" s="27">
        <v>0</v>
      </c>
      <c r="M53" s="29"/>
    </row>
    <row r="54" spans="1:13" s="4" customFormat="1" ht="22.7" hidden="1" customHeight="1" x14ac:dyDescent="0.25">
      <c r="A54" s="20">
        <f t="shared" si="2"/>
        <v>48</v>
      </c>
      <c r="B54" s="21" t="s">
        <v>183</v>
      </c>
      <c r="C54" s="22" t="s">
        <v>184</v>
      </c>
      <c r="D54" s="22" t="s">
        <v>72</v>
      </c>
      <c r="E54" s="22" t="s">
        <v>73</v>
      </c>
      <c r="F54" s="22" t="s">
        <v>74</v>
      </c>
      <c r="G54" s="23" t="s">
        <v>75</v>
      </c>
      <c r="H54" s="22" t="s">
        <v>30</v>
      </c>
      <c r="I54" s="28">
        <v>44470</v>
      </c>
      <c r="J54" s="27">
        <v>13</v>
      </c>
      <c r="K54" s="27">
        <f t="shared" si="3"/>
        <v>10</v>
      </c>
      <c r="L54" s="27">
        <v>3</v>
      </c>
      <c r="M54" s="29"/>
    </row>
    <row r="55" spans="1:13" s="4" customFormat="1" ht="22.7" hidden="1" customHeight="1" x14ac:dyDescent="0.25">
      <c r="A55" s="20">
        <f t="shared" si="2"/>
        <v>49</v>
      </c>
      <c r="B55" s="21" t="s">
        <v>185</v>
      </c>
      <c r="C55" s="22" t="s">
        <v>186</v>
      </c>
      <c r="D55" s="22" t="s">
        <v>68</v>
      </c>
      <c r="E55" s="22" t="s">
        <v>187</v>
      </c>
      <c r="F55" s="22" t="s">
        <v>188</v>
      </c>
      <c r="G55" s="23" t="s">
        <v>189</v>
      </c>
      <c r="H55" s="22" t="s">
        <v>30</v>
      </c>
      <c r="I55" s="28">
        <v>41091</v>
      </c>
      <c r="J55" s="27">
        <v>17.600000000000001</v>
      </c>
      <c r="K55" s="27">
        <f t="shared" si="3"/>
        <v>13.600000000000001</v>
      </c>
      <c r="L55" s="27">
        <v>4</v>
      </c>
      <c r="M55" s="29"/>
    </row>
    <row r="56" spans="1:13" s="4" customFormat="1" ht="22.7" hidden="1" customHeight="1" x14ac:dyDescent="0.25">
      <c r="A56" s="20">
        <f t="shared" si="2"/>
        <v>50</v>
      </c>
      <c r="B56" s="21" t="s">
        <v>190</v>
      </c>
      <c r="C56" s="22" t="s">
        <v>191</v>
      </c>
      <c r="D56" s="22" t="s">
        <v>26</v>
      </c>
      <c r="E56" s="22" t="s">
        <v>100</v>
      </c>
      <c r="F56" s="22" t="s">
        <v>101</v>
      </c>
      <c r="G56" s="23" t="s">
        <v>22</v>
      </c>
      <c r="H56" s="22" t="s">
        <v>23</v>
      </c>
      <c r="I56" s="28">
        <v>44197</v>
      </c>
      <c r="J56" s="27">
        <v>0</v>
      </c>
      <c r="K56" s="27">
        <f t="shared" si="3"/>
        <v>0</v>
      </c>
      <c r="L56" s="27">
        <v>0</v>
      </c>
      <c r="M56" s="29"/>
    </row>
    <row r="57" spans="1:13" s="4" customFormat="1" ht="22.7" hidden="1" customHeight="1" x14ac:dyDescent="0.25">
      <c r="A57" s="20">
        <f t="shared" si="2"/>
        <v>51</v>
      </c>
      <c r="B57" s="21" t="s">
        <v>192</v>
      </c>
      <c r="C57" s="22" t="s">
        <v>193</v>
      </c>
      <c r="D57" s="22" t="s">
        <v>68</v>
      </c>
      <c r="E57" s="22" t="s">
        <v>69</v>
      </c>
      <c r="F57" s="22" t="s">
        <v>47</v>
      </c>
      <c r="G57" s="23" t="s">
        <v>35</v>
      </c>
      <c r="H57" s="22" t="s">
        <v>23</v>
      </c>
      <c r="I57" s="28">
        <v>44197</v>
      </c>
      <c r="J57" s="27">
        <v>0.84</v>
      </c>
      <c r="K57" s="27">
        <f t="shared" si="3"/>
        <v>0.84</v>
      </c>
      <c r="L57" s="27">
        <v>0</v>
      </c>
      <c r="M57" s="29"/>
    </row>
    <row r="58" spans="1:13" s="4" customFormat="1" ht="22.7" hidden="1" customHeight="1" x14ac:dyDescent="0.25">
      <c r="A58" s="20">
        <f t="shared" si="2"/>
        <v>52</v>
      </c>
      <c r="B58" s="21" t="s">
        <v>194</v>
      </c>
      <c r="C58" s="22" t="s">
        <v>195</v>
      </c>
      <c r="D58" s="22" t="s">
        <v>196</v>
      </c>
      <c r="E58" s="22" t="s">
        <v>197</v>
      </c>
      <c r="F58" s="22" t="s">
        <v>198</v>
      </c>
      <c r="G58" s="23" t="s">
        <v>199</v>
      </c>
      <c r="H58" s="22" t="s">
        <v>42</v>
      </c>
      <c r="I58" s="28">
        <v>44349</v>
      </c>
      <c r="J58" s="27">
        <v>6.47</v>
      </c>
      <c r="K58" s="27">
        <f t="shared" si="3"/>
        <v>4.47</v>
      </c>
      <c r="L58" s="27">
        <v>2</v>
      </c>
      <c r="M58" s="29"/>
    </row>
    <row r="59" spans="1:13" s="4" customFormat="1" ht="22.7" hidden="1" customHeight="1" x14ac:dyDescent="0.25">
      <c r="A59" s="20">
        <f t="shared" si="2"/>
        <v>53</v>
      </c>
      <c r="B59" s="21" t="s">
        <v>200</v>
      </c>
      <c r="C59" s="22" t="s">
        <v>201</v>
      </c>
      <c r="D59" s="22" t="s">
        <v>112</v>
      </c>
      <c r="E59" s="22" t="s">
        <v>113</v>
      </c>
      <c r="F59" s="22" t="s">
        <v>57</v>
      </c>
      <c r="G59" s="23" t="s">
        <v>58</v>
      </c>
      <c r="H59" s="22" t="s">
        <v>30</v>
      </c>
      <c r="I59" s="28">
        <v>41883</v>
      </c>
      <c r="J59" s="27">
        <v>51.2</v>
      </c>
      <c r="K59" s="27">
        <f t="shared" si="3"/>
        <v>38.200000000000003</v>
      </c>
      <c r="L59" s="27">
        <v>13</v>
      </c>
      <c r="M59" s="29"/>
    </row>
    <row r="60" spans="1:13" s="4" customFormat="1" ht="22.7" hidden="1" customHeight="1" x14ac:dyDescent="0.25">
      <c r="A60" s="20">
        <f t="shared" si="2"/>
        <v>54</v>
      </c>
      <c r="B60" s="21" t="s">
        <v>202</v>
      </c>
      <c r="C60" s="22" t="s">
        <v>203</v>
      </c>
      <c r="D60" s="22" t="s">
        <v>68</v>
      </c>
      <c r="E60" s="22" t="s">
        <v>141</v>
      </c>
      <c r="F60" s="22" t="s">
        <v>57</v>
      </c>
      <c r="G60" s="23" t="s">
        <v>58</v>
      </c>
      <c r="H60" s="22" t="s">
        <v>42</v>
      </c>
      <c r="I60" s="28">
        <v>44501</v>
      </c>
      <c r="J60" s="27">
        <v>21.5</v>
      </c>
      <c r="K60" s="27">
        <f t="shared" si="3"/>
        <v>17.5</v>
      </c>
      <c r="L60" s="27">
        <v>4</v>
      </c>
      <c r="M60" s="29"/>
    </row>
    <row r="61" spans="1:13" s="4" customFormat="1" ht="22.7" hidden="1" customHeight="1" x14ac:dyDescent="0.25">
      <c r="A61" s="20">
        <f t="shared" si="2"/>
        <v>55</v>
      </c>
      <c r="B61" s="21" t="s">
        <v>204</v>
      </c>
      <c r="C61" s="22" t="s">
        <v>205</v>
      </c>
      <c r="D61" s="22" t="s">
        <v>26</v>
      </c>
      <c r="E61" s="22" t="s">
        <v>100</v>
      </c>
      <c r="F61" s="22" t="s">
        <v>101</v>
      </c>
      <c r="G61" s="23" t="s">
        <v>22</v>
      </c>
      <c r="H61" s="22" t="s">
        <v>23</v>
      </c>
      <c r="I61" s="28">
        <v>44197</v>
      </c>
      <c r="J61" s="27">
        <v>0</v>
      </c>
      <c r="K61" s="27">
        <f t="shared" si="3"/>
        <v>0</v>
      </c>
      <c r="L61" s="27">
        <v>0</v>
      </c>
      <c r="M61" s="29"/>
    </row>
    <row r="62" spans="1:13" s="4" customFormat="1" ht="22.7" hidden="1" customHeight="1" x14ac:dyDescent="0.25">
      <c r="A62" s="20">
        <f t="shared" si="2"/>
        <v>56</v>
      </c>
      <c r="B62" s="21" t="s">
        <v>206</v>
      </c>
      <c r="C62" s="22" t="s">
        <v>207</v>
      </c>
      <c r="D62" s="22" t="s">
        <v>72</v>
      </c>
      <c r="E62" s="22" t="s">
        <v>33</v>
      </c>
      <c r="F62" s="22" t="s">
        <v>34</v>
      </c>
      <c r="G62" s="23" t="s">
        <v>35</v>
      </c>
      <c r="H62" s="22" t="s">
        <v>42</v>
      </c>
      <c r="I62" s="28">
        <v>42430</v>
      </c>
      <c r="J62" s="27">
        <v>23</v>
      </c>
      <c r="K62" s="27">
        <f t="shared" si="3"/>
        <v>17</v>
      </c>
      <c r="L62" s="27">
        <v>6</v>
      </c>
      <c r="M62" s="29"/>
    </row>
    <row r="63" spans="1:13" s="4" customFormat="1" ht="22.7" hidden="1" customHeight="1" x14ac:dyDescent="0.25">
      <c r="A63" s="20">
        <f t="shared" si="2"/>
        <v>57</v>
      </c>
      <c r="B63" s="21" t="s">
        <v>208</v>
      </c>
      <c r="C63" s="22" t="s">
        <v>209</v>
      </c>
      <c r="D63" s="22" t="s">
        <v>116</v>
      </c>
      <c r="E63" s="22" t="s">
        <v>210</v>
      </c>
      <c r="F63" s="22" t="s">
        <v>47</v>
      </c>
      <c r="G63" s="23" t="s">
        <v>35</v>
      </c>
      <c r="H63" s="22" t="s">
        <v>42</v>
      </c>
      <c r="I63" s="28">
        <v>42675</v>
      </c>
      <c r="J63" s="27">
        <v>49</v>
      </c>
      <c r="K63" s="27">
        <f t="shared" si="3"/>
        <v>38</v>
      </c>
      <c r="L63" s="27">
        <v>11</v>
      </c>
      <c r="M63" s="29"/>
    </row>
    <row r="64" spans="1:13" s="4" customFormat="1" ht="22.7" hidden="1" customHeight="1" x14ac:dyDescent="0.25">
      <c r="A64" s="20">
        <f t="shared" si="2"/>
        <v>58</v>
      </c>
      <c r="B64" s="21" t="s">
        <v>211</v>
      </c>
      <c r="C64" s="22" t="s">
        <v>212</v>
      </c>
      <c r="D64" s="22" t="s">
        <v>112</v>
      </c>
      <c r="E64" s="22" t="s">
        <v>213</v>
      </c>
      <c r="F64" s="22" t="s">
        <v>47</v>
      </c>
      <c r="G64" s="23" t="s">
        <v>35</v>
      </c>
      <c r="H64" s="22" t="s">
        <v>23</v>
      </c>
      <c r="I64" s="28">
        <v>44197</v>
      </c>
      <c r="J64" s="27">
        <v>8.59</v>
      </c>
      <c r="K64" s="27">
        <f t="shared" si="3"/>
        <v>6.59</v>
      </c>
      <c r="L64" s="27">
        <v>2</v>
      </c>
      <c r="M64" s="29"/>
    </row>
    <row r="65" spans="1:13" s="4" customFormat="1" ht="22.7" hidden="1" customHeight="1" x14ac:dyDescent="0.25">
      <c r="A65" s="20">
        <f t="shared" si="2"/>
        <v>59</v>
      </c>
      <c r="B65" s="21" t="s">
        <v>214</v>
      </c>
      <c r="C65" s="22" t="s">
        <v>215</v>
      </c>
      <c r="D65" s="22" t="s">
        <v>116</v>
      </c>
      <c r="E65" s="22" t="s">
        <v>216</v>
      </c>
      <c r="F65" s="22" t="s">
        <v>47</v>
      </c>
      <c r="G65" s="23" t="s">
        <v>35</v>
      </c>
      <c r="H65" s="22" t="s">
        <v>23</v>
      </c>
      <c r="I65" s="28">
        <v>44197</v>
      </c>
      <c r="J65" s="27">
        <v>10.66</v>
      </c>
      <c r="K65" s="27">
        <f t="shared" si="3"/>
        <v>3.66</v>
      </c>
      <c r="L65" s="27">
        <v>7</v>
      </c>
      <c r="M65" s="29"/>
    </row>
    <row r="66" spans="1:13" s="4" customFormat="1" ht="22.7" hidden="1" customHeight="1" x14ac:dyDescent="0.25">
      <c r="A66" s="20">
        <f t="shared" si="2"/>
        <v>60</v>
      </c>
      <c r="B66" s="21" t="s">
        <v>217</v>
      </c>
      <c r="C66" s="22" t="s">
        <v>218</v>
      </c>
      <c r="D66" s="22" t="s">
        <v>45</v>
      </c>
      <c r="E66" s="22" t="s">
        <v>219</v>
      </c>
      <c r="F66" s="22" t="s">
        <v>47</v>
      </c>
      <c r="G66" s="23" t="s">
        <v>35</v>
      </c>
      <c r="H66" s="22" t="s">
        <v>23</v>
      </c>
      <c r="I66" s="28">
        <v>44501</v>
      </c>
      <c r="J66" s="27">
        <v>4.82</v>
      </c>
      <c r="K66" s="27">
        <f t="shared" si="3"/>
        <v>3.5200000000000005</v>
      </c>
      <c r="L66" s="27">
        <v>1.3</v>
      </c>
      <c r="M66" s="29"/>
    </row>
    <row r="67" spans="1:13" s="4" customFormat="1" ht="22.7" hidden="1" customHeight="1" x14ac:dyDescent="0.25">
      <c r="A67" s="20">
        <f t="shared" si="2"/>
        <v>61</v>
      </c>
      <c r="B67" s="21" t="s">
        <v>220</v>
      </c>
      <c r="C67" s="22" t="s">
        <v>221</v>
      </c>
      <c r="D67" s="22" t="s">
        <v>85</v>
      </c>
      <c r="E67" s="22" t="s">
        <v>222</v>
      </c>
      <c r="F67" s="22" t="s">
        <v>40</v>
      </c>
      <c r="G67" s="23" t="s">
        <v>41</v>
      </c>
      <c r="H67" s="22" t="s">
        <v>23</v>
      </c>
      <c r="I67" s="28">
        <v>44501</v>
      </c>
      <c r="J67" s="27">
        <v>0</v>
      </c>
      <c r="K67" s="27">
        <f t="shared" si="3"/>
        <v>0</v>
      </c>
      <c r="L67" s="27">
        <v>0</v>
      </c>
      <c r="M67" s="29"/>
    </row>
    <row r="68" spans="1:13" s="4" customFormat="1" ht="22.7" hidden="1" customHeight="1" x14ac:dyDescent="0.25">
      <c r="A68" s="20">
        <f t="shared" si="2"/>
        <v>62</v>
      </c>
      <c r="B68" s="21" t="s">
        <v>223</v>
      </c>
      <c r="C68" s="22" t="s">
        <v>224</v>
      </c>
      <c r="D68" s="22" t="s">
        <v>225</v>
      </c>
      <c r="E68" s="22" t="s">
        <v>226</v>
      </c>
      <c r="F68" s="22" t="s">
        <v>57</v>
      </c>
      <c r="G68" s="23" t="s">
        <v>58</v>
      </c>
      <c r="H68" s="22" t="s">
        <v>23</v>
      </c>
      <c r="I68" s="28">
        <v>44197</v>
      </c>
      <c r="J68" s="27">
        <v>0.7</v>
      </c>
      <c r="K68" s="27">
        <f t="shared" si="3"/>
        <v>0.7</v>
      </c>
      <c r="L68" s="27">
        <v>0</v>
      </c>
      <c r="M68" s="29"/>
    </row>
    <row r="69" spans="1:13" s="4" customFormat="1" ht="22.7" hidden="1" customHeight="1" x14ac:dyDescent="0.25">
      <c r="A69" s="20">
        <f t="shared" si="2"/>
        <v>63</v>
      </c>
      <c r="B69" s="21" t="s">
        <v>227</v>
      </c>
      <c r="C69" s="22" t="s">
        <v>228</v>
      </c>
      <c r="D69" s="22" t="s">
        <v>85</v>
      </c>
      <c r="E69" s="22" t="s">
        <v>222</v>
      </c>
      <c r="F69" s="22" t="s">
        <v>40</v>
      </c>
      <c r="G69" s="23" t="s">
        <v>41</v>
      </c>
      <c r="H69" s="22" t="s">
        <v>23</v>
      </c>
      <c r="I69" s="28">
        <v>44197</v>
      </c>
      <c r="J69" s="27">
        <v>15</v>
      </c>
      <c r="K69" s="27">
        <f t="shared" si="3"/>
        <v>11</v>
      </c>
      <c r="L69" s="27">
        <v>4</v>
      </c>
      <c r="M69" s="29"/>
    </row>
    <row r="70" spans="1:13" s="4" customFormat="1" ht="22.7" hidden="1" customHeight="1" x14ac:dyDescent="0.25">
      <c r="A70" s="20">
        <f t="shared" si="2"/>
        <v>64</v>
      </c>
      <c r="B70" s="21" t="s">
        <v>229</v>
      </c>
      <c r="C70" s="22" t="s">
        <v>230</v>
      </c>
      <c r="D70" s="22" t="s">
        <v>26</v>
      </c>
      <c r="E70" s="22" t="s">
        <v>100</v>
      </c>
      <c r="F70" s="22" t="s">
        <v>101</v>
      </c>
      <c r="G70" s="23" t="s">
        <v>22</v>
      </c>
      <c r="H70" s="22" t="s">
        <v>23</v>
      </c>
      <c r="I70" s="28">
        <v>44197</v>
      </c>
      <c r="J70" s="27">
        <v>0</v>
      </c>
      <c r="K70" s="27">
        <f t="shared" si="3"/>
        <v>0</v>
      </c>
      <c r="L70" s="27">
        <v>0</v>
      </c>
      <c r="M70" s="29"/>
    </row>
    <row r="71" spans="1:13" s="4" customFormat="1" ht="22.7" hidden="1" customHeight="1" x14ac:dyDescent="0.25">
      <c r="A71" s="20">
        <f t="shared" si="2"/>
        <v>65</v>
      </c>
      <c r="B71" s="21" t="s">
        <v>231</v>
      </c>
      <c r="C71" s="22" t="s">
        <v>232</v>
      </c>
      <c r="D71" s="22" t="s">
        <v>68</v>
      </c>
      <c r="E71" s="22" t="s">
        <v>233</v>
      </c>
      <c r="F71" s="22" t="s">
        <v>47</v>
      </c>
      <c r="G71" s="23" t="s">
        <v>35</v>
      </c>
      <c r="H71" s="22" t="s">
        <v>42</v>
      </c>
      <c r="I71" s="28">
        <v>42278</v>
      </c>
      <c r="J71" s="27">
        <v>14.2</v>
      </c>
      <c r="K71" s="27">
        <f t="shared" si="3"/>
        <v>10.199999999999999</v>
      </c>
      <c r="L71" s="27">
        <v>4</v>
      </c>
      <c r="M71" s="29"/>
    </row>
    <row r="72" spans="1:13" s="4" customFormat="1" ht="22.7" hidden="1" customHeight="1" x14ac:dyDescent="0.25">
      <c r="A72" s="20">
        <f t="shared" ref="A72:A103" si="4">SUM(A71:A71+1)</f>
        <v>66</v>
      </c>
      <c r="B72" s="21" t="s">
        <v>234</v>
      </c>
      <c r="C72" s="22" t="s">
        <v>235</v>
      </c>
      <c r="D72" s="22" t="s">
        <v>72</v>
      </c>
      <c r="E72" s="22" t="s">
        <v>73</v>
      </c>
      <c r="F72" s="22" t="s">
        <v>74</v>
      </c>
      <c r="G72" s="23" t="s">
        <v>75</v>
      </c>
      <c r="H72" s="22" t="s">
        <v>30</v>
      </c>
      <c r="I72" s="28">
        <v>44470</v>
      </c>
      <c r="J72" s="27">
        <v>0</v>
      </c>
      <c r="K72" s="27">
        <f t="shared" si="3"/>
        <v>0</v>
      </c>
      <c r="L72" s="27">
        <v>0</v>
      </c>
      <c r="M72" s="29"/>
    </row>
    <row r="73" spans="1:13" s="4" customFormat="1" ht="22.7" hidden="1" customHeight="1" x14ac:dyDescent="0.25">
      <c r="A73" s="20">
        <f t="shared" si="4"/>
        <v>67</v>
      </c>
      <c r="B73" s="21" t="s">
        <v>236</v>
      </c>
      <c r="C73" s="22" t="s">
        <v>237</v>
      </c>
      <c r="D73" s="22" t="s">
        <v>72</v>
      </c>
      <c r="E73" s="22" t="s">
        <v>73</v>
      </c>
      <c r="F73" s="22" t="s">
        <v>74</v>
      </c>
      <c r="G73" s="23" t="s">
        <v>75</v>
      </c>
      <c r="H73" s="22" t="s">
        <v>30</v>
      </c>
      <c r="I73" s="28">
        <v>44470</v>
      </c>
      <c r="J73" s="27">
        <v>0</v>
      </c>
      <c r="K73" s="27">
        <f t="shared" si="3"/>
        <v>0</v>
      </c>
      <c r="L73" s="27">
        <v>0</v>
      </c>
      <c r="M73" s="29"/>
    </row>
    <row r="74" spans="1:13" s="4" customFormat="1" ht="22.7" hidden="1" customHeight="1" x14ac:dyDescent="0.25">
      <c r="A74" s="20">
        <f t="shared" si="4"/>
        <v>68</v>
      </c>
      <c r="B74" s="21" t="s">
        <v>238</v>
      </c>
      <c r="C74" s="22" t="s">
        <v>239</v>
      </c>
      <c r="D74" s="22" t="s">
        <v>45</v>
      </c>
      <c r="E74" s="22" t="s">
        <v>240</v>
      </c>
      <c r="F74" s="22" t="s">
        <v>47</v>
      </c>
      <c r="G74" s="23" t="s">
        <v>35</v>
      </c>
      <c r="H74" s="22" t="s">
        <v>42</v>
      </c>
      <c r="I74" s="28">
        <v>41699</v>
      </c>
      <c r="J74" s="27">
        <v>3</v>
      </c>
      <c r="K74" s="27">
        <f t="shared" si="3"/>
        <v>3</v>
      </c>
      <c r="L74" s="27">
        <v>0</v>
      </c>
      <c r="M74" s="29"/>
    </row>
    <row r="75" spans="1:13" s="4" customFormat="1" ht="22.7" hidden="1" customHeight="1" x14ac:dyDescent="0.25">
      <c r="A75" s="20">
        <f t="shared" si="4"/>
        <v>69</v>
      </c>
      <c r="B75" s="21" t="s">
        <v>241</v>
      </c>
      <c r="C75" s="22" t="s">
        <v>242</v>
      </c>
      <c r="D75" s="22" t="s">
        <v>68</v>
      </c>
      <c r="E75" s="22" t="s">
        <v>233</v>
      </c>
      <c r="F75" s="22" t="s">
        <v>47</v>
      </c>
      <c r="G75" s="23" t="s">
        <v>35</v>
      </c>
      <c r="H75" s="22" t="s">
        <v>23</v>
      </c>
      <c r="I75" s="28">
        <v>44197</v>
      </c>
      <c r="J75" s="27">
        <v>0</v>
      </c>
      <c r="K75" s="27">
        <f t="shared" si="3"/>
        <v>0</v>
      </c>
      <c r="L75" s="27">
        <v>0</v>
      </c>
      <c r="M75" s="29"/>
    </row>
    <row r="76" spans="1:13" s="4" customFormat="1" ht="22.7" hidden="1" customHeight="1" x14ac:dyDescent="0.25">
      <c r="A76" s="20">
        <f t="shared" si="4"/>
        <v>70</v>
      </c>
      <c r="B76" s="21" t="s">
        <v>243</v>
      </c>
      <c r="C76" s="22" t="s">
        <v>244</v>
      </c>
      <c r="D76" s="22" t="s">
        <v>26</v>
      </c>
      <c r="E76" s="22" t="s">
        <v>245</v>
      </c>
      <c r="F76" s="22" t="s">
        <v>34</v>
      </c>
      <c r="G76" s="23" t="s">
        <v>35</v>
      </c>
      <c r="H76" s="22" t="s">
        <v>30</v>
      </c>
      <c r="I76" s="28">
        <v>42767</v>
      </c>
      <c r="J76" s="27">
        <v>41.4</v>
      </c>
      <c r="K76" s="27">
        <f t="shared" ref="K76:K107" si="5">J76-L76</f>
        <v>33.4</v>
      </c>
      <c r="L76" s="27">
        <v>8</v>
      </c>
      <c r="M76" s="29"/>
    </row>
    <row r="77" spans="1:13" s="4" customFormat="1" ht="22.7" hidden="1" customHeight="1" x14ac:dyDescent="0.25">
      <c r="A77" s="20">
        <f t="shared" si="4"/>
        <v>71</v>
      </c>
      <c r="B77" s="21" t="s">
        <v>246</v>
      </c>
      <c r="C77" s="22" t="s">
        <v>247</v>
      </c>
      <c r="D77" s="22" t="s">
        <v>26</v>
      </c>
      <c r="E77" s="22" t="s">
        <v>100</v>
      </c>
      <c r="F77" s="22" t="s">
        <v>101</v>
      </c>
      <c r="G77" s="23" t="s">
        <v>22</v>
      </c>
      <c r="H77" s="22" t="s">
        <v>23</v>
      </c>
      <c r="I77" s="28">
        <v>44197</v>
      </c>
      <c r="J77" s="27">
        <v>0</v>
      </c>
      <c r="K77" s="27">
        <f t="shared" si="5"/>
        <v>0</v>
      </c>
      <c r="L77" s="27">
        <v>0</v>
      </c>
      <c r="M77" s="29"/>
    </row>
    <row r="78" spans="1:13" s="4" customFormat="1" ht="22.7" hidden="1" customHeight="1" x14ac:dyDescent="0.25">
      <c r="A78" s="20">
        <f t="shared" si="4"/>
        <v>72</v>
      </c>
      <c r="B78" s="21" t="s">
        <v>248</v>
      </c>
      <c r="C78" s="22" t="s">
        <v>249</v>
      </c>
      <c r="D78" s="22" t="s">
        <v>72</v>
      </c>
      <c r="E78" s="22" t="s">
        <v>73</v>
      </c>
      <c r="F78" s="22" t="s">
        <v>74</v>
      </c>
      <c r="G78" s="23" t="s">
        <v>75</v>
      </c>
      <c r="H78" s="22" t="s">
        <v>30</v>
      </c>
      <c r="I78" s="28">
        <v>44470</v>
      </c>
      <c r="J78" s="27">
        <v>30</v>
      </c>
      <c r="K78" s="27">
        <f t="shared" si="5"/>
        <v>22</v>
      </c>
      <c r="L78" s="27">
        <v>8</v>
      </c>
      <c r="M78" s="29"/>
    </row>
    <row r="79" spans="1:13" s="4" customFormat="1" ht="22.7" hidden="1" customHeight="1" x14ac:dyDescent="0.25">
      <c r="A79" s="20">
        <f t="shared" si="4"/>
        <v>73</v>
      </c>
      <c r="B79" s="21" t="s">
        <v>250</v>
      </c>
      <c r="C79" s="22" t="s">
        <v>251</v>
      </c>
      <c r="D79" s="22" t="s">
        <v>72</v>
      </c>
      <c r="E79" s="22" t="s">
        <v>73</v>
      </c>
      <c r="F79" s="22" t="s">
        <v>74</v>
      </c>
      <c r="G79" s="23" t="s">
        <v>75</v>
      </c>
      <c r="H79" s="22" t="s">
        <v>30</v>
      </c>
      <c r="I79" s="28">
        <v>44197</v>
      </c>
      <c r="J79" s="27">
        <v>22.42</v>
      </c>
      <c r="K79" s="27">
        <f t="shared" si="5"/>
        <v>17.420000000000002</v>
      </c>
      <c r="L79" s="27">
        <v>5</v>
      </c>
      <c r="M79" s="29"/>
    </row>
    <row r="80" spans="1:13" s="4" customFormat="1" ht="22.7" hidden="1" customHeight="1" x14ac:dyDescent="0.25">
      <c r="A80" s="20">
        <f t="shared" si="4"/>
        <v>74</v>
      </c>
      <c r="B80" s="21" t="s">
        <v>252</v>
      </c>
      <c r="C80" s="22" t="s">
        <v>253</v>
      </c>
      <c r="D80" s="22" t="s">
        <v>55</v>
      </c>
      <c r="E80" s="22" t="s">
        <v>254</v>
      </c>
      <c r="F80" s="22" t="s">
        <v>28</v>
      </c>
      <c r="G80" s="23" t="s">
        <v>29</v>
      </c>
      <c r="H80" s="22" t="s">
        <v>30</v>
      </c>
      <c r="I80" s="28">
        <v>36526</v>
      </c>
      <c r="J80" s="27">
        <v>29</v>
      </c>
      <c r="K80" s="27">
        <f t="shared" si="5"/>
        <v>21</v>
      </c>
      <c r="L80" s="27">
        <v>8</v>
      </c>
      <c r="M80" s="29"/>
    </row>
    <row r="81" spans="1:13" s="4" customFormat="1" ht="22.7" hidden="1" customHeight="1" x14ac:dyDescent="0.25">
      <c r="A81" s="20">
        <f t="shared" si="4"/>
        <v>75</v>
      </c>
      <c r="B81" s="21" t="s">
        <v>255</v>
      </c>
      <c r="C81" s="22" t="s">
        <v>256</v>
      </c>
      <c r="D81" s="22" t="s">
        <v>45</v>
      </c>
      <c r="E81" s="22" t="s">
        <v>61</v>
      </c>
      <c r="F81" s="22" t="s">
        <v>21</v>
      </c>
      <c r="G81" s="23" t="s">
        <v>22</v>
      </c>
      <c r="H81" s="22" t="s">
        <v>42</v>
      </c>
      <c r="I81" s="28">
        <v>42156</v>
      </c>
      <c r="J81" s="27">
        <v>24.5</v>
      </c>
      <c r="K81" s="27">
        <f t="shared" si="5"/>
        <v>18.5</v>
      </c>
      <c r="L81" s="27">
        <v>6</v>
      </c>
      <c r="M81" s="29"/>
    </row>
    <row r="82" spans="1:13" s="4" customFormat="1" ht="22.7" hidden="1" customHeight="1" x14ac:dyDescent="0.25">
      <c r="A82" s="20">
        <f t="shared" si="4"/>
        <v>76</v>
      </c>
      <c r="B82" s="21" t="s">
        <v>257</v>
      </c>
      <c r="C82" s="22" t="s">
        <v>258</v>
      </c>
      <c r="D82" s="22" t="s">
        <v>179</v>
      </c>
      <c r="E82" s="22" t="s">
        <v>141</v>
      </c>
      <c r="F82" s="22" t="s">
        <v>57</v>
      </c>
      <c r="G82" s="23" t="s">
        <v>58</v>
      </c>
      <c r="H82" s="22" t="s">
        <v>23</v>
      </c>
      <c r="I82" s="28">
        <v>44197</v>
      </c>
      <c r="J82" s="27">
        <v>9.2799999999999994</v>
      </c>
      <c r="K82" s="27">
        <f t="shared" si="5"/>
        <v>7.2799999999999994</v>
      </c>
      <c r="L82" s="27">
        <v>2</v>
      </c>
      <c r="M82" s="29"/>
    </row>
    <row r="83" spans="1:13" s="4" customFormat="1" ht="22.7" hidden="1" customHeight="1" x14ac:dyDescent="0.25">
      <c r="A83" s="20">
        <f t="shared" si="4"/>
        <v>77</v>
      </c>
      <c r="B83" s="21" t="s">
        <v>259</v>
      </c>
      <c r="C83" s="22" t="s">
        <v>260</v>
      </c>
      <c r="D83" s="22" t="s">
        <v>154</v>
      </c>
      <c r="E83" s="22" t="s">
        <v>155</v>
      </c>
      <c r="F83" s="22" t="s">
        <v>40</v>
      </c>
      <c r="G83" s="23" t="s">
        <v>41</v>
      </c>
      <c r="H83" s="22" t="s">
        <v>42</v>
      </c>
      <c r="I83" s="28">
        <v>44440</v>
      </c>
      <c r="J83" s="27">
        <v>10</v>
      </c>
      <c r="K83" s="27">
        <f t="shared" si="5"/>
        <v>8</v>
      </c>
      <c r="L83" s="27">
        <v>2</v>
      </c>
      <c r="M83" s="29"/>
    </row>
    <row r="84" spans="1:13" s="4" customFormat="1" ht="22.7" hidden="1" customHeight="1" x14ac:dyDescent="0.25">
      <c r="A84" s="20">
        <f t="shared" si="4"/>
        <v>78</v>
      </c>
      <c r="B84" s="21" t="s">
        <v>261</v>
      </c>
      <c r="C84" s="22" t="s">
        <v>262</v>
      </c>
      <c r="D84" s="22" t="s">
        <v>45</v>
      </c>
      <c r="E84" s="22" t="s">
        <v>263</v>
      </c>
      <c r="F84" s="22" t="s">
        <v>264</v>
      </c>
      <c r="G84" s="23" t="s">
        <v>265</v>
      </c>
      <c r="H84" s="22" t="s">
        <v>23</v>
      </c>
      <c r="I84" s="28">
        <v>44197</v>
      </c>
      <c r="J84" s="27">
        <v>0</v>
      </c>
      <c r="K84" s="27">
        <f t="shared" si="5"/>
        <v>0</v>
      </c>
      <c r="L84" s="27">
        <v>0</v>
      </c>
      <c r="M84" s="29"/>
    </row>
    <row r="85" spans="1:13" s="4" customFormat="1" ht="22.7" hidden="1" customHeight="1" x14ac:dyDescent="0.25">
      <c r="A85" s="20">
        <f t="shared" si="4"/>
        <v>79</v>
      </c>
      <c r="B85" s="21" t="s">
        <v>266</v>
      </c>
      <c r="C85" s="22" t="s">
        <v>267</v>
      </c>
      <c r="D85" s="22" t="s">
        <v>72</v>
      </c>
      <c r="E85" s="22" t="s">
        <v>73</v>
      </c>
      <c r="F85" s="22" t="s">
        <v>74</v>
      </c>
      <c r="G85" s="23" t="s">
        <v>75</v>
      </c>
      <c r="H85" s="22" t="s">
        <v>30</v>
      </c>
      <c r="I85" s="28">
        <v>44470</v>
      </c>
      <c r="J85" s="27">
        <v>0</v>
      </c>
      <c r="K85" s="27">
        <f t="shared" si="5"/>
        <v>0</v>
      </c>
      <c r="L85" s="27">
        <v>0</v>
      </c>
      <c r="M85" s="29"/>
    </row>
    <row r="86" spans="1:13" s="4" customFormat="1" ht="22.7" hidden="1" customHeight="1" x14ac:dyDescent="0.25">
      <c r="A86" s="20">
        <f t="shared" si="4"/>
        <v>80</v>
      </c>
      <c r="B86" s="21" t="s">
        <v>268</v>
      </c>
      <c r="C86" s="22" t="s">
        <v>269</v>
      </c>
      <c r="D86" s="22" t="s">
        <v>161</v>
      </c>
      <c r="E86" s="22" t="s">
        <v>162</v>
      </c>
      <c r="F86" s="22" t="s">
        <v>57</v>
      </c>
      <c r="G86" s="23" t="s">
        <v>58</v>
      </c>
      <c r="H86" s="22" t="s">
        <v>42</v>
      </c>
      <c r="I86" s="28">
        <v>44470</v>
      </c>
      <c r="J86" s="27">
        <v>9.3000000000000007</v>
      </c>
      <c r="K86" s="27">
        <f t="shared" si="5"/>
        <v>7.3000000000000007</v>
      </c>
      <c r="L86" s="27">
        <v>2</v>
      </c>
      <c r="M86" s="29"/>
    </row>
    <row r="87" spans="1:13" s="4" customFormat="1" ht="22.7" hidden="1" customHeight="1" x14ac:dyDescent="0.25">
      <c r="A87" s="20">
        <f t="shared" si="4"/>
        <v>81</v>
      </c>
      <c r="B87" s="21" t="s">
        <v>270</v>
      </c>
      <c r="C87" s="22" t="s">
        <v>271</v>
      </c>
      <c r="D87" s="22" t="s">
        <v>64</v>
      </c>
      <c r="E87" s="22" t="s">
        <v>65</v>
      </c>
      <c r="F87" s="22" t="s">
        <v>47</v>
      </c>
      <c r="G87" s="23" t="s">
        <v>35</v>
      </c>
      <c r="H87" s="22" t="s">
        <v>42</v>
      </c>
      <c r="I87" s="28">
        <v>43922</v>
      </c>
      <c r="J87" s="27">
        <v>22.58</v>
      </c>
      <c r="K87" s="27">
        <f t="shared" si="5"/>
        <v>16.579999999999998</v>
      </c>
      <c r="L87" s="27">
        <v>6</v>
      </c>
      <c r="M87" s="29"/>
    </row>
    <row r="88" spans="1:13" s="4" customFormat="1" ht="22.7" hidden="1" customHeight="1" x14ac:dyDescent="0.25">
      <c r="A88" s="20">
        <f t="shared" si="4"/>
        <v>82</v>
      </c>
      <c r="B88" s="21">
        <v>1102734728</v>
      </c>
      <c r="C88" s="22" t="s">
        <v>272</v>
      </c>
      <c r="D88" s="22" t="s">
        <v>45</v>
      </c>
      <c r="E88" s="22" t="s">
        <v>273</v>
      </c>
      <c r="F88" s="22" t="s">
        <v>40</v>
      </c>
      <c r="G88" s="23" t="s">
        <v>41</v>
      </c>
      <c r="H88" s="22" t="s">
        <v>42</v>
      </c>
      <c r="I88" s="28">
        <v>44440</v>
      </c>
      <c r="J88" s="27">
        <v>19.100000000000001</v>
      </c>
      <c r="K88" s="27">
        <f t="shared" si="5"/>
        <v>15.100000000000001</v>
      </c>
      <c r="L88" s="27">
        <v>4</v>
      </c>
      <c r="M88" s="29" t="s">
        <v>48</v>
      </c>
    </row>
    <row r="89" spans="1:13" s="4" customFormat="1" ht="22.7" hidden="1" customHeight="1" x14ac:dyDescent="0.25">
      <c r="A89" s="20">
        <f t="shared" si="4"/>
        <v>83</v>
      </c>
      <c r="B89" s="21" t="s">
        <v>274</v>
      </c>
      <c r="C89" s="22" t="s">
        <v>275</v>
      </c>
      <c r="D89" s="22" t="s">
        <v>45</v>
      </c>
      <c r="E89" s="22" t="s">
        <v>276</v>
      </c>
      <c r="F89" s="22" t="s">
        <v>277</v>
      </c>
      <c r="G89" s="23" t="s">
        <v>75</v>
      </c>
      <c r="H89" s="22" t="s">
        <v>42</v>
      </c>
      <c r="I89" s="28">
        <v>42005</v>
      </c>
      <c r="J89" s="27">
        <v>15</v>
      </c>
      <c r="K89" s="27">
        <f t="shared" si="5"/>
        <v>11</v>
      </c>
      <c r="L89" s="27">
        <v>4</v>
      </c>
      <c r="M89" s="29"/>
    </row>
    <row r="90" spans="1:13" s="4" customFormat="1" ht="22.7" hidden="1" customHeight="1" x14ac:dyDescent="0.25">
      <c r="A90" s="20">
        <f t="shared" si="4"/>
        <v>84</v>
      </c>
      <c r="B90" s="21" t="s">
        <v>278</v>
      </c>
      <c r="C90" s="22" t="s">
        <v>279</v>
      </c>
      <c r="D90" s="22" t="s">
        <v>120</v>
      </c>
      <c r="E90" s="22" t="s">
        <v>280</v>
      </c>
      <c r="F90" s="22" t="s">
        <v>47</v>
      </c>
      <c r="G90" s="23" t="s">
        <v>35</v>
      </c>
      <c r="H90" s="22" t="s">
        <v>42</v>
      </c>
      <c r="I90" s="28">
        <v>42278</v>
      </c>
      <c r="J90" s="27">
        <v>29.2</v>
      </c>
      <c r="K90" s="27">
        <f t="shared" si="5"/>
        <v>21.2</v>
      </c>
      <c r="L90" s="27">
        <v>8</v>
      </c>
      <c r="M90" s="29"/>
    </row>
    <row r="91" spans="1:13" s="4" customFormat="1" ht="22.7" hidden="1" customHeight="1" x14ac:dyDescent="0.25">
      <c r="A91" s="20">
        <f t="shared" si="4"/>
        <v>85</v>
      </c>
      <c r="B91" s="21" t="s">
        <v>281</v>
      </c>
      <c r="C91" s="22" t="s">
        <v>282</v>
      </c>
      <c r="D91" s="22" t="s">
        <v>112</v>
      </c>
      <c r="E91" s="22" t="s">
        <v>283</v>
      </c>
      <c r="F91" s="22" t="s">
        <v>57</v>
      </c>
      <c r="G91" s="23" t="s">
        <v>58</v>
      </c>
      <c r="H91" s="22" t="s">
        <v>23</v>
      </c>
      <c r="I91" s="28">
        <v>44743</v>
      </c>
      <c r="J91" s="27">
        <v>7.58</v>
      </c>
      <c r="K91" s="27">
        <f t="shared" si="5"/>
        <v>5.58</v>
      </c>
      <c r="L91" s="27">
        <v>2</v>
      </c>
      <c r="M91" s="29"/>
    </row>
    <row r="92" spans="1:13" s="4" customFormat="1" ht="22.7" hidden="1" customHeight="1" x14ac:dyDescent="0.25">
      <c r="A92" s="20">
        <f t="shared" si="4"/>
        <v>86</v>
      </c>
      <c r="B92" s="21" t="s">
        <v>284</v>
      </c>
      <c r="C92" s="22" t="s">
        <v>285</v>
      </c>
      <c r="D92" s="22" t="s">
        <v>26</v>
      </c>
      <c r="E92" s="22" t="s">
        <v>145</v>
      </c>
      <c r="F92" s="22" t="s">
        <v>57</v>
      </c>
      <c r="G92" s="23" t="s">
        <v>58</v>
      </c>
      <c r="H92" s="22" t="s">
        <v>42</v>
      </c>
      <c r="I92" s="28">
        <v>42767</v>
      </c>
      <c r="J92" s="27">
        <v>10.4</v>
      </c>
      <c r="K92" s="27">
        <f t="shared" si="5"/>
        <v>8.4</v>
      </c>
      <c r="L92" s="27">
        <v>2</v>
      </c>
      <c r="M92" s="29"/>
    </row>
    <row r="93" spans="1:13" s="4" customFormat="1" ht="22.7" hidden="1" customHeight="1" x14ac:dyDescent="0.25">
      <c r="A93" s="20">
        <f t="shared" si="4"/>
        <v>87</v>
      </c>
      <c r="B93" s="21" t="s">
        <v>286</v>
      </c>
      <c r="C93" s="22" t="s">
        <v>287</v>
      </c>
      <c r="D93" s="22" t="s">
        <v>26</v>
      </c>
      <c r="E93" s="22" t="s">
        <v>33</v>
      </c>
      <c r="F93" s="22" t="s">
        <v>34</v>
      </c>
      <c r="G93" s="23" t="s">
        <v>35</v>
      </c>
      <c r="H93" s="22" t="s">
        <v>30</v>
      </c>
      <c r="I93" s="28">
        <v>43101</v>
      </c>
      <c r="J93" s="27">
        <v>1</v>
      </c>
      <c r="K93" s="27">
        <f t="shared" si="5"/>
        <v>1</v>
      </c>
      <c r="L93" s="27">
        <v>0</v>
      </c>
      <c r="M93" s="29"/>
    </row>
    <row r="94" spans="1:13" s="4" customFormat="1" ht="22.7" hidden="1" customHeight="1" x14ac:dyDescent="0.25">
      <c r="A94" s="20">
        <f t="shared" si="4"/>
        <v>88</v>
      </c>
      <c r="B94" s="21" t="s">
        <v>288</v>
      </c>
      <c r="C94" s="22" t="s">
        <v>289</v>
      </c>
      <c r="D94" s="22" t="s">
        <v>26</v>
      </c>
      <c r="E94" s="22" t="s">
        <v>100</v>
      </c>
      <c r="F94" s="22" t="s">
        <v>101</v>
      </c>
      <c r="G94" s="23" t="s">
        <v>22</v>
      </c>
      <c r="H94" s="22" t="s">
        <v>23</v>
      </c>
      <c r="I94" s="28">
        <v>44197</v>
      </c>
      <c r="J94" s="27">
        <v>0</v>
      </c>
      <c r="K94" s="27">
        <f t="shared" si="5"/>
        <v>0</v>
      </c>
      <c r="L94" s="27">
        <v>0</v>
      </c>
      <c r="M94" s="29"/>
    </row>
    <row r="95" spans="1:13" s="4" customFormat="1" ht="22.7" hidden="1" customHeight="1" x14ac:dyDescent="0.25">
      <c r="A95" s="20">
        <f t="shared" si="4"/>
        <v>89</v>
      </c>
      <c r="B95" s="21" t="s">
        <v>290</v>
      </c>
      <c r="C95" s="22" t="s">
        <v>291</v>
      </c>
      <c r="D95" s="22" t="s">
        <v>112</v>
      </c>
      <c r="E95" s="22" t="s">
        <v>113</v>
      </c>
      <c r="F95" s="22" t="s">
        <v>57</v>
      </c>
      <c r="G95" s="23" t="s">
        <v>58</v>
      </c>
      <c r="H95" s="22" t="s">
        <v>23</v>
      </c>
      <c r="I95" s="28">
        <v>44197</v>
      </c>
      <c r="J95" s="27">
        <v>30</v>
      </c>
      <c r="K95" s="27">
        <f t="shared" si="5"/>
        <v>22</v>
      </c>
      <c r="L95" s="27">
        <v>8</v>
      </c>
      <c r="M95" s="29"/>
    </row>
    <row r="96" spans="1:13" s="4" customFormat="1" ht="22.7" hidden="1" customHeight="1" x14ac:dyDescent="0.25">
      <c r="A96" s="20">
        <f t="shared" si="4"/>
        <v>90</v>
      </c>
      <c r="B96" s="21" t="s">
        <v>292</v>
      </c>
      <c r="C96" s="22" t="s">
        <v>293</v>
      </c>
      <c r="D96" s="22" t="s">
        <v>45</v>
      </c>
      <c r="E96" s="22" t="s">
        <v>294</v>
      </c>
      <c r="F96" s="22" t="s">
        <v>47</v>
      </c>
      <c r="G96" s="23" t="s">
        <v>35</v>
      </c>
      <c r="H96" s="22" t="s">
        <v>30</v>
      </c>
      <c r="I96" s="28">
        <v>43831</v>
      </c>
      <c r="J96" s="27">
        <v>29</v>
      </c>
      <c r="K96" s="27">
        <f t="shared" si="5"/>
        <v>21</v>
      </c>
      <c r="L96" s="27">
        <v>8</v>
      </c>
      <c r="M96" s="29"/>
    </row>
    <row r="97" spans="1:13" s="4" customFormat="1" ht="22.7" hidden="1" customHeight="1" x14ac:dyDescent="0.25">
      <c r="A97" s="20">
        <f t="shared" si="4"/>
        <v>91</v>
      </c>
      <c r="B97" s="21" t="s">
        <v>295</v>
      </c>
      <c r="C97" s="22" t="s">
        <v>296</v>
      </c>
      <c r="D97" s="22" t="s">
        <v>297</v>
      </c>
      <c r="E97" s="22" t="s">
        <v>298</v>
      </c>
      <c r="F97" s="22" t="s">
        <v>57</v>
      </c>
      <c r="G97" s="23" t="s">
        <v>58</v>
      </c>
      <c r="H97" s="22" t="s">
        <v>23</v>
      </c>
      <c r="I97" s="28">
        <v>44197</v>
      </c>
      <c r="J97" s="27">
        <v>0</v>
      </c>
      <c r="K97" s="27">
        <f t="shared" si="5"/>
        <v>0</v>
      </c>
      <c r="L97" s="27">
        <v>0</v>
      </c>
      <c r="M97" s="29"/>
    </row>
    <row r="98" spans="1:13" s="4" customFormat="1" ht="22.7" hidden="1" customHeight="1" x14ac:dyDescent="0.25">
      <c r="A98" s="20">
        <f t="shared" si="4"/>
        <v>92</v>
      </c>
      <c r="B98" s="21" t="s">
        <v>299</v>
      </c>
      <c r="C98" s="22" t="s">
        <v>300</v>
      </c>
      <c r="D98" s="22" t="s">
        <v>26</v>
      </c>
      <c r="E98" s="22" t="s">
        <v>33</v>
      </c>
      <c r="F98" s="22" t="s">
        <v>34</v>
      </c>
      <c r="G98" s="23" t="s">
        <v>35</v>
      </c>
      <c r="H98" s="22" t="s">
        <v>30</v>
      </c>
      <c r="I98" s="28">
        <v>42767</v>
      </c>
      <c r="J98" s="27">
        <v>10.28</v>
      </c>
      <c r="K98" s="27">
        <f t="shared" si="5"/>
        <v>8.2799999999999994</v>
      </c>
      <c r="L98" s="27">
        <v>2</v>
      </c>
      <c r="M98" s="29"/>
    </row>
    <row r="99" spans="1:13" s="4" customFormat="1" ht="22.7" hidden="1" customHeight="1" x14ac:dyDescent="0.25">
      <c r="A99" s="20">
        <f t="shared" si="4"/>
        <v>93</v>
      </c>
      <c r="B99" s="21" t="s">
        <v>301</v>
      </c>
      <c r="C99" s="22" t="s">
        <v>302</v>
      </c>
      <c r="D99" s="22" t="s">
        <v>161</v>
      </c>
      <c r="E99" s="22" t="s">
        <v>298</v>
      </c>
      <c r="F99" s="22" t="s">
        <v>57</v>
      </c>
      <c r="G99" s="23" t="s">
        <v>58</v>
      </c>
      <c r="H99" s="22" t="s">
        <v>42</v>
      </c>
      <c r="I99" s="28">
        <v>42278</v>
      </c>
      <c r="J99" s="27">
        <v>50.3</v>
      </c>
      <c r="K99" s="27">
        <f t="shared" si="5"/>
        <v>38.299999999999997</v>
      </c>
      <c r="L99" s="27">
        <v>12</v>
      </c>
      <c r="M99" s="29"/>
    </row>
    <row r="100" spans="1:13" s="4" customFormat="1" ht="22.7" hidden="1" customHeight="1" x14ac:dyDescent="0.25">
      <c r="A100" s="20">
        <f t="shared" si="4"/>
        <v>94</v>
      </c>
      <c r="B100" s="21" t="s">
        <v>303</v>
      </c>
      <c r="C100" s="22" t="s">
        <v>304</v>
      </c>
      <c r="D100" s="22" t="s">
        <v>26</v>
      </c>
      <c r="E100" s="22" t="s">
        <v>33</v>
      </c>
      <c r="F100" s="22" t="s">
        <v>34</v>
      </c>
      <c r="G100" s="23" t="s">
        <v>35</v>
      </c>
      <c r="H100" s="22" t="s">
        <v>30</v>
      </c>
      <c r="I100" s="28">
        <v>42064</v>
      </c>
      <c r="J100" s="27">
        <v>6</v>
      </c>
      <c r="K100" s="27">
        <f t="shared" si="5"/>
        <v>4.5</v>
      </c>
      <c r="L100" s="27">
        <v>1.5</v>
      </c>
      <c r="M100" s="29"/>
    </row>
    <row r="101" spans="1:13" s="4" customFormat="1" ht="22.7" hidden="1" customHeight="1" x14ac:dyDescent="0.25">
      <c r="A101" s="20">
        <f t="shared" si="4"/>
        <v>95</v>
      </c>
      <c r="B101" s="21" t="s">
        <v>305</v>
      </c>
      <c r="C101" s="22" t="s">
        <v>306</v>
      </c>
      <c r="D101" s="22" t="s">
        <v>85</v>
      </c>
      <c r="E101" s="22" t="s">
        <v>86</v>
      </c>
      <c r="F101" s="22" t="s">
        <v>34</v>
      </c>
      <c r="G101" s="23" t="s">
        <v>35</v>
      </c>
      <c r="H101" s="22" t="s">
        <v>23</v>
      </c>
      <c r="I101" s="28">
        <v>44197</v>
      </c>
      <c r="J101" s="27">
        <v>0</v>
      </c>
      <c r="K101" s="27">
        <f t="shared" si="5"/>
        <v>0</v>
      </c>
      <c r="L101" s="27">
        <v>0</v>
      </c>
      <c r="M101" s="29"/>
    </row>
    <row r="102" spans="1:13" s="4" customFormat="1" ht="22.7" hidden="1" customHeight="1" x14ac:dyDescent="0.25">
      <c r="A102" s="20">
        <f t="shared" si="4"/>
        <v>96</v>
      </c>
      <c r="B102" s="21" t="s">
        <v>307</v>
      </c>
      <c r="C102" s="22" t="s">
        <v>308</v>
      </c>
      <c r="D102" s="22" t="s">
        <v>45</v>
      </c>
      <c r="E102" s="22" t="s">
        <v>309</v>
      </c>
      <c r="F102" s="22" t="s">
        <v>47</v>
      </c>
      <c r="G102" s="23" t="s">
        <v>35</v>
      </c>
      <c r="H102" s="22" t="s">
        <v>42</v>
      </c>
      <c r="I102" s="28">
        <v>44531</v>
      </c>
      <c r="J102" s="27">
        <v>2.29</v>
      </c>
      <c r="K102" s="27">
        <f t="shared" si="5"/>
        <v>1.79</v>
      </c>
      <c r="L102" s="27">
        <v>0.5</v>
      </c>
      <c r="M102" s="29"/>
    </row>
    <row r="103" spans="1:13" s="4" customFormat="1" ht="22.7" hidden="1" customHeight="1" x14ac:dyDescent="0.25">
      <c r="A103" s="20">
        <f t="shared" si="4"/>
        <v>97</v>
      </c>
      <c r="B103" s="21" t="s">
        <v>310</v>
      </c>
      <c r="C103" s="22" t="s">
        <v>311</v>
      </c>
      <c r="D103" s="22" t="s">
        <v>45</v>
      </c>
      <c r="E103" s="22" t="s">
        <v>240</v>
      </c>
      <c r="F103" s="22" t="s">
        <v>312</v>
      </c>
      <c r="G103" s="23" t="s">
        <v>313</v>
      </c>
      <c r="H103" s="22" t="s">
        <v>30</v>
      </c>
      <c r="I103" s="28">
        <v>36713</v>
      </c>
      <c r="J103" s="27">
        <v>59.3</v>
      </c>
      <c r="K103" s="27">
        <f t="shared" si="5"/>
        <v>47.3</v>
      </c>
      <c r="L103" s="27">
        <v>12</v>
      </c>
      <c r="M103" s="29"/>
    </row>
    <row r="104" spans="1:13" s="4" customFormat="1" ht="22.7" hidden="1" customHeight="1" x14ac:dyDescent="0.25">
      <c r="A104" s="20">
        <f t="shared" ref="A104:A135" si="6">SUM(A103:A103+1)</f>
        <v>98</v>
      </c>
      <c r="B104" s="21" t="s">
        <v>314</v>
      </c>
      <c r="C104" s="22" t="s">
        <v>315</v>
      </c>
      <c r="D104" s="22" t="s">
        <v>179</v>
      </c>
      <c r="E104" s="22" t="s">
        <v>141</v>
      </c>
      <c r="F104" s="22" t="s">
        <v>57</v>
      </c>
      <c r="G104" s="23" t="s">
        <v>58</v>
      </c>
      <c r="H104" s="22" t="s">
        <v>23</v>
      </c>
      <c r="I104" s="28">
        <v>44501</v>
      </c>
      <c r="J104" s="27">
        <v>3</v>
      </c>
      <c r="K104" s="27">
        <f t="shared" si="5"/>
        <v>1.5</v>
      </c>
      <c r="L104" s="27">
        <v>1.5</v>
      </c>
      <c r="M104" s="29"/>
    </row>
    <row r="105" spans="1:13" s="4" customFormat="1" ht="22.7" hidden="1" customHeight="1" x14ac:dyDescent="0.25">
      <c r="A105" s="20">
        <f t="shared" si="6"/>
        <v>99</v>
      </c>
      <c r="B105" s="21" t="s">
        <v>316</v>
      </c>
      <c r="C105" s="22" t="s">
        <v>317</v>
      </c>
      <c r="D105" s="22" t="s">
        <v>68</v>
      </c>
      <c r="E105" s="22" t="s">
        <v>141</v>
      </c>
      <c r="F105" s="22" t="s">
        <v>57</v>
      </c>
      <c r="G105" s="23" t="s">
        <v>58</v>
      </c>
      <c r="H105" s="22" t="s">
        <v>42</v>
      </c>
      <c r="I105" s="28">
        <v>42278</v>
      </c>
      <c r="J105" s="27">
        <v>33.1</v>
      </c>
      <c r="K105" s="27">
        <f t="shared" si="5"/>
        <v>27.1</v>
      </c>
      <c r="L105" s="27">
        <v>6</v>
      </c>
      <c r="M105" s="29"/>
    </row>
    <row r="106" spans="1:13" s="4" customFormat="1" ht="22.7" hidden="1" customHeight="1" x14ac:dyDescent="0.25">
      <c r="A106" s="20">
        <f t="shared" si="6"/>
        <v>100</v>
      </c>
      <c r="B106" s="21" t="s">
        <v>318</v>
      </c>
      <c r="C106" s="22" t="s">
        <v>319</v>
      </c>
      <c r="D106" s="22" t="s">
        <v>68</v>
      </c>
      <c r="E106" s="22" t="s">
        <v>69</v>
      </c>
      <c r="F106" s="22" t="s">
        <v>47</v>
      </c>
      <c r="G106" s="23" t="s">
        <v>35</v>
      </c>
      <c r="H106" s="22" t="s">
        <v>23</v>
      </c>
      <c r="I106" s="28">
        <v>44197</v>
      </c>
      <c r="J106" s="27">
        <v>0</v>
      </c>
      <c r="K106" s="27">
        <f t="shared" si="5"/>
        <v>0</v>
      </c>
      <c r="L106" s="27">
        <v>0</v>
      </c>
      <c r="M106" s="29"/>
    </row>
    <row r="107" spans="1:13" s="4" customFormat="1" ht="22.7" hidden="1" customHeight="1" x14ac:dyDescent="0.25">
      <c r="A107" s="20">
        <f t="shared" si="6"/>
        <v>101</v>
      </c>
      <c r="B107" s="21" t="s">
        <v>320</v>
      </c>
      <c r="C107" s="22" t="s">
        <v>321</v>
      </c>
      <c r="D107" s="22" t="s">
        <v>68</v>
      </c>
      <c r="E107" s="22" t="s">
        <v>69</v>
      </c>
      <c r="F107" s="22" t="s">
        <v>47</v>
      </c>
      <c r="G107" s="23" t="s">
        <v>35</v>
      </c>
      <c r="H107" s="22" t="s">
        <v>42</v>
      </c>
      <c r="I107" s="28">
        <v>42278</v>
      </c>
      <c r="J107" s="27">
        <v>21.3</v>
      </c>
      <c r="K107" s="27">
        <f t="shared" si="5"/>
        <v>15.3</v>
      </c>
      <c r="L107" s="27">
        <v>6</v>
      </c>
      <c r="M107" s="29"/>
    </row>
    <row r="108" spans="1:13" s="4" customFormat="1" ht="22.7" hidden="1" customHeight="1" x14ac:dyDescent="0.25">
      <c r="A108" s="20">
        <f t="shared" si="6"/>
        <v>102</v>
      </c>
      <c r="B108" s="21" t="s">
        <v>322</v>
      </c>
      <c r="C108" s="22" t="s">
        <v>323</v>
      </c>
      <c r="D108" s="22" t="s">
        <v>72</v>
      </c>
      <c r="E108" s="22" t="s">
        <v>324</v>
      </c>
      <c r="F108" s="22" t="s">
        <v>105</v>
      </c>
      <c r="G108" s="23" t="s">
        <v>58</v>
      </c>
      <c r="H108" s="22" t="s">
        <v>30</v>
      </c>
      <c r="I108" s="28"/>
      <c r="J108" s="27"/>
      <c r="K108" s="27">
        <f t="shared" ref="K108:K109" si="7">J108-L108</f>
        <v>0</v>
      </c>
      <c r="L108" s="27"/>
      <c r="M108" s="29"/>
    </row>
    <row r="109" spans="1:13" s="4" customFormat="1" ht="22.7" hidden="1" customHeight="1" x14ac:dyDescent="0.25">
      <c r="A109" s="20">
        <f t="shared" si="6"/>
        <v>103</v>
      </c>
      <c r="B109" s="21" t="s">
        <v>325</v>
      </c>
      <c r="C109" s="22" t="s">
        <v>326</v>
      </c>
      <c r="D109" s="22" t="s">
        <v>45</v>
      </c>
      <c r="E109" s="22" t="s">
        <v>327</v>
      </c>
      <c r="F109" s="22" t="s">
        <v>40</v>
      </c>
      <c r="G109" s="23" t="s">
        <v>41</v>
      </c>
      <c r="H109" s="22" t="s">
        <v>42</v>
      </c>
      <c r="I109" s="28">
        <v>42278</v>
      </c>
      <c r="J109" s="27">
        <v>38.1</v>
      </c>
      <c r="K109" s="27">
        <f t="shared" si="7"/>
        <v>28.1</v>
      </c>
      <c r="L109" s="27">
        <v>10</v>
      </c>
      <c r="M109" s="29"/>
    </row>
    <row r="110" spans="1:13" s="4" customFormat="1" ht="22.7" hidden="1" customHeight="1" x14ac:dyDescent="0.25">
      <c r="A110" s="20">
        <f t="shared" si="6"/>
        <v>104</v>
      </c>
      <c r="B110" s="21" t="s">
        <v>328</v>
      </c>
      <c r="C110" s="22" t="s">
        <v>329</v>
      </c>
      <c r="D110" s="22" t="s">
        <v>161</v>
      </c>
      <c r="E110" s="22" t="s">
        <v>162</v>
      </c>
      <c r="F110" s="22" t="s">
        <v>57</v>
      </c>
      <c r="G110" s="23" t="s">
        <v>58</v>
      </c>
      <c r="H110" s="22" t="s">
        <v>42</v>
      </c>
      <c r="I110" s="28">
        <v>42278</v>
      </c>
      <c r="J110" s="27">
        <v>8.1</v>
      </c>
      <c r="K110" s="27">
        <v>2</v>
      </c>
      <c r="L110" s="27"/>
      <c r="M110" s="29"/>
    </row>
    <row r="111" spans="1:13" s="4" customFormat="1" ht="22.7" hidden="1" customHeight="1" x14ac:dyDescent="0.25">
      <c r="A111" s="20">
        <f t="shared" si="6"/>
        <v>105</v>
      </c>
      <c r="B111" s="21" t="s">
        <v>330</v>
      </c>
      <c r="C111" s="22" t="s">
        <v>331</v>
      </c>
      <c r="D111" s="22" t="s">
        <v>45</v>
      </c>
      <c r="E111" s="22" t="s">
        <v>332</v>
      </c>
      <c r="F111" s="22" t="s">
        <v>47</v>
      </c>
      <c r="G111" s="23" t="s">
        <v>35</v>
      </c>
      <c r="H111" s="22" t="s">
        <v>30</v>
      </c>
      <c r="I111" s="28">
        <v>42005</v>
      </c>
      <c r="J111" s="27">
        <v>27.28</v>
      </c>
      <c r="K111" s="27">
        <f t="shared" ref="K111:K142" si="8">J111-L111</f>
        <v>19.28</v>
      </c>
      <c r="L111" s="27">
        <v>8</v>
      </c>
      <c r="M111" s="29"/>
    </row>
    <row r="112" spans="1:13" ht="22.7" hidden="1" customHeight="1" x14ac:dyDescent="0.25">
      <c r="A112" s="20">
        <f t="shared" si="6"/>
        <v>106</v>
      </c>
      <c r="B112" s="21" t="s">
        <v>333</v>
      </c>
      <c r="C112" s="22" t="s">
        <v>334</v>
      </c>
      <c r="D112" s="22" t="s">
        <v>85</v>
      </c>
      <c r="E112" s="22" t="s">
        <v>335</v>
      </c>
      <c r="F112" s="22" t="s">
        <v>34</v>
      </c>
      <c r="G112" s="23" t="s">
        <v>35</v>
      </c>
      <c r="H112" s="22" t="s">
        <v>23</v>
      </c>
      <c r="I112" s="28">
        <v>44501</v>
      </c>
      <c r="J112" s="27">
        <v>5</v>
      </c>
      <c r="K112" s="27">
        <f t="shared" si="8"/>
        <v>3.5</v>
      </c>
      <c r="L112" s="27">
        <v>1.5</v>
      </c>
      <c r="M112" s="29"/>
    </row>
    <row r="113" spans="1:13" ht="22.7" hidden="1" customHeight="1" x14ac:dyDescent="0.25">
      <c r="A113" s="20">
        <f t="shared" si="6"/>
        <v>107</v>
      </c>
      <c r="B113" s="21" t="s">
        <v>336</v>
      </c>
      <c r="C113" s="22" t="s">
        <v>337</v>
      </c>
      <c r="D113" s="22" t="s">
        <v>179</v>
      </c>
      <c r="E113" s="22" t="s">
        <v>141</v>
      </c>
      <c r="F113" s="22" t="s">
        <v>57</v>
      </c>
      <c r="G113" s="23" t="s">
        <v>58</v>
      </c>
      <c r="H113" s="22" t="s">
        <v>30</v>
      </c>
      <c r="I113" s="28">
        <v>42917</v>
      </c>
      <c r="J113" s="27">
        <v>5</v>
      </c>
      <c r="K113" s="27">
        <f t="shared" si="8"/>
        <v>3.5</v>
      </c>
      <c r="L113" s="27">
        <v>1.5</v>
      </c>
      <c r="M113" s="29"/>
    </row>
    <row r="114" spans="1:13" ht="22.7" hidden="1" customHeight="1" x14ac:dyDescent="0.25">
      <c r="A114" s="20">
        <f t="shared" si="6"/>
        <v>108</v>
      </c>
      <c r="B114" s="21" t="s">
        <v>338</v>
      </c>
      <c r="C114" s="22" t="s">
        <v>339</v>
      </c>
      <c r="D114" s="22" t="s">
        <v>72</v>
      </c>
      <c r="E114" s="22" t="s">
        <v>33</v>
      </c>
      <c r="F114" s="22" t="s">
        <v>34</v>
      </c>
      <c r="G114" s="23" t="s">
        <v>35</v>
      </c>
      <c r="H114" s="22" t="s">
        <v>42</v>
      </c>
      <c r="I114" s="28">
        <v>42522</v>
      </c>
      <c r="J114" s="27">
        <v>13.5</v>
      </c>
      <c r="K114" s="27">
        <f t="shared" si="8"/>
        <v>9.5</v>
      </c>
      <c r="L114" s="27">
        <v>4</v>
      </c>
      <c r="M114" s="29"/>
    </row>
    <row r="115" spans="1:13" ht="22.7" hidden="1" customHeight="1" x14ac:dyDescent="0.25">
      <c r="A115" s="20">
        <f t="shared" si="6"/>
        <v>109</v>
      </c>
      <c r="B115" s="21" t="s">
        <v>340</v>
      </c>
      <c r="C115" s="22" t="s">
        <v>341</v>
      </c>
      <c r="D115" s="22" t="s">
        <v>72</v>
      </c>
      <c r="E115" s="22" t="s">
        <v>104</v>
      </c>
      <c r="F115" s="22" t="s">
        <v>105</v>
      </c>
      <c r="G115" s="23" t="s">
        <v>58</v>
      </c>
      <c r="H115" s="22" t="s">
        <v>30</v>
      </c>
      <c r="I115" s="28">
        <v>44470</v>
      </c>
      <c r="J115" s="27">
        <v>0</v>
      </c>
      <c r="K115" s="27">
        <f t="shared" si="8"/>
        <v>0</v>
      </c>
      <c r="L115" s="27">
        <v>0</v>
      </c>
      <c r="M115" s="29"/>
    </row>
    <row r="116" spans="1:13" ht="22.7" hidden="1" customHeight="1" x14ac:dyDescent="0.25">
      <c r="A116" s="20">
        <f t="shared" si="6"/>
        <v>110</v>
      </c>
      <c r="B116" s="21" t="s">
        <v>342</v>
      </c>
      <c r="C116" s="22" t="s">
        <v>343</v>
      </c>
      <c r="D116" s="22" t="s">
        <v>26</v>
      </c>
      <c r="E116" s="22" t="s">
        <v>104</v>
      </c>
      <c r="F116" s="22" t="s">
        <v>105</v>
      </c>
      <c r="G116" s="23" t="s">
        <v>58</v>
      </c>
      <c r="H116" s="22" t="s">
        <v>30</v>
      </c>
      <c r="I116" s="28">
        <v>44197</v>
      </c>
      <c r="J116" s="27">
        <v>8.11</v>
      </c>
      <c r="K116" s="27">
        <f t="shared" si="8"/>
        <v>6.1099999999999994</v>
      </c>
      <c r="L116" s="27">
        <v>2</v>
      </c>
      <c r="M116" s="29"/>
    </row>
    <row r="117" spans="1:13" ht="22.7" hidden="1" customHeight="1" x14ac:dyDescent="0.25">
      <c r="A117" s="20">
        <f t="shared" si="6"/>
        <v>111</v>
      </c>
      <c r="B117" s="21" t="s">
        <v>344</v>
      </c>
      <c r="C117" s="22" t="s">
        <v>345</v>
      </c>
      <c r="D117" s="22" t="s">
        <v>225</v>
      </c>
      <c r="E117" s="22" t="s">
        <v>226</v>
      </c>
      <c r="F117" s="22" t="s">
        <v>57</v>
      </c>
      <c r="G117" s="23" t="s">
        <v>58</v>
      </c>
      <c r="H117" s="22" t="s">
        <v>42</v>
      </c>
      <c r="I117" s="28">
        <v>42278</v>
      </c>
      <c r="J117" s="27">
        <v>5.21</v>
      </c>
      <c r="K117" s="27">
        <f t="shared" si="8"/>
        <v>5.21</v>
      </c>
      <c r="L117" s="27">
        <v>0</v>
      </c>
      <c r="M117" s="29"/>
    </row>
    <row r="118" spans="1:13" ht="22.7" hidden="1" customHeight="1" x14ac:dyDescent="0.25">
      <c r="A118" s="20">
        <f t="shared" si="6"/>
        <v>112</v>
      </c>
      <c r="B118" s="21" t="s">
        <v>346</v>
      </c>
      <c r="C118" s="22" t="s">
        <v>347</v>
      </c>
      <c r="D118" s="22" t="s">
        <v>68</v>
      </c>
      <c r="E118" s="22" t="s">
        <v>69</v>
      </c>
      <c r="F118" s="22" t="s">
        <v>47</v>
      </c>
      <c r="G118" s="23" t="s">
        <v>35</v>
      </c>
      <c r="H118" s="22" t="s">
        <v>23</v>
      </c>
      <c r="I118" s="28">
        <v>44197</v>
      </c>
      <c r="J118" s="27">
        <v>0</v>
      </c>
      <c r="K118" s="27">
        <f t="shared" si="8"/>
        <v>0</v>
      </c>
      <c r="L118" s="27">
        <v>0</v>
      </c>
      <c r="M118" s="29"/>
    </row>
    <row r="119" spans="1:13" ht="22.7" hidden="1" customHeight="1" x14ac:dyDescent="0.25">
      <c r="A119" s="20">
        <f t="shared" si="6"/>
        <v>113</v>
      </c>
      <c r="B119" s="21" t="s">
        <v>348</v>
      </c>
      <c r="C119" s="22" t="s">
        <v>349</v>
      </c>
      <c r="D119" s="22" t="s">
        <v>26</v>
      </c>
      <c r="E119" s="22" t="s">
        <v>100</v>
      </c>
      <c r="F119" s="22" t="s">
        <v>101</v>
      </c>
      <c r="G119" s="23" t="s">
        <v>22</v>
      </c>
      <c r="H119" s="22" t="s">
        <v>23</v>
      </c>
      <c r="I119" s="28">
        <v>44197</v>
      </c>
      <c r="J119" s="27">
        <v>0</v>
      </c>
      <c r="K119" s="27">
        <f t="shared" si="8"/>
        <v>0</v>
      </c>
      <c r="L119" s="27">
        <v>0</v>
      </c>
      <c r="M119" s="29"/>
    </row>
    <row r="120" spans="1:13" ht="22.7" hidden="1" customHeight="1" x14ac:dyDescent="0.25">
      <c r="A120" s="20">
        <f t="shared" si="6"/>
        <v>114</v>
      </c>
      <c r="B120" s="21" t="s">
        <v>350</v>
      </c>
      <c r="C120" s="22" t="s">
        <v>351</v>
      </c>
      <c r="D120" s="22" t="s">
        <v>225</v>
      </c>
      <c r="E120" s="22" t="s">
        <v>226</v>
      </c>
      <c r="F120" s="22" t="s">
        <v>57</v>
      </c>
      <c r="G120" s="23" t="s">
        <v>58</v>
      </c>
      <c r="H120" s="22" t="s">
        <v>23</v>
      </c>
      <c r="I120" s="28">
        <v>44197</v>
      </c>
      <c r="J120" s="27">
        <v>0</v>
      </c>
      <c r="K120" s="27">
        <f t="shared" si="8"/>
        <v>0</v>
      </c>
      <c r="L120" s="27">
        <v>0</v>
      </c>
      <c r="M120" s="29"/>
    </row>
    <row r="121" spans="1:13" ht="22.7" hidden="1" customHeight="1" x14ac:dyDescent="0.25">
      <c r="A121" s="20">
        <f t="shared" si="6"/>
        <v>115</v>
      </c>
      <c r="B121" s="21" t="s">
        <v>352</v>
      </c>
      <c r="C121" s="22" t="s">
        <v>353</v>
      </c>
      <c r="D121" s="22" t="s">
        <v>161</v>
      </c>
      <c r="E121" s="22" t="s">
        <v>354</v>
      </c>
      <c r="F121" s="22" t="s">
        <v>355</v>
      </c>
      <c r="G121" s="23" t="s">
        <v>356</v>
      </c>
      <c r="H121" s="22" t="s">
        <v>23</v>
      </c>
      <c r="I121" s="28">
        <v>44197</v>
      </c>
      <c r="J121" s="27">
        <v>9</v>
      </c>
      <c r="K121" s="27">
        <f t="shared" si="8"/>
        <v>7</v>
      </c>
      <c r="L121" s="27">
        <v>2</v>
      </c>
      <c r="M121" s="29"/>
    </row>
    <row r="122" spans="1:13" ht="22.7" hidden="1" customHeight="1" x14ac:dyDescent="0.25">
      <c r="A122" s="20">
        <f t="shared" si="6"/>
        <v>116</v>
      </c>
      <c r="B122" s="21" t="s">
        <v>357</v>
      </c>
      <c r="C122" s="22" t="s">
        <v>358</v>
      </c>
      <c r="D122" s="22" t="s">
        <v>85</v>
      </c>
      <c r="E122" s="22" t="s">
        <v>245</v>
      </c>
      <c r="F122" s="22" t="s">
        <v>34</v>
      </c>
      <c r="G122" s="23" t="s">
        <v>35</v>
      </c>
      <c r="H122" s="22" t="s">
        <v>23</v>
      </c>
      <c r="I122" s="28">
        <v>44197</v>
      </c>
      <c r="J122" s="27">
        <v>0.57999999999999996</v>
      </c>
      <c r="K122" s="27">
        <f t="shared" si="8"/>
        <v>0.57999999999999996</v>
      </c>
      <c r="L122" s="27">
        <v>0</v>
      </c>
      <c r="M122" s="29"/>
    </row>
    <row r="123" spans="1:13" ht="22.7" hidden="1" customHeight="1" x14ac:dyDescent="0.25">
      <c r="A123" s="20">
        <f t="shared" si="6"/>
        <v>117</v>
      </c>
      <c r="B123" s="21" t="s">
        <v>359</v>
      </c>
      <c r="C123" s="22" t="s">
        <v>360</v>
      </c>
      <c r="D123" s="22" t="s">
        <v>45</v>
      </c>
      <c r="E123" s="22" t="s">
        <v>361</v>
      </c>
      <c r="F123" s="22" t="s">
        <v>47</v>
      </c>
      <c r="G123" s="23" t="s">
        <v>35</v>
      </c>
      <c r="H123" s="22" t="s">
        <v>42</v>
      </c>
      <c r="I123" s="28">
        <v>42125</v>
      </c>
      <c r="J123" s="27">
        <v>47</v>
      </c>
      <c r="K123" s="27">
        <f t="shared" si="8"/>
        <v>34.5</v>
      </c>
      <c r="L123" s="27">
        <v>12.5</v>
      </c>
      <c r="M123" s="29"/>
    </row>
    <row r="124" spans="1:13" ht="22.7" hidden="1" customHeight="1" x14ac:dyDescent="0.25">
      <c r="A124" s="20">
        <f t="shared" si="6"/>
        <v>118</v>
      </c>
      <c r="B124" s="21" t="s">
        <v>362</v>
      </c>
      <c r="C124" s="22" t="s">
        <v>363</v>
      </c>
      <c r="D124" s="22" t="s">
        <v>26</v>
      </c>
      <c r="E124" s="22" t="s">
        <v>100</v>
      </c>
      <c r="F124" s="22" t="s">
        <v>101</v>
      </c>
      <c r="G124" s="23" t="s">
        <v>22</v>
      </c>
      <c r="H124" s="22" t="s">
        <v>23</v>
      </c>
      <c r="I124" s="28">
        <v>44197</v>
      </c>
      <c r="J124" s="27">
        <v>0</v>
      </c>
      <c r="K124" s="27">
        <f t="shared" si="8"/>
        <v>0</v>
      </c>
      <c r="L124" s="27">
        <v>0</v>
      </c>
      <c r="M124" s="29"/>
    </row>
    <row r="125" spans="1:13" ht="22.7" hidden="1" customHeight="1" x14ac:dyDescent="0.25">
      <c r="A125" s="20">
        <f t="shared" si="6"/>
        <v>119</v>
      </c>
      <c r="B125" s="21" t="s">
        <v>364</v>
      </c>
      <c r="C125" s="22" t="s">
        <v>365</v>
      </c>
      <c r="D125" s="22" t="s">
        <v>85</v>
      </c>
      <c r="E125" s="22" t="s">
        <v>366</v>
      </c>
      <c r="F125" s="22" t="s">
        <v>28</v>
      </c>
      <c r="G125" s="23" t="s">
        <v>29</v>
      </c>
      <c r="H125" s="22" t="s">
        <v>23</v>
      </c>
      <c r="I125" s="28">
        <v>44197</v>
      </c>
      <c r="J125" s="27">
        <v>2</v>
      </c>
      <c r="K125" s="27">
        <f t="shared" si="8"/>
        <v>2</v>
      </c>
      <c r="L125" s="27">
        <v>0</v>
      </c>
      <c r="M125" s="29"/>
    </row>
    <row r="126" spans="1:13" ht="22.7" hidden="1" customHeight="1" x14ac:dyDescent="0.25">
      <c r="A126" s="20">
        <f t="shared" si="6"/>
        <v>120</v>
      </c>
      <c r="B126" s="21" t="s">
        <v>367</v>
      </c>
      <c r="C126" s="22" t="s">
        <v>368</v>
      </c>
      <c r="D126" s="22" t="s">
        <v>85</v>
      </c>
      <c r="E126" s="22" t="s">
        <v>86</v>
      </c>
      <c r="F126" s="22" t="s">
        <v>34</v>
      </c>
      <c r="G126" s="23" t="s">
        <v>35</v>
      </c>
      <c r="H126" s="22" t="s">
        <v>23</v>
      </c>
      <c r="I126" s="28">
        <v>44197</v>
      </c>
      <c r="J126" s="27">
        <v>2.63</v>
      </c>
      <c r="K126" s="27">
        <f t="shared" si="8"/>
        <v>2.63</v>
      </c>
      <c r="L126" s="27">
        <v>0</v>
      </c>
      <c r="M126" s="29"/>
    </row>
    <row r="127" spans="1:13" ht="22.7" hidden="1" customHeight="1" x14ac:dyDescent="0.25">
      <c r="A127" s="20">
        <f t="shared" si="6"/>
        <v>121</v>
      </c>
      <c r="B127" s="21" t="s">
        <v>369</v>
      </c>
      <c r="C127" s="22" t="s">
        <v>370</v>
      </c>
      <c r="D127" s="22" t="s">
        <v>68</v>
      </c>
      <c r="E127" s="22" t="s">
        <v>69</v>
      </c>
      <c r="F127" s="22" t="s">
        <v>47</v>
      </c>
      <c r="G127" s="23" t="s">
        <v>35</v>
      </c>
      <c r="H127" s="22" t="s">
        <v>23</v>
      </c>
      <c r="I127" s="28">
        <v>44197</v>
      </c>
      <c r="J127" s="27">
        <v>0</v>
      </c>
      <c r="K127" s="27">
        <f t="shared" si="8"/>
        <v>0</v>
      </c>
      <c r="L127" s="27">
        <v>0</v>
      </c>
      <c r="M127" s="29"/>
    </row>
    <row r="128" spans="1:13" ht="22.7" hidden="1" customHeight="1" x14ac:dyDescent="0.25">
      <c r="A128" s="20">
        <f t="shared" si="6"/>
        <v>122</v>
      </c>
      <c r="B128" s="21" t="s">
        <v>371</v>
      </c>
      <c r="C128" s="22" t="s">
        <v>372</v>
      </c>
      <c r="D128" s="22" t="s">
        <v>225</v>
      </c>
      <c r="E128" s="22" t="s">
        <v>226</v>
      </c>
      <c r="F128" s="22" t="s">
        <v>57</v>
      </c>
      <c r="G128" s="23" t="s">
        <v>58</v>
      </c>
      <c r="H128" s="22" t="s">
        <v>23</v>
      </c>
      <c r="I128" s="28">
        <v>44197</v>
      </c>
      <c r="J128" s="27">
        <v>0</v>
      </c>
      <c r="K128" s="27">
        <f t="shared" si="8"/>
        <v>0</v>
      </c>
      <c r="L128" s="27">
        <v>0</v>
      </c>
      <c r="M128" s="29"/>
    </row>
    <row r="129" spans="1:13" ht="22.7" hidden="1" customHeight="1" x14ac:dyDescent="0.25">
      <c r="A129" s="20">
        <f t="shared" si="6"/>
        <v>123</v>
      </c>
      <c r="B129" s="21" t="s">
        <v>373</v>
      </c>
      <c r="C129" s="22" t="s">
        <v>374</v>
      </c>
      <c r="D129" s="22" t="s">
        <v>225</v>
      </c>
      <c r="E129" s="22" t="s">
        <v>226</v>
      </c>
      <c r="F129" s="22" t="s">
        <v>57</v>
      </c>
      <c r="G129" s="23" t="s">
        <v>58</v>
      </c>
      <c r="H129" s="22" t="s">
        <v>42</v>
      </c>
      <c r="I129" s="28">
        <v>42278</v>
      </c>
      <c r="J129" s="27">
        <v>2</v>
      </c>
      <c r="K129" s="27">
        <f t="shared" si="8"/>
        <v>2</v>
      </c>
      <c r="L129" s="27">
        <v>0</v>
      </c>
      <c r="M129" s="29"/>
    </row>
    <row r="130" spans="1:13" ht="22.7" hidden="1" customHeight="1" x14ac:dyDescent="0.25">
      <c r="A130" s="20">
        <f t="shared" si="6"/>
        <v>124</v>
      </c>
      <c r="B130" s="21" t="s">
        <v>375</v>
      </c>
      <c r="C130" s="22" t="s">
        <v>376</v>
      </c>
      <c r="D130" s="22" t="s">
        <v>72</v>
      </c>
      <c r="E130" s="22" t="s">
        <v>104</v>
      </c>
      <c r="F130" s="22" t="s">
        <v>105</v>
      </c>
      <c r="G130" s="23" t="s">
        <v>58</v>
      </c>
      <c r="H130" s="22" t="s">
        <v>42</v>
      </c>
      <c r="I130" s="28">
        <v>42979</v>
      </c>
      <c r="J130" s="27">
        <v>4</v>
      </c>
      <c r="K130" s="27">
        <f t="shared" si="8"/>
        <v>4</v>
      </c>
      <c r="L130" s="27">
        <v>0</v>
      </c>
      <c r="M130" s="29"/>
    </row>
    <row r="131" spans="1:13" ht="22.7" hidden="1" customHeight="1" x14ac:dyDescent="0.25">
      <c r="A131" s="20">
        <f t="shared" si="6"/>
        <v>125</v>
      </c>
      <c r="B131" s="21" t="s">
        <v>377</v>
      </c>
      <c r="C131" s="22" t="s">
        <v>378</v>
      </c>
      <c r="D131" s="22" t="s">
        <v>112</v>
      </c>
      <c r="E131" s="22" t="s">
        <v>113</v>
      </c>
      <c r="F131" s="22" t="s">
        <v>57</v>
      </c>
      <c r="G131" s="23" t="s">
        <v>58</v>
      </c>
      <c r="H131" s="22" t="s">
        <v>23</v>
      </c>
      <c r="I131" s="28">
        <v>44197</v>
      </c>
      <c r="J131" s="27">
        <v>36.200000000000003</v>
      </c>
      <c r="K131" s="27">
        <f t="shared" si="8"/>
        <v>28.200000000000003</v>
      </c>
      <c r="L131" s="27">
        <v>8</v>
      </c>
      <c r="M131" s="29"/>
    </row>
    <row r="132" spans="1:13" ht="22.7" hidden="1" customHeight="1" x14ac:dyDescent="0.25">
      <c r="A132" s="20">
        <f t="shared" si="6"/>
        <v>126</v>
      </c>
      <c r="B132" s="21" t="s">
        <v>379</v>
      </c>
      <c r="C132" s="22" t="s">
        <v>380</v>
      </c>
      <c r="D132" s="22" t="s">
        <v>116</v>
      </c>
      <c r="E132" s="22" t="s">
        <v>210</v>
      </c>
      <c r="F132" s="22" t="s">
        <v>47</v>
      </c>
      <c r="G132" s="23" t="s">
        <v>35</v>
      </c>
      <c r="H132" s="22" t="s">
        <v>30</v>
      </c>
      <c r="I132" s="28">
        <v>31959</v>
      </c>
      <c r="J132" s="27">
        <v>26</v>
      </c>
      <c r="K132" s="27">
        <f t="shared" si="8"/>
        <v>20</v>
      </c>
      <c r="L132" s="27">
        <v>6</v>
      </c>
      <c r="M132" s="29"/>
    </row>
    <row r="133" spans="1:13" ht="22.7" hidden="1" customHeight="1" x14ac:dyDescent="0.25">
      <c r="A133" s="20">
        <f t="shared" si="6"/>
        <v>127</v>
      </c>
      <c r="B133" s="21" t="s">
        <v>381</v>
      </c>
      <c r="C133" s="22" t="s">
        <v>382</v>
      </c>
      <c r="D133" s="22" t="s">
        <v>116</v>
      </c>
      <c r="E133" s="22" t="s">
        <v>216</v>
      </c>
      <c r="F133" s="22" t="s">
        <v>47</v>
      </c>
      <c r="G133" s="23" t="s">
        <v>35</v>
      </c>
      <c r="H133" s="22" t="s">
        <v>23</v>
      </c>
      <c r="I133" s="28">
        <v>44197</v>
      </c>
      <c r="J133" s="27">
        <v>4.71</v>
      </c>
      <c r="K133" s="27">
        <f t="shared" si="8"/>
        <v>4.71</v>
      </c>
      <c r="L133" s="27">
        <v>0</v>
      </c>
      <c r="M133" s="29"/>
    </row>
    <row r="134" spans="1:13" ht="22.7" hidden="1" customHeight="1" x14ac:dyDescent="0.25">
      <c r="A134" s="20">
        <f t="shared" si="6"/>
        <v>128</v>
      </c>
      <c r="B134" s="21" t="s">
        <v>383</v>
      </c>
      <c r="C134" s="22" t="s">
        <v>384</v>
      </c>
      <c r="D134" s="22" t="s">
        <v>72</v>
      </c>
      <c r="E134" s="22" t="s">
        <v>73</v>
      </c>
      <c r="F134" s="22" t="s">
        <v>74</v>
      </c>
      <c r="G134" s="23" t="s">
        <v>75</v>
      </c>
      <c r="H134" s="22" t="s">
        <v>30</v>
      </c>
      <c r="I134" s="28">
        <v>44470</v>
      </c>
      <c r="J134" s="27">
        <v>14</v>
      </c>
      <c r="K134" s="27">
        <f t="shared" si="8"/>
        <v>12</v>
      </c>
      <c r="L134" s="27">
        <v>2</v>
      </c>
      <c r="M134" s="29" t="s">
        <v>48</v>
      </c>
    </row>
    <row r="135" spans="1:13" ht="22.7" hidden="1" customHeight="1" x14ac:dyDescent="0.25">
      <c r="A135" s="20">
        <f t="shared" si="6"/>
        <v>129</v>
      </c>
      <c r="B135" s="21" t="s">
        <v>385</v>
      </c>
      <c r="C135" s="22" t="s">
        <v>386</v>
      </c>
      <c r="D135" s="22" t="s">
        <v>45</v>
      </c>
      <c r="E135" s="22" t="s">
        <v>61</v>
      </c>
      <c r="F135" s="22" t="s">
        <v>21</v>
      </c>
      <c r="G135" s="23" t="s">
        <v>22</v>
      </c>
      <c r="H135" s="22" t="s">
        <v>42</v>
      </c>
      <c r="I135" s="28">
        <v>42156</v>
      </c>
      <c r="J135" s="27">
        <v>3</v>
      </c>
      <c r="K135" s="27">
        <f t="shared" si="8"/>
        <v>3</v>
      </c>
      <c r="L135" s="27">
        <v>0</v>
      </c>
      <c r="M135" s="29"/>
    </row>
    <row r="136" spans="1:13" ht="22.7" hidden="1" customHeight="1" x14ac:dyDescent="0.25">
      <c r="A136" s="20">
        <f t="shared" ref="A136:A167" si="9">SUM(A135:A135+1)</f>
        <v>130</v>
      </c>
      <c r="B136" s="21" t="s">
        <v>387</v>
      </c>
      <c r="C136" s="22" t="s">
        <v>388</v>
      </c>
      <c r="D136" s="22" t="s">
        <v>179</v>
      </c>
      <c r="E136" s="22" t="s">
        <v>141</v>
      </c>
      <c r="F136" s="22" t="s">
        <v>57</v>
      </c>
      <c r="G136" s="23" t="s">
        <v>58</v>
      </c>
      <c r="H136" s="22" t="s">
        <v>23</v>
      </c>
      <c r="I136" s="28">
        <v>44197</v>
      </c>
      <c r="J136" s="27">
        <v>10</v>
      </c>
      <c r="K136" s="27">
        <f t="shared" si="8"/>
        <v>6</v>
      </c>
      <c r="L136" s="27">
        <v>4</v>
      </c>
      <c r="M136" s="29"/>
    </row>
    <row r="137" spans="1:13" ht="22.7" hidden="1" customHeight="1" x14ac:dyDescent="0.25">
      <c r="A137" s="20">
        <f t="shared" si="9"/>
        <v>131</v>
      </c>
      <c r="B137" s="21" t="s">
        <v>389</v>
      </c>
      <c r="C137" s="22" t="s">
        <v>390</v>
      </c>
      <c r="D137" s="22" t="s">
        <v>225</v>
      </c>
      <c r="E137" s="22" t="s">
        <v>226</v>
      </c>
      <c r="F137" s="22" t="s">
        <v>47</v>
      </c>
      <c r="G137" s="23" t="s">
        <v>35</v>
      </c>
      <c r="H137" s="22" t="s">
        <v>30</v>
      </c>
      <c r="I137" s="28">
        <v>33817</v>
      </c>
      <c r="J137" s="27">
        <v>35</v>
      </c>
      <c r="K137" s="27">
        <f t="shared" si="8"/>
        <v>27</v>
      </c>
      <c r="L137" s="27">
        <v>8</v>
      </c>
      <c r="M137" s="29"/>
    </row>
    <row r="138" spans="1:13" ht="22.7" hidden="1" customHeight="1" x14ac:dyDescent="0.25">
      <c r="A138" s="20">
        <f t="shared" si="9"/>
        <v>132</v>
      </c>
      <c r="B138" s="21" t="s">
        <v>391</v>
      </c>
      <c r="C138" s="22" t="s">
        <v>392</v>
      </c>
      <c r="D138" s="22" t="s">
        <v>112</v>
      </c>
      <c r="E138" s="22" t="s">
        <v>113</v>
      </c>
      <c r="F138" s="22" t="s">
        <v>57</v>
      </c>
      <c r="G138" s="23" t="s">
        <v>58</v>
      </c>
      <c r="H138" s="22" t="s">
        <v>23</v>
      </c>
      <c r="I138" s="28">
        <v>44197</v>
      </c>
      <c r="J138" s="27">
        <v>0</v>
      </c>
      <c r="K138" s="27">
        <f t="shared" si="8"/>
        <v>0</v>
      </c>
      <c r="L138" s="27">
        <v>0</v>
      </c>
      <c r="M138" s="29"/>
    </row>
    <row r="139" spans="1:13" ht="22.7" hidden="1" customHeight="1" x14ac:dyDescent="0.25">
      <c r="A139" s="20">
        <f t="shared" si="9"/>
        <v>133</v>
      </c>
      <c r="B139" s="21" t="s">
        <v>393</v>
      </c>
      <c r="C139" s="22" t="s">
        <v>394</v>
      </c>
      <c r="D139" s="22" t="s">
        <v>120</v>
      </c>
      <c r="E139" s="22" t="s">
        <v>395</v>
      </c>
      <c r="F139" s="22" t="s">
        <v>47</v>
      </c>
      <c r="G139" s="23" t="s">
        <v>35</v>
      </c>
      <c r="H139" s="22" t="s">
        <v>30</v>
      </c>
      <c r="I139" s="28">
        <v>42005</v>
      </c>
      <c r="J139" s="27">
        <v>2.61</v>
      </c>
      <c r="K139" s="27">
        <f t="shared" si="8"/>
        <v>2.61</v>
      </c>
      <c r="L139" s="27"/>
      <c r="M139" s="29"/>
    </row>
    <row r="140" spans="1:13" ht="22.7" hidden="1" customHeight="1" x14ac:dyDescent="0.25">
      <c r="A140" s="20">
        <f t="shared" si="9"/>
        <v>134</v>
      </c>
      <c r="B140" s="21" t="s">
        <v>396</v>
      </c>
      <c r="C140" s="22" t="s">
        <v>397</v>
      </c>
      <c r="D140" s="22" t="s">
        <v>45</v>
      </c>
      <c r="E140" s="22" t="s">
        <v>398</v>
      </c>
      <c r="F140" s="22" t="s">
        <v>47</v>
      </c>
      <c r="G140" s="23" t="s">
        <v>35</v>
      </c>
      <c r="H140" s="22" t="s">
        <v>30</v>
      </c>
      <c r="I140" s="28">
        <v>41913</v>
      </c>
      <c r="J140" s="27">
        <v>0</v>
      </c>
      <c r="K140" s="27">
        <f t="shared" si="8"/>
        <v>0</v>
      </c>
      <c r="L140" s="27">
        <v>0</v>
      </c>
      <c r="M140" s="29"/>
    </row>
    <row r="141" spans="1:13" ht="22.7" hidden="1" customHeight="1" x14ac:dyDescent="0.25">
      <c r="A141" s="20">
        <f t="shared" si="9"/>
        <v>135</v>
      </c>
      <c r="B141" s="21" t="s">
        <v>399</v>
      </c>
      <c r="C141" s="22" t="s">
        <v>400</v>
      </c>
      <c r="D141" s="22" t="s">
        <v>26</v>
      </c>
      <c r="E141" s="22" t="s">
        <v>104</v>
      </c>
      <c r="F141" s="22" t="s">
        <v>105</v>
      </c>
      <c r="G141" s="23" t="s">
        <v>58</v>
      </c>
      <c r="H141" s="22" t="s">
        <v>30</v>
      </c>
      <c r="I141" s="28">
        <v>42767</v>
      </c>
      <c r="J141" s="27">
        <v>13.33</v>
      </c>
      <c r="K141" s="27">
        <f t="shared" si="8"/>
        <v>9.33</v>
      </c>
      <c r="L141" s="27">
        <v>4</v>
      </c>
      <c r="M141" s="29"/>
    </row>
    <row r="142" spans="1:13" ht="22.7" hidden="1" customHeight="1" x14ac:dyDescent="0.25">
      <c r="A142" s="20">
        <f t="shared" si="9"/>
        <v>136</v>
      </c>
      <c r="B142" s="21" t="s">
        <v>401</v>
      </c>
      <c r="C142" s="22" t="s">
        <v>402</v>
      </c>
      <c r="D142" s="22" t="s">
        <v>72</v>
      </c>
      <c r="E142" s="22" t="s">
        <v>33</v>
      </c>
      <c r="F142" s="22" t="s">
        <v>34</v>
      </c>
      <c r="G142" s="23" t="s">
        <v>35</v>
      </c>
      <c r="H142" s="22" t="s">
        <v>42</v>
      </c>
      <c r="I142" s="28">
        <v>42430</v>
      </c>
      <c r="J142" s="27">
        <v>10.58</v>
      </c>
      <c r="K142" s="27">
        <f t="shared" si="8"/>
        <v>8.58</v>
      </c>
      <c r="L142" s="27">
        <v>2</v>
      </c>
      <c r="M142" s="29"/>
    </row>
    <row r="143" spans="1:13" ht="22.7" hidden="1" customHeight="1" x14ac:dyDescent="0.25">
      <c r="A143" s="20">
        <f t="shared" si="9"/>
        <v>137</v>
      </c>
      <c r="B143" s="21" t="s">
        <v>403</v>
      </c>
      <c r="C143" s="22" t="s">
        <v>404</v>
      </c>
      <c r="D143" s="22" t="s">
        <v>72</v>
      </c>
      <c r="E143" s="22" t="s">
        <v>73</v>
      </c>
      <c r="F143" s="22" t="s">
        <v>74</v>
      </c>
      <c r="G143" s="23" t="s">
        <v>75</v>
      </c>
      <c r="H143" s="22" t="s">
        <v>30</v>
      </c>
      <c r="I143" s="28">
        <v>44470</v>
      </c>
      <c r="J143" s="27">
        <v>13</v>
      </c>
      <c r="K143" s="27">
        <f t="shared" ref="K143:K174" si="10">J143-L143</f>
        <v>9</v>
      </c>
      <c r="L143" s="27">
        <v>4</v>
      </c>
      <c r="M143" s="29"/>
    </row>
    <row r="144" spans="1:13" ht="22.7" hidden="1" customHeight="1" x14ac:dyDescent="0.25">
      <c r="A144" s="20">
        <f t="shared" si="9"/>
        <v>138</v>
      </c>
      <c r="B144" s="21" t="s">
        <v>405</v>
      </c>
      <c r="C144" s="22" t="s">
        <v>406</v>
      </c>
      <c r="D144" s="22" t="s">
        <v>120</v>
      </c>
      <c r="E144" s="22" t="s">
        <v>280</v>
      </c>
      <c r="F144" s="22" t="s">
        <v>47</v>
      </c>
      <c r="G144" s="23" t="s">
        <v>35</v>
      </c>
      <c r="H144" s="22" t="s">
        <v>30</v>
      </c>
      <c r="I144" s="28">
        <v>42005</v>
      </c>
      <c r="J144" s="27">
        <v>20</v>
      </c>
      <c r="K144" s="27">
        <f t="shared" si="10"/>
        <v>14</v>
      </c>
      <c r="L144" s="27">
        <v>6</v>
      </c>
      <c r="M144" s="29"/>
    </row>
    <row r="145" spans="1:13" ht="22.7" hidden="1" customHeight="1" x14ac:dyDescent="0.25">
      <c r="A145" s="20">
        <f t="shared" si="9"/>
        <v>139</v>
      </c>
      <c r="B145" s="21" t="s">
        <v>407</v>
      </c>
      <c r="C145" s="22" t="s">
        <v>408</v>
      </c>
      <c r="D145" s="22" t="s">
        <v>116</v>
      </c>
      <c r="E145" s="22" t="s">
        <v>409</v>
      </c>
      <c r="F145" s="22" t="s">
        <v>57</v>
      </c>
      <c r="G145" s="23" t="s">
        <v>58</v>
      </c>
      <c r="H145" s="22" t="s">
        <v>42</v>
      </c>
      <c r="I145" s="28">
        <v>44470</v>
      </c>
      <c r="J145" s="27">
        <v>3.72</v>
      </c>
      <c r="K145" s="27">
        <f t="shared" si="10"/>
        <v>3.72</v>
      </c>
      <c r="L145" s="27">
        <v>0</v>
      </c>
      <c r="M145" s="29"/>
    </row>
    <row r="146" spans="1:13" ht="22.7" hidden="1" customHeight="1" x14ac:dyDescent="0.25">
      <c r="A146" s="20">
        <f t="shared" si="9"/>
        <v>140</v>
      </c>
      <c r="B146" s="21" t="s">
        <v>410</v>
      </c>
      <c r="C146" s="22" t="s">
        <v>411</v>
      </c>
      <c r="D146" s="22" t="s">
        <v>26</v>
      </c>
      <c r="E146" s="22" t="s">
        <v>33</v>
      </c>
      <c r="F146" s="22" t="s">
        <v>34</v>
      </c>
      <c r="G146" s="23" t="s">
        <v>35</v>
      </c>
      <c r="H146" s="22" t="s">
        <v>30</v>
      </c>
      <c r="I146" s="28">
        <v>44470</v>
      </c>
      <c r="J146" s="27">
        <v>17.3</v>
      </c>
      <c r="K146" s="27">
        <f t="shared" si="10"/>
        <v>13.3</v>
      </c>
      <c r="L146" s="27">
        <v>4</v>
      </c>
      <c r="M146" s="29"/>
    </row>
    <row r="147" spans="1:13" ht="22.7" hidden="1" customHeight="1" x14ac:dyDescent="0.25">
      <c r="A147" s="20">
        <f t="shared" si="9"/>
        <v>141</v>
      </c>
      <c r="B147" s="21" t="s">
        <v>412</v>
      </c>
      <c r="C147" s="22" t="s">
        <v>413</v>
      </c>
      <c r="D147" s="22" t="s">
        <v>154</v>
      </c>
      <c r="E147" s="22" t="s">
        <v>155</v>
      </c>
      <c r="F147" s="22" t="s">
        <v>40</v>
      </c>
      <c r="G147" s="23" t="s">
        <v>41</v>
      </c>
      <c r="H147" s="22" t="s">
        <v>42</v>
      </c>
      <c r="I147" s="28">
        <v>43040</v>
      </c>
      <c r="J147" s="27">
        <v>2.75</v>
      </c>
      <c r="K147" s="27">
        <f t="shared" si="10"/>
        <v>2.75</v>
      </c>
      <c r="L147" s="27">
        <v>0</v>
      </c>
      <c r="M147" s="29"/>
    </row>
    <row r="148" spans="1:13" ht="22.7" hidden="1" customHeight="1" x14ac:dyDescent="0.25">
      <c r="A148" s="20">
        <f t="shared" si="9"/>
        <v>142</v>
      </c>
      <c r="B148" s="21" t="s">
        <v>414</v>
      </c>
      <c r="C148" s="22" t="s">
        <v>415</v>
      </c>
      <c r="D148" s="22" t="s">
        <v>45</v>
      </c>
      <c r="E148" s="22" t="s">
        <v>219</v>
      </c>
      <c r="F148" s="22" t="s">
        <v>47</v>
      </c>
      <c r="G148" s="23" t="s">
        <v>35</v>
      </c>
      <c r="H148" s="22" t="s">
        <v>30</v>
      </c>
      <c r="I148" s="28">
        <v>44470</v>
      </c>
      <c r="J148" s="27">
        <v>28</v>
      </c>
      <c r="K148" s="27">
        <f t="shared" si="10"/>
        <v>22</v>
      </c>
      <c r="L148" s="27">
        <v>6</v>
      </c>
      <c r="M148" s="29" t="s">
        <v>48</v>
      </c>
    </row>
    <row r="149" spans="1:13" ht="22.7" hidden="1" customHeight="1" x14ac:dyDescent="0.25">
      <c r="A149" s="20">
        <f t="shared" si="9"/>
        <v>143</v>
      </c>
      <c r="B149" s="21" t="s">
        <v>416</v>
      </c>
      <c r="C149" s="22" t="s">
        <v>417</v>
      </c>
      <c r="D149" s="22" t="s">
        <v>72</v>
      </c>
      <c r="E149" s="22" t="s">
        <v>73</v>
      </c>
      <c r="F149" s="22" t="s">
        <v>74</v>
      </c>
      <c r="G149" s="23" t="s">
        <v>75</v>
      </c>
      <c r="H149" s="22" t="s">
        <v>30</v>
      </c>
      <c r="I149" s="28">
        <v>44470</v>
      </c>
      <c r="J149" s="27">
        <v>30</v>
      </c>
      <c r="K149" s="27">
        <f t="shared" si="10"/>
        <v>22</v>
      </c>
      <c r="L149" s="27">
        <v>8</v>
      </c>
      <c r="M149" s="29" t="s">
        <v>76</v>
      </c>
    </row>
    <row r="150" spans="1:13" ht="22.7" hidden="1" customHeight="1" x14ac:dyDescent="0.25">
      <c r="A150" s="20">
        <f t="shared" si="9"/>
        <v>144</v>
      </c>
      <c r="B150" s="21" t="s">
        <v>418</v>
      </c>
      <c r="C150" s="22" t="s">
        <v>419</v>
      </c>
      <c r="D150" s="22" t="s">
        <v>72</v>
      </c>
      <c r="E150" s="22" t="s">
        <v>73</v>
      </c>
      <c r="F150" s="22" t="s">
        <v>74</v>
      </c>
      <c r="G150" s="23" t="s">
        <v>75</v>
      </c>
      <c r="H150" s="22" t="s">
        <v>30</v>
      </c>
      <c r="I150" s="28">
        <v>44470</v>
      </c>
      <c r="J150" s="27">
        <v>30</v>
      </c>
      <c r="K150" s="27">
        <f t="shared" si="10"/>
        <v>22</v>
      </c>
      <c r="L150" s="27">
        <v>8</v>
      </c>
      <c r="M150" s="29" t="s">
        <v>76</v>
      </c>
    </row>
    <row r="151" spans="1:13" ht="22.7" hidden="1" customHeight="1" x14ac:dyDescent="0.25">
      <c r="A151" s="20">
        <f t="shared" si="9"/>
        <v>145</v>
      </c>
      <c r="B151" s="21" t="s">
        <v>420</v>
      </c>
      <c r="C151" s="22" t="s">
        <v>421</v>
      </c>
      <c r="D151" s="22" t="s">
        <v>179</v>
      </c>
      <c r="E151" s="22" t="s">
        <v>141</v>
      </c>
      <c r="F151" s="22" t="s">
        <v>57</v>
      </c>
      <c r="G151" s="23" t="s">
        <v>58</v>
      </c>
      <c r="H151" s="22" t="s">
        <v>23</v>
      </c>
      <c r="I151" s="28">
        <v>44197</v>
      </c>
      <c r="J151" s="27">
        <v>0</v>
      </c>
      <c r="K151" s="27">
        <f t="shared" si="10"/>
        <v>0</v>
      </c>
      <c r="L151" s="27">
        <v>0</v>
      </c>
      <c r="M151" s="29"/>
    </row>
    <row r="152" spans="1:13" ht="22.7" hidden="1" customHeight="1" x14ac:dyDescent="0.25">
      <c r="A152" s="20">
        <f t="shared" si="9"/>
        <v>146</v>
      </c>
      <c r="B152" s="21" t="s">
        <v>422</v>
      </c>
      <c r="C152" s="22" t="s">
        <v>423</v>
      </c>
      <c r="D152" s="22" t="s">
        <v>169</v>
      </c>
      <c r="E152" s="22" t="s">
        <v>170</v>
      </c>
      <c r="F152" s="22" t="s">
        <v>171</v>
      </c>
      <c r="G152" s="23" t="s">
        <v>172</v>
      </c>
      <c r="H152" s="22" t="s">
        <v>42</v>
      </c>
      <c r="I152" s="28">
        <v>44440</v>
      </c>
      <c r="J152" s="27">
        <v>10</v>
      </c>
      <c r="K152" s="27">
        <f t="shared" si="10"/>
        <v>8</v>
      </c>
      <c r="L152" s="27">
        <v>2</v>
      </c>
      <c r="M152" s="29"/>
    </row>
    <row r="153" spans="1:13" ht="22.7" hidden="1" customHeight="1" x14ac:dyDescent="0.25">
      <c r="A153" s="20">
        <f t="shared" si="9"/>
        <v>147</v>
      </c>
      <c r="B153" s="21">
        <v>1102407176</v>
      </c>
      <c r="C153" s="22" t="s">
        <v>424</v>
      </c>
      <c r="D153" s="22" t="s">
        <v>112</v>
      </c>
      <c r="E153" s="22" t="s">
        <v>425</v>
      </c>
      <c r="F153" s="22" t="s">
        <v>57</v>
      </c>
      <c r="G153" s="23" t="s">
        <v>58</v>
      </c>
      <c r="H153" s="22" t="s">
        <v>30</v>
      </c>
      <c r="I153" s="28">
        <v>34182</v>
      </c>
      <c r="J153" s="27">
        <v>54.3</v>
      </c>
      <c r="K153" s="27">
        <f t="shared" si="10"/>
        <v>40.299999999999997</v>
      </c>
      <c r="L153" s="27">
        <v>14</v>
      </c>
      <c r="M153" s="29"/>
    </row>
    <row r="154" spans="1:13" ht="22.7" hidden="1" customHeight="1" x14ac:dyDescent="0.25">
      <c r="A154" s="20">
        <f t="shared" si="9"/>
        <v>148</v>
      </c>
      <c r="B154" s="21" t="s">
        <v>426</v>
      </c>
      <c r="C154" s="22" t="s">
        <v>427</v>
      </c>
      <c r="D154" s="22" t="s">
        <v>45</v>
      </c>
      <c r="E154" s="22" t="s">
        <v>428</v>
      </c>
      <c r="F154" s="22" t="s">
        <v>429</v>
      </c>
      <c r="G154" s="23" t="s">
        <v>430</v>
      </c>
      <c r="H154" s="22" t="s">
        <v>42</v>
      </c>
      <c r="I154" s="28">
        <v>42644</v>
      </c>
      <c r="J154" s="27">
        <v>4</v>
      </c>
      <c r="K154" s="27">
        <f t="shared" si="10"/>
        <v>4</v>
      </c>
      <c r="L154" s="27">
        <v>0</v>
      </c>
      <c r="M154" s="29"/>
    </row>
    <row r="155" spans="1:13" ht="22.7" hidden="1" customHeight="1" x14ac:dyDescent="0.25">
      <c r="A155" s="20">
        <f t="shared" si="9"/>
        <v>149</v>
      </c>
      <c r="B155" s="21" t="s">
        <v>431</v>
      </c>
      <c r="C155" s="22" t="s">
        <v>432</v>
      </c>
      <c r="D155" s="22" t="s">
        <v>26</v>
      </c>
      <c r="E155" s="22" t="s">
        <v>104</v>
      </c>
      <c r="F155" s="22" t="s">
        <v>105</v>
      </c>
      <c r="G155" s="23" t="s">
        <v>58</v>
      </c>
      <c r="H155" s="22" t="s">
        <v>30</v>
      </c>
      <c r="I155" s="28">
        <v>42767</v>
      </c>
      <c r="J155" s="27">
        <v>24.28</v>
      </c>
      <c r="K155" s="27">
        <f t="shared" si="10"/>
        <v>17.880000000000003</v>
      </c>
      <c r="L155" s="27">
        <v>6.4</v>
      </c>
      <c r="M155" s="29"/>
    </row>
    <row r="156" spans="1:13" ht="22.7" hidden="1" customHeight="1" x14ac:dyDescent="0.25">
      <c r="A156" s="20">
        <f t="shared" si="9"/>
        <v>150</v>
      </c>
      <c r="B156" s="21" t="s">
        <v>433</v>
      </c>
      <c r="C156" s="22" t="s">
        <v>434</v>
      </c>
      <c r="D156" s="22" t="s">
        <v>72</v>
      </c>
      <c r="E156" s="22" t="s">
        <v>104</v>
      </c>
      <c r="F156" s="22" t="s">
        <v>105</v>
      </c>
      <c r="G156" s="23" t="s">
        <v>58</v>
      </c>
      <c r="H156" s="22" t="s">
        <v>30</v>
      </c>
      <c r="I156" s="28">
        <v>42767</v>
      </c>
      <c r="J156" s="27">
        <v>26.52</v>
      </c>
      <c r="K156" s="27">
        <f t="shared" si="10"/>
        <v>19.52</v>
      </c>
      <c r="L156" s="27">
        <v>7</v>
      </c>
      <c r="M156" s="29"/>
    </row>
    <row r="157" spans="1:13" ht="22.7" hidden="1" customHeight="1" x14ac:dyDescent="0.25">
      <c r="A157" s="20">
        <f t="shared" si="9"/>
        <v>151</v>
      </c>
      <c r="B157" s="21" t="s">
        <v>435</v>
      </c>
      <c r="C157" s="22" t="s">
        <v>436</v>
      </c>
      <c r="D157" s="22" t="s">
        <v>85</v>
      </c>
      <c r="E157" s="22" t="s">
        <v>222</v>
      </c>
      <c r="F157" s="22" t="s">
        <v>40</v>
      </c>
      <c r="G157" s="23" t="s">
        <v>41</v>
      </c>
      <c r="H157" s="22" t="s">
        <v>23</v>
      </c>
      <c r="I157" s="28">
        <v>44197</v>
      </c>
      <c r="J157" s="27">
        <v>0</v>
      </c>
      <c r="K157" s="27">
        <f t="shared" si="10"/>
        <v>0</v>
      </c>
      <c r="L157" s="27">
        <v>0</v>
      </c>
      <c r="M157" s="29"/>
    </row>
    <row r="158" spans="1:13" ht="22.7" hidden="1" customHeight="1" x14ac:dyDescent="0.25">
      <c r="A158" s="20">
        <f t="shared" si="9"/>
        <v>152</v>
      </c>
      <c r="B158" s="21" t="s">
        <v>437</v>
      </c>
      <c r="C158" s="22" t="s">
        <v>438</v>
      </c>
      <c r="D158" s="22" t="s">
        <v>26</v>
      </c>
      <c r="E158" s="22" t="s">
        <v>73</v>
      </c>
      <c r="F158" s="22" t="s">
        <v>74</v>
      </c>
      <c r="G158" s="23" t="s">
        <v>75</v>
      </c>
      <c r="H158" s="22" t="s">
        <v>23</v>
      </c>
      <c r="I158" s="28">
        <v>44287</v>
      </c>
      <c r="J158" s="27">
        <v>22.58</v>
      </c>
      <c r="K158" s="27">
        <f t="shared" si="10"/>
        <v>16.579999999999998</v>
      </c>
      <c r="L158" s="27">
        <v>6</v>
      </c>
      <c r="M158" s="29"/>
    </row>
    <row r="159" spans="1:13" ht="22.7" hidden="1" customHeight="1" x14ac:dyDescent="0.25">
      <c r="A159" s="20">
        <f t="shared" si="9"/>
        <v>153</v>
      </c>
      <c r="B159" s="21" t="s">
        <v>439</v>
      </c>
      <c r="C159" s="22" t="s">
        <v>440</v>
      </c>
      <c r="D159" s="22" t="s">
        <v>45</v>
      </c>
      <c r="E159" s="22" t="s">
        <v>441</v>
      </c>
      <c r="F159" s="22" t="s">
        <v>264</v>
      </c>
      <c r="G159" s="23" t="s">
        <v>265</v>
      </c>
      <c r="H159" s="22" t="s">
        <v>42</v>
      </c>
      <c r="I159" s="28">
        <v>43556</v>
      </c>
      <c r="J159" s="27">
        <v>38</v>
      </c>
      <c r="K159" s="27">
        <f t="shared" si="10"/>
        <v>28</v>
      </c>
      <c r="L159" s="27">
        <v>10</v>
      </c>
      <c r="M159" s="29"/>
    </row>
    <row r="160" spans="1:13" ht="22.7" hidden="1" customHeight="1" x14ac:dyDescent="0.25">
      <c r="A160" s="20">
        <f t="shared" si="9"/>
        <v>154</v>
      </c>
      <c r="B160" s="21" t="s">
        <v>442</v>
      </c>
      <c r="C160" s="22" t="s">
        <v>443</v>
      </c>
      <c r="D160" s="22" t="s">
        <v>179</v>
      </c>
      <c r="E160" s="22" t="s">
        <v>141</v>
      </c>
      <c r="F160" s="22" t="s">
        <v>57</v>
      </c>
      <c r="G160" s="23" t="s">
        <v>58</v>
      </c>
      <c r="H160" s="22" t="s">
        <v>23</v>
      </c>
      <c r="I160" s="28">
        <v>44562</v>
      </c>
      <c r="J160" s="27">
        <v>0</v>
      </c>
      <c r="K160" s="27">
        <f t="shared" si="10"/>
        <v>0</v>
      </c>
      <c r="L160" s="27">
        <v>0</v>
      </c>
      <c r="M160" s="29"/>
    </row>
    <row r="161" spans="1:13" ht="22.7" hidden="1" customHeight="1" x14ac:dyDescent="0.25">
      <c r="A161" s="20">
        <f t="shared" si="9"/>
        <v>155</v>
      </c>
      <c r="B161" s="21" t="s">
        <v>444</v>
      </c>
      <c r="C161" s="22" t="s">
        <v>445</v>
      </c>
      <c r="D161" s="22" t="s">
        <v>45</v>
      </c>
      <c r="E161" s="22" t="s">
        <v>446</v>
      </c>
      <c r="F161" s="22" t="s">
        <v>57</v>
      </c>
      <c r="G161" s="23" t="s">
        <v>58</v>
      </c>
      <c r="H161" s="22" t="s">
        <v>42</v>
      </c>
      <c r="I161" s="28">
        <v>42278</v>
      </c>
      <c r="J161" s="27">
        <v>57.4</v>
      </c>
      <c r="K161" s="27">
        <f t="shared" si="10"/>
        <v>42.4</v>
      </c>
      <c r="L161" s="27">
        <v>15</v>
      </c>
      <c r="M161" s="29"/>
    </row>
    <row r="162" spans="1:13" ht="22.7" hidden="1" customHeight="1" x14ac:dyDescent="0.25">
      <c r="A162" s="20">
        <f t="shared" si="9"/>
        <v>156</v>
      </c>
      <c r="B162" s="21" t="s">
        <v>447</v>
      </c>
      <c r="C162" s="22" t="s">
        <v>448</v>
      </c>
      <c r="D162" s="22" t="s">
        <v>45</v>
      </c>
      <c r="E162" s="22" t="s">
        <v>449</v>
      </c>
      <c r="F162" s="22" t="s">
        <v>47</v>
      </c>
      <c r="G162" s="23" t="s">
        <v>35</v>
      </c>
      <c r="H162" s="22" t="s">
        <v>30</v>
      </c>
      <c r="I162" s="28">
        <v>42522</v>
      </c>
      <c r="J162" s="27">
        <v>32.299999999999997</v>
      </c>
      <c r="K162" s="27">
        <f t="shared" si="10"/>
        <v>24.299999999999997</v>
      </c>
      <c r="L162" s="27">
        <v>8</v>
      </c>
      <c r="M162" s="29"/>
    </row>
    <row r="163" spans="1:13" ht="22.7" hidden="1" customHeight="1" x14ac:dyDescent="0.25">
      <c r="A163" s="20">
        <f t="shared" si="9"/>
        <v>157</v>
      </c>
      <c r="B163" s="21" t="s">
        <v>450</v>
      </c>
      <c r="C163" s="22" t="s">
        <v>451</v>
      </c>
      <c r="D163" s="22" t="s">
        <v>116</v>
      </c>
      <c r="E163" s="22" t="s">
        <v>452</v>
      </c>
      <c r="F163" s="22" t="s">
        <v>47</v>
      </c>
      <c r="G163" s="23" t="s">
        <v>35</v>
      </c>
      <c r="H163" s="22" t="s">
        <v>30</v>
      </c>
      <c r="I163" s="28">
        <v>36586</v>
      </c>
      <c r="J163" s="27">
        <v>46.6</v>
      </c>
      <c r="K163" s="27">
        <f t="shared" si="10"/>
        <v>34.6</v>
      </c>
      <c r="L163" s="27">
        <v>12</v>
      </c>
      <c r="M163" s="29"/>
    </row>
    <row r="164" spans="1:13" ht="22.7" hidden="1" customHeight="1" x14ac:dyDescent="0.25">
      <c r="A164" s="20">
        <f t="shared" si="9"/>
        <v>158</v>
      </c>
      <c r="B164" s="21" t="s">
        <v>453</v>
      </c>
      <c r="C164" s="22" t="s">
        <v>454</v>
      </c>
      <c r="D164" s="22" t="s">
        <v>45</v>
      </c>
      <c r="E164" s="22" t="s">
        <v>219</v>
      </c>
      <c r="F164" s="22" t="s">
        <v>47</v>
      </c>
      <c r="G164" s="23" t="s">
        <v>35</v>
      </c>
      <c r="H164" s="22" t="s">
        <v>23</v>
      </c>
      <c r="I164" s="28">
        <v>44197</v>
      </c>
      <c r="J164" s="27">
        <v>2</v>
      </c>
      <c r="K164" s="27">
        <f t="shared" si="10"/>
        <v>2</v>
      </c>
      <c r="L164" s="27">
        <v>0</v>
      </c>
      <c r="M164" s="29"/>
    </row>
    <row r="165" spans="1:13" ht="22.7" hidden="1" customHeight="1" x14ac:dyDescent="0.25">
      <c r="A165" s="20">
        <f t="shared" si="9"/>
        <v>159</v>
      </c>
      <c r="B165" s="21" t="s">
        <v>455</v>
      </c>
      <c r="C165" s="22" t="s">
        <v>456</v>
      </c>
      <c r="D165" s="22" t="s">
        <v>45</v>
      </c>
      <c r="E165" s="22" t="s">
        <v>457</v>
      </c>
      <c r="F165" s="22" t="s">
        <v>122</v>
      </c>
      <c r="G165" s="23" t="s">
        <v>93</v>
      </c>
      <c r="H165" s="22" t="s">
        <v>30</v>
      </c>
      <c r="I165" s="28">
        <v>32905</v>
      </c>
      <c r="J165" s="27">
        <v>42</v>
      </c>
      <c r="K165" s="27">
        <f t="shared" si="10"/>
        <v>31</v>
      </c>
      <c r="L165" s="27">
        <v>11</v>
      </c>
      <c r="M165" s="29"/>
    </row>
    <row r="166" spans="1:13" ht="22.7" hidden="1" customHeight="1" x14ac:dyDescent="0.25">
      <c r="A166" s="20">
        <f t="shared" si="9"/>
        <v>160</v>
      </c>
      <c r="B166" s="21" t="s">
        <v>458</v>
      </c>
      <c r="C166" s="22" t="s">
        <v>459</v>
      </c>
      <c r="D166" s="22" t="s">
        <v>45</v>
      </c>
      <c r="E166" s="22" t="s">
        <v>46</v>
      </c>
      <c r="F166" s="22" t="s">
        <v>47</v>
      </c>
      <c r="G166" s="23" t="s">
        <v>35</v>
      </c>
      <c r="H166" s="22" t="s">
        <v>42</v>
      </c>
      <c r="I166" s="28">
        <v>42278</v>
      </c>
      <c r="J166" s="27">
        <v>48.2</v>
      </c>
      <c r="K166" s="27">
        <f t="shared" si="10"/>
        <v>36.200000000000003</v>
      </c>
      <c r="L166" s="27">
        <v>12</v>
      </c>
      <c r="M166" s="29" t="s">
        <v>76</v>
      </c>
    </row>
    <row r="167" spans="1:13" ht="22.7" hidden="1" customHeight="1" x14ac:dyDescent="0.25">
      <c r="A167" s="20">
        <f t="shared" si="9"/>
        <v>161</v>
      </c>
      <c r="B167" s="21" t="s">
        <v>460</v>
      </c>
      <c r="C167" s="22" t="s">
        <v>461</v>
      </c>
      <c r="D167" s="22" t="s">
        <v>45</v>
      </c>
      <c r="E167" s="22" t="s">
        <v>263</v>
      </c>
      <c r="F167" s="22" t="s">
        <v>264</v>
      </c>
      <c r="G167" s="23" t="s">
        <v>265</v>
      </c>
      <c r="H167" s="22" t="s">
        <v>42</v>
      </c>
      <c r="I167" s="28">
        <v>43800</v>
      </c>
      <c r="J167" s="27">
        <v>1</v>
      </c>
      <c r="K167" s="27">
        <f t="shared" si="10"/>
        <v>1</v>
      </c>
      <c r="L167" s="27">
        <v>0</v>
      </c>
      <c r="M167" s="29"/>
    </row>
    <row r="168" spans="1:13" ht="22.7" hidden="1" customHeight="1" x14ac:dyDescent="0.25">
      <c r="A168" s="20">
        <f t="shared" ref="A168:A190" si="11">SUM(A167:A167+1)</f>
        <v>162</v>
      </c>
      <c r="B168" s="21" t="s">
        <v>462</v>
      </c>
      <c r="C168" s="22" t="s">
        <v>463</v>
      </c>
      <c r="D168" s="22" t="s">
        <v>72</v>
      </c>
      <c r="E168" s="22" t="s">
        <v>73</v>
      </c>
      <c r="F168" s="22" t="s">
        <v>74</v>
      </c>
      <c r="G168" s="23" t="s">
        <v>75</v>
      </c>
      <c r="H168" s="22" t="s">
        <v>30</v>
      </c>
      <c r="I168" s="28">
        <v>44470</v>
      </c>
      <c r="J168" s="27">
        <v>0</v>
      </c>
      <c r="K168" s="27">
        <f t="shared" si="10"/>
        <v>0</v>
      </c>
      <c r="L168" s="27">
        <v>0</v>
      </c>
      <c r="M168" s="29"/>
    </row>
    <row r="169" spans="1:13" ht="22.7" hidden="1" customHeight="1" x14ac:dyDescent="0.25">
      <c r="A169" s="20">
        <f t="shared" si="11"/>
        <v>163</v>
      </c>
      <c r="B169" s="21" t="s">
        <v>464</v>
      </c>
      <c r="C169" s="22" t="s">
        <v>465</v>
      </c>
      <c r="D169" s="22" t="s">
        <v>161</v>
      </c>
      <c r="E169" s="22" t="s">
        <v>162</v>
      </c>
      <c r="F169" s="22" t="s">
        <v>57</v>
      </c>
      <c r="G169" s="23" t="s">
        <v>58</v>
      </c>
      <c r="H169" s="22" t="s">
        <v>23</v>
      </c>
      <c r="I169" s="28">
        <v>44197</v>
      </c>
      <c r="J169" s="27">
        <v>1</v>
      </c>
      <c r="K169" s="27">
        <f t="shared" si="10"/>
        <v>1</v>
      </c>
      <c r="L169" s="27">
        <v>0</v>
      </c>
      <c r="M169" s="29"/>
    </row>
    <row r="170" spans="1:13" ht="22.7" hidden="1" customHeight="1" x14ac:dyDescent="0.25">
      <c r="A170" s="20">
        <f t="shared" si="11"/>
        <v>164</v>
      </c>
      <c r="B170" s="21" t="s">
        <v>466</v>
      </c>
      <c r="C170" s="22" t="s">
        <v>467</v>
      </c>
      <c r="D170" s="22" t="s">
        <v>45</v>
      </c>
      <c r="E170" s="22" t="s">
        <v>449</v>
      </c>
      <c r="F170" s="22" t="s">
        <v>47</v>
      </c>
      <c r="G170" s="23" t="s">
        <v>35</v>
      </c>
      <c r="H170" s="22" t="s">
        <v>42</v>
      </c>
      <c r="I170" s="28">
        <v>41929</v>
      </c>
      <c r="J170" s="27">
        <v>50</v>
      </c>
      <c r="K170" s="27">
        <f t="shared" si="10"/>
        <v>36</v>
      </c>
      <c r="L170" s="27">
        <v>14</v>
      </c>
      <c r="M170" s="29"/>
    </row>
    <row r="171" spans="1:13" ht="22.7" hidden="1" customHeight="1" x14ac:dyDescent="0.25">
      <c r="A171" s="20">
        <f t="shared" si="11"/>
        <v>165</v>
      </c>
      <c r="B171" s="21" t="s">
        <v>468</v>
      </c>
      <c r="C171" s="22" t="s">
        <v>469</v>
      </c>
      <c r="D171" s="22" t="s">
        <v>45</v>
      </c>
      <c r="E171" s="22" t="s">
        <v>470</v>
      </c>
      <c r="F171" s="22" t="s">
        <v>40</v>
      </c>
      <c r="G171" s="23" t="s">
        <v>41</v>
      </c>
      <c r="H171" s="22" t="s">
        <v>42</v>
      </c>
      <c r="I171" s="28">
        <v>42156</v>
      </c>
      <c r="J171" s="27">
        <v>11.2</v>
      </c>
      <c r="K171" s="27">
        <f t="shared" si="10"/>
        <v>9.1999999999999993</v>
      </c>
      <c r="L171" s="27">
        <v>2</v>
      </c>
      <c r="M171" s="29"/>
    </row>
    <row r="172" spans="1:13" ht="22.7" hidden="1" customHeight="1" x14ac:dyDescent="0.25">
      <c r="A172" s="20">
        <f t="shared" si="11"/>
        <v>166</v>
      </c>
      <c r="B172" s="21" t="s">
        <v>471</v>
      </c>
      <c r="C172" s="22" t="s">
        <v>472</v>
      </c>
      <c r="D172" s="22" t="s">
        <v>26</v>
      </c>
      <c r="E172" s="22" t="s">
        <v>33</v>
      </c>
      <c r="F172" s="22" t="s">
        <v>34</v>
      </c>
      <c r="G172" s="23" t="s">
        <v>35</v>
      </c>
      <c r="H172" s="22" t="s">
        <v>30</v>
      </c>
      <c r="I172" s="28">
        <v>42430</v>
      </c>
      <c r="J172" s="27">
        <v>18.48</v>
      </c>
      <c r="K172" s="27">
        <f t="shared" si="10"/>
        <v>14.48</v>
      </c>
      <c r="L172" s="27">
        <v>4</v>
      </c>
      <c r="M172" s="29"/>
    </row>
    <row r="173" spans="1:13" ht="22.7" hidden="1" customHeight="1" x14ac:dyDescent="0.25">
      <c r="A173" s="20">
        <f t="shared" si="11"/>
        <v>167</v>
      </c>
      <c r="B173" s="21" t="s">
        <v>473</v>
      </c>
      <c r="C173" s="22" t="s">
        <v>474</v>
      </c>
      <c r="D173" s="22" t="s">
        <v>161</v>
      </c>
      <c r="E173" s="22" t="s">
        <v>162</v>
      </c>
      <c r="F173" s="22" t="s">
        <v>57</v>
      </c>
      <c r="G173" s="23" t="s">
        <v>58</v>
      </c>
      <c r="H173" s="22" t="s">
        <v>42</v>
      </c>
      <c r="I173" s="28">
        <v>44197</v>
      </c>
      <c r="J173" s="27">
        <v>12.53</v>
      </c>
      <c r="K173" s="27">
        <f t="shared" si="10"/>
        <v>9.5299999999999994</v>
      </c>
      <c r="L173" s="27">
        <v>3</v>
      </c>
      <c r="M173" s="29"/>
    </row>
    <row r="174" spans="1:13" ht="22.7" hidden="1" customHeight="1" x14ac:dyDescent="0.25">
      <c r="A174" s="20">
        <f t="shared" si="11"/>
        <v>168</v>
      </c>
      <c r="B174" s="21" t="s">
        <v>475</v>
      </c>
      <c r="C174" s="22" t="s">
        <v>476</v>
      </c>
      <c r="D174" s="22" t="s">
        <v>179</v>
      </c>
      <c r="E174" s="22" t="s">
        <v>141</v>
      </c>
      <c r="F174" s="22" t="s">
        <v>57</v>
      </c>
      <c r="G174" s="23" t="s">
        <v>58</v>
      </c>
      <c r="H174" s="22" t="s">
        <v>23</v>
      </c>
      <c r="I174" s="28">
        <v>44197</v>
      </c>
      <c r="J174" s="27">
        <v>0</v>
      </c>
      <c r="K174" s="27">
        <f t="shared" si="10"/>
        <v>0</v>
      </c>
      <c r="L174" s="27">
        <v>0</v>
      </c>
      <c r="M174" s="29"/>
    </row>
    <row r="175" spans="1:13" ht="22.7" hidden="1" customHeight="1" x14ac:dyDescent="0.25">
      <c r="A175" s="20">
        <f t="shared" si="11"/>
        <v>169</v>
      </c>
      <c r="B175" s="21" t="s">
        <v>477</v>
      </c>
      <c r="C175" s="22" t="s">
        <v>478</v>
      </c>
      <c r="D175" s="22" t="s">
        <v>297</v>
      </c>
      <c r="E175" s="22" t="s">
        <v>86</v>
      </c>
      <c r="F175" s="22" t="s">
        <v>92</v>
      </c>
      <c r="G175" s="23" t="s">
        <v>93</v>
      </c>
      <c r="H175" s="22" t="s">
        <v>30</v>
      </c>
      <c r="I175" s="28">
        <v>41699</v>
      </c>
      <c r="J175" s="27">
        <v>43.2</v>
      </c>
      <c r="K175" s="27">
        <f t="shared" ref="K175:K190" si="12">J175-L175</f>
        <v>31.200000000000003</v>
      </c>
      <c r="L175" s="27">
        <v>12</v>
      </c>
      <c r="M175" s="29"/>
    </row>
    <row r="176" spans="1:13" ht="22.7" hidden="1" customHeight="1" x14ac:dyDescent="0.25">
      <c r="A176" s="20">
        <f t="shared" si="11"/>
        <v>170</v>
      </c>
      <c r="B176" s="21" t="s">
        <v>479</v>
      </c>
      <c r="C176" s="22" t="s">
        <v>480</v>
      </c>
      <c r="D176" s="22" t="s">
        <v>26</v>
      </c>
      <c r="E176" s="22" t="s">
        <v>33</v>
      </c>
      <c r="F176" s="22" t="s">
        <v>34</v>
      </c>
      <c r="G176" s="23" t="s">
        <v>35</v>
      </c>
      <c r="H176" s="22" t="s">
        <v>30</v>
      </c>
      <c r="I176" s="28">
        <v>42767</v>
      </c>
      <c r="J176" s="27">
        <v>12.68</v>
      </c>
      <c r="K176" s="27">
        <f t="shared" si="12"/>
        <v>9.68</v>
      </c>
      <c r="L176" s="27">
        <v>3</v>
      </c>
      <c r="M176" s="29"/>
    </row>
    <row r="177" spans="1:13" ht="22.7" hidden="1" customHeight="1" x14ac:dyDescent="0.25">
      <c r="A177" s="20">
        <f t="shared" si="11"/>
        <v>171</v>
      </c>
      <c r="B177" s="21" t="s">
        <v>481</v>
      </c>
      <c r="C177" s="22" t="s">
        <v>482</v>
      </c>
      <c r="D177" s="22" t="s">
        <v>45</v>
      </c>
      <c r="E177" s="22" t="s">
        <v>449</v>
      </c>
      <c r="F177" s="22" t="s">
        <v>47</v>
      </c>
      <c r="G177" s="23" t="s">
        <v>35</v>
      </c>
      <c r="H177" s="22" t="s">
        <v>42</v>
      </c>
      <c r="I177" s="28">
        <v>42156</v>
      </c>
      <c r="J177" s="27">
        <v>50.3</v>
      </c>
      <c r="K177" s="27">
        <f t="shared" si="12"/>
        <v>38.299999999999997</v>
      </c>
      <c r="L177" s="27">
        <v>12</v>
      </c>
      <c r="M177" s="29"/>
    </row>
    <row r="178" spans="1:13" ht="22.7" hidden="1" customHeight="1" x14ac:dyDescent="0.25">
      <c r="A178" s="20">
        <f t="shared" si="11"/>
        <v>172</v>
      </c>
      <c r="B178" s="21" t="s">
        <v>483</v>
      </c>
      <c r="C178" s="22" t="s">
        <v>484</v>
      </c>
      <c r="D178" s="22" t="s">
        <v>120</v>
      </c>
      <c r="E178" s="22" t="s">
        <v>395</v>
      </c>
      <c r="F178" s="22" t="s">
        <v>47</v>
      </c>
      <c r="G178" s="23" t="s">
        <v>35</v>
      </c>
      <c r="H178" s="22" t="s">
        <v>42</v>
      </c>
      <c r="I178" s="28">
        <v>42278</v>
      </c>
      <c r="J178" s="27">
        <v>49.3</v>
      </c>
      <c r="K178" s="27">
        <f t="shared" si="12"/>
        <v>37.299999999999997</v>
      </c>
      <c r="L178" s="27">
        <v>12</v>
      </c>
      <c r="M178" s="29"/>
    </row>
    <row r="179" spans="1:13" ht="22.7" hidden="1" customHeight="1" x14ac:dyDescent="0.25">
      <c r="A179" s="20">
        <f t="shared" si="11"/>
        <v>173</v>
      </c>
      <c r="B179" s="21" t="s">
        <v>485</v>
      </c>
      <c r="C179" s="22" t="s">
        <v>486</v>
      </c>
      <c r="D179" s="22" t="s">
        <v>26</v>
      </c>
      <c r="E179" s="22" t="s">
        <v>33</v>
      </c>
      <c r="F179" s="22" t="s">
        <v>34</v>
      </c>
      <c r="G179" s="23" t="s">
        <v>35</v>
      </c>
      <c r="H179" s="22" t="s">
        <v>30</v>
      </c>
      <c r="I179" s="28">
        <v>42767</v>
      </c>
      <c r="J179" s="27">
        <v>12</v>
      </c>
      <c r="K179" s="27">
        <f t="shared" si="12"/>
        <v>9</v>
      </c>
      <c r="L179" s="27">
        <v>3</v>
      </c>
      <c r="M179" s="29"/>
    </row>
    <row r="180" spans="1:13" ht="22.7" hidden="1" customHeight="1" x14ac:dyDescent="0.25">
      <c r="A180" s="20">
        <f t="shared" si="11"/>
        <v>174</v>
      </c>
      <c r="B180" s="21" t="s">
        <v>487</v>
      </c>
      <c r="C180" s="22" t="s">
        <v>488</v>
      </c>
      <c r="D180" s="22" t="s">
        <v>26</v>
      </c>
      <c r="E180" s="22" t="s">
        <v>33</v>
      </c>
      <c r="F180" s="22" t="s">
        <v>34</v>
      </c>
      <c r="G180" s="23" t="s">
        <v>35</v>
      </c>
      <c r="H180" s="22" t="s">
        <v>30</v>
      </c>
      <c r="I180" s="28">
        <v>44470</v>
      </c>
      <c r="J180" s="27">
        <v>0</v>
      </c>
      <c r="K180" s="27">
        <f t="shared" si="12"/>
        <v>0</v>
      </c>
      <c r="L180" s="27">
        <v>0</v>
      </c>
      <c r="M180" s="29"/>
    </row>
    <row r="181" spans="1:13" ht="22.7" hidden="1" customHeight="1" x14ac:dyDescent="0.25">
      <c r="A181" s="20">
        <f t="shared" si="11"/>
        <v>175</v>
      </c>
      <c r="B181" s="21" t="s">
        <v>489</v>
      </c>
      <c r="C181" s="22" t="s">
        <v>490</v>
      </c>
      <c r="D181" s="22" t="s">
        <v>45</v>
      </c>
      <c r="E181" s="22" t="s">
        <v>61</v>
      </c>
      <c r="F181" s="22" t="s">
        <v>21</v>
      </c>
      <c r="G181" s="23" t="s">
        <v>22</v>
      </c>
      <c r="H181" s="22" t="s">
        <v>42</v>
      </c>
      <c r="I181" s="28">
        <v>42156</v>
      </c>
      <c r="J181" s="27">
        <v>12</v>
      </c>
      <c r="K181" s="27">
        <f t="shared" si="12"/>
        <v>10</v>
      </c>
      <c r="L181" s="27">
        <v>2</v>
      </c>
      <c r="M181" s="29"/>
    </row>
    <row r="182" spans="1:13" ht="22.7" hidden="1" customHeight="1" x14ac:dyDescent="0.25">
      <c r="A182" s="20">
        <f t="shared" si="11"/>
        <v>176</v>
      </c>
      <c r="B182" s="21" t="s">
        <v>491</v>
      </c>
      <c r="C182" s="22" t="s">
        <v>492</v>
      </c>
      <c r="D182" s="22" t="s">
        <v>45</v>
      </c>
      <c r="E182" s="22" t="s">
        <v>493</v>
      </c>
      <c r="F182" s="22" t="s">
        <v>277</v>
      </c>
      <c r="G182" s="23" t="s">
        <v>75</v>
      </c>
      <c r="H182" s="22" t="s">
        <v>23</v>
      </c>
      <c r="I182" s="28">
        <v>44197</v>
      </c>
      <c r="J182" s="27">
        <v>0</v>
      </c>
      <c r="K182" s="27">
        <f t="shared" si="12"/>
        <v>0</v>
      </c>
      <c r="L182" s="27">
        <v>0</v>
      </c>
      <c r="M182" s="29"/>
    </row>
    <row r="183" spans="1:13" ht="22.7" hidden="1" customHeight="1" x14ac:dyDescent="0.25">
      <c r="A183" s="20">
        <f t="shared" si="11"/>
        <v>177</v>
      </c>
      <c r="B183" s="21" t="s">
        <v>494</v>
      </c>
      <c r="C183" s="22" t="s">
        <v>495</v>
      </c>
      <c r="D183" s="22" t="s">
        <v>55</v>
      </c>
      <c r="E183" s="22" t="s">
        <v>56</v>
      </c>
      <c r="F183" s="22" t="s">
        <v>57</v>
      </c>
      <c r="G183" s="23" t="s">
        <v>58</v>
      </c>
      <c r="H183" s="22" t="s">
        <v>42</v>
      </c>
      <c r="I183" s="28">
        <v>42278</v>
      </c>
      <c r="J183" s="27">
        <v>10</v>
      </c>
      <c r="K183" s="27">
        <f t="shared" si="12"/>
        <v>8</v>
      </c>
      <c r="L183" s="27">
        <v>2</v>
      </c>
      <c r="M183" s="29"/>
    </row>
    <row r="184" spans="1:13" ht="22.7" hidden="1" customHeight="1" x14ac:dyDescent="0.25">
      <c r="A184" s="20">
        <f t="shared" si="11"/>
        <v>178</v>
      </c>
      <c r="B184" s="21" t="s">
        <v>496</v>
      </c>
      <c r="C184" s="22" t="s">
        <v>497</v>
      </c>
      <c r="D184" s="22" t="s">
        <v>297</v>
      </c>
      <c r="E184" s="22" t="s">
        <v>298</v>
      </c>
      <c r="F184" s="22" t="s">
        <v>57</v>
      </c>
      <c r="G184" s="23" t="s">
        <v>58</v>
      </c>
      <c r="H184" s="22" t="s">
        <v>23</v>
      </c>
      <c r="I184" s="28">
        <v>44501</v>
      </c>
      <c r="J184" s="27">
        <v>5</v>
      </c>
      <c r="K184" s="27">
        <f t="shared" si="12"/>
        <v>4</v>
      </c>
      <c r="L184" s="27">
        <v>1</v>
      </c>
      <c r="M184" s="29"/>
    </row>
    <row r="185" spans="1:13" ht="22.7" hidden="1" customHeight="1" x14ac:dyDescent="0.25">
      <c r="A185" s="20">
        <f t="shared" si="11"/>
        <v>179</v>
      </c>
      <c r="B185" s="21" t="s">
        <v>498</v>
      </c>
      <c r="C185" s="22" t="s">
        <v>499</v>
      </c>
      <c r="D185" s="22" t="s">
        <v>179</v>
      </c>
      <c r="E185" s="22" t="s">
        <v>141</v>
      </c>
      <c r="F185" s="22" t="s">
        <v>57</v>
      </c>
      <c r="G185" s="23" t="s">
        <v>58</v>
      </c>
      <c r="H185" s="22" t="s">
        <v>23</v>
      </c>
      <c r="I185" s="28">
        <v>44197</v>
      </c>
      <c r="J185" s="27">
        <v>7</v>
      </c>
      <c r="K185" s="27">
        <f t="shared" si="12"/>
        <v>5</v>
      </c>
      <c r="L185" s="27">
        <v>2</v>
      </c>
      <c r="M185" s="29"/>
    </row>
    <row r="186" spans="1:13" ht="22.7" hidden="1" customHeight="1" x14ac:dyDescent="0.25">
      <c r="A186" s="20">
        <f t="shared" si="11"/>
        <v>180</v>
      </c>
      <c r="B186" s="21" t="s">
        <v>500</v>
      </c>
      <c r="C186" s="22" t="s">
        <v>501</v>
      </c>
      <c r="D186" s="22" t="s">
        <v>72</v>
      </c>
      <c r="E186" s="22" t="s">
        <v>104</v>
      </c>
      <c r="F186" s="22" t="s">
        <v>105</v>
      </c>
      <c r="G186" s="23" t="s">
        <v>58</v>
      </c>
      <c r="H186" s="22" t="s">
        <v>30</v>
      </c>
      <c r="I186" s="28">
        <v>44470</v>
      </c>
      <c r="J186" s="27">
        <v>5</v>
      </c>
      <c r="K186" s="27">
        <f t="shared" si="12"/>
        <v>5</v>
      </c>
      <c r="L186" s="27">
        <v>0</v>
      </c>
      <c r="M186" s="29"/>
    </row>
    <row r="187" spans="1:13" ht="22.7" hidden="1" customHeight="1" x14ac:dyDescent="0.25">
      <c r="A187" s="20">
        <f t="shared" si="11"/>
        <v>181</v>
      </c>
      <c r="B187" s="21" t="s">
        <v>502</v>
      </c>
      <c r="C187" s="22" t="s">
        <v>503</v>
      </c>
      <c r="D187" s="22" t="s">
        <v>72</v>
      </c>
      <c r="E187" s="22" t="s">
        <v>73</v>
      </c>
      <c r="F187" s="22" t="s">
        <v>74</v>
      </c>
      <c r="G187" s="23" t="s">
        <v>75</v>
      </c>
      <c r="H187" s="22" t="s">
        <v>30</v>
      </c>
      <c r="I187" s="28">
        <v>44197</v>
      </c>
      <c r="J187" s="27">
        <v>30</v>
      </c>
      <c r="K187" s="27">
        <f t="shared" si="12"/>
        <v>22</v>
      </c>
      <c r="L187" s="27">
        <v>8</v>
      </c>
      <c r="M187" s="29"/>
    </row>
    <row r="188" spans="1:13" ht="22.7" hidden="1" customHeight="1" x14ac:dyDescent="0.25">
      <c r="A188" s="20">
        <f t="shared" si="11"/>
        <v>182</v>
      </c>
      <c r="B188" s="21" t="s">
        <v>504</v>
      </c>
      <c r="C188" s="22" t="s">
        <v>505</v>
      </c>
      <c r="D188" s="22" t="s">
        <v>112</v>
      </c>
      <c r="E188" s="22" t="s">
        <v>506</v>
      </c>
      <c r="F188" s="22" t="s">
        <v>122</v>
      </c>
      <c r="G188" s="23" t="s">
        <v>93</v>
      </c>
      <c r="H188" s="22" t="s">
        <v>30</v>
      </c>
      <c r="I188" s="28">
        <v>36312</v>
      </c>
      <c r="J188" s="27">
        <v>24.5</v>
      </c>
      <c r="K188" s="27">
        <f t="shared" si="12"/>
        <v>18.5</v>
      </c>
      <c r="L188" s="27">
        <v>6</v>
      </c>
      <c r="M188" s="29"/>
    </row>
    <row r="189" spans="1:13" ht="22.7" hidden="1" customHeight="1" x14ac:dyDescent="0.25">
      <c r="A189" s="20">
        <f t="shared" si="11"/>
        <v>183</v>
      </c>
      <c r="B189" s="21" t="s">
        <v>507</v>
      </c>
      <c r="C189" s="22" t="s">
        <v>508</v>
      </c>
      <c r="D189" s="22" t="s">
        <v>55</v>
      </c>
      <c r="E189" s="22" t="s">
        <v>56</v>
      </c>
      <c r="F189" s="22" t="s">
        <v>57</v>
      </c>
      <c r="G189" s="23" t="s">
        <v>58</v>
      </c>
      <c r="H189" s="22" t="s">
        <v>42</v>
      </c>
      <c r="I189" s="28">
        <v>42156</v>
      </c>
      <c r="J189" s="27">
        <v>10</v>
      </c>
      <c r="K189" s="27">
        <f t="shared" si="12"/>
        <v>8</v>
      </c>
      <c r="L189" s="27">
        <v>2</v>
      </c>
      <c r="M189" s="29"/>
    </row>
    <row r="190" spans="1:13" ht="22.7" hidden="1" customHeight="1" x14ac:dyDescent="0.25">
      <c r="A190" s="20">
        <f t="shared" si="11"/>
        <v>184</v>
      </c>
      <c r="B190" s="21" t="s">
        <v>509</v>
      </c>
      <c r="C190" s="22" t="s">
        <v>510</v>
      </c>
      <c r="D190" s="22" t="s">
        <v>26</v>
      </c>
      <c r="E190" s="22" t="s">
        <v>104</v>
      </c>
      <c r="F190" s="22" t="s">
        <v>105</v>
      </c>
      <c r="G190" s="23" t="s">
        <v>58</v>
      </c>
      <c r="H190" s="22" t="s">
        <v>30</v>
      </c>
      <c r="I190" s="28">
        <v>43497</v>
      </c>
      <c r="J190" s="27">
        <v>12</v>
      </c>
      <c r="K190" s="27">
        <f t="shared" si="12"/>
        <v>10</v>
      </c>
      <c r="L190" s="27">
        <v>2</v>
      </c>
      <c r="M190" s="29"/>
    </row>
  </sheetData>
  <autoFilter ref="A6:AW190">
    <filterColumn colId="9">
      <filters>
        <filter val="84"/>
      </filters>
    </filterColumn>
  </autoFilter>
  <mergeCells count="6">
    <mergeCell ref="B1:D1"/>
    <mergeCell ref="E1:L1"/>
    <mergeCell ref="A2:L2"/>
    <mergeCell ref="D3:H3"/>
    <mergeCell ref="D4:H4"/>
    <mergeCell ref="J4:M4"/>
  </mergeCells>
  <printOptions horizontalCentered="1"/>
  <pageMargins left="0.31527777777777799" right="0.31527777777777799" top="0.74791666666666701" bottom="0.74791666666666701" header="0.51180555555555496" footer="0.51180555555555496"/>
  <pageSetup paperSize="9" scale="90" firstPageNumber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89"/>
  <sheetViews>
    <sheetView topLeftCell="A172" zoomScale="75" zoomScaleNormal="75" workbookViewId="0">
      <selection activeCell="A6" sqref="A6:XFD6"/>
    </sheetView>
  </sheetViews>
  <sheetFormatPr baseColWidth="10" defaultColWidth="8.85546875" defaultRowHeight="15" x14ac:dyDescent="0.25"/>
  <cols>
    <col min="1" max="1" width="5" style="30" customWidth="1"/>
    <col min="2" max="2" width="10.28515625" style="30" customWidth="1"/>
    <col min="3" max="3" width="29.85546875" style="26" customWidth="1"/>
    <col min="4" max="4" width="17.7109375" style="26" customWidth="1"/>
    <col min="5" max="5" width="45.28515625" style="26" customWidth="1"/>
    <col min="6" max="6" width="21.5703125" style="26" customWidth="1"/>
    <col min="7" max="7" width="10" style="30" customWidth="1"/>
    <col min="8" max="8" width="27" style="26" customWidth="1"/>
    <col min="9" max="9" width="15.140625" style="31" customWidth="1"/>
    <col min="10" max="10" width="11.140625" style="31" customWidth="1"/>
    <col min="11" max="11" width="13.42578125" style="31" customWidth="1"/>
    <col min="12" max="12" width="10" style="25" customWidth="1"/>
    <col min="13" max="13" width="24.5703125" style="32" customWidth="1"/>
    <col min="14" max="49" width="11.42578125" style="4"/>
    <col min="50" max="1025" width="10.5703125" customWidth="1"/>
  </cols>
  <sheetData>
    <row r="1" spans="1:49" s="5" customFormat="1" ht="47.25" customHeight="1" x14ac:dyDescent="0.25">
      <c r="B1" s="71"/>
      <c r="C1" s="71"/>
      <c r="D1" s="71"/>
      <c r="E1" s="72" t="s">
        <v>0</v>
      </c>
      <c r="F1" s="72"/>
      <c r="G1" s="72"/>
      <c r="H1" s="72"/>
      <c r="I1" s="72"/>
      <c r="J1" s="72"/>
      <c r="K1" s="72"/>
      <c r="L1" s="72"/>
      <c r="M1" s="6"/>
    </row>
    <row r="2" spans="1:49" s="5" customFormat="1" ht="24.75" customHeight="1" x14ac:dyDescent="0.25">
      <c r="A2" s="73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49" s="5" customFormat="1" ht="13.5" customHeight="1" x14ac:dyDescent="0.25">
      <c r="A3" s="7" t="s">
        <v>2</v>
      </c>
      <c r="B3" s="8"/>
      <c r="C3" s="9"/>
      <c r="D3" s="74"/>
      <c r="E3" s="74"/>
      <c r="F3" s="74"/>
      <c r="G3" s="74"/>
      <c r="H3" s="74"/>
      <c r="I3" s="6"/>
      <c r="J3" s="6"/>
      <c r="K3" s="6"/>
      <c r="L3" s="6"/>
      <c r="M3" s="6"/>
    </row>
    <row r="4" spans="1:49" s="13" customFormat="1" ht="12" customHeight="1" x14ac:dyDescent="0.25">
      <c r="A4" s="7" t="s">
        <v>3</v>
      </c>
      <c r="B4" s="8"/>
      <c r="C4" s="10"/>
      <c r="D4" s="74"/>
      <c r="E4" s="74"/>
      <c r="F4" s="74"/>
      <c r="G4" s="74"/>
      <c r="H4" s="74"/>
      <c r="I4" s="11"/>
      <c r="J4" s="75"/>
      <c r="K4" s="75"/>
      <c r="L4" s="75"/>
      <c r="M4" s="75"/>
    </row>
    <row r="5" spans="1:49" s="13" customFormat="1" ht="17.25" customHeight="1" x14ac:dyDescent="0.25">
      <c r="B5" s="14"/>
      <c r="C5" s="14"/>
      <c r="D5" s="14"/>
      <c r="G5" s="12"/>
      <c r="H5" s="12"/>
      <c r="I5" s="11"/>
      <c r="J5" s="15"/>
      <c r="K5" s="12"/>
      <c r="L5" s="12"/>
      <c r="M5" s="12"/>
    </row>
    <row r="6" spans="1:49" s="19" customFormat="1" ht="38.25" customHeight="1" x14ac:dyDescent="0.25">
      <c r="A6" s="33" t="s">
        <v>4</v>
      </c>
      <c r="B6" s="33" t="s">
        <v>5</v>
      </c>
      <c r="C6" s="33" t="s">
        <v>6</v>
      </c>
      <c r="D6" s="17" t="s">
        <v>7</v>
      </c>
      <c r="E6" s="33" t="s">
        <v>8</v>
      </c>
      <c r="F6" s="33" t="s">
        <v>9</v>
      </c>
      <c r="G6" s="33" t="s">
        <v>10</v>
      </c>
      <c r="H6" s="33" t="s">
        <v>11</v>
      </c>
      <c r="I6" s="33" t="s">
        <v>12</v>
      </c>
      <c r="J6" s="33" t="s">
        <v>13</v>
      </c>
      <c r="K6" s="33" t="s">
        <v>14</v>
      </c>
      <c r="L6" s="33" t="s">
        <v>15</v>
      </c>
      <c r="M6" s="33" t="s">
        <v>16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</row>
    <row r="7" spans="1:49" s="42" customFormat="1" ht="22.7" customHeight="1" x14ac:dyDescent="0.25">
      <c r="A7" s="34">
        <v>1</v>
      </c>
      <c r="B7" s="35" t="s">
        <v>17</v>
      </c>
      <c r="C7" s="36" t="s">
        <v>18</v>
      </c>
      <c r="D7" s="36" t="s">
        <v>19</v>
      </c>
      <c r="E7" s="36" t="s">
        <v>20</v>
      </c>
      <c r="F7" s="36" t="s">
        <v>21</v>
      </c>
      <c r="G7" s="37" t="s">
        <v>22</v>
      </c>
      <c r="H7" s="36" t="s">
        <v>23</v>
      </c>
      <c r="I7" s="38">
        <v>44562</v>
      </c>
      <c r="J7" s="39">
        <v>0</v>
      </c>
      <c r="K7" s="39">
        <f>J7-L7</f>
        <v>0</v>
      </c>
      <c r="L7" s="39">
        <v>0</v>
      </c>
      <c r="M7" s="40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</row>
    <row r="8" spans="1:49" s="42" customFormat="1" ht="22.7" customHeight="1" x14ac:dyDescent="0.25">
      <c r="A8" s="34">
        <f t="shared" ref="A8:A39" si="0">SUM(A7:A7+1)</f>
        <v>2</v>
      </c>
      <c r="B8" s="35" t="s">
        <v>24</v>
      </c>
      <c r="C8" s="36" t="s">
        <v>25</v>
      </c>
      <c r="D8" s="36" t="s">
        <v>26</v>
      </c>
      <c r="E8" s="36" t="s">
        <v>27</v>
      </c>
      <c r="F8" s="36" t="s">
        <v>28</v>
      </c>
      <c r="G8" s="37" t="s">
        <v>29</v>
      </c>
      <c r="H8" s="36" t="s">
        <v>30</v>
      </c>
      <c r="I8" s="38">
        <v>43831</v>
      </c>
      <c r="J8" s="39">
        <v>0</v>
      </c>
      <c r="K8" s="39">
        <f>J8-L8</f>
        <v>0</v>
      </c>
      <c r="L8" s="39">
        <v>0</v>
      </c>
      <c r="M8" s="40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</row>
    <row r="9" spans="1:49" s="41" customFormat="1" ht="22.7" customHeight="1" x14ac:dyDescent="0.25">
      <c r="A9" s="34">
        <f t="shared" si="0"/>
        <v>3</v>
      </c>
      <c r="B9" s="35" t="s">
        <v>31</v>
      </c>
      <c r="C9" s="36" t="s">
        <v>32</v>
      </c>
      <c r="D9" s="36" t="s">
        <v>26</v>
      </c>
      <c r="E9" s="36" t="s">
        <v>33</v>
      </c>
      <c r="F9" s="36" t="s">
        <v>34</v>
      </c>
      <c r="G9" s="37" t="s">
        <v>35</v>
      </c>
      <c r="H9" s="36" t="s">
        <v>30</v>
      </c>
      <c r="I9" s="38">
        <v>42156</v>
      </c>
      <c r="J9" s="39">
        <v>5.63</v>
      </c>
      <c r="K9" s="39">
        <f>J9-L9</f>
        <v>5.63</v>
      </c>
      <c r="L9" s="39">
        <v>0</v>
      </c>
      <c r="M9" s="40"/>
    </row>
    <row r="10" spans="1:49" s="41" customFormat="1" ht="22.7" customHeight="1" x14ac:dyDescent="0.25">
      <c r="A10" s="34">
        <f t="shared" si="0"/>
        <v>4</v>
      </c>
      <c r="B10" s="35" t="s">
        <v>36</v>
      </c>
      <c r="C10" s="36" t="s">
        <v>37</v>
      </c>
      <c r="D10" s="36" t="s">
        <v>38</v>
      </c>
      <c r="E10" s="36" t="s">
        <v>39</v>
      </c>
      <c r="F10" s="36" t="s">
        <v>40</v>
      </c>
      <c r="G10" s="37" t="s">
        <v>41</v>
      </c>
      <c r="H10" s="36" t="s">
        <v>30</v>
      </c>
      <c r="I10" s="38">
        <v>43467</v>
      </c>
      <c r="J10" s="39">
        <v>22.67</v>
      </c>
      <c r="K10" s="39">
        <f>J10-L10</f>
        <v>14.670000000000002</v>
      </c>
      <c r="L10" s="39">
        <v>8</v>
      </c>
      <c r="M10" s="40"/>
    </row>
    <row r="11" spans="1:49" s="41" customFormat="1" ht="22.7" customHeight="1" x14ac:dyDescent="0.25">
      <c r="A11" s="34">
        <f t="shared" si="0"/>
        <v>5</v>
      </c>
      <c r="B11" s="35" t="s">
        <v>43</v>
      </c>
      <c r="C11" s="36" t="s">
        <v>44</v>
      </c>
      <c r="D11" s="36" t="s">
        <v>45</v>
      </c>
      <c r="E11" s="36" t="s">
        <v>46</v>
      </c>
      <c r="F11" s="36" t="s">
        <v>47</v>
      </c>
      <c r="G11" s="37" t="s">
        <v>35</v>
      </c>
      <c r="H11" s="36" t="s">
        <v>30</v>
      </c>
      <c r="I11" s="38">
        <v>44501</v>
      </c>
      <c r="J11" s="39">
        <v>0</v>
      </c>
      <c r="K11" s="39">
        <v>0</v>
      </c>
      <c r="L11" s="39">
        <v>0</v>
      </c>
      <c r="M11" s="40"/>
    </row>
    <row r="12" spans="1:49" s="41" customFormat="1" ht="22.7" customHeight="1" x14ac:dyDescent="0.25">
      <c r="A12" s="34">
        <f t="shared" si="0"/>
        <v>6</v>
      </c>
      <c r="B12" s="35" t="s">
        <v>49</v>
      </c>
      <c r="C12" s="36" t="s">
        <v>50</v>
      </c>
      <c r="D12" s="36" t="s">
        <v>26</v>
      </c>
      <c r="E12" s="36" t="s">
        <v>33</v>
      </c>
      <c r="F12" s="36" t="s">
        <v>34</v>
      </c>
      <c r="G12" s="37" t="s">
        <v>35</v>
      </c>
      <c r="H12" s="36" t="s">
        <v>30</v>
      </c>
      <c r="I12" s="38">
        <v>42767</v>
      </c>
      <c r="J12" s="39">
        <v>11.41</v>
      </c>
      <c r="K12" s="39">
        <f>J12-L12</f>
        <v>7.41</v>
      </c>
      <c r="L12" s="39">
        <v>4</v>
      </c>
      <c r="M12" s="40"/>
    </row>
    <row r="13" spans="1:49" s="41" customFormat="1" ht="22.7" customHeight="1" x14ac:dyDescent="0.25">
      <c r="A13" s="34">
        <f t="shared" si="0"/>
        <v>7</v>
      </c>
      <c r="B13" s="35" t="s">
        <v>51</v>
      </c>
      <c r="C13" s="36" t="s">
        <v>52</v>
      </c>
      <c r="D13" s="36" t="s">
        <v>26</v>
      </c>
      <c r="E13" s="36" t="s">
        <v>33</v>
      </c>
      <c r="F13" s="36" t="s">
        <v>34</v>
      </c>
      <c r="G13" s="37" t="s">
        <v>35</v>
      </c>
      <c r="H13" s="36" t="s">
        <v>30</v>
      </c>
      <c r="I13" s="38">
        <v>44470</v>
      </c>
      <c r="J13" s="39">
        <v>5.96</v>
      </c>
      <c r="K13" s="39">
        <f>J13-L13</f>
        <v>5.96</v>
      </c>
      <c r="L13" s="39">
        <v>0</v>
      </c>
      <c r="M13" s="40"/>
    </row>
    <row r="14" spans="1:49" s="41" customFormat="1" ht="22.7" customHeight="1" x14ac:dyDescent="0.25">
      <c r="A14" s="34">
        <f t="shared" si="0"/>
        <v>8</v>
      </c>
      <c r="B14" s="35" t="s">
        <v>53</v>
      </c>
      <c r="C14" s="36" t="s">
        <v>54</v>
      </c>
      <c r="D14" s="36" t="s">
        <v>55</v>
      </c>
      <c r="E14" s="36" t="s">
        <v>56</v>
      </c>
      <c r="F14" s="36" t="s">
        <v>57</v>
      </c>
      <c r="G14" s="37" t="s">
        <v>58</v>
      </c>
      <c r="H14" s="36" t="s">
        <v>30</v>
      </c>
      <c r="I14" s="38">
        <v>43739</v>
      </c>
      <c r="J14" s="39">
        <v>7.5</v>
      </c>
      <c r="K14" s="39">
        <f>J14-L14</f>
        <v>7.5</v>
      </c>
      <c r="L14" s="39">
        <v>0</v>
      </c>
      <c r="M14" s="40"/>
    </row>
    <row r="15" spans="1:49" s="41" customFormat="1" ht="22.7" customHeight="1" x14ac:dyDescent="0.25">
      <c r="A15" s="34">
        <f t="shared" si="0"/>
        <v>9</v>
      </c>
      <c r="B15" s="35" t="s">
        <v>59</v>
      </c>
      <c r="C15" s="36" t="s">
        <v>60</v>
      </c>
      <c r="D15" s="36" t="s">
        <v>45</v>
      </c>
      <c r="E15" s="36" t="s">
        <v>61</v>
      </c>
      <c r="F15" s="36" t="s">
        <v>21</v>
      </c>
      <c r="G15" s="37" t="s">
        <v>22</v>
      </c>
      <c r="H15" s="36" t="s">
        <v>30</v>
      </c>
      <c r="I15" s="38">
        <v>44013</v>
      </c>
      <c r="J15" s="39">
        <v>2.2000000000000002</v>
      </c>
      <c r="K15" s="39">
        <f>J15-L15</f>
        <v>2.2000000000000002</v>
      </c>
      <c r="L15" s="39">
        <v>0</v>
      </c>
      <c r="M15" s="40"/>
    </row>
    <row r="16" spans="1:49" s="41" customFormat="1" ht="22.7" customHeight="1" x14ac:dyDescent="0.25">
      <c r="A16" s="34">
        <f t="shared" si="0"/>
        <v>10</v>
      </c>
      <c r="B16" s="35" t="s">
        <v>62</v>
      </c>
      <c r="C16" s="36" t="s">
        <v>63</v>
      </c>
      <c r="D16" s="36" t="s">
        <v>64</v>
      </c>
      <c r="E16" s="36" t="s">
        <v>65</v>
      </c>
      <c r="F16" s="36" t="s">
        <v>47</v>
      </c>
      <c r="G16" s="37" t="s">
        <v>35</v>
      </c>
      <c r="H16" s="36" t="s">
        <v>30</v>
      </c>
      <c r="I16" s="38">
        <v>42506</v>
      </c>
      <c r="J16" s="39">
        <v>0</v>
      </c>
      <c r="K16" s="39">
        <v>0</v>
      </c>
      <c r="L16" s="39">
        <v>0</v>
      </c>
      <c r="M16" s="40"/>
    </row>
    <row r="17" spans="1:13" s="41" customFormat="1" ht="22.7" customHeight="1" x14ac:dyDescent="0.25">
      <c r="A17" s="34">
        <f t="shared" si="0"/>
        <v>11</v>
      </c>
      <c r="B17" s="35" t="s">
        <v>77</v>
      </c>
      <c r="C17" s="36" t="s">
        <v>78</v>
      </c>
      <c r="D17" s="36" t="s">
        <v>26</v>
      </c>
      <c r="E17" s="36" t="s">
        <v>79</v>
      </c>
      <c r="F17" s="36" t="s">
        <v>57</v>
      </c>
      <c r="G17" s="37" t="s">
        <v>58</v>
      </c>
      <c r="H17" s="36" t="s">
        <v>30</v>
      </c>
      <c r="I17" s="38">
        <v>42278</v>
      </c>
      <c r="J17" s="39">
        <v>7.5</v>
      </c>
      <c r="K17" s="39">
        <f t="shared" ref="K17:K35" si="1">J17-L17</f>
        <v>7.5</v>
      </c>
      <c r="L17" s="39">
        <v>0</v>
      </c>
      <c r="M17" s="40"/>
    </row>
    <row r="18" spans="1:13" s="41" customFormat="1" ht="22.7" customHeight="1" x14ac:dyDescent="0.25">
      <c r="A18" s="34">
        <f t="shared" si="0"/>
        <v>12</v>
      </c>
      <c r="B18" s="35" t="s">
        <v>80</v>
      </c>
      <c r="C18" s="36" t="s">
        <v>81</v>
      </c>
      <c r="D18" s="36" t="s">
        <v>45</v>
      </c>
      <c r="E18" s="36" t="s">
        <v>82</v>
      </c>
      <c r="F18" s="36" t="s">
        <v>47</v>
      </c>
      <c r="G18" s="37" t="s">
        <v>35</v>
      </c>
      <c r="H18" s="36" t="s">
        <v>30</v>
      </c>
      <c r="I18" s="38">
        <v>42248</v>
      </c>
      <c r="J18" s="39">
        <v>7.41</v>
      </c>
      <c r="K18" s="39">
        <f t="shared" si="1"/>
        <v>7.41</v>
      </c>
      <c r="L18" s="39">
        <v>0</v>
      </c>
      <c r="M18" s="40"/>
    </row>
    <row r="19" spans="1:13" s="41" customFormat="1" ht="22.7" customHeight="1" x14ac:dyDescent="0.25">
      <c r="A19" s="34">
        <f t="shared" si="0"/>
        <v>13</v>
      </c>
      <c r="B19" s="35" t="s">
        <v>83</v>
      </c>
      <c r="C19" s="36" t="s">
        <v>84</v>
      </c>
      <c r="D19" s="36" t="s">
        <v>85</v>
      </c>
      <c r="E19" s="36" t="s">
        <v>86</v>
      </c>
      <c r="F19" s="36" t="s">
        <v>34</v>
      </c>
      <c r="G19" s="37" t="s">
        <v>35</v>
      </c>
      <c r="H19" s="36" t="s">
        <v>23</v>
      </c>
      <c r="I19" s="38">
        <v>42248</v>
      </c>
      <c r="J19" s="39">
        <v>0</v>
      </c>
      <c r="K19" s="39">
        <f t="shared" si="1"/>
        <v>0</v>
      </c>
      <c r="L19" s="39">
        <v>0</v>
      </c>
      <c r="M19" s="40"/>
    </row>
    <row r="20" spans="1:13" s="41" customFormat="1" ht="22.7" customHeight="1" x14ac:dyDescent="0.25">
      <c r="A20" s="34">
        <f t="shared" si="0"/>
        <v>14</v>
      </c>
      <c r="B20" s="35" t="s">
        <v>89</v>
      </c>
      <c r="C20" s="36" t="s">
        <v>90</v>
      </c>
      <c r="D20" s="36" t="s">
        <v>26</v>
      </c>
      <c r="E20" s="36" t="s">
        <v>91</v>
      </c>
      <c r="F20" s="36" t="s">
        <v>92</v>
      </c>
      <c r="G20" s="37" t="s">
        <v>93</v>
      </c>
      <c r="H20" s="36" t="s">
        <v>30</v>
      </c>
      <c r="I20" s="38">
        <v>37135</v>
      </c>
      <c r="J20" s="39">
        <v>9.9700000000000006</v>
      </c>
      <c r="K20" s="39">
        <f t="shared" si="1"/>
        <v>9.9700000000000006</v>
      </c>
      <c r="L20" s="39">
        <v>0</v>
      </c>
      <c r="M20" s="40"/>
    </row>
    <row r="21" spans="1:13" s="41" customFormat="1" ht="22.7" customHeight="1" x14ac:dyDescent="0.25">
      <c r="A21" s="34">
        <f t="shared" si="0"/>
        <v>15</v>
      </c>
      <c r="B21" s="35" t="s">
        <v>96</v>
      </c>
      <c r="C21" s="36" t="s">
        <v>97</v>
      </c>
      <c r="D21" s="36" t="s">
        <v>45</v>
      </c>
      <c r="E21" s="36" t="s">
        <v>61</v>
      </c>
      <c r="F21" s="36" t="s">
        <v>21</v>
      </c>
      <c r="G21" s="37" t="s">
        <v>22</v>
      </c>
      <c r="H21" s="36" t="s">
        <v>30</v>
      </c>
      <c r="I21" s="38">
        <v>43467</v>
      </c>
      <c r="J21" s="39">
        <v>15.62</v>
      </c>
      <c r="K21" s="39">
        <f t="shared" si="1"/>
        <v>11.62</v>
      </c>
      <c r="L21" s="39">
        <v>4</v>
      </c>
      <c r="M21" s="40"/>
    </row>
    <row r="22" spans="1:13" s="41" customFormat="1" ht="22.7" customHeight="1" x14ac:dyDescent="0.25">
      <c r="A22" s="34">
        <f t="shared" si="0"/>
        <v>16</v>
      </c>
      <c r="B22" s="35" t="s">
        <v>98</v>
      </c>
      <c r="C22" s="36" t="s">
        <v>99</v>
      </c>
      <c r="D22" s="36" t="s">
        <v>26</v>
      </c>
      <c r="E22" s="36" t="s">
        <v>100</v>
      </c>
      <c r="F22" s="36" t="s">
        <v>101</v>
      </c>
      <c r="G22" s="37" t="s">
        <v>22</v>
      </c>
      <c r="H22" s="36" t="s">
        <v>23</v>
      </c>
      <c r="I22" s="38">
        <v>44562</v>
      </c>
      <c r="J22" s="39">
        <v>0</v>
      </c>
      <c r="K22" s="39">
        <f t="shared" si="1"/>
        <v>0</v>
      </c>
      <c r="L22" s="39">
        <v>0</v>
      </c>
      <c r="M22" s="40"/>
    </row>
    <row r="23" spans="1:13" s="41" customFormat="1" ht="22.7" customHeight="1" x14ac:dyDescent="0.25">
      <c r="A23" s="34">
        <f t="shared" si="0"/>
        <v>17</v>
      </c>
      <c r="B23" s="35" t="s">
        <v>102</v>
      </c>
      <c r="C23" s="36" t="s">
        <v>103</v>
      </c>
      <c r="D23" s="36" t="s">
        <v>72</v>
      </c>
      <c r="E23" s="36" t="s">
        <v>104</v>
      </c>
      <c r="F23" s="36" t="s">
        <v>105</v>
      </c>
      <c r="G23" s="37" t="s">
        <v>58</v>
      </c>
      <c r="H23" s="36" t="s">
        <v>30</v>
      </c>
      <c r="I23" s="38">
        <v>44470</v>
      </c>
      <c r="J23" s="39">
        <v>6.5</v>
      </c>
      <c r="K23" s="39">
        <f t="shared" si="1"/>
        <v>6.5</v>
      </c>
      <c r="L23" s="39">
        <v>0</v>
      </c>
      <c r="M23" s="40"/>
    </row>
    <row r="24" spans="1:13" s="41" customFormat="1" ht="22.7" customHeight="1" x14ac:dyDescent="0.25">
      <c r="A24" s="34">
        <f t="shared" si="0"/>
        <v>18</v>
      </c>
      <c r="B24" s="35" t="s">
        <v>106</v>
      </c>
      <c r="C24" s="36" t="s">
        <v>107</v>
      </c>
      <c r="D24" s="36" t="s">
        <v>85</v>
      </c>
      <c r="E24" s="36" t="s">
        <v>86</v>
      </c>
      <c r="F24" s="36" t="s">
        <v>34</v>
      </c>
      <c r="G24" s="37" t="s">
        <v>35</v>
      </c>
      <c r="H24" s="36" t="s">
        <v>23</v>
      </c>
      <c r="I24" s="38">
        <v>44562</v>
      </c>
      <c r="J24" s="39">
        <v>0</v>
      </c>
      <c r="K24" s="39">
        <f t="shared" si="1"/>
        <v>0</v>
      </c>
      <c r="L24" s="39">
        <v>0</v>
      </c>
      <c r="M24" s="40"/>
    </row>
    <row r="25" spans="1:13" s="41" customFormat="1" ht="22.7" customHeight="1" x14ac:dyDescent="0.25">
      <c r="A25" s="34">
        <f t="shared" si="0"/>
        <v>19</v>
      </c>
      <c r="B25" s="35" t="s">
        <v>108</v>
      </c>
      <c r="C25" s="36" t="s">
        <v>109</v>
      </c>
      <c r="D25" s="36" t="s">
        <v>72</v>
      </c>
      <c r="E25" s="36" t="s">
        <v>73</v>
      </c>
      <c r="F25" s="36" t="s">
        <v>74</v>
      </c>
      <c r="G25" s="37" t="s">
        <v>75</v>
      </c>
      <c r="H25" s="36" t="s">
        <v>30</v>
      </c>
      <c r="I25" s="38">
        <v>44470</v>
      </c>
      <c r="J25" s="39">
        <v>7.5</v>
      </c>
      <c r="K25" s="39">
        <f t="shared" si="1"/>
        <v>7.5</v>
      </c>
      <c r="L25" s="39">
        <v>0</v>
      </c>
      <c r="M25" s="40"/>
    </row>
    <row r="26" spans="1:13" s="41" customFormat="1" ht="22.7" customHeight="1" x14ac:dyDescent="0.25">
      <c r="A26" s="34">
        <f t="shared" si="0"/>
        <v>20</v>
      </c>
      <c r="B26" s="35" t="s">
        <v>110</v>
      </c>
      <c r="C26" s="36" t="s">
        <v>111</v>
      </c>
      <c r="D26" s="36" t="s">
        <v>112</v>
      </c>
      <c r="E26" s="36" t="s">
        <v>113</v>
      </c>
      <c r="F26" s="36" t="s">
        <v>57</v>
      </c>
      <c r="G26" s="37" t="s">
        <v>58</v>
      </c>
      <c r="H26" s="36" t="s">
        <v>30</v>
      </c>
      <c r="I26" s="38">
        <v>44378</v>
      </c>
      <c r="J26" s="39">
        <v>10.24</v>
      </c>
      <c r="K26" s="39">
        <f t="shared" si="1"/>
        <v>10.24</v>
      </c>
      <c r="L26" s="39">
        <v>0</v>
      </c>
      <c r="M26" s="40"/>
    </row>
    <row r="27" spans="1:13" s="41" customFormat="1" ht="22.7" customHeight="1" x14ac:dyDescent="0.25">
      <c r="A27" s="34">
        <f t="shared" si="0"/>
        <v>21</v>
      </c>
      <c r="B27" s="35" t="s">
        <v>114</v>
      </c>
      <c r="C27" s="36" t="s">
        <v>115</v>
      </c>
      <c r="D27" s="36" t="s">
        <v>116</v>
      </c>
      <c r="E27" s="36" t="s">
        <v>117</v>
      </c>
      <c r="F27" s="36" t="s">
        <v>47</v>
      </c>
      <c r="G27" s="37" t="s">
        <v>35</v>
      </c>
      <c r="H27" s="36" t="s">
        <v>30</v>
      </c>
      <c r="I27" s="38">
        <v>42005</v>
      </c>
      <c r="J27" s="39">
        <v>0</v>
      </c>
      <c r="K27" s="39">
        <f t="shared" si="1"/>
        <v>0</v>
      </c>
      <c r="L27" s="39">
        <v>0</v>
      </c>
      <c r="M27" s="40"/>
    </row>
    <row r="28" spans="1:13" s="41" customFormat="1" ht="22.7" customHeight="1" x14ac:dyDescent="0.25">
      <c r="A28" s="34">
        <f t="shared" si="0"/>
        <v>22</v>
      </c>
      <c r="B28" s="35" t="s">
        <v>118</v>
      </c>
      <c r="C28" s="36" t="s">
        <v>119</v>
      </c>
      <c r="D28" s="36" t="s">
        <v>120</v>
      </c>
      <c r="E28" s="36" t="s">
        <v>121</v>
      </c>
      <c r="F28" s="36" t="s">
        <v>122</v>
      </c>
      <c r="G28" s="37" t="s">
        <v>93</v>
      </c>
      <c r="H28" s="36" t="s">
        <v>30</v>
      </c>
      <c r="I28" s="38">
        <v>42339</v>
      </c>
      <c r="J28" s="39">
        <v>0.64</v>
      </c>
      <c r="K28" s="39">
        <f t="shared" si="1"/>
        <v>0.64</v>
      </c>
      <c r="L28" s="39">
        <v>0</v>
      </c>
      <c r="M28" s="40"/>
    </row>
    <row r="29" spans="1:13" s="41" customFormat="1" ht="22.7" customHeight="1" x14ac:dyDescent="0.25">
      <c r="A29" s="34">
        <f t="shared" si="0"/>
        <v>23</v>
      </c>
      <c r="B29" s="35" t="s">
        <v>123</v>
      </c>
      <c r="C29" s="36" t="s">
        <v>124</v>
      </c>
      <c r="D29" s="36" t="s">
        <v>72</v>
      </c>
      <c r="E29" s="36" t="s">
        <v>73</v>
      </c>
      <c r="F29" s="36" t="s">
        <v>74</v>
      </c>
      <c r="G29" s="37" t="s">
        <v>75</v>
      </c>
      <c r="H29" s="36" t="s">
        <v>30</v>
      </c>
      <c r="I29" s="38">
        <v>44470</v>
      </c>
      <c r="J29" s="39">
        <v>7.5</v>
      </c>
      <c r="K29" s="39">
        <f t="shared" si="1"/>
        <v>7.5</v>
      </c>
      <c r="L29" s="39">
        <v>0</v>
      </c>
      <c r="M29" s="40"/>
    </row>
    <row r="30" spans="1:13" s="41" customFormat="1" ht="22.7" customHeight="1" x14ac:dyDescent="0.25">
      <c r="A30" s="34">
        <f t="shared" si="0"/>
        <v>24</v>
      </c>
      <c r="B30" s="35" t="s">
        <v>511</v>
      </c>
      <c r="C30" s="36" t="s">
        <v>512</v>
      </c>
      <c r="D30" s="36" t="s">
        <v>19</v>
      </c>
      <c r="E30" s="36" t="s">
        <v>165</v>
      </c>
      <c r="F30" s="36" t="s">
        <v>34</v>
      </c>
      <c r="G30" s="37" t="s">
        <v>35</v>
      </c>
      <c r="H30" s="36" t="s">
        <v>23</v>
      </c>
      <c r="I30" s="38">
        <v>44805</v>
      </c>
      <c r="J30" s="39">
        <v>9.4700000000000006</v>
      </c>
      <c r="K30" s="39">
        <f t="shared" si="1"/>
        <v>9.4700000000000006</v>
      </c>
      <c r="L30" s="39">
        <v>0</v>
      </c>
      <c r="M30" s="40"/>
    </row>
    <row r="31" spans="1:13" s="41" customFormat="1" ht="22.7" customHeight="1" x14ac:dyDescent="0.25">
      <c r="A31" s="34">
        <f t="shared" si="0"/>
        <v>25</v>
      </c>
      <c r="B31" s="35" t="s">
        <v>125</v>
      </c>
      <c r="C31" s="36" t="s">
        <v>126</v>
      </c>
      <c r="D31" s="36" t="s">
        <v>64</v>
      </c>
      <c r="E31" s="36" t="s">
        <v>65</v>
      </c>
      <c r="F31" s="36" t="s">
        <v>47</v>
      </c>
      <c r="G31" s="37" t="s">
        <v>35</v>
      </c>
      <c r="H31" s="36" t="s">
        <v>30</v>
      </c>
      <c r="I31" s="38">
        <v>43891</v>
      </c>
      <c r="J31" s="39">
        <v>6</v>
      </c>
      <c r="K31" s="39">
        <f t="shared" si="1"/>
        <v>6</v>
      </c>
      <c r="L31" s="39">
        <v>0</v>
      </c>
      <c r="M31" s="40"/>
    </row>
    <row r="32" spans="1:13" s="41" customFormat="1" ht="22.7" customHeight="1" x14ac:dyDescent="0.25">
      <c r="A32" s="34">
        <f t="shared" si="0"/>
        <v>26</v>
      </c>
      <c r="B32" s="35" t="s">
        <v>127</v>
      </c>
      <c r="C32" s="36" t="s">
        <v>128</v>
      </c>
      <c r="D32" s="36" t="s">
        <v>45</v>
      </c>
      <c r="E32" s="36" t="s">
        <v>61</v>
      </c>
      <c r="F32" s="36" t="s">
        <v>21</v>
      </c>
      <c r="G32" s="37" t="s">
        <v>22</v>
      </c>
      <c r="H32" s="36" t="s">
        <v>30</v>
      </c>
      <c r="I32" s="38">
        <v>42522</v>
      </c>
      <c r="J32" s="39">
        <v>17.55</v>
      </c>
      <c r="K32" s="39">
        <f t="shared" si="1"/>
        <v>13.55</v>
      </c>
      <c r="L32" s="39">
        <v>4</v>
      </c>
      <c r="M32" s="40"/>
    </row>
    <row r="33" spans="1:13" s="41" customFormat="1" ht="22.7" customHeight="1" x14ac:dyDescent="0.25">
      <c r="A33" s="34">
        <f t="shared" si="0"/>
        <v>27</v>
      </c>
      <c r="B33" s="35" t="s">
        <v>513</v>
      </c>
      <c r="C33" s="36" t="s">
        <v>514</v>
      </c>
      <c r="D33" s="36" t="s">
        <v>161</v>
      </c>
      <c r="E33" s="36" t="s">
        <v>162</v>
      </c>
      <c r="F33" s="36" t="s">
        <v>57</v>
      </c>
      <c r="G33" s="37" t="s">
        <v>58</v>
      </c>
      <c r="H33" s="36" t="s">
        <v>23</v>
      </c>
      <c r="I33" s="38">
        <v>44652</v>
      </c>
      <c r="J33" s="39">
        <v>2.96</v>
      </c>
      <c r="K33" s="39">
        <f t="shared" si="1"/>
        <v>2.96</v>
      </c>
      <c r="L33" s="39">
        <v>0</v>
      </c>
      <c r="M33" s="40"/>
    </row>
    <row r="34" spans="1:13" s="41" customFormat="1" ht="22.7" customHeight="1" x14ac:dyDescent="0.25">
      <c r="A34" s="34">
        <f t="shared" si="0"/>
        <v>28</v>
      </c>
      <c r="B34" s="35" t="s">
        <v>131</v>
      </c>
      <c r="C34" s="36" t="s">
        <v>132</v>
      </c>
      <c r="D34" s="36" t="s">
        <v>112</v>
      </c>
      <c r="E34" s="36" t="s">
        <v>113</v>
      </c>
      <c r="F34" s="36" t="s">
        <v>57</v>
      </c>
      <c r="G34" s="37" t="s">
        <v>58</v>
      </c>
      <c r="H34" s="36" t="s">
        <v>23</v>
      </c>
      <c r="I34" s="38">
        <v>44562</v>
      </c>
      <c r="J34" s="39">
        <v>0</v>
      </c>
      <c r="K34" s="39">
        <f t="shared" si="1"/>
        <v>0</v>
      </c>
      <c r="L34" s="39">
        <v>0</v>
      </c>
      <c r="M34" s="40"/>
    </row>
    <row r="35" spans="1:13" s="41" customFormat="1" ht="22.7" customHeight="1" x14ac:dyDescent="0.25">
      <c r="A35" s="34">
        <f t="shared" si="0"/>
        <v>29</v>
      </c>
      <c r="B35" s="35" t="s">
        <v>135</v>
      </c>
      <c r="C35" s="36" t="s">
        <v>136</v>
      </c>
      <c r="D35" s="36" t="s">
        <v>137</v>
      </c>
      <c r="E35" s="36" t="s">
        <v>138</v>
      </c>
      <c r="F35" s="36" t="s">
        <v>105</v>
      </c>
      <c r="G35" s="37" t="s">
        <v>58</v>
      </c>
      <c r="H35" s="36" t="s">
        <v>30</v>
      </c>
      <c r="I35" s="38">
        <v>44531</v>
      </c>
      <c r="J35" s="39">
        <v>2.4700000000000002</v>
      </c>
      <c r="K35" s="39">
        <f t="shared" si="1"/>
        <v>2.4700000000000002</v>
      </c>
      <c r="L35" s="39">
        <v>0</v>
      </c>
      <c r="M35" s="40"/>
    </row>
    <row r="36" spans="1:13" s="41" customFormat="1" ht="22.7" customHeight="1" x14ac:dyDescent="0.25">
      <c r="A36" s="34">
        <f t="shared" si="0"/>
        <v>30</v>
      </c>
      <c r="B36" s="35" t="s">
        <v>139</v>
      </c>
      <c r="C36" s="36" t="s">
        <v>140</v>
      </c>
      <c r="D36" s="36" t="s">
        <v>68</v>
      </c>
      <c r="E36" s="36" t="s">
        <v>141</v>
      </c>
      <c r="F36" s="36" t="s">
        <v>57</v>
      </c>
      <c r="G36" s="37" t="s">
        <v>58</v>
      </c>
      <c r="H36" s="36" t="s">
        <v>30</v>
      </c>
      <c r="I36" s="38">
        <v>42278</v>
      </c>
      <c r="J36" s="39">
        <v>3.42</v>
      </c>
      <c r="K36" s="39">
        <v>3.42</v>
      </c>
      <c r="L36" s="39">
        <v>0</v>
      </c>
      <c r="M36" s="40"/>
    </row>
    <row r="37" spans="1:13" s="41" customFormat="1" ht="22.7" customHeight="1" x14ac:dyDescent="0.25">
      <c r="A37" s="34">
        <f t="shared" si="0"/>
        <v>31</v>
      </c>
      <c r="B37" s="35" t="s">
        <v>515</v>
      </c>
      <c r="C37" s="36" t="s">
        <v>516</v>
      </c>
      <c r="D37" s="36" t="s">
        <v>45</v>
      </c>
      <c r="E37" s="36" t="s">
        <v>398</v>
      </c>
      <c r="F37" s="36" t="s">
        <v>47</v>
      </c>
      <c r="G37" s="37" t="s">
        <v>35</v>
      </c>
      <c r="H37" s="36" t="s">
        <v>23</v>
      </c>
      <c r="I37" s="38">
        <v>44593</v>
      </c>
      <c r="J37" s="39">
        <v>15.52</v>
      </c>
      <c r="K37" s="39">
        <f t="shared" ref="K37:K79" si="2">J37-L37</f>
        <v>11.52</v>
      </c>
      <c r="L37" s="39">
        <v>4</v>
      </c>
      <c r="M37" s="40"/>
    </row>
    <row r="38" spans="1:13" s="41" customFormat="1" ht="22.7" customHeight="1" x14ac:dyDescent="0.25">
      <c r="A38" s="34">
        <f t="shared" si="0"/>
        <v>32</v>
      </c>
      <c r="B38" s="35" t="s">
        <v>142</v>
      </c>
      <c r="C38" s="36" t="s">
        <v>143</v>
      </c>
      <c r="D38" s="36" t="s">
        <v>144</v>
      </c>
      <c r="E38" s="36" t="s">
        <v>145</v>
      </c>
      <c r="F38" s="36" t="s">
        <v>57</v>
      </c>
      <c r="G38" s="37" t="s">
        <v>58</v>
      </c>
      <c r="H38" s="36" t="s">
        <v>30</v>
      </c>
      <c r="I38" s="38">
        <v>42156</v>
      </c>
      <c r="J38" s="39">
        <v>0.28000000000000003</v>
      </c>
      <c r="K38" s="39">
        <f t="shared" si="2"/>
        <v>0.28000000000000003</v>
      </c>
      <c r="L38" s="39">
        <v>0</v>
      </c>
      <c r="M38" s="40"/>
    </row>
    <row r="39" spans="1:13" s="41" customFormat="1" ht="22.7" customHeight="1" x14ac:dyDescent="0.25">
      <c r="A39" s="34">
        <f t="shared" si="0"/>
        <v>33</v>
      </c>
      <c r="B39" s="35" t="s">
        <v>146</v>
      </c>
      <c r="C39" s="36" t="s">
        <v>147</v>
      </c>
      <c r="D39" s="36" t="s">
        <v>72</v>
      </c>
      <c r="E39" s="36" t="s">
        <v>73</v>
      </c>
      <c r="F39" s="36" t="s">
        <v>74</v>
      </c>
      <c r="G39" s="37" t="s">
        <v>75</v>
      </c>
      <c r="H39" s="36" t="s">
        <v>30</v>
      </c>
      <c r="I39" s="38">
        <v>44470</v>
      </c>
      <c r="J39" s="39">
        <v>7.5</v>
      </c>
      <c r="K39" s="39">
        <f t="shared" si="2"/>
        <v>7.5</v>
      </c>
      <c r="L39" s="39">
        <v>0</v>
      </c>
      <c r="M39" s="40"/>
    </row>
    <row r="40" spans="1:13" s="41" customFormat="1" ht="22.7" customHeight="1" x14ac:dyDescent="0.25">
      <c r="A40" s="34">
        <f t="shared" ref="A40:A71" si="3">SUM(A39:A39+1)</f>
        <v>34</v>
      </c>
      <c r="B40" s="35" t="s">
        <v>148</v>
      </c>
      <c r="C40" s="36" t="s">
        <v>149</v>
      </c>
      <c r="D40" s="36" t="s">
        <v>64</v>
      </c>
      <c r="E40" s="36" t="s">
        <v>65</v>
      </c>
      <c r="F40" s="36" t="s">
        <v>47</v>
      </c>
      <c r="G40" s="37" t="s">
        <v>35</v>
      </c>
      <c r="H40" s="36" t="s">
        <v>30</v>
      </c>
      <c r="I40" s="38">
        <v>44440</v>
      </c>
      <c r="J40" s="39">
        <v>9.9700000000000006</v>
      </c>
      <c r="K40" s="39">
        <f t="shared" si="2"/>
        <v>9.9700000000000006</v>
      </c>
      <c r="L40" s="39">
        <v>0</v>
      </c>
      <c r="M40" s="40"/>
    </row>
    <row r="41" spans="1:13" s="41" customFormat="1" ht="22.7" customHeight="1" x14ac:dyDescent="0.25">
      <c r="A41" s="34">
        <f t="shared" si="3"/>
        <v>35</v>
      </c>
      <c r="B41" s="35" t="s">
        <v>150</v>
      </c>
      <c r="C41" s="36" t="s">
        <v>151</v>
      </c>
      <c r="D41" s="36" t="s">
        <v>26</v>
      </c>
      <c r="E41" s="36" t="s">
        <v>104</v>
      </c>
      <c r="F41" s="36" t="s">
        <v>105</v>
      </c>
      <c r="G41" s="37" t="s">
        <v>58</v>
      </c>
      <c r="H41" s="36" t="s">
        <v>30</v>
      </c>
      <c r="I41" s="38">
        <v>42767</v>
      </c>
      <c r="J41" s="39">
        <v>21.7</v>
      </c>
      <c r="K41" s="39">
        <f t="shared" si="2"/>
        <v>14.7</v>
      </c>
      <c r="L41" s="39">
        <v>7</v>
      </c>
      <c r="M41" s="40"/>
    </row>
    <row r="42" spans="1:13" s="41" customFormat="1" ht="22.7" customHeight="1" x14ac:dyDescent="0.25">
      <c r="A42" s="34">
        <f t="shared" si="3"/>
        <v>36</v>
      </c>
      <c r="B42" s="35" t="s">
        <v>152</v>
      </c>
      <c r="C42" s="36" t="s">
        <v>153</v>
      </c>
      <c r="D42" s="36" t="s">
        <v>154</v>
      </c>
      <c r="E42" s="36" t="s">
        <v>155</v>
      </c>
      <c r="F42" s="36" t="s">
        <v>40</v>
      </c>
      <c r="G42" s="37" t="s">
        <v>41</v>
      </c>
      <c r="H42" s="36" t="s">
        <v>30</v>
      </c>
      <c r="I42" s="38">
        <v>43466</v>
      </c>
      <c r="J42" s="39">
        <v>0</v>
      </c>
      <c r="K42" s="39">
        <f t="shared" si="2"/>
        <v>0</v>
      </c>
      <c r="L42" s="39">
        <v>0</v>
      </c>
      <c r="M42" s="40"/>
    </row>
    <row r="43" spans="1:13" s="41" customFormat="1" ht="22.7" customHeight="1" x14ac:dyDescent="0.25">
      <c r="A43" s="34">
        <f t="shared" si="3"/>
        <v>37</v>
      </c>
      <c r="B43" s="35" t="s">
        <v>157</v>
      </c>
      <c r="C43" s="36" t="s">
        <v>158</v>
      </c>
      <c r="D43" s="36" t="s">
        <v>45</v>
      </c>
      <c r="E43" s="36" t="s">
        <v>61</v>
      </c>
      <c r="F43" s="36" t="s">
        <v>21</v>
      </c>
      <c r="G43" s="37" t="s">
        <v>22</v>
      </c>
      <c r="H43" s="36" t="s">
        <v>30</v>
      </c>
      <c r="I43" s="38">
        <v>43252</v>
      </c>
      <c r="J43" s="39">
        <v>0.56000000000000005</v>
      </c>
      <c r="K43" s="39">
        <f t="shared" si="2"/>
        <v>0.56000000000000005</v>
      </c>
      <c r="L43" s="39">
        <v>0</v>
      </c>
      <c r="M43" s="40"/>
    </row>
    <row r="44" spans="1:13" s="41" customFormat="1" ht="22.7" customHeight="1" x14ac:dyDescent="0.25">
      <c r="A44" s="34">
        <f t="shared" si="3"/>
        <v>38</v>
      </c>
      <c r="B44" s="35" t="s">
        <v>517</v>
      </c>
      <c r="C44" s="36" t="s">
        <v>518</v>
      </c>
      <c r="D44" s="36" t="s">
        <v>19</v>
      </c>
      <c r="E44" s="36" t="s">
        <v>324</v>
      </c>
      <c r="F44" s="36" t="s">
        <v>105</v>
      </c>
      <c r="G44" s="37" t="s">
        <v>58</v>
      </c>
      <c r="H44" s="36" t="s">
        <v>23</v>
      </c>
      <c r="I44" s="38">
        <v>44805</v>
      </c>
      <c r="J44" s="39">
        <v>9.4700000000000006</v>
      </c>
      <c r="K44" s="39">
        <f t="shared" si="2"/>
        <v>9.4700000000000006</v>
      </c>
      <c r="L44" s="39">
        <v>0</v>
      </c>
      <c r="M44" s="40"/>
    </row>
    <row r="45" spans="1:13" s="41" customFormat="1" ht="22.7" customHeight="1" x14ac:dyDescent="0.25">
      <c r="A45" s="34">
        <f t="shared" si="3"/>
        <v>39</v>
      </c>
      <c r="B45" s="35" t="s">
        <v>159</v>
      </c>
      <c r="C45" s="36" t="s">
        <v>160</v>
      </c>
      <c r="D45" s="36" t="s">
        <v>161</v>
      </c>
      <c r="E45" s="36" t="s">
        <v>162</v>
      </c>
      <c r="F45" s="36" t="s">
        <v>57</v>
      </c>
      <c r="G45" s="37" t="s">
        <v>58</v>
      </c>
      <c r="H45" s="36" t="s">
        <v>30</v>
      </c>
      <c r="I45" s="38">
        <v>43374</v>
      </c>
      <c r="J45" s="39">
        <v>7.5</v>
      </c>
      <c r="K45" s="39">
        <f t="shared" si="2"/>
        <v>7.5</v>
      </c>
      <c r="L45" s="39">
        <v>0</v>
      </c>
      <c r="M45" s="40"/>
    </row>
    <row r="46" spans="1:13" s="41" customFormat="1" ht="22.7" customHeight="1" x14ac:dyDescent="0.25">
      <c r="A46" s="34">
        <f t="shared" si="3"/>
        <v>40</v>
      </c>
      <c r="B46" s="35" t="s">
        <v>167</v>
      </c>
      <c r="C46" s="36" t="s">
        <v>168</v>
      </c>
      <c r="D46" s="36" t="s">
        <v>169</v>
      </c>
      <c r="E46" s="36" t="s">
        <v>170</v>
      </c>
      <c r="F46" s="36" t="s">
        <v>171</v>
      </c>
      <c r="G46" s="37" t="s">
        <v>172</v>
      </c>
      <c r="H46" s="36" t="s">
        <v>30</v>
      </c>
      <c r="I46" s="38">
        <v>44378</v>
      </c>
      <c r="J46" s="39">
        <v>2.3199999999999998</v>
      </c>
      <c r="K46" s="39">
        <f t="shared" si="2"/>
        <v>2.3199999999999998</v>
      </c>
      <c r="L46" s="39">
        <v>0</v>
      </c>
      <c r="M46" s="40"/>
    </row>
    <row r="47" spans="1:13" s="41" customFormat="1" ht="22.7" customHeight="1" x14ac:dyDescent="0.25">
      <c r="A47" s="34">
        <f t="shared" si="3"/>
        <v>41</v>
      </c>
      <c r="B47" s="35" t="s">
        <v>173</v>
      </c>
      <c r="C47" s="36" t="s">
        <v>174</v>
      </c>
      <c r="D47" s="36" t="s">
        <v>26</v>
      </c>
      <c r="E47" s="36" t="s">
        <v>100</v>
      </c>
      <c r="F47" s="36" t="s">
        <v>101</v>
      </c>
      <c r="G47" s="37" t="s">
        <v>22</v>
      </c>
      <c r="H47" s="36" t="s">
        <v>23</v>
      </c>
      <c r="I47" s="38">
        <v>44562</v>
      </c>
      <c r="J47" s="39">
        <v>0</v>
      </c>
      <c r="K47" s="39">
        <f t="shared" si="2"/>
        <v>0</v>
      </c>
      <c r="L47" s="39">
        <v>0</v>
      </c>
      <c r="M47" s="40"/>
    </row>
    <row r="48" spans="1:13" s="41" customFormat="1" ht="22.7" customHeight="1" x14ac:dyDescent="0.25">
      <c r="A48" s="34">
        <f t="shared" si="3"/>
        <v>42</v>
      </c>
      <c r="B48" s="35" t="s">
        <v>177</v>
      </c>
      <c r="C48" s="36" t="s">
        <v>178</v>
      </c>
      <c r="D48" s="36" t="s">
        <v>179</v>
      </c>
      <c r="E48" s="36" t="s">
        <v>141</v>
      </c>
      <c r="F48" s="36" t="s">
        <v>57</v>
      </c>
      <c r="G48" s="37" t="s">
        <v>58</v>
      </c>
      <c r="H48" s="36" t="s">
        <v>23</v>
      </c>
      <c r="I48" s="38">
        <v>44562</v>
      </c>
      <c r="J48" s="39">
        <v>0</v>
      </c>
      <c r="K48" s="39">
        <f t="shared" si="2"/>
        <v>0</v>
      </c>
      <c r="L48" s="39">
        <v>0</v>
      </c>
      <c r="M48" s="40"/>
    </row>
    <row r="49" spans="1:13" s="41" customFormat="1" ht="22.7" customHeight="1" x14ac:dyDescent="0.25">
      <c r="A49" s="34">
        <f t="shared" si="3"/>
        <v>43</v>
      </c>
      <c r="B49" s="35" t="s">
        <v>180</v>
      </c>
      <c r="C49" s="36" t="s">
        <v>181</v>
      </c>
      <c r="D49" s="36" t="s">
        <v>85</v>
      </c>
      <c r="E49" s="36" t="s">
        <v>182</v>
      </c>
      <c r="F49" s="36" t="s">
        <v>34</v>
      </c>
      <c r="G49" s="37" t="s">
        <v>35</v>
      </c>
      <c r="H49" s="36" t="s">
        <v>23</v>
      </c>
      <c r="I49" s="38">
        <v>44562</v>
      </c>
      <c r="J49" s="39">
        <v>0</v>
      </c>
      <c r="K49" s="39">
        <f t="shared" si="2"/>
        <v>0</v>
      </c>
      <c r="L49" s="39">
        <v>0</v>
      </c>
      <c r="M49" s="40"/>
    </row>
    <row r="50" spans="1:13" s="41" customFormat="1" ht="22.7" customHeight="1" x14ac:dyDescent="0.25">
      <c r="A50" s="34">
        <f t="shared" si="3"/>
        <v>44</v>
      </c>
      <c r="B50" s="43" t="s">
        <v>519</v>
      </c>
      <c r="C50" s="44" t="s">
        <v>520</v>
      </c>
      <c r="D50" s="44" t="s">
        <v>19</v>
      </c>
      <c r="E50" s="44" t="s">
        <v>165</v>
      </c>
      <c r="F50" s="44" t="s">
        <v>34</v>
      </c>
      <c r="G50" s="45" t="s">
        <v>35</v>
      </c>
      <c r="H50" s="44" t="s">
        <v>23</v>
      </c>
      <c r="I50" s="38">
        <v>44835</v>
      </c>
      <c r="J50" s="39">
        <v>7.5</v>
      </c>
      <c r="K50" s="39">
        <f t="shared" si="2"/>
        <v>7.5</v>
      </c>
      <c r="L50" s="39">
        <v>0</v>
      </c>
      <c r="M50" s="40"/>
    </row>
    <row r="51" spans="1:13" s="41" customFormat="1" ht="22.7" customHeight="1" x14ac:dyDescent="0.25">
      <c r="A51" s="34">
        <f t="shared" si="3"/>
        <v>45</v>
      </c>
      <c r="B51" s="35" t="s">
        <v>185</v>
      </c>
      <c r="C51" s="36" t="s">
        <v>186</v>
      </c>
      <c r="D51" s="36" t="s">
        <v>68</v>
      </c>
      <c r="E51" s="36" t="s">
        <v>187</v>
      </c>
      <c r="F51" s="36" t="s">
        <v>188</v>
      </c>
      <c r="G51" s="37" t="s">
        <v>189</v>
      </c>
      <c r="H51" s="36" t="s">
        <v>30</v>
      </c>
      <c r="I51" s="38">
        <v>41091</v>
      </c>
      <c r="J51" s="39">
        <v>10.66</v>
      </c>
      <c r="K51" s="39">
        <f t="shared" si="2"/>
        <v>10.66</v>
      </c>
      <c r="L51" s="39">
        <v>0</v>
      </c>
      <c r="M51" s="40"/>
    </row>
    <row r="52" spans="1:13" s="41" customFormat="1" ht="22.7" customHeight="1" x14ac:dyDescent="0.25">
      <c r="A52" s="34">
        <f t="shared" si="3"/>
        <v>46</v>
      </c>
      <c r="B52" s="35" t="s">
        <v>521</v>
      </c>
      <c r="C52" s="36" t="s">
        <v>522</v>
      </c>
      <c r="D52" s="36" t="s">
        <v>45</v>
      </c>
      <c r="E52" s="36" t="s">
        <v>361</v>
      </c>
      <c r="F52" s="36" t="s">
        <v>47</v>
      </c>
      <c r="G52" s="37" t="s">
        <v>35</v>
      </c>
      <c r="H52" s="36" t="s">
        <v>30</v>
      </c>
      <c r="I52" s="38">
        <v>44805</v>
      </c>
      <c r="J52" s="39">
        <v>8.75</v>
      </c>
      <c r="K52" s="39">
        <f t="shared" si="2"/>
        <v>8.75</v>
      </c>
      <c r="L52" s="39">
        <v>0</v>
      </c>
      <c r="M52" s="40"/>
    </row>
    <row r="53" spans="1:13" s="41" customFormat="1" ht="22.7" customHeight="1" x14ac:dyDescent="0.25">
      <c r="A53" s="34">
        <f t="shared" si="3"/>
        <v>47</v>
      </c>
      <c r="B53" s="35" t="s">
        <v>190</v>
      </c>
      <c r="C53" s="36" t="s">
        <v>191</v>
      </c>
      <c r="D53" s="36" t="s">
        <v>26</v>
      </c>
      <c r="E53" s="36" t="s">
        <v>100</v>
      </c>
      <c r="F53" s="36" t="s">
        <v>101</v>
      </c>
      <c r="G53" s="37" t="s">
        <v>22</v>
      </c>
      <c r="H53" s="36" t="s">
        <v>23</v>
      </c>
      <c r="I53" s="38">
        <v>44562</v>
      </c>
      <c r="J53" s="39">
        <v>0</v>
      </c>
      <c r="K53" s="39">
        <f t="shared" si="2"/>
        <v>0</v>
      </c>
      <c r="L53" s="39">
        <v>0</v>
      </c>
      <c r="M53" s="40"/>
    </row>
    <row r="54" spans="1:13" s="41" customFormat="1" ht="22.7" customHeight="1" x14ac:dyDescent="0.25">
      <c r="A54" s="34">
        <f t="shared" si="3"/>
        <v>48</v>
      </c>
      <c r="B54" s="35" t="s">
        <v>523</v>
      </c>
      <c r="C54" s="36" t="s">
        <v>524</v>
      </c>
      <c r="D54" s="36" t="s">
        <v>85</v>
      </c>
      <c r="E54" s="36" t="s">
        <v>335</v>
      </c>
      <c r="F54" s="36" t="s">
        <v>34</v>
      </c>
      <c r="G54" s="37" t="s">
        <v>35</v>
      </c>
      <c r="H54" s="36" t="s">
        <v>23</v>
      </c>
      <c r="I54" s="38">
        <v>44805</v>
      </c>
      <c r="J54" s="39">
        <v>7.97</v>
      </c>
      <c r="K54" s="39">
        <f t="shared" si="2"/>
        <v>7.97</v>
      </c>
      <c r="L54" s="39">
        <v>0</v>
      </c>
      <c r="M54" s="40"/>
    </row>
    <row r="55" spans="1:13" s="41" customFormat="1" ht="22.7" customHeight="1" x14ac:dyDescent="0.25">
      <c r="A55" s="34">
        <f t="shared" si="3"/>
        <v>49</v>
      </c>
      <c r="B55" s="35" t="s">
        <v>192</v>
      </c>
      <c r="C55" s="36" t="s">
        <v>193</v>
      </c>
      <c r="D55" s="36" t="s">
        <v>68</v>
      </c>
      <c r="E55" s="36" t="s">
        <v>69</v>
      </c>
      <c r="F55" s="36" t="s">
        <v>47</v>
      </c>
      <c r="G55" s="37" t="s">
        <v>35</v>
      </c>
      <c r="H55" s="36" t="s">
        <v>23</v>
      </c>
      <c r="I55" s="38">
        <v>44562</v>
      </c>
      <c r="J55" s="39">
        <v>0</v>
      </c>
      <c r="K55" s="39">
        <f t="shared" si="2"/>
        <v>0</v>
      </c>
      <c r="L55" s="39">
        <v>0</v>
      </c>
      <c r="M55" s="40"/>
    </row>
    <row r="56" spans="1:13" s="41" customFormat="1" ht="22.7" customHeight="1" x14ac:dyDescent="0.25">
      <c r="A56" s="34">
        <f t="shared" si="3"/>
        <v>50</v>
      </c>
      <c r="B56" s="35" t="s">
        <v>194</v>
      </c>
      <c r="C56" s="36" t="s">
        <v>195</v>
      </c>
      <c r="D56" s="36" t="s">
        <v>196</v>
      </c>
      <c r="E56" s="36" t="s">
        <v>197</v>
      </c>
      <c r="F56" s="36" t="s">
        <v>198</v>
      </c>
      <c r="G56" s="37" t="s">
        <v>199</v>
      </c>
      <c r="H56" s="36" t="s">
        <v>30</v>
      </c>
      <c r="I56" s="38">
        <v>44349</v>
      </c>
      <c r="J56" s="39">
        <v>17.47</v>
      </c>
      <c r="K56" s="39">
        <f t="shared" si="2"/>
        <v>13.469999999999999</v>
      </c>
      <c r="L56" s="39">
        <v>4</v>
      </c>
      <c r="M56" s="40"/>
    </row>
    <row r="57" spans="1:13" s="41" customFormat="1" ht="22.7" customHeight="1" x14ac:dyDescent="0.25">
      <c r="A57" s="34">
        <f t="shared" si="3"/>
        <v>51</v>
      </c>
      <c r="B57" s="35" t="s">
        <v>200</v>
      </c>
      <c r="C57" s="36" t="s">
        <v>201</v>
      </c>
      <c r="D57" s="36" t="s">
        <v>112</v>
      </c>
      <c r="E57" s="36" t="s">
        <v>113</v>
      </c>
      <c r="F57" s="36" t="s">
        <v>57</v>
      </c>
      <c r="G57" s="37" t="s">
        <v>58</v>
      </c>
      <c r="H57" s="36" t="s">
        <v>30</v>
      </c>
      <c r="I57" s="38">
        <v>41883</v>
      </c>
      <c r="J57" s="39">
        <v>9.9700000000000006</v>
      </c>
      <c r="K57" s="39">
        <f t="shared" si="2"/>
        <v>9.9700000000000006</v>
      </c>
      <c r="L57" s="39">
        <v>0</v>
      </c>
      <c r="M57" s="40"/>
    </row>
    <row r="58" spans="1:13" s="41" customFormat="1" ht="22.7" customHeight="1" x14ac:dyDescent="0.25">
      <c r="A58" s="34">
        <f t="shared" si="3"/>
        <v>52</v>
      </c>
      <c r="B58" s="35" t="s">
        <v>202</v>
      </c>
      <c r="C58" s="36" t="s">
        <v>203</v>
      </c>
      <c r="D58" s="36" t="s">
        <v>68</v>
      </c>
      <c r="E58" s="36" t="s">
        <v>141</v>
      </c>
      <c r="F58" s="36" t="s">
        <v>57</v>
      </c>
      <c r="G58" s="37" t="s">
        <v>58</v>
      </c>
      <c r="H58" s="36" t="s">
        <v>30</v>
      </c>
      <c r="I58" s="38">
        <v>40848</v>
      </c>
      <c r="J58" s="39">
        <v>4.95</v>
      </c>
      <c r="K58" s="39">
        <f t="shared" si="2"/>
        <v>4.95</v>
      </c>
      <c r="L58" s="39">
        <v>0</v>
      </c>
      <c r="M58" s="40"/>
    </row>
    <row r="59" spans="1:13" s="41" customFormat="1" ht="22.7" customHeight="1" x14ac:dyDescent="0.25">
      <c r="A59" s="34">
        <f t="shared" si="3"/>
        <v>53</v>
      </c>
      <c r="B59" s="35" t="s">
        <v>204</v>
      </c>
      <c r="C59" s="36" t="s">
        <v>205</v>
      </c>
      <c r="D59" s="36" t="s">
        <v>26</v>
      </c>
      <c r="E59" s="36" t="s">
        <v>100</v>
      </c>
      <c r="F59" s="36" t="s">
        <v>101</v>
      </c>
      <c r="G59" s="37" t="s">
        <v>22</v>
      </c>
      <c r="H59" s="36" t="s">
        <v>23</v>
      </c>
      <c r="I59" s="38">
        <v>44866</v>
      </c>
      <c r="J59" s="39">
        <v>0</v>
      </c>
      <c r="K59" s="39">
        <f t="shared" si="2"/>
        <v>0</v>
      </c>
      <c r="L59" s="39">
        <v>0</v>
      </c>
      <c r="M59" s="40"/>
    </row>
    <row r="60" spans="1:13" s="41" customFormat="1" ht="22.7" customHeight="1" x14ac:dyDescent="0.25">
      <c r="A60" s="34">
        <f t="shared" si="3"/>
        <v>54</v>
      </c>
      <c r="B60" s="35" t="s">
        <v>206</v>
      </c>
      <c r="C60" s="36" t="s">
        <v>207</v>
      </c>
      <c r="D60" s="36" t="s">
        <v>72</v>
      </c>
      <c r="E60" s="36" t="s">
        <v>33</v>
      </c>
      <c r="F60" s="36" t="s">
        <v>34</v>
      </c>
      <c r="G60" s="37" t="s">
        <v>35</v>
      </c>
      <c r="H60" s="36" t="s">
        <v>30</v>
      </c>
      <c r="I60" s="38">
        <v>42430</v>
      </c>
      <c r="J60" s="39">
        <v>22.98</v>
      </c>
      <c r="K60" s="39">
        <f t="shared" si="2"/>
        <v>16.98</v>
      </c>
      <c r="L60" s="39">
        <v>6</v>
      </c>
      <c r="M60" s="40"/>
    </row>
    <row r="61" spans="1:13" s="41" customFormat="1" ht="22.7" customHeight="1" x14ac:dyDescent="0.25">
      <c r="A61" s="34">
        <f t="shared" si="3"/>
        <v>55</v>
      </c>
      <c r="B61" s="35" t="s">
        <v>208</v>
      </c>
      <c r="C61" s="36" t="s">
        <v>209</v>
      </c>
      <c r="D61" s="36" t="s">
        <v>116</v>
      </c>
      <c r="E61" s="36" t="s">
        <v>210</v>
      </c>
      <c r="F61" s="36" t="s">
        <v>47</v>
      </c>
      <c r="G61" s="37" t="s">
        <v>35</v>
      </c>
      <c r="H61" s="36" t="s">
        <v>30</v>
      </c>
      <c r="I61" s="38">
        <v>42675</v>
      </c>
      <c r="J61" s="39">
        <v>4.95</v>
      </c>
      <c r="K61" s="39">
        <f t="shared" si="2"/>
        <v>4.95</v>
      </c>
      <c r="L61" s="39">
        <v>0</v>
      </c>
      <c r="M61" s="40"/>
    </row>
    <row r="62" spans="1:13" s="41" customFormat="1" ht="22.7" customHeight="1" x14ac:dyDescent="0.25">
      <c r="A62" s="34">
        <f t="shared" si="3"/>
        <v>56</v>
      </c>
      <c r="B62" s="35" t="s">
        <v>211</v>
      </c>
      <c r="C62" s="36" t="s">
        <v>212</v>
      </c>
      <c r="D62" s="36" t="s">
        <v>112</v>
      </c>
      <c r="E62" s="36" t="s">
        <v>213</v>
      </c>
      <c r="F62" s="36" t="s">
        <v>47</v>
      </c>
      <c r="G62" s="37" t="s">
        <v>35</v>
      </c>
      <c r="H62" s="36" t="s">
        <v>23</v>
      </c>
      <c r="I62" s="38">
        <v>44562</v>
      </c>
      <c r="J62" s="39">
        <v>0</v>
      </c>
      <c r="K62" s="39">
        <f t="shared" si="2"/>
        <v>0</v>
      </c>
      <c r="L62" s="39">
        <v>0</v>
      </c>
      <c r="M62" s="40"/>
    </row>
    <row r="63" spans="1:13" s="41" customFormat="1" ht="22.7" customHeight="1" x14ac:dyDescent="0.25">
      <c r="A63" s="34">
        <f t="shared" si="3"/>
        <v>57</v>
      </c>
      <c r="B63" s="35" t="s">
        <v>214</v>
      </c>
      <c r="C63" s="36" t="s">
        <v>215</v>
      </c>
      <c r="D63" s="36" t="s">
        <v>116</v>
      </c>
      <c r="E63" s="36" t="s">
        <v>216</v>
      </c>
      <c r="F63" s="36" t="s">
        <v>47</v>
      </c>
      <c r="G63" s="37" t="s">
        <v>35</v>
      </c>
      <c r="H63" s="36" t="s">
        <v>23</v>
      </c>
      <c r="I63" s="38">
        <v>44562</v>
      </c>
      <c r="J63" s="39">
        <v>0</v>
      </c>
      <c r="K63" s="39">
        <f t="shared" si="2"/>
        <v>0</v>
      </c>
      <c r="L63" s="39">
        <v>0</v>
      </c>
      <c r="M63" s="40"/>
    </row>
    <row r="64" spans="1:13" s="41" customFormat="1" ht="22.7" customHeight="1" x14ac:dyDescent="0.25">
      <c r="A64" s="34">
        <f t="shared" si="3"/>
        <v>58</v>
      </c>
      <c r="B64" s="35" t="s">
        <v>525</v>
      </c>
      <c r="C64" s="36" t="s">
        <v>526</v>
      </c>
      <c r="D64" s="36" t="s">
        <v>45</v>
      </c>
      <c r="E64" s="36" t="s">
        <v>449</v>
      </c>
      <c r="F64" s="36" t="s">
        <v>47</v>
      </c>
      <c r="G64" s="37" t="s">
        <v>35</v>
      </c>
      <c r="H64" s="36" t="s">
        <v>30</v>
      </c>
      <c r="I64" s="38">
        <v>44805</v>
      </c>
      <c r="J64" s="39">
        <v>9.4700000000000006</v>
      </c>
      <c r="K64" s="39">
        <f t="shared" si="2"/>
        <v>9.4700000000000006</v>
      </c>
      <c r="L64" s="39">
        <v>0</v>
      </c>
      <c r="M64" s="40"/>
    </row>
    <row r="65" spans="1:13" s="41" customFormat="1" ht="22.7" customHeight="1" x14ac:dyDescent="0.25">
      <c r="A65" s="34">
        <f t="shared" si="3"/>
        <v>59</v>
      </c>
      <c r="B65" s="35" t="s">
        <v>217</v>
      </c>
      <c r="C65" s="36" t="s">
        <v>218</v>
      </c>
      <c r="D65" s="36" t="s">
        <v>45</v>
      </c>
      <c r="E65" s="36" t="s">
        <v>219</v>
      </c>
      <c r="F65" s="36" t="s">
        <v>47</v>
      </c>
      <c r="G65" s="37" t="s">
        <v>35</v>
      </c>
      <c r="H65" s="36" t="s">
        <v>23</v>
      </c>
      <c r="I65" s="38">
        <v>44562</v>
      </c>
      <c r="J65" s="39">
        <v>0</v>
      </c>
      <c r="K65" s="39">
        <f t="shared" si="2"/>
        <v>0</v>
      </c>
      <c r="L65" s="39">
        <v>0</v>
      </c>
      <c r="M65" s="40"/>
    </row>
    <row r="66" spans="1:13" s="41" customFormat="1" ht="22.7" customHeight="1" x14ac:dyDescent="0.25">
      <c r="A66" s="34">
        <f t="shared" si="3"/>
        <v>60</v>
      </c>
      <c r="B66" s="35" t="s">
        <v>220</v>
      </c>
      <c r="C66" s="36" t="s">
        <v>221</v>
      </c>
      <c r="D66" s="36" t="s">
        <v>85</v>
      </c>
      <c r="E66" s="36" t="s">
        <v>222</v>
      </c>
      <c r="F66" s="36" t="s">
        <v>40</v>
      </c>
      <c r="G66" s="37" t="s">
        <v>41</v>
      </c>
      <c r="H66" s="36" t="s">
        <v>23</v>
      </c>
      <c r="I66" s="38">
        <v>44562</v>
      </c>
      <c r="J66" s="39">
        <v>0</v>
      </c>
      <c r="K66" s="39">
        <f t="shared" si="2"/>
        <v>0</v>
      </c>
      <c r="L66" s="39">
        <v>0</v>
      </c>
      <c r="M66" s="40"/>
    </row>
    <row r="67" spans="1:13" s="41" customFormat="1" ht="22.7" customHeight="1" x14ac:dyDescent="0.25">
      <c r="A67" s="34">
        <f t="shared" si="3"/>
        <v>61</v>
      </c>
      <c r="B67" s="35" t="s">
        <v>223</v>
      </c>
      <c r="C67" s="36" t="s">
        <v>224</v>
      </c>
      <c r="D67" s="36" t="s">
        <v>225</v>
      </c>
      <c r="E67" s="36" t="s">
        <v>226</v>
      </c>
      <c r="F67" s="36" t="s">
        <v>57</v>
      </c>
      <c r="G67" s="37" t="s">
        <v>58</v>
      </c>
      <c r="H67" s="36" t="s">
        <v>23</v>
      </c>
      <c r="I67" s="38">
        <v>44562</v>
      </c>
      <c r="J67" s="39">
        <v>0</v>
      </c>
      <c r="K67" s="39">
        <f t="shared" si="2"/>
        <v>0</v>
      </c>
      <c r="L67" s="39">
        <v>0</v>
      </c>
      <c r="M67" s="40"/>
    </row>
    <row r="68" spans="1:13" s="41" customFormat="1" ht="22.7" customHeight="1" x14ac:dyDescent="0.25">
      <c r="A68" s="34">
        <f t="shared" si="3"/>
        <v>62</v>
      </c>
      <c r="B68" s="35" t="s">
        <v>227</v>
      </c>
      <c r="C68" s="36" t="s">
        <v>228</v>
      </c>
      <c r="D68" s="36" t="s">
        <v>85</v>
      </c>
      <c r="E68" s="36" t="s">
        <v>222</v>
      </c>
      <c r="F68" s="36" t="s">
        <v>40</v>
      </c>
      <c r="G68" s="37" t="s">
        <v>41</v>
      </c>
      <c r="H68" s="36" t="s">
        <v>23</v>
      </c>
      <c r="I68" s="38">
        <v>44562</v>
      </c>
      <c r="J68" s="39">
        <v>0</v>
      </c>
      <c r="K68" s="39">
        <f t="shared" si="2"/>
        <v>0</v>
      </c>
      <c r="L68" s="39">
        <v>0</v>
      </c>
      <c r="M68" s="40"/>
    </row>
    <row r="69" spans="1:13" s="41" customFormat="1" ht="22.7" customHeight="1" x14ac:dyDescent="0.25">
      <c r="A69" s="34">
        <f t="shared" si="3"/>
        <v>63</v>
      </c>
      <c r="B69" s="35" t="s">
        <v>229</v>
      </c>
      <c r="C69" s="36" t="s">
        <v>230</v>
      </c>
      <c r="D69" s="36" t="s">
        <v>26</v>
      </c>
      <c r="E69" s="36" t="s">
        <v>100</v>
      </c>
      <c r="F69" s="36" t="s">
        <v>101</v>
      </c>
      <c r="G69" s="37" t="s">
        <v>22</v>
      </c>
      <c r="H69" s="36" t="s">
        <v>23</v>
      </c>
      <c r="I69" s="38">
        <v>44562</v>
      </c>
      <c r="J69" s="39">
        <v>0</v>
      </c>
      <c r="K69" s="39">
        <f t="shared" si="2"/>
        <v>0</v>
      </c>
      <c r="L69" s="39">
        <v>0</v>
      </c>
      <c r="M69" s="40"/>
    </row>
    <row r="70" spans="1:13" s="41" customFormat="1" ht="22.7" customHeight="1" x14ac:dyDescent="0.25">
      <c r="A70" s="34">
        <f t="shared" si="3"/>
        <v>64</v>
      </c>
      <c r="B70" s="35" t="s">
        <v>231</v>
      </c>
      <c r="C70" s="36" t="s">
        <v>232</v>
      </c>
      <c r="D70" s="36" t="s">
        <v>68</v>
      </c>
      <c r="E70" s="36" t="s">
        <v>233</v>
      </c>
      <c r="F70" s="36" t="s">
        <v>47</v>
      </c>
      <c r="G70" s="37" t="s">
        <v>35</v>
      </c>
      <c r="H70" s="36" t="s">
        <v>30</v>
      </c>
      <c r="I70" s="38">
        <v>42278</v>
      </c>
      <c r="J70" s="39">
        <v>7.5</v>
      </c>
      <c r="K70" s="39">
        <f t="shared" si="2"/>
        <v>7.5</v>
      </c>
      <c r="L70" s="39">
        <v>0</v>
      </c>
      <c r="M70" s="40"/>
    </row>
    <row r="71" spans="1:13" s="41" customFormat="1" ht="22.7" customHeight="1" x14ac:dyDescent="0.25">
      <c r="A71" s="34">
        <f t="shared" si="3"/>
        <v>65</v>
      </c>
      <c r="B71" s="35" t="s">
        <v>234</v>
      </c>
      <c r="C71" s="36" t="s">
        <v>235</v>
      </c>
      <c r="D71" s="36" t="s">
        <v>72</v>
      </c>
      <c r="E71" s="36" t="s">
        <v>73</v>
      </c>
      <c r="F71" s="36" t="s">
        <v>74</v>
      </c>
      <c r="G71" s="37" t="s">
        <v>75</v>
      </c>
      <c r="H71" s="36" t="s">
        <v>30</v>
      </c>
      <c r="I71" s="38">
        <v>44470</v>
      </c>
      <c r="J71" s="39">
        <v>2.8</v>
      </c>
      <c r="K71" s="39">
        <f t="shared" si="2"/>
        <v>2.8</v>
      </c>
      <c r="L71" s="39">
        <v>0</v>
      </c>
      <c r="M71" s="40"/>
    </row>
    <row r="72" spans="1:13" s="41" customFormat="1" ht="22.7" customHeight="1" x14ac:dyDescent="0.25">
      <c r="A72" s="34">
        <f t="shared" ref="A72:A103" si="4">SUM(A71:A71+1)</f>
        <v>66</v>
      </c>
      <c r="B72" s="35" t="s">
        <v>236</v>
      </c>
      <c r="C72" s="36" t="s">
        <v>237</v>
      </c>
      <c r="D72" s="36" t="s">
        <v>72</v>
      </c>
      <c r="E72" s="36" t="s">
        <v>73</v>
      </c>
      <c r="F72" s="36" t="s">
        <v>74</v>
      </c>
      <c r="G72" s="37" t="s">
        <v>75</v>
      </c>
      <c r="H72" s="36" t="s">
        <v>30</v>
      </c>
      <c r="I72" s="38">
        <v>44470</v>
      </c>
      <c r="J72" s="39">
        <v>0</v>
      </c>
      <c r="K72" s="39">
        <f t="shared" si="2"/>
        <v>0</v>
      </c>
      <c r="L72" s="39">
        <v>0</v>
      </c>
      <c r="M72" s="40"/>
    </row>
    <row r="73" spans="1:13" s="41" customFormat="1" ht="22.7" customHeight="1" x14ac:dyDescent="0.25">
      <c r="A73" s="34">
        <f t="shared" si="4"/>
        <v>67</v>
      </c>
      <c r="B73" s="35" t="s">
        <v>238</v>
      </c>
      <c r="C73" s="36" t="s">
        <v>239</v>
      </c>
      <c r="D73" s="36" t="s">
        <v>45</v>
      </c>
      <c r="E73" s="36" t="s">
        <v>240</v>
      </c>
      <c r="F73" s="36" t="s">
        <v>47</v>
      </c>
      <c r="G73" s="37" t="s">
        <v>35</v>
      </c>
      <c r="H73" s="36" t="s">
        <v>30</v>
      </c>
      <c r="I73" s="38">
        <v>41699</v>
      </c>
      <c r="J73" s="39">
        <v>7.76</v>
      </c>
      <c r="K73" s="39">
        <f t="shared" si="2"/>
        <v>7.76</v>
      </c>
      <c r="L73" s="39">
        <v>0</v>
      </c>
      <c r="M73" s="40"/>
    </row>
    <row r="74" spans="1:13" s="41" customFormat="1" ht="22.7" customHeight="1" x14ac:dyDescent="0.25">
      <c r="A74" s="34">
        <f t="shared" si="4"/>
        <v>68</v>
      </c>
      <c r="B74" s="35" t="s">
        <v>241</v>
      </c>
      <c r="C74" s="36" t="s">
        <v>242</v>
      </c>
      <c r="D74" s="36" t="s">
        <v>68</v>
      </c>
      <c r="E74" s="36" t="s">
        <v>233</v>
      </c>
      <c r="F74" s="36" t="s">
        <v>47</v>
      </c>
      <c r="G74" s="37" t="s">
        <v>35</v>
      </c>
      <c r="H74" s="36" t="s">
        <v>23</v>
      </c>
      <c r="I74" s="38">
        <v>44562</v>
      </c>
      <c r="J74" s="39">
        <v>1.32</v>
      </c>
      <c r="K74" s="39">
        <f t="shared" si="2"/>
        <v>1.32</v>
      </c>
      <c r="L74" s="39">
        <v>0</v>
      </c>
      <c r="M74" s="40"/>
    </row>
    <row r="75" spans="1:13" s="41" customFormat="1" ht="22.7" customHeight="1" x14ac:dyDescent="0.25">
      <c r="A75" s="34">
        <f t="shared" si="4"/>
        <v>69</v>
      </c>
      <c r="B75" s="35" t="s">
        <v>243</v>
      </c>
      <c r="C75" s="36" t="s">
        <v>244</v>
      </c>
      <c r="D75" s="36" t="s">
        <v>26</v>
      </c>
      <c r="E75" s="36" t="s">
        <v>245</v>
      </c>
      <c r="F75" s="36" t="s">
        <v>34</v>
      </c>
      <c r="G75" s="37" t="s">
        <v>35</v>
      </c>
      <c r="H75" s="36" t="s">
        <v>30</v>
      </c>
      <c r="I75" s="38">
        <v>42767</v>
      </c>
      <c r="J75" s="39">
        <v>27.45</v>
      </c>
      <c r="K75" s="39">
        <f t="shared" si="2"/>
        <v>21.45</v>
      </c>
      <c r="L75" s="39">
        <v>6</v>
      </c>
      <c r="M75" s="40"/>
    </row>
    <row r="76" spans="1:13" s="41" customFormat="1" ht="22.7" customHeight="1" x14ac:dyDescent="0.25">
      <c r="A76" s="34">
        <f t="shared" si="4"/>
        <v>70</v>
      </c>
      <c r="B76" s="35" t="s">
        <v>246</v>
      </c>
      <c r="C76" s="36" t="s">
        <v>247</v>
      </c>
      <c r="D76" s="36" t="s">
        <v>26</v>
      </c>
      <c r="E76" s="36" t="s">
        <v>100</v>
      </c>
      <c r="F76" s="36" t="s">
        <v>101</v>
      </c>
      <c r="G76" s="37" t="s">
        <v>22</v>
      </c>
      <c r="H76" s="36" t="s">
        <v>23</v>
      </c>
      <c r="I76" s="38">
        <v>44562</v>
      </c>
      <c r="J76" s="39">
        <v>0</v>
      </c>
      <c r="K76" s="39">
        <f t="shared" si="2"/>
        <v>0</v>
      </c>
      <c r="L76" s="39">
        <v>0</v>
      </c>
      <c r="M76" s="40"/>
    </row>
    <row r="77" spans="1:13" s="41" customFormat="1" ht="22.7" customHeight="1" x14ac:dyDescent="0.25">
      <c r="A77" s="34">
        <f t="shared" si="4"/>
        <v>71</v>
      </c>
      <c r="B77" s="35" t="s">
        <v>252</v>
      </c>
      <c r="C77" s="36" t="s">
        <v>253</v>
      </c>
      <c r="D77" s="36" t="s">
        <v>55</v>
      </c>
      <c r="E77" s="36" t="s">
        <v>254</v>
      </c>
      <c r="F77" s="36" t="s">
        <v>28</v>
      </c>
      <c r="G77" s="37" t="s">
        <v>29</v>
      </c>
      <c r="H77" s="36" t="s">
        <v>30</v>
      </c>
      <c r="I77" s="38">
        <v>36526</v>
      </c>
      <c r="J77" s="39">
        <v>0</v>
      </c>
      <c r="K77" s="39">
        <f t="shared" si="2"/>
        <v>0</v>
      </c>
      <c r="L77" s="39">
        <v>0</v>
      </c>
      <c r="M77" s="40"/>
    </row>
    <row r="78" spans="1:13" s="41" customFormat="1" ht="22.7" customHeight="1" x14ac:dyDescent="0.25">
      <c r="A78" s="34">
        <f t="shared" si="4"/>
        <v>72</v>
      </c>
      <c r="B78" s="35" t="s">
        <v>255</v>
      </c>
      <c r="C78" s="36" t="s">
        <v>256</v>
      </c>
      <c r="D78" s="36" t="s">
        <v>45</v>
      </c>
      <c r="E78" s="36" t="s">
        <v>61</v>
      </c>
      <c r="F78" s="36" t="s">
        <v>21</v>
      </c>
      <c r="G78" s="37" t="s">
        <v>22</v>
      </c>
      <c r="H78" s="36" t="s">
        <v>30</v>
      </c>
      <c r="I78" s="38">
        <v>42156</v>
      </c>
      <c r="J78" s="39">
        <v>17.55</v>
      </c>
      <c r="K78" s="39">
        <f t="shared" si="2"/>
        <v>13.55</v>
      </c>
      <c r="L78" s="39">
        <v>4</v>
      </c>
      <c r="M78" s="40"/>
    </row>
    <row r="79" spans="1:13" s="41" customFormat="1" ht="22.7" customHeight="1" x14ac:dyDescent="0.25">
      <c r="A79" s="34">
        <f t="shared" si="4"/>
        <v>73</v>
      </c>
      <c r="B79" s="35" t="s">
        <v>257</v>
      </c>
      <c r="C79" s="36" t="s">
        <v>258</v>
      </c>
      <c r="D79" s="36" t="s">
        <v>179</v>
      </c>
      <c r="E79" s="36" t="s">
        <v>141</v>
      </c>
      <c r="F79" s="36" t="s">
        <v>57</v>
      </c>
      <c r="G79" s="37" t="s">
        <v>58</v>
      </c>
      <c r="H79" s="36" t="s">
        <v>23</v>
      </c>
      <c r="I79" s="38">
        <v>44562</v>
      </c>
      <c r="J79" s="39">
        <v>0</v>
      </c>
      <c r="K79" s="39">
        <f t="shared" si="2"/>
        <v>0</v>
      </c>
      <c r="L79" s="39">
        <v>0</v>
      </c>
      <c r="M79" s="40"/>
    </row>
    <row r="80" spans="1:13" s="41" customFormat="1" ht="22.7" customHeight="1" x14ac:dyDescent="0.25">
      <c r="A80" s="34">
        <f t="shared" si="4"/>
        <v>74</v>
      </c>
      <c r="B80" s="35" t="s">
        <v>259</v>
      </c>
      <c r="C80" s="36" t="s">
        <v>260</v>
      </c>
      <c r="D80" s="36" t="s">
        <v>154</v>
      </c>
      <c r="E80" s="36" t="s">
        <v>155</v>
      </c>
      <c r="F80" s="36" t="s">
        <v>40</v>
      </c>
      <c r="G80" s="37" t="s">
        <v>41</v>
      </c>
      <c r="H80" s="36" t="s">
        <v>30</v>
      </c>
      <c r="I80" s="38">
        <v>44440</v>
      </c>
      <c r="J80" s="39">
        <v>6.99</v>
      </c>
      <c r="K80" s="39">
        <v>6.99</v>
      </c>
      <c r="L80" s="39">
        <v>0</v>
      </c>
      <c r="M80" s="40"/>
    </row>
    <row r="81" spans="1:13" s="41" customFormat="1" ht="22.7" customHeight="1" x14ac:dyDescent="0.25">
      <c r="A81" s="34">
        <f t="shared" si="4"/>
        <v>75</v>
      </c>
      <c r="B81" s="35" t="s">
        <v>261</v>
      </c>
      <c r="C81" s="36" t="s">
        <v>262</v>
      </c>
      <c r="D81" s="36" t="s">
        <v>45</v>
      </c>
      <c r="E81" s="36" t="s">
        <v>263</v>
      </c>
      <c r="F81" s="36" t="s">
        <v>264</v>
      </c>
      <c r="G81" s="37" t="s">
        <v>265</v>
      </c>
      <c r="H81" s="36" t="s">
        <v>23</v>
      </c>
      <c r="I81" s="38">
        <v>44562</v>
      </c>
      <c r="J81" s="39">
        <v>0</v>
      </c>
      <c r="K81" s="39">
        <f t="shared" ref="K81:K123" si="5">J81-L81</f>
        <v>0</v>
      </c>
      <c r="L81" s="39">
        <v>0</v>
      </c>
      <c r="M81" s="40"/>
    </row>
    <row r="82" spans="1:13" s="41" customFormat="1" ht="22.7" customHeight="1" x14ac:dyDescent="0.25">
      <c r="A82" s="34">
        <f t="shared" si="4"/>
        <v>76</v>
      </c>
      <c r="B82" s="35" t="s">
        <v>266</v>
      </c>
      <c r="C82" s="36" t="s">
        <v>267</v>
      </c>
      <c r="D82" s="36" t="s">
        <v>72</v>
      </c>
      <c r="E82" s="36" t="s">
        <v>73</v>
      </c>
      <c r="F82" s="36" t="s">
        <v>74</v>
      </c>
      <c r="G82" s="37" t="s">
        <v>75</v>
      </c>
      <c r="H82" s="36" t="s">
        <v>30</v>
      </c>
      <c r="I82" s="38">
        <v>44835</v>
      </c>
      <c r="J82" s="39">
        <v>0</v>
      </c>
      <c r="K82" s="39">
        <f t="shared" si="5"/>
        <v>0</v>
      </c>
      <c r="L82" s="39">
        <v>0</v>
      </c>
      <c r="M82" s="40"/>
    </row>
    <row r="83" spans="1:13" s="41" customFormat="1" ht="22.7" customHeight="1" x14ac:dyDescent="0.25">
      <c r="A83" s="34">
        <f t="shared" si="4"/>
        <v>77</v>
      </c>
      <c r="B83" s="35" t="s">
        <v>268</v>
      </c>
      <c r="C83" s="36" t="s">
        <v>269</v>
      </c>
      <c r="D83" s="36" t="s">
        <v>161</v>
      </c>
      <c r="E83" s="36" t="s">
        <v>162</v>
      </c>
      <c r="F83" s="36" t="s">
        <v>57</v>
      </c>
      <c r="G83" s="37" t="s">
        <v>58</v>
      </c>
      <c r="H83" s="36" t="s">
        <v>30</v>
      </c>
      <c r="I83" s="38">
        <v>44470</v>
      </c>
      <c r="J83" s="39">
        <v>0</v>
      </c>
      <c r="K83" s="39">
        <f t="shared" si="5"/>
        <v>0</v>
      </c>
      <c r="L83" s="39">
        <v>0</v>
      </c>
      <c r="M83" s="40"/>
    </row>
    <row r="84" spans="1:13" s="41" customFormat="1" ht="22.7" customHeight="1" x14ac:dyDescent="0.25">
      <c r="A84" s="34">
        <f t="shared" si="4"/>
        <v>78</v>
      </c>
      <c r="B84" s="35" t="s">
        <v>270</v>
      </c>
      <c r="C84" s="36" t="s">
        <v>271</v>
      </c>
      <c r="D84" s="36" t="s">
        <v>64</v>
      </c>
      <c r="E84" s="36" t="s">
        <v>65</v>
      </c>
      <c r="F84" s="36" t="s">
        <v>47</v>
      </c>
      <c r="G84" s="37" t="s">
        <v>35</v>
      </c>
      <c r="H84" s="36" t="s">
        <v>30</v>
      </c>
      <c r="I84" s="38">
        <v>43922</v>
      </c>
      <c r="J84" s="39">
        <v>22.58</v>
      </c>
      <c r="K84" s="39">
        <f t="shared" si="5"/>
        <v>16.579999999999998</v>
      </c>
      <c r="L84" s="39">
        <v>6</v>
      </c>
      <c r="M84" s="40"/>
    </row>
    <row r="85" spans="1:13" s="41" customFormat="1" ht="22.7" customHeight="1" x14ac:dyDescent="0.25">
      <c r="A85" s="34">
        <f t="shared" si="4"/>
        <v>79</v>
      </c>
      <c r="B85" s="35" t="s">
        <v>274</v>
      </c>
      <c r="C85" s="36" t="s">
        <v>275</v>
      </c>
      <c r="D85" s="36" t="s">
        <v>45</v>
      </c>
      <c r="E85" s="36" t="s">
        <v>276</v>
      </c>
      <c r="F85" s="36" t="s">
        <v>277</v>
      </c>
      <c r="G85" s="37" t="s">
        <v>75</v>
      </c>
      <c r="H85" s="36" t="s">
        <v>30</v>
      </c>
      <c r="I85" s="38">
        <v>42006</v>
      </c>
      <c r="J85" s="39">
        <v>0.34</v>
      </c>
      <c r="K85" s="39">
        <f t="shared" si="5"/>
        <v>0.34</v>
      </c>
      <c r="L85" s="39">
        <v>0</v>
      </c>
      <c r="M85" s="40"/>
    </row>
    <row r="86" spans="1:13" s="41" customFormat="1" ht="22.7" customHeight="1" x14ac:dyDescent="0.25">
      <c r="A86" s="34">
        <f t="shared" si="4"/>
        <v>80</v>
      </c>
      <c r="B86" s="35" t="s">
        <v>278</v>
      </c>
      <c r="C86" s="36" t="s">
        <v>279</v>
      </c>
      <c r="D86" s="36" t="s">
        <v>120</v>
      </c>
      <c r="E86" s="36" t="s">
        <v>280</v>
      </c>
      <c r="F86" s="36" t="s">
        <v>47</v>
      </c>
      <c r="G86" s="37" t="s">
        <v>35</v>
      </c>
      <c r="H86" s="36" t="s">
        <v>30</v>
      </c>
      <c r="I86" s="38">
        <v>42278</v>
      </c>
      <c r="J86" s="39">
        <v>7.5</v>
      </c>
      <c r="K86" s="39">
        <f t="shared" si="5"/>
        <v>7.5</v>
      </c>
      <c r="L86" s="39">
        <v>0</v>
      </c>
      <c r="M86" s="40"/>
    </row>
    <row r="87" spans="1:13" s="41" customFormat="1" ht="22.7" customHeight="1" x14ac:dyDescent="0.25">
      <c r="A87" s="34">
        <f t="shared" si="4"/>
        <v>81</v>
      </c>
      <c r="B87" s="35" t="s">
        <v>281</v>
      </c>
      <c r="C87" s="36" t="s">
        <v>282</v>
      </c>
      <c r="D87" s="36" t="s">
        <v>112</v>
      </c>
      <c r="E87" s="36" t="s">
        <v>283</v>
      </c>
      <c r="F87" s="36" t="s">
        <v>57</v>
      </c>
      <c r="G87" s="37" t="s">
        <v>58</v>
      </c>
      <c r="H87" s="36" t="s">
        <v>23</v>
      </c>
      <c r="I87" s="38">
        <v>44562</v>
      </c>
      <c r="J87" s="39">
        <v>0</v>
      </c>
      <c r="K87" s="39">
        <f t="shared" si="5"/>
        <v>0</v>
      </c>
      <c r="L87" s="39">
        <v>0</v>
      </c>
      <c r="M87" s="40"/>
    </row>
    <row r="88" spans="1:13" s="41" customFormat="1" ht="22.7" customHeight="1" x14ac:dyDescent="0.25">
      <c r="A88" s="34">
        <f t="shared" si="4"/>
        <v>82</v>
      </c>
      <c r="B88" s="35" t="s">
        <v>284</v>
      </c>
      <c r="C88" s="36" t="s">
        <v>285</v>
      </c>
      <c r="D88" s="36" t="s">
        <v>26</v>
      </c>
      <c r="E88" s="36" t="s">
        <v>145</v>
      </c>
      <c r="F88" s="36" t="s">
        <v>57</v>
      </c>
      <c r="G88" s="37" t="s">
        <v>58</v>
      </c>
      <c r="H88" s="36" t="s">
        <v>30</v>
      </c>
      <c r="I88" s="38">
        <v>32905</v>
      </c>
      <c r="J88" s="39">
        <v>12.4</v>
      </c>
      <c r="K88" s="39">
        <f t="shared" si="5"/>
        <v>12.4</v>
      </c>
      <c r="L88" s="39">
        <v>0</v>
      </c>
      <c r="M88" s="40"/>
    </row>
    <row r="89" spans="1:13" s="41" customFormat="1" ht="22.7" customHeight="1" x14ac:dyDescent="0.25">
      <c r="A89" s="34">
        <f t="shared" si="4"/>
        <v>83</v>
      </c>
      <c r="B89" s="35" t="s">
        <v>286</v>
      </c>
      <c r="C89" s="36" t="s">
        <v>287</v>
      </c>
      <c r="D89" s="36" t="s">
        <v>26</v>
      </c>
      <c r="E89" s="36" t="s">
        <v>33</v>
      </c>
      <c r="F89" s="36" t="s">
        <v>34</v>
      </c>
      <c r="G89" s="37" t="s">
        <v>35</v>
      </c>
      <c r="H89" s="36" t="s">
        <v>30</v>
      </c>
      <c r="I89" s="38">
        <v>43101</v>
      </c>
      <c r="J89" s="39">
        <v>0</v>
      </c>
      <c r="K89" s="39">
        <f t="shared" si="5"/>
        <v>0</v>
      </c>
      <c r="L89" s="39">
        <v>0</v>
      </c>
      <c r="M89" s="40"/>
    </row>
    <row r="90" spans="1:13" s="41" customFormat="1" ht="22.7" customHeight="1" x14ac:dyDescent="0.25">
      <c r="A90" s="34">
        <f t="shared" si="4"/>
        <v>84</v>
      </c>
      <c r="B90" s="35" t="s">
        <v>288</v>
      </c>
      <c r="C90" s="36" t="s">
        <v>289</v>
      </c>
      <c r="D90" s="36" t="s">
        <v>26</v>
      </c>
      <c r="E90" s="36" t="s">
        <v>100</v>
      </c>
      <c r="F90" s="36" t="s">
        <v>101</v>
      </c>
      <c r="G90" s="37" t="s">
        <v>22</v>
      </c>
      <c r="H90" s="36" t="s">
        <v>23</v>
      </c>
      <c r="I90" s="38">
        <v>44562</v>
      </c>
      <c r="J90" s="39">
        <v>0</v>
      </c>
      <c r="K90" s="39">
        <f t="shared" si="5"/>
        <v>0</v>
      </c>
      <c r="L90" s="39">
        <v>0</v>
      </c>
      <c r="M90" s="40"/>
    </row>
    <row r="91" spans="1:13" s="41" customFormat="1" ht="22.7" customHeight="1" x14ac:dyDescent="0.25">
      <c r="A91" s="34">
        <f t="shared" si="4"/>
        <v>85</v>
      </c>
      <c r="B91" s="35" t="s">
        <v>290</v>
      </c>
      <c r="C91" s="36" t="s">
        <v>291</v>
      </c>
      <c r="D91" s="36" t="s">
        <v>112</v>
      </c>
      <c r="E91" s="36" t="s">
        <v>113</v>
      </c>
      <c r="F91" s="36" t="s">
        <v>57</v>
      </c>
      <c r="G91" s="37" t="s">
        <v>58</v>
      </c>
      <c r="H91" s="36" t="s">
        <v>23</v>
      </c>
      <c r="I91" s="38">
        <v>44562</v>
      </c>
      <c r="J91" s="39">
        <v>0</v>
      </c>
      <c r="K91" s="39">
        <f t="shared" si="5"/>
        <v>0</v>
      </c>
      <c r="L91" s="39">
        <v>0</v>
      </c>
      <c r="M91" s="40"/>
    </row>
    <row r="92" spans="1:13" s="41" customFormat="1" ht="22.7" customHeight="1" x14ac:dyDescent="0.25">
      <c r="A92" s="34">
        <f t="shared" si="4"/>
        <v>86</v>
      </c>
      <c r="B92" s="35" t="s">
        <v>292</v>
      </c>
      <c r="C92" s="36" t="s">
        <v>293</v>
      </c>
      <c r="D92" s="36" t="s">
        <v>45</v>
      </c>
      <c r="E92" s="36" t="s">
        <v>294</v>
      </c>
      <c r="F92" s="36" t="s">
        <v>47</v>
      </c>
      <c r="G92" s="37" t="s">
        <v>35</v>
      </c>
      <c r="H92" s="36" t="s">
        <v>30</v>
      </c>
      <c r="I92" s="38">
        <v>43831</v>
      </c>
      <c r="J92" s="39">
        <v>0</v>
      </c>
      <c r="K92" s="39">
        <f t="shared" si="5"/>
        <v>0</v>
      </c>
      <c r="L92" s="39">
        <v>0</v>
      </c>
      <c r="M92" s="40"/>
    </row>
    <row r="93" spans="1:13" s="41" customFormat="1" ht="22.7" customHeight="1" x14ac:dyDescent="0.25">
      <c r="A93" s="34">
        <f t="shared" si="4"/>
        <v>87</v>
      </c>
      <c r="B93" s="35" t="s">
        <v>295</v>
      </c>
      <c r="C93" s="36" t="s">
        <v>296</v>
      </c>
      <c r="D93" s="36" t="s">
        <v>297</v>
      </c>
      <c r="E93" s="36" t="s">
        <v>298</v>
      </c>
      <c r="F93" s="36" t="s">
        <v>57</v>
      </c>
      <c r="G93" s="37" t="s">
        <v>58</v>
      </c>
      <c r="H93" s="36" t="s">
        <v>23</v>
      </c>
      <c r="I93" s="38">
        <v>44562</v>
      </c>
      <c r="J93" s="39">
        <v>0</v>
      </c>
      <c r="K93" s="39">
        <f t="shared" si="5"/>
        <v>0</v>
      </c>
      <c r="L93" s="39">
        <v>0</v>
      </c>
      <c r="M93" s="40"/>
    </row>
    <row r="94" spans="1:13" s="41" customFormat="1" ht="22.7" customHeight="1" x14ac:dyDescent="0.25">
      <c r="A94" s="34">
        <f t="shared" si="4"/>
        <v>88</v>
      </c>
      <c r="B94" s="35" t="s">
        <v>299</v>
      </c>
      <c r="C94" s="36" t="s">
        <v>300</v>
      </c>
      <c r="D94" s="36" t="s">
        <v>26</v>
      </c>
      <c r="E94" s="36" t="s">
        <v>33</v>
      </c>
      <c r="F94" s="36" t="s">
        <v>34</v>
      </c>
      <c r="G94" s="37" t="s">
        <v>35</v>
      </c>
      <c r="H94" s="36" t="s">
        <v>30</v>
      </c>
      <c r="I94" s="38">
        <v>42767</v>
      </c>
      <c r="J94" s="39">
        <v>10.28</v>
      </c>
      <c r="K94" s="39">
        <f t="shared" si="5"/>
        <v>10.28</v>
      </c>
      <c r="L94" s="39">
        <v>0</v>
      </c>
      <c r="M94" s="40"/>
    </row>
    <row r="95" spans="1:13" s="41" customFormat="1" ht="22.7" customHeight="1" x14ac:dyDescent="0.25">
      <c r="A95" s="34">
        <f t="shared" si="4"/>
        <v>89</v>
      </c>
      <c r="B95" s="35" t="s">
        <v>301</v>
      </c>
      <c r="C95" s="36" t="s">
        <v>302</v>
      </c>
      <c r="D95" s="36" t="s">
        <v>161</v>
      </c>
      <c r="E95" s="36" t="s">
        <v>298</v>
      </c>
      <c r="F95" s="36" t="s">
        <v>57</v>
      </c>
      <c r="G95" s="37" t="s">
        <v>58</v>
      </c>
      <c r="H95" s="36" t="s">
        <v>30</v>
      </c>
      <c r="I95" s="38">
        <v>42287</v>
      </c>
      <c r="J95" s="39">
        <v>7.5</v>
      </c>
      <c r="K95" s="39">
        <f t="shared" si="5"/>
        <v>7.5</v>
      </c>
      <c r="L95" s="39">
        <v>0</v>
      </c>
      <c r="M95" s="40"/>
    </row>
    <row r="96" spans="1:13" s="41" customFormat="1" ht="22.7" customHeight="1" x14ac:dyDescent="0.25">
      <c r="A96" s="34">
        <f t="shared" si="4"/>
        <v>90</v>
      </c>
      <c r="B96" s="35" t="s">
        <v>303</v>
      </c>
      <c r="C96" s="36" t="s">
        <v>304</v>
      </c>
      <c r="D96" s="36" t="s">
        <v>26</v>
      </c>
      <c r="E96" s="36" t="s">
        <v>33</v>
      </c>
      <c r="F96" s="36" t="s">
        <v>34</v>
      </c>
      <c r="G96" s="37" t="s">
        <v>35</v>
      </c>
      <c r="H96" s="36" t="s">
        <v>30</v>
      </c>
      <c r="I96" s="38">
        <v>42064</v>
      </c>
      <c r="J96" s="39">
        <v>5.84</v>
      </c>
      <c r="K96" s="39">
        <f t="shared" si="5"/>
        <v>5.84</v>
      </c>
      <c r="L96" s="39">
        <v>0</v>
      </c>
      <c r="M96" s="40"/>
    </row>
    <row r="97" spans="1:49" s="41" customFormat="1" ht="22.7" customHeight="1" x14ac:dyDescent="0.25">
      <c r="A97" s="34">
        <f t="shared" si="4"/>
        <v>91</v>
      </c>
      <c r="B97" s="35" t="s">
        <v>305</v>
      </c>
      <c r="C97" s="36" t="s">
        <v>306</v>
      </c>
      <c r="D97" s="36" t="s">
        <v>85</v>
      </c>
      <c r="E97" s="36" t="s">
        <v>86</v>
      </c>
      <c r="F97" s="36" t="s">
        <v>34</v>
      </c>
      <c r="G97" s="37" t="s">
        <v>35</v>
      </c>
      <c r="H97" s="36" t="s">
        <v>23</v>
      </c>
      <c r="I97" s="38">
        <v>40909</v>
      </c>
      <c r="J97" s="39">
        <v>0</v>
      </c>
      <c r="K97" s="39">
        <f t="shared" si="5"/>
        <v>0</v>
      </c>
      <c r="L97" s="39">
        <v>0</v>
      </c>
      <c r="M97" s="40"/>
    </row>
    <row r="98" spans="1:49" s="41" customFormat="1" ht="22.7" customHeight="1" x14ac:dyDescent="0.25">
      <c r="A98" s="34">
        <f t="shared" si="4"/>
        <v>92</v>
      </c>
      <c r="B98" s="35" t="s">
        <v>307</v>
      </c>
      <c r="C98" s="36" t="s">
        <v>308</v>
      </c>
      <c r="D98" s="36" t="s">
        <v>45</v>
      </c>
      <c r="E98" s="36" t="s">
        <v>309</v>
      </c>
      <c r="F98" s="36" t="s">
        <v>47</v>
      </c>
      <c r="G98" s="37" t="s">
        <v>35</v>
      </c>
      <c r="H98" s="36" t="s">
        <v>30</v>
      </c>
      <c r="I98" s="38">
        <v>44531</v>
      </c>
      <c r="J98" s="39">
        <v>2.4700000000000002</v>
      </c>
      <c r="K98" s="39">
        <f t="shared" si="5"/>
        <v>2.4700000000000002</v>
      </c>
      <c r="L98" s="39">
        <v>0</v>
      </c>
      <c r="M98" s="40"/>
    </row>
    <row r="99" spans="1:49" s="41" customFormat="1" ht="22.7" customHeight="1" x14ac:dyDescent="0.25">
      <c r="A99" s="34">
        <f t="shared" si="4"/>
        <v>93</v>
      </c>
      <c r="B99" s="35" t="s">
        <v>310</v>
      </c>
      <c r="C99" s="36" t="s">
        <v>311</v>
      </c>
      <c r="D99" s="36" t="s">
        <v>45</v>
      </c>
      <c r="E99" s="36" t="s">
        <v>240</v>
      </c>
      <c r="F99" s="36" t="s">
        <v>312</v>
      </c>
      <c r="G99" s="37" t="s">
        <v>313</v>
      </c>
      <c r="H99" s="36" t="s">
        <v>30</v>
      </c>
      <c r="I99" s="38">
        <v>36713</v>
      </c>
      <c r="J99" s="39">
        <v>14.67</v>
      </c>
      <c r="K99" s="39">
        <f t="shared" si="5"/>
        <v>14.67</v>
      </c>
      <c r="L99" s="39">
        <v>0</v>
      </c>
      <c r="M99" s="40"/>
    </row>
    <row r="100" spans="1:49" s="41" customFormat="1" ht="22.7" customHeight="1" x14ac:dyDescent="0.25">
      <c r="A100" s="34">
        <f t="shared" si="4"/>
        <v>94</v>
      </c>
      <c r="B100" s="35" t="s">
        <v>314</v>
      </c>
      <c r="C100" s="36" t="s">
        <v>315</v>
      </c>
      <c r="D100" s="36" t="s">
        <v>179</v>
      </c>
      <c r="E100" s="36" t="s">
        <v>141</v>
      </c>
      <c r="F100" s="36" t="s">
        <v>57</v>
      </c>
      <c r="G100" s="37" t="s">
        <v>58</v>
      </c>
      <c r="H100" s="36" t="s">
        <v>23</v>
      </c>
      <c r="I100" s="38">
        <v>44562</v>
      </c>
      <c r="J100" s="39">
        <v>0</v>
      </c>
      <c r="K100" s="39">
        <f t="shared" si="5"/>
        <v>0</v>
      </c>
      <c r="L100" s="39">
        <v>0</v>
      </c>
      <c r="M100" s="40"/>
    </row>
    <row r="101" spans="1:49" s="41" customFormat="1" ht="22.7" customHeight="1" x14ac:dyDescent="0.25">
      <c r="A101" s="34">
        <f t="shared" si="4"/>
        <v>95</v>
      </c>
      <c r="B101" s="35" t="s">
        <v>527</v>
      </c>
      <c r="C101" s="36" t="s">
        <v>528</v>
      </c>
      <c r="D101" s="36" t="s">
        <v>19</v>
      </c>
      <c r="E101" s="36" t="s">
        <v>165</v>
      </c>
      <c r="F101" s="36" t="s">
        <v>34</v>
      </c>
      <c r="G101" s="37" t="s">
        <v>35</v>
      </c>
      <c r="H101" s="36" t="s">
        <v>23</v>
      </c>
      <c r="I101" s="38">
        <v>44562</v>
      </c>
      <c r="J101" s="39">
        <v>0</v>
      </c>
      <c r="K101" s="39">
        <f t="shared" si="5"/>
        <v>0</v>
      </c>
      <c r="L101" s="39">
        <v>0</v>
      </c>
      <c r="M101" s="40"/>
    </row>
    <row r="102" spans="1:49" s="41" customFormat="1" ht="22.7" customHeight="1" x14ac:dyDescent="0.25">
      <c r="A102" s="34">
        <f t="shared" si="4"/>
        <v>96</v>
      </c>
      <c r="B102" s="35" t="s">
        <v>316</v>
      </c>
      <c r="C102" s="36" t="s">
        <v>317</v>
      </c>
      <c r="D102" s="36" t="s">
        <v>68</v>
      </c>
      <c r="E102" s="36" t="s">
        <v>141</v>
      </c>
      <c r="F102" s="36" t="s">
        <v>57</v>
      </c>
      <c r="G102" s="37" t="s">
        <v>58</v>
      </c>
      <c r="H102" s="36" t="s">
        <v>30</v>
      </c>
      <c r="I102" s="38">
        <v>42287</v>
      </c>
      <c r="J102" s="39">
        <v>4.72</v>
      </c>
      <c r="K102" s="39">
        <f t="shared" si="5"/>
        <v>4.72</v>
      </c>
      <c r="L102" s="39">
        <v>0</v>
      </c>
      <c r="M102" s="40"/>
    </row>
    <row r="103" spans="1:49" s="41" customFormat="1" ht="22.7" customHeight="1" x14ac:dyDescent="0.25">
      <c r="A103" s="34">
        <f t="shared" si="4"/>
        <v>97</v>
      </c>
      <c r="B103" s="35" t="s">
        <v>318</v>
      </c>
      <c r="C103" s="36" t="s">
        <v>319</v>
      </c>
      <c r="D103" s="36" t="s">
        <v>68</v>
      </c>
      <c r="E103" s="36" t="s">
        <v>69</v>
      </c>
      <c r="F103" s="36" t="s">
        <v>47</v>
      </c>
      <c r="G103" s="37" t="s">
        <v>35</v>
      </c>
      <c r="H103" s="36" t="s">
        <v>23</v>
      </c>
      <c r="I103" s="38">
        <v>44562</v>
      </c>
      <c r="J103" s="39">
        <v>0</v>
      </c>
      <c r="K103" s="39">
        <f t="shared" si="5"/>
        <v>0</v>
      </c>
      <c r="L103" s="39">
        <v>0</v>
      </c>
      <c r="M103" s="40"/>
    </row>
    <row r="104" spans="1:49" s="41" customFormat="1" ht="22.7" customHeight="1" x14ac:dyDescent="0.25">
      <c r="A104" s="34">
        <f t="shared" ref="A104:A135" si="6">SUM(A103:A103+1)</f>
        <v>98</v>
      </c>
      <c r="B104" s="35" t="s">
        <v>320</v>
      </c>
      <c r="C104" s="36" t="s">
        <v>321</v>
      </c>
      <c r="D104" s="36" t="s">
        <v>68</v>
      </c>
      <c r="E104" s="36" t="s">
        <v>69</v>
      </c>
      <c r="F104" s="36" t="s">
        <v>47</v>
      </c>
      <c r="G104" s="37" t="s">
        <v>35</v>
      </c>
      <c r="H104" s="36" t="s">
        <v>30</v>
      </c>
      <c r="I104" s="38">
        <v>42278</v>
      </c>
      <c r="J104" s="39">
        <v>4.72</v>
      </c>
      <c r="K104" s="39">
        <f t="shared" si="5"/>
        <v>4.72</v>
      </c>
      <c r="L104" s="39">
        <v>0</v>
      </c>
      <c r="M104" s="40"/>
    </row>
    <row r="105" spans="1:49" s="41" customFormat="1" ht="22.7" customHeight="1" x14ac:dyDescent="0.25">
      <c r="A105" s="34">
        <f t="shared" si="6"/>
        <v>99</v>
      </c>
      <c r="B105" s="35" t="s">
        <v>325</v>
      </c>
      <c r="C105" s="36" t="s">
        <v>326</v>
      </c>
      <c r="D105" s="36" t="s">
        <v>45</v>
      </c>
      <c r="E105" s="36" t="s">
        <v>327</v>
      </c>
      <c r="F105" s="36" t="s">
        <v>40</v>
      </c>
      <c r="G105" s="37" t="s">
        <v>41</v>
      </c>
      <c r="H105" s="36" t="s">
        <v>30</v>
      </c>
      <c r="I105" s="38">
        <v>42278</v>
      </c>
      <c r="J105" s="39">
        <v>7.5</v>
      </c>
      <c r="K105" s="39">
        <f t="shared" si="5"/>
        <v>7.5</v>
      </c>
      <c r="L105" s="39">
        <v>0</v>
      </c>
      <c r="M105" s="40"/>
    </row>
    <row r="106" spans="1:49" s="41" customFormat="1" ht="22.7" customHeight="1" x14ac:dyDescent="0.25">
      <c r="A106" s="34">
        <f t="shared" si="6"/>
        <v>100</v>
      </c>
      <c r="B106" s="35" t="s">
        <v>328</v>
      </c>
      <c r="C106" s="36" t="s">
        <v>329</v>
      </c>
      <c r="D106" s="36" t="s">
        <v>161</v>
      </c>
      <c r="E106" s="36" t="s">
        <v>162</v>
      </c>
      <c r="F106" s="36" t="s">
        <v>57</v>
      </c>
      <c r="G106" s="37" t="s">
        <v>58</v>
      </c>
      <c r="H106" s="36" t="s">
        <v>30</v>
      </c>
      <c r="I106" s="38">
        <v>42278</v>
      </c>
      <c r="J106" s="39">
        <v>7.5</v>
      </c>
      <c r="K106" s="39">
        <f t="shared" si="5"/>
        <v>7.5</v>
      </c>
      <c r="L106" s="39">
        <v>0</v>
      </c>
      <c r="M106" s="40"/>
    </row>
    <row r="107" spans="1:49" s="41" customFormat="1" ht="22.7" customHeight="1" x14ac:dyDescent="0.25">
      <c r="A107" s="34">
        <f t="shared" si="6"/>
        <v>101</v>
      </c>
      <c r="B107" s="35" t="s">
        <v>330</v>
      </c>
      <c r="C107" s="36" t="s">
        <v>331</v>
      </c>
      <c r="D107" s="36" t="s">
        <v>45</v>
      </c>
      <c r="E107" s="36" t="s">
        <v>332</v>
      </c>
      <c r="F107" s="36" t="s">
        <v>47</v>
      </c>
      <c r="G107" s="37" t="s">
        <v>35</v>
      </c>
      <c r="H107" s="36" t="s">
        <v>30</v>
      </c>
      <c r="I107" s="38">
        <v>42005</v>
      </c>
      <c r="J107" s="39">
        <v>7.5</v>
      </c>
      <c r="K107" s="39">
        <f t="shared" si="5"/>
        <v>7.5</v>
      </c>
      <c r="L107" s="39">
        <v>0</v>
      </c>
      <c r="M107" s="40"/>
    </row>
    <row r="108" spans="1:49" s="42" customFormat="1" ht="22.7" customHeight="1" x14ac:dyDescent="0.25">
      <c r="A108" s="34">
        <f t="shared" si="6"/>
        <v>102</v>
      </c>
      <c r="B108" s="35" t="s">
        <v>333</v>
      </c>
      <c r="C108" s="36" t="s">
        <v>334</v>
      </c>
      <c r="D108" s="36" t="s">
        <v>85</v>
      </c>
      <c r="E108" s="36" t="s">
        <v>335</v>
      </c>
      <c r="F108" s="36" t="s">
        <v>34</v>
      </c>
      <c r="G108" s="37" t="s">
        <v>35</v>
      </c>
      <c r="H108" s="36" t="s">
        <v>23</v>
      </c>
      <c r="I108" s="46">
        <v>44562</v>
      </c>
      <c r="J108" s="47">
        <v>0</v>
      </c>
      <c r="K108" s="39">
        <f t="shared" si="5"/>
        <v>0</v>
      </c>
      <c r="L108" s="39">
        <v>0</v>
      </c>
      <c r="M108" s="40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</row>
    <row r="109" spans="1:49" s="42" customFormat="1" ht="22.7" customHeight="1" x14ac:dyDescent="0.25">
      <c r="A109" s="34">
        <f t="shared" si="6"/>
        <v>103</v>
      </c>
      <c r="B109" s="35" t="s">
        <v>336</v>
      </c>
      <c r="C109" s="36" t="s">
        <v>337</v>
      </c>
      <c r="D109" s="36" t="s">
        <v>179</v>
      </c>
      <c r="E109" s="36" t="s">
        <v>141</v>
      </c>
      <c r="F109" s="36" t="s">
        <v>57</v>
      </c>
      <c r="G109" s="37" t="s">
        <v>58</v>
      </c>
      <c r="H109" s="36" t="s">
        <v>30</v>
      </c>
      <c r="I109" s="46">
        <v>42522</v>
      </c>
      <c r="J109" s="47">
        <v>13.5</v>
      </c>
      <c r="K109" s="39">
        <f t="shared" si="5"/>
        <v>13.5</v>
      </c>
      <c r="L109" s="39">
        <v>0</v>
      </c>
      <c r="M109" s="40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</row>
    <row r="110" spans="1:49" s="42" customFormat="1" ht="22.7" customHeight="1" x14ac:dyDescent="0.25">
      <c r="A110" s="34">
        <f t="shared" si="6"/>
        <v>104</v>
      </c>
      <c r="B110" s="35" t="s">
        <v>338</v>
      </c>
      <c r="C110" s="36" t="s">
        <v>339</v>
      </c>
      <c r="D110" s="36" t="s">
        <v>72</v>
      </c>
      <c r="E110" s="36" t="s">
        <v>33</v>
      </c>
      <c r="F110" s="36" t="s">
        <v>34</v>
      </c>
      <c r="G110" s="37" t="s">
        <v>35</v>
      </c>
      <c r="H110" s="36" t="s">
        <v>30</v>
      </c>
      <c r="I110" s="46">
        <v>42522</v>
      </c>
      <c r="J110" s="47">
        <v>13.5</v>
      </c>
      <c r="K110" s="39">
        <f t="shared" si="5"/>
        <v>13.5</v>
      </c>
      <c r="L110" s="39">
        <v>0</v>
      </c>
      <c r="M110" s="40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</row>
    <row r="111" spans="1:49" s="42" customFormat="1" ht="22.7" customHeight="1" x14ac:dyDescent="0.25">
      <c r="A111" s="34">
        <f t="shared" si="6"/>
        <v>105</v>
      </c>
      <c r="B111" s="35" t="s">
        <v>340</v>
      </c>
      <c r="C111" s="36" t="s">
        <v>341</v>
      </c>
      <c r="D111" s="36" t="s">
        <v>72</v>
      </c>
      <c r="E111" s="36" t="s">
        <v>104</v>
      </c>
      <c r="F111" s="36" t="s">
        <v>105</v>
      </c>
      <c r="G111" s="37" t="s">
        <v>58</v>
      </c>
      <c r="H111" s="36" t="s">
        <v>30</v>
      </c>
      <c r="I111" s="46">
        <v>44470</v>
      </c>
      <c r="J111" s="47">
        <v>4.92</v>
      </c>
      <c r="K111" s="39">
        <f t="shared" si="5"/>
        <v>4.92</v>
      </c>
      <c r="L111" s="39">
        <v>0</v>
      </c>
      <c r="M111" s="40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</row>
    <row r="112" spans="1:49" s="42" customFormat="1" ht="22.7" customHeight="1" x14ac:dyDescent="0.25">
      <c r="A112" s="34">
        <f t="shared" si="6"/>
        <v>106</v>
      </c>
      <c r="B112" s="35" t="s">
        <v>342</v>
      </c>
      <c r="C112" s="36" t="s">
        <v>343</v>
      </c>
      <c r="D112" s="36" t="s">
        <v>26</v>
      </c>
      <c r="E112" s="36" t="s">
        <v>104</v>
      </c>
      <c r="F112" s="36" t="s">
        <v>105</v>
      </c>
      <c r="G112" s="37" t="s">
        <v>58</v>
      </c>
      <c r="H112" s="36" t="s">
        <v>30</v>
      </c>
      <c r="I112" s="46">
        <v>43952</v>
      </c>
      <c r="J112" s="47">
        <v>8.11</v>
      </c>
      <c r="K112" s="39">
        <f t="shared" si="5"/>
        <v>8.11</v>
      </c>
      <c r="L112" s="39">
        <v>0</v>
      </c>
      <c r="M112" s="40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</row>
    <row r="113" spans="1:49" s="42" customFormat="1" ht="22.7" customHeight="1" x14ac:dyDescent="0.25">
      <c r="A113" s="34">
        <f t="shared" si="6"/>
        <v>107</v>
      </c>
      <c r="B113" s="35" t="s">
        <v>344</v>
      </c>
      <c r="C113" s="36" t="s">
        <v>345</v>
      </c>
      <c r="D113" s="36" t="s">
        <v>225</v>
      </c>
      <c r="E113" s="36" t="s">
        <v>226</v>
      </c>
      <c r="F113" s="36" t="s">
        <v>57</v>
      </c>
      <c r="G113" s="37" t="s">
        <v>58</v>
      </c>
      <c r="H113" s="36" t="s">
        <v>30</v>
      </c>
      <c r="I113" s="46">
        <v>42005</v>
      </c>
      <c r="J113" s="47">
        <v>6.19</v>
      </c>
      <c r="K113" s="39">
        <f t="shared" si="5"/>
        <v>6.19</v>
      </c>
      <c r="L113" s="39">
        <v>0</v>
      </c>
      <c r="M113" s="40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</row>
    <row r="114" spans="1:49" s="42" customFormat="1" ht="22.7" customHeight="1" x14ac:dyDescent="0.25">
      <c r="A114" s="34">
        <f t="shared" si="6"/>
        <v>108</v>
      </c>
      <c r="B114" s="35" t="s">
        <v>346</v>
      </c>
      <c r="C114" s="36" t="s">
        <v>347</v>
      </c>
      <c r="D114" s="36" t="s">
        <v>68</v>
      </c>
      <c r="E114" s="36" t="s">
        <v>69</v>
      </c>
      <c r="F114" s="36" t="s">
        <v>47</v>
      </c>
      <c r="G114" s="37" t="s">
        <v>35</v>
      </c>
      <c r="H114" s="36" t="s">
        <v>23</v>
      </c>
      <c r="I114" s="46">
        <v>44562</v>
      </c>
      <c r="J114" s="47">
        <v>0</v>
      </c>
      <c r="K114" s="39">
        <f t="shared" si="5"/>
        <v>0</v>
      </c>
      <c r="L114" s="39">
        <v>0</v>
      </c>
      <c r="M114" s="40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</row>
    <row r="115" spans="1:49" s="42" customFormat="1" ht="22.7" customHeight="1" x14ac:dyDescent="0.25">
      <c r="A115" s="34">
        <f t="shared" si="6"/>
        <v>109</v>
      </c>
      <c r="B115" s="35" t="s">
        <v>348</v>
      </c>
      <c r="C115" s="36" t="s">
        <v>349</v>
      </c>
      <c r="D115" s="36" t="s">
        <v>26</v>
      </c>
      <c r="E115" s="36" t="s">
        <v>100</v>
      </c>
      <c r="F115" s="36" t="s">
        <v>101</v>
      </c>
      <c r="G115" s="37" t="s">
        <v>22</v>
      </c>
      <c r="H115" s="36" t="s">
        <v>23</v>
      </c>
      <c r="I115" s="46">
        <v>44562</v>
      </c>
      <c r="J115" s="47">
        <v>0</v>
      </c>
      <c r="K115" s="39">
        <f t="shared" si="5"/>
        <v>0</v>
      </c>
      <c r="L115" s="39">
        <v>0</v>
      </c>
      <c r="M115" s="40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</row>
    <row r="116" spans="1:49" s="42" customFormat="1" ht="22.7" customHeight="1" x14ac:dyDescent="0.25">
      <c r="A116" s="34">
        <f t="shared" si="6"/>
        <v>110</v>
      </c>
      <c r="B116" s="35" t="s">
        <v>350</v>
      </c>
      <c r="C116" s="36" t="s">
        <v>351</v>
      </c>
      <c r="D116" s="36" t="s">
        <v>225</v>
      </c>
      <c r="E116" s="36" t="s">
        <v>226</v>
      </c>
      <c r="F116" s="36" t="s">
        <v>57</v>
      </c>
      <c r="G116" s="37" t="s">
        <v>58</v>
      </c>
      <c r="H116" s="36" t="s">
        <v>23</v>
      </c>
      <c r="I116" s="46">
        <v>44562</v>
      </c>
      <c r="J116" s="47">
        <v>0</v>
      </c>
      <c r="K116" s="39">
        <f t="shared" si="5"/>
        <v>0</v>
      </c>
      <c r="L116" s="39">
        <v>0</v>
      </c>
      <c r="M116" s="40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</row>
    <row r="117" spans="1:49" s="42" customFormat="1" ht="22.7" customHeight="1" x14ac:dyDescent="0.25">
      <c r="A117" s="34">
        <f t="shared" si="6"/>
        <v>111</v>
      </c>
      <c r="B117" s="35" t="s">
        <v>352</v>
      </c>
      <c r="C117" s="36" t="s">
        <v>353</v>
      </c>
      <c r="D117" s="36" t="s">
        <v>161</v>
      </c>
      <c r="E117" s="36" t="s">
        <v>354</v>
      </c>
      <c r="F117" s="36" t="s">
        <v>355</v>
      </c>
      <c r="G117" s="37" t="s">
        <v>356</v>
      </c>
      <c r="H117" s="36" t="s">
        <v>23</v>
      </c>
      <c r="I117" s="46">
        <v>44562</v>
      </c>
      <c r="J117" s="47">
        <v>0</v>
      </c>
      <c r="K117" s="39">
        <f t="shared" si="5"/>
        <v>0</v>
      </c>
      <c r="L117" s="39">
        <v>0</v>
      </c>
      <c r="M117" s="40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</row>
    <row r="118" spans="1:49" s="42" customFormat="1" ht="22.7" customHeight="1" x14ac:dyDescent="0.25">
      <c r="A118" s="34">
        <f t="shared" si="6"/>
        <v>112</v>
      </c>
      <c r="B118" s="35" t="s">
        <v>357</v>
      </c>
      <c r="C118" s="36" t="s">
        <v>358</v>
      </c>
      <c r="D118" s="36" t="s">
        <v>85</v>
      </c>
      <c r="E118" s="36" t="s">
        <v>245</v>
      </c>
      <c r="F118" s="36" t="s">
        <v>34</v>
      </c>
      <c r="G118" s="37" t="s">
        <v>35</v>
      </c>
      <c r="H118" s="36" t="s">
        <v>23</v>
      </c>
      <c r="I118" s="46">
        <v>44562</v>
      </c>
      <c r="J118" s="47">
        <v>0</v>
      </c>
      <c r="K118" s="39">
        <f t="shared" si="5"/>
        <v>0</v>
      </c>
      <c r="L118" s="39">
        <v>0</v>
      </c>
      <c r="M118" s="40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</row>
    <row r="119" spans="1:49" s="42" customFormat="1" ht="22.7" customHeight="1" x14ac:dyDescent="0.25">
      <c r="A119" s="34">
        <f t="shared" si="6"/>
        <v>113</v>
      </c>
      <c r="B119" s="35" t="s">
        <v>359</v>
      </c>
      <c r="C119" s="36" t="s">
        <v>360</v>
      </c>
      <c r="D119" s="36" t="s">
        <v>45</v>
      </c>
      <c r="E119" s="36" t="s">
        <v>361</v>
      </c>
      <c r="F119" s="36" t="s">
        <v>47</v>
      </c>
      <c r="G119" s="37" t="s">
        <v>35</v>
      </c>
      <c r="H119" s="36" t="s">
        <v>30</v>
      </c>
      <c r="I119" s="46">
        <v>42125</v>
      </c>
      <c r="J119" s="47">
        <v>0</v>
      </c>
      <c r="K119" s="39">
        <f t="shared" si="5"/>
        <v>0</v>
      </c>
      <c r="L119" s="39">
        <v>0</v>
      </c>
      <c r="M119" s="40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</row>
    <row r="120" spans="1:49" s="42" customFormat="1" ht="22.7" customHeight="1" x14ac:dyDescent="0.25">
      <c r="A120" s="34">
        <f t="shared" si="6"/>
        <v>114</v>
      </c>
      <c r="B120" s="35" t="s">
        <v>529</v>
      </c>
      <c r="C120" s="36" t="s">
        <v>530</v>
      </c>
      <c r="D120" s="36" t="s">
        <v>72</v>
      </c>
      <c r="E120" s="36" t="s">
        <v>531</v>
      </c>
      <c r="F120" s="36" t="s">
        <v>105</v>
      </c>
      <c r="G120" s="37" t="s">
        <v>58</v>
      </c>
      <c r="H120" s="36" t="s">
        <v>30</v>
      </c>
      <c r="I120" s="46">
        <v>44562</v>
      </c>
      <c r="J120" s="47">
        <v>0</v>
      </c>
      <c r="K120" s="39">
        <f t="shared" si="5"/>
        <v>0</v>
      </c>
      <c r="L120" s="39">
        <v>0</v>
      </c>
      <c r="M120" s="40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</row>
    <row r="121" spans="1:49" s="42" customFormat="1" ht="22.7" customHeight="1" x14ac:dyDescent="0.25">
      <c r="A121" s="34">
        <f t="shared" si="6"/>
        <v>115</v>
      </c>
      <c r="B121" s="35" t="s">
        <v>362</v>
      </c>
      <c r="C121" s="36" t="s">
        <v>363</v>
      </c>
      <c r="D121" s="36" t="s">
        <v>26</v>
      </c>
      <c r="E121" s="36" t="s">
        <v>100</v>
      </c>
      <c r="F121" s="36" t="s">
        <v>101</v>
      </c>
      <c r="G121" s="37" t="s">
        <v>22</v>
      </c>
      <c r="H121" s="36" t="s">
        <v>23</v>
      </c>
      <c r="I121" s="46">
        <v>44562</v>
      </c>
      <c r="J121" s="47">
        <v>0</v>
      </c>
      <c r="K121" s="39">
        <f t="shared" si="5"/>
        <v>0</v>
      </c>
      <c r="L121" s="39">
        <v>0</v>
      </c>
      <c r="M121" s="40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</row>
    <row r="122" spans="1:49" s="42" customFormat="1" ht="22.7" customHeight="1" x14ac:dyDescent="0.25">
      <c r="A122" s="34">
        <f t="shared" si="6"/>
        <v>116</v>
      </c>
      <c r="B122" s="35" t="s">
        <v>364</v>
      </c>
      <c r="C122" s="36" t="s">
        <v>365</v>
      </c>
      <c r="D122" s="36" t="s">
        <v>85</v>
      </c>
      <c r="E122" s="36" t="s">
        <v>366</v>
      </c>
      <c r="F122" s="36" t="s">
        <v>28</v>
      </c>
      <c r="G122" s="37" t="s">
        <v>29</v>
      </c>
      <c r="H122" s="36" t="s">
        <v>23</v>
      </c>
      <c r="I122" s="46">
        <v>44594</v>
      </c>
      <c r="J122" s="47">
        <v>0</v>
      </c>
      <c r="K122" s="39">
        <f t="shared" si="5"/>
        <v>0</v>
      </c>
      <c r="L122" s="39">
        <v>0</v>
      </c>
      <c r="M122" s="40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</row>
    <row r="123" spans="1:49" s="42" customFormat="1" ht="22.7" customHeight="1" x14ac:dyDescent="0.25">
      <c r="A123" s="34">
        <f t="shared" si="6"/>
        <v>117</v>
      </c>
      <c r="B123" s="35" t="s">
        <v>367</v>
      </c>
      <c r="C123" s="36" t="s">
        <v>368</v>
      </c>
      <c r="D123" s="36" t="s">
        <v>85</v>
      </c>
      <c r="E123" s="36" t="s">
        <v>86</v>
      </c>
      <c r="F123" s="36" t="s">
        <v>34</v>
      </c>
      <c r="G123" s="37" t="s">
        <v>35</v>
      </c>
      <c r="H123" s="36" t="s">
        <v>23</v>
      </c>
      <c r="I123" s="46">
        <v>44562</v>
      </c>
      <c r="J123" s="47">
        <v>0</v>
      </c>
      <c r="K123" s="39">
        <f t="shared" si="5"/>
        <v>0</v>
      </c>
      <c r="L123" s="39">
        <v>0</v>
      </c>
      <c r="M123" s="40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</row>
    <row r="124" spans="1:49" s="42" customFormat="1" ht="22.7" customHeight="1" x14ac:dyDescent="0.25">
      <c r="A124" s="34">
        <f t="shared" si="6"/>
        <v>118</v>
      </c>
      <c r="B124" s="35" t="s">
        <v>369</v>
      </c>
      <c r="C124" s="36" t="s">
        <v>370</v>
      </c>
      <c r="D124" s="36" t="s">
        <v>68</v>
      </c>
      <c r="E124" s="36" t="s">
        <v>69</v>
      </c>
      <c r="F124" s="36" t="s">
        <v>47</v>
      </c>
      <c r="G124" s="37" t="s">
        <v>35</v>
      </c>
      <c r="H124" s="36" t="s">
        <v>23</v>
      </c>
      <c r="I124" s="46">
        <v>44562</v>
      </c>
      <c r="J124" s="47">
        <v>0</v>
      </c>
      <c r="K124" s="39">
        <v>0</v>
      </c>
      <c r="L124" s="39">
        <v>0</v>
      </c>
      <c r="M124" s="40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</row>
    <row r="125" spans="1:49" s="42" customFormat="1" ht="22.7" customHeight="1" x14ac:dyDescent="0.25">
      <c r="A125" s="34">
        <f t="shared" si="6"/>
        <v>119</v>
      </c>
      <c r="B125" s="35" t="s">
        <v>532</v>
      </c>
      <c r="C125" s="36" t="s">
        <v>533</v>
      </c>
      <c r="D125" s="36" t="s">
        <v>72</v>
      </c>
      <c r="E125" s="36" t="s">
        <v>104</v>
      </c>
      <c r="F125" s="36" t="s">
        <v>105</v>
      </c>
      <c r="G125" s="37" t="s">
        <v>58</v>
      </c>
      <c r="H125" s="36" t="s">
        <v>30</v>
      </c>
      <c r="I125" s="46">
        <v>44562</v>
      </c>
      <c r="J125" s="47">
        <v>0</v>
      </c>
      <c r="K125" s="39">
        <f>J125-L125</f>
        <v>0</v>
      </c>
      <c r="L125" s="39">
        <v>0</v>
      </c>
      <c r="M125" s="40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</row>
    <row r="126" spans="1:49" s="42" customFormat="1" ht="22.7" customHeight="1" x14ac:dyDescent="0.25">
      <c r="A126" s="34">
        <f t="shared" si="6"/>
        <v>120</v>
      </c>
      <c r="B126" s="35" t="s">
        <v>371</v>
      </c>
      <c r="C126" s="36" t="s">
        <v>372</v>
      </c>
      <c r="D126" s="36" t="s">
        <v>225</v>
      </c>
      <c r="E126" s="36" t="s">
        <v>226</v>
      </c>
      <c r="F126" s="36" t="s">
        <v>57</v>
      </c>
      <c r="G126" s="37" t="s">
        <v>58</v>
      </c>
      <c r="H126" s="36" t="s">
        <v>23</v>
      </c>
      <c r="I126" s="46">
        <v>44562</v>
      </c>
      <c r="J126" s="47">
        <v>0</v>
      </c>
      <c r="K126" s="39">
        <f>J126-L126</f>
        <v>0</v>
      </c>
      <c r="L126" s="39">
        <v>0</v>
      </c>
      <c r="M126" s="40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</row>
    <row r="127" spans="1:49" s="42" customFormat="1" ht="22.7" customHeight="1" x14ac:dyDescent="0.25">
      <c r="A127" s="34">
        <f t="shared" si="6"/>
        <v>121</v>
      </c>
      <c r="B127" s="35" t="s">
        <v>373</v>
      </c>
      <c r="C127" s="36" t="s">
        <v>374</v>
      </c>
      <c r="D127" s="36" t="s">
        <v>225</v>
      </c>
      <c r="E127" s="36" t="s">
        <v>226</v>
      </c>
      <c r="F127" s="36" t="s">
        <v>57</v>
      </c>
      <c r="G127" s="37" t="s">
        <v>58</v>
      </c>
      <c r="H127" s="36" t="s">
        <v>30</v>
      </c>
      <c r="I127" s="46">
        <v>42278</v>
      </c>
      <c r="J127" s="47">
        <v>0</v>
      </c>
      <c r="K127" s="39">
        <v>0</v>
      </c>
      <c r="L127" s="39">
        <v>0</v>
      </c>
      <c r="M127" s="40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</row>
    <row r="128" spans="1:49" s="42" customFormat="1" ht="22.7" customHeight="1" x14ac:dyDescent="0.25">
      <c r="A128" s="34">
        <f t="shared" si="6"/>
        <v>122</v>
      </c>
      <c r="B128" s="35" t="s">
        <v>375</v>
      </c>
      <c r="C128" s="36" t="s">
        <v>376</v>
      </c>
      <c r="D128" s="36" t="s">
        <v>72</v>
      </c>
      <c r="E128" s="36" t="s">
        <v>104</v>
      </c>
      <c r="F128" s="36" t="s">
        <v>105</v>
      </c>
      <c r="G128" s="37" t="s">
        <v>58</v>
      </c>
      <c r="H128" s="36" t="s">
        <v>30</v>
      </c>
      <c r="I128" s="46">
        <v>44562</v>
      </c>
      <c r="J128" s="47">
        <v>0</v>
      </c>
      <c r="K128" s="39">
        <f t="shared" ref="K128:K143" si="7">J128-L128</f>
        <v>0</v>
      </c>
      <c r="L128" s="39">
        <v>0</v>
      </c>
      <c r="M128" s="40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</row>
    <row r="129" spans="1:49" s="42" customFormat="1" ht="22.7" customHeight="1" x14ac:dyDescent="0.25">
      <c r="A129" s="34">
        <f t="shared" si="6"/>
        <v>123</v>
      </c>
      <c r="B129" s="35" t="s">
        <v>377</v>
      </c>
      <c r="C129" s="36" t="s">
        <v>378</v>
      </c>
      <c r="D129" s="36" t="s">
        <v>112</v>
      </c>
      <c r="E129" s="36" t="s">
        <v>113</v>
      </c>
      <c r="F129" s="36" t="s">
        <v>57</v>
      </c>
      <c r="G129" s="37" t="s">
        <v>58</v>
      </c>
      <c r="H129" s="36" t="s">
        <v>23</v>
      </c>
      <c r="I129" s="46">
        <v>44562</v>
      </c>
      <c r="J129" s="47">
        <v>0</v>
      </c>
      <c r="K129" s="39">
        <f t="shared" si="7"/>
        <v>0</v>
      </c>
      <c r="L129" s="39">
        <v>0</v>
      </c>
      <c r="M129" s="40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</row>
    <row r="130" spans="1:49" s="42" customFormat="1" ht="22.7" customHeight="1" x14ac:dyDescent="0.25">
      <c r="A130" s="34">
        <f t="shared" si="6"/>
        <v>124</v>
      </c>
      <c r="B130" s="35" t="s">
        <v>379</v>
      </c>
      <c r="C130" s="36" t="s">
        <v>380</v>
      </c>
      <c r="D130" s="36" t="s">
        <v>116</v>
      </c>
      <c r="E130" s="36" t="s">
        <v>210</v>
      </c>
      <c r="F130" s="36" t="s">
        <v>47</v>
      </c>
      <c r="G130" s="37" t="s">
        <v>35</v>
      </c>
      <c r="H130" s="36" t="s">
        <v>30</v>
      </c>
      <c r="I130" s="46">
        <v>31959</v>
      </c>
      <c r="J130" s="47">
        <v>15.87</v>
      </c>
      <c r="K130" s="39">
        <f t="shared" si="7"/>
        <v>11.87</v>
      </c>
      <c r="L130" s="39">
        <v>4</v>
      </c>
      <c r="M130" s="40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</row>
    <row r="131" spans="1:49" s="42" customFormat="1" ht="22.7" customHeight="1" x14ac:dyDescent="0.25">
      <c r="A131" s="34">
        <f t="shared" si="6"/>
        <v>125</v>
      </c>
      <c r="B131" s="35" t="s">
        <v>381</v>
      </c>
      <c r="C131" s="36" t="s">
        <v>382</v>
      </c>
      <c r="D131" s="36" t="s">
        <v>116</v>
      </c>
      <c r="E131" s="36" t="s">
        <v>216</v>
      </c>
      <c r="F131" s="36" t="s">
        <v>47</v>
      </c>
      <c r="G131" s="37" t="s">
        <v>35</v>
      </c>
      <c r="H131" s="36" t="s">
        <v>23</v>
      </c>
      <c r="I131" s="46">
        <v>44562</v>
      </c>
      <c r="J131" s="47">
        <v>0</v>
      </c>
      <c r="K131" s="39">
        <f t="shared" si="7"/>
        <v>0</v>
      </c>
      <c r="L131" s="39">
        <v>0</v>
      </c>
      <c r="M131" s="40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</row>
    <row r="132" spans="1:49" s="42" customFormat="1" ht="22.7" customHeight="1" x14ac:dyDescent="0.25">
      <c r="A132" s="34">
        <f t="shared" si="6"/>
        <v>126</v>
      </c>
      <c r="B132" s="35" t="s">
        <v>385</v>
      </c>
      <c r="C132" s="36" t="s">
        <v>386</v>
      </c>
      <c r="D132" s="36" t="s">
        <v>45</v>
      </c>
      <c r="E132" s="36" t="s">
        <v>61</v>
      </c>
      <c r="F132" s="36" t="s">
        <v>21</v>
      </c>
      <c r="G132" s="37" t="s">
        <v>22</v>
      </c>
      <c r="H132" s="36" t="s">
        <v>30</v>
      </c>
      <c r="I132" s="46">
        <v>42156</v>
      </c>
      <c r="J132" s="47">
        <v>0</v>
      </c>
      <c r="K132" s="39">
        <f t="shared" si="7"/>
        <v>0</v>
      </c>
      <c r="L132" s="39">
        <v>0</v>
      </c>
      <c r="M132" s="40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</row>
    <row r="133" spans="1:49" s="42" customFormat="1" ht="22.7" customHeight="1" x14ac:dyDescent="0.25">
      <c r="A133" s="34">
        <f t="shared" si="6"/>
        <v>127</v>
      </c>
      <c r="B133" s="35" t="s">
        <v>387</v>
      </c>
      <c r="C133" s="36" t="s">
        <v>388</v>
      </c>
      <c r="D133" s="36" t="s">
        <v>179</v>
      </c>
      <c r="E133" s="36" t="s">
        <v>141</v>
      </c>
      <c r="F133" s="36" t="s">
        <v>57</v>
      </c>
      <c r="G133" s="37" t="s">
        <v>58</v>
      </c>
      <c r="H133" s="36" t="s">
        <v>23</v>
      </c>
      <c r="I133" s="46">
        <v>44562</v>
      </c>
      <c r="J133" s="47">
        <v>0</v>
      </c>
      <c r="K133" s="39">
        <f t="shared" si="7"/>
        <v>0</v>
      </c>
      <c r="L133" s="39">
        <v>0</v>
      </c>
      <c r="M133" s="40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</row>
    <row r="134" spans="1:49" s="42" customFormat="1" ht="22.7" customHeight="1" x14ac:dyDescent="0.25">
      <c r="A134" s="34">
        <f t="shared" si="6"/>
        <v>128</v>
      </c>
      <c r="B134" s="35" t="s">
        <v>389</v>
      </c>
      <c r="C134" s="36" t="s">
        <v>390</v>
      </c>
      <c r="D134" s="36" t="s">
        <v>225</v>
      </c>
      <c r="E134" s="36" t="s">
        <v>226</v>
      </c>
      <c r="F134" s="36" t="s">
        <v>47</v>
      </c>
      <c r="G134" s="37" t="s">
        <v>35</v>
      </c>
      <c r="H134" s="36" t="s">
        <v>30</v>
      </c>
      <c r="I134" s="46">
        <v>33817</v>
      </c>
      <c r="J134" s="47">
        <v>12.53</v>
      </c>
      <c r="K134" s="39">
        <f t="shared" si="7"/>
        <v>12.53</v>
      </c>
      <c r="L134" s="39">
        <v>0</v>
      </c>
      <c r="M134" s="40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</row>
    <row r="135" spans="1:49" s="42" customFormat="1" ht="22.7" customHeight="1" x14ac:dyDescent="0.25">
      <c r="A135" s="34">
        <f t="shared" si="6"/>
        <v>129</v>
      </c>
      <c r="B135" s="35" t="s">
        <v>391</v>
      </c>
      <c r="C135" s="36" t="s">
        <v>392</v>
      </c>
      <c r="D135" s="36" t="s">
        <v>112</v>
      </c>
      <c r="E135" s="36" t="s">
        <v>113</v>
      </c>
      <c r="F135" s="36" t="s">
        <v>57</v>
      </c>
      <c r="G135" s="37" t="s">
        <v>58</v>
      </c>
      <c r="H135" s="36" t="s">
        <v>23</v>
      </c>
      <c r="I135" s="46">
        <v>44562</v>
      </c>
      <c r="J135" s="47">
        <v>0</v>
      </c>
      <c r="K135" s="39">
        <f t="shared" si="7"/>
        <v>0</v>
      </c>
      <c r="L135" s="39">
        <v>0</v>
      </c>
      <c r="M135" s="40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</row>
    <row r="136" spans="1:49" s="42" customFormat="1" ht="22.7" customHeight="1" x14ac:dyDescent="0.25">
      <c r="A136" s="34">
        <f t="shared" ref="A136:A167" si="8">SUM(A135:A135+1)</f>
        <v>130</v>
      </c>
      <c r="B136" s="35" t="s">
        <v>393</v>
      </c>
      <c r="C136" s="36" t="s">
        <v>394</v>
      </c>
      <c r="D136" s="36" t="s">
        <v>120</v>
      </c>
      <c r="E136" s="36" t="s">
        <v>395</v>
      </c>
      <c r="F136" s="36" t="s">
        <v>47</v>
      </c>
      <c r="G136" s="37" t="s">
        <v>35</v>
      </c>
      <c r="H136" s="36" t="s">
        <v>30</v>
      </c>
      <c r="I136" s="46">
        <v>42005</v>
      </c>
      <c r="J136" s="47">
        <v>0</v>
      </c>
      <c r="K136" s="39">
        <f t="shared" si="7"/>
        <v>0</v>
      </c>
      <c r="L136" s="39">
        <v>0</v>
      </c>
      <c r="M136" s="40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</row>
    <row r="137" spans="1:49" s="42" customFormat="1" ht="22.7" customHeight="1" x14ac:dyDescent="0.25">
      <c r="A137" s="34">
        <f t="shared" si="8"/>
        <v>131</v>
      </c>
      <c r="B137" s="35" t="s">
        <v>396</v>
      </c>
      <c r="C137" s="36" t="s">
        <v>397</v>
      </c>
      <c r="D137" s="36" t="s">
        <v>45</v>
      </c>
      <c r="E137" s="36" t="s">
        <v>398</v>
      </c>
      <c r="F137" s="36" t="s">
        <v>47</v>
      </c>
      <c r="G137" s="37" t="s">
        <v>35</v>
      </c>
      <c r="H137" s="36" t="s">
        <v>30</v>
      </c>
      <c r="I137" s="46">
        <v>41913</v>
      </c>
      <c r="J137" s="47">
        <v>6</v>
      </c>
      <c r="K137" s="39">
        <f t="shared" si="7"/>
        <v>6</v>
      </c>
      <c r="L137" s="39">
        <v>0</v>
      </c>
      <c r="M137" s="40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</row>
    <row r="138" spans="1:49" s="42" customFormat="1" ht="22.7" customHeight="1" x14ac:dyDescent="0.25">
      <c r="A138" s="34">
        <f t="shared" si="8"/>
        <v>132</v>
      </c>
      <c r="B138" s="35" t="s">
        <v>399</v>
      </c>
      <c r="C138" s="36" t="s">
        <v>400</v>
      </c>
      <c r="D138" s="36" t="s">
        <v>26</v>
      </c>
      <c r="E138" s="36" t="s">
        <v>104</v>
      </c>
      <c r="F138" s="36" t="s">
        <v>105</v>
      </c>
      <c r="G138" s="37" t="s">
        <v>58</v>
      </c>
      <c r="H138" s="36" t="s">
        <v>30</v>
      </c>
      <c r="I138" s="46">
        <v>44593</v>
      </c>
      <c r="J138" s="47">
        <v>0</v>
      </c>
      <c r="K138" s="39">
        <f t="shared" si="7"/>
        <v>0</v>
      </c>
      <c r="L138" s="39">
        <v>0</v>
      </c>
      <c r="M138" s="40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</row>
    <row r="139" spans="1:49" s="42" customFormat="1" ht="22.7" customHeight="1" x14ac:dyDescent="0.25">
      <c r="A139" s="34">
        <f t="shared" si="8"/>
        <v>133</v>
      </c>
      <c r="B139" s="35" t="s">
        <v>401</v>
      </c>
      <c r="C139" s="36" t="s">
        <v>402</v>
      </c>
      <c r="D139" s="36" t="s">
        <v>72</v>
      </c>
      <c r="E139" s="36" t="s">
        <v>33</v>
      </c>
      <c r="F139" s="36" t="s">
        <v>34</v>
      </c>
      <c r="G139" s="37" t="s">
        <v>35</v>
      </c>
      <c r="H139" s="36" t="s">
        <v>30</v>
      </c>
      <c r="I139" s="46">
        <v>42430</v>
      </c>
      <c r="J139" s="47">
        <v>8.58</v>
      </c>
      <c r="K139" s="39">
        <f t="shared" si="7"/>
        <v>8.58</v>
      </c>
      <c r="L139" s="39">
        <v>0</v>
      </c>
      <c r="M139" s="40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</row>
    <row r="140" spans="1:49" s="42" customFormat="1" ht="22.7" customHeight="1" x14ac:dyDescent="0.25">
      <c r="A140" s="34">
        <f t="shared" si="8"/>
        <v>134</v>
      </c>
      <c r="B140" s="35" t="s">
        <v>534</v>
      </c>
      <c r="C140" s="36" t="s">
        <v>535</v>
      </c>
      <c r="D140" s="36" t="s">
        <v>72</v>
      </c>
      <c r="E140" s="36" t="s">
        <v>531</v>
      </c>
      <c r="F140" s="36" t="s">
        <v>105</v>
      </c>
      <c r="G140" s="37" t="s">
        <v>58</v>
      </c>
      <c r="H140" s="36" t="s">
        <v>30</v>
      </c>
      <c r="I140" s="46">
        <v>42005</v>
      </c>
      <c r="J140" s="47">
        <v>0</v>
      </c>
      <c r="K140" s="39">
        <f t="shared" si="7"/>
        <v>0</v>
      </c>
      <c r="L140" s="39">
        <v>0</v>
      </c>
      <c r="M140" s="40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</row>
    <row r="141" spans="1:49" s="42" customFormat="1" ht="22.7" customHeight="1" x14ac:dyDescent="0.25">
      <c r="A141" s="34">
        <f t="shared" si="8"/>
        <v>135</v>
      </c>
      <c r="B141" s="35" t="s">
        <v>407</v>
      </c>
      <c r="C141" s="36" t="s">
        <v>408</v>
      </c>
      <c r="D141" s="36" t="s">
        <v>116</v>
      </c>
      <c r="E141" s="36" t="s">
        <v>409</v>
      </c>
      <c r="F141" s="36" t="s">
        <v>57</v>
      </c>
      <c r="G141" s="37" t="s">
        <v>58</v>
      </c>
      <c r="H141" s="36" t="s">
        <v>30</v>
      </c>
      <c r="I141" s="46">
        <v>42278</v>
      </c>
      <c r="J141" s="47">
        <v>0</v>
      </c>
      <c r="K141" s="39">
        <f t="shared" si="7"/>
        <v>0</v>
      </c>
      <c r="L141" s="39">
        <v>0</v>
      </c>
      <c r="M141" s="40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</row>
    <row r="142" spans="1:49" s="42" customFormat="1" ht="22.7" customHeight="1" x14ac:dyDescent="0.25">
      <c r="A142" s="34">
        <f t="shared" si="8"/>
        <v>136</v>
      </c>
      <c r="B142" s="35" t="s">
        <v>536</v>
      </c>
      <c r="C142" s="36" t="s">
        <v>537</v>
      </c>
      <c r="D142" s="36" t="s">
        <v>72</v>
      </c>
      <c r="E142" s="36" t="s">
        <v>531</v>
      </c>
      <c r="F142" s="36" t="s">
        <v>105</v>
      </c>
      <c r="G142" s="37" t="s">
        <v>58</v>
      </c>
      <c r="H142" s="36" t="s">
        <v>30</v>
      </c>
      <c r="I142" s="46">
        <v>42278</v>
      </c>
      <c r="J142" s="47">
        <v>7.5</v>
      </c>
      <c r="K142" s="39">
        <f t="shared" si="7"/>
        <v>7.5</v>
      </c>
      <c r="L142" s="39">
        <v>0</v>
      </c>
      <c r="M142" s="40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</row>
    <row r="143" spans="1:49" s="42" customFormat="1" ht="22.7" customHeight="1" x14ac:dyDescent="0.25">
      <c r="A143" s="34">
        <f t="shared" si="8"/>
        <v>137</v>
      </c>
      <c r="B143" s="35" t="s">
        <v>412</v>
      </c>
      <c r="C143" s="36" t="s">
        <v>413</v>
      </c>
      <c r="D143" s="36" t="s">
        <v>154</v>
      </c>
      <c r="E143" s="36" t="s">
        <v>155</v>
      </c>
      <c r="F143" s="36" t="s">
        <v>40</v>
      </c>
      <c r="G143" s="37" t="s">
        <v>41</v>
      </c>
      <c r="H143" s="36" t="s">
        <v>30</v>
      </c>
      <c r="I143" s="46">
        <v>43040</v>
      </c>
      <c r="J143" s="47">
        <v>4.95</v>
      </c>
      <c r="K143" s="39">
        <f t="shared" si="7"/>
        <v>4.95</v>
      </c>
      <c r="L143" s="39">
        <v>0</v>
      </c>
      <c r="M143" s="40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</row>
    <row r="144" spans="1:49" s="42" customFormat="1" ht="22.7" customHeight="1" x14ac:dyDescent="0.25">
      <c r="A144" s="34">
        <f t="shared" si="8"/>
        <v>138</v>
      </c>
      <c r="B144" s="35" t="s">
        <v>414</v>
      </c>
      <c r="C144" s="36" t="s">
        <v>415</v>
      </c>
      <c r="D144" s="36" t="s">
        <v>45</v>
      </c>
      <c r="E144" s="36" t="s">
        <v>219</v>
      </c>
      <c r="F144" s="36" t="s">
        <v>47</v>
      </c>
      <c r="G144" s="37" t="s">
        <v>35</v>
      </c>
      <c r="H144" s="36" t="s">
        <v>30</v>
      </c>
      <c r="I144" s="46">
        <v>42736</v>
      </c>
      <c r="J144" s="47">
        <v>0</v>
      </c>
      <c r="K144" s="39">
        <v>0</v>
      </c>
      <c r="L144" s="39">
        <v>0</v>
      </c>
      <c r="M144" s="40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</row>
    <row r="145" spans="1:49" s="42" customFormat="1" ht="22.7" customHeight="1" x14ac:dyDescent="0.25">
      <c r="A145" s="34">
        <f t="shared" si="8"/>
        <v>139</v>
      </c>
      <c r="B145" s="35" t="s">
        <v>420</v>
      </c>
      <c r="C145" s="36" t="s">
        <v>421</v>
      </c>
      <c r="D145" s="36" t="s">
        <v>179</v>
      </c>
      <c r="E145" s="36" t="s">
        <v>141</v>
      </c>
      <c r="F145" s="36" t="s">
        <v>57</v>
      </c>
      <c r="G145" s="37" t="s">
        <v>58</v>
      </c>
      <c r="H145" s="36" t="s">
        <v>23</v>
      </c>
      <c r="I145" s="46">
        <v>44562</v>
      </c>
      <c r="J145" s="47">
        <v>0</v>
      </c>
      <c r="K145" s="39">
        <f>J145-L145</f>
        <v>0</v>
      </c>
      <c r="L145" s="39">
        <v>0</v>
      </c>
      <c r="M145" s="40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</row>
    <row r="146" spans="1:49" s="42" customFormat="1" ht="22.7" customHeight="1" x14ac:dyDescent="0.25">
      <c r="A146" s="34">
        <f t="shared" si="8"/>
        <v>140</v>
      </c>
      <c r="B146" s="35" t="s">
        <v>422</v>
      </c>
      <c r="C146" s="36" t="s">
        <v>423</v>
      </c>
      <c r="D146" s="36" t="s">
        <v>169</v>
      </c>
      <c r="E146" s="36" t="s">
        <v>170</v>
      </c>
      <c r="F146" s="36" t="s">
        <v>171</v>
      </c>
      <c r="G146" s="37" t="s">
        <v>172</v>
      </c>
      <c r="H146" s="36" t="s">
        <v>30</v>
      </c>
      <c r="I146" s="46">
        <v>44440</v>
      </c>
      <c r="J146" s="47">
        <v>9.9700000000000006</v>
      </c>
      <c r="K146" s="39">
        <f>J146-L146</f>
        <v>9.9700000000000006</v>
      </c>
      <c r="L146" s="39">
        <v>0</v>
      </c>
      <c r="M146" s="40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</row>
    <row r="147" spans="1:49" s="42" customFormat="1" ht="22.7" customHeight="1" x14ac:dyDescent="0.25">
      <c r="A147" s="34">
        <f t="shared" si="8"/>
        <v>141</v>
      </c>
      <c r="B147" s="35" t="s">
        <v>426</v>
      </c>
      <c r="C147" s="36" t="s">
        <v>427</v>
      </c>
      <c r="D147" s="36" t="s">
        <v>45</v>
      </c>
      <c r="E147" s="36" t="s">
        <v>428</v>
      </c>
      <c r="F147" s="36" t="s">
        <v>429</v>
      </c>
      <c r="G147" s="37" t="s">
        <v>430</v>
      </c>
      <c r="H147" s="36" t="s">
        <v>30</v>
      </c>
      <c r="I147" s="46">
        <v>42644</v>
      </c>
      <c r="J147" s="47">
        <v>0.71</v>
      </c>
      <c r="K147" s="39">
        <f>J147-L147</f>
        <v>0.71</v>
      </c>
      <c r="L147" s="39">
        <v>0</v>
      </c>
      <c r="M147" s="40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</row>
    <row r="148" spans="1:49" s="42" customFormat="1" ht="22.7" customHeight="1" x14ac:dyDescent="0.25">
      <c r="A148" s="34">
        <f t="shared" si="8"/>
        <v>142</v>
      </c>
      <c r="B148" s="35" t="s">
        <v>431</v>
      </c>
      <c r="C148" s="36" t="s">
        <v>432</v>
      </c>
      <c r="D148" s="36" t="s">
        <v>26</v>
      </c>
      <c r="E148" s="36" t="s">
        <v>104</v>
      </c>
      <c r="F148" s="36" t="s">
        <v>105</v>
      </c>
      <c r="G148" s="37" t="s">
        <v>58</v>
      </c>
      <c r="H148" s="36" t="s">
        <v>30</v>
      </c>
      <c r="I148" s="46">
        <v>42767</v>
      </c>
      <c r="J148" s="47">
        <v>16.78</v>
      </c>
      <c r="K148" s="39">
        <f>J148-L148</f>
        <v>12.780000000000001</v>
      </c>
      <c r="L148" s="39">
        <v>4</v>
      </c>
      <c r="M148" s="40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</row>
    <row r="149" spans="1:49" s="42" customFormat="1" ht="22.7" customHeight="1" x14ac:dyDescent="0.25">
      <c r="A149" s="34">
        <f t="shared" si="8"/>
        <v>143</v>
      </c>
      <c r="B149" s="35" t="s">
        <v>433</v>
      </c>
      <c r="C149" s="36" t="s">
        <v>434</v>
      </c>
      <c r="D149" s="36" t="s">
        <v>72</v>
      </c>
      <c r="E149" s="36" t="s">
        <v>104</v>
      </c>
      <c r="F149" s="36" t="s">
        <v>105</v>
      </c>
      <c r="G149" s="37" t="s">
        <v>58</v>
      </c>
      <c r="H149" s="36" t="s">
        <v>30</v>
      </c>
      <c r="I149" s="46">
        <v>42767</v>
      </c>
      <c r="J149" s="47">
        <v>22.45</v>
      </c>
      <c r="K149" s="39">
        <f>J149-L149</f>
        <v>16.45</v>
      </c>
      <c r="L149" s="39">
        <v>6</v>
      </c>
      <c r="M149" s="40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</row>
    <row r="150" spans="1:49" s="42" customFormat="1" ht="22.7" customHeight="1" x14ac:dyDescent="0.25">
      <c r="A150" s="34">
        <f t="shared" si="8"/>
        <v>144</v>
      </c>
      <c r="B150" s="35" t="s">
        <v>437</v>
      </c>
      <c r="C150" s="36" t="s">
        <v>438</v>
      </c>
      <c r="D150" s="36" t="s">
        <v>26</v>
      </c>
      <c r="E150" s="36" t="s">
        <v>73</v>
      </c>
      <c r="F150" s="36" t="s">
        <v>74</v>
      </c>
      <c r="G150" s="37" t="s">
        <v>75</v>
      </c>
      <c r="H150" s="36" t="s">
        <v>23</v>
      </c>
      <c r="I150" s="46">
        <v>44562</v>
      </c>
      <c r="J150" s="47">
        <v>0</v>
      </c>
      <c r="K150" s="39">
        <v>0</v>
      </c>
      <c r="L150" s="39">
        <v>0</v>
      </c>
      <c r="M150" s="40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</row>
    <row r="151" spans="1:49" s="42" customFormat="1" ht="22.7" customHeight="1" x14ac:dyDescent="0.25">
      <c r="A151" s="34">
        <f t="shared" si="8"/>
        <v>145</v>
      </c>
      <c r="B151" s="35" t="s">
        <v>439</v>
      </c>
      <c r="C151" s="36" t="s">
        <v>440</v>
      </c>
      <c r="D151" s="36" t="s">
        <v>45</v>
      </c>
      <c r="E151" s="36" t="s">
        <v>441</v>
      </c>
      <c r="F151" s="36" t="s">
        <v>264</v>
      </c>
      <c r="G151" s="37" t="s">
        <v>265</v>
      </c>
      <c r="H151" s="36" t="s">
        <v>30</v>
      </c>
      <c r="I151" s="46">
        <v>43556</v>
      </c>
      <c r="J151" s="47">
        <v>22.58</v>
      </c>
      <c r="K151" s="39">
        <f t="shared" ref="K151:K157" si="9">J151-L151</f>
        <v>16.579999999999998</v>
      </c>
      <c r="L151" s="39">
        <v>6</v>
      </c>
      <c r="M151" s="40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</row>
    <row r="152" spans="1:49" s="42" customFormat="1" ht="22.7" customHeight="1" x14ac:dyDescent="0.25">
      <c r="A152" s="34">
        <f t="shared" si="8"/>
        <v>146</v>
      </c>
      <c r="B152" s="35" t="s">
        <v>442</v>
      </c>
      <c r="C152" s="36" t="s">
        <v>443</v>
      </c>
      <c r="D152" s="36" t="s">
        <v>179</v>
      </c>
      <c r="E152" s="36" t="s">
        <v>141</v>
      </c>
      <c r="F152" s="36" t="s">
        <v>57</v>
      </c>
      <c r="G152" s="37" t="s">
        <v>58</v>
      </c>
      <c r="H152" s="36" t="s">
        <v>23</v>
      </c>
      <c r="I152" s="46">
        <v>44562</v>
      </c>
      <c r="J152" s="47">
        <v>0</v>
      </c>
      <c r="K152" s="39">
        <f t="shared" si="9"/>
        <v>0</v>
      </c>
      <c r="L152" s="39">
        <v>0</v>
      </c>
      <c r="M152" s="40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</row>
    <row r="153" spans="1:49" s="42" customFormat="1" ht="22.7" customHeight="1" x14ac:dyDescent="0.25">
      <c r="A153" s="34">
        <f t="shared" si="8"/>
        <v>147</v>
      </c>
      <c r="B153" s="35" t="s">
        <v>444</v>
      </c>
      <c r="C153" s="36" t="s">
        <v>445</v>
      </c>
      <c r="D153" s="36" t="s">
        <v>45</v>
      </c>
      <c r="E153" s="36" t="s">
        <v>446</v>
      </c>
      <c r="F153" s="36" t="s">
        <v>57</v>
      </c>
      <c r="G153" s="37" t="s">
        <v>58</v>
      </c>
      <c r="H153" s="36" t="s">
        <v>30</v>
      </c>
      <c r="I153" s="46">
        <v>42278</v>
      </c>
      <c r="J153" s="47">
        <v>8.9</v>
      </c>
      <c r="K153" s="39">
        <f t="shared" si="9"/>
        <v>8.9</v>
      </c>
      <c r="L153" s="39">
        <v>0</v>
      </c>
      <c r="M153" s="40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</row>
    <row r="154" spans="1:49" s="42" customFormat="1" ht="22.7" customHeight="1" x14ac:dyDescent="0.25">
      <c r="A154" s="34">
        <f t="shared" si="8"/>
        <v>148</v>
      </c>
      <c r="B154" s="35" t="s">
        <v>538</v>
      </c>
      <c r="C154" s="36" t="s">
        <v>539</v>
      </c>
      <c r="D154" s="36" t="s">
        <v>64</v>
      </c>
      <c r="E154" s="36" t="s">
        <v>65</v>
      </c>
      <c r="F154" s="36" t="s">
        <v>47</v>
      </c>
      <c r="G154" s="37" t="s">
        <v>35</v>
      </c>
      <c r="H154" s="36" t="s">
        <v>30</v>
      </c>
      <c r="I154" s="46">
        <v>44835</v>
      </c>
      <c r="J154" s="47">
        <v>5.44</v>
      </c>
      <c r="K154" s="39">
        <f t="shared" si="9"/>
        <v>5.44</v>
      </c>
      <c r="L154" s="39">
        <v>0</v>
      </c>
      <c r="M154" s="40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</row>
    <row r="155" spans="1:49" s="42" customFormat="1" ht="22.7" customHeight="1" x14ac:dyDescent="0.25">
      <c r="A155" s="34">
        <f t="shared" si="8"/>
        <v>149</v>
      </c>
      <c r="B155" s="35" t="s">
        <v>447</v>
      </c>
      <c r="C155" s="36" t="s">
        <v>448</v>
      </c>
      <c r="D155" s="36" t="s">
        <v>45</v>
      </c>
      <c r="E155" s="36" t="s">
        <v>449</v>
      </c>
      <c r="F155" s="36" t="s">
        <v>47</v>
      </c>
      <c r="G155" s="37" t="s">
        <v>35</v>
      </c>
      <c r="H155" s="36" t="s">
        <v>30</v>
      </c>
      <c r="I155" s="46">
        <v>42522</v>
      </c>
      <c r="J155" s="47">
        <v>17.55</v>
      </c>
      <c r="K155" s="39">
        <f t="shared" si="9"/>
        <v>13.55</v>
      </c>
      <c r="L155" s="39">
        <v>4</v>
      </c>
      <c r="M155" s="40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</row>
    <row r="156" spans="1:49" s="42" customFormat="1" ht="22.7" customHeight="1" x14ac:dyDescent="0.25">
      <c r="A156" s="34">
        <f t="shared" si="8"/>
        <v>150</v>
      </c>
      <c r="B156" s="35" t="s">
        <v>450</v>
      </c>
      <c r="C156" s="36" t="s">
        <v>451</v>
      </c>
      <c r="D156" s="36" t="s">
        <v>116</v>
      </c>
      <c r="E156" s="36" t="s">
        <v>452</v>
      </c>
      <c r="F156" s="36" t="s">
        <v>47</v>
      </c>
      <c r="G156" s="37" t="s">
        <v>35</v>
      </c>
      <c r="H156" s="36" t="s">
        <v>30</v>
      </c>
      <c r="I156" s="46">
        <v>36586</v>
      </c>
      <c r="J156" s="47">
        <v>25.14</v>
      </c>
      <c r="K156" s="39">
        <f t="shared" si="9"/>
        <v>19.14</v>
      </c>
      <c r="L156" s="39">
        <v>6</v>
      </c>
      <c r="M156" s="40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</row>
    <row r="157" spans="1:49" s="42" customFormat="1" ht="22.7" customHeight="1" x14ac:dyDescent="0.25">
      <c r="A157" s="34">
        <f t="shared" si="8"/>
        <v>151</v>
      </c>
      <c r="B157" s="35" t="s">
        <v>540</v>
      </c>
      <c r="C157" s="36" t="s">
        <v>541</v>
      </c>
      <c r="D157" s="36" t="s">
        <v>19</v>
      </c>
      <c r="E157" s="36" t="s">
        <v>165</v>
      </c>
      <c r="F157" s="36" t="s">
        <v>34</v>
      </c>
      <c r="G157" s="37" t="s">
        <v>35</v>
      </c>
      <c r="H157" s="36" t="s">
        <v>23</v>
      </c>
      <c r="I157" s="46">
        <v>44563</v>
      </c>
      <c r="J157" s="47">
        <v>24.89</v>
      </c>
      <c r="K157" s="39">
        <f t="shared" si="9"/>
        <v>24.89</v>
      </c>
      <c r="L157" s="39">
        <v>0</v>
      </c>
      <c r="M157" s="40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</row>
    <row r="158" spans="1:49" s="42" customFormat="1" ht="22.7" customHeight="1" x14ac:dyDescent="0.25">
      <c r="A158" s="34">
        <f t="shared" si="8"/>
        <v>152</v>
      </c>
      <c r="B158" s="35" t="s">
        <v>453</v>
      </c>
      <c r="C158" s="36" t="s">
        <v>454</v>
      </c>
      <c r="D158" s="36" t="s">
        <v>45</v>
      </c>
      <c r="E158" s="36" t="s">
        <v>219</v>
      </c>
      <c r="F158" s="36" t="s">
        <v>47</v>
      </c>
      <c r="G158" s="37" t="s">
        <v>35</v>
      </c>
      <c r="H158" s="36" t="s">
        <v>23</v>
      </c>
      <c r="I158" s="46">
        <v>44562</v>
      </c>
      <c r="J158" s="47">
        <v>0</v>
      </c>
      <c r="K158" s="39">
        <v>0</v>
      </c>
      <c r="L158" s="39">
        <v>0</v>
      </c>
      <c r="M158" s="40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</row>
    <row r="159" spans="1:49" s="42" customFormat="1" ht="22.7" customHeight="1" x14ac:dyDescent="0.25">
      <c r="A159" s="34">
        <f t="shared" si="8"/>
        <v>153</v>
      </c>
      <c r="B159" s="35" t="s">
        <v>455</v>
      </c>
      <c r="C159" s="36" t="s">
        <v>456</v>
      </c>
      <c r="D159" s="36" t="s">
        <v>45</v>
      </c>
      <c r="E159" s="36" t="s">
        <v>457</v>
      </c>
      <c r="F159" s="36" t="s">
        <v>122</v>
      </c>
      <c r="G159" s="37" t="s">
        <v>93</v>
      </c>
      <c r="H159" s="36" t="s">
        <v>30</v>
      </c>
      <c r="I159" s="46">
        <v>32906</v>
      </c>
      <c r="J159" s="47">
        <v>10.36</v>
      </c>
      <c r="K159" s="39">
        <f t="shared" ref="K159:K188" si="10">J159-L159</f>
        <v>10.36</v>
      </c>
      <c r="L159" s="39">
        <v>0</v>
      </c>
      <c r="M159" s="40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</row>
    <row r="160" spans="1:49" s="42" customFormat="1" ht="22.7" customHeight="1" x14ac:dyDescent="0.25">
      <c r="A160" s="34">
        <f t="shared" si="8"/>
        <v>154</v>
      </c>
      <c r="B160" s="35" t="s">
        <v>458</v>
      </c>
      <c r="C160" s="36" t="s">
        <v>459</v>
      </c>
      <c r="D160" s="36" t="s">
        <v>45</v>
      </c>
      <c r="E160" s="36" t="s">
        <v>46</v>
      </c>
      <c r="F160" s="36" t="s">
        <v>47</v>
      </c>
      <c r="G160" s="37" t="s">
        <v>35</v>
      </c>
      <c r="H160" s="36" t="s">
        <v>30</v>
      </c>
      <c r="I160" s="46">
        <v>42278</v>
      </c>
      <c r="J160" s="47">
        <v>7.5</v>
      </c>
      <c r="K160" s="39">
        <f t="shared" si="10"/>
        <v>7.5</v>
      </c>
      <c r="L160" s="39">
        <v>0</v>
      </c>
      <c r="M160" s="40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</row>
    <row r="161" spans="1:49" s="42" customFormat="1" ht="22.7" customHeight="1" x14ac:dyDescent="0.25">
      <c r="A161" s="34">
        <f t="shared" si="8"/>
        <v>155</v>
      </c>
      <c r="B161" s="35" t="s">
        <v>460</v>
      </c>
      <c r="C161" s="36" t="s">
        <v>461</v>
      </c>
      <c r="D161" s="36" t="s">
        <v>45</v>
      </c>
      <c r="E161" s="36" t="s">
        <v>263</v>
      </c>
      <c r="F161" s="36" t="s">
        <v>264</v>
      </c>
      <c r="G161" s="37" t="s">
        <v>265</v>
      </c>
      <c r="H161" s="36" t="s">
        <v>30</v>
      </c>
      <c r="I161" s="46">
        <v>43804</v>
      </c>
      <c r="J161" s="47">
        <v>2.14</v>
      </c>
      <c r="K161" s="39">
        <f t="shared" si="10"/>
        <v>2.14</v>
      </c>
      <c r="L161" s="39">
        <v>0</v>
      </c>
      <c r="M161" s="40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</row>
    <row r="162" spans="1:49" s="42" customFormat="1" ht="22.7" customHeight="1" x14ac:dyDescent="0.25">
      <c r="A162" s="34">
        <f t="shared" si="8"/>
        <v>156</v>
      </c>
      <c r="B162" s="35" t="s">
        <v>462</v>
      </c>
      <c r="C162" s="36" t="s">
        <v>463</v>
      </c>
      <c r="D162" s="36" t="s">
        <v>72</v>
      </c>
      <c r="E162" s="36" t="s">
        <v>73</v>
      </c>
      <c r="F162" s="36" t="s">
        <v>74</v>
      </c>
      <c r="G162" s="37" t="s">
        <v>75</v>
      </c>
      <c r="H162" s="36" t="s">
        <v>30</v>
      </c>
      <c r="I162" s="46">
        <v>44470</v>
      </c>
      <c r="J162" s="47">
        <v>0</v>
      </c>
      <c r="K162" s="39">
        <f t="shared" si="10"/>
        <v>0</v>
      </c>
      <c r="L162" s="39">
        <v>0</v>
      </c>
      <c r="M162" s="40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</row>
    <row r="163" spans="1:49" s="42" customFormat="1" ht="22.7" customHeight="1" x14ac:dyDescent="0.25">
      <c r="A163" s="34">
        <f t="shared" si="8"/>
        <v>157</v>
      </c>
      <c r="B163" s="35" t="s">
        <v>464</v>
      </c>
      <c r="C163" s="36" t="s">
        <v>465</v>
      </c>
      <c r="D163" s="36" t="s">
        <v>161</v>
      </c>
      <c r="E163" s="36" t="s">
        <v>162</v>
      </c>
      <c r="F163" s="36" t="s">
        <v>57</v>
      </c>
      <c r="G163" s="37" t="s">
        <v>58</v>
      </c>
      <c r="H163" s="36" t="s">
        <v>23</v>
      </c>
      <c r="I163" s="46">
        <v>44562</v>
      </c>
      <c r="J163" s="47">
        <v>0</v>
      </c>
      <c r="K163" s="39">
        <f t="shared" si="10"/>
        <v>0</v>
      </c>
      <c r="L163" s="39">
        <v>0</v>
      </c>
      <c r="M163" s="40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</row>
    <row r="164" spans="1:49" s="42" customFormat="1" ht="22.7" customHeight="1" x14ac:dyDescent="0.25">
      <c r="A164" s="34">
        <f t="shared" si="8"/>
        <v>158</v>
      </c>
      <c r="B164" s="35" t="s">
        <v>466</v>
      </c>
      <c r="C164" s="36" t="s">
        <v>467</v>
      </c>
      <c r="D164" s="36" t="s">
        <v>45</v>
      </c>
      <c r="E164" s="36" t="s">
        <v>449</v>
      </c>
      <c r="F164" s="36" t="s">
        <v>47</v>
      </c>
      <c r="G164" s="37" t="s">
        <v>35</v>
      </c>
      <c r="H164" s="36" t="s">
        <v>30</v>
      </c>
      <c r="I164" s="46">
        <v>41913</v>
      </c>
      <c r="J164" s="47">
        <v>7.5</v>
      </c>
      <c r="K164" s="39">
        <f t="shared" si="10"/>
        <v>7.5</v>
      </c>
      <c r="L164" s="39">
        <v>0</v>
      </c>
      <c r="M164" s="40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</row>
    <row r="165" spans="1:49" s="42" customFormat="1" ht="22.7" customHeight="1" x14ac:dyDescent="0.25">
      <c r="A165" s="34">
        <f t="shared" si="8"/>
        <v>159</v>
      </c>
      <c r="B165" s="35" t="s">
        <v>468</v>
      </c>
      <c r="C165" s="36" t="s">
        <v>469</v>
      </c>
      <c r="D165" s="36" t="s">
        <v>45</v>
      </c>
      <c r="E165" s="36" t="s">
        <v>470</v>
      </c>
      <c r="F165" s="36" t="s">
        <v>40</v>
      </c>
      <c r="G165" s="37" t="s">
        <v>41</v>
      </c>
      <c r="H165" s="36" t="s">
        <v>30</v>
      </c>
      <c r="I165" s="46">
        <v>42156</v>
      </c>
      <c r="J165" s="47">
        <v>17.22</v>
      </c>
      <c r="K165" s="39">
        <f t="shared" si="10"/>
        <v>13.219999999999999</v>
      </c>
      <c r="L165" s="39">
        <v>4</v>
      </c>
      <c r="M165" s="40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</row>
    <row r="166" spans="1:49" s="42" customFormat="1" ht="22.7" customHeight="1" x14ac:dyDescent="0.25">
      <c r="A166" s="34">
        <f t="shared" si="8"/>
        <v>160</v>
      </c>
      <c r="B166" s="35" t="s">
        <v>471</v>
      </c>
      <c r="C166" s="36" t="s">
        <v>472</v>
      </c>
      <c r="D166" s="36" t="s">
        <v>26</v>
      </c>
      <c r="E166" s="36" t="s">
        <v>33</v>
      </c>
      <c r="F166" s="36" t="s">
        <v>34</v>
      </c>
      <c r="G166" s="37" t="s">
        <v>35</v>
      </c>
      <c r="H166" s="36" t="s">
        <v>30</v>
      </c>
      <c r="I166" s="46">
        <v>42430</v>
      </c>
      <c r="J166" s="47">
        <v>11.55</v>
      </c>
      <c r="K166" s="39">
        <f t="shared" si="10"/>
        <v>11.55</v>
      </c>
      <c r="L166" s="39">
        <v>0</v>
      </c>
      <c r="M166" s="40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</row>
    <row r="167" spans="1:49" s="42" customFormat="1" ht="22.7" customHeight="1" x14ac:dyDescent="0.25">
      <c r="A167" s="34">
        <f t="shared" si="8"/>
        <v>161</v>
      </c>
      <c r="B167" s="35" t="s">
        <v>473</v>
      </c>
      <c r="C167" s="36" t="s">
        <v>474</v>
      </c>
      <c r="D167" s="36" t="s">
        <v>161</v>
      </c>
      <c r="E167" s="36" t="s">
        <v>162</v>
      </c>
      <c r="F167" s="36" t="s">
        <v>57</v>
      </c>
      <c r="G167" s="37" t="s">
        <v>58</v>
      </c>
      <c r="H167" s="36" t="s">
        <v>30</v>
      </c>
      <c r="I167" s="46">
        <v>42125</v>
      </c>
      <c r="J167" s="47">
        <v>20.11</v>
      </c>
      <c r="K167" s="39">
        <f t="shared" si="10"/>
        <v>16.11</v>
      </c>
      <c r="L167" s="39">
        <v>4</v>
      </c>
      <c r="M167" s="40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</row>
    <row r="168" spans="1:49" s="42" customFormat="1" ht="22.7" customHeight="1" x14ac:dyDescent="0.25">
      <c r="A168" s="34">
        <f t="shared" ref="A168:A188" si="11">SUM(A167:A167+1)</f>
        <v>162</v>
      </c>
      <c r="B168" s="35" t="s">
        <v>475</v>
      </c>
      <c r="C168" s="36" t="s">
        <v>476</v>
      </c>
      <c r="D168" s="36" t="s">
        <v>179</v>
      </c>
      <c r="E168" s="36" t="s">
        <v>141</v>
      </c>
      <c r="F168" s="36" t="s">
        <v>57</v>
      </c>
      <c r="G168" s="37" t="s">
        <v>58</v>
      </c>
      <c r="H168" s="36" t="s">
        <v>23</v>
      </c>
      <c r="I168" s="46">
        <v>44562</v>
      </c>
      <c r="J168" s="47">
        <v>0</v>
      </c>
      <c r="K168" s="39">
        <f t="shared" si="10"/>
        <v>0</v>
      </c>
      <c r="L168" s="39">
        <v>0</v>
      </c>
      <c r="M168" s="40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</row>
    <row r="169" spans="1:49" s="42" customFormat="1" ht="22.7" customHeight="1" x14ac:dyDescent="0.25">
      <c r="A169" s="34">
        <f t="shared" si="11"/>
        <v>163</v>
      </c>
      <c r="B169" s="35" t="s">
        <v>477</v>
      </c>
      <c r="C169" s="36" t="s">
        <v>478</v>
      </c>
      <c r="D169" s="36" t="s">
        <v>297</v>
      </c>
      <c r="E169" s="36" t="s">
        <v>86</v>
      </c>
      <c r="F169" s="36" t="s">
        <v>92</v>
      </c>
      <c r="G169" s="37" t="s">
        <v>93</v>
      </c>
      <c r="H169" s="36" t="s">
        <v>30</v>
      </c>
      <c r="I169" s="46">
        <v>41699</v>
      </c>
      <c r="J169" s="47">
        <v>25.14</v>
      </c>
      <c r="K169" s="39">
        <f t="shared" si="10"/>
        <v>25.14</v>
      </c>
      <c r="L169" s="39">
        <v>0</v>
      </c>
      <c r="M169" s="40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</row>
    <row r="170" spans="1:49" s="42" customFormat="1" ht="22.7" customHeight="1" x14ac:dyDescent="0.25">
      <c r="A170" s="34">
        <f t="shared" si="11"/>
        <v>164</v>
      </c>
      <c r="B170" s="35" t="s">
        <v>479</v>
      </c>
      <c r="C170" s="36" t="s">
        <v>480</v>
      </c>
      <c r="D170" s="36" t="s">
        <v>26</v>
      </c>
      <c r="E170" s="36" t="s">
        <v>33</v>
      </c>
      <c r="F170" s="36" t="s">
        <v>34</v>
      </c>
      <c r="G170" s="37" t="s">
        <v>35</v>
      </c>
      <c r="H170" s="36" t="s">
        <v>30</v>
      </c>
      <c r="I170" s="46">
        <v>42767</v>
      </c>
      <c r="J170" s="47">
        <v>12.68</v>
      </c>
      <c r="K170" s="39">
        <f t="shared" si="10"/>
        <v>12.68</v>
      </c>
      <c r="L170" s="39">
        <v>0</v>
      </c>
      <c r="M170" s="40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</row>
    <row r="171" spans="1:49" s="42" customFormat="1" ht="22.7" customHeight="1" x14ac:dyDescent="0.25">
      <c r="A171" s="34">
        <f t="shared" si="11"/>
        <v>165</v>
      </c>
      <c r="B171" s="35" t="s">
        <v>481</v>
      </c>
      <c r="C171" s="36" t="s">
        <v>482</v>
      </c>
      <c r="D171" s="36" t="s">
        <v>45</v>
      </c>
      <c r="E171" s="36" t="s">
        <v>449</v>
      </c>
      <c r="F171" s="36" t="s">
        <v>47</v>
      </c>
      <c r="G171" s="37" t="s">
        <v>35</v>
      </c>
      <c r="H171" s="36" t="s">
        <v>30</v>
      </c>
      <c r="I171" s="46">
        <v>42156</v>
      </c>
      <c r="J171" s="47">
        <v>17.55</v>
      </c>
      <c r="K171" s="39">
        <f t="shared" si="10"/>
        <v>17.55</v>
      </c>
      <c r="L171" s="39">
        <v>0</v>
      </c>
      <c r="M171" s="40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</row>
    <row r="172" spans="1:49" s="42" customFormat="1" ht="22.7" customHeight="1" x14ac:dyDescent="0.25">
      <c r="A172" s="34">
        <f t="shared" si="11"/>
        <v>166</v>
      </c>
      <c r="B172" s="35" t="s">
        <v>483</v>
      </c>
      <c r="C172" s="36" t="s">
        <v>484</v>
      </c>
      <c r="D172" s="36" t="s">
        <v>120</v>
      </c>
      <c r="E172" s="36" t="s">
        <v>395</v>
      </c>
      <c r="F172" s="36" t="s">
        <v>47</v>
      </c>
      <c r="G172" s="37" t="s">
        <v>35</v>
      </c>
      <c r="H172" s="36" t="s">
        <v>30</v>
      </c>
      <c r="I172" s="46">
        <v>42278</v>
      </c>
      <c r="J172" s="47">
        <v>5.77</v>
      </c>
      <c r="K172" s="39">
        <f t="shared" si="10"/>
        <v>5.77</v>
      </c>
      <c r="L172" s="39">
        <v>0</v>
      </c>
      <c r="M172" s="40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</row>
    <row r="173" spans="1:49" s="42" customFormat="1" ht="22.7" customHeight="1" x14ac:dyDescent="0.25">
      <c r="A173" s="34">
        <f t="shared" si="11"/>
        <v>167</v>
      </c>
      <c r="B173" s="35" t="s">
        <v>485</v>
      </c>
      <c r="C173" s="36" t="s">
        <v>486</v>
      </c>
      <c r="D173" s="36" t="s">
        <v>26</v>
      </c>
      <c r="E173" s="36" t="s">
        <v>33</v>
      </c>
      <c r="F173" s="36" t="s">
        <v>34</v>
      </c>
      <c r="G173" s="37" t="s">
        <v>35</v>
      </c>
      <c r="H173" s="36" t="s">
        <v>30</v>
      </c>
      <c r="I173" s="46">
        <v>42767</v>
      </c>
      <c r="J173" s="47">
        <v>12.08</v>
      </c>
      <c r="K173" s="39">
        <f t="shared" si="10"/>
        <v>12.08</v>
      </c>
      <c r="L173" s="39">
        <v>0</v>
      </c>
      <c r="M173" s="40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</row>
    <row r="174" spans="1:49" s="42" customFormat="1" ht="22.7" customHeight="1" x14ac:dyDescent="0.25">
      <c r="A174" s="34">
        <f t="shared" si="11"/>
        <v>168</v>
      </c>
      <c r="B174" s="35" t="s">
        <v>487</v>
      </c>
      <c r="C174" s="36" t="s">
        <v>488</v>
      </c>
      <c r="D174" s="36" t="s">
        <v>26</v>
      </c>
      <c r="E174" s="36" t="s">
        <v>33</v>
      </c>
      <c r="F174" s="36" t="s">
        <v>34</v>
      </c>
      <c r="G174" s="37" t="s">
        <v>35</v>
      </c>
      <c r="H174" s="36" t="s">
        <v>30</v>
      </c>
      <c r="I174" s="46">
        <v>44470</v>
      </c>
      <c r="J174" s="47">
        <v>7.5</v>
      </c>
      <c r="K174" s="39">
        <f t="shared" si="10"/>
        <v>7.5</v>
      </c>
      <c r="L174" s="39">
        <v>0</v>
      </c>
      <c r="M174" s="40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</row>
    <row r="175" spans="1:49" s="42" customFormat="1" ht="22.7" customHeight="1" x14ac:dyDescent="0.25">
      <c r="A175" s="34">
        <f t="shared" si="11"/>
        <v>169</v>
      </c>
      <c r="B175" s="35" t="s">
        <v>489</v>
      </c>
      <c r="C175" s="36" t="s">
        <v>490</v>
      </c>
      <c r="D175" s="36" t="s">
        <v>45</v>
      </c>
      <c r="E175" s="36" t="s">
        <v>61</v>
      </c>
      <c r="F175" s="36" t="s">
        <v>21</v>
      </c>
      <c r="G175" s="37" t="s">
        <v>22</v>
      </c>
      <c r="H175" s="36" t="s">
        <v>30</v>
      </c>
      <c r="I175" s="46">
        <v>42156</v>
      </c>
      <c r="J175" s="47">
        <v>17.55</v>
      </c>
      <c r="K175" s="39">
        <f t="shared" si="10"/>
        <v>13.55</v>
      </c>
      <c r="L175" s="39">
        <v>4</v>
      </c>
      <c r="M175" s="40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</row>
    <row r="176" spans="1:49" s="42" customFormat="1" ht="22.7" customHeight="1" x14ac:dyDescent="0.25">
      <c r="A176" s="34">
        <f t="shared" si="11"/>
        <v>170</v>
      </c>
      <c r="B176" s="35" t="s">
        <v>542</v>
      </c>
      <c r="C176" s="36" t="s">
        <v>543</v>
      </c>
      <c r="D176" s="36" t="s">
        <v>26</v>
      </c>
      <c r="E176" s="36" t="s">
        <v>73</v>
      </c>
      <c r="F176" s="36" t="s">
        <v>74</v>
      </c>
      <c r="G176" s="37" t="s">
        <v>75</v>
      </c>
      <c r="H176" s="36" t="s">
        <v>23</v>
      </c>
      <c r="I176" s="46">
        <v>44562</v>
      </c>
      <c r="J176" s="47">
        <v>0</v>
      </c>
      <c r="K176" s="39">
        <f t="shared" si="10"/>
        <v>0</v>
      </c>
      <c r="L176" s="39">
        <v>0</v>
      </c>
      <c r="M176" s="40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</row>
    <row r="177" spans="1:49" s="42" customFormat="1" ht="22.7" customHeight="1" x14ac:dyDescent="0.25">
      <c r="A177" s="34">
        <f t="shared" si="11"/>
        <v>171</v>
      </c>
      <c r="B177" s="35" t="s">
        <v>491</v>
      </c>
      <c r="C177" s="36" t="s">
        <v>492</v>
      </c>
      <c r="D177" s="36" t="s">
        <v>45</v>
      </c>
      <c r="E177" s="36" t="s">
        <v>493</v>
      </c>
      <c r="F177" s="36" t="s">
        <v>277</v>
      </c>
      <c r="G177" s="37" t="s">
        <v>75</v>
      </c>
      <c r="H177" s="36" t="s">
        <v>23</v>
      </c>
      <c r="I177" s="46">
        <v>44562</v>
      </c>
      <c r="J177" s="47">
        <v>0</v>
      </c>
      <c r="K177" s="39">
        <f t="shared" si="10"/>
        <v>0</v>
      </c>
      <c r="L177" s="39">
        <v>0</v>
      </c>
      <c r="M177" s="40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</row>
    <row r="178" spans="1:49" s="42" customFormat="1" ht="22.7" customHeight="1" x14ac:dyDescent="0.25">
      <c r="A178" s="34">
        <f t="shared" si="11"/>
        <v>172</v>
      </c>
      <c r="B178" s="35" t="s">
        <v>494</v>
      </c>
      <c r="C178" s="36" t="s">
        <v>495</v>
      </c>
      <c r="D178" s="36" t="s">
        <v>55</v>
      </c>
      <c r="E178" s="36" t="s">
        <v>56</v>
      </c>
      <c r="F178" s="36" t="s">
        <v>57</v>
      </c>
      <c r="G178" s="37" t="s">
        <v>58</v>
      </c>
      <c r="H178" s="36" t="s">
        <v>30</v>
      </c>
      <c r="I178" s="46">
        <v>42278</v>
      </c>
      <c r="J178" s="47">
        <v>7.5</v>
      </c>
      <c r="K178" s="39">
        <f t="shared" si="10"/>
        <v>7.5</v>
      </c>
      <c r="L178" s="39">
        <v>0</v>
      </c>
      <c r="M178" s="40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</row>
    <row r="179" spans="1:49" s="42" customFormat="1" ht="22.7" customHeight="1" x14ac:dyDescent="0.25">
      <c r="A179" s="34">
        <f t="shared" si="11"/>
        <v>173</v>
      </c>
      <c r="B179" s="35" t="s">
        <v>496</v>
      </c>
      <c r="C179" s="36" t="s">
        <v>497</v>
      </c>
      <c r="D179" s="36" t="s">
        <v>297</v>
      </c>
      <c r="E179" s="36" t="s">
        <v>298</v>
      </c>
      <c r="F179" s="36" t="s">
        <v>57</v>
      </c>
      <c r="G179" s="37" t="s">
        <v>58</v>
      </c>
      <c r="H179" s="36" t="s">
        <v>23</v>
      </c>
      <c r="I179" s="46">
        <v>44563</v>
      </c>
      <c r="J179" s="47">
        <v>13.86</v>
      </c>
      <c r="K179" s="39">
        <f t="shared" si="10"/>
        <v>13.86</v>
      </c>
      <c r="L179" s="39">
        <v>0</v>
      </c>
      <c r="M179" s="40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</row>
    <row r="180" spans="1:49" s="42" customFormat="1" ht="22.7" customHeight="1" x14ac:dyDescent="0.25">
      <c r="A180" s="34">
        <f t="shared" si="11"/>
        <v>174</v>
      </c>
      <c r="B180" s="35" t="s">
        <v>498</v>
      </c>
      <c r="C180" s="36" t="s">
        <v>499</v>
      </c>
      <c r="D180" s="36" t="s">
        <v>179</v>
      </c>
      <c r="E180" s="36" t="s">
        <v>141</v>
      </c>
      <c r="F180" s="36" t="s">
        <v>57</v>
      </c>
      <c r="G180" s="37" t="s">
        <v>58</v>
      </c>
      <c r="H180" s="36" t="s">
        <v>23</v>
      </c>
      <c r="I180" s="46">
        <v>44562</v>
      </c>
      <c r="J180" s="47">
        <v>0</v>
      </c>
      <c r="K180" s="39">
        <f t="shared" si="10"/>
        <v>0</v>
      </c>
      <c r="L180" s="39">
        <v>0</v>
      </c>
      <c r="M180" s="40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</row>
    <row r="181" spans="1:49" s="42" customFormat="1" ht="22.7" customHeight="1" x14ac:dyDescent="0.25">
      <c r="A181" s="34">
        <f t="shared" si="11"/>
        <v>175</v>
      </c>
      <c r="B181" s="35" t="s">
        <v>500</v>
      </c>
      <c r="C181" s="36" t="s">
        <v>501</v>
      </c>
      <c r="D181" s="36" t="s">
        <v>72</v>
      </c>
      <c r="E181" s="36" t="s">
        <v>104</v>
      </c>
      <c r="F181" s="36" t="s">
        <v>105</v>
      </c>
      <c r="G181" s="37" t="s">
        <v>58</v>
      </c>
      <c r="H181" s="36" t="s">
        <v>30</v>
      </c>
      <c r="I181" s="46">
        <v>44470</v>
      </c>
      <c r="J181" s="47">
        <v>6.92</v>
      </c>
      <c r="K181" s="39">
        <f t="shared" si="10"/>
        <v>6.92</v>
      </c>
      <c r="L181" s="39">
        <v>0</v>
      </c>
      <c r="M181" s="40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</row>
    <row r="182" spans="1:49" s="42" customFormat="1" ht="22.7" customHeight="1" x14ac:dyDescent="0.25">
      <c r="A182" s="34">
        <f t="shared" si="11"/>
        <v>176</v>
      </c>
      <c r="B182" s="35" t="s">
        <v>544</v>
      </c>
      <c r="C182" s="36" t="s">
        <v>545</v>
      </c>
      <c r="D182" s="36" t="s">
        <v>26</v>
      </c>
      <c r="E182" s="36" t="s">
        <v>546</v>
      </c>
      <c r="F182" s="36" t="s">
        <v>92</v>
      </c>
      <c r="G182" s="37" t="s">
        <v>93</v>
      </c>
      <c r="H182" s="36" t="s">
        <v>30</v>
      </c>
      <c r="I182" s="46">
        <v>42826</v>
      </c>
      <c r="J182" s="47">
        <v>2.58</v>
      </c>
      <c r="K182" s="39">
        <f t="shared" si="10"/>
        <v>2.58</v>
      </c>
      <c r="L182" s="39">
        <v>0</v>
      </c>
      <c r="M182" s="40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</row>
    <row r="183" spans="1:49" s="42" customFormat="1" ht="22.7" customHeight="1" x14ac:dyDescent="0.25">
      <c r="A183" s="34">
        <f t="shared" si="11"/>
        <v>177</v>
      </c>
      <c r="B183" s="35" t="s">
        <v>504</v>
      </c>
      <c r="C183" s="36" t="s">
        <v>505</v>
      </c>
      <c r="D183" s="36" t="s">
        <v>112</v>
      </c>
      <c r="E183" s="36" t="s">
        <v>506</v>
      </c>
      <c r="F183" s="36" t="s">
        <v>122</v>
      </c>
      <c r="G183" s="37" t="s">
        <v>93</v>
      </c>
      <c r="H183" s="36" t="s">
        <v>30</v>
      </c>
      <c r="I183" s="46">
        <v>36312</v>
      </c>
      <c r="J183" s="47">
        <v>17.55</v>
      </c>
      <c r="K183" s="39">
        <f t="shared" si="10"/>
        <v>13.55</v>
      </c>
      <c r="L183" s="39">
        <v>4</v>
      </c>
      <c r="M183" s="40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</row>
    <row r="184" spans="1:49" s="42" customFormat="1" ht="22.7" customHeight="1" x14ac:dyDescent="0.25">
      <c r="A184" s="34">
        <f t="shared" si="11"/>
        <v>178</v>
      </c>
      <c r="B184" s="35" t="s">
        <v>507</v>
      </c>
      <c r="C184" s="36" t="s">
        <v>508</v>
      </c>
      <c r="D184" s="36" t="s">
        <v>55</v>
      </c>
      <c r="E184" s="36" t="s">
        <v>56</v>
      </c>
      <c r="F184" s="36" t="s">
        <v>57</v>
      </c>
      <c r="G184" s="37" t="s">
        <v>58</v>
      </c>
      <c r="H184" s="36" t="s">
        <v>30</v>
      </c>
      <c r="I184" s="46">
        <v>42156</v>
      </c>
      <c r="J184" s="47">
        <v>4.01</v>
      </c>
      <c r="K184" s="39">
        <f t="shared" si="10"/>
        <v>4.01</v>
      </c>
      <c r="L184" s="39">
        <v>0</v>
      </c>
      <c r="M184" s="40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</row>
    <row r="185" spans="1:49" s="42" customFormat="1" ht="22.7" customHeight="1" x14ac:dyDescent="0.25">
      <c r="A185" s="34">
        <f t="shared" si="11"/>
        <v>179</v>
      </c>
      <c r="B185" s="35" t="s">
        <v>509</v>
      </c>
      <c r="C185" s="36" t="s">
        <v>510</v>
      </c>
      <c r="D185" s="36" t="s">
        <v>26</v>
      </c>
      <c r="E185" s="36" t="s">
        <v>104</v>
      </c>
      <c r="F185" s="36" t="s">
        <v>105</v>
      </c>
      <c r="G185" s="37" t="s">
        <v>58</v>
      </c>
      <c r="H185" s="36" t="s">
        <v>30</v>
      </c>
      <c r="I185" s="46">
        <v>43497</v>
      </c>
      <c r="J185" s="47">
        <v>12.26</v>
      </c>
      <c r="K185" s="39">
        <f t="shared" si="10"/>
        <v>12.26</v>
      </c>
      <c r="L185" s="39">
        <v>0</v>
      </c>
      <c r="M185" s="40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</row>
    <row r="186" spans="1:49" s="42" customFormat="1" ht="22.7" customHeight="1" x14ac:dyDescent="0.25">
      <c r="A186" s="34">
        <f t="shared" si="11"/>
        <v>180</v>
      </c>
      <c r="B186" s="35" t="s">
        <v>547</v>
      </c>
      <c r="C186" s="36" t="s">
        <v>548</v>
      </c>
      <c r="D186" s="36" t="s">
        <v>45</v>
      </c>
      <c r="E186" s="36" t="s">
        <v>46</v>
      </c>
      <c r="F186" s="36" t="s">
        <v>47</v>
      </c>
      <c r="G186" s="37" t="s">
        <v>35</v>
      </c>
      <c r="H186" s="36" t="s">
        <v>30</v>
      </c>
      <c r="I186" s="46">
        <v>44805</v>
      </c>
      <c r="J186" s="47">
        <v>9.9700000000000006</v>
      </c>
      <c r="K186" s="39">
        <f t="shared" si="10"/>
        <v>9.9700000000000006</v>
      </c>
      <c r="L186" s="39">
        <v>0</v>
      </c>
      <c r="M186" s="40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</row>
    <row r="187" spans="1:49" s="42" customFormat="1" ht="22.7" customHeight="1" x14ac:dyDescent="0.25">
      <c r="A187" s="34">
        <f t="shared" si="11"/>
        <v>181</v>
      </c>
      <c r="B187" s="35" t="s">
        <v>549</v>
      </c>
      <c r="C187" s="36" t="s">
        <v>550</v>
      </c>
      <c r="D187" s="36" t="s">
        <v>26</v>
      </c>
      <c r="E187" s="36" t="s">
        <v>73</v>
      </c>
      <c r="F187" s="36" t="s">
        <v>74</v>
      </c>
      <c r="G187" s="37" t="s">
        <v>75</v>
      </c>
      <c r="H187" s="36" t="s">
        <v>23</v>
      </c>
      <c r="I187" s="46">
        <v>44562</v>
      </c>
      <c r="J187" s="47">
        <v>0</v>
      </c>
      <c r="K187" s="39">
        <f t="shared" si="10"/>
        <v>0</v>
      </c>
      <c r="L187" s="39">
        <v>0</v>
      </c>
      <c r="M187" s="40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</row>
    <row r="188" spans="1:49" s="42" customFormat="1" ht="22.7" customHeight="1" x14ac:dyDescent="0.25">
      <c r="A188" s="34">
        <f t="shared" si="11"/>
        <v>182</v>
      </c>
      <c r="B188" s="35" t="s">
        <v>551</v>
      </c>
      <c r="C188" s="36" t="s">
        <v>552</v>
      </c>
      <c r="D188" s="36" t="s">
        <v>55</v>
      </c>
      <c r="E188" s="36" t="s">
        <v>79</v>
      </c>
      <c r="F188" s="36" t="s">
        <v>57</v>
      </c>
      <c r="G188" s="37" t="s">
        <v>58</v>
      </c>
      <c r="H188" s="36" t="s">
        <v>23</v>
      </c>
      <c r="I188" s="46">
        <v>44866</v>
      </c>
      <c r="J188" s="47">
        <v>4.95</v>
      </c>
      <c r="K188" s="39">
        <f t="shared" si="10"/>
        <v>4.95</v>
      </c>
      <c r="L188" s="39">
        <v>0</v>
      </c>
      <c r="M188" s="40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</row>
    <row r="189" spans="1:49" x14ac:dyDescent="0.25">
      <c r="A189" s="48"/>
      <c r="B189" s="48"/>
      <c r="C189" s="49"/>
      <c r="D189" s="49"/>
      <c r="E189" s="49"/>
      <c r="F189" s="49"/>
      <c r="G189" s="48"/>
      <c r="H189" s="49"/>
      <c r="I189" s="50"/>
      <c r="J189" s="50"/>
      <c r="K189" s="50"/>
      <c r="L189" s="51"/>
      <c r="M189" s="52"/>
    </row>
  </sheetData>
  <autoFilter ref="A6:AW6"/>
  <mergeCells count="6">
    <mergeCell ref="B1:D1"/>
    <mergeCell ref="E1:L1"/>
    <mergeCell ref="A2:L2"/>
    <mergeCell ref="D3:H3"/>
    <mergeCell ref="D4:H4"/>
    <mergeCell ref="J4:M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W190"/>
  <sheetViews>
    <sheetView tabSelected="1" zoomScale="90" zoomScaleNormal="90" workbookViewId="0">
      <selection activeCell="E197" sqref="E197"/>
    </sheetView>
  </sheetViews>
  <sheetFormatPr baseColWidth="10" defaultColWidth="8.85546875" defaultRowHeight="15" x14ac:dyDescent="0.25"/>
  <cols>
    <col min="1" max="1" width="6" style="30" customWidth="1"/>
    <col min="2" max="2" width="10.7109375" style="30" customWidth="1"/>
    <col min="3" max="3" width="29.42578125" style="26" customWidth="1"/>
    <col min="4" max="4" width="41.5703125" style="26" customWidth="1"/>
    <col min="5" max="5" width="14.28515625" style="26" customWidth="1"/>
    <col min="6" max="6" width="21.5703125" style="26" customWidth="1"/>
    <col min="7" max="7" width="10" style="30" customWidth="1"/>
    <col min="8" max="8" width="15" style="26" customWidth="1"/>
    <col min="9" max="9" width="14" style="31" customWidth="1"/>
    <col min="10" max="10" width="10.7109375" style="31" customWidth="1"/>
    <col min="11" max="11" width="10.140625" style="31" customWidth="1"/>
    <col min="12" max="12" width="10.140625" style="25" customWidth="1"/>
    <col min="13" max="13" width="24.5703125" style="32" customWidth="1"/>
    <col min="14" max="49" width="11.42578125" style="4"/>
    <col min="50" max="1025" width="10.5703125" customWidth="1"/>
  </cols>
  <sheetData>
    <row r="1" spans="1:49" s="5" customFormat="1" ht="47.25" customHeight="1" x14ac:dyDescent="0.25">
      <c r="B1" s="71"/>
      <c r="C1" s="71"/>
      <c r="D1" s="71"/>
      <c r="E1" s="72" t="s">
        <v>0</v>
      </c>
      <c r="F1" s="72"/>
      <c r="G1" s="72"/>
      <c r="H1" s="72"/>
      <c r="I1" s="72"/>
      <c r="J1" s="72"/>
      <c r="K1" s="72"/>
      <c r="L1" s="72"/>
      <c r="M1" s="6"/>
    </row>
    <row r="2" spans="1:49" s="5" customFormat="1" ht="24.75" customHeight="1" x14ac:dyDescent="0.25">
      <c r="A2" s="73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49" s="5" customFormat="1" ht="13.5" customHeight="1" x14ac:dyDescent="0.25">
      <c r="A3" s="7" t="s">
        <v>2</v>
      </c>
      <c r="B3" s="8"/>
      <c r="C3" s="9"/>
      <c r="D3" s="74"/>
      <c r="E3" s="74"/>
      <c r="F3" s="74"/>
      <c r="G3" s="74"/>
      <c r="H3" s="74"/>
      <c r="I3" s="6"/>
      <c r="J3" s="6"/>
      <c r="K3" s="6"/>
      <c r="L3" s="6"/>
      <c r="M3" s="6"/>
    </row>
    <row r="4" spans="1:49" s="13" customFormat="1" ht="12" customHeight="1" x14ac:dyDescent="0.25">
      <c r="A4" s="7" t="s">
        <v>3</v>
      </c>
      <c r="B4" s="8"/>
      <c r="C4" s="10"/>
      <c r="D4" s="74"/>
      <c r="E4" s="74"/>
      <c r="F4" s="74"/>
      <c r="G4" s="74"/>
      <c r="H4" s="74"/>
      <c r="I4" s="11"/>
      <c r="J4" s="75"/>
      <c r="K4" s="75"/>
      <c r="L4" s="75"/>
      <c r="M4" s="75"/>
    </row>
    <row r="5" spans="1:49" s="13" customFormat="1" ht="17.25" customHeight="1" x14ac:dyDescent="0.25">
      <c r="B5" s="14"/>
      <c r="C5" s="14"/>
      <c r="D5" s="14"/>
      <c r="G5" s="12"/>
      <c r="H5" s="12"/>
      <c r="I5" s="11"/>
      <c r="J5" s="15"/>
      <c r="K5" s="12"/>
      <c r="L5" s="12"/>
      <c r="M5" s="12"/>
    </row>
    <row r="6" spans="1:49" s="19" customFormat="1" ht="86.25" customHeight="1" x14ac:dyDescent="0.25">
      <c r="A6" s="53" t="s">
        <v>4</v>
      </c>
      <c r="B6" s="53" t="s">
        <v>5</v>
      </c>
      <c r="C6" s="53" t="s">
        <v>6</v>
      </c>
      <c r="D6" s="54" t="s">
        <v>7</v>
      </c>
      <c r="E6" s="53" t="s">
        <v>8</v>
      </c>
      <c r="F6" s="53" t="s">
        <v>9</v>
      </c>
      <c r="G6" s="53" t="s">
        <v>10</v>
      </c>
      <c r="H6" s="53" t="s">
        <v>11</v>
      </c>
      <c r="I6" s="53" t="s">
        <v>12</v>
      </c>
      <c r="J6" s="53" t="s">
        <v>13</v>
      </c>
      <c r="K6" s="53" t="s">
        <v>14</v>
      </c>
      <c r="L6" s="53" t="s">
        <v>15</v>
      </c>
      <c r="M6" s="53" t="s">
        <v>16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</row>
    <row r="7" spans="1:49" ht="22.7" hidden="1" customHeight="1" x14ac:dyDescent="0.25">
      <c r="A7" s="55">
        <v>1</v>
      </c>
      <c r="B7" s="56" t="s">
        <v>17</v>
      </c>
      <c r="C7" s="57" t="s">
        <v>18</v>
      </c>
      <c r="D7" s="57" t="s">
        <v>19</v>
      </c>
      <c r="E7" s="57" t="s">
        <v>20</v>
      </c>
      <c r="F7" s="57" t="s">
        <v>21</v>
      </c>
      <c r="G7" s="58" t="s">
        <v>22</v>
      </c>
      <c r="H7" s="57" t="s">
        <v>23</v>
      </c>
      <c r="I7" s="59">
        <v>44927</v>
      </c>
      <c r="J7" s="60">
        <v>0</v>
      </c>
      <c r="K7" s="61">
        <f t="shared" ref="K7:K15" si="0">J7-L7</f>
        <v>0</v>
      </c>
      <c r="L7" s="62">
        <f t="shared" ref="L7:L15" si="1">+J7*26.66%</f>
        <v>0</v>
      </c>
      <c r="M7" s="63"/>
      <c r="N7"/>
    </row>
    <row r="8" spans="1:49" ht="22.7" hidden="1" customHeight="1" x14ac:dyDescent="0.25">
      <c r="A8" s="55">
        <f t="shared" ref="A8:A39" si="2">SUM(A7:A7+1)</f>
        <v>2</v>
      </c>
      <c r="B8" s="56" t="s">
        <v>24</v>
      </c>
      <c r="C8" s="57" t="s">
        <v>25</v>
      </c>
      <c r="D8" s="57" t="s">
        <v>26</v>
      </c>
      <c r="E8" s="57" t="s">
        <v>27</v>
      </c>
      <c r="F8" s="57" t="s">
        <v>28</v>
      </c>
      <c r="G8" s="58" t="s">
        <v>29</v>
      </c>
      <c r="H8" s="57" t="s">
        <v>30</v>
      </c>
      <c r="I8" s="59">
        <v>43832</v>
      </c>
      <c r="J8" s="60">
        <v>7</v>
      </c>
      <c r="K8" s="61">
        <f t="shared" si="0"/>
        <v>5.1337999999999999</v>
      </c>
      <c r="L8" s="62">
        <f t="shared" si="1"/>
        <v>1.8662000000000001</v>
      </c>
      <c r="M8" s="64"/>
      <c r="N8"/>
    </row>
    <row r="9" spans="1:49" s="4" customFormat="1" ht="22.7" hidden="1" customHeight="1" x14ac:dyDescent="0.25">
      <c r="A9" s="55">
        <f t="shared" si="2"/>
        <v>3</v>
      </c>
      <c r="B9" s="56" t="s">
        <v>31</v>
      </c>
      <c r="C9" s="57" t="s">
        <v>32</v>
      </c>
      <c r="D9" s="57" t="s">
        <v>26</v>
      </c>
      <c r="E9" s="57" t="s">
        <v>33</v>
      </c>
      <c r="F9" s="57" t="s">
        <v>34</v>
      </c>
      <c r="G9" s="58" t="s">
        <v>35</v>
      </c>
      <c r="H9" s="57" t="s">
        <v>30</v>
      </c>
      <c r="I9" s="59">
        <v>42156</v>
      </c>
      <c r="J9" s="60">
        <v>4</v>
      </c>
      <c r="K9" s="61">
        <f t="shared" si="0"/>
        <v>2.9336000000000002</v>
      </c>
      <c r="L9" s="62">
        <f t="shared" si="1"/>
        <v>1.0664</v>
      </c>
      <c r="M9" s="64"/>
      <c r="N9"/>
    </row>
    <row r="10" spans="1:49" s="4" customFormat="1" ht="22.7" hidden="1" customHeight="1" x14ac:dyDescent="0.25">
      <c r="A10" s="55">
        <f t="shared" si="2"/>
        <v>4</v>
      </c>
      <c r="B10" s="56" t="s">
        <v>36</v>
      </c>
      <c r="C10" s="57" t="s">
        <v>37</v>
      </c>
      <c r="D10" s="57" t="s">
        <v>38</v>
      </c>
      <c r="E10" s="57" t="s">
        <v>39</v>
      </c>
      <c r="F10" s="57" t="s">
        <v>40</v>
      </c>
      <c r="G10" s="58" t="s">
        <v>41</v>
      </c>
      <c r="H10" s="57" t="s">
        <v>30</v>
      </c>
      <c r="I10" s="59">
        <v>43467</v>
      </c>
      <c r="J10" s="60">
        <v>8</v>
      </c>
      <c r="K10" s="61">
        <f t="shared" si="0"/>
        <v>5.8672000000000004</v>
      </c>
      <c r="L10" s="62">
        <f t="shared" si="1"/>
        <v>2.1328</v>
      </c>
      <c r="M10" s="64"/>
      <c r="N10"/>
    </row>
    <row r="11" spans="1:49" s="4" customFormat="1" ht="22.7" hidden="1" customHeight="1" x14ac:dyDescent="0.25">
      <c r="A11" s="55">
        <f t="shared" si="2"/>
        <v>5</v>
      </c>
      <c r="B11" s="56" t="s">
        <v>43</v>
      </c>
      <c r="C11" s="57" t="s">
        <v>44</v>
      </c>
      <c r="D11" s="57" t="s">
        <v>45</v>
      </c>
      <c r="E11" s="57" t="s">
        <v>46</v>
      </c>
      <c r="F11" s="57" t="s">
        <v>47</v>
      </c>
      <c r="G11" s="58" t="s">
        <v>35</v>
      </c>
      <c r="H11" s="57" t="s">
        <v>30</v>
      </c>
      <c r="I11" s="59">
        <v>44501</v>
      </c>
      <c r="J11" s="60">
        <v>3</v>
      </c>
      <c r="K11" s="61">
        <f t="shared" si="0"/>
        <v>2.2001999999999997</v>
      </c>
      <c r="L11" s="62">
        <f t="shared" si="1"/>
        <v>0.79980000000000007</v>
      </c>
      <c r="M11" s="64"/>
      <c r="N11"/>
    </row>
    <row r="12" spans="1:49" s="4" customFormat="1" ht="22.7" hidden="1" customHeight="1" x14ac:dyDescent="0.25">
      <c r="A12" s="55">
        <f t="shared" si="2"/>
        <v>6</v>
      </c>
      <c r="B12" s="56" t="s">
        <v>49</v>
      </c>
      <c r="C12" s="57" t="s">
        <v>50</v>
      </c>
      <c r="D12" s="57" t="s">
        <v>26</v>
      </c>
      <c r="E12" s="57" t="s">
        <v>33</v>
      </c>
      <c r="F12" s="57" t="s">
        <v>34</v>
      </c>
      <c r="G12" s="58" t="s">
        <v>35</v>
      </c>
      <c r="H12" s="57" t="s">
        <v>30</v>
      </c>
      <c r="I12" s="59">
        <v>42767</v>
      </c>
      <c r="J12" s="60">
        <v>2</v>
      </c>
      <c r="K12" s="61">
        <f t="shared" si="0"/>
        <v>1.4668000000000001</v>
      </c>
      <c r="L12" s="62">
        <f t="shared" si="1"/>
        <v>0.53320000000000001</v>
      </c>
      <c r="M12" s="64"/>
      <c r="N12"/>
    </row>
    <row r="13" spans="1:49" s="4" customFormat="1" ht="22.7" hidden="1" customHeight="1" x14ac:dyDescent="0.25">
      <c r="A13" s="55">
        <f t="shared" si="2"/>
        <v>7</v>
      </c>
      <c r="B13" s="56" t="s">
        <v>51</v>
      </c>
      <c r="C13" s="57" t="s">
        <v>52</v>
      </c>
      <c r="D13" s="57" t="s">
        <v>26</v>
      </c>
      <c r="E13" s="57" t="s">
        <v>33</v>
      </c>
      <c r="F13" s="57" t="s">
        <v>34</v>
      </c>
      <c r="G13" s="58" t="s">
        <v>35</v>
      </c>
      <c r="H13" s="57" t="s">
        <v>30</v>
      </c>
      <c r="I13" s="59">
        <v>44470</v>
      </c>
      <c r="J13" s="60">
        <v>13</v>
      </c>
      <c r="K13" s="61">
        <f t="shared" si="0"/>
        <v>9.5342000000000002</v>
      </c>
      <c r="L13" s="62">
        <f t="shared" si="1"/>
        <v>3.4658000000000002</v>
      </c>
      <c r="M13" s="64"/>
      <c r="N13"/>
    </row>
    <row r="14" spans="1:49" s="4" customFormat="1" ht="22.7" hidden="1" customHeight="1" x14ac:dyDescent="0.25">
      <c r="A14" s="55">
        <f t="shared" si="2"/>
        <v>8</v>
      </c>
      <c r="B14" s="56" t="s">
        <v>53</v>
      </c>
      <c r="C14" s="57" t="s">
        <v>54</v>
      </c>
      <c r="D14" s="57" t="s">
        <v>55</v>
      </c>
      <c r="E14" s="57" t="s">
        <v>56</v>
      </c>
      <c r="F14" s="57" t="s">
        <v>57</v>
      </c>
      <c r="G14" s="58" t="s">
        <v>58</v>
      </c>
      <c r="H14" s="57" t="s">
        <v>30</v>
      </c>
      <c r="I14" s="59">
        <v>43739</v>
      </c>
      <c r="J14" s="60">
        <v>31</v>
      </c>
      <c r="K14" s="61">
        <f t="shared" si="0"/>
        <v>22.735399999999998</v>
      </c>
      <c r="L14" s="62">
        <f t="shared" si="1"/>
        <v>8.2645999999999997</v>
      </c>
      <c r="M14" s="64"/>
      <c r="N14"/>
    </row>
    <row r="15" spans="1:49" s="4" customFormat="1" ht="22.7" hidden="1" customHeight="1" x14ac:dyDescent="0.25">
      <c r="A15" s="55">
        <f t="shared" si="2"/>
        <v>9</v>
      </c>
      <c r="B15" s="56" t="s">
        <v>59</v>
      </c>
      <c r="C15" s="57" t="s">
        <v>60</v>
      </c>
      <c r="D15" s="57" t="s">
        <v>45</v>
      </c>
      <c r="E15" s="57" t="s">
        <v>61</v>
      </c>
      <c r="F15" s="57" t="s">
        <v>21</v>
      </c>
      <c r="G15" s="58" t="s">
        <v>22</v>
      </c>
      <c r="H15" s="57" t="s">
        <v>30</v>
      </c>
      <c r="I15" s="59">
        <v>44013</v>
      </c>
      <c r="J15" s="60">
        <v>8</v>
      </c>
      <c r="K15" s="61">
        <f t="shared" si="0"/>
        <v>5.8672000000000004</v>
      </c>
      <c r="L15" s="62">
        <f t="shared" si="1"/>
        <v>2.1328</v>
      </c>
      <c r="M15" s="64"/>
      <c r="N15"/>
    </row>
    <row r="16" spans="1:49" s="4" customFormat="1" ht="22.7" hidden="1" customHeight="1" x14ac:dyDescent="0.25">
      <c r="A16" s="55">
        <f t="shared" si="2"/>
        <v>10</v>
      </c>
      <c r="B16" s="65" t="s">
        <v>553</v>
      </c>
      <c r="C16" s="65" t="s">
        <v>554</v>
      </c>
      <c r="D16" s="65" t="s">
        <v>169</v>
      </c>
      <c r="E16" s="65" t="s">
        <v>555</v>
      </c>
      <c r="F16" s="65" t="s">
        <v>171</v>
      </c>
      <c r="G16" s="66">
        <v>585</v>
      </c>
      <c r="H16" s="57" t="s">
        <v>42</v>
      </c>
      <c r="I16" s="59">
        <v>41821</v>
      </c>
      <c r="J16" s="60">
        <v>5</v>
      </c>
      <c r="K16" s="61">
        <v>0</v>
      </c>
      <c r="L16" s="62">
        <v>0</v>
      </c>
      <c r="M16" s="64"/>
      <c r="N16"/>
    </row>
    <row r="17" spans="1:14" s="4" customFormat="1" ht="22.7" hidden="1" customHeight="1" x14ac:dyDescent="0.25">
      <c r="A17" s="55">
        <f t="shared" si="2"/>
        <v>11</v>
      </c>
      <c r="B17" s="56" t="s">
        <v>62</v>
      </c>
      <c r="C17" s="57" t="s">
        <v>63</v>
      </c>
      <c r="D17" s="57" t="s">
        <v>64</v>
      </c>
      <c r="E17" s="57" t="s">
        <v>65</v>
      </c>
      <c r="F17" s="57" t="s">
        <v>47</v>
      </c>
      <c r="G17" s="58" t="s">
        <v>35</v>
      </c>
      <c r="H17" s="57" t="s">
        <v>30</v>
      </c>
      <c r="I17" s="59">
        <v>42506</v>
      </c>
      <c r="J17" s="60">
        <v>2</v>
      </c>
      <c r="K17" s="61">
        <f t="shared" ref="K17:K30" si="3">J17-L17</f>
        <v>1.4668000000000001</v>
      </c>
      <c r="L17" s="62">
        <f t="shared" ref="L17:L48" si="4">+J17*26.66%</f>
        <v>0.53320000000000001</v>
      </c>
      <c r="M17" s="64"/>
      <c r="N17"/>
    </row>
    <row r="18" spans="1:14" s="4" customFormat="1" ht="22.7" hidden="1" customHeight="1" x14ac:dyDescent="0.25">
      <c r="A18" s="55">
        <f t="shared" si="2"/>
        <v>12</v>
      </c>
      <c r="B18" s="56" t="s">
        <v>66</v>
      </c>
      <c r="C18" s="57" t="s">
        <v>67</v>
      </c>
      <c r="D18" s="57" t="s">
        <v>68</v>
      </c>
      <c r="E18" s="57" t="s">
        <v>69</v>
      </c>
      <c r="F18" s="57" t="s">
        <v>47</v>
      </c>
      <c r="G18" s="58" t="s">
        <v>35</v>
      </c>
      <c r="H18" s="57" t="s">
        <v>23</v>
      </c>
      <c r="I18" s="59">
        <v>44927</v>
      </c>
      <c r="J18" s="60">
        <v>7</v>
      </c>
      <c r="K18" s="61">
        <f t="shared" si="3"/>
        <v>5.1337999999999999</v>
      </c>
      <c r="L18" s="62">
        <f t="shared" si="4"/>
        <v>1.8662000000000001</v>
      </c>
      <c r="M18" s="64"/>
      <c r="N18"/>
    </row>
    <row r="19" spans="1:14" s="4" customFormat="1" ht="22.7" hidden="1" customHeight="1" x14ac:dyDescent="0.25">
      <c r="A19" s="55">
        <f t="shared" si="2"/>
        <v>13</v>
      </c>
      <c r="B19" s="56" t="s">
        <v>77</v>
      </c>
      <c r="C19" s="57" t="s">
        <v>78</v>
      </c>
      <c r="D19" s="57" t="s">
        <v>26</v>
      </c>
      <c r="E19" s="57" t="s">
        <v>79</v>
      </c>
      <c r="F19" s="57" t="s">
        <v>57</v>
      </c>
      <c r="G19" s="58" t="s">
        <v>58</v>
      </c>
      <c r="H19" s="57" t="s">
        <v>30</v>
      </c>
      <c r="I19" s="59">
        <v>42278</v>
      </c>
      <c r="J19" s="60">
        <v>14</v>
      </c>
      <c r="K19" s="61">
        <f t="shared" si="3"/>
        <v>10.2676</v>
      </c>
      <c r="L19" s="62">
        <f t="shared" si="4"/>
        <v>3.7324000000000002</v>
      </c>
      <c r="M19" s="64"/>
      <c r="N19"/>
    </row>
    <row r="20" spans="1:14" s="4" customFormat="1" ht="22.7" hidden="1" customHeight="1" x14ac:dyDescent="0.25">
      <c r="A20" s="55">
        <f t="shared" si="2"/>
        <v>14</v>
      </c>
      <c r="B20" s="56" t="s">
        <v>80</v>
      </c>
      <c r="C20" s="57" t="s">
        <v>81</v>
      </c>
      <c r="D20" s="57" t="s">
        <v>45</v>
      </c>
      <c r="E20" s="57" t="s">
        <v>82</v>
      </c>
      <c r="F20" s="57" t="s">
        <v>47</v>
      </c>
      <c r="G20" s="58" t="s">
        <v>35</v>
      </c>
      <c r="H20" s="57" t="s">
        <v>30</v>
      </c>
      <c r="I20" s="59">
        <v>42248</v>
      </c>
      <c r="J20" s="60">
        <v>10</v>
      </c>
      <c r="K20" s="61">
        <f t="shared" si="3"/>
        <v>7.3339999999999996</v>
      </c>
      <c r="L20" s="62">
        <f t="shared" si="4"/>
        <v>2.6659999999999999</v>
      </c>
      <c r="M20" s="64"/>
      <c r="N20"/>
    </row>
    <row r="21" spans="1:14" s="4" customFormat="1" ht="22.7" hidden="1" customHeight="1" x14ac:dyDescent="0.25">
      <c r="A21" s="55">
        <f t="shared" si="2"/>
        <v>15</v>
      </c>
      <c r="B21" s="56" t="s">
        <v>83</v>
      </c>
      <c r="C21" s="57" t="s">
        <v>84</v>
      </c>
      <c r="D21" s="57" t="s">
        <v>85</v>
      </c>
      <c r="E21" s="57" t="s">
        <v>86</v>
      </c>
      <c r="F21" s="57" t="s">
        <v>34</v>
      </c>
      <c r="G21" s="58" t="s">
        <v>35</v>
      </c>
      <c r="H21" s="57" t="s">
        <v>23</v>
      </c>
      <c r="I21" s="59">
        <v>44927</v>
      </c>
      <c r="J21" s="60">
        <v>8</v>
      </c>
      <c r="K21" s="61">
        <f t="shared" si="3"/>
        <v>5.8672000000000004</v>
      </c>
      <c r="L21" s="62">
        <f t="shared" si="4"/>
        <v>2.1328</v>
      </c>
      <c r="M21" s="64"/>
      <c r="N21"/>
    </row>
    <row r="22" spans="1:14" s="4" customFormat="1" ht="22.7" hidden="1" customHeight="1" x14ac:dyDescent="0.25">
      <c r="A22" s="55">
        <f t="shared" si="2"/>
        <v>16</v>
      </c>
      <c r="B22" s="56" t="s">
        <v>89</v>
      </c>
      <c r="C22" s="57" t="s">
        <v>90</v>
      </c>
      <c r="D22" s="57" t="s">
        <v>26</v>
      </c>
      <c r="E22" s="57" t="s">
        <v>91</v>
      </c>
      <c r="F22" s="57" t="s">
        <v>92</v>
      </c>
      <c r="G22" s="58" t="s">
        <v>93</v>
      </c>
      <c r="H22" s="57" t="s">
        <v>30</v>
      </c>
      <c r="I22" s="59">
        <v>37135</v>
      </c>
      <c r="J22" s="60">
        <v>27</v>
      </c>
      <c r="K22" s="61">
        <f t="shared" si="3"/>
        <v>19.8018</v>
      </c>
      <c r="L22" s="62">
        <f t="shared" si="4"/>
        <v>7.1981999999999999</v>
      </c>
      <c r="M22" s="64"/>
      <c r="N22"/>
    </row>
    <row r="23" spans="1:14" s="4" customFormat="1" ht="22.7" hidden="1" customHeight="1" x14ac:dyDescent="0.25">
      <c r="A23" s="55">
        <f t="shared" si="2"/>
        <v>17</v>
      </c>
      <c r="B23" s="56" t="s">
        <v>96</v>
      </c>
      <c r="C23" s="57" t="s">
        <v>97</v>
      </c>
      <c r="D23" s="57" t="s">
        <v>45</v>
      </c>
      <c r="E23" s="57" t="s">
        <v>61</v>
      </c>
      <c r="F23" s="57" t="s">
        <v>21</v>
      </c>
      <c r="G23" s="58" t="s">
        <v>22</v>
      </c>
      <c r="H23" s="57" t="s">
        <v>30</v>
      </c>
      <c r="I23" s="59">
        <v>43466</v>
      </c>
      <c r="J23" s="60">
        <v>21</v>
      </c>
      <c r="K23" s="61">
        <f t="shared" si="3"/>
        <v>15.401399999999999</v>
      </c>
      <c r="L23" s="62">
        <f t="shared" si="4"/>
        <v>5.5986000000000002</v>
      </c>
      <c r="M23" s="64"/>
      <c r="N23"/>
    </row>
    <row r="24" spans="1:14" s="4" customFormat="1" ht="22.7" hidden="1" customHeight="1" x14ac:dyDescent="0.25">
      <c r="A24" s="55">
        <f t="shared" si="2"/>
        <v>18</v>
      </c>
      <c r="B24" s="56" t="s">
        <v>98</v>
      </c>
      <c r="C24" s="57" t="s">
        <v>99</v>
      </c>
      <c r="D24" s="57" t="s">
        <v>26</v>
      </c>
      <c r="E24" s="57" t="s">
        <v>100</v>
      </c>
      <c r="F24" s="57" t="s">
        <v>101</v>
      </c>
      <c r="G24" s="58" t="s">
        <v>22</v>
      </c>
      <c r="H24" s="57" t="s">
        <v>23</v>
      </c>
      <c r="I24" s="59">
        <v>44927</v>
      </c>
      <c r="J24" s="60">
        <v>7</v>
      </c>
      <c r="K24" s="61">
        <f t="shared" si="3"/>
        <v>5.1337999999999999</v>
      </c>
      <c r="L24" s="62">
        <f t="shared" si="4"/>
        <v>1.8662000000000001</v>
      </c>
      <c r="M24" s="64"/>
      <c r="N24"/>
    </row>
    <row r="25" spans="1:14" s="4" customFormat="1" ht="22.7" hidden="1" customHeight="1" x14ac:dyDescent="0.25">
      <c r="A25" s="55">
        <f t="shared" si="2"/>
        <v>19</v>
      </c>
      <c r="B25" s="56" t="s">
        <v>102</v>
      </c>
      <c r="C25" s="57" t="s">
        <v>103</v>
      </c>
      <c r="D25" s="57" t="s">
        <v>72</v>
      </c>
      <c r="E25" s="57" t="s">
        <v>104</v>
      </c>
      <c r="F25" s="57" t="s">
        <v>105</v>
      </c>
      <c r="G25" s="58" t="s">
        <v>58</v>
      </c>
      <c r="H25" s="57" t="s">
        <v>30</v>
      </c>
      <c r="I25" s="59">
        <v>44470</v>
      </c>
      <c r="J25" s="60">
        <v>0</v>
      </c>
      <c r="K25" s="61">
        <f t="shared" si="3"/>
        <v>0</v>
      </c>
      <c r="L25" s="62">
        <f t="shared" si="4"/>
        <v>0</v>
      </c>
      <c r="M25" s="64"/>
      <c r="N25"/>
    </row>
    <row r="26" spans="1:14" s="4" customFormat="1" ht="22.7" hidden="1" customHeight="1" x14ac:dyDescent="0.25">
      <c r="A26" s="55">
        <f t="shared" si="2"/>
        <v>20</v>
      </c>
      <c r="B26" s="56" t="s">
        <v>106</v>
      </c>
      <c r="C26" s="57" t="s">
        <v>107</v>
      </c>
      <c r="D26" s="57" t="s">
        <v>85</v>
      </c>
      <c r="E26" s="57" t="s">
        <v>86</v>
      </c>
      <c r="F26" s="57" t="s">
        <v>34</v>
      </c>
      <c r="G26" s="58" t="s">
        <v>35</v>
      </c>
      <c r="H26" s="57" t="s">
        <v>23</v>
      </c>
      <c r="I26" s="59">
        <v>44927</v>
      </c>
      <c r="J26" s="60">
        <v>10</v>
      </c>
      <c r="K26" s="61">
        <f t="shared" si="3"/>
        <v>7.3339999999999996</v>
      </c>
      <c r="L26" s="62">
        <f t="shared" si="4"/>
        <v>2.6659999999999999</v>
      </c>
      <c r="M26" s="64"/>
      <c r="N26"/>
    </row>
    <row r="27" spans="1:14" s="4" customFormat="1" ht="22.7" hidden="1" customHeight="1" x14ac:dyDescent="0.25">
      <c r="A27" s="55">
        <f t="shared" si="2"/>
        <v>21</v>
      </c>
      <c r="B27" s="56" t="s">
        <v>110</v>
      </c>
      <c r="C27" s="57" t="s">
        <v>111</v>
      </c>
      <c r="D27" s="57" t="s">
        <v>112</v>
      </c>
      <c r="E27" s="57" t="s">
        <v>113</v>
      </c>
      <c r="F27" s="57" t="s">
        <v>57</v>
      </c>
      <c r="G27" s="58" t="s">
        <v>58</v>
      </c>
      <c r="H27" s="57" t="s">
        <v>30</v>
      </c>
      <c r="I27" s="59">
        <v>44378</v>
      </c>
      <c r="J27" s="60">
        <v>16</v>
      </c>
      <c r="K27" s="61">
        <f t="shared" si="3"/>
        <v>11.734400000000001</v>
      </c>
      <c r="L27" s="62">
        <f t="shared" si="4"/>
        <v>4.2656000000000001</v>
      </c>
      <c r="M27" s="64"/>
      <c r="N27"/>
    </row>
    <row r="28" spans="1:14" s="4" customFormat="1" ht="22.7" hidden="1" customHeight="1" x14ac:dyDescent="0.25">
      <c r="A28" s="55">
        <f t="shared" si="2"/>
        <v>22</v>
      </c>
      <c r="B28" s="56" t="s">
        <v>556</v>
      </c>
      <c r="C28" s="57" t="s">
        <v>557</v>
      </c>
      <c r="D28" s="57" t="s">
        <v>68</v>
      </c>
      <c r="E28" s="57" t="s">
        <v>69</v>
      </c>
      <c r="F28" s="57" t="s">
        <v>47</v>
      </c>
      <c r="G28" s="58" t="s">
        <v>35</v>
      </c>
      <c r="H28" s="57" t="s">
        <v>23</v>
      </c>
      <c r="I28" s="59">
        <v>44986</v>
      </c>
      <c r="J28" s="60">
        <v>2</v>
      </c>
      <c r="K28" s="61">
        <f t="shared" si="3"/>
        <v>1.4668000000000001</v>
      </c>
      <c r="L28" s="62">
        <f t="shared" si="4"/>
        <v>0.53320000000000001</v>
      </c>
      <c r="M28" s="64"/>
      <c r="N28"/>
    </row>
    <row r="29" spans="1:14" s="4" customFormat="1" ht="22.7" hidden="1" customHeight="1" x14ac:dyDescent="0.25">
      <c r="A29" s="55">
        <f t="shared" si="2"/>
        <v>23</v>
      </c>
      <c r="B29" s="56" t="s">
        <v>114</v>
      </c>
      <c r="C29" s="57" t="s">
        <v>115</v>
      </c>
      <c r="D29" s="57" t="s">
        <v>116</v>
      </c>
      <c r="E29" s="57" t="s">
        <v>117</v>
      </c>
      <c r="F29" s="57" t="s">
        <v>47</v>
      </c>
      <c r="G29" s="58" t="s">
        <v>35</v>
      </c>
      <c r="H29" s="57" t="s">
        <v>30</v>
      </c>
      <c r="I29" s="59">
        <v>42005</v>
      </c>
      <c r="J29" s="60">
        <v>12</v>
      </c>
      <c r="K29" s="61">
        <f t="shared" si="3"/>
        <v>8.8007999999999988</v>
      </c>
      <c r="L29" s="62">
        <f t="shared" si="4"/>
        <v>3.1992000000000003</v>
      </c>
      <c r="M29" s="64"/>
      <c r="N29"/>
    </row>
    <row r="30" spans="1:14" s="4" customFormat="1" ht="22.7" hidden="1" customHeight="1" x14ac:dyDescent="0.25">
      <c r="A30" s="55">
        <f t="shared" si="2"/>
        <v>24</v>
      </c>
      <c r="B30" s="56" t="s">
        <v>118</v>
      </c>
      <c r="C30" s="57" t="s">
        <v>119</v>
      </c>
      <c r="D30" s="57" t="s">
        <v>120</v>
      </c>
      <c r="E30" s="57" t="s">
        <v>121</v>
      </c>
      <c r="F30" s="57" t="s">
        <v>122</v>
      </c>
      <c r="G30" s="58" t="s">
        <v>93</v>
      </c>
      <c r="H30" s="57" t="s">
        <v>30</v>
      </c>
      <c r="I30" s="59">
        <v>42339</v>
      </c>
      <c r="J30" s="60">
        <v>5</v>
      </c>
      <c r="K30" s="61">
        <f t="shared" si="3"/>
        <v>3.6669999999999998</v>
      </c>
      <c r="L30" s="62">
        <f t="shared" si="4"/>
        <v>1.333</v>
      </c>
      <c r="M30" s="64"/>
      <c r="N30"/>
    </row>
    <row r="31" spans="1:14" s="4" customFormat="1" ht="22.7" hidden="1" customHeight="1" x14ac:dyDescent="0.25">
      <c r="A31" s="55">
        <f t="shared" si="2"/>
        <v>25</v>
      </c>
      <c r="B31" s="56" t="s">
        <v>511</v>
      </c>
      <c r="C31" s="57" t="s">
        <v>512</v>
      </c>
      <c r="D31" s="57" t="s">
        <v>19</v>
      </c>
      <c r="E31" s="57" t="s">
        <v>165</v>
      </c>
      <c r="F31" s="57" t="s">
        <v>34</v>
      </c>
      <c r="G31" s="58" t="s">
        <v>35</v>
      </c>
      <c r="H31" s="57" t="s">
        <v>23</v>
      </c>
      <c r="I31" s="59">
        <v>44928</v>
      </c>
      <c r="J31" s="60">
        <v>16</v>
      </c>
      <c r="K31" s="61">
        <v>0</v>
      </c>
      <c r="L31" s="62">
        <f t="shared" si="4"/>
        <v>4.2656000000000001</v>
      </c>
      <c r="M31" s="64"/>
      <c r="N31"/>
    </row>
    <row r="32" spans="1:14" s="4" customFormat="1" ht="22.7" hidden="1" customHeight="1" x14ac:dyDescent="0.25">
      <c r="A32" s="55">
        <f t="shared" si="2"/>
        <v>26</v>
      </c>
      <c r="B32" s="56" t="s">
        <v>125</v>
      </c>
      <c r="C32" s="57" t="s">
        <v>126</v>
      </c>
      <c r="D32" s="57" t="s">
        <v>64</v>
      </c>
      <c r="E32" s="57" t="s">
        <v>65</v>
      </c>
      <c r="F32" s="57" t="s">
        <v>47</v>
      </c>
      <c r="G32" s="58" t="s">
        <v>35</v>
      </c>
      <c r="H32" s="57" t="s">
        <v>30</v>
      </c>
      <c r="I32" s="59">
        <v>43891</v>
      </c>
      <c r="J32" s="60">
        <v>11</v>
      </c>
      <c r="K32" s="61">
        <f>J32-L32</f>
        <v>8.0673999999999992</v>
      </c>
      <c r="L32" s="62">
        <f t="shared" si="4"/>
        <v>2.9325999999999999</v>
      </c>
      <c r="M32" s="64"/>
      <c r="N32"/>
    </row>
    <row r="33" spans="1:14" s="4" customFormat="1" ht="22.7" hidden="1" customHeight="1" x14ac:dyDescent="0.25">
      <c r="A33" s="55">
        <f t="shared" si="2"/>
        <v>27</v>
      </c>
      <c r="B33" s="56" t="s">
        <v>127</v>
      </c>
      <c r="C33" s="57" t="s">
        <v>128</v>
      </c>
      <c r="D33" s="57" t="s">
        <v>45</v>
      </c>
      <c r="E33" s="57" t="s">
        <v>61</v>
      </c>
      <c r="F33" s="57" t="s">
        <v>21</v>
      </c>
      <c r="G33" s="58" t="s">
        <v>22</v>
      </c>
      <c r="H33" s="57" t="s">
        <v>30</v>
      </c>
      <c r="I33" s="59">
        <v>42522</v>
      </c>
      <c r="J33" s="60">
        <v>40</v>
      </c>
      <c r="K33" s="61">
        <f>J33-L33</f>
        <v>29.335999999999999</v>
      </c>
      <c r="L33" s="62">
        <f t="shared" si="4"/>
        <v>10.664</v>
      </c>
      <c r="M33" s="64"/>
      <c r="N33"/>
    </row>
    <row r="34" spans="1:14" s="4" customFormat="1" ht="22.7" hidden="1" customHeight="1" x14ac:dyDescent="0.25">
      <c r="A34" s="55">
        <f t="shared" si="2"/>
        <v>28</v>
      </c>
      <c r="B34" s="56" t="s">
        <v>513</v>
      </c>
      <c r="C34" s="57" t="s">
        <v>514</v>
      </c>
      <c r="D34" s="57" t="s">
        <v>161</v>
      </c>
      <c r="E34" s="57" t="s">
        <v>162</v>
      </c>
      <c r="F34" s="57" t="s">
        <v>57</v>
      </c>
      <c r="G34" s="58" t="s">
        <v>58</v>
      </c>
      <c r="H34" s="57" t="s">
        <v>23</v>
      </c>
      <c r="I34" s="59">
        <v>44928</v>
      </c>
      <c r="J34" s="60">
        <v>0</v>
      </c>
      <c r="K34" s="61">
        <f>J34-L34</f>
        <v>0</v>
      </c>
      <c r="L34" s="62">
        <f t="shared" si="4"/>
        <v>0</v>
      </c>
      <c r="M34" s="64"/>
      <c r="N34"/>
    </row>
    <row r="35" spans="1:14" s="4" customFormat="1" ht="22.7" hidden="1" customHeight="1" x14ac:dyDescent="0.25">
      <c r="A35" s="55">
        <f t="shared" si="2"/>
        <v>29</v>
      </c>
      <c r="B35" s="56" t="s">
        <v>133</v>
      </c>
      <c r="C35" s="57" t="s">
        <v>134</v>
      </c>
      <c r="D35" s="57" t="s">
        <v>72</v>
      </c>
      <c r="E35" s="57" t="s">
        <v>33</v>
      </c>
      <c r="F35" s="57" t="s">
        <v>34</v>
      </c>
      <c r="G35" s="58" t="s">
        <v>35</v>
      </c>
      <c r="H35" s="57" t="s">
        <v>30</v>
      </c>
      <c r="I35" s="59">
        <v>44470</v>
      </c>
      <c r="J35" s="60">
        <v>0</v>
      </c>
      <c r="K35" s="61">
        <f>J35-L35</f>
        <v>0</v>
      </c>
      <c r="L35" s="62">
        <f t="shared" si="4"/>
        <v>0</v>
      </c>
      <c r="M35" s="64"/>
      <c r="N35"/>
    </row>
    <row r="36" spans="1:14" s="4" customFormat="1" ht="22.7" hidden="1" customHeight="1" x14ac:dyDescent="0.25">
      <c r="A36" s="55">
        <f t="shared" si="2"/>
        <v>30</v>
      </c>
      <c r="B36" s="56" t="s">
        <v>135</v>
      </c>
      <c r="C36" s="57" t="s">
        <v>136</v>
      </c>
      <c r="D36" s="57" t="s">
        <v>137</v>
      </c>
      <c r="E36" s="57" t="s">
        <v>138</v>
      </c>
      <c r="F36" s="57" t="s">
        <v>105</v>
      </c>
      <c r="G36" s="58" t="s">
        <v>58</v>
      </c>
      <c r="H36" s="57" t="s">
        <v>30</v>
      </c>
      <c r="I36" s="59">
        <v>44531</v>
      </c>
      <c r="J36" s="60">
        <v>0</v>
      </c>
      <c r="K36" s="61">
        <v>0</v>
      </c>
      <c r="L36" s="62">
        <f t="shared" si="4"/>
        <v>0</v>
      </c>
      <c r="M36" s="64"/>
      <c r="N36"/>
    </row>
    <row r="37" spans="1:14" s="4" customFormat="1" ht="22.7" hidden="1" customHeight="1" x14ac:dyDescent="0.25">
      <c r="A37" s="55">
        <f t="shared" si="2"/>
        <v>31</v>
      </c>
      <c r="B37" s="56" t="s">
        <v>139</v>
      </c>
      <c r="C37" s="57" t="s">
        <v>140</v>
      </c>
      <c r="D37" s="57" t="s">
        <v>68</v>
      </c>
      <c r="E37" s="57" t="s">
        <v>141</v>
      </c>
      <c r="F37" s="57" t="s">
        <v>57</v>
      </c>
      <c r="G37" s="58" t="s">
        <v>58</v>
      </c>
      <c r="H37" s="57" t="s">
        <v>30</v>
      </c>
      <c r="I37" s="59">
        <v>42278</v>
      </c>
      <c r="J37" s="60">
        <v>10</v>
      </c>
      <c r="K37" s="61">
        <f t="shared" ref="K37:K68" si="5">J37-L37</f>
        <v>7.3339999999999996</v>
      </c>
      <c r="L37" s="62">
        <f t="shared" si="4"/>
        <v>2.6659999999999999</v>
      </c>
      <c r="M37" s="64"/>
      <c r="N37"/>
    </row>
    <row r="38" spans="1:14" s="4" customFormat="1" ht="22.7" hidden="1" customHeight="1" x14ac:dyDescent="0.25">
      <c r="A38" s="55">
        <f t="shared" si="2"/>
        <v>32</v>
      </c>
      <c r="B38" s="56" t="s">
        <v>515</v>
      </c>
      <c r="C38" s="57" t="s">
        <v>516</v>
      </c>
      <c r="D38" s="57" t="s">
        <v>45</v>
      </c>
      <c r="E38" s="57" t="s">
        <v>398</v>
      </c>
      <c r="F38" s="57" t="s">
        <v>47</v>
      </c>
      <c r="G38" s="58" t="s">
        <v>35</v>
      </c>
      <c r="H38" s="57" t="s">
        <v>23</v>
      </c>
      <c r="I38" s="59">
        <v>44927</v>
      </c>
      <c r="J38" s="60">
        <v>5</v>
      </c>
      <c r="K38" s="61">
        <f t="shared" si="5"/>
        <v>3.6669999999999998</v>
      </c>
      <c r="L38" s="62">
        <f t="shared" si="4"/>
        <v>1.333</v>
      </c>
      <c r="M38" s="64"/>
      <c r="N38"/>
    </row>
    <row r="39" spans="1:14" s="4" customFormat="1" ht="22.7" hidden="1" customHeight="1" x14ac:dyDescent="0.25">
      <c r="A39" s="55">
        <f t="shared" si="2"/>
        <v>33</v>
      </c>
      <c r="B39" s="56" t="s">
        <v>142</v>
      </c>
      <c r="C39" s="57" t="s">
        <v>143</v>
      </c>
      <c r="D39" s="57" t="s">
        <v>144</v>
      </c>
      <c r="E39" s="57" t="s">
        <v>145</v>
      </c>
      <c r="F39" s="57" t="s">
        <v>57</v>
      </c>
      <c r="G39" s="58" t="s">
        <v>58</v>
      </c>
      <c r="H39" s="57" t="s">
        <v>30</v>
      </c>
      <c r="I39" s="59">
        <v>42156</v>
      </c>
      <c r="J39" s="60">
        <v>7</v>
      </c>
      <c r="K39" s="61">
        <f t="shared" si="5"/>
        <v>5.1337999999999999</v>
      </c>
      <c r="L39" s="62">
        <f t="shared" si="4"/>
        <v>1.8662000000000001</v>
      </c>
      <c r="M39" s="64"/>
      <c r="N39"/>
    </row>
    <row r="40" spans="1:14" s="4" customFormat="1" ht="22.7" hidden="1" customHeight="1" x14ac:dyDescent="0.25">
      <c r="A40" s="55">
        <f t="shared" ref="A40:A71" si="6">SUM(A39:A39+1)</f>
        <v>34</v>
      </c>
      <c r="B40" s="56" t="s">
        <v>148</v>
      </c>
      <c r="C40" s="57" t="s">
        <v>149</v>
      </c>
      <c r="D40" s="57" t="s">
        <v>64</v>
      </c>
      <c r="E40" s="57" t="s">
        <v>65</v>
      </c>
      <c r="F40" s="57" t="s">
        <v>47</v>
      </c>
      <c r="G40" s="58" t="s">
        <v>35</v>
      </c>
      <c r="H40" s="57" t="s">
        <v>30</v>
      </c>
      <c r="I40" s="59">
        <v>44440</v>
      </c>
      <c r="J40" s="60">
        <v>35</v>
      </c>
      <c r="K40" s="61">
        <f t="shared" si="5"/>
        <v>25.669</v>
      </c>
      <c r="L40" s="62">
        <f t="shared" si="4"/>
        <v>9.3309999999999995</v>
      </c>
      <c r="M40" s="64"/>
      <c r="N40"/>
    </row>
    <row r="41" spans="1:14" s="4" customFormat="1" ht="22.7" hidden="1" customHeight="1" x14ac:dyDescent="0.25">
      <c r="A41" s="55">
        <f t="shared" si="6"/>
        <v>35</v>
      </c>
      <c r="B41" s="56" t="s">
        <v>150</v>
      </c>
      <c r="C41" s="57" t="s">
        <v>151</v>
      </c>
      <c r="D41" s="57" t="s">
        <v>26</v>
      </c>
      <c r="E41" s="57" t="s">
        <v>104</v>
      </c>
      <c r="F41" s="57" t="s">
        <v>105</v>
      </c>
      <c r="G41" s="58" t="s">
        <v>58</v>
      </c>
      <c r="H41" s="57" t="s">
        <v>30</v>
      </c>
      <c r="I41" s="59">
        <v>42767</v>
      </c>
      <c r="J41" s="60">
        <v>14</v>
      </c>
      <c r="K41" s="61">
        <f t="shared" si="5"/>
        <v>10.2676</v>
      </c>
      <c r="L41" s="62">
        <f t="shared" si="4"/>
        <v>3.7324000000000002</v>
      </c>
      <c r="M41" s="64"/>
      <c r="N41"/>
    </row>
    <row r="42" spans="1:14" s="4" customFormat="1" ht="22.7" hidden="1" customHeight="1" x14ac:dyDescent="0.25">
      <c r="A42" s="55">
        <f t="shared" si="6"/>
        <v>36</v>
      </c>
      <c r="B42" s="56" t="s">
        <v>152</v>
      </c>
      <c r="C42" s="57" t="s">
        <v>153</v>
      </c>
      <c r="D42" s="57" t="s">
        <v>154</v>
      </c>
      <c r="E42" s="57" t="s">
        <v>155</v>
      </c>
      <c r="F42" s="57" t="s">
        <v>40</v>
      </c>
      <c r="G42" s="58" t="s">
        <v>41</v>
      </c>
      <c r="H42" s="57" t="s">
        <v>30</v>
      </c>
      <c r="I42" s="59">
        <v>43467</v>
      </c>
      <c r="J42" s="60">
        <v>37</v>
      </c>
      <c r="K42" s="61">
        <f t="shared" si="5"/>
        <v>27.1358</v>
      </c>
      <c r="L42" s="62">
        <f t="shared" si="4"/>
        <v>9.8642000000000003</v>
      </c>
      <c r="M42" s="64"/>
      <c r="N42"/>
    </row>
    <row r="43" spans="1:14" s="4" customFormat="1" ht="22.7" hidden="1" customHeight="1" x14ac:dyDescent="0.25">
      <c r="A43" s="55">
        <f t="shared" si="6"/>
        <v>37</v>
      </c>
      <c r="B43" s="56" t="s">
        <v>157</v>
      </c>
      <c r="C43" s="57" t="s">
        <v>158</v>
      </c>
      <c r="D43" s="57" t="s">
        <v>45</v>
      </c>
      <c r="E43" s="57" t="s">
        <v>61</v>
      </c>
      <c r="F43" s="57" t="s">
        <v>21</v>
      </c>
      <c r="G43" s="58" t="s">
        <v>22</v>
      </c>
      <c r="H43" s="57" t="s">
        <v>30</v>
      </c>
      <c r="I43" s="59">
        <v>43252</v>
      </c>
      <c r="J43" s="60">
        <v>6</v>
      </c>
      <c r="K43" s="61">
        <f t="shared" si="5"/>
        <v>4.4003999999999994</v>
      </c>
      <c r="L43" s="62">
        <f t="shared" si="4"/>
        <v>1.5996000000000001</v>
      </c>
      <c r="M43" s="64"/>
      <c r="N43"/>
    </row>
    <row r="44" spans="1:14" s="4" customFormat="1" ht="22.7" hidden="1" customHeight="1" x14ac:dyDescent="0.25">
      <c r="A44" s="55">
        <f t="shared" si="6"/>
        <v>38</v>
      </c>
      <c r="B44" s="56" t="s">
        <v>159</v>
      </c>
      <c r="C44" s="57" t="s">
        <v>160</v>
      </c>
      <c r="D44" s="57" t="s">
        <v>161</v>
      </c>
      <c r="E44" s="57" t="s">
        <v>162</v>
      </c>
      <c r="F44" s="57" t="s">
        <v>57</v>
      </c>
      <c r="G44" s="58" t="s">
        <v>58</v>
      </c>
      <c r="H44" s="57" t="s">
        <v>30</v>
      </c>
      <c r="I44" s="59">
        <v>43374</v>
      </c>
      <c r="J44" s="60">
        <v>30</v>
      </c>
      <c r="K44" s="61">
        <f t="shared" si="5"/>
        <v>22.001999999999999</v>
      </c>
      <c r="L44" s="62">
        <f t="shared" si="4"/>
        <v>7.9980000000000002</v>
      </c>
      <c r="M44" s="64"/>
      <c r="N44"/>
    </row>
    <row r="45" spans="1:14" s="4" customFormat="1" ht="22.7" hidden="1" customHeight="1" x14ac:dyDescent="0.25">
      <c r="A45" s="55">
        <f t="shared" si="6"/>
        <v>39</v>
      </c>
      <c r="B45" s="56" t="s">
        <v>167</v>
      </c>
      <c r="C45" s="57" t="s">
        <v>168</v>
      </c>
      <c r="D45" s="57" t="s">
        <v>169</v>
      </c>
      <c r="E45" s="57" t="s">
        <v>170</v>
      </c>
      <c r="F45" s="57" t="s">
        <v>171</v>
      </c>
      <c r="G45" s="58" t="s">
        <v>172</v>
      </c>
      <c r="H45" s="57" t="s">
        <v>30</v>
      </c>
      <c r="I45" s="59">
        <v>44378</v>
      </c>
      <c r="J45" s="60">
        <v>7</v>
      </c>
      <c r="K45" s="61">
        <f t="shared" si="5"/>
        <v>5.1337999999999999</v>
      </c>
      <c r="L45" s="62">
        <f t="shared" si="4"/>
        <v>1.8662000000000001</v>
      </c>
      <c r="M45" s="64"/>
      <c r="N45"/>
    </row>
    <row r="46" spans="1:14" s="4" customFormat="1" ht="22.7" hidden="1" customHeight="1" x14ac:dyDescent="0.25">
      <c r="A46" s="55">
        <f t="shared" si="6"/>
        <v>40</v>
      </c>
      <c r="B46" s="56" t="s">
        <v>173</v>
      </c>
      <c r="C46" s="57" t="s">
        <v>174</v>
      </c>
      <c r="D46" s="57" t="s">
        <v>26</v>
      </c>
      <c r="E46" s="57" t="s">
        <v>100</v>
      </c>
      <c r="F46" s="57" t="s">
        <v>101</v>
      </c>
      <c r="G46" s="58" t="s">
        <v>22</v>
      </c>
      <c r="H46" s="57" t="s">
        <v>23</v>
      </c>
      <c r="I46" s="59">
        <v>44927</v>
      </c>
      <c r="J46" s="60">
        <v>7</v>
      </c>
      <c r="K46" s="61">
        <f t="shared" si="5"/>
        <v>5.1337999999999999</v>
      </c>
      <c r="L46" s="62">
        <f t="shared" si="4"/>
        <v>1.8662000000000001</v>
      </c>
      <c r="M46" s="64"/>
      <c r="N46"/>
    </row>
    <row r="47" spans="1:14" s="4" customFormat="1" ht="22.7" hidden="1" customHeight="1" x14ac:dyDescent="0.25">
      <c r="A47" s="55">
        <f t="shared" si="6"/>
        <v>41</v>
      </c>
      <c r="B47" s="56" t="s">
        <v>177</v>
      </c>
      <c r="C47" s="57" t="s">
        <v>178</v>
      </c>
      <c r="D47" s="57" t="s">
        <v>179</v>
      </c>
      <c r="E47" s="57" t="s">
        <v>141</v>
      </c>
      <c r="F47" s="57" t="s">
        <v>57</v>
      </c>
      <c r="G47" s="58" t="s">
        <v>58</v>
      </c>
      <c r="H47" s="57" t="s">
        <v>23</v>
      </c>
      <c r="I47" s="59">
        <v>44927</v>
      </c>
      <c r="J47" s="60">
        <v>5</v>
      </c>
      <c r="K47" s="61">
        <f t="shared" si="5"/>
        <v>3.6669999999999998</v>
      </c>
      <c r="L47" s="62">
        <f t="shared" si="4"/>
        <v>1.333</v>
      </c>
      <c r="M47" s="64"/>
      <c r="N47"/>
    </row>
    <row r="48" spans="1:14" s="4" customFormat="1" ht="22.7" hidden="1" customHeight="1" x14ac:dyDescent="0.25">
      <c r="A48" s="55">
        <f t="shared" si="6"/>
        <v>42</v>
      </c>
      <c r="B48" s="56" t="s">
        <v>180</v>
      </c>
      <c r="C48" s="57" t="s">
        <v>181</v>
      </c>
      <c r="D48" s="57" t="s">
        <v>85</v>
      </c>
      <c r="E48" s="57" t="s">
        <v>182</v>
      </c>
      <c r="F48" s="57" t="s">
        <v>34</v>
      </c>
      <c r="G48" s="58" t="s">
        <v>35</v>
      </c>
      <c r="H48" s="57" t="s">
        <v>23</v>
      </c>
      <c r="I48" s="59">
        <v>44927</v>
      </c>
      <c r="J48" s="60">
        <v>14</v>
      </c>
      <c r="K48" s="61">
        <f t="shared" si="5"/>
        <v>10.2676</v>
      </c>
      <c r="L48" s="62">
        <f t="shared" si="4"/>
        <v>3.7324000000000002</v>
      </c>
      <c r="M48" s="64"/>
      <c r="N48"/>
    </row>
    <row r="49" spans="1:18" s="4" customFormat="1" ht="22.7" hidden="1" customHeight="1" x14ac:dyDescent="0.25">
      <c r="A49" s="55">
        <f t="shared" si="6"/>
        <v>43</v>
      </c>
      <c r="B49" s="56" t="s">
        <v>519</v>
      </c>
      <c r="C49" s="57" t="s">
        <v>520</v>
      </c>
      <c r="D49" s="57" t="s">
        <v>19</v>
      </c>
      <c r="E49" s="57" t="s">
        <v>165</v>
      </c>
      <c r="F49" s="57" t="s">
        <v>34</v>
      </c>
      <c r="G49" s="58" t="s">
        <v>35</v>
      </c>
      <c r="H49" s="57" t="s">
        <v>23</v>
      </c>
      <c r="I49" s="59">
        <v>44835</v>
      </c>
      <c r="J49" s="60">
        <v>7</v>
      </c>
      <c r="K49" s="61">
        <f t="shared" si="5"/>
        <v>5.1337999999999999</v>
      </c>
      <c r="L49" s="62">
        <f t="shared" ref="L49:L71" si="7">+J49*26.66%</f>
        <v>1.8662000000000001</v>
      </c>
      <c r="M49" s="64"/>
      <c r="N49"/>
    </row>
    <row r="50" spans="1:18" s="4" customFormat="1" ht="22.7" hidden="1" customHeight="1" x14ac:dyDescent="0.25">
      <c r="A50" s="55">
        <f t="shared" si="6"/>
        <v>44</v>
      </c>
      <c r="B50" s="56" t="s">
        <v>185</v>
      </c>
      <c r="C50" s="57" t="s">
        <v>186</v>
      </c>
      <c r="D50" s="57" t="s">
        <v>68</v>
      </c>
      <c r="E50" s="57" t="s">
        <v>187</v>
      </c>
      <c r="F50" s="57" t="s">
        <v>188</v>
      </c>
      <c r="G50" s="58" t="s">
        <v>189</v>
      </c>
      <c r="H50" s="57" t="s">
        <v>30</v>
      </c>
      <c r="I50" s="59">
        <v>41091</v>
      </c>
      <c r="J50" s="60">
        <v>3</v>
      </c>
      <c r="K50" s="61">
        <f t="shared" si="5"/>
        <v>2.2001999999999997</v>
      </c>
      <c r="L50" s="62">
        <f t="shared" si="7"/>
        <v>0.79980000000000007</v>
      </c>
      <c r="M50" s="64"/>
      <c r="N50"/>
    </row>
    <row r="51" spans="1:18" s="4" customFormat="1" ht="22.7" hidden="1" customHeight="1" x14ac:dyDescent="0.25">
      <c r="A51" s="55">
        <f t="shared" si="6"/>
        <v>45</v>
      </c>
      <c r="B51" s="56" t="s">
        <v>521</v>
      </c>
      <c r="C51" s="57" t="s">
        <v>522</v>
      </c>
      <c r="D51" s="57" t="s">
        <v>45</v>
      </c>
      <c r="E51" s="57" t="s">
        <v>361</v>
      </c>
      <c r="F51" s="57" t="s">
        <v>47</v>
      </c>
      <c r="G51" s="58" t="s">
        <v>35</v>
      </c>
      <c r="H51" s="57" t="s">
        <v>30</v>
      </c>
      <c r="I51" s="59">
        <v>44805</v>
      </c>
      <c r="J51" s="60">
        <v>5</v>
      </c>
      <c r="K51" s="61">
        <f t="shared" si="5"/>
        <v>3.6669999999999998</v>
      </c>
      <c r="L51" s="62">
        <f t="shared" si="7"/>
        <v>1.333</v>
      </c>
      <c r="M51" s="64"/>
      <c r="N51"/>
    </row>
    <row r="52" spans="1:18" s="4" customFormat="1" ht="22.7" hidden="1" customHeight="1" x14ac:dyDescent="0.25">
      <c r="A52" s="55">
        <f t="shared" si="6"/>
        <v>46</v>
      </c>
      <c r="B52" s="56" t="s">
        <v>190</v>
      </c>
      <c r="C52" s="57" t="s">
        <v>191</v>
      </c>
      <c r="D52" s="57" t="s">
        <v>26</v>
      </c>
      <c r="E52" s="57" t="s">
        <v>100</v>
      </c>
      <c r="F52" s="57" t="s">
        <v>101</v>
      </c>
      <c r="G52" s="58" t="s">
        <v>22</v>
      </c>
      <c r="H52" s="57" t="s">
        <v>23</v>
      </c>
      <c r="I52" s="59">
        <v>44562</v>
      </c>
      <c r="J52" s="60">
        <v>6</v>
      </c>
      <c r="K52" s="61">
        <f t="shared" si="5"/>
        <v>4.4003999999999994</v>
      </c>
      <c r="L52" s="62">
        <f t="shared" si="7"/>
        <v>1.5996000000000001</v>
      </c>
      <c r="M52" s="64"/>
      <c r="N52"/>
      <c r="Q52" s="4">
        <v>30</v>
      </c>
      <c r="R52" s="4">
        <v>100</v>
      </c>
    </row>
    <row r="53" spans="1:18" s="4" customFormat="1" ht="22.7" hidden="1" customHeight="1" x14ac:dyDescent="0.25">
      <c r="A53" s="55">
        <f t="shared" si="6"/>
        <v>47</v>
      </c>
      <c r="B53" s="56" t="s">
        <v>523</v>
      </c>
      <c r="C53" s="57" t="s">
        <v>524</v>
      </c>
      <c r="D53" s="57" t="s">
        <v>85</v>
      </c>
      <c r="E53" s="57" t="s">
        <v>335</v>
      </c>
      <c r="F53" s="57" t="s">
        <v>34</v>
      </c>
      <c r="G53" s="58" t="s">
        <v>35</v>
      </c>
      <c r="H53" s="57" t="s">
        <v>23</v>
      </c>
      <c r="I53" s="59">
        <v>44927</v>
      </c>
      <c r="J53" s="60">
        <v>15</v>
      </c>
      <c r="K53" s="61">
        <f t="shared" si="5"/>
        <v>11.000999999999999</v>
      </c>
      <c r="L53" s="62">
        <f t="shared" si="7"/>
        <v>3.9990000000000001</v>
      </c>
      <c r="M53" s="64"/>
      <c r="N53"/>
      <c r="Q53" s="4">
        <v>8</v>
      </c>
      <c r="R53" s="4">
        <f>+Q53*R52/Q52</f>
        <v>26.666666666666668</v>
      </c>
    </row>
    <row r="54" spans="1:18" s="4" customFormat="1" ht="22.7" hidden="1" customHeight="1" x14ac:dyDescent="0.25">
      <c r="A54" s="55">
        <f t="shared" si="6"/>
        <v>48</v>
      </c>
      <c r="B54" s="56" t="s">
        <v>558</v>
      </c>
      <c r="C54" s="57" t="s">
        <v>559</v>
      </c>
      <c r="D54" s="57" t="s">
        <v>560</v>
      </c>
      <c r="E54" s="57" t="s">
        <v>561</v>
      </c>
      <c r="F54" s="57" t="s">
        <v>40</v>
      </c>
      <c r="G54" s="58" t="s">
        <v>41</v>
      </c>
      <c r="H54" s="57" t="s">
        <v>23</v>
      </c>
      <c r="I54" s="59">
        <v>44928</v>
      </c>
      <c r="J54" s="60">
        <v>5</v>
      </c>
      <c r="K54" s="61">
        <f t="shared" si="5"/>
        <v>3.6669999999999998</v>
      </c>
      <c r="L54" s="62">
        <f t="shared" si="7"/>
        <v>1.333</v>
      </c>
      <c r="M54" s="64"/>
      <c r="N54"/>
      <c r="Q54" s="4">
        <f>15*26.6%</f>
        <v>3.99</v>
      </c>
    </row>
    <row r="55" spans="1:18" s="4" customFormat="1" ht="22.7" hidden="1" customHeight="1" x14ac:dyDescent="0.25">
      <c r="A55" s="55">
        <f t="shared" si="6"/>
        <v>49</v>
      </c>
      <c r="B55" s="56" t="s">
        <v>192</v>
      </c>
      <c r="C55" s="57" t="s">
        <v>193</v>
      </c>
      <c r="D55" s="57" t="s">
        <v>68</v>
      </c>
      <c r="E55" s="57" t="s">
        <v>69</v>
      </c>
      <c r="F55" s="57" t="s">
        <v>47</v>
      </c>
      <c r="G55" s="58" t="s">
        <v>35</v>
      </c>
      <c r="H55" s="57" t="s">
        <v>23</v>
      </c>
      <c r="I55" s="59">
        <v>44927</v>
      </c>
      <c r="J55" s="60">
        <v>3</v>
      </c>
      <c r="K55" s="61">
        <f t="shared" si="5"/>
        <v>2.2001999999999997</v>
      </c>
      <c r="L55" s="62">
        <f t="shared" si="7"/>
        <v>0.79980000000000007</v>
      </c>
      <c r="M55" s="64"/>
      <c r="N55"/>
    </row>
    <row r="56" spans="1:18" s="4" customFormat="1" ht="22.7" hidden="1" customHeight="1" x14ac:dyDescent="0.25">
      <c r="A56" s="55">
        <f t="shared" si="6"/>
        <v>50</v>
      </c>
      <c r="B56" s="56" t="s">
        <v>562</v>
      </c>
      <c r="C56" s="57" t="s">
        <v>563</v>
      </c>
      <c r="D56" s="57" t="s">
        <v>68</v>
      </c>
      <c r="E56" s="57" t="s">
        <v>69</v>
      </c>
      <c r="F56" s="57" t="s">
        <v>47</v>
      </c>
      <c r="G56" s="58" t="s">
        <v>35</v>
      </c>
      <c r="H56" s="57" t="s">
        <v>23</v>
      </c>
      <c r="I56" s="59">
        <v>44986</v>
      </c>
      <c r="J56" s="60">
        <v>2</v>
      </c>
      <c r="K56" s="61">
        <f t="shared" si="5"/>
        <v>1.4668000000000001</v>
      </c>
      <c r="L56" s="62">
        <f t="shared" si="7"/>
        <v>0.53320000000000001</v>
      </c>
      <c r="M56" s="64"/>
      <c r="N56"/>
    </row>
    <row r="57" spans="1:18" s="4" customFormat="1" ht="22.7" hidden="1" customHeight="1" x14ac:dyDescent="0.25">
      <c r="A57" s="55">
        <f t="shared" si="6"/>
        <v>51</v>
      </c>
      <c r="B57" s="56" t="s">
        <v>194</v>
      </c>
      <c r="C57" s="57" t="s">
        <v>195</v>
      </c>
      <c r="D57" s="57" t="s">
        <v>196</v>
      </c>
      <c r="E57" s="57" t="s">
        <v>197</v>
      </c>
      <c r="F57" s="57" t="s">
        <v>198</v>
      </c>
      <c r="G57" s="58" t="s">
        <v>199</v>
      </c>
      <c r="H57" s="57" t="s">
        <v>30</v>
      </c>
      <c r="I57" s="59">
        <v>44349</v>
      </c>
      <c r="J57" s="60">
        <v>43</v>
      </c>
      <c r="K57" s="61">
        <f t="shared" si="5"/>
        <v>31.536200000000001</v>
      </c>
      <c r="L57" s="62">
        <f t="shared" si="7"/>
        <v>11.463800000000001</v>
      </c>
      <c r="M57" s="64"/>
      <c r="N57"/>
    </row>
    <row r="58" spans="1:18" s="4" customFormat="1" ht="22.7" customHeight="1" x14ac:dyDescent="0.25">
      <c r="A58" s="55">
        <f t="shared" si="6"/>
        <v>52</v>
      </c>
      <c r="B58" s="56" t="s">
        <v>200</v>
      </c>
      <c r="C58" s="57" t="s">
        <v>201</v>
      </c>
      <c r="D58" s="57" t="s">
        <v>112</v>
      </c>
      <c r="E58" s="57" t="s">
        <v>113</v>
      </c>
      <c r="F58" s="57" t="s">
        <v>57</v>
      </c>
      <c r="G58" s="58" t="s">
        <v>58</v>
      </c>
      <c r="H58" s="57" t="s">
        <v>30</v>
      </c>
      <c r="I58" s="59">
        <v>41883</v>
      </c>
      <c r="J58" s="60">
        <v>63</v>
      </c>
      <c r="K58" s="61">
        <f t="shared" si="5"/>
        <v>46.2042</v>
      </c>
      <c r="L58" s="62">
        <f t="shared" si="7"/>
        <v>16.7958</v>
      </c>
      <c r="M58" s="64"/>
      <c r="N58"/>
    </row>
    <row r="59" spans="1:18" s="4" customFormat="1" ht="22.7" hidden="1" customHeight="1" x14ac:dyDescent="0.25">
      <c r="A59" s="55">
        <f t="shared" si="6"/>
        <v>53</v>
      </c>
      <c r="B59" s="56" t="s">
        <v>202</v>
      </c>
      <c r="C59" s="57" t="s">
        <v>203</v>
      </c>
      <c r="D59" s="57" t="s">
        <v>68</v>
      </c>
      <c r="E59" s="57" t="s">
        <v>141</v>
      </c>
      <c r="F59" s="57" t="s">
        <v>57</v>
      </c>
      <c r="G59" s="58" t="s">
        <v>58</v>
      </c>
      <c r="H59" s="57" t="s">
        <v>30</v>
      </c>
      <c r="I59" s="59">
        <v>44501</v>
      </c>
      <c r="J59" s="60">
        <v>42</v>
      </c>
      <c r="K59" s="61">
        <f t="shared" si="5"/>
        <v>30.802799999999998</v>
      </c>
      <c r="L59" s="62">
        <f t="shared" si="7"/>
        <v>11.1972</v>
      </c>
      <c r="M59" s="64"/>
      <c r="N59"/>
    </row>
    <row r="60" spans="1:18" s="4" customFormat="1" ht="22.7" hidden="1" customHeight="1" x14ac:dyDescent="0.25">
      <c r="A60" s="55">
        <f t="shared" si="6"/>
        <v>54</v>
      </c>
      <c r="B60" s="56" t="s">
        <v>204</v>
      </c>
      <c r="C60" s="57" t="s">
        <v>205</v>
      </c>
      <c r="D60" s="57" t="s">
        <v>26</v>
      </c>
      <c r="E60" s="57" t="s">
        <v>100</v>
      </c>
      <c r="F60" s="57" t="s">
        <v>101</v>
      </c>
      <c r="G60" s="58" t="s">
        <v>22</v>
      </c>
      <c r="H60" s="57" t="s">
        <v>23</v>
      </c>
      <c r="I60" s="59">
        <v>44927</v>
      </c>
      <c r="J60" s="60">
        <v>4</v>
      </c>
      <c r="K60" s="61">
        <f t="shared" si="5"/>
        <v>2.9336000000000002</v>
      </c>
      <c r="L60" s="62">
        <f t="shared" si="7"/>
        <v>1.0664</v>
      </c>
      <c r="M60" s="64"/>
      <c r="N60"/>
    </row>
    <row r="61" spans="1:18" s="4" customFormat="1" ht="22.7" hidden="1" customHeight="1" x14ac:dyDescent="0.25">
      <c r="A61" s="55">
        <f t="shared" si="6"/>
        <v>55</v>
      </c>
      <c r="B61" s="56" t="s">
        <v>206</v>
      </c>
      <c r="C61" s="57" t="s">
        <v>207</v>
      </c>
      <c r="D61" s="57" t="s">
        <v>72</v>
      </c>
      <c r="E61" s="57" t="s">
        <v>33</v>
      </c>
      <c r="F61" s="57" t="s">
        <v>34</v>
      </c>
      <c r="G61" s="58" t="s">
        <v>35</v>
      </c>
      <c r="H61" s="57" t="s">
        <v>30</v>
      </c>
      <c r="I61" s="59">
        <v>42430</v>
      </c>
      <c r="J61" s="60">
        <v>15</v>
      </c>
      <c r="K61" s="61">
        <f t="shared" si="5"/>
        <v>11.000999999999999</v>
      </c>
      <c r="L61" s="62">
        <f t="shared" si="7"/>
        <v>3.9990000000000001</v>
      </c>
      <c r="M61" s="64"/>
      <c r="N61"/>
    </row>
    <row r="62" spans="1:18" s="4" customFormat="1" ht="22.7" hidden="1" customHeight="1" x14ac:dyDescent="0.25">
      <c r="A62" s="55">
        <f t="shared" si="6"/>
        <v>56</v>
      </c>
      <c r="B62" s="56" t="s">
        <v>208</v>
      </c>
      <c r="C62" s="57" t="s">
        <v>209</v>
      </c>
      <c r="D62" s="57" t="s">
        <v>116</v>
      </c>
      <c r="E62" s="57" t="s">
        <v>210</v>
      </c>
      <c r="F62" s="57" t="s">
        <v>47</v>
      </c>
      <c r="G62" s="58" t="s">
        <v>35</v>
      </c>
      <c r="H62" s="57" t="s">
        <v>30</v>
      </c>
      <c r="I62" s="59">
        <v>42675</v>
      </c>
      <c r="J62" s="60">
        <v>20</v>
      </c>
      <c r="K62" s="61">
        <f t="shared" si="5"/>
        <v>14.667999999999999</v>
      </c>
      <c r="L62" s="62">
        <f t="shared" si="7"/>
        <v>5.3319999999999999</v>
      </c>
      <c r="M62" s="64"/>
      <c r="N62"/>
    </row>
    <row r="63" spans="1:18" s="4" customFormat="1" ht="22.7" hidden="1" customHeight="1" x14ac:dyDescent="0.25">
      <c r="A63" s="55">
        <f t="shared" si="6"/>
        <v>57</v>
      </c>
      <c r="B63" s="56" t="s">
        <v>211</v>
      </c>
      <c r="C63" s="57" t="s">
        <v>212</v>
      </c>
      <c r="D63" s="57" t="s">
        <v>112</v>
      </c>
      <c r="E63" s="57" t="s">
        <v>213</v>
      </c>
      <c r="F63" s="57" t="s">
        <v>47</v>
      </c>
      <c r="G63" s="58" t="s">
        <v>35</v>
      </c>
      <c r="H63" s="57" t="s">
        <v>23</v>
      </c>
      <c r="I63" s="59">
        <v>44927</v>
      </c>
      <c r="J63" s="60">
        <v>5</v>
      </c>
      <c r="K63" s="61">
        <f t="shared" si="5"/>
        <v>3.6669999999999998</v>
      </c>
      <c r="L63" s="62">
        <f t="shared" si="7"/>
        <v>1.333</v>
      </c>
      <c r="M63" s="64"/>
      <c r="N63"/>
    </row>
    <row r="64" spans="1:18" s="4" customFormat="1" ht="22.7" hidden="1" customHeight="1" x14ac:dyDescent="0.25">
      <c r="A64" s="55">
        <f t="shared" si="6"/>
        <v>58</v>
      </c>
      <c r="B64" s="56" t="s">
        <v>214</v>
      </c>
      <c r="C64" s="57" t="s">
        <v>215</v>
      </c>
      <c r="D64" s="57" t="s">
        <v>116</v>
      </c>
      <c r="E64" s="57" t="s">
        <v>216</v>
      </c>
      <c r="F64" s="57" t="s">
        <v>47</v>
      </c>
      <c r="G64" s="58" t="s">
        <v>35</v>
      </c>
      <c r="H64" s="57" t="s">
        <v>23</v>
      </c>
      <c r="I64" s="59">
        <v>44928</v>
      </c>
      <c r="J64" s="60">
        <v>8</v>
      </c>
      <c r="K64" s="61">
        <f t="shared" si="5"/>
        <v>5.8672000000000004</v>
      </c>
      <c r="L64" s="62">
        <f t="shared" si="7"/>
        <v>2.1328</v>
      </c>
      <c r="M64" s="64"/>
      <c r="N64"/>
    </row>
    <row r="65" spans="1:14" s="4" customFormat="1" ht="22.7" hidden="1" customHeight="1" x14ac:dyDescent="0.25">
      <c r="A65" s="55">
        <f t="shared" si="6"/>
        <v>59</v>
      </c>
      <c r="B65" s="56" t="s">
        <v>525</v>
      </c>
      <c r="C65" s="57" t="s">
        <v>526</v>
      </c>
      <c r="D65" s="57" t="s">
        <v>45</v>
      </c>
      <c r="E65" s="57" t="s">
        <v>449</v>
      </c>
      <c r="F65" s="57" t="s">
        <v>47</v>
      </c>
      <c r="G65" s="58" t="s">
        <v>35</v>
      </c>
      <c r="H65" s="57" t="s">
        <v>30</v>
      </c>
      <c r="I65" s="59">
        <v>44805</v>
      </c>
      <c r="J65" s="60">
        <v>9</v>
      </c>
      <c r="K65" s="61">
        <f t="shared" si="5"/>
        <v>6.6006</v>
      </c>
      <c r="L65" s="62">
        <f t="shared" si="7"/>
        <v>2.3994</v>
      </c>
      <c r="M65" s="64"/>
      <c r="N65"/>
    </row>
    <row r="66" spans="1:14" s="4" customFormat="1" ht="22.7" hidden="1" customHeight="1" x14ac:dyDescent="0.25">
      <c r="A66" s="55">
        <f t="shared" si="6"/>
        <v>60</v>
      </c>
      <c r="B66" s="56" t="s">
        <v>217</v>
      </c>
      <c r="C66" s="57" t="s">
        <v>218</v>
      </c>
      <c r="D66" s="57" t="s">
        <v>45</v>
      </c>
      <c r="E66" s="57" t="s">
        <v>219</v>
      </c>
      <c r="F66" s="57" t="s">
        <v>47</v>
      </c>
      <c r="G66" s="58" t="s">
        <v>35</v>
      </c>
      <c r="H66" s="57" t="s">
        <v>23</v>
      </c>
      <c r="I66" s="59">
        <v>44928</v>
      </c>
      <c r="J66" s="60">
        <v>7</v>
      </c>
      <c r="K66" s="61">
        <f t="shared" si="5"/>
        <v>5.1337999999999999</v>
      </c>
      <c r="L66" s="62">
        <f t="shared" si="7"/>
        <v>1.8662000000000001</v>
      </c>
      <c r="M66" s="64"/>
      <c r="N66"/>
    </row>
    <row r="67" spans="1:14" s="4" customFormat="1" ht="22.7" hidden="1" customHeight="1" x14ac:dyDescent="0.25">
      <c r="A67" s="55">
        <f t="shared" si="6"/>
        <v>61</v>
      </c>
      <c r="B67" s="56" t="s">
        <v>220</v>
      </c>
      <c r="C67" s="57" t="s">
        <v>221</v>
      </c>
      <c r="D67" s="57" t="s">
        <v>85</v>
      </c>
      <c r="E67" s="57" t="s">
        <v>222</v>
      </c>
      <c r="F67" s="57" t="s">
        <v>40</v>
      </c>
      <c r="G67" s="58" t="s">
        <v>41</v>
      </c>
      <c r="H67" s="57" t="s">
        <v>23</v>
      </c>
      <c r="I67" s="59">
        <v>44927</v>
      </c>
      <c r="J67" s="60">
        <v>7</v>
      </c>
      <c r="K67" s="61">
        <f t="shared" si="5"/>
        <v>5.1337999999999999</v>
      </c>
      <c r="L67" s="62">
        <f t="shared" si="7"/>
        <v>1.8662000000000001</v>
      </c>
      <c r="M67" s="64"/>
      <c r="N67"/>
    </row>
    <row r="68" spans="1:14" s="4" customFormat="1" ht="22.7" hidden="1" customHeight="1" x14ac:dyDescent="0.25">
      <c r="A68" s="55">
        <f t="shared" si="6"/>
        <v>62</v>
      </c>
      <c r="B68" s="56" t="s">
        <v>223</v>
      </c>
      <c r="C68" s="57" t="s">
        <v>224</v>
      </c>
      <c r="D68" s="57" t="s">
        <v>225</v>
      </c>
      <c r="E68" s="57" t="s">
        <v>226</v>
      </c>
      <c r="F68" s="57" t="s">
        <v>57</v>
      </c>
      <c r="G68" s="58" t="s">
        <v>58</v>
      </c>
      <c r="H68" s="57" t="s">
        <v>23</v>
      </c>
      <c r="I68" s="59">
        <v>44927</v>
      </c>
      <c r="J68" s="60">
        <v>7</v>
      </c>
      <c r="K68" s="61">
        <f t="shared" si="5"/>
        <v>5.1337999999999999</v>
      </c>
      <c r="L68" s="62">
        <f t="shared" si="7"/>
        <v>1.8662000000000001</v>
      </c>
      <c r="M68" s="64"/>
      <c r="N68"/>
    </row>
    <row r="69" spans="1:14" s="4" customFormat="1" ht="22.7" hidden="1" customHeight="1" x14ac:dyDescent="0.25">
      <c r="A69" s="55">
        <f t="shared" si="6"/>
        <v>63</v>
      </c>
      <c r="B69" s="56" t="s">
        <v>227</v>
      </c>
      <c r="C69" s="57" t="s">
        <v>228</v>
      </c>
      <c r="D69" s="57" t="s">
        <v>85</v>
      </c>
      <c r="E69" s="57" t="s">
        <v>222</v>
      </c>
      <c r="F69" s="57" t="s">
        <v>40</v>
      </c>
      <c r="G69" s="58" t="s">
        <v>41</v>
      </c>
      <c r="H69" s="57" t="s">
        <v>23</v>
      </c>
      <c r="I69" s="59">
        <v>44927</v>
      </c>
      <c r="J69" s="60">
        <v>37</v>
      </c>
      <c r="K69" s="61">
        <f t="shared" ref="K69:K100" si="8">J69-L69</f>
        <v>27.1358</v>
      </c>
      <c r="L69" s="62">
        <f t="shared" si="7"/>
        <v>9.8642000000000003</v>
      </c>
      <c r="M69" s="64"/>
      <c r="N69"/>
    </row>
    <row r="70" spans="1:14" s="4" customFormat="1" ht="22.7" hidden="1" customHeight="1" x14ac:dyDescent="0.25">
      <c r="A70" s="55">
        <f t="shared" si="6"/>
        <v>64</v>
      </c>
      <c r="B70" s="56" t="s">
        <v>229</v>
      </c>
      <c r="C70" s="57" t="s">
        <v>230</v>
      </c>
      <c r="D70" s="57" t="s">
        <v>26</v>
      </c>
      <c r="E70" s="57" t="s">
        <v>100</v>
      </c>
      <c r="F70" s="57" t="s">
        <v>101</v>
      </c>
      <c r="G70" s="58" t="s">
        <v>22</v>
      </c>
      <c r="H70" s="57" t="s">
        <v>23</v>
      </c>
      <c r="I70" s="59">
        <v>44927</v>
      </c>
      <c r="J70" s="60">
        <v>10</v>
      </c>
      <c r="K70" s="61">
        <f t="shared" si="8"/>
        <v>7.3339999999999996</v>
      </c>
      <c r="L70" s="62">
        <f t="shared" si="7"/>
        <v>2.6659999999999999</v>
      </c>
      <c r="M70" s="64"/>
      <c r="N70"/>
    </row>
    <row r="71" spans="1:14" s="4" customFormat="1" ht="22.7" hidden="1" customHeight="1" x14ac:dyDescent="0.25">
      <c r="A71" s="55">
        <f t="shared" si="6"/>
        <v>65</v>
      </c>
      <c r="B71" s="56" t="s">
        <v>231</v>
      </c>
      <c r="C71" s="57" t="s">
        <v>232</v>
      </c>
      <c r="D71" s="57" t="s">
        <v>68</v>
      </c>
      <c r="E71" s="57" t="s">
        <v>233</v>
      </c>
      <c r="F71" s="57" t="s">
        <v>47</v>
      </c>
      <c r="G71" s="58" t="s">
        <v>35</v>
      </c>
      <c r="H71" s="57" t="s">
        <v>30</v>
      </c>
      <c r="I71" s="59">
        <v>42278</v>
      </c>
      <c r="J71" s="60">
        <v>6</v>
      </c>
      <c r="K71" s="61">
        <f t="shared" si="8"/>
        <v>4.4003999999999994</v>
      </c>
      <c r="L71" s="62">
        <f t="shared" si="7"/>
        <v>1.5996000000000001</v>
      </c>
      <c r="M71" s="64"/>
      <c r="N71"/>
    </row>
    <row r="72" spans="1:14" s="4" customFormat="1" ht="22.7" hidden="1" customHeight="1" x14ac:dyDescent="0.25">
      <c r="A72" s="55">
        <f t="shared" ref="A72:A103" si="9">SUM(A71:A71+1)</f>
        <v>66</v>
      </c>
      <c r="B72" s="56" t="s">
        <v>234</v>
      </c>
      <c r="C72" s="57" t="s">
        <v>235</v>
      </c>
      <c r="D72" s="57" t="s">
        <v>72</v>
      </c>
      <c r="E72" s="57" t="s">
        <v>73</v>
      </c>
      <c r="F72" s="57" t="s">
        <v>74</v>
      </c>
      <c r="G72" s="58" t="s">
        <v>75</v>
      </c>
      <c r="H72" s="57" t="s">
        <v>30</v>
      </c>
      <c r="I72" s="59">
        <v>44470</v>
      </c>
      <c r="J72" s="60">
        <v>0</v>
      </c>
      <c r="K72" s="61">
        <f t="shared" si="8"/>
        <v>0</v>
      </c>
      <c r="L72" s="62">
        <v>0</v>
      </c>
      <c r="M72" s="64"/>
      <c r="N72"/>
    </row>
    <row r="73" spans="1:14" s="4" customFormat="1" ht="22.7" hidden="1" customHeight="1" x14ac:dyDescent="0.25">
      <c r="A73" s="55">
        <f t="shared" si="9"/>
        <v>67</v>
      </c>
      <c r="B73" s="56" t="s">
        <v>236</v>
      </c>
      <c r="C73" s="57" t="s">
        <v>237</v>
      </c>
      <c r="D73" s="57" t="s">
        <v>72</v>
      </c>
      <c r="E73" s="57" t="s">
        <v>73</v>
      </c>
      <c r="F73" s="57" t="s">
        <v>74</v>
      </c>
      <c r="G73" s="58" t="s">
        <v>75</v>
      </c>
      <c r="H73" s="57" t="s">
        <v>30</v>
      </c>
      <c r="I73" s="59">
        <v>44470</v>
      </c>
      <c r="J73" s="60">
        <v>7</v>
      </c>
      <c r="K73" s="61">
        <f t="shared" si="8"/>
        <v>5.1337999999999999</v>
      </c>
      <c r="L73" s="62">
        <f t="shared" ref="L73:L115" si="10">+J73*26.66%</f>
        <v>1.8662000000000001</v>
      </c>
      <c r="M73" s="64"/>
      <c r="N73"/>
    </row>
    <row r="74" spans="1:14" s="4" customFormat="1" ht="22.7" hidden="1" customHeight="1" x14ac:dyDescent="0.25">
      <c r="A74" s="55">
        <f t="shared" si="9"/>
        <v>68</v>
      </c>
      <c r="B74" s="56" t="s">
        <v>238</v>
      </c>
      <c r="C74" s="57" t="s">
        <v>239</v>
      </c>
      <c r="D74" s="57" t="s">
        <v>45</v>
      </c>
      <c r="E74" s="57" t="s">
        <v>240</v>
      </c>
      <c r="F74" s="57" t="s">
        <v>47</v>
      </c>
      <c r="G74" s="58" t="s">
        <v>35</v>
      </c>
      <c r="H74" s="57" t="s">
        <v>30</v>
      </c>
      <c r="I74" s="59">
        <v>41699</v>
      </c>
      <c r="J74" s="60">
        <v>3</v>
      </c>
      <c r="K74" s="61">
        <f t="shared" si="8"/>
        <v>2.2001999999999997</v>
      </c>
      <c r="L74" s="62">
        <f t="shared" si="10"/>
        <v>0.79980000000000007</v>
      </c>
      <c r="M74" s="64"/>
      <c r="N74"/>
    </row>
    <row r="75" spans="1:14" s="4" customFormat="1" ht="22.7" hidden="1" customHeight="1" x14ac:dyDescent="0.25">
      <c r="A75" s="55">
        <f t="shared" si="9"/>
        <v>69</v>
      </c>
      <c r="B75" s="56" t="s">
        <v>243</v>
      </c>
      <c r="C75" s="57" t="s">
        <v>244</v>
      </c>
      <c r="D75" s="57" t="s">
        <v>26</v>
      </c>
      <c r="E75" s="57" t="s">
        <v>245</v>
      </c>
      <c r="F75" s="57" t="s">
        <v>34</v>
      </c>
      <c r="G75" s="58" t="s">
        <v>35</v>
      </c>
      <c r="H75" s="57" t="s">
        <v>30</v>
      </c>
      <c r="I75" s="59">
        <v>42767</v>
      </c>
      <c r="J75" s="60">
        <v>42</v>
      </c>
      <c r="K75" s="61">
        <f t="shared" si="8"/>
        <v>30.802799999999998</v>
      </c>
      <c r="L75" s="62">
        <f t="shared" si="10"/>
        <v>11.1972</v>
      </c>
      <c r="M75" s="64"/>
      <c r="N75"/>
    </row>
    <row r="76" spans="1:14" s="4" customFormat="1" ht="22.7" hidden="1" customHeight="1" x14ac:dyDescent="0.25">
      <c r="A76" s="55">
        <f t="shared" si="9"/>
        <v>70</v>
      </c>
      <c r="B76" s="56" t="s">
        <v>246</v>
      </c>
      <c r="C76" s="57" t="s">
        <v>247</v>
      </c>
      <c r="D76" s="57" t="s">
        <v>26</v>
      </c>
      <c r="E76" s="57" t="s">
        <v>100</v>
      </c>
      <c r="F76" s="57" t="s">
        <v>101</v>
      </c>
      <c r="G76" s="58" t="s">
        <v>22</v>
      </c>
      <c r="H76" s="57" t="s">
        <v>23</v>
      </c>
      <c r="I76" s="59">
        <v>44927</v>
      </c>
      <c r="J76" s="60">
        <v>6</v>
      </c>
      <c r="K76" s="61">
        <f t="shared" si="8"/>
        <v>4.4003999999999994</v>
      </c>
      <c r="L76" s="62">
        <f t="shared" si="10"/>
        <v>1.5996000000000001</v>
      </c>
      <c r="M76" s="64"/>
      <c r="N76"/>
    </row>
    <row r="77" spans="1:14" s="4" customFormat="1" ht="22.7" hidden="1" customHeight="1" x14ac:dyDescent="0.25">
      <c r="A77" s="55">
        <f t="shared" si="9"/>
        <v>71</v>
      </c>
      <c r="B77" s="56" t="s">
        <v>252</v>
      </c>
      <c r="C77" s="57" t="s">
        <v>253</v>
      </c>
      <c r="D77" s="57" t="s">
        <v>55</v>
      </c>
      <c r="E77" s="57" t="s">
        <v>254</v>
      </c>
      <c r="F77" s="57" t="s">
        <v>28</v>
      </c>
      <c r="G77" s="58" t="s">
        <v>29</v>
      </c>
      <c r="H77" s="57" t="s">
        <v>30</v>
      </c>
      <c r="I77" s="59">
        <v>36527</v>
      </c>
      <c r="J77" s="60">
        <v>31</v>
      </c>
      <c r="K77" s="61">
        <f t="shared" si="8"/>
        <v>22.735399999999998</v>
      </c>
      <c r="L77" s="62">
        <f t="shared" si="10"/>
        <v>8.2645999999999997</v>
      </c>
      <c r="M77" s="64"/>
      <c r="N77"/>
    </row>
    <row r="78" spans="1:14" s="4" customFormat="1" ht="22.7" hidden="1" customHeight="1" x14ac:dyDescent="0.25">
      <c r="A78" s="55">
        <f t="shared" si="9"/>
        <v>72</v>
      </c>
      <c r="B78" s="56" t="s">
        <v>564</v>
      </c>
      <c r="C78" s="57" t="s">
        <v>565</v>
      </c>
      <c r="D78" s="57" t="s">
        <v>169</v>
      </c>
      <c r="E78" s="57" t="s">
        <v>170</v>
      </c>
      <c r="F78" s="57" t="s">
        <v>171</v>
      </c>
      <c r="G78" s="58" t="s">
        <v>172</v>
      </c>
      <c r="H78" s="57" t="s">
        <v>30</v>
      </c>
      <c r="I78" s="59">
        <v>44621</v>
      </c>
      <c r="J78" s="60">
        <v>5</v>
      </c>
      <c r="K78" s="61">
        <f t="shared" si="8"/>
        <v>3.6669999999999998</v>
      </c>
      <c r="L78" s="62">
        <f t="shared" si="10"/>
        <v>1.333</v>
      </c>
      <c r="M78" s="64"/>
      <c r="N78"/>
    </row>
    <row r="79" spans="1:14" s="4" customFormat="1" ht="22.7" hidden="1" customHeight="1" x14ac:dyDescent="0.25">
      <c r="A79" s="55">
        <f t="shared" si="9"/>
        <v>73</v>
      </c>
      <c r="B79" s="56" t="s">
        <v>255</v>
      </c>
      <c r="C79" s="57" t="s">
        <v>256</v>
      </c>
      <c r="D79" s="57" t="s">
        <v>45</v>
      </c>
      <c r="E79" s="57" t="s">
        <v>61</v>
      </c>
      <c r="F79" s="57" t="s">
        <v>21</v>
      </c>
      <c r="G79" s="58" t="s">
        <v>22</v>
      </c>
      <c r="H79" s="57" t="s">
        <v>30</v>
      </c>
      <c r="I79" s="59">
        <v>42156</v>
      </c>
      <c r="J79" s="60">
        <v>22</v>
      </c>
      <c r="K79" s="61">
        <f t="shared" si="8"/>
        <v>16.134799999999998</v>
      </c>
      <c r="L79" s="62">
        <f t="shared" si="10"/>
        <v>5.8651999999999997</v>
      </c>
      <c r="M79" s="64"/>
      <c r="N79"/>
    </row>
    <row r="80" spans="1:14" s="4" customFormat="1" ht="22.7" hidden="1" customHeight="1" x14ac:dyDescent="0.25">
      <c r="A80" s="55">
        <f t="shared" si="9"/>
        <v>74</v>
      </c>
      <c r="B80" s="56" t="s">
        <v>566</v>
      </c>
      <c r="C80" s="57" t="s">
        <v>567</v>
      </c>
      <c r="D80" s="57" t="s">
        <v>72</v>
      </c>
      <c r="E80" s="57" t="s">
        <v>27</v>
      </c>
      <c r="F80" s="57" t="s">
        <v>28</v>
      </c>
      <c r="G80" s="58" t="s">
        <v>29</v>
      </c>
      <c r="H80" s="57" t="s">
        <v>30</v>
      </c>
      <c r="I80" s="59">
        <v>41821</v>
      </c>
      <c r="J80" s="60">
        <v>22</v>
      </c>
      <c r="K80" s="61">
        <f t="shared" si="8"/>
        <v>16.134799999999998</v>
      </c>
      <c r="L80" s="62">
        <f t="shared" si="10"/>
        <v>5.8651999999999997</v>
      </c>
      <c r="M80" s="64"/>
      <c r="N80"/>
    </row>
    <row r="81" spans="1:14" s="4" customFormat="1" ht="22.7" hidden="1" customHeight="1" x14ac:dyDescent="0.25">
      <c r="A81" s="55">
        <f t="shared" si="9"/>
        <v>75</v>
      </c>
      <c r="B81" s="56" t="s">
        <v>257</v>
      </c>
      <c r="C81" s="57" t="s">
        <v>258</v>
      </c>
      <c r="D81" s="57" t="s">
        <v>179</v>
      </c>
      <c r="E81" s="57" t="s">
        <v>141</v>
      </c>
      <c r="F81" s="57" t="s">
        <v>57</v>
      </c>
      <c r="G81" s="58" t="s">
        <v>58</v>
      </c>
      <c r="H81" s="57" t="s">
        <v>23</v>
      </c>
      <c r="I81" s="59">
        <v>44927</v>
      </c>
      <c r="J81" s="60">
        <v>29</v>
      </c>
      <c r="K81" s="61">
        <f t="shared" si="8"/>
        <v>21.268599999999999</v>
      </c>
      <c r="L81" s="62">
        <f t="shared" si="10"/>
        <v>7.7313999999999998</v>
      </c>
      <c r="M81" s="64"/>
      <c r="N81"/>
    </row>
    <row r="82" spans="1:14" s="4" customFormat="1" ht="22.7" hidden="1" customHeight="1" x14ac:dyDescent="0.25">
      <c r="A82" s="55">
        <f t="shared" si="9"/>
        <v>76</v>
      </c>
      <c r="B82" s="56" t="s">
        <v>259</v>
      </c>
      <c r="C82" s="57" t="s">
        <v>260</v>
      </c>
      <c r="D82" s="57" t="s">
        <v>154</v>
      </c>
      <c r="E82" s="57" t="s">
        <v>155</v>
      </c>
      <c r="F82" s="57" t="s">
        <v>40</v>
      </c>
      <c r="G82" s="58" t="s">
        <v>41</v>
      </c>
      <c r="H82" s="57" t="s">
        <v>30</v>
      </c>
      <c r="I82" s="59">
        <v>44440</v>
      </c>
      <c r="J82" s="60">
        <v>0</v>
      </c>
      <c r="K82" s="61">
        <f t="shared" si="8"/>
        <v>0</v>
      </c>
      <c r="L82" s="62">
        <f t="shared" si="10"/>
        <v>0</v>
      </c>
      <c r="M82" s="64"/>
      <c r="N82"/>
    </row>
    <row r="83" spans="1:14" s="4" customFormat="1" ht="22.7" hidden="1" customHeight="1" x14ac:dyDescent="0.25">
      <c r="A83" s="55">
        <f t="shared" si="9"/>
        <v>77</v>
      </c>
      <c r="B83" s="56" t="s">
        <v>261</v>
      </c>
      <c r="C83" s="57" t="s">
        <v>262</v>
      </c>
      <c r="D83" s="57" t="s">
        <v>45</v>
      </c>
      <c r="E83" s="57" t="s">
        <v>263</v>
      </c>
      <c r="F83" s="57" t="s">
        <v>264</v>
      </c>
      <c r="G83" s="58" t="s">
        <v>265</v>
      </c>
      <c r="H83" s="57" t="s">
        <v>23</v>
      </c>
      <c r="I83" s="59">
        <v>44927</v>
      </c>
      <c r="J83" s="60">
        <v>5</v>
      </c>
      <c r="K83" s="61">
        <f t="shared" si="8"/>
        <v>3.6669999999999998</v>
      </c>
      <c r="L83" s="62">
        <f t="shared" si="10"/>
        <v>1.333</v>
      </c>
      <c r="M83" s="64"/>
      <c r="N83"/>
    </row>
    <row r="84" spans="1:14" s="4" customFormat="1" ht="22.7" hidden="1" customHeight="1" x14ac:dyDescent="0.25">
      <c r="A84" s="55">
        <f t="shared" si="9"/>
        <v>78</v>
      </c>
      <c r="B84" s="56" t="s">
        <v>266</v>
      </c>
      <c r="C84" s="57" t="s">
        <v>267</v>
      </c>
      <c r="D84" s="57" t="s">
        <v>72</v>
      </c>
      <c r="E84" s="57" t="s">
        <v>73</v>
      </c>
      <c r="F84" s="57" t="s">
        <v>74</v>
      </c>
      <c r="G84" s="58" t="s">
        <v>75</v>
      </c>
      <c r="H84" s="57" t="s">
        <v>30</v>
      </c>
      <c r="I84" s="59">
        <v>44470</v>
      </c>
      <c r="J84" s="60">
        <v>6</v>
      </c>
      <c r="K84" s="61">
        <f t="shared" si="8"/>
        <v>4.4003999999999994</v>
      </c>
      <c r="L84" s="62">
        <f t="shared" si="10"/>
        <v>1.5996000000000001</v>
      </c>
      <c r="M84" s="64"/>
      <c r="N84"/>
    </row>
    <row r="85" spans="1:14" s="4" customFormat="1" ht="22.7" hidden="1" customHeight="1" x14ac:dyDescent="0.25">
      <c r="A85" s="55">
        <f t="shared" si="9"/>
        <v>79</v>
      </c>
      <c r="B85" s="56" t="s">
        <v>268</v>
      </c>
      <c r="C85" s="57" t="s">
        <v>269</v>
      </c>
      <c r="D85" s="57" t="s">
        <v>161</v>
      </c>
      <c r="E85" s="57" t="s">
        <v>162</v>
      </c>
      <c r="F85" s="57" t="s">
        <v>57</v>
      </c>
      <c r="G85" s="58" t="s">
        <v>58</v>
      </c>
      <c r="H85" s="57" t="s">
        <v>30</v>
      </c>
      <c r="I85" s="59">
        <v>44470</v>
      </c>
      <c r="J85" s="60">
        <v>0</v>
      </c>
      <c r="K85" s="61">
        <f t="shared" si="8"/>
        <v>0</v>
      </c>
      <c r="L85" s="62">
        <f t="shared" si="10"/>
        <v>0</v>
      </c>
      <c r="M85" s="64"/>
      <c r="N85"/>
    </row>
    <row r="86" spans="1:14" s="4" customFormat="1" ht="22.7" hidden="1" customHeight="1" x14ac:dyDescent="0.25">
      <c r="A86" s="55">
        <f t="shared" si="9"/>
        <v>80</v>
      </c>
      <c r="B86" s="56" t="s">
        <v>270</v>
      </c>
      <c r="C86" s="57" t="s">
        <v>271</v>
      </c>
      <c r="D86" s="57" t="s">
        <v>64</v>
      </c>
      <c r="E86" s="57" t="s">
        <v>65</v>
      </c>
      <c r="F86" s="57" t="s">
        <v>47</v>
      </c>
      <c r="G86" s="58" t="s">
        <v>35</v>
      </c>
      <c r="H86" s="57" t="s">
        <v>30</v>
      </c>
      <c r="I86" s="59">
        <v>43922</v>
      </c>
      <c r="J86" s="60">
        <v>27</v>
      </c>
      <c r="K86" s="61">
        <f t="shared" si="8"/>
        <v>19.8018</v>
      </c>
      <c r="L86" s="62">
        <f t="shared" si="10"/>
        <v>7.1981999999999999</v>
      </c>
      <c r="M86" s="64"/>
      <c r="N86"/>
    </row>
    <row r="87" spans="1:14" s="4" customFormat="1" ht="22.7" hidden="1" customHeight="1" x14ac:dyDescent="0.25">
      <c r="A87" s="55">
        <f t="shared" si="9"/>
        <v>81</v>
      </c>
      <c r="B87" s="56">
        <v>1102734728</v>
      </c>
      <c r="C87" s="57" t="s">
        <v>272</v>
      </c>
      <c r="D87" s="57" t="s">
        <v>45</v>
      </c>
      <c r="E87" s="57" t="s">
        <v>568</v>
      </c>
      <c r="F87" s="57"/>
      <c r="G87" s="67">
        <v>1086</v>
      </c>
      <c r="H87" s="57" t="s">
        <v>42</v>
      </c>
      <c r="I87" s="59">
        <v>44440</v>
      </c>
      <c r="J87" s="60">
        <v>16</v>
      </c>
      <c r="K87" s="61">
        <f t="shared" si="8"/>
        <v>11.734400000000001</v>
      </c>
      <c r="L87" s="62">
        <f t="shared" si="10"/>
        <v>4.2656000000000001</v>
      </c>
      <c r="M87" s="64"/>
      <c r="N87"/>
    </row>
    <row r="88" spans="1:14" s="4" customFormat="1" ht="22.7" hidden="1" customHeight="1" x14ac:dyDescent="0.25">
      <c r="A88" s="55">
        <f t="shared" si="9"/>
        <v>82</v>
      </c>
      <c r="B88" s="56" t="s">
        <v>274</v>
      </c>
      <c r="C88" s="57" t="s">
        <v>275</v>
      </c>
      <c r="D88" s="57" t="s">
        <v>45</v>
      </c>
      <c r="E88" s="57" t="s">
        <v>276</v>
      </c>
      <c r="F88" s="57" t="s">
        <v>277</v>
      </c>
      <c r="G88" s="58" t="s">
        <v>75</v>
      </c>
      <c r="H88" s="57" t="s">
        <v>30</v>
      </c>
      <c r="I88" s="59">
        <v>42005</v>
      </c>
      <c r="J88" s="60">
        <v>4</v>
      </c>
      <c r="K88" s="61">
        <f t="shared" si="8"/>
        <v>2.9336000000000002</v>
      </c>
      <c r="L88" s="62">
        <f t="shared" si="10"/>
        <v>1.0664</v>
      </c>
      <c r="M88" s="64"/>
      <c r="N88"/>
    </row>
    <row r="89" spans="1:14" s="4" customFormat="1" ht="22.7" hidden="1" customHeight="1" x14ac:dyDescent="0.25">
      <c r="A89" s="55">
        <f t="shared" si="9"/>
        <v>83</v>
      </c>
      <c r="B89" s="56" t="s">
        <v>278</v>
      </c>
      <c r="C89" s="57" t="s">
        <v>279</v>
      </c>
      <c r="D89" s="57" t="s">
        <v>120</v>
      </c>
      <c r="E89" s="57" t="s">
        <v>280</v>
      </c>
      <c r="F89" s="57" t="s">
        <v>47</v>
      </c>
      <c r="G89" s="58" t="s">
        <v>35</v>
      </c>
      <c r="H89" s="57" t="s">
        <v>30</v>
      </c>
      <c r="I89" s="59">
        <v>42278</v>
      </c>
      <c r="J89" s="60">
        <v>14</v>
      </c>
      <c r="K89" s="61">
        <f t="shared" si="8"/>
        <v>10.2676</v>
      </c>
      <c r="L89" s="62">
        <f t="shared" si="10"/>
        <v>3.7324000000000002</v>
      </c>
      <c r="M89" s="64"/>
      <c r="N89"/>
    </row>
    <row r="90" spans="1:14" s="4" customFormat="1" ht="22.7" hidden="1" customHeight="1" x14ac:dyDescent="0.25">
      <c r="A90" s="55">
        <f t="shared" si="9"/>
        <v>84</v>
      </c>
      <c r="B90" s="56" t="s">
        <v>281</v>
      </c>
      <c r="C90" s="57" t="s">
        <v>282</v>
      </c>
      <c r="D90" s="57" t="s">
        <v>112</v>
      </c>
      <c r="E90" s="57" t="s">
        <v>283</v>
      </c>
      <c r="F90" s="57" t="s">
        <v>57</v>
      </c>
      <c r="G90" s="58" t="s">
        <v>58</v>
      </c>
      <c r="H90" s="57" t="s">
        <v>23</v>
      </c>
      <c r="I90" s="59">
        <v>44927</v>
      </c>
      <c r="J90" s="60">
        <v>5</v>
      </c>
      <c r="K90" s="61">
        <f t="shared" si="8"/>
        <v>3.6669999999999998</v>
      </c>
      <c r="L90" s="62">
        <f t="shared" si="10"/>
        <v>1.333</v>
      </c>
      <c r="M90" s="64"/>
      <c r="N90"/>
    </row>
    <row r="91" spans="1:14" s="4" customFormat="1" ht="22.7" hidden="1" customHeight="1" x14ac:dyDescent="0.25">
      <c r="A91" s="55">
        <f t="shared" si="9"/>
        <v>85</v>
      </c>
      <c r="B91" s="56" t="s">
        <v>284</v>
      </c>
      <c r="C91" s="57" t="s">
        <v>285</v>
      </c>
      <c r="D91" s="57" t="s">
        <v>26</v>
      </c>
      <c r="E91" s="57" t="s">
        <v>145</v>
      </c>
      <c r="F91" s="57" t="s">
        <v>57</v>
      </c>
      <c r="G91" s="58" t="s">
        <v>58</v>
      </c>
      <c r="H91" s="57" t="s">
        <v>30</v>
      </c>
      <c r="I91" s="59">
        <v>42768</v>
      </c>
      <c r="J91" s="60">
        <v>3</v>
      </c>
      <c r="K91" s="61">
        <f t="shared" si="8"/>
        <v>2.2001999999999997</v>
      </c>
      <c r="L91" s="62">
        <f t="shared" si="10"/>
        <v>0.79980000000000007</v>
      </c>
      <c r="M91" s="64"/>
      <c r="N91"/>
    </row>
    <row r="92" spans="1:14" s="4" customFormat="1" ht="22.7" hidden="1" customHeight="1" x14ac:dyDescent="0.25">
      <c r="A92" s="55">
        <f t="shared" si="9"/>
        <v>86</v>
      </c>
      <c r="B92" s="56" t="s">
        <v>286</v>
      </c>
      <c r="C92" s="57" t="s">
        <v>287</v>
      </c>
      <c r="D92" s="57" t="s">
        <v>26</v>
      </c>
      <c r="E92" s="57" t="s">
        <v>33</v>
      </c>
      <c r="F92" s="57" t="s">
        <v>34</v>
      </c>
      <c r="G92" s="58" t="s">
        <v>35</v>
      </c>
      <c r="H92" s="57" t="s">
        <v>30</v>
      </c>
      <c r="I92" s="59">
        <v>43101</v>
      </c>
      <c r="J92" s="60">
        <v>4</v>
      </c>
      <c r="K92" s="61">
        <f t="shared" si="8"/>
        <v>2.9336000000000002</v>
      </c>
      <c r="L92" s="62">
        <f t="shared" si="10"/>
        <v>1.0664</v>
      </c>
      <c r="M92" s="64"/>
      <c r="N92"/>
    </row>
    <row r="93" spans="1:14" s="4" customFormat="1" ht="22.7" hidden="1" customHeight="1" x14ac:dyDescent="0.25">
      <c r="A93" s="55">
        <f t="shared" si="9"/>
        <v>87</v>
      </c>
      <c r="B93" s="56" t="s">
        <v>288</v>
      </c>
      <c r="C93" s="57" t="s">
        <v>289</v>
      </c>
      <c r="D93" s="57" t="s">
        <v>26</v>
      </c>
      <c r="E93" s="57" t="s">
        <v>100</v>
      </c>
      <c r="F93" s="57" t="s">
        <v>101</v>
      </c>
      <c r="G93" s="58" t="s">
        <v>22</v>
      </c>
      <c r="H93" s="57" t="s">
        <v>23</v>
      </c>
      <c r="I93" s="59">
        <v>44927</v>
      </c>
      <c r="J93" s="60">
        <v>3</v>
      </c>
      <c r="K93" s="61">
        <f t="shared" si="8"/>
        <v>2.2001999999999997</v>
      </c>
      <c r="L93" s="62">
        <f t="shared" si="10"/>
        <v>0.79980000000000007</v>
      </c>
      <c r="M93" s="64"/>
      <c r="N93"/>
    </row>
    <row r="94" spans="1:14" s="4" customFormat="1" ht="22.7" hidden="1" customHeight="1" x14ac:dyDescent="0.25">
      <c r="A94" s="55">
        <f t="shared" si="9"/>
        <v>88</v>
      </c>
      <c r="B94" s="56" t="s">
        <v>290</v>
      </c>
      <c r="C94" s="57" t="s">
        <v>291</v>
      </c>
      <c r="D94" s="57" t="s">
        <v>112</v>
      </c>
      <c r="E94" s="57" t="s">
        <v>113</v>
      </c>
      <c r="F94" s="57" t="s">
        <v>57</v>
      </c>
      <c r="G94" s="58" t="s">
        <v>58</v>
      </c>
      <c r="H94" s="57" t="s">
        <v>23</v>
      </c>
      <c r="I94" s="59">
        <v>44927</v>
      </c>
      <c r="J94" s="60">
        <v>37</v>
      </c>
      <c r="K94" s="61">
        <f t="shared" si="8"/>
        <v>27.1358</v>
      </c>
      <c r="L94" s="62">
        <f t="shared" si="10"/>
        <v>9.8642000000000003</v>
      </c>
      <c r="M94" s="64"/>
      <c r="N94"/>
    </row>
    <row r="95" spans="1:14" s="4" customFormat="1" ht="22.7" hidden="1" customHeight="1" x14ac:dyDescent="0.25">
      <c r="A95" s="55">
        <f t="shared" si="9"/>
        <v>89</v>
      </c>
      <c r="B95" s="56">
        <v>1105029480</v>
      </c>
      <c r="C95" s="68" t="s">
        <v>569</v>
      </c>
      <c r="D95" s="57" t="s">
        <v>45</v>
      </c>
      <c r="E95" s="57" t="s">
        <v>570</v>
      </c>
      <c r="F95" s="57" t="s">
        <v>57</v>
      </c>
      <c r="G95" s="58" t="s">
        <v>58</v>
      </c>
      <c r="H95" s="57" t="s">
        <v>42</v>
      </c>
      <c r="I95" s="59">
        <v>44501</v>
      </c>
      <c r="J95" s="60">
        <v>6</v>
      </c>
      <c r="K95" s="61">
        <f t="shared" si="8"/>
        <v>4.4003999999999994</v>
      </c>
      <c r="L95" s="62">
        <f t="shared" si="10"/>
        <v>1.5996000000000001</v>
      </c>
      <c r="M95" s="64"/>
      <c r="N95"/>
    </row>
    <row r="96" spans="1:14" s="4" customFormat="1" ht="22.7" hidden="1" customHeight="1" x14ac:dyDescent="0.25">
      <c r="A96" s="55">
        <f t="shared" si="9"/>
        <v>90</v>
      </c>
      <c r="B96" s="56" t="s">
        <v>292</v>
      </c>
      <c r="C96" s="57" t="s">
        <v>293</v>
      </c>
      <c r="D96" s="57" t="s">
        <v>45</v>
      </c>
      <c r="E96" s="57" t="s">
        <v>294</v>
      </c>
      <c r="F96" s="57" t="s">
        <v>47</v>
      </c>
      <c r="G96" s="58" t="s">
        <v>35</v>
      </c>
      <c r="H96" s="57" t="s">
        <v>30</v>
      </c>
      <c r="I96" s="59">
        <v>43832</v>
      </c>
      <c r="J96" s="60">
        <v>23</v>
      </c>
      <c r="K96" s="61">
        <f t="shared" si="8"/>
        <v>16.868200000000002</v>
      </c>
      <c r="L96" s="62">
        <f t="shared" si="10"/>
        <v>6.1318000000000001</v>
      </c>
      <c r="M96" s="64"/>
      <c r="N96"/>
    </row>
    <row r="97" spans="1:14" s="4" customFormat="1" ht="22.7" hidden="1" customHeight="1" x14ac:dyDescent="0.25">
      <c r="A97" s="55">
        <f t="shared" si="9"/>
        <v>91</v>
      </c>
      <c r="B97" s="56" t="s">
        <v>295</v>
      </c>
      <c r="C97" s="57" t="s">
        <v>296</v>
      </c>
      <c r="D97" s="57" t="s">
        <v>297</v>
      </c>
      <c r="E97" s="57" t="s">
        <v>298</v>
      </c>
      <c r="F97" s="57" t="s">
        <v>57</v>
      </c>
      <c r="G97" s="58" t="s">
        <v>58</v>
      </c>
      <c r="H97" s="57" t="s">
        <v>23</v>
      </c>
      <c r="I97" s="59">
        <v>44927</v>
      </c>
      <c r="J97" s="60">
        <v>7</v>
      </c>
      <c r="K97" s="61">
        <f t="shared" si="8"/>
        <v>5.1337999999999999</v>
      </c>
      <c r="L97" s="62">
        <f t="shared" si="10"/>
        <v>1.8662000000000001</v>
      </c>
      <c r="M97" s="64"/>
      <c r="N97"/>
    </row>
    <row r="98" spans="1:14" s="4" customFormat="1" ht="22.7" hidden="1" customHeight="1" x14ac:dyDescent="0.25">
      <c r="A98" s="55">
        <f t="shared" si="9"/>
        <v>92</v>
      </c>
      <c r="B98" s="56" t="s">
        <v>299</v>
      </c>
      <c r="C98" s="57" t="s">
        <v>300</v>
      </c>
      <c r="D98" s="57" t="s">
        <v>26</v>
      </c>
      <c r="E98" s="57" t="s">
        <v>33</v>
      </c>
      <c r="F98" s="57" t="s">
        <v>34</v>
      </c>
      <c r="G98" s="58" t="s">
        <v>35</v>
      </c>
      <c r="H98" s="57" t="s">
        <v>30</v>
      </c>
      <c r="I98" s="59">
        <v>42767</v>
      </c>
      <c r="J98" s="60">
        <v>2</v>
      </c>
      <c r="K98" s="61">
        <f t="shared" si="8"/>
        <v>1.4668000000000001</v>
      </c>
      <c r="L98" s="62">
        <f t="shared" si="10"/>
        <v>0.53320000000000001</v>
      </c>
      <c r="M98" s="64"/>
      <c r="N98"/>
    </row>
    <row r="99" spans="1:14" s="4" customFormat="1" ht="22.7" hidden="1" customHeight="1" x14ac:dyDescent="0.25">
      <c r="A99" s="55">
        <f t="shared" si="9"/>
        <v>93</v>
      </c>
      <c r="B99" s="56" t="s">
        <v>301</v>
      </c>
      <c r="C99" s="57" t="s">
        <v>302</v>
      </c>
      <c r="D99" s="57" t="s">
        <v>161</v>
      </c>
      <c r="E99" s="57" t="s">
        <v>298</v>
      </c>
      <c r="F99" s="57" t="s">
        <v>57</v>
      </c>
      <c r="G99" s="58" t="s">
        <v>58</v>
      </c>
      <c r="H99" s="57" t="s">
        <v>30</v>
      </c>
      <c r="I99" s="59">
        <v>42278</v>
      </c>
      <c r="J99" s="60">
        <v>42</v>
      </c>
      <c r="K99" s="61">
        <f t="shared" si="8"/>
        <v>30.802799999999998</v>
      </c>
      <c r="L99" s="62">
        <f t="shared" si="10"/>
        <v>11.1972</v>
      </c>
      <c r="M99" s="64"/>
      <c r="N99"/>
    </row>
    <row r="100" spans="1:14" s="4" customFormat="1" ht="22.7" hidden="1" customHeight="1" x14ac:dyDescent="0.25">
      <c r="A100" s="55">
        <f t="shared" si="9"/>
        <v>94</v>
      </c>
      <c r="B100" s="56" t="s">
        <v>303</v>
      </c>
      <c r="C100" s="57" t="s">
        <v>304</v>
      </c>
      <c r="D100" s="57" t="s">
        <v>26</v>
      </c>
      <c r="E100" s="57" t="s">
        <v>33</v>
      </c>
      <c r="F100" s="57" t="s">
        <v>34</v>
      </c>
      <c r="G100" s="58" t="s">
        <v>35</v>
      </c>
      <c r="H100" s="57" t="s">
        <v>30</v>
      </c>
      <c r="I100" s="59">
        <v>42064</v>
      </c>
      <c r="J100" s="60">
        <v>13</v>
      </c>
      <c r="K100" s="61">
        <f t="shared" si="8"/>
        <v>9.5342000000000002</v>
      </c>
      <c r="L100" s="62">
        <f t="shared" si="10"/>
        <v>3.4658000000000002</v>
      </c>
      <c r="M100" s="64"/>
      <c r="N100"/>
    </row>
    <row r="101" spans="1:14" s="4" customFormat="1" ht="22.7" hidden="1" customHeight="1" x14ac:dyDescent="0.25">
      <c r="A101" s="55">
        <f t="shared" si="9"/>
        <v>95</v>
      </c>
      <c r="B101" s="56" t="s">
        <v>305</v>
      </c>
      <c r="C101" s="57" t="s">
        <v>306</v>
      </c>
      <c r="D101" s="57" t="s">
        <v>85</v>
      </c>
      <c r="E101" s="57" t="s">
        <v>86</v>
      </c>
      <c r="F101" s="57" t="s">
        <v>34</v>
      </c>
      <c r="G101" s="58" t="s">
        <v>35</v>
      </c>
      <c r="H101" s="57" t="s">
        <v>23</v>
      </c>
      <c r="I101" s="59">
        <v>44928</v>
      </c>
      <c r="J101" s="60">
        <v>2</v>
      </c>
      <c r="K101" s="61">
        <f t="shared" ref="K101:K132" si="11">J101-L101</f>
        <v>1.4668000000000001</v>
      </c>
      <c r="L101" s="62">
        <f t="shared" si="10"/>
        <v>0.53320000000000001</v>
      </c>
      <c r="M101" s="64"/>
      <c r="N101"/>
    </row>
    <row r="102" spans="1:14" s="4" customFormat="1" ht="22.7" hidden="1" customHeight="1" x14ac:dyDescent="0.25">
      <c r="A102" s="55">
        <f t="shared" si="9"/>
        <v>96</v>
      </c>
      <c r="B102" s="56" t="s">
        <v>307</v>
      </c>
      <c r="C102" s="57" t="s">
        <v>308</v>
      </c>
      <c r="D102" s="57" t="s">
        <v>45</v>
      </c>
      <c r="E102" s="57" t="s">
        <v>309</v>
      </c>
      <c r="F102" s="57" t="s">
        <v>47</v>
      </c>
      <c r="G102" s="58" t="s">
        <v>35</v>
      </c>
      <c r="H102" s="57" t="s">
        <v>30</v>
      </c>
      <c r="I102" s="59">
        <v>44531</v>
      </c>
      <c r="J102" s="60">
        <v>10</v>
      </c>
      <c r="K102" s="61">
        <f t="shared" si="11"/>
        <v>7.3339999999999996</v>
      </c>
      <c r="L102" s="62">
        <f t="shared" si="10"/>
        <v>2.6659999999999999</v>
      </c>
      <c r="M102" s="64"/>
      <c r="N102"/>
    </row>
    <row r="103" spans="1:14" s="4" customFormat="1" ht="22.7" customHeight="1" x14ac:dyDescent="0.25">
      <c r="A103" s="55">
        <f t="shared" si="9"/>
        <v>97</v>
      </c>
      <c r="B103" s="56" t="s">
        <v>310</v>
      </c>
      <c r="C103" s="57" t="s">
        <v>311</v>
      </c>
      <c r="D103" s="57" t="s">
        <v>45</v>
      </c>
      <c r="E103" s="57" t="s">
        <v>240</v>
      </c>
      <c r="F103" s="57" t="s">
        <v>312</v>
      </c>
      <c r="G103" s="58" t="s">
        <v>313</v>
      </c>
      <c r="H103" s="57" t="s">
        <v>30</v>
      </c>
      <c r="I103" s="59">
        <v>36713</v>
      </c>
      <c r="J103" s="60">
        <v>63</v>
      </c>
      <c r="K103" s="61">
        <f t="shared" si="11"/>
        <v>46.2042</v>
      </c>
      <c r="L103" s="62">
        <f t="shared" si="10"/>
        <v>16.7958</v>
      </c>
      <c r="M103" s="64"/>
      <c r="N103"/>
    </row>
    <row r="104" spans="1:14" s="4" customFormat="1" ht="22.7" hidden="1" customHeight="1" x14ac:dyDescent="0.25">
      <c r="A104" s="55">
        <f t="shared" ref="A104:A135" si="12">SUM(A103:A103+1)</f>
        <v>98</v>
      </c>
      <c r="B104" s="56" t="s">
        <v>314</v>
      </c>
      <c r="C104" s="57" t="s">
        <v>315</v>
      </c>
      <c r="D104" s="57" t="s">
        <v>179</v>
      </c>
      <c r="E104" s="57" t="s">
        <v>141</v>
      </c>
      <c r="F104" s="57" t="s">
        <v>57</v>
      </c>
      <c r="G104" s="58" t="s">
        <v>58</v>
      </c>
      <c r="H104" s="57" t="s">
        <v>23</v>
      </c>
      <c r="I104" s="59">
        <v>44927</v>
      </c>
      <c r="J104" s="60">
        <v>7</v>
      </c>
      <c r="K104" s="61">
        <f t="shared" si="11"/>
        <v>5.1337999999999999</v>
      </c>
      <c r="L104" s="62">
        <f t="shared" si="10"/>
        <v>1.8662000000000001</v>
      </c>
      <c r="M104" s="64"/>
      <c r="N104"/>
    </row>
    <row r="105" spans="1:14" s="4" customFormat="1" ht="22.7" hidden="1" customHeight="1" x14ac:dyDescent="0.25">
      <c r="A105" s="55">
        <f t="shared" si="12"/>
        <v>99</v>
      </c>
      <c r="B105" s="56" t="s">
        <v>316</v>
      </c>
      <c r="C105" s="57" t="s">
        <v>317</v>
      </c>
      <c r="D105" s="57" t="s">
        <v>68</v>
      </c>
      <c r="E105" s="57" t="s">
        <v>141</v>
      </c>
      <c r="F105" s="57" t="s">
        <v>57</v>
      </c>
      <c r="G105" s="58" t="s">
        <v>58</v>
      </c>
      <c r="H105" s="57" t="s">
        <v>30</v>
      </c>
      <c r="I105" s="59">
        <v>42287</v>
      </c>
      <c r="J105" s="60">
        <v>8</v>
      </c>
      <c r="K105" s="61">
        <f t="shared" si="11"/>
        <v>5.8672000000000004</v>
      </c>
      <c r="L105" s="62">
        <f t="shared" si="10"/>
        <v>2.1328</v>
      </c>
      <c r="M105" s="64"/>
      <c r="N105"/>
    </row>
    <row r="106" spans="1:14" s="4" customFormat="1" ht="22.7" hidden="1" customHeight="1" x14ac:dyDescent="0.25">
      <c r="A106" s="55">
        <f t="shared" si="12"/>
        <v>100</v>
      </c>
      <c r="B106" s="56" t="s">
        <v>318</v>
      </c>
      <c r="C106" s="57" t="s">
        <v>319</v>
      </c>
      <c r="D106" s="57" t="s">
        <v>68</v>
      </c>
      <c r="E106" s="57" t="s">
        <v>69</v>
      </c>
      <c r="F106" s="57" t="s">
        <v>47</v>
      </c>
      <c r="G106" s="58" t="s">
        <v>35</v>
      </c>
      <c r="H106" s="57" t="s">
        <v>23</v>
      </c>
      <c r="I106" s="59">
        <v>44562</v>
      </c>
      <c r="J106" s="60">
        <v>6</v>
      </c>
      <c r="K106" s="61">
        <f t="shared" si="11"/>
        <v>4.4003999999999994</v>
      </c>
      <c r="L106" s="62">
        <f t="shared" si="10"/>
        <v>1.5996000000000001</v>
      </c>
      <c r="M106" s="64"/>
      <c r="N106"/>
    </row>
    <row r="107" spans="1:14" s="4" customFormat="1" ht="22.7" hidden="1" customHeight="1" x14ac:dyDescent="0.25">
      <c r="A107" s="55">
        <f t="shared" si="12"/>
        <v>101</v>
      </c>
      <c r="B107" s="56" t="s">
        <v>320</v>
      </c>
      <c r="C107" s="57" t="s">
        <v>321</v>
      </c>
      <c r="D107" s="57" t="s">
        <v>68</v>
      </c>
      <c r="E107" s="57" t="s">
        <v>69</v>
      </c>
      <c r="F107" s="57" t="s">
        <v>47</v>
      </c>
      <c r="G107" s="58" t="s">
        <v>35</v>
      </c>
      <c r="H107" s="57" t="s">
        <v>30</v>
      </c>
      <c r="I107" s="59">
        <v>42278</v>
      </c>
      <c r="J107" s="60">
        <v>0</v>
      </c>
      <c r="K107" s="61">
        <f t="shared" si="11"/>
        <v>0</v>
      </c>
      <c r="L107" s="62">
        <f t="shared" si="10"/>
        <v>0</v>
      </c>
      <c r="M107" s="63"/>
      <c r="N107"/>
    </row>
    <row r="108" spans="1:14" s="4" customFormat="1" ht="22.7" hidden="1" customHeight="1" x14ac:dyDescent="0.25">
      <c r="A108" s="55">
        <f t="shared" si="12"/>
        <v>102</v>
      </c>
      <c r="B108" s="56" t="s">
        <v>325</v>
      </c>
      <c r="C108" s="57" t="s">
        <v>326</v>
      </c>
      <c r="D108" s="57" t="s">
        <v>45</v>
      </c>
      <c r="E108" s="57" t="s">
        <v>327</v>
      </c>
      <c r="F108" s="57" t="s">
        <v>40</v>
      </c>
      <c r="G108" s="58" t="s">
        <v>41</v>
      </c>
      <c r="H108" s="57" t="s">
        <v>30</v>
      </c>
      <c r="I108" s="59">
        <v>42278</v>
      </c>
      <c r="J108" s="60">
        <v>52</v>
      </c>
      <c r="K108" s="61">
        <f t="shared" si="11"/>
        <v>38.136800000000001</v>
      </c>
      <c r="L108" s="62">
        <f t="shared" si="10"/>
        <v>13.863200000000001</v>
      </c>
      <c r="M108" s="64"/>
      <c r="N108"/>
    </row>
    <row r="109" spans="1:14" s="4" customFormat="1" ht="22.7" hidden="1" customHeight="1" x14ac:dyDescent="0.25">
      <c r="A109" s="55">
        <f t="shared" si="12"/>
        <v>103</v>
      </c>
      <c r="B109" s="56" t="s">
        <v>328</v>
      </c>
      <c r="C109" s="57" t="s">
        <v>329</v>
      </c>
      <c r="D109" s="57" t="s">
        <v>161</v>
      </c>
      <c r="E109" s="57" t="s">
        <v>162</v>
      </c>
      <c r="F109" s="57" t="s">
        <v>57</v>
      </c>
      <c r="G109" s="58" t="s">
        <v>58</v>
      </c>
      <c r="H109" s="57" t="s">
        <v>30</v>
      </c>
      <c r="I109" s="59">
        <v>42278</v>
      </c>
      <c r="J109" s="60">
        <v>19</v>
      </c>
      <c r="K109" s="61">
        <f t="shared" si="11"/>
        <v>13.9346</v>
      </c>
      <c r="L109" s="62">
        <f t="shared" si="10"/>
        <v>5.0654000000000003</v>
      </c>
      <c r="M109" s="64"/>
      <c r="N109"/>
    </row>
    <row r="110" spans="1:14" s="4" customFormat="1" ht="22.7" hidden="1" customHeight="1" x14ac:dyDescent="0.25">
      <c r="A110" s="55">
        <f t="shared" si="12"/>
        <v>104</v>
      </c>
      <c r="B110" s="56" t="s">
        <v>330</v>
      </c>
      <c r="C110" s="57" t="s">
        <v>331</v>
      </c>
      <c r="D110" s="57" t="s">
        <v>45</v>
      </c>
      <c r="E110" s="57" t="s">
        <v>332</v>
      </c>
      <c r="F110" s="57" t="s">
        <v>47</v>
      </c>
      <c r="G110" s="58" t="s">
        <v>35</v>
      </c>
      <c r="H110" s="57" t="s">
        <v>30</v>
      </c>
      <c r="I110" s="59">
        <v>42006</v>
      </c>
      <c r="J110" s="60">
        <v>31</v>
      </c>
      <c r="K110" s="61">
        <f t="shared" si="11"/>
        <v>22.735399999999998</v>
      </c>
      <c r="L110" s="62">
        <f t="shared" si="10"/>
        <v>8.2645999999999997</v>
      </c>
      <c r="M110" s="64"/>
      <c r="N110"/>
    </row>
    <row r="111" spans="1:14" ht="22.7" hidden="1" customHeight="1" x14ac:dyDescent="0.25">
      <c r="A111" s="55">
        <f t="shared" si="12"/>
        <v>105</v>
      </c>
      <c r="B111" s="56" t="s">
        <v>333</v>
      </c>
      <c r="C111" s="57" t="s">
        <v>334</v>
      </c>
      <c r="D111" s="57" t="s">
        <v>85</v>
      </c>
      <c r="E111" s="57" t="s">
        <v>335</v>
      </c>
      <c r="F111" s="57" t="s">
        <v>34</v>
      </c>
      <c r="G111" s="58" t="s">
        <v>35</v>
      </c>
      <c r="H111" s="57" t="s">
        <v>23</v>
      </c>
      <c r="I111" s="69">
        <v>44928</v>
      </c>
      <c r="J111" s="70">
        <v>33</v>
      </c>
      <c r="K111" s="61">
        <f t="shared" si="11"/>
        <v>24.202199999999998</v>
      </c>
      <c r="L111" s="62">
        <f t="shared" si="10"/>
        <v>8.7978000000000005</v>
      </c>
      <c r="M111" s="64"/>
      <c r="N111"/>
    </row>
    <row r="112" spans="1:14" ht="22.7" hidden="1" customHeight="1" x14ac:dyDescent="0.25">
      <c r="A112" s="55">
        <f t="shared" si="12"/>
        <v>106</v>
      </c>
      <c r="B112" s="56" t="s">
        <v>336</v>
      </c>
      <c r="C112" s="57" t="s">
        <v>337</v>
      </c>
      <c r="D112" s="57" t="s">
        <v>179</v>
      </c>
      <c r="E112" s="57" t="s">
        <v>141</v>
      </c>
      <c r="F112" s="57" t="s">
        <v>57</v>
      </c>
      <c r="G112" s="58" t="s">
        <v>58</v>
      </c>
      <c r="H112" s="57" t="s">
        <v>30</v>
      </c>
      <c r="I112" s="69">
        <v>42917</v>
      </c>
      <c r="J112" s="70">
        <v>23</v>
      </c>
      <c r="K112" s="61">
        <f t="shared" si="11"/>
        <v>16.868200000000002</v>
      </c>
      <c r="L112" s="62">
        <f t="shared" si="10"/>
        <v>6.1318000000000001</v>
      </c>
      <c r="M112" s="64"/>
      <c r="N112"/>
    </row>
    <row r="113" spans="1:14" ht="22.7" hidden="1" customHeight="1" x14ac:dyDescent="0.25">
      <c r="A113" s="55">
        <f t="shared" si="12"/>
        <v>107</v>
      </c>
      <c r="B113" s="56" t="s">
        <v>338</v>
      </c>
      <c r="C113" s="57" t="s">
        <v>339</v>
      </c>
      <c r="D113" s="57" t="s">
        <v>72</v>
      </c>
      <c r="E113" s="57" t="s">
        <v>33</v>
      </c>
      <c r="F113" s="57" t="s">
        <v>34</v>
      </c>
      <c r="G113" s="58" t="s">
        <v>35</v>
      </c>
      <c r="H113" s="57" t="s">
        <v>30</v>
      </c>
      <c r="I113" s="69">
        <v>42522</v>
      </c>
      <c r="J113" s="70">
        <v>5</v>
      </c>
      <c r="K113" s="61">
        <f t="shared" si="11"/>
        <v>3.6669999999999998</v>
      </c>
      <c r="L113" s="62">
        <f t="shared" si="10"/>
        <v>1.333</v>
      </c>
      <c r="M113" s="64"/>
      <c r="N113"/>
    </row>
    <row r="114" spans="1:14" ht="22.7" hidden="1" customHeight="1" x14ac:dyDescent="0.25">
      <c r="A114" s="55">
        <f t="shared" si="12"/>
        <v>108</v>
      </c>
      <c r="B114" s="56" t="s">
        <v>340</v>
      </c>
      <c r="C114" s="57" t="s">
        <v>341</v>
      </c>
      <c r="D114" s="57" t="s">
        <v>72</v>
      </c>
      <c r="E114" s="57" t="s">
        <v>104</v>
      </c>
      <c r="F114" s="57" t="s">
        <v>105</v>
      </c>
      <c r="G114" s="58" t="s">
        <v>58</v>
      </c>
      <c r="H114" s="57" t="s">
        <v>30</v>
      </c>
      <c r="I114" s="69">
        <v>44470</v>
      </c>
      <c r="J114" s="70">
        <v>12</v>
      </c>
      <c r="K114" s="61">
        <f t="shared" si="11"/>
        <v>8.8007999999999988</v>
      </c>
      <c r="L114" s="62">
        <f t="shared" si="10"/>
        <v>3.1992000000000003</v>
      </c>
      <c r="M114" s="64"/>
      <c r="N114"/>
    </row>
    <row r="115" spans="1:14" ht="22.7" hidden="1" customHeight="1" x14ac:dyDescent="0.25">
      <c r="A115" s="55">
        <f t="shared" si="12"/>
        <v>109</v>
      </c>
      <c r="B115" s="56" t="s">
        <v>342</v>
      </c>
      <c r="C115" s="57" t="s">
        <v>343</v>
      </c>
      <c r="D115" s="57" t="s">
        <v>26</v>
      </c>
      <c r="E115" s="57" t="s">
        <v>104</v>
      </c>
      <c r="F115" s="57" t="s">
        <v>105</v>
      </c>
      <c r="G115" s="58" t="s">
        <v>58</v>
      </c>
      <c r="H115" s="57" t="s">
        <v>30</v>
      </c>
      <c r="I115" s="69">
        <v>43952</v>
      </c>
      <c r="J115" s="70">
        <v>15</v>
      </c>
      <c r="K115" s="61">
        <f t="shared" si="11"/>
        <v>11.000999999999999</v>
      </c>
      <c r="L115" s="62">
        <f t="shared" si="10"/>
        <v>3.9990000000000001</v>
      </c>
      <c r="M115" s="64"/>
      <c r="N115"/>
    </row>
    <row r="116" spans="1:14" ht="22.7" hidden="1" customHeight="1" x14ac:dyDescent="0.25">
      <c r="A116" s="55">
        <f t="shared" si="12"/>
        <v>110</v>
      </c>
      <c r="B116" s="56" t="s">
        <v>344</v>
      </c>
      <c r="C116" s="57" t="s">
        <v>345</v>
      </c>
      <c r="D116" s="57" t="s">
        <v>225</v>
      </c>
      <c r="E116" s="57" t="s">
        <v>226</v>
      </c>
      <c r="F116" s="57" t="s">
        <v>57</v>
      </c>
      <c r="G116" s="58" t="s">
        <v>58</v>
      </c>
      <c r="H116" s="57" t="s">
        <v>30</v>
      </c>
      <c r="I116" s="69">
        <v>42278</v>
      </c>
      <c r="J116" s="70">
        <v>0</v>
      </c>
      <c r="K116" s="61">
        <f t="shared" si="11"/>
        <v>0</v>
      </c>
      <c r="L116" s="62">
        <v>0</v>
      </c>
      <c r="M116" s="64"/>
      <c r="N116"/>
    </row>
    <row r="117" spans="1:14" ht="22.7" hidden="1" customHeight="1" x14ac:dyDescent="0.25">
      <c r="A117" s="55">
        <f t="shared" si="12"/>
        <v>111</v>
      </c>
      <c r="B117" s="56" t="s">
        <v>346</v>
      </c>
      <c r="C117" s="57" t="s">
        <v>347</v>
      </c>
      <c r="D117" s="57" t="s">
        <v>68</v>
      </c>
      <c r="E117" s="57" t="s">
        <v>69</v>
      </c>
      <c r="F117" s="57" t="s">
        <v>47</v>
      </c>
      <c r="G117" s="58" t="s">
        <v>35</v>
      </c>
      <c r="H117" s="57" t="s">
        <v>23</v>
      </c>
      <c r="I117" s="69">
        <v>44927</v>
      </c>
      <c r="J117" s="70">
        <v>8</v>
      </c>
      <c r="K117" s="61">
        <f t="shared" si="11"/>
        <v>5.8672000000000004</v>
      </c>
      <c r="L117" s="62">
        <f t="shared" ref="L117:L148" si="13">+J117*26.66%</f>
        <v>2.1328</v>
      </c>
      <c r="M117" s="64"/>
      <c r="N117"/>
    </row>
    <row r="118" spans="1:14" ht="22.7" hidden="1" customHeight="1" x14ac:dyDescent="0.25">
      <c r="A118" s="55">
        <f t="shared" si="12"/>
        <v>112</v>
      </c>
      <c r="B118" s="56" t="s">
        <v>571</v>
      </c>
      <c r="C118" s="57" t="s">
        <v>572</v>
      </c>
      <c r="D118" s="57" t="s">
        <v>112</v>
      </c>
      <c r="E118" s="57" t="s">
        <v>113</v>
      </c>
      <c r="F118" s="57" t="s">
        <v>57</v>
      </c>
      <c r="G118" s="58" t="s">
        <v>58</v>
      </c>
      <c r="H118" s="57" t="s">
        <v>23</v>
      </c>
      <c r="I118" s="69">
        <v>44986</v>
      </c>
      <c r="J118" s="70">
        <v>2</v>
      </c>
      <c r="K118" s="61">
        <f t="shared" si="11"/>
        <v>1.4668000000000001</v>
      </c>
      <c r="L118" s="62">
        <f t="shared" si="13"/>
        <v>0.53320000000000001</v>
      </c>
      <c r="M118" s="64"/>
      <c r="N118"/>
    </row>
    <row r="119" spans="1:14" ht="22.7" hidden="1" customHeight="1" x14ac:dyDescent="0.25">
      <c r="A119" s="55">
        <f t="shared" si="12"/>
        <v>113</v>
      </c>
      <c r="B119" s="56" t="s">
        <v>348</v>
      </c>
      <c r="C119" s="57" t="s">
        <v>349</v>
      </c>
      <c r="D119" s="57" t="s">
        <v>26</v>
      </c>
      <c r="E119" s="57" t="s">
        <v>100</v>
      </c>
      <c r="F119" s="57" t="s">
        <v>101</v>
      </c>
      <c r="G119" s="58" t="s">
        <v>22</v>
      </c>
      <c r="H119" s="57" t="s">
        <v>23</v>
      </c>
      <c r="I119" s="69">
        <v>44927</v>
      </c>
      <c r="J119" s="70">
        <v>7</v>
      </c>
      <c r="K119" s="61">
        <f t="shared" si="11"/>
        <v>5.1337999999999999</v>
      </c>
      <c r="L119" s="62">
        <f t="shared" si="13"/>
        <v>1.8662000000000001</v>
      </c>
      <c r="M119" s="64"/>
      <c r="N119"/>
    </row>
    <row r="120" spans="1:14" ht="22.7" hidden="1" customHeight="1" x14ac:dyDescent="0.25">
      <c r="A120" s="55">
        <f t="shared" si="12"/>
        <v>114</v>
      </c>
      <c r="B120" s="56" t="s">
        <v>350</v>
      </c>
      <c r="C120" s="57" t="s">
        <v>351</v>
      </c>
      <c r="D120" s="57" t="s">
        <v>225</v>
      </c>
      <c r="E120" s="57" t="s">
        <v>226</v>
      </c>
      <c r="F120" s="57" t="s">
        <v>57</v>
      </c>
      <c r="G120" s="58" t="s">
        <v>58</v>
      </c>
      <c r="H120" s="57" t="s">
        <v>23</v>
      </c>
      <c r="I120" s="69">
        <v>44927</v>
      </c>
      <c r="J120" s="70">
        <v>4</v>
      </c>
      <c r="K120" s="61">
        <f t="shared" si="11"/>
        <v>2.9336000000000002</v>
      </c>
      <c r="L120" s="62">
        <f t="shared" si="13"/>
        <v>1.0664</v>
      </c>
      <c r="M120" s="64"/>
      <c r="N120"/>
    </row>
    <row r="121" spans="1:14" ht="22.7" hidden="1" customHeight="1" x14ac:dyDescent="0.25">
      <c r="A121" s="55">
        <f t="shared" si="12"/>
        <v>115</v>
      </c>
      <c r="B121" s="56" t="s">
        <v>352</v>
      </c>
      <c r="C121" s="57" t="s">
        <v>353</v>
      </c>
      <c r="D121" s="57" t="s">
        <v>161</v>
      </c>
      <c r="E121" s="57" t="s">
        <v>354</v>
      </c>
      <c r="F121" s="57" t="s">
        <v>355</v>
      </c>
      <c r="G121" s="58" t="s">
        <v>356</v>
      </c>
      <c r="H121" s="57" t="s">
        <v>23</v>
      </c>
      <c r="I121" s="69">
        <v>44928</v>
      </c>
      <c r="J121" s="70">
        <v>16</v>
      </c>
      <c r="K121" s="61">
        <f t="shared" si="11"/>
        <v>11.734400000000001</v>
      </c>
      <c r="L121" s="62">
        <f t="shared" si="13"/>
        <v>4.2656000000000001</v>
      </c>
      <c r="M121" s="64"/>
      <c r="N121"/>
    </row>
    <row r="122" spans="1:14" ht="22.7" hidden="1" customHeight="1" x14ac:dyDescent="0.25">
      <c r="A122" s="55">
        <f t="shared" si="12"/>
        <v>116</v>
      </c>
      <c r="B122" s="56" t="s">
        <v>357</v>
      </c>
      <c r="C122" s="57" t="s">
        <v>358</v>
      </c>
      <c r="D122" s="57" t="s">
        <v>85</v>
      </c>
      <c r="E122" s="57" t="s">
        <v>245</v>
      </c>
      <c r="F122" s="57" t="s">
        <v>34</v>
      </c>
      <c r="G122" s="58" t="s">
        <v>35</v>
      </c>
      <c r="H122" s="57" t="s">
        <v>23</v>
      </c>
      <c r="I122" s="69">
        <v>44927</v>
      </c>
      <c r="J122" s="70">
        <v>4</v>
      </c>
      <c r="K122" s="61">
        <f t="shared" si="11"/>
        <v>2.9336000000000002</v>
      </c>
      <c r="L122" s="62">
        <f t="shared" si="13"/>
        <v>1.0664</v>
      </c>
      <c r="M122" s="64"/>
      <c r="N122"/>
    </row>
    <row r="123" spans="1:14" ht="22.7" hidden="1" customHeight="1" x14ac:dyDescent="0.25">
      <c r="A123" s="55">
        <f t="shared" si="12"/>
        <v>117</v>
      </c>
      <c r="B123" s="56" t="s">
        <v>359</v>
      </c>
      <c r="C123" s="57" t="s">
        <v>360</v>
      </c>
      <c r="D123" s="57" t="s">
        <v>45</v>
      </c>
      <c r="E123" s="57" t="s">
        <v>361</v>
      </c>
      <c r="F123" s="57" t="s">
        <v>47</v>
      </c>
      <c r="G123" s="58" t="s">
        <v>35</v>
      </c>
      <c r="H123" s="57" t="s">
        <v>30</v>
      </c>
      <c r="I123" s="69">
        <v>42125</v>
      </c>
      <c r="J123" s="70">
        <v>54</v>
      </c>
      <c r="K123" s="61">
        <f t="shared" si="11"/>
        <v>39.6036</v>
      </c>
      <c r="L123" s="62">
        <f t="shared" si="13"/>
        <v>14.3964</v>
      </c>
      <c r="M123" s="64"/>
      <c r="N123"/>
    </row>
    <row r="124" spans="1:14" ht="22.7" hidden="1" customHeight="1" x14ac:dyDescent="0.25">
      <c r="A124" s="55">
        <f t="shared" si="12"/>
        <v>118</v>
      </c>
      <c r="B124" s="56" t="s">
        <v>362</v>
      </c>
      <c r="C124" s="57" t="s">
        <v>363</v>
      </c>
      <c r="D124" s="57" t="s">
        <v>26</v>
      </c>
      <c r="E124" s="57" t="s">
        <v>100</v>
      </c>
      <c r="F124" s="57" t="s">
        <v>101</v>
      </c>
      <c r="G124" s="58" t="s">
        <v>22</v>
      </c>
      <c r="H124" s="57" t="s">
        <v>23</v>
      </c>
      <c r="I124" s="69">
        <v>44927</v>
      </c>
      <c r="J124" s="70">
        <v>7</v>
      </c>
      <c r="K124" s="61">
        <f t="shared" si="11"/>
        <v>5.1337999999999999</v>
      </c>
      <c r="L124" s="62">
        <f t="shared" si="13"/>
        <v>1.8662000000000001</v>
      </c>
      <c r="M124" s="64"/>
      <c r="N124"/>
    </row>
    <row r="125" spans="1:14" ht="22.7" hidden="1" customHeight="1" x14ac:dyDescent="0.25">
      <c r="A125" s="55">
        <f t="shared" si="12"/>
        <v>119</v>
      </c>
      <c r="B125" s="56" t="s">
        <v>364</v>
      </c>
      <c r="C125" s="57" t="s">
        <v>365</v>
      </c>
      <c r="D125" s="57" t="s">
        <v>85</v>
      </c>
      <c r="E125" s="57" t="s">
        <v>366</v>
      </c>
      <c r="F125" s="57" t="s">
        <v>28</v>
      </c>
      <c r="G125" s="58" t="s">
        <v>29</v>
      </c>
      <c r="H125" s="57" t="s">
        <v>23</v>
      </c>
      <c r="I125" s="69">
        <v>44927</v>
      </c>
      <c r="J125" s="70">
        <v>5</v>
      </c>
      <c r="K125" s="61">
        <f t="shared" si="11"/>
        <v>3.6669999999999998</v>
      </c>
      <c r="L125" s="62">
        <f t="shared" si="13"/>
        <v>1.333</v>
      </c>
      <c r="M125" s="64"/>
      <c r="N125"/>
    </row>
    <row r="126" spans="1:14" ht="22.7" hidden="1" customHeight="1" x14ac:dyDescent="0.25">
      <c r="A126" s="55">
        <f t="shared" si="12"/>
        <v>120</v>
      </c>
      <c r="B126" s="56" t="s">
        <v>367</v>
      </c>
      <c r="C126" s="57" t="s">
        <v>368</v>
      </c>
      <c r="D126" s="57" t="s">
        <v>85</v>
      </c>
      <c r="E126" s="57" t="s">
        <v>86</v>
      </c>
      <c r="F126" s="57" t="s">
        <v>34</v>
      </c>
      <c r="G126" s="58" t="s">
        <v>35</v>
      </c>
      <c r="H126" s="57" t="s">
        <v>23</v>
      </c>
      <c r="I126" s="69">
        <v>44927</v>
      </c>
      <c r="J126" s="70">
        <v>2</v>
      </c>
      <c r="K126" s="61">
        <f t="shared" si="11"/>
        <v>1.4668000000000001</v>
      </c>
      <c r="L126" s="62">
        <f t="shared" si="13"/>
        <v>0.53320000000000001</v>
      </c>
      <c r="M126" s="64"/>
      <c r="N126"/>
    </row>
    <row r="127" spans="1:14" ht="22.7" hidden="1" customHeight="1" x14ac:dyDescent="0.25">
      <c r="A127" s="55">
        <f t="shared" si="12"/>
        <v>121</v>
      </c>
      <c r="B127" s="56" t="s">
        <v>369</v>
      </c>
      <c r="C127" s="57" t="s">
        <v>370</v>
      </c>
      <c r="D127" s="57" t="s">
        <v>68</v>
      </c>
      <c r="E127" s="57" t="s">
        <v>69</v>
      </c>
      <c r="F127" s="57" t="s">
        <v>47</v>
      </c>
      <c r="G127" s="58" t="s">
        <v>35</v>
      </c>
      <c r="H127" s="57" t="s">
        <v>23</v>
      </c>
      <c r="I127" s="69">
        <v>44927</v>
      </c>
      <c r="J127" s="70">
        <v>4</v>
      </c>
      <c r="K127" s="61">
        <f t="shared" si="11"/>
        <v>2.9336000000000002</v>
      </c>
      <c r="L127" s="62">
        <f t="shared" si="13"/>
        <v>1.0664</v>
      </c>
      <c r="M127" s="64"/>
      <c r="N127"/>
    </row>
    <row r="128" spans="1:14" ht="22.7" hidden="1" customHeight="1" x14ac:dyDescent="0.25">
      <c r="A128" s="55">
        <f t="shared" si="12"/>
        <v>122</v>
      </c>
      <c r="B128" s="56" t="s">
        <v>371</v>
      </c>
      <c r="C128" s="57" t="s">
        <v>372</v>
      </c>
      <c r="D128" s="57" t="s">
        <v>225</v>
      </c>
      <c r="E128" s="57" t="s">
        <v>226</v>
      </c>
      <c r="F128" s="57" t="s">
        <v>57</v>
      </c>
      <c r="G128" s="58" t="s">
        <v>58</v>
      </c>
      <c r="H128" s="57" t="s">
        <v>23</v>
      </c>
      <c r="I128" s="69">
        <v>44927</v>
      </c>
      <c r="J128" s="70">
        <v>11</v>
      </c>
      <c r="K128" s="61">
        <f t="shared" si="11"/>
        <v>8.0673999999999992</v>
      </c>
      <c r="L128" s="62">
        <f t="shared" si="13"/>
        <v>2.9325999999999999</v>
      </c>
      <c r="M128" s="64"/>
      <c r="N128"/>
    </row>
    <row r="129" spans="1:14" ht="22.7" hidden="1" customHeight="1" x14ac:dyDescent="0.25">
      <c r="A129" s="55">
        <f t="shared" si="12"/>
        <v>123</v>
      </c>
      <c r="B129" s="56" t="s">
        <v>373</v>
      </c>
      <c r="C129" s="57" t="s">
        <v>374</v>
      </c>
      <c r="D129" s="57" t="s">
        <v>225</v>
      </c>
      <c r="E129" s="57" t="s">
        <v>226</v>
      </c>
      <c r="F129" s="57" t="s">
        <v>57</v>
      </c>
      <c r="G129" s="58" t="s">
        <v>58</v>
      </c>
      <c r="H129" s="57" t="s">
        <v>30</v>
      </c>
      <c r="I129" s="69">
        <v>42278</v>
      </c>
      <c r="J129" s="70">
        <v>4</v>
      </c>
      <c r="K129" s="61">
        <f t="shared" si="11"/>
        <v>2.9336000000000002</v>
      </c>
      <c r="L129" s="62">
        <f t="shared" si="13"/>
        <v>1.0664</v>
      </c>
      <c r="M129" s="64"/>
      <c r="N129"/>
    </row>
    <row r="130" spans="1:14" ht="22.7" hidden="1" customHeight="1" x14ac:dyDescent="0.25">
      <c r="A130" s="55">
        <f t="shared" si="12"/>
        <v>124</v>
      </c>
      <c r="B130" s="56" t="s">
        <v>375</v>
      </c>
      <c r="C130" s="57" t="s">
        <v>376</v>
      </c>
      <c r="D130" s="57" t="s">
        <v>72</v>
      </c>
      <c r="E130" s="57" t="s">
        <v>104</v>
      </c>
      <c r="F130" s="57" t="s">
        <v>105</v>
      </c>
      <c r="G130" s="58" t="s">
        <v>58</v>
      </c>
      <c r="H130" s="57" t="s">
        <v>30</v>
      </c>
      <c r="I130" s="69">
        <v>44562</v>
      </c>
      <c r="J130" s="70">
        <v>9</v>
      </c>
      <c r="K130" s="61">
        <f t="shared" si="11"/>
        <v>6.6006</v>
      </c>
      <c r="L130" s="62">
        <f t="shared" si="13"/>
        <v>2.3994</v>
      </c>
      <c r="M130" s="64"/>
      <c r="N130"/>
    </row>
    <row r="131" spans="1:14" ht="22.7" hidden="1" customHeight="1" x14ac:dyDescent="0.25">
      <c r="A131" s="55">
        <f t="shared" si="12"/>
        <v>125</v>
      </c>
      <c r="B131" s="56" t="s">
        <v>377</v>
      </c>
      <c r="C131" s="57" t="s">
        <v>378</v>
      </c>
      <c r="D131" s="57" t="s">
        <v>112</v>
      </c>
      <c r="E131" s="57" t="s">
        <v>113</v>
      </c>
      <c r="F131" s="57" t="s">
        <v>57</v>
      </c>
      <c r="G131" s="58" t="s">
        <v>58</v>
      </c>
      <c r="H131" s="57" t="s">
        <v>23</v>
      </c>
      <c r="I131" s="69">
        <v>44928</v>
      </c>
      <c r="J131" s="70">
        <v>2</v>
      </c>
      <c r="K131" s="61">
        <f t="shared" si="11"/>
        <v>1.4668000000000001</v>
      </c>
      <c r="L131" s="62">
        <f t="shared" si="13"/>
        <v>0.53320000000000001</v>
      </c>
      <c r="M131" s="64"/>
      <c r="N131"/>
    </row>
    <row r="132" spans="1:14" ht="22.7" hidden="1" customHeight="1" x14ac:dyDescent="0.25">
      <c r="A132" s="55">
        <f t="shared" si="12"/>
        <v>126</v>
      </c>
      <c r="B132" s="56" t="s">
        <v>379</v>
      </c>
      <c r="C132" s="57" t="s">
        <v>380</v>
      </c>
      <c r="D132" s="57" t="s">
        <v>116</v>
      </c>
      <c r="E132" s="57" t="s">
        <v>210</v>
      </c>
      <c r="F132" s="57" t="s">
        <v>47</v>
      </c>
      <c r="G132" s="58" t="s">
        <v>35</v>
      </c>
      <c r="H132" s="57" t="s">
        <v>30</v>
      </c>
      <c r="I132" s="69">
        <v>31959</v>
      </c>
      <c r="J132" s="70">
        <v>15</v>
      </c>
      <c r="K132" s="61">
        <f t="shared" si="11"/>
        <v>11.000999999999999</v>
      </c>
      <c r="L132" s="62">
        <f t="shared" si="13"/>
        <v>3.9990000000000001</v>
      </c>
      <c r="M132" s="64"/>
      <c r="N132"/>
    </row>
    <row r="133" spans="1:14" ht="22.7" hidden="1" customHeight="1" x14ac:dyDescent="0.25">
      <c r="A133" s="55">
        <f t="shared" si="12"/>
        <v>127</v>
      </c>
      <c r="B133" s="56" t="s">
        <v>381</v>
      </c>
      <c r="C133" s="57" t="s">
        <v>382</v>
      </c>
      <c r="D133" s="57" t="s">
        <v>116</v>
      </c>
      <c r="E133" s="57" t="s">
        <v>216</v>
      </c>
      <c r="F133" s="57" t="s">
        <v>47</v>
      </c>
      <c r="G133" s="58" t="s">
        <v>35</v>
      </c>
      <c r="H133" s="57" t="s">
        <v>23</v>
      </c>
      <c r="I133" s="69">
        <v>44927</v>
      </c>
      <c r="J133" s="70">
        <v>20</v>
      </c>
      <c r="K133" s="61">
        <f t="shared" ref="K133:K164" si="14">J133-L133</f>
        <v>14.667999999999999</v>
      </c>
      <c r="L133" s="62">
        <f t="shared" si="13"/>
        <v>5.3319999999999999</v>
      </c>
      <c r="M133" s="64"/>
      <c r="N133"/>
    </row>
    <row r="134" spans="1:14" ht="22.7" hidden="1" customHeight="1" x14ac:dyDescent="0.25">
      <c r="A134" s="55">
        <f t="shared" si="12"/>
        <v>128</v>
      </c>
      <c r="B134" s="56" t="s">
        <v>385</v>
      </c>
      <c r="C134" s="57" t="s">
        <v>386</v>
      </c>
      <c r="D134" s="57" t="s">
        <v>45</v>
      </c>
      <c r="E134" s="57" t="s">
        <v>61</v>
      </c>
      <c r="F134" s="57" t="s">
        <v>21</v>
      </c>
      <c r="G134" s="58" t="s">
        <v>22</v>
      </c>
      <c r="H134" s="57" t="s">
        <v>30</v>
      </c>
      <c r="I134" s="69">
        <v>42156</v>
      </c>
      <c r="J134" s="70">
        <v>7</v>
      </c>
      <c r="K134" s="61">
        <f t="shared" si="14"/>
        <v>5.1337999999999999</v>
      </c>
      <c r="L134" s="62">
        <f t="shared" si="13"/>
        <v>1.8662000000000001</v>
      </c>
      <c r="M134" s="64"/>
      <c r="N134"/>
    </row>
    <row r="135" spans="1:14" ht="22.7" hidden="1" customHeight="1" x14ac:dyDescent="0.25">
      <c r="A135" s="55">
        <f t="shared" si="12"/>
        <v>129</v>
      </c>
      <c r="B135" s="56" t="s">
        <v>387</v>
      </c>
      <c r="C135" s="57" t="s">
        <v>388</v>
      </c>
      <c r="D135" s="57" t="s">
        <v>179</v>
      </c>
      <c r="E135" s="57" t="s">
        <v>141</v>
      </c>
      <c r="F135" s="57" t="s">
        <v>57</v>
      </c>
      <c r="G135" s="58" t="s">
        <v>58</v>
      </c>
      <c r="H135" s="57" t="s">
        <v>23</v>
      </c>
      <c r="I135" s="69">
        <v>44927</v>
      </c>
      <c r="J135" s="70">
        <v>5</v>
      </c>
      <c r="K135" s="61">
        <f t="shared" si="14"/>
        <v>3.6669999999999998</v>
      </c>
      <c r="L135" s="62">
        <f t="shared" si="13"/>
        <v>1.333</v>
      </c>
      <c r="M135" s="64"/>
      <c r="N135"/>
    </row>
    <row r="136" spans="1:14" ht="22.7" hidden="1" customHeight="1" x14ac:dyDescent="0.25">
      <c r="A136" s="55">
        <f t="shared" ref="A136:A167" si="15">SUM(A135:A135+1)</f>
        <v>130</v>
      </c>
      <c r="B136" s="56" t="s">
        <v>389</v>
      </c>
      <c r="C136" s="57" t="s">
        <v>390</v>
      </c>
      <c r="D136" s="57" t="s">
        <v>225</v>
      </c>
      <c r="E136" s="57" t="s">
        <v>226</v>
      </c>
      <c r="F136" s="57" t="s">
        <v>47</v>
      </c>
      <c r="G136" s="58" t="s">
        <v>35</v>
      </c>
      <c r="H136" s="57" t="s">
        <v>30</v>
      </c>
      <c r="I136" s="69">
        <v>33817</v>
      </c>
      <c r="J136" s="70">
        <v>13</v>
      </c>
      <c r="K136" s="61">
        <f t="shared" si="14"/>
        <v>9.5342000000000002</v>
      </c>
      <c r="L136" s="62">
        <f t="shared" si="13"/>
        <v>3.4658000000000002</v>
      </c>
      <c r="M136" s="64"/>
      <c r="N136"/>
    </row>
    <row r="137" spans="1:14" ht="22.7" hidden="1" customHeight="1" x14ac:dyDescent="0.25">
      <c r="A137" s="55">
        <f t="shared" si="15"/>
        <v>131</v>
      </c>
      <c r="B137" s="56" t="s">
        <v>391</v>
      </c>
      <c r="C137" s="57" t="s">
        <v>392</v>
      </c>
      <c r="D137" s="57" t="s">
        <v>112</v>
      </c>
      <c r="E137" s="57" t="s">
        <v>113</v>
      </c>
      <c r="F137" s="57" t="s">
        <v>57</v>
      </c>
      <c r="G137" s="58" t="s">
        <v>58</v>
      </c>
      <c r="H137" s="57" t="s">
        <v>23</v>
      </c>
      <c r="I137" s="69">
        <v>44927</v>
      </c>
      <c r="J137" s="70">
        <v>5</v>
      </c>
      <c r="K137" s="61">
        <f t="shared" si="14"/>
        <v>3.6669999999999998</v>
      </c>
      <c r="L137" s="62">
        <f t="shared" si="13"/>
        <v>1.333</v>
      </c>
      <c r="M137" s="64"/>
      <c r="N137"/>
    </row>
    <row r="138" spans="1:14" ht="22.7" hidden="1" customHeight="1" x14ac:dyDescent="0.25">
      <c r="A138" s="55">
        <f t="shared" si="15"/>
        <v>132</v>
      </c>
      <c r="B138" s="56" t="s">
        <v>393</v>
      </c>
      <c r="C138" s="57" t="s">
        <v>394</v>
      </c>
      <c r="D138" s="57" t="s">
        <v>120</v>
      </c>
      <c r="E138" s="57" t="s">
        <v>395</v>
      </c>
      <c r="F138" s="57" t="s">
        <v>47</v>
      </c>
      <c r="G138" s="58" t="s">
        <v>35</v>
      </c>
      <c r="H138" s="57" t="s">
        <v>30</v>
      </c>
      <c r="I138" s="69">
        <v>42005</v>
      </c>
      <c r="J138" s="70">
        <v>7</v>
      </c>
      <c r="K138" s="61">
        <f t="shared" si="14"/>
        <v>5.1337999999999999</v>
      </c>
      <c r="L138" s="62">
        <f t="shared" si="13"/>
        <v>1.8662000000000001</v>
      </c>
      <c r="M138" s="64"/>
      <c r="N138"/>
    </row>
    <row r="139" spans="1:14" ht="22.7" hidden="1" customHeight="1" x14ac:dyDescent="0.25">
      <c r="A139" s="55">
        <f t="shared" si="15"/>
        <v>133</v>
      </c>
      <c r="B139" s="56" t="s">
        <v>396</v>
      </c>
      <c r="C139" s="57" t="s">
        <v>397</v>
      </c>
      <c r="D139" s="57" t="s">
        <v>45</v>
      </c>
      <c r="E139" s="57" t="s">
        <v>398</v>
      </c>
      <c r="F139" s="57" t="s">
        <v>47</v>
      </c>
      <c r="G139" s="58" t="s">
        <v>35</v>
      </c>
      <c r="H139" s="57" t="s">
        <v>30</v>
      </c>
      <c r="I139" s="69">
        <v>41913</v>
      </c>
      <c r="J139" s="70">
        <v>11</v>
      </c>
      <c r="K139" s="61">
        <f t="shared" si="14"/>
        <v>8.0673999999999992</v>
      </c>
      <c r="L139" s="62">
        <f t="shared" si="13"/>
        <v>2.9325999999999999</v>
      </c>
      <c r="M139" s="64"/>
      <c r="N139"/>
    </row>
    <row r="140" spans="1:14" ht="22.7" hidden="1" customHeight="1" x14ac:dyDescent="0.25">
      <c r="A140" s="55">
        <f t="shared" si="15"/>
        <v>134</v>
      </c>
      <c r="B140" s="56" t="s">
        <v>399</v>
      </c>
      <c r="C140" s="57" t="s">
        <v>400</v>
      </c>
      <c r="D140" s="57" t="s">
        <v>26</v>
      </c>
      <c r="E140" s="57" t="s">
        <v>104</v>
      </c>
      <c r="F140" s="57" t="s">
        <v>105</v>
      </c>
      <c r="G140" s="58" t="s">
        <v>58</v>
      </c>
      <c r="H140" s="57" t="s">
        <v>30</v>
      </c>
      <c r="I140" s="69">
        <v>44593</v>
      </c>
      <c r="J140" s="70">
        <v>4</v>
      </c>
      <c r="K140" s="61">
        <f t="shared" si="14"/>
        <v>2.9336000000000002</v>
      </c>
      <c r="L140" s="62">
        <f t="shared" si="13"/>
        <v>1.0664</v>
      </c>
      <c r="M140" s="64"/>
      <c r="N140"/>
    </row>
    <row r="141" spans="1:14" ht="22.7" hidden="1" customHeight="1" x14ac:dyDescent="0.25">
      <c r="A141" s="55">
        <f t="shared" si="15"/>
        <v>135</v>
      </c>
      <c r="B141" s="56" t="s">
        <v>401</v>
      </c>
      <c r="C141" s="57" t="s">
        <v>402</v>
      </c>
      <c r="D141" s="57" t="s">
        <v>72</v>
      </c>
      <c r="E141" s="57" t="s">
        <v>33</v>
      </c>
      <c r="F141" s="57" t="s">
        <v>34</v>
      </c>
      <c r="G141" s="58" t="s">
        <v>35</v>
      </c>
      <c r="H141" s="57" t="s">
        <v>30</v>
      </c>
      <c r="I141" s="69">
        <v>42430</v>
      </c>
      <c r="J141" s="70">
        <v>0</v>
      </c>
      <c r="K141" s="61">
        <f t="shared" si="14"/>
        <v>0</v>
      </c>
      <c r="L141" s="62">
        <f t="shared" si="13"/>
        <v>0</v>
      </c>
      <c r="M141" s="64"/>
      <c r="N141"/>
    </row>
    <row r="142" spans="1:14" ht="22.7" hidden="1" customHeight="1" x14ac:dyDescent="0.25">
      <c r="A142" s="55">
        <f t="shared" si="15"/>
        <v>136</v>
      </c>
      <c r="B142" s="56" t="s">
        <v>405</v>
      </c>
      <c r="C142" s="57" t="s">
        <v>406</v>
      </c>
      <c r="D142" s="57" t="s">
        <v>120</v>
      </c>
      <c r="E142" s="57" t="s">
        <v>280</v>
      </c>
      <c r="F142" s="57" t="s">
        <v>47</v>
      </c>
      <c r="G142" s="58" t="s">
        <v>35</v>
      </c>
      <c r="H142" s="57" t="s">
        <v>30</v>
      </c>
      <c r="I142" s="69">
        <v>42005</v>
      </c>
      <c r="J142" s="70">
        <v>10</v>
      </c>
      <c r="K142" s="61">
        <f t="shared" si="14"/>
        <v>7.3339999999999996</v>
      </c>
      <c r="L142" s="62">
        <f t="shared" si="13"/>
        <v>2.6659999999999999</v>
      </c>
      <c r="M142" s="64"/>
      <c r="N142"/>
    </row>
    <row r="143" spans="1:14" ht="22.7" hidden="1" customHeight="1" x14ac:dyDescent="0.25">
      <c r="A143" s="55">
        <f t="shared" si="15"/>
        <v>137</v>
      </c>
      <c r="B143" s="56" t="s">
        <v>407</v>
      </c>
      <c r="C143" s="57" t="s">
        <v>408</v>
      </c>
      <c r="D143" s="57" t="s">
        <v>116</v>
      </c>
      <c r="E143" s="57" t="s">
        <v>409</v>
      </c>
      <c r="F143" s="57" t="s">
        <v>57</v>
      </c>
      <c r="G143" s="58" t="s">
        <v>58</v>
      </c>
      <c r="H143" s="57" t="s">
        <v>30</v>
      </c>
      <c r="I143" s="69">
        <v>42278</v>
      </c>
      <c r="J143" s="70">
        <v>0</v>
      </c>
      <c r="K143" s="61">
        <f t="shared" si="14"/>
        <v>0</v>
      </c>
      <c r="L143" s="62">
        <f t="shared" si="13"/>
        <v>0</v>
      </c>
      <c r="M143" s="64"/>
      <c r="N143"/>
    </row>
    <row r="144" spans="1:14" ht="22.7" hidden="1" customHeight="1" x14ac:dyDescent="0.25">
      <c r="A144" s="55">
        <f t="shared" si="15"/>
        <v>138</v>
      </c>
      <c r="B144" s="56" t="s">
        <v>410</v>
      </c>
      <c r="C144" s="57" t="s">
        <v>411</v>
      </c>
      <c r="D144" s="57" t="s">
        <v>26</v>
      </c>
      <c r="E144" s="57" t="s">
        <v>33</v>
      </c>
      <c r="F144" s="57" t="s">
        <v>34</v>
      </c>
      <c r="G144" s="58" t="s">
        <v>35</v>
      </c>
      <c r="H144" s="57" t="s">
        <v>30</v>
      </c>
      <c r="I144" s="69">
        <v>42278</v>
      </c>
      <c r="J144" s="70">
        <v>8</v>
      </c>
      <c r="K144" s="61">
        <f t="shared" si="14"/>
        <v>5.8672000000000004</v>
      </c>
      <c r="L144" s="62">
        <f t="shared" si="13"/>
        <v>2.1328</v>
      </c>
      <c r="M144" s="64"/>
      <c r="N144"/>
    </row>
    <row r="145" spans="1:14" ht="22.7" hidden="1" customHeight="1" x14ac:dyDescent="0.25">
      <c r="A145" s="55">
        <f t="shared" si="15"/>
        <v>139</v>
      </c>
      <c r="B145" s="56" t="s">
        <v>412</v>
      </c>
      <c r="C145" s="57" t="s">
        <v>413</v>
      </c>
      <c r="D145" s="57" t="s">
        <v>154</v>
      </c>
      <c r="E145" s="57" t="s">
        <v>155</v>
      </c>
      <c r="F145" s="57" t="s">
        <v>40</v>
      </c>
      <c r="G145" s="58" t="s">
        <v>41</v>
      </c>
      <c r="H145" s="57" t="s">
        <v>30</v>
      </c>
      <c r="I145" s="69">
        <v>43040</v>
      </c>
      <c r="J145" s="70">
        <v>12</v>
      </c>
      <c r="K145" s="61">
        <f t="shared" si="14"/>
        <v>8.8007999999999988</v>
      </c>
      <c r="L145" s="62">
        <f t="shared" si="13"/>
        <v>3.1992000000000003</v>
      </c>
      <c r="M145" s="64"/>
      <c r="N145"/>
    </row>
    <row r="146" spans="1:14" ht="22.7" hidden="1" customHeight="1" x14ac:dyDescent="0.25">
      <c r="A146" s="55">
        <f t="shared" si="15"/>
        <v>140</v>
      </c>
      <c r="B146" s="56" t="s">
        <v>414</v>
      </c>
      <c r="C146" s="57" t="s">
        <v>415</v>
      </c>
      <c r="D146" s="57" t="s">
        <v>45</v>
      </c>
      <c r="E146" s="57" t="s">
        <v>219</v>
      </c>
      <c r="F146" s="57" t="s">
        <v>47</v>
      </c>
      <c r="G146" s="58" t="s">
        <v>35</v>
      </c>
      <c r="H146" s="57" t="s">
        <v>30</v>
      </c>
      <c r="I146" s="69">
        <v>44470</v>
      </c>
      <c r="J146" s="70">
        <v>20</v>
      </c>
      <c r="K146" s="61">
        <f t="shared" si="14"/>
        <v>14.667999999999999</v>
      </c>
      <c r="L146" s="62">
        <f t="shared" si="13"/>
        <v>5.3319999999999999</v>
      </c>
      <c r="M146" s="64"/>
      <c r="N146"/>
    </row>
    <row r="147" spans="1:14" ht="22.7" hidden="1" customHeight="1" x14ac:dyDescent="0.25">
      <c r="A147" s="55">
        <f t="shared" si="15"/>
        <v>141</v>
      </c>
      <c r="B147" s="56" t="s">
        <v>420</v>
      </c>
      <c r="C147" s="57" t="s">
        <v>421</v>
      </c>
      <c r="D147" s="57" t="s">
        <v>179</v>
      </c>
      <c r="E147" s="57" t="s">
        <v>141</v>
      </c>
      <c r="F147" s="57" t="s">
        <v>57</v>
      </c>
      <c r="G147" s="58" t="s">
        <v>58</v>
      </c>
      <c r="H147" s="57" t="s">
        <v>23</v>
      </c>
      <c r="I147" s="69">
        <v>44927</v>
      </c>
      <c r="J147" s="70">
        <v>6</v>
      </c>
      <c r="K147" s="61">
        <f t="shared" si="14"/>
        <v>4.4003999999999994</v>
      </c>
      <c r="L147" s="62">
        <f t="shared" si="13"/>
        <v>1.5996000000000001</v>
      </c>
      <c r="M147" s="64"/>
      <c r="N147"/>
    </row>
    <row r="148" spans="1:14" ht="22.7" hidden="1" customHeight="1" x14ac:dyDescent="0.25">
      <c r="A148" s="55">
        <f t="shared" si="15"/>
        <v>142</v>
      </c>
      <c r="B148" s="56" t="s">
        <v>422</v>
      </c>
      <c r="C148" s="57" t="s">
        <v>423</v>
      </c>
      <c r="D148" s="57" t="s">
        <v>169</v>
      </c>
      <c r="E148" s="57" t="s">
        <v>170</v>
      </c>
      <c r="F148" s="57" t="s">
        <v>171</v>
      </c>
      <c r="G148" s="58" t="s">
        <v>172</v>
      </c>
      <c r="H148" s="57" t="s">
        <v>30</v>
      </c>
      <c r="I148" s="69">
        <v>44440</v>
      </c>
      <c r="J148" s="70">
        <v>8</v>
      </c>
      <c r="K148" s="61">
        <f t="shared" si="14"/>
        <v>5.8672000000000004</v>
      </c>
      <c r="L148" s="62">
        <f t="shared" si="13"/>
        <v>2.1328</v>
      </c>
      <c r="M148" s="64"/>
      <c r="N148"/>
    </row>
    <row r="149" spans="1:14" ht="22.7" hidden="1" customHeight="1" x14ac:dyDescent="0.25">
      <c r="A149" s="55">
        <f t="shared" si="15"/>
        <v>143</v>
      </c>
      <c r="B149" s="56" t="s">
        <v>426</v>
      </c>
      <c r="C149" s="57" t="s">
        <v>427</v>
      </c>
      <c r="D149" s="57" t="s">
        <v>45</v>
      </c>
      <c r="E149" s="57" t="s">
        <v>428</v>
      </c>
      <c r="F149" s="57" t="s">
        <v>429</v>
      </c>
      <c r="G149" s="58" t="s">
        <v>430</v>
      </c>
      <c r="H149" s="57" t="s">
        <v>30</v>
      </c>
      <c r="I149" s="69">
        <v>42644</v>
      </c>
      <c r="J149" s="70">
        <v>6</v>
      </c>
      <c r="K149" s="61">
        <f t="shared" si="14"/>
        <v>4.4003999999999994</v>
      </c>
      <c r="L149" s="62">
        <f t="shared" ref="L149:L180" si="16">+J149*26.66%</f>
        <v>1.5996000000000001</v>
      </c>
      <c r="M149" s="64"/>
      <c r="N149"/>
    </row>
    <row r="150" spans="1:14" ht="22.7" hidden="1" customHeight="1" x14ac:dyDescent="0.25">
      <c r="A150" s="55">
        <f t="shared" si="15"/>
        <v>144</v>
      </c>
      <c r="B150" s="56" t="s">
        <v>431</v>
      </c>
      <c r="C150" s="57" t="s">
        <v>432</v>
      </c>
      <c r="D150" s="57" t="s">
        <v>26</v>
      </c>
      <c r="E150" s="57" t="s">
        <v>104</v>
      </c>
      <c r="F150" s="57" t="s">
        <v>105</v>
      </c>
      <c r="G150" s="58" t="s">
        <v>58</v>
      </c>
      <c r="H150" s="57" t="s">
        <v>30</v>
      </c>
      <c r="I150" s="69">
        <v>42767</v>
      </c>
      <c r="J150" s="70">
        <v>9</v>
      </c>
      <c r="K150" s="61">
        <f t="shared" si="14"/>
        <v>6.6006</v>
      </c>
      <c r="L150" s="62">
        <f t="shared" si="16"/>
        <v>2.3994</v>
      </c>
      <c r="M150" s="64"/>
      <c r="N150"/>
    </row>
    <row r="151" spans="1:14" ht="22.7" hidden="1" customHeight="1" x14ac:dyDescent="0.25">
      <c r="A151" s="55">
        <f t="shared" si="15"/>
        <v>145</v>
      </c>
      <c r="B151" s="56" t="s">
        <v>433</v>
      </c>
      <c r="C151" s="57" t="s">
        <v>434</v>
      </c>
      <c r="D151" s="57" t="s">
        <v>72</v>
      </c>
      <c r="E151" s="57" t="s">
        <v>104</v>
      </c>
      <c r="F151" s="57" t="s">
        <v>105</v>
      </c>
      <c r="G151" s="58" t="s">
        <v>58</v>
      </c>
      <c r="H151" s="57" t="s">
        <v>30</v>
      </c>
      <c r="I151" s="69">
        <v>42767</v>
      </c>
      <c r="J151" s="70">
        <v>20</v>
      </c>
      <c r="K151" s="61">
        <f t="shared" si="14"/>
        <v>14.667999999999999</v>
      </c>
      <c r="L151" s="62">
        <f t="shared" si="16"/>
        <v>5.3319999999999999</v>
      </c>
      <c r="M151" s="64"/>
      <c r="N151"/>
    </row>
    <row r="152" spans="1:14" ht="22.7" hidden="1" customHeight="1" x14ac:dyDescent="0.25">
      <c r="A152" s="55">
        <f t="shared" si="15"/>
        <v>146</v>
      </c>
      <c r="B152" s="56" t="s">
        <v>435</v>
      </c>
      <c r="C152" s="57" t="s">
        <v>436</v>
      </c>
      <c r="D152" s="57" t="s">
        <v>85</v>
      </c>
      <c r="E152" s="57" t="s">
        <v>222</v>
      </c>
      <c r="F152" s="57" t="s">
        <v>40</v>
      </c>
      <c r="G152" s="58" t="s">
        <v>41</v>
      </c>
      <c r="H152" s="57" t="s">
        <v>23</v>
      </c>
      <c r="I152" s="69">
        <v>44927</v>
      </c>
      <c r="J152" s="70">
        <v>9</v>
      </c>
      <c r="K152" s="61">
        <f t="shared" si="14"/>
        <v>6.6006</v>
      </c>
      <c r="L152" s="62">
        <f t="shared" si="16"/>
        <v>2.3994</v>
      </c>
      <c r="M152" s="64"/>
      <c r="N152"/>
    </row>
    <row r="153" spans="1:14" ht="22.7" hidden="1" customHeight="1" x14ac:dyDescent="0.25">
      <c r="A153" s="55">
        <f t="shared" si="15"/>
        <v>147</v>
      </c>
      <c r="B153" s="56" t="s">
        <v>439</v>
      </c>
      <c r="C153" s="57" t="s">
        <v>440</v>
      </c>
      <c r="D153" s="57" t="s">
        <v>45</v>
      </c>
      <c r="E153" s="57" t="s">
        <v>441</v>
      </c>
      <c r="F153" s="57" t="s">
        <v>264</v>
      </c>
      <c r="G153" s="58" t="s">
        <v>265</v>
      </c>
      <c r="H153" s="57" t="s">
        <v>30</v>
      </c>
      <c r="I153" s="69">
        <v>43556</v>
      </c>
      <c r="J153" s="70">
        <v>0</v>
      </c>
      <c r="K153" s="61">
        <f t="shared" si="14"/>
        <v>0</v>
      </c>
      <c r="L153" s="62">
        <f t="shared" si="16"/>
        <v>0</v>
      </c>
      <c r="M153" s="64"/>
      <c r="N153"/>
    </row>
    <row r="154" spans="1:14" ht="22.7" hidden="1" customHeight="1" x14ac:dyDescent="0.25">
      <c r="A154" s="55">
        <f t="shared" si="15"/>
        <v>148</v>
      </c>
      <c r="B154" s="56" t="s">
        <v>442</v>
      </c>
      <c r="C154" s="57" t="s">
        <v>443</v>
      </c>
      <c r="D154" s="57" t="s">
        <v>179</v>
      </c>
      <c r="E154" s="57" t="s">
        <v>141</v>
      </c>
      <c r="F154" s="57" t="s">
        <v>57</v>
      </c>
      <c r="G154" s="58" t="s">
        <v>58</v>
      </c>
      <c r="H154" s="57" t="s">
        <v>23</v>
      </c>
      <c r="I154" s="69">
        <v>44562</v>
      </c>
      <c r="J154" s="70">
        <v>7</v>
      </c>
      <c r="K154" s="61">
        <f t="shared" si="14"/>
        <v>5.1337999999999999</v>
      </c>
      <c r="L154" s="62">
        <f t="shared" si="16"/>
        <v>1.8662000000000001</v>
      </c>
      <c r="M154" s="64"/>
      <c r="N154"/>
    </row>
    <row r="155" spans="1:14" ht="22.7" hidden="1" customHeight="1" x14ac:dyDescent="0.25">
      <c r="A155" s="55">
        <f t="shared" si="15"/>
        <v>149</v>
      </c>
      <c r="B155" s="56" t="s">
        <v>444</v>
      </c>
      <c r="C155" s="57" t="s">
        <v>445</v>
      </c>
      <c r="D155" s="57" t="s">
        <v>45</v>
      </c>
      <c r="E155" s="57" t="s">
        <v>446</v>
      </c>
      <c r="F155" s="57" t="s">
        <v>57</v>
      </c>
      <c r="G155" s="58" t="s">
        <v>58</v>
      </c>
      <c r="H155" s="57" t="s">
        <v>30</v>
      </c>
      <c r="I155" s="69">
        <v>42278</v>
      </c>
      <c r="J155" s="70">
        <v>7</v>
      </c>
      <c r="K155" s="61">
        <f t="shared" si="14"/>
        <v>5.1337999999999999</v>
      </c>
      <c r="L155" s="62">
        <f t="shared" si="16"/>
        <v>1.8662000000000001</v>
      </c>
      <c r="M155" s="64"/>
      <c r="N155"/>
    </row>
    <row r="156" spans="1:14" ht="22.7" hidden="1" customHeight="1" x14ac:dyDescent="0.25">
      <c r="A156" s="55">
        <f t="shared" si="15"/>
        <v>150</v>
      </c>
      <c r="B156" s="56" t="s">
        <v>447</v>
      </c>
      <c r="C156" s="57" t="s">
        <v>448</v>
      </c>
      <c r="D156" s="57" t="s">
        <v>45</v>
      </c>
      <c r="E156" s="57" t="s">
        <v>449</v>
      </c>
      <c r="F156" s="57" t="s">
        <v>47</v>
      </c>
      <c r="G156" s="58" t="s">
        <v>35</v>
      </c>
      <c r="H156" s="57" t="s">
        <v>30</v>
      </c>
      <c r="I156" s="69">
        <v>42522</v>
      </c>
      <c r="J156" s="70">
        <v>22</v>
      </c>
      <c r="K156" s="61">
        <f t="shared" si="14"/>
        <v>16.134799999999998</v>
      </c>
      <c r="L156" s="62">
        <f t="shared" si="16"/>
        <v>5.8651999999999997</v>
      </c>
      <c r="M156" s="64"/>
      <c r="N156"/>
    </row>
    <row r="157" spans="1:14" ht="22.7" hidden="1" customHeight="1" x14ac:dyDescent="0.25">
      <c r="A157" s="55">
        <f t="shared" si="15"/>
        <v>151</v>
      </c>
      <c r="B157" s="56" t="s">
        <v>450</v>
      </c>
      <c r="C157" s="57" t="s">
        <v>451</v>
      </c>
      <c r="D157" s="57" t="s">
        <v>116</v>
      </c>
      <c r="E157" s="57" t="s">
        <v>452</v>
      </c>
      <c r="F157" s="57" t="s">
        <v>47</v>
      </c>
      <c r="G157" s="58" t="s">
        <v>35</v>
      </c>
      <c r="H157" s="57" t="s">
        <v>30</v>
      </c>
      <c r="I157" s="69">
        <v>36586</v>
      </c>
      <c r="J157" s="70">
        <v>41</v>
      </c>
      <c r="K157" s="61">
        <f t="shared" si="14"/>
        <v>30.069400000000002</v>
      </c>
      <c r="L157" s="62">
        <f t="shared" si="16"/>
        <v>10.9306</v>
      </c>
      <c r="M157" s="64"/>
      <c r="N157"/>
    </row>
    <row r="158" spans="1:14" ht="22.7" hidden="1" customHeight="1" x14ac:dyDescent="0.25">
      <c r="A158" s="55">
        <f t="shared" si="15"/>
        <v>152</v>
      </c>
      <c r="B158" s="56" t="s">
        <v>453</v>
      </c>
      <c r="C158" s="57" t="s">
        <v>454</v>
      </c>
      <c r="D158" s="57" t="s">
        <v>45</v>
      </c>
      <c r="E158" s="57" t="s">
        <v>219</v>
      </c>
      <c r="F158" s="57" t="s">
        <v>47</v>
      </c>
      <c r="G158" s="58" t="s">
        <v>35</v>
      </c>
      <c r="H158" s="57" t="s">
        <v>23</v>
      </c>
      <c r="I158" s="69">
        <v>44927</v>
      </c>
      <c r="J158" s="70">
        <v>5</v>
      </c>
      <c r="K158" s="61">
        <f t="shared" si="14"/>
        <v>3.6669999999999998</v>
      </c>
      <c r="L158" s="62">
        <f t="shared" si="16"/>
        <v>1.333</v>
      </c>
      <c r="M158" s="64"/>
      <c r="N158"/>
    </row>
    <row r="159" spans="1:14" ht="22.7" hidden="1" customHeight="1" x14ac:dyDescent="0.25">
      <c r="A159" s="55">
        <f t="shared" si="15"/>
        <v>153</v>
      </c>
      <c r="B159" s="56" t="s">
        <v>455</v>
      </c>
      <c r="C159" s="57" t="s">
        <v>456</v>
      </c>
      <c r="D159" s="57" t="s">
        <v>45</v>
      </c>
      <c r="E159" s="57" t="s">
        <v>457</v>
      </c>
      <c r="F159" s="57" t="s">
        <v>122</v>
      </c>
      <c r="G159" s="58" t="s">
        <v>93</v>
      </c>
      <c r="H159" s="57" t="s">
        <v>30</v>
      </c>
      <c r="I159" s="69">
        <v>32905</v>
      </c>
      <c r="J159" s="70">
        <v>0</v>
      </c>
      <c r="K159" s="61">
        <f t="shared" si="14"/>
        <v>0</v>
      </c>
      <c r="L159" s="62">
        <f t="shared" si="16"/>
        <v>0</v>
      </c>
      <c r="M159" s="64"/>
      <c r="N159"/>
    </row>
    <row r="160" spans="1:14" ht="22.7" hidden="1" customHeight="1" x14ac:dyDescent="0.25">
      <c r="A160" s="55">
        <f t="shared" si="15"/>
        <v>154</v>
      </c>
      <c r="B160" s="56" t="s">
        <v>458</v>
      </c>
      <c r="C160" s="57" t="s">
        <v>459</v>
      </c>
      <c r="D160" s="57" t="s">
        <v>45</v>
      </c>
      <c r="E160" s="57" t="s">
        <v>46</v>
      </c>
      <c r="F160" s="57" t="s">
        <v>47</v>
      </c>
      <c r="G160" s="58" t="s">
        <v>35</v>
      </c>
      <c r="H160" s="57" t="s">
        <v>30</v>
      </c>
      <c r="I160" s="69">
        <v>42278</v>
      </c>
      <c r="J160" s="70">
        <v>41</v>
      </c>
      <c r="K160" s="61">
        <f t="shared" si="14"/>
        <v>30.069400000000002</v>
      </c>
      <c r="L160" s="62">
        <f t="shared" si="16"/>
        <v>10.9306</v>
      </c>
      <c r="M160" s="64"/>
      <c r="N160"/>
    </row>
    <row r="161" spans="1:14" ht="22.7" hidden="1" customHeight="1" x14ac:dyDescent="0.25">
      <c r="A161" s="55">
        <f t="shared" si="15"/>
        <v>155</v>
      </c>
      <c r="B161" s="56" t="s">
        <v>460</v>
      </c>
      <c r="C161" s="57" t="s">
        <v>461</v>
      </c>
      <c r="D161" s="57" t="s">
        <v>45</v>
      </c>
      <c r="E161" s="57" t="s">
        <v>263</v>
      </c>
      <c r="F161" s="57" t="s">
        <v>264</v>
      </c>
      <c r="G161" s="58" t="s">
        <v>265</v>
      </c>
      <c r="H161" s="57" t="s">
        <v>30</v>
      </c>
      <c r="I161" s="69">
        <v>43804</v>
      </c>
      <c r="J161" s="70">
        <v>0</v>
      </c>
      <c r="K161" s="61">
        <f t="shared" si="14"/>
        <v>0</v>
      </c>
      <c r="L161" s="62">
        <f t="shared" si="16"/>
        <v>0</v>
      </c>
      <c r="M161" s="64"/>
      <c r="N161"/>
    </row>
    <row r="162" spans="1:14" ht="22.7" hidden="1" customHeight="1" x14ac:dyDescent="0.25">
      <c r="A162" s="55">
        <f t="shared" si="15"/>
        <v>156</v>
      </c>
      <c r="B162" s="56" t="s">
        <v>462</v>
      </c>
      <c r="C162" s="57" t="s">
        <v>463</v>
      </c>
      <c r="D162" s="57" t="s">
        <v>72</v>
      </c>
      <c r="E162" s="57" t="s">
        <v>73</v>
      </c>
      <c r="F162" s="57" t="s">
        <v>74</v>
      </c>
      <c r="G162" s="58" t="s">
        <v>75</v>
      </c>
      <c r="H162" s="57" t="s">
        <v>30</v>
      </c>
      <c r="I162" s="69">
        <v>44470</v>
      </c>
      <c r="J162" s="70">
        <v>7</v>
      </c>
      <c r="K162" s="61">
        <f t="shared" si="14"/>
        <v>5.1337999999999999</v>
      </c>
      <c r="L162" s="62">
        <f t="shared" si="16"/>
        <v>1.8662000000000001</v>
      </c>
      <c r="M162" s="64"/>
      <c r="N162"/>
    </row>
    <row r="163" spans="1:14" ht="22.7" hidden="1" customHeight="1" x14ac:dyDescent="0.25">
      <c r="A163" s="55">
        <f t="shared" si="15"/>
        <v>157</v>
      </c>
      <c r="B163" s="56" t="s">
        <v>573</v>
      </c>
      <c r="C163" s="57" t="s">
        <v>574</v>
      </c>
      <c r="D163" s="57" t="s">
        <v>68</v>
      </c>
      <c r="E163" s="57" t="s">
        <v>141</v>
      </c>
      <c r="F163" s="57" t="s">
        <v>57</v>
      </c>
      <c r="G163" s="58" t="s">
        <v>58</v>
      </c>
      <c r="H163" s="57" t="s">
        <v>23</v>
      </c>
      <c r="I163" s="69">
        <v>44986</v>
      </c>
      <c r="J163" s="70">
        <v>2</v>
      </c>
      <c r="K163" s="61">
        <f t="shared" si="14"/>
        <v>1.4668000000000001</v>
      </c>
      <c r="L163" s="62">
        <f t="shared" si="16"/>
        <v>0.53320000000000001</v>
      </c>
      <c r="M163" s="64"/>
      <c r="N163"/>
    </row>
    <row r="164" spans="1:14" ht="22.7" hidden="1" customHeight="1" x14ac:dyDescent="0.25">
      <c r="A164" s="55">
        <f t="shared" si="15"/>
        <v>158</v>
      </c>
      <c r="B164" s="56" t="s">
        <v>464</v>
      </c>
      <c r="C164" s="57" t="s">
        <v>465</v>
      </c>
      <c r="D164" s="57" t="s">
        <v>161</v>
      </c>
      <c r="E164" s="57" t="s">
        <v>162</v>
      </c>
      <c r="F164" s="57" t="s">
        <v>57</v>
      </c>
      <c r="G164" s="58" t="s">
        <v>58</v>
      </c>
      <c r="H164" s="57" t="s">
        <v>23</v>
      </c>
      <c r="I164" s="69">
        <v>44928</v>
      </c>
      <c r="J164" s="70">
        <v>7</v>
      </c>
      <c r="K164" s="61">
        <f t="shared" si="14"/>
        <v>5.1337999999999999</v>
      </c>
      <c r="L164" s="62">
        <f t="shared" si="16"/>
        <v>1.8662000000000001</v>
      </c>
      <c r="M164" s="64"/>
      <c r="N164"/>
    </row>
    <row r="165" spans="1:14" ht="22.7" hidden="1" customHeight="1" x14ac:dyDescent="0.25">
      <c r="A165" s="55">
        <f t="shared" si="15"/>
        <v>159</v>
      </c>
      <c r="B165" s="56" t="s">
        <v>466</v>
      </c>
      <c r="C165" s="57" t="s">
        <v>467</v>
      </c>
      <c r="D165" s="57" t="s">
        <v>45</v>
      </c>
      <c r="E165" s="57" t="s">
        <v>449</v>
      </c>
      <c r="F165" s="57" t="s">
        <v>47</v>
      </c>
      <c r="G165" s="58" t="s">
        <v>35</v>
      </c>
      <c r="H165" s="57" t="s">
        <v>30</v>
      </c>
      <c r="I165" s="69">
        <v>41913</v>
      </c>
      <c r="J165" s="70">
        <v>43</v>
      </c>
      <c r="K165" s="61">
        <f t="shared" ref="K165:K190" si="17">J165-L165</f>
        <v>31.536200000000001</v>
      </c>
      <c r="L165" s="62">
        <f t="shared" si="16"/>
        <v>11.463800000000001</v>
      </c>
      <c r="M165" s="64"/>
      <c r="N165"/>
    </row>
    <row r="166" spans="1:14" ht="22.7" hidden="1" customHeight="1" x14ac:dyDescent="0.25">
      <c r="A166" s="55">
        <f t="shared" si="15"/>
        <v>160</v>
      </c>
      <c r="B166" s="56" t="s">
        <v>468</v>
      </c>
      <c r="C166" s="57" t="s">
        <v>469</v>
      </c>
      <c r="D166" s="57" t="s">
        <v>45</v>
      </c>
      <c r="E166" s="57" t="s">
        <v>470</v>
      </c>
      <c r="F166" s="57" t="s">
        <v>40</v>
      </c>
      <c r="G166" s="58" t="s">
        <v>41</v>
      </c>
      <c r="H166" s="57" t="s">
        <v>30</v>
      </c>
      <c r="I166" s="69">
        <v>42156</v>
      </c>
      <c r="J166" s="70">
        <v>21</v>
      </c>
      <c r="K166" s="61">
        <f t="shared" si="17"/>
        <v>15.401399999999999</v>
      </c>
      <c r="L166" s="62">
        <f t="shared" si="16"/>
        <v>5.5986000000000002</v>
      </c>
      <c r="M166" s="64"/>
      <c r="N166"/>
    </row>
    <row r="167" spans="1:14" ht="22.7" hidden="1" customHeight="1" x14ac:dyDescent="0.25">
      <c r="A167" s="55">
        <f t="shared" si="15"/>
        <v>161</v>
      </c>
      <c r="B167" s="56" t="s">
        <v>471</v>
      </c>
      <c r="C167" s="57" t="s">
        <v>472</v>
      </c>
      <c r="D167" s="57" t="s">
        <v>26</v>
      </c>
      <c r="E167" s="57" t="s">
        <v>33</v>
      </c>
      <c r="F167" s="57" t="s">
        <v>34</v>
      </c>
      <c r="G167" s="58" t="s">
        <v>35</v>
      </c>
      <c r="H167" s="57" t="s">
        <v>30</v>
      </c>
      <c r="I167" s="69">
        <v>42430</v>
      </c>
      <c r="J167" s="70">
        <v>1</v>
      </c>
      <c r="K167" s="61">
        <f t="shared" si="17"/>
        <v>0.73340000000000005</v>
      </c>
      <c r="L167" s="62">
        <f t="shared" si="16"/>
        <v>0.2666</v>
      </c>
      <c r="M167" s="64"/>
      <c r="N167"/>
    </row>
    <row r="168" spans="1:14" ht="22.7" hidden="1" customHeight="1" x14ac:dyDescent="0.25">
      <c r="A168" s="55">
        <f t="shared" ref="A168:A190" si="18">SUM(A167:A167+1)</f>
        <v>162</v>
      </c>
      <c r="B168" s="56" t="s">
        <v>473</v>
      </c>
      <c r="C168" s="57" t="s">
        <v>474</v>
      </c>
      <c r="D168" s="57" t="s">
        <v>161</v>
      </c>
      <c r="E168" s="57" t="s">
        <v>162</v>
      </c>
      <c r="F168" s="57" t="s">
        <v>57</v>
      </c>
      <c r="G168" s="58" t="s">
        <v>58</v>
      </c>
      <c r="H168" s="57" t="s">
        <v>30</v>
      </c>
      <c r="I168" s="69">
        <v>42125</v>
      </c>
      <c r="J168" s="70">
        <v>27</v>
      </c>
      <c r="K168" s="61">
        <f t="shared" si="17"/>
        <v>19.8018</v>
      </c>
      <c r="L168" s="62">
        <f t="shared" si="16"/>
        <v>7.1981999999999999</v>
      </c>
      <c r="M168" s="64"/>
      <c r="N168"/>
    </row>
    <row r="169" spans="1:14" ht="22.7" hidden="1" customHeight="1" x14ac:dyDescent="0.25">
      <c r="A169" s="55">
        <f t="shared" si="18"/>
        <v>163</v>
      </c>
      <c r="B169" s="56" t="s">
        <v>475</v>
      </c>
      <c r="C169" s="57" t="s">
        <v>476</v>
      </c>
      <c r="D169" s="57" t="s">
        <v>179</v>
      </c>
      <c r="E169" s="57" t="s">
        <v>141</v>
      </c>
      <c r="F169" s="57" t="s">
        <v>57</v>
      </c>
      <c r="G169" s="58" t="s">
        <v>58</v>
      </c>
      <c r="H169" s="57" t="s">
        <v>23</v>
      </c>
      <c r="I169" s="69">
        <v>44927</v>
      </c>
      <c r="J169" s="70">
        <v>6</v>
      </c>
      <c r="K169" s="61">
        <f t="shared" si="17"/>
        <v>4.4003999999999994</v>
      </c>
      <c r="L169" s="62">
        <f t="shared" si="16"/>
        <v>1.5996000000000001</v>
      </c>
      <c r="M169" s="64"/>
      <c r="N169"/>
    </row>
    <row r="170" spans="1:14" ht="22.7" hidden="1" customHeight="1" x14ac:dyDescent="0.25">
      <c r="A170" s="55">
        <f t="shared" si="18"/>
        <v>164</v>
      </c>
      <c r="B170" s="56" t="s">
        <v>477</v>
      </c>
      <c r="C170" s="57" t="s">
        <v>478</v>
      </c>
      <c r="D170" s="57" t="s">
        <v>297</v>
      </c>
      <c r="E170" s="57" t="s">
        <v>86</v>
      </c>
      <c r="F170" s="57" t="s">
        <v>92</v>
      </c>
      <c r="G170" s="58" t="s">
        <v>93</v>
      </c>
      <c r="H170" s="57" t="s">
        <v>30</v>
      </c>
      <c r="I170" s="69">
        <v>41699</v>
      </c>
      <c r="J170" s="70">
        <v>42</v>
      </c>
      <c r="K170" s="61">
        <f t="shared" si="17"/>
        <v>30.802799999999998</v>
      </c>
      <c r="L170" s="62">
        <f t="shared" si="16"/>
        <v>11.1972</v>
      </c>
      <c r="M170" s="64"/>
      <c r="N170"/>
    </row>
    <row r="171" spans="1:14" ht="22.7" hidden="1" customHeight="1" x14ac:dyDescent="0.25">
      <c r="A171" s="55">
        <f t="shared" si="18"/>
        <v>165</v>
      </c>
      <c r="B171" s="56" t="s">
        <v>479</v>
      </c>
      <c r="C171" s="57" t="s">
        <v>480</v>
      </c>
      <c r="D171" s="57" t="s">
        <v>26</v>
      </c>
      <c r="E171" s="57" t="s">
        <v>33</v>
      </c>
      <c r="F171" s="57" t="s">
        <v>34</v>
      </c>
      <c r="G171" s="58" t="s">
        <v>35</v>
      </c>
      <c r="H171" s="57" t="s">
        <v>30</v>
      </c>
      <c r="I171" s="69">
        <v>42767</v>
      </c>
      <c r="J171" s="70">
        <v>0</v>
      </c>
      <c r="K171" s="61">
        <f t="shared" si="17"/>
        <v>0</v>
      </c>
      <c r="L171" s="62">
        <f t="shared" si="16"/>
        <v>0</v>
      </c>
      <c r="M171" s="64"/>
      <c r="N171"/>
    </row>
    <row r="172" spans="1:14" ht="22.7" hidden="1" customHeight="1" x14ac:dyDescent="0.25">
      <c r="A172" s="55">
        <f t="shared" si="18"/>
        <v>166</v>
      </c>
      <c r="B172" s="56" t="s">
        <v>481</v>
      </c>
      <c r="C172" s="57" t="s">
        <v>482</v>
      </c>
      <c r="D172" s="57" t="s">
        <v>45</v>
      </c>
      <c r="E172" s="57" t="s">
        <v>449</v>
      </c>
      <c r="F172" s="57" t="s">
        <v>47</v>
      </c>
      <c r="G172" s="58" t="s">
        <v>35</v>
      </c>
      <c r="H172" s="57" t="s">
        <v>30</v>
      </c>
      <c r="I172" s="69">
        <v>42156</v>
      </c>
      <c r="J172" s="70">
        <v>50</v>
      </c>
      <c r="K172" s="61">
        <f t="shared" si="17"/>
        <v>36.67</v>
      </c>
      <c r="L172" s="62">
        <f t="shared" si="16"/>
        <v>13.33</v>
      </c>
      <c r="M172" s="64"/>
      <c r="N172"/>
    </row>
    <row r="173" spans="1:14" ht="22.7" hidden="1" customHeight="1" x14ac:dyDescent="0.25">
      <c r="A173" s="55">
        <f t="shared" si="18"/>
        <v>167</v>
      </c>
      <c r="B173" s="56" t="s">
        <v>483</v>
      </c>
      <c r="C173" s="57" t="s">
        <v>484</v>
      </c>
      <c r="D173" s="57" t="s">
        <v>120</v>
      </c>
      <c r="E173" s="57" t="s">
        <v>395</v>
      </c>
      <c r="F173" s="57" t="s">
        <v>47</v>
      </c>
      <c r="G173" s="58" t="s">
        <v>35</v>
      </c>
      <c r="H173" s="57" t="s">
        <v>30</v>
      </c>
      <c r="I173" s="69">
        <v>42278</v>
      </c>
      <c r="J173" s="70">
        <v>1</v>
      </c>
      <c r="K173" s="61">
        <f t="shared" si="17"/>
        <v>0.73340000000000005</v>
      </c>
      <c r="L173" s="62">
        <f t="shared" si="16"/>
        <v>0.2666</v>
      </c>
      <c r="M173" s="64"/>
      <c r="N173"/>
    </row>
    <row r="174" spans="1:14" ht="22.7" hidden="1" customHeight="1" x14ac:dyDescent="0.25">
      <c r="A174" s="55">
        <f t="shared" si="18"/>
        <v>168</v>
      </c>
      <c r="B174" s="56">
        <v>1103184238</v>
      </c>
      <c r="C174" s="57" t="s">
        <v>575</v>
      </c>
      <c r="D174" s="57" t="s">
        <v>72</v>
      </c>
      <c r="E174" s="57" t="s">
        <v>576</v>
      </c>
      <c r="F174" s="57" t="s">
        <v>576</v>
      </c>
      <c r="G174" s="58" t="s">
        <v>577</v>
      </c>
      <c r="H174" s="57" t="s">
        <v>578</v>
      </c>
      <c r="I174" s="69">
        <v>41534</v>
      </c>
      <c r="J174" s="70">
        <v>7</v>
      </c>
      <c r="K174" s="61">
        <f t="shared" si="17"/>
        <v>5.1337999999999999</v>
      </c>
      <c r="L174" s="62">
        <f t="shared" si="16"/>
        <v>1.8662000000000001</v>
      </c>
      <c r="M174" s="64"/>
      <c r="N174"/>
    </row>
    <row r="175" spans="1:14" ht="22.7" hidden="1" customHeight="1" x14ac:dyDescent="0.25">
      <c r="A175" s="55">
        <f t="shared" si="18"/>
        <v>169</v>
      </c>
      <c r="B175" s="56" t="s">
        <v>485</v>
      </c>
      <c r="C175" s="57" t="s">
        <v>486</v>
      </c>
      <c r="D175" s="57" t="s">
        <v>26</v>
      </c>
      <c r="E175" s="57" t="s">
        <v>33</v>
      </c>
      <c r="F175" s="57" t="s">
        <v>34</v>
      </c>
      <c r="G175" s="58" t="s">
        <v>35</v>
      </c>
      <c r="H175" s="57" t="s">
        <v>30</v>
      </c>
      <c r="I175" s="69">
        <v>42767</v>
      </c>
      <c r="J175" s="70">
        <v>19</v>
      </c>
      <c r="K175" s="61">
        <f t="shared" si="17"/>
        <v>13.9346</v>
      </c>
      <c r="L175" s="62">
        <f t="shared" si="16"/>
        <v>5.0654000000000003</v>
      </c>
      <c r="M175" s="64"/>
      <c r="N175"/>
    </row>
    <row r="176" spans="1:14" ht="22.7" hidden="1" customHeight="1" x14ac:dyDescent="0.25">
      <c r="A176" s="55">
        <f t="shared" si="18"/>
        <v>170</v>
      </c>
      <c r="B176" s="56" t="s">
        <v>487</v>
      </c>
      <c r="C176" s="57" t="s">
        <v>488</v>
      </c>
      <c r="D176" s="57" t="s">
        <v>26</v>
      </c>
      <c r="E176" s="57" t="s">
        <v>33</v>
      </c>
      <c r="F176" s="57" t="s">
        <v>34</v>
      </c>
      <c r="G176" s="58" t="s">
        <v>35</v>
      </c>
      <c r="H176" s="57" t="s">
        <v>30</v>
      </c>
      <c r="I176" s="69">
        <v>44470</v>
      </c>
      <c r="J176" s="70">
        <v>2</v>
      </c>
      <c r="K176" s="61">
        <f t="shared" si="17"/>
        <v>1.4668000000000001</v>
      </c>
      <c r="L176" s="62">
        <f t="shared" si="16"/>
        <v>0.53320000000000001</v>
      </c>
      <c r="M176" s="64"/>
      <c r="N176"/>
    </row>
    <row r="177" spans="1:14" ht="22.7" hidden="1" customHeight="1" x14ac:dyDescent="0.25">
      <c r="A177" s="55">
        <f t="shared" si="18"/>
        <v>171</v>
      </c>
      <c r="B177" s="56" t="s">
        <v>489</v>
      </c>
      <c r="C177" s="57" t="s">
        <v>490</v>
      </c>
      <c r="D177" s="57" t="s">
        <v>45</v>
      </c>
      <c r="E177" s="57" t="s">
        <v>61</v>
      </c>
      <c r="F177" s="57" t="s">
        <v>21</v>
      </c>
      <c r="G177" s="58" t="s">
        <v>22</v>
      </c>
      <c r="H177" s="57" t="s">
        <v>30</v>
      </c>
      <c r="I177" s="69">
        <v>42156</v>
      </c>
      <c r="J177" s="70">
        <v>18</v>
      </c>
      <c r="K177" s="61">
        <f t="shared" si="17"/>
        <v>13.2012</v>
      </c>
      <c r="L177" s="62">
        <f t="shared" si="16"/>
        <v>4.7988</v>
      </c>
      <c r="M177" s="64"/>
      <c r="N177"/>
    </row>
    <row r="178" spans="1:14" ht="22.7" hidden="1" customHeight="1" x14ac:dyDescent="0.25">
      <c r="A178" s="55">
        <f t="shared" si="18"/>
        <v>172</v>
      </c>
      <c r="B178" s="56" t="s">
        <v>542</v>
      </c>
      <c r="C178" s="57" t="s">
        <v>543</v>
      </c>
      <c r="D178" s="57" t="s">
        <v>26</v>
      </c>
      <c r="E178" s="57" t="s">
        <v>73</v>
      </c>
      <c r="F178" s="57" t="s">
        <v>74</v>
      </c>
      <c r="G178" s="58" t="s">
        <v>75</v>
      </c>
      <c r="H178" s="57" t="s">
        <v>23</v>
      </c>
      <c r="I178" s="69">
        <v>44928</v>
      </c>
      <c r="J178" s="70">
        <v>6</v>
      </c>
      <c r="K178" s="61">
        <f t="shared" si="17"/>
        <v>4.4003999999999994</v>
      </c>
      <c r="L178" s="62">
        <f t="shared" si="16"/>
        <v>1.5996000000000001</v>
      </c>
      <c r="M178" s="64"/>
      <c r="N178"/>
    </row>
    <row r="179" spans="1:14" ht="22.7" hidden="1" customHeight="1" x14ac:dyDescent="0.25">
      <c r="A179" s="55">
        <f t="shared" si="18"/>
        <v>173</v>
      </c>
      <c r="B179" s="56" t="s">
        <v>491</v>
      </c>
      <c r="C179" s="57" t="s">
        <v>492</v>
      </c>
      <c r="D179" s="57" t="s">
        <v>45</v>
      </c>
      <c r="E179" s="57" t="s">
        <v>493</v>
      </c>
      <c r="F179" s="57" t="s">
        <v>277</v>
      </c>
      <c r="G179" s="58" t="s">
        <v>75</v>
      </c>
      <c r="H179" s="57" t="s">
        <v>23</v>
      </c>
      <c r="I179" s="69">
        <v>44927</v>
      </c>
      <c r="J179" s="70">
        <v>3</v>
      </c>
      <c r="K179" s="61">
        <f t="shared" si="17"/>
        <v>2.2001999999999997</v>
      </c>
      <c r="L179" s="62">
        <f t="shared" si="16"/>
        <v>0.79980000000000007</v>
      </c>
      <c r="M179" s="64"/>
      <c r="N179"/>
    </row>
    <row r="180" spans="1:14" ht="22.7" hidden="1" customHeight="1" x14ac:dyDescent="0.25">
      <c r="A180" s="55">
        <f t="shared" si="18"/>
        <v>174</v>
      </c>
      <c r="B180" s="56" t="s">
        <v>494</v>
      </c>
      <c r="C180" s="57" t="s">
        <v>495</v>
      </c>
      <c r="D180" s="57" t="s">
        <v>55</v>
      </c>
      <c r="E180" s="57" t="s">
        <v>56</v>
      </c>
      <c r="F180" s="57" t="s">
        <v>57</v>
      </c>
      <c r="G180" s="58" t="s">
        <v>58</v>
      </c>
      <c r="H180" s="57" t="s">
        <v>30</v>
      </c>
      <c r="I180" s="69">
        <v>42278</v>
      </c>
      <c r="J180" s="70">
        <v>0</v>
      </c>
      <c r="K180" s="61">
        <f t="shared" si="17"/>
        <v>0</v>
      </c>
      <c r="L180" s="62">
        <f t="shared" si="16"/>
        <v>0</v>
      </c>
      <c r="M180" s="64"/>
      <c r="N180"/>
    </row>
    <row r="181" spans="1:14" ht="22.7" hidden="1" customHeight="1" x14ac:dyDescent="0.25">
      <c r="A181" s="55">
        <f t="shared" si="18"/>
        <v>175</v>
      </c>
      <c r="B181" s="56" t="s">
        <v>496</v>
      </c>
      <c r="C181" s="57" t="s">
        <v>497</v>
      </c>
      <c r="D181" s="57" t="s">
        <v>297</v>
      </c>
      <c r="E181" s="57" t="s">
        <v>298</v>
      </c>
      <c r="F181" s="57" t="s">
        <v>57</v>
      </c>
      <c r="G181" s="58" t="s">
        <v>58</v>
      </c>
      <c r="H181" s="57" t="s">
        <v>23</v>
      </c>
      <c r="I181" s="69">
        <v>44928</v>
      </c>
      <c r="J181" s="70">
        <v>3</v>
      </c>
      <c r="K181" s="61">
        <f t="shared" si="17"/>
        <v>2.2001999999999997</v>
      </c>
      <c r="L181" s="62">
        <f t="shared" ref="L181:L190" si="19">+J181*26.66%</f>
        <v>0.79980000000000007</v>
      </c>
      <c r="M181" s="64"/>
      <c r="N181"/>
    </row>
    <row r="182" spans="1:14" ht="22.7" hidden="1" customHeight="1" x14ac:dyDescent="0.25">
      <c r="A182" s="55">
        <f t="shared" si="18"/>
        <v>176</v>
      </c>
      <c r="B182" s="56" t="s">
        <v>498</v>
      </c>
      <c r="C182" s="57" t="s">
        <v>499</v>
      </c>
      <c r="D182" s="57" t="s">
        <v>179</v>
      </c>
      <c r="E182" s="57" t="s">
        <v>141</v>
      </c>
      <c r="F182" s="57" t="s">
        <v>57</v>
      </c>
      <c r="G182" s="58" t="s">
        <v>58</v>
      </c>
      <c r="H182" s="57" t="s">
        <v>23</v>
      </c>
      <c r="I182" s="69">
        <v>44927</v>
      </c>
      <c r="J182" s="70">
        <v>9</v>
      </c>
      <c r="K182" s="61">
        <f t="shared" si="17"/>
        <v>6.6006</v>
      </c>
      <c r="L182" s="62">
        <f t="shared" si="19"/>
        <v>2.3994</v>
      </c>
      <c r="M182" s="64"/>
      <c r="N182"/>
    </row>
    <row r="183" spans="1:14" ht="22.7" hidden="1" customHeight="1" x14ac:dyDescent="0.25">
      <c r="A183" s="55">
        <f t="shared" si="18"/>
        <v>177</v>
      </c>
      <c r="B183" s="56" t="s">
        <v>500</v>
      </c>
      <c r="C183" s="57" t="s">
        <v>501</v>
      </c>
      <c r="D183" s="57" t="s">
        <v>72</v>
      </c>
      <c r="E183" s="57" t="s">
        <v>104</v>
      </c>
      <c r="F183" s="57" t="s">
        <v>105</v>
      </c>
      <c r="G183" s="58" t="s">
        <v>58</v>
      </c>
      <c r="H183" s="57" t="s">
        <v>30</v>
      </c>
      <c r="I183" s="69">
        <v>44470</v>
      </c>
      <c r="J183" s="70">
        <v>0</v>
      </c>
      <c r="K183" s="61">
        <f t="shared" si="17"/>
        <v>0</v>
      </c>
      <c r="L183" s="62">
        <f t="shared" si="19"/>
        <v>0</v>
      </c>
      <c r="M183" s="64"/>
      <c r="N183"/>
    </row>
    <row r="184" spans="1:14" ht="22.7" hidden="1" customHeight="1" x14ac:dyDescent="0.25">
      <c r="A184" s="55">
        <f t="shared" si="18"/>
        <v>178</v>
      </c>
      <c r="B184" s="56" t="s">
        <v>544</v>
      </c>
      <c r="C184" s="57" t="s">
        <v>545</v>
      </c>
      <c r="D184" s="57" t="s">
        <v>26</v>
      </c>
      <c r="E184" s="57" t="s">
        <v>546</v>
      </c>
      <c r="F184" s="57" t="s">
        <v>92</v>
      </c>
      <c r="G184" s="58" t="s">
        <v>93</v>
      </c>
      <c r="H184" s="57" t="s">
        <v>30</v>
      </c>
      <c r="I184" s="69">
        <v>42826</v>
      </c>
      <c r="J184" s="70">
        <v>8</v>
      </c>
      <c r="K184" s="61">
        <f t="shared" si="17"/>
        <v>5.8672000000000004</v>
      </c>
      <c r="L184" s="62">
        <f t="shared" si="19"/>
        <v>2.1328</v>
      </c>
      <c r="M184" s="64"/>
      <c r="N184"/>
    </row>
    <row r="185" spans="1:14" ht="22.7" hidden="1" customHeight="1" x14ac:dyDescent="0.25">
      <c r="A185" s="55">
        <f t="shared" si="18"/>
        <v>179</v>
      </c>
      <c r="B185" s="56" t="s">
        <v>504</v>
      </c>
      <c r="C185" s="57" t="s">
        <v>505</v>
      </c>
      <c r="D185" s="57" t="s">
        <v>112</v>
      </c>
      <c r="E185" s="57" t="s">
        <v>506</v>
      </c>
      <c r="F185" s="57" t="s">
        <v>122</v>
      </c>
      <c r="G185" s="58" t="s">
        <v>93</v>
      </c>
      <c r="H185" s="57" t="s">
        <v>30</v>
      </c>
      <c r="I185" s="69">
        <v>36312</v>
      </c>
      <c r="J185" s="70">
        <v>30</v>
      </c>
      <c r="K185" s="61">
        <f t="shared" si="17"/>
        <v>22.001999999999999</v>
      </c>
      <c r="L185" s="62">
        <f t="shared" si="19"/>
        <v>7.9980000000000002</v>
      </c>
      <c r="M185" s="64"/>
      <c r="N185"/>
    </row>
    <row r="186" spans="1:14" ht="22.7" hidden="1" customHeight="1" x14ac:dyDescent="0.25">
      <c r="A186" s="55">
        <f t="shared" si="18"/>
        <v>180</v>
      </c>
      <c r="B186" s="56" t="s">
        <v>507</v>
      </c>
      <c r="C186" s="57" t="s">
        <v>508</v>
      </c>
      <c r="D186" s="57" t="s">
        <v>55</v>
      </c>
      <c r="E186" s="57" t="s">
        <v>56</v>
      </c>
      <c r="F186" s="57" t="s">
        <v>57</v>
      </c>
      <c r="G186" s="58" t="s">
        <v>58</v>
      </c>
      <c r="H186" s="57" t="s">
        <v>30</v>
      </c>
      <c r="I186" s="69">
        <v>42156</v>
      </c>
      <c r="J186" s="70">
        <v>0</v>
      </c>
      <c r="K186" s="61">
        <f t="shared" si="17"/>
        <v>0</v>
      </c>
      <c r="L186" s="62">
        <f t="shared" si="19"/>
        <v>0</v>
      </c>
      <c r="M186" s="64"/>
      <c r="N186"/>
    </row>
    <row r="187" spans="1:14" ht="22.7" hidden="1" customHeight="1" x14ac:dyDescent="0.25">
      <c r="A187" s="55">
        <f t="shared" si="18"/>
        <v>181</v>
      </c>
      <c r="B187" s="56" t="s">
        <v>509</v>
      </c>
      <c r="C187" s="57" t="s">
        <v>510</v>
      </c>
      <c r="D187" s="57" t="s">
        <v>26</v>
      </c>
      <c r="E187" s="57" t="s">
        <v>104</v>
      </c>
      <c r="F187" s="57" t="s">
        <v>105</v>
      </c>
      <c r="G187" s="58" t="s">
        <v>58</v>
      </c>
      <c r="H187" s="57" t="s">
        <v>30</v>
      </c>
      <c r="I187" s="69">
        <v>43497</v>
      </c>
      <c r="J187" s="70">
        <v>19</v>
      </c>
      <c r="K187" s="61">
        <f t="shared" si="17"/>
        <v>13.9346</v>
      </c>
      <c r="L187" s="62">
        <f t="shared" si="19"/>
        <v>5.0654000000000003</v>
      </c>
      <c r="M187" s="64"/>
      <c r="N187"/>
    </row>
    <row r="188" spans="1:14" ht="22.7" hidden="1" customHeight="1" x14ac:dyDescent="0.25">
      <c r="A188" s="55">
        <f t="shared" si="18"/>
        <v>182</v>
      </c>
      <c r="B188" s="56" t="s">
        <v>547</v>
      </c>
      <c r="C188" s="57" t="s">
        <v>548</v>
      </c>
      <c r="D188" s="57" t="s">
        <v>45</v>
      </c>
      <c r="E188" s="57" t="s">
        <v>46</v>
      </c>
      <c r="F188" s="57" t="s">
        <v>47</v>
      </c>
      <c r="G188" s="58" t="s">
        <v>35</v>
      </c>
      <c r="H188" s="57" t="s">
        <v>30</v>
      </c>
      <c r="I188" s="69">
        <v>44805</v>
      </c>
      <c r="J188" s="70">
        <v>41</v>
      </c>
      <c r="K188" s="61">
        <f t="shared" si="17"/>
        <v>30.069400000000002</v>
      </c>
      <c r="L188" s="62">
        <f t="shared" si="19"/>
        <v>10.9306</v>
      </c>
      <c r="M188" s="64"/>
      <c r="N188"/>
    </row>
    <row r="189" spans="1:14" ht="22.7" hidden="1" customHeight="1" x14ac:dyDescent="0.25">
      <c r="A189" s="55">
        <f t="shared" si="18"/>
        <v>183</v>
      </c>
      <c r="B189" s="56" t="s">
        <v>549</v>
      </c>
      <c r="C189" s="57" t="s">
        <v>550</v>
      </c>
      <c r="D189" s="57" t="s">
        <v>26</v>
      </c>
      <c r="E189" s="57" t="s">
        <v>73</v>
      </c>
      <c r="F189" s="57" t="s">
        <v>74</v>
      </c>
      <c r="G189" s="58" t="s">
        <v>75</v>
      </c>
      <c r="H189" s="57" t="s">
        <v>23</v>
      </c>
      <c r="I189" s="69">
        <v>44927</v>
      </c>
      <c r="J189" s="70">
        <v>27</v>
      </c>
      <c r="K189" s="61">
        <f t="shared" si="17"/>
        <v>19.8018</v>
      </c>
      <c r="L189" s="62">
        <f t="shared" si="19"/>
        <v>7.1981999999999999</v>
      </c>
      <c r="M189" s="64"/>
      <c r="N189"/>
    </row>
    <row r="190" spans="1:14" ht="22.7" hidden="1" customHeight="1" x14ac:dyDescent="0.25">
      <c r="A190" s="55">
        <f t="shared" si="18"/>
        <v>184</v>
      </c>
      <c r="B190" s="56" t="s">
        <v>551</v>
      </c>
      <c r="C190" s="57" t="s">
        <v>552</v>
      </c>
      <c r="D190" s="57" t="s">
        <v>55</v>
      </c>
      <c r="E190" s="57" t="s">
        <v>79</v>
      </c>
      <c r="F190" s="57" t="s">
        <v>57</v>
      </c>
      <c r="G190" s="58" t="s">
        <v>58</v>
      </c>
      <c r="H190" s="57" t="s">
        <v>23</v>
      </c>
      <c r="I190" s="69">
        <v>44927</v>
      </c>
      <c r="J190" s="70">
        <v>12</v>
      </c>
      <c r="K190" s="61">
        <f t="shared" si="17"/>
        <v>8.8007999999999988</v>
      </c>
      <c r="L190" s="62">
        <f t="shared" si="19"/>
        <v>3.1992000000000003</v>
      </c>
      <c r="M190" s="64"/>
      <c r="N190"/>
    </row>
  </sheetData>
  <autoFilter ref="A6:AW190">
    <filterColumn colId="9">
      <filters>
        <filter val="63"/>
      </filters>
    </filterColumn>
  </autoFilter>
  <mergeCells count="6">
    <mergeCell ref="B1:D1"/>
    <mergeCell ref="E1:L1"/>
    <mergeCell ref="A2:L2"/>
    <mergeCell ref="D3:H3"/>
    <mergeCell ref="D4:H4"/>
    <mergeCell ref="J4:M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VACACIONES COORDINACION 2021</vt:lpstr>
      <vt:lpstr>VACACIONES COORDINACION 2022</vt:lpstr>
      <vt:lpstr>VACACIONES COORDINACION 2023</vt:lpstr>
      <vt:lpstr>'VACACIONES COORDINACION 2021'!Área_de_impresión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María_Nole</cp:lastModifiedBy>
  <cp:revision>96</cp:revision>
  <cp:lastPrinted>2018-03-06T14:59:17Z</cp:lastPrinted>
  <dcterms:created xsi:type="dcterms:W3CDTF">2018-02-19T13:33:18Z</dcterms:created>
  <dcterms:modified xsi:type="dcterms:W3CDTF">2023-08-06T22:36:07Z</dcterms:modified>
  <dc:language>es-EC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