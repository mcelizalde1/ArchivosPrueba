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umita\CONTROL TECNICO\2. ESTUDIOS DE CONTROL\COORDINACION ZONAL DE MINISTERIO DE SALUD PUBLICA\4. ANALISIS EN SITIO\2. SELECCIÓN\"/>
    </mc:Choice>
  </mc:AlternateContent>
  <bookViews>
    <workbookView xWindow="0" yWindow="0" windowWidth="20490" windowHeight="7755"/>
  </bookViews>
  <sheets>
    <sheet name="Hoja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9" i="1" l="1"/>
  <c r="F29" i="1"/>
  <c r="E29" i="1"/>
  <c r="J7" i="1"/>
  <c r="F7" i="1"/>
  <c r="F8" i="1" s="1"/>
  <c r="J8" i="1"/>
  <c r="I7" i="1"/>
  <c r="I8" i="1" s="1"/>
  <c r="E7" i="1"/>
  <c r="E8" i="1" s="1"/>
  <c r="G7" i="1" l="1"/>
  <c r="G8" i="1" s="1"/>
  <c r="K7" i="1"/>
  <c r="K8" i="1" s="1"/>
  <c r="D8" i="1"/>
  <c r="H7" i="1"/>
  <c r="H8" i="1" s="1"/>
  <c r="L7" i="1"/>
  <c r="L8" i="1" s="1"/>
</calcChain>
</file>

<file path=xl/comments1.xml><?xml version="1.0" encoding="utf-8"?>
<comments xmlns="http://schemas.openxmlformats.org/spreadsheetml/2006/main">
  <authors>
    <author>Usuario</author>
  </authors>
  <commentList>
    <comment ref="F4" authorId="0" shapeId="0">
      <text>
        <r>
          <rPr>
            <sz val="9"/>
            <color indexed="81"/>
            <rFont val="Tahoma"/>
            <family val="2"/>
          </rPr>
          <t>El certificado debe ser validado en el sistema de comprobación implementado por el Ministerio del Trabajo.</t>
        </r>
      </text>
    </comment>
    <comment ref="H4" authorId="0" shapeId="0">
      <text>
        <r>
          <rPr>
            <sz val="9"/>
            <color indexed="81"/>
            <rFont val="Tahoma"/>
            <family val="2"/>
          </rPr>
          <t>Informe técnico favorable emitido por la Unidad de Administración del Talento Humano que contenga  elementos como el criterio jurídico, financiero, así como la verificación de cumplimiento de los requisitos del puesto con el perfil de puesto.</t>
        </r>
      </text>
    </comment>
    <comment ref="K4" authorId="0" shapeId="0">
      <text>
        <r>
          <rPr>
            <sz val="8"/>
            <color indexed="81"/>
            <rFont val="Tahoma"/>
            <family val="2"/>
          </rPr>
          <t>EL REGISTRO DEL PROCESO DE INDUCCIÓN QUE CONTENGA EL TIEMPO DESTINADO PARA EL EFECTO, CUYA DURACIÓN NO PUEDE SER MENOR A 24 HORAS DE PARTICIPACIÓN DENTRO DEL PRIMER MES DE LABORES.</t>
        </r>
      </text>
    </comment>
    <comment ref="D14" authorId="0" shapeId="0">
      <text>
        <r>
          <rPr>
            <sz val="9"/>
            <color indexed="81"/>
            <rFont val="Tahoma"/>
            <family val="2"/>
          </rPr>
          <t>El certificado debe ser validado en el sistema de comprobación implementado por el Ministerio del Trabajo.</t>
        </r>
      </text>
    </comment>
    <comment ref="D16" authorId="0" shapeId="0">
      <text>
        <r>
          <rPr>
            <sz val="9"/>
            <color indexed="81"/>
            <rFont val="Tahoma"/>
            <family val="2"/>
          </rPr>
          <t>Informe técnico favorable emitido por la Unidad de Administración del Talento Humano que contenga  elementos como el criterio jurídico, financiero, así como la verificación de cumplimiento de los requisitos del puesto con el perfil de puesto.</t>
        </r>
      </text>
    </comment>
    <comment ref="D19" authorId="0" shapeId="0">
      <text>
        <r>
          <rPr>
            <sz val="8"/>
            <color indexed="81"/>
            <rFont val="Tahoma"/>
            <family val="2"/>
          </rPr>
          <t>EL REGISTRO DEL PROCESO DE INDUCCIÓN QUE CONTENGA EL TIEMPO DESTINADO PARA EL EFECTO, CUYA DURACIÓN NO PUEDE SER MENOR A 24 HORAS DE PARTICIPACIÓN DENTRO DEL PRIMER MES DE LABORES.</t>
        </r>
      </text>
    </comment>
  </commentList>
</comments>
</file>

<file path=xl/sharedStrings.xml><?xml version="1.0" encoding="utf-8"?>
<sst xmlns="http://schemas.openxmlformats.org/spreadsheetml/2006/main" count="59" uniqueCount="46">
  <si>
    <t>DOCUMENTACIÓN DE INGRESO REQUERIDA</t>
  </si>
  <si>
    <t>HOJA DE VIDA</t>
  </si>
  <si>
    <t xml:space="preserve">CONSTANCIA DE DECLARACIÓN JURAMENTADA  DE INGRESO REALIZADA EN LA CONTRALORÍA GENERAL DEL ESTADO </t>
  </si>
  <si>
    <t>CERTIFICADO DE NO TENER IMPEDIMENTO LEGAL OBTENIDO DEL MINISTERIO DEL TRABAJO</t>
  </si>
  <si>
    <t>CERTIFICADO DE REGISTRO DEL TÍTULO EN LA SENESCYT O EMITIDOS POR EL MINEDUC</t>
  </si>
  <si>
    <t>INFORME TÉCNICO FAVORABLE UATH</t>
  </si>
  <si>
    <t>ACCIÓN DE PERSONAL/ CONTRATO OCASIONAL</t>
  </si>
  <si>
    <t>ACUERDO DE CONFIDENCIALIDAD</t>
  </si>
  <si>
    <t>REGISTRO DE CAPACITACIÓN INDUCTIVA</t>
  </si>
  <si>
    <t>PRESENTACIÓN DE LA CAUCIÓN EN LA CONTRALORÍA GENERAL DEL ESTADO</t>
  </si>
  <si>
    <t>FECHA DE INGRESO (DD/MM/AAAA)</t>
  </si>
  <si>
    <t>FECHA DE SALIDA (DD/MM/AAAA)</t>
  </si>
  <si>
    <t>SI</t>
  </si>
  <si>
    <t xml:space="preserve">NO </t>
  </si>
  <si>
    <t>TOTAL</t>
  </si>
  <si>
    <t>%</t>
  </si>
  <si>
    <t xml:space="preserve">DOCUMENTOS REQUERIDOS </t>
  </si>
  <si>
    <t>CUMPLIMIENTO %</t>
  </si>
  <si>
    <t xml:space="preserve">OBSERVACION </t>
  </si>
  <si>
    <t xml:space="preserve">En la Documentación Laboral no se encontro la hoja de vida </t>
  </si>
  <si>
    <t xml:space="preserve">En la documentación laboral  no se encontro la Constancia de la Declacración Juramentada </t>
  </si>
  <si>
    <t>En la documentación laboral no se encontró el certificado 
de no tener impedimento legal para ejercer cargo público.</t>
  </si>
  <si>
    <t xml:space="preserve">En la documentación laboral no se encontró el informe 
técnico, la acción de personal ni el contrato de servicios
ocasionales y en otros casos, el informe, la acción de
personal y el contrato mencionado fueron generados en
una fecha posterior al ingreso del personal. </t>
  </si>
  <si>
    <t>En la documentación laboral no se encontró el Certificado del Titulo en la Senescyt o emitido por el Mineduc</t>
  </si>
  <si>
    <t xml:space="preserve">En  En la documentación laboral no se encontró el acuerdo de Confidencialidad </t>
  </si>
  <si>
    <t xml:space="preserve">En  En la documentación laboral no se encontró el registro de las capacitaciones </t>
  </si>
  <si>
    <t xml:space="preserve">En  En la documentación laboral no se encontró el registro de la Caución en la Contraloria General de Estado  </t>
  </si>
  <si>
    <t xml:space="preserve">TIPO DE MOVIMIENTO </t>
  </si>
  <si>
    <t xml:space="preserve">AÑOS </t>
  </si>
  <si>
    <t xml:space="preserve">CAMBIOS ADMINISTRATIVOS </t>
  </si>
  <si>
    <t xml:space="preserve">TRASPASOS </t>
  </si>
  <si>
    <t xml:space="preserve">COMISION DE SERVICIOS SIN REMUNERACIÓN </t>
  </si>
  <si>
    <t xml:space="preserve">SUBROGACIÓN  </t>
  </si>
  <si>
    <t xml:space="preserve">TOTAL </t>
  </si>
  <si>
    <t xml:space="preserve">Nro. </t>
  </si>
  <si>
    <t xml:space="preserve">AÑO DE PERIODO DE VIGENCIA </t>
  </si>
  <si>
    <t xml:space="preserve">DESCRIPCION </t>
  </si>
  <si>
    <t xml:space="preserve">FECHA DE APROBACIÓN </t>
  </si>
  <si>
    <t xml:space="preserve">PLAN DE SEGURIDAD Y SALUD </t>
  </si>
  <si>
    <t>REGLAMENTO DE HIGIENE TY SEGURIDAD</t>
  </si>
  <si>
    <t>NO TIENE</t>
  </si>
  <si>
    <t>FEBRERO 2022-FEBRERO 2024</t>
  </si>
  <si>
    <t xml:space="preserve">PROGRAMA DE RIESGOS PSICOSOCIALES </t>
  </si>
  <si>
    <t>La Institución no remite el Documento de Resolución de la Aprobación del Reglamento de Seguridad y Salud Aprobado por el Ministerio del Trabajo.</t>
  </si>
  <si>
    <t>La Institución no remite la Resolución de aprobación de los planes anuales de Seguridad y Salud, no consta el Plan se Seguridad y Salud del año 2020</t>
  </si>
  <si>
    <t>La Institución remite un documento en elaboración  de el Protocolo de Prevencion de Riesgos Psicosociales, no tiene aprobado el programa de prevención de riesgos psicosociales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</si>
</sst>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8"/>
      <color theme="1"/>
      <name val="Calibri"/>
      <family val="2"/>
      <scheme val="minor"/>
    </font>
    <font>
      <sz val="9"/>
      <color indexed="81"/>
      <name val="Tahoma"/>
      <family val="2"/>
    </font>
    <font>
      <sz val="8"/>
      <color indexed="81"/>
      <name val="Tahoma"/>
      <family val="2"/>
    </font>
    <font>
      <sz val="8"/>
      <color theme="1"/>
      <name val="Calibri"/>
      <family val="2"/>
      <scheme val="minor"/>
    </font>
    <font>
      <sz val="10"/>
      <color theme="1"/>
      <name val="Calibri"/>
      <family val="2"/>
      <scheme val="minor"/>
    </font>
    <font>
      <b/>
      <sz val="10"/>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indexed="65"/>
        <bgColor indexed="64"/>
      </patternFill>
    </fill>
  </fills>
  <borders count="10">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bottom style="hair">
        <color indexed="64"/>
      </bottom>
      <diagonal/>
    </border>
    <border>
      <left/>
      <right/>
      <top style="hair">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vertical="center" wrapText="1"/>
    </xf>
    <xf numFmtId="0" fontId="2" fillId="2" borderId="3" xfId="0" applyFont="1" applyFill="1" applyBorder="1" applyAlignment="1">
      <alignment horizontal="center" vertical="center" wrapText="1"/>
    </xf>
    <xf numFmtId="0" fontId="0" fillId="0" borderId="2" xfId="0" applyBorder="1" applyAlignment="1">
      <alignment horizontal="center" wrapText="1"/>
    </xf>
    <xf numFmtId="0" fontId="0" fillId="0" borderId="2" xfId="0" applyBorder="1" applyAlignment="1">
      <alignment wrapText="1"/>
    </xf>
    <xf numFmtId="0" fontId="1" fillId="0" borderId="2" xfId="0" applyFont="1" applyBorder="1"/>
    <xf numFmtId="0" fontId="2" fillId="2" borderId="6" xfId="0" applyFont="1" applyFill="1" applyBorder="1" applyAlignment="1">
      <alignment horizontal="center" vertical="center" wrapText="1"/>
    </xf>
    <xf numFmtId="0" fontId="0" fillId="0" borderId="2" xfId="0" applyBorder="1" applyAlignment="1">
      <alignment horizontal="center" vertical="center"/>
    </xf>
    <xf numFmtId="9" fontId="0" fillId="0" borderId="2" xfId="0" applyNumberFormat="1" applyBorder="1" applyAlignment="1">
      <alignment horizontal="center" vertical="center"/>
    </xf>
    <xf numFmtId="0" fontId="2" fillId="2" borderId="2" xfId="0" applyFont="1" applyFill="1" applyBorder="1" applyAlignment="1">
      <alignment horizontal="center" vertical="center" wrapText="1"/>
    </xf>
    <xf numFmtId="0" fontId="0" fillId="0" borderId="2" xfId="0" applyFont="1" applyBorder="1" applyAlignment="1">
      <alignment horizontal="center"/>
    </xf>
    <xf numFmtId="0" fontId="0" fillId="0" borderId="2"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2" fillId="2" borderId="7" xfId="0" applyFont="1" applyFill="1" applyBorder="1" applyAlignment="1">
      <alignment horizontal="center" vertical="center" wrapText="1"/>
    </xf>
    <xf numFmtId="0" fontId="2" fillId="2" borderId="7" xfId="0" applyFont="1" applyFill="1" applyBorder="1" applyAlignment="1">
      <alignment vertical="center"/>
    </xf>
    <xf numFmtId="0" fontId="2" fillId="7" borderId="0"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0" fillId="0" borderId="0" xfId="0" applyFont="1" applyBorder="1" applyAlignment="1">
      <alignment horizontal="center" vertical="center"/>
    </xf>
    <xf numFmtId="0" fontId="1" fillId="0" borderId="0" xfId="0" applyFont="1" applyBorder="1" applyAlignment="1">
      <alignment horizontal="center" vertical="center"/>
    </xf>
    <xf numFmtId="0" fontId="0" fillId="0" borderId="0" xfId="0" applyBorder="1"/>
    <xf numFmtId="0" fontId="2" fillId="2" borderId="2" xfId="0" applyFont="1" applyFill="1" applyBorder="1" applyAlignment="1">
      <alignment vertical="center"/>
    </xf>
    <xf numFmtId="0" fontId="2" fillId="7" borderId="0" xfId="0" applyFont="1" applyFill="1" applyBorder="1" applyAlignment="1">
      <alignment vertical="center"/>
    </xf>
    <xf numFmtId="0" fontId="6" fillId="0" borderId="2" xfId="0" applyFont="1" applyBorder="1" applyAlignment="1">
      <alignment horizontal="center"/>
    </xf>
    <xf numFmtId="0" fontId="6" fillId="0" borderId="2" xfId="0" applyFont="1" applyBorder="1" applyAlignment="1">
      <alignment horizontal="center" vertical="center"/>
    </xf>
    <xf numFmtId="0" fontId="7" fillId="7" borderId="4" xfId="0" applyFont="1" applyFill="1" applyBorder="1" applyAlignment="1">
      <alignment horizontal="center" vertical="center" wrapText="1"/>
    </xf>
    <xf numFmtId="14" fontId="6" fillId="8" borderId="9" xfId="0" applyNumberFormat="1" applyFont="1" applyFill="1" applyBorder="1" applyAlignment="1">
      <alignment horizontal="center" vertical="center"/>
    </xf>
    <xf numFmtId="0" fontId="6" fillId="7" borderId="2"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7" fillId="7" borderId="2" xfId="0" applyFont="1" applyFill="1" applyBorder="1" applyAlignment="1">
      <alignment horizontal="center" vertical="center" wrapText="1"/>
    </xf>
    <xf numFmtId="0" fontId="6" fillId="0" borderId="2" xfId="0" applyFont="1" applyBorder="1" applyAlignment="1">
      <alignment horizontal="center" wrapText="1"/>
    </xf>
    <xf numFmtId="0" fontId="6" fillId="7"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L44"/>
  <sheetViews>
    <sheetView tabSelected="1" topLeftCell="A29" workbookViewId="0">
      <selection activeCell="K37" sqref="K37"/>
    </sheetView>
  </sheetViews>
  <sheetFormatPr baseColWidth="10" defaultRowHeight="15" x14ac:dyDescent="0.25"/>
  <cols>
    <col min="3" max="3" width="27.7109375" customWidth="1"/>
    <col min="4" max="4" width="28.28515625" customWidth="1"/>
    <col min="5" max="5" width="18.140625" customWidth="1"/>
    <col min="6" max="6" width="31.7109375" customWidth="1"/>
  </cols>
  <sheetData>
    <row r="2" spans="2:12" x14ac:dyDescent="0.25">
      <c r="B2" s="18" t="s">
        <v>0</v>
      </c>
      <c r="C2" s="18"/>
      <c r="D2" s="18"/>
      <c r="E2" s="18"/>
      <c r="F2" s="18"/>
      <c r="G2" s="18"/>
      <c r="H2" s="18"/>
      <c r="I2" s="18"/>
      <c r="J2" s="18"/>
      <c r="K2" s="18"/>
      <c r="L2" s="18"/>
    </row>
    <row r="4" spans="2:12" ht="67.5" x14ac:dyDescent="0.25">
      <c r="B4" s="6" t="s">
        <v>10</v>
      </c>
      <c r="C4" s="6" t="s">
        <v>11</v>
      </c>
      <c r="D4" s="1" t="s">
        <v>1</v>
      </c>
      <c r="E4" s="1" t="s">
        <v>2</v>
      </c>
      <c r="F4" s="1" t="s">
        <v>3</v>
      </c>
      <c r="G4" s="1" t="s">
        <v>4</v>
      </c>
      <c r="H4" s="1" t="s">
        <v>5</v>
      </c>
      <c r="I4" s="1" t="s">
        <v>6</v>
      </c>
      <c r="J4" s="1" t="s">
        <v>7</v>
      </c>
      <c r="K4" s="1" t="s">
        <v>8</v>
      </c>
      <c r="L4" s="1" t="s">
        <v>9</v>
      </c>
    </row>
    <row r="5" spans="2:12" x14ac:dyDescent="0.25">
      <c r="B5" s="6" t="s">
        <v>12</v>
      </c>
      <c r="C5" s="6"/>
      <c r="D5" s="2">
        <v>9</v>
      </c>
      <c r="E5" s="2">
        <v>8</v>
      </c>
      <c r="F5" s="2">
        <v>9</v>
      </c>
      <c r="G5" s="2">
        <v>8</v>
      </c>
      <c r="H5" s="2">
        <v>3</v>
      </c>
      <c r="I5" s="2">
        <v>8</v>
      </c>
      <c r="J5" s="2">
        <v>7</v>
      </c>
      <c r="K5" s="2">
        <v>0</v>
      </c>
      <c r="L5" s="2">
        <v>1</v>
      </c>
    </row>
    <row r="6" spans="2:12" x14ac:dyDescent="0.25">
      <c r="B6" s="6" t="s">
        <v>13</v>
      </c>
      <c r="C6" s="6"/>
      <c r="D6" s="3">
        <v>1</v>
      </c>
      <c r="E6" s="3">
        <v>2</v>
      </c>
      <c r="F6" s="3">
        <v>1</v>
      </c>
      <c r="G6" s="3">
        <v>1</v>
      </c>
      <c r="H6" s="3">
        <v>7</v>
      </c>
      <c r="I6" s="3">
        <v>2</v>
      </c>
      <c r="J6" s="3">
        <v>3</v>
      </c>
      <c r="K6" s="3">
        <v>10</v>
      </c>
      <c r="L6" s="3">
        <v>9</v>
      </c>
    </row>
    <row r="7" spans="2:12" x14ac:dyDescent="0.25">
      <c r="B7" s="6" t="s">
        <v>14</v>
      </c>
      <c r="C7" s="6"/>
      <c r="D7" s="4">
        <v>10</v>
      </c>
      <c r="E7" s="4">
        <f t="shared" ref="E7:L7" si="0">E5+E6</f>
        <v>10</v>
      </c>
      <c r="F7" s="4">
        <f t="shared" si="0"/>
        <v>10</v>
      </c>
      <c r="G7" s="4">
        <f t="shared" si="0"/>
        <v>9</v>
      </c>
      <c r="H7" s="4">
        <f t="shared" si="0"/>
        <v>10</v>
      </c>
      <c r="I7" s="4">
        <f t="shared" si="0"/>
        <v>10</v>
      </c>
      <c r="J7" s="4">
        <f t="shared" si="0"/>
        <v>10</v>
      </c>
      <c r="K7" s="4">
        <f t="shared" si="0"/>
        <v>10</v>
      </c>
      <c r="L7" s="4">
        <f t="shared" si="0"/>
        <v>10</v>
      </c>
    </row>
    <row r="8" spans="2:12" x14ac:dyDescent="0.25">
      <c r="B8" s="6" t="s">
        <v>15</v>
      </c>
      <c r="C8" s="6"/>
      <c r="D8" s="5">
        <f>IFERROR(+D5/D7,0)</f>
        <v>0.9</v>
      </c>
      <c r="E8" s="5">
        <f t="shared" ref="E8:L8" si="1">IFERROR(+E5/E7,0)</f>
        <v>0.8</v>
      </c>
      <c r="F8" s="5">
        <f t="shared" si="1"/>
        <v>0.9</v>
      </c>
      <c r="G8" s="5">
        <f t="shared" si="1"/>
        <v>0.88888888888888884</v>
      </c>
      <c r="H8" s="5">
        <f t="shared" si="1"/>
        <v>0.3</v>
      </c>
      <c r="I8" s="5">
        <f t="shared" si="1"/>
        <v>0.8</v>
      </c>
      <c r="J8" s="5">
        <f t="shared" si="1"/>
        <v>0.7</v>
      </c>
      <c r="K8" s="5">
        <f t="shared" si="1"/>
        <v>0</v>
      </c>
      <c r="L8" s="5">
        <f t="shared" si="1"/>
        <v>0.1</v>
      </c>
    </row>
    <row r="11" spans="2:12" x14ac:dyDescent="0.25">
      <c r="D11" s="10" t="s">
        <v>16</v>
      </c>
      <c r="E11" s="10" t="s">
        <v>17</v>
      </c>
      <c r="F11" s="10" t="s">
        <v>18</v>
      </c>
    </row>
    <row r="12" spans="2:12" ht="30" x14ac:dyDescent="0.25">
      <c r="D12" s="11" t="s">
        <v>1</v>
      </c>
      <c r="E12" s="12">
        <v>0.9</v>
      </c>
      <c r="F12" s="8" t="s">
        <v>19</v>
      </c>
    </row>
    <row r="13" spans="2:12" ht="45" x14ac:dyDescent="0.25">
      <c r="D13" s="7" t="s">
        <v>2</v>
      </c>
      <c r="E13" s="12">
        <v>0.8</v>
      </c>
      <c r="F13" s="8" t="s">
        <v>20</v>
      </c>
    </row>
    <row r="14" spans="2:12" ht="74.25" customHeight="1" x14ac:dyDescent="0.25">
      <c r="D14" s="7" t="s">
        <v>3</v>
      </c>
      <c r="E14" s="12">
        <v>0.9</v>
      </c>
      <c r="F14" s="9" t="s">
        <v>21</v>
      </c>
    </row>
    <row r="15" spans="2:12" ht="60" x14ac:dyDescent="0.25">
      <c r="D15" s="7" t="s">
        <v>4</v>
      </c>
      <c r="E15" s="12">
        <v>0.88</v>
      </c>
      <c r="F15" s="9" t="s">
        <v>23</v>
      </c>
    </row>
    <row r="16" spans="2:12" ht="150" customHeight="1" x14ac:dyDescent="0.25">
      <c r="D16" s="7" t="s">
        <v>5</v>
      </c>
      <c r="E16" s="12">
        <v>0.3</v>
      </c>
      <c r="F16" s="19" t="s">
        <v>22</v>
      </c>
    </row>
    <row r="17" spans="2:7" ht="22.5" x14ac:dyDescent="0.25">
      <c r="D17" s="7" t="s">
        <v>6</v>
      </c>
      <c r="E17" s="12">
        <v>0.8</v>
      </c>
      <c r="F17" s="20"/>
    </row>
    <row r="18" spans="2:7" ht="45" x14ac:dyDescent="0.25">
      <c r="D18" s="7" t="s">
        <v>7</v>
      </c>
      <c r="E18" s="12">
        <v>0.7</v>
      </c>
      <c r="F18" s="8" t="s">
        <v>24</v>
      </c>
    </row>
    <row r="19" spans="2:7" ht="45" x14ac:dyDescent="0.25">
      <c r="D19" s="7" t="s">
        <v>8</v>
      </c>
      <c r="E19" s="13">
        <v>0</v>
      </c>
      <c r="F19" s="8" t="s">
        <v>25</v>
      </c>
    </row>
    <row r="20" spans="2:7" ht="60" x14ac:dyDescent="0.25">
      <c r="D20" s="7" t="s">
        <v>9</v>
      </c>
      <c r="E20" s="12">
        <v>0.1</v>
      </c>
      <c r="F20" s="8" t="s">
        <v>26</v>
      </c>
    </row>
    <row r="23" spans="2:7" ht="35.25" customHeight="1" x14ac:dyDescent="0.25">
      <c r="D23" s="14" t="s">
        <v>27</v>
      </c>
      <c r="E23" s="21" t="s">
        <v>28</v>
      </c>
      <c r="F23" s="21"/>
      <c r="G23" s="21"/>
    </row>
    <row r="24" spans="2:7" x14ac:dyDescent="0.25">
      <c r="D24" s="14"/>
      <c r="E24" s="14">
        <v>2021</v>
      </c>
      <c r="F24" s="14">
        <v>2022</v>
      </c>
      <c r="G24" s="14">
        <v>2023</v>
      </c>
    </row>
    <row r="25" spans="2:7" x14ac:dyDescent="0.25">
      <c r="D25" s="14" t="s">
        <v>29</v>
      </c>
      <c r="E25" s="15">
        <v>27</v>
      </c>
      <c r="F25" s="16">
        <v>42</v>
      </c>
      <c r="G25" s="16">
        <v>6</v>
      </c>
    </row>
    <row r="26" spans="2:7" x14ac:dyDescent="0.25">
      <c r="D26" s="14" t="s">
        <v>30</v>
      </c>
      <c r="E26" s="16">
        <v>2</v>
      </c>
      <c r="F26" s="16">
        <v>5</v>
      </c>
      <c r="G26" s="16">
        <v>0</v>
      </c>
    </row>
    <row r="27" spans="2:7" ht="22.5" x14ac:dyDescent="0.25">
      <c r="D27" s="14" t="s">
        <v>31</v>
      </c>
      <c r="E27" s="16">
        <v>0</v>
      </c>
      <c r="F27" s="16">
        <v>6</v>
      </c>
      <c r="G27" s="16">
        <v>3</v>
      </c>
    </row>
    <row r="28" spans="2:7" x14ac:dyDescent="0.25">
      <c r="D28" s="14" t="s">
        <v>32</v>
      </c>
      <c r="E28" s="16">
        <v>1</v>
      </c>
      <c r="F28" s="16">
        <v>1</v>
      </c>
      <c r="G28" s="16">
        <v>1</v>
      </c>
    </row>
    <row r="29" spans="2:7" x14ac:dyDescent="0.25">
      <c r="D29" s="14" t="s">
        <v>33</v>
      </c>
      <c r="E29" s="17">
        <f>SUM(E25:E28)</f>
        <v>30</v>
      </c>
      <c r="F29" s="17">
        <f>SUM(F25:F28)</f>
        <v>54</v>
      </c>
      <c r="G29" s="17">
        <f>SUM(G25:G28)</f>
        <v>10</v>
      </c>
    </row>
    <row r="32" spans="2:7" ht="45.75" customHeight="1" x14ac:dyDescent="0.25">
      <c r="B32" s="14" t="s">
        <v>34</v>
      </c>
      <c r="C32" s="14" t="s">
        <v>35</v>
      </c>
      <c r="D32" s="14" t="s">
        <v>36</v>
      </c>
      <c r="E32" s="22" t="s">
        <v>37</v>
      </c>
      <c r="F32" s="28" t="s">
        <v>18</v>
      </c>
      <c r="G32" s="29"/>
    </row>
    <row r="33" spans="2:7" x14ac:dyDescent="0.25">
      <c r="B33" s="30">
        <v>1</v>
      </c>
      <c r="C33" s="31">
        <v>2020</v>
      </c>
      <c r="D33" s="32" t="s">
        <v>38</v>
      </c>
      <c r="E33" s="33" t="s">
        <v>40</v>
      </c>
      <c r="F33" s="34" t="s">
        <v>44</v>
      </c>
      <c r="G33" s="24"/>
    </row>
    <row r="34" spans="2:7" x14ac:dyDescent="0.25">
      <c r="B34" s="30"/>
      <c r="C34" s="31">
        <v>2021</v>
      </c>
      <c r="D34" s="35"/>
      <c r="E34" s="33">
        <v>44860</v>
      </c>
      <c r="F34" s="34"/>
      <c r="G34" s="25"/>
    </row>
    <row r="35" spans="2:7" ht="36" customHeight="1" x14ac:dyDescent="0.25">
      <c r="B35" s="30"/>
      <c r="C35" s="31">
        <v>2022</v>
      </c>
      <c r="D35" s="36"/>
      <c r="E35" s="33">
        <v>44949</v>
      </c>
      <c r="F35" s="34"/>
      <c r="G35" s="25"/>
    </row>
    <row r="36" spans="2:7" x14ac:dyDescent="0.25">
      <c r="B36" s="30">
        <v>2</v>
      </c>
      <c r="C36" s="31">
        <v>2020</v>
      </c>
      <c r="D36" s="32" t="s">
        <v>39</v>
      </c>
      <c r="E36" s="37"/>
      <c r="F36" s="38" t="s">
        <v>43</v>
      </c>
      <c r="G36" s="25"/>
    </row>
    <row r="37" spans="2:7" x14ac:dyDescent="0.25">
      <c r="B37" s="30"/>
      <c r="C37" s="31">
        <v>2021</v>
      </c>
      <c r="D37" s="35"/>
      <c r="E37" s="37"/>
      <c r="F37" s="38"/>
      <c r="G37" s="25"/>
    </row>
    <row r="38" spans="2:7" ht="74.25" customHeight="1" x14ac:dyDescent="0.25">
      <c r="B38" s="30"/>
      <c r="C38" s="31">
        <v>2022</v>
      </c>
      <c r="D38" s="36"/>
      <c r="E38" s="39" t="s">
        <v>41</v>
      </c>
      <c r="F38" s="38"/>
      <c r="G38" s="26"/>
    </row>
    <row r="39" spans="2:7" x14ac:dyDescent="0.25">
      <c r="B39" s="30">
        <v>3</v>
      </c>
      <c r="C39" s="31">
        <v>2020</v>
      </c>
      <c r="D39" s="40" t="s">
        <v>42</v>
      </c>
      <c r="E39" s="42" t="s">
        <v>40</v>
      </c>
      <c r="F39" s="41" t="s">
        <v>45</v>
      </c>
      <c r="G39" s="27"/>
    </row>
    <row r="40" spans="2:7" x14ac:dyDescent="0.25">
      <c r="B40" s="30"/>
      <c r="C40" s="31">
        <v>2021</v>
      </c>
      <c r="D40" s="40"/>
      <c r="E40" s="33" t="s">
        <v>40</v>
      </c>
      <c r="F40" s="41"/>
      <c r="G40" s="27"/>
    </row>
    <row r="41" spans="2:7" ht="39" customHeight="1" x14ac:dyDescent="0.25">
      <c r="B41" s="30"/>
      <c r="C41" s="31">
        <v>2022</v>
      </c>
      <c r="D41" s="40"/>
      <c r="E41" s="33" t="s">
        <v>40</v>
      </c>
      <c r="F41" s="41"/>
      <c r="G41" s="27"/>
    </row>
    <row r="42" spans="2:7" x14ac:dyDescent="0.25">
      <c r="D42" s="23"/>
    </row>
    <row r="43" spans="2:7" x14ac:dyDescent="0.25">
      <c r="D43" s="23"/>
    </row>
    <row r="44" spans="2:7" x14ac:dyDescent="0.25">
      <c r="D44" s="23"/>
    </row>
  </sheetData>
  <mergeCells count="13">
    <mergeCell ref="F36:F38"/>
    <mergeCell ref="F39:F41"/>
    <mergeCell ref="D36:D38"/>
    <mergeCell ref="D39:D41"/>
    <mergeCell ref="D42:D44"/>
    <mergeCell ref="B36:B38"/>
    <mergeCell ref="B39:B41"/>
    <mergeCell ref="B2:L2"/>
    <mergeCell ref="F16:F17"/>
    <mergeCell ref="E23:G23"/>
    <mergeCell ref="B33:B35"/>
    <mergeCell ref="D33:D35"/>
    <mergeCell ref="F33:F35"/>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María_Nole</dc:creator>
  <cp:lastModifiedBy>María_Nole</cp:lastModifiedBy>
  <dcterms:created xsi:type="dcterms:W3CDTF">2023-06-06T17:56:37Z</dcterms:created>
  <dcterms:modified xsi:type="dcterms:W3CDTF">2023-06-07T20:03:39Z</dcterms:modified>
</cp:coreProperties>
</file>