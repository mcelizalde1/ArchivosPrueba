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60" windowHeight="7365" tabRatio="746"/>
  </bookViews>
  <sheets>
    <sheet name="SERVIDORES" sheetId="1" r:id="rId1"/>
    <sheet name="RESUMEN" sheetId="5" r:id="rId2"/>
    <sheet name="ASESORES FE" sheetId="2" r:id="rId3"/>
    <sheet name="ASESORES UNIVERSIDADES" sheetId="8" r:id="rId4"/>
    <sheet name="EXTRANJEROS" sheetId="9" r:id="rId5"/>
    <sheet name="CÁLCULO 20 %" sheetId="11" r:id="rId6"/>
    <sheet name="EXTRAS" sheetId="6" state="hidden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9" l="1"/>
  <c r="E18" i="9"/>
  <c r="E20" i="9" s="1"/>
  <c r="D5" i="8"/>
  <c r="D4" i="8"/>
  <c r="D3" i="8"/>
  <c r="M19" i="1" l="1"/>
  <c r="M18" i="1"/>
  <c r="B11" i="5" s="1"/>
  <c r="M20" i="1" l="1"/>
  <c r="L19" i="1" l="1"/>
  <c r="F19" i="1"/>
  <c r="G19" i="1"/>
  <c r="H19" i="1"/>
  <c r="I19" i="1"/>
  <c r="J19" i="1"/>
  <c r="K19" i="1"/>
  <c r="E19" i="1"/>
  <c r="F18" i="1"/>
  <c r="B4" i="5" s="1"/>
  <c r="G18" i="1"/>
  <c r="B5" i="5" s="1"/>
  <c r="H18" i="1"/>
  <c r="B6" i="5" s="1"/>
  <c r="I18" i="1"/>
  <c r="J18" i="1"/>
  <c r="K18" i="1"/>
  <c r="L18" i="1"/>
  <c r="L20" i="1" s="1"/>
  <c r="E18" i="1"/>
  <c r="D5" i="2"/>
  <c r="D4" i="2"/>
  <c r="D3" i="2"/>
  <c r="B10" i="5" l="1"/>
  <c r="K20" i="1"/>
  <c r="B9" i="5"/>
  <c r="B8" i="5"/>
  <c r="I20" i="1"/>
  <c r="B7" i="5"/>
  <c r="H20" i="1"/>
  <c r="G20" i="1"/>
  <c r="F20" i="1"/>
  <c r="E20" i="1"/>
  <c r="B3" i="5"/>
  <c r="J20" i="1"/>
</calcChain>
</file>

<file path=xl/comments1.xml><?xml version="1.0" encoding="utf-8"?>
<comments xmlns="http://schemas.openxmlformats.org/spreadsheetml/2006/main">
  <authors>
    <author>Usuario</author>
  </authors>
  <commentList>
    <comment ref="K7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Unicamente función ejecutiva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G7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Tomar en cuenta grupos prioritarios.
</t>
        </r>
      </text>
    </comment>
  </commentList>
</comments>
</file>

<file path=xl/sharedStrings.xml><?xml version="1.0" encoding="utf-8"?>
<sst xmlns="http://schemas.openxmlformats.org/spreadsheetml/2006/main" count="216" uniqueCount="75">
  <si>
    <t>INSTITUCIÓN EVALUADA:</t>
  </si>
  <si>
    <t>RESPONSABLE DE LA INFORMACIÓN:</t>
  </si>
  <si>
    <t>FECHA DE ENTREGA:</t>
  </si>
  <si>
    <t>CÉDULA</t>
  </si>
  <si>
    <t>NRO.</t>
  </si>
  <si>
    <t>APELLIDOS Y NOMBRES DEL SERVIDOR</t>
  </si>
  <si>
    <t>FECHA DE INGRESO (AA/MM/DD)</t>
  </si>
  <si>
    <t>DOCUMENTACIÓN REQUERIDA</t>
  </si>
  <si>
    <t>HOJA DE VIDA</t>
  </si>
  <si>
    <t>CONSTANCIA DE DECLARACIÓN JURAMENTADA "CGE"</t>
  </si>
  <si>
    <t>CERTIFICADO DE NO TENER IMPEDIMENTO "MDT"</t>
  </si>
  <si>
    <t>CERTIFICADO ÚLTIMO SEMESTRE/AÑO  O CERTIFICADO REGISTRO TITULO SENESCYT</t>
  </si>
  <si>
    <t>ACTA DE GANADOR / ACCIÓN DE PERSONAL/ CONTRATO OCASIONAL</t>
  </si>
  <si>
    <t>INFORME TECNICO FAVORABLE UATH</t>
  </si>
  <si>
    <t>ACUERDO DE CONFIDENCIALIDAD</t>
  </si>
  <si>
    <t>CERTIFICADO DE CAPACITACIÓN INDUCTIVA</t>
  </si>
  <si>
    <t>OBSRVACIONES</t>
  </si>
  <si>
    <t xml:space="preserve">FORMULARIO MRL-CAL-AS-001 </t>
  </si>
  <si>
    <t>FORMULARIO MRL-CAL-AS-002</t>
  </si>
  <si>
    <t>SERVIDORES</t>
  </si>
  <si>
    <t>% DE CUMPLIMIENTO</t>
  </si>
  <si>
    <t>VARIABLE</t>
  </si>
  <si>
    <t>SI</t>
  </si>
  <si>
    <t>NO</t>
  </si>
  <si>
    <t>TOTAL</t>
  </si>
  <si>
    <t>INFORME TRIMESTRAL DE ACTIVIDADES</t>
  </si>
  <si>
    <t>RENDICIÓN DE CAUCIÓN CGE</t>
  </si>
  <si>
    <t>FECHA DE INGRESO (DD/MM/AAAA)</t>
  </si>
  <si>
    <t>ACCIÓN DE PERSONAL/ CONTRATO OCASIONAL</t>
  </si>
  <si>
    <t>REGISTRO DE CAPACITACIÓN INDUCTIVA</t>
  </si>
  <si>
    <t>FECHA DE SALIDA
(AA/MM/DD)</t>
  </si>
  <si>
    <t>SELECCIÓN DE PERSONAL, PROVISIONAL, CONTRATOS - MDT</t>
  </si>
  <si>
    <t>PUNTAJE</t>
  </si>
  <si>
    <t>NORMA TÉCNICA PARA CONTRATACIÓN DE CONSEJEROS DE GOBIERNO Y ASESORES</t>
  </si>
  <si>
    <t>PUNTOS POR INSTRUCCIÓN FORMAL</t>
  </si>
  <si>
    <t>PUNTOS POR EXPERIENCIA</t>
  </si>
  <si>
    <t>PUNTOS POR CAPACITACIÓN ESPECÍFICA</t>
  </si>
  <si>
    <t>PUNTAJE TOTAL</t>
  </si>
  <si>
    <t>DENOMINACIÓN</t>
  </si>
  <si>
    <t>ASESOR 1</t>
  </si>
  <si>
    <t>ASESOR 2</t>
  </si>
  <si>
    <t>ASESOR 3</t>
  </si>
  <si>
    <t>ASESOR 4</t>
  </si>
  <si>
    <t>ASESOR 5</t>
  </si>
  <si>
    <t>PUNTAJE NORMA</t>
  </si>
  <si>
    <t>DENOMINACIÓN DEL PUESTO NORMA</t>
  </si>
  <si>
    <t>INFORME TÉCNICO UATH</t>
  </si>
  <si>
    <t>PERSONAL ASESOR UNIVERSIDADES</t>
  </si>
  <si>
    <t>PERSONAL ASESOR FUNCIÓN EJECUTIVA</t>
  </si>
  <si>
    <t>AUTORIZACIÓN LABORAL</t>
  </si>
  <si>
    <t>EVALUACIÓN DE PORCENTAJE DE CONTRATACIÓN</t>
  </si>
  <si>
    <t>NÚMERO TOTAL DE CONTRATOS OCASIONALES DENTRO DEL 20%</t>
  </si>
  <si>
    <t>NÚMERO DE CONTRATOS OCASIONALES AUTORIZADOS 2021</t>
  </si>
  <si>
    <t>TOTAL DE CONTRATOS QUE EXCEDERÁN EL 20% PARA EL EJERCICIO FISCAL</t>
  </si>
  <si>
    <t>NÚMERO DE CONTRATOS OCASIONALES DEL AÑO ANTERIOR (DISTRIBUTIVO DICIEMBRE 2021)</t>
  </si>
  <si>
    <r>
      <rPr>
        <b/>
        <sz val="11"/>
        <color theme="1"/>
        <rFont val="Calibri"/>
        <family val="2"/>
        <scheme val="minor"/>
      </rPr>
      <t>* En caso de universidades:</t>
    </r>
    <r>
      <rPr>
        <sz val="11"/>
        <color theme="1"/>
        <rFont val="Calibri"/>
        <family val="2"/>
        <scheme val="minor"/>
      </rPr>
      <t xml:space="preserve"> "… se exceptúa de este cálculo las y los docentes, sea bajo contrato de servicios ocasiónalas o nombramientos permanentes o provisionales” Acuerdo Nro. 0106 fe fecha 01 de diciembre de 2021 .</t>
    </r>
  </si>
  <si>
    <t>De exceder el 20 % de contratos, soliciyta a la entidad los justificativos y docuentos de aprobación emitida con el MDT (oficio de requerimiento, informe UATH, certificación presupuestaria, matriz de contratos)</t>
  </si>
  <si>
    <t>1104584360</t>
  </si>
  <si>
    <t>ORTEGA FIERRO ANTHONY GUILLERMO</t>
  </si>
  <si>
    <t>CARDENAS HERRERA MILENA SOLEDAD</t>
  </si>
  <si>
    <t>CALDERON SANMARTIN CARLOS GILBERTO</t>
  </si>
  <si>
    <t>ESPINOSA ABARCA ANGEL DAVID</t>
  </si>
  <si>
    <t>1105029522</t>
  </si>
  <si>
    <t>CASTILLO ABENDAÑO VANESSA CECIBEL</t>
  </si>
  <si>
    <t>TANDAZO POGO MARLON ANDRES</t>
  </si>
  <si>
    <t>RAMON ORDOÑEZ CRISTIAN JHOEL</t>
  </si>
  <si>
    <t>ROJAS ROMAN LUIS DAVID</t>
  </si>
  <si>
    <t xml:space="preserve">CORONEL ESCALERAS LADY DEL CARMEN </t>
  </si>
  <si>
    <t xml:space="preserve">GUERRERO MEDINA VERONICA DEL CISNE </t>
  </si>
  <si>
    <t>No se presentan los expedientes de los servidores que ingresaron a la instititución lo que impide la verificación del cumplimiento de los requisitos para el ingreso al sector público.</t>
  </si>
  <si>
    <t>NÚMERO DE PUESTOS DE NOMBRAMIENTOS PERMANENTES (DISTRIBUTIVO MAYO 2022)</t>
  </si>
  <si>
    <t>NÚMERO DE PUESTOS DE NOMBRAMIENTOS PROVISIONALES (DISTRIBUTIVO MAYO 2022)</t>
  </si>
  <si>
    <t>NÚMERO DE CONTRATOS OCASIONALES A LA FECHA (DISTRIBUTIVOMAYO 2022)</t>
  </si>
  <si>
    <t>INSTITUCIÓN EVALUADA: CENTRO DE OPERACIONES ECU 911</t>
  </si>
  <si>
    <t>RESPONSABLE DE LA INFORMACIÓN: ING. MAYRA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</si>
</sst>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5" fillId="3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1" xfId="0" applyNumberFormat="1" applyBorder="1"/>
    <xf numFmtId="0" fontId="0" fillId="0" borderId="0" xfId="0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12" fillId="9" borderId="12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1" fontId="12" fillId="11" borderId="13" xfId="0" applyNumberFormat="1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0" xfId="0" applyNumberForma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justify"/>
    </xf>
    <xf numFmtId="0" fontId="13" fillId="12" borderId="0" xfId="0" applyFont="1" applyFill="1" applyAlignment="1">
      <alignment horizontal="justify"/>
    </xf>
    <xf numFmtId="0" fontId="0" fillId="12" borderId="0" xfId="0" applyFill="1" applyAlignment="1">
      <alignment horizontal="justify"/>
    </xf>
    <xf numFmtId="0" fontId="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3</xdr:col>
      <xdr:colOff>9525</xdr:colOff>
      <xdr:row>1</xdr:row>
      <xdr:rowOff>238125</xdr:rowOff>
    </xdr:to>
    <xdr:pic>
      <xdr:nvPicPr>
        <xdr:cNvPr id="3" name="Imagen 2"/>
        <xdr:cNvPicPr/>
      </xdr:nvPicPr>
      <xdr:blipFill rotWithShape="1">
        <a:blip xmlns:r="http://schemas.openxmlformats.org/officeDocument/2006/relationships" r:embed="rId1"/>
        <a:srcRect l="25047" t="49859" r="23272" b="39558"/>
        <a:stretch/>
      </xdr:blipFill>
      <xdr:spPr bwMode="auto">
        <a:xfrm>
          <a:off x="76200" y="85725"/>
          <a:ext cx="2790825" cy="428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3</xdr:col>
      <xdr:colOff>581025</xdr:colOff>
      <xdr:row>1</xdr:row>
      <xdr:rowOff>238125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l="25047" t="49859" r="23272" b="39558"/>
        <a:stretch/>
      </xdr:blipFill>
      <xdr:spPr bwMode="auto">
        <a:xfrm>
          <a:off x="76200" y="85725"/>
          <a:ext cx="2790825" cy="428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3</xdr:col>
      <xdr:colOff>581025</xdr:colOff>
      <xdr:row>1</xdr:row>
      <xdr:rowOff>238125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l="25047" t="49859" r="23272" b="39558"/>
        <a:stretch/>
      </xdr:blipFill>
      <xdr:spPr bwMode="auto">
        <a:xfrm>
          <a:off x="76200" y="85725"/>
          <a:ext cx="2790825" cy="428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4</xdr:col>
      <xdr:colOff>209550</xdr:colOff>
      <xdr:row>1</xdr:row>
      <xdr:rowOff>238125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l="25047" t="49859" r="23272" b="39558"/>
        <a:stretch/>
      </xdr:blipFill>
      <xdr:spPr bwMode="auto">
        <a:xfrm>
          <a:off x="76200" y="85725"/>
          <a:ext cx="2790825" cy="428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2</xdr:col>
      <xdr:colOff>828675</xdr:colOff>
      <xdr:row>1</xdr:row>
      <xdr:rowOff>238125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l="25047" t="49859" r="23272" b="39558"/>
        <a:stretch/>
      </xdr:blipFill>
      <xdr:spPr bwMode="auto">
        <a:xfrm>
          <a:off x="76200" y="85725"/>
          <a:ext cx="2790825" cy="428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"/>
  <sheetViews>
    <sheetView tabSelected="1" topLeftCell="A7" zoomScaleNormal="100" workbookViewId="0">
      <selection activeCell="C11" sqref="C11"/>
    </sheetView>
  </sheetViews>
  <sheetFormatPr baseColWidth="10" defaultRowHeight="15" x14ac:dyDescent="0.25"/>
  <cols>
    <col min="3" max="3" width="20" customWidth="1"/>
    <col min="4" max="4" width="12.28515625" customWidth="1"/>
    <col min="14" max="14" width="16" customWidth="1"/>
  </cols>
  <sheetData>
    <row r="1" spans="1:14" ht="21.75" customHeight="1" x14ac:dyDescent="0.25">
      <c r="A1" s="34"/>
      <c r="B1" s="34"/>
      <c r="C1" s="34"/>
      <c r="D1" s="34"/>
      <c r="E1" s="30" t="s">
        <v>31</v>
      </c>
      <c r="F1" s="30"/>
      <c r="G1" s="30"/>
      <c r="H1" s="30"/>
      <c r="I1" s="30"/>
      <c r="J1" s="30"/>
      <c r="K1" s="30"/>
      <c r="L1" s="30"/>
      <c r="M1" s="30"/>
      <c r="N1" s="30"/>
    </row>
    <row r="2" spans="1:14" ht="21.75" customHeight="1" x14ac:dyDescent="0.25">
      <c r="A2" s="34"/>
      <c r="B2" s="34"/>
      <c r="C2" s="34"/>
      <c r="D2" s="34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x14ac:dyDescent="0.25">
      <c r="A3" s="35" t="s">
        <v>0</v>
      </c>
      <c r="B3" s="35"/>
      <c r="C3" s="35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x14ac:dyDescent="0.25">
      <c r="A4" s="35" t="s">
        <v>1</v>
      </c>
      <c r="B4" s="35"/>
      <c r="C4" s="35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x14ac:dyDescent="0.25">
      <c r="A5" s="35" t="s">
        <v>2</v>
      </c>
      <c r="B5" s="35"/>
      <c r="C5" s="35"/>
      <c r="D5" s="33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29" t="s">
        <v>4</v>
      </c>
      <c r="B6" s="29" t="s">
        <v>3</v>
      </c>
      <c r="C6" s="29" t="s">
        <v>5</v>
      </c>
      <c r="D6" s="29" t="s">
        <v>27</v>
      </c>
      <c r="E6" s="36" t="s">
        <v>7</v>
      </c>
      <c r="F6" s="36"/>
      <c r="G6" s="36"/>
      <c r="H6" s="36"/>
      <c r="I6" s="36"/>
      <c r="J6" s="36"/>
      <c r="K6" s="36"/>
      <c r="L6" s="36"/>
      <c r="M6" s="14"/>
      <c r="N6" s="29" t="s">
        <v>16</v>
      </c>
    </row>
    <row r="7" spans="1:14" ht="132" customHeight="1" x14ac:dyDescent="0.25">
      <c r="A7" s="29"/>
      <c r="B7" s="29"/>
      <c r="C7" s="29"/>
      <c r="D7" s="29"/>
      <c r="E7" s="1" t="s">
        <v>8</v>
      </c>
      <c r="F7" s="1" t="s">
        <v>9</v>
      </c>
      <c r="G7" s="1" t="s">
        <v>10</v>
      </c>
      <c r="H7" s="1" t="s">
        <v>11</v>
      </c>
      <c r="I7" s="1" t="s">
        <v>13</v>
      </c>
      <c r="J7" s="1" t="s">
        <v>28</v>
      </c>
      <c r="K7" s="1" t="s">
        <v>14</v>
      </c>
      <c r="L7" s="1" t="s">
        <v>29</v>
      </c>
      <c r="M7" s="1" t="s">
        <v>26</v>
      </c>
      <c r="N7" s="29"/>
    </row>
    <row r="8" spans="1:14" ht="35.25" customHeight="1" x14ac:dyDescent="0.25">
      <c r="A8" s="2">
        <v>1</v>
      </c>
      <c r="B8" s="48" t="s">
        <v>57</v>
      </c>
      <c r="C8" s="49" t="s">
        <v>58</v>
      </c>
      <c r="D8" s="50">
        <v>43831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51" t="s">
        <v>69</v>
      </c>
    </row>
    <row r="9" spans="1:14" ht="22.5" x14ac:dyDescent="0.25">
      <c r="A9" s="2">
        <v>2</v>
      </c>
      <c r="B9" s="48">
        <v>1103786503</v>
      </c>
      <c r="C9" s="49" t="s">
        <v>59</v>
      </c>
      <c r="D9" s="50">
        <v>43860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52"/>
    </row>
    <row r="10" spans="1:14" ht="22.5" x14ac:dyDescent="0.25">
      <c r="A10" s="2">
        <v>3</v>
      </c>
      <c r="B10" s="48">
        <v>1104622632</v>
      </c>
      <c r="C10" s="49" t="s">
        <v>60</v>
      </c>
      <c r="D10" s="50">
        <v>43891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52"/>
    </row>
    <row r="11" spans="1:14" ht="22.5" x14ac:dyDescent="0.25">
      <c r="A11" s="2">
        <v>4</v>
      </c>
      <c r="B11" s="48">
        <v>1900479112</v>
      </c>
      <c r="C11" s="49" t="s">
        <v>61</v>
      </c>
      <c r="D11" s="50">
        <v>43983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52"/>
    </row>
    <row r="12" spans="1:14" ht="22.5" x14ac:dyDescent="0.25">
      <c r="A12" s="2">
        <v>5</v>
      </c>
      <c r="B12" s="48" t="s">
        <v>62</v>
      </c>
      <c r="C12" s="49" t="s">
        <v>63</v>
      </c>
      <c r="D12" s="50">
        <v>44256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52"/>
    </row>
    <row r="13" spans="1:14" ht="22.5" x14ac:dyDescent="0.25">
      <c r="A13" s="2">
        <v>6</v>
      </c>
      <c r="B13" s="48">
        <v>1104066632</v>
      </c>
      <c r="C13" s="49" t="s">
        <v>64</v>
      </c>
      <c r="D13" s="50">
        <v>44348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52"/>
    </row>
    <row r="14" spans="1:14" ht="22.5" x14ac:dyDescent="0.25">
      <c r="A14" s="2">
        <v>7</v>
      </c>
      <c r="B14" s="48">
        <v>1900868157</v>
      </c>
      <c r="C14" s="49" t="s">
        <v>65</v>
      </c>
      <c r="D14" s="50">
        <v>44501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52"/>
    </row>
    <row r="15" spans="1:14" x14ac:dyDescent="0.25">
      <c r="A15" s="2">
        <v>8</v>
      </c>
      <c r="B15" s="48">
        <v>1105876682</v>
      </c>
      <c r="C15" s="49" t="s">
        <v>66</v>
      </c>
      <c r="D15" s="50">
        <v>44501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52"/>
    </row>
    <row r="16" spans="1:14" ht="22.5" x14ac:dyDescent="0.25">
      <c r="A16" s="2">
        <v>9</v>
      </c>
      <c r="B16" s="48">
        <v>1104174733</v>
      </c>
      <c r="C16" s="49" t="s">
        <v>67</v>
      </c>
      <c r="D16" s="50">
        <v>44470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52"/>
    </row>
    <row r="17" spans="1:14" ht="22.5" x14ac:dyDescent="0.25">
      <c r="A17" s="2">
        <v>10</v>
      </c>
      <c r="B17" s="48">
        <v>1104435084</v>
      </c>
      <c r="C17" s="49" t="s">
        <v>68</v>
      </c>
      <c r="D17" s="50">
        <v>44593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53"/>
    </row>
    <row r="18" spans="1:14" x14ac:dyDescent="0.25">
      <c r="D18" s="9" t="s">
        <v>22</v>
      </c>
      <c r="E18" s="6">
        <f>COUNTIF(E8:E17,"SI")</f>
        <v>0</v>
      </c>
      <c r="F18" s="6">
        <f t="shared" ref="F18:L18" si="0">COUNTIF(F8:F17,"SI")</f>
        <v>0</v>
      </c>
      <c r="G18" s="6">
        <f t="shared" si="0"/>
        <v>0</v>
      </c>
      <c r="H18" s="6">
        <f t="shared" si="0"/>
        <v>0</v>
      </c>
      <c r="I18" s="6">
        <f t="shared" si="0"/>
        <v>0</v>
      </c>
      <c r="J18" s="6">
        <f t="shared" si="0"/>
        <v>0</v>
      </c>
      <c r="K18" s="6">
        <f t="shared" si="0"/>
        <v>0</v>
      </c>
      <c r="L18" s="6">
        <f t="shared" si="0"/>
        <v>0</v>
      </c>
      <c r="M18" s="6">
        <f>COUNTIF(M8:M17,"SI")</f>
        <v>0</v>
      </c>
    </row>
    <row r="19" spans="1:14" x14ac:dyDescent="0.25">
      <c r="D19" s="10" t="s">
        <v>23</v>
      </c>
      <c r="E19" s="8">
        <f>COUNTIF(E8:E17,"NO")</f>
        <v>10</v>
      </c>
      <c r="F19" s="8">
        <f t="shared" ref="F19:K19" si="1">COUNTIF(F8:F17,"NO")</f>
        <v>10</v>
      </c>
      <c r="G19" s="8">
        <f t="shared" si="1"/>
        <v>10</v>
      </c>
      <c r="H19" s="8">
        <f t="shared" si="1"/>
        <v>10</v>
      </c>
      <c r="I19" s="8">
        <f t="shared" si="1"/>
        <v>10</v>
      </c>
      <c r="J19" s="8">
        <f t="shared" si="1"/>
        <v>10</v>
      </c>
      <c r="K19" s="8">
        <f t="shared" si="1"/>
        <v>10</v>
      </c>
      <c r="L19" s="8">
        <f>COUNTIF(L8:L17,"NO")</f>
        <v>10</v>
      </c>
      <c r="M19" s="8">
        <f>COUNTIF(M8:M17,"NO")</f>
        <v>10</v>
      </c>
    </row>
    <row r="20" spans="1:14" x14ac:dyDescent="0.25">
      <c r="D20" s="12" t="s">
        <v>24</v>
      </c>
      <c r="E20" s="11">
        <f>E18+E19</f>
        <v>10</v>
      </c>
      <c r="F20" s="11">
        <f t="shared" ref="F20:M20" si="2">F18+F19</f>
        <v>10</v>
      </c>
      <c r="G20" s="11">
        <f t="shared" si="2"/>
        <v>10</v>
      </c>
      <c r="H20" s="11">
        <f t="shared" si="2"/>
        <v>10</v>
      </c>
      <c r="I20" s="11">
        <f t="shared" si="2"/>
        <v>10</v>
      </c>
      <c r="J20" s="11">
        <f t="shared" si="2"/>
        <v>10</v>
      </c>
      <c r="K20" s="11">
        <f t="shared" si="2"/>
        <v>10</v>
      </c>
      <c r="L20" s="11">
        <f t="shared" si="2"/>
        <v>10</v>
      </c>
      <c r="M20" s="11">
        <f t="shared" si="2"/>
        <v>10</v>
      </c>
    </row>
  </sheetData>
  <mergeCells count="15">
    <mergeCell ref="N8:N17"/>
    <mergeCell ref="N6:N7"/>
    <mergeCell ref="E1:N2"/>
    <mergeCell ref="D3:N3"/>
    <mergeCell ref="D4:N4"/>
    <mergeCell ref="D5:N5"/>
    <mergeCell ref="A1:D2"/>
    <mergeCell ref="A3:C3"/>
    <mergeCell ref="A4:C4"/>
    <mergeCell ref="A5:C5"/>
    <mergeCell ref="E6:L6"/>
    <mergeCell ref="D6:D7"/>
    <mergeCell ref="C6:C7"/>
    <mergeCell ref="B6:B7"/>
    <mergeCell ref="A6:A7"/>
  </mergeCells>
  <pageMargins left="0.7" right="0.7" top="0.75" bottom="0.75" header="0.3" footer="0.3"/>
  <pageSetup paperSize="9" orientation="portrait" r:id="rId1"/>
  <ignoredErrors>
    <ignoredError sqref="B8 B12" numberStoredAsText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EXTRAS!$A$2:$A$3</xm:f>
          </x14:formula1>
          <xm:sqref>E8:M17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A4" workbookViewId="0">
      <selection activeCell="A16" sqref="A16"/>
    </sheetView>
  </sheetViews>
  <sheetFormatPr baseColWidth="10" defaultRowHeight="15" x14ac:dyDescent="0.25"/>
  <cols>
    <col min="1" max="1" width="38.140625" customWidth="1"/>
    <col min="2" max="2" width="15.28515625" customWidth="1"/>
  </cols>
  <sheetData>
    <row r="1" spans="1:2" ht="23.25" x14ac:dyDescent="0.35">
      <c r="A1" s="37" t="s">
        <v>19</v>
      </c>
      <c r="B1" s="37"/>
    </row>
    <row r="2" spans="1:2" x14ac:dyDescent="0.25">
      <c r="A2" s="7" t="s">
        <v>21</v>
      </c>
      <c r="B2" s="7" t="s">
        <v>20</v>
      </c>
    </row>
    <row r="3" spans="1:2" x14ac:dyDescent="0.25">
      <c r="A3" s="1" t="s">
        <v>8</v>
      </c>
      <c r="B3" s="5">
        <f>SERVIDORES!E18/10</f>
        <v>0</v>
      </c>
    </row>
    <row r="4" spans="1:2" x14ac:dyDescent="0.25">
      <c r="A4" s="1" t="s">
        <v>9</v>
      </c>
      <c r="B4" s="5">
        <f>SERVIDORES!F18/10</f>
        <v>0</v>
      </c>
    </row>
    <row r="5" spans="1:2" x14ac:dyDescent="0.25">
      <c r="A5" s="1" t="s">
        <v>10</v>
      </c>
      <c r="B5" s="5">
        <f>SERVIDORES!G18/10</f>
        <v>0</v>
      </c>
    </row>
    <row r="6" spans="1:2" ht="22.5" x14ac:dyDescent="0.25">
      <c r="A6" s="1" t="s">
        <v>11</v>
      </c>
      <c r="B6" s="5">
        <f>SERVIDORES!H18/10</f>
        <v>0</v>
      </c>
    </row>
    <row r="7" spans="1:2" x14ac:dyDescent="0.25">
      <c r="A7" s="1" t="s">
        <v>13</v>
      </c>
      <c r="B7" s="5">
        <f>SERVIDORES!I18/10</f>
        <v>0</v>
      </c>
    </row>
    <row r="8" spans="1:2" ht="22.5" x14ac:dyDescent="0.25">
      <c r="A8" s="1" t="s">
        <v>12</v>
      </c>
      <c r="B8" s="5">
        <f>SERVIDORES!J18/10</f>
        <v>0</v>
      </c>
    </row>
    <row r="9" spans="1:2" x14ac:dyDescent="0.25">
      <c r="A9" s="1" t="s">
        <v>14</v>
      </c>
      <c r="B9" s="5">
        <f>SERVIDORES!K18/10</f>
        <v>0</v>
      </c>
    </row>
    <row r="10" spans="1:2" x14ac:dyDescent="0.25">
      <c r="A10" s="1" t="s">
        <v>15</v>
      </c>
      <c r="B10" s="5">
        <f>SERVIDORES!L18/10</f>
        <v>0</v>
      </c>
    </row>
    <row r="11" spans="1:2" x14ac:dyDescent="0.25">
      <c r="A11" s="1" t="s">
        <v>26</v>
      </c>
      <c r="B11" s="5">
        <f>SERVIDORES!M18/10</f>
        <v>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opLeftCell="C1" workbookViewId="0">
      <selection activeCell="F8" sqref="F8"/>
    </sheetView>
  </sheetViews>
  <sheetFormatPr baseColWidth="10" defaultRowHeight="15" x14ac:dyDescent="0.25"/>
  <sheetData>
    <row r="1" spans="1:16" ht="21.75" customHeight="1" x14ac:dyDescent="0.25">
      <c r="A1" s="34"/>
      <c r="B1" s="34"/>
      <c r="C1" s="34"/>
      <c r="D1" s="34"/>
      <c r="E1" s="15"/>
      <c r="F1" s="30" t="s">
        <v>48</v>
      </c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21.75" customHeight="1" x14ac:dyDescent="0.25">
      <c r="A2" s="34"/>
      <c r="B2" s="34"/>
      <c r="C2" s="34"/>
      <c r="D2" s="34"/>
      <c r="E2" s="15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x14ac:dyDescent="0.25">
      <c r="A3" s="35" t="s">
        <v>0</v>
      </c>
      <c r="B3" s="35"/>
      <c r="C3" s="35"/>
      <c r="D3" s="31">
        <f>SERVIDORES!D3</f>
        <v>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x14ac:dyDescent="0.25">
      <c r="A4" s="35" t="s">
        <v>1</v>
      </c>
      <c r="B4" s="35"/>
      <c r="C4" s="35"/>
      <c r="D4" s="31">
        <f>SERVIDORES!D4</f>
        <v>0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x14ac:dyDescent="0.25">
      <c r="A5" s="35" t="s">
        <v>2</v>
      </c>
      <c r="B5" s="35"/>
      <c r="C5" s="35"/>
      <c r="D5" s="38">
        <f>SERVIDORES!D5</f>
        <v>0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x14ac:dyDescent="0.25">
      <c r="A6" s="29" t="s">
        <v>4</v>
      </c>
      <c r="B6" s="29" t="s">
        <v>3</v>
      </c>
      <c r="C6" s="29" t="s">
        <v>5</v>
      </c>
      <c r="D6" s="29" t="s">
        <v>6</v>
      </c>
      <c r="E6" s="40" t="s">
        <v>30</v>
      </c>
      <c r="F6" s="42" t="s">
        <v>33</v>
      </c>
      <c r="G6" s="43"/>
      <c r="H6" s="43"/>
      <c r="I6" s="43"/>
      <c r="J6" s="43"/>
      <c r="K6" s="43"/>
      <c r="L6" s="43"/>
      <c r="M6" s="43"/>
      <c r="N6" s="43"/>
      <c r="O6" s="44"/>
      <c r="P6" s="29" t="s">
        <v>16</v>
      </c>
    </row>
    <row r="7" spans="1:16" ht="33.75" x14ac:dyDescent="0.25">
      <c r="A7" s="29"/>
      <c r="B7" s="29"/>
      <c r="C7" s="29"/>
      <c r="D7" s="29"/>
      <c r="E7" s="41"/>
      <c r="F7" s="4" t="s">
        <v>17</v>
      </c>
      <c r="G7" s="4" t="s">
        <v>18</v>
      </c>
      <c r="H7" s="4" t="s">
        <v>34</v>
      </c>
      <c r="I7" s="4" t="s">
        <v>35</v>
      </c>
      <c r="J7" s="4" t="s">
        <v>36</v>
      </c>
      <c r="K7" s="4" t="s">
        <v>37</v>
      </c>
      <c r="L7" s="4" t="s">
        <v>45</v>
      </c>
      <c r="M7" s="4" t="s">
        <v>44</v>
      </c>
      <c r="N7" s="4" t="s">
        <v>46</v>
      </c>
      <c r="O7" s="4" t="s">
        <v>25</v>
      </c>
      <c r="P7" s="29"/>
    </row>
    <row r="8" spans="1:16" x14ac:dyDescent="0.25">
      <c r="A8" s="2">
        <v>1</v>
      </c>
      <c r="B8" s="3"/>
      <c r="C8" s="3"/>
      <c r="D8" s="3"/>
      <c r="E8" s="3"/>
      <c r="F8" s="2"/>
      <c r="G8" s="2"/>
      <c r="H8" s="2"/>
      <c r="I8" s="2"/>
      <c r="J8" s="2"/>
      <c r="K8" s="18"/>
      <c r="L8" s="2"/>
      <c r="M8" s="2"/>
      <c r="N8" s="2"/>
      <c r="O8" s="2"/>
      <c r="P8" s="3"/>
    </row>
    <row r="9" spans="1:16" x14ac:dyDescent="0.25">
      <c r="A9" s="2">
        <v>2</v>
      </c>
      <c r="B9" s="3"/>
      <c r="C9" s="3"/>
      <c r="D9" s="3"/>
      <c r="E9" s="3"/>
      <c r="F9" s="2"/>
      <c r="G9" s="2"/>
      <c r="H9" s="2"/>
      <c r="I9" s="2"/>
      <c r="J9" s="2"/>
      <c r="K9" s="18"/>
      <c r="L9" s="2"/>
      <c r="M9" s="2"/>
      <c r="N9" s="2"/>
      <c r="O9" s="2"/>
      <c r="P9" s="3"/>
    </row>
    <row r="10" spans="1:16" x14ac:dyDescent="0.25">
      <c r="A10" s="2">
        <v>3</v>
      </c>
      <c r="B10" s="3"/>
      <c r="C10" s="3"/>
      <c r="D10" s="3"/>
      <c r="E10" s="3"/>
      <c r="F10" s="2"/>
      <c r="G10" s="2"/>
      <c r="H10" s="2"/>
      <c r="I10" s="2"/>
      <c r="J10" s="2"/>
      <c r="K10" s="18"/>
      <c r="L10" s="2"/>
      <c r="M10" s="2"/>
      <c r="N10" s="2"/>
      <c r="O10" s="2"/>
      <c r="P10" s="3"/>
    </row>
    <row r="11" spans="1:16" x14ac:dyDescent="0.25">
      <c r="A11" s="2">
        <v>4</v>
      </c>
      <c r="B11" s="3"/>
      <c r="C11" s="3"/>
      <c r="D11" s="3"/>
      <c r="E11" s="3"/>
      <c r="F11" s="2"/>
      <c r="G11" s="2"/>
      <c r="H11" s="2"/>
      <c r="I11" s="2"/>
      <c r="J11" s="2"/>
      <c r="K11" s="18"/>
      <c r="L11" s="2"/>
      <c r="M11" s="2"/>
      <c r="N11" s="2"/>
      <c r="O11" s="2"/>
      <c r="P11" s="3"/>
    </row>
    <row r="12" spans="1:16" x14ac:dyDescent="0.25">
      <c r="A12" s="2">
        <v>5</v>
      </c>
      <c r="B12" s="3"/>
      <c r="C12" s="3"/>
      <c r="D12" s="3"/>
      <c r="E12" s="3"/>
      <c r="F12" s="2"/>
      <c r="G12" s="2"/>
      <c r="H12" s="2"/>
      <c r="I12" s="2"/>
      <c r="J12" s="2"/>
      <c r="K12" s="18"/>
      <c r="L12" s="2"/>
      <c r="M12" s="2"/>
      <c r="N12" s="2"/>
      <c r="O12" s="2"/>
      <c r="P12" s="3"/>
    </row>
    <row r="13" spans="1:16" x14ac:dyDescent="0.25">
      <c r="A13" s="2">
        <v>6</v>
      </c>
      <c r="B13" s="3"/>
      <c r="C13" s="3"/>
      <c r="D13" s="3"/>
      <c r="E13" s="3"/>
      <c r="F13" s="2"/>
      <c r="G13" s="2"/>
      <c r="H13" s="2"/>
      <c r="I13" s="2"/>
      <c r="J13" s="2"/>
      <c r="K13" s="18"/>
      <c r="L13" s="2"/>
      <c r="M13" s="2"/>
      <c r="N13" s="2"/>
      <c r="O13" s="2"/>
      <c r="P13" s="3"/>
    </row>
    <row r="14" spans="1:16" x14ac:dyDescent="0.25">
      <c r="A14" s="2">
        <v>7</v>
      </c>
      <c r="B14" s="3"/>
      <c r="C14" s="3"/>
      <c r="D14" s="3"/>
      <c r="E14" s="3"/>
      <c r="F14" s="2"/>
      <c r="G14" s="2"/>
      <c r="H14" s="2"/>
      <c r="I14" s="2"/>
      <c r="J14" s="2"/>
      <c r="K14" s="18"/>
      <c r="L14" s="2"/>
      <c r="M14" s="2"/>
      <c r="N14" s="2"/>
      <c r="O14" s="2"/>
      <c r="P14" s="3"/>
    </row>
    <row r="15" spans="1:16" x14ac:dyDescent="0.25">
      <c r="A15" s="2">
        <v>8</v>
      </c>
      <c r="B15" s="3"/>
      <c r="C15" s="3"/>
      <c r="D15" s="3"/>
      <c r="E15" s="3"/>
      <c r="F15" s="2"/>
      <c r="G15" s="2"/>
      <c r="H15" s="2"/>
      <c r="I15" s="2"/>
      <c r="J15" s="2"/>
      <c r="K15" s="18"/>
      <c r="L15" s="2"/>
      <c r="M15" s="2"/>
      <c r="N15" s="2"/>
      <c r="O15" s="2"/>
      <c r="P15" s="3"/>
    </row>
    <row r="16" spans="1:16" x14ac:dyDescent="0.25">
      <c r="A16" s="2">
        <v>9</v>
      </c>
      <c r="B16" s="3"/>
      <c r="C16" s="3"/>
      <c r="D16" s="3"/>
      <c r="E16" s="3"/>
      <c r="F16" s="2"/>
      <c r="G16" s="2"/>
      <c r="H16" s="2"/>
      <c r="I16" s="2"/>
      <c r="J16" s="2"/>
      <c r="K16" s="18"/>
      <c r="L16" s="2"/>
      <c r="M16" s="2"/>
      <c r="N16" s="2"/>
      <c r="O16" s="2"/>
      <c r="P16" s="3"/>
    </row>
    <row r="17" spans="1:16" x14ac:dyDescent="0.25">
      <c r="A17" s="2">
        <v>10</v>
      </c>
      <c r="B17" s="3"/>
      <c r="C17" s="3"/>
      <c r="D17" s="3"/>
      <c r="E17" s="3"/>
      <c r="F17" s="2"/>
      <c r="G17" s="2"/>
      <c r="H17" s="2"/>
      <c r="I17" s="2"/>
      <c r="J17" s="2"/>
      <c r="K17" s="18"/>
      <c r="L17" s="2"/>
      <c r="M17" s="2"/>
      <c r="N17" s="2"/>
      <c r="O17" s="2"/>
      <c r="P17" s="3"/>
    </row>
  </sheetData>
  <mergeCells count="15">
    <mergeCell ref="A1:D2"/>
    <mergeCell ref="F1:P2"/>
    <mergeCell ref="A3:C3"/>
    <mergeCell ref="D3:P3"/>
    <mergeCell ref="A4:C4"/>
    <mergeCell ref="D4:P4"/>
    <mergeCell ref="A5:C5"/>
    <mergeCell ref="D5:P5"/>
    <mergeCell ref="A6:A7"/>
    <mergeCell ref="B6:B7"/>
    <mergeCell ref="C6:C7"/>
    <mergeCell ref="D6:D7"/>
    <mergeCell ref="P6:P7"/>
    <mergeCell ref="E6:E7"/>
    <mergeCell ref="F6:O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EXTRAS!$A$2:$A$3</xm:f>
          </x14:formula1>
          <xm:sqref>N8:O17 F8:G17</xm:sqref>
        </x14:dataValidation>
        <x14:dataValidation type="list" allowBlank="1" showInputMessage="1" showErrorMessage="1">
          <x14:formula1>
            <xm:f>EXTRAS!$C$2:$C$10</xm:f>
          </x14:formula1>
          <xm:sqref>H8:H17</xm:sqref>
        </x14:dataValidation>
        <x14:dataValidation type="list" allowBlank="1" showInputMessage="1" showErrorMessage="1">
          <x14:formula1>
            <xm:f>EXTRAS!$D$2:$D$6</xm:f>
          </x14:formula1>
          <xm:sqref>L8:L17</xm:sqref>
        </x14:dataValidation>
        <x14:dataValidation type="list" allowBlank="1" showInputMessage="1" showErrorMessage="1">
          <x14:formula1>
            <xm:f>EXTRAS!$E$2:$E$6</xm:f>
          </x14:formula1>
          <xm:sqref>M8:M17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opLeftCell="B1" workbookViewId="0">
      <selection activeCell="G21" sqref="G21"/>
    </sheetView>
  </sheetViews>
  <sheetFormatPr baseColWidth="10" defaultRowHeight="15" x14ac:dyDescent="0.25"/>
  <sheetData>
    <row r="1" spans="1:16" ht="21.75" customHeight="1" x14ac:dyDescent="0.25">
      <c r="A1" s="34"/>
      <c r="B1" s="34"/>
      <c r="C1" s="34"/>
      <c r="D1" s="34"/>
      <c r="E1" s="17"/>
      <c r="F1" s="30" t="s">
        <v>47</v>
      </c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21.75" customHeight="1" x14ac:dyDescent="0.25">
      <c r="A2" s="34"/>
      <c r="B2" s="34"/>
      <c r="C2" s="34"/>
      <c r="D2" s="34"/>
      <c r="E2" s="17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x14ac:dyDescent="0.25">
      <c r="A3" s="35" t="s">
        <v>0</v>
      </c>
      <c r="B3" s="35"/>
      <c r="C3" s="35"/>
      <c r="D3" s="31">
        <f>SERVIDORES!D3</f>
        <v>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x14ac:dyDescent="0.25">
      <c r="A4" s="35" t="s">
        <v>1</v>
      </c>
      <c r="B4" s="35"/>
      <c r="C4" s="35"/>
      <c r="D4" s="31">
        <f>SERVIDORES!D4</f>
        <v>0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x14ac:dyDescent="0.25">
      <c r="A5" s="35" t="s">
        <v>2</v>
      </c>
      <c r="B5" s="35"/>
      <c r="C5" s="35"/>
      <c r="D5" s="38">
        <f>SERVIDORES!D5</f>
        <v>0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x14ac:dyDescent="0.25">
      <c r="A6" s="29" t="s">
        <v>4</v>
      </c>
      <c r="B6" s="29" t="s">
        <v>3</v>
      </c>
      <c r="C6" s="29" t="s">
        <v>5</v>
      </c>
      <c r="D6" s="29" t="s">
        <v>6</v>
      </c>
      <c r="E6" s="40" t="s">
        <v>30</v>
      </c>
      <c r="F6" s="42" t="s">
        <v>33</v>
      </c>
      <c r="G6" s="43"/>
      <c r="H6" s="43"/>
      <c r="I6" s="43"/>
      <c r="J6" s="43"/>
      <c r="K6" s="43"/>
      <c r="L6" s="43"/>
      <c r="M6" s="43"/>
      <c r="N6" s="43"/>
      <c r="O6" s="44"/>
      <c r="P6" s="29" t="s">
        <v>16</v>
      </c>
    </row>
    <row r="7" spans="1:16" ht="33.75" x14ac:dyDescent="0.25">
      <c r="A7" s="29"/>
      <c r="B7" s="29"/>
      <c r="C7" s="29"/>
      <c r="D7" s="29"/>
      <c r="E7" s="41"/>
      <c r="F7" s="4" t="s">
        <v>17</v>
      </c>
      <c r="G7" s="4" t="s">
        <v>18</v>
      </c>
      <c r="H7" s="4" t="s">
        <v>34</v>
      </c>
      <c r="I7" s="4" t="s">
        <v>35</v>
      </c>
      <c r="J7" s="4" t="s">
        <v>36</v>
      </c>
      <c r="K7" s="4" t="s">
        <v>37</v>
      </c>
      <c r="L7" s="4" t="s">
        <v>45</v>
      </c>
      <c r="M7" s="4" t="s">
        <v>44</v>
      </c>
      <c r="N7" s="4" t="s">
        <v>46</v>
      </c>
      <c r="O7" s="4" t="s">
        <v>25</v>
      </c>
      <c r="P7" s="29"/>
    </row>
    <row r="8" spans="1:16" x14ac:dyDescent="0.25">
      <c r="A8" s="2">
        <v>1</v>
      </c>
      <c r="B8" s="3"/>
      <c r="C8" s="3"/>
      <c r="D8" s="3"/>
      <c r="E8" s="3"/>
      <c r="F8" s="2" t="s">
        <v>22</v>
      </c>
      <c r="G8" s="2"/>
      <c r="H8" s="2"/>
      <c r="I8" s="2"/>
      <c r="J8" s="2"/>
      <c r="K8" s="18"/>
      <c r="L8" s="2"/>
      <c r="M8" s="2"/>
      <c r="N8" s="2"/>
      <c r="O8" s="2"/>
      <c r="P8" s="3"/>
    </row>
    <row r="9" spans="1:16" x14ac:dyDescent="0.25">
      <c r="A9" s="2">
        <v>2</v>
      </c>
      <c r="B9" s="3"/>
      <c r="C9" s="3"/>
      <c r="D9" s="3"/>
      <c r="E9" s="3"/>
      <c r="F9" s="2"/>
      <c r="G9" s="2"/>
      <c r="H9" s="2"/>
      <c r="I9" s="2"/>
      <c r="J9" s="2"/>
      <c r="K9" s="18"/>
      <c r="L9" s="2"/>
      <c r="M9" s="2"/>
      <c r="N9" s="2"/>
      <c r="O9" s="2"/>
      <c r="P9" s="3"/>
    </row>
    <row r="10" spans="1:16" x14ac:dyDescent="0.25">
      <c r="A10" s="2">
        <v>3</v>
      </c>
      <c r="B10" s="3"/>
      <c r="C10" s="3"/>
      <c r="D10" s="3"/>
      <c r="E10" s="3"/>
      <c r="F10" s="2"/>
      <c r="G10" s="2"/>
      <c r="H10" s="2"/>
      <c r="I10" s="2"/>
      <c r="J10" s="2"/>
      <c r="K10" s="18"/>
      <c r="L10" s="2"/>
      <c r="M10" s="2"/>
      <c r="N10" s="2"/>
      <c r="O10" s="2"/>
      <c r="P10" s="3"/>
    </row>
    <row r="11" spans="1:16" x14ac:dyDescent="0.25">
      <c r="A11" s="2">
        <v>4</v>
      </c>
      <c r="B11" s="3"/>
      <c r="C11" s="3"/>
      <c r="D11" s="3"/>
      <c r="E11" s="3"/>
      <c r="F11" s="2"/>
      <c r="G11" s="2"/>
      <c r="H11" s="2"/>
      <c r="I11" s="2"/>
      <c r="J11" s="2"/>
      <c r="K11" s="18"/>
      <c r="L11" s="2"/>
      <c r="M11" s="2"/>
      <c r="N11" s="2"/>
      <c r="O11" s="2"/>
      <c r="P11" s="3"/>
    </row>
    <row r="12" spans="1:16" x14ac:dyDescent="0.25">
      <c r="A12" s="2">
        <v>5</v>
      </c>
      <c r="B12" s="3"/>
      <c r="C12" s="3"/>
      <c r="D12" s="3"/>
      <c r="E12" s="3"/>
      <c r="F12" s="2"/>
      <c r="G12" s="2"/>
      <c r="H12" s="2"/>
      <c r="I12" s="2"/>
      <c r="J12" s="2"/>
      <c r="K12" s="18"/>
      <c r="L12" s="2"/>
      <c r="M12" s="2"/>
      <c r="N12" s="2"/>
      <c r="O12" s="2"/>
      <c r="P12" s="3"/>
    </row>
    <row r="13" spans="1:16" x14ac:dyDescent="0.25">
      <c r="A13" s="2">
        <v>6</v>
      </c>
      <c r="B13" s="3"/>
      <c r="C13" s="3"/>
      <c r="D13" s="3"/>
      <c r="E13" s="3"/>
      <c r="F13" s="2"/>
      <c r="G13" s="2"/>
      <c r="H13" s="2"/>
      <c r="I13" s="2"/>
      <c r="J13" s="2"/>
      <c r="K13" s="18"/>
      <c r="L13" s="2"/>
      <c r="M13" s="2"/>
      <c r="N13" s="2"/>
      <c r="O13" s="2"/>
      <c r="P13" s="3"/>
    </row>
    <row r="14" spans="1:16" x14ac:dyDescent="0.25">
      <c r="A14" s="2">
        <v>7</v>
      </c>
      <c r="B14" s="3"/>
      <c r="C14" s="3"/>
      <c r="D14" s="3"/>
      <c r="E14" s="3"/>
      <c r="F14" s="2"/>
      <c r="G14" s="2"/>
      <c r="H14" s="2"/>
      <c r="I14" s="2"/>
      <c r="J14" s="2"/>
      <c r="K14" s="18"/>
      <c r="L14" s="2"/>
      <c r="M14" s="2"/>
      <c r="N14" s="2"/>
      <c r="O14" s="2"/>
      <c r="P14" s="3"/>
    </row>
    <row r="15" spans="1:16" x14ac:dyDescent="0.25">
      <c r="A15" s="2">
        <v>8</v>
      </c>
      <c r="B15" s="3"/>
      <c r="C15" s="3"/>
      <c r="D15" s="3"/>
      <c r="E15" s="3"/>
      <c r="F15" s="2"/>
      <c r="G15" s="2"/>
      <c r="H15" s="2"/>
      <c r="I15" s="2"/>
      <c r="J15" s="2"/>
      <c r="K15" s="18"/>
      <c r="L15" s="2"/>
      <c r="M15" s="2"/>
      <c r="N15" s="2"/>
      <c r="O15" s="2"/>
      <c r="P15" s="3"/>
    </row>
    <row r="16" spans="1:16" x14ac:dyDescent="0.25">
      <c r="A16" s="2">
        <v>9</v>
      </c>
      <c r="B16" s="3"/>
      <c r="C16" s="3"/>
      <c r="D16" s="3"/>
      <c r="E16" s="3"/>
      <c r="F16" s="2"/>
      <c r="G16" s="2"/>
      <c r="H16" s="2"/>
      <c r="I16" s="2"/>
      <c r="J16" s="2"/>
      <c r="K16" s="18"/>
      <c r="L16" s="2"/>
      <c r="M16" s="2"/>
      <c r="N16" s="2"/>
      <c r="O16" s="2"/>
      <c r="P16" s="3"/>
    </row>
    <row r="17" spans="1:16" x14ac:dyDescent="0.25">
      <c r="A17" s="2">
        <v>10</v>
      </c>
      <c r="B17" s="3"/>
      <c r="C17" s="3"/>
      <c r="D17" s="3"/>
      <c r="E17" s="3"/>
      <c r="F17" s="2"/>
      <c r="G17" s="2"/>
      <c r="H17" s="2"/>
      <c r="I17" s="2"/>
      <c r="J17" s="2"/>
      <c r="K17" s="18"/>
      <c r="L17" s="2"/>
      <c r="M17" s="2"/>
      <c r="N17" s="2"/>
      <c r="O17" s="2"/>
      <c r="P17" s="3"/>
    </row>
  </sheetData>
  <mergeCells count="15">
    <mergeCell ref="A5:C5"/>
    <mergeCell ref="D5:P5"/>
    <mergeCell ref="A6:A7"/>
    <mergeCell ref="B6:B7"/>
    <mergeCell ref="C6:C7"/>
    <mergeCell ref="D6:D7"/>
    <mergeCell ref="E6:E7"/>
    <mergeCell ref="F6:O6"/>
    <mergeCell ref="P6:P7"/>
    <mergeCell ref="A1:D2"/>
    <mergeCell ref="F1:P2"/>
    <mergeCell ref="A3:C3"/>
    <mergeCell ref="D3:P3"/>
    <mergeCell ref="A4:C4"/>
    <mergeCell ref="D4:P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EXTRAS!$E$2:$E$6</xm:f>
          </x14:formula1>
          <xm:sqref>M8:M17</xm:sqref>
        </x14:dataValidation>
        <x14:dataValidation type="list" allowBlank="1" showInputMessage="1" showErrorMessage="1">
          <x14:formula1>
            <xm:f>EXTRAS!$D$2:$D$6</xm:f>
          </x14:formula1>
          <xm:sqref>L8:L17</xm:sqref>
        </x14:dataValidation>
        <x14:dataValidation type="list" allowBlank="1" showInputMessage="1" showErrorMessage="1">
          <x14:formula1>
            <xm:f>EXTRAS!$C$2:$C$10</xm:f>
          </x14:formula1>
          <xm:sqref>H8:H17</xm:sqref>
        </x14:dataValidation>
        <x14:dataValidation type="list" allowBlank="1" showInputMessage="1" showErrorMessage="1">
          <x14:formula1>
            <xm:f>EXTRAS!$A$2:$A$3</xm:f>
          </x14:formula1>
          <xm:sqref>N8:O17 F8:G17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6" zoomScaleNormal="100" workbookViewId="0">
      <selection activeCell="F11" sqref="F11"/>
    </sheetView>
  </sheetViews>
  <sheetFormatPr baseColWidth="10" defaultRowHeight="15" x14ac:dyDescent="0.25"/>
  <cols>
    <col min="1" max="1" width="4.28515625" bestFit="1" customWidth="1"/>
    <col min="4" max="4" width="12.7109375" customWidth="1"/>
  </cols>
  <sheetData>
    <row r="1" spans="1:6" ht="21.75" customHeight="1" x14ac:dyDescent="0.25">
      <c r="A1" s="34"/>
      <c r="B1" s="34"/>
      <c r="C1" s="34"/>
      <c r="D1" s="34"/>
      <c r="E1" s="30"/>
      <c r="F1" s="30"/>
    </row>
    <row r="2" spans="1:6" ht="21.75" customHeight="1" x14ac:dyDescent="0.25">
      <c r="A2" s="34"/>
      <c r="B2" s="34"/>
      <c r="C2" s="34"/>
      <c r="D2" s="34"/>
      <c r="E2" s="30"/>
      <c r="F2" s="30"/>
    </row>
    <row r="3" spans="1:6" x14ac:dyDescent="0.25">
      <c r="A3" s="35" t="s">
        <v>0</v>
      </c>
      <c r="B3" s="35"/>
      <c r="C3" s="35"/>
      <c r="D3" s="31"/>
      <c r="E3" s="32"/>
      <c r="F3" s="32"/>
    </row>
    <row r="4" spans="1:6" x14ac:dyDescent="0.25">
      <c r="A4" s="35" t="s">
        <v>1</v>
      </c>
      <c r="B4" s="35"/>
      <c r="C4" s="35"/>
      <c r="D4" s="31"/>
      <c r="E4" s="32"/>
      <c r="F4" s="32"/>
    </row>
    <row r="5" spans="1:6" x14ac:dyDescent="0.25">
      <c r="A5" s="35" t="s">
        <v>2</v>
      </c>
      <c r="B5" s="35"/>
      <c r="C5" s="35"/>
      <c r="D5" s="33"/>
      <c r="E5" s="32"/>
      <c r="F5" s="32"/>
    </row>
    <row r="6" spans="1:6" x14ac:dyDescent="0.25">
      <c r="A6" s="29" t="s">
        <v>4</v>
      </c>
      <c r="B6" s="29" t="s">
        <v>3</v>
      </c>
      <c r="C6" s="29" t="s">
        <v>5</v>
      </c>
      <c r="D6" s="29" t="s">
        <v>27</v>
      </c>
      <c r="E6" s="28"/>
      <c r="F6" s="29" t="s">
        <v>16</v>
      </c>
    </row>
    <row r="7" spans="1:6" ht="132" customHeight="1" x14ac:dyDescent="0.25">
      <c r="A7" s="29"/>
      <c r="B7" s="29"/>
      <c r="C7" s="29"/>
      <c r="D7" s="29"/>
      <c r="E7" s="4" t="s">
        <v>49</v>
      </c>
      <c r="F7" s="29"/>
    </row>
    <row r="8" spans="1:6" x14ac:dyDescent="0.25">
      <c r="A8" s="2">
        <v>1</v>
      </c>
      <c r="B8" s="3"/>
      <c r="C8" s="3"/>
      <c r="D8" s="16"/>
      <c r="E8" s="2"/>
      <c r="F8" s="3"/>
    </row>
    <row r="9" spans="1:6" x14ac:dyDescent="0.25">
      <c r="A9" s="2">
        <v>2</v>
      </c>
      <c r="B9" s="3"/>
      <c r="C9" s="3"/>
      <c r="D9" s="3"/>
      <c r="E9" s="2"/>
      <c r="F9" s="3"/>
    </row>
    <row r="10" spans="1:6" x14ac:dyDescent="0.25">
      <c r="A10" s="2">
        <v>3</v>
      </c>
      <c r="B10" s="3"/>
      <c r="C10" s="3"/>
      <c r="D10" s="3"/>
      <c r="E10" s="2"/>
      <c r="F10" s="3"/>
    </row>
    <row r="11" spans="1:6" x14ac:dyDescent="0.25">
      <c r="A11" s="2">
        <v>4</v>
      </c>
      <c r="B11" s="3"/>
      <c r="C11" s="3"/>
      <c r="D11" s="3"/>
      <c r="E11" s="2"/>
      <c r="F11" s="3"/>
    </row>
    <row r="12" spans="1:6" x14ac:dyDescent="0.25">
      <c r="A12" s="2">
        <v>5</v>
      </c>
      <c r="B12" s="3"/>
      <c r="C12" s="3"/>
      <c r="D12" s="3"/>
      <c r="E12" s="2"/>
      <c r="F12" s="3"/>
    </row>
    <row r="13" spans="1:6" x14ac:dyDescent="0.25">
      <c r="A13" s="2">
        <v>6</v>
      </c>
      <c r="B13" s="3"/>
      <c r="C13" s="3"/>
      <c r="D13" s="3"/>
      <c r="E13" s="2"/>
      <c r="F13" s="3"/>
    </row>
    <row r="14" spans="1:6" x14ac:dyDescent="0.25">
      <c r="A14" s="2">
        <v>7</v>
      </c>
      <c r="B14" s="3"/>
      <c r="C14" s="3"/>
      <c r="D14" s="3"/>
      <c r="E14" s="2"/>
      <c r="F14" s="3"/>
    </row>
    <row r="15" spans="1:6" x14ac:dyDescent="0.25">
      <c r="A15" s="2">
        <v>8</v>
      </c>
      <c r="B15" s="3"/>
      <c r="C15" s="3"/>
      <c r="D15" s="3"/>
      <c r="E15" s="2"/>
      <c r="F15" s="3"/>
    </row>
    <row r="16" spans="1:6" x14ac:dyDescent="0.25">
      <c r="A16" s="2">
        <v>9</v>
      </c>
      <c r="B16" s="3"/>
      <c r="C16" s="3"/>
      <c r="D16" s="3"/>
      <c r="E16" s="2"/>
      <c r="F16" s="3"/>
    </row>
    <row r="17" spans="1:6" x14ac:dyDescent="0.25">
      <c r="A17" s="2">
        <v>10</v>
      </c>
      <c r="B17" s="3"/>
      <c r="C17" s="3"/>
      <c r="D17" s="3"/>
      <c r="E17" s="2"/>
      <c r="F17" s="3"/>
    </row>
    <row r="18" spans="1:6" x14ac:dyDescent="0.25">
      <c r="D18" s="9" t="s">
        <v>22</v>
      </c>
      <c r="E18" s="6">
        <f>COUNTIF(E8:E17,"SI")</f>
        <v>0</v>
      </c>
    </row>
    <row r="19" spans="1:6" x14ac:dyDescent="0.25">
      <c r="D19" s="10" t="s">
        <v>23</v>
      </c>
      <c r="E19" s="8">
        <f t="shared" ref="E19" si="0">COUNTIF(E8:E17,"NO")</f>
        <v>0</v>
      </c>
    </row>
    <row r="20" spans="1:6" x14ac:dyDescent="0.25">
      <c r="D20" s="12" t="s">
        <v>24</v>
      </c>
      <c r="E20" s="11">
        <f t="shared" ref="E20" si="1">E18+E19</f>
        <v>0</v>
      </c>
    </row>
  </sheetData>
  <mergeCells count="13">
    <mergeCell ref="A5:C5"/>
    <mergeCell ref="D5:F5"/>
    <mergeCell ref="A6:A7"/>
    <mergeCell ref="B6:B7"/>
    <mergeCell ref="C6:C7"/>
    <mergeCell ref="D6:D7"/>
    <mergeCell ref="F6:F7"/>
    <mergeCell ref="A1:D2"/>
    <mergeCell ref="E1:F2"/>
    <mergeCell ref="A3:C3"/>
    <mergeCell ref="D3:F3"/>
    <mergeCell ref="A4:C4"/>
    <mergeCell ref="D4:F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EXTRAS!$A$2:$A$3</xm:f>
          </x14:formula1>
          <xm:sqref>E8:E17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activeCell="E7" sqref="E7"/>
    </sheetView>
  </sheetViews>
  <sheetFormatPr baseColWidth="10" defaultRowHeight="15" x14ac:dyDescent="0.25"/>
  <cols>
    <col min="1" max="1" width="19.140625" customWidth="1"/>
    <col min="3" max="3" width="23" customWidth="1"/>
  </cols>
  <sheetData>
    <row r="1" spans="1:14" ht="21.75" customHeight="1" x14ac:dyDescent="0.25">
      <c r="A1" s="34"/>
      <c r="B1" s="34"/>
      <c r="C1" s="34"/>
      <c r="D1" s="30" t="s">
        <v>50</v>
      </c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21.75" customHeight="1" x14ac:dyDescent="0.25">
      <c r="A2" s="34"/>
      <c r="B2" s="34"/>
      <c r="C2" s="34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x14ac:dyDescent="0.25">
      <c r="A3" s="35" t="s">
        <v>73</v>
      </c>
      <c r="B3" s="35"/>
      <c r="C3" s="35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x14ac:dyDescent="0.25">
      <c r="A4" s="35" t="s">
        <v>74</v>
      </c>
      <c r="B4" s="35"/>
      <c r="C4" s="35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x14ac:dyDescent="0.25">
      <c r="A5" s="35" t="s">
        <v>2</v>
      </c>
      <c r="B5" s="35"/>
      <c r="C5" s="35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5.75" thickBot="1" x14ac:dyDescent="0.3"/>
    <row r="7" spans="1:14" ht="102.75" customHeight="1" thickBot="1" x14ac:dyDescent="0.3">
      <c r="A7" s="24" t="s">
        <v>54</v>
      </c>
      <c r="B7" s="24" t="s">
        <v>70</v>
      </c>
      <c r="C7" s="24" t="s">
        <v>71</v>
      </c>
      <c r="D7" s="26" t="s">
        <v>51</v>
      </c>
      <c r="E7" s="24" t="s">
        <v>72</v>
      </c>
      <c r="F7" s="25" t="s">
        <v>52</v>
      </c>
      <c r="G7" s="27" t="s">
        <v>53</v>
      </c>
    </row>
    <row r="8" spans="1:14" ht="15.75" thickBot="1" x14ac:dyDescent="0.3">
      <c r="A8" s="19">
        <v>9</v>
      </c>
      <c r="B8" s="20">
        <v>4</v>
      </c>
      <c r="C8" s="20">
        <v>0</v>
      </c>
      <c r="D8" s="21">
        <v>4</v>
      </c>
      <c r="E8" s="22">
        <v>4</v>
      </c>
      <c r="F8" s="22">
        <v>4</v>
      </c>
      <c r="G8" s="23">
        <v>2</v>
      </c>
    </row>
    <row r="10" spans="1:14" x14ac:dyDescent="0.25">
      <c r="A10" s="46" t="s">
        <v>56</v>
      </c>
      <c r="B10" s="47"/>
      <c r="C10" s="47"/>
      <c r="D10" s="47"/>
      <c r="E10" s="47"/>
      <c r="F10" s="47"/>
      <c r="G10" s="47"/>
    </row>
    <row r="11" spans="1:14" x14ac:dyDescent="0.25">
      <c r="A11" s="47"/>
      <c r="B11" s="47"/>
      <c r="C11" s="47"/>
      <c r="D11" s="47"/>
      <c r="E11" s="47"/>
      <c r="F11" s="47"/>
      <c r="G11" s="47"/>
    </row>
    <row r="13" spans="1:14" x14ac:dyDescent="0.25">
      <c r="A13" s="45" t="s">
        <v>55</v>
      </c>
      <c r="B13" s="45"/>
      <c r="C13" s="45"/>
      <c r="D13" s="45"/>
      <c r="E13" s="45"/>
      <c r="F13" s="45"/>
      <c r="G13" s="45"/>
    </row>
    <row r="14" spans="1:14" x14ac:dyDescent="0.25">
      <c r="A14" s="45"/>
      <c r="B14" s="45"/>
      <c r="C14" s="45"/>
      <c r="D14" s="45"/>
      <c r="E14" s="45"/>
      <c r="F14" s="45"/>
      <c r="G14" s="45"/>
    </row>
  </sheetData>
  <mergeCells count="10">
    <mergeCell ref="A13:G14"/>
    <mergeCell ref="A10:G11"/>
    <mergeCell ref="A5:C5"/>
    <mergeCell ref="D5:N5"/>
    <mergeCell ref="A1:C2"/>
    <mergeCell ref="D1:N2"/>
    <mergeCell ref="A3:C3"/>
    <mergeCell ref="D3:N3"/>
    <mergeCell ref="A4:C4"/>
    <mergeCell ref="D4:N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7" sqref="E7"/>
    </sheetView>
  </sheetViews>
  <sheetFormatPr baseColWidth="10" defaultRowHeight="15" x14ac:dyDescent="0.25"/>
  <cols>
    <col min="3" max="3" width="33.42578125" bestFit="1" customWidth="1"/>
  </cols>
  <sheetData>
    <row r="1" spans="1:5" x14ac:dyDescent="0.25">
      <c r="A1" t="s">
        <v>19</v>
      </c>
      <c r="C1" t="s">
        <v>34</v>
      </c>
      <c r="D1" t="s">
        <v>38</v>
      </c>
      <c r="E1" t="s">
        <v>32</v>
      </c>
    </row>
    <row r="2" spans="1:5" x14ac:dyDescent="0.25">
      <c r="A2" s="13" t="s">
        <v>22</v>
      </c>
      <c r="C2">
        <v>100</v>
      </c>
      <c r="D2" t="s">
        <v>39</v>
      </c>
      <c r="E2">
        <v>500</v>
      </c>
    </row>
    <row r="3" spans="1:5" x14ac:dyDescent="0.25">
      <c r="A3" s="13" t="s">
        <v>23</v>
      </c>
      <c r="C3">
        <v>200</v>
      </c>
      <c r="D3" t="s">
        <v>40</v>
      </c>
      <c r="E3">
        <v>600</v>
      </c>
    </row>
    <row r="4" spans="1:5" x14ac:dyDescent="0.25">
      <c r="C4">
        <v>250</v>
      </c>
      <c r="D4" t="s">
        <v>41</v>
      </c>
      <c r="E4">
        <v>700</v>
      </c>
    </row>
    <row r="5" spans="1:5" x14ac:dyDescent="0.25">
      <c r="C5">
        <v>300</v>
      </c>
      <c r="D5" t="s">
        <v>42</v>
      </c>
      <c r="E5">
        <v>800</v>
      </c>
    </row>
    <row r="6" spans="1:5" x14ac:dyDescent="0.25">
      <c r="C6">
        <v>350</v>
      </c>
      <c r="D6" t="s">
        <v>43</v>
      </c>
      <c r="E6">
        <v>900</v>
      </c>
    </row>
    <row r="7" spans="1:5" x14ac:dyDescent="0.25">
      <c r="C7">
        <v>400</v>
      </c>
    </row>
    <row r="8" spans="1:5" x14ac:dyDescent="0.25">
      <c r="C8">
        <v>450</v>
      </c>
    </row>
    <row r="9" spans="1:5" x14ac:dyDescent="0.25">
      <c r="C9">
        <v>500</v>
      </c>
    </row>
    <row r="10" spans="1:5" x14ac:dyDescent="0.25">
      <c r="C10">
        <v>550</v>
      </c>
    </row>
  </sheetData>
  <dataValidations count="1">
    <dataValidation type="list" allowBlank="1" showInputMessage="1" showErrorMessage="1" sqref="A4">
      <formula1>$A$2:$A$3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SERVIDORES</vt:lpstr>
      <vt:lpstr>RESUMEN</vt:lpstr>
      <vt:lpstr>ASESORES FE</vt:lpstr>
      <vt:lpstr>ASESORES UNIVERSIDADES</vt:lpstr>
      <vt:lpstr>EXTRANJEROS</vt:lpstr>
      <vt:lpstr>CÁLCULO 20 %</vt:lpstr>
      <vt:lpstr>EXTRAS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2022-01-19T16:34:54Z</dcterms:created>
  <dcterms:modified xsi:type="dcterms:W3CDTF">2022-07-04T03:16:28Z</dcterms:modified>
</cp:coreProperties>
</file>