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Trámites\escritorio\2023\2. Estudios 2023\2. 11D01 Loja Educación\6. COMUNICACIÓN ENTIDAD\2. COMUNICACIÓN FINAL\"/>
    </mc:Choice>
  </mc:AlternateContent>
  <bookViews>
    <workbookView xWindow="-120" yWindow="-120" windowWidth="20730" windowHeight="11160"/>
  </bookViews>
  <sheets>
    <sheet name="11D01 Loja Educación" sheetId="3" r:id="rId1"/>
    <sheet name="Hoja1" sheetId="4" state="hidden" r:id="rId2"/>
  </sheets>
  <definedNames>
    <definedName name="_Toc481562780" localSheetId="0">'11D01 Loja Educación'!#REF!</definedName>
    <definedName name="_xlnm.Print_Area" localSheetId="0">'11D01 Loja Educación'!$A$1:$F$36</definedName>
    <definedName name="_xlnm.Print_Titles" localSheetId="0">'11D01 Loja Educación'!$1:$7</definedName>
  </definedNames>
  <calcPr calcId="162913"/>
</workbook>
</file>

<file path=xl/calcChain.xml><?xml version="1.0" encoding="utf-8"?>
<calcChain xmlns="http://schemas.openxmlformats.org/spreadsheetml/2006/main">
  <c r="E8" i="4" l="1"/>
  <c r="E4" i="4"/>
  <c r="G3" i="4"/>
  <c r="C3" i="4"/>
</calcChain>
</file>

<file path=xl/comments1.xml><?xml version="1.0" encoding="utf-8"?>
<comments xmlns="http://schemas.openxmlformats.org/spreadsheetml/2006/main">
  <authors>
    <author>Diego Vaca</author>
  </authors>
  <commentList>
    <comment ref="B7" authorId="0" shapeId="0">
      <text>
        <r>
          <rPr>
            <b/>
            <sz val="9"/>
            <color indexed="81"/>
            <rFont val="Tahoma"/>
            <family val="2"/>
          </rPr>
          <t xml:space="preserve">
Diego Vaca:
ESTABLECER TEXTUALMENTE LO DETERMINADO EN EL OFICIO DE COMUNICACIÓN DE RESULTADOS Y EN EL INFORME</t>
        </r>
      </text>
    </comment>
    <comment ref="C7" authorId="0" shapeId="0">
      <text>
        <r>
          <rPr>
            <b/>
            <sz val="9"/>
            <color indexed="81"/>
            <rFont val="Tahoma"/>
            <family val="2"/>
          </rPr>
          <t>Diego Vaca:</t>
        </r>
        <r>
          <rPr>
            <sz val="9"/>
            <color indexed="81"/>
            <rFont val="Tahoma"/>
            <family val="2"/>
          </rPr>
          <t xml:space="preserve">
ESTABLECER TEXTUALMENTE LO DETERMINADO EN EL OFICIO DE COMUNICACIÓN DE RESULTADOS Y EN EL INFORME</t>
        </r>
      </text>
    </comment>
    <comment ref="D7" authorId="0" shapeId="0">
      <text>
        <r>
          <rPr>
            <b/>
            <sz val="9"/>
            <color indexed="81"/>
            <rFont val="Tahoma"/>
            <family val="2"/>
          </rPr>
          <t>Diego Vaca:</t>
        </r>
        <r>
          <rPr>
            <sz val="9"/>
            <color indexed="81"/>
            <rFont val="Tahoma"/>
            <family val="2"/>
          </rPr>
          <t xml:space="preserve">
ESTABLECER LOS ARGUMENTOS QUE PERMITAN SOSTENER EL HALLAZGO Y AÑADIR EL NÚMERO DE FOJAS RELACIONADAS CON EL TEMA QUE FUERON ENVIADAS POR LA ENTIDAD</t>
        </r>
      </text>
    </comment>
    <comment ref="E7" authorId="0" shapeId="0">
      <text>
        <r>
          <rPr>
            <b/>
            <sz val="9"/>
            <color indexed="81"/>
            <rFont val="Tahoma"/>
            <family val="2"/>
          </rPr>
          <t>Diego Vaca:</t>
        </r>
        <r>
          <rPr>
            <sz val="9"/>
            <color indexed="81"/>
            <rFont val="Tahoma"/>
            <family val="2"/>
          </rPr>
          <t xml:space="preserve">
ESTABLECER LOS ARGUMENTOS PUNTUALES POR LOS CUALES SE MANTIENE O SE ACEPTA EL JUSTIFICATIVO… EL TEXTO DEBE SER MUY ESPECÍFICO .. FAVOR NO EXCEDERSE EN LA DESCRIPCIÓN</t>
        </r>
      </text>
    </comment>
  </commentList>
</comments>
</file>

<file path=xl/sharedStrings.xml><?xml version="1.0" encoding="utf-8"?>
<sst xmlns="http://schemas.openxmlformats.org/spreadsheetml/2006/main" count="63" uniqueCount="55">
  <si>
    <t>VARIABLE</t>
  </si>
  <si>
    <t>ENTIDAD:</t>
  </si>
  <si>
    <t>OFICIO RESULTADOS MDT:</t>
  </si>
  <si>
    <t>OFICIO JUSTIFICACIONES ENTIDAD:</t>
  </si>
  <si>
    <t>PAPEL DE TRABAJO</t>
  </si>
  <si>
    <t>MINISTERIO DEL TRABAJO</t>
  </si>
  <si>
    <t>Nro.</t>
  </si>
  <si>
    <t>HALLAZGO COMUNICADO</t>
  </si>
  <si>
    <t>ARGUMENTOS REMITIDOS POR LA UATH</t>
  </si>
  <si>
    <t>ARGUMENTOS ESTABLECIDOS POR EL ANALISTA DE CONTROL PARA EL RESULTADO FINAL</t>
  </si>
  <si>
    <t>RESULTADO FINAL
(JUSTIFICA NO JUSTIFICA)</t>
  </si>
  <si>
    <t>MATRIZ DE ANÁLISIS DE LOS ARGUMENTOS ESTABLECIDOS POR LAS UATH RESPECTO DE LOS HALLAZGOS DE CONTROL  DETERMINADOS Y COMUNICADOS</t>
  </si>
  <si>
    <t>Ing. María Elizabeth Castillo Villalta</t>
  </si>
  <si>
    <t>Analista Regional de Control del Servicio Público</t>
  </si>
  <si>
    <t>Cumplimiento de requisitos y aplicación de la normativa vigente respecto a la ejecución de los movimientos de personal de traslados, traspasos cambios administrativos y comisiones con y sin remuneración y comisión de servicios con remuneración - viajes.</t>
  </si>
  <si>
    <t>Análisis del cumplimiento del período de tiempo y del pago de las liquidaciones</t>
  </si>
  <si>
    <t>Aprobación e implementación del Modelo de Gestión, Estatuto Orgánico de Gestión Organizacional por Procesos, Estructura Organizacional y Manual de Descripción, Valoración y Clasificación de Puestos</t>
  </si>
  <si>
    <t>Aprobación e implementación del Plan de Vacaciones y  cumplimiento de la normativa vigente relacionada con el otorgamiento de permisos y vacaciones a los servidores públicos.</t>
  </si>
  <si>
    <t>Aprobación del Plan de Seguridad y Salud Ocupacional, Reglamento de Higiene y Seguridad y Programa de Prevención de Riesgos Psicosociales.</t>
  </si>
  <si>
    <t>NO JUSTIFICA</t>
  </si>
  <si>
    <t>MINISTERIO DE EDUCACIÓN - DIRECCIÓN DISTRITAL 11D01 LOJA</t>
  </si>
  <si>
    <t>MDT-DRTSPL-2023-6721-O (01/09/2023)</t>
  </si>
  <si>
    <t>MINEDUC-CZ7-11D01-2023-0495-OF (07/09/2023)</t>
  </si>
  <si>
    <t>El Ministerio de Educación mantiene presencia territorial en Loja con las Unidades Administrativas desconcentradas en el Nivel Zonal: Coordinación Zonal 7 y Nivel Distrital: Dirección Distrital  11D01Loja, no disponía de la actualización de la Presencia Institucional en Territorio, de conformidad con el segundo inciso del artículo 5, contemplado en el Acuerdo Interinstitucional Nro. SEMPLADES-MEF-MDT-001-2019, que dispone que las entidades que cuenten con unidades desconcentradas en el nivel zonal y distrital, mantendrán únicamente una entidad desconcentrada con cobertura pluricantonal por provincia.</t>
  </si>
  <si>
    <t>Se constata que la Estructura Orgánica contemplada en el Estatuto Orgánico de Gestión Organizacional por Procesos con la información registrada en el Distributivo mayo 2023, no se registro las unidades administrativas acorde a los procesos de la entidad y unidades de gestión interna; e incluyo veinte y tres (23) instituciones educativas como unidades administrativas.</t>
  </si>
  <si>
    <t>De conformidad con las Unidades de Gestión Interna de la División Distrital Administrativa Financiera contempladas en el Estatuto Orgánico de Gestión Organizacional por Procesos del Ministerio de educación, se verificó los expedientes de seis (6) servidores con la información registrada en el Distributivo mayo 2023 y las Acciones de Personal, se constata incumplimiento en los seis (6) servidores. la institución no ha homologado los puestos en las unidades administrativas establecidas dentro de la Estructura Orgánica, vigente</t>
  </si>
  <si>
    <t>De la implementación de los Productos y Portafolio de Servicios constantes en el Estatuto Orgánico aprobado, se consideró como muestra a las Unidades de: 1) Unidad Distrital de Recursos, Operaciones y Logística; 2) Unidad Distrital de Atención Ciudadana; 3) Unidad Distrital de Tecnologías de la Información y Comunicaciones; y, 4) Gestion Interna Unidad Distrital de Talento Humano; y, se constató con la información registrada en la Matriz de Indicadores de Cumplimiento de metas del año 2022 y documentación que respalda el cumplimiento del Portafolio de Productos y Servicios que no se ejecutan todos los productos y servicios establecidos para las Direcciones Distritales, así mismo se registra inconsistencias en los verificables, y otro productos que no constan en el Estatuto de la Unidad Distrital de Recursos, Operaciones y Logística.</t>
  </si>
  <si>
    <t xml:space="preserve">Se cotejo la información de seis (6) servidores que presentan inconsistencias en la implementación del Manual de Descripción, Valoración y Clasificación de Puestos del Ministerio de Educación contemplado para las Direcciones Distritales con la información registrada en el  Distributivo mayo 2023 y la registrada en la acción de personal y/o contrato de servicios ocasionales, se verifica inconsistencias en las unidades administrativas, denominación del cargo como en los grupos ocupacionales; así mismo, se constata que los seis (6) servidores se incluyeron en la nómina de la Dirección Distrital 11D01 de otras entidades fusionadas o suprimidas, de los cuales a tres (3) se realizó la homologación del puestos, sin embargo no han sido reclasificados. </t>
  </si>
  <si>
    <t xml:space="preserve">El Ministerio de Educación cuenta con el Reglamento Interno de Administración de Talento Humano para los Servidores/as Públicos/as, aprobado en el año 2018, sin embargo, la UATH institucional no proporcionó los respaldos de la socialización del mencionado instrumento con los servidores de la Dirección Distrital 11D01 Loja Educación </t>
  </si>
  <si>
    <t>La UATH institucional certificó que, de enero 2021 a mayo 2023 la Dirección Distrital 11D01 Loja – Educación, no ha registrado personal bajo la Ley Orgánica de Servicio Público que mantenga impedimento para ejercer cargo público; sin embargo, no disponía del procedimiento para la revisión mensual para verificar que los servidores no registren impedimento legal para laborar en el sector público, aprobado.</t>
  </si>
  <si>
    <t>Se verifica que la entidad reporta doce (12) ex servidores desvinculados, que se acogieron a la jubilación voluntaria, de los cuales once (11) personas no fueron reportados para el registro en la base de datos del sistema de impedidos que administra el Ministerio de Trabajo, que conforme causal generan impedimento legal para ejercer cargo público.</t>
  </si>
  <si>
    <t>La Dirección Distrital 11D01 Loja del Ministerio de Educación, no disponía de un procedimiento para el movimiento del personal, que establezca los requisitos habilitantes para la aplicación de movimientos administrativos a los servidores.</t>
  </si>
  <si>
    <t>La entidad reportó dos (2) subrogaciones en el puesto de la Directora Distrital, de la revisión del expediente, se verifica el cumplimiento del requerimiento, motivación, informe y acción de personal; como del pago de valores que corresponden del periodo subrogado.</t>
  </si>
  <si>
    <t>La Dirección Distrital 11D01 Loja Educación, entregó la “PLANIFICACIÓN ANUAL DE VACACIONES PERÍODO ENERO A DICIEMBRE 2023”; y, Cronograma de ejecución de vacaciones de los años 2021, 2022 y 2023, sin embargo, no disponía de los Planes anuales de los años 2021 y 2022</t>
  </si>
  <si>
    <t>Del cumplimiento de cronograma de vacaciones del año 2022, se consideró una muestra de diez (10) servidores, se constata el cumplimiento del 10% y el incumplimiento del 90%, del gozo del periodo de vacaciones en las fechas programadas. La entidad no presentó los justificativos de los servidores que no tomaron las vacaciones en los periodos planificados, ni las fechas de reprogramación.</t>
  </si>
  <si>
    <t>La entidad proporcionó los saldos de vacaciones del personal de la Dirección Distrital 11D01 Loja - Educación con corte a mayo 2023, observándose cinco (5) personas con un saldo de 60 días de vacaciones acumulados; no obstante, no se registra servidores que superen los 60 días de vacaciones acumulados contemplado en la ley.</t>
  </si>
  <si>
    <t>De la muestra de cinco (5), se verifica que los saldos de vacaciones proporcionados por la entidad no concuerdan con los calculados por el Ministerio del Trabajo, a partir de la fecha de ingreso de los servidores y la documentación entregada que respalda los permisos y vacaciones otorgados al personal, mismo que se efectuó para la comprobación con corte al 31 de mayo de 2023.</t>
  </si>
  <si>
    <t>Del control de asistencia y permanencia de la jornada laboral y horarios de almuerzo de los servidores de la Dirección Distrital 11D01 Loja, de enero 2021 a mayo 2023, la entidad informa que no cuenta con el software para el control de asistencia automatizado contemplado en el Reglamento Interno de Administración de Talento Humano para los servidores, ni la disponibilidad presupuestaria para su adquisición.</t>
  </si>
  <si>
    <t>De una muestra de cinco (5) personas, se constata que los servidores realizan de manera manual el registro de la jornada laboral y horario de almuerzo, que se encuentran ubicados en las oficinas de la Unidad de Administración de Talento Humano, a cargo de un analista por unidad. De la revisión de la documentación presentada de los meses muestreados no se registran inconsistencias, sin embargo no es posible validar el cumplimiento de la jornada laboral y horario de almuerzo.</t>
  </si>
  <si>
    <t>La entidad no disponía de los Planes de Seguridad y Salud Ocupacional de los año 2021, 2022 y 2023.</t>
  </si>
  <si>
    <t xml:space="preserve">La entidad entregó el Memorando No. MINEDUC-CZ7-2021-03731-M, 21 de junio de 2021, suscrito por la Coordinadora Zonal 7, respecto a la socialización y Directrices del Protocolo de Prevención y Atención de Casos de Discriminación, Acoso Laboral /o Toda forma de Violencia contra la Mujer en los Espacios de Trabajo, sin embargo, no disponía del Programa de Prevención de Riesgos Psicosociales vigente conforme el periodo evaluado enero 2021 – mayo 2023. </t>
  </si>
  <si>
    <t>La Unidad de Administración de Talento Humano de la Dirección Distrital 11D01 Loja Educación, no disponía de un procedimiento de desvinculación, aprobado.</t>
  </si>
  <si>
    <t>De la revisión de la liquidación de haberes se verifica que la entidad a dos (2) ex servidores canceló la liquidación dentro del tiempo estipulado en normativa y a diez (10) el tiempo del pago superó los 15 días.</t>
  </si>
  <si>
    <r>
      <t xml:space="preserve">Mediante MINEDUC-CZ7-11D01-2023-0495-OF, de 07/09/2023, la entidad manifiesta: </t>
    </r>
    <r>
      <rPr>
        <i/>
        <sz val="10"/>
        <color theme="1"/>
        <rFont val="Calibri"/>
        <family val="2"/>
        <scheme val="minor"/>
      </rPr>
      <t>"(…)una vez que se ha revisado los resultados del estudio de control en el ámbito de Talento Humano, remuneraciones y desarrollo nstitucional realizado en el año 2023 al Ministerio de Educación – Dirección Distrital 11D01 Loja, por parte de la Dirección Regional de Trabajo y Servicio Público de Loja; la Dirección Distrital 11D01 Loja – Educación procederá a elaborar un PLAN DE MEJORAS para corregir, enmendar, rectificar y/o mejorar las observaciones emitidas en el estudio de control realizado por la institución (...)"</t>
    </r>
  </si>
  <si>
    <r>
      <t>Mediante MINEDUC-CZ7-11D01-2023-0495-OF, de 07/09/2023, la entidad manifiesta: "</t>
    </r>
    <r>
      <rPr>
        <i/>
        <sz val="10"/>
        <color theme="1"/>
        <rFont val="Calibri"/>
        <family val="2"/>
        <scheme val="minor"/>
      </rPr>
      <t>(…)una vez que se ha revisado los resultados del estudio de control en el ámbito de Talento Humano, remuneraciones y desarrollo nstitucional realizado en el año 2023 al Ministerio de Educación – Dirección Distrital 11D01 Loja, por parte de la Dirección Regional de Trabajo y Servicio Público de Loja; la Dirección Distrital 11D01 Loja – Educación procederá a elaborar un PLAN DE MEJORAS para corregir, enmendar, rectificar y/o mejorar las observaciones emitidas en el estudio de control realizado por la institución (...)"</t>
    </r>
    <r>
      <rPr>
        <sz val="10"/>
        <color theme="1"/>
        <rFont val="Calibri"/>
        <family val="2"/>
        <scheme val="minor"/>
      </rPr>
      <t xml:space="preserve">
</t>
    </r>
  </si>
  <si>
    <t>El Estatuto Orgánico de Gestión Organización por Proceso del Ministerio de Educación, registra algunas reformas, al igual que el Manual de Descripción, Valoración y Clasificación de Puestos, reformado parcialmente, sin embargo, las actualizaciones realizadas no guardan relación con los procesos vigentes.
De la implementación Manual de Puestos, conforme información registrada en Distributivo mayo 2023, se constata: 
* Cinco (5) puestos no implementados
* Cuatro (4) servidores que ocupan cargos con una escala remunerativa mayor a la aprobada. 
* Trece (13) servidores que ocupan cargos con una escala remunerativa menor a la aprobada.
* Diez (10) puestos que constan registrados en el Distributivo y no constan en el Manual de Puestos contemplado para las Direcciones Distritales.
* Cinco (5) cargos en los cuales la entidad registra una escala propia, en el grupo ocupacional de los servidores.
* Y la UATH institucional registro el grupo ocupacional de diecisiete (17) personas, en lugar de la denominación del cargo de los servidores.</t>
  </si>
  <si>
    <t>La UATH institucional disponía del Reglamento Interno de Higiene y Seguridad del Ministerio de Educación - Dirección Distrital 11D01 Loja - Educación, aprobado mediante Resolución MDT-RHS2022201398, de 15 de marzo de 2022 vigente, sin embargo, 
no presentó el Reglamento Interno de Higiene y Seguridad con vigencia entre enero 2021 a marzo 2022.</t>
  </si>
  <si>
    <t>La entidad no justifica las razones respecto a la aprobación e implementación del Modelo de Gestión, Estatuto Orgánico de Gestión Organizacional por Procesos, Estructura Organizacional y Manual de Descripción, Valoración y Clasificación de Puestos,  observadas en apego a lo establecido en la normativa.</t>
  </si>
  <si>
    <t>Mediante MINEDUC-CZ7-11D01-2023-0495-OF, de 07/09/2023, la entidad manifiesta: "(…)una vez que se ha revisado los resultados del estudio de control en el ámbito de Talento Humano, remuneraciones y desarrollo nstitucional realizado en el año 2023 al Ministerio de Educación – Dirección Distrital 11D01 Loja, por parte de la Dirección Regional de Trabajo y Servicio Público de Loja; la Dirección Distrital 11D01 Loja – Educación procederá a elaborar un PLAN DE MEJORAS para corregir, enmendar, rectificar y/o mejorar las observaciones emitidas en el estudio de control realizado por la institución (...)"</t>
  </si>
  <si>
    <t>Impedimento legal para ejercer cargos públicos, procedimiento, reporte y registro de servidores desvinculados por las casuales de ley que generan impedimento legal para ejercer cargo público.</t>
  </si>
  <si>
    <t>La entidad no justifica las razones respecto al procedimiento, reporte y registro de servidores desvinculados por las casuales de ley que generan impedimento legal para ejercer cargo público.</t>
  </si>
  <si>
    <t>La entidad no justifica las razones respecto al procedimiento y cumplimiento de requisitos y aplicación de la normativa vigente respecto a la ejecución de los movimientos de personal de traslados, traspasos cambios administrativos y comisiones con y sin remuneración y comisión de servicios con remuneración - viajes.</t>
  </si>
  <si>
    <t>La entidad no justifica las razones respecto a las observaciones contempladas respecto a la aprobación e implementación del Plan de Vacaciones y  cumplimiento de la normativa vigente relacionada con el otorgamiento de permisos y vacaciones a los servidores públicos.</t>
  </si>
  <si>
    <t>La entidad no justifica las razones respecto al cumplimiento para la aprobación e implementación de los instrumentos de seguridad y salud ocupacional, observadas en apego a la normativa legal vigente.</t>
  </si>
  <si>
    <t>La entidad no justifica las razones respecto al procedimiento y análisis del cumplimiento del período de tiempo y del pago de las liquidaciones, contemplado en la normativa legal vigente.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</si>
</sst>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8"/>
      <color theme="1"/>
      <name val="Calibri"/>
      <family val="2"/>
      <scheme val="minor"/>
    </font>
    <font>
      <b/>
      <sz val="10"/>
      <color theme="1"/>
      <name val="Calibri"/>
      <family val="2"/>
      <scheme val="minor"/>
    </font>
    <font>
      <sz val="9"/>
      <color indexed="81"/>
      <name val="Tahoma"/>
      <family val="2"/>
    </font>
    <font>
      <b/>
      <sz val="9"/>
      <color indexed="81"/>
      <name val="Tahoma"/>
      <family val="2"/>
    </font>
    <font>
      <b/>
      <sz val="7"/>
      <color theme="1"/>
      <name val="Calibri"/>
      <family val="2"/>
      <scheme val="minor"/>
    </font>
    <font>
      <sz val="8"/>
      <color theme="1"/>
      <name val="Arial"/>
      <family val="2"/>
    </font>
    <font>
      <b/>
      <sz val="10"/>
      <color theme="1"/>
      <name val="Arial"/>
      <family val="2"/>
    </font>
    <font>
      <b/>
      <sz val="7"/>
      <color theme="1"/>
      <name val="Arial"/>
      <family val="2"/>
    </font>
    <font>
      <sz val="10"/>
      <color theme="1"/>
      <name val="Calibri"/>
      <family val="2"/>
      <scheme val="minor"/>
    </font>
    <font>
      <b/>
      <sz val="22"/>
      <color theme="1"/>
      <name val="Calibri"/>
      <family val="2"/>
      <scheme val="minor"/>
    </font>
    <font>
      <b/>
      <sz val="16"/>
      <color theme="0"/>
      <name val="Calibri"/>
      <family val="2"/>
      <scheme val="minor"/>
    </font>
    <font>
      <i/>
      <sz val="10"/>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3">
    <xf numFmtId="0" fontId="0" fillId="0" borderId="0" xfId="0"/>
    <xf numFmtId="0" fontId="1" fillId="2" borderId="0" xfId="0" applyFont="1" applyFill="1"/>
    <xf numFmtId="0" fontId="1" fillId="2" borderId="0" xfId="0" applyFont="1" applyFill="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left" vertical="center"/>
    </xf>
    <xf numFmtId="0" fontId="6" fillId="2" borderId="0" xfId="0" applyFont="1" applyFill="1"/>
    <xf numFmtId="0" fontId="7"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left" vertical="center"/>
    </xf>
    <xf numFmtId="0" fontId="9" fillId="2" borderId="0" xfId="0" applyFont="1" applyFill="1"/>
    <xf numFmtId="0" fontId="9" fillId="2" borderId="0" xfId="0" applyFont="1" applyFill="1" applyAlignment="1">
      <alignment horizontal="center"/>
    </xf>
    <xf numFmtId="0" fontId="9" fillId="2" borderId="0" xfId="0" applyFont="1" applyFill="1" applyAlignment="1">
      <alignment horizontal="left"/>
    </xf>
    <xf numFmtId="0" fontId="2" fillId="2" borderId="0" xfId="0" applyFont="1" applyFill="1" applyAlignment="1">
      <alignment horizontal="left"/>
    </xf>
    <xf numFmtId="0" fontId="2" fillId="2" borderId="0" xfId="0" applyFont="1" applyFill="1" applyAlignment="1">
      <alignment horizontal="center"/>
    </xf>
    <xf numFmtId="0" fontId="2" fillId="2" borderId="7" xfId="0" applyFont="1" applyFill="1" applyBorder="1" applyAlignment="1">
      <alignment horizontal="center"/>
    </xf>
    <xf numFmtId="0" fontId="2" fillId="2" borderId="0" xfId="0" applyFont="1" applyFill="1"/>
    <xf numFmtId="0" fontId="2" fillId="2" borderId="8" xfId="0" applyFont="1" applyFill="1" applyBorder="1" applyAlignment="1">
      <alignment horizontal="left"/>
    </xf>
    <xf numFmtId="0" fontId="2" fillId="2" borderId="9" xfId="0" applyFont="1" applyFill="1" applyBorder="1" applyAlignment="1">
      <alignment horizontal="left"/>
    </xf>
    <xf numFmtId="0" fontId="2" fillId="2" borderId="9" xfId="0" applyFont="1" applyFill="1" applyBorder="1"/>
    <xf numFmtId="0" fontId="2" fillId="2" borderId="10" xfId="0" applyFont="1" applyFill="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9" fillId="2" borderId="1" xfId="0" applyFont="1" applyFill="1" applyBorder="1" applyAlignment="1">
      <alignment horizontal="justify" vertical="center" wrapText="1"/>
    </xf>
    <xf numFmtId="0" fontId="2" fillId="4" borderId="1" xfId="0" applyFont="1" applyFill="1" applyBorder="1" applyAlignment="1">
      <alignment horizontal="center" vertical="center"/>
    </xf>
    <xf numFmtId="0" fontId="2" fillId="2" borderId="0" xfId="0" applyFont="1" applyFill="1" applyAlignment="1">
      <alignment vertical="center"/>
    </xf>
    <xf numFmtId="0" fontId="9" fillId="2" borderId="1" xfId="0" applyFont="1" applyFill="1" applyBorder="1" applyAlignment="1">
      <alignment horizontal="center" vertical="center" wrapText="1"/>
    </xf>
    <xf numFmtId="0" fontId="13" fillId="2" borderId="0" xfId="0" applyFont="1" applyFill="1" applyAlignment="1">
      <alignment vertical="center"/>
    </xf>
    <xf numFmtId="0" fontId="2" fillId="2" borderId="2"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1" xfId="0" applyFont="1" applyFill="1" applyBorder="1" applyAlignment="1">
      <alignment horizontal="center" vertical="center"/>
    </xf>
    <xf numFmtId="0" fontId="9" fillId="0" borderId="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0" xfId="0" applyFont="1" applyFill="1" applyAlignment="1">
      <alignment horizontal="center" vertical="center"/>
    </xf>
    <xf numFmtId="0" fontId="11" fillId="5" borderId="7" xfId="0" applyFont="1" applyFill="1" applyBorder="1" applyAlignment="1">
      <alignment horizontal="center" vertical="center"/>
    </xf>
    <xf numFmtId="0" fontId="2" fillId="2" borderId="6" xfId="0" applyFont="1" applyFill="1" applyBorder="1" applyAlignment="1">
      <alignment horizontal="left"/>
    </xf>
    <xf numFmtId="0" fontId="2" fillId="2" borderId="0" xfId="0" applyFont="1" applyFill="1" applyAlignment="1">
      <alignment horizontal="left"/>
    </xf>
    <xf numFmtId="0" fontId="2" fillId="4"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15874</xdr:rowOff>
    </xdr:from>
    <xdr:to>
      <xdr:col>2</xdr:col>
      <xdr:colOff>600517</xdr:colOff>
      <xdr:row>1</xdr:row>
      <xdr:rowOff>79375</xdr:rowOff>
    </xdr:to>
    <xdr:pic>
      <xdr:nvPicPr>
        <xdr:cNvPr id="2" name="Imagen 3">
          <a:extLst>
            <a:ext uri="{FF2B5EF4-FFF2-40B4-BE49-F238E27FC236}">
              <a16:creationId xmlns:a16="http://schemas.microsoft.com/office/drawing/2014/main" id="{A6493A76-E7C5-4A60-A754-4C13A13388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874"/>
          <a:ext cx="3600892" cy="825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50"/>
  <sheetViews>
    <sheetView tabSelected="1" topLeftCell="A28" zoomScale="80" zoomScaleNormal="80" zoomScaleSheetLayoutView="100" workbookViewId="0">
      <selection activeCell="B28" sqref="B28:B29"/>
    </sheetView>
  </sheetViews>
  <sheetFormatPr baseColWidth="10" defaultRowHeight="11.25" x14ac:dyDescent="0.2"/>
  <cols>
    <col min="1" max="1" width="5.85546875" style="1" customWidth="1"/>
    <col min="2" max="2" width="39.140625" style="1" customWidth="1"/>
    <col min="3" max="3" width="61.140625" style="1" customWidth="1"/>
    <col min="4" max="4" width="76.5703125" style="1" customWidth="1"/>
    <col min="5" max="5" width="63.140625" style="1" customWidth="1"/>
    <col min="6" max="6" width="19.7109375" style="4" customWidth="1"/>
    <col min="7" max="16384" width="11.42578125" style="1"/>
  </cols>
  <sheetData>
    <row r="1" spans="1:21" s="2" customFormat="1" ht="60" customHeight="1" x14ac:dyDescent="0.25">
      <c r="A1" s="44" t="s">
        <v>4</v>
      </c>
      <c r="B1" s="45"/>
      <c r="C1" s="45"/>
      <c r="D1" s="45"/>
      <c r="E1" s="45"/>
      <c r="F1" s="46"/>
    </row>
    <row r="2" spans="1:21" ht="33" customHeight="1" x14ac:dyDescent="0.2">
      <c r="A2" s="47" t="s">
        <v>11</v>
      </c>
      <c r="B2" s="48"/>
      <c r="C2" s="48"/>
      <c r="D2" s="48"/>
      <c r="E2" s="48"/>
      <c r="F2" s="49"/>
      <c r="G2" s="7"/>
      <c r="H2" s="7"/>
      <c r="I2" s="7"/>
      <c r="J2" s="7"/>
      <c r="K2" s="7"/>
      <c r="L2" s="7"/>
      <c r="M2" s="7"/>
      <c r="N2" s="7"/>
      <c r="O2" s="7"/>
      <c r="P2" s="7"/>
      <c r="Q2" s="7"/>
      <c r="R2" s="7"/>
      <c r="S2" s="7"/>
      <c r="T2" s="7"/>
      <c r="U2" s="7"/>
    </row>
    <row r="3" spans="1:21" ht="22.5" customHeight="1" x14ac:dyDescent="0.2">
      <c r="A3" s="50" t="s">
        <v>1</v>
      </c>
      <c r="B3" s="51"/>
      <c r="C3" s="13" t="s">
        <v>20</v>
      </c>
      <c r="D3" s="14"/>
      <c r="E3" s="15"/>
      <c r="F3" s="16"/>
      <c r="G3" s="7"/>
      <c r="H3" s="7"/>
      <c r="I3" s="7"/>
      <c r="J3" s="7"/>
      <c r="K3" s="7"/>
      <c r="L3" s="7"/>
      <c r="M3" s="7"/>
      <c r="N3" s="7"/>
      <c r="O3" s="7"/>
      <c r="P3" s="7"/>
      <c r="Q3" s="7"/>
      <c r="R3" s="7"/>
      <c r="S3" s="7"/>
      <c r="T3" s="7"/>
      <c r="U3" s="7"/>
    </row>
    <row r="4" spans="1:21" ht="22.5" customHeight="1" x14ac:dyDescent="0.2">
      <c r="A4" s="50" t="s">
        <v>2</v>
      </c>
      <c r="B4" s="51"/>
      <c r="C4" s="13" t="s">
        <v>21</v>
      </c>
      <c r="D4" s="14"/>
      <c r="E4" s="15"/>
      <c r="F4" s="16"/>
      <c r="G4" s="7"/>
      <c r="H4" s="7"/>
      <c r="I4" s="7"/>
      <c r="J4" s="7"/>
      <c r="K4" s="7"/>
      <c r="L4" s="7"/>
      <c r="M4" s="7"/>
      <c r="N4" s="7"/>
      <c r="O4" s="7"/>
      <c r="P4" s="7"/>
      <c r="Q4" s="7"/>
      <c r="R4" s="7"/>
      <c r="S4" s="7"/>
      <c r="T4" s="7"/>
      <c r="U4" s="7"/>
    </row>
    <row r="5" spans="1:21" ht="22.5" customHeight="1" x14ac:dyDescent="0.2">
      <c r="A5" s="50" t="s">
        <v>3</v>
      </c>
      <c r="B5" s="51"/>
      <c r="C5" s="13" t="s">
        <v>22</v>
      </c>
      <c r="D5" s="14"/>
      <c r="E5" s="17"/>
      <c r="F5" s="16"/>
      <c r="G5" s="7"/>
      <c r="H5" s="7"/>
      <c r="I5" s="7"/>
      <c r="J5" s="7"/>
      <c r="K5" s="7"/>
      <c r="L5" s="7"/>
      <c r="M5" s="7"/>
      <c r="N5" s="7"/>
      <c r="O5" s="7"/>
      <c r="P5" s="7"/>
      <c r="Q5" s="7"/>
      <c r="R5" s="7"/>
      <c r="S5" s="7"/>
      <c r="T5" s="7"/>
      <c r="U5" s="7"/>
    </row>
    <row r="6" spans="1:21" ht="12.75" x14ac:dyDescent="0.2">
      <c r="A6" s="18"/>
      <c r="B6" s="19"/>
      <c r="C6" s="19"/>
      <c r="D6" s="19"/>
      <c r="E6" s="20"/>
      <c r="F6" s="21"/>
      <c r="G6" s="7"/>
      <c r="H6" s="7"/>
      <c r="I6" s="7"/>
      <c r="J6" s="7"/>
      <c r="K6" s="7"/>
      <c r="L6" s="7"/>
      <c r="M6" s="7"/>
      <c r="N6" s="7"/>
      <c r="O6" s="7"/>
      <c r="P6" s="7"/>
      <c r="Q6" s="7"/>
      <c r="R6" s="7"/>
      <c r="S6" s="7"/>
      <c r="T6" s="7"/>
      <c r="U6" s="7"/>
    </row>
    <row r="7" spans="1:21" s="3" customFormat="1" ht="66.75" customHeight="1" x14ac:dyDescent="0.25">
      <c r="A7" s="22" t="s">
        <v>6</v>
      </c>
      <c r="B7" s="22" t="s">
        <v>0</v>
      </c>
      <c r="C7" s="22" t="s">
        <v>7</v>
      </c>
      <c r="D7" s="23" t="s">
        <v>8</v>
      </c>
      <c r="E7" s="23" t="s">
        <v>9</v>
      </c>
      <c r="F7" s="23" t="s">
        <v>10</v>
      </c>
      <c r="G7" s="8"/>
      <c r="H7" s="8"/>
      <c r="I7" s="8"/>
      <c r="J7" s="8"/>
      <c r="K7" s="8"/>
      <c r="L7" s="8"/>
      <c r="M7" s="8"/>
      <c r="N7" s="8"/>
      <c r="O7" s="8"/>
      <c r="P7" s="8"/>
      <c r="Q7" s="8"/>
      <c r="R7" s="8"/>
      <c r="S7" s="8"/>
      <c r="T7" s="8"/>
      <c r="U7" s="8"/>
    </row>
    <row r="8" spans="1:21" s="5" customFormat="1" ht="130.5" customHeight="1" x14ac:dyDescent="0.25">
      <c r="A8" s="24">
        <v>1</v>
      </c>
      <c r="B8" s="39" t="s">
        <v>16</v>
      </c>
      <c r="C8" s="25" t="s">
        <v>23</v>
      </c>
      <c r="D8" s="41" t="s">
        <v>43</v>
      </c>
      <c r="E8" s="36" t="s">
        <v>47</v>
      </c>
      <c r="F8" s="33" t="s">
        <v>19</v>
      </c>
      <c r="G8" s="9"/>
      <c r="H8" s="9"/>
      <c r="I8" s="9"/>
      <c r="J8" s="9"/>
      <c r="K8" s="9"/>
      <c r="L8" s="9"/>
      <c r="M8" s="9"/>
      <c r="N8" s="9"/>
      <c r="O8" s="9"/>
      <c r="P8" s="9"/>
      <c r="Q8" s="9"/>
      <c r="R8" s="9"/>
      <c r="S8" s="9"/>
      <c r="T8" s="9"/>
      <c r="U8" s="9"/>
    </row>
    <row r="9" spans="1:21" s="5" customFormat="1" ht="85.5" customHeight="1" x14ac:dyDescent="0.25">
      <c r="A9" s="24">
        <v>2</v>
      </c>
      <c r="B9" s="52"/>
      <c r="C9" s="25" t="s">
        <v>24</v>
      </c>
      <c r="D9" s="42"/>
      <c r="E9" s="37"/>
      <c r="F9" s="34"/>
      <c r="G9" s="9"/>
      <c r="H9" s="9"/>
      <c r="I9" s="9"/>
      <c r="J9" s="9"/>
      <c r="K9" s="9"/>
      <c r="L9" s="9"/>
      <c r="M9" s="9"/>
      <c r="N9" s="9"/>
      <c r="O9" s="9"/>
      <c r="P9" s="9"/>
      <c r="Q9" s="9"/>
      <c r="R9" s="9"/>
      <c r="S9" s="9"/>
      <c r="T9" s="9"/>
      <c r="U9" s="9"/>
    </row>
    <row r="10" spans="1:21" s="5" customFormat="1" ht="117.75" customHeight="1" x14ac:dyDescent="0.25">
      <c r="A10" s="27">
        <v>3</v>
      </c>
      <c r="B10" s="52"/>
      <c r="C10" s="31" t="s">
        <v>25</v>
      </c>
      <c r="D10" s="42"/>
      <c r="E10" s="37"/>
      <c r="F10" s="34"/>
      <c r="G10" s="9"/>
      <c r="H10" s="9"/>
      <c r="I10" s="9"/>
      <c r="J10" s="9"/>
      <c r="K10" s="9"/>
      <c r="L10" s="9"/>
      <c r="M10" s="9"/>
      <c r="N10" s="9"/>
      <c r="O10" s="9"/>
      <c r="P10" s="9"/>
      <c r="Q10" s="9"/>
      <c r="R10" s="9"/>
      <c r="S10" s="9"/>
      <c r="T10" s="9"/>
      <c r="U10" s="9"/>
    </row>
    <row r="11" spans="1:21" s="5" customFormat="1" ht="175.5" customHeight="1" x14ac:dyDescent="0.25">
      <c r="A11" s="24">
        <v>4</v>
      </c>
      <c r="B11" s="52"/>
      <c r="C11" s="25" t="s">
        <v>26</v>
      </c>
      <c r="D11" s="42"/>
      <c r="E11" s="37"/>
      <c r="F11" s="34"/>
      <c r="G11" s="9"/>
      <c r="H11" s="9"/>
      <c r="I11" s="9"/>
      <c r="J11" s="9"/>
      <c r="K11" s="9"/>
      <c r="L11" s="9"/>
      <c r="M11" s="9"/>
      <c r="N11" s="9"/>
      <c r="O11" s="9"/>
      <c r="P11" s="9"/>
      <c r="Q11" s="9"/>
      <c r="R11" s="9"/>
      <c r="S11" s="9"/>
      <c r="T11" s="9"/>
      <c r="U11" s="9"/>
    </row>
    <row r="12" spans="1:21" s="5" customFormat="1" ht="261.75" customHeight="1" x14ac:dyDescent="0.25">
      <c r="A12" s="24">
        <v>5</v>
      </c>
      <c r="B12" s="52"/>
      <c r="C12" s="28" t="s">
        <v>45</v>
      </c>
      <c r="D12" s="42"/>
      <c r="E12" s="37"/>
      <c r="F12" s="34"/>
      <c r="G12" s="9"/>
      <c r="H12" s="9"/>
      <c r="I12" s="9"/>
      <c r="J12" s="9"/>
      <c r="K12" s="9"/>
      <c r="L12" s="9"/>
      <c r="M12" s="9"/>
      <c r="N12" s="9"/>
      <c r="O12" s="9"/>
      <c r="P12" s="9"/>
      <c r="Q12" s="9"/>
      <c r="R12" s="9"/>
      <c r="S12" s="9"/>
      <c r="T12" s="9"/>
      <c r="U12" s="9"/>
    </row>
    <row r="13" spans="1:21" s="6" customFormat="1" ht="167.25" customHeight="1" x14ac:dyDescent="0.25">
      <c r="A13" s="24">
        <v>6</v>
      </c>
      <c r="B13" s="52"/>
      <c r="C13" s="25" t="s">
        <v>27</v>
      </c>
      <c r="D13" s="42"/>
      <c r="E13" s="37"/>
      <c r="F13" s="34"/>
      <c r="G13" s="10"/>
      <c r="H13" s="10"/>
      <c r="I13" s="10"/>
      <c r="J13" s="10"/>
      <c r="K13" s="10"/>
      <c r="L13" s="10"/>
      <c r="M13" s="10"/>
      <c r="N13" s="10"/>
      <c r="O13" s="10"/>
      <c r="P13" s="10"/>
      <c r="Q13" s="10"/>
      <c r="R13" s="10"/>
      <c r="S13" s="10"/>
      <c r="T13" s="10"/>
      <c r="U13" s="10"/>
    </row>
    <row r="14" spans="1:21" s="5" customFormat="1" ht="85.5" customHeight="1" x14ac:dyDescent="0.25">
      <c r="A14" s="24">
        <v>7</v>
      </c>
      <c r="B14" s="52"/>
      <c r="C14" s="25" t="s">
        <v>28</v>
      </c>
      <c r="D14" s="43"/>
      <c r="E14" s="38"/>
      <c r="F14" s="35"/>
      <c r="G14" s="9"/>
      <c r="H14" s="9"/>
      <c r="I14" s="9"/>
      <c r="J14" s="9"/>
      <c r="K14" s="9"/>
      <c r="L14" s="9"/>
      <c r="M14" s="9"/>
      <c r="N14" s="9"/>
      <c r="O14" s="9"/>
      <c r="P14" s="9"/>
      <c r="Q14" s="9"/>
      <c r="R14" s="9"/>
      <c r="S14" s="9"/>
      <c r="T14" s="9"/>
      <c r="U14" s="9"/>
    </row>
    <row r="15" spans="1:21" s="5" customFormat="1" ht="90" customHeight="1" x14ac:dyDescent="0.25">
      <c r="A15" s="29">
        <v>8</v>
      </c>
      <c r="B15" s="39" t="s">
        <v>49</v>
      </c>
      <c r="C15" s="25" t="s">
        <v>29</v>
      </c>
      <c r="D15" s="41" t="s">
        <v>43</v>
      </c>
      <c r="E15" s="36" t="s">
        <v>50</v>
      </c>
      <c r="F15" s="33" t="s">
        <v>19</v>
      </c>
      <c r="G15" s="9"/>
      <c r="H15" s="9"/>
      <c r="I15" s="9"/>
      <c r="J15" s="9"/>
      <c r="K15" s="9"/>
      <c r="L15" s="9"/>
      <c r="M15" s="9"/>
      <c r="N15" s="9"/>
      <c r="O15" s="9"/>
      <c r="P15" s="9"/>
      <c r="Q15" s="9"/>
      <c r="R15" s="9"/>
      <c r="S15" s="9"/>
      <c r="T15" s="9"/>
      <c r="U15" s="9"/>
    </row>
    <row r="16" spans="1:21" s="5" customFormat="1" ht="81.75" customHeight="1" x14ac:dyDescent="0.25">
      <c r="A16" s="29">
        <v>9</v>
      </c>
      <c r="B16" s="52"/>
      <c r="C16" s="25" t="s">
        <v>30</v>
      </c>
      <c r="D16" s="42"/>
      <c r="E16" s="37"/>
      <c r="F16" s="34"/>
      <c r="G16" s="9"/>
      <c r="H16" s="9"/>
      <c r="I16" s="9"/>
      <c r="J16" s="9"/>
      <c r="K16" s="9"/>
      <c r="L16" s="9"/>
      <c r="M16" s="9"/>
      <c r="N16" s="9"/>
      <c r="O16" s="9"/>
      <c r="P16" s="9"/>
      <c r="Q16" s="9"/>
      <c r="R16" s="9"/>
      <c r="S16" s="9"/>
      <c r="T16" s="9"/>
      <c r="U16" s="9"/>
    </row>
    <row r="17" spans="1:21" s="5" customFormat="1" ht="60.75" customHeight="1" x14ac:dyDescent="0.25">
      <c r="A17" s="29">
        <v>10</v>
      </c>
      <c r="B17" s="52" t="s">
        <v>14</v>
      </c>
      <c r="C17" s="25" t="s">
        <v>31</v>
      </c>
      <c r="D17" s="42" t="s">
        <v>48</v>
      </c>
      <c r="E17" s="37" t="s">
        <v>51</v>
      </c>
      <c r="F17" s="34" t="s">
        <v>19</v>
      </c>
      <c r="G17" s="9"/>
      <c r="H17" s="9"/>
      <c r="I17" s="9"/>
      <c r="J17" s="9"/>
      <c r="K17" s="9"/>
      <c r="L17" s="9"/>
      <c r="M17" s="9"/>
      <c r="N17" s="9"/>
      <c r="O17" s="9"/>
      <c r="P17" s="9"/>
      <c r="Q17" s="9"/>
      <c r="R17" s="9"/>
      <c r="S17" s="9"/>
      <c r="T17" s="9"/>
      <c r="U17" s="9"/>
    </row>
    <row r="18" spans="1:21" s="5" customFormat="1" ht="60.75" customHeight="1" x14ac:dyDescent="0.25">
      <c r="A18" s="29">
        <v>11</v>
      </c>
      <c r="B18" s="40"/>
      <c r="C18" s="25" t="s">
        <v>32</v>
      </c>
      <c r="D18" s="43"/>
      <c r="E18" s="38"/>
      <c r="F18" s="35"/>
      <c r="G18" s="9"/>
      <c r="H18" s="9"/>
      <c r="I18" s="9"/>
      <c r="J18" s="9"/>
      <c r="K18" s="9"/>
      <c r="L18" s="9"/>
      <c r="M18" s="9"/>
      <c r="N18" s="9"/>
      <c r="O18" s="9"/>
      <c r="P18" s="9"/>
      <c r="Q18" s="9"/>
      <c r="R18" s="9"/>
      <c r="S18" s="9"/>
      <c r="T18" s="9"/>
      <c r="U18" s="9"/>
    </row>
    <row r="19" spans="1:21" s="5" customFormat="1" ht="77.25" customHeight="1" x14ac:dyDescent="0.25">
      <c r="A19" s="29">
        <v>12</v>
      </c>
      <c r="B19" s="39" t="s">
        <v>17</v>
      </c>
      <c r="C19" s="25" t="s">
        <v>33</v>
      </c>
      <c r="D19" s="41" t="s">
        <v>43</v>
      </c>
      <c r="E19" s="36" t="s">
        <v>52</v>
      </c>
      <c r="F19" s="33" t="s">
        <v>19</v>
      </c>
      <c r="G19" s="9"/>
      <c r="H19" s="9"/>
      <c r="I19" s="9"/>
      <c r="J19" s="9"/>
      <c r="K19" s="9"/>
      <c r="L19" s="9"/>
      <c r="M19" s="9"/>
      <c r="N19" s="9"/>
      <c r="O19" s="9"/>
      <c r="P19" s="9"/>
      <c r="Q19" s="9"/>
      <c r="R19" s="9"/>
      <c r="S19" s="9"/>
      <c r="T19" s="9"/>
      <c r="U19" s="9"/>
    </row>
    <row r="20" spans="1:21" s="5" customFormat="1" ht="97.5" customHeight="1" x14ac:dyDescent="0.25">
      <c r="A20" s="29">
        <v>13</v>
      </c>
      <c r="B20" s="52"/>
      <c r="C20" s="25" t="s">
        <v>34</v>
      </c>
      <c r="D20" s="42"/>
      <c r="E20" s="37"/>
      <c r="F20" s="34"/>
      <c r="G20" s="9"/>
      <c r="H20" s="9"/>
      <c r="I20" s="9"/>
      <c r="J20" s="9"/>
      <c r="K20" s="9"/>
      <c r="L20" s="9"/>
      <c r="M20" s="9"/>
      <c r="N20" s="9"/>
      <c r="O20" s="9"/>
      <c r="P20" s="9"/>
      <c r="Q20" s="9"/>
      <c r="R20" s="9"/>
      <c r="S20" s="9"/>
      <c r="T20" s="9"/>
      <c r="U20" s="9"/>
    </row>
    <row r="21" spans="1:21" s="5" customFormat="1" ht="72.75" customHeight="1" x14ac:dyDescent="0.25">
      <c r="A21" s="29">
        <v>14</v>
      </c>
      <c r="B21" s="52"/>
      <c r="C21" s="25" t="s">
        <v>35</v>
      </c>
      <c r="D21" s="42"/>
      <c r="E21" s="37"/>
      <c r="F21" s="34"/>
      <c r="G21" s="9"/>
      <c r="H21" s="9"/>
      <c r="I21" s="9"/>
      <c r="J21" s="9"/>
      <c r="K21" s="9"/>
      <c r="L21" s="9"/>
      <c r="M21" s="9"/>
      <c r="N21" s="9"/>
      <c r="O21" s="9"/>
      <c r="P21" s="9"/>
      <c r="Q21" s="9"/>
      <c r="R21" s="9"/>
      <c r="S21" s="9"/>
      <c r="T21" s="9"/>
      <c r="U21" s="9"/>
    </row>
    <row r="22" spans="1:21" s="5" customFormat="1" ht="87.75" customHeight="1" x14ac:dyDescent="0.25">
      <c r="A22" s="29">
        <v>15</v>
      </c>
      <c r="B22" s="52"/>
      <c r="C22" s="25" t="s">
        <v>36</v>
      </c>
      <c r="D22" s="42"/>
      <c r="E22" s="37"/>
      <c r="F22" s="34"/>
      <c r="G22" s="9"/>
      <c r="H22" s="9"/>
      <c r="I22" s="9"/>
      <c r="J22" s="9"/>
      <c r="K22" s="9"/>
      <c r="L22" s="9"/>
      <c r="M22" s="9"/>
      <c r="N22" s="9"/>
      <c r="O22" s="9"/>
      <c r="P22" s="9"/>
      <c r="Q22" s="9"/>
      <c r="R22" s="9"/>
      <c r="S22" s="9"/>
      <c r="T22" s="9"/>
      <c r="U22" s="9"/>
    </row>
    <row r="23" spans="1:21" s="5" customFormat="1" ht="91.5" customHeight="1" x14ac:dyDescent="0.25">
      <c r="A23" s="29">
        <v>16</v>
      </c>
      <c r="B23" s="52"/>
      <c r="C23" s="25" t="s">
        <v>37</v>
      </c>
      <c r="D23" s="42"/>
      <c r="E23" s="37"/>
      <c r="F23" s="34"/>
      <c r="G23" s="9"/>
      <c r="H23" s="9"/>
      <c r="I23" s="9"/>
      <c r="J23" s="9"/>
      <c r="K23" s="9"/>
      <c r="L23" s="9"/>
      <c r="M23" s="9"/>
      <c r="N23" s="9"/>
      <c r="O23" s="9"/>
      <c r="P23" s="9"/>
      <c r="Q23" s="9"/>
      <c r="R23" s="9"/>
      <c r="S23" s="9"/>
      <c r="T23" s="9"/>
      <c r="U23" s="9"/>
    </row>
    <row r="24" spans="1:21" s="5" customFormat="1" ht="105.75" customHeight="1" x14ac:dyDescent="0.25">
      <c r="A24" s="29">
        <v>17</v>
      </c>
      <c r="B24" s="52"/>
      <c r="C24" s="25" t="s">
        <v>38</v>
      </c>
      <c r="D24" s="43"/>
      <c r="E24" s="38"/>
      <c r="F24" s="35"/>
      <c r="G24" s="9"/>
      <c r="H24" s="9"/>
      <c r="I24" s="9"/>
      <c r="J24" s="9"/>
      <c r="K24" s="9"/>
      <c r="L24" s="9"/>
      <c r="M24" s="9"/>
      <c r="N24" s="9"/>
      <c r="O24" s="9"/>
      <c r="P24" s="9"/>
      <c r="Q24" s="9"/>
      <c r="R24" s="9"/>
      <c r="S24" s="9"/>
      <c r="T24" s="9"/>
      <c r="U24" s="9"/>
    </row>
    <row r="25" spans="1:21" s="5" customFormat="1" ht="36.75" customHeight="1" x14ac:dyDescent="0.25">
      <c r="A25" s="29">
        <v>18</v>
      </c>
      <c r="B25" s="52" t="s">
        <v>18</v>
      </c>
      <c r="C25" s="25" t="s">
        <v>39</v>
      </c>
      <c r="D25" s="41" t="s">
        <v>44</v>
      </c>
      <c r="E25" s="36" t="s">
        <v>53</v>
      </c>
      <c r="F25" s="33" t="s">
        <v>19</v>
      </c>
      <c r="G25" s="9"/>
      <c r="H25" s="9"/>
      <c r="I25" s="9"/>
      <c r="J25" s="9"/>
      <c r="K25" s="9"/>
      <c r="L25" s="9"/>
      <c r="M25" s="9"/>
      <c r="N25" s="9"/>
      <c r="O25" s="9"/>
      <c r="P25" s="9"/>
      <c r="Q25" s="9"/>
      <c r="R25" s="9"/>
      <c r="S25" s="9"/>
      <c r="T25" s="9"/>
      <c r="U25" s="9"/>
    </row>
    <row r="26" spans="1:21" s="5" customFormat="1" ht="89.25" customHeight="1" x14ac:dyDescent="0.25">
      <c r="A26" s="29">
        <v>19</v>
      </c>
      <c r="B26" s="52"/>
      <c r="C26" s="25" t="s">
        <v>46</v>
      </c>
      <c r="D26" s="42"/>
      <c r="E26" s="37"/>
      <c r="F26" s="34"/>
      <c r="G26" s="9"/>
      <c r="H26" s="9"/>
      <c r="I26" s="9"/>
      <c r="J26" s="9"/>
      <c r="K26" s="9"/>
      <c r="L26" s="9"/>
      <c r="M26" s="9"/>
      <c r="N26" s="9"/>
      <c r="O26" s="9"/>
      <c r="P26" s="9"/>
      <c r="Q26" s="9"/>
      <c r="R26" s="9"/>
      <c r="S26" s="9"/>
      <c r="T26" s="9"/>
      <c r="U26" s="9"/>
    </row>
    <row r="27" spans="1:21" s="5" customFormat="1" ht="98.25" customHeight="1" x14ac:dyDescent="0.25">
      <c r="A27" s="29">
        <v>20</v>
      </c>
      <c r="B27" s="40"/>
      <c r="C27" s="25" t="s">
        <v>40</v>
      </c>
      <c r="D27" s="43"/>
      <c r="E27" s="38"/>
      <c r="F27" s="35"/>
      <c r="G27" s="9"/>
      <c r="H27" s="9"/>
      <c r="I27" s="9"/>
      <c r="J27" s="9"/>
      <c r="K27" s="9"/>
      <c r="L27" s="9"/>
      <c r="M27" s="9"/>
      <c r="N27" s="9"/>
      <c r="O27" s="9"/>
      <c r="P27" s="9"/>
      <c r="Q27" s="9"/>
      <c r="R27" s="9"/>
      <c r="S27" s="9"/>
      <c r="T27" s="9"/>
      <c r="U27" s="9"/>
    </row>
    <row r="28" spans="1:21" s="5" customFormat="1" ht="60" customHeight="1" x14ac:dyDescent="0.25">
      <c r="A28" s="29">
        <v>21</v>
      </c>
      <c r="B28" s="39" t="s">
        <v>15</v>
      </c>
      <c r="C28" s="26" t="s">
        <v>41</v>
      </c>
      <c r="D28" s="41" t="s">
        <v>43</v>
      </c>
      <c r="E28" s="36" t="s">
        <v>54</v>
      </c>
      <c r="F28" s="33" t="s">
        <v>19</v>
      </c>
      <c r="G28" s="9"/>
      <c r="H28" s="9"/>
      <c r="I28" s="9"/>
      <c r="J28" s="9"/>
      <c r="K28" s="9"/>
      <c r="L28" s="9"/>
      <c r="M28" s="9"/>
      <c r="N28" s="9"/>
      <c r="O28" s="9"/>
      <c r="P28" s="9"/>
      <c r="Q28" s="9"/>
      <c r="R28" s="9"/>
      <c r="S28" s="9"/>
      <c r="T28" s="9"/>
      <c r="U28" s="9"/>
    </row>
    <row r="29" spans="1:21" s="5" customFormat="1" ht="60" customHeight="1" x14ac:dyDescent="0.25">
      <c r="A29" s="27">
        <v>22</v>
      </c>
      <c r="B29" s="40"/>
      <c r="C29" s="28" t="s">
        <v>42</v>
      </c>
      <c r="D29" s="43"/>
      <c r="E29" s="38"/>
      <c r="F29" s="35"/>
      <c r="G29" s="9"/>
      <c r="H29" s="9"/>
      <c r="I29" s="9"/>
      <c r="J29" s="9"/>
      <c r="K29" s="9"/>
      <c r="L29" s="9"/>
      <c r="M29" s="9"/>
      <c r="N29" s="9"/>
      <c r="O29" s="9"/>
      <c r="P29" s="9"/>
      <c r="Q29" s="9"/>
      <c r="R29" s="9"/>
      <c r="S29" s="9"/>
      <c r="T29" s="9"/>
      <c r="U29" s="9"/>
    </row>
    <row r="30" spans="1:21" ht="12.75" x14ac:dyDescent="0.2">
      <c r="A30" s="11"/>
      <c r="B30" s="11"/>
      <c r="C30" s="11"/>
      <c r="D30" s="11"/>
      <c r="E30" s="11"/>
      <c r="F30" s="12"/>
      <c r="G30" s="7"/>
      <c r="H30" s="7"/>
      <c r="I30" s="7"/>
      <c r="J30" s="7"/>
      <c r="K30" s="7"/>
      <c r="L30" s="7"/>
      <c r="M30" s="7"/>
      <c r="N30" s="7"/>
      <c r="O30" s="7"/>
      <c r="P30" s="7"/>
      <c r="Q30" s="7"/>
      <c r="R30" s="7"/>
      <c r="S30" s="7"/>
      <c r="T30" s="7"/>
      <c r="U30" s="7"/>
    </row>
    <row r="31" spans="1:21" ht="12.75" x14ac:dyDescent="0.2">
      <c r="A31" s="11"/>
      <c r="B31" s="11"/>
      <c r="C31" s="11"/>
      <c r="D31" s="11"/>
      <c r="E31" s="11"/>
      <c r="F31" s="12"/>
      <c r="G31" s="7"/>
      <c r="H31" s="7"/>
      <c r="I31" s="7"/>
      <c r="J31" s="7"/>
      <c r="K31" s="7"/>
      <c r="L31" s="7"/>
      <c r="M31" s="7"/>
      <c r="N31" s="7"/>
      <c r="O31" s="7"/>
      <c r="P31" s="7"/>
      <c r="Q31" s="7"/>
      <c r="R31" s="7"/>
      <c r="S31" s="7"/>
      <c r="T31" s="7"/>
      <c r="U31" s="7"/>
    </row>
    <row r="32" spans="1:21" ht="12.75" x14ac:dyDescent="0.2">
      <c r="A32" s="11"/>
      <c r="B32" s="11"/>
      <c r="C32" s="11"/>
      <c r="D32" s="11"/>
      <c r="E32" s="11"/>
      <c r="F32" s="12"/>
      <c r="G32" s="7"/>
      <c r="H32" s="7"/>
      <c r="I32" s="7"/>
      <c r="J32" s="7"/>
      <c r="K32" s="7"/>
      <c r="L32" s="7"/>
      <c r="M32" s="7"/>
      <c r="N32" s="7"/>
      <c r="O32" s="7"/>
      <c r="P32" s="7"/>
      <c r="Q32" s="7"/>
      <c r="R32" s="7"/>
      <c r="S32" s="7"/>
      <c r="T32" s="7"/>
      <c r="U32" s="7"/>
    </row>
    <row r="33" spans="1:21" ht="33.75" customHeight="1" x14ac:dyDescent="0.2">
      <c r="A33" s="11"/>
      <c r="B33" s="11"/>
      <c r="C33" s="11"/>
      <c r="D33" s="11"/>
      <c r="E33" s="11"/>
      <c r="F33" s="12"/>
      <c r="G33" s="7"/>
      <c r="H33" s="7"/>
      <c r="I33" s="7"/>
      <c r="J33" s="7"/>
      <c r="K33" s="7"/>
      <c r="L33" s="7"/>
      <c r="M33" s="7"/>
      <c r="N33" s="7"/>
      <c r="O33" s="7"/>
      <c r="P33" s="7"/>
      <c r="Q33" s="7"/>
      <c r="R33" s="7"/>
      <c r="S33" s="7"/>
      <c r="T33" s="7"/>
      <c r="U33" s="7"/>
    </row>
    <row r="34" spans="1:21" ht="15" customHeight="1" x14ac:dyDescent="0.2">
      <c r="A34" s="11"/>
      <c r="B34" s="11"/>
      <c r="C34" s="32" t="s">
        <v>12</v>
      </c>
      <c r="D34" s="30"/>
      <c r="E34" s="11"/>
      <c r="F34" s="12"/>
      <c r="G34" s="7"/>
      <c r="H34" s="7"/>
      <c r="I34" s="7"/>
      <c r="J34" s="7"/>
      <c r="K34" s="7"/>
      <c r="L34" s="7"/>
      <c r="M34" s="7"/>
      <c r="N34" s="7"/>
      <c r="O34" s="7"/>
      <c r="P34" s="7"/>
      <c r="Q34" s="7"/>
      <c r="R34" s="7"/>
      <c r="S34" s="7"/>
      <c r="T34" s="7"/>
      <c r="U34" s="7"/>
    </row>
    <row r="35" spans="1:21" ht="15" customHeight="1" x14ac:dyDescent="0.2">
      <c r="A35" s="11"/>
      <c r="B35" s="11"/>
      <c r="C35" s="32" t="s">
        <v>13</v>
      </c>
      <c r="D35" s="30"/>
      <c r="E35" s="11"/>
      <c r="F35" s="12"/>
      <c r="G35" s="7"/>
      <c r="H35" s="7"/>
      <c r="I35" s="7"/>
      <c r="J35" s="7"/>
      <c r="K35" s="7"/>
      <c r="L35" s="7"/>
      <c r="M35" s="7"/>
      <c r="N35" s="7"/>
      <c r="O35" s="7"/>
      <c r="P35" s="7"/>
      <c r="Q35" s="7"/>
      <c r="R35" s="7"/>
      <c r="S35" s="7"/>
      <c r="T35" s="7"/>
      <c r="U35" s="7"/>
    </row>
    <row r="36" spans="1:21" ht="15" customHeight="1" x14ac:dyDescent="0.2">
      <c r="A36" s="11"/>
      <c r="B36" s="11"/>
      <c r="C36" s="32" t="s">
        <v>5</v>
      </c>
      <c r="D36" s="30"/>
      <c r="E36" s="11"/>
      <c r="F36" s="12"/>
      <c r="G36" s="7"/>
      <c r="H36" s="7"/>
      <c r="I36" s="7"/>
      <c r="J36" s="7"/>
      <c r="K36" s="7"/>
      <c r="L36" s="7"/>
      <c r="M36" s="7"/>
      <c r="N36" s="7"/>
      <c r="O36" s="7"/>
      <c r="P36" s="7"/>
      <c r="Q36" s="7"/>
      <c r="R36" s="7"/>
      <c r="S36" s="7"/>
      <c r="T36" s="7"/>
      <c r="U36" s="7"/>
    </row>
    <row r="37" spans="1:21" ht="12.75" x14ac:dyDescent="0.2">
      <c r="A37" s="11"/>
      <c r="B37" s="11"/>
      <c r="C37" s="11"/>
      <c r="D37" s="11"/>
      <c r="E37" s="11"/>
      <c r="F37" s="12"/>
      <c r="G37" s="7"/>
      <c r="H37" s="7"/>
      <c r="I37" s="7"/>
      <c r="J37" s="7"/>
      <c r="K37" s="7"/>
      <c r="L37" s="7"/>
      <c r="M37" s="7"/>
      <c r="N37" s="7"/>
      <c r="O37" s="7"/>
      <c r="P37" s="7"/>
      <c r="Q37" s="7"/>
      <c r="R37" s="7"/>
      <c r="S37" s="7"/>
      <c r="T37" s="7"/>
      <c r="U37" s="7"/>
    </row>
    <row r="38" spans="1:21" ht="12.75" x14ac:dyDescent="0.2">
      <c r="A38" s="11"/>
      <c r="B38" s="11"/>
      <c r="C38" s="11"/>
      <c r="D38" s="11"/>
      <c r="E38" s="11"/>
      <c r="F38" s="12"/>
      <c r="G38" s="7"/>
      <c r="H38" s="7"/>
      <c r="I38" s="7"/>
      <c r="J38" s="7"/>
      <c r="K38" s="7"/>
      <c r="L38" s="7"/>
      <c r="M38" s="7"/>
      <c r="N38" s="7"/>
      <c r="O38" s="7"/>
      <c r="P38" s="7"/>
      <c r="Q38" s="7"/>
      <c r="R38" s="7"/>
      <c r="S38" s="7"/>
      <c r="T38" s="7"/>
      <c r="U38" s="7"/>
    </row>
    <row r="39" spans="1:21" ht="12.75" x14ac:dyDescent="0.2">
      <c r="A39" s="11"/>
      <c r="B39" s="11"/>
      <c r="C39" s="11"/>
      <c r="D39" s="11"/>
      <c r="E39" s="11"/>
      <c r="F39" s="12"/>
      <c r="G39" s="7"/>
      <c r="H39" s="7"/>
      <c r="I39" s="7"/>
      <c r="J39" s="7"/>
      <c r="K39" s="7"/>
      <c r="L39" s="7"/>
      <c r="M39" s="7"/>
      <c r="N39" s="7"/>
      <c r="O39" s="7"/>
      <c r="P39" s="7"/>
      <c r="Q39" s="7"/>
      <c r="R39" s="7"/>
      <c r="S39" s="7"/>
      <c r="T39" s="7"/>
      <c r="U39" s="7"/>
    </row>
    <row r="40" spans="1:21" ht="12.75" x14ac:dyDescent="0.2">
      <c r="A40" s="11"/>
      <c r="B40" s="11"/>
      <c r="C40" s="11"/>
      <c r="D40" s="11"/>
      <c r="E40" s="11"/>
      <c r="F40" s="12"/>
      <c r="G40" s="7"/>
      <c r="H40" s="7"/>
      <c r="I40" s="7"/>
      <c r="J40" s="7"/>
      <c r="K40" s="7"/>
      <c r="L40" s="7"/>
      <c r="M40" s="7"/>
      <c r="N40" s="7"/>
      <c r="O40" s="7"/>
      <c r="P40" s="7"/>
      <c r="Q40" s="7"/>
      <c r="R40" s="7"/>
      <c r="S40" s="7"/>
      <c r="T40" s="7"/>
      <c r="U40" s="7"/>
    </row>
    <row r="41" spans="1:21" ht="12.75" x14ac:dyDescent="0.2">
      <c r="A41" s="11"/>
      <c r="B41" s="11"/>
      <c r="C41" s="11"/>
      <c r="D41" s="11"/>
      <c r="E41" s="11"/>
      <c r="F41" s="12"/>
      <c r="G41" s="7"/>
      <c r="H41" s="7"/>
      <c r="I41" s="7"/>
      <c r="J41" s="7"/>
      <c r="K41" s="7"/>
      <c r="L41" s="7"/>
      <c r="M41" s="7"/>
      <c r="N41" s="7"/>
      <c r="O41" s="7"/>
      <c r="P41" s="7"/>
      <c r="Q41" s="7"/>
      <c r="R41" s="7"/>
      <c r="S41" s="7"/>
      <c r="T41" s="7"/>
      <c r="U41" s="7"/>
    </row>
    <row r="42" spans="1:21" ht="12.75" x14ac:dyDescent="0.2">
      <c r="A42" s="11"/>
      <c r="B42" s="11"/>
      <c r="C42" s="11"/>
      <c r="D42" s="11"/>
      <c r="E42" s="11"/>
      <c r="F42" s="12"/>
      <c r="G42" s="7"/>
      <c r="H42" s="7"/>
      <c r="I42" s="7"/>
      <c r="J42" s="7"/>
      <c r="K42" s="7"/>
      <c r="L42" s="7"/>
      <c r="M42" s="7"/>
      <c r="N42" s="7"/>
      <c r="O42" s="7"/>
      <c r="P42" s="7"/>
      <c r="Q42" s="7"/>
      <c r="R42" s="7"/>
      <c r="S42" s="7"/>
      <c r="T42" s="7"/>
      <c r="U42" s="7"/>
    </row>
    <row r="43" spans="1:21" ht="12.75" x14ac:dyDescent="0.2">
      <c r="A43" s="11"/>
      <c r="B43" s="11"/>
      <c r="C43" s="11"/>
      <c r="D43" s="11"/>
      <c r="E43" s="11"/>
      <c r="F43" s="12"/>
      <c r="G43" s="7"/>
      <c r="H43" s="7"/>
      <c r="I43" s="7"/>
      <c r="J43" s="7"/>
      <c r="K43" s="7"/>
      <c r="L43" s="7"/>
      <c r="M43" s="7"/>
      <c r="N43" s="7"/>
      <c r="O43" s="7"/>
      <c r="P43" s="7"/>
      <c r="Q43" s="7"/>
      <c r="R43" s="7"/>
      <c r="S43" s="7"/>
      <c r="T43" s="7"/>
      <c r="U43" s="7"/>
    </row>
    <row r="44" spans="1:21" ht="12.75" x14ac:dyDescent="0.2">
      <c r="A44" s="11"/>
      <c r="B44" s="11"/>
      <c r="C44" s="11"/>
      <c r="D44" s="11"/>
      <c r="E44" s="11"/>
      <c r="F44" s="12"/>
      <c r="G44" s="7"/>
      <c r="H44" s="7"/>
      <c r="I44" s="7"/>
      <c r="J44" s="7"/>
      <c r="K44" s="7"/>
      <c r="L44" s="7"/>
      <c r="M44" s="7"/>
      <c r="N44" s="7"/>
      <c r="O44" s="7"/>
      <c r="P44" s="7"/>
      <c r="Q44" s="7"/>
      <c r="R44" s="7"/>
      <c r="S44" s="7"/>
      <c r="T44" s="7"/>
      <c r="U44" s="7"/>
    </row>
    <row r="45" spans="1:21" ht="12.75" x14ac:dyDescent="0.2">
      <c r="A45" s="11"/>
      <c r="B45" s="11"/>
      <c r="C45" s="11"/>
      <c r="D45" s="11"/>
      <c r="E45" s="11"/>
      <c r="F45" s="12"/>
      <c r="G45" s="7"/>
      <c r="H45" s="7"/>
      <c r="I45" s="7"/>
      <c r="J45" s="7"/>
      <c r="K45" s="7"/>
      <c r="L45" s="7"/>
      <c r="M45" s="7"/>
      <c r="N45" s="7"/>
      <c r="O45" s="7"/>
      <c r="P45" s="7"/>
      <c r="Q45" s="7"/>
      <c r="R45" s="7"/>
      <c r="S45" s="7"/>
      <c r="T45" s="7"/>
      <c r="U45" s="7"/>
    </row>
    <row r="46" spans="1:21" ht="12.75" x14ac:dyDescent="0.2">
      <c r="A46" s="11"/>
      <c r="B46" s="11"/>
      <c r="C46" s="11"/>
      <c r="D46" s="11"/>
      <c r="E46" s="11"/>
      <c r="F46" s="12"/>
      <c r="G46" s="7"/>
      <c r="H46" s="7"/>
      <c r="I46" s="7"/>
      <c r="J46" s="7"/>
      <c r="K46" s="7"/>
      <c r="L46" s="7"/>
      <c r="M46" s="7"/>
      <c r="N46" s="7"/>
      <c r="O46" s="7"/>
      <c r="P46" s="7"/>
      <c r="Q46" s="7"/>
      <c r="R46" s="7"/>
      <c r="S46" s="7"/>
      <c r="T46" s="7"/>
      <c r="U46" s="7"/>
    </row>
    <row r="47" spans="1:21" ht="12.75" x14ac:dyDescent="0.2">
      <c r="A47" s="11"/>
      <c r="B47" s="11"/>
      <c r="C47" s="11"/>
      <c r="D47" s="11"/>
      <c r="E47" s="11"/>
      <c r="F47" s="12"/>
      <c r="G47" s="7"/>
      <c r="H47" s="7"/>
      <c r="I47" s="7"/>
      <c r="J47" s="7"/>
      <c r="K47" s="7"/>
      <c r="L47" s="7"/>
      <c r="M47" s="7"/>
      <c r="N47" s="7"/>
      <c r="O47" s="7"/>
      <c r="P47" s="7"/>
      <c r="Q47" s="7"/>
      <c r="R47" s="7"/>
      <c r="S47" s="7"/>
      <c r="T47" s="7"/>
      <c r="U47" s="7"/>
    </row>
    <row r="48" spans="1:21" ht="12.75" x14ac:dyDescent="0.2">
      <c r="A48" s="11"/>
      <c r="B48" s="11"/>
      <c r="C48" s="11"/>
      <c r="D48" s="11"/>
      <c r="E48" s="11"/>
      <c r="F48" s="12"/>
    </row>
    <row r="49" spans="1:6" ht="12.75" x14ac:dyDescent="0.2">
      <c r="A49" s="11"/>
      <c r="B49" s="11"/>
      <c r="C49" s="11"/>
      <c r="D49" s="11"/>
      <c r="E49" s="11"/>
      <c r="F49" s="12"/>
    </row>
    <row r="50" spans="1:6" ht="12.75" x14ac:dyDescent="0.2">
      <c r="A50" s="11"/>
      <c r="B50" s="11"/>
      <c r="C50" s="11"/>
      <c r="D50" s="11"/>
      <c r="E50" s="11"/>
      <c r="F50" s="12"/>
    </row>
  </sheetData>
  <mergeCells count="29">
    <mergeCell ref="E8:E14"/>
    <mergeCell ref="A1:F1"/>
    <mergeCell ref="A2:F2"/>
    <mergeCell ref="A3:B3"/>
    <mergeCell ref="A4:B4"/>
    <mergeCell ref="A5:B5"/>
    <mergeCell ref="B28:B29"/>
    <mergeCell ref="D8:D14"/>
    <mergeCell ref="D19:D24"/>
    <mergeCell ref="D25:D27"/>
    <mergeCell ref="D28:D29"/>
    <mergeCell ref="D15:D16"/>
    <mergeCell ref="D17:D18"/>
    <mergeCell ref="B8:B14"/>
    <mergeCell ref="B15:B16"/>
    <mergeCell ref="B17:B18"/>
    <mergeCell ref="B19:B24"/>
    <mergeCell ref="B25:B27"/>
    <mergeCell ref="E25:E27"/>
    <mergeCell ref="E19:E24"/>
    <mergeCell ref="E28:E29"/>
    <mergeCell ref="E17:E18"/>
    <mergeCell ref="E15:E16"/>
    <mergeCell ref="F8:F14"/>
    <mergeCell ref="F19:F24"/>
    <mergeCell ref="F25:F27"/>
    <mergeCell ref="F28:F29"/>
    <mergeCell ref="F15:F16"/>
    <mergeCell ref="F17:F18"/>
  </mergeCells>
  <printOptions horizontalCentered="1"/>
  <pageMargins left="0.03" right="0" top="0.1" bottom="0" header="0" footer="0"/>
  <pageSetup paperSize="9" scale="56" fitToHeight="4" orientation="landscape" horizontalDpi="4294967294" verticalDpi="4294967294"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G12"/>
  <sheetViews>
    <sheetView workbookViewId="0">
      <selection activeCell="G3" sqref="G3"/>
    </sheetView>
  </sheetViews>
  <sheetFormatPr baseColWidth="10" defaultRowHeight="15" x14ac:dyDescent="0.25"/>
  <sheetData>
    <row r="2" spans="3:7" x14ac:dyDescent="0.25">
      <c r="C2">
        <v>135</v>
      </c>
      <c r="E2">
        <v>296.07</v>
      </c>
      <c r="G2">
        <v>917</v>
      </c>
    </row>
    <row r="3" spans="3:7" x14ac:dyDescent="0.25">
      <c r="C3">
        <f>+C2/2</f>
        <v>67.5</v>
      </c>
      <c r="E3">
        <v>362.75</v>
      </c>
      <c r="G3">
        <f>+G2/12</f>
        <v>76.416666666666671</v>
      </c>
    </row>
    <row r="4" spans="3:7" x14ac:dyDescent="0.25">
      <c r="E4">
        <f>+E2+E3</f>
        <v>658.81999999999994</v>
      </c>
    </row>
    <row r="6" spans="3:7" x14ac:dyDescent="0.25">
      <c r="D6">
        <v>18000</v>
      </c>
      <c r="E6">
        <v>100</v>
      </c>
    </row>
    <row r="8" spans="3:7" x14ac:dyDescent="0.25">
      <c r="D8">
        <v>6000</v>
      </c>
      <c r="E8">
        <f>+E6*D8/D6</f>
        <v>33.333333333333336</v>
      </c>
    </row>
    <row r="11" spans="3:7" x14ac:dyDescent="0.25">
      <c r="D11">
        <v>1200</v>
      </c>
    </row>
    <row r="12" spans="3:7" x14ac:dyDescent="0.25">
      <c r="D12">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11D01 Loja Educación</vt:lpstr>
      <vt:lpstr>Hoja1</vt:lpstr>
      <vt:lpstr>'11D01 Loja Educación'!Área_de_impresión</vt:lpstr>
      <vt:lpstr>'11D01 Loja Educación'!Títulos_a_imprimir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María_Castillo</cp:lastModifiedBy>
  <cp:lastPrinted>2023-05-12T21:31:03Z</cp:lastPrinted>
  <dcterms:created xsi:type="dcterms:W3CDTF">2018-06-18T14:19:22Z</dcterms:created>
  <dcterms:modified xsi:type="dcterms:W3CDTF">2023-09-12T20:50:33Z</dcterms:modified>
</cp:coreProperties>
</file>