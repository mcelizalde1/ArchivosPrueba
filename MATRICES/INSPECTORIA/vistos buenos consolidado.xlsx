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yanela_torres.MDT\Desktop\MATRICES\INSPECTORIA\"/>
    </mc:Choice>
  </mc:AlternateContent>
  <bookViews>
    <workbookView xWindow="0" yWindow="0" windowWidth="20490" windowHeight="7650" activeTab="9"/>
  </bookViews>
  <sheets>
    <sheet name="2010" sheetId="1" r:id="rId1"/>
    <sheet name="2011" sheetId="2" r:id="rId2"/>
    <sheet name="2012" sheetId="4" r:id="rId3"/>
    <sheet name="2013" sheetId="5" r:id="rId4"/>
    <sheet name="2014" sheetId="6" r:id="rId5"/>
    <sheet name="2015" sheetId="7" r:id="rId6"/>
    <sheet name="2016" sheetId="8" r:id="rId7"/>
    <sheet name="2017" sheetId="9" r:id="rId8"/>
    <sheet name="2018" sheetId="11" r:id="rId9"/>
    <sheet name="2019" sheetId="10" r:id="rId10"/>
  </sheets>
  <calcPr calcId="162913"/>
</workbook>
</file>

<file path=xl/calcChain.xml><?xml version="1.0" encoding="utf-8"?>
<calcChain xmlns="http://schemas.openxmlformats.org/spreadsheetml/2006/main">
  <c r="A9" i="11" l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186" i="8" l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26" i="6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92" i="10" l="1"/>
  <c r="A93" i="10" s="1"/>
  <c r="A94" i="10" s="1"/>
  <c r="A95" i="10" s="1"/>
  <c r="A96" i="10" s="1"/>
  <c r="A97" i="10" s="1"/>
  <c r="A98" i="10" s="1"/>
  <c r="A99" i="10" s="1"/>
  <c r="A100" i="10" s="1"/>
  <c r="A101" i="10" s="1"/>
  <c r="A90" i="10"/>
  <c r="A91" i="10" s="1"/>
  <c r="A84" i="9"/>
  <c r="A85" i="9" s="1"/>
  <c r="A86" i="9" s="1"/>
  <c r="A87" i="9" s="1"/>
  <c r="A88" i="9" s="1"/>
  <c r="A184" i="8" s="1"/>
  <c r="A83" i="9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89" i="9" l="1"/>
  <c r="A90" i="9" s="1"/>
  <c r="A91" i="9" s="1"/>
  <c r="A185" i="8" s="1"/>
  <c r="A22" i="2"/>
  <c r="A23" i="2" l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</calcChain>
</file>

<file path=xl/sharedStrings.xml><?xml version="1.0" encoding="utf-8"?>
<sst xmlns="http://schemas.openxmlformats.org/spreadsheetml/2006/main" count="7868" uniqueCount="2976">
  <si>
    <t/>
  </si>
  <si>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X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</si>
  <si>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</si>
  <si>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</si>
  <si>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INVENTARIO DE: *</t>
  </si>
  <si>
    <t>DIRECCIÓN  REGIONAL   DE TRABAJO Y SERVICIO PÚBLICO  DE LOJA</t>
  </si>
  <si>
    <t>SECCIÓN:</t>
  </si>
  <si>
    <t>DIRECCIÓN  REGIONAL DE TRABAJO Y SERVICIO PÚBLICO  DE LOJA</t>
  </si>
  <si>
    <t>SUB SECCIÓN:</t>
  </si>
  <si>
    <t>INSPECTORIA</t>
  </si>
  <si>
    <t>SERIES DOCUMENTALES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</si>
  <si>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</si>
  <si>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</si>
  <si>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.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B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</si>
  <si>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</si>
  <si>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</si>
  <si>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DOCUMENTOS EXTREMOS</t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</si>
  <si>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</si>
  <si>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</si>
  <si>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</si>
  <si>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</si>
  <si>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</si>
  <si>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</si>
  <si>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ICI</t>
    </r>
    <r>
      <rPr>
        <sz val="4"/>
        <color rgb="FF000000"/>
        <rFont val="Times New Roman"/>
        <family val="1"/>
      </rPr>
      <t>O</t>
    </r>
  </si>
  <si>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Ú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U</t>
    </r>
    <r>
      <rPr>
        <sz val="4"/>
        <color rgb="FF000000"/>
        <rFont val="Times New Roman"/>
        <family val="1"/>
      </rPr>
      <t>M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T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CI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RR</t>
    </r>
    <r>
      <rPr>
        <sz val="4"/>
        <color rgb="FF000000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</si>
  <si>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</si>
  <si>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</si>
  <si>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</si>
  <si>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</si>
  <si>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</si>
  <si>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t>N/A</t>
  </si>
  <si>
    <t>ELIMINACION</t>
  </si>
  <si>
    <t>FÍSICO/ELECTRÓNICO</t>
  </si>
  <si>
    <t>SEGUIDO POR: ARMIJOS VERA LUIS ANTONIO EN CONTRA DE: CUENCA CUENCA YONNY PATRICIO</t>
  </si>
  <si>
    <t>SEGUIDO POR: PINEDA BAILON JORGE ENRIQUE / MECANICA AUTOMOTRIZ PROMOTOR EN CONTRA DE: BETANCOURT BETANCOURT ROBER ENRIQUE</t>
  </si>
  <si>
    <t>SEGUIDO POR: MUNICIPIO DEL CANTON PALTAS EN CONTRA DE: AGAPITO YAGUANA JOSE</t>
  </si>
  <si>
    <t>SEGUIDO POR: ROJAS FEIJOO PAULINA DEL ROCIO EN CONTRA DE: GAVILANES GUARNIZO EDUARDO FABRICIO</t>
  </si>
  <si>
    <t>SEGUIDO POR: ROBLES CARRION AMPARO DEL ROCIO EN CONTRA DE: JARAILLO HIDALGO DIANA ELIZABETH</t>
  </si>
  <si>
    <t>SEGUIDO POR: TANDAZO FRANCISCA DEL CISNE EN CONTRA DE: GUAJALA SANCHEZ JORGE EDUARDO</t>
  </si>
  <si>
    <t>SEGUIDO POR: INDUSTRIA LICORERA EMBOTELLADORA DE LOJA SA EN CONTRA DE: RAMIREZ RIVERA SEGUNDO ELIAS / RAMIREZ MAURICIO SERAPIO</t>
  </si>
  <si>
    <t>SEGUIDO POR: IMC RUILOVA CIA LTDA EN CONTRA DE: ROJAS GUZMAN DIEGO FERNANDO</t>
  </si>
  <si>
    <t>SEGUIDO POR: IMC RUILOVA CIA LTDA EN CONTRA DE: AYORA MERINO ALVARO FABIAN</t>
  </si>
  <si>
    <t>SEGUIDO POR: CHAVEZ ALVEAR BEATRIZ MARGARITA EN CONTRA DE: ASTUDILLO CUENCA IRMA YADIRA</t>
  </si>
  <si>
    <t>SEGUIDO POR: REYES SALAZAR RAMON OSWALDO EN CONTRA DE: PABLO CARDENAS</t>
  </si>
  <si>
    <t>SEGUIDO POR: HIDALGO LUDEÑA RODRIGO GUSTAVO EN CONTRA DE: SILVA PACHAR ROSA EMPERATRIZ</t>
  </si>
  <si>
    <t>SEGUIDO POR: JERVIS FLORES HECTOR ALBERTO / CONSTRUCTORA AGREGADOS JERVIS TORRES SA EN CONTRA DE: GUAMAN CABRERA GALO MARCO</t>
  </si>
  <si>
    <t>SEGUIDO POR: VELEZ CABRERA POLIBIO ERNAN / COOPERATIVA DE TRANSPORTE LOJA EN CONTRA DE: PINTO MILTON RODRIGO</t>
  </si>
  <si>
    <t>SEGUIDO POR: INDUSTRIA LICORERA EMBOTELLADORA DE LOJA SA EN CONTRA DE: RAMIREZ MAURICIO SERAPIO</t>
  </si>
  <si>
    <t>SEGUIDO POR: TELLO CANO LEONIDAS ALBERTO / HOTEL BOMBUSCARO EN CONTRA DE: TORRES TORRES PATRICIA LEONOR</t>
  </si>
  <si>
    <t>SEGUIDO POR: INDUSTRIA LICORERA EMBOTELLADORA DE LOJA SA EN CONTRA DE: RAMIREZ RIVERA SEGUNDO ELIAS</t>
  </si>
  <si>
    <t>SEGUIDO POR: MUNICIPIO DEL CANTON GONZANAMA EN CONTRA DE: CUEVA SARMIENTO LUIS MIGUEL</t>
  </si>
  <si>
    <t>SEGUIDO POR: PEREZ GUSTAVO EN CONTRA DE: REQUELME RODRIGUEZ FERANDO ANTONIO</t>
  </si>
  <si>
    <t>SEGUIDO POR: GUARNIZO ONTANEDA SERGIO AUGUSTO  EN CONTRA DE: GUTIERREZ YAGUANA GERMAN VINICIO</t>
  </si>
  <si>
    <t>SEGUIDO POR: GRANDA TORRES MARCELO FABIAN / DISTRIBUIDORA FAGI CIA LTDA EN CONTRA DE: ZHIÑA ZUMBA JUAN CARLOS</t>
  </si>
  <si>
    <t>SEGUIDO POR: VIVANCO ARIAS WILSON JOAQUIN / EMPRESA ELECTRICA REGIONAL DEL SUR SA EN CONTRA DE: HERRERA UNDA EDUARDO FABRICIO</t>
  </si>
  <si>
    <t>SEGUIDO POR: GRANDA TORRES MARCELO FABIAN / DISTRIBUIDORA FAGI CIA LTDA EN CONTRA DE: PAUCAR MINGA CRISTIAN GONZALO</t>
  </si>
  <si>
    <t>SEGUIDO POR: CAFRILOSA EN CONTRA DE: IÑIGUEZ ROBERTO SANTIAGO</t>
  </si>
  <si>
    <t>SEGUIDO POR: GRANDA TORRES MARCELO FABIAN / DISTRIBUIDORA FAGI CIA LTDA EN CONTRA DE: LUZON CANO KARLO MAGNO</t>
  </si>
  <si>
    <t>SEGUIDO POR: MUNICIPIO DE LOJA EN CONTRA DE: ERRAEZ VEINTIMILLA GUSTAVO DAMIAN</t>
  </si>
  <si>
    <t>SEGUIDO POR: GONZANAMALAC CIA LTDA EN CONTRA DE: JIMENEZ RIVAS ELIANA GUADALUPE</t>
  </si>
  <si>
    <t>SEGUIDO POR: IMPORTADORA ORTEGA CIA LTDA EN CONTRA DE: SACA MEDINA LAURO VICENTE</t>
  </si>
  <si>
    <t>SEGUIDO POR: GUEVARA CASTILLO CARLOS WILFRIDO EN CONTRA DE: VALDIVIESO SAMANIEGO ROSA CRISTINA</t>
  </si>
  <si>
    <t xml:space="preserve"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</si>
  <si>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SEGUIDO POR: DISTRIBUIDORA CAMEL DE INSUMOS DISCAMEL CIA LTDA EN CONTRA DE: RODRIGUEZ LEON LEODAN ALCIDES</t>
  </si>
  <si>
    <t>SEGUIDO POR: MUNICIPIO DE LOJA EN CONTRA DE: OCAMPO VILLALTA EDWIN VLADIMIR</t>
  </si>
  <si>
    <t>SEGUIDO POR: IMORTADORA COMERCIAL EL HIERRO CIA LTDA EN CONTRA DE: ZUÑIGA JARAMILLO DIANA MARITZA</t>
  </si>
  <si>
    <t>SEGUIDO POR: HERRERA CAÑAR DARWIN OMAR EN CONTRA DE: GONZALEZ DUARTE ROSA MARLENE</t>
  </si>
  <si>
    <t>SEGUIDO POR: COBOS BOLAÑOS BLANCA LUZ / FARMACIA FARMAMIGA EN CONTRA DE: CALDERON MEDINA ANGEL</t>
  </si>
  <si>
    <t>SEGUIDO POR: AGUIRRE PIEDRA ANA EN CONTRA DE: CONTRERAS NARVAEZ GALO ANTONIO</t>
  </si>
  <si>
    <t>SEGUIDO POR: SAGUMA JARAMILLO LUIS MARIANO EN CONTRA DE: SUBCOMISION ECUATORIANA PREDESUR</t>
  </si>
  <si>
    <t>SEGUIDO POR: ABENDAÑO LEGARDA AUGUSTO FABRICIO /  DISTRILOJA EN CONTRA DE: JIMENEZ VEGA CARMEN NOEMI</t>
  </si>
  <si>
    <t>SEGUIDO POR: MICHELENA MONTESDEOCA CARMITA ANJHOLY EN CONTRA DE: CORREA AGUIRRE DIANA CRISTINA</t>
  </si>
  <si>
    <t xml:space="preserve"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</t>
  </si>
  <si>
    <t>SEGUIDO POR: MONTEROS JARAMILLO JEANNE MERCEDES EN CONTRA DE: RIOFRIO CARRION CARLOS ANTONIO</t>
  </si>
  <si>
    <t>SEGUIDO POR: INDUSTRIA LOJANA DE ESPECERIAS ILE CA EN CONTRA DE: ALVAREZ RAMIREZ JUAN  PABLO VICENTE</t>
  </si>
  <si>
    <t>SEGUIDO POR: ASILO DE ANCIANOS ROSA PUERTAS DE CUEVA / HNA. MARIANA ALEGRIA GONZALEZ EN CONTRA DE: RIOS CARRION LUIS ALFREDO</t>
  </si>
  <si>
    <t>SEGUIDO POR: PEREA MEDRANDA RUTH MARIA EN CONTRA DE: MEDINA MEDINA ROSA SILVA</t>
  </si>
  <si>
    <t>SEGUIDO POR: DIAZ SARANGO FREDDY MIGUEL EN CONTRA DE: BANDA QUEZADA DANIEL EFRAIN</t>
  </si>
  <si>
    <t>SEGUIDO POR: COOPERATIVA DE AHORRO Y CREDITO PADRE JULIAN LORENTE LTDA EN CONTRA DE: GUERRERO MOROCHO DIEGO MAURICIO</t>
  </si>
  <si>
    <t>SEGUIDO POR: CASTRO AYALA EDISON JAVIER Y TAIPE SUAREZ JOSE GUSTAVO EN CONTRA DE: TIAMA SISA EDUARDO</t>
  </si>
  <si>
    <t>SEGUIDO POR: DISTRIBUIDORA CAMEL DE INSUMOS DISCAMEL CIA LTDA EN CONTRA DE: ORDOÑEZ ABENDAÑO JOSE LUIS</t>
  </si>
  <si>
    <t>SEGUIDO POR: CONTENTO CORDOVA SANDRA MERCEDES EN CONTRA DE: PAUTE PINOS MARIA DEL CARMEN</t>
  </si>
  <si>
    <t>SEGUIDO POR: ALEJANDRO CUEVA JAIME VINICIO / TRAC MOTOR EN CONTRA DE: MAITA MOROCHO SONIA EDITH</t>
  </si>
  <si>
    <t>SEGUIDO POR: CHILUISA VILLALTA MARCIA ITALIA /  CENTRO OPTICO VISUAL EN CONTRA DE: HURTADO PEREZ HENRRI ROBERTH</t>
  </si>
  <si>
    <t>SEGUIDO POR: GODOY RUIZ FRANCE JOSE / CREVIGO SA EN CONTRA DE: CABRERA PEZANTES ANGEL BOLIVAR</t>
  </si>
  <si>
    <t>SEGUIDO POR: IOMOTORS SA EN CONTRA DE: ARIAS RUIZ LUIS MARCELO</t>
  </si>
  <si>
    <t>SEGUIDO POR: DISTRIBUIDORA CAMEL DE INSUMOS DISCAMEL CIA LTDA EN CONTRA DE: OROSCO DAVILA LUIS ALBERTO</t>
  </si>
  <si>
    <t>SEGUIDO POR: ASILO DE ANCIANOS ROSA PUERTAS DE CUEVA / HNA. MARIANA ALEGRIA GONZALEZ EN CONTRA DE: CARRION CARRION MONICA ELIZABETH</t>
  </si>
  <si>
    <t>SEGUIDO POR: AMAZONASEDUC CIA LTDA EN CONTRA DE: VALAREZO ENCALADA VALERIA CANDICE</t>
  </si>
  <si>
    <t>SEGUIDO POR: JETCOURIER CIA LTDA EN CONTRA DE: HERRERA YAGUANA AUGUSTO PATRICIO</t>
  </si>
  <si>
    <t>SEGUIDO POR: COOPERATIVA DE AHORRO Y CREDITO DE LA PEQUEÑA EMPRESA DE LOJA CACPE LOJA EN CONTRA DE: JIMENEZ RAMIREZ JUAN MANUEL</t>
  </si>
  <si>
    <t>SEGUIDO POR: GODOY RUIZ MANUEL AGUSTIN EN CONTRA DE: CURIMILMA AVILA CHRISTIAN MIGUEL</t>
  </si>
  <si>
    <t>SEGUIDO POR: COOPERATIVA DE TRANSPORTES LOJA EN CONTRA DE: TINOCO MORA JUAN CARLOS</t>
  </si>
  <si>
    <t>SEGUIDO POR: OCHOA AREVALO HECTOR POLIVIO EN CONTRA DE: JIMENEZ ANGEL</t>
  </si>
  <si>
    <t>SEGUIDO POR: COOPERATIVA DE AHORRO Y CREDITO DE LA PEQUEÑA EMPRESA DE LOJA CACPE LOJA EN CONTRA DE: COSTA COSTA ALEXANDRA IVANOVA</t>
  </si>
  <si>
    <t>SEGUIDO POR: VALDIVIESO ARIAS HORTENCIA MARIA / FUNDACION LIGA DE CARIDAD DE LOJA EN CONTRA DE: JUMBO MONICA ALEXANDRA</t>
  </si>
  <si>
    <t>SEGUIDO POR: VALDIVIESO ARIAS HORTENCIA MARIA / FUNDACION LIGA DE CARIDAD DE LOJA EN CONTRA DE: MOROCHO ROSA MARGARITA</t>
  </si>
  <si>
    <t>SEGUIDO POR: MUNICIPIO DEL CANTON GONZANAMA EN CONTRA DE: CAÑAR AGREDA JORGE NELSON</t>
  </si>
  <si>
    <t>SEGUIDO POR: SERVICIOSUTPL CIA LTDA EN CONTRA DE: MALDONADO OCHOA JORGE HERIBERTO</t>
  </si>
  <si>
    <t>SEGUIDO POR: MASA MARCO PATRICIO EN CONTRA DE: JIMENEZ GUERRERO CARLOS EDUARDO</t>
  </si>
  <si>
    <t>SEGUIDO POR: MUNICIPIO DEL CANTON GONZANAMA EN CONTRA DE: HERRERA LEON WILMAN EDUARDO</t>
  </si>
  <si>
    <t>SEGUIDO POR: ARMIJOS VERA LUIS ANTONIO EN CONTRA DE: QUIROZ GUERRERO CRISTIAN FERNANDO</t>
  </si>
  <si>
    <t>SEGUIDO POR: SEGURPI CIA LTDA EN CONTRA DE: TORRES CORDOVA OBALDO EFREN</t>
  </si>
  <si>
    <t>SEGUIDO POR: CONSEJO PROVINCIAL DE LOJA EN CONTRA DE: ARMIJOS TORO ARALDO ONOFRE</t>
  </si>
  <si>
    <t>SEGUIDO POR: G4S SECURITY SERVICES EN CONTRA DE: CHALEN LASSO MARCO</t>
  </si>
  <si>
    <t>SEGUIDO POR: DISTRIBUIDORA DIPOR CIA LTDA EN CONTRA DE: PACCHA MEDINA MANUEL GUILLERMO</t>
  </si>
  <si>
    <t>SEGUIDO POR: EMPRESA ELECTRICA REGIONAL DEL SUR SA EN CONTRA DE: MUÑOZ CABRERA CARLOS EDUARDO</t>
  </si>
  <si>
    <t>SEGUIDO POR: IMPRENTA SANTIAGO EN CONTRA DE: ROBLES INGA VICENTE SANTIAGO</t>
  </si>
  <si>
    <t>SEGUIDO POR: CENTRO EDUCATIVO CARPE DIEM  EN CONTRA DE: CONTENTO CUENCA ALICIA DEL CARMEN</t>
  </si>
  <si>
    <t>SEGUIDO POR: UNIDAD EDUCATIVA JOSE ANTONIO EGUIGUREN LA SALLE EN CONTRA DE: MORENO ARMIJOS LUCIA ELIZABETH</t>
  </si>
  <si>
    <t>SEGUIDO POR: PILCO CORREA Y CIA SAN GERARDO EN CONTRA DE: PRADO GUTIERREZ ADRIANA CECILIA</t>
  </si>
  <si>
    <t>SEGUIDO POR: DISTRIBUIDORA GRANDA DISTRIGRANDA CIA LTDA EN CONTRA DE: RAMIREZ WILSON GEOVANNY</t>
  </si>
  <si>
    <t>SEGUIDO POR: ASTUDILLO PEÑARANDA GEOVANNY WILMAN EN CONTRA DE: MERIZALDE ACHING WALTER HENRY</t>
  </si>
  <si>
    <t>SEGUIDO POR: FEBRES VIVANCO BLANCA GEOVANIA EN CONTRA DE: SIMANCAS PINTA MELIDA MAGDALENA</t>
  </si>
  <si>
    <t>SEGUIDO POR: HOTELERA VALDIVIESO EGUIGUREN EN CONTRA DE: LIMA CUENCA ENMA PATRICIA</t>
  </si>
  <si>
    <t>SEGUIDO POR: BELTRAN MERA MARIA ELENA EN CONTRA DE: CALVA CALVA MONICA ROCIO</t>
  </si>
  <si>
    <t>SEGUIDO POR: FOROOTAN NAJAFABADI IRAJ / TOPOLI EN CONTRA DE: PAREDES OBANDO ROSA ELIZABETH</t>
  </si>
  <si>
    <t>SEGUIDO POR: MUNICIPIO DE LOJA EN CONTRA DE: VERA OCHOA LUIS ANTONIO</t>
  </si>
  <si>
    <t>SEGUIDO POR: VILLAVICENCIO CUEVA FABRICIO GONZALO / VIC ENTRETENIMIENTO EN CONTRA DE: ENRIQUEZ COCHANCELA JUAN CARLOS</t>
  </si>
  <si>
    <t>SEGUIDO POR: COOPERATIVA DE AHORRO Y CREDITO CREDIAMIGO LTDA EN CONTRA DE: CARRION ROJAS JENNY CECILIA</t>
  </si>
  <si>
    <t>SEGUIDO POR: GOBIERNO PROVINCIAL DE LOJA EN CONTRA DE: PINTA PINTA JOSE BERNARDINO</t>
  </si>
  <si>
    <t>SEGUIDO POR: GOBIERNO PROVINCIAL DE LOJA EN CONTRA DE: MATAILO JARAMILLO VICTOR MANUEL</t>
  </si>
  <si>
    <t>SEGUIDO POR: RIOS MONTALVAN EDGAR ENRIQUE EN CONTRA DE: YAGUANA ORTEGA ROBERTO EFRAIN</t>
  </si>
  <si>
    <t>SEGUIDO POR: MOVISHOP TELECOMUNICACIONES CIA LTDA EN CONTRA DE: SUING CUENCA VICTOR EDUARDO</t>
  </si>
  <si>
    <t>SEGUIDO POR: GOBIERNO PROVINCIAL DE LOJA EN CONTRA DE: ROJAS VACA HILDA CATALINA</t>
  </si>
  <si>
    <t>SEGUIDO POR: PEÑA UNDA FANNY BEATRIZ EN CONTRA DE: MORALES ABAD JOAN LIZETTE</t>
  </si>
  <si>
    <t>SEGUIDO POR: COMVITEC COMERCIO Y VIGILANCIA TECNICA CIA LTDA EN CONTRA DE: MUÑOZ HURTADO JHONNY FABIAN</t>
  </si>
  <si>
    <t>SEGUIDO POR: MUNICIPIO DEL CANTON PALTAS EN CONTRA DE: YAGUANA JOSE AGAPITO</t>
  </si>
  <si>
    <t>SEGUIDO POR: MUNICIPIO DE LOJA EN CONTRA DE: REYES JAEN JULIO CESAR</t>
  </si>
  <si>
    <t>SEGUIDO POR: MUNICIPIO DE LOJA EN CONTRA DE: MEDINA ROBLES HERMINIO FLAVERTO</t>
  </si>
  <si>
    <t>SEGUIDO POR: REASCOS MONTERO JAIME OSWALDO EN CONTRA DE: RODRIGUEZ QUITUISACA JOSE LUIS</t>
  </si>
  <si>
    <t>SEGUIDO POR: REASCOS MONTERO JAIME OSWALDO EN CONTRA DE: SUAREZ CARRION STALIN ADOLFO</t>
  </si>
  <si>
    <t>SEGUIDO POR: ISTITUTO EDUCACIONAL MIGUEL ANGEL SUAREZ EN CONTRA DE: ESPINOSA MONTOYA CLARA INES</t>
  </si>
  <si>
    <t>SEGUIDO POR: MOSQUERA BARZALLO MIGUEL OSWALDO EN CONTRA DE: LAPO GARRIDO LADY PAOLA</t>
  </si>
  <si>
    <t>SEGUIDO POR: MUNICIPIO DE LOJA EN CONTRA DE: VEINTIMILLA ERRAEZ GUSTAVO DAMIAN</t>
  </si>
  <si>
    <t>SEGUIDO POR: EMPRESA ELECTRICA REGIONAL DEL SUR SA EN CONTRA DE: VELEZ CUENCA RICHARD IVAN</t>
  </si>
  <si>
    <t>SEGUIDO POR: GOBIERNO PROVINCIAL DE LOJA EN CONTRA DE: LARA OCHOA ANGEL ERNESTO</t>
  </si>
  <si>
    <t>SEGUIDO POR: INDUSTRIA LOJANA DE ESPECERIAS ILE CA EN CONTRA DE: EGUIGUREN ESTEBAN MAURICIO</t>
  </si>
  <si>
    <t>SEGUIDO POR: DIAZ ENCARNACION FREDI MIGUEL EN CONTRA DE: GUTIERREZ MOROCHO RAMON ALEJANDRO</t>
  </si>
  <si>
    <t>VISTOS BUENOS</t>
  </si>
  <si>
    <t>01-10</t>
  </si>
  <si>
    <t>02-10</t>
  </si>
  <si>
    <t>03-10</t>
  </si>
  <si>
    <t>04-10</t>
  </si>
  <si>
    <t>05-10</t>
  </si>
  <si>
    <t>06-10</t>
  </si>
  <si>
    <t>15-10</t>
  </si>
  <si>
    <t>08-10</t>
  </si>
  <si>
    <t>09-10</t>
  </si>
  <si>
    <t>10-10</t>
  </si>
  <si>
    <t>11-10</t>
  </si>
  <si>
    <t>12-10</t>
  </si>
  <si>
    <t>13-10</t>
  </si>
  <si>
    <t>14-10</t>
  </si>
  <si>
    <t>16-10</t>
  </si>
  <si>
    <t>17-10</t>
  </si>
  <si>
    <t>18-10</t>
  </si>
  <si>
    <t>19-10</t>
  </si>
  <si>
    <t>20-10</t>
  </si>
  <si>
    <t>21-10</t>
  </si>
  <si>
    <t>23-10</t>
  </si>
  <si>
    <t>24-10</t>
  </si>
  <si>
    <t>25-10</t>
  </si>
  <si>
    <t>26-10</t>
  </si>
  <si>
    <t>27-10</t>
  </si>
  <si>
    <t>28-10</t>
  </si>
  <si>
    <t>29-10</t>
  </si>
  <si>
    <t>30-10</t>
  </si>
  <si>
    <t>31-10</t>
  </si>
  <si>
    <t>32-10</t>
  </si>
  <si>
    <t>33-10</t>
  </si>
  <si>
    <t>34-10</t>
  </si>
  <si>
    <t>37-10</t>
  </si>
  <si>
    <t>36-10</t>
  </si>
  <si>
    <t>38-10</t>
  </si>
  <si>
    <t>39-10</t>
  </si>
  <si>
    <t>40-10</t>
  </si>
  <si>
    <t>41-10</t>
  </si>
  <si>
    <t>42-10</t>
  </si>
  <si>
    <t>43-10</t>
  </si>
  <si>
    <t>44-10</t>
  </si>
  <si>
    <t>45-10</t>
  </si>
  <si>
    <t>47-10</t>
  </si>
  <si>
    <t>48-10</t>
  </si>
  <si>
    <t>49-10</t>
  </si>
  <si>
    <t>50-10</t>
  </si>
  <si>
    <t>51-10</t>
  </si>
  <si>
    <t>52-10</t>
  </si>
  <si>
    <t>53-10</t>
  </si>
  <si>
    <t>54-10</t>
  </si>
  <si>
    <t>55-10</t>
  </si>
  <si>
    <t>56-10</t>
  </si>
  <si>
    <t>57-10</t>
  </si>
  <si>
    <t>58-10</t>
  </si>
  <si>
    <t>59-10</t>
  </si>
  <si>
    <t>60-10</t>
  </si>
  <si>
    <t>61-10</t>
  </si>
  <si>
    <t>62-10</t>
  </si>
  <si>
    <t>63-10</t>
  </si>
  <si>
    <t>64-10</t>
  </si>
  <si>
    <t>65-10</t>
  </si>
  <si>
    <t>66-10</t>
  </si>
  <si>
    <t>67-10</t>
  </si>
  <si>
    <t>68-10</t>
  </si>
  <si>
    <t>69-10</t>
  </si>
  <si>
    <t>70-10</t>
  </si>
  <si>
    <t>71-10</t>
  </si>
  <si>
    <t>72-10</t>
  </si>
  <si>
    <t>73-10</t>
  </si>
  <si>
    <t>74-10</t>
  </si>
  <si>
    <t>75-10</t>
  </si>
  <si>
    <t>76-10</t>
  </si>
  <si>
    <t>77-10</t>
  </si>
  <si>
    <t>78-10</t>
  </si>
  <si>
    <t>79-10</t>
  </si>
  <si>
    <t>80-10</t>
  </si>
  <si>
    <t>81-10</t>
  </si>
  <si>
    <t>82-10</t>
  </si>
  <si>
    <t>83-10</t>
  </si>
  <si>
    <t>84-10</t>
  </si>
  <si>
    <t>85-10</t>
  </si>
  <si>
    <t>86-10</t>
  </si>
  <si>
    <t>87-10</t>
  </si>
  <si>
    <t>88-10</t>
  </si>
  <si>
    <t>89-10</t>
  </si>
  <si>
    <t>90-10</t>
  </si>
  <si>
    <t>91-10</t>
  </si>
  <si>
    <t>93-10</t>
  </si>
  <si>
    <t>94-10</t>
  </si>
  <si>
    <t>95-10</t>
  </si>
  <si>
    <t>96-10</t>
  </si>
  <si>
    <t>97-10</t>
  </si>
  <si>
    <t>98-10</t>
  </si>
  <si>
    <t>99-10</t>
  </si>
  <si>
    <t>100-10</t>
  </si>
  <si>
    <t>106-10</t>
  </si>
  <si>
    <t>05/01/2010</t>
  </si>
  <si>
    <t>18/01/2010</t>
  </si>
  <si>
    <t>07/01/2010</t>
  </si>
  <si>
    <t>15/01/2010</t>
  </si>
  <si>
    <t>25/01/2010</t>
  </si>
  <si>
    <t>26/01/2010</t>
  </si>
  <si>
    <t>13/01/2010</t>
  </si>
  <si>
    <t>14/01/2010</t>
  </si>
  <si>
    <t>03/02/2010</t>
  </si>
  <si>
    <t>29/01/2010</t>
  </si>
  <si>
    <t>24/02/2010</t>
  </si>
  <si>
    <t>25/03/2010</t>
  </si>
  <si>
    <t>26/03/2010</t>
  </si>
  <si>
    <t>10/02/2010</t>
  </si>
  <si>
    <t>18/02/2010</t>
  </si>
  <si>
    <t>17/02/2010</t>
  </si>
  <si>
    <t>26/04/2010</t>
  </si>
  <si>
    <t>15/03/2010</t>
  </si>
  <si>
    <t>23/03/2010</t>
  </si>
  <si>
    <t>17/03/2010</t>
  </si>
  <si>
    <t>14/04/2010</t>
  </si>
  <si>
    <t>22/03/2010</t>
  </si>
  <si>
    <t>27/04/2010</t>
  </si>
  <si>
    <t>12/04/2010</t>
  </si>
  <si>
    <t>29/03/2010</t>
  </si>
  <si>
    <t>20/04/2010</t>
  </si>
  <si>
    <t>09/04/2010</t>
  </si>
  <si>
    <t>23/04/2010</t>
  </si>
  <si>
    <t>06/04/2010</t>
  </si>
  <si>
    <t>17/06/2010</t>
  </si>
  <si>
    <t>22/04/2010</t>
  </si>
  <si>
    <t>10/05/2010</t>
  </si>
  <si>
    <t>29/04/2010</t>
  </si>
  <si>
    <t>03/05/2010</t>
  </si>
  <si>
    <t>27/01/2011</t>
  </si>
  <si>
    <t>16/06/2010</t>
  </si>
  <si>
    <t>24/04/2010</t>
  </si>
  <si>
    <t>04/06/2010</t>
  </si>
  <si>
    <t>30/04/2010</t>
  </si>
  <si>
    <t>20/05/2010</t>
  </si>
  <si>
    <t>04/05/2010</t>
  </si>
  <si>
    <t>02/06/2010</t>
  </si>
  <si>
    <t>07/05/2010</t>
  </si>
  <si>
    <t>11/05/2010</t>
  </si>
  <si>
    <t>24/08/2010</t>
  </si>
  <si>
    <t>12/05/2010</t>
  </si>
  <si>
    <t>13/05/2010</t>
  </si>
  <si>
    <t>07/06/2010</t>
  </si>
  <si>
    <t>21/05/2010</t>
  </si>
  <si>
    <t>10/06/2010</t>
  </si>
  <si>
    <t>14/06/2010</t>
  </si>
  <si>
    <t>01/06/2010</t>
  </si>
  <si>
    <t>08/06/2010</t>
  </si>
  <si>
    <t>24/06/2010</t>
  </si>
  <si>
    <t>20/01/2010</t>
  </si>
  <si>
    <t>21/01/2010</t>
  </si>
  <si>
    <t>09/06/2010</t>
  </si>
  <si>
    <t>07/07/2010</t>
  </si>
  <si>
    <t>08/07/2010</t>
  </si>
  <si>
    <t>25/06/2010</t>
  </si>
  <si>
    <t>11/06/2010</t>
  </si>
  <si>
    <t>16/05/2010</t>
  </si>
  <si>
    <t>03/12/2010</t>
  </si>
  <si>
    <t>30/06/2010</t>
  </si>
  <si>
    <t>16/07/2010</t>
  </si>
  <si>
    <t>18/06/2010</t>
  </si>
  <si>
    <t>15/07/2010</t>
  </si>
  <si>
    <t>20/12/2010</t>
  </si>
  <si>
    <t>19/07/2010</t>
  </si>
  <si>
    <t>21/06/2010</t>
  </si>
  <si>
    <t>22/06/2010</t>
  </si>
  <si>
    <t>28/07/2010</t>
  </si>
  <si>
    <t>29/06/2010</t>
  </si>
  <si>
    <t>07/09/2010</t>
  </si>
  <si>
    <t>06/07/2010</t>
  </si>
  <si>
    <t>12/07/2010</t>
  </si>
  <si>
    <t>22/07/2010</t>
  </si>
  <si>
    <t>12/10/2010</t>
  </si>
  <si>
    <t>13/07/2010</t>
  </si>
  <si>
    <t>03/08/2010</t>
  </si>
  <si>
    <t>14/07/2010</t>
  </si>
  <si>
    <t>12/08/2010</t>
  </si>
  <si>
    <t>06/10/2010</t>
  </si>
  <si>
    <t>46 - 10</t>
  </si>
  <si>
    <t>30/11/2010</t>
  </si>
  <si>
    <t>10/12/2010</t>
  </si>
  <si>
    <t>13/12/2010</t>
  </si>
  <si>
    <t>28/12/2010</t>
  </si>
  <si>
    <t>17/12/2010</t>
  </si>
  <si>
    <t>26/12/2010</t>
  </si>
  <si>
    <t>26/07/2010</t>
  </si>
  <si>
    <t>02/08/2010</t>
  </si>
  <si>
    <t>27/07/2010</t>
  </si>
  <si>
    <t>09/08/2010</t>
  </si>
  <si>
    <t>23/11/2010</t>
  </si>
  <si>
    <t>30/07/2010</t>
  </si>
  <si>
    <t>25/10/2010</t>
  </si>
  <si>
    <t>26/10/2010</t>
  </si>
  <si>
    <t>11/08/2010</t>
  </si>
  <si>
    <t>14/09/2010</t>
  </si>
  <si>
    <t>18/08/2010</t>
  </si>
  <si>
    <t>09/09/2010</t>
  </si>
  <si>
    <t>23/10/2010</t>
  </si>
  <si>
    <t>19/08/2010</t>
  </si>
  <si>
    <t>15/10/2010</t>
  </si>
  <si>
    <t>23/08/2010</t>
  </si>
  <si>
    <t>26/08/2010</t>
  </si>
  <si>
    <t>27/08/2010</t>
  </si>
  <si>
    <t>30/08/2010</t>
  </si>
  <si>
    <t>31/08/2010</t>
  </si>
  <si>
    <t>06/09/2010</t>
  </si>
  <si>
    <t>01/09/2010</t>
  </si>
  <si>
    <t>27/09/2010</t>
  </si>
  <si>
    <t>04/10/2010</t>
  </si>
  <si>
    <t>10/09/2010</t>
  </si>
  <si>
    <t>30/09/2010</t>
  </si>
  <si>
    <t>28/09/2010</t>
  </si>
  <si>
    <t>21/09/2010</t>
  </si>
  <si>
    <t>16/09/2010</t>
  </si>
  <si>
    <t>11/10/2010</t>
  </si>
  <si>
    <t>16/11/2010</t>
  </si>
  <si>
    <t>6/11/2010</t>
  </si>
  <si>
    <t>14/10/2010</t>
  </si>
  <si>
    <t>19/10/2010</t>
  </si>
  <si>
    <t>08/10/2010</t>
  </si>
  <si>
    <t>15/11/2010</t>
  </si>
  <si>
    <t>27/10/2010</t>
  </si>
  <si>
    <t>26/11/2010</t>
  </si>
  <si>
    <t>20/10/2010</t>
  </si>
  <si>
    <t>21/11/2010</t>
  </si>
  <si>
    <t>12/11/2010</t>
  </si>
  <si>
    <t>24/10/2010</t>
  </si>
  <si>
    <t>27/11/2010</t>
  </si>
  <si>
    <t>09/11/2010</t>
  </si>
  <si>
    <t>24/11/2010</t>
  </si>
  <si>
    <t>28/10/2010</t>
  </si>
  <si>
    <t>29/10/2010</t>
  </si>
  <si>
    <t>10/11/2010</t>
  </si>
  <si>
    <t>11/11/2010</t>
  </si>
  <si>
    <t>27/12/2010</t>
  </si>
  <si>
    <t>23/12/2010</t>
  </si>
  <si>
    <t>17/11/2010</t>
  </si>
  <si>
    <t>17/11/2011</t>
  </si>
  <si>
    <t>09/12/2010</t>
  </si>
  <si>
    <t>15/12/2010</t>
  </si>
  <si>
    <t>19/11/2010</t>
  </si>
  <si>
    <t>SEGUIDO POR: ORTEGA MALACATOS VICENTA EMPERATRIZ EN CONTRA DE: MALLA MEDINA DALTON MIGUEL</t>
  </si>
  <si>
    <t>SEGUIDO POR: RODAS ARROBO ANGELICA  EN CONTRA DE: VILLACRES CORREA MARTHA FERNANDA</t>
  </si>
  <si>
    <t>SEGUIDO POR: COOPERATIVA DE AHORRO Y CREDITO PROSPERAR EN CONTRA DE: MEJIA VELEZ JOSE RAFAEL</t>
  </si>
  <si>
    <t>SEGUIDO POR: VALDIVIESO BURNEO ROSA PETRONILA EN CONTRA DE: ORDOÑEZ ORDOÑEZ WILSON ROBERTO</t>
  </si>
  <si>
    <t>SEGUIDO POR: BURNEO VALDIVIESO JUAN EDUARDO EN CONTRA DE: CABEZAS IGLESIAS FREDY GERMAN</t>
  </si>
  <si>
    <t>SEGUIDO POR: MUNICIPIO DE LOJA EN CONTRA DE: BENITEZ SARANGO JOSE ANGEL</t>
  </si>
  <si>
    <t>SEGUIDO POR: EMPRESA TAPITEX / LOAIZA QUEZADA LUPE POLITA EN CONTRA DE: MINGA QUEZADA ADRIANA RAQUEL</t>
  </si>
  <si>
    <t>SEGUIDO POR: CORONEL ORBE MARCO ESTEBAN EN CONTRA DE: TORRES BETANCOURT CATALINA VICENTA</t>
  </si>
  <si>
    <t>SEGUIDO POR: CHAVEZ ALVEAR BEATRIZ MARGARITA / BALDIJHOE EN CONTRA DE: JUMBO RAMIREZ MARIA DEL CISNE</t>
  </si>
  <si>
    <t>SEGUIDO POR: OJEDA JAAMILLO MARIA ESTHER EN CONTRA DE: VICENTE CAMIZAN LEIMER RENE</t>
  </si>
  <si>
    <t>SEGUIDO POR: CHAVEZ ALVEAR BEATRIZ MARGARITA / BALDIJHOE EN CONTRA DE: SOTO PEREZ JHONNY ALONSO</t>
  </si>
  <si>
    <t>SEGUIDO POR: ALBAN CAMPOVERDE HUGO ENRIQUE  / ANDINAEXPRESS SA EN CONTRA DE: CHUNCHO AGUILAR MAYRA MAGALY</t>
  </si>
  <si>
    <t>SEGUIDO POR: COMERCIALIZADORA DEL AUSTRO COMDELTRO CIA LTDA EN CONTRA DE: PINOS GUAMAN CESAR ENRIQUE</t>
  </si>
  <si>
    <t>SEGUIDO POR: TECNICA GENERAL DE CONSTRUCCIONES SA EN CONTRA DE: GALLEGOS MACHUCA CLAUDIO BAYRON</t>
  </si>
  <si>
    <t>SEGUIDO POR: CENTRO DE FORMACION CAPACITACION Y PERFECCIONAMIENTO DE CONDUCTORES NO PROFESIONALES CENFORCAPER CIA LTDA EN CONTRA DE: JARAMILLO RAMIREZ RICKY ISMAEL</t>
  </si>
  <si>
    <t>SEGUIDO POR: POMA MEDINA CRISTIAN EDUARDO  EN CONTRA DE: POMA CABRERA MAYRA SUSANA</t>
  </si>
  <si>
    <t>SEGUIDO POR: ALBAN CAMPOVERDE HUGO ENRIQUE  / ANDINAEXPRESS SA EN CONTRA DE: CARRION LUPE MARLENE</t>
  </si>
  <si>
    <t>SEGUIDO POR: BANCO DE LOJA EN CONTRA DE: COSTA CORDOVA TATIANA IVANOVSNA</t>
  </si>
  <si>
    <t>SEGUIDO POR: COMVTEC COMERCIO Y VIGILANCIA TECNICA CIA LTDA EN CONTRA DE: CORDOVA FLORES GREGORIO NAPOLEON</t>
  </si>
  <si>
    <t>SEGUIDO POR: HIDALGO E HIDALGO SA EN CONTRA DE: CALLE GUERRERO EMILIO JOSE</t>
  </si>
  <si>
    <t>SEGUIDO POR: BRAVO LUNA ENITH ESPERANZA EN CONTRA DE: NERO GUAMAN FANNY BEATRIZ</t>
  </si>
  <si>
    <t>SEGUIDO POR: GOBIERNO AUTONOMO DESCENTRALIZADO DEL CANTON PALTAS EN CONTRA DE: COBOS ARIAS VICNETE EUDOMILIO</t>
  </si>
  <si>
    <t>SEGUIDO POR: HOTELES Y SERVICIOS ALMENDRAL CIA LTDA EN CONTRA DE: NIETO ROJAS MAURICIO</t>
  </si>
  <si>
    <t>SEGUIDO POR: AGUILERA MALDONADO RICARDO / HOSTAL AGUILERA INTERNACIONAL EN CONTRA DE: CABRERA SALINAS LILIANA PATRICIA</t>
  </si>
  <si>
    <t>SEGUIDO POR: FEDERACION DEPORTIVA PROVINCIAL DE ZAMORA CHINCHIPE EN CONTRA DE: PATIÑO PEREZ CARLOS BLADIMIR</t>
  </si>
  <si>
    <t>SEGUIDO POR: JARAMILLO JIMENEZ MARIA ESPERANZA EN CONTRA DE: DUARTE MERCHAN CECILIA AURORA</t>
  </si>
  <si>
    <t>SEGUIDO POR: PROINVI SA EN CONTRA DE: VILLAVICENCIO CUEVA MAURO DIONICIO</t>
  </si>
  <si>
    <t>SEGUIDO POR: SATAMA HUACA WILBER ARTURO EN CONTRA DE: QUIZHPE LEON HERASMO ARTURO</t>
  </si>
  <si>
    <t>SEGUIDO POR: ALULIMA PADILLA FREDDY GONZALO  EN CONTRA DE: CHASE YAGUACHE OLGA MARIA</t>
  </si>
  <si>
    <t>SEGUIDO POR: DISTRIBUIDORA IMPORTADORA DIPOR SA EN CONTRA DE: MACAS JUMBO ANGEL GUSTAVO</t>
  </si>
  <si>
    <t>SEGUIDO POR: JARAMILLO VALDIVIESO HENRY LEONARDO EN CONTRA DE: SOTOMAYOR MOREIRA CLAUDIA PATRICIA</t>
  </si>
  <si>
    <t>SEGUIDO POR: VIVANCO CORDOVA LUCIA DE JESUS / CENTRO DE DESARROLLO INFANTIL MANITAS CREATIVAS EN CONTRA DE: ORTIZ MEDINA INES MARIA</t>
  </si>
  <si>
    <t>SEGUIDO POR: VIVANCO CORDOVA LUCIA DE JESUS / CENTRO DE DESARROLLO INFANTIL MANITAS CREATIVAS EN CONTRA DE: ORTIZ MEDINA MARIA GRISELDA</t>
  </si>
  <si>
    <t>SEGUIDO POR: ROJAS MERINO LILA RAQUEL EN CONTRA DE: INFANTE SARANGO MARIA DEL CARMEN</t>
  </si>
  <si>
    <t>SEGUIDO POR: CORDOVA PALACIOS VICTOR HUGO EN CONTRA DE: MAZA MAZA MARIANA DE JESUS</t>
  </si>
  <si>
    <t>SEGUIDO POR: MONTEROS JARAMILLO JEANNE MERCEDES EN CONTRA DE: CARRION ARMIJOS DANNY</t>
  </si>
  <si>
    <t>SEGUIDO POR: AREVALO VEINTIMILLA FAUSTO RODRIGO EN CONTRA DE: ORDOÑES PORRAS JUAN CARLOS</t>
  </si>
  <si>
    <t>SEGUIDO POR: QUEZADA EDISON RENE EN CONTRA DE: BELDUMA CUENCA LUIS</t>
  </si>
  <si>
    <t>SEGUIDO POR: SUAREZ MOGRO JOSE MANUEL EN CONTRA DE: LANCHE MOROCHO ANGEL</t>
  </si>
  <si>
    <t>SEGUIDO POR: PEÑARRETA CHAUVIN LEONARDO JOSE EN CONTRA DE: MOROCHO MOROCHO BOLIVAR OSWALDO</t>
  </si>
  <si>
    <t>SEGUIDO POR: HIPERMERCADOS DEL VALLE CIA LTDA EN CONTRA DE: VIERA MATIAS DANTE TOMAS</t>
  </si>
  <si>
    <t>SEGUIDO POR: PINTADO GUARNIZO GERMAN CORNELIO EN CONTRA DE: EMPRESA ELECTRICA REGIONAL DEL SUR SA</t>
  </si>
  <si>
    <t>SEGUIDO POR: CUENCA BENITEZ DIEGO RAMIRO EN CONTRA DE: EMPRESA ELECTRICA REGIONAL DEL SUR SA</t>
  </si>
  <si>
    <t>SEGUIDO POR: TORRES TORRES ROSA ELENA EN CONTRA DE: ELITEPERSON CIA LTDA</t>
  </si>
  <si>
    <t>SEGUIDO POR: MALLA GUALAQUIZA MARIA ALEXANDRA EN CONTRA DE: ELITEPERSON CIA LTDA</t>
  </si>
  <si>
    <t>SEGUIDO POR: MOROCHO CHIMBO ELIZABETH JOHANNA EN CONTRA DE: ELITEPERSON CIA LTDA</t>
  </si>
  <si>
    <t>SEGUIDO POR: MOROCHO MOROCHO BEATRIZ CARMEN EN CONTRA DE: ELITEPERSON CIA LTDA</t>
  </si>
  <si>
    <t>SEGUIDO POR: CHIMBO GUAMAN ROSA EUFEMIA EN CONTRA DE: ELITEPERSON CIA LTDA</t>
  </si>
  <si>
    <t>SEGUIDO POR: MACHUCA MORA JUAN CARLOS EN CONTRA DE: ELITEPERSON CIA LTDA</t>
  </si>
  <si>
    <t>SEGUIDO POR: CHIRIBOGA PINTADO JOHN MAURICIO EN CONTRA DE: ELITEPERSON CIA LTDA</t>
  </si>
  <si>
    <t>SEGUIDO POR: SANCHEZ GUALAN CARLOS ALBERTO EN CONTRA DE: ELITEPERSON CIA LTDA</t>
  </si>
  <si>
    <t>SEGUIDO POR: QUIZHPE PELAEZ JUAN CARLOS EN CONTRA DE: ELITEPERSON CIA LTDA</t>
  </si>
  <si>
    <t>SEGUIDO POR: CHICOMIN CELI CARLOS ALBERTO EN CONTRA DE: ELITEPERSON CIA LTDA</t>
  </si>
  <si>
    <t>SEGUIDO POR: SANCHEZ MASIAS JOSE INDALECIO EN CONTRA DE: ELITEPERSON CIA LTDA</t>
  </si>
  <si>
    <t>SEGUIDO POR: CUMBICUS CARRION JOSE BERNARDO EN CONTRA DE: ELITEPERSON CIA LTDA</t>
  </si>
  <si>
    <t>SEGUIDO POR: MARIN VEINTIMILLA XIMENA DEL CARMEN EN CONTRA DE: ELITEPERSON CIA LTDA</t>
  </si>
  <si>
    <t>SEGUIDO POR: PEÑARANDA PARDO AMABLE FABIAN EN CONTRA DE: ELITEPERSON CIA LTDA</t>
  </si>
  <si>
    <t>SEGUIDO POR: JARAMILLO CUENCA MARCO VINICIO EN CONTRA DE: ELITEPERSON CIA LTDA</t>
  </si>
  <si>
    <t>SEGUIDO POR: AREVALO ZUMBA HARMAN PAUL EN CONTRA DE: ELITEPERSON CIA LTDA</t>
  </si>
  <si>
    <t>SEGUIDO POR: TROYA SALINAS CRISTIAN ANDRES EN CONTRA DE: ELITEPERSON CIA LTDA</t>
  </si>
  <si>
    <t>SEGUIDO POR: UYAGUARI ZUÑIGA ROSA MERCEDES EN CONTRA DE: ELITEPERSON CIA LTDA</t>
  </si>
  <si>
    <t>SEGUIDO POR: MARTINEZ ROBLES PABLO GEOVANNY EN CONTRA DE: ELITEPERSON CIA LTDA</t>
  </si>
  <si>
    <t>SEGUIDO POR: URGILES RIVERA ROSA IMELDA EN CONTRA DE: ELITEPERSON CIA LTDA</t>
  </si>
  <si>
    <t>SEGUIDO POR: POMA CARDENAS CECILIA ROSARIO EN CONTRA DE: ELITEPERSON CIA LTDA</t>
  </si>
  <si>
    <t>SEGUIDO POR: DAVILA GRANDA LUZ BENIGNA EN CONTRA DE: ELITEPERSON CIA LTDA</t>
  </si>
  <si>
    <t>SEGUIDO POR: JIMENEZ LILIA MARIA EN CONTRA DE: ELITEPERSON CIA LTDA</t>
  </si>
  <si>
    <t>SEGUIDO POR: MOROCHO ALULIMA NELI JAQUELINE EN CONTRA DE: ELITEPERSON CIA LTDA</t>
  </si>
  <si>
    <t>SEGUIDO POR: ORTIZ MUEVECELA MARTHA GUADALUPE EN CONTRA DE: ELITEPERSON CIA LTDA</t>
  </si>
  <si>
    <t>SEGUIDO POR: VALDIVIESO ROSA ODALIA EN CONTRA DE: ELITEPERSON CIA LTDA</t>
  </si>
  <si>
    <t>SEGUIDO POR: PEREZ CUEVA NELLY DEL CARMEN EN CONTRA DE: ELITEPERSON CIA LTDA</t>
  </si>
  <si>
    <t>SEGUIDO POR: VILLACIS CAMACHO ROSA MIREYA EN CONTRA DE: ELITEPERSON CIA LTDA</t>
  </si>
  <si>
    <t>SEGUIDO POR: SANDOVAL MALACATUS MARIA ISABEL EN CONTRA DE: ELITEPERSON CIA LTDA</t>
  </si>
  <si>
    <t>SEGUIDO POR: ORDOÑEZ UREÑA MONICA BEATRIZ EN CONTRA DE: ELITEPERSON CIA LTDA</t>
  </si>
  <si>
    <t>SEGUIDO POR: RIOS ROJAS PIEDAD DE JESUS EN CONTRA DE: ELITEPERSON CIA LTDA</t>
  </si>
  <si>
    <t>SEGUIDO POR: JIMENEZ ABAD MARIA IRALDA EN CONTRA DE: ELITEPERSON CIA LTDA</t>
  </si>
  <si>
    <t>SEGUIDO POR: YAGUANA AREVALO MARIA DOLORES EN CONTRA DE: ELITEPERSON CIA LTDA</t>
  </si>
  <si>
    <t>SEGUIDO POR: POMA IÑIGUEZ MARICELA DEL CISNE EN CONTRA DE: ELITEPERSON CIA LTDA</t>
  </si>
  <si>
    <t>SEGUIDO POR: VELEZ CALVA ELVIA SUSANA EN CONTRA DE: ELITEPERSON CIA LTDA</t>
  </si>
  <si>
    <t>SEGUIDO POR: CORDOVA VALDEZ MERCEDES FLORESMILA EN CONTRA DE: ELITEPERSON CIA LTDA</t>
  </si>
  <si>
    <t>SEGUIDO POR: RODRIGUEZ PAREDES JOSE ARMANDO EN CONTRA DE: ELITEPERSON CIA LTDA</t>
  </si>
  <si>
    <t>SEGUIDO POR: PRADO ENRIQUEZ PABLO CESAR EN CONTRA DE: ORDOÑEZ SARMIENTO GABRIELA ALEXANDRA</t>
  </si>
  <si>
    <t>SEGUIDO POR: BURNEO VALDIVIESO JUAN EDUARDO / ROLLINGROAD CIA LTDA EN CONTRA DE: MONTESDEOCA CORREA BYRON PATRICIO</t>
  </si>
  <si>
    <t>SEGUIDO POR: CONSTRUCTORA CORBLANCO CIA LTDA EN CONTRA DE: EGUIGUREN VALDIVIESO ROBERTO</t>
  </si>
  <si>
    <t>SEGUIDO POR: CABRERA DOTA JAIME ALBERTO  EN CONTRA DE: EDITORIAL DEL SUR EDISUR CIA LTDA</t>
  </si>
  <si>
    <t>SEGUIDO POR: LUDEÑA AGUILAR NESTOR ALEJANDRO EN CONTRA DE: CABRERA CUEVA CESAR AUGUSTO</t>
  </si>
  <si>
    <t>SEGUIDO POR: HIPERMERCADOS DEL VALLE CIA LTDA EN CONTRA DE: CASTRO VEINTIMILLA HERNAN DAVID</t>
  </si>
  <si>
    <t>SEGUIDO POR: FARMALEMANA CA EN CONTRA DE: TOLEDO VEINTIMILLA LUIS FERNANDO</t>
  </si>
  <si>
    <t>SEGUIDO POR: ESCUELA DE CAPACITACION DE CONDUCTORES NO PROFESIONALES SPORTMANCAR EN CONTRA DE: DELGADO SOLANO DALTON FERNANDO</t>
  </si>
  <si>
    <t>SEGUIDO POR: SOLANO ESTRADA YAJAIRA DEL CISNE EN CONTRA DE: GONZALEZ PINOS MIGUEL ANGEL</t>
  </si>
  <si>
    <t>SEGUIDO POR: GUAMAN ARMIJOS MARCIA ALEXANDRA EN CONTRA DE: LEON MOROCHO MARTHA AIDE</t>
  </si>
  <si>
    <t>SEGUIDO POR: COOPERATIVA DE TAXIS SEVILLA DE ORO EN CONTRA DE: PINZON MAZA IRMA DEL ROCIO</t>
  </si>
  <si>
    <t>SEGUIDO POR: BUSTAMANTE JARAMILLO FRANKLIN OLIVAR EN CONTRA DE: POMA JARAMILLO XIMENA JOHANA</t>
  </si>
  <si>
    <t>SEGUIDO POR: PALACIO RIOFRIO ANA LUCIA EN CONTRA DE: CHAMBA FANNY MARIA</t>
  </si>
  <si>
    <t>SEGUIDO POR: PETER SCHRAMM WINKLER EN CONTRA DE: LEON LAPO LUZ ANGELICA</t>
  </si>
  <si>
    <t>SEGUIDO POR: MONTEROS JARAMILLO JEANNE MERCEDES EN CONTRA DE: GUAMAN ARMIJOS MARIA VERONICA</t>
  </si>
  <si>
    <t>SEGUIDO POR: DISTRIBUIDORA IMPORTADORA DIPOR SA EN CONTRA DE: CARAGUAY SIVISAPA PAUL FERNANDO</t>
  </si>
  <si>
    <t>SEGUIDO POR: HOSPITAL CLINICA SAN AGUSTIN CIA LTDA EN CONTRA DE: MEDINA GUAMAN JOHANNA ALEXANDRA</t>
  </si>
  <si>
    <t>SEGUIDO POR: CUEVA VILLAVICENCIO MILENNE ROSARIO EN CONTRA DE: DIAZ AJILA MARIANA DE JESUS</t>
  </si>
  <si>
    <t>SEGUIDO POR: ORTEGA LASSO ANGEL VLADIMIR EN CONTRA DE: GLASSVIT VIDRIO TEMPLADO CIA LTDA</t>
  </si>
  <si>
    <t>SEGUIDO POR: GOBIERNO PROVINCIAL DE LOJA EN CONTRA DE: YUNGA CHAMBA JOSE JAIME</t>
  </si>
  <si>
    <t>SEGUIDO POR: HERMOSA FERNANDO ROBERTO EN CONTRA DE: TORRES ABAD JANETH CLARIBEL</t>
  </si>
  <si>
    <t>SEGUIDO POR: CORDILOJA CIA LTDA EN CONTRA DE: VILLACRES CORREA MARTHA FERNANDA</t>
  </si>
  <si>
    <t>SEGUIDO POR: ROMAN IDALGO MARIANITA DE JESUS EN CONTRA DE: MACHUCA CUENCA LUZ ARGENTINA</t>
  </si>
  <si>
    <t>SEGUIDO POR: RUIZ JIMENEZ AMILCAR VICENTE EN CONTRA DE: JIMENEZ SALAZAR JOSE SEBASTIAN</t>
  </si>
  <si>
    <t>SEGUIDO POR: COMUNIDAD TERAPEUTICA SALVANDO AL ADICTO  EN CONTRA DE: TEJENA SORNOZA CARLOS JOEL</t>
  </si>
  <si>
    <t>SEGUIDO POR: VIVANCO LUDEÑA PABLO JOSE / REPRESENTACIONES VIVANCO EN CONTRA DE: IÑIGUEZ CARRION DIEGO GONZALO</t>
  </si>
  <si>
    <t>SEGUIDO POR: MARCIMEX SA EN CONTRA DE: TAMBO JARAMILLO JORGE PATRICIO</t>
  </si>
  <si>
    <t>SEGUIDO POR: MOVISHOP TELECOMUNICACIONES CIA LTDA EN CONTRA DE: OJEDA JARAMILLO JULIO CESAR</t>
  </si>
  <si>
    <t>SEGUIDO POR: VEINTIMILLA LOAIZA YAJAIRA MARIELA EN CONTRA DE: TENEDA JARAMILLO CARLOS VALENTIN</t>
  </si>
  <si>
    <t>SEGUIDO POR: COOPERATIVA DE TRANSPORTES LOJA EN CONTRA DE: PINTO MILTON RODRIGO</t>
  </si>
  <si>
    <t>SEGUIDO POR: VEINTIMILLA LOAIZA YAJAIRA MARIELA / CHARLOTE E ILVEM EN CONTRA DE: CALVACHE PONCE JOSE EDUARDO</t>
  </si>
  <si>
    <t>SEGUIDO POR: MULTICREDITOS CIA LTDA EN CONTRA DE: VEGA VEGA JUAN CARLOS</t>
  </si>
  <si>
    <t>SEGUIDO POR: GOBIERNO PROVINCIAL DE LOJA EN CONTRA DE: PICOITA JOSE MIGUEL</t>
  </si>
  <si>
    <t>SEGUIDO POR: CORPORACION ECUATORIANA DE LICORES Y ALIMENTOS S A EN CONTRA DE: BALBUCA CASTILLO DARIO JAVIER</t>
  </si>
  <si>
    <t>SEGUIDO POR: GLASSVIT SA EN CONTRA DE: ORTEGA LASSO ANGEL VLADIMIR</t>
  </si>
  <si>
    <t>SEGUIDO POR: AGRICOLA COMERCIAL CATAMAYO SA AGROCATSA EN CONTRA DE: TORRES TORRES JAIME AGUSTIN</t>
  </si>
  <si>
    <t>SEGUIDO POR: COOPERATIVA DE AHORRO Y CREDITO PADRE JULIAN LORENTE LTDA EN CONTRA DE: ENCARNACION VIVANCO SANDRA VERONICA</t>
  </si>
  <si>
    <t>SEGUIDO POR: BANCO DE LOJA EN CONTRA DE: GUAMO ESCALERAS GONZALO JAVIER</t>
  </si>
  <si>
    <t>SEGUIDO POR: GOBIERNO PROVINCIAL DE LOJA EN CONTRA DE: IÑIGUEZ CHALAN ELGUER ROLANDO</t>
  </si>
  <si>
    <t>SEGUIDO POR: LA SUREÑITA S A EN CONTRA DE: MAZA GUALAN LAURA PATRICIA</t>
  </si>
  <si>
    <t>SEGUIDO POR: GOBIERNO PROVINCIAL DE LOJA EN CONTRA DE: MAZA JOSE VINICIO</t>
  </si>
  <si>
    <t>SEGUIDO POR: MUÑOZ ALVARADO CARLOS JULIO / COOPERATIVA DE PRODUCCION ARTEDANAL CARPINTEROS SAN JOSE EN CONTRA DE: CURIPOMA TENESACA MANUEL FERNANDO</t>
  </si>
  <si>
    <t>SEGUIDO POR: VILLAVICENCIO FREIRE JAIME FABIAN / ALMACEN JAIME VILLAVICENCIO  EN CONTRA DE: YAGUANA PERALTA VICTOR ISIDRO</t>
  </si>
  <si>
    <t>SEGUIDO POR: COOPERATIVA DE AHORRO Y CREDITO CAMARA DE COMERCIO DE LOJA LTDA EN CONTRA DE: MALDONADO ROA MANUEL ALBERTO</t>
  </si>
  <si>
    <t>SEGUIDO POR: MUNICIPIO DE LOJA EN CONTRA DE: CALVA GAONA RAMIRO FRANCISCO</t>
  </si>
  <si>
    <t>SEGUIDO POR: AGRICOLA COMERCIAL CATAMAYO SA AGROCATSA EN CONTRA DE: OCHOA JIMENEZ MANUEL RODRIGO</t>
  </si>
  <si>
    <t>SEGUIDO POR: JUMBO JUMBO JOSE EDUARDO EN CONTRA DE: ESPEJO YAGUANA MANUEL RODRIGO</t>
  </si>
  <si>
    <t>SEGUIDO POR: HIPERMERCADOS DEL VALLE CIA LTDA EN CONTRA DE: VARGAS GUAMBAÑA GEOVANNY PATRICIO</t>
  </si>
  <si>
    <t>SEGUIDO POR: GOBIERNO MUNICIPAL DE CELICA EN CONTRA DE: TOALONGO CHIMBO HECTOR OSWALDO</t>
  </si>
  <si>
    <t>SEGUIDO POR: GOBIERNO PROVINCIAL DE LOJA EN CONTRA DE: GANZALEZ JARAMILLO EDGAR ROLANDO</t>
  </si>
  <si>
    <t>SEGUIDO POR: VILLAVICENCIO FREIRE JAIME FABIAN / ALMACEN JAIME VILLAVICENCIO  EN CONTRA DE: MONTOYA PERALTA JUAN CARLOS</t>
  </si>
  <si>
    <t>SEGUIDO POR: GOBIERNO PROVINCIAL DE LOJA EN CONTRA DE: JARAMILLO BECERRA SANTOS AMABLE</t>
  </si>
  <si>
    <t>SEGUIDO POR: MOSQUERA JACKSON FERNANDO EN CONTRA DE: BANCO DEL AUSTRO SA</t>
  </si>
  <si>
    <t>SEGUIDO POR: CUENCA NAGUA LUIS ANTONIO / ROMA PIZZERIA EN CONTRA DE: TANDAZO LALANGUI ANGEL GILEVAR</t>
  </si>
  <si>
    <t>SEGUIDO POR: MONTERO BERMEO SVETLHANA DEL CISNE EN CONTRA DE: COLLAGUAZO SARANGO LUIS ALFONSO</t>
  </si>
  <si>
    <t>SEGUIDO POR: SOCIEDAD DE HECHO CORPORACION MEDICA BLOQUE B EN CONTRA DE: CUENCA CUENCA EDGAR ARMANDO</t>
  </si>
  <si>
    <t>01-11</t>
  </si>
  <si>
    <t>02-11</t>
  </si>
  <si>
    <t>03-11</t>
  </si>
  <si>
    <t>04-11</t>
  </si>
  <si>
    <t>05-11</t>
  </si>
  <si>
    <t>06-11</t>
  </si>
  <si>
    <t>07-11</t>
  </si>
  <si>
    <t>08-11</t>
  </si>
  <si>
    <t>09-11</t>
  </si>
  <si>
    <t>10-11</t>
  </si>
  <si>
    <t>11-11</t>
  </si>
  <si>
    <t>12-11</t>
  </si>
  <si>
    <t>13-11</t>
  </si>
  <si>
    <t>14-11</t>
  </si>
  <si>
    <t>15-11</t>
  </si>
  <si>
    <t>16-11</t>
  </si>
  <si>
    <t>17-11</t>
  </si>
  <si>
    <t>18-11</t>
  </si>
  <si>
    <t>19-11</t>
  </si>
  <si>
    <t>20-11</t>
  </si>
  <si>
    <t>21-11</t>
  </si>
  <si>
    <t>22-11</t>
  </si>
  <si>
    <t>23-11</t>
  </si>
  <si>
    <t>24-11</t>
  </si>
  <si>
    <t>25-11</t>
  </si>
  <si>
    <t>26-11</t>
  </si>
  <si>
    <t>27-11</t>
  </si>
  <si>
    <t>28-11</t>
  </si>
  <si>
    <t>29-11</t>
  </si>
  <si>
    <t>30-11</t>
  </si>
  <si>
    <t>31-11</t>
  </si>
  <si>
    <t>32-11</t>
  </si>
  <si>
    <t>33-11</t>
  </si>
  <si>
    <t>35-11</t>
  </si>
  <si>
    <t>36-11</t>
  </si>
  <si>
    <t>37-11</t>
  </si>
  <si>
    <t>38-11</t>
  </si>
  <si>
    <t>39-11</t>
  </si>
  <si>
    <t>40-11</t>
  </si>
  <si>
    <t>41-11</t>
  </si>
  <si>
    <t>42-11</t>
  </si>
  <si>
    <t>43-11</t>
  </si>
  <si>
    <t>44-11</t>
  </si>
  <si>
    <t>45-11</t>
  </si>
  <si>
    <t>46-11</t>
  </si>
  <si>
    <t>47-11</t>
  </si>
  <si>
    <t>48-11</t>
  </si>
  <si>
    <t>49-11</t>
  </si>
  <si>
    <t>50-11</t>
  </si>
  <si>
    <t>51-11</t>
  </si>
  <si>
    <t>52-11</t>
  </si>
  <si>
    <t>53-11</t>
  </si>
  <si>
    <t>54-11</t>
  </si>
  <si>
    <t>55-11</t>
  </si>
  <si>
    <t>56-11</t>
  </si>
  <si>
    <t>57-11</t>
  </si>
  <si>
    <t>58-11</t>
  </si>
  <si>
    <t>59-11</t>
  </si>
  <si>
    <t>60-11</t>
  </si>
  <si>
    <t>61-11</t>
  </si>
  <si>
    <t>62-11</t>
  </si>
  <si>
    <t>63-11</t>
  </si>
  <si>
    <t>64-11</t>
  </si>
  <si>
    <t>65-11</t>
  </si>
  <si>
    <t>66-11</t>
  </si>
  <si>
    <t>67-11</t>
  </si>
  <si>
    <t>68-11</t>
  </si>
  <si>
    <t>69-11</t>
  </si>
  <si>
    <t>70-11</t>
  </si>
  <si>
    <t>71-11</t>
  </si>
  <si>
    <t>72-11</t>
  </si>
  <si>
    <t>73-11</t>
  </si>
  <si>
    <t>74-11</t>
  </si>
  <si>
    <t>75-11</t>
  </si>
  <si>
    <t>76-11</t>
  </si>
  <si>
    <t>77-11</t>
  </si>
  <si>
    <t>78-11</t>
  </si>
  <si>
    <t>79-11</t>
  </si>
  <si>
    <t>80-11</t>
  </si>
  <si>
    <t>81-11</t>
  </si>
  <si>
    <t>82-11</t>
  </si>
  <si>
    <t>83-11</t>
  </si>
  <si>
    <t>84-11</t>
  </si>
  <si>
    <t>85-11</t>
  </si>
  <si>
    <t>86-11</t>
  </si>
  <si>
    <t>87-11</t>
  </si>
  <si>
    <t>88-11</t>
  </si>
  <si>
    <t>89-11</t>
  </si>
  <si>
    <t>90-11</t>
  </si>
  <si>
    <t>91-11</t>
  </si>
  <si>
    <t>92-11</t>
  </si>
  <si>
    <t>93-11</t>
  </si>
  <si>
    <t>94-11</t>
  </si>
  <si>
    <t>95-11</t>
  </si>
  <si>
    <t>96-11</t>
  </si>
  <si>
    <t>97-11</t>
  </si>
  <si>
    <t>98-11</t>
  </si>
  <si>
    <t>12105-11</t>
  </si>
  <si>
    <t>7870-11</t>
  </si>
  <si>
    <t>3453-11</t>
  </si>
  <si>
    <t>5766-11</t>
  </si>
  <si>
    <t>11542-11</t>
  </si>
  <si>
    <t>10549-11</t>
  </si>
  <si>
    <t>8394-11</t>
  </si>
  <si>
    <t>4874-11</t>
  </si>
  <si>
    <t>3421-11</t>
  </si>
  <si>
    <t>12110-11</t>
  </si>
  <si>
    <t>1397-11</t>
  </si>
  <si>
    <t>2003-11</t>
  </si>
  <si>
    <t>1398-11</t>
  </si>
  <si>
    <t>4653-11</t>
  </si>
  <si>
    <t>10909-11</t>
  </si>
  <si>
    <t>9915-11</t>
  </si>
  <si>
    <t>8779-11</t>
  </si>
  <si>
    <t>5272-11</t>
  </si>
  <si>
    <t>5451-11</t>
  </si>
  <si>
    <t>8827-11</t>
  </si>
  <si>
    <t>10917-11</t>
  </si>
  <si>
    <t>8357-11</t>
  </si>
  <si>
    <t>5665-11</t>
  </si>
  <si>
    <t>5522-11</t>
  </si>
  <si>
    <t>11920-11</t>
  </si>
  <si>
    <t>7774-11</t>
  </si>
  <si>
    <t>7537-11</t>
  </si>
  <si>
    <t>5270-11</t>
  </si>
  <si>
    <t>5605-11</t>
  </si>
  <si>
    <t>7737-11</t>
  </si>
  <si>
    <t>7150-11</t>
  </si>
  <si>
    <t>3733-11</t>
  </si>
  <si>
    <t>5668-11</t>
  </si>
  <si>
    <t>11921-11</t>
  </si>
  <si>
    <t>11809-11</t>
  </si>
  <si>
    <t>2536-11</t>
  </si>
  <si>
    <t>2213-11</t>
  </si>
  <si>
    <t>2113-11</t>
  </si>
  <si>
    <t>29/11/2010</t>
  </si>
  <si>
    <t>03/01/2011</t>
  </si>
  <si>
    <t>01-12</t>
  </si>
  <si>
    <t>7/12/2010</t>
  </si>
  <si>
    <t>07/01/2011</t>
  </si>
  <si>
    <t>16/12/2010</t>
  </si>
  <si>
    <t>12/01/2011</t>
  </si>
  <si>
    <t>03-12</t>
  </si>
  <si>
    <t>04-12</t>
  </si>
  <si>
    <t>13/01/2013</t>
  </si>
  <si>
    <t>22/11/2010</t>
  </si>
  <si>
    <t>01/02/2011</t>
  </si>
  <si>
    <t>07/12/2010</t>
  </si>
  <si>
    <t>09/02/2011</t>
  </si>
  <si>
    <t>07/02/2011</t>
  </si>
  <si>
    <t>15/02/2011</t>
  </si>
  <si>
    <t>08/02/2011</t>
  </si>
  <si>
    <t>17/02/2011</t>
  </si>
  <si>
    <t>14/04/2011</t>
  </si>
  <si>
    <t>19/04/2011</t>
  </si>
  <si>
    <t>29/04/2011</t>
  </si>
  <si>
    <t>23/05/2011</t>
  </si>
  <si>
    <t>30/05/2011</t>
  </si>
  <si>
    <t>26/05/2011</t>
  </si>
  <si>
    <t>09/08/2011</t>
  </si>
  <si>
    <t xml:space="preserve">SEGUIDO POR: PATRICVIO CEVALLOS VALDIVIESO EN CONTRA DE: MARCELA DEL CARMEN OCHOA </t>
  </si>
  <si>
    <t>28/07/2011</t>
  </si>
  <si>
    <t>25/05/2011</t>
  </si>
  <si>
    <t>29/07/2011</t>
  </si>
  <si>
    <t>18/07/2011</t>
  </si>
  <si>
    <t>31/05/2011</t>
  </si>
  <si>
    <t>04/05/2011</t>
  </si>
  <si>
    <t>08/06/2011</t>
  </si>
  <si>
    <t>11/07/2011</t>
  </si>
  <si>
    <t>16/06/2011</t>
  </si>
  <si>
    <t>24/06/2011</t>
  </si>
  <si>
    <t>17/06/2011</t>
  </si>
  <si>
    <t>21/06/2011</t>
  </si>
  <si>
    <t>29/06/2011</t>
  </si>
  <si>
    <t>22/06/2011</t>
  </si>
  <si>
    <t>21/07/2011</t>
  </si>
  <si>
    <t>19/08/2011</t>
  </si>
  <si>
    <t>27/07/2011</t>
  </si>
  <si>
    <t>16/08/2011</t>
  </si>
  <si>
    <t>29/08/2011</t>
  </si>
  <si>
    <t>09/09/2011</t>
  </si>
  <si>
    <t>11/08/2011</t>
  </si>
  <si>
    <t>17/08/2011</t>
  </si>
  <si>
    <t>17/09/2011</t>
  </si>
  <si>
    <t>18/08/2011</t>
  </si>
  <si>
    <t>07/10/2011</t>
  </si>
  <si>
    <t>23/08/2011</t>
  </si>
  <si>
    <t>24/08/2011</t>
  </si>
  <si>
    <t>14/09/2011</t>
  </si>
  <si>
    <t>07/09/2011</t>
  </si>
  <si>
    <t>´34-11</t>
  </si>
  <si>
    <t>06/09/2011</t>
  </si>
  <si>
    <t>21/09/2011</t>
  </si>
  <si>
    <t>16</t>
  </si>
  <si>
    <t>19/09/2011</t>
  </si>
  <si>
    <t>20/09/2011</t>
  </si>
  <si>
    <t>20/08/2011</t>
  </si>
  <si>
    <t>10/10/2011</t>
  </si>
  <si>
    <t>22/09/2011</t>
  </si>
  <si>
    <t>03/10/2011</t>
  </si>
  <si>
    <t>20/10/2011</t>
  </si>
  <si>
    <t>26/09/2011</t>
  </si>
  <si>
    <t>23/09/2011</t>
  </si>
  <si>
    <t>19/10/2011</t>
  </si>
  <si>
    <t>30/09/2011</t>
  </si>
  <si>
    <t>05/10/2011</t>
  </si>
  <si>
    <t>21/10/2011</t>
  </si>
  <si>
    <t>11/10/2011</t>
  </si>
  <si>
    <t>01/12/2011</t>
  </si>
  <si>
    <t>12/10/2011</t>
  </si>
  <si>
    <t>11/11/2011</t>
  </si>
  <si>
    <t>14/10/2011</t>
  </si>
  <si>
    <t>25/10/2011</t>
  </si>
  <si>
    <t>24/10/2011</t>
  </si>
  <si>
    <t>27/10/2011</t>
  </si>
  <si>
    <t>28/10/2011</t>
  </si>
  <si>
    <t>30/11/2011</t>
  </si>
  <si>
    <t>12/11/2011</t>
  </si>
  <si>
    <t>02/12/2011</t>
  </si>
  <si>
    <t>27/11/2011</t>
  </si>
  <si>
    <t>08/11/2011</t>
  </si>
  <si>
    <t>29/11/2011</t>
  </si>
  <si>
    <t>15/11/2011</t>
  </si>
  <si>
    <t>21/11/2011</t>
  </si>
  <si>
    <t>27/12/2011</t>
  </si>
  <si>
    <t>24/11/2011</t>
  </si>
  <si>
    <t>20/12/2011</t>
  </si>
  <si>
    <t>21/12/2011</t>
  </si>
  <si>
    <t>05/12/2011</t>
  </si>
  <si>
    <t>07/12/2011</t>
  </si>
  <si>
    <t>19/12/2011</t>
  </si>
  <si>
    <t>09/12/2011</t>
  </si>
  <si>
    <t>23/12/2011</t>
  </si>
  <si>
    <t>15/12/2011</t>
  </si>
  <si>
    <t>22/12/2011</t>
  </si>
  <si>
    <t xml:space="preserve">SEGUIDO POR:JOSE EDUARDO JUMBO JUMBO EN CONTRA DE: LUIS VINBICIO ROJAS SOTO </t>
  </si>
  <si>
    <t>05608-11</t>
  </si>
  <si>
    <t>16/02/2011</t>
  </si>
  <si>
    <t>13/04/2011</t>
  </si>
  <si>
    <t>14</t>
  </si>
  <si>
    <t>02/05/2011</t>
  </si>
  <si>
    <t>15/08/2011</t>
  </si>
  <si>
    <t>14/03/2011</t>
  </si>
  <si>
    <t>01/04/2011</t>
  </si>
  <si>
    <t>10853-11</t>
  </si>
  <si>
    <t>12/04/2011</t>
  </si>
  <si>
    <t>44</t>
  </si>
  <si>
    <t>20</t>
  </si>
  <si>
    <t>18/02/2011</t>
  </si>
  <si>
    <t>21/02/2011</t>
  </si>
  <si>
    <t>05/05/2011</t>
  </si>
  <si>
    <t>11</t>
  </si>
  <si>
    <t>07/04/2011</t>
  </si>
  <si>
    <t>16/05/2011</t>
  </si>
  <si>
    <t>18/03/2011</t>
  </si>
  <si>
    <t>30/03/2011</t>
  </si>
  <si>
    <t>8</t>
  </si>
  <si>
    <t>10/02/2011</t>
  </si>
  <si>
    <t>36</t>
  </si>
  <si>
    <t>01/03/2011</t>
  </si>
  <si>
    <t>35</t>
  </si>
  <si>
    <t>21/05/2011</t>
  </si>
  <si>
    <t>03/05/2011</t>
  </si>
  <si>
    <t>64</t>
  </si>
  <si>
    <t>05/01/2011</t>
  </si>
  <si>
    <t>13/01/2011</t>
  </si>
  <si>
    <t>10</t>
  </si>
  <si>
    <t>15</t>
  </si>
  <si>
    <t>14/01/2011</t>
  </si>
  <si>
    <t>66</t>
  </si>
  <si>
    <t>06/04/2011</t>
  </si>
  <si>
    <t>10/05/2011</t>
  </si>
  <si>
    <t>21/04/2011</t>
  </si>
  <si>
    <t>22/03/2011</t>
  </si>
  <si>
    <t>14/02/2011</t>
  </si>
  <si>
    <t>04/03/2011</t>
  </si>
  <si>
    <t>23/03/2011</t>
  </si>
  <si>
    <t>19/03/2011</t>
  </si>
  <si>
    <t>1762-11</t>
  </si>
  <si>
    <t>03/03/2011</t>
  </si>
  <si>
    <t>11/03/2011</t>
  </si>
  <si>
    <t>21/03/2011</t>
  </si>
  <si>
    <t>10/03/2011</t>
  </si>
  <si>
    <t>02/06/2011</t>
  </si>
  <si>
    <t>28/04/2011</t>
  </si>
  <si>
    <t>27/04/2011</t>
  </si>
  <si>
    <t>31/01/2011</t>
  </si>
  <si>
    <t>26/04/2011</t>
  </si>
  <si>
    <t>19/01/2011</t>
  </si>
  <si>
    <t>16/09/2011</t>
  </si>
  <si>
    <t>22/08/2011</t>
  </si>
  <si>
    <t>025-11</t>
  </si>
  <si>
    <t>28/12/2011</t>
  </si>
  <si>
    <t>23/01/2012</t>
  </si>
  <si>
    <t>12/01/2012</t>
  </si>
  <si>
    <t>17/01/2012</t>
  </si>
  <si>
    <t>82 -11</t>
  </si>
  <si>
    <t>90 - 11</t>
  </si>
  <si>
    <t>16/12/2011</t>
  </si>
  <si>
    <t>1/01/2012</t>
  </si>
  <si>
    <t>06/01/2012</t>
  </si>
  <si>
    <t>26/01/2012</t>
  </si>
  <si>
    <t>25/01/2012</t>
  </si>
  <si>
    <t>04/04/2012</t>
  </si>
  <si>
    <t>SEGUIDO POR: EMPRESA PUBLICA CORREOS DEL ECUADOR EN CONTRA DE: RUIZ JARAMILLO MANUEL DARIO</t>
  </si>
  <si>
    <t>SEGUIDO POR: COOPERATIVA DE AHORRO Y CREDITO EDUCADORES DE LOJA  EN CONTRA DE: MEJIA RUTH CARMITA</t>
  </si>
  <si>
    <t>SEGUIDO POR: VELEPUCHA GUZMAN BYRON LEONARDO / TALLER ARTESANAL DE MECANICA AUTOMOTRIZ FULLCAR EN CONTRA DE: BUSTOS GUARNIZO FRANKLIN TEODORO</t>
  </si>
  <si>
    <t>SEGUIDO POR: RIOS DIONICIO BOLIVAR EN CONTRA DE: CONTENTO GUAMAN NANCY ESPERANZA</t>
  </si>
  <si>
    <t>SEGUIDO POR: COOPERATIVA DE AHORRO Y CREDITO VICENTINA MANUEL ESTEBAN GODOY ORTEGA LTDA EN CONTRA DE: TERAN TAMAYO NELSON ROBERTO</t>
  </si>
  <si>
    <t>SEGUIDO POR: COOPERATIVA DE AHORRO Y CREDITO CRISTO REY  EN CONTRA DE: CUEVA ENCALADA KATHERINE RAQUEL</t>
  </si>
  <si>
    <t>SEGUIDO POR: AFP GENESIS ADMINISTRADORA DE FONDOS SA EN CONTRA DE: CABRERA MAGALLANES GRACE AMELIA</t>
  </si>
  <si>
    <t>SEGUIDO POR: COOPERATIVA DE AHORRO Y CREDITO DEL SINDICATO DE CHOFERES PROFESIONALES DE LOJA LTDA EN CONTRA DE: ZUÑIGA ASTUDILLO MISHEL ALEJANDRA</t>
  </si>
  <si>
    <t>SEGUIDO POR: HUANG JIN  EN CONTRA DE: PALTIN JARAMILLO PATRICIO EFRAIN</t>
  </si>
  <si>
    <t>SEGUIDO POR: MORA AGUIRRE MARIA MAGDALENA EN CONTRA DE: VALLE VARGAS LOURDES KARINA</t>
  </si>
  <si>
    <t xml:space="preserve">SEGUIDO POR: BANCO PICHINCHA CA EN CONTRA DE: ROMERO ANDRADE LETICIA </t>
  </si>
  <si>
    <t>SEGUIDO POR: VILLAVICENCIO CUEVA VICTORIA AURIA ENID EN CONTRA DE: GUILLIN CORDOVA FANNY</t>
  </si>
  <si>
    <t>SEGUIDO POR: CENTRO EDUCATIVO DE FORMACION INTEGRAL PUNTO DE PARTIDA EN CONTRA DE: LARRIVA FERNANDEZ CELESTE DEL CISNE</t>
  </si>
  <si>
    <t>SEGUIDO POR: AMAZONASEDUC CIA LTDA EN CONTRA DE: BURNEO SEMPERTEGUI FRANCISCO LEONARDO</t>
  </si>
  <si>
    <t>SEGUIDO POR: TECNICA GENERAL DE CONSTRUCCIONES SA EN CONTRA DE: MALDONADO ALBERCA CARLOS AMADO</t>
  </si>
  <si>
    <t>SEGUIDO POR: PARROQUIA ECLESIASTICA SAN SEBASTIAN LOJA EN CONTRA DE: PRECIADO CORDERO ENID MARIANITA</t>
  </si>
  <si>
    <t>SEGUIDO POR: CORDOVA PALACIOS VICTOR HUGO EN CONTRA DE: PAÑORA CHIRIBOGA YOFFRE EDUARDO</t>
  </si>
  <si>
    <t>SEGUIDO POR: BETANCOURT SOTO FRANKLIN FERNANDO  EN CONTRA DE: MAZA PAREDES LUIS AMABLE</t>
  </si>
  <si>
    <t>SEGUIDO POR: VILLAVICENCIO CELI ESTHER GUILLERMINA EN CONTRA DE: AVILA ALVAREZ ROBIN STALIN</t>
  </si>
  <si>
    <t>SEGUIDO POR: BANCO DE LOJA SA EN CONTRA DE: MORA ORTEGA PABLO JAVIER</t>
  </si>
  <si>
    <t>SEGUIDO POR: MOVISHOP TELECOMUNICACIONES CIA LTDA EN CONTRA DE: SARANGO CALLE ALCIVAR VINICIO</t>
  </si>
  <si>
    <t>SEGUIDO POR: LOZANO SAMANIEGO JOHANNA ISABEL EN CONTRA DE: ERAZO MERIZALDE VIVIANA IVANOVA</t>
  </si>
  <si>
    <t>SEGUIDO POR: CUMBICUS JIMIENEZ PIEDAD MARLENE  EN CONTRA DE: CUMBICUS JUAN CARLOS</t>
  </si>
  <si>
    <t>SEGUIDO POR: HOTELERA VALDIVIESO &amp; EGUIGUREN CIA LTDA EN CONTRA DE: ROBALINO ESPIN LUIS VICENTE</t>
  </si>
  <si>
    <t>SEGUIDO POR: JARAMILLO AYALA JENI PIEDAD EN CONTRA DE: MONTAÑO MALDONADO JOSE SANTOS</t>
  </si>
  <si>
    <t>SEGUIDO POR: JARAMILLO AYALA JENI PIEDAD EN CONTRA DE: MOROCHO AGUILAR DARIO JAVIER</t>
  </si>
  <si>
    <t>SEGUIDO POR: ARMIJOS VEINTIMILLA FREDY PATRICIO EN CONTRA DE: ESPINOZA MONCAYO JENNY ZENAIDA</t>
  </si>
  <si>
    <t>SEGUIDO POR: GUAMAN LUDEÑA GRACIELA ELIZABETH  EN CONTRA DE: ESCUELA SUPERIOR POLITECNICA SERVIO TULIO MONTERO LUDEÑA</t>
  </si>
  <si>
    <t>SEGUIDO POR: CUEVA MEJIA JIMMY HUMBERTO EN CONTRA DE: ESCUELA SUPERIOR POLITECNICA SERVIO TULIO MONTERO LUDEÑA</t>
  </si>
  <si>
    <t>SEGUIDO POR: ALTA TECNOLOGIA / ALARCON JULIO CESAR EN CONTRA DE: CHINININ SARAGURO JOSE LENIN</t>
  </si>
  <si>
    <t>SEGUIDO POR: CARPIO JARAMILLO HECTOR LEONIDAS EN CONTRA DE: PINTADO TROYA CRIMILDA</t>
  </si>
  <si>
    <t>SEGUIDO POR: SARANGO CORREA ENRRY NIBALDO EN CONTRA DE: TORRES TORRES JORGE HERIBERTO</t>
  </si>
  <si>
    <t>SEGUIDO POR: DISTRIBUIDORA CAMEL DE INSUMOS DISCAMEL CIA LTDA EN CONTRA DE: NARANJO DIAZ STALIN GONZALEZ</t>
  </si>
  <si>
    <t>SEGUIDO POR: RIVERA BALCAZAR HORACIO EUGENIO  EN CONTRA DE: TAPIA TAPIA EDY ALBINO</t>
  </si>
  <si>
    <t>SEGUIDO POR: RIVERA BALCAZAR HORACIO EUGENIO  EN CONTRA DE: GONZALEZ HERRERA HENRY WILCER</t>
  </si>
  <si>
    <t>SEGUIDO POR: MUNICIPIO DE LOJA EN CONTRA DE: RAMON ULLAGUARI EDY SEGUNDO</t>
  </si>
  <si>
    <t>SEGUIDO POR: GRANDA GAONA YONNY ESTALIN EN CONTRA DE: SEVISA CIA LTDA</t>
  </si>
  <si>
    <t>SEGUIDO POR: VALLADARES GUARNIZO VANESSA DEL CISNE EN CONTRA DE: ESCUELA SUPERIOR POLITECNICA SERVIO TULIO MONTERO LUDEÑA</t>
  </si>
  <si>
    <t>SEGUIDO POR: MONTERO BERMEO NELVIA DE FATIMA EN CONTRA DE: ESCUELA SUPERIOR POLITECNICA SERVIO TULIO MONTERO LUDEÑA</t>
  </si>
  <si>
    <t>SEGUIDO POR: HERNANDEZ SOCARRAS REINER EN CONTRA DE: ESCUELA SUPERIOR POLITECNICA SERVIO TULIO MONTERO LUDEÑA</t>
  </si>
  <si>
    <t>SEGUIDO POR: BERMEO ABRAHAN MARIA DE FATIMA EN CONTRA DE: ESCUELA SUPERIOR POLITECNICA SERVIO TULIO MONTERO LUDEÑA</t>
  </si>
  <si>
    <t>SEGUIDO POR: MONTERO RODRIGUEZ JORGE CRISTOBAL EN CONTRA DE: ESCUELA SUPERIOR POLITECNICA SERVIO TULIO MONTERO LUDEÑA</t>
  </si>
  <si>
    <t>SEGUIDO POR: MONTERO BERMEO SERVIO STALIN EN CONTRA DE: ESCUELA SUPERIOR POLITECNICA SERVIO TULIO MONTERO LUDEÑA</t>
  </si>
  <si>
    <t>SEGUIDO POR: MONTERO ROMERO ELIZABETH NOEMI EN CONTRA DE: ESCUELA SUPERIOR POLITECNICA SERVIO TULIO MONTERO LUDEÑA</t>
  </si>
  <si>
    <t>SEGUIDO POR: HOSPITAL CLINICA SAN AGUSTIN CIA LTDA EN CONTRA DE: QUIROLA AREVALO ADRIANA LUCIA</t>
  </si>
  <si>
    <t>SEGUIDO POR: CASTILLO JUMBO LORGIA JUDITH  EN CONTRA DE: ESCUELA SUPERIOR POLITECNICA SERVIO TULIO MONTERO LUDEÑA</t>
  </si>
  <si>
    <t>SEGUIDO POR: MONTERO BERMEO SVELTLHANA DEL CISNE EN CONTRA DE: ESCUELA SUPERIOR POLITECNICA SERVIO TULIO MONTERO LUDEÑA</t>
  </si>
  <si>
    <t>SEGUIDO POR: ALVERCA JIMENEZ LISSETH DEL CISNE EN CONTRA DE: ESCUELA SUPERIOR POLITECNICA SERVIO TULIO MONTERO LUDEÑA</t>
  </si>
  <si>
    <t>SEGUIDO POR: PINZON PRADO JIMMY FABRICIO EN CONTRA DE: ESCUELA SUPERIOR POLITECNICA SERVIO TULIO MONTERO LUDEÑA</t>
  </si>
  <si>
    <t>SEGUIDO POR: PICOITA CAMACHO JOHNY MARITZA EN CONTRA DE: ESCUELA SUPERIOR POLITECNICA SERVIO TULIO MONTERO LUDEÑA</t>
  </si>
  <si>
    <t>SEGUIDO POR: QUINDE VUELE MERCY CARMEN EN CONTRA DE: ESCUELA SUPERIOR POLITECNICA SERVIO TULIO MONTERO LUDEÑA</t>
  </si>
  <si>
    <t>SEGUIDO POR: GAD CHAGUARPAMBA EN CONTRA DE: BERMEO BERMEO SEGUNDO FRANCISCO</t>
  </si>
  <si>
    <t>SEGUIDO POR: ONKEV SA EN CONTRA DE: ROMAN VALLEJO FRANCISCO JAVIER</t>
  </si>
  <si>
    <t>SEGUIDO POR: FRANCO LEON LEONOR DEL CARMEN EN CONTRA DE: ESCUELA SUPERIOR POLITECNICA SERVIO TULIO MONTERO LUDEÑA</t>
  </si>
  <si>
    <t>SEGUIDO POR: OJEDA SARANGO EDWIN AMADO EN CONTRA DE: ESCUELA SUPERIOR POLITECNICA SERVIO TULIO MONTERO LUDEÑA</t>
  </si>
  <si>
    <t>SEGUIDO POR: CARRION SANCHEZ JOSE AMADO EN CONTRA DE: ESCUELA SUPERIOR POLITECNICA SERVIO TULIO MONTERO LUDEÑA</t>
  </si>
  <si>
    <t>SEGUIDO POR: DIREL MATERIALES DE CONSTRUCCION CIA LTDA EN CONTRA DE: SILVA GARCIA JOSE FERNANDO</t>
  </si>
  <si>
    <t>SEGUIDO POR: HOTELERA PISCOBAMBA CIA LTDA EN CONTRA DE: ANDRADE ARMIJOS CRISTIAN MEDARDO</t>
  </si>
  <si>
    <t>SEGUIDO POR: VALAREZO PALACIOS NELLY EUGENIA EN CONTRA DE: MEDINA PAUTE ALEXANDER MANUEL</t>
  </si>
  <si>
    <t>SEGUIDO POR: COMPAÑIA DE TAXI EJECUTIVO RIVERAS DEL ALCAZAR RIVERAL SA EN CONTRA DE: BAILON BOTINES ESTHER ADELAIDA</t>
  </si>
  <si>
    <t xml:space="preserve">SEGUIDO POR: DIMACO / TORRES TORRES ROGELIO RAMIRO EN CONTRA DE: TILLAGUANGO ALVAREZ ELIAS ABRAHAN </t>
  </si>
  <si>
    <t>SEGUIDO POR: BALZA CABANZO OSWALDO RAFAEL EN CONTRA DE: VICENTE VEGA LUCIA CARMITA</t>
  </si>
  <si>
    <t>SEGUIDO POR: COOPERATIVA DE TRANSPORTE UNION CARIAMANGA EN CONTRA DE: SARANGO SALINAS YESSICA VERENICE</t>
  </si>
  <si>
    <t>SEGUIDO POR: CASA RELIGIOSA SANTO DOMINGO DE GUZMAN LOJA EN CONTRA DE: CASTILLO JIMENEZ EDWIN DARWIN</t>
  </si>
  <si>
    <t>SEGUIDO POR: BELTRAN SILVA SANDRA DEL ROCIO EN CONTRA DE: GAD DE SARAGURO</t>
  </si>
  <si>
    <t>SEGUIDO POR: GUARNIZO CONDOLO MARIA FERNANDA EN CONTRA DE: NUÑEZ MASACHE YOLANDA</t>
  </si>
  <si>
    <t>SEGUIDO POR: LOAIZA PEÑA GLORIA DEL CISNE EN CONTRA DE: ESCUELA SUPERIOR POLITECNICA SERVIO TULIO MONTERO LUDEÑA</t>
  </si>
  <si>
    <t>SEGUIDO POR: CUENCA ACARO JOSE ELICEO EN CONTRA DE: JIMENEZ TILLAGUANGO JOSE GEOVANNY</t>
  </si>
  <si>
    <t>SEGUIDO POR: JARAMILLO GALVAN JOSE RODRIGO EN CONTRA DE: PARDO MARIA ESPERANZA</t>
  </si>
  <si>
    <t>SEGUIDO POR: GAD DE LOJA EN CONTRA DE: GONZALEZ PINEDA VICTOR ANGEL</t>
  </si>
  <si>
    <t>SEGUIDO POR: FEDERACION PROVINCIAL DE LIGAS DEPORTIVAS BARRIALES Y PARROQUIALES DE LOJA EN CONTRA DE: JARAMILLO MORILLO JOHN ANIBAL</t>
  </si>
  <si>
    <t>SEGUIDO POR: CUENCA ACARO JOSE ELICEO EN CONTRA DE: VINCES PIGUAVE STANLEY GEOVANNY</t>
  </si>
  <si>
    <t>SEGUIDO POR: LOJASYSTEM CA / CUENCA OJEDA JOSE ANDRES  EN CONTRA DE: CUEVA PACHECO JOSE ANTONIO</t>
  </si>
  <si>
    <t>SEGUIDO POR: CORDILOJA CIA LTDA EN CONTRA DE: MONTESINOS JARAMILLO JOSE VINICIO</t>
  </si>
  <si>
    <t>SEGUIDO POR: CORDILOJA CIA LTDA EN CONTRA DE: ARROBO RODAS GLADYS MARIA</t>
  </si>
  <si>
    <t>SEGUIDO POR: ABAD CASTILLO MANUEL ALEJANDRO EN CONTRA DE: ESCUELA SUPERIOR POLITECNICA SERVIO TULIO MONTERO LUDEÑA</t>
  </si>
  <si>
    <t>SEGUIDO POR: SEGAL CIA LTDA EN CONTRA DE: QUIZHPE GONZALEZ LUIS ALEJANDRO</t>
  </si>
  <si>
    <t>SEGUIDO POR: VILLAVICENCIO PAZMIÑO MIGUEL ANDRES EN CONTRA DE: PACCHA PALACIOS MARIA MAGDALENA</t>
  </si>
  <si>
    <t xml:space="preserve">SEGUIDO POR: SANDOVAL GONZALEZ LAUTARO MARCELO EN CONTRA DE: SARMIENTO CONTENTO ROSA LILIANA </t>
  </si>
  <si>
    <t>SEGUIDO POR: GUILLEN TITUANA OSCAR FIDENCIO EN CONTRA DE: BERMEO RAMON DAVID ALEJANDRO</t>
  </si>
  <si>
    <t>SEGUIDO POR: UNIVERSIDAD TECNICA PARTICULAR DE LOJA EN CONTRA DE: AREVALO TORRES JOSE LUIS</t>
  </si>
  <si>
    <t>SEGUIDO POR: COOPERATIVA DE TRANSPORTE DE PASAJEROS INTERNACIONAL NAMBIJA EN CONTRA DE: SUAREZ PEÑA JORGE EDUARDO</t>
  </si>
  <si>
    <t>SEGUIDO POR: ROSAS ORDOÑEZ JORGE LUIS EN CONTRA DE: MARIN MINGA CHRISTIAN ANDRES</t>
  </si>
  <si>
    <t>SEGUIDO POR: EDITORIAL LA HORA DE LOJA EDIHORA CIA LTDA EN CONTRA DE: PALADINES RAMIREZ RONALD VINICIO</t>
  </si>
  <si>
    <t>SEGUIDO POR: NOTARIA PRIMERA SUPLENTE DE LOJA EN CONTRA DE: CHUMBE MORQUECHO RITA YADIRA</t>
  </si>
  <si>
    <t>SEGUIDO POR: SCHRAMM WINKLER DIETER EN CONTRA DE: JIMENEZ JARAMILLO GUILLERMO RAFAEL</t>
  </si>
  <si>
    <t>SEGUIDO POR: JARAMILLO JARAMILLO JUAN CARLOS EN CONTRA DE: ESCUELA SUPERIOR POLITECNICA SERVIO TULIO MONTERO LUDEÑA</t>
  </si>
  <si>
    <t>SEGUIDO POR: EMPRESA PUBLICA DE VIALIDAD DEL SUR VIALSUR EP EN CONTRA DE: JARAMILLO ORDOÑEZ FREDY AUGUSTO</t>
  </si>
  <si>
    <t>SEGUIDO POR: COMERCIALIZADORA DEL AUSTRO COMDELTRO CIA LTDA EN CONTRA DE: CARRION CHIRIBOGA JOHNY MARCEL</t>
  </si>
  <si>
    <t>SEGUIDO POR: MUÑOZ BORRERO SAUL LEONARDO EN CONTRA DE: REYES LUNA LEONARDO PATRICIO</t>
  </si>
  <si>
    <t>SEGUIDO POR: SANTIN SANTIN MAGALY YOLANDA EN CONTRA DE: SARANGO JUMBO MERY MARIA</t>
  </si>
  <si>
    <t>SEGUIDO POR: CONDUSPORT RODAR SA EN CONTRA DE: VALLEJO CARRION MIGUEL ANGEL</t>
  </si>
  <si>
    <t>SEGUIDO POR: FERNANDEZ DELGADO KLEVER PATRICIO EN CONTRA DE: ERAZO ALMEIDA PABLO LEONARDO</t>
  </si>
  <si>
    <t>SEGUIDO POR: VILLAVICENCIO SARANGO NIXON DAVID  EN CONTRA DE: ERAZO ALMEIDA PABLO LEONARDO</t>
  </si>
  <si>
    <t>SEGUIDO POR: GARCIA PARDO GALO ENRIQUE EN CONTRA DE: ESCUELA SUPERIOR POLITECNICA SERVIO TULIO MONTERO LUDEÑA</t>
  </si>
  <si>
    <t>SEGUIDO POR: BUSTAN JARAMILLO LORGIA MARIA DOLORES EN CONTRA DE: ALBARADO TORRES JUAN PABLO</t>
  </si>
  <si>
    <t>SEGUIDO POR: COOPERATIVA DE AHORRO Y CREDITO DE LA PEQUEÑA EMPRESA CACPE LOJA EN CONTRA DE: PAUTA APOLO JHON FABRICIO</t>
  </si>
  <si>
    <t>SEGUIDO POR: REINOSO LARREA NIDIA BEATRIZ EN CONTRA DE: GUALAN GUAMAN GLORIA</t>
  </si>
  <si>
    <t>SEGUIDO POR: INAPESA SA EN CONTRA DE: GONZALEZ ZUÑIGA JUAN FRANCISCO</t>
  </si>
  <si>
    <t>SEGUIDO POR: OCHOA OCHOA JUDID MARIA EN CONTRA DE: ERAZO ALMEIDA PABLO LEONARDO</t>
  </si>
  <si>
    <t>SEGUIDO POR: DIPAC MANTA SA EN CONTRA DE: JIMENEZ VILLALTA RICARDO LEONEL</t>
  </si>
  <si>
    <t>SEGUIDO POR: EMPRESA TECNOLOGICA TONERS CIA LTDA EN CONTRA DE: GRANDA CUEVA DANY ALFONSO</t>
  </si>
  <si>
    <t>SEGUIDO POR: ZUÑIGA VEINTIMILLA JOSE WILMAN EN CONTRA DE: VEINTIMILLA QUEZADA VICTOR HUGO</t>
  </si>
  <si>
    <t>SEGUIDO POR: E&amp;A BROKERS CIA LTDA EN CONTRA DE: VILLAVICENCIO OBANDO GLADYS MARICELA</t>
  </si>
  <si>
    <t>SEGUIDO POR: COOPERATIVA DE TRANSPORTES CENTRAL CATAMAYO  EN CONTRA DE: CORDOVA ARMIJOS DORIS CECILIA</t>
  </si>
  <si>
    <t>SEGUIDO POR: BARBA AGILA GLADIS BOLIVIA EN CONTRA DE: POGO CAPA UMERCINDA DE ROCIO</t>
  </si>
  <si>
    <t>SEGUIDO POR: BENITEZ YAZBEK JUAN MAURICIO EN CONTRA DE: ORDOÑEZ HIDALGO LUIS FERNANDO</t>
  </si>
  <si>
    <t>SEGUIDO POR: EMPRESA PUBLICA DE VIALIDAD DEL SUR VIALSUR EP EN CONTRA DE: CARTUCHE MUÑOZ LUIS PATRICIO</t>
  </si>
  <si>
    <t>SEGUIDO POR: CASTILLO RODRIGUEZ OSCAR LUIS EN CONTRA DE: FLORES SIVISACA ANDRES FERNANDO</t>
  </si>
  <si>
    <t>SEGUIDO POR: LIGA DEPORTIVA CANTONAL DE SARAGURO  EN CONTRA DE: SISALIMA DELGADO MARCO VINICIO</t>
  </si>
  <si>
    <t>SEGUIDO POR: VASQUEZ SERRANO ROSA JUDITH  EN CONTRA DE: GUAMAN ACARO DANA ELIZABETH</t>
  </si>
  <si>
    <t>SEGUIDO POR: CUERPO DE INGENIEROS DEL EJERCITO EN CONTRA DE: CORNEJO SUAREZ JAIME OSWALDO</t>
  </si>
  <si>
    <t>SEGUIDO POR: MONCAYO VACA CARMEN MARGOTH EN CONTRA DE: MORA CALLE VIVANA LIZZETTE</t>
  </si>
  <si>
    <t>SEGUIDO POR: SANCHEZ CEVALLOS AMABLE GONZALO EN CONTRA DE: SARANGO ZUMBA BERTHA LUCIA</t>
  </si>
  <si>
    <t>SEGUIDO POR: AZANZA ORTIZ JHON FELICIANO EN CONTRA DE: GUAMAN CALVA JOSE ANTONIO</t>
  </si>
  <si>
    <t>SEGUIDO POR: INDUSTRIA EMBOTELLADORA LOJA SA ILELSA EN CONTRA DE: ENCALADA LOAIZA JORGE STALIN</t>
  </si>
  <si>
    <t>SEGUIDO POR: CORMIN CIA LTDA EN CONTRA DE: JIMENEZ ABAD MARIA ANGELICA</t>
  </si>
  <si>
    <t>SEGUIDO POR: HIPERMERCADOS DEL VALLE CIA LTDA EN CONTRA DE: CASTILLO SALAS LEONELA DEL CISNE</t>
  </si>
  <si>
    <t>SEGUIDO POR: COOPERATIVA DE AHORRO Y CREDITO NUEVOS HORIZONTES EN CONTRA DE: CASTRO DONOSO LUZ MERY</t>
  </si>
  <si>
    <t>SEGUIDO POR: VIVAR MACAS TERESA ELIZABETH EN CONTRA DE: GONZALEZ ZAPATA LUIS AURELIO</t>
  </si>
  <si>
    <t>SEGUIDO POR: BARBA AGILA GLADIS BOLIVIA EN CONTRA DE: POGO CAPA GUMERCINDA DE ROCIO</t>
  </si>
  <si>
    <t>SEGUIDO POR: VILLAVICENCIO CUEVA MAURICIO DIONICIO EN CONTRA DE: AVILA DAVILA RAUL MIGUEL</t>
  </si>
  <si>
    <t>SEGUIDO POR: SOLCA NUCLEO DE LOJA EN CONTRA DE: SANTIN MARCIA NELLY</t>
  </si>
  <si>
    <t>SEGUIDO POR: COOPERATIVA DE AHORRO Y CREDITO DEL SINDICATO DE CHOFERES PROFESIONALES DE LOJA LTDA EN CONTRA DE: SUMBA ORTEGA MAURICIO OSWALDO</t>
  </si>
  <si>
    <t>SEGUIDO POR: PESCADERIA EL CHINITO EN CONTRA DE: JIMENEZ TILLAGUANGO MANUEL IVAN</t>
  </si>
  <si>
    <t>SEGUIDO POR: EMPRESA TECNOLOGICA TOMERS CIA LTDA EN CONTRA DE: GRANDA CUEVA DANY ALFONSO</t>
  </si>
  <si>
    <t>SEGUIDO POR: PICOITA ROJAS MANUEL DE JESUS EN CONTRA DE: ARMIJOS VARGAS REINERIO</t>
  </si>
  <si>
    <t>SEGUIDO POR: ROMO MARK ANAND EN CONTRA DE: SERVICIOS PEDAGOGICOS INTEGRADOS SPI</t>
  </si>
  <si>
    <t>SEGUIDO POR: FLANDOLI MARINSILVIA RENATA EN CONTRA DE: SERVICIOS PEDAGOGICOS INTEGRADOS SPI</t>
  </si>
  <si>
    <t>SEGUIDO POR: CHACON CHACON AMADA PAULINA EN CONTRA DE: SERVICIOS PEDAGOGICOS INTEGRADOS SPI</t>
  </si>
  <si>
    <t>SEGUIDO POR: ANDRE BURNEO MAX ROBERTO EN CONTRA DE: SERVICIOS PEDAGOGICOS INTEGRADOS SPI</t>
  </si>
  <si>
    <t>SEGUIDO POR: MALDONADO HOYOS EDINSON ARMANDO EN CONTRA DE: SERVICIOS PEDAGOGICOS INTEGRADOS SPI</t>
  </si>
  <si>
    <t>SEGUIDO POR: GONZALEZ ZUÑIGA AMPARITO DEL CISNE EN CONTRA DE: SERVICIOS PEDAGOGICOS INTEGRADOS SPI</t>
  </si>
  <si>
    <t>SEGUIDO POR: GONZALEZ JIMENEZ MARCELO GEOVANNY EN CONTRA DE: MEDINA ARMIJOS MELVA VICENTA</t>
  </si>
  <si>
    <t>SEGUIDO POR: MINAYA BRAVO HITER GIOVANNY EN CONTRA DE: SERVICIOS PEDAGOGICOS INTEGRADOS SPI</t>
  </si>
  <si>
    <t>SEGUIDO POR: MOROCHO QUINCHE MONICA DEL CISNE EN CONTRA DE: SERVICIOS PEDAGOGICOS INTEGRADOS SPI</t>
  </si>
  <si>
    <t>SEGUIDO POR: GONZALEZ MALLA EDUARDO FRANCISCO EN CONTRA DE: SERVICIOS PEDAGOGICOS INTEGRADOS SPI</t>
  </si>
  <si>
    <t>SEGUIDO POR: SANMARTIN UREÑA MARIA EUGENIA EN CONTRA DE: SERVICIOS PEDAGOGICOS INTEGRADOS SPI</t>
  </si>
  <si>
    <t>SEGUIDO POR: LUDEÑA JARAMILLO FABIOLA ENITH EN CONTRA DE: SERVICIOS PEDAGOGICOS INTEGRADOS SPI</t>
  </si>
  <si>
    <t>SEGUIDO POR: ECHEVERRIA CUADROS JUAN ANDRES EN CONTRA DE: JARAMILLO DIAZ JOSE LUIS</t>
  </si>
  <si>
    <t>SEGUIDO POR: ROJAS PUMA CARLOS MANUEL EN CONTRA DE: SERVICIOS PEDAGOGICOS INTEGRADOS SPI</t>
  </si>
  <si>
    <t>SEGUIDO POR: PACHECO LOAIZA JONATHAN MICHAEL EN CONTRA DE: SERVICIOS PEDAGOGICOS INTEGRADOS SPI</t>
  </si>
  <si>
    <t>SEGUIDO POR: GOBIERNO AUTONOMO DESCENTRALIZADO MUNICIPAL DEL CANTON CALVAS EN CONTRA DE: CARMONA TORRES FLAVIO PORFIRIO</t>
  </si>
  <si>
    <t>SEGUIDO POR: ORTEGA MALACATOS VICENTA EMPERATRIZ EN CONTRA DE: LAPO NARANJO MANUEL DE JESUS</t>
  </si>
  <si>
    <t>SEGUIDO POR: DISTRIBIDORA IMPORTADORA DIPOR SA EN CONTRA DE: RIOFRIO CRIOLLO ANGEL DANIEL</t>
  </si>
  <si>
    <t>SEGUIDO POR: VIVANCO CRIOLLO BLANCA OFELIA EN CONTRA DE: VIVANCO CRIOLLO HECTOR SALVADOR</t>
  </si>
  <si>
    <t>SEGUIDO POR: BANCO DE LOJA SA EN CONTRA DE: CABRERA ESCOBAR GUILLERMO FABIAN</t>
  </si>
  <si>
    <t>SEGUIDO POR: CONTRERAS ARACO DANIEL EN CONTRA DE: SERVICIOS PEDAGOGICOS INTEGRADOS SPI</t>
  </si>
  <si>
    <t>SEGUIDO POR: RODRIGUEZ CARMEN DELIA EN CONTRA DE: GOMEZ PEREZ ROSA ELENA</t>
  </si>
  <si>
    <t>SEGUIDO POR: COOPERATIVA DE AHORRO Y CREDITO DE LA PEQUEÑA EMPRESA CACPE MACARA EN CONTRA DE: SANMARTINALVAREZ NILDA IBELIA</t>
  </si>
  <si>
    <t>SEGUIDO POR: SILVA OCHOA CESAR AUGUSTO EN CONTRA DE: SERVICIOS PEDAGOGICOS INTEGRADOS SPI</t>
  </si>
  <si>
    <t>SEGUIDO POR: MEJIA CARRION ROBERTO GUILLERMO EN CONTRA DE: NOBLECILLA ESPINOZA CRISTIAN HORACIO</t>
  </si>
  <si>
    <t>27068-12</t>
  </si>
  <si>
    <t>05-12</t>
  </si>
  <si>
    <t>06-12</t>
  </si>
  <si>
    <t>07-12</t>
  </si>
  <si>
    <t>08-12</t>
  </si>
  <si>
    <t>09-12</t>
  </si>
  <si>
    <t>10-12</t>
  </si>
  <si>
    <t>11-12</t>
  </si>
  <si>
    <t>12-12</t>
  </si>
  <si>
    <t>13-12</t>
  </si>
  <si>
    <t>14-12</t>
  </si>
  <si>
    <t>19137-12</t>
  </si>
  <si>
    <t>21403-12</t>
  </si>
  <si>
    <t>21324-12</t>
  </si>
  <si>
    <t>21476-12</t>
  </si>
  <si>
    <t>22350-12</t>
  </si>
  <si>
    <t>22198-12</t>
  </si>
  <si>
    <t>26200-12</t>
  </si>
  <si>
    <t>22690-12</t>
  </si>
  <si>
    <t>23002-12</t>
  </si>
  <si>
    <t>23189-12</t>
  </si>
  <si>
    <t>23831-12</t>
  </si>
  <si>
    <t>24368-12</t>
  </si>
  <si>
    <t>24370-12</t>
  </si>
  <si>
    <t>26184-12</t>
  </si>
  <si>
    <t>38083-12</t>
  </si>
  <si>
    <t>38078-12</t>
  </si>
  <si>
    <t>27566-12</t>
  </si>
  <si>
    <t>28326-12</t>
  </si>
  <si>
    <t>28556-12</t>
  </si>
  <si>
    <t>28360-12</t>
  </si>
  <si>
    <t>28333-12</t>
  </si>
  <si>
    <t>28620-12</t>
  </si>
  <si>
    <t>28632-12</t>
  </si>
  <si>
    <t>29791-12</t>
  </si>
  <si>
    <t>30629-12</t>
  </si>
  <si>
    <t>34465-12</t>
  </si>
  <si>
    <t>34456-12</t>
  </si>
  <si>
    <t>34462-12</t>
  </si>
  <si>
    <t>34455-12</t>
  </si>
  <si>
    <t>34451-12</t>
  </si>
  <si>
    <t>34454-12</t>
  </si>
  <si>
    <t>34460-12</t>
  </si>
  <si>
    <t>34324-12</t>
  </si>
  <si>
    <t>34468-12</t>
  </si>
  <si>
    <t>34453-12</t>
  </si>
  <si>
    <t>34458-12</t>
  </si>
  <si>
    <t>34457-12</t>
  </si>
  <si>
    <t>38090-12</t>
  </si>
  <si>
    <t>38085-12</t>
  </si>
  <si>
    <t>45470-12</t>
  </si>
  <si>
    <t>46257-12</t>
  </si>
  <si>
    <t>38073-12</t>
  </si>
  <si>
    <t>38066-12</t>
  </si>
  <si>
    <t>38058-12</t>
  </si>
  <si>
    <t>37008-12</t>
  </si>
  <si>
    <t>36787-12</t>
  </si>
  <si>
    <t>36643-12</t>
  </si>
  <si>
    <t>36313-12</t>
  </si>
  <si>
    <t>35907-12</t>
  </si>
  <si>
    <t>35806-12</t>
  </si>
  <si>
    <t>38889-12</t>
  </si>
  <si>
    <t>34705-12</t>
  </si>
  <si>
    <t>35471-12</t>
  </si>
  <si>
    <t>35325-12</t>
  </si>
  <si>
    <t>34463-12</t>
  </si>
  <si>
    <t>32855-12</t>
  </si>
  <si>
    <t>34149-12</t>
  </si>
  <si>
    <t>33748-12</t>
  </si>
  <si>
    <t>32914-12</t>
  </si>
  <si>
    <t>32802-12</t>
  </si>
  <si>
    <t>31672-12</t>
  </si>
  <si>
    <t>30099-12</t>
  </si>
  <si>
    <t>45255-12</t>
  </si>
  <si>
    <t>45256-12</t>
  </si>
  <si>
    <t>38182-12</t>
  </si>
  <si>
    <t>45188-12</t>
  </si>
  <si>
    <t>45812-12</t>
  </si>
  <si>
    <t>45948-12</t>
  </si>
  <si>
    <t>43881-12</t>
  </si>
  <si>
    <t>42052-12</t>
  </si>
  <si>
    <t>4177-12</t>
  </si>
  <si>
    <t>41381-12</t>
  </si>
  <si>
    <t>41271-12</t>
  </si>
  <si>
    <t>41175-12</t>
  </si>
  <si>
    <t>40805-12</t>
  </si>
  <si>
    <t>43420-12</t>
  </si>
  <si>
    <t>43201-12</t>
  </si>
  <si>
    <t>42457-12</t>
  </si>
  <si>
    <t>42076-12</t>
  </si>
  <si>
    <t>40546-12</t>
  </si>
  <si>
    <t>39630-12</t>
  </si>
  <si>
    <t>38546-12</t>
  </si>
  <si>
    <t>39461-12</t>
  </si>
  <si>
    <t>39144-12</t>
  </si>
  <si>
    <t>45040-12</t>
  </si>
  <si>
    <t>49629-12</t>
  </si>
  <si>
    <t>48120-12</t>
  </si>
  <si>
    <t>49959-12</t>
  </si>
  <si>
    <t>47278-12</t>
  </si>
  <si>
    <t>49995-12</t>
  </si>
  <si>
    <t>50135-12</t>
  </si>
  <si>
    <t>51019-12</t>
  </si>
  <si>
    <t>50790-12</t>
  </si>
  <si>
    <t>52080-12</t>
  </si>
  <si>
    <t>52629-12</t>
  </si>
  <si>
    <t>49603-12</t>
  </si>
  <si>
    <t>47454-12</t>
  </si>
  <si>
    <t>47525-12</t>
  </si>
  <si>
    <t>48207-12</t>
  </si>
  <si>
    <t>48562-12</t>
  </si>
  <si>
    <t>51458-12</t>
  </si>
  <si>
    <t>51547-12</t>
  </si>
  <si>
    <t>52234-12</t>
  </si>
  <si>
    <t>52231-12</t>
  </si>
  <si>
    <t>52458-12</t>
  </si>
  <si>
    <t>52478-12</t>
  </si>
  <si>
    <t>52572-12</t>
  </si>
  <si>
    <t>52575-12</t>
  </si>
  <si>
    <t>52623-12</t>
  </si>
  <si>
    <t>52731-12</t>
  </si>
  <si>
    <t>53305-12</t>
  </si>
  <si>
    <t>54273-12</t>
  </si>
  <si>
    <t>54387-12</t>
  </si>
  <si>
    <t>54539-12</t>
  </si>
  <si>
    <t>55408-12</t>
  </si>
  <si>
    <t>55460-12</t>
  </si>
  <si>
    <t>55468-12</t>
  </si>
  <si>
    <t>55471-12</t>
  </si>
  <si>
    <t>55474-12</t>
  </si>
  <si>
    <t>55480-12</t>
  </si>
  <si>
    <t>55487-12</t>
  </si>
  <si>
    <t>55506-12</t>
  </si>
  <si>
    <t>55714-12</t>
  </si>
  <si>
    <t>55718-12</t>
  </si>
  <si>
    <t>55724-12</t>
  </si>
  <si>
    <t>55731-12</t>
  </si>
  <si>
    <t>55785-12</t>
  </si>
  <si>
    <t>55874-12</t>
  </si>
  <si>
    <t>55878-12</t>
  </si>
  <si>
    <t>55988-12</t>
  </si>
  <si>
    <t>56247-12</t>
  </si>
  <si>
    <t>56338-12</t>
  </si>
  <si>
    <t>56787-12</t>
  </si>
  <si>
    <t>56838-12</t>
  </si>
  <si>
    <t>57236-12</t>
  </si>
  <si>
    <t>57630-12</t>
  </si>
  <si>
    <t>57864-12</t>
  </si>
  <si>
    <t>57875-12</t>
  </si>
  <si>
    <t>58156-12</t>
  </si>
  <si>
    <t>58331-12</t>
  </si>
  <si>
    <t>03/01/2012</t>
  </si>
  <si>
    <t>09/04/2012</t>
  </si>
  <si>
    <t>08/05/2012</t>
  </si>
  <si>
    <t>05/01/2012</t>
  </si>
  <si>
    <t>30/01/2012</t>
  </si>
  <si>
    <t>31/01/2012</t>
  </si>
  <si>
    <t>07/01/2012</t>
  </si>
  <si>
    <t>06/02/2012</t>
  </si>
  <si>
    <t>10/01/2012</t>
  </si>
  <si>
    <t>15/02/2012</t>
  </si>
  <si>
    <t>11/01/2012</t>
  </si>
  <si>
    <t>10/02/2012</t>
  </si>
  <si>
    <t>13/01/2012</t>
  </si>
  <si>
    <t>28/02/2012</t>
  </si>
  <si>
    <t>16/01/2012</t>
  </si>
  <si>
    <t>27/01/2012</t>
  </si>
  <si>
    <t>07/03/2012</t>
  </si>
  <si>
    <t>17/04/2012</t>
  </si>
  <si>
    <t>24/02/2012</t>
  </si>
  <si>
    <t>02/02/2012</t>
  </si>
  <si>
    <t>08/06/2012</t>
  </si>
  <si>
    <t>02/04/2012</t>
  </si>
  <si>
    <t>16/03/2012</t>
  </si>
  <si>
    <t>25/02/2012</t>
  </si>
  <si>
    <t>06/03/2012</t>
  </si>
  <si>
    <t>01/03/2012</t>
  </si>
  <si>
    <t>30/03/2012</t>
  </si>
  <si>
    <t>24/04/2012</t>
  </si>
  <si>
    <t>20/04/2012</t>
  </si>
  <si>
    <t>05/03/2012</t>
  </si>
  <si>
    <t>21/03/2012</t>
  </si>
  <si>
    <t>09/03/2012</t>
  </si>
  <si>
    <t>28/03/2012</t>
  </si>
  <si>
    <t>13/03/2012</t>
  </si>
  <si>
    <t>03/04/2012</t>
  </si>
  <si>
    <t>19/03/2012</t>
  </si>
  <si>
    <t>20/03/2012</t>
  </si>
  <si>
    <t>22/05/2012</t>
  </si>
  <si>
    <t>28/06/2012</t>
  </si>
  <si>
    <t>07/08/2012</t>
  </si>
  <si>
    <t>12/04/2012</t>
  </si>
  <si>
    <t>04/05/2012</t>
  </si>
  <si>
    <t>18/04/2012</t>
  </si>
  <si>
    <t>03/05/2012</t>
  </si>
  <si>
    <t>19/04/2012</t>
  </si>
  <si>
    <t>04/09/2012</t>
  </si>
  <si>
    <t>14/06/2012</t>
  </si>
  <si>
    <t>25/07/2012</t>
  </si>
  <si>
    <t>18/05/2012</t>
  </si>
  <si>
    <t>21/05/2012</t>
  </si>
  <si>
    <t>27/04/2012</t>
  </si>
  <si>
    <t>23/05/2012</t>
  </si>
  <si>
    <t>16/05/2012</t>
  </si>
  <si>
    <t>01/06/2012</t>
  </si>
  <si>
    <t>12/07/2012</t>
  </si>
  <si>
    <t>24/08/2012</t>
  </si>
  <si>
    <t>21/09/2012</t>
  </si>
  <si>
    <t>30/08/2012</t>
  </si>
  <si>
    <t>04/10/2012</t>
  </si>
  <si>
    <t>22/06/2012</t>
  </si>
  <si>
    <t>20/07/2012</t>
  </si>
  <si>
    <t>20/06/2012</t>
  </si>
  <si>
    <t>19/07/2012</t>
  </si>
  <si>
    <t>19/06/2012</t>
  </si>
  <si>
    <t>18/06/2012</t>
  </si>
  <si>
    <t>15/06/2012</t>
  </si>
  <si>
    <t>29/06/2012</t>
  </si>
  <si>
    <t>13/06/2012</t>
  </si>
  <si>
    <t>09/07/2012</t>
  </si>
  <si>
    <t>27/07/2012</t>
  </si>
  <si>
    <t>05/06/2012</t>
  </si>
  <si>
    <t>11/06/2012</t>
  </si>
  <si>
    <t>13/07/2012</t>
  </si>
  <si>
    <t>09/06/2012</t>
  </si>
  <si>
    <t>18/07/2012</t>
  </si>
  <si>
    <t>31/05/2012</t>
  </si>
  <si>
    <t>30/05/2012</t>
  </si>
  <si>
    <t>05/07/2012</t>
  </si>
  <si>
    <t>28/09/2012</t>
  </si>
  <si>
    <t>14/05/2012</t>
  </si>
  <si>
    <t>02/05/2012</t>
  </si>
  <si>
    <t>10/05/2012</t>
  </si>
  <si>
    <t>23/08/2012</t>
  </si>
  <si>
    <t>10/09/2012</t>
  </si>
  <si>
    <t>06/09/2012</t>
  </si>
  <si>
    <t>26/07/2012</t>
  </si>
  <si>
    <t>22/08/2012</t>
  </si>
  <si>
    <t>28/08/2012</t>
  </si>
  <si>
    <t>24/09/2012</t>
  </si>
  <si>
    <t>29/08/2012</t>
  </si>
  <si>
    <t>26/09/2012</t>
  </si>
  <si>
    <t>13/08/2012</t>
  </si>
  <si>
    <t>10/10/2012</t>
  </si>
  <si>
    <t>24/07/2012</t>
  </si>
  <si>
    <t>05/10/2012</t>
  </si>
  <si>
    <t>23/07/2012</t>
  </si>
  <si>
    <t>08/08/2012</t>
  </si>
  <si>
    <t>31/07/2012</t>
  </si>
  <si>
    <t>31/08/2012</t>
  </si>
  <si>
    <t>09/08/2012</t>
  </si>
  <si>
    <t>16/07/2012</t>
  </si>
  <si>
    <t>10/07/2012</t>
  </si>
  <si>
    <t>15/08/2012</t>
  </si>
  <si>
    <t>08/07/2012</t>
  </si>
  <si>
    <t>04/08/2012</t>
  </si>
  <si>
    <t>21/08/2012</t>
  </si>
  <si>
    <t>20/09/2012</t>
  </si>
  <si>
    <t>25/10/2012</t>
  </si>
  <si>
    <t>17/09/2012</t>
  </si>
  <si>
    <t>11/10/2012</t>
  </si>
  <si>
    <t>02/10/2012</t>
  </si>
  <si>
    <t>07/09/2012</t>
  </si>
  <si>
    <t>03/10/2012</t>
  </si>
  <si>
    <t>05/11/2012</t>
  </si>
  <si>
    <t>15/10/2012</t>
  </si>
  <si>
    <t>23/10/2012</t>
  </si>
  <si>
    <t>31/10/2012</t>
  </si>
  <si>
    <t>29/10/2012</t>
  </si>
  <si>
    <t>13/11/2012</t>
  </si>
  <si>
    <t>22/10/2012</t>
  </si>
  <si>
    <t>11/09/2012</t>
  </si>
  <si>
    <t>25/09/2012</t>
  </si>
  <si>
    <t>17/10/2012</t>
  </si>
  <si>
    <t>26/10/2012</t>
  </si>
  <si>
    <t>27/10/2012</t>
  </si>
  <si>
    <t>24/10/2012</t>
  </si>
  <si>
    <t>19/11/2012</t>
  </si>
  <si>
    <t>30/10/2012</t>
  </si>
  <si>
    <t>15/11/2012</t>
  </si>
  <si>
    <t>26/11/2012</t>
  </si>
  <si>
    <t>09/11/2012</t>
  </si>
  <si>
    <t>30/11/2012</t>
  </si>
  <si>
    <t>05/12/2012</t>
  </si>
  <si>
    <t>12/11/2012</t>
  </si>
  <si>
    <t>28/11/2012</t>
  </si>
  <si>
    <t>23/11/2012</t>
  </si>
  <si>
    <t>20/11/2012</t>
  </si>
  <si>
    <t>21/12/2012</t>
  </si>
  <si>
    <t>04/12/2012</t>
  </si>
  <si>
    <t>06/12/2012</t>
  </si>
  <si>
    <t>07/12/2012</t>
  </si>
  <si>
    <t>21/01/2012</t>
  </si>
  <si>
    <t>21/11/2012</t>
  </si>
  <si>
    <t>12/12/2012</t>
  </si>
  <si>
    <t>22/11/2012</t>
  </si>
  <si>
    <t>10/12/2012</t>
  </si>
  <si>
    <t>13/12/2012</t>
  </si>
  <si>
    <t>17/12/2012</t>
  </si>
  <si>
    <t>29/11/2012</t>
  </si>
  <si>
    <t>26/12/2012</t>
  </si>
  <si>
    <t>19/12/2012</t>
  </si>
  <si>
    <t>03/12/2012</t>
  </si>
  <si>
    <t>0512/2012</t>
  </si>
  <si>
    <t>18/12/2012</t>
  </si>
  <si>
    <t>11/12/2012</t>
  </si>
  <si>
    <t xml:space="preserve">19/11/2012 </t>
  </si>
  <si>
    <t>MRL-DRTSPL-2012-0969</t>
  </si>
  <si>
    <t xml:space="preserve">SEGUIDO POR: AYALA SANCHEZ RODRIGO FERNANDO CI/RUC: 1103920193001 EN CONTRA DE: GUAJALA INGA ERIKA MELANIA C.I/RUC: 1727010074 </t>
  </si>
  <si>
    <t xml:space="preserve">SEGUIDO POR: COOPERATIVA DE AHORRO Y CREDITO CACPE MACARA CI/RUC: 1190079569001 EN CONTRA DE: SANCHEZ SANCHEZ VIVIANA DEL CISNE C.I/RUC: 1103645840 </t>
  </si>
  <si>
    <t>SEGUIDO POR: DIREL CIA LTDA CI/RUC: 1191725111001 EN CONTRA DE: QUIZHPE MONTOYA JIMMY FERNANDO C.I/RUC: 1104818107</t>
  </si>
  <si>
    <t>SEGUIDO POR: DISTRITO EDUCATIVO INTERCULTURAL Y BILINGÜE CI/RUC: 1160008570001 EN CONTRA DE: PONCE MONTOYA PAUL ENRIQUE C.I/RUC: 1104523772</t>
  </si>
  <si>
    <t>SEGUIDO POR: HIPERMERCADOS DEL VALLE CIA LTDA CI/RUC: 1191717038001 EN CONTRA DE: PINTA PINTA WILMER VINICIO C.I/RUC: 1104696545</t>
  </si>
  <si>
    <t xml:space="preserve">SEGUIDO POR: CHAVEZ ALVEAR BEATRIZ MARGARITA CI/RUC: 1101777900001 EN CONTRA DE: VASQUEZ MORILLO SANTIAGO FERNANDO C.I/RUC: 1103745111 </t>
  </si>
  <si>
    <t>SEGUIDO POR: GLASSVIT CIDRIO TEMPLADO CIA LTDA CI/RUC: 1190090503001 EN CONTRA DE: CUEVA MATUTE DOLORES JANYNE C.I/RUC: 1900213305</t>
  </si>
  <si>
    <t xml:space="preserve">SEGUIDO POR: BANCO DE LOJA S.A CI/RUC: 1190002213001 EN CONTRA DE: CELI VIVANCO JANINA MAGALY C.I/RUC: 1104661531 </t>
  </si>
  <si>
    <t xml:space="preserve">SEGUIDO POR: DIRECCION PROVINCIAL DE EDUACACION HISPANA DE LOJA CI/RUC: 1160008570001 EN CONTRA DE: PEÑA RIVERA ENITH VICTORIA C.I/RUC: 1102667720 </t>
  </si>
  <si>
    <t xml:space="preserve">SEGUIDO POR: COOPERATIVA AHORRO Y CREDITO DE LA PEQUEÑA EMPRESA CACPE LOJA LTDA CI/RUC: 1190075539001 EN CONTRA DE: YAURI PUCHA GLORIA MARLENE C.I/RUC: 1103815468 </t>
  </si>
  <si>
    <t xml:space="preserve">SEGUIDO POR: LEON PULLAGUARI VICENTE PATRICIO CI/RUC: 1103352108001 EN CONTRA DE: ARMIJOS AGILA LUIS MARIO C.I/RUC: 1103447650 </t>
  </si>
  <si>
    <t xml:space="preserve">SEGUIDO POR: GUILLEN TITUANA OSCAR FIDENCIO CI/RUC: 1103216410 EN CONTRA DE: CARTUCHE PADILLA JUAN JOSE C.I/RUC: 1900530310 </t>
  </si>
  <si>
    <t xml:space="preserve">SEGUIDO POR: LEON PULLAGUARI VICENTE PATRICIO CI/RUC: 11033522108001 EN CONTRA DE: ARMIJOS AGILA LUIS MARIO C.I/RUC: 1103447650 </t>
  </si>
  <si>
    <t xml:space="preserve">SEGUIDO POR: SUBSECRETARIA ZONAL DE PLANIFICACION 7 CI/RUC: 1160049090001 EN CONTRA DE: CARRION SANCHEZ WILMER ALFONSO C.I/RUC: 1103117451 </t>
  </si>
  <si>
    <t xml:space="preserve">SEGUIDO POR: INSTITUTO ANTONIO PEÑA CELI. LTDA CI/RUC: 1191741109001 EN CONTRA DE: VERA RENTERIA CRISTIAN RENE C.I/RUC: 1717652695 </t>
  </si>
  <si>
    <t xml:space="preserve">SEGUIDO POR: DIRECCION DE EDUCACION DE LOJA CI/RUC: 1160008570001 EN CONTRA DE: GRANDA BERNEO CARLOS ENRIQUE C.I/RUC: 1102069950 </t>
  </si>
  <si>
    <t xml:space="preserve">SEGUIDO POR: AREVALO ALVAREZ RAMIRO ROBERTO CI/RUC: 1103378384001 EN CONTRA DE: AREVALO MALO MANUEL AGUSTIN C.I/RUC: 1102190368 </t>
  </si>
  <si>
    <t>SEGUIDO POR: SARMIENTO LUZURIAGA LUIS FELIPE CI/RUC: 1103551980001 EN CONTRA DE: PIEDRA CORONEL RAQUEL CECILIA C.I/RUC: 1102003439</t>
  </si>
  <si>
    <t>SEGUIDO POR: DISTRIBUIDORA GRANDA DISTRIGRANDA CIA LTDA CI/RUC: 1191732169001 EN CONTRA DE: TAPIA CHAMBA JORGE LUIS C.I/RUC: 1104960495</t>
  </si>
  <si>
    <t xml:space="preserve">SEGUIDO POR: SEGURIDAD Y VIGILANCIA GOMEZ ARAUJO LOPEZ SEGAL CIA LTDA CI/RUC: 1191713504001 EN CONTRA DE: RIMACUNA CALVA JHON PATRICIO C.I/RUC: 1104630783 </t>
  </si>
  <si>
    <t xml:space="preserve">SEGUIDO POR: TECNOAUSTRAL CIA LTDA CI/RUC: 1190047276001 EN CONTRA DE: OCAMPO MACAS DARWIN PATRICIO C.I/RUC: 1104109200 </t>
  </si>
  <si>
    <t xml:space="preserve">SEGUIDO POR: COOPERATIVA DE AHORRO Y CREDITO DEL SINDICATO DE CHOFERES PROFESIONALES DE CHAGUARPAMNA 29 DE ENERO CI/RUC: 1191704750001 EN CONTRA DE: CABRERA FERNANDEZ XIMENA SOLEDAD C.I/RUC: 1104377500 </t>
  </si>
  <si>
    <t xml:space="preserve">SEGUIDO POR: ORIENTAL INDUSTRIA ALIMENTICIA O.I.A CIA LTDA CI/RUC: 1291710359001 EN CONTRA DE: FLORES ROBLES FERNANDO NICANOR C.I/RUC: 1104190044 </t>
  </si>
  <si>
    <t xml:space="preserve">SEGUIDO POR: TORRES VIÑAMAGUA JOHN KENNEDY CI/RUC: 1102947411001 EN CONTRA DE: MAZA PIEDRA JENNY LILIANA C.I/RUC: 1105059545 </t>
  </si>
  <si>
    <t xml:space="preserve">SEGUIDO POR: JARAMILLA GALVAN JOSE RODRIGO CI/RUC: 1100095007001 EN CONTRA DE: SUCANGA IKIAM MARIO MASHINKIASH C.I/RUC: 1104449838 </t>
  </si>
  <si>
    <t xml:space="preserve">SEGUIDO POR: INAPESA S.A CI/RUC: 1190013002001 EN CONTRA DE: VITERI SILVA XIMENA ALEJANDRA C.I/RUC: 1104216104 </t>
  </si>
  <si>
    <t xml:space="preserve">SEGUIDO POR: GUERRERO ANDRADE Y ASOCIADOS CIA LTDA CI/RUC: 1191723542001 EN CONTRA DE: PAQUI ABRIGO JOSE MANUEL ASUNCION C.I/RUC: 1101934675 </t>
  </si>
  <si>
    <t xml:space="preserve">SEGUIDO POR: CONSORCIO COMERCIAL LOJA CI/RUC: 0702826298001 EN CONTRA DE: ORDOÑEZ OVIEDO KLEBER HERNAN C.I/RUC: 1103037899 </t>
  </si>
  <si>
    <t xml:space="preserve">SEGUIDO POR: DISCOSIL CIA LTDA CI/RUC: 1191721175001 EN CONTRA DE: PALACIOS VELEZ JOSE ANGEL C.I/RUC: 1100628807 </t>
  </si>
  <si>
    <t xml:space="preserve">SEGUIDO POR: FINE-TUNED ENGLISH CIA. LTDA CI/RUC: 1191732142001 EN CONTRA DE: JARAMILLO JARAMILLO PABLO SAUL C.I/RUC: 1900546001 </t>
  </si>
  <si>
    <t>SEGUIDO POR: INDUSTRIA LOJANA DE ESPECERIAS ILE C.A CI/RUC: 1190049406001 EN CONTRA DE: LOAIZA CUENCA MIGUEL OMAR C.I/RUC: 1103827026</t>
  </si>
  <si>
    <t>SEGUIDO POR: COOPERATIVA DE TRANSPORTES CENTRAL CATAMAYO CI/RUC: 1191700240001 EN CONTRA DE: GUAMAN COLLAGUAZO JENNY EMPERATRIZ C.I/RUC: 1104712292</t>
  </si>
  <si>
    <t>SEGUIDO POR: BOADA ABARCA FAUSTO RAMIRO CI/RUC: 1100568466001 EN CONTRA DE: DELGADO MENDEZ BYRON EDUARDO C.I/RUC: MENDEZ DELGADO BYRON EDUARDO</t>
  </si>
  <si>
    <t xml:space="preserve">SEGUIDO POR: CENTRO DE EDUCACION  BASICA JOSE ANTONIO EGUIGUREN LA SALLE CI/RUC: 1191703479001 EN CONTRA DE: RODRIGUEZ ARMIJOS PAUL VINICIO C.I/RUC: 1104108715 </t>
  </si>
  <si>
    <t xml:space="preserve">SEGUIDO POR: JARAMILLO CASTILLO MARTHA GABRIELA CI/RUC: 1103489058001 EN CONTRA DE: ACARO ACARO JULIA MARIA C.I/RUC: 1105240236 </t>
  </si>
  <si>
    <t xml:space="preserve">SEGUIDO POR: ESTACION DE SERVICIO ORTEGA FRELMAC CIA LTDA CI/RUC: 1191735831001 EN CONTRA DE: CEVALLOS GAONA MILTON PATRICIO C.I/RUC: 1104146111 </t>
  </si>
  <si>
    <t>SEGUIDO POR: ESTACION DE SERVICIO ORTEGA FRELMAC CIA LTDA CI/RUC: 1191735831001 EN CONTRA DE: CHAVEZ ALVEAR JOSE LUIS C.I/RUC: 1103819940</t>
  </si>
  <si>
    <t xml:space="preserve">SEGUIDO POR: SEPRONAC CIA LTDA CI/RUC: 1791206479001 EN CONTRA DE: LEON ANDRADE JAIME EGBERTO C.I/RUC: 1900225663 </t>
  </si>
  <si>
    <t xml:space="preserve">SEGUIDO POR: GRANADOS ULLOA  WERER ELIUT CI/RUC: 1104704539001 EN CONTRA DE: GANAZHAPA SUQUILANDA LILIA JANETH C.I/RUC: 1104645476 </t>
  </si>
  <si>
    <t xml:space="preserve">SEGUIDO POR: INAPESA S.A CI/RUC: 1190013002001 EN CONTRA DE: VIVANCO LOAIZA AGUSTIN BOLIVAR C.I/RUC: 1101783080 </t>
  </si>
  <si>
    <t xml:space="preserve">SEGUIDO POR: GOBIERNO AUTONOMO DESCENTRALIZADO MUNICIPAL DE GONZANAMA CI/RUC: 1190013002001 EN CONTRA DE:  C.I/RUC: </t>
  </si>
  <si>
    <t xml:space="preserve">SEGUIDO POR: INAPESA S.A CI/RUC: 1190013002001 EN CONTRA DE: DURAN NAULA MARCO ANTONIO C.I/RUC: 0101505626 </t>
  </si>
  <si>
    <t xml:space="preserve">SEGUIDO POR: AREA DE SALUD NRO. 8 CATACOCHA CI/RUC: 1160005470001 EN CONTRA DE: VIVANCO HIDALGO GORKY TARQUINO C.I/RUC: 1102085550 </t>
  </si>
  <si>
    <t>SEGUIDO POR: CONSORCIO JIPIRO CI/RUC: 1191745872001 EN CONTRA DE: MEDINA FERIGRA JOAO RUBEN C.I/RUC: 0928611359</t>
  </si>
  <si>
    <t>SEGUIDO POR: ECUAPASTA SA CI/RUC: 1191740269001 EN CONTRA DE: GUAMAN BENITEZ JEFFERSON SANTIAGO C.I/RUC: 1104668320</t>
  </si>
  <si>
    <t>SEGUIDO POR: MINISTERIO DE TRANSPORTE Y OBRAS PUBLICAS CI/RUC: 1760001710001 EN CONTRA DE: VALDIVIESO GRANDA VICTOR HUGO C.I/RUC: 1104081631</t>
  </si>
  <si>
    <t>SEGUIDO POR: DISTRIBUIDORA FAGI CIA LTDA CI/RUC: 1191728463001 EN CONTRA DE: RAMIREZ RIVERA MARIO MANUEL C.I/RUC: 1103914428</t>
  </si>
  <si>
    <t xml:space="preserve">SEGUIDO POR: CARRION CHAMBA CALIXTO BOLIVAR CI/RUC: 1103077796001 EN CONTRA DE: OJEDA CHAMBA DIEGO ALEJANDRO C.I/RUC: 1104585813 </t>
  </si>
  <si>
    <t xml:space="preserve">SEGUIDO POR: SERGIO PATRICIO OCHOA TORRES CI/RUC: 1103862189001 EN CONTRA DE: ROMERO AMBULUDI GUIDO FREDY C.I/RUC: 1103641997 </t>
  </si>
  <si>
    <t>SEGUIDO POR: ESTACION DE SERVICIO ORTEGA FRELMAC CIA LTDA CI/RUC: 1191735931001 EN CONTRA DE: VELEZ PRADO JAVIER YAMITON C.I/RUC: 0703667253</t>
  </si>
  <si>
    <t>SEGUIDO POR: ONTANEDA ARMIJOS ANDREA CRISTINA CI/RUC: 1103391924001 EN CONTRA DE: MOROCHO ORTIZ ANDREA JOHANA C.I/RUC: N/A</t>
  </si>
  <si>
    <t>SEGUIDO POR: PALACIO ANDRADE JHONNY VICTOR CI/RUC: 1102110226 EN CONTRA DE: ROBLES LITUMA ANA GABRIELA C.I/RUC: 1105023061</t>
  </si>
  <si>
    <t>SEGUIDO POR: EMPRESA PUBLICA DE VIALIDAD DEL SUR CI/RUC: 1160049760001 EN CONTRA DE: LOPEZ POMA MANUEL MAURICIO C.I/RUC: N/A</t>
  </si>
  <si>
    <t xml:space="preserve">SEGUIDO POR: EMPRESA PUBLICA DE VIALIDAD DEL SUR CI/RUC: 1160049760001 EN CONTRA DE: LOPEZ POMA MIGUEL PATRICIO C.I/RUC: 1104469711 </t>
  </si>
  <si>
    <t xml:space="preserve">SEGUIDO POR: EMPRESA PUBLICA MUNICIPAL DE AGUA POTABLE ALCANTARILLADO Y SANEAMIENTO DE CALVAS EMAPAC CI/RUC: 1160051150002 EN CONTRA DE: MONTERO RODRIGUEZ LUIS FERNANDO C.I/RUC: 1709397515 </t>
  </si>
  <si>
    <t xml:space="preserve">SEGUIDO POR: COMPAÑIIA MINAEXPLO LOJA S. A CI/RUC: 1190082306001 EN CONTRA DE: GUAMAN ROJAS MANUEL C.I/RUC: 1102645734 </t>
  </si>
  <si>
    <t>SEGUIDO POR: PROINJAR SA CI/RUC: 1191729214001 EN CONTRA DE: MOROCHO NAMCELA IRMA ROSA C.I/RUC: 1103827844</t>
  </si>
  <si>
    <t xml:space="preserve">SEGUIDO POR: JARAMILLO GALVAN JOSE RODRIGO CI/RUC: 1100095007001 EN CONTRA DE: JIMENEZ CONDOLO PABLO IVAN C.I/RUC: 0705796977 </t>
  </si>
  <si>
    <t>SEGUIDO POR: MALDONADO AREVALO HUGO FERNANDO CI/RUC: 1104428287001 EN CONTRA DE: SALINAS TORRES ELIZABETH DE LA NUVE C.I/RUC: 1104288400</t>
  </si>
  <si>
    <t>SEGUIDO POR: IMC RUILOVA CIA LTDA CI/RUC: 1191728765001 EN CONTRA DE: JIMENEZ JIMENEZ ANGEL MEDARDO C.I/RUC: 1104768278</t>
  </si>
  <si>
    <t xml:space="preserve">SEGUIDO POR: JUAN PABLO TUTILLO RODRIGUEZ CI/RUC: 1103496954 EN CONTRA DE: MARIA FABIOLA CABRERA YUPANQUI C.I/RUC: 1102901467 </t>
  </si>
  <si>
    <t xml:space="preserve">SEGUIDO POR: ALDEAN BETANCOURTH JHONATHAN ISRAEL CI/RUC: 110390756001 EN CONTRA DE: DONOSO HERRERA DIEGO GUILLERMO C.I/RUC: 1104375488 </t>
  </si>
  <si>
    <t xml:space="preserve">SEGUIDO POR: CAFE- BAR RESTAURANT MYSTCK CI/RUC: 1900846039001 EN CONTRA DE: ROMERO ORDOÑEZ RONALD RAMIRO C.I/RUC: 0704422245 </t>
  </si>
  <si>
    <t xml:space="preserve">SEGUIDO POR: MENECES POLO MARY CI/RUC: 0102395167001 EN CONTRA DE: TOLEDO VEINTIMILLA LUIS FERNANDO C.I/RUC: 1104295579 </t>
  </si>
  <si>
    <t xml:space="preserve">SEGUIDO POR: RIVERA BALCAZAR HORACIO EUGENIO CI/RUC: 1102006515001 EN CONTRA DE: RAMIREZ CUMBICOS JORGE ENRIQUE C.I/RUC: 1104295579 </t>
  </si>
  <si>
    <t>SEGUIDO POR: TORRES AGILA DIANA DEL ROCIO CI/RUC: 1104170863001 EN CONTRA DE: ASTAI BUSTAMANTE DIXON LEODAN C.I/RUC: 1104919418</t>
  </si>
  <si>
    <t>SEGUIDO POR: HOTELERA VALDIVIESO &amp; EGUIGUREN CIA LTDA CI/RUC: 1191717119001 EN CONTRA DE: YANGARI RODRIGUEZ MARCO ANTONIO C.I/RUC: 1103196331</t>
  </si>
  <si>
    <t xml:space="preserve">SEGUIDO POR: SEGURIDAD Y VIGILANCIA GOMEZ ARAUJO LOPEZ SEGAL CIA. LTDA CI/RUC: 1191713504001 EN CONTRA DE: CASTILLO ORDOÑEZ JINSOP STALIN C.I/RUC: 0703804781 </t>
  </si>
  <si>
    <t xml:space="preserve">SEGUIDO POR: INAPESA S A CI/RUC: 1190013002001 EN CONTRA DE: DURAN NAULA MARCO ANTONIO C.I/RUC: 0101505626 </t>
  </si>
  <si>
    <t>SEGUIDO POR: RAMOS CAMISAN POLIDORO CI/RUC: 1101897674 EN CONTRA DE: GOBIERNO AUTONOMO DESCENTRALIZADO MUNICIPAL DE ESPINDOLA C.I/RUC: 1160000670001</t>
  </si>
  <si>
    <t xml:space="preserve">SEGUIDO POR: GUAMAN ARMIJOS MARCIA ALEXANDRA CI/RUC: 1102897392001 EN CONTRA DE: ROBLES VEGA MONICA SUSANA C.I/RUC: 1103440127 </t>
  </si>
  <si>
    <t xml:space="preserve">SEGUIDO POR: ULLOA BARRETO ROSA ERMINIA CI/RUC: 1100457686001 EN CONTRA DE: RODRIGUEZ RODRIGUEZ MARIA ELENA C.I/RUC: 0920362704 </t>
  </si>
  <si>
    <t>SEGUIDO POR: RAMOS CAMISAN POLIDORO CI/RUC: 1101897674  EN CONTRA DE: GOBIERNO AUTONOMO DESCENTRALIZADO MUNICIPAL DE ESPINDOLA C.I/RUC: 1160000670001</t>
  </si>
  <si>
    <t>SEGUIDO POR: UNIDAD EDUCATIVA PARTICULAR LA INMACULADA CI/RUC: 1191700623001 EN CONTRA DE: RIOFRIO RIOFRIO JOSE LUIS C.I/RUC: 1104683568</t>
  </si>
  <si>
    <t xml:space="preserve">SEGUIDO POR: DIRECCION GENERAL DE REGISTRO CIVIL IDENTIFICACION Y CEDULACION CI/RUC: 1768049390001 EN CONTRA DE: VASQUEZ SERRANO JEAN BENITO C.I/RUC: 1102860960 </t>
  </si>
  <si>
    <t xml:space="preserve">SEGUIDO POR: HERNANDEZ ALMEIDA DAVID GONZALO CI/RUC: 1102409305001 EN CONTRA DE: GUARNIZO BARAHONA JAIRON ANDRES C.I/RUC: 1100325099 </t>
  </si>
  <si>
    <t xml:space="preserve">SEGUIDO POR: GEMESEG CIA LTDA CI/RUC: 1191722643001 EN CONTRA DE: PUCHAICELA PUCHA ANTONIO ABDILIO C.I/RUC: 1100325099 </t>
  </si>
  <si>
    <t xml:space="preserve">SEGUIDO POR: EDWIN VINICIO CAJAMARCA GUACHIZACA CI/RUC: 1103104384001 EN CONTRA DE: MOROCHO GUAILLA EDISON ALCIDES C.I/RUC: 1722226428 </t>
  </si>
  <si>
    <t xml:space="preserve">SEGUIDO POR: HOSPITAL CLINICA SAN AGUSTIN  CI LTDA CI/RUC: 1190004151001 EN CONTRA DE: LOZANO QUITUIZACA VANESSA ELIZABETH C.I/RUC: 1104756265 </t>
  </si>
  <si>
    <t xml:space="preserve">SEGUIDO POR: SEGURIDAD Y VIGILANCIA GOMEZ ARAUJO LOPEZ SEGAL CIA LTDA CI/RUC: 1191713504001 EN CONTRA DE: CALVA PINTA ROLANDO GILBERTO C.I/RUC: 1104293418 </t>
  </si>
  <si>
    <t xml:space="preserve">SEGUIDO POR: SEGURIDAD Y VIGILANCIA GOMEZ ARAUJO LOPEZ SEGAL CIA LTDA CI/RUC: 1191713504001 EN CONTRA DE: RIVERA TORRES FERNANDO DAVID C.I/RUC: 1104662240 </t>
  </si>
  <si>
    <t xml:space="preserve">SEGUIDO POR: CALVA Y CALVA CIA. LTDA. CI/RUC: 1191717208001 EN CONTRA DE: VALAREZO ORTIZ HERNAN ALFREDO C.I/RUC: 0912493053 </t>
  </si>
  <si>
    <t xml:space="preserve">SEGUIDO POR: COOPERATIVA D E AHORRO Y CREDITO  VICENTINA  MANUEL ESEBAN GODOY ORTEGA LTDA CI/RUC: 1190068389001 EN CONTRA DE: SANCHEZ AMORES PAVEL ALEXCI C.I/RUC: 1102737549 </t>
  </si>
  <si>
    <t xml:space="preserve">SEGUIDO POR: INDUSTRIA LOJANA DE ESPECERIAS ILE C.A CI/RUC: 1190049406001 EN CONTRA DE: ALEJANDRO PACHAR CARLOS ENRIQUE C.I/RUC: 1101923314 </t>
  </si>
  <si>
    <t xml:space="preserve">SEGUIDO POR: ROLLINGROAD CIA. LTDA CI/RUC: 1191734005001 EN CONTRA DE: REYES RIOFRIO ANGEL BOLIVAR C.I/RUC: 1101794814 </t>
  </si>
  <si>
    <t xml:space="preserve">SEGUIDO POR: HOSPITAL PROVINCIAL ISIDRO AYORA CI/RUC: 1160004660001 EN CONTRA DE: SANTIN LUZURIAGA CARLOS ALFREDO C.I/RUC: 1103509335 </t>
  </si>
  <si>
    <t xml:space="preserve">SEGUIDO POR: IMPORTADORA Y DISTRIBUIDORA ROMAR CI/RUC: 1801450253001 EN CONTRA DE: CASTILLO CAMACHO MIGUEL ANGEL C.I/RUC: 1104505035 </t>
  </si>
  <si>
    <t xml:space="preserve">SEGUIDO POR: IMPORTADORA Y DISTRIBUIDORA ROMAR CI/RUC: 1801450253001 EN CONTRA DE: CASTILLO MANCHAY JUAN DOMINGO C.I/RUC: 2200004980 </t>
  </si>
  <si>
    <t xml:space="preserve">SEGUIDO POR: MULTISERVICIOS ALEN CIA. LDA CI/RUC: 1191719820001 EN CONTRA DE: TENEZACA URGILES NARCISA DE JESUS C.I/RUC: 1900219815 </t>
  </si>
  <si>
    <t xml:space="preserve">SEGUIDO POR: SERRANO GRANDA MANUEL AGUSTIN CI/RUC: 1100000833001 EN CONTRA DE: CORDOVA NUÑEZ FRANCISCO JAVIER C.I/RUC: 43355458 </t>
  </si>
  <si>
    <t xml:space="preserve">SEGUIDO POR: ROSA MARIA SUQUI MEDINA CI/RUC: 1102593678001 EN CONTRA DE: QUEZADA CARRION EDWIN WILFRIDO C.I/RUC: 0105159271 </t>
  </si>
  <si>
    <t xml:space="preserve">SEGUIDO POR: INAPESA S.A CI/RUC: 1190013002001 EN CONTRA DE: CHASIPANTA GUERRERO LUIS VINICIO C.I/RUC: 1104503444 </t>
  </si>
  <si>
    <t xml:space="preserve">SEGUIDO POR: MARIO JOSE MANCINO VALDIVIESO CI/RUC: 171097556001 EN CONTRA DE: MANCINO VALDIVIESO MARIO JOSE C.I/RUC: 1103771620 </t>
  </si>
  <si>
    <t xml:space="preserve">SEGUIDO POR: DISTRIBUIDORA IMPORTADORA DIPOR S A CI/RUC: 0990789061001 EN CONTRA DE: AGUILAR VEGA JONATHAN JAVIER C.I/RUC: 1104591027 </t>
  </si>
  <si>
    <t xml:space="preserve">SEGUIDO POR: BANCO DEL AUSTRO S.A. CH. NO.653089 BCO. DEL AUSTRO $391.75 CI/RUC: 0190055965001 EN CONTRA DE: CABRERA VASQUEZ DIANA CAROLINA C.I/RUC: 1104333628 </t>
  </si>
  <si>
    <t xml:space="preserve">SEGUIDO POR: CUERPO DE INGENIEROS  DEL EJERCITO CI/RUC: 1768007040001 EN CONTRA DE: VASQUEZ JAPON LUIS VICENTE C.I/RUC: 1103484620 </t>
  </si>
  <si>
    <t>SEGUIDO POR: ASOCIACION DE DESARROLLO COMUNITARIO Y MEDIO AMBIENTE NAMANDA CI/RUC: 1191711498001 EN CONTRA DE: TOCTO MOROCHO MIGUEL BOLIVAR C.I/RUC: 1101758496</t>
  </si>
  <si>
    <t>SEGUIDO POR: SALINAS CALVA LUIS FERNANDO CI/RUC: 1103213706001 EN CONTRA DE: JIMENEZ CHAVEZ FLORO JOSE C.I/RUC: 1105745473</t>
  </si>
  <si>
    <t>SEGUIDO POR: PACHECO VERA ANGEL ISIDRO CI/RUC: 1101998498001 EN CONTRA DE: PACHECO POMA MARCO VINICIO C.I/RUC: 1103744270</t>
  </si>
  <si>
    <t>SEGUIDO POR: DIPAC MANTA SA CI/RUC: 1390060757001 EN CONTRA DE: CHAVEZ JARAMILLO EDGAR IVAN C.I/RUC: N/A</t>
  </si>
  <si>
    <t xml:space="preserve">SEGUIDO POR: CONSORCIO CLAVIJO PALACIOS CI/RUC: 0190387836001 EN CONTRA DE: GUANGA PORRAS JOFFRE JAZMANY C.I/RUC: 0706553088 </t>
  </si>
  <si>
    <t>SEGUIDO POR: CHINCHUÑA IZA LUIS MARCELO CI/RUC: 0502661002  EN CONTRA DE: CADIROVIPAL PROMOCION INMOVILIARIA SA C.I/RUC: 1792274427001</t>
  </si>
  <si>
    <t>SEGUIDO POR: AGUILERA RAMON FREDY LEONARDO CI/RUC: 0201741527  EN CONTRA DE: CADIROVIPAL PROMOCION INMOVILIARIA SA C.I/RUC: 1792274427001</t>
  </si>
  <si>
    <t>SEGUIDO POR: DUCHIMAZA SUQUITANA HUGO FERNANDO CI/RUC: 0102504446 EN CONTRA DE: EXPOAUTO CIA LTDA C.I/RUC: N/A</t>
  </si>
  <si>
    <t xml:space="preserve">SEGUIDO POR: SEGURIDAD Y PROTECCION CISEPRO CIA LTDA CI/RUC: 0790013360001 EN CONTRA DE: GUAJALA TORRES JUNIOR RODRIGO C.I/RUC: 1104730997 </t>
  </si>
  <si>
    <t xml:space="preserve">SEGUIDO POR: SEGURIDAD Y PROTECCION CISEPRO CIA LTDA CI/RUC: 0790013360001 EN CONTRA DE: ONTANEDA QUEZADA ANGEL GONZALO C.I/RUC: 1103933030 </t>
  </si>
  <si>
    <t>SEGUIDO POR: SEGURIDAD Y PROTECCION CISEPRO CIA LTDA CI/RUC: 0790013360001 EN CONTRA DE: ENCARNACION SARAGURO FREDDY C.I/RUC: 1104337090</t>
  </si>
  <si>
    <t>SEGUIDO POR: SEGURIDAD Y PROTECCION CISEPRO CIA LTDA CI/RUC: 0790013360001 EN CONTRA DE: MIRANDA INFANTI LUIS ALBERTO C.I/RUC: 1104215791</t>
  </si>
  <si>
    <t xml:space="preserve">SEGUIDO POR: VBEECELL CIA LTDA CI/RUC: 1191707253001 EN CONTRA DE: PRADO HIDALGO MARIA CECILIA C.I/RUC: 1103869465 </t>
  </si>
  <si>
    <t xml:space="preserve">SEGUIDO POR: VELCERAMICA CIA. LTDA. CI/RUC: 1191720292001 EN CONTRA DE: BARRERA QUIZHPE OLGA JEAKELINE C.I/RUC: 1103600936 </t>
  </si>
  <si>
    <t xml:space="preserve">SEGUIDO POR: AGUIRRE JIMENE CESAR AUTURO CI/RUC: 1102124284001 EN CONTRA DE: SALAZAR SALAZAR LUIS JAVIER C.I/RUC: 0706055530 </t>
  </si>
  <si>
    <t xml:space="preserve">SEGUIDO POR: COOPERATIVA DE TRANSPORTES LOJA CI/RUC: 1190006820001 EN CONTRA DE: LANDACAY MORA ALEXANDRA VANESSA C.I/RUC: 1103643639 </t>
  </si>
  <si>
    <t xml:space="preserve">SEGUIDO POR: AYALA SANCHEZ RODRIGO FERNANDO  CI/RUC: 1103820193001 EN CONTRA DE: ORDONEZ SARANGO ROSA INES C.I/RUC: 1150117800 </t>
  </si>
  <si>
    <t xml:space="preserve">SEGUIDO POR: HERRERA CASTILLO LUZ AMERICA CI/RUC: 1101998316001 EN CONTRA DE: MONTANO YANGARI SANDRO ALBERTO C.I/RUC: 1104072085 </t>
  </si>
  <si>
    <t xml:space="preserve">SEGUIDO POR: GOBIERNO AUTONOMO DESCENTRALIZADO MUNICIPAL DE PUYANGO CI/RUC: 1160001050001 EN CONTRA DE: OCHOA AGUILAR JOSE JULIAN C.I/RUC: 1100598265 </t>
  </si>
  <si>
    <t>SEGUIDO POR: GOBIERNO AUTONOMO DESCENTRALIZADO MUNICIPAL DEL CANTON ESPINDOLA CI/RUC: 1160000670001 EN CONTRA DE: RAMOS CAMISAN POLIDORO C.I/RUC: 1101897674</t>
  </si>
  <si>
    <t>62076</t>
  </si>
  <si>
    <t>62724</t>
  </si>
  <si>
    <t>63054</t>
  </si>
  <si>
    <t>63994</t>
  </si>
  <si>
    <t>65735</t>
  </si>
  <si>
    <t>66408</t>
  </si>
  <si>
    <t>66427</t>
  </si>
  <si>
    <t>66732</t>
  </si>
  <si>
    <t>67895</t>
  </si>
  <si>
    <t>68368</t>
  </si>
  <si>
    <t>69818</t>
  </si>
  <si>
    <t>71584</t>
  </si>
  <si>
    <t>73100</t>
  </si>
  <si>
    <t>73690</t>
  </si>
  <si>
    <t>73729</t>
  </si>
  <si>
    <t>74044</t>
  </si>
  <si>
    <t>74149</t>
  </si>
  <si>
    <t>75894</t>
  </si>
  <si>
    <t>76111</t>
  </si>
  <si>
    <t>77168</t>
  </si>
  <si>
    <t>77289</t>
  </si>
  <si>
    <t>78230</t>
  </si>
  <si>
    <t>78234</t>
  </si>
  <si>
    <t>80697</t>
  </si>
  <si>
    <t>82055</t>
  </si>
  <si>
    <t>82208</t>
  </si>
  <si>
    <t>82819</t>
  </si>
  <si>
    <t>83480</t>
  </si>
  <si>
    <t>83670</t>
  </si>
  <si>
    <t>83764</t>
  </si>
  <si>
    <t>84451</t>
  </si>
  <si>
    <t>85084</t>
  </si>
  <si>
    <t>85484</t>
  </si>
  <si>
    <t>87209</t>
  </si>
  <si>
    <t>87313</t>
  </si>
  <si>
    <t>87455</t>
  </si>
  <si>
    <t>87458</t>
  </si>
  <si>
    <t>87988</t>
  </si>
  <si>
    <t>88113</t>
  </si>
  <si>
    <t>88205</t>
  </si>
  <si>
    <t>87887</t>
  </si>
  <si>
    <t>88214</t>
  </si>
  <si>
    <t>88476</t>
  </si>
  <si>
    <t>88870</t>
  </si>
  <si>
    <t>89464</t>
  </si>
  <si>
    <t>89782</t>
  </si>
  <si>
    <t>89855</t>
  </si>
  <si>
    <t>88961</t>
  </si>
  <si>
    <t>91323</t>
  </si>
  <si>
    <t>82553</t>
  </si>
  <si>
    <t>92720</t>
  </si>
  <si>
    <t>93217</t>
  </si>
  <si>
    <t>93502</t>
  </si>
  <si>
    <t>93506</t>
  </si>
  <si>
    <t>93520</t>
  </si>
  <si>
    <t>94817</t>
  </si>
  <si>
    <t>95785</t>
  </si>
  <si>
    <t>95904</t>
  </si>
  <si>
    <t>96764</t>
  </si>
  <si>
    <t>97113</t>
  </si>
  <si>
    <t>97896</t>
  </si>
  <si>
    <t>98236</t>
  </si>
  <si>
    <t>98610</t>
  </si>
  <si>
    <t>98953</t>
  </si>
  <si>
    <t>99373</t>
  </si>
  <si>
    <t>100776</t>
  </si>
  <si>
    <t>101222</t>
  </si>
  <si>
    <t>101359</t>
  </si>
  <si>
    <t>101398</t>
  </si>
  <si>
    <t>101421</t>
  </si>
  <si>
    <t>101973</t>
  </si>
  <si>
    <t>102360</t>
  </si>
  <si>
    <t>104061</t>
  </si>
  <si>
    <t>104174</t>
  </si>
  <si>
    <t>104676</t>
  </si>
  <si>
    <t>104684</t>
  </si>
  <si>
    <t>105377</t>
  </si>
  <si>
    <t>105458</t>
  </si>
  <si>
    <t>109014</t>
  </si>
  <si>
    <t>109539</t>
  </si>
  <si>
    <t>109550</t>
  </si>
  <si>
    <t>110009</t>
  </si>
  <si>
    <t>110751</t>
  </si>
  <si>
    <t>111225</t>
  </si>
  <si>
    <t>111239</t>
  </si>
  <si>
    <t>111991</t>
  </si>
  <si>
    <t>112086</t>
  </si>
  <si>
    <t>112092</t>
  </si>
  <si>
    <t>112457</t>
  </si>
  <si>
    <t>112719</t>
  </si>
  <si>
    <t>112947</t>
  </si>
  <si>
    <t>113417</t>
  </si>
  <si>
    <t>113776</t>
  </si>
  <si>
    <t>114109</t>
  </si>
  <si>
    <t>114271</t>
  </si>
  <si>
    <t>114491</t>
  </si>
  <si>
    <t>115217</t>
  </si>
  <si>
    <t>115596</t>
  </si>
  <si>
    <t>115725</t>
  </si>
  <si>
    <t>119613</t>
  </si>
  <si>
    <t>120546</t>
  </si>
  <si>
    <t>122558</t>
  </si>
  <si>
    <t>122566</t>
  </si>
  <si>
    <t>123679</t>
  </si>
  <si>
    <t>105865</t>
  </si>
  <si>
    <t>105866</t>
  </si>
  <si>
    <t>105876</t>
  </si>
  <si>
    <t>105881</t>
  </si>
  <si>
    <t>106032</t>
  </si>
  <si>
    <t>106478</t>
  </si>
  <si>
    <t>107090</t>
  </si>
  <si>
    <t>108126</t>
  </si>
  <si>
    <t>108351</t>
  </si>
  <si>
    <t>108390</t>
  </si>
  <si>
    <t>108814</t>
  </si>
  <si>
    <t>59827</t>
  </si>
  <si>
    <t>18/06/213</t>
  </si>
  <si>
    <t>07/08/25013</t>
  </si>
  <si>
    <t>16/01/2013</t>
  </si>
  <si>
    <t>234</t>
  </si>
  <si>
    <t>22 - 26</t>
  </si>
  <si>
    <t>52 - 54</t>
  </si>
  <si>
    <t>52 - 53</t>
  </si>
  <si>
    <t xml:space="preserve">EMPLEADOR: SALINAS VILLAVICENCIO LILIAN MARIVEL C.I/RUC: 1103568257001 TRABAJADOR: JARAMILLO CABRERA JORGE VICENTE C.I/RUC: 1103473201 </t>
  </si>
  <si>
    <t xml:space="preserve">EMPLEADOR: CONSORCIO CLAVIJO PALACIOS C.I/RUC: 0190387836001 TRABAJADOR: GUANGA PORRAS JOFFRE JAZMANY C.I/RUC: 0706553088 </t>
  </si>
  <si>
    <t xml:space="preserve">EMPLEADOR: AZANZA ORTIZ JHON FELICIANO C.I/RUC: 1102984018001 TRABAJADOR: PINTA PINTA WILMER VINICIO C.I/RUC: 1104696545 </t>
  </si>
  <si>
    <t xml:space="preserve">EMPLEADOR: COOPERATIVA DE TRANSPORTES LOJA C.I/RUC: 1190006820001 TRABAJADOR: VELIZ MERA MILTON SANTIAGO C.I/RUC: 0918361825 </t>
  </si>
  <si>
    <t xml:space="preserve">EMPLEADOR: COOPERATIVA DE AHORRO Y CREDITO PADRE JULIAN LORENTE LTDA. C.I/RUC: 1190015110001 TRABAJADOR: MERCHAN CARRION FLOR MARIA C.I/RUC: 1102720669 </t>
  </si>
  <si>
    <t xml:space="preserve">EMPLEADOR: COOPERATIVA DE AHORRO Y CREDITO PADRE JULIAN LORENTE LTDA. C.I/RUC: 1190015110001 TRABAJADOR: PALACIOS CUEVA MADELEINE YASMINA C.I/RUC: 1103155022 </t>
  </si>
  <si>
    <t xml:space="preserve">EMPLEADOR: CONSORCIO CLAVIJO PALACIOS C.I/RUC: 0190387836001 TRABAJADOR: GUERRON HUERTAS KLEBER JIMMY C.I/RUC: 0401082755 </t>
  </si>
  <si>
    <t xml:space="preserve">EMPLEADOR: ROMAR C.I/RUC: 1102109277001 TRABAJADOR: CAMPOVERDE VARGAS CRISTINA MARGARITA C.I/RUC: 1100867199 </t>
  </si>
  <si>
    <t>EMPLEADOR: SAMANIEGO SILVA JOHANA GABRIELA C.I/RUC: 11048957279 TRABAJADOR: ABILA SARANGO JAIRO ESTEBAN C.I/RUC: 1105969123</t>
  </si>
  <si>
    <t xml:space="preserve">EMPLEADOR: CONSTRUCTORA DEL PACIFICO S.A CONSTRUCPACIFIC C.I/RUC: 1391723032001 TRABAJADOR: COOL INTRIAGO CARLOS ENRIQUE C.I/RUC: 1309994752 </t>
  </si>
  <si>
    <t xml:space="preserve">EMPLEADOR: FRANKLIN FERNANDO BETANCOURT SOTO C.I/RUC: 1102568365001 TRABAJADOR: CORDOVA ENCALADA DIEGO MARX C.I/RUC: 1726776279 </t>
  </si>
  <si>
    <t xml:space="preserve">EMPLEADOR: GOBIERNO AUTONOMO MUNICIPAL DEL CANTON CHAGUARPAMBA C.I/RUC: 1160836120001 TRABAJADOR: MALDONADO SANCHEZ LIDER VIDAL C.I/RUC: 1102752555 </t>
  </si>
  <si>
    <t xml:space="preserve">EMPLEADOR: TIRE CENTER C.I/RUC: 1103213557001 TRABAJADOR: CHAMBA QUIZHPE JORGE VINICIO C.I/RUC: 1103897649 </t>
  </si>
  <si>
    <t xml:space="preserve">EMPLEADOR: GOBIERNO AUTONOMO MUNICIPAL DEL CANTON GONZANAMA C.I/RUC: 116000075001 TRABAJADOR: RIVAS GRANDA ISIDRO TEODULO C.I/RUC: 1102980461 </t>
  </si>
  <si>
    <t xml:space="preserve">EMPLEADOR: UNIDAD EDUCATIVA FISCAL FERNANDO SUAREZ PALACIOS C.I/RUC: 1160007170001 TRABAJADOR: ARMIJOS GODOY JUVENAL DE JESUS C.I/RUC: 1103116594 </t>
  </si>
  <si>
    <t>EMPLEADOR: PANADERIA Y PASTELERIA LA TARTALETA C.I/RUC: 1104170863 TRABAJADOR: JARAMILLO JARAMILLO GLADYS DEL ROCIO C.I/RUC: 1105203036</t>
  </si>
  <si>
    <t xml:space="preserve">EMPLEADOR: GUTIERREZ GONZALEZ KLEVER FERNANDO C.I/RUC: 1103346704001 TRABAJADOR: GUTIERREZ GONZALEZ KLEVER FERNANDO C.I/RUC: 1103346704 </t>
  </si>
  <si>
    <t xml:space="preserve">EMPLEADOR: CALVA Y CALVA CIA LTDA C.I/RUC: 1191717208001 TRABAJADOR: LOZANO GOMEZ DIEGO JAVIER C.I/RUC: 1900498435 </t>
  </si>
  <si>
    <t xml:space="preserve">EMPLEADOR: CUERPO DE BOMBEROS DE LOJA C.I/RUC: 1160051310001 TRABAJADOR: ARMIJOS MORA CRISTIAN GEOVANNY C.I/RUC: 0923050199 </t>
  </si>
  <si>
    <t xml:space="preserve">EMPLEADOR: GOBIERNO AUTONOMO DESCENTRALIZADO MUNICIPAL DE LOJA C.I/RUC: 1160000240001 TRABAJADOR: RODRIGUEZ ZAMBRANO RAUL REINEL C.I/RUC: 0917601742 </t>
  </si>
  <si>
    <t xml:space="preserve">EMPLEADOR: CENTRO TECNICO AUTOMOTRIZ RAMCAR C.I/RUC: 1103238182001 TRABAJADOR: AGUINSACA REMACHE MARCO LEONARDO C.I/RUC: 1104767908 </t>
  </si>
  <si>
    <t xml:space="preserve">EMPLEADOR: LA TARTTALETA C.I/RUC: 1103346704001 TRABAJADOR: RUIZ JARAMILLO CRISTIAN DAVID C.I/RUC: 1104804487 </t>
  </si>
  <si>
    <t xml:space="preserve">EMPLEADOR: DAVILA CORRAL CLAYSBERT &amp; ASOCIADOS DACORCLAY CIA. LTDA. C.I/RUC: 0190331431001 TRABAJADOR: QUEZADA ROMERO XAVIER EFRAIN C.I/RUC: 1104341761 </t>
  </si>
  <si>
    <t xml:space="preserve">EMPLEADOR: DAVILA CORRAL CLAYSBERT &amp; ASOCIADOS DACORCLAY CIA. LTDA. C.I/RUC: 0190331431001 TRABAJADOR: MENDOZA SARANGO JORGE LUIS C.I/RUC: 1104508690 </t>
  </si>
  <si>
    <t xml:space="preserve">EMPLEADOR: GONZALEZ LUZURIAGA ALBA ANTONIETA C.I/RUC: 1100391661001 TRABAJADOR: CALVA GAONA CORNELIO C.I/RUC: 1102987821 </t>
  </si>
  <si>
    <t xml:space="preserve">EMPLEADOR: BETTY ADELAIDA AGUILERA SARMIENTO C.I/RUC: 1103198782 TRABAJADOR: MONTAÑO OCHOA MERCI GEORGINA C.I/RUC: 1102793252 </t>
  </si>
  <si>
    <t xml:space="preserve">EMPLEADOR: INTEROC S.A. C.I/RUC: 0991028544001 TRABAJADOR: ALVEAR JIMENEZ JUAN CARLOS C.I/RUC: 1103906788 </t>
  </si>
  <si>
    <t xml:space="preserve">EMPLEADOR: FLORES VILLARRUEL SEGUNDO GERMAN C.I/RUC: 1001486545001 TRABAJADOR: VIÑAMAGUA CRIOLLO BAYRON FAUSTO C.I/RUC: 1105003568 </t>
  </si>
  <si>
    <t xml:space="preserve">EMPLEADOR: CESAR EDUARDO PALACIOS TORRES C.I/RUC: 1100361581001 TRABAJADOR: ESPEJO CRUZ CLAUDIA MARIA C.I/RUC: 1104739923 </t>
  </si>
  <si>
    <t xml:space="preserve">EMPLEADOR: ATENEOLOJA CIA LTDA C.I/RUC: 1191745988001 TRABAJADOR: SANTIN ROJAS DANNY ISRAEL C.I/RUC: 1104274053 </t>
  </si>
  <si>
    <t xml:space="preserve">EMPLEADOR: ASOCIACION DEL PROGRAMA DE VIVIENDA DE DESARROLLO DE INTERES SOCIAL PROGRESIVO CUIDAD VERDE C.I/RUC: 1191743653001 TRABAJADOR: ASTUDILLO ALVAREZ ANA KARINA C.I/RUC: 1102656798 </t>
  </si>
  <si>
    <t xml:space="preserve">EMPLEADOR: AGUILAR ESPINOZA CARMITA DE JESUS C.I/RUC: 1900291384001 TRABAJADOR: MORA CARLOS ALBERTO C.I/RUC: 1104048580 </t>
  </si>
  <si>
    <t xml:space="preserve">EMPLEADOR: CLUB LIGA DEPORTIVA UNIVERSITARIA DE LOJA C.I/RUC: 1191709949001 TRABAJADOR: KAVIEDES LLORENTTY JAIME IVAN C.I/RUC: 1711340123 </t>
  </si>
  <si>
    <t xml:space="preserve">EMPLEADOR: PACO PUBLICIDAD C.I/RUC: 0703036509001 TRABAJADOR: BENITEZ QUIÑONEZ ROBERTH NIXON C.I/RUC: 1104956261 </t>
  </si>
  <si>
    <t xml:space="preserve">EMPLEADOR: ENMA VICTORIA SALAZAR CORREA C.I/RUC: 1100465697 TRABAJADOR: CAÑAR OJEDA JORGE LUIS C.I/RUC: 1103412563 </t>
  </si>
  <si>
    <t xml:space="preserve">EMPLEADOR: COMPAÑIA DE ECONOMIA MIXTA LOJAGAS C.I/RUC: 1190067927001 TRABAJADOR: CUEVA GONZALEZ WAGNER ROBERTO C.I/RUC: 1103122584 </t>
  </si>
  <si>
    <t xml:space="preserve">EMPLEADOR: CAMACHO RIVAS JOSE MIGUEL C.I/RUC: 1103025332001 TRABAJADOR: SARANGO VELEZ ISMAIL RENE C.I/RUC: 1103785737 </t>
  </si>
  <si>
    <t xml:space="preserve">EMPLEADOR: DELICIA DEL ROSARIO GONZALES C.I/RUC: 0915313803001 TRABAJADOR: GUALAN MACAS MARIA ISABEL C.I/RUC: 1103190276 </t>
  </si>
  <si>
    <t xml:space="preserve">EMPLEADOR: COMERCIALIZADORA RAMIREZ GALVAN CIA LTDA C.I/RUC: 1191729486001 TRABAJADOR: QUIZHPE LOZANO JESSENIA CECIBEL C.I/RUC: 1104426315 </t>
  </si>
  <si>
    <t xml:space="preserve">EMPLEADOR: SALINAS MERINO DARWIN NAPOLEON C.I/RUC: 1102891163001 TRABAJADOR: GONZALEZ ORTEGA NORBERTO CARLOS C.I/RUC: 0702964289 </t>
  </si>
  <si>
    <t xml:space="preserve">EMPLEADOR: CONSFACIL CIA LTDA C.I/RUC: 1191717763001 TRABAJADOR: ABAD ERAS FABIAN C.I/RUC: 1105035644 </t>
  </si>
  <si>
    <t xml:space="preserve">EMPLEADOR: COMPAÑIA MINAEXPLO LOJA SA C.I/RUC: 1190082306001 TRABAJADOR: TOLEDO GRANDA KLIOVER OMAR C.I/RUC: 1104534399 </t>
  </si>
  <si>
    <t xml:space="preserve">EMPLEADOR: COMPAÑIA MINAEXPLO LOJA S.A. C.I/RUC: 1190082306001 TRABAJADOR: DOMINGUEZ SANTIN MARCELO VINICIO C.I/RUC: 1104215049 </t>
  </si>
  <si>
    <t xml:space="preserve">EMPLEADOR: ADHEPLAST C.I/RUC: 0190098725001 TRABAJADOR: MAZA SUQUILANDA EDISON GONZALO C.I/RUC: 1103454565 </t>
  </si>
  <si>
    <t xml:space="preserve">EMPLEADOR: FEDERACION DEPORTIVA DE LOJA - FDL C.I/RUC: 1191708241001 TRABAJADOR: CARRION SALINAS CARLOS ENRIQUE C.I/RUC: 1101889127 </t>
  </si>
  <si>
    <t xml:space="preserve">EMPLEADOR: COOPERATIVA DE AHORRO Y CREDITO EDUCADORES DE LOJA LTDA. C.I/RUC: 1190036967001 TRABAJADOR: PALACIOS VICTOR RAMIRO C.I/RUC: 1103154488 </t>
  </si>
  <si>
    <t xml:space="preserve">EMPLEADOR: ABENDAÑO BRICEÑO CIA. LTDA. C.I/RUC: 1190051435001 TRABAJADOR: CHIRIBOGA TERESA PAULINA C.I/RUC: 1101833323 </t>
  </si>
  <si>
    <t xml:space="preserve">EMPLEADOR: STANLEY JOFFRE VERA CALDERON C.I/RUC: 0801311630001 TRABAJADOR: SALINAS DOMINGUEZ SILVIO ENRIQUE C.I/RUC: 1102833850 </t>
  </si>
  <si>
    <t xml:space="preserve">EMPLEADOR: UNIVERSIDAD NACIONAL DE LOJA C.I/RUC: 1160001720001 TRABAJADOR: ORTIZ JOSE ARCENIO C.I/RUC: 1102026026 </t>
  </si>
  <si>
    <t xml:space="preserve">EMPLEADOR: MERCEDES DE JESUS ORTEGA CARRION C.I/RUC: 1101966040001 TRABAJADOR: CAPA PACCHA JOSEFINA C.I/RUC: 1102196084 </t>
  </si>
  <si>
    <t xml:space="preserve">EMPLEADOR: CORPORACION MEDICA TELMO LEON OJEDA CIA LTDA C.I/RUC: 1191717526001 TRABAJADOR: NICOLAIDE LUDEÑA CARLOS ROBERTO C.I/RUC: 1103309652 </t>
  </si>
  <si>
    <t xml:space="preserve">EMPLEADOR: BANCO PROCREDIT SA C.I/RUC: 1791269225001 TRABAJADOR: LEON CABRERA ALEX DARIO C.I/RUC: 1103667513 </t>
  </si>
  <si>
    <t xml:space="preserve">EMPLEADOR: BANCO DE GUAYAQUIL S.A. C.I/RUC: 0990049459001 TRABAJADOR: LOAIZA CELI NANCY ANDREA C.I/RUC: 1104429921 </t>
  </si>
  <si>
    <t xml:space="preserve">EMPLEADOR: CUERPO DE INGENIEROS DEL EJERCITO C.I/RUC: 1768007040001 TRABAJADOR: SOTOMAYOR ABAD ALEX LEONEL C.I/RUC: 1105020166 </t>
  </si>
  <si>
    <t xml:space="preserve">EMPLEADOR: COMERCIALIZADORA DARPA SA C.I/RUC: 0790062086001 TRABAJADOR: COSTA CABRERA CARLOS LEONARDO C.I/RUC: 1104614233 </t>
  </si>
  <si>
    <t xml:space="preserve">EMPLEADOR: FRANKLIN AUGUSTO GUAMAN LEON C.I/RUC: 1102789748001 TRABAJADOR: BAHAMONDE GUAMAN MILTON OSWALDO C.I/RUC: 1100098746 </t>
  </si>
  <si>
    <t xml:space="preserve">EMPLEADOR: COOPERATIVA DE TRANSPORTE UNION CARIAMANGA C.I/RUC: 1190081474001 TRABAJADOR: SAGBAY MAZA MARCIA JANETH C.I/RUC: 1900389766 </t>
  </si>
  <si>
    <t xml:space="preserve">EMPLEADOR: GOBIERNO AUTONOMI DESCENTRALIZADO DEL CANTON CALVAS C.I/RUC: 1160000320001 TRABAJADOR: CORREA NARVAEZ EDICSON ALBARITO C.I/RUC: 1103834808 </t>
  </si>
  <si>
    <t xml:space="preserve">EMPLEADOR: QUEVEDO VALAREZO JORGE ENRIQUE C.I/RUC: 1705261541001 TRABAJADOR: DIAZ CARRION BOLIVAR AUGUSTO C.I/RUC: 1103563928 </t>
  </si>
  <si>
    <t xml:space="preserve">EMPLEADOR: CARRION PAZMIÑO YADIRA FERNANDA C.I/RUC: 1103405732001 TRABAJADOR: MOROCHO POMA ELSA LORENA C.I/RUC: 1900803774 </t>
  </si>
  <si>
    <t xml:space="preserve">EMPLEADOR: GOBIERNO AUTONOMO DESCENTRALIZADO MUNICIPAL DEL CANTON OLMEDO C.I/RUC: 1160008140001 TRABAJADOR: CARRION CARRION NIXON PACO C.I/RUC: 1103633168 </t>
  </si>
  <si>
    <t xml:space="preserve">EMPLEADOR: JULIO BENIGNO VALDIVIESO BURNEO C.I/RUC: 1101075651001 TRABAJADOR: GUAICHA TORRES HERNAN ROBERTO C.I/RUC: 1103999999 </t>
  </si>
  <si>
    <t xml:space="preserve">EMPLEADOR: MAX HERMEL BRAVO LANDACAY C.I/RUC: 1103724108001 TRABAJADOR: PAREDES QUEVEDO LUIS EDUARDO C.I/RUC: 1150204640 </t>
  </si>
  <si>
    <t xml:space="preserve">EMPLEADOR: HOSTAL SAN ANTONIO C.I/RUC: 110193093001 TRABAJADOR: TENE TENE BYRON GEOVANNY C.I/RUC: 1104833940 </t>
  </si>
  <si>
    <t xml:space="preserve">EMPLEADOR: HOSPITAL PROVINCIAL GENERAL ISIDRO AYORA C.I/RUC: 116004660001 TRABAJADOR: SANTIN LUZURIAGA CARLOS ALFREDO C.I/RUC: 1103509335 </t>
  </si>
  <si>
    <t xml:space="preserve">EMPLEADOR: GOBIERNO AUTONOMO DESCNTRALIZADO MUNICIPAL DE ESPINDOLA C.I/RUC: 1160000670001 TRABAJADOR: PAUCAR FLORES OSWALDO VICENTE C.I/RUC: 1103004089 </t>
  </si>
  <si>
    <t xml:space="preserve">EMPLEADOR: COLEGIO IBEROAMERICANO-SAN AGUSTIN C.I/RUC: 1100013596001 TRABAJADOR: REMACHE ESPARZA ROBERTO PATRICIO C.I/RUC: 1102530316 </t>
  </si>
  <si>
    <t xml:space="preserve">EMPLEADOR: RODRIGUEZ TORRES CARLOS EUCLIDES C.I/RUC: 1103413090001 TRABAJADOR: GONZALEZ SALINAS CRISTIAN RAFAEL C.I/RUC: 1104282023 </t>
  </si>
  <si>
    <t xml:space="preserve">EMPLEADOR: GOBIERNO AUTONOMO DESCENTRALIZADO DEL CANTON ESPINDOLA C.I/RUC: 1160000670001 TRABAJADOR: TORRES VALDIVIESO LUCIA DEL CISNE C.I/RUC: 1102503461 </t>
  </si>
  <si>
    <t xml:space="preserve">EMPLEADOR: GOBIERNO AUTONOMO DESCENTRALIZADO DEL CANTON ESPINDOLA C.I/RUC: 1160000670001 TRABAJADOR: PAUCAR FLORES OSWALDO VICENTE C.I/RUC: 1103004089 </t>
  </si>
  <si>
    <t xml:space="preserve">EMPLEADOR: GOBIERNO AUTONOMO DESCENTRALIZADO DEL CANTON ESPINDOLA C.I/RUC: 1160000670001 TRABAJADOR: RAMIREZ GONZAGA ANDREA CRISTINA C.I/RUC: 1717713026 </t>
  </si>
  <si>
    <t xml:space="preserve">EMPLEADOR: GOBIERNO AUTONOMO DESCENTRALIZADO DEL CANTON ESPINDOLA C.I/RUC: 1160000670001 TRABAJADOR: PINTADO GUARNIZO GREY ANTONIETA C.I/RUC: 1103511661 </t>
  </si>
  <si>
    <t xml:space="preserve">EMPLEADOR: GOBIERNO AUTONOMO DESCENTRALIZADO DEL CANTON ESPINDOLA C.I/RUC: 1160000670001 TRABAJADOR: JIMENEZ CORDERO JUANA PIEDAD C.I/RUC: 1104004047 </t>
  </si>
  <si>
    <t xml:space="preserve">EMPLEADOR: GOBIERNO AUTONOMO DESCENTRALIZADO DEL CANTON ESPINDOLA C.I/RUC: 1160000670001 TRABAJADOR: TORRES TORRES JENNY YOLANDA C.I/RUC: 1105048282 </t>
  </si>
  <si>
    <t xml:space="preserve">EMPLEADOR: GOBIERNO AUTONOMO DESCENTRALIZADO DEL CANTON ESPINDOLA C.I/RUC: 1160000670001 TRABAJADOR: JIMENEZ ROSILLO YANDRY MANUEL C.I/RUC: 1105330417 </t>
  </si>
  <si>
    <t xml:space="preserve">EMPLEADOR: GOBIERNO AUTONO DESCENTRALIZADO MUNICIPAL DE ESPINDOLA C.I/RUC: 1160000670001 TRABAJADOR: LITUMA TORRES DIANA DEL CISNE C.I/RUC: 1103538391 </t>
  </si>
  <si>
    <t xml:space="preserve">EMPLEADOR: EDIN FRANCISCO CORREA CHAVEZ C.I/RUC: 1103619621001 TRABAJADOR: CUMBICUS ROMERO ANA LUISA C.I/RUC: 1105616591 </t>
  </si>
  <si>
    <t xml:space="preserve">EMPLEADOR: VALDIVIESO BURNEO JULIO BENIGNO C.I/RUC: 1101075651001 TRABAJADOR: GUAICHA TORRES HERNAN ROBERTO C.I/RUC: 1103999999 </t>
  </si>
  <si>
    <t xml:space="preserve">EMPLEADOR: GEMESEG CIA- LTDA. C.I/RUC: 1191722643001 TRABAJADOR: TORO MALLA SEGUNDO YOVANI C.I/RUC: 0704201185 </t>
  </si>
  <si>
    <t xml:space="preserve">EMPLEADOR: GOBIERNO PROVINCIAL DE LOJA C.I/RUC: 1160000160001 TRABAJADOR: GUERRERO FLORES CARLOS JULIO C.I/RUC: 1102757075 </t>
  </si>
  <si>
    <t xml:space="preserve">EMPLEADOR: COMPAÑIA DE TAXIS EJECUTIVO TENOR CA C.I/RUC: 1191736393001 TRABAJADOR: PUGLLA UCHUARI MARIA LEONOR C.I/RUC: 1104735665 </t>
  </si>
  <si>
    <t xml:space="preserve">EMPLEADOR: GOBIERNO AUTONOMO DESCENTRALIZADO DEL CANTON CALVAS C.I/RUC: 1160000320001 TRABAJADOR: CORREA NARVAEZ EDICSON ALBARITO C.I/RUC: 1103834808 </t>
  </si>
  <si>
    <t xml:space="preserve">EMPLEADOR: HIDALGO OJEDA ESPERANZA C.I/RUC: 1101993093001 TRABAJADOR: BECERRA SANCHEZ MAYURI GUICELA C.I/RUC: 1105785339 </t>
  </si>
  <si>
    <t xml:space="preserve">EMPLEADOR: CUERPO DE BOMBEROS DE LOJA C.I/RUC: 1160051310001 TRABAJADOR: JARAMILLO SISALIMA ROBERT FERNANDO C.I/RUC: 1103865596 </t>
  </si>
  <si>
    <t xml:space="preserve">EMPLEADOR: THE TESALIA SPRINGS COMPANY S.A. C.I/RUC: 1790005739001 TRABAJADOR: VASQUEZ JIMBO MANUEL ENRIQUE C.I/RUC: 1002457248 </t>
  </si>
  <si>
    <t xml:space="preserve">EMPLEADOR: COOPERATIVA DE AHORRO Y CREDITO DE LA PEQUEÑA EMPRESA CACPE MACARA C.I/RUC: 11190079569001 TRABAJADOR: IÑIGUEZ QUINO JORGE LUIS C.I/RUC: 1104313240 </t>
  </si>
  <si>
    <t xml:space="preserve">EMPLEADOR: HOSTAL SAN ANTONIO C.I/RUC: 1101993093001 TRABAJADOR: BECERRA SANCHEZ MAYURI GUICELA C.I/RUC: 1105785339 </t>
  </si>
  <si>
    <t xml:space="preserve">EMPLEADOR: GOBIERNO AUTONOMO DESCENTRALIZADO MUNICIPAL DE LOJA C.I/RUC: 1160000240001 TRABAJADOR: MOROCHO CURIPOMA LORGIO IVAN C.I/RUC: 1104956154 </t>
  </si>
  <si>
    <t xml:space="preserve">EMPLEADOR: GOBIERNO AUTONOMO DESCENTRALIZADO MUNICIPAL DE LOJA C.I/RUC: 1160000240001 TRABAJADOR: CUENCA CUENCA ANGEL SANTIAGO C.I/RUC: 1105182487 </t>
  </si>
  <si>
    <t xml:space="preserve">EMPLEADOR: GOBIERNO AUTONOMO DESCENTRALIZADO MUNICIPAL DE LOJA C.I/RUC: 1160000240001 TRABAJADOR: CAMPOVERDE TORRES HECTOR EDUARDO C.I/RUC: 1101931499 </t>
  </si>
  <si>
    <t xml:space="preserve">EMPLEADOR: GOBIERNO AUTONOMO DESCENTRALIZADO MUNICIPAL DE LOJA C.I/RUC: 1160000240001 TRABAJADOR: JARAMILLO QUIZHPE RAMIRO JUVENAL C.I/RUC: 1102619093 </t>
  </si>
  <si>
    <t xml:space="preserve">EMPLEADOR: UNIDAD EDUCATIVA PARTICULAR LA INMACULADA C.I/RUC: 1191700623001 TRABAJADOR: LOPEZ JIMENEZ JUNIOR ELIO C.I/RUC: 1104241532 </t>
  </si>
  <si>
    <t xml:space="preserve">EMPLEADOR: INDUSTRIA LICORERA EMBOTELLADORA LOJA SA ELELSA C.I/RUC: 1190002809001 TRABAJADOR: MENDEZ OCHOA MANUEL RAMIRO C.I/RUC: 1102857628 </t>
  </si>
  <si>
    <t xml:space="preserve">EMPLEADOR: GOBIERNO AUTONOMO DESCENTRALIZADO DEL CANTON SOZORANGA C.I/RUC: 1160001210001 TRABAJADOR: CASTILLO GALVEZ ANGEL SERAFIN C.I/RUC: 1102265798 </t>
  </si>
  <si>
    <t xml:space="preserve">EMPLEADOR: DISTRIBUIDORA CAMEL DE INSUMOS DISCAMEL CIA. LTDA. C.I/RUC: 1191723194001 TRABAJADOR: ROMAN HIDALGO RICHARD STALIN C.I/RUC: 1103153282 </t>
  </si>
  <si>
    <t xml:space="preserve">EMPLEADOR: HOSTAL SAN ANTONIO DE LOS CHORRILLOS DE LOJA C.I/RUC: 1101993093001 TRABAJADOR: BECERRA SANCHEZ MAYURI GUICELA C.I/RUC: 1105785339 </t>
  </si>
  <si>
    <t xml:space="preserve">EMPLEADOR: GRANDA ALVAREZ DIEGO FERNANDO C.I/RUC: 1103768493001 TRABAJADOR: OJEDA PASACA EDUARDO JOSE ANTONIO C.I/RUC: 1102390471 </t>
  </si>
  <si>
    <t xml:space="preserve">EMPLEADOR: RISCOMAR C.I/RUC: 1103570754001 TRABAJADOR: CRUZ SUAREZ ANDRES ISRAEL C.I/RUC: 1105223398 </t>
  </si>
  <si>
    <t xml:space="preserve">EMPLEADOR: FRANK GIOVANNI CARRION CABRERA C.I/RUC: 1102444658 TRABAJADOR: LAVANDA GUAYCHA GLORIA IRENE C.I/RUC: 1103184824 </t>
  </si>
  <si>
    <t xml:space="preserve">EMPLEADOR: AGUA PURA PRADO-3 CIA. LTDA. C.I/RUC: 1191733165001 TRABAJADOR: CASTILLO GIRON HERMEL DAVID C.I/RUC: 1104670185 </t>
  </si>
  <si>
    <t xml:space="preserve">EMPLEADOR: CAFETERIA Y HELADERIA DISERT COFFEC C.I/RUC: 1703103463001 TRABAJADOR: FARFAN APONTE LUIS MIGUEL C.I/RUC: 1104937428 </t>
  </si>
  <si>
    <t xml:space="preserve">EMPLEADOR: BIO-REUMA C.I/RUC: 1191734579001 TRABAJADOR: ORTEGA JAPON SILVIA ALEJANDRA C.I/RUC: 1104427388 </t>
  </si>
  <si>
    <t xml:space="preserve">EMPLEADOR: DIRECCION DISTRITAL 11D06-CALVAS-GONZANAMA-QUILANGA-SALUD C.I/RUC: 1160004820001 TRABAJADOR: TORRES VILLALTA CRISTHIAN ABRAHAM C.I/RUC: 1104333073 </t>
  </si>
  <si>
    <t xml:space="preserve">EMPLEADOR: HOTELES Y SERVICIOS ALMENDRAL CIA. LTDA. C.I/RUC: 1191711307001 TRABAJADOR: LUDEÑA PALACIOS FRANCO RIGOBERTO C.I/RUC: 1100589249 </t>
  </si>
  <si>
    <t xml:space="preserve">EMPLEADOR: CORDOVA PALACIOS VICTOR HUGO C.I/RUC: 1101904769001 TRABAJADOR: TARUPI CONDE JOSE EDILBERTO C.I/RUC: 1102008727 </t>
  </si>
  <si>
    <t xml:space="preserve">EMPLEADOR: NELSON ARMANDO EDELBERTO YEPEZ MONTENEGRO C.I/RUC: 1100039336 TRABAJADOR: VALDIVIESO SOTO YOLANDA C.I/RUC: 1102419072 </t>
  </si>
  <si>
    <t xml:space="preserve">EMPLEADOR: GRANDA CUEVA MARCELO MIGDONIO C.I/RUC: 1103388953001 TRABAJADOR: GONZALEZ GONZALEZ PEDRO LUIS C.I/RUC: 1105630956 </t>
  </si>
  <si>
    <t xml:space="preserve">EMPLEADOR: MANUEL LEONIDAS ABRIL COBOS C.I/RUC: 1100172582001 TRABAJADOR: CUEVA CARRION MERCEDES C.I/RUC: 1100435930 </t>
  </si>
  <si>
    <t xml:space="preserve">EMPLEADOR: ROJAS AVILA MARIA TERESA C.I/RUC: 1103036123001 TRABAJADOR: PAUCAR RUIZ CATI DEL CISNE C.I/RUC: 1104280845 </t>
  </si>
  <si>
    <t xml:space="preserve">EMPLEADOR: GOBIERNO AUTONOMO DESCENTRALIZADO DEL CANTON CALVAS C.I/RUC: 1160000320001 TRABAJADOR: LEON QUEZADA JUAN CARLOS C.I/RUC: 1105332041 </t>
  </si>
  <si>
    <t xml:space="preserve">EMPLEADOR: FARMACIA NACIONAL C.I/RUC: 1102745765001 TRABAJADOR: MARTINEZ MEDINA VIVIANA ALEXANDRA C.I/RUC: 1104222250 </t>
  </si>
  <si>
    <t xml:space="preserve">EMPLEADOR: LUZ MARCELA CADENA AGREDA C.I/RUC: 1103167506 TRABAJADOR: MAZA CUENCA YADIRA DEL CARMEN C.I/RUC: 1105542979 </t>
  </si>
  <si>
    <t xml:space="preserve">EMPLEADOR: AUTEC SA C.I/RUC: 1791705424001 TRABAJADOR: CAMPOVERDE CORDOVA MARCO ANTONIO C.I/RUC: 1104161334 </t>
  </si>
  <si>
    <t xml:space="preserve">EMPLEADOR: GONZAGA GRANDA GALO VICENTE C.I/RUC: 0700334337001 TRABAJADOR: TORRES SANMARTIN MARCO VINICIO C.I/RUC: 1102930953 </t>
  </si>
  <si>
    <t xml:space="preserve">EMPLEADOR: CALVA Y CALVA CIA. LTDA. C.I/RUC: 1191717208001 TRABAJADOR: COBOS IÑIGUEZ ANGEL ABELARDO C.I/RUC: 1103100184 </t>
  </si>
  <si>
    <t xml:space="preserve">EMPLEADOR: COMPAÑIA COMERCIALIZADORA DARPA S.A. C.I/RUC: 0790062086001 TRABAJADOR: TORRES JIMENEZ JUAN PABLO C.I/RUC: 1104610314 </t>
  </si>
  <si>
    <t xml:space="preserve">EMPLEADOR: LUDEÑA ASTUDILLO MERCY CUMANDA C.I/RUC: 1703103463001 TRABAJADOR: CHUQUIMARCA CARRILLO CARLOS OMAR C.I/RUC: 1104814098 </t>
  </si>
  <si>
    <t xml:space="preserve">EMPLEADOR: COOPERATIVA DE AHORRO Y CREDITO NUEVOS HORIZONTES LOJA LTDA. EN LIQUIDACION C.I/RUC: 1190080966001 TRABAJADOR: PICOITA SILVA MARCO AGUSTIN C.I/RUC: 1710733005 </t>
  </si>
  <si>
    <t xml:space="preserve">EMPLEADOR: DIOCESIS DE LOJA C.I/RUC: 1190082020001 TRABAJADOR: ARMIJOS CAJAMARCA DIEGO BLADIMIR C.I/RUC: 1104197890 </t>
  </si>
  <si>
    <t xml:space="preserve">EMPLEADOR: COOPERATIVA DE AHORRO Y CREDITO DE LA PEQUEÑA EMPRESA CACPE MACARA C.I/RUC: 11190079569001 TRABAJADOR: MORENO ESTRADA RITA ESPERANZA C.I/RUC: 1103371777 </t>
  </si>
  <si>
    <t xml:space="preserve">EMPLEADOR: UNIVERSIDAD TECNICA PARTICULAR DE LOJA - C.I/RUC: 1190068729001 TRABAJADOR: VELEZ BURNEO IVAN FELIPE C.I/RUC: 1102389895 </t>
  </si>
  <si>
    <t xml:space="preserve">EMPLEADOR: AMELIA MARIA CUEVA ELIZALDE C.I/RUC: 1103189658 TRABAJADOR: REYES MATAILO ELVIA MARINA C.I/RUC: 1104717952 </t>
  </si>
  <si>
    <t xml:space="preserve">EMPLEADOR: SEGUNDO ELVIO JIMENEZ MEJIA C.I/RUC: 1708518236001 TRABAJADOR: ROSALES TACURI DULMAN RAYBEN C.I/RUC: 1104951783 </t>
  </si>
  <si>
    <t xml:space="preserve">EMPLEADOR: GONZALEZ AGUIRRE FERNANDO RODRIGO C.I/RUC: 1900315217001 TRABAJADOR: CAILLAGUA CHANTA ANCELMO LEONIDAS C.I/RUC: 1103232938 </t>
  </si>
  <si>
    <t xml:space="preserve">EMPLEADOR: COMERCIALIZADORA VIVANCO COBOS VICOSA S.A. C.I/RUC: 1191722570001 TRABAJADOR: QUITO CASTILLO FREDY EDIZON C.I/RUC: 1103237572 </t>
  </si>
  <si>
    <t xml:space="preserve">EMPLEADOR: MIGUEL ANDRES VILLAVICENCIO PAZMIÑO C.I/RUC: 1103229397001 TRABAJADOR: OCHOA RETETE ROSA AUREA C.I/RUC: 1104636442 </t>
  </si>
  <si>
    <t xml:space="preserve">EMPLEADOR: ESTACION DE SERVICIO PLAZAGAS CIA. LTDA. C.I/RUC: 1191738825001 TRABAJADOR: CARTUCHE ORDOÑEZ LUIS ALBERTO C.I/RUC: 1106004565 </t>
  </si>
  <si>
    <t xml:space="preserve">EMPLEADOR: GOBIERNO AUTONOMO DEL MUNICIPIO DE LOJA C.I/RUC: 1160000240001 TRABAJADOR: JIMENEZ JIMENEZ JOSE VICENTE C.I/RUC: 1103692404 </t>
  </si>
  <si>
    <t xml:space="preserve">EMPLEADOR: GOBIERNO AUTONOMO DEL MUNICIPIO DE LOJA C.I/RUC: 1160000240001 TRABAJADOR: VARGAS QUEZADA DORIS YADIRA C.I/RUC: 1104994130 </t>
  </si>
  <si>
    <t xml:space="preserve">EMPLEADOR: WILBER ITALO SATAMA HUACA C.I/RUC: 1103387807901 TRABAJADOR: RAMON LOPEZ MARCO GEOVANNY C.I/RUC: 1105643504 </t>
  </si>
  <si>
    <t xml:space="preserve">EMPLEADOR: COOPERATIVA DE AHORRO Y CREDITO EL COMERCIANTE LTDA. C.I/RUC: 1191736989001 TRABAJADOR: CABRERA ORDOÑEZ DYANA ISABEL C.I/RUC: 1104715196 </t>
  </si>
  <si>
    <t xml:space="preserve">EMPLEADOR: INDUSTRIA DE ALIMENTOS LA EUROPEA CIA. LTDA. C.I/RUC: 0190072037001 TRABAJADOR: NARANJO DIAZ STALIN GONZALO C.I/RUC: 1103106371 </t>
  </si>
  <si>
    <t xml:space="preserve">EMPLEADOR: VALAREZO GARCIA PATRICIO C.I/RUC: 1102225107001 TRABAJADOR: POMA CARCHI FABIAN PETRONIO C.I/RUC: 1103795595 </t>
  </si>
  <si>
    <t xml:space="preserve">EMPLEADOR: CONSTRUCTORA JV - VALDIVIESO BURNEO JULIO BENIGNO C.I/RUC: 1101075651001 TRABAJADOR: BERMEO RAMON DAVID ALEJANDRO C.I/RUC: 1103800106 </t>
  </si>
  <si>
    <t xml:space="preserve">EMPLEADOR: GOBIERNO AUTONOMO DESCENTRALIZADO DEL CANTON PALTAS C.I/RUC: 116000091001 TRABAJADOR: VALAREZO GALAN LUIS EDUARDO C.I/RUC: 1101361838 </t>
  </si>
  <si>
    <t xml:space="preserve">EMPLEADOR: LEON ARMIJOS PATRICIO SALOMON C.I/RUC: 1102903588001 TRABAJADOR: RODRIGUEZ ORDOÑEZ JOSE LUIS C.I/RUC: 0705813848 </t>
  </si>
  <si>
    <t xml:space="preserve">EMPLEADOR: COOPERATIVA DE TRANSPORTE UNION CARIAMANGA C.I/RUC: 1190081474001 TRABAJADOR: ZABALA ZABALA GEOVANNY EFRAIN C.I/RUC: 1900609726 </t>
  </si>
  <si>
    <t xml:space="preserve">EMPLEADOR: JULIO ALBERTO ALDEAN AYALA C.I/RUC: 1900082189 TRABAJADOR: CAMACAS LIMA JESSICA ANDREA C.I/RUC: 1106014291 </t>
  </si>
  <si>
    <t xml:space="preserve">EMPLEADOR: GOBIERNO AUTONOMO DESCENTRALIZADO MUNICIPAL DE LOJA C.I/RUC: 1160000240001 TRABAJADOR: GUTIERREZ FEIJOO JORGE XAVIER C.I/RUC: 1104201452 </t>
  </si>
  <si>
    <t xml:space="preserve">EMPLEADOR: GOBIERNO AUTONOMO DESCENTRALIZADO MUNICIPAL DE LOJA C.I/RUC: 1160000240001 TRABAJADOR: VARGAS QUEZADA DORIS YADIRA C.I/RUC: 1104994130 </t>
  </si>
  <si>
    <t xml:space="preserve">EMPLEADOR: THE TESALIA SPRINGS COMPANY S.A. C.I/RUC: 179005739001 TRABAJADOR: CUEVA AGILA MANUEL FERNANDO C.I/RUC: 1104167638 </t>
  </si>
  <si>
    <t xml:space="preserve">EMPLEADOR: ROMERO PINEDA AGUSTO ALFREDO C.I/RUC: 1102755202001 TRABAJADOR: LEIME SIMBAÑA CESAR AUGUSTO C.I/RUC: 1712328796 </t>
  </si>
  <si>
    <t xml:space="preserve">EMPLEADOR: EMPRESA PUBLICA DE VIALIDAD DEL SUR VIALSUR EP C.I/RUC: 1160049760001 TRABAJADOR: TORRES ALVAREZ ANGEL EDUARDO C.I/RUC: 1101560272 </t>
  </si>
  <si>
    <t xml:space="preserve">EMPLEADOR: CENTRO DE EDUACION BASICA JOSE ANTONIO EGUIGUREN LA SALLE C.I/RUC: 1191703479001 TRABAJADOR: QUIZHPE TORRES SEGUNDO GONZALO 	1963/09/19 C.I/RUC: 1102057492 </t>
  </si>
  <si>
    <t xml:space="preserve">EMPLEADOR: MISIONEROS REDENTORISTAS LOJA C.I/RUC: 1191705021001 TRABAJADOR: ESPINOZA MELVA DEL ROCIO C.I/RUC: </t>
  </si>
  <si>
    <t xml:space="preserve">EMPLEADOR: JARAMILLO CEVALLOS SERAPIO JEFFERSON C.I/RUC: 1100441482001 TRABAJADOR: ARMIJOS BARROS ANGEL BOLIVAR C.I/RUC: 1102108840 </t>
  </si>
  <si>
    <t>EMPLEADOR: NECUSOFT CIA LTDA C.I/RUC: 1191714268001 TRABAJADOR: QUITUISACA CUENCA WILSON FERNANDO C.I/RUC: 1103348098</t>
  </si>
  <si>
    <t>EMPLEADOR: MOYA ZURITA FRANKLIN EUARDO C.I/RUC: 1802312809 TRABAJADOR: CHILUIZA VILLALTA DORIS FERNANDA C.I/RUC: 1802808665</t>
  </si>
  <si>
    <t xml:space="preserve">EMPLEADOR: GOBIERNO AUTONOMO DESCENTRALIZADO MUNICIPAL DEL CANTON MACARA C.I/RUC: 1160000830001 TRABAJADOR: QUIZHPE QUIZHPE CARLOS RUPERTO C.I/RUC: 0921552709 </t>
  </si>
  <si>
    <t xml:space="preserve">EMPLEADOR: EMPRESA PUBLICA DE HIDROCARBUROS DEL ECUADOR EP PETROECUADOR C.I/RUC: 1768153530001 TRABAJADOR: CANDO JUMBO LUCIO ADALBERTO C.I/RUC: 1102124912 </t>
  </si>
  <si>
    <t xml:space="preserve">EMPLEADOR: COOPERATIVA DE AHORRO Y CREDITO DE LA MICROEMPRESA FORTUNA C.I/RUC: 1191712249001 TRABAJADOR: CORONEL CASTRO KAROLAY MICHELL C.I/RUC: 1103594238 </t>
  </si>
  <si>
    <t>EMPLEADOR: MUNICIPIO DE LOJA C.I/RUC: 1160000240001 TRABAJADOR: VASQUEZ SHINGUE ALEZ RENE C.I/RUC: 11032295125</t>
  </si>
  <si>
    <t>EMPLEADOR: TORRES GUERRERO VICTOR  SALOMON  C.I/RUC: 1100652351001 TRABAJADOR: FLORES ABAD  SABULON  C.I/RUC: 1100652351</t>
  </si>
  <si>
    <t>125316</t>
  </si>
  <si>
    <t>126639</t>
  </si>
  <si>
    <t>127684</t>
  </si>
  <si>
    <t>127690</t>
  </si>
  <si>
    <t>127832</t>
  </si>
  <si>
    <t>127916</t>
  </si>
  <si>
    <t>130573</t>
  </si>
  <si>
    <t>131735</t>
  </si>
  <si>
    <t>134009</t>
  </si>
  <si>
    <t>134486</t>
  </si>
  <si>
    <t>134893</t>
  </si>
  <si>
    <t>135208</t>
  </si>
  <si>
    <t>136301</t>
  </si>
  <si>
    <t>137538</t>
  </si>
  <si>
    <t>137932</t>
  </si>
  <si>
    <t>137937</t>
  </si>
  <si>
    <t>138313</t>
  </si>
  <si>
    <t>139279</t>
  </si>
  <si>
    <t>141086</t>
  </si>
  <si>
    <t>141198</t>
  </si>
  <si>
    <t>141545</t>
  </si>
  <si>
    <t>141551</t>
  </si>
  <si>
    <t>142031</t>
  </si>
  <si>
    <t>142911</t>
  </si>
  <si>
    <t>143343</t>
  </si>
  <si>
    <t>143385</t>
  </si>
  <si>
    <t>143892</t>
  </si>
  <si>
    <t>145121</t>
  </si>
  <si>
    <t>145305</t>
  </si>
  <si>
    <t>146009</t>
  </si>
  <si>
    <t>146068</t>
  </si>
  <si>
    <t>146538</t>
  </si>
  <si>
    <t>146585</t>
  </si>
  <si>
    <t>147822</t>
  </si>
  <si>
    <t>148648</t>
  </si>
  <si>
    <t>148675</t>
  </si>
  <si>
    <t>148857</t>
  </si>
  <si>
    <t>151984</t>
  </si>
  <si>
    <t>153539</t>
  </si>
  <si>
    <t>154268</t>
  </si>
  <si>
    <t>155224</t>
  </si>
  <si>
    <t>156035</t>
  </si>
  <si>
    <t>156443</t>
  </si>
  <si>
    <t>156556</t>
  </si>
  <si>
    <t>156905</t>
  </si>
  <si>
    <t>157935</t>
  </si>
  <si>
    <t>158041</t>
  </si>
  <si>
    <t>159507</t>
  </si>
  <si>
    <t>159780</t>
  </si>
  <si>
    <t>160633</t>
  </si>
  <si>
    <t>160644</t>
  </si>
  <si>
    <t>160886</t>
  </si>
  <si>
    <t>162975</t>
  </si>
  <si>
    <t>163119</t>
  </si>
  <si>
    <t>163888</t>
  </si>
  <si>
    <t>164075</t>
  </si>
  <si>
    <t>164460</t>
  </si>
  <si>
    <t>164721</t>
  </si>
  <si>
    <t>164880</t>
  </si>
  <si>
    <t>165423</t>
  </si>
  <si>
    <t>165770</t>
  </si>
  <si>
    <t>166315</t>
  </si>
  <si>
    <t>166709</t>
  </si>
  <si>
    <t>167221</t>
  </si>
  <si>
    <t>167350</t>
  </si>
  <si>
    <t>169164</t>
  </si>
  <si>
    <t>169355</t>
  </si>
  <si>
    <t>170031</t>
  </si>
  <si>
    <t>170538</t>
  </si>
  <si>
    <t>170544</t>
  </si>
  <si>
    <t>170552</t>
  </si>
  <si>
    <t>170560</t>
  </si>
  <si>
    <t>170566</t>
  </si>
  <si>
    <t>170571</t>
  </si>
  <si>
    <t>170574</t>
  </si>
  <si>
    <t>171356</t>
  </si>
  <si>
    <t>171508</t>
  </si>
  <si>
    <t>172659</t>
  </si>
  <si>
    <t>172914</t>
  </si>
  <si>
    <t>173976</t>
  </si>
  <si>
    <t>174111</t>
  </si>
  <si>
    <t>174971</t>
  </si>
  <si>
    <t>175079</t>
  </si>
  <si>
    <t>175269</t>
  </si>
  <si>
    <t>175425</t>
  </si>
  <si>
    <t>176310</t>
  </si>
  <si>
    <t>177704</t>
  </si>
  <si>
    <t>177834</t>
  </si>
  <si>
    <t>177839</t>
  </si>
  <si>
    <t>177845</t>
  </si>
  <si>
    <t>177856</t>
  </si>
  <si>
    <t>177932</t>
  </si>
  <si>
    <t>178944</t>
  </si>
  <si>
    <t>179190</t>
  </si>
  <si>
    <t>179204</t>
  </si>
  <si>
    <t>179818</t>
  </si>
  <si>
    <t>180017</t>
  </si>
  <si>
    <t>180081</t>
  </si>
  <si>
    <t>180649</t>
  </si>
  <si>
    <t>180925</t>
  </si>
  <si>
    <t>181723</t>
  </si>
  <si>
    <t>181973</t>
  </si>
  <si>
    <t>182746</t>
  </si>
  <si>
    <t>183202</t>
  </si>
  <si>
    <t>183290</t>
  </si>
  <si>
    <t>183696</t>
  </si>
  <si>
    <t>184318</t>
  </si>
  <si>
    <t>184323</t>
  </si>
  <si>
    <t>184366</t>
  </si>
  <si>
    <t>184379</t>
  </si>
  <si>
    <t>184804</t>
  </si>
  <si>
    <t>184868</t>
  </si>
  <si>
    <t>178096</t>
  </si>
  <si>
    <t>178364</t>
  </si>
  <si>
    <t>185929</t>
  </si>
  <si>
    <t>187250</t>
  </si>
  <si>
    <t>187371</t>
  </si>
  <si>
    <t>187836</t>
  </si>
  <si>
    <t>188828</t>
  </si>
  <si>
    <t>189091</t>
  </si>
  <si>
    <t>189450</t>
  </si>
  <si>
    <t>189798</t>
  </si>
  <si>
    <t>189908</t>
  </si>
  <si>
    <t>190290</t>
  </si>
  <si>
    <t>191001</t>
  </si>
  <si>
    <t>192633</t>
  </si>
  <si>
    <t>192658</t>
  </si>
  <si>
    <t>193094</t>
  </si>
  <si>
    <t>193099</t>
  </si>
  <si>
    <t>193163</t>
  </si>
  <si>
    <t>194873</t>
  </si>
  <si>
    <t>195879</t>
  </si>
  <si>
    <t>197395</t>
  </si>
  <si>
    <t>197599</t>
  </si>
  <si>
    <t>198577</t>
  </si>
  <si>
    <t>198901</t>
  </si>
  <si>
    <t>199070</t>
  </si>
  <si>
    <t>199731</t>
  </si>
  <si>
    <t>202565</t>
  </si>
  <si>
    <t>202570</t>
  </si>
  <si>
    <t>203106</t>
  </si>
  <si>
    <t>203824</t>
  </si>
  <si>
    <t>206366</t>
  </si>
  <si>
    <t>206574</t>
  </si>
  <si>
    <t>126314</t>
  </si>
  <si>
    <t>185425</t>
  </si>
  <si>
    <t>201358</t>
  </si>
  <si>
    <t>202058</t>
  </si>
  <si>
    <t>195813</t>
  </si>
  <si>
    <t>5/02/204</t>
  </si>
  <si>
    <t>17/010/2014</t>
  </si>
  <si>
    <t>37</t>
  </si>
  <si>
    <t>4 - 5</t>
  </si>
  <si>
    <t>28 - 30</t>
  </si>
  <si>
    <t>50 - 51</t>
  </si>
  <si>
    <t>85 - 87</t>
  </si>
  <si>
    <t xml:space="preserve">SEGUIDO POR: CORREA SARANGO ROSA GUMERCINDA C.I/RUC: 1103385991001 EN CONTRA DE: TILLAGUANGO JIRON MONICA ENID C.I/RUC: 1105609679 </t>
  </si>
  <si>
    <t xml:space="preserve">SEGUIDO POR: HOTELERA PISCOBAMBA CIA. LTDA. C.I/RUC: 1190068257001 EN CONTRA DE: LIMA ENCALADA DIANA PATRICIA C.I/RUC: 1104316714 </t>
  </si>
  <si>
    <t xml:space="preserve">SEGUIDO POR: OPTICAS OPTI AUSTRO CIA. LTDA. C.I/RUC: 1191750280001 EN CONTRA DE: CHILUIZA VILLALTA DORIS FERNANDA C.I/RUC: 1802808665 </t>
  </si>
  <si>
    <t xml:space="preserve">SEGUIDO POR: EMPRESA PUBLICA DE VIALIDAD DEL SUR VIALSUR E.P C.I/RUC: 1160049760001 EN CONTRA DE: GUARNIZO DELGADO HUGO ANIBAL C.I/RUC: 1600132706 </t>
  </si>
  <si>
    <t xml:space="preserve">SEGUIDO POR: CAMPOSANO LOAIZA MARIA ELIZABETH  C.I/RUC: 1102088695 EN CONTRA DE: ABAD CORREA BLANCA CLAUDINA C.I/RUC: 1102770094 </t>
  </si>
  <si>
    <t xml:space="preserve">SEGUIDO POR: AMAVI LIQUOR´S CIA. LTDA. C.I/RUC: 1191724573001 EN CONTRA DE: JIMENEZ JIMENEZ JUAN VENITO C.I/RUC: 1103857304 </t>
  </si>
  <si>
    <t xml:space="preserve">SEGUIDO POR: PARROQUIA ECLESIASTICA DE EL CISNE C.I/RUC: 1191709426001 EN CONTRA DE: SONGOR ESPARZA SUSANA ELIZABETH C.I/RUC: 1104047459 </t>
  </si>
  <si>
    <t xml:space="preserve">SEGUIDO POR: DEJA VU LOUNGE RESTAURANT C.I/RUC: 1103152268001 EN CONTRA DE: SARANGO JUMBO MARCO ANTONIO C.I/RUC: 1104149503 </t>
  </si>
  <si>
    <t xml:space="preserve">SEGUIDO POR: DIRECCION DISTRITAL 11D03 - PALTAS - SALUD C.I/RUC: 1160005470001 EN CONTRA DE: PIEDRA OJEDA YESENIA PAOLA C.I/RUC: 1103447122 </t>
  </si>
  <si>
    <t xml:space="preserve">SEGUIDO POR: GOBIERNO AUTONOMO DESCENTRALIZADO MUNICIPAL DE LOJA C.I/RUC: 1160000240001 EN CONTRA DE: PONCE JORGE ALFREDO C.I/RUC: 1706235288 </t>
  </si>
  <si>
    <t xml:space="preserve">SEGUIDO POR: BANCO DE LOJA S. A. C.I/RUC: 1190002213001 EN CONTRA DE: SALINAS OCHOA VERONICA ALEXANDRA C.I/RUC: 1103808455 </t>
  </si>
  <si>
    <t>SEGUIDO POR: ROBLES CELI RUTBELH MANFREDY C.I/RUC: 1104749971  EN CONTRA DE: FABRICA DE FIDEOS Y HORCHATAS SANTA RITA C.I/RUC: 1102860515001</t>
  </si>
  <si>
    <t xml:space="preserve">SEGUIDO POR: COOPERATIVA DE TRANSPORTES UNION CARIAMANGA C.I/RUC: 1190081474001 EN CONTRA DE: RODRIGUEZ CORREA DIANA PAOLA C.I/RUC: 1104761018 </t>
  </si>
  <si>
    <t xml:space="preserve">SEGUIDO POR: COOPERATIVA DE TRANSPORTES UNION CARIAMANGA C.I/RUC: 1190081474001 EN CONTRA DE: TINITANA GONZALEZ ALBA MAGDALENA C.I/RUC: 1104653603 </t>
  </si>
  <si>
    <t xml:space="preserve">SEGUIDO POR: COOPERATIVA DE TRANSPORTES UNION CARIAMANGA C.I/RUC: 1190081474001 EN CONTRA DE: LOAIZA CORREA JUAN GABRIEL C.I/RUC: 1104753304 </t>
  </si>
  <si>
    <t xml:space="preserve">SEGUIDO POR: IMPORTADORA VIMOTECH CIA. LTDA. C.I/RUC: 1191721140001 EN CONTRA DE: DIAZ SARANGO GLENDA ARACELY C.I/RUC: 1105144685 </t>
  </si>
  <si>
    <t>SEGUIDO POR: ESPINOSA CABRERA JHONNY RODRIGO C.I/RUC: 1104956345  EN CONTRA DE: ERAZO ALMEIDA PABLO LEONARDO C.I/RUC: 1102463716001</t>
  </si>
  <si>
    <t xml:space="preserve">SEGUIDO POR: TAPIA BRAVO MIGUEL EDUARDO C.I/RUC: 1900540210001 EN CONTRA DE: AGUILAR APOLO FANI MARIA C.I/RUC: 0702271867 </t>
  </si>
  <si>
    <t xml:space="preserve">SEGUIDO POR: TAPIA BRAVO MIGUEL EDUARDO C.I/RUC: 1900540210001 EN CONTRA DE: ABAD CORDERO EDGAR MAURICIO C.I/RUC: 1104935752 </t>
  </si>
  <si>
    <t xml:space="preserve">SEGUIDO POR: UNIVERSIDAD NACIONAL DE LOJA C.I/RUC: 1160001720001 EN CONTRA DE: ORTEGA ERREYES MANUEL OSWALDO C.I/RUC: 1101830519 </t>
  </si>
  <si>
    <t xml:space="preserve">SEGUIDO POR: COOPERATIVA DE AHORRO Y CREDITO EDUCADORES DE LOJA LTDA. C.I/RUC: 1190036967001 EN CONTRA DE: TORRES GONZALEZ CARLOS EDUARDO C.I/RUC: 1101994117 </t>
  </si>
  <si>
    <t xml:space="preserve">SEGUIDO POR: CORDOVA MONTESINOS FABRICIO BENJAMIN C.I/RUC: 1102625595001 EN CONTRA DE: RAMIREZ CELI VICTOR ADOLFO C.I/RUC: 1101514634 </t>
  </si>
  <si>
    <t>SEGUIDO POR: ONTANEDA VIVANCO MARIA DOLORES C.I/RUC: 1105042475  EN CONTRA DE: HERMIDA SERRANO SANTIAGO JOSE C.I/RUC: 002407269001</t>
  </si>
  <si>
    <t>SEGUIDO POR: SOTO ROSAS WILLAM PAUL C.I/RUC: 1104466956  EN CONTRA DE: HERMIDA SERRANO SANTIAGO JOSE C.I/RUC: 002407269001</t>
  </si>
  <si>
    <t xml:space="preserve">SEGUIDO POR: COOPERATIVA DE AHORRO Y CREDITO CREDIAMIGO LTDA C.I/RUC: 1191725669001 EN CONTRA DE: CAMPOVERDE RAMIREZ KARINA PATRICIA C.I/RUC: 1103671721 </t>
  </si>
  <si>
    <t xml:space="preserve">SEGUIDO POR: BANCO DE GUAYAQUIL S.A. C.I/RUC: 0990049459001 EN CONTRA DE: SERRANO TAMAY IVAN ANDRE C.I/RUC: 1103916258 </t>
  </si>
  <si>
    <t xml:space="preserve">SEGUIDO POR: COOPERATIVA DE AHORRO Y CREDITO EL COMERCIANTE LTDA. C.I/RUC: 1191736989001 EN CONTRA DE: CABRERA ORDOÑEZ DYANA ISABEL C.I/RUC: 1104715196 </t>
  </si>
  <si>
    <t xml:space="preserve">SEGUIDO POR: OPTICAS OPTI AUSTRO CIA. LTDA. C.I/RUC: 1191750280001 EN CONTRA DE: MEDINA ANGULO MARYURY MARICELA C.I/RUC: 0918398611 </t>
  </si>
  <si>
    <t xml:space="preserve">SEGUIDO POR: GRANDA PALACIOS MANUEL LIZANDRO  C.I/RUC: 1101739181001 EN CONTRA DE: MENA VALDIVIEZO OSCAR ALCIBAR C.I/RUC: 0703013219 </t>
  </si>
  <si>
    <t xml:space="preserve">SEGUIDO POR: CONSTRUYA FACIL C.I/RUC: 1191717763001 EN CONTRA DE: PESANTEZ GUAMAN RICARDO SANTIAGO C.I/RUC: 1721682340 </t>
  </si>
  <si>
    <t xml:space="preserve">SEGUIDO POR: GOBIERNO AUTONOMO DESCENTRALIZADO MUNICIPAL DE LOJA C.I/RUC: 1160000240001 EN CONTRA DE: PARDO BERNARDO ANTONIO C.I/RUC: 1102011804 </t>
  </si>
  <si>
    <t xml:space="preserve">SEGUIDO POR: GOBIERNO AUTONOMO DEL MUNICIPIO DE LOJA C.I/RUC: 1160000240001 EN CONTRA DE: ORELLANA CABRERA GALO VINICIO C.I/RUC: 1102074349 </t>
  </si>
  <si>
    <t xml:space="preserve">SEGUIDO POR: EDITORIAL LA HORA DE LOJA EDIHORA CIA. LTDA. C.I/RUC: 1190082152001 EN CONTRA DE: JIMENEZ TORRES BOLIVAR ROLANDO C.I/RUC: 1102648977 </t>
  </si>
  <si>
    <t xml:space="preserve">SEGUIDO POR: SERVICIOSUTPL CIA. LTDA C.I/RUC: 1191709140001 EN CONTRA DE: GUARNIZO ALEJANDRO JAIME BOLIVAR C.I/RUC: 1103965206 </t>
  </si>
  <si>
    <t xml:space="preserve">SEGUIDO POR: GOBIERNO AUTONOMO DEL MUNICIPIO DE LOJA C.I/RUC: 1160000240001 EN CONTRA DE: VASQUEZ ZHINGRE ALEX RENE C.I/RUC: 1103295125 </t>
  </si>
  <si>
    <t>SEGUIDO POR: LAVANDA CHALAN LUIS FERNANDO C.I/RUC: 1103833263  EN CONTRA DE: FARMALEMANA CA C.I/RUC: 1190043769001</t>
  </si>
  <si>
    <t xml:space="preserve">SEGUIDO POR: LEDESMA JARAMILO ANGEL SALVADOR C.I/RUC: 1101079679001 EN CONTRA DE: ROJAS FLORES LUPE MARGARITA C.I/RUC: 1104044712 </t>
  </si>
  <si>
    <t xml:space="preserve">SEGUIDO POR: PACO PUBLICIDAD C.I/RUC: 0703036509001 EN CONTRA DE: BENITEZ QUIÑONEZ ROBERTH NIXON C.I/RUC: 1104956261 </t>
  </si>
  <si>
    <t xml:space="preserve">SEGUIDO POR: LEON SAMANIEGO ANGEL ALCIDES C.I/RUC: 1103692040 EN CONTRA DE: QUIZHPE LEON EDISON ALEXANDER C.I/RUC: 1105807927 </t>
  </si>
  <si>
    <t xml:space="preserve">SEGUIDO POR: IMPORTADORA COMERCIAL EL HIERRO CIA LTDA C.I/RUC: 0190088669001 EN CONTRA DE: ROJAS GUZMAN DIEGO FERNANDO C.I/RUC: 1103597249 </t>
  </si>
  <si>
    <t xml:space="preserve">SEGUIDO POR: ORDOÑEZ CARMEN MARIA C.I/RUC: 1101907085001 EN CONTRA DE: MONTAÑO MONTAÑO ROSA FRANCELINA C.I/RUC: 1104279730 </t>
  </si>
  <si>
    <t xml:space="preserve">SEGUIDO POR: BAO SANCHEZ MAGDALENA DEL ROCIO C.I/RUC: 1103205900001 EN CONTRA DE: JIMENEZ CARRION GERARDO AUGUSTO C.I/RUC: 1104051857 </t>
  </si>
  <si>
    <t xml:space="preserve">SEGUIDO POR: SINDICATO PROVINCIAL DE CHOFERES DE LOJA C.I/RUC: 1190069520001 EN CONTRA DE: ORDOÑEZ ORELLANA BYRON ALEXANDER C.I/RUC: 1103103444 </t>
  </si>
  <si>
    <t xml:space="preserve">SEGUIDO POR: GOBIERNO AUTONOMO DEL MUNICIPIO DE LOJA C.I/RUC: 1160000240001 EN CONTRA DE: AGUINSACA VIÑAMAGUA MOISES HIPOLITO C.I/RUC: 1900155324 </t>
  </si>
  <si>
    <t xml:space="preserve">SEGUIDO POR: CASTILLO TORRES OSWALDO  C.I/RUC: 1703498558001 EN CONTRA DE: SUQUILANDA ARMIJOS DAVID LEONARDO C.I/RUC: 1105345431 </t>
  </si>
  <si>
    <t xml:space="preserve">SEGUIDO POR: HIDALGO RAMON JANETH PATRICIA C.I/RUC: 0704020122001 EN CONTRA DE: PAREDES HERRERA MARIA DEL CISNE C.I/RUC: 1106053166 </t>
  </si>
  <si>
    <t xml:space="preserve">SEGUIDO POR: GUARNIZO ONTANEDA SERGIO AUGUSTO  C.I/RUC: 1102175930001 EN CONTRA DE: MIRANDA CHIRIBOGA EDGAR GEOVANNY C.I/RUC: 1104384977 </t>
  </si>
  <si>
    <t xml:space="preserve">SEGUIDO POR: GOBIERNO AUTONOMO DESCENTRALIZADO MUNICIPAL DE LOJA C.I/RUC: 1160000240001 EN CONTRA DE: CHUQUIRIMA CABRERA JOSE ROBERTO C.I/RUC: 1104338551 </t>
  </si>
  <si>
    <t xml:space="preserve">SEGUIDO POR: EMPRESA ELECTRICA REGIONAL DEL SUR A ERSSA. C.I/RUC: 1190005646001 EN CONTRA DE: VELEZ CUENCA RICHARD IVAN C.I/RUC: 1102864038 </t>
  </si>
  <si>
    <t xml:space="preserve">SEGUIDO POR: GEMESEG CIA. LTDA. C.I/RUC: 1191722643001 EN CONTRA DE: REQUENA ARMIJOS WILSON ESTEBAN C.I/RUC: 1104982887 </t>
  </si>
  <si>
    <t xml:space="preserve">SEGUIDO POR: CALVA Y CALVA CIA. LTDA. C.I/RUC: 1191717208001 EN CONTRA DE: REINOSO SANTIN JEAN FABRICIO C.I/RUC: 1103581615 </t>
  </si>
  <si>
    <t xml:space="preserve">SEGUIDO POR: GOBIERNO AUTONOMO DESCENTRALIZADO DEL CANTON MACARA C.I/RUC: 1160000830001 EN CONTRA DE: QUIZHPE QUIZHPE CARLOS RUPERTO C.I/RUC: 0921552709 </t>
  </si>
  <si>
    <t xml:space="preserve">SEGUIDO POR: LA CASA DEL FRENO C.I/RUC: 1103132401001 EN CONTRA DE: TORRES MOREIRA EDUARDO ALEXANDER C.I/RUC: 1105003766 </t>
  </si>
  <si>
    <t xml:space="preserve">SEGUIDO POR: INDUSTRIA LOJANA DE ESPECERIAS ILE C.A. C.I/RUC: 1190049406001 EN CONTRA DE: SALINAS AGILA JEFFERSON IVAN C.I/RUC: 1150042842 </t>
  </si>
  <si>
    <t xml:space="preserve">SEGUIDO POR: INDUSTRIA LOJANA DE ESPECERIAS ILE C.A. C.I/RUC: 1190049406001 EN CONTRA DE: VELASQUEZ POMA MANUEL ENRIQUE C.I/RUC: 1105107690 </t>
  </si>
  <si>
    <t xml:space="preserve">SEGUIDO POR: EMPRESA PUBLICA TAME LINEA AEREA DEL ECUADOR TAME EP C.I/RUC: 1768161550001 EN CONTRA DE: LIMA MOROCHO DIANA DE LOS ANGELES C.I/RUC: 1104375678 </t>
  </si>
  <si>
    <t xml:space="preserve">SEGUIDO POR: U.V.TV. LOJA ASOCIADOS C.I/RUC: 1190080842001 EN CONTRA DE: CELI CUJE EDWIN LEONARDO C.I/RUC: 1715801385 </t>
  </si>
  <si>
    <t xml:space="preserve">SEGUIDO POR: GOBIERNO AUTONOMO DEL MUNICIPIO DE LOJA C.I/RUC: 1160000240001 EN CONTRA DE: SARMIENTO CEVALLOS ALFONSO RAMIRO C.I/RUC: 1103356463 </t>
  </si>
  <si>
    <t xml:space="preserve">SEGUIDO POR: ESTACION DE SERVICIO ORTEGA FRELMAC CIA LTDA C.I/RUC: 1191735931001 EN CONTRA DE: ROMAN VILLANO JOSE BALTAZAR C.I/RUC: 0700285190 </t>
  </si>
  <si>
    <t xml:space="preserve">SEGUIDO POR: ESTACION DE SERVICIO ORTEGA FRELMAC CIA LTDA C.I/RUC: 1191735931001 EN CONTRA DE: SOLANO SOLANO LUIS ALFREDO C.I/RUC: 1103772859 </t>
  </si>
  <si>
    <t>SEGUIDO POR: ORTIZ PALACIOS CRISTIAN DAMIAN C.I/RUC: 1103850614  EN CONTRA DE: MAZA MAZA WILLIAM PATRICIO C.I/RUC: 1103003040001</t>
  </si>
  <si>
    <t xml:space="preserve">SEGUIDO POR: INDUSTRIA LOJANA DE ESPECERIAS ILE C.A. C.I/RUC: 1190049406001 EN CONTRA DE: LANDAZURI ESCUDERO DAVID ALEJANDRO C.I/RUC: 1105023145 </t>
  </si>
  <si>
    <t xml:space="preserve">SEGUIDO POR: MONCAYO VACA VISMAR AUGUSTO  C.I/RUC: 1101022505001 EN CONTRA DE: ABAD JIRON MARIA ADELINDA C.I/RUC: 1105915829 </t>
  </si>
  <si>
    <t xml:space="preserve">SEGUIDO POR: SANCHEZ GORDILLO ANGEL AMABLE  C.I/RUC: 1104106313001 EN CONTRA DE: TAPIA CABRERA MANUEL NICOLAS C.I/RUC: 1713994612 </t>
  </si>
  <si>
    <t xml:space="preserve">SEGUIDO POR: DISTRIBUIDORA TORRES DISFERTOR CIA. LTDA. C.I/RUC: 1191751910001 EN CONTRA DE: MACAS RUEDA FELIX HUMBERTO C.I/RUC: 1105071243 </t>
  </si>
  <si>
    <t xml:space="preserve">SEGUIDO POR: PILCO CORREA Y CIA SAN GERADO C.I/RUC: 1190080931001 EN CONTRA DE: ARTEAGA SUAREZ HECTOR PATRICIO C.I/RUC: 0100976422 </t>
  </si>
  <si>
    <t xml:space="preserve">SEGUIDO POR: GOBIERNO AUTONOMO DESCENTRALIZADO MUNICIPAL DE LOJA C.I/RUC: 1160000240001 EN CONTRA DE: LUNA ORTEGA DIEGO MARCO C.I/RUC: 1103773642 </t>
  </si>
  <si>
    <t xml:space="preserve">SEGUIDO POR: GOBIERNO AUTONOMO DESCENTRALIZADO MUNICIPAL DE LOJA C.I/RUC: 1160000240001 EN CONTRA DE: CANGO VERDEZOTO CHRISTIAN VICENTE C.I/RUC: 1102318332 </t>
  </si>
  <si>
    <t>SEGUIDO POR: CELI CUJE EDWIN LEONARDO C.I/RUC: 1715801385  EN CONTRA DE: U.V. TV. LOJA ASOCIADOS C.I/RUC: 1190080842001</t>
  </si>
  <si>
    <t xml:space="preserve">SEGUIDO POR: INSTITUTO ECUATORIANO DE SEGURIDAD SOCIAL IESS-HOSPITAL TEODRO MALDONADO CARBO.RESORTEO C.I/RUC: 1760004650001 EN CONTRA DE: GUAMANGATE AYALA MARIA ESTHER C.I/RUC: 0500920178 </t>
  </si>
  <si>
    <t xml:space="preserve">SEGUIDO POR: SIGUENZA ARMIJOS LUIS FRANCISCO  C.I/RUC: 1104456486001 EN CONTRA DE: TAPIA GUTIERREZ GINA FERNANDA C.I/RUC: 1105657827 </t>
  </si>
  <si>
    <t xml:space="preserve">SEGUIDO POR: LIGA DEPORTIVA UNIVERSITARIA DE LA CIUDAD DE LOJA C.I/RUC: 1191709949001 EN CONTRA DE: CALLEJO FACUNDO JULIAN C.I/RUC: 35562788 </t>
  </si>
  <si>
    <t xml:space="preserve">SEGUIDO POR: DIRECCION DISTRITAL 11D08 SARAGURO-EDUCACION C.I/RUC: 1160059480001 EN CONTRA DE: MONTAÑO LEON AGENOR C.I/RUC: 1102118377 </t>
  </si>
  <si>
    <t xml:space="preserve">SEGUIDO POR: GOBIERNO AUTONOMO DEL MUNICIPIO DE LOJA C.I/RUC: 1160000240001 EN CONTRA DE: GONZALEZ QUISHPE CRISTIAN GEOVANNY C.I/RUC: 1103674683 </t>
  </si>
  <si>
    <t xml:space="preserve">SEGUIDO POR: GOBIERNO AUTONOMO DEL MUNICIPIO DE LOJA C.I/RUC: 1160000240001 EN CONTRA DE: ESPARZA JARAMILLO JORGE LUIS C.I/RUC: 1103139372 </t>
  </si>
  <si>
    <t xml:space="preserve">SEGUIDO POR: GOBIERNO AUTONOMO DEL MUNICIPIO DE LOJA C.I/RUC: 1160000240001 EN CONTRA DE: CUENCA CUENCA ANGEL SANTIAGO C.I/RUC: 1105182487 </t>
  </si>
  <si>
    <t xml:space="preserve">SEGUIDO POR: MONTERREY AZUCARERA LOJANA CA MALCA C.I/RUC: 1190001330001 EN CONTRA DE: MALDONADO PINTADO OSCAR MIGUEL C.I/RUC: 1104416480 </t>
  </si>
  <si>
    <t xml:space="preserve">SEGUIDO POR: MONTERREY AZUCARERA LOJANA CA MALCA C.I/RUC: 1190001330001 EN CONTRA DE: JARAMILLO HERRERA VICTOR HUGO C.I/RUC: 1104273543 </t>
  </si>
  <si>
    <t xml:space="preserve">SEGUIDO POR: EMPRESA PUBLICA DE VIALIDAD DEL SUR E.P. C.I/RUC: 1160049760001 EN CONTRA DE: RAMIREZ ENCALADA CELINA MARIA C.I/RUC: 1101462453 </t>
  </si>
  <si>
    <t xml:space="preserve">SEGUIDO POR: GUACHISACA CHOCHO ANGEL ERNESTO C.I/RUC: 1101787156001 EN CONTRA DE: POMA GONZALEZ JORGE LUIS C.I/RUC: 1105944969 </t>
  </si>
  <si>
    <t xml:space="preserve">SEGUIDO POR: SAMANIEGO DELGADO LUIS EDUARDO  C.I/RUC: 1100013596001 EN CONTRA DE: LANDI CORREA PAUL ALEXANDER C.I/RUC: 1104377476 </t>
  </si>
  <si>
    <t xml:space="preserve">SEGUIDO POR: SAMANIEGO DELGADO LUIS EDUARDO  C.I/RUC: 1100013596001 EN CONTRA DE: FLANDOLI MARIN SILVANA RENATA C.I/RUC: 1102006218 </t>
  </si>
  <si>
    <t xml:space="preserve">SEGUIDO POR: SAMANIEGO DELGADO LUIS EDUARDO  C.I/RUC: 1100013596001 EN CONTRA DE: VELEZ ORELLANA AMANDA SOLEDAD C.I/RUC: 1103630354 </t>
  </si>
  <si>
    <t xml:space="preserve">SEGUIDO POR: GOBIERNO AUTONOMO DEL MUNICIPIO DE LOJA C.I/RUC: 1160000240001 EN CONTRA DE: CAMPOVERDE TORRES HECTOR EDUARDO C.I/RUC: 1101931499 </t>
  </si>
  <si>
    <t xml:space="preserve">SEGUIDO POR: JARAMILLO GUEVARA YOLANDA CARMITA C.I/RUC: 1900204551001 EN CONTRA DE: ENCALADA FREIRE GABRIELA ELIZABETH C.I/RUC: 0104668041 </t>
  </si>
  <si>
    <t xml:space="preserve">SEGUIDO POR: GUARNIZO SARANGO DENIS GONZALO C.I/RUC: 1103649693001 EN CONTRA DE: LUDEÑA MINGA FRANCO ROBERTO C.I/RUC: 1103351670 </t>
  </si>
  <si>
    <t xml:space="preserve">SEGUIDO POR: GOBIERNO AUTONOMO DESCENTRALIZADO MUNICIPAL DE ESPINDOLA C.I/RUC: 1160000670001 EN CONTRA DE: LITUMA TORRES DIANA DEL CISNE C.I/RUC: 1103538391 </t>
  </si>
  <si>
    <t xml:space="preserve">SEGUIDO POR: FARMACIA NACIONAL C.I/RUC: 1102745765001 EN CONTRA DE: RAMIREZ VIVAR GINA ALEXANDRA C.I/RUC: 1105932923 </t>
  </si>
  <si>
    <t xml:space="preserve">SEGUIDO POR: ESTACION DE SERVICIO COOPERATIVA LOJA - COOPERATIVA DE TRANSPORTES LOJA C.I/RUC: 1190006820001 EN CONTRA DE: ALVAREZ GUTIERREZ JESUS MERCEDES C.I/RUC: 1102632492 </t>
  </si>
  <si>
    <t xml:space="preserve">SEGUIDO POR: BURNEO BERMEO LORENA DEL CISNE C.I/RUC: 1706528351 EN CONTRA DE: NEYRA COELLO JUANA JESUS C.I/RUC: 1750769729 </t>
  </si>
  <si>
    <t xml:space="preserve">SEGUIDO POR: BURNEO BERMEO LORENA DEL CISNE  C.I/RUC: 1706528351 EN CONTRA DE: CHUQUIHUANGA MOROCHO LIMBER C.I/RUC: 1750769679 </t>
  </si>
  <si>
    <t xml:space="preserve">SEGUIDO POR: BENITEZ GUARNIZO YADIRA DEL CISNE C.I/RUC: 1102951116001 EN CONTRA DE: LAPO MONTALVAN PATRICIA JACQUELINE C.I/RUC: 0706033305 </t>
  </si>
  <si>
    <t xml:space="preserve">SEGUIDO POR: FINE-TUNED ENGLISH CIA. LTDA. C.I/RUC: 1191732142001 EN CONTRA DE: PINEDA JARAMILLO ANA ABELINA C.I/RUC: 1104111743 </t>
  </si>
  <si>
    <t xml:space="preserve">SEGUIDO POR: EMPRESA ELECTRICA REGIONAL DEL SUR S.A. C.I/RUC: 1190005646001 EN CONTRA DE: VELEZ CUENCA RICHARD IVAN C.I/RUC: 1102864038 </t>
  </si>
  <si>
    <t xml:space="preserve">SEGUIDO POR: INSTITUTO SUPERIOR TECNOLOGICO BOLIVARIANO C.I/RUC: 1191732835001 EN CONTRA DE: EUGENIO POZO RUTH MARLENE C.I/RUC: 1102521455 </t>
  </si>
  <si>
    <t xml:space="preserve">SEGUIDO POR: SANDOVAL GONZALEZ LAUTARO MARCELO C.I/RUC: 0102402518001 EN CONTRA DE: JUMBO PRIETO PATRICIA MAYROVI C.I/RUC: 1900392661 </t>
  </si>
  <si>
    <t xml:space="preserve">SEGUIDO POR: VILLA SILVA CARLOS AUGUSTO C.I/RUC: 1103143093001 EN CONTRA DE: MATAILO PARRA MANUEL SANTOS C.I/RUC: 1715504211 </t>
  </si>
  <si>
    <t xml:space="preserve">SEGUIDO POR: VILLA SILVA CARLOS AUGUSTO  C.I/RUC: 1103143093001 EN CONTRA DE: SOLORZANO VICENTE EDISON JAVIER C.I/RUC: 1104279284 </t>
  </si>
  <si>
    <t xml:space="preserve">SEGUIDO POR: GOBIERNO AUTONOMO DEL MUNICIPIO DE LOJA C.I/RUC: 1160000240001 EN CONTRA DE: GARCIA VELEZ CRISTIAN LEONARDO C.I/RUC: 1104062250 </t>
  </si>
  <si>
    <t xml:space="preserve">SEGUIDO POR: JIMENEZ JIMENEZ HECTOR RODOLFO  C.I/RUC: 1100592664001 EN CONTRA DE: MERA CAÑAR MAURICIO OSWALDO C.I/RUC: 1900785377 </t>
  </si>
  <si>
    <t xml:space="preserve">SEGUIDO POR: ASTUDILLO PEÑARANDA GEOVANNY WILMAN  C.I/RUC: 1101430823 EN CONTRA DE: BERMEO GOMEZ JHON DAVID C.I/RUC: 1103888549 </t>
  </si>
  <si>
    <t xml:space="preserve">SEGUIDO POR: VIDAL REQUELME VICTOR ARTEMIO C.I/RUC: 1100442472 EN CONTRA DE: ALVAREZ JIMENEZ PATRICIA DEL CISNE C.I/RUC: 1900795533 </t>
  </si>
  <si>
    <t xml:space="preserve">SEGUIDO POR: COMERCIALIZADORA VIVANCO COBOS VICOSA CIA LTDA C.I/RUC: 1191722570001 EN CONTRA DE: VEGA TORRES LUIS HUMBERTO C.I/RUC: 1150413852 </t>
  </si>
  <si>
    <t xml:space="preserve">SEGUIDO POR: MUNICIPIO DE LOJA C.I/RUC: 116000024001 EN CONTRA DE: LUNA ORTEGA DIEGO MARCO C.I/RUC: 1103773642 </t>
  </si>
  <si>
    <t xml:space="preserve">SEGUIDO POR: TRASPORTES VILCABAMBATURIS CIA LTDA C.I/RUC: 1190081679001 EN CONTRA DE: ARMIJOS RUALES ANDREA LUCIA C.I/RUC: 1104561525 </t>
  </si>
  <si>
    <t xml:space="preserve">SEGUIDO POR: VIVANCO LUDEÑA LUIS FERNANDO C.I/RUC: 1103430268001 EN CONTRA DE: MACAS CORDOVA TITO FABIAN C.I/RUC: 1900605302 </t>
  </si>
  <si>
    <t xml:space="preserve">SEGUIDO POR: SOTOMAYOR SAMANIEGO KETTY IVONNY C.I/RUC: 1101900858000 EN CONTRA DE: GAONA ROJAS OLIVA C.I/RUC: 1103391007 </t>
  </si>
  <si>
    <t xml:space="preserve">SEGUIDO POR: ESTACION DE SERVICIO ORTEGA FRELMAC CIA LTDA C.I/RUC: 1191735931001 EN CONTRA DE: ENCALADA SANCHEZ PEDRO VICENTE C.I/RUC: 1103776447 </t>
  </si>
  <si>
    <t xml:space="preserve">SEGUIDO POR: ESTACION DE SERVICIO ORTEGA FRELMAC CIA LTDA C.I/RUC: 1191735931001 EN CONTRA DE: CAMPOVERDE CORDOVA JORGE ANDRESS C.I/RUC: 1106088055 </t>
  </si>
  <si>
    <t xml:space="preserve">SEGUIDO POR: ESTACION DE SERVICIO ORTEGA FRELMAC CIA LTDA C.I/RUC: 1191735931001 EN CONTRA DE: NAGUA QUEZADA JUNIOR ALEXANDER C.I/RUC: 1105531352 </t>
  </si>
  <si>
    <t xml:space="preserve">SEGUIDO POR: ESTACION DE SERVICIO ORTEGA FRELMAC CIA LTDA C.I/RUC: 1191735931001 EN CONTRA DE: VELEZ PRADO JAVIER YAMITON C.I/RUC: 0703667253 </t>
  </si>
  <si>
    <t xml:space="preserve">SEGUIDO POR: COOPERATIVA DE TRANSPORTES DE PASAJEROS INTERNACIONAL NAMBIJA C.I/RUC: 1990006993001 EN CONTRA DE: PALACIOS ZUÑIGA MARIA ELIZABETH C.I/RUC: 1103975627 </t>
  </si>
  <si>
    <t xml:space="preserve">SEGUIDO POR: COOPERATIVA DE TRANSPORTES DE PASAJEROS INTERNACIONAL NAMBIJA C.I/RUC: 1990006993001 EN CONTRA DE: CABRERA GRANDA GALO LEONARDO C.I/RUC: 1104872690 </t>
  </si>
  <si>
    <t xml:space="preserve">SEGUIDO POR: COLEGIO PARTICULAR IBEROAMERICANO SAN AGUSTIN C.I/RUC: 1100013596001 EN CONTRA DE: CARPIO OCAMPO RODOLFO NAPOLEON C.I/RUC: 1100574209 </t>
  </si>
  <si>
    <t xml:space="preserve">SEGUIDO POR: GOBIERNO AUTONOMO DEL MUNICIPIO DE LOJA C.I/RUC: 1160000240001 EN CONTRA DE: MARTINEZ LUCERO ROMMEL EDUARDO C.I/RUC: 1204338162 </t>
  </si>
  <si>
    <t xml:space="preserve">SEGUIDO POR: ALMACENES BOYACA S.A. C.I/RUC: 0990010110001 EN CONTRA DE: GARCIA VELEZ OSCAR LUIS C.I/RUC: 0705887560 </t>
  </si>
  <si>
    <t xml:space="preserve">SEGUIDO POR: FUNDACION DE APOYO COMUNITARIO Y SOCIAL DEL ECUADOR FACES C.I/RUC: 1190076438001 EN CONTRA DE: LLANES ACARO CRISTIAN GEOVANNY C.I/RUC: 1900594787 </t>
  </si>
  <si>
    <t xml:space="preserve">SEGUIDO POR: COOPERATIVA DE TRANSPORTES UNION CARIAMANGA C.I/RUC: 1190081474001 EN CONTRA DE: SANTUR RAMIREZ YULY ELIZABETH C.I/RUC: 1105204570 </t>
  </si>
  <si>
    <t xml:space="preserve">SEGUIDO POR: JUNTA PROVINCIAL DE LA CRUZ ROJA DE LOJA C.I/RUC: 1191707903001 EN CONTRA DE: SILVA PUCHAICELA OSCAR AMABLE C.I/RUC: 1104612195 </t>
  </si>
  <si>
    <t xml:space="preserve">SEGUIDO POR: SEGURIDAD &amp; PROTECCION FERNANDEZ FERNANDEZ PROTECCION C.I/RUC: 1191755142001 EN CONTRA DE: CASTILLO HEREDIA CESAR AUGUSTO C.I/RUC: 1104057870 </t>
  </si>
  <si>
    <t xml:space="preserve">SEGUIDO POR: LIDA XIMENA ARMIJOS ARMIJOS C.I/RUC: 1103383087001 EN CONTRA DE: SALINAS ROSILLO JOSE RAMIRO C.I/RUC: 2101022271 </t>
  </si>
  <si>
    <t xml:space="preserve">SEGUIDO POR: DISTRIBUIDORA TORRES DISFERTOR CIA. LTDA. C.I/RUC: 1191751910001 EN CONTRA DE: ROJAS HIDALGO JOSE CARLOS C.I/RUC: 1105667719 </t>
  </si>
  <si>
    <t xml:space="preserve">SEGUIDO POR: ASTUDILLO PEÑARANDA GEOVANNY WILMAN C.I/RUC: 1101430823001 EN CONTRA DE: BERMEO GOMEZ JHON DAVID C.I/RUC: 1103888549 </t>
  </si>
  <si>
    <t xml:space="preserve">SEGUIDO POR: JARAMILLO ROJAS NELSON EFREN  C.I/RUC: 1102284161001 EN CONTRA DE: CUMBICOS GUERRERO ANDRES ISRAEL C.I/RUC: 1900698398 </t>
  </si>
  <si>
    <t xml:space="preserve">SEGUIDO POR: INSTITUTO ECUATORIANO DE SEGURIDAD SOCIAL IESS C.I/RUC: 1760004650001 EN CONTRA DE: ORTEGA VILLAMAGUA MARCO EDISON C.I/RUC: 1103907687 </t>
  </si>
  <si>
    <t xml:space="preserve">SEGUIDO POR: CELI CELI JAIME FABIAN ANTONIO C.I/RUC: 1101821252001 EN CONTRA DE: MINA RAMIREZ SEGUNDO MANUEL C.I/RUC: 1706277793 </t>
  </si>
  <si>
    <t xml:space="preserve">SEGUIDO POR: BANCO DE LOJA S.A. C.I/RUC: 1190002213001 EN CONTRA DE: MUÑOZ LEON DOLORES EUFEMIA C.I/RUC: 1102775465 </t>
  </si>
  <si>
    <t xml:space="preserve">SEGUIDO POR: EMPRESA ELÉCTRICIA REGIONAL DEL SUR S.A. C.I/RUC: 1190005646001 EN CONTRA DE: ZAPATA BUSTAMANTE LUIS FRANCISCO C.I/RUC: 1102126750 </t>
  </si>
  <si>
    <t xml:space="preserve">SEGUIDO POR: MUNICIPIO DE LOJA C.I/RUC: 1160000240001 EN CONTRA DE: ORELLANA CABRERA GALO VINICIO C.I/RUC: 1102074349 </t>
  </si>
  <si>
    <t xml:space="preserve">SEGUIDO POR: EMPRESA DURINI C.A. EDIMCA C.I/RUC: 1790012158001 EN CONTRA DE: CHAVEZ JARAMILLO EDGAR IVAN C.I/RUC: 1102327481 </t>
  </si>
  <si>
    <t xml:space="preserve">SEGUIDO POR: INTRIAGO SALAZAR PABLO CARLOS C.I/RUC: 0911263176001 EN CONTRA DE: HERNANDEZ LOYOLA JUAN CARLOS C.I/RUC: 1103422497 </t>
  </si>
  <si>
    <t xml:space="preserve">SEGUIDO POR: CREDI FE S.A. C.I/RUC: 1791431898001 EN CONTRA DE: GUAICHA GONZALEZ ANA PAULINA C.I/RUC: 1104089972 </t>
  </si>
  <si>
    <t xml:space="preserve">SEGUIDO POR: UNIVERSIDAD TECNICA PARTICULAR DE LOJA C.I/RUC: 1190068729001 EN CONTRA DE: VARGAS QUEZADA XIMENA DEL CISNE C.I/RUC: 1102957014 </t>
  </si>
  <si>
    <t xml:space="preserve">SEGUIDO POR: DISTRIBUIDORA CAMEL DE INSUMOS DISCAMEL CIA . LTDA. C.I/RUC: 1191723194001 EN CONTRA DE: ESPINOZA ROMERO ANGEL GERARDO C.I/RUC: 1101042628 </t>
  </si>
  <si>
    <t xml:space="preserve">SEGUIDO POR: SALAS SARANGO LORENA GEOVANNY  C.I/RUC: 1103439319001 EN CONTRA DE: ORDOÑEZ MEDINA GABRIELA LIZETH C.I/RUC: 0107084691 </t>
  </si>
  <si>
    <t xml:space="preserve">SEGUIDO POR: PARROQUIA ECLESIASTICA DE EL CISNE C.I/RUC: 1191709426001 EN CONTRA DE: CHAMBA CHAMBA CRISTIAN VICENTE C.I/RUC: 1105576381 </t>
  </si>
  <si>
    <t xml:space="preserve">SEGUIDO POR: DISTRIBUIDORA CAMEL DE INSUMOS DISCAMEL CIA . LTDA. C.I/RUC: 1191723194001 EN CONTRA DE: AMI VEGA HILDA LETICIA C.I/RUC: 1101922985 </t>
  </si>
  <si>
    <t>SEGUIDO POR: LARREA ARELLANO PEDRO SEBASTIAN C.I/RUC: 1103993349  EN CONTRA DE: CLUB LIGA DEPORTIVA UNIVERSITARIA DE LOJA C.I/RUC: 1191709949001</t>
  </si>
  <si>
    <t xml:space="preserve">SEGUIDO POR: CELI VIVANCO ELSA MARIA  C.I/RUC: 0903721280000 EN CONTRA DE: OCHOA JARA CLAUDIA NARCISA C.I/RUC: 1103442149 </t>
  </si>
  <si>
    <t xml:space="preserve">SEGUIDO POR: INTRIAGO SALAZAR PABLO CARLOS C.I/RUC: 0911263176001 EN CONTRA DE: SILVA BURGOS SANDRO ULISES C.I/RUC: 1103174726 </t>
  </si>
  <si>
    <t xml:space="preserve">SEGUIDO POR: COMPAÑIA DE TAXI EJECUTIVO LOJA NORTE  LOJANORTH S.A. C.I/RUC: 1191736679001 EN CONTRA DE: CAMPOVERDE VASQUEZ KERLY ALEXANDRA C.I/RUC: 2100658562 </t>
  </si>
  <si>
    <t xml:space="preserve">SEGUIDO POR: MOVI NOCH STORE TELECOMUNICACIONES CIA. LTDA. C.I/RUC: 1191748529001 EN CONTRA DE: LOZANO CABRERA ANDREA PAULINA C.I/RUC: 1103628127 </t>
  </si>
  <si>
    <t xml:space="preserve">SEGUIDO POR: FEDERACIÓN DEPORTIVA DE LOJA C.I/RUC: 1191708241001 EN CONTRA DE: GONZALEZ QUEZADA JOSE KLEVER C.I/RUC: 0904416435 </t>
  </si>
  <si>
    <t xml:space="preserve">SEGUIDO POR: FUNDACION EDUCACIONAL JUAN RAFAEL ARROBO CEVALLOS C.I/RUC: 1190080281001 EN CONTRA DE: HERRERA MORILLO RICARDO JAVIER C.I/RUC: 1104343171 </t>
  </si>
  <si>
    <t xml:space="preserve">SEGUIDO POR: YUNGA CUEVA NESTOR RIGOBERTO  C.I/RUC: 1103871933001 EN CONTRA DE: JARAMILLO PINZA PEDRO LUIS C.I/RUC: 1104615990 </t>
  </si>
  <si>
    <t xml:space="preserve">SEGUIDO POR: SINDICATO PROVINCIAL DE CHOFERES DE LOJA C.I/RUC: 1190069520001 EN CONTRA DE: ORTEGA OMAR HERNAN C.I/RUC: 1101389284 </t>
  </si>
  <si>
    <t xml:space="preserve">SEGUIDO POR: COOPERATIVA DE AHORRO Y CREDITO DE LA PEQUEÑA EMPRESA CACPE LOJA LTDA. C.I/RUC: 1190075539001 EN CONTRA DE: BUSTAMANTE GARCES ANGEL EDUARDO C.I/RUC: 1102716394 </t>
  </si>
  <si>
    <t xml:space="preserve">SEGUIDO POR: COOPERATIVA DE TRANSPORTES DE PASAJEROS INTERNACIONALES NAMBIJA C.I/RUC: 1990006993001 EN CONTRA DE: PARDO ORTEGA LADY LILIBETH C.I/RUC: 1900702877 </t>
  </si>
  <si>
    <t xml:space="preserve">SEGUIDO POR: COOPERATIVA DE TRANSPORTES DE PASAJEROS INTERNACIONAL  NAMBIJA C.I/RUC: 1990006993001 EN CONTRA DE: ALVAREZ AREVALO LUIS EDUARDO C.I/RUC: 1104242936 </t>
  </si>
  <si>
    <t xml:space="preserve">SEGUIDO POR: HURTADO CHAMBA MYRIAN DEL CISNE C.I/RUC: 1102858907001 EN CONTRA DE: CUENCA PINTA MARIA CRISTINA C.I/RUC: 1104927668 </t>
  </si>
  <si>
    <t xml:space="preserve">SEGUIDO POR: COOPERATIVA DE AHORRO Y CREDITO DE LA PEQUEÑA EMPRESA CACPE LOJA LTDA. C.I/RUC: 1190075539001 EN CONTRA DE: ASTUDILLO YANINA MARIBEL C.I/RUC: 1103187603 </t>
  </si>
  <si>
    <t xml:space="preserve">SEGUIDO POR: SINDICATO PROVINCIAL DE CHOFERES LOJA C.I/RUC: 1190069520001 EN CONTRA DE: CABRERA ERREYES RUBI RAFAEL C.I/RUC: 1103915789 </t>
  </si>
  <si>
    <t xml:space="preserve">SEGUIDO POR: COOPERATIVA DE TRANSPORTES DE PASAJEROS INTERNACIONAL  NAMBIJA C.I/RUC: 1990006993001 EN CONTRA DE: PARDO ORTEGA LADY LILIBETH C.I/RUC: 1900702877 </t>
  </si>
  <si>
    <t xml:space="preserve">SEGUIDO POR: ZOU HAI JUN C.I/RUC: 0105274096001 EN CONTRA DE: BRAVO CASTILLO LUIS C.I/RUC: 5638007 </t>
  </si>
  <si>
    <t>207177</t>
  </si>
  <si>
    <t>207665</t>
  </si>
  <si>
    <t>207769</t>
  </si>
  <si>
    <t>207910</t>
  </si>
  <si>
    <t>208516</t>
  </si>
  <si>
    <t>208888</t>
  </si>
  <si>
    <t>209809</t>
  </si>
  <si>
    <t>210055</t>
  </si>
  <si>
    <t>210096</t>
  </si>
  <si>
    <t>210258</t>
  </si>
  <si>
    <t>211002</t>
  </si>
  <si>
    <t>211536</t>
  </si>
  <si>
    <t>212046</t>
  </si>
  <si>
    <t>212052</t>
  </si>
  <si>
    <t>212057</t>
  </si>
  <si>
    <t>212143</t>
  </si>
  <si>
    <t>213632</t>
  </si>
  <si>
    <t>214597</t>
  </si>
  <si>
    <t>214940</t>
  </si>
  <si>
    <t>215240</t>
  </si>
  <si>
    <t>215335</t>
  </si>
  <si>
    <t>215427</t>
  </si>
  <si>
    <t>217115</t>
  </si>
  <si>
    <t>217614</t>
  </si>
  <si>
    <t>217650</t>
  </si>
  <si>
    <t>217688</t>
  </si>
  <si>
    <t>218013</t>
  </si>
  <si>
    <t>218601</t>
  </si>
  <si>
    <t>218721</t>
  </si>
  <si>
    <t>218961</t>
  </si>
  <si>
    <t>221542</t>
  </si>
  <si>
    <t>221730</t>
  </si>
  <si>
    <t>221736</t>
  </si>
  <si>
    <t>222188</t>
  </si>
  <si>
    <t>222534</t>
  </si>
  <si>
    <t>223381</t>
  </si>
  <si>
    <t>223613</t>
  </si>
  <si>
    <t>225484</t>
  </si>
  <si>
    <t>226101</t>
  </si>
  <si>
    <t>226196</t>
  </si>
  <si>
    <t>226453</t>
  </si>
  <si>
    <t>226593</t>
  </si>
  <si>
    <t>226710</t>
  </si>
  <si>
    <t>228648</t>
  </si>
  <si>
    <t>228838</t>
  </si>
  <si>
    <t>228877</t>
  </si>
  <si>
    <t>230600</t>
  </si>
  <si>
    <t>231102</t>
  </si>
  <si>
    <t>231792</t>
  </si>
  <si>
    <t>232140</t>
  </si>
  <si>
    <t>232317</t>
  </si>
  <si>
    <t>233071</t>
  </si>
  <si>
    <t>233286</t>
  </si>
  <si>
    <t>233559</t>
  </si>
  <si>
    <t>233629</t>
  </si>
  <si>
    <t>233828</t>
  </si>
  <si>
    <t>233830</t>
  </si>
  <si>
    <t>233883</t>
  </si>
  <si>
    <t>233921</t>
  </si>
  <si>
    <t>233922</t>
  </si>
  <si>
    <t>233971</t>
  </si>
  <si>
    <t>233972</t>
  </si>
  <si>
    <t>234035</t>
  </si>
  <si>
    <t>234266</t>
  </si>
  <si>
    <t>234398</t>
  </si>
  <si>
    <t>234574</t>
  </si>
  <si>
    <t>234636</t>
  </si>
  <si>
    <t>234746</t>
  </si>
  <si>
    <t>234777</t>
  </si>
  <si>
    <t>234779</t>
  </si>
  <si>
    <t>234869</t>
  </si>
  <si>
    <t>234975</t>
  </si>
  <si>
    <t>235043</t>
  </si>
  <si>
    <t>235053</t>
  </si>
  <si>
    <t>235172</t>
  </si>
  <si>
    <t>235224</t>
  </si>
  <si>
    <t>235226</t>
  </si>
  <si>
    <t>235227</t>
  </si>
  <si>
    <t>235449</t>
  </si>
  <si>
    <t>235450</t>
  </si>
  <si>
    <t>235459</t>
  </si>
  <si>
    <t>235528</t>
  </si>
  <si>
    <t>235572</t>
  </si>
  <si>
    <t>235601</t>
  </si>
  <si>
    <t>235602</t>
  </si>
  <si>
    <t>235614</t>
  </si>
  <si>
    <t>235626</t>
  </si>
  <si>
    <t>235669</t>
  </si>
  <si>
    <t>235712</t>
  </si>
  <si>
    <t>235739</t>
  </si>
  <si>
    <t>235857</t>
  </si>
  <si>
    <t>235952</t>
  </si>
  <si>
    <t>235994</t>
  </si>
  <si>
    <t>236102</t>
  </si>
  <si>
    <t>236223</t>
  </si>
  <si>
    <t>236259</t>
  </si>
  <si>
    <t>236280</t>
  </si>
  <si>
    <t>236384</t>
  </si>
  <si>
    <t>236753</t>
  </si>
  <si>
    <t>236842</t>
  </si>
  <si>
    <t>237020</t>
  </si>
  <si>
    <t>237021</t>
  </si>
  <si>
    <t>237033</t>
  </si>
  <si>
    <t>237061</t>
  </si>
  <si>
    <t>237216</t>
  </si>
  <si>
    <t>237405</t>
  </si>
  <si>
    <t>237482</t>
  </si>
  <si>
    <t>237727</t>
  </si>
  <si>
    <t>237728</t>
  </si>
  <si>
    <t>237737</t>
  </si>
  <si>
    <t>237871</t>
  </si>
  <si>
    <t>237901</t>
  </si>
  <si>
    <t>237903</t>
  </si>
  <si>
    <t>237906</t>
  </si>
  <si>
    <t>237908</t>
  </si>
  <si>
    <t>238146</t>
  </si>
  <si>
    <t>238149</t>
  </si>
  <si>
    <t>238174</t>
  </si>
  <si>
    <t>238198</t>
  </si>
  <si>
    <t>238300</t>
  </si>
  <si>
    <t>238359</t>
  </si>
  <si>
    <t>238470</t>
  </si>
  <si>
    <t>238522</t>
  </si>
  <si>
    <t>238656</t>
  </si>
  <si>
    <t>238693</t>
  </si>
  <si>
    <t>238903</t>
  </si>
  <si>
    <t>238978</t>
  </si>
  <si>
    <t>239010</t>
  </si>
  <si>
    <t>239012</t>
  </si>
  <si>
    <t>239062</t>
  </si>
  <si>
    <t>239154</t>
  </si>
  <si>
    <t>239577</t>
  </si>
  <si>
    <t>239692</t>
  </si>
  <si>
    <t>239725</t>
  </si>
  <si>
    <t>239768</t>
  </si>
  <si>
    <t>239850</t>
  </si>
  <si>
    <t>239945</t>
  </si>
  <si>
    <t>239947</t>
  </si>
  <si>
    <t>239978</t>
  </si>
  <si>
    <t>240115</t>
  </si>
  <si>
    <t>240125</t>
  </si>
  <si>
    <t>240195</t>
  </si>
  <si>
    <t>240217</t>
  </si>
  <si>
    <t>240268</t>
  </si>
  <si>
    <t>240331</t>
  </si>
  <si>
    <t>240419</t>
  </si>
  <si>
    <t>240477</t>
  </si>
  <si>
    <t>240611</t>
  </si>
  <si>
    <t>240695</t>
  </si>
  <si>
    <t>240781</t>
  </si>
  <si>
    <t>240910</t>
  </si>
  <si>
    <t>241104</t>
  </si>
  <si>
    <t>241260</t>
  </si>
  <si>
    <t>241490</t>
  </si>
  <si>
    <t>241493</t>
  </si>
  <si>
    <t>241497</t>
  </si>
  <si>
    <t>241586</t>
  </si>
  <si>
    <t>241640</t>
  </si>
  <si>
    <t>241736</t>
  </si>
  <si>
    <t>241811</t>
  </si>
  <si>
    <t>2 - 3</t>
  </si>
  <si>
    <t>7 - 8</t>
  </si>
  <si>
    <t>17 - 20</t>
  </si>
  <si>
    <t>32 - 33</t>
  </si>
  <si>
    <t>38 - 39</t>
  </si>
  <si>
    <t>40 - 41</t>
  </si>
  <si>
    <t>45 - 46</t>
  </si>
  <si>
    <t>47 - 48</t>
  </si>
  <si>
    <t>83 - 84</t>
  </si>
  <si>
    <t>90 - 92</t>
  </si>
  <si>
    <t>100 - 102</t>
  </si>
  <si>
    <t>no consta</t>
  </si>
  <si>
    <t>SEGUIDO POR: DELGADO MOROCHO HERNAN HIPOLITO C.I/RUC: 1101791984001 EN CONTRA DE: ORDOÑEZ ARELLANO PEDRO LUIS  C.I/RUC: 1105615882</t>
  </si>
  <si>
    <t>SEGUIDO POR: VIVANCO CAMPOVERDE EUNICIE GEGEORGINA C.I/RUC: 1102122825001 EN CONTRA DE: OVIEDO SANDOVAL PATRICIA GUADALUPE  C.I/RUC: 1104720071</t>
  </si>
  <si>
    <t>SEGUIDO POR: MUNICIPIO DE LOJA C.I/RUC: 1160000240001 EN CONTRA DE: TAMAY GUACHIZACA BYRON PATRICIO  C.I/RUC: 1104681968</t>
  </si>
  <si>
    <t>SEGUIDO POR: AYALA SANCHEZ RODRIGO FERNANDO C.I/RUC: 1103920193001 EN CONTRA DE: CANO ORDOÑEZ JENNY PATRICIA  C.I/RUC: 1105919755</t>
  </si>
  <si>
    <t>SEGUIDO POR: CALVA Y CALVA CIA. LTDA. C.I/RUC: 1191717208001 EN CONTRA DE: BARRERA QUIZHPE OLGA JEAKELINE  C.I/RUC: 1103600936</t>
  </si>
  <si>
    <t>SEGUIDO POR: ALVARADO NEVAREZ GRECIA VIVIANA  C.I/RUC: 0921492476001 EN CONTRA DE: GOYES BRAVO RICHARD BOLIVAR  C.I/RUC: 0925675530</t>
  </si>
  <si>
    <t>SEGUIDO POR: GOBIERNO AUTONOMO DEL MUNICIPIO DE LOJA C.I/RUC: 1160000240001 EN CONTRA DE: TAPIA OCHOA HELFER LEONARDO  C.I/RUC: 1103400568</t>
  </si>
  <si>
    <t>SEGUIDO POR: VILLAMAGUA AÑAZCO ROBERTO PATRICIO C.I/RUC: 1103214548001 EN CONTRA DE: CHAMBA QUIZHPE MAX JORDY  C.I/RUC: 1150491619</t>
  </si>
  <si>
    <t>SEGUIDO POR: VILLAMAGUA AÑAZCO ROBERTO PATRICIO C.I/RUC: 1103214548001 EN CONTRA DE: ALBARADO TORRES JUAN PABLO  C.I/RUC: 1104812167</t>
  </si>
  <si>
    <t>SEGUIDO POR: APOLO GRANDA ISAAC VICTOR C.I/RUC: 0905661427001 EN CONTRA DE: MERINO CHAMBA EDIN RAFAEL  C.I/RUC: 1105201105</t>
  </si>
  <si>
    <t>SEGUIDO POR: INSTITUTO  ECUATORIANO DE SEGURIDAD  SOCIAL IESS C.I/RUC: 1760004650001 EN CONTRA DE: SOTO CARRION MARCO ANTONIO  C.I/RUC: 1102823141</t>
  </si>
  <si>
    <t>SEGUIDO POR: GAD DE CHAGUARPAMBA C.I/RUC: 1160836120001 EN CONTRA DE: CALERO PALADINES ROBERTINO DE JESUS C.I/RUC: 1104131147</t>
  </si>
  <si>
    <t>SEGUIDO POR: PERALTA RENTERIA MERCEDES DEL ROCIO C.I/RUC: 1102893003001 EN CONTRA DE: NEIRA ROMERO SEGUNDO ROBERTO C.I/RUC: 1900128065</t>
  </si>
  <si>
    <t>SEGUIDO POR: ALBAN GUTIERRES HERNAN ALEJANDRO C.I/RUC: 1103327589001 EN CONTRA DE: PARRA ATIENCIA DIGNA MARGARITA  C.I/RUC: 0102459443</t>
  </si>
  <si>
    <t>SEGUIDO POR: BENITEZ CABRERA DARWIN HERNAN  C.I/RUC: 1102760822 EN CONTRA DE: CAÑAR CALVA JACSSON MARIO  C.I/RUC: 1103974067</t>
  </si>
  <si>
    <t>SEGUIDO POR: CORDOVA ROJAS RUDHBEL DARIO  C.I/RUC: 1102958707 EN CONTRA DE: FABRICA DE EMBUTIDOS INAPES S.A C.I/RUC: 11900113002001</t>
  </si>
  <si>
    <t>SEGUIDO POR: CARCHI CARLOS ARMANDO  C.I/RUC: 1101456000001 EN CONTRA DE: CEVALLOS POMA VICTOR MANUEL C.I/RUC: 1103383996</t>
  </si>
  <si>
    <t>SEGUIDO POR: ROMERO SUAREZ MARIA EUGENIA  C.I/RUC: 1105183220 EN CONTRA DE: FABRICA DE EMBUTIDOS INAPESA S.A C.I/RUC: 1190013002001</t>
  </si>
  <si>
    <t>SEGUIDO POR: CHERREZ SANMARTIN CRISTHIAN DAMIAN C.I/RUC: 0705619583 EN CONTRA DE: CUERPO DE INGENIEROS DEL EJERCITO CATAMAYO C.I/RUC: 1768007040001</t>
  </si>
  <si>
    <t>SEGUIDO POR: UNIDAD EDUCATIVA FISCOMISIONAL FRAY CRISTOBAL ZAMBRANO C.I/RUC: 1191757412001 EN CONTRA DE: CHIMBO OCHOA ROBERT CORNELIO  C.I/RUC: 1103582183</t>
  </si>
  <si>
    <t>SEGUIDO POR: LEON ANDRADE FRANKLIN RODRIGO  C.I/RUC: 1900103548001 EN CONTRA DE: CASTILLO GUAMAN PABLO ANDRES  C.I/RUC: 1104658511</t>
  </si>
  <si>
    <t>SEGUIDO POR: CARCHI CARLOS ARMANDO C.I/RUC: 1101456000001 EN CONTRA DE: CEVALLOS POMA VICTOR MANUEL  C.I/RUC: 1103383996</t>
  </si>
  <si>
    <t>SEGUIDO POR: EMPRESA ELECTRICA REGIONAL DEL SUR S.A EERSSA C.I/RUC: 1190005646001 EN CONTRA DE: ZAPATA BUSTAMANTE LUIS FRANCISCO  C.I/RUC: 1102126750</t>
  </si>
  <si>
    <t>SEGUIDO POR: BANCO BOLIVARIANO C.A. C.I/RUC: 0990379017001 EN CONTRA DE: BURNEO CELI GABRIEL ALEJANDRO C.I/RUC: 1103750509</t>
  </si>
  <si>
    <t>SEGUIDO POR: BANCO BOLIVARIANO C. A. C.I/RUC: 0990379017001 EN CONTRA DE: MUÑOZ MENDIETA AURORA ISABEL C.I/RUC: 1103124432</t>
  </si>
  <si>
    <t>SEGUIDO POR: BANCO BOLIVARIANO C. A. C.I/RUC: 0990379017001 EN CONTRA DE: SARMIENTO CHASE JOFFRE VICENTE  C.I/RUC: 1105040222</t>
  </si>
  <si>
    <t>SEGUIDO POR: DISTRIBUIDORA GRANDA DISTRIGRANDA CIA LTDA C.I/RUC: 1191732169001 EN CONTRA DE: ENCALADA TACURI DANIEL ANDRES  C.I/RUC: 1104411747</t>
  </si>
  <si>
    <t>SEGUIDO POR: MUNICIPIO DE LOJA C.I/RUC: 116000240001 EN CONTRA DE: FERREIRA SARANGO JOSE ANTONIO  C.I/RUC: 1706893649</t>
  </si>
  <si>
    <t>SEGUIDO POR: IÑIGUEZ CABRERA EDWIN OSWALDO  C.I/RUC: 1103499693 EN CONTRA DE: QUEZADA MONTAÑO SONIA ELIZABETH C.I/RUC: 1103808604</t>
  </si>
  <si>
    <t>SEGUIDO POR: RODRIGUEZ PAZ VICENTE EDUARDO C.I/RUC: 1103304414 EN CONTRA DE: ALDEAN CONSTANTE MARIA DOLORES  C.I/RUC: 1103022867</t>
  </si>
  <si>
    <t>SEGUIDO POR: GOBIERNO AUTONOMO DESCENTRALIZADO MUNICIPAL DEL CANTON CHAGUARPAMBA C.I/RUC: 1160836120001 EN CONTRA DE: CALERO PALADINES ROBERTINO DE JESUS  C.I/RUC: 1104131147</t>
  </si>
  <si>
    <t>SEGUIDO POR: JATIVA TIBAN SEGUNDO RICARDO  C.I/RUC: 1704878022 EN CONTRA DE: CONSTRUCTORA BECERRA CUESTA CIA. LTDA. C.I/RUC: 0190086003001</t>
  </si>
  <si>
    <t>SEGUIDO POR: MUNICIPIO DE LOJA C.I/RUC: 1160000240001 EN CONTRA DE: ORELLANA CABRERA GALO VINICIO  C.I/RUC: 1102074349</t>
  </si>
  <si>
    <t>SEGUIDO POR: UNIDAD EDUCATIVA SANTA MARIANA DE JESUS LOJA C.I/RUC: 119008347701 EN CONTRA DE: REMACHE ESPARZA ROBERTO PATRICIO  C.I/RUC: 1102530316</t>
  </si>
  <si>
    <t>SEGUIDO POR: ARCA ECUADOR S.A. C.I/RUC: 1791411099001 EN CONTRA DE: LUDEÑA GONZAGA SERVIO GRADYN C.I/RUC: 1102121074</t>
  </si>
  <si>
    <t>SEGUIDO POR: EMPRESA PÚBLICA DE HIDROCARBUROS DEL ECUADOR EP PETROECUADOR C.I/RUC: 1768153530001 EN CONTRA DE: SANCHEZ SERAQUIVE RICHARD PATRICIO  C.I/RUC: 1102655188</t>
  </si>
  <si>
    <t>SEGUIDO POR: COOPERATIVA DE TRANSPORTES LOJA C.I/RUC: 1190006820001 EN CONTRA DE: IÑIGUEZ CASTRO MIREYA ALEXANDRA  C.I/RUC: 1104963697</t>
  </si>
  <si>
    <t>SEGUIDO POR: COOPERATIVA DE TRANSPORTES LOJA C.I/RUC: 1190006820001 EN CONTRA DE: ERREYES PESANTES ANDREA JAKELINE  C.I/RUC: 1104597099</t>
  </si>
  <si>
    <t>SEGUIDO POR: COOPERATIVA DE TRANSPORTES LOJA C.I/RUC: 1190006820001 EN CONTRA DE: ESPINOZA CARRION MARIUXI NATALY  C.I/RUC: 1105132730</t>
  </si>
  <si>
    <t>SEGUIDO POR: COOPERATIVA DE TRANSPORTES LOJA C.I/RUC: 1190006820001 EN CONTRA DE: BAILON SISALIMA NANCY BEATRIZ  C.I/RUC: 1102371257</t>
  </si>
  <si>
    <t>SEGUIDO POR: MUNICIPIO DE LOJA C.I/RUC: 1160000240001 EN CONTRA DE: GUAMAN WILFRIDO VIRVANIO  C.I/RUC: 1102539655</t>
  </si>
  <si>
    <t>SEGUIDO POR: COMERCIALIZADORA VIVANCO COBOS VICOSA CIA. LTDA. C.I/RUC: 1191722570001 EN CONTRA DE: BYRON EDUARDO FLORES ALVARADO C.I/RUC: 1719601690</t>
  </si>
  <si>
    <t>SEGUIDO POR: CONGREGACION DE MISIONERAS SOCIALES DE LA IGLESIA C.I/RUC: 1190001055001 EN CONTRA DE: DUVAL ROLANDO JARAMILLO GONZALEZ C.I/RUC: 1104622228</t>
  </si>
  <si>
    <t>SEGUIDO POR: LAYANA Y ASOCIADOS AGENCIA ASESORA PRODUCTORA DE SEGUROS CIA LTDA C.I/RUC: 1191754073001 EN CONTRA DE: TACURI FIGUEROA ELIZABETH VIRGINIA C.I/RUC: 1103552756</t>
  </si>
  <si>
    <t>SEGUIDO POR: LOJASYSTEM CA C.I/RUC: 1190091259001 EN CONTRA DE: IMAICELA ORDOÑEZ CHRISTIAN MANUEL C.I/RUC: 1900520675</t>
  </si>
  <si>
    <t>SEGUIDO POR: MARISQUERIA EL PIRATA C.I/RUC: 1103385991001 EN CONTRA DE: PIEDRA CAILLAGUA VANESSA SILVANA  C.I/RUC: 1105714644</t>
  </si>
  <si>
    <t>SEGUIDO POR: SILVA MORALES ENA MARGOT  C.I/RUC: 1102017967001 EN CONTRA DE: GONZALEZ FEIJOO JORGE ALFREDO  C.I/RUC: 0907050447</t>
  </si>
  <si>
    <t>SEGUIDO POR: IMPORTADORA LAVACOR CIA LTDA C.I/RUC: 1191726738001 EN CONTRA DE: NEIRA MEJIA DIEGO FERNANDO C.I/RUC: 1103958821</t>
  </si>
  <si>
    <t>SEGUIDO POR: GODOY ACEITE Y ENERGIA GOACEN CIA LTDA C.I/RUC: 1191741583001 EN CONTRA DE: CALDERON BETANCOURT JIMMY ANTONIO  C.I/RUC: 1105190134</t>
  </si>
  <si>
    <t>SEGUIDO POR: LAYANA Y ASOCIADOS AGENCIA ASESORA PRODUCTORA DE SEGURO CIA LTDA C.I/RUC: 1191754073001 EN CONTRA DE: TACURI FIGUEROA ELIZABETH VIRGINIA  C.I/RUC: 1103552756</t>
  </si>
  <si>
    <t>SEGUIDO POR: INDUSTRIA LOJANA DE ESPECERIAS ILE CA C.I/RUC: 1190049406001 EN CONTRA DE: VICENTE ESTRADA FREDY C.I/RUC: 1102836721</t>
  </si>
  <si>
    <t>SEGUIDO POR: GILBERTO ANIBAL ALVAREZ SARMIENTO C.I/RUC: 1100346434 EN CONTRA DE: FAJARDO ROSARIO SANTOS GERMAN  C.I/RUC: 1708567183</t>
  </si>
  <si>
    <t>SEGUIDO POR: RODRIGUEZ PAZ VICENTE EDUARDO  C.I/RUC: 1103304414 EN CONTRA DE: ALDEAN CONSTANTE MARIA DOLORES  C.I/RUC: 1103022867</t>
  </si>
  <si>
    <t>SEGUIDO POR: BETANCOURT VALDIVIESO CARLOS ANDRES  C.I/RUC: 1104449093001 EN CONTRA DE: JIRON TROYA RUBEN C.I/RUC: 1105215949</t>
  </si>
  <si>
    <t>SEGUIDO POR: ORDOÑEZ PINEDA HILDO NAPOLEON C.I/RUC: 1100625423 EN CONTRA DE: CASANOVA CARPIO LUIS FERNANDO  C.I/RUC: 1102818711</t>
  </si>
  <si>
    <t>SEGUIDO POR: EDITORIAL LA HORA DE LOJA EDIHORA CIA LTDA C.I/RUC: 1190082152001 EN CONTRA DE: CALVA PEÑA LUIS ALBERTO  C.I/RUC: 1104031156</t>
  </si>
  <si>
    <t>SEGUIDO POR: EDITORIAL LA HORA DE LOJA EDIHORA CIA LTDA C.I/RUC: 1190082152001 EN CONTRA DE: MERCHAN ESPARZA GEOVANNY NEPTALI  C.I/RUC: 1104542889</t>
  </si>
  <si>
    <t>SEGUIDO POR: EDITORIAL LA HORA DE LOJA EDIHORA CIA LTDA C.I/RUC: 1190082152001 EN CONTRA DE: LOPEZ BANDA OSCAR RAUL  C.I/RUC: 1104193949</t>
  </si>
  <si>
    <t>SEGUIDO POR: EDITORIAL LA HORA DE LOJA EDIHORA CIA LTDA C.I/RUC: 11900082152001 EN CONTRA DE: OJEDA OJEDA PAUL FERNANDO  C.I/RUC: 1104421803</t>
  </si>
  <si>
    <t>SEGUIDO POR: COLEGIO DE INGENIEROS CIVILES DE LOJA C.I/RUC: 1190082837001 EN CONTRA DE: CASANOVA CARPIO LUIS FERNANDO  C.I/RUC: 1102818711</t>
  </si>
  <si>
    <t>SEGUIDO POR: CORPORACION MEDICA TELMO LEON OJEDA CIA LTDA C.I/RUC: 1191717526001 EN CONTRA DE: CANDO CALVA EVELYN GABRIELA  C.I/RUC: 1104164551</t>
  </si>
  <si>
    <t>SEGUIDO POR: AGUA PURA PRADO-3 CIA LTDA C.I/RUC: 1191733165001 EN CONTRA DE: MERINO CORDERO MANUEL C.I/RUC: 1719030676</t>
  </si>
  <si>
    <t>SEGUIDO POR: MARTINEZ CASTILLO MARIA ESTHER  C.I/RUC: 1103809396 EN CONTRA DE: IMPORTADORA CUEVACEMENTO CIA LTDA C.I/RUC: 1191710181001</t>
  </si>
  <si>
    <t>SEGUIDO POR: MOCHA BRITO VALERIA ESTEFANIA  C.I/RUC: 1150005732 EN CONTRA DE: FERRACINI 24H C.I/RUC: S/N</t>
  </si>
  <si>
    <t>SEGUIDO POR: GRANDA MACAS JOSE FRANCISCO  C.I/RUC: 1102703624001 EN CONTRA DE: CHAMBA JIMENEZ WILSON MANUEL  C.I/RUC: 1900592450</t>
  </si>
  <si>
    <t>SEGUIDO POR: COOPERATIVA DE TRANSPORTES LOJA C.I/RUC: 1190006820001 EN CONTRA DE: ENCARNACION GONZALEZ ORFA JANE  C.I/RUC: 1102898234</t>
  </si>
  <si>
    <t>SEGUIDO POR: COOPERATIVA DE TRANSPORTES LOJA C.I/RUC: 1190006820001 EN CONTRA DE: TORRES TOLEDO VERONICA GEOMAR  C.I/RUC: 1103457287</t>
  </si>
  <si>
    <t>SEGUIDO POR: SOCIEDAD DE LUCHA CONTRA EL CANCER SOLCA NUCLEO DE LOJA C.I/RUC: 1191707970001 EN CONTRA DE: LOPEZ CUENCA ELSA DEL CARMEN  C.I/RUC: 1102663737</t>
  </si>
  <si>
    <t>SEGUIDO POR: MUNICIPIO DE LOJA C.I/RUC: 1160000240001 EN CONTRA DE: RODRIGUEZ GUAMAN JULIO FERNANDO C.I/RUC: 1103579676</t>
  </si>
  <si>
    <t>SEGUIDO POR: SANDOVAL GONZALEZ LAUTARO MARCELO  C.I/RUC: 0102402518001 EN CONTRA DE: CEVALLOS RUIZ MIRTIDES RODRIGO  C.I/RUC: 1308206935</t>
  </si>
  <si>
    <t>SEGUIDO POR: DISTRIBUIDORA IMPORTADORA DIPOR S. A. C.I/RUC: 0990789061001 EN CONTRA DE: RUIZ RODRIGUEZ JACK PATRICIO  C.I/RUC: 1102869334</t>
  </si>
  <si>
    <t>SEGUIDO POR: CUERPO DE BOMBEROS DE LOJA C.I/RUC: 1160051310001 EN CONTRA DE: CABRERA HERRERA SONIA MARIA  C.I/RUC: 0704432376</t>
  </si>
  <si>
    <t>SEGUIDO POR: SANDOVAL GONZALEZ LAUTARO MARCELO  C.I/RUC: 0102402518001 EN CONTRA DE: RIVERA GRANDA LUIS ROGELIO  C.I/RUC: 1103453898</t>
  </si>
  <si>
    <t>SEGUIDO POR: SAMANIEGO ROJAS GERARDO MAURICIO  C.I/RUC: 1103141782001 EN CONTRA DE: CAMPOVERDE PALADINES CARLOS ALBERTO  C.I/RUC: 1104977747</t>
  </si>
  <si>
    <t>SEGUIDO POR: COMPAÑIA MINERA GLADYS MAGALY C.I/RUC: 1191715116001 EN CONTRA DE: JUELA OCHOA MANUEL FRANCISCO  C.I/RUC: 1104875297</t>
  </si>
  <si>
    <t>SEGUIDO POR: CUEVA SARANGO CORNELIO RAMIRO  C.I/RUC: 1900220680 EN CONTRA DE: CLUB LIGA DEPORTIVA UNIVERSITARIA DE LOJA C.I/RUC: 1191709949001</t>
  </si>
  <si>
    <t>SEGUIDO POR: EDITORIAL LA HORA DE LOJA EDIHORA CIA LTDA C.I/RUC: 1190082152001 EN CONTRA DE: PAUCAR PACHECO ANGEL SALVADOR  C.I/RUC: 1104480502</t>
  </si>
  <si>
    <t>SEGUIDO POR: COLEGIO DE BACHILLERATO PARTICULAR MIGUEL ANGEL SUAREZ C.I/RUC: 1190083922001 EN CONTRA DE: ARMIJOS TANDAZO HENRY MANUEL  C.I/RUC: 1102837604</t>
  </si>
  <si>
    <t>SEGUIDO POR: CONTENTO TENEZACA LILIA ALEXANDRA  C.I/RUC: 1104024037 EN CONTRA DE: FLORES CHAMBA JOHANA PAOLA  C.I/RUC: 1104277551</t>
  </si>
  <si>
    <t>SEGUIDO POR: BANCO DE LOJA S.A C.I/RUC: 1190002213001 EN CONTRA DE: MENDEZ UREÑA CESAR AUGUSTO  C.I/RUC: 1104217011</t>
  </si>
  <si>
    <t>SEGUIDO POR: BANCO DE LOJA S.A C.I/RUC: 1190002213001 EN CONTRA DE: MEDINA VASQUEZ JOHANNA MABEL C.I/RUC: 1103831499</t>
  </si>
  <si>
    <t>SEGUIDO POR: COMPAÑIA DE TRANSPORTE DE CARGA PESADA Y COMBUSTIBLE GONZALEZ CIA LTDA C.I/RUC: 1191726436001 EN CONTRA DE: LOAIZA VILLAVICENCIO ANALUISA  C.I/RUC: 1103212773</t>
  </si>
  <si>
    <t>SEGUIDO POR: ROBLES HURTADO GENESIS LETICIA  C.I/RUC: 1719172536001 EN CONTRA DE: MEDINA SOLIS JOHN JADER  C.I/RUC: 0803059807</t>
  </si>
  <si>
    <t>SEGUIDO POR: CAMAL FRIGORIFICO LOJA S.A CAFRILOSA C.I/RUC: 1190000709001 EN CONTRA DE: MACAS CHILLOGALLI GLORIA NANCY C.I/RUC: 1713562823</t>
  </si>
  <si>
    <t>SEGUIDO POR: ESTACION DE SERVICIO PLAZAGAS CIA LTDA C.I/RUC: 1191738825001 EN CONTRA DE: ERAS GUAJALA TANIA ELIZABETH  C.I/RUC: 1104771082</t>
  </si>
  <si>
    <t>SEGUIDO POR: COOPERATIVA DE TAXIS ECUADOR C.I/RUC: 1191702022001 EN CONTRA DE: MATUTE MALLA MELVA CENELI  C.I/RUC: 1103188197</t>
  </si>
  <si>
    <t>SEGUIDO POR: GOBIERNO AUTONOMO DESCENTRALIZADO MUNICIPAL DEL CANTON CELICA C.I/RUC: 1160000590001 EN CONTRA DE: CALDERON FERNANDEZ ANGEL ALCIDES C.I/RUC: 1102990742</t>
  </si>
  <si>
    <t>SEGUIDO POR: CALVA Y CALVA CIA LTDA C.I/RUC: 1191717208001 EN CONTRA DE: CHELE SALINAS JOSHUA DARIO  C.I/RUC: 0928645514</t>
  </si>
  <si>
    <t>SEGUIDO POR: LIMA MORA JORGE LUIS  C.I/RUC: 1104725302 EN CONTRA DE: CENTRO EDUCATIVO PARTICULAR BILINGUE EL TESORO DEL SABER C.I/RUC: 1190082624001</t>
  </si>
  <si>
    <t>SEGUIDO POR: TAMAY MOROCHO ISABEL MARIA C.I/RUC: 1102076484001 EN CONTRA DE: ORDOÑEZ CHUNCHO WALTER AMABLE  C.I/RUC: 1103300545</t>
  </si>
  <si>
    <t>SEGUIDO POR: MUNICIPIO DE LOJA C.I/RUC: 1160000240001 EN CONTRA DE: VILLEGAS GUALAN PABLO BENIGNO  C.I/RUC: 1104956964</t>
  </si>
  <si>
    <t>SEGUIDO POR: GOBIERNO AUTONOMO DESCENTRALIZADO MUNICIPAL DEL CANTON CHAGUARPAMBA C.I/RUC: 1160836120001 EN CONTRA DE: ENRIQUEZ ROGEL OMAR RIGOBERTO C.I/RUC: 1103177745</t>
  </si>
  <si>
    <t>SEGUIDO POR: COOPERATIVA DE AHORRO Y CREDITO PADRE JULIAN LORENTE LTDA. C.I/RUC: 1190015110001 EN CONTRA DE: TAPIA TORRES KATTY LUCIA  C.I/RUC: 1103487169</t>
  </si>
  <si>
    <t>SEGUIDO POR: COPORACION FAVORITA C.A C.I/RUC: 1790016919001 EN CONTRA DE: ARMIJOS SANCHEZ JORGE LENIN  C.I/RUC: 0923986897</t>
  </si>
  <si>
    <t>SEGUIDO POR: ESTACION DE SERVICIO PLAZAGAS CIA LTDA C.I/RUC: 1191738825001 EN CONTRA DE: GONZALEZ SUQUILANDA CESAR RODRIGO  C.I/RUC: 1103856512</t>
  </si>
  <si>
    <t>SEGUIDO POR: ESTACION DE SERVICIO PLAZAGAS CIA LTDA C.I/RUC: 1191738825001 EN CONTRA DE: AMI BRAVO LUIS JAVIER  C.I/RUC: 1104580012</t>
  </si>
  <si>
    <t>SEGUIDO POR: ARPI PEREZ JORGE EDUARDO  C.I/RUC: 0101030187001 EN CONTRA DE: PATIÑO CARCHI MANUEL ALFREDO  C.I/RUC: 0102120425</t>
  </si>
  <si>
    <t>SEGUIDO POR: SERVICIOSUTPL CIA LTDA C.I/RUC: 1191709140001 EN CONTRA DE: BERMEO LEON ALEX DANIEL  C.I/RUC: 1104881204</t>
  </si>
  <si>
    <t>SEGUIDO POR: GOBIERNO AUTONOMO DESCENTRALIZADO MUNICIPAL DEL CANTON CHAGUARPAMBA C.I/RUC: 1160836120001 EN CONTRA DE: ENRIQUEZ ROGEL OMAR RIGOBERTO  C.I/RUC: 1103177745</t>
  </si>
  <si>
    <t>SEGUIDO POR: LOJASYSTEM CA C.I/RUC: 1190091259001 EN CONTRA DE: IMAICELA ORDOÑEZ CHRISTIAN MANUEL  C.I/RUC: 1900520675</t>
  </si>
  <si>
    <t>SEGUIDO POR: EMPRESA PUBLICA DE VIALIDAD DEL SUR VIALSUR EP C.I/RUC: 1160049760001 EN CONTRA DE: MORA PALADINEZ WALTER GONZALO  C.I/RUC: 1103646459</t>
  </si>
  <si>
    <t>SEGUIDO POR: LOJASYSTEM CA C.I/RUC: 1190091259001 EN CONTRA DE: ARIAS GONZALEZ LEONARDO VLADIMIR  C.I/RUC: 1104735046</t>
  </si>
  <si>
    <t>SEGUIDO POR: NECUSOFT CIA LTDA C.I/RUC: 1191714268001 EN CONTRA DE: MAZA ORTEGA FRANKLIN DANIEL  C.I/RUC: 1103700892</t>
  </si>
  <si>
    <t>SEGUIDO POR: MUNICIPIO DE LOJA C.I/RUC: 1160000240001 EN CONTRA DE: ALVAREZ CANO JUAN EDUARDO  C.I/RUC: 1103353189</t>
  </si>
  <si>
    <t>SEGUIDO POR: COOPERATIVA DE AHORRO Y CREDITO PADRE JULIAN LORENTE LTDA. C.I/RUC: 1190015110001 EN CONTRA DE: TAPIA TORRES KATTY LUCIA C.I/RUC: 1103487169</t>
  </si>
  <si>
    <t>SEGUIDO POR: CAMAL FRIGORIFICO LOJA S.A CAFRILOSA C.I/RUC: 1190000709001 EN CONTRA DE: MACAS CHILLOGALLI GLORIA NANCY  C.I/RUC: 1713562823</t>
  </si>
  <si>
    <t>SEGUIDO POR: ARMIJOS ARMIJOS NINFA ESTHELA  C.I/RUC: 1900167873001 EN CONTRA DE: DIAS MORENO GLENDA SOLEDAD  C.I/RUC: 1104383110</t>
  </si>
  <si>
    <t>SEGUIDO POR: CARCHI CARLOS ARMANDO  C.I/RUC: 1101456000001 EN CONTRA DE: ENRIQUEZ MICHAY ELICEO ELICIO  C.I/RUC: 1103201636</t>
  </si>
  <si>
    <t>SEGUIDO POR: CARCHI CARLOS ARMANDO  C.I/RUC: 1101456000001 EN CONTRA DE: ENRIQUEZ MICHAY JOSE BENJAMIN  C.I/RUC: 1104155849</t>
  </si>
  <si>
    <t>SEGUIDO POR: VIVANCO RAMIREZ ROY EDUARDO C.I/RUC: 1102832795 EN CONTRA DE: CONSTRUCTORA HIDROBO ESTRADA S.A C.I/RUC: 1791170393001</t>
  </si>
  <si>
    <t>SEGUIDO POR: MARIN RIVERA MARIA PATRICIA  C.I/RUC: 1104172802 EN CONTRA DE: JARAMILLO VEGA LIZARDO AMADOR C.I/RUC: 11000711156</t>
  </si>
  <si>
    <t>SEGUIDO POR: CABRERA CORONEL LUIS ALFREDO  C.I/RUC: 1100231370 EN CONTRA DE: CRIERA ECUADOR SA C.I/RUC: 1792288282001</t>
  </si>
  <si>
    <t>SEGUIDO POR: ANDRADE GUALAN WILSON HUGO  C.I/RUC: 1150698213 EN CONTRA DE: CRIERA ECUADOR SA C.I/RUC: 1792288282001</t>
  </si>
  <si>
    <t>SEGUIDO POR: VERA LUPU RAFAEL  C.I/RUC: 1102658992 EN CONTRA DE: CRIERA ECUADOR SA C.I/RUC: 1792288282001</t>
  </si>
  <si>
    <t>SEGUIDO POR: PASACA MOROCHO HERNAN RODRIGO  C.I/RUC: 1103051155 EN CONTRA DE: CRIERA ECUADOR SA C.I/RUC: 1792288282001</t>
  </si>
  <si>
    <t>SEGUIDO POR: CHALAN CHALAN CARLOS MANUEL C.I/RUC: 1103980767 EN CONTRA DE: CRIERA ECUADOR SA C.I/RUC: 1792288282001</t>
  </si>
  <si>
    <t>SEGUIDO POR: AGUILAR MEDINA MANUEL CLEMENTE  C.I/RUC: 1101578670 EN CONTRA DE: CRIERA ECUADOR SA C.I/RUC: 1792288282001</t>
  </si>
  <si>
    <t>SEGUIDO POR: CABRERA CHAVEZ GALO PATRICIO  C.I/RUC: 1103733125 EN CONTRA DE: CRIERA ECUADOR SA C.I/RUC: 1792288282001</t>
  </si>
  <si>
    <t>SEGUIDO POR: AYORA AGUINSACA LUIS  C.I/RUC: 1900395912 EN CONTRA DE: CRIERA ECUADOR SA C.I/RUC: 1792288282001</t>
  </si>
  <si>
    <t>SEGUIDO POR: ARMIJOS GONZALEZ NEY EUFRACIO  C.I/RUC: 1102421342 EN CONTRA DE: CRIERA ECUADOR SA C.I/RUC: 1792288282001</t>
  </si>
  <si>
    <t>SEGUIDO POR: ZHINGRE NAMICELA ANGEL ABDON  C.I/RUC: 1900807908 EN CONTRA DE: CRIERA ECUADOR SA C.I/RUC: 1792288282001</t>
  </si>
  <si>
    <t>SEGUIDO POR: SILVA BENITEZ ANDRES EDUARDO C.I/RUC: 1104688708 EN CONTRA DE: CRIERA ECUADOR SA C.I/RUC: 1792288282001</t>
  </si>
  <si>
    <t>SEGUIDO POR: SILVA BENITEZ CARLOS RAMIRO  C.I/RUC: 1104226079 EN CONTRA DE: CRIERA ECUADOR SA C.I/RUC: 1792288282001</t>
  </si>
  <si>
    <t>SEGUIDO POR: TENE MEDINA EDISON ANDRES  C.I/RUC: 1150153102 EN CONTRA DE: CRIERA ECUADOR SA C.I/RUC: 1792288282001</t>
  </si>
  <si>
    <t>SEGUIDO POR: SILVA BENITEZ AUGUSTO GEOVANNY  C.I/RUC: 1103910731 EN CONTRA DE: CRIERA ECUADOR SA C.I/RUC: 1792288282001</t>
  </si>
  <si>
    <t>SEGUIDO POR: JIMENEZ JIMENEZ DARWIN FABRICIO C.I/RUC: 1104789225 EN CONTRA DE: CRIERA ECUADOR SA C.I/RUC: 1792288282001</t>
  </si>
  <si>
    <t>SEGUIDO POR: CONTENTO PACHECO JORGE EDUARDO  C.I/RUC: 1103835219 EN CONTRA DE: CRIERA ECUADOR SA C.I/RUC: 1792288282001</t>
  </si>
  <si>
    <t>SEGUIDO POR: TERCERO CALISPA MOISES HERNAN  C.I/RUC: 1716198724 EN CONTRA DE: CRIERA ECUADOR SA C.I/RUC: 1792288282001</t>
  </si>
  <si>
    <t>SEGUIDO POR: PACHECO JARAMILLO JOSE HUMBERTO C.I/RUC: 1103910269 EN CONTRA DE: CRIERA ECUADOR SA C.I/RUC: 1792288282001</t>
  </si>
  <si>
    <t>SEGUIDO POR: VASQUEZ PIEDRA GUILLERMO EUGENIO  C.I/RUC: 1103476675 EN CONTRA DE: INAPESA S A C.I/RUC: 1190013002001</t>
  </si>
  <si>
    <t>SEGUIDO POR: JAPON SARMIENTO DIEGO JOSE  C.I/RUC: 1105435125 EN CONTRA DE: CRIERA ECUADOR SA C.I/RUC: 1792288282001</t>
  </si>
  <si>
    <t>SEGUIDO POR: JARA NARVAEZ MARCO GEOVANNY  C.I/RUC: 1103769111 EN CONTRA DE: CRIERA ECUADOR SA C.I/RUC: 1792288282001</t>
  </si>
  <si>
    <t>SEGUIDO POR: PATIÑO GUAMAN SEGUNDO GILVER  C.I/RUC: 1104964752 EN CONTRA DE: CRIERA ECUADOR SA C.I/RUC: 1792288282001</t>
  </si>
  <si>
    <t>SEGUIDO POR: JADAN TENEZACA LUIS FERNANDO  C.I/RUC: 1150455770 EN CONTRA DE: CRIERA ECUADOR SA C.I/RUC: 1792288282001</t>
  </si>
  <si>
    <t>SEGUIDO POR: CHAVEZ CAMPOS MANUEL ANTONIO  C.I/RUC: 1104485899 EN CONTRA DE: CRIERA ECUADOR SA C.I/RUC: 1792288282001</t>
  </si>
  <si>
    <t>SEGUIDO POR: MARQUEZ CARRION MAYA MARIA DEL CISNE  C.I/RUC: 1102517875 EN CONTRA DE: TROYA VALAREZO JONATHAN FERNANDO  C.I/RUC: 1900851369</t>
  </si>
  <si>
    <t>SEGUIDO POR: MONTAÑO GODOY WALTER JOEL C.I/RUC: 1105354037 EN CONTRA DE: CRIERA ECUADOR SA C.I/RUC: 1792288282001</t>
  </si>
  <si>
    <t>SEGUIDO POR: GOBIERNO AUTONOMO DESCENTRALIZADO DEL CANTON OLMEDO C.I/RUC: 1160008140001 EN CONTRA DE: ROMAN OCHOA HUGO RAFAEL  C.I/RUC: 1104101827</t>
  </si>
  <si>
    <t>SEGUIDO POR: UNIDAD EDUCATIVA LA SALLE C.I/RUC: 1191703479001 EN CONTRA DE: FARES TINOCO GERARDO DE JESUS  C.I/RUC: 1102123922</t>
  </si>
  <si>
    <t>SEGUIDO POR: ZHINGRE NAMICELA JOSE ONOFRE C.I/RUC: 1900807890 EN CONTRA DE: CRIERA ECUADOR SA C.I/RUC: 1792288282001</t>
  </si>
  <si>
    <t>SEGUIDO POR: MARQUEZ CARRION MAYA MARIA DEL CISNE C.I/RUC: 1102517875 EN CONTRA DE: TROYA VALAREZO JONATHAN FERNANDO  C.I/RUC: 1900851369</t>
  </si>
  <si>
    <t>SEGUIDO POR: TORRES TORRES MARTHA AMALIA  C.I/RUC: 1712704384 EN CONTRA DE: EJECUTIVO SAN LUIS TRANSPORTES SA C.I/RUC: 0190093425001</t>
  </si>
  <si>
    <t>SEGUIDO POR: TRANSPORTES VILCABAMBATURIS CIA LTDA C.I/RUC: 1190081679001 EN CONTRA DE: VASQUEZ AZANZA JOSE LUIS  C.I/RUC: 1104859358</t>
  </si>
  <si>
    <t>SEGUIDO POR: ZHANAY SANCHEZ JOSE PEDRO  C.I/RUC: 1103447098 EN CONTRA DE: ESTACION DE SERVICIO PLAZAGAS CIA LTDA C.I/RUC: 1191738825001</t>
  </si>
  <si>
    <t>SEGUIDO POR: CONSTFACIL CIA LTDA C.I/RUC: 1191717763001 EN CONTRA DE: MALDONADO VELEZ MARTHA MARIA  C.I/RUC: 1103659619</t>
  </si>
  <si>
    <t>SEGUIDO POR: JIMENEZ GRANDA JOSE PIO C.I/RUC: 1103819916001 EN CONTRA DE: AGILA AGILA JHANDRY MANUEL  C.I/RUC: 1105431595</t>
  </si>
  <si>
    <t>SEGUIDO POR: THE TESALIA SPRINGS COMPAÑY SA C.I/RUC: 1790005739001 EN CONTRA DE: CARRION HERRERA VICENTE GERARDO  C.I/RUC: 1103761662</t>
  </si>
  <si>
    <t>SEGUIDO POR: GORDILLO LLIVIGAÑAY DIEGO PAUL C.I/RUC: 1103602221001 EN CONTRA DE: CUENCA LALANGUI CARLOS VINICIO  C.I/RUC: 1150279279</t>
  </si>
  <si>
    <t>SEGUIDO POR: CORTES VEGA LUIS ERNESTO  C.I/RUC: 1708866809001 EN CONTRA DE: CASTILLO PUCHAICELA ROMEL DARIO  C.I/RUC: 1105173429</t>
  </si>
  <si>
    <t>SEGUIDO POR: CONSTFACIL CIA. LTDA. C.I/RUC: 1191717763001 EN CONTRA DE: MALDONADO VELEZ MARTHA MARIA  C.I/RUC: 1103659619</t>
  </si>
  <si>
    <t>SEGUIDO POR: CARCHI CARLOS ARMANDO C.I/RUC: 1101456000001 EN CONTRA DE: CARCHI HURTADO ANDREA VIVIANA  C.I/RUC: 1102991864</t>
  </si>
  <si>
    <t>SEGUIDO POR: ARMIJOS GAONA EDISON CARLOS  C.I/RUC: 1104263114 EN CONTRA DE: CRIERA ECUADOR SA C.I/RUC: 1792288282001</t>
  </si>
  <si>
    <t>SEGUIDO POR: ARMIJOS GAONA MAURICIO MEDARDO  C.I/RUC: 1105741415 EN CONTRA DE: CRIERA ECUADOR SA C.I/RUC: 1792288282001</t>
  </si>
  <si>
    <t>SEGUIDO POR: CEVALLOS VALAREZO ADRIANA ELIZABETH  C.I/RUC: 1104432057 EN CONTRA DE: CRIERA ECUADOR SA C.I/RUC: 1792288282001</t>
  </si>
  <si>
    <t>SEGUIDO POR: SINDICATO DE OPERADORES Y MECANICOS DE EQUIPOS CAMINEROS DE LOJA Y ZAMORA CHINCHIPE C.I/RUC: 1191709647001 EN CONTRA DE: APOLO RAMIREZ SILVANA CLARIBEL  C.I/RUC: 1104796386</t>
  </si>
  <si>
    <t>SEGUIDO POR: SINDICATO DE OPERADORES Y MECANICOS DE EQUIPOS CAMINEROS DE LOJA Y ZAMORA CHINCHIPE C.I/RUC: 1191709647001 EN CONTRA DE: VALVERDE ACARO MARIA DEL CARMEN  C.I/RUC: 1104366883</t>
  </si>
  <si>
    <t>SEGUIDO POR: COMPAÑIA DE SALUD PUNIN LARREA CIA LTDA C.I/RUC: 1191749576001 EN CONTRA DE: ESPINOSA MACAS MARY DEL CISNE  C.I/RUC: 1104239874</t>
  </si>
  <si>
    <t>SEGUIDO POR: CAMAL FRIGORIFICO LOJA SA CAFRILOSA C.I/RUC: 1190000709001 EN CONTRA DE: MACAS CHILLOGALLI GLORIA NANCY C.I/RUC: 1713562823</t>
  </si>
  <si>
    <t>SEGUIDO POR: GOBIERNO AUTONOMO DEL MUNICIPIO DE LOJA C.I/RUC: 1160000240001 EN CONTRA DE: GONZALEZ QUISHPE CRISTIAN GEOVANNY  C.I/RUC: 1103674683</t>
  </si>
  <si>
    <t>SEGUIDO POR: GOBIERNO AUTONOMO DEL MUNICIPIO DE LOJA C.I/RUC: 1160000240001 EN CONTRA DE: ANGAMARCA ALBITO JUAN GABRIEL  C.I/RUC: 1104534217</t>
  </si>
  <si>
    <t>SEGUIDO POR: LIMA CHINCHAY OSWALDO JORGE  C.I/RUC: 1102792981001 EN CONTRA DE: TORRES BERRU JUAN CARLOS C.I/RUC: 1103964480</t>
  </si>
  <si>
    <t>SEGUIDO POR: SINDICATO DE OPERADORES Y MECANICOS DE EQUIPOS CAMINEROS DE LOJA Y ZAMORA CHINCHIPE C.I/RUC: 1191709647001 EN CONTRA DE: VALVERDE ACARO MARIA DEL CARMEN C.I/RUC: 1104366883</t>
  </si>
  <si>
    <t>SEGUIDO POR: COOPERATIVA DE TRASPORTE UNION CARIAMANGA C.I/RUC: 1190081474001 EN CONTRA DE: CAMPOVERDE ORDOÑEZ ISAMAR JULIANA  C.I/RUC: 1104783814</t>
  </si>
  <si>
    <t>SEGUIDO POR: LOJAN LOAIZA RICARDO JOSE C.I/RUC: 1104361439 EN CONTRA DE: CALDERON SALAZAR MAIR GUIOMAR C.I/RUC: 1103631568001</t>
  </si>
  <si>
    <t>SEGUIDO POR: CHIMBO FAJARDO TERESA OLIVIA  C.I/RUC: 1102033394001 EN CONTRA DE: SAMANIEGO FAJARDO CECILIA DEL CARMEN  C.I/RUC: 1103261044</t>
  </si>
  <si>
    <t>SEGUIDO POR: DIRECCION DISTRITAL 11D07-MACARA-SOZOTANGA-EDUCACION C.I/RUC: 1160058670001 EN CONTRA DE: PALACIOS JUAREZ YESENIA DEL CISNE  C.I/RUC: 1103172951</t>
  </si>
  <si>
    <t>SEGUIDO POR: MUNICIPIO DE LOJA C.I/RUC: 1160000240001 EN CONTRA DE: ERRAEZ VEINTIMILLA GUSTAVO DAMIAN  C.I/RUC: 1707457147</t>
  </si>
  <si>
    <t>SEGUIDO POR: DIRECCION DISTRITAL 11D03-PALTAS -EDUCACION C.I/RUC: 1160058830001 EN CONTRA DE: CAMBISACA BAILON MARCO ANTONIO  C.I/RUC: 1101741724</t>
  </si>
  <si>
    <t>SEGUIDO POR: GONZALEZ CARRION FABIAN PATRICIO  C.I/RUC: 1102282470 EN CONTRA DE: MINGA CHIMBO DAYSI GERMANIA  C.I/RUC: 1103996185</t>
  </si>
  <si>
    <t>SEGUIDO POR: SINDICATO DE OPERADORES Y MECANICOS DE EQUIPOS CAMINEROS DE LOJA Y ZAMORA CHIMCHIPE C.I/RUC: 1191709647001 EN CONTRA DE: VALVERDE ACARO MARIA DEL CARMEN  C.I/RUC: 1104366883</t>
  </si>
  <si>
    <t>SEGUIDO POR: GOBIERNO AUTONOMO DESCENTRALIZADO MUNICIPAL DEL CANTON MACARA C.I/RUC: 1160000830001 EN CONTRA DE: GONZAGA CAMPOVERDE MANUEL IGNACIO  C.I/RUC: 1101500823</t>
  </si>
  <si>
    <t>SEGUIDO POR: INCA SERVICIOS Y PROYECTOS DE INGENIERIA CIVIL S.A C.I/RUC: 179241071101 EN CONTRA DE: CABRERA JIMENEZ CARMEN ESILDA  C.I/RUC: 1102335229</t>
  </si>
  <si>
    <t>SEGUIDO POR: CONDOMINIO LA HACIENDA COUNTRY CLUB C.I/RUC: 1191734692001 EN CONTRA DE: OCHOA CHAMBA FRANCIO LEONARDO  C.I/RUC: 1103474134</t>
  </si>
  <si>
    <t>SEGUIDO POR: CELI CORONEL HUMBERTO RODRIGO C.I/RUC: 1801450253001 EN CONTRA DE: VERA GUAMAN STALIN REINALDO  C.I/RUC: 1104713522</t>
  </si>
  <si>
    <t>SEGUIDO POR: MUNICIPIO DE LOJA C.I/RUC: 1160000240001 EN CONTRA DE: FERREIRA SARANGO JOSE ANTONIO  C.I/RUC: 1706893649</t>
  </si>
  <si>
    <t>241861</t>
  </si>
  <si>
    <t>242116</t>
  </si>
  <si>
    <t>242141</t>
  </si>
  <si>
    <t>242207</t>
  </si>
  <si>
    <t>242345</t>
  </si>
  <si>
    <t>242356</t>
  </si>
  <si>
    <t>242362</t>
  </si>
  <si>
    <t>242566</t>
  </si>
  <si>
    <t>242569</t>
  </si>
  <si>
    <t>242757</t>
  </si>
  <si>
    <t>242881</t>
  </si>
  <si>
    <t>243000</t>
  </si>
  <si>
    <t>243074</t>
  </si>
  <si>
    <t>243223</t>
  </si>
  <si>
    <t>243225</t>
  </si>
  <si>
    <t>243310</t>
  </si>
  <si>
    <t>243355</t>
  </si>
  <si>
    <t>243385</t>
  </si>
  <si>
    <t>243414</t>
  </si>
  <si>
    <t>243417</t>
  </si>
  <si>
    <t>243420</t>
  </si>
  <si>
    <t>243589</t>
  </si>
  <si>
    <t>244084</t>
  </si>
  <si>
    <t>244138</t>
  </si>
  <si>
    <t>244140</t>
  </si>
  <si>
    <t>244141</t>
  </si>
  <si>
    <t>244212</t>
  </si>
  <si>
    <t>244231</t>
  </si>
  <si>
    <t>244462</t>
  </si>
  <si>
    <t>244527</t>
  </si>
  <si>
    <t>244557</t>
  </si>
  <si>
    <t>244565</t>
  </si>
  <si>
    <t>244878</t>
  </si>
  <si>
    <t>244895</t>
  </si>
  <si>
    <t>245009</t>
  </si>
  <si>
    <t>245150</t>
  </si>
  <si>
    <t>245222</t>
  </si>
  <si>
    <t>245322</t>
  </si>
  <si>
    <t>245324</t>
  </si>
  <si>
    <t>245329</t>
  </si>
  <si>
    <t>245332</t>
  </si>
  <si>
    <t>245338</t>
  </si>
  <si>
    <t>245377</t>
  </si>
  <si>
    <t>245429</t>
  </si>
  <si>
    <t>245682</t>
  </si>
  <si>
    <t>245790</t>
  </si>
  <si>
    <t>245840</t>
  </si>
  <si>
    <t>246065</t>
  </si>
  <si>
    <t>246078</t>
  </si>
  <si>
    <t>246165</t>
  </si>
  <si>
    <t>246346</t>
  </si>
  <si>
    <t>246441</t>
  </si>
  <si>
    <t>246472</t>
  </si>
  <si>
    <t>246529</t>
  </si>
  <si>
    <t>246570</t>
  </si>
  <si>
    <t>246580</t>
  </si>
  <si>
    <t>246656</t>
  </si>
  <si>
    <t>246695</t>
  </si>
  <si>
    <t>246700</t>
  </si>
  <si>
    <t>246701</t>
  </si>
  <si>
    <t>246704</t>
  </si>
  <si>
    <t>247074</t>
  </si>
  <si>
    <t>247081</t>
  </si>
  <si>
    <t>247124</t>
  </si>
  <si>
    <t>247125</t>
  </si>
  <si>
    <t>247268</t>
  </si>
  <si>
    <t>247911</t>
  </si>
  <si>
    <t>247938</t>
  </si>
  <si>
    <t>247962</t>
  </si>
  <si>
    <t>248031</t>
  </si>
  <si>
    <t>248085</t>
  </si>
  <si>
    <t>248100</t>
  </si>
  <si>
    <t>248151</t>
  </si>
  <si>
    <t>248349</t>
  </si>
  <si>
    <t>248431</t>
  </si>
  <si>
    <t>248582</t>
  </si>
  <si>
    <t>248741</t>
  </si>
  <si>
    <t>248829</t>
  </si>
  <si>
    <t>249179</t>
  </si>
  <si>
    <t>249338</t>
  </si>
  <si>
    <t>249360</t>
  </si>
  <si>
    <t>249634</t>
  </si>
  <si>
    <t>249809</t>
  </si>
  <si>
    <t>249872</t>
  </si>
  <si>
    <t>249873</t>
  </si>
  <si>
    <t>249907</t>
  </si>
  <si>
    <t>249922</t>
  </si>
  <si>
    <t>250028</t>
  </si>
  <si>
    <t>250031</t>
  </si>
  <si>
    <t>250033</t>
  </si>
  <si>
    <t>250233</t>
  </si>
  <si>
    <t>250253</t>
  </si>
  <si>
    <t>250293</t>
  </si>
  <si>
    <t>250371</t>
  </si>
  <si>
    <t>250447</t>
  </si>
  <si>
    <t>250513</t>
  </si>
  <si>
    <t>250518</t>
  </si>
  <si>
    <t>250537</t>
  </si>
  <si>
    <t>250583</t>
  </si>
  <si>
    <t>250766</t>
  </si>
  <si>
    <t>250767</t>
  </si>
  <si>
    <t>250843</t>
  </si>
  <si>
    <t>250844</t>
  </si>
  <si>
    <t>250852</t>
  </si>
  <si>
    <t>250930</t>
  </si>
  <si>
    <t>251123</t>
  </si>
  <si>
    <t>251208</t>
  </si>
  <si>
    <t>251309</t>
  </si>
  <si>
    <t>251364</t>
  </si>
  <si>
    <t>251493</t>
  </si>
  <si>
    <t>251533</t>
  </si>
  <si>
    <t>251609</t>
  </si>
  <si>
    <t>251693</t>
  </si>
  <si>
    <t>251800</t>
  </si>
  <si>
    <t>251802</t>
  </si>
  <si>
    <t>251812</t>
  </si>
  <si>
    <t>251833</t>
  </si>
  <si>
    <t>251969</t>
  </si>
  <si>
    <t>251970</t>
  </si>
  <si>
    <t>251971</t>
  </si>
  <si>
    <t>251972</t>
  </si>
  <si>
    <t>251973</t>
  </si>
  <si>
    <t>251975</t>
  </si>
  <si>
    <t>251976</t>
  </si>
  <si>
    <t>251977</t>
  </si>
  <si>
    <t>251980</t>
  </si>
  <si>
    <t>251981</t>
  </si>
  <si>
    <t>251982</t>
  </si>
  <si>
    <t>251984</t>
  </si>
  <si>
    <t>251985</t>
  </si>
  <si>
    <t>251988</t>
  </si>
  <si>
    <t>251989</t>
  </si>
  <si>
    <t>251991</t>
  </si>
  <si>
    <t>251993</t>
  </si>
  <si>
    <t>251995</t>
  </si>
  <si>
    <t>251997</t>
  </si>
  <si>
    <t>251998</t>
  </si>
  <si>
    <t>252000</t>
  </si>
  <si>
    <t>252001</t>
  </si>
  <si>
    <t>252003</t>
  </si>
  <si>
    <t>252004</t>
  </si>
  <si>
    <t>252084</t>
  </si>
  <si>
    <t>252089</t>
  </si>
  <si>
    <t>252091</t>
  </si>
  <si>
    <t>252128</t>
  </si>
  <si>
    <t>252139</t>
  </si>
  <si>
    <t>252257</t>
  </si>
  <si>
    <t>252373</t>
  </si>
  <si>
    <t>252440</t>
  </si>
  <si>
    <t>252470</t>
  </si>
  <si>
    <t>252499</t>
  </si>
  <si>
    <t>252562</t>
  </si>
  <si>
    <t>252605</t>
  </si>
  <si>
    <t>252611</t>
  </si>
  <si>
    <t>252844</t>
  </si>
  <si>
    <t>252871</t>
  </si>
  <si>
    <t>253153</t>
  </si>
  <si>
    <t>253158</t>
  </si>
  <si>
    <t>253161</t>
  </si>
  <si>
    <t>253168</t>
  </si>
  <si>
    <t>253260</t>
  </si>
  <si>
    <t>253261</t>
  </si>
  <si>
    <t>253311</t>
  </si>
  <si>
    <t>253438</t>
  </si>
  <si>
    <t>253604</t>
  </si>
  <si>
    <t>253609</t>
  </si>
  <si>
    <t>253748</t>
  </si>
  <si>
    <t>253750</t>
  </si>
  <si>
    <t>253816</t>
  </si>
  <si>
    <t>253955</t>
  </si>
  <si>
    <t>253957</t>
  </si>
  <si>
    <t>254190</t>
  </si>
  <si>
    <t>254208</t>
  </si>
  <si>
    <t>254336</t>
  </si>
  <si>
    <t>254403</t>
  </si>
  <si>
    <t>254442</t>
  </si>
  <si>
    <t>254471</t>
  </si>
  <si>
    <t>254624</t>
  </si>
  <si>
    <t>254638</t>
  </si>
  <si>
    <t>254640</t>
  </si>
  <si>
    <t>254675</t>
  </si>
  <si>
    <t>254691</t>
  </si>
  <si>
    <t>254855</t>
  </si>
  <si>
    <t>254897</t>
  </si>
  <si>
    <t>11 - 12</t>
  </si>
  <si>
    <t>SEGUIDO POR: EMPRESA PUBLICA DE VIALIDAD DEL SUR VIALSUR EP C.I/RUC: 1160049760001 EN CONTRA DE: GUARNIZO DELGADO HUGO ANIBAL  C.I/RUC: 1600132706</t>
  </si>
  <si>
    <t>SEGUIDO POR: ECOLGY-FARM CIA. LTDA C.I/RUC: 1191706028001 EN CONTRA DE: RAMON RAMON HERMEL MIGUEL  C.I/RUC: 1104652449</t>
  </si>
  <si>
    <t>SEGUIDO POR: UNIVERSIDAD TECNICA PARTICULAR DE LOJA  C.I/RUC: 1190068729001 EN CONTRA DE: MORA ORDOÑEZ EDUARDO DANILO C.I/RUC: 0703682195</t>
  </si>
  <si>
    <t>SEGUIDO POR: MOSQUEDA COBOS LUIS GILBER  C.I/RUC: 1101704326 EN CONTRA DE: TORRES MEDINA MARIA CLEOFE  C.I/RUC: 1103603948</t>
  </si>
  <si>
    <t>SEGUIDO POR: EMPRESA ELECTRICA REGIONAL DEL SUR SA EERSSA C.I/RUC: 1190005646001 EN CONTRA DE: ESTRELLA GONZALEZ LENIN VLADIMIR  C.I/RUC: 1102772793</t>
  </si>
  <si>
    <t>SEGUIDO POR: FARMAMIA CIA LTDA C.I/RUC: 0791740150001 EN CONTRA DE: MOROCHO TAPIA ADRIAN STALIN  C.I/RUC: 1105051955</t>
  </si>
  <si>
    <t>SEGUIDO POR: OTECEL SA C.I/RUC: 1791256115001 EN CONTRA DE: ROMAN VALLEJO EDGAR PATRICIO  C.I/RUC: 1103679112</t>
  </si>
  <si>
    <t>SEGUIDO POR: CARRION VIVANCO GLORIA ENID DEL CISNE C.I/RUC: 1100630720001 EN CONTRA DE: ARMIJOS CABRERA JORGE ALBERTO  C.I/RUC: 0701393613</t>
  </si>
  <si>
    <t>SEGUIDO POR: VALAREZO COFRE WALTER ERIBERTO C.I/RUC: 1103294904 EN CONTRA DE: PACO PUBLICIDAD C.I/RUC: N/A</t>
  </si>
  <si>
    <t>SEGUIDO POR: VELIZ ROBALINO TELMO HERNAN  C.I/RUC: 1103628697 EN CONTRA DE: ESPINOZA GARCIAS EDDY ERNESTO C.I/RUC: 6100523156</t>
  </si>
  <si>
    <t>SEGUIDO POR: ESPINOSA MORALES WILSON ALFREDO  C.I/RUC: 1101424628001 EN CONTRA DE: ORTIZ ACHUPALLAS JOSE GONZALO  C.I/RUC: 1103734990</t>
  </si>
  <si>
    <t>SEGUIDO POR: CUENCA ESPINOZA NIVIA MARILU  C.I/RUC: 0703036509001 EN CONTRA DE: VALAREZO COFRE WALTER ERIBERTO  C.I/RUC: 1103294904</t>
  </si>
  <si>
    <t>SEGUIDO POR: CONSTRUCTORA BECERRA CUESTA CIA. LTDA. C.I/RUC: 0190086003001 EN CONTRA DE: ROMERO SALINAS MARIO JOEL  C.I/RUC: 1400374847</t>
  </si>
  <si>
    <t>SEGUIDO POR: SAMANIEGO ROJAS LUIS JONNY C.I/RUC: 1102776695001 EN CONTRA DE: LEON SOACHA JORGE LUIS  C.I/RUC: 0959720426</t>
  </si>
  <si>
    <t>SEGUIDO POR: BRICEÑO ORDOÑEZ FANNY MARGARITA  C.I/RUC: 1714700083 EN CONTRA DE: JIMENEZ TORRES JHULISSA MICAELA  C.I/RUC: 2200544860</t>
  </si>
  <si>
    <t>SEGUIDO POR: EMPRESA PUBLICA DE VIALIDAD DEL SUR VIALSUR EP C.I/RUC: 1160049760001 EN CONTRA DE: MORA PALADINEZ WALTER GONZALO C.I/RUC: 1103646459</t>
  </si>
  <si>
    <t>SEGUIDO POR: SUCESION INDIVISA DE LOS HEREDEROS DEL SEÑOR GILBER MEDARDO CABRERA CABRERA C.I/RUC: 1191761193001 EN CONTRA DE: SARITAMA VALAREZO CRISTIAN JAVIER  C.I/RUC: 1104321029</t>
  </si>
  <si>
    <t>SEGUIDO POR: CARRION CONDE PROSPERO GUSTAVO  C.I/RUC: 1102449012 EN CONTRA DE: SARANGO QUEZADA MILTON MEDARDO  C.I/RUC: 1103673040</t>
  </si>
  <si>
    <t>SEGUIDO POR: CASTILLO FRANCO HUMBERTO BOLIVAR C.I/RUC: 1702185552001 EN CONTRA DE: PALADINES ENCALADA ROSA IRENE  C.I/RUC: 1102724844</t>
  </si>
  <si>
    <t>SEGUIDO POR: FABIAN PATRICIO GONZALEZ CARRION  C.I/RUC: 1102282470 EN CONTRA DE: MINGA CHIMBO DAYSI GERMANIA C.I/RUC: 1103996185</t>
  </si>
  <si>
    <t>SEGUIDO POR: NEIRA ELVIO TOMAS C.I/RUC: 1100447794001 EN CONTRA DE: ROBLES CELI LISBETH DEL PILAR  C.I/RUC: 1104749989</t>
  </si>
  <si>
    <t>SEGUIDO POR: MOSQUERA SOTOMAYOR ERNESTO RAMON  C.I/RUC: 1204904286 EN CONTRA DE: SEPRONAC CIA LTDA C.I/RUC: 1791206479001</t>
  </si>
  <si>
    <t>SEGUIDO POR: ESTACION DE SERVICIO VALDIVIESO C.I/RUC: 1100177185001 EN CONTRA DE: OCHOA OCHOA JOHNNY GALITD  C.I/RUC: 1103033054</t>
  </si>
  <si>
    <t>SEGUIDO POR: SOCIEDAD DE LUCHA CONTRA EL CANCER SOLCA NUCLEO DE LOJA C.I/RUC: 1191707970001 EN CONTRA DE: ARIAS GONZALEZ JOSE HUMBERTO  C.I/RUC: 1101441762</t>
  </si>
  <si>
    <t>SEGUIDO POR: HOSPITAL ONCOLOGICO SOLCA NUCLEO DE LOJA C.I/RUC: 1191707970001 EN CONTRA DE: ACHUPALLAS JARAMILLO JUDITH DEL CARMEN  C.I/RUC: 1101955431</t>
  </si>
  <si>
    <t>SEGUIDO POR: SILVA PACHECO ALBA AZUCENA C.I/RUC: 1102814215001 EN CONTRA DE: VICENTE VICENTE ANDREA ELIZABETH  C.I/RUC: 0706337755</t>
  </si>
  <si>
    <t>SEGUIDO POR: SALAZAR DIAZ JIMENA DE LOURDES  C.I/RUC: 1104136658 EN CONTRA DE: MEDINA MENDOZA ROSA AMERICA  C.I/RUC: 1103748438</t>
  </si>
  <si>
    <t>SEGUIDO POR: SAMANIEGO IDROVO NELSON FERNANDO C.I/RUC: 1702931278 EN CONTRA DE: GUAMAN JOSE MANUEL  C.I/RUC: 1101752028</t>
  </si>
  <si>
    <t>SEGUIDO POR: GOBIERNO AUTONOMO DEL MUNICIPIO DE LOJA C.I/RUC: 1160000240001 EN CONTRA DE: SARANGO SARANGO LUIS ALBERTO  C.I/RUC: 1103503445</t>
  </si>
  <si>
    <t>SEGUIDO POR: HIDALGO FLORES LUIS GUSTAVO C.I/RUC: 1103869796001 EN CONTRA DE: SALAZAR CASTILLO FILIBERTO POLIVIO  C.I/RUC: 1102823919</t>
  </si>
  <si>
    <t>SEGUIDO POR: SARAGURO ARMIJOS CARMEN HIRALDA  C.I/RUC: 1102081310 EN CONTRA DE: FLORES CALDERON PAULA KATHERINE C.I/RUC: 1104875529</t>
  </si>
  <si>
    <t>SEGUIDO POR: SERVICIOS EDUCATIVOS EDUINTERNACIONAL CIA LTDA C.I/RUC: 1990910274001 EN CONTRA DE: QUIZHPE SALINAS JOSE BALTAZAR  C.I/RUC: 1103705172</t>
  </si>
  <si>
    <t>SEGUIDO POR: SERRANO GRANDA MANUEL AGUSTIN C.I/RUC: 1100000833001 EN CONTRA DE: QUISPE NAVARRO IRVEN ARTURO  C.I/RUC: 151667615</t>
  </si>
  <si>
    <t>SEGUIDO POR: CALVA Y CALVA CIA LTDA C.I/RUC: 1191717208001 EN CONTRA DE: CONZA RAMOS MICHAEL XAVIER  C.I/RUC: 1105171274</t>
  </si>
  <si>
    <t>SEGUIDO POR: JARAMILLO HIDALGO NANCY LILIAN C.I/RUC: 1102509773001 EN CONTRA DE: ALVARADO JIMA MONICA LORENA  C.I/RUC: 1900526243</t>
  </si>
  <si>
    <t>SEGUIDO POR: DISTRIBUIDORA CAMEL DE INSUMOS DISCAMEL CIA LTDA C.I/RUC: 1191723194001 EN CONTRA DE: ORELLANA SUING JAIRO PAUL  C.I/RUC: 1103035778</t>
  </si>
  <si>
    <t>SEGUIDO POR: SERRANO GRANDA MANUEL AGUSTIN C.I/RUC: 1100000833001 EN CONTRA DE: QUISPE NAVARRO IRVEN ARTURO  C.I/RUC: 0151667615</t>
  </si>
  <si>
    <t>SEGUIDO POR: COOPERATIVA DE AHORRO Y CREDITO CAMARA DE COMERCIO DE LOJA LTDA. CADECOL C.I/RUC: 1190035545001 EN CONTRA DE: VEINTIMILLA DUQUE JESSICA ALEXANDRA  C.I/RUC: 1900411248</t>
  </si>
  <si>
    <t>SEGUIDO POR: BUSINESSWISE S. A. C.I/RUC: 1792059372001 EN CONTRA DE: DIAZ MAZA MAGGY STEPHANIE  C.I/RUC: 1105629586</t>
  </si>
  <si>
    <t>SEGUIDO POR: SERVICIOS EDUCATIVOS EDUINTERNACIONAL CIA. LTDA C.I/RUC: 1990910274001 EN CONTRA DE: CHOCHO UCHUARI JOSE LUIS  C.I/RUC: 1104890122</t>
  </si>
  <si>
    <t>SEGUIDO POR: SERVICIOS EDUCATIVOS EDUINTERNACIONAL CIA. LTDA C.I/RUC: 1990910274001 EN CONTRA DE: QUIZHPE SALINAS JOSE BALTAZAR  C.I/RUC: 1103705172</t>
  </si>
  <si>
    <t>SEGUIDO POR: SZASZ ROLAND GYULA C.I/RUC: 0150518025 EN CONTRA DE: MENDOZA CABRERA JOSE FERNANDO  C.I/RUC: 1104179062</t>
  </si>
  <si>
    <t>SEGUIDO POR: FARMAMIA CIA LTDA C.I/RUC: 0791740150001 EN CONTRA DE: SOTOMAYOR SINCHE JACKELINE GABRIELA  C.I/RUC: 1105147779</t>
  </si>
  <si>
    <t>SEGUIDO POR: GOBIERNO AUTONOMO DESCENTRALIZADO DEL CANTON SOZORANGA C.I/RUC: 116001210001 EN CONTRA DE: SAAVEDRA JARAMILLO DAVID C.I/RUC: 1101637708</t>
  </si>
  <si>
    <t>SEGUIDO POR: MIGUEL ANGEL ORTEGA LARREA C.I/RUC: 1103870703 EN CONTRA DE: CONTENTO SACA YESICA ALEXANDRA C.I/RUC: 1104349467</t>
  </si>
  <si>
    <t>SEGUIDO POR: PINEDA ORDOÑEZ PAULINA ALEXANDRA  C.I/RUC: 1104025158 EN CONTRA DE: MENDOZA CABRERA WILLIAM FRANCISCO C.I/RUC: 1104063431</t>
  </si>
  <si>
    <t>SEGUIDO POR: BUSINESSWISE S. A. C.I/RUC: 1792059372001 EN CONTRA DE: DIAZ MAZA MAGGY STEPHANIE   C.I/RUC: 1105629586</t>
  </si>
  <si>
    <t>SEGUIDO POR: BANCO DE LOJA SA C.I/RUC: 119002213001 EN CONTRA DE: SARANGO PERALTA MARIA FERNANDA  C.I/RUC: 1104366164</t>
  </si>
  <si>
    <t>SEGUIDO POR: ARMIJOS AGURTO VERONICA KATERINE C.I/RUC: 1103313910001 EN CONTRA DE: RAMON JARAMILLO OLGA PATRICIA  C.I/RUC: 1103565014</t>
  </si>
  <si>
    <t>SEGUIDO POR: JUNTA PROVINCIAL  DE LA CRUZ ROJA ECUATORIANA C.I/RUC: 1191707903001 EN CONTRA DE: QUEZADA QUIÑONEZ JONI AMPARO  C.I/RUC: 1103812770</t>
  </si>
  <si>
    <t>SEGUIDO POR: MONTERREY Y AZUCARERA LOJANA  C.A MALCA C.I/RUC: 1190001330001 EN CONTRA DE: GUALLPA ZATAN JUAN RICARDO  C.I/RUC: 0602456964</t>
  </si>
  <si>
    <t>SEGUIDO POR: EMPRESA PUBLICA  DE VIALIDAD DEL SUR  VIALSUR EP C.I/RUC: 1160049760001 EN CONTRA DE: VINCES CARLOS ALFREDO  C.I/RUC: 1304998519</t>
  </si>
  <si>
    <t>SEGUIDO POR: GEMESEG CIA LTDA C.I/RUC: 1191722643001 EN CONTRA DE: CARRION CUEVA PABLO LEODAN  C.I/RUC: 1104779176</t>
  </si>
  <si>
    <t>SEGUIDO POR: ESCUELA DE EDUCACION BASICA DOMINGO SABIO C.I/RUC: 1103667299001 EN CONTRA DE: CABRERA BELTRAN MAURO FERNANDO  C.I/RUC: 0926685660</t>
  </si>
  <si>
    <t>SEGUIDO POR: UNICOMER DE ECUADOR  S.A C.I/RUC: 1790895548001 EN CONTRA DE: INTRIAGO PAZMIÑO JENNY DOLORES  C.I/RUC: 1309978235</t>
  </si>
  <si>
    <t>SEGUIDO POR: UNIDAD EDUCATIVA  PARTICULAR SANTA MARIANA  DE JESUS C.I/RUC: 1190083477001 EN CONTRA DE: GUEVARA SARANGO WILSON EDUARDO  C.I/RUC: 1103323513</t>
  </si>
  <si>
    <t>SEGUIDO POR: COOPERATIVA DE AHORRO Y CREDITO SEMILLA DEL PROGRESO C.I/RUC: 1191718905001 EN CONTRA DE: SACA GUAMAN MARTHA LEONOR  C.I/RUC: 1724755721</t>
  </si>
  <si>
    <t>SEGUIDO POR: NECUSOF CIA LTDA C.I/RUC: 1191714268001 EN CONTRA DE: ORDOÑEZ PALACIOS MARIA FERNANDA  C.I/RUC: 1104702947</t>
  </si>
  <si>
    <t>SEGUIDO POR: GOBIERNO AUTONOMO DEL MUNICIPIO DE LOJA C.I/RUC: 1160000240001 EN CONTRA DE: PACHECO PUGA MARCO ANTONIO  C.I/RUC: 1720449949</t>
  </si>
  <si>
    <t>SEGUIDO POR: POLLOS  WIN C.I/RUC: 1104164908001 EN CONTRA DE: CHAMBA SALINAS DIANA ELIZABETH  C.I/RUC: 1105599847</t>
  </si>
  <si>
    <t>SEGUIDO POR: CALVA Y CALVA CIA LTDA C.I/RUC: 1191717208001 EN CONTRA DE: PINTA PINTA MARCO VINICIO  C.I/RUC: 1104421787</t>
  </si>
  <si>
    <t>SEGUIDO POR: HERRERA ALVAREZ HERNAN MELECIO C.I/RUC: 1102171319001 EN CONTRA DE: CASTILLO ALVERCA JORGE LUIS  C.I/RUC: 1105765216</t>
  </si>
  <si>
    <t>SEGUIDO POR: MUNICIPIO DE LOJA C.I/RUC: 1160000240001 EN CONTRA DE: ZHINGRE GUALAN BAYRO ALONSO  C.I/RUC: 1900355403</t>
  </si>
  <si>
    <t>SEGUIDO POR: MUNICIPIO DE LOJA C.I/RUC: 1160000240001 EN CONTRA DE: LOPEZ LEON SERGIO MARTIN  C.I/RUC: 1103042303</t>
  </si>
  <si>
    <t>SEGUIDO POR: ARCIMEGO CIA LTDA C.I/RUC: 1190080117001 EN CONTRA DE: MERINO CARRION CELIO VICENTE  C.I/RUC: 1103054340</t>
  </si>
  <si>
    <t>SEGUIDO POR: MUNICIPIO DE LOJA C.I/RUC: 1160000240001 EN CONTRA DE: PARDO BERNARDO ANTONIO C.I/RUC: 1102011804</t>
  </si>
  <si>
    <t>SEGUIDO POR: CREDI FE DESARROLLO MICROEMPRESARIAL S.A. C.I/RUC: 1791431898001 EN CONTRA DE: CABRERA GONZALEZ VERONICA CECILIA  C.I/RUC: 1103701395</t>
  </si>
  <si>
    <t>SEGUIDO POR: CREDI FE DESARROLLO MICROEMPRESARIAL S.A. C.I/RUC: 1791431898001 EN CONTRA DE: SUAREZ SOTOMAYOR GALO EFREN  C.I/RUC: 1103314322</t>
  </si>
  <si>
    <t>SEGUIDO POR: COOPERATIVA DE TRANSPORTES UNION CARIAMANGA C.I/RUC: 1190081474001 EN CONTRA DE: TENESACA POMA JOHANNA PATRICIA  C.I/RUC: 1103845952</t>
  </si>
  <si>
    <t>SEGUIDO POR: FEIJOO AGUILAR  CARLOS ALBERTO C.I/RUC: 1102936216001 EN CONTRA DE: ROJAS MAZA JORGE EDUARDO  C.I/RUC: 1102636998</t>
  </si>
  <si>
    <t>SEGUIDO POR: ALBA AZUCENA  SILVA PACHECO  C.I/RUC: 1102814215001 EN CONTRA DE: VICENTE VICENTE ANDREA ELIZABETH  C.I/RUC: 0706337755</t>
  </si>
  <si>
    <t>1 - 3</t>
  </si>
  <si>
    <t>10 - 12</t>
  </si>
  <si>
    <t>20 - 23</t>
  </si>
  <si>
    <t>33 - 35</t>
  </si>
  <si>
    <t>44 - 48</t>
  </si>
  <si>
    <t>49 - 50</t>
  </si>
  <si>
    <t>51 - 52</t>
  </si>
  <si>
    <t>54 - 55</t>
  </si>
  <si>
    <t>59 - 60</t>
  </si>
  <si>
    <t>63 - 64</t>
  </si>
  <si>
    <t>65 - 66</t>
  </si>
  <si>
    <t>71 - 72</t>
  </si>
  <si>
    <t>SEGUIDO POR: CARRION AÑAZCO ADRIANA ESTELA C.I/RUC: 1103347835 EN CONTRA DE: SOCIEDAD DE LUCHA CONTRA EL CANCER SOLCA NUCLEO DE LOJA C.I/RUC: 1191707970001</t>
  </si>
  <si>
    <t>SEGUIDO POR: COOPERATIVA DE TRANSPORTES  LOJA C.I/RUC: 1190006820001 EN CONTRA DE: EDISON GEOVANNY ORDOÑEZ AYALA C.I/RUC: 1103015952</t>
  </si>
  <si>
    <t>SEGUIDO POR: SOCIEDAD DE LUCHA CONTRA EL CANCER SOLCA NUCLEO DE LOJA C.I/RUC: 1191707970001 EN CONTRA DE: ADRIANA ESTELA CARRION AÑAZCO C.I/RUC: 1103347835</t>
  </si>
  <si>
    <t>SEGUIDO POR: FUNDACION  ALVAREZ C.I/RUC: 1190068753001 EN CONTRA DE: LUZ ENITH BARRAZUETA NAULA C.I/RUC: 1103179212</t>
  </si>
  <si>
    <t>SEGUIDO POR: ECONOFAR S.A C.I/RUC: 1791715772001 EN CONTRA DE: JENIFFER DAYANA TORRES QUEVEDO C.I/RUC: 1105056962</t>
  </si>
  <si>
    <t>SEGUIDO POR: TORRES QUEZADA JORGE DUMAN C.I/RUC: 1100754363001 EN CONTRA DE: JOSE IVAN ORDOÑEZ PLACENCIA C.I/RUC: 1104502479</t>
  </si>
  <si>
    <t>SEGUIDO POR: VALDIVIESO RAMIREZ FABIAN MARCELO C.I/RUC: 1102948831001 EN CONTRA DE: JEFFERSON EDUARDO TARUPI GUTIERREZ C.I/RUC: 1104332968</t>
  </si>
  <si>
    <t>SEGUIDO POR: STAR CERAMICAS STARCER SA  C.I/RUC: 1792496586001 EN CONTRA DE: CUEVA JARAMILLO WALTER VICENTE  C.I/RUC: 11044426224</t>
  </si>
  <si>
    <t>SEGUIDO POR: APC C.I/RUC: 1990910274001 EN CONTRA DE: ALBITO CRIOLLO MARITZA DEL CISNE  C.I/RUC: 11041645885</t>
  </si>
  <si>
    <t>SEGUIDO POR: ESTACION DE SERVICIO PLAZAGAS CIA LTDA C.I/RUC: 1191738825001 EN CONTRA DE: EDGAR LEONARDO RIOS CHAMBA C.I/RUC: 0922719414</t>
  </si>
  <si>
    <t>SEGUIDO POR: MUNICIPIO DE LOJA C.I/RUC: 1160000240001 EN CONTRA DE: BYRON AGUSTIN PERALTA PINEDA C.I/RUC: 1103490460</t>
  </si>
  <si>
    <t>SEGUIDO POR: DISTRIBUIDORA IMPORTADORA DIPOR S.A. C.I/RUC: 0990789061001 EN CONTRA DE: CRISTIAN ALEXIS ORELLANA JARA C.I/RUC: 1104756596</t>
  </si>
  <si>
    <t>SEGUIDO POR: MUNICIPIO DE LOJA C.I/RUC: 116000240001 EN CONTRA DE: CRISTIAN LEONARDO GARCIA VELEZ C.I/RUC: 1104062250</t>
  </si>
  <si>
    <t>SEGUIDO POR: MUNICIPIO DE LOJA C.I/RUC: 1160000240001 EN CONTRA DE: ANGEL ISIDRO YUNGA POMA C.I/RUC: 1103580682</t>
  </si>
  <si>
    <t>SEGUIDO POR: COOPERATIVA DE AHORRO Y CREDITO URDANETA LTDA C.I/RUC: 1191738868001 EN CONTRA DE: FERNANDO SANTIAGO YEPEZ ROMAN C.I/RUC: 1715626154</t>
  </si>
  <si>
    <t>SEGUIDO POR: KRADAC CIA LTDA C.I/RUC: 1191734609001 EN CONTRA DE: DALTON ADRIAN AGILA ESPINOSA C.I/RUC: 0705234029</t>
  </si>
  <si>
    <t>SEGUIDO POR: FARMAMIA CIA LTDA C.I/RUC: 0791740150001 EN CONTRA DE: MARIA GABRIELA SISALIMA VERGARA C.I/RUC: 1105046369</t>
  </si>
  <si>
    <t>SEGUIDO POR: HACIENDA LA PAAYA HALAPA CIA LTDA C.I/RUC: 0190374114001 EN CONTRA DE: ANGEL POLIVIO SANDOBAL ULLOA C.I/RUC: 1103963227</t>
  </si>
  <si>
    <t>SEGUIDO POR: MUNICIPIO DE LOJA C.I/RUC: 116000240001 EN CONTRA DE: MILTON EDUARDO MALDONADO ROBLES C.I/RUC: 1105105132</t>
  </si>
  <si>
    <t>SEGUIDO POR: JARAMILLO HILL MARCELO C.I/RUC: 1102294806001 EN CONTRA DE: JAIRO DANILO CRIOLLO ERRAEZ C.I/RUC: 1104234016</t>
  </si>
  <si>
    <t>SEGUIDO POR: INDUSTRIA LICORERA EMBOTELLADORA DE LOJA S.A ILELSA C.I/RUC: 119002809001 EN CONTRA DE: FRANKLIN MIGUEL RAMIREZ CALLE C.I/RUC: 1105763328</t>
  </si>
  <si>
    <t>SEGUIDO POR: LIMA CHINCHAY AUGUSTO JOSE C.I/RUC: 1103246839001 EN CONTRA DE: JOHNNY PATRICIO LEON TORRES C.I/RUC: 1150633046</t>
  </si>
  <si>
    <t>SEGUIDO POR: COOPERATIVA DE AHORRO Y CREDITO PADRE JULIAN LORENTE LTDA. C.I/RUC: 1190015110001 EN CONTRA DE: MARIXA TORRES CORINA C.I/RUC: 1102880836</t>
  </si>
  <si>
    <t>SEGUIDO POR: CORPORACION FAVORITA C A C.I/RUC: 1790016919001 EN CONTRA DE: MARCO VICENTE SARANGO SARANGO C.I/RUC: 1105222408</t>
  </si>
  <si>
    <t>SEGUIDO POR: YUNGA CUEVA NESTOR RIGOBERTO C.I/RUC: 1103871933001 EN CONTRA DE: ALVARO DAVID ROJAS MARQUEZ C.I/RUC: 1104251150</t>
  </si>
  <si>
    <t>SEGUIDO POR: MUNICIPIO DE LOJA C.I/RUC: 116000024001 EN CONTRA DE: JOSE BERNARDO HERRERA CHAMBA C.I/RUC: 1105538811</t>
  </si>
  <si>
    <t>SEGUIDO POR: MUNICIPIO DE LOJA C.I/RUC: 116000024001 EN CONTRA DE: LUIS ARTEMIO HERRERA HERRERA C.I/RUC: 1717692923</t>
  </si>
  <si>
    <t>SEGUIDO POR: ROLLINGROAD CIA C.I/RUC: 110142421001 EN CONTRA DE: GERMAN PATRICIO MERIZALDE CORDERO C.I/RUC: 1103051072</t>
  </si>
  <si>
    <t>SEGUIDO POR: CENTRO DIESEL C.I/RUC: 1101934014001 EN CONTRA DE: DIEGO VINICIO MERIZALDE ESPINOZA C.I/RUC: 1104429731</t>
  </si>
  <si>
    <t>SEGUIDO POR: JENNY ESPERANZA HURTADO PEREZ C.I/RUC: 1102848981 EN CONTRA DE: ELECTROCOMERCIAL GUERRERO SEGARRA CIA LTDA C.I/RUC: 1191747441001</t>
  </si>
  <si>
    <t>SEGUIDO POR: LICEO DE LOJA C.I/RUC: 1190080281001 EN CONTRA DE: ANGEL LEONARDO MALDONADO ONTANEDA C.I/RUC: 1104748882</t>
  </si>
  <si>
    <t>SEGUIDO POR: MONTERREY AZUCARERA LOJANA CA MALCA C.I/RUC: 1190001330001 EN CONTRA DE: JOSE FRANCISCO MUÑOZ AGUILAR C.I/RUC: 1102184395</t>
  </si>
  <si>
    <t>SEGUIDO POR: DISTRIBUICIONES ROTSEN C.I/RUC: 1103871933001 EN CONTRA DE: ALVARO DAVID ROJAS MARQUEZ C.I/RUC: 1104251150</t>
  </si>
  <si>
    <t>SEGUIDO POR: COOPERATIVA DE AHORRO Y CREDITO DE CRECIMIENTO ECONOMICO RENTABLE CRECER LTDA C.I/RUC: 1191738213001 EN CONTRA DE: ANGEL OSWALDO CALDERON BARBA C.I/RUC: 1103754238</t>
  </si>
  <si>
    <t>SEGUIDO POR: COOPERATIVA DE  TRANSPORTE UNION CARIAMAMNGA C.I/RUC: 1190081474001 EN CONTRA DE: FRANCISCO ESTEBAN GRANDA BENITEZ C.I/RUC: 1103834345</t>
  </si>
  <si>
    <t>SEGUIDO POR: VALAREZO ENCALDA VANESA MICHELE C.I/RUC: 1103406623001 EN CONTRA DE: DANNY ISRAEL LEON LEON C.I/RUC: 1105806150</t>
  </si>
  <si>
    <t>SEGUIDO POR: D&amp;A BEAUTY SALON &amp; SPA C.I/RUC: 1103762793001 EN CONTRA DE: SORAYA DELGADO RODRIGUEZ C.I/RUC: 1104364326</t>
  </si>
  <si>
    <t>SEGUIDO POR: HERRERA KATHERINE MARGARITA C.I/RUC: 110467542 EN CONTRA DE: MIRIAN FERNANDA LEON PROAÑO C.I/RUC: 1713697595</t>
  </si>
  <si>
    <t>SEGUIDO POR: HOTEL PODOCARPUS C.I/RUC: 1101254496001 EN CONTRA DE: MARLENE MARIA ROBLES BALCAZAR C.I/RUC: 1103988463</t>
  </si>
  <si>
    <t>SEGUIDO POR: AZENDELOG CIA LTDA C.I/RUC: 01900331431001 EN CONTRA DE: LUIS FERNANDO JAPON SUQUILANDA C.I/RUC: 1104692619</t>
  </si>
  <si>
    <t>SEGUIDO POR: MUNICIPIO DE LOJA C.I/RUC: 1160000240001 EN CONTRA DE: JAVIER POLIBIO MOLINA SAMANIEGO C.I/RUC: 1102587290</t>
  </si>
  <si>
    <t>SEGUIDO POR: VENUE LOUGE BEER &amp; GRILL C.I/RUC: 1104675424001 EN CONTRA DE: KATHERINE MARGARITA HERRERA LOJAN C.I/RUC: 1104675424</t>
  </si>
  <si>
    <t>SEGUIDO POR: LOJAN HUALPA LUIS MIGUEL C.I/RUC: 1105227407 EN CONTRA DE: JAIRO BELARMINO JAPON ABRIGO C.I/RUC: 1105212292</t>
  </si>
  <si>
    <t>SEGUIDO POR: AGENCIA ASESORA PRODUCTORA DE SEGUROS LCSEGUROS CIA LTDA C.I/RUC: 1191765253001 EN CONTRA DE: PATRICIA VIVIANA ESPINOSA ESPINOSA C.I/RUC: 1103347041</t>
  </si>
  <si>
    <t>SEGUIDO POR: AGENCIA ASESORA PRODUCTORA DE SEGUROS LCSEGUROS CIA LTDA C.I/RUC: 1191765253001 EN CONTRA DE: JOHANNA GABRIELA ZHAÑAY QUEZADA C.I/RUC: 1104708506</t>
  </si>
  <si>
    <t>SEGUIDO POR: LOJASYSTEM C.A. C.I/RUC: 1190091259001 EN CONTRA DE: ADRIAN ALEXANDER TOLEDO RUIZ C.I/RUC: 1104978075</t>
  </si>
  <si>
    <t>SEGUIDO POR: HOSTERIA  &amp; SPA LAS RUINAS DE QUINARA C.I/RUC: 1102118856001 EN CONTRA DE: ANA PATRICIA CARPIO ROJAS C.I/RUC: 1104016868</t>
  </si>
  <si>
    <t>SEGUIDO POR: MONICA DEL CISNE ROA RODRIGUEZ C.I/RUC: 1103385025 EN CONTRA DE: MINISTERIO DE EDUCACION C.I/RUC: 1711321990</t>
  </si>
  <si>
    <t>SEGUIDO POR: DIGITAL CABLE ECUADOR CIA LTDA C.I/RUC: 1191757919001 EN CONTRA DE: LOURDES SUSANA DIAZ PEÑA C.I/RUC: 1104152085</t>
  </si>
  <si>
    <t>SEGUIDO POR: ACADEMIA DE ARTE SANTA CECILIA C.I/RUC: 1190069504001 EN CONTRA DE: JOSE LUIS CASTILLO ROA C.I/RUC: 1104199383</t>
  </si>
  <si>
    <t>SEGUIDO POR: MULTIPLAST C.I/RUC: 0101764957001 EN CONTRA DE: ESTUARDO PATRICIO FLORES FLORES C.I/RUC: 1103714729</t>
  </si>
  <si>
    <t>SEGUIDO POR: FUNDACION EDUCACIONAL JUAN RAFAEL ARROBO CEVALLOS C.I/RUC: 1190080281001 EN CONTRA DE: HERNAN PATRICIO COBOS PLACENCIA C.I/RUC: 1104979305</t>
  </si>
  <si>
    <t xml:space="preserve">SEGUIDO POR: TORRES ROBLES EULIRIA YOLANDA C.I/RUC: 1103011258 EN CONTRA DE: LUIS ALBERTO GALVAN CELI C.I/RUC: </t>
  </si>
  <si>
    <t xml:space="preserve">SEGUIDO POR: TORRES TORRES ANGEL ASDRUBAL C.I/RUC: 1105968273 EN CONTRA DE: LUIS ALBERTO GALVAN CELI C.I/RUC: </t>
  </si>
  <si>
    <t xml:space="preserve">SEGUIDO POR: TORRES TORRES HENRRY TEODOMIRO C.I/RUC: 1105968265 EN CONTRA DE: LUIS ALBERTO GALVAN CELI C.I/RUC: </t>
  </si>
  <si>
    <t xml:space="preserve">SEGUIDO POR: TORRES TORRES JULIANA DEL CISNE C.I/RUC: 1105968257 EN CONTRA DE: LUIS ALBERTO GALVAN CELI C.I/RUC: </t>
  </si>
  <si>
    <t xml:space="preserve">SEGUIDO POR: TORRES TORRES OLGA MACRINA C.I/RUC: 1150797791 EN CONTRA DE: LUIS ALBERTO GALVAN CELI C.I/RUC: </t>
  </si>
  <si>
    <t>SEGUIDO POR: CATTI DISTRIBUICIONES C.I/RUC: 1103840540001 EN CONTRA DE: STALIN RUBEN MONTOYA BUSTAMANTE C.I/RUC: 1103321574</t>
  </si>
  <si>
    <t xml:space="preserve">SEGUIDO POR: HENRRY ALONSO CEVALLOS ARMIJOS C.I/RUC: 1103698377 EN CONTRA DE: GAD LOJA REPRESENTANTE LEGAL ALCLADESA PIEDAD PINEDA C.I/RUC: </t>
  </si>
  <si>
    <t xml:space="preserve">SEGUIDO POR: LANDACAY MORA ALEXANDRA VANESSA C.I/RUC: 1103643639 EN CONTRA DE: MILTON MENA NAVAS REPRESENTANTE DE LA COOPERATIVA DE TRANSPORTE LOJA C.I/RUC: </t>
  </si>
  <si>
    <t>SEGUIDO POR: ROMAR IMPORTADORA &amp; DISTRIBUIDORA C.I/RUC: 1801450253001 EN CONTRA DE: KATTY ANTONIETA MONTAÑO OBACO C.I/RUC: 1103173058</t>
  </si>
  <si>
    <t>SEGUIDO POR: COORDINACION DE JUSTICIA DERECHOS HUMANOS Y CULTOS PARA LA ZONA 7 C.I/RUC: 116005409001 EN CONTRA DE: DIEGO JAVIER USIÑA RODRIGUEZ C.I/RUC: 1715084628</t>
  </si>
  <si>
    <t>SEGUIDO POR: COORDINACION ZONAL DE EDUCACION ZONA 7 C.I/RUC: 1160050180001 EN CONTRA DE: MONICA DEL CISNE ROA RODRIGUEZ C.I/RUC: 1103385025</t>
  </si>
  <si>
    <t>SEGUIDO POR: QUEZADA ASTUDILLO MONICA PATRICIA C.I/RUC: 1103489322 EN CONTRA DE: JULIO CESAR ALARCON C.I/RUC: 1101499794001</t>
  </si>
  <si>
    <t>SEGUIDO POR: LOJASYSTEM C.A. C.I/RUC: 1190091259001 EN CONTRA DE: BOLIVAR EDUARDO LEON ORTEGA C.I/RUC: 1103875322</t>
  </si>
  <si>
    <t>SEGUIDO POR: INDUSTRIA LOJANA DE ESPECERIAS ILE CA C.I/RUC: 1190049406001 EN CONTRA DE: JUAN CARLOS MORENO LEON C.I/RUC: 1104455751</t>
  </si>
  <si>
    <t>SEGUIDO POR: CREPELLA C.I/RUC: 11103754303001 EN CONTRA DE: VANESSA DEL CARMEN SISALIMA DOMINGUEZ C.I/RUC: 1104550403</t>
  </si>
  <si>
    <t>SEGUIDO POR: T.V.ELECTRODOMESTICOS C.I/RUC: 1102541768001 EN CONTRA DE: DIEGO FLORESMILO JIMENEZ ULLAURI C.I/RUC: 1104529084</t>
  </si>
  <si>
    <t>SEGUIDO POR: DIRECCION DISTRITAL 11D01-LOJA-ECUADOR C.I/RUC: 1160059130001 EN CONTRA DE: MONICA DEL CISNE ROA RODRIGUEZ C.I/RUC: 1103385025</t>
  </si>
  <si>
    <t>SEGUIDO POR: NECUSOFT CIA LTDA C.I/RUC: 1191714268001 EN CONTRA DE: MARIA GABRIELA RODRIGUEZ CASTILLO C.I/RUC: 1104604598</t>
  </si>
  <si>
    <t>SEGUIDO POR: JHANDRY ALEXANDER HERRERA DIAZ C.I/RUC: 1104352958 EN CONTRA DE: HORIZONTES BUSINNES COMPANY S.A REPRESENTANTE LEGAL MAYRA TATIANA QUILUMBA ALMEIDA C.I/RUC: 1391749635001</t>
  </si>
  <si>
    <t>SEGUIDO POR: FABIAN ANDRES CORDOVA IÑIGUEZ C.I/RUC: 1104682453 EN CONTRA DE: HORIZONTES BUSINNES COMPANY S.A REPRESENTANTE LEGAL MAYRA TATIANA QUILUMBA ALMEIDA C.I/RUC: 1391749635001</t>
  </si>
  <si>
    <t>SEGUIDO POR: FREDDY ISRAEL LUDEÑA TORRES C.I/RUC: 1104580327 EN CONTRA DE: HORIZONTES BUSINNES COMPANY S.A REPRESENTANTE LEGAL MAYRA TATIANA QUILUMBA ALMEIDA C.I/RUC: 1391749635001</t>
  </si>
  <si>
    <t>SEGUIDO POR: FUNERARIA JARAMILLO Y CIA. C.I/RUC: 1191704432001 EN CONTRA DE: OSCAR SEBASTIAN CASTILLO GARCIA C.I/RUC: 1312013855</t>
  </si>
  <si>
    <t>SEGUIDO POR: SERVICIO DE LIMPIEZA BRITOT CIA. LTDA. C.I/RUC: 1191737624001 EN CONTRA DE: JEFFERSON EDUARDO TARUPI GUTIERREZ C.I/RUC: 1104332968</t>
  </si>
  <si>
    <t>SEGUIDO POR: INDUSTRIAS MOTORIZADAS INDUMOT S.A C.I/RUC:  EN CONTRA DE: JUAN PABLO NARVAEZ PRIETO C.I/RUC: 1104695778</t>
  </si>
  <si>
    <t xml:space="preserve">SEGUIDO POR: HERMEL CALIXTO CEVALLOS CASTILLO C.I/RUC: 1101667499 EN CONTRA DE: DR. MARIO VICENTE CUEVA BRAVO ALCALDE DEL GAD CALVAS C.I/RUC: </t>
  </si>
  <si>
    <t>SEGUIDO POR: INLECHE CIA. LTDA. C.I/RUC: 0990289662001 EN CONTRA DE: FRANKLIN MIGUEL LITUMA HURTADO C.I/RUC: 1714061692</t>
  </si>
  <si>
    <t>SEGUIDO POR: FORMAR CENTRO DE CAPACITACIÓN PROFESIONAL CIA. LTDA. C.I/RUC: 1191711870001 EN CONTRA DE: MANUEL DE JESUS GALLO ESPINOZA C.I/RUC: 1102095351</t>
  </si>
  <si>
    <t>SEGUIDO POR: TADESEC CIA. LTDA. C.I/RUC: 0992629673001 EN CONTRA DE: ENRI JOSE ROMAN ROSARIO C.I/RUC: 1104044290</t>
  </si>
  <si>
    <t>SEGUIDO POR: SANDOVAL GONZALEZ LAUTARO MARCELO C.I/RUC: 0102402518001 EN CONTRA DE: PABLO CESAR PACHECO RODAS C.I/RUC: 1104295843</t>
  </si>
  <si>
    <t>SEGUIDO POR: IMELDA DE JARAMILLO CIA LTDA C.I/RUC: 1191711692001 EN CONTRA DE: WASHINGTON MARCELO CADENA ARELLANO C.I/RUC: 0704508811</t>
  </si>
  <si>
    <t>SEGUIDO POR: SEGURIDAD Y VIGILANCIA GOMEZ ARAUJO LOPEZ SEGAL CIA LTDA C.I/RUC: 1191713504001 EN CONTRA DE: ALEX RICARDO PORTILLA VALVERDE C.I/RUC: 1721203865</t>
  </si>
  <si>
    <t>SEGUIDO POR: INDUSTRIAS LOJANA DE ESPECERIA ILE C.A. C.I/RUC: 1190049406001 EN CONTRA DE: MONICA ELIZABETH MUYON PLUAS C.I/RUC: 0917246951</t>
  </si>
  <si>
    <t>SEGUIDO POR: INDUSTRIAS LOJANA DE ESPECERIA ILE C.A. C.I/RUC: 1190049406001 EN CONTRA DE: ANGEL FELIPE ALVARADO SUASTEGUI C.I/RUC: 0917140857</t>
  </si>
  <si>
    <t>SEGUIDO POR: CRISTIAN GEOVANNY GONZALEZ QUISHPE C.I/RUC: 1103674683 EN CONTRA DE: CONSORCIO PITAS C.I/RUC: 1191768937001</t>
  </si>
  <si>
    <t>SEGUIDO POR: MARCO ANTONIO JIMENEZ MERINO C.I/RUC: 1105211492 EN CONTRA DE: CONSORCIO PITAS C.I/RUC: 1191768937001</t>
  </si>
  <si>
    <t>SEGUIDO POR: PABLO ANDRES MERINO PACCHA C.I/RUC: 1150046256 EN CONTRA DE: CONSORCIO PITAS C.I/RUC: 1191768937001</t>
  </si>
  <si>
    <t>SEGUIDO POR: PABLO XAVIER HERNANDEZ ORDOÑEZ C.I/RUC: 1803215563 EN CONTRA DE: ALBA JIMENEZ JOHANNA MARIA  C.I/RUC: 1206412544</t>
  </si>
  <si>
    <t>SEGUIDO POR: INSTITUTO TECNOLOGICO SUPERIOR SUDAMERICANO Y COMPAÑIA  C.I/RUC: 1190082748001 EN CONTRA DE: JUAREZ CHAPA ELIZABETH DEL CISNE  C.I/RUC: 1104834633</t>
  </si>
  <si>
    <t>SEGUIDO POR: FARMAMIA CIA LTDA C.I/RUC: 0791740150001 EN CONTRA DE: JOEL VINICIO  GUARACA CRIOLLO C.I/RUC: 1150023784</t>
  </si>
  <si>
    <t>04/01/2018</t>
  </si>
  <si>
    <t>15/01/2018</t>
  </si>
  <si>
    <t>19/01/2018</t>
  </si>
  <si>
    <t>25/01/2018</t>
  </si>
  <si>
    <t>14/02/2018</t>
  </si>
  <si>
    <t>14/02/2019</t>
  </si>
  <si>
    <t>20/02/2018</t>
  </si>
  <si>
    <t>21/02/2018</t>
  </si>
  <si>
    <t>28/02/2018</t>
  </si>
  <si>
    <t>05/03/2018</t>
  </si>
  <si>
    <t>07/03/2018</t>
  </si>
  <si>
    <t>08/03/2018</t>
  </si>
  <si>
    <t>13/03/2018</t>
  </si>
  <si>
    <t>15/03/2018</t>
  </si>
  <si>
    <t>22/03/2018</t>
  </si>
  <si>
    <t>27/03/2018</t>
  </si>
  <si>
    <t>02/04/2018</t>
  </si>
  <si>
    <t>03/04/2018</t>
  </si>
  <si>
    <t>10/04/2018</t>
  </si>
  <si>
    <t>13/04/2018</t>
  </si>
  <si>
    <t>16/04/2018</t>
  </si>
  <si>
    <t>26/04/2018</t>
  </si>
  <si>
    <t>27/04/2018</t>
  </si>
  <si>
    <t>04/05/2018</t>
  </si>
  <si>
    <t>09/05/2018</t>
  </si>
  <si>
    <t>24/05/2018</t>
  </si>
  <si>
    <t>05/06/2018</t>
  </si>
  <si>
    <t>07/06/2018</t>
  </si>
  <si>
    <t>11/06/2018</t>
  </si>
  <si>
    <t>12/06/2018</t>
  </si>
  <si>
    <t>18/06/2018</t>
  </si>
  <si>
    <t>19/06/2018</t>
  </si>
  <si>
    <t xml:space="preserve">25/06/2018  </t>
  </si>
  <si>
    <t>26/06/2018</t>
  </si>
  <si>
    <t>28/06/2018</t>
  </si>
  <si>
    <t>11/07/2018</t>
  </si>
  <si>
    <t>13/07/2018</t>
  </si>
  <si>
    <t>18/07/2018</t>
  </si>
  <si>
    <t>20/07/2018</t>
  </si>
  <si>
    <t>27/07/2018</t>
  </si>
  <si>
    <t>30/07/2018</t>
  </si>
  <si>
    <t>01/08/2018</t>
  </si>
  <si>
    <t>06/08/2018</t>
  </si>
  <si>
    <t>13/08/2018</t>
  </si>
  <si>
    <t>16/08/2018</t>
  </si>
  <si>
    <t>29/08/2018</t>
  </si>
  <si>
    <t>04/09/2018</t>
  </si>
  <si>
    <t xml:space="preserve">05/09/2018  </t>
  </si>
  <si>
    <t>05/09/2018</t>
  </si>
  <si>
    <t>07/09/2018</t>
  </si>
  <si>
    <t>12/09/2018</t>
  </si>
  <si>
    <t>19/09/2018</t>
  </si>
  <si>
    <t>24/09/2018</t>
  </si>
  <si>
    <t>26/09/2018</t>
  </si>
  <si>
    <t>27/09/2018</t>
  </si>
  <si>
    <t>04/10/2018</t>
  </si>
  <si>
    <t>05/10/2018</t>
  </si>
  <si>
    <t>09/10/2018</t>
  </si>
  <si>
    <t>10/10/2018</t>
  </si>
  <si>
    <t>18/10/2018</t>
  </si>
  <si>
    <t>31/10/2018</t>
  </si>
  <si>
    <t>14/11/2018</t>
  </si>
  <si>
    <t>27/11/2018</t>
  </si>
  <si>
    <t>03/12/2018</t>
  </si>
  <si>
    <t xml:space="preserve">13/12/2018  </t>
  </si>
  <si>
    <t>19/12/2018</t>
  </si>
  <si>
    <t>26/12/2018</t>
  </si>
  <si>
    <t>15/02/2018</t>
  </si>
  <si>
    <t>26/02/2018</t>
  </si>
  <si>
    <t>02/03/2018</t>
  </si>
  <si>
    <t>26/03/2018</t>
  </si>
  <si>
    <t>23/02/2018</t>
  </si>
  <si>
    <t>17/04/2018</t>
  </si>
  <si>
    <t>18/04/2018</t>
  </si>
  <si>
    <t>24/04/2018</t>
  </si>
  <si>
    <t>25/04/2018</t>
  </si>
  <si>
    <t>03/05/2018</t>
  </si>
  <si>
    <t>08/05/2018</t>
  </si>
  <si>
    <t>11/05/2018</t>
  </si>
  <si>
    <t>15/05/2018</t>
  </si>
  <si>
    <t>22/05/2018</t>
  </si>
  <si>
    <t>28/05/2018</t>
  </si>
  <si>
    <t>08/06/2018</t>
  </si>
  <si>
    <t>14/06/2018</t>
  </si>
  <si>
    <t>04/07/2018</t>
  </si>
  <si>
    <t>16/07/2018</t>
  </si>
  <si>
    <t>17/07/2018</t>
  </si>
  <si>
    <t>19/07/2018</t>
  </si>
  <si>
    <t>23/07/2018</t>
  </si>
  <si>
    <t>26/07/2018</t>
  </si>
  <si>
    <t>03/07/2018</t>
  </si>
  <si>
    <t>02/08/2018</t>
  </si>
  <si>
    <t>07/08/2018</t>
  </si>
  <si>
    <t>21/08/2018</t>
  </si>
  <si>
    <t>23/08/2018</t>
  </si>
  <si>
    <t>28/08/2018</t>
  </si>
  <si>
    <t>30/08/2018</t>
  </si>
  <si>
    <t>06/09/2018</t>
  </si>
  <si>
    <t>11/09/2018</t>
  </si>
  <si>
    <t>17/09/2018</t>
  </si>
  <si>
    <t>20/09/2018</t>
  </si>
  <si>
    <t>25/09/2018</t>
  </si>
  <si>
    <t>08/10/2018</t>
  </si>
  <si>
    <t>16/10/2018</t>
  </si>
  <si>
    <t>23/10/2018</t>
  </si>
  <si>
    <t>30/10/2018</t>
  </si>
  <si>
    <t>05/11/2018</t>
  </si>
  <si>
    <t>07/11/2018</t>
  </si>
  <si>
    <t>08/11/2018</t>
  </si>
  <si>
    <t>15/11/2018</t>
  </si>
  <si>
    <t>16/11/2018</t>
  </si>
  <si>
    <t>20/11/2018</t>
  </si>
  <si>
    <t>21/11/2018</t>
  </si>
  <si>
    <t>28/11/2018</t>
  </si>
  <si>
    <t>12/12/2018</t>
  </si>
  <si>
    <t>08/01/2019</t>
  </si>
  <si>
    <t>10/01/2019</t>
  </si>
  <si>
    <t>18/01/2019</t>
  </si>
  <si>
    <t>28/01/2019</t>
  </si>
  <si>
    <t>04/02/2019</t>
  </si>
  <si>
    <t>15/01/2019</t>
  </si>
  <si>
    <t>1 - 2</t>
  </si>
  <si>
    <t>10 - 11</t>
  </si>
  <si>
    <t>19 - 20</t>
  </si>
  <si>
    <t>30 - 32</t>
  </si>
  <si>
    <t>57 -58</t>
  </si>
  <si>
    <t>23 - 24</t>
  </si>
  <si>
    <t>25 - 29</t>
  </si>
  <si>
    <t>51 - 54</t>
  </si>
  <si>
    <t>58 - 64</t>
  </si>
  <si>
    <t>65 - 72</t>
  </si>
  <si>
    <t>104 - 105</t>
  </si>
  <si>
    <t>112 - 118</t>
  </si>
  <si>
    <t>125 - 127</t>
  </si>
  <si>
    <t>74 - 75</t>
  </si>
  <si>
    <t>SEGUIDO POR: PONDARMAT CIA. LTDA. C.I/RUC: 1791973062001 EN CONTRA DE: CARDENAS ELIZALDE MARIUXI TATIANA C.I./RUC: 1104910920</t>
  </si>
  <si>
    <t>SEGUIDO POR: BERMEO ESCUDERO YOLANDA AMALIA C.I/RUC: 1100258530 EN CONTRA DE: AVILA AVILA MARIA UBALDINA C.I./RUC: 1708393283</t>
  </si>
  <si>
    <t>SEGUIDO POR: GUERRERO CORDOVA VICTOR GONZALO C.I/RUC: 1102469523 EN CONTRA DE: LALANGUI SOTO MAYRA DEL CARMEN C.I./RUC: 1150178463</t>
  </si>
  <si>
    <t>SEGUIDO POR: SANCHEZ LIVISACA JULIO DARIO  C.I/RUC: 1103440655 EN CONTRA DE: PREUNIVEINST CIA. LTDA. C.I./RUC: 1792495113001</t>
  </si>
  <si>
    <t>SEGUIDO POR: MERINO GAONA ROSA NELVA C.I/RUC: 0953962933 EN CONTRA DE: VARGAS BASANTES JOSSUE RAUL C.I./RUC: 1103748214</t>
  </si>
  <si>
    <t>SEGUIDO POR: ABAD ALVERCA ROSA IMELDA C.I/RUC: 1714476973 EN CONTRA DE: OINK BAR &amp; GRILL C.I./RUC: 1103748214001</t>
  </si>
  <si>
    <t>SEGUIDO POR: ABAD ALVERCA ROSA IMELDAII C.I/RUC: 1714476973 EN CONTRA DE: VARGAS BASANTES JOSSUE RAUL C.I./RUC: 1103748214001</t>
  </si>
  <si>
    <t>SEGUIDO POR: BENAVIDES CORDOVA VANEZA MARIANA C.I/RUC: 1103612063 EN CONTRA DE: UNIVERSIDAD INTERNACIONAL DEL ECUADOR LOJA C.I./RUC: 1791339207001</t>
  </si>
  <si>
    <t>SEGUIDO POR: VELEZ ORELLANA ANIBAL ARCESIO C.I/RUC: 1100783479 EN CONTRA DE: CHAMBA MACAS DEIFILIA C.I./RUC: 1103026595</t>
  </si>
  <si>
    <t>SEGUIDO POR: FUNDACION EDUCACIONAL JUAN RAFAEL ARROBO CEVALLOS C.I/RUC: 1190080281001 EN CONTRA DE: GONZALEZ GONZALEZ LILIANA PATRICIA C.I./RUC: 1104203896</t>
  </si>
  <si>
    <t>SEGUIDO POR: FARMAMIA CIA. LTDA. C.I/RUC: 0791740150001 EN CONTRA DE: RODRIGUEZ PIÑALOZA JOSELIN DANESSA C.I./RUC: 1150356036</t>
  </si>
  <si>
    <t>SEGUIDO POR: FARMAMIA CIA. LTDA. C.I/RUC: 0791740150001 EN CONTRA DE: SILVA CASTILLO WILLAN LEONARDO C.I./RUC: 1104518715</t>
  </si>
  <si>
    <t>SEGUIDO POR: FARMAMIA CIA. LTDA. C.I/RUC: 0791740150001 EN CONTRA DE: LAJE ALVARADO KLEBER ALBERTO C.I./RUC: 1105734360</t>
  </si>
  <si>
    <t>SEGUIDO POR: MUNICIPIO DE LOJA C.I/RUC: 1160000240001 EN CONTRA DE: YUNGA POMA ANGEL ISIDRO C.I./RUC: 1103580682</t>
  </si>
  <si>
    <t>SEGUIDO POR: UNIVERSIDAD INTERNACIONAL DEL ECUADOR C.I/RUC: 1791339207001 EN CONTRA DE: VIVANCO OCHOA JOHANNA VANESSA C.I./RUC: 1103866164</t>
  </si>
  <si>
    <t>SEGUIDO POR: UNIVERSIDAD INTERNACIONAL DEL ECUADOR C.I/RUC: 1791339207001 EN CONTRA DE: QUEZADA SARMIENTO PABLO ALEJANDRO C.I./RUC: 1103863229</t>
  </si>
  <si>
    <t>SEGUIDO POR: SOLCA NUCLEO DE LOJA C.I/RUC: 1191707970001 EN CONTRA DE: JAPA MARQUEZ ESGAR OSWALDO C.I./RUC: 1103767495</t>
  </si>
  <si>
    <t>SEGUIDO POR: MUNICIPIO DE LOJA C.I/RUC: 1160000240001 EN CONTRA DE: GUTIERREZ FEIJOO JORGE XAVIER C.I./RUC: 1104201452</t>
  </si>
  <si>
    <t>SEGUIDO POR: FUNDACION EDUCACIONAL JUAN RAFAEL ARROBO CEVALLOS C.I/RUC: 1190080281001 EN CONTRA DE: TORRES JIMENEZ ANA LIA C.I./RUC: 1104013980</t>
  </si>
  <si>
    <t>SEGUIDO POR: CAMPOVERDE VARGAS ROSA ANGELICA C.I/RUC: 1105683203 EN CONTRA DE: ASOCIACION DE SERVICIOS DE ALIMENTACION LIMPIEZA Y ORGANIZACIÓN DE EVENTOS SOCIALES LA FLOR ZAMORANA ASOFLORANA C.I./RUC: 1191757676001</t>
  </si>
  <si>
    <t>SEGUIDO POR: BENITEZ GUAMAN ANGEL SAMUEL C.I/RUC: 1103743215 EN CONTRA DE: FUNDACION CENTRO CULTURAL ASLOCH C.I./RUC: 1191717615001</t>
  </si>
  <si>
    <t>SEGUIDO POR: INDUSTRIAS MOTORIZADAS INDUMOT S.A. C.I/RUC: 0990304211001 EN CONTRA DE: NARVAEZ PRIETO JUAN PABLO C.I./RUC: 1104695778</t>
  </si>
  <si>
    <t>SEGUIDO POR: CUEVA JARAMILLO MARIA LUZ C.I/RUC: 1103033229001 EN CONTRA DE: CARRION AGUILAR MERCEDES KATHERINE C.I./RUC: 1105651614</t>
  </si>
  <si>
    <t>SEGUIDO POR: COMERCIALIZADORA IMPORTAORA COIMFAGI CIA. LTDA. C.I/RUC: 1191749797001 EN CONTRA DE: RAMOS VIGNOLO FELIX ORESTES C.I./RUC: 0953946282</t>
  </si>
  <si>
    <t>SEGUIDO POR: VALAREZO FIERRO JOSELITO BERNABE C.I/RUC: 1102009253 EN CONTRA DE: RODRIGUEZ GUERRERO FABIAN MARCELO C.I./RUC: 1101492542</t>
  </si>
  <si>
    <t>SEGUIDO POR: HOSPITAL CLINICA SAN  AGUSTIN CIA LTDA C.I/RUC: 1190004151001 EN CONTRA DE: MALLA ENRIQUEZ VENANCIO CELESTINO C.I./RUC: 1104625676</t>
  </si>
  <si>
    <t>SEGUIDO POR: FEIJOO CHICAIZA RITA PAOLA C.I/RUC: 1103218945 EN CONTRA DE: MARCELO GALLARDO INSUTRIA Y COMERCIO C.I./RUC: 1102314372001</t>
  </si>
  <si>
    <t>SEGUIDO POR: INDUSTRIA LOJANA DE ESPECERIAS ILE CA C.I/RUC: 1190049406001 EN CONTRA DE: RAMIREZ JIMENEZ ROBERTH ISMAEL C.I./RUC: 1105229213</t>
  </si>
  <si>
    <t>SEGUIDO POR: COOPERATIVA DE AHORRO Y CREDITO PADRE JULIAN LORENTE LTDA. C.I/RUC: 1190015110001 EN CONTRA DE: GUILLIN ZHUMA CARLOS ANTONIO C.I./RUC: 1102190897</t>
  </si>
  <si>
    <t>SEGUIDO POR: CASTVISE CIA LTDA C.I/RUC: 0190329461001 EN CONTRA DE: PALADINES VALAREZO YONI BENJAMIN C.I./RUC: 1104254220</t>
  </si>
  <si>
    <t>SEGUIDO POR: FARMAMIA CIA. LTDA. C.I/RUC: 0791740150001 EN CONTRA DE: REMACHE DAVILA ELSA MARIBEL C.I./RUC: 1103506620</t>
  </si>
  <si>
    <t>SEGUIDO POR: RENEAUTOS C.I/RUC: 1105995367001 EN CONTRA DE: COSTA MINAYA CARLOS JULIO C.I./RUC: 1105597098</t>
  </si>
  <si>
    <t>SEGUIDO POR: EMPRESA DE TEJAS DECORTEJA CIA. LTDA. C.I/RUC: 1190091100001 EN CONTRA DE: AGILA MORALES BETTO EMILIO C.I./RUC: 1103634141</t>
  </si>
  <si>
    <t>SEGUIDO POR: EMPRESA DE TEJAS DECORTEJA CIA. LTDA. C.I/RUC: 1190091100001 EN CONTRA DE: RIOFRIO VALDIVIEZO DARWIN FIDEL C.I./RUC: 1104055429</t>
  </si>
  <si>
    <t>SEGUIDO POR: MUNICIPIO DE LOJA C.I/RUC: 1160000240001 EN CONTRA DE: MOLINA SAMANIEGO JAVIER POLIBIO C.I./RUC: 1102587290</t>
  </si>
  <si>
    <t>SEGUIDO POR: FINE-TUNE ENGLISH CIA. LTDA. C.I/RUC: 1191732142001 EN CONTRA DE: GUACHIZACA ANGOS CARMEN PIEDAD C.I./RUC: 1102244744</t>
  </si>
  <si>
    <t>SEGUIDO POR: ARGUDO ESPINOZA VICTOR MANUEL C.I/RUC: 1101903860001 EN CONTRA DE: ROMERO MASACHE JEFFERSON PAUL C.I./RUC: 1105804254</t>
  </si>
  <si>
    <t>SEGUIDO POR: ASOCIACION DE SERVICIOS DE ALIMENTACION LIMPIEZA Y ORGANIZACION DE EVENTOS SOCIALES LA FLOR ZAMORANA ASOFLORANA C.I/RUC: 1191757676001 EN CONTRA DE: CAMACHO PARDO CARLA ALEXANDRA C.I./RUC: 1104142441</t>
  </si>
  <si>
    <t>SEGUIDO POR: ASOCIACION DE SERVICIOS DE ALIMENTACION LIMPIEZA Y ORGANIZACION DE EVENTOS SOCIALES LA FLOR ZAMORANA ASOFLORANA C.I/RUC: 1191757676001 EN CONTRA DE: QUIZHPE ALULIMA LIGIA ELENA C.I./RUC: 1104259252</t>
  </si>
  <si>
    <t>SEGUIDO POR: FERROCENTRO UNIMAX C.I/RUC: 0102402518001 EN CONTRA DE: GUAMAN GUAILLAS JUAN CARLOS C.I./RUC: 1104773443</t>
  </si>
  <si>
    <t>SEGUIDO POR: AGRIPAC S.A. C.I/RUC: 09900066870019 EN CONTRA DE: SANMARTIN MEDINA LUIS ALFREDO C.I./RUC: 1104292196</t>
  </si>
  <si>
    <t>SEGUIDO POR: FERROCENTRO UNIMAX C.I/RUC: 0102402518001 EN CONTRA DE: CEVALLOS RUIZ MIRTIDES RODRIGO C.I./RUC: 1308206935</t>
  </si>
  <si>
    <t>SEGUIDO POR: GOBIERNO AUTONOMO DESCENTRALIZADO DEL CANTON SOZORANGA C.I/RUC: 1160001210001 EN CONTRA DE: ONTANEDA SINCHIRE LUIS EDUARDO C.I./RUC: 1104632839</t>
  </si>
  <si>
    <t>SEGUIDO POR: MONTERREY AZUCARERA LOJANA C.A. MALCA C.I/RUC: 1190001330001 EN CONTRA DE: SANTOS SEGARRA PATRICIO YOVANNY C.I./RUC: 1103806848</t>
  </si>
  <si>
    <t>SEGUIDO POR: GOBIERNO AUTONOMO DESCENTRALIZADO MUNICIPAL DEL CANTON PINDAL C.I/RUC: 1160002290001 EN CONTRA DE: CHUQUIMARCA AGILA ANGEL JOEL C.I./RUC: 1102795349</t>
  </si>
  <si>
    <t>SEGUIDO POR: GOBIERNO AUTONOMO DESCENTRALIZADO MUNICIPAL DEL CANTON PINDAL C.I/RUC: 1160002290001 EN CONTRA DE: SARANGO QUICHIMBO VICENTE JULIAN C.I./RUC: 1104598428</t>
  </si>
  <si>
    <t>SEGUIDO POR: ANA GABRIELA CASTILLO AGUIRRE C.I/RUC: 1103596415001 EN CONTRA DE: CARRION PILCO PATRICIA ELIZABETH C.I./RUC: 1103874655</t>
  </si>
  <si>
    <t>SEGUIDO POR: EMPRESA DE TEJAS CECORTEJA CIA LTDA C.I/RUC: 1190091100001 EN CONTRA DE: SANCHEZ PAUCAR VICTOR MANUEL C.I./RUC: 1104436843</t>
  </si>
  <si>
    <t>SEGUIDO POR: FAICAN ALULIMA MIRIAN ISABEL C.I/RUC: 1103694061 EN CONTRA DE: COMPAÑIA RENTA CAR BALCASTRO SA C.I./RUC: 1191749010001</t>
  </si>
  <si>
    <t>SEGUIDO POR: LOJASYSTEM CA C.I/RUC: 1190091259001 EN CONTRA DE: CASTILLO SANCHEZ ALEXANDRA ROSA C.I./RUC: 1104608177</t>
  </si>
  <si>
    <t>SEGUIDO POR: COOPERATIVA DE AHORRO Y CREDITO CREDIAMIGO LTDA C.I/RUC: 1191725669001 EN CONTRA DE: TANDAZO VERA DARWIN GONZALO C.I./RUC: 1103245468</t>
  </si>
  <si>
    <t>SEGUIDO POR: COMPAÑIA CALVA &amp; CALVA CIA. LTDA. C.I/RUC: 1191717208001 EN CONTRA DE: MARIN VILLAVICENCIO TOBIAS NEPTALI C.I./RUC: 1103106165</t>
  </si>
  <si>
    <t>SEGUIDO POR: INDUSTRIA LOJANA DE ESPECERIAS ILE C.A. C.I/RUC: 1190049406001 EN CONTRA DE: CUENCA CUENCA BRYAN GEOVANNY C.I./RUC: 1104758279</t>
  </si>
  <si>
    <t>SEGUIDO POR: TANDAZO LUDEÑA FREDDY PATRICIO C.I/RUC: 1102921804001 EN CONTRA DE: MERINO ABAD DORIS ROCIO C.I./RUC: 1105226763</t>
  </si>
  <si>
    <t>SEGUIDO POR: JARAMILLO JARAMILLO MIRIAN ALEJANDRINA C.I/RUC: 1101831665001 EN CONTRA DE: PINTA PINTA AMPARO DEL CISNE C.I./RUC: 1104601842</t>
  </si>
  <si>
    <t>SEGUIDO POR: FARMACIAS CUXIBAMBA FARMACUX CIA. LTDA. C.I/RUC: 1191751422001 EN CONTRA DE: ARMIJOS FLORES GINA ARACELI C.I./RUC: 1104784820</t>
  </si>
  <si>
    <t>SEGUIDO POR: GUALLPA AGUILAR DAYSI KARINA C.I/RUC: 1103762793001 EN CONTRA DE: CABRERA CURIPOMA JOHANNA CECIBEL C.I./RUC: 1105132284</t>
  </si>
  <si>
    <t>SEGUIDO POR: COOPERATIVA D EAHOPRRO Y CREDITO  CREDIAMIGO LTDA  C.I/RUC: 1191725669001 EN CONTRA DE: MARIA AUGUSTA ILLESCAS ABAD  C.I./RUC: 1104151723</t>
  </si>
  <si>
    <t>SEGUIDO POR: JARAMILLO JARAMILLO MIRIAM ALEJANDRINA C.I/RUC: 1101831665001 EN CONTRA DE: PINTA PINTA AMPARO DEL CISNE C.I./RUC: 1104601842</t>
  </si>
  <si>
    <t>SEGUIDO POR: NARVAEZ CANO MIGUEL ANGEL C.I/RUC: 1103178537 EN CONTRA DE: EMDIQUIN EMPRESA DE DILUYENTES Y QUIMICOS INDUSTRIALES CIA. LTDA. C.I./RUC: 1791869052001</t>
  </si>
  <si>
    <t>SEGUIDO POR: SERVICIOS DE LIMPIEZA BRITOT CIA LTDA C.I/RUC: 1191737624001 EN CONTRA DE: PEÑARANDA PARDO AMABLE FABIAN C.I./RUC: 1103250625</t>
  </si>
  <si>
    <t>SEGUIDO POR: LA SUREÑITA SOCIEDAD ANONIMA C.I/RUC: 1191708330001 EN CONTRA DE: CUENCA MONTAÑO ALEX RAMIRO C.I./RUC: 1105680654</t>
  </si>
  <si>
    <t>SEGUIDO POR: ARMIJOS RUIZ WALTER OSWALDO C.I/RUC: 1102882584 EN CONTRA DE: ARMIJOS JARA MANUEL AURELIO C.I./RUC: 1104759871</t>
  </si>
  <si>
    <t>SEGUIDO POR: COOPERATIVA DE AHORRO Y CREDITO CREDIAMIGO LTDA C.I/RUC: 1191725669001 EN CONTRA DE: ILLESCAS ABAD MARIA AUGUSTA C.I./RUC: 1104151723</t>
  </si>
  <si>
    <t>SEGUIDO POR: GOBIERNO PROVINCIAL DE LOJA C.I/RUC: 1160000160001 EN CONTRA DE: ALVEAR OCHOA ANGEL PATRICIO C.I./RUC: 1102900600</t>
  </si>
  <si>
    <t>SEGUIDO POR: ZUMBA MENDEZ JORGE HUGO C.I/RUC: 1100039401 EN CONTRA DE: GOBIERNO AUTONOMO DESCENTRALIZADO DEL CANTON SOZORANGA C.I./RUC: 1160001210001</t>
  </si>
  <si>
    <t>SEGUIDO POR: GUARNIZO JIMENEZ LIVIO C.I/RUC: 1101453726001 EN CONTRA DE: SANCHEZ JAURA JOSE ALBINO C.I./RUC: 1104367907</t>
  </si>
  <si>
    <t>SEGUIDO POR: COOPERATIVA DE AHORRO Y CREDITO SEMILLA DEL PROGRESO LTDA. C.I/RUC: 1191718905001 EN CONTRA DE: SACA CANGO SARA BEATRIZ C.I./RUC: 1104690910</t>
  </si>
  <si>
    <t>SEGUIDO POR: CENTRO ECUATORIANO DE AUDICION Y LENGUAJE C.I/RUC: 1191700763001 EN CONTRA DE: CHAMBA JIMENEZ MAYRA ALEXANDRA C.I./RUC: 1104111909</t>
  </si>
  <si>
    <t>SEGUIDO POR: SAGBAY TERAN SALINAS SATESA Y COMPAÑIA C.I/RUC: 1191707598001 EN CONTRA DE: ESPINOSA ESPINOSA YESENIA DEL PILAR C.I./RUC: 1103840292</t>
  </si>
  <si>
    <t>SEGUIDO POR: JARAMILLO JAPA FRANCISCO ALEXANDER C.I/RUC: 1104474521 EN CONTRA DE: BANCO GUAYAQUIL S.A. C.I./RUC: 0990049459001</t>
  </si>
  <si>
    <t>SEGUIDO POR: MUNICIPIO DE LOJA C.I/RUC: 1160000240001 EN CONTRA DE: MEDINA ORELLANA MERCY YOLANDA C.I./RUC: 1104057326</t>
  </si>
  <si>
    <t>SEGUIDO POR: AGUILAR AGUILAR DAYSI KARINA C.I/RUC: 1103762793001 EN CONTRA DE: ZAMBRANO CEDEÑO EDITA ADELAIDA C.I./RUC: 1804098539</t>
  </si>
  <si>
    <t>SEGUIDO POR: INDUSTRIA LOJANA DE ESPECERIAS ILE CA C.I/RUC: 1190049406001 EN CONTRA DE: CHAMBA JIMENEZ MARIANA DE JESUS C.I./RUC: 1104111891</t>
  </si>
  <si>
    <t>SEGUIDO POR: VIC ENTRETENIMIENTO C.I/RUC: 1191712036001 EN CONTRA DE: RAMIREZ RAMIREZ SANDY VIVIANA C.I./RUC: 1150580890</t>
  </si>
  <si>
    <t>SEGUIDO POR: COMPAÑIA TRANSPORTADORA DE VALORES DEL SUR TEVSUR CIA. LTDA. C.I/RUC: 0190133451001 EN CONTRA DE: LAPO MAZA HOLGER VICENTE C.I./RUC: 1103419519</t>
  </si>
  <si>
    <t>SEGUIDO POR: CUENCA MOROCHO CRISTIAN PATRICIO C.I/RUC: 1104903925001 EN CONTRA DE: ENCARNACION BRAVO ELSA MARIELA C.I./RUC: 1103713010</t>
  </si>
  <si>
    <t>SEGUIDO POR: THAGHIGHI ESHRAGHIAN SIMINDOKHT C.I/RUC: 1102063490001 EN CONTRA DE: PAREDES OBANDO ROSA ELIZABETH C.I./RUC: 1104111834</t>
  </si>
  <si>
    <t>SEGUIDO POR: VARGAS CASTILLO LIVIA ESPERANZA C.I/RUC: 1105339285 EN CONTRA DE: COMPAÑÍA DE TRANSPORTES TURSUR COMPAÑÍA LIMITADA C.I./RUC: 1191755215001</t>
  </si>
  <si>
    <t>SEGUIDO POR: CUERPO DE BOMBEROS DEL CANTON GONZANAMA  C.I/RUC: 1160041940001 EN CONTRA DE: LUZURIAGA MARTIEZ BYRON VICENTE  C.I./RUC: 1104313364</t>
  </si>
  <si>
    <t>MDT-DRTSPL-2019-1835-EXTERNO</t>
  </si>
  <si>
    <t>03/01/2019</t>
  </si>
  <si>
    <t>16/01/2019</t>
  </si>
  <si>
    <t>25/01/2019</t>
  </si>
  <si>
    <t>31/01/2019</t>
  </si>
  <si>
    <t>11/02/2019</t>
  </si>
  <si>
    <t>12/02/2019</t>
  </si>
  <si>
    <t>18/02/2019</t>
  </si>
  <si>
    <t>25/02/2019</t>
  </si>
  <si>
    <t>01/03/2019</t>
  </si>
  <si>
    <t>14/03/2019</t>
  </si>
  <si>
    <t>18/03/2019</t>
  </si>
  <si>
    <t>19/03/2019</t>
  </si>
  <si>
    <t>21/03/2019</t>
  </si>
  <si>
    <t>27/03/2019</t>
  </si>
  <si>
    <t>28/03/2019</t>
  </si>
  <si>
    <t>29/03/2019</t>
  </si>
  <si>
    <t>12/04/2019</t>
  </si>
  <si>
    <t>15/04/2019</t>
  </si>
  <si>
    <t>30/04/2019</t>
  </si>
  <si>
    <t>02/05/2019</t>
  </si>
  <si>
    <t>10/05/2019</t>
  </si>
  <si>
    <t>16/05/2019</t>
  </si>
  <si>
    <t>17/05/2019</t>
  </si>
  <si>
    <t>20/05/2019</t>
  </si>
  <si>
    <t>21/05/2019</t>
  </si>
  <si>
    <t>23/05/2019</t>
  </si>
  <si>
    <t>06/06/2019</t>
  </si>
  <si>
    <t>20/06/2019</t>
  </si>
  <si>
    <t>24/06/2019</t>
  </si>
  <si>
    <t>28/06/2019</t>
  </si>
  <si>
    <t>01/07/2019</t>
  </si>
  <si>
    <t>04/07/2019</t>
  </si>
  <si>
    <t>09/07/2019</t>
  </si>
  <si>
    <t>10/07/2019</t>
  </si>
  <si>
    <t>15/07/2019</t>
  </si>
  <si>
    <t>19/07/2019</t>
  </si>
  <si>
    <t>24/07/2019</t>
  </si>
  <si>
    <t>25/07/2019</t>
  </si>
  <si>
    <t>30/07/2019</t>
  </si>
  <si>
    <t>01/08/2019</t>
  </si>
  <si>
    <t>05/08/2019</t>
  </si>
  <si>
    <t>06/08/2019</t>
  </si>
  <si>
    <t>05/09/2019</t>
  </si>
  <si>
    <t>11/09/2019</t>
  </si>
  <si>
    <t>13/09/2019</t>
  </si>
  <si>
    <t>17/09/2019</t>
  </si>
  <si>
    <t>26/09/2019</t>
  </si>
  <si>
    <t>30/09/2019</t>
  </si>
  <si>
    <t>01/10/2019</t>
  </si>
  <si>
    <t>08/10/2019</t>
  </si>
  <si>
    <t>15/10/2019</t>
  </si>
  <si>
    <t>29/10/2019</t>
  </si>
  <si>
    <t>30/10/2019</t>
  </si>
  <si>
    <t>31/10/2019</t>
  </si>
  <si>
    <t>05/11/2019</t>
  </si>
  <si>
    <t>08/11/2019</t>
  </si>
  <si>
    <t>12/11/2019</t>
  </si>
  <si>
    <t>15/11/2019</t>
  </si>
  <si>
    <t>26/11/2019</t>
  </si>
  <si>
    <t>27/11/2019</t>
  </si>
  <si>
    <t>03/12/2019</t>
  </si>
  <si>
    <t>24/04/2019</t>
  </si>
  <si>
    <t>28/05/2019</t>
  </si>
  <si>
    <t>11/06/2019</t>
  </si>
  <si>
    <t>14/06/2019</t>
  </si>
  <si>
    <t>28/08/2019</t>
  </si>
  <si>
    <t>19/08/2019</t>
  </si>
  <si>
    <t>04/10/2019</t>
  </si>
  <si>
    <t>BS</t>
  </si>
  <si>
    <t>ARCHIVO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</si>
</sst>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5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2">
    <xf numFmtId="0" fontId="0" fillId="0" borderId="0" xfId="0"/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7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8" xfId="0" applyFont="1" applyBorder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vertical="top"/>
    </xf>
    <xf numFmtId="0" fontId="0" fillId="0" borderId="4" xfId="0" applyBorder="1"/>
    <xf numFmtId="16" fontId="2" fillId="0" borderId="1" xfId="0" quotePrefix="1" applyNumberFormat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center" vertical="top"/>
    </xf>
    <xf numFmtId="0" fontId="2" fillId="0" borderId="11" xfId="0" applyFont="1" applyFill="1" applyBorder="1" applyAlignment="1">
      <alignment horizontal="center" vertical="top"/>
    </xf>
    <xf numFmtId="0" fontId="2" fillId="0" borderId="7" xfId="0" quotePrefix="1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2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2" fillId="0" borderId="5" xfId="0" applyFont="1" applyBorder="1" applyAlignment="1">
      <alignment horizontal="left" vertical="top" wrapText="1"/>
    </xf>
    <xf numFmtId="0" fontId="2" fillId="0" borderId="4" xfId="0" quotePrefix="1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/>
    </xf>
    <xf numFmtId="0" fontId="2" fillId="0" borderId="15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" fontId="2" fillId="0" borderId="4" xfId="0" quotePrefix="1" applyNumberFormat="1" applyFont="1" applyBorder="1" applyAlignment="1">
      <alignment horizontal="left" vertical="top"/>
    </xf>
    <xf numFmtId="0" fontId="2" fillId="0" borderId="4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left" vertical="top" wrapText="1"/>
    </xf>
    <xf numFmtId="49" fontId="2" fillId="0" borderId="4" xfId="0" quotePrefix="1" applyNumberFormat="1" applyFont="1" applyBorder="1" applyAlignment="1">
      <alignment horizontal="left" vertical="top"/>
    </xf>
    <xf numFmtId="16" fontId="2" fillId="0" borderId="4" xfId="0" quotePrefix="1" applyNumberFormat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 wrapText="1"/>
    </xf>
    <xf numFmtId="49" fontId="2" fillId="0" borderId="4" xfId="0" quotePrefix="1" applyNumberFormat="1" applyFont="1" applyFill="1" applyBorder="1" applyAlignment="1">
      <alignment horizontal="left" vertical="top"/>
    </xf>
    <xf numFmtId="164" fontId="2" fillId="0" borderId="4" xfId="0" applyNumberFormat="1" applyFont="1" applyFill="1" applyBorder="1" applyAlignment="1">
      <alignment horizontal="left" vertical="top" wrapText="1"/>
    </xf>
    <xf numFmtId="14" fontId="2" fillId="0" borderId="4" xfId="0" applyNumberFormat="1" applyFont="1" applyFill="1" applyBorder="1" applyAlignment="1">
      <alignment horizontal="left" vertical="top" wrapText="1"/>
    </xf>
    <xf numFmtId="16" fontId="2" fillId="0" borderId="4" xfId="0" quotePrefix="1" applyNumberFormat="1" applyFont="1" applyFill="1" applyBorder="1" applyAlignment="1">
      <alignment horizontal="center" vertical="top"/>
    </xf>
    <xf numFmtId="0" fontId="2" fillId="0" borderId="4" xfId="0" quotePrefix="1" applyFont="1" applyFill="1" applyBorder="1" applyAlignment="1">
      <alignment horizontal="center" vertical="top"/>
    </xf>
    <xf numFmtId="16" fontId="2" fillId="0" borderId="4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0" fillId="0" borderId="0" xfId="0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opLeftCell="B1" zoomScale="145" zoomScaleNormal="145" workbookViewId="0">
      <selection activeCell="M9" sqref="M9"/>
    </sheetView>
  </sheetViews>
  <sheetFormatPr baseColWidth="10" defaultColWidth="9.140625" defaultRowHeight="15" x14ac:dyDescent="0.25"/>
  <cols>
    <col min="1" max="1" width="9.28515625" customWidth="1"/>
    <col min="2" max="2" width="5" customWidth="1"/>
    <col min="3" max="3" width="9.140625" customWidth="1"/>
    <col min="4" max="4" width="4.140625" customWidth="1"/>
    <col min="5" max="5" width="27.42578125" customWidth="1"/>
    <col min="6" max="6" width="14.42578125" customWidth="1"/>
    <col min="7" max="7" width="6.42578125" customWidth="1"/>
    <col min="8" max="8" width="6.28515625" customWidth="1"/>
    <col min="9" max="15" width="6.42578125" customWidth="1"/>
    <col min="16" max="16" width="6.28515625" customWidth="1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6" t="s">
        <v>13</v>
      </c>
      <c r="D8" s="83" t="s">
        <v>14</v>
      </c>
      <c r="E8" s="85" t="s">
        <v>15</v>
      </c>
      <c r="F8" s="4" t="s">
        <v>23</v>
      </c>
      <c r="G8" s="5" t="s">
        <v>24</v>
      </c>
      <c r="H8" s="3" t="s">
        <v>25</v>
      </c>
      <c r="I8" s="3" t="s">
        <v>26</v>
      </c>
      <c r="J8" s="85" t="s">
        <v>18</v>
      </c>
      <c r="K8" s="85" t="s">
        <v>19</v>
      </c>
      <c r="L8" s="85" t="s">
        <v>20</v>
      </c>
      <c r="M8" s="3" t="s">
        <v>27</v>
      </c>
      <c r="N8" s="3" t="s">
        <v>28</v>
      </c>
      <c r="O8" s="3" t="s">
        <v>29</v>
      </c>
      <c r="P8" s="85" t="s">
        <v>22</v>
      </c>
    </row>
    <row r="9" spans="1:16" ht="24.75" customHeight="1" x14ac:dyDescent="0.25">
      <c r="A9" s="6" t="str">
        <f>D6</f>
        <v>VISTOS BUENOS</v>
      </c>
      <c r="B9" s="2">
        <v>1</v>
      </c>
      <c r="C9" s="2">
        <v>1</v>
      </c>
      <c r="D9" s="2">
        <v>1</v>
      </c>
      <c r="E9" s="10" t="s">
        <v>33</v>
      </c>
      <c r="F9" s="6" t="s">
        <v>140</v>
      </c>
      <c r="G9" s="2" t="s">
        <v>30</v>
      </c>
      <c r="H9" s="17" t="s">
        <v>236</v>
      </c>
      <c r="I9" s="17" t="s">
        <v>237</v>
      </c>
      <c r="J9" s="2">
        <v>7</v>
      </c>
      <c r="K9" s="14" t="s">
        <v>31</v>
      </c>
      <c r="L9" s="10" t="s">
        <v>32</v>
      </c>
      <c r="M9" s="20"/>
      <c r="N9" s="1"/>
      <c r="O9" s="1"/>
      <c r="P9" s="1"/>
    </row>
    <row r="10" spans="1:16" ht="24.75" customHeight="1" x14ac:dyDescent="0.25">
      <c r="A10" s="6" t="str">
        <f>A9</f>
        <v>VISTOS BUENOS</v>
      </c>
      <c r="B10" s="11">
        <v>1</v>
      </c>
      <c r="C10" s="11">
        <v>1</v>
      </c>
      <c r="D10" s="2">
        <v>2</v>
      </c>
      <c r="E10" s="10" t="s">
        <v>34</v>
      </c>
      <c r="F10" s="14" t="s">
        <v>141</v>
      </c>
      <c r="G10" s="2" t="s">
        <v>30</v>
      </c>
      <c r="H10" s="17" t="s">
        <v>238</v>
      </c>
      <c r="I10" s="17" t="s">
        <v>239</v>
      </c>
      <c r="J10" s="2">
        <v>6</v>
      </c>
      <c r="K10" s="14" t="s">
        <v>31</v>
      </c>
      <c r="L10" s="10" t="s">
        <v>32</v>
      </c>
      <c r="M10" s="20"/>
      <c r="N10" s="20"/>
      <c r="O10" s="1"/>
      <c r="P10" s="1"/>
    </row>
    <row r="11" spans="1:16" ht="24.75" customHeight="1" x14ac:dyDescent="0.25">
      <c r="A11" s="14" t="str">
        <f t="shared" ref="A11:A74" si="0">A10</f>
        <v>VISTOS BUENOS</v>
      </c>
      <c r="B11" s="11">
        <v>1</v>
      </c>
      <c r="C11" s="11">
        <v>1</v>
      </c>
      <c r="D11" s="2">
        <v>3</v>
      </c>
      <c r="E11" s="10" t="s">
        <v>35</v>
      </c>
      <c r="F11" s="14" t="s">
        <v>142</v>
      </c>
      <c r="G11" s="2" t="s">
        <v>30</v>
      </c>
      <c r="H11" s="17" t="s">
        <v>240</v>
      </c>
      <c r="I11" s="17" t="s">
        <v>241</v>
      </c>
      <c r="J11" s="2">
        <v>17</v>
      </c>
      <c r="K11" s="14" t="s">
        <v>31</v>
      </c>
      <c r="L11" s="10" t="s">
        <v>32</v>
      </c>
      <c r="M11" s="20"/>
      <c r="N11" s="20"/>
      <c r="O11" s="1"/>
      <c r="P11" s="1"/>
    </row>
    <row r="12" spans="1:16" ht="24.75" customHeight="1" x14ac:dyDescent="0.25">
      <c r="A12" s="14" t="str">
        <f t="shared" si="0"/>
        <v>VISTOS BUENOS</v>
      </c>
      <c r="B12" s="11">
        <v>1</v>
      </c>
      <c r="C12" s="11">
        <v>1</v>
      </c>
      <c r="D12" s="2">
        <v>4</v>
      </c>
      <c r="E12" s="10" t="s">
        <v>36</v>
      </c>
      <c r="F12" s="14" t="s">
        <v>143</v>
      </c>
      <c r="G12" s="2" t="s">
        <v>30</v>
      </c>
      <c r="H12" s="17" t="s">
        <v>242</v>
      </c>
      <c r="I12" s="17" t="s">
        <v>243</v>
      </c>
      <c r="J12" s="11">
        <v>6</v>
      </c>
      <c r="K12" s="14" t="s">
        <v>31</v>
      </c>
      <c r="L12" s="10" t="s">
        <v>32</v>
      </c>
      <c r="M12" s="20"/>
      <c r="N12" s="20"/>
      <c r="O12" s="1"/>
      <c r="P12" s="1"/>
    </row>
    <row r="13" spans="1:16" ht="24.75" customHeight="1" x14ac:dyDescent="0.25">
      <c r="A13" s="14" t="str">
        <f t="shared" si="0"/>
        <v>VISTOS BUENOS</v>
      </c>
      <c r="B13" s="11">
        <v>1</v>
      </c>
      <c r="C13" s="11">
        <v>1</v>
      </c>
      <c r="D13" s="11">
        <v>5</v>
      </c>
      <c r="E13" s="10" t="s">
        <v>37</v>
      </c>
      <c r="F13" s="14" t="s">
        <v>144</v>
      </c>
      <c r="G13" s="11" t="s">
        <v>30</v>
      </c>
      <c r="H13" s="17" t="s">
        <v>240</v>
      </c>
      <c r="I13" s="17" t="s">
        <v>244</v>
      </c>
      <c r="J13" s="11">
        <v>6</v>
      </c>
      <c r="K13" s="14" t="s">
        <v>31</v>
      </c>
      <c r="L13" s="10" t="s">
        <v>32</v>
      </c>
      <c r="M13" s="20"/>
      <c r="N13" s="20"/>
      <c r="O13" s="7"/>
      <c r="P13" s="7"/>
    </row>
    <row r="14" spans="1:16" ht="24.75" customHeight="1" x14ac:dyDescent="0.25">
      <c r="A14" s="14" t="str">
        <f t="shared" si="0"/>
        <v>VISTOS BUENOS</v>
      </c>
      <c r="B14" s="11">
        <v>1</v>
      </c>
      <c r="C14" s="11">
        <v>1</v>
      </c>
      <c r="D14" s="11">
        <v>6</v>
      </c>
      <c r="E14" s="10" t="s">
        <v>38</v>
      </c>
      <c r="F14" s="14" t="s">
        <v>145</v>
      </c>
      <c r="G14" s="11" t="s">
        <v>30</v>
      </c>
      <c r="H14" s="17" t="s">
        <v>245</v>
      </c>
      <c r="I14" s="17" t="s">
        <v>246</v>
      </c>
      <c r="J14" s="11">
        <v>32</v>
      </c>
      <c r="K14" s="14" t="s">
        <v>31</v>
      </c>
      <c r="L14" s="10" t="s">
        <v>32</v>
      </c>
      <c r="M14" s="20"/>
      <c r="N14" s="20"/>
      <c r="O14" s="7"/>
      <c r="P14" s="7"/>
    </row>
    <row r="15" spans="1:16" ht="24.75" customHeight="1" x14ac:dyDescent="0.25">
      <c r="A15" s="14" t="str">
        <f t="shared" si="0"/>
        <v>VISTOS BUENOS</v>
      </c>
      <c r="B15" s="11">
        <v>1</v>
      </c>
      <c r="C15" s="11">
        <v>1</v>
      </c>
      <c r="D15" s="11">
        <v>7</v>
      </c>
      <c r="E15" s="10" t="s">
        <v>39</v>
      </c>
      <c r="F15" s="14" t="s">
        <v>146</v>
      </c>
      <c r="G15" s="11" t="s">
        <v>30</v>
      </c>
      <c r="H15" s="17" t="s">
        <v>247</v>
      </c>
      <c r="I15" s="17" t="s">
        <v>248</v>
      </c>
      <c r="J15" s="11">
        <v>16</v>
      </c>
      <c r="K15" s="14" t="s">
        <v>31</v>
      </c>
      <c r="L15" s="10" t="s">
        <v>32</v>
      </c>
      <c r="M15" s="20"/>
      <c r="N15" s="20"/>
      <c r="O15" s="7"/>
      <c r="P15" s="7"/>
    </row>
    <row r="16" spans="1:16" ht="24.75" customHeight="1" x14ac:dyDescent="0.25">
      <c r="A16" s="14" t="str">
        <f t="shared" si="0"/>
        <v>VISTOS BUENOS</v>
      </c>
      <c r="B16" s="11">
        <v>1</v>
      </c>
      <c r="C16" s="11">
        <v>1</v>
      </c>
      <c r="D16" s="11">
        <v>8</v>
      </c>
      <c r="E16" s="10" t="s">
        <v>40</v>
      </c>
      <c r="F16" s="14" t="s">
        <v>147</v>
      </c>
      <c r="G16" s="11" t="s">
        <v>30</v>
      </c>
      <c r="H16" s="17" t="s">
        <v>249</v>
      </c>
      <c r="I16" s="17" t="s">
        <v>250</v>
      </c>
      <c r="J16" s="11">
        <v>6</v>
      </c>
      <c r="K16" s="14" t="s">
        <v>31</v>
      </c>
      <c r="L16" s="10" t="s">
        <v>32</v>
      </c>
      <c r="M16" s="20"/>
      <c r="N16" s="20"/>
      <c r="O16" s="7"/>
      <c r="P16" s="7"/>
    </row>
    <row r="17" spans="1:16" ht="24.75" customHeight="1" x14ac:dyDescent="0.25">
      <c r="A17" s="14" t="str">
        <f t="shared" si="0"/>
        <v>VISTOS BUENOS</v>
      </c>
      <c r="B17" s="11">
        <v>1</v>
      </c>
      <c r="C17" s="11">
        <v>2</v>
      </c>
      <c r="D17" s="11">
        <v>9</v>
      </c>
      <c r="E17" s="10" t="s">
        <v>41</v>
      </c>
      <c r="F17" s="14" t="s">
        <v>148</v>
      </c>
      <c r="G17" s="11" t="s">
        <v>30</v>
      </c>
      <c r="H17" s="17" t="s">
        <v>249</v>
      </c>
      <c r="I17" s="17" t="s">
        <v>251</v>
      </c>
      <c r="J17" s="11">
        <v>7</v>
      </c>
      <c r="K17" s="14" t="s">
        <v>31</v>
      </c>
      <c r="L17" s="10" t="s">
        <v>32</v>
      </c>
      <c r="M17" s="20"/>
      <c r="N17" s="20"/>
      <c r="O17" s="7"/>
      <c r="P17" s="7"/>
    </row>
    <row r="18" spans="1:16" ht="24.75" customHeight="1" x14ac:dyDescent="0.25">
      <c r="A18" s="14" t="str">
        <f t="shared" si="0"/>
        <v>VISTOS BUENOS</v>
      </c>
      <c r="B18" s="11">
        <v>1</v>
      </c>
      <c r="C18" s="11">
        <v>2</v>
      </c>
      <c r="D18" s="11">
        <v>10</v>
      </c>
      <c r="E18" s="10" t="s">
        <v>42</v>
      </c>
      <c r="F18" s="14" t="s">
        <v>149</v>
      </c>
      <c r="G18" s="11" t="s">
        <v>30</v>
      </c>
      <c r="H18" s="17" t="s">
        <v>246</v>
      </c>
      <c r="I18" s="17" t="s">
        <v>252</v>
      </c>
      <c r="J18" s="11">
        <v>11</v>
      </c>
      <c r="K18" s="14" t="s">
        <v>31</v>
      </c>
      <c r="L18" s="10" t="s">
        <v>32</v>
      </c>
      <c r="M18" s="20"/>
      <c r="N18" s="20"/>
      <c r="O18" s="7"/>
      <c r="P18" s="7"/>
    </row>
    <row r="19" spans="1:16" ht="24.75" customHeight="1" x14ac:dyDescent="0.25">
      <c r="A19" s="14" t="str">
        <f t="shared" si="0"/>
        <v>VISTOS BUENOS</v>
      </c>
      <c r="B19" s="11">
        <v>1</v>
      </c>
      <c r="C19" s="11">
        <v>2</v>
      </c>
      <c r="D19" s="11">
        <v>11</v>
      </c>
      <c r="E19" s="10" t="s">
        <v>43</v>
      </c>
      <c r="F19" s="14" t="s">
        <v>150</v>
      </c>
      <c r="G19" s="11" t="s">
        <v>30</v>
      </c>
      <c r="H19" s="17" t="s">
        <v>253</v>
      </c>
      <c r="I19" s="17" t="s">
        <v>254</v>
      </c>
      <c r="J19" s="11">
        <v>9</v>
      </c>
      <c r="K19" s="14" t="s">
        <v>31</v>
      </c>
      <c r="L19" s="10" t="s">
        <v>32</v>
      </c>
      <c r="M19" s="20"/>
      <c r="N19" s="20"/>
      <c r="O19" s="7"/>
      <c r="P19" s="7"/>
    </row>
    <row r="20" spans="1:16" ht="24.75" customHeight="1" x14ac:dyDescent="0.25">
      <c r="A20" s="14" t="str">
        <f t="shared" si="0"/>
        <v>VISTOS BUENOS</v>
      </c>
      <c r="B20" s="11">
        <v>1</v>
      </c>
      <c r="C20" s="11">
        <v>2</v>
      </c>
      <c r="D20" s="11">
        <v>12</v>
      </c>
      <c r="E20" s="10" t="s">
        <v>44</v>
      </c>
      <c r="F20" s="14" t="s">
        <v>151</v>
      </c>
      <c r="G20" s="11" t="s">
        <v>30</v>
      </c>
      <c r="H20" s="17" t="s">
        <v>255</v>
      </c>
      <c r="I20" s="17" t="s">
        <v>256</v>
      </c>
      <c r="J20" s="11">
        <v>25</v>
      </c>
      <c r="K20" s="14" t="s">
        <v>31</v>
      </c>
      <c r="L20" s="10" t="s">
        <v>32</v>
      </c>
      <c r="M20" s="20"/>
      <c r="N20" s="20"/>
      <c r="O20" s="7"/>
      <c r="P20" s="7"/>
    </row>
    <row r="21" spans="1:16" ht="24.75" customHeight="1" x14ac:dyDescent="0.25">
      <c r="A21" s="14" t="str">
        <f t="shared" si="0"/>
        <v>VISTOS BUENOS</v>
      </c>
      <c r="B21" s="11">
        <v>1</v>
      </c>
      <c r="C21" s="11">
        <v>2</v>
      </c>
      <c r="D21" s="11">
        <v>13</v>
      </c>
      <c r="E21" s="10" t="s">
        <v>45</v>
      </c>
      <c r="F21" s="14" t="s">
        <v>152</v>
      </c>
      <c r="G21" s="11" t="s">
        <v>30</v>
      </c>
      <c r="H21" s="17" t="s">
        <v>257</v>
      </c>
      <c r="I21" s="17" t="s">
        <v>258</v>
      </c>
      <c r="J21" s="11">
        <v>59</v>
      </c>
      <c r="K21" s="14" t="s">
        <v>31</v>
      </c>
      <c r="L21" s="10" t="s">
        <v>32</v>
      </c>
      <c r="M21" s="20"/>
      <c r="N21" s="20"/>
      <c r="O21" s="7"/>
      <c r="P21" s="7"/>
    </row>
    <row r="22" spans="1:16" ht="24.75" customHeight="1" x14ac:dyDescent="0.25">
      <c r="A22" s="14" t="str">
        <f t="shared" si="0"/>
        <v>VISTOS BUENOS</v>
      </c>
      <c r="B22" s="11">
        <v>1</v>
      </c>
      <c r="C22" s="11">
        <v>3</v>
      </c>
      <c r="D22" s="11">
        <v>14</v>
      </c>
      <c r="E22" s="10" t="s">
        <v>46</v>
      </c>
      <c r="F22" s="14" t="s">
        <v>153</v>
      </c>
      <c r="G22" s="11" t="s">
        <v>30</v>
      </c>
      <c r="H22" s="17" t="s">
        <v>257</v>
      </c>
      <c r="I22" s="17" t="s">
        <v>259</v>
      </c>
      <c r="J22" s="11">
        <v>25</v>
      </c>
      <c r="K22" s="14" t="s">
        <v>31</v>
      </c>
      <c r="L22" s="10" t="s">
        <v>32</v>
      </c>
      <c r="M22" s="20"/>
      <c r="N22" s="20"/>
      <c r="O22" s="7"/>
      <c r="P22" s="7"/>
    </row>
    <row r="23" spans="1:16" ht="24.75" customHeight="1" x14ac:dyDescent="0.25">
      <c r="A23" s="14" t="str">
        <f t="shared" si="0"/>
        <v>VISTOS BUENOS</v>
      </c>
      <c r="B23" s="11">
        <v>1</v>
      </c>
      <c r="C23" s="11">
        <v>3</v>
      </c>
      <c r="D23" s="11">
        <v>15</v>
      </c>
      <c r="E23" s="10" t="s">
        <v>47</v>
      </c>
      <c r="F23" s="14" t="s">
        <v>146</v>
      </c>
      <c r="G23" s="11" t="s">
        <v>30</v>
      </c>
      <c r="H23" s="17" t="s">
        <v>260</v>
      </c>
      <c r="I23" s="17" t="s">
        <v>261</v>
      </c>
      <c r="J23" s="11">
        <v>31</v>
      </c>
      <c r="K23" s="14" t="s">
        <v>31</v>
      </c>
      <c r="L23" s="10" t="s">
        <v>32</v>
      </c>
      <c r="M23" s="20"/>
      <c r="N23" s="20"/>
      <c r="O23" s="7"/>
      <c r="P23" s="7"/>
    </row>
    <row r="24" spans="1:16" ht="24.75" customHeight="1" x14ac:dyDescent="0.25">
      <c r="A24" s="14" t="str">
        <f t="shared" si="0"/>
        <v>VISTOS BUENOS</v>
      </c>
      <c r="B24" s="11">
        <v>1</v>
      </c>
      <c r="C24" s="11">
        <v>3</v>
      </c>
      <c r="D24" s="11">
        <v>16</v>
      </c>
      <c r="E24" s="10" t="s">
        <v>48</v>
      </c>
      <c r="F24" s="14" t="s">
        <v>154</v>
      </c>
      <c r="G24" s="11" t="s">
        <v>30</v>
      </c>
      <c r="H24" s="17" t="s">
        <v>248</v>
      </c>
      <c r="I24" s="17" t="s">
        <v>262</v>
      </c>
      <c r="J24" s="11">
        <v>19</v>
      </c>
      <c r="K24" s="14" t="s">
        <v>31</v>
      </c>
      <c r="L24" s="10" t="s">
        <v>32</v>
      </c>
      <c r="M24" s="20"/>
      <c r="N24" s="20"/>
      <c r="O24" s="7"/>
      <c r="P24" s="7"/>
    </row>
    <row r="25" spans="1:16" ht="24.75" customHeight="1" x14ac:dyDescent="0.25">
      <c r="A25" s="14" t="str">
        <f t="shared" si="0"/>
        <v>VISTOS BUENOS</v>
      </c>
      <c r="B25" s="11">
        <v>1</v>
      </c>
      <c r="C25" s="11">
        <v>3</v>
      </c>
      <c r="D25" s="11">
        <v>17</v>
      </c>
      <c r="E25" s="10" t="s">
        <v>49</v>
      </c>
      <c r="F25" s="14" t="s">
        <v>155</v>
      </c>
      <c r="G25" s="11" t="s">
        <v>30</v>
      </c>
      <c r="H25" s="17" t="s">
        <v>260</v>
      </c>
      <c r="I25" s="17" t="s">
        <v>263</v>
      </c>
      <c r="J25" s="11">
        <v>28</v>
      </c>
      <c r="K25" s="14" t="s">
        <v>31</v>
      </c>
      <c r="L25" s="10" t="s">
        <v>32</v>
      </c>
      <c r="M25" s="20"/>
      <c r="N25" s="20"/>
      <c r="O25" s="7"/>
      <c r="P25" s="7"/>
    </row>
    <row r="26" spans="1:16" ht="24.75" customHeight="1" x14ac:dyDescent="0.25">
      <c r="A26" s="14" t="str">
        <f t="shared" si="0"/>
        <v>VISTOS BUENOS</v>
      </c>
      <c r="B26" s="11">
        <v>1</v>
      </c>
      <c r="C26" s="11">
        <v>3</v>
      </c>
      <c r="D26" s="11">
        <v>18</v>
      </c>
      <c r="E26" s="10" t="s">
        <v>50</v>
      </c>
      <c r="F26" s="14" t="s">
        <v>156</v>
      </c>
      <c r="G26" s="11" t="s">
        <v>30</v>
      </c>
      <c r="H26" s="17" t="s">
        <v>264</v>
      </c>
      <c r="I26" s="17" t="s">
        <v>265</v>
      </c>
      <c r="J26" s="11">
        <v>10</v>
      </c>
      <c r="K26" s="14" t="s">
        <v>31</v>
      </c>
      <c r="L26" s="10" t="s">
        <v>32</v>
      </c>
      <c r="M26" s="20"/>
      <c r="N26" s="20"/>
      <c r="O26" s="7"/>
      <c r="P26" s="7"/>
    </row>
    <row r="27" spans="1:16" ht="24.75" customHeight="1" x14ac:dyDescent="0.25">
      <c r="A27" s="14" t="str">
        <f t="shared" si="0"/>
        <v>VISTOS BUENOS</v>
      </c>
      <c r="B27" s="11">
        <v>1</v>
      </c>
      <c r="C27" s="11">
        <v>4</v>
      </c>
      <c r="D27" s="11">
        <v>19</v>
      </c>
      <c r="E27" s="10" t="s">
        <v>51</v>
      </c>
      <c r="F27" s="14" t="s">
        <v>157</v>
      </c>
      <c r="G27" s="11" t="s">
        <v>30</v>
      </c>
      <c r="H27" s="17" t="s">
        <v>266</v>
      </c>
      <c r="I27" s="17" t="s">
        <v>263</v>
      </c>
      <c r="J27" s="11">
        <v>11</v>
      </c>
      <c r="K27" s="14" t="s">
        <v>31</v>
      </c>
      <c r="L27" s="10" t="s">
        <v>32</v>
      </c>
      <c r="M27" s="20"/>
      <c r="N27" s="20"/>
      <c r="O27" s="7"/>
      <c r="P27" s="7"/>
    </row>
    <row r="28" spans="1:16" ht="24.75" customHeight="1" x14ac:dyDescent="0.25">
      <c r="A28" s="14" t="str">
        <f t="shared" si="0"/>
        <v>VISTOS BUENOS</v>
      </c>
      <c r="B28" s="11">
        <v>1</v>
      </c>
      <c r="C28" s="11">
        <v>4</v>
      </c>
      <c r="D28" s="11">
        <v>20</v>
      </c>
      <c r="E28" s="10" t="s">
        <v>52</v>
      </c>
      <c r="F28" s="14" t="s">
        <v>158</v>
      </c>
      <c r="G28" s="11" t="s">
        <v>30</v>
      </c>
      <c r="H28" s="17" t="s">
        <v>263</v>
      </c>
      <c r="I28" s="17" t="s">
        <v>267</v>
      </c>
      <c r="J28" s="11">
        <v>30</v>
      </c>
      <c r="K28" s="14" t="s">
        <v>31</v>
      </c>
      <c r="L28" s="10" t="s">
        <v>32</v>
      </c>
      <c r="M28" s="20"/>
      <c r="N28" s="20"/>
      <c r="O28" s="7"/>
      <c r="P28" s="7"/>
    </row>
    <row r="29" spans="1:16" ht="24.75" customHeight="1" x14ac:dyDescent="0.25">
      <c r="A29" s="14" t="str">
        <f t="shared" si="0"/>
        <v>VISTOS BUENOS</v>
      </c>
      <c r="B29" s="11">
        <v>1</v>
      </c>
      <c r="C29" s="11">
        <v>4</v>
      </c>
      <c r="D29" s="11">
        <v>21</v>
      </c>
      <c r="E29" s="10" t="s">
        <v>53</v>
      </c>
      <c r="F29" s="14" t="s">
        <v>159</v>
      </c>
      <c r="G29" s="11" t="s">
        <v>30</v>
      </c>
      <c r="H29" s="17" t="s">
        <v>268</v>
      </c>
      <c r="I29" s="17" t="s">
        <v>269</v>
      </c>
      <c r="J29" s="11">
        <v>11</v>
      </c>
      <c r="K29" s="14" t="s">
        <v>31</v>
      </c>
      <c r="L29" s="10" t="s">
        <v>32</v>
      </c>
      <c r="M29" s="20"/>
      <c r="N29" s="20"/>
      <c r="O29" s="7"/>
      <c r="P29" s="7"/>
    </row>
    <row r="30" spans="1:16" ht="24.75" customHeight="1" x14ac:dyDescent="0.25">
      <c r="A30" s="14" t="str">
        <f t="shared" si="0"/>
        <v>VISTOS BUENOS</v>
      </c>
      <c r="B30" s="11">
        <v>1</v>
      </c>
      <c r="C30" s="11">
        <v>4</v>
      </c>
      <c r="D30" s="11">
        <v>22</v>
      </c>
      <c r="E30" s="10" t="s">
        <v>133</v>
      </c>
      <c r="F30" s="14" t="s">
        <v>319</v>
      </c>
      <c r="G30" s="11" t="s">
        <v>30</v>
      </c>
      <c r="H30" s="17" t="s">
        <v>320</v>
      </c>
      <c r="I30" s="17" t="s">
        <v>321</v>
      </c>
      <c r="J30" s="11">
        <v>10</v>
      </c>
      <c r="K30" s="14" t="s">
        <v>31</v>
      </c>
      <c r="L30" s="10" t="s">
        <v>32</v>
      </c>
      <c r="M30" s="20"/>
      <c r="N30" s="20"/>
      <c r="O30" s="7"/>
      <c r="P30" s="7"/>
    </row>
    <row r="31" spans="1:16" ht="24.75" customHeight="1" x14ac:dyDescent="0.25">
      <c r="A31" s="14" t="str">
        <f t="shared" si="0"/>
        <v>VISTOS BUENOS</v>
      </c>
      <c r="B31" s="11">
        <v>1</v>
      </c>
      <c r="C31" s="11">
        <v>4</v>
      </c>
      <c r="D31" s="11">
        <v>23</v>
      </c>
      <c r="E31" s="10" t="s">
        <v>55</v>
      </c>
      <c r="F31" s="14" t="s">
        <v>160</v>
      </c>
      <c r="G31" s="11" t="s">
        <v>30</v>
      </c>
      <c r="H31" s="17" t="s">
        <v>268</v>
      </c>
      <c r="I31" s="17" t="s">
        <v>265</v>
      </c>
      <c r="J31" s="11">
        <v>26</v>
      </c>
      <c r="K31" s="14" t="s">
        <v>31</v>
      </c>
      <c r="L31" s="10" t="s">
        <v>32</v>
      </c>
      <c r="M31" s="20"/>
      <c r="N31" s="20"/>
      <c r="O31" s="7"/>
      <c r="P31" s="7"/>
    </row>
    <row r="32" spans="1:16" ht="24.75" customHeight="1" x14ac:dyDescent="0.25">
      <c r="A32" s="14" t="str">
        <f t="shared" si="0"/>
        <v>VISTOS BUENOS</v>
      </c>
      <c r="B32" s="11">
        <v>1</v>
      </c>
      <c r="C32" s="11">
        <v>4</v>
      </c>
      <c r="D32" s="11">
        <v>24</v>
      </c>
      <c r="E32" s="10" t="s">
        <v>56</v>
      </c>
      <c r="F32" s="14" t="s">
        <v>161</v>
      </c>
      <c r="G32" s="11" t="s">
        <v>30</v>
      </c>
      <c r="H32" s="17" t="s">
        <v>268</v>
      </c>
      <c r="I32" s="17" t="s">
        <v>271</v>
      </c>
      <c r="J32" s="11">
        <v>16</v>
      </c>
      <c r="K32" s="14" t="s">
        <v>31</v>
      </c>
      <c r="L32" s="10" t="s">
        <v>32</v>
      </c>
      <c r="M32" s="20"/>
      <c r="N32" s="20"/>
      <c r="O32" s="7"/>
      <c r="P32" s="7"/>
    </row>
    <row r="33" spans="1:16" ht="24.75" customHeight="1" x14ac:dyDescent="0.25">
      <c r="A33" s="14" t="str">
        <f t="shared" si="0"/>
        <v>VISTOS BUENOS</v>
      </c>
      <c r="B33" s="11">
        <v>1</v>
      </c>
      <c r="C33" s="11">
        <v>5</v>
      </c>
      <c r="D33" s="11">
        <v>25</v>
      </c>
      <c r="E33" s="10" t="s">
        <v>57</v>
      </c>
      <c r="F33" s="14" t="s">
        <v>162</v>
      </c>
      <c r="G33" s="11" t="s">
        <v>30</v>
      </c>
      <c r="H33" s="17" t="s">
        <v>272</v>
      </c>
      <c r="I33" s="17" t="s">
        <v>273</v>
      </c>
      <c r="J33" s="11">
        <v>97</v>
      </c>
      <c r="K33" s="14" t="s">
        <v>31</v>
      </c>
      <c r="L33" s="10" t="s">
        <v>32</v>
      </c>
      <c r="M33" s="20"/>
      <c r="N33" s="20"/>
      <c r="O33" s="7"/>
      <c r="P33" s="7"/>
    </row>
    <row r="34" spans="1:16" ht="24.75" customHeight="1" x14ac:dyDescent="0.25">
      <c r="A34" s="14" t="str">
        <f t="shared" si="0"/>
        <v>VISTOS BUENOS</v>
      </c>
      <c r="B34" s="11">
        <v>1</v>
      </c>
      <c r="C34" s="11">
        <v>6</v>
      </c>
      <c r="D34" s="11">
        <v>26</v>
      </c>
      <c r="E34" s="10" t="s">
        <v>58</v>
      </c>
      <c r="F34" s="14" t="s">
        <v>163</v>
      </c>
      <c r="G34" s="11" t="s">
        <v>30</v>
      </c>
      <c r="H34" s="17" t="s">
        <v>274</v>
      </c>
      <c r="I34" s="17" t="s">
        <v>275</v>
      </c>
      <c r="J34" s="11">
        <v>66</v>
      </c>
      <c r="K34" s="14" t="s">
        <v>31</v>
      </c>
      <c r="L34" s="10" t="s">
        <v>32</v>
      </c>
      <c r="M34" s="20"/>
      <c r="N34" s="20"/>
      <c r="O34" s="7"/>
      <c r="P34" s="7"/>
    </row>
    <row r="35" spans="1:16" ht="24.75" customHeight="1" x14ac:dyDescent="0.25">
      <c r="A35" s="14" t="str">
        <f t="shared" si="0"/>
        <v>VISTOS BUENOS</v>
      </c>
      <c r="B35" s="11">
        <v>1</v>
      </c>
      <c r="C35" s="11">
        <v>6</v>
      </c>
      <c r="D35" s="11">
        <v>27</v>
      </c>
      <c r="E35" s="10" t="s">
        <v>59</v>
      </c>
      <c r="F35" s="14" t="s">
        <v>164</v>
      </c>
      <c r="G35" s="11" t="s">
        <v>30</v>
      </c>
      <c r="H35" s="17" t="s">
        <v>276</v>
      </c>
      <c r="I35" s="17" t="s">
        <v>277</v>
      </c>
      <c r="J35" s="11">
        <v>29</v>
      </c>
      <c r="K35" s="14" t="s">
        <v>31</v>
      </c>
      <c r="L35" s="10" t="s">
        <v>32</v>
      </c>
      <c r="M35" s="20"/>
      <c r="N35" s="20"/>
      <c r="O35" s="7"/>
      <c r="P35" s="7"/>
    </row>
    <row r="36" spans="1:16" ht="24.75" customHeight="1" x14ac:dyDescent="0.25">
      <c r="A36" s="14" t="str">
        <f t="shared" si="0"/>
        <v>VISTOS BUENOS</v>
      </c>
      <c r="B36" s="11">
        <v>1</v>
      </c>
      <c r="C36" s="11">
        <v>6</v>
      </c>
      <c r="D36" s="11">
        <v>28</v>
      </c>
      <c r="E36" s="10" t="s">
        <v>60</v>
      </c>
      <c r="F36" s="14" t="s">
        <v>165</v>
      </c>
      <c r="G36" s="11" t="s">
        <v>30</v>
      </c>
      <c r="H36" s="17" t="s">
        <v>278</v>
      </c>
      <c r="I36" s="17" t="s">
        <v>279</v>
      </c>
      <c r="J36" s="11">
        <v>16</v>
      </c>
      <c r="K36" s="14" t="s">
        <v>31</v>
      </c>
      <c r="L36" s="10" t="s">
        <v>32</v>
      </c>
      <c r="M36" s="20"/>
      <c r="N36" s="20"/>
      <c r="O36" s="7"/>
      <c r="P36" s="7"/>
    </row>
    <row r="37" spans="1:16" ht="24.75" customHeight="1" x14ac:dyDescent="0.25">
      <c r="A37" s="14" t="str">
        <f t="shared" si="0"/>
        <v>VISTOS BUENOS</v>
      </c>
      <c r="B37" s="11">
        <v>1</v>
      </c>
      <c r="C37" s="11">
        <v>7</v>
      </c>
      <c r="D37" s="11">
        <v>29</v>
      </c>
      <c r="E37" s="10" t="s">
        <v>61</v>
      </c>
      <c r="F37" s="14" t="s">
        <v>166</v>
      </c>
      <c r="G37" s="11" t="s">
        <v>30</v>
      </c>
      <c r="H37" s="17" t="s">
        <v>279</v>
      </c>
      <c r="I37" s="17" t="s">
        <v>280</v>
      </c>
      <c r="J37" s="11">
        <v>34</v>
      </c>
      <c r="K37" s="14" t="s">
        <v>31</v>
      </c>
      <c r="L37" s="10" t="s">
        <v>32</v>
      </c>
      <c r="M37" s="20"/>
      <c r="N37" s="20"/>
      <c r="O37" s="7"/>
      <c r="P37" s="7"/>
    </row>
    <row r="38" spans="1:16" ht="24.75" customHeight="1" x14ac:dyDescent="0.25">
      <c r="A38" s="14" t="str">
        <f t="shared" si="0"/>
        <v>VISTOS BUENOS</v>
      </c>
      <c r="B38" s="11">
        <v>1</v>
      </c>
      <c r="C38" s="11">
        <v>7</v>
      </c>
      <c r="D38" s="11">
        <v>30</v>
      </c>
      <c r="E38" s="10" t="s">
        <v>62</v>
      </c>
      <c r="F38" s="14" t="s">
        <v>167</v>
      </c>
      <c r="G38" s="11" t="s">
        <v>30</v>
      </c>
      <c r="H38" s="17" t="s">
        <v>281</v>
      </c>
      <c r="I38" s="17" t="s">
        <v>282</v>
      </c>
      <c r="J38" s="11">
        <v>11</v>
      </c>
      <c r="K38" s="14" t="s">
        <v>31</v>
      </c>
      <c r="L38" s="10" t="s">
        <v>32</v>
      </c>
      <c r="M38" s="20"/>
      <c r="N38" s="20"/>
      <c r="O38" s="7"/>
      <c r="P38" s="7"/>
    </row>
    <row r="39" spans="1:16" ht="24.75" customHeight="1" x14ac:dyDescent="0.25">
      <c r="A39" s="14" t="str">
        <f t="shared" si="0"/>
        <v>VISTOS BUENOS</v>
      </c>
      <c r="B39" s="11">
        <v>1</v>
      </c>
      <c r="C39" s="11">
        <v>7</v>
      </c>
      <c r="D39" s="11">
        <v>31</v>
      </c>
      <c r="E39" s="10" t="s">
        <v>63</v>
      </c>
      <c r="F39" s="14" t="s">
        <v>168</v>
      </c>
      <c r="G39" s="11" t="s">
        <v>30</v>
      </c>
      <c r="H39" s="17" t="s">
        <v>282</v>
      </c>
      <c r="I39" s="17" t="s">
        <v>283</v>
      </c>
      <c r="J39" s="11">
        <v>27</v>
      </c>
      <c r="K39" s="14" t="s">
        <v>31</v>
      </c>
      <c r="L39" s="10" t="s">
        <v>32</v>
      </c>
      <c r="M39" s="20"/>
      <c r="N39" s="20"/>
      <c r="O39" s="7"/>
      <c r="P39" s="7"/>
    </row>
    <row r="40" spans="1:16" ht="24.75" customHeight="1" x14ac:dyDescent="0.25">
      <c r="A40" s="14" t="str">
        <f t="shared" si="0"/>
        <v>VISTOS BUENOS</v>
      </c>
      <c r="B40" s="11">
        <v>1</v>
      </c>
      <c r="C40" s="11">
        <v>8</v>
      </c>
      <c r="D40" s="11">
        <v>32</v>
      </c>
      <c r="E40" s="10" t="s">
        <v>64</v>
      </c>
      <c r="F40" s="14" t="s">
        <v>169</v>
      </c>
      <c r="G40" s="11" t="s">
        <v>30</v>
      </c>
      <c r="H40" s="17" t="s">
        <v>284</v>
      </c>
      <c r="I40" s="17" t="s">
        <v>285</v>
      </c>
      <c r="J40" s="11">
        <v>58</v>
      </c>
      <c r="K40" s="14" t="s">
        <v>31</v>
      </c>
      <c r="L40" s="10" t="s">
        <v>32</v>
      </c>
      <c r="M40" s="20"/>
      <c r="N40" s="20"/>
      <c r="O40" s="7"/>
      <c r="P40" s="7"/>
    </row>
    <row r="41" spans="1:16" ht="24.75" customHeight="1" x14ac:dyDescent="0.25">
      <c r="A41" s="14" t="str">
        <f t="shared" si="0"/>
        <v>VISTOS BUENOS</v>
      </c>
      <c r="B41" s="11">
        <v>1</v>
      </c>
      <c r="C41" s="11">
        <v>8</v>
      </c>
      <c r="D41" s="11">
        <v>33</v>
      </c>
      <c r="E41" s="10" t="s">
        <v>65</v>
      </c>
      <c r="F41" s="14" t="s">
        <v>170</v>
      </c>
      <c r="G41" s="11" t="s">
        <v>30</v>
      </c>
      <c r="H41" s="17" t="s">
        <v>284</v>
      </c>
      <c r="I41" s="17" t="s">
        <v>286</v>
      </c>
      <c r="J41" s="11">
        <v>11</v>
      </c>
      <c r="K41" s="14" t="s">
        <v>31</v>
      </c>
      <c r="L41" s="10" t="s">
        <v>32</v>
      </c>
      <c r="M41" s="20"/>
      <c r="N41" s="20"/>
      <c r="O41" s="7"/>
      <c r="P41" s="7"/>
    </row>
    <row r="42" spans="1:16" ht="24.75" customHeight="1" x14ac:dyDescent="0.25">
      <c r="A42" s="14" t="str">
        <f t="shared" si="0"/>
        <v>VISTOS BUENOS</v>
      </c>
      <c r="B42" s="11">
        <v>1</v>
      </c>
      <c r="C42" s="11">
        <v>8</v>
      </c>
      <c r="D42" s="11">
        <v>34</v>
      </c>
      <c r="E42" s="10" t="s">
        <v>66</v>
      </c>
      <c r="F42" s="14" t="s">
        <v>171</v>
      </c>
      <c r="G42" s="11" t="s">
        <v>30</v>
      </c>
      <c r="H42" s="17" t="s">
        <v>287</v>
      </c>
      <c r="I42" s="17" t="s">
        <v>277</v>
      </c>
      <c r="J42" s="11">
        <v>10</v>
      </c>
      <c r="K42" s="14" t="s">
        <v>31</v>
      </c>
      <c r="L42" s="10" t="s">
        <v>32</v>
      </c>
      <c r="M42" s="20"/>
      <c r="N42" s="20"/>
      <c r="O42" s="7"/>
      <c r="P42" s="7"/>
    </row>
    <row r="43" spans="1:16" ht="24.75" customHeight="1" x14ac:dyDescent="0.25">
      <c r="A43" s="14" t="str">
        <f t="shared" si="0"/>
        <v>VISTOS BUENOS</v>
      </c>
      <c r="B43" s="11">
        <v>2</v>
      </c>
      <c r="C43" s="11">
        <v>9</v>
      </c>
      <c r="D43" s="11">
        <v>35</v>
      </c>
      <c r="E43" s="10" t="s">
        <v>67</v>
      </c>
      <c r="F43" s="14" t="s">
        <v>172</v>
      </c>
      <c r="G43" s="11" t="s">
        <v>30</v>
      </c>
      <c r="H43" s="17" t="s">
        <v>288</v>
      </c>
      <c r="I43" s="17" t="s">
        <v>289</v>
      </c>
      <c r="J43" s="11">
        <v>17</v>
      </c>
      <c r="K43" s="14" t="s">
        <v>31</v>
      </c>
      <c r="L43" s="10" t="s">
        <v>32</v>
      </c>
      <c r="M43" s="20"/>
      <c r="N43" s="20"/>
      <c r="O43" s="7"/>
      <c r="P43" s="7"/>
    </row>
    <row r="44" spans="1:16" ht="24.75" customHeight="1" x14ac:dyDescent="0.25">
      <c r="A44" s="14" t="str">
        <f t="shared" si="0"/>
        <v>VISTOS BUENOS</v>
      </c>
      <c r="B44" s="11">
        <v>2</v>
      </c>
      <c r="C44" s="11">
        <v>9</v>
      </c>
      <c r="D44" s="11">
        <v>36</v>
      </c>
      <c r="E44" s="10" t="s">
        <v>68</v>
      </c>
      <c r="F44" s="14" t="s">
        <v>173</v>
      </c>
      <c r="G44" s="11" t="s">
        <v>30</v>
      </c>
      <c r="H44" s="17" t="s">
        <v>288</v>
      </c>
      <c r="I44" s="17" t="s">
        <v>288</v>
      </c>
      <c r="J44" s="11">
        <v>10</v>
      </c>
      <c r="K44" s="14" t="s">
        <v>31</v>
      </c>
      <c r="L44" s="10" t="s">
        <v>32</v>
      </c>
      <c r="M44" s="20"/>
      <c r="N44" s="20"/>
      <c r="O44" s="7"/>
      <c r="P44" s="7"/>
    </row>
    <row r="45" spans="1:16" ht="24.75" customHeight="1" x14ac:dyDescent="0.25">
      <c r="A45" s="14" t="str">
        <f t="shared" si="0"/>
        <v>VISTOS BUENOS</v>
      </c>
      <c r="B45" s="11">
        <v>2</v>
      </c>
      <c r="C45" s="11">
        <v>9</v>
      </c>
      <c r="D45" s="11">
        <v>37</v>
      </c>
      <c r="E45" s="10" t="s">
        <v>69</v>
      </c>
      <c r="F45" s="14" t="s">
        <v>172</v>
      </c>
      <c r="G45" s="11" t="s">
        <v>30</v>
      </c>
      <c r="H45" s="17" t="s">
        <v>290</v>
      </c>
      <c r="I45" s="17" t="s">
        <v>291</v>
      </c>
      <c r="J45" s="11">
        <v>9</v>
      </c>
      <c r="K45" s="14" t="s">
        <v>31</v>
      </c>
      <c r="L45" s="10" t="s">
        <v>32</v>
      </c>
      <c r="M45" s="20"/>
      <c r="N45" s="20"/>
      <c r="O45" s="7"/>
      <c r="P45" s="7"/>
    </row>
    <row r="46" spans="1:16" ht="24.75" customHeight="1" x14ac:dyDescent="0.25">
      <c r="A46" s="14" t="str">
        <f t="shared" si="0"/>
        <v>VISTOS BUENOS</v>
      </c>
      <c r="B46" s="11">
        <v>2</v>
      </c>
      <c r="C46" s="11">
        <v>9</v>
      </c>
      <c r="D46" s="11">
        <v>38</v>
      </c>
      <c r="E46" s="10" t="s">
        <v>70</v>
      </c>
      <c r="F46" s="14" t="s">
        <v>174</v>
      </c>
      <c r="G46" s="11" t="s">
        <v>30</v>
      </c>
      <c r="H46" s="17" t="s">
        <v>292</v>
      </c>
      <c r="I46" s="17" t="s">
        <v>293</v>
      </c>
      <c r="J46" s="11">
        <v>85</v>
      </c>
      <c r="K46" s="14" t="s">
        <v>31</v>
      </c>
      <c r="L46" s="10" t="s">
        <v>32</v>
      </c>
      <c r="M46" s="20"/>
      <c r="N46" s="20"/>
      <c r="O46" s="7"/>
      <c r="P46" s="7"/>
    </row>
    <row r="47" spans="1:16" ht="24.75" customHeight="1" x14ac:dyDescent="0.25">
      <c r="A47" s="14" t="str">
        <f t="shared" si="0"/>
        <v>VISTOS BUENOS</v>
      </c>
      <c r="B47" s="11">
        <v>2</v>
      </c>
      <c r="C47" s="11">
        <v>10</v>
      </c>
      <c r="D47" s="11">
        <v>39</v>
      </c>
      <c r="E47" s="10" t="s">
        <v>71</v>
      </c>
      <c r="F47" s="14" t="s">
        <v>175</v>
      </c>
      <c r="G47" s="11" t="s">
        <v>30</v>
      </c>
      <c r="H47" s="17" t="s">
        <v>292</v>
      </c>
      <c r="I47" s="17" t="s">
        <v>294</v>
      </c>
      <c r="J47" s="11">
        <v>27</v>
      </c>
      <c r="K47" s="14" t="s">
        <v>31</v>
      </c>
      <c r="L47" s="10" t="s">
        <v>32</v>
      </c>
      <c r="M47" s="20"/>
      <c r="N47" s="20"/>
      <c r="O47" s="7"/>
      <c r="P47" s="7"/>
    </row>
    <row r="48" spans="1:16" ht="24.75" customHeight="1" x14ac:dyDescent="0.25">
      <c r="A48" s="14" t="str">
        <f t="shared" si="0"/>
        <v>VISTOS BUENOS</v>
      </c>
      <c r="B48" s="11">
        <v>2</v>
      </c>
      <c r="C48" s="11">
        <v>10</v>
      </c>
      <c r="D48" s="11">
        <v>40</v>
      </c>
      <c r="E48" s="10" t="s">
        <v>72</v>
      </c>
      <c r="F48" s="14" t="s">
        <v>176</v>
      </c>
      <c r="G48" s="11" t="s">
        <v>30</v>
      </c>
      <c r="H48" s="17" t="s">
        <v>285</v>
      </c>
      <c r="I48" s="17" t="s">
        <v>295</v>
      </c>
      <c r="J48" s="11">
        <v>30</v>
      </c>
      <c r="K48" s="14" t="s">
        <v>31</v>
      </c>
      <c r="L48" s="10" t="s">
        <v>32</v>
      </c>
      <c r="M48" s="20"/>
      <c r="N48" s="20"/>
      <c r="O48" s="7"/>
      <c r="P48" s="7"/>
    </row>
    <row r="49" spans="1:16" ht="24.75" customHeight="1" x14ac:dyDescent="0.25">
      <c r="A49" s="14" t="str">
        <f t="shared" si="0"/>
        <v>VISTOS BUENOS</v>
      </c>
      <c r="B49" s="11">
        <v>2</v>
      </c>
      <c r="C49" s="11">
        <v>10</v>
      </c>
      <c r="D49" s="11">
        <v>41</v>
      </c>
      <c r="E49" s="10" t="s">
        <v>73</v>
      </c>
      <c r="F49" s="14" t="s">
        <v>177</v>
      </c>
      <c r="G49" s="11" t="s">
        <v>30</v>
      </c>
      <c r="H49" s="17" t="s">
        <v>296</v>
      </c>
      <c r="I49" s="17" t="s">
        <v>293</v>
      </c>
      <c r="J49" s="11">
        <v>12</v>
      </c>
      <c r="K49" s="14" t="s">
        <v>31</v>
      </c>
      <c r="L49" s="10" t="s">
        <v>32</v>
      </c>
      <c r="M49" s="20"/>
      <c r="N49" s="20"/>
      <c r="O49" s="7"/>
      <c r="P49" s="7"/>
    </row>
    <row r="50" spans="1:16" ht="24.75" customHeight="1" x14ac:dyDescent="0.25">
      <c r="A50" s="14" t="str">
        <f t="shared" si="0"/>
        <v>VISTOS BUENOS</v>
      </c>
      <c r="B50" s="11">
        <v>2</v>
      </c>
      <c r="C50" s="11">
        <v>10</v>
      </c>
      <c r="D50" s="11">
        <v>42</v>
      </c>
      <c r="E50" s="10" t="s">
        <v>74</v>
      </c>
      <c r="F50" s="14" t="s">
        <v>178</v>
      </c>
      <c r="G50" s="11" t="s">
        <v>30</v>
      </c>
      <c r="H50" s="17" t="s">
        <v>297</v>
      </c>
      <c r="I50" s="17" t="s">
        <v>298</v>
      </c>
      <c r="J50" s="11">
        <v>17</v>
      </c>
      <c r="K50" s="14" t="s">
        <v>31</v>
      </c>
      <c r="L50" s="10" t="s">
        <v>32</v>
      </c>
      <c r="M50" s="20"/>
      <c r="N50" s="20"/>
      <c r="O50" s="7"/>
      <c r="P50" s="7"/>
    </row>
    <row r="51" spans="1:16" ht="24.75" customHeight="1" x14ac:dyDescent="0.25">
      <c r="A51" s="14" t="str">
        <f t="shared" si="0"/>
        <v>VISTOS BUENOS</v>
      </c>
      <c r="B51" s="11">
        <v>2</v>
      </c>
      <c r="C51" s="11">
        <v>10</v>
      </c>
      <c r="D51" s="11">
        <v>43</v>
      </c>
      <c r="E51" s="10" t="s">
        <v>75</v>
      </c>
      <c r="F51" s="14" t="s">
        <v>179</v>
      </c>
      <c r="G51" s="11" t="s">
        <v>30</v>
      </c>
      <c r="H51" s="17" t="s">
        <v>271</v>
      </c>
      <c r="I51" s="17" t="s">
        <v>299</v>
      </c>
      <c r="J51" s="11">
        <v>13</v>
      </c>
      <c r="K51" s="14" t="s">
        <v>31</v>
      </c>
      <c r="L51" s="10" t="s">
        <v>32</v>
      </c>
      <c r="M51" s="20"/>
      <c r="N51" s="20"/>
      <c r="O51" s="7"/>
      <c r="P51" s="7"/>
    </row>
    <row r="52" spans="1:16" ht="24.75" customHeight="1" x14ac:dyDescent="0.25">
      <c r="A52" s="14" t="str">
        <f t="shared" si="0"/>
        <v>VISTOS BUENOS</v>
      </c>
      <c r="B52" s="11">
        <v>2</v>
      </c>
      <c r="C52" s="11">
        <v>11</v>
      </c>
      <c r="D52" s="11">
        <v>44</v>
      </c>
      <c r="E52" s="10" t="s">
        <v>76</v>
      </c>
      <c r="F52" s="14" t="s">
        <v>180</v>
      </c>
      <c r="G52" s="11" t="s">
        <v>30</v>
      </c>
      <c r="H52" s="17" t="s">
        <v>265</v>
      </c>
      <c r="I52" s="17" t="s">
        <v>300</v>
      </c>
      <c r="J52" s="11">
        <v>12</v>
      </c>
      <c r="K52" s="14" t="s">
        <v>31</v>
      </c>
      <c r="L52" s="10" t="s">
        <v>32</v>
      </c>
      <c r="M52" s="20"/>
      <c r="N52" s="20"/>
      <c r="O52" s="7"/>
      <c r="P52" s="7"/>
    </row>
    <row r="53" spans="1:16" ht="24.75" customHeight="1" x14ac:dyDescent="0.25">
      <c r="A53" s="14" t="str">
        <f t="shared" si="0"/>
        <v>VISTOS BUENOS</v>
      </c>
      <c r="B53" s="11">
        <v>2</v>
      </c>
      <c r="C53" s="11">
        <v>11</v>
      </c>
      <c r="D53" s="11">
        <v>45</v>
      </c>
      <c r="E53" s="10" t="s">
        <v>77</v>
      </c>
      <c r="F53" s="14" t="s">
        <v>181</v>
      </c>
      <c r="G53" s="11" t="s">
        <v>30</v>
      </c>
      <c r="H53" s="17" t="s">
        <v>301</v>
      </c>
      <c r="I53" s="17" t="s">
        <v>302</v>
      </c>
      <c r="J53" s="11">
        <v>23</v>
      </c>
      <c r="K53" s="14" t="s">
        <v>31</v>
      </c>
      <c r="L53" s="10" t="s">
        <v>32</v>
      </c>
      <c r="M53" s="20"/>
      <c r="N53" s="20"/>
      <c r="O53" s="7"/>
      <c r="P53" s="7"/>
    </row>
    <row r="54" spans="1:16" ht="24.75" customHeight="1" x14ac:dyDescent="0.25">
      <c r="A54" s="14" t="str">
        <f t="shared" si="0"/>
        <v>VISTOS BUENOS</v>
      </c>
      <c r="B54" s="11">
        <v>2</v>
      </c>
      <c r="C54" s="11">
        <v>11</v>
      </c>
      <c r="D54" s="11">
        <v>46</v>
      </c>
      <c r="E54" s="10" t="s">
        <v>136</v>
      </c>
      <c r="F54" s="14" t="s">
        <v>235</v>
      </c>
      <c r="G54" s="11" t="s">
        <v>30</v>
      </c>
      <c r="H54" s="17" t="s">
        <v>322</v>
      </c>
      <c r="I54" s="17" t="s">
        <v>323</v>
      </c>
      <c r="J54" s="11">
        <v>48</v>
      </c>
      <c r="K54" s="14" t="s">
        <v>31</v>
      </c>
      <c r="L54" s="10" t="s">
        <v>32</v>
      </c>
      <c r="M54" s="20"/>
      <c r="N54" s="20"/>
      <c r="O54" s="7"/>
      <c r="P54" s="7"/>
    </row>
    <row r="55" spans="1:16" ht="24.75" customHeight="1" x14ac:dyDescent="0.25">
      <c r="A55" s="14" t="str">
        <f t="shared" si="0"/>
        <v>VISTOS BUENOS</v>
      </c>
      <c r="B55" s="11">
        <v>2</v>
      </c>
      <c r="C55" s="11">
        <v>11</v>
      </c>
      <c r="D55" s="11">
        <v>47</v>
      </c>
      <c r="E55" s="10" t="s">
        <v>79</v>
      </c>
      <c r="F55" s="14" t="s">
        <v>182</v>
      </c>
      <c r="G55" s="11" t="s">
        <v>30</v>
      </c>
      <c r="H55" s="17" t="s">
        <v>305</v>
      </c>
      <c r="I55" s="17" t="s">
        <v>304</v>
      </c>
      <c r="J55" s="11">
        <v>13</v>
      </c>
      <c r="K55" s="14" t="s">
        <v>31</v>
      </c>
      <c r="L55" s="10" t="s">
        <v>32</v>
      </c>
      <c r="M55" s="20"/>
      <c r="N55" s="20"/>
      <c r="O55" s="7"/>
      <c r="P55" s="7"/>
    </row>
    <row r="56" spans="1:16" ht="24.75" customHeight="1" x14ac:dyDescent="0.25">
      <c r="A56" s="14" t="str">
        <f t="shared" si="0"/>
        <v>VISTOS BUENOS</v>
      </c>
      <c r="B56" s="11">
        <v>2</v>
      </c>
      <c r="C56" s="11">
        <v>11</v>
      </c>
      <c r="D56" s="11">
        <v>48</v>
      </c>
      <c r="E56" s="10" t="s">
        <v>80</v>
      </c>
      <c r="F56" s="14" t="s">
        <v>183</v>
      </c>
      <c r="G56" s="11" t="s">
        <v>30</v>
      </c>
      <c r="H56" s="17" t="s">
        <v>306</v>
      </c>
      <c r="I56" s="17" t="s">
        <v>307</v>
      </c>
      <c r="J56" s="11">
        <v>21</v>
      </c>
      <c r="K56" s="14" t="s">
        <v>31</v>
      </c>
      <c r="L56" s="10" t="s">
        <v>32</v>
      </c>
      <c r="M56" s="20"/>
      <c r="N56" s="20"/>
      <c r="O56" s="7"/>
      <c r="P56" s="7"/>
    </row>
    <row r="57" spans="1:16" ht="24.75" customHeight="1" x14ac:dyDescent="0.25">
      <c r="A57" s="14" t="str">
        <f t="shared" si="0"/>
        <v>VISTOS BUENOS</v>
      </c>
      <c r="B57" s="11">
        <v>2</v>
      </c>
      <c r="C57" s="11">
        <v>11</v>
      </c>
      <c r="D57" s="11">
        <v>49</v>
      </c>
      <c r="E57" s="10" t="s">
        <v>81</v>
      </c>
      <c r="F57" s="14" t="s">
        <v>184</v>
      </c>
      <c r="G57" s="11" t="s">
        <v>30</v>
      </c>
      <c r="H57" s="17" t="s">
        <v>308</v>
      </c>
      <c r="I57" s="17" t="s">
        <v>299</v>
      </c>
      <c r="J57" s="11">
        <v>5</v>
      </c>
      <c r="K57" s="14" t="s">
        <v>31</v>
      </c>
      <c r="L57" s="10" t="s">
        <v>32</v>
      </c>
      <c r="M57" s="20"/>
      <c r="N57" s="20"/>
      <c r="O57" s="7"/>
      <c r="P57" s="7"/>
    </row>
    <row r="58" spans="1:16" ht="24.75" customHeight="1" x14ac:dyDescent="0.25">
      <c r="A58" s="14" t="str">
        <f t="shared" si="0"/>
        <v>VISTOS BUENOS</v>
      </c>
      <c r="B58" s="11">
        <v>2</v>
      </c>
      <c r="C58" s="11">
        <v>12</v>
      </c>
      <c r="D58" s="11">
        <v>50</v>
      </c>
      <c r="E58" s="10" t="s">
        <v>82</v>
      </c>
      <c r="F58" s="14" t="s">
        <v>185</v>
      </c>
      <c r="G58" s="11" t="s">
        <v>30</v>
      </c>
      <c r="H58" s="17" t="s">
        <v>299</v>
      </c>
      <c r="I58" s="17" t="s">
        <v>309</v>
      </c>
      <c r="J58" s="11">
        <v>97</v>
      </c>
      <c r="K58" s="14" t="s">
        <v>31</v>
      </c>
      <c r="L58" s="10" t="s">
        <v>32</v>
      </c>
      <c r="M58" s="20"/>
      <c r="N58" s="20"/>
      <c r="O58" s="7"/>
      <c r="P58" s="7"/>
    </row>
    <row r="59" spans="1:16" ht="24.75" customHeight="1" x14ac:dyDescent="0.25">
      <c r="A59" s="14" t="str">
        <f t="shared" si="0"/>
        <v>VISTOS BUENOS</v>
      </c>
      <c r="B59" s="11">
        <v>2</v>
      </c>
      <c r="C59" s="11">
        <v>12</v>
      </c>
      <c r="D59" s="11">
        <v>51</v>
      </c>
      <c r="E59" s="10" t="s">
        <v>83</v>
      </c>
      <c r="F59" s="14" t="s">
        <v>186</v>
      </c>
      <c r="G59" s="11" t="s">
        <v>30</v>
      </c>
      <c r="H59" s="17" t="s">
        <v>310</v>
      </c>
      <c r="I59" s="17" t="s">
        <v>311</v>
      </c>
      <c r="J59" s="11">
        <v>11</v>
      </c>
      <c r="K59" s="14" t="s">
        <v>31</v>
      </c>
      <c r="L59" s="10" t="s">
        <v>32</v>
      </c>
      <c r="M59" s="20"/>
      <c r="N59" s="20"/>
      <c r="O59" s="7"/>
      <c r="P59" s="7"/>
    </row>
    <row r="60" spans="1:16" ht="24.75" customHeight="1" x14ac:dyDescent="0.25">
      <c r="A60" s="14" t="str">
        <f t="shared" si="0"/>
        <v>VISTOS BUENOS</v>
      </c>
      <c r="B60" s="11">
        <v>2</v>
      </c>
      <c r="C60" s="11">
        <v>13</v>
      </c>
      <c r="D60" s="11">
        <v>52</v>
      </c>
      <c r="E60" s="10" t="s">
        <v>84</v>
      </c>
      <c r="F60" s="14" t="s">
        <v>187</v>
      </c>
      <c r="G60" s="11" t="s">
        <v>30</v>
      </c>
      <c r="H60" s="17" t="s">
        <v>310</v>
      </c>
      <c r="I60" s="17" t="s">
        <v>304</v>
      </c>
      <c r="J60" s="11">
        <v>13</v>
      </c>
      <c r="K60" s="14" t="s">
        <v>31</v>
      </c>
      <c r="L60" s="10" t="s">
        <v>32</v>
      </c>
      <c r="M60" s="20"/>
      <c r="N60" s="20"/>
      <c r="O60" s="7"/>
      <c r="P60" s="7"/>
    </row>
    <row r="61" spans="1:16" ht="24.75" customHeight="1" x14ac:dyDescent="0.25">
      <c r="A61" s="14" t="str">
        <f t="shared" si="0"/>
        <v>VISTOS BUENOS</v>
      </c>
      <c r="B61" s="11">
        <v>2</v>
      </c>
      <c r="C61" s="11">
        <v>13</v>
      </c>
      <c r="D61" s="11">
        <v>53</v>
      </c>
      <c r="E61" s="10" t="s">
        <v>85</v>
      </c>
      <c r="F61" s="14" t="s">
        <v>188</v>
      </c>
      <c r="G61" s="11" t="s">
        <v>30</v>
      </c>
      <c r="H61" s="17" t="s">
        <v>294</v>
      </c>
      <c r="I61" s="17" t="s">
        <v>312</v>
      </c>
      <c r="J61" s="11">
        <v>20</v>
      </c>
      <c r="K61" s="14" t="s">
        <v>31</v>
      </c>
      <c r="L61" s="10" t="s">
        <v>32</v>
      </c>
      <c r="M61" s="20"/>
      <c r="N61" s="20"/>
      <c r="O61" s="7"/>
      <c r="P61" s="7"/>
    </row>
    <row r="62" spans="1:16" ht="24.75" customHeight="1" x14ac:dyDescent="0.25">
      <c r="A62" s="14" t="str">
        <f t="shared" si="0"/>
        <v>VISTOS BUENOS</v>
      </c>
      <c r="B62" s="11">
        <v>2</v>
      </c>
      <c r="C62" s="11">
        <v>13</v>
      </c>
      <c r="D62" s="11">
        <v>54</v>
      </c>
      <c r="E62" s="10" t="s">
        <v>86</v>
      </c>
      <c r="F62" s="14" t="s">
        <v>189</v>
      </c>
      <c r="G62" s="11" t="s">
        <v>30</v>
      </c>
      <c r="H62" s="17" t="s">
        <v>311</v>
      </c>
      <c r="I62" s="17" t="s">
        <v>313</v>
      </c>
      <c r="J62" s="11">
        <v>42</v>
      </c>
      <c r="K62" s="14" t="s">
        <v>31</v>
      </c>
      <c r="L62" s="10" t="s">
        <v>32</v>
      </c>
      <c r="M62" s="20"/>
      <c r="N62" s="20"/>
      <c r="O62" s="7"/>
      <c r="P62" s="7"/>
    </row>
    <row r="63" spans="1:16" ht="24.75" customHeight="1" x14ac:dyDescent="0.25">
      <c r="A63" s="14" t="str">
        <f t="shared" si="0"/>
        <v>VISTOS BUENOS</v>
      </c>
      <c r="B63" s="11">
        <v>2</v>
      </c>
      <c r="C63" s="11">
        <v>14</v>
      </c>
      <c r="D63" s="11">
        <v>55</v>
      </c>
      <c r="E63" s="10" t="s">
        <v>87</v>
      </c>
      <c r="F63" s="14" t="s">
        <v>190</v>
      </c>
      <c r="G63" s="11" t="s">
        <v>30</v>
      </c>
      <c r="H63" s="17" t="s">
        <v>314</v>
      </c>
      <c r="I63" s="17" t="s">
        <v>315</v>
      </c>
      <c r="J63" s="11">
        <v>97</v>
      </c>
      <c r="K63" s="14" t="s">
        <v>31</v>
      </c>
      <c r="L63" s="10" t="s">
        <v>32</v>
      </c>
      <c r="M63" s="20"/>
      <c r="N63" s="20"/>
      <c r="O63" s="7"/>
      <c r="P63" s="7"/>
    </row>
    <row r="64" spans="1:16" ht="24.75" customHeight="1" x14ac:dyDescent="0.25">
      <c r="A64" s="14" t="str">
        <f t="shared" si="0"/>
        <v>VISTOS BUENOS</v>
      </c>
      <c r="B64" s="11">
        <v>2</v>
      </c>
      <c r="C64" s="11">
        <v>15</v>
      </c>
      <c r="D64" s="11">
        <v>56</v>
      </c>
      <c r="E64" s="10" t="s">
        <v>88</v>
      </c>
      <c r="F64" s="14" t="s">
        <v>191</v>
      </c>
      <c r="G64" s="11" t="s">
        <v>30</v>
      </c>
      <c r="H64" s="17" t="s">
        <v>316</v>
      </c>
      <c r="I64" s="17" t="s">
        <v>307</v>
      </c>
      <c r="J64" s="11">
        <v>144</v>
      </c>
      <c r="K64" s="14" t="s">
        <v>31</v>
      </c>
      <c r="L64" s="10" t="s">
        <v>32</v>
      </c>
      <c r="M64" s="20"/>
      <c r="N64" s="20"/>
      <c r="O64" s="7"/>
      <c r="P64" s="7"/>
    </row>
    <row r="65" spans="1:16" ht="24.75" customHeight="1" x14ac:dyDescent="0.25">
      <c r="A65" s="14" t="str">
        <f t="shared" si="0"/>
        <v>VISTOS BUENOS</v>
      </c>
      <c r="B65" s="11">
        <v>2</v>
      </c>
      <c r="C65" s="11">
        <v>16</v>
      </c>
      <c r="D65" s="11">
        <v>57</v>
      </c>
      <c r="E65" s="10" t="s">
        <v>89</v>
      </c>
      <c r="F65" s="14" t="s">
        <v>192</v>
      </c>
      <c r="G65" s="11" t="s">
        <v>30</v>
      </c>
      <c r="H65" s="17" t="s">
        <v>316</v>
      </c>
      <c r="I65" s="17" t="s">
        <v>317</v>
      </c>
      <c r="J65" s="11">
        <v>30</v>
      </c>
      <c r="K65" s="14" t="s">
        <v>31</v>
      </c>
      <c r="L65" s="10" t="s">
        <v>32</v>
      </c>
      <c r="M65" s="20"/>
      <c r="N65" s="20"/>
      <c r="O65" s="7"/>
      <c r="P65" s="7"/>
    </row>
    <row r="66" spans="1:16" ht="24.75" customHeight="1" x14ac:dyDescent="0.25">
      <c r="A66" s="14" t="str">
        <f t="shared" si="0"/>
        <v>VISTOS BUENOS</v>
      </c>
      <c r="B66" s="11">
        <v>2</v>
      </c>
      <c r="C66" s="11">
        <v>17</v>
      </c>
      <c r="D66" s="11">
        <v>58</v>
      </c>
      <c r="E66" s="10" t="s">
        <v>90</v>
      </c>
      <c r="F66" s="14" t="s">
        <v>193</v>
      </c>
      <c r="G66" s="11" t="s">
        <v>30</v>
      </c>
      <c r="H66" s="17" t="s">
        <v>302</v>
      </c>
      <c r="I66" s="17" t="s">
        <v>318</v>
      </c>
      <c r="J66" s="11">
        <v>131</v>
      </c>
      <c r="K66" s="14" t="s">
        <v>31</v>
      </c>
      <c r="L66" s="10" t="s">
        <v>32</v>
      </c>
      <c r="M66" s="20"/>
      <c r="N66" s="20"/>
      <c r="O66" s="7"/>
      <c r="P66" s="7"/>
    </row>
    <row r="67" spans="1:16" ht="24.75" customHeight="1" x14ac:dyDescent="0.25">
      <c r="A67" s="14" t="str">
        <f t="shared" si="0"/>
        <v>VISTOS BUENOS</v>
      </c>
      <c r="B67" s="11">
        <v>2</v>
      </c>
      <c r="C67" s="11">
        <v>18</v>
      </c>
      <c r="D67" s="11">
        <v>59</v>
      </c>
      <c r="E67" s="10" t="s">
        <v>91</v>
      </c>
      <c r="F67" s="14" t="s">
        <v>194</v>
      </c>
      <c r="G67" s="11" t="s">
        <v>30</v>
      </c>
      <c r="H67" s="17" t="s">
        <v>312</v>
      </c>
      <c r="I67" s="17" t="s">
        <v>313</v>
      </c>
      <c r="J67" s="11">
        <v>29</v>
      </c>
      <c r="K67" s="14" t="s">
        <v>31</v>
      </c>
      <c r="L67" s="10" t="s">
        <v>32</v>
      </c>
      <c r="M67" s="20"/>
      <c r="N67" s="20"/>
      <c r="O67" s="7"/>
      <c r="P67" s="7"/>
    </row>
    <row r="68" spans="1:16" ht="24.75" customHeight="1" x14ac:dyDescent="0.25">
      <c r="A68" s="14" t="str">
        <f t="shared" si="0"/>
        <v>VISTOS BUENOS</v>
      </c>
      <c r="B68" s="11">
        <v>3</v>
      </c>
      <c r="C68" s="11">
        <v>18</v>
      </c>
      <c r="D68" s="11">
        <v>60</v>
      </c>
      <c r="E68" s="10" t="s">
        <v>92</v>
      </c>
      <c r="F68" s="14" t="s">
        <v>195</v>
      </c>
      <c r="G68" s="11" t="s">
        <v>30</v>
      </c>
      <c r="H68" s="17" t="s">
        <v>324</v>
      </c>
      <c r="I68" s="17" t="s">
        <v>325</v>
      </c>
      <c r="J68" s="11">
        <v>13</v>
      </c>
      <c r="K68" s="14" t="s">
        <v>31</v>
      </c>
      <c r="L68" s="10" t="s">
        <v>32</v>
      </c>
      <c r="M68" s="20"/>
      <c r="N68" s="20"/>
      <c r="O68" s="7"/>
      <c r="P68" s="7"/>
    </row>
    <row r="69" spans="1:16" ht="24.75" customHeight="1" x14ac:dyDescent="0.25">
      <c r="A69" s="14" t="str">
        <f t="shared" si="0"/>
        <v>VISTOS BUENOS</v>
      </c>
      <c r="B69" s="11">
        <v>3</v>
      </c>
      <c r="C69" s="11">
        <v>19</v>
      </c>
      <c r="D69" s="11">
        <v>61</v>
      </c>
      <c r="E69" s="10" t="s">
        <v>93</v>
      </c>
      <c r="F69" s="14" t="s">
        <v>196</v>
      </c>
      <c r="G69" s="11" t="s">
        <v>30</v>
      </c>
      <c r="H69" s="17" t="s">
        <v>326</v>
      </c>
      <c r="I69" s="17" t="s">
        <v>327</v>
      </c>
      <c r="J69" s="11">
        <v>2</v>
      </c>
      <c r="K69" s="14" t="s">
        <v>31</v>
      </c>
      <c r="L69" s="10" t="s">
        <v>32</v>
      </c>
      <c r="M69" s="20"/>
      <c r="N69" s="20"/>
      <c r="O69" s="7"/>
      <c r="P69" s="7"/>
    </row>
    <row r="70" spans="1:16" ht="24.75" customHeight="1" x14ac:dyDescent="0.25">
      <c r="A70" s="14" t="str">
        <f t="shared" si="0"/>
        <v>VISTOS BUENOS</v>
      </c>
      <c r="B70" s="11">
        <v>3</v>
      </c>
      <c r="C70" s="11">
        <v>19</v>
      </c>
      <c r="D70" s="11">
        <v>62</v>
      </c>
      <c r="E70" s="9" t="s">
        <v>94</v>
      </c>
      <c r="F70" s="23" t="s">
        <v>197</v>
      </c>
      <c r="G70" s="24" t="s">
        <v>30</v>
      </c>
      <c r="H70" s="25" t="s">
        <v>328</v>
      </c>
      <c r="I70" s="25" t="s">
        <v>329</v>
      </c>
      <c r="J70" s="24">
        <v>114</v>
      </c>
      <c r="K70" s="23" t="s">
        <v>31</v>
      </c>
      <c r="L70" s="10" t="s">
        <v>32</v>
      </c>
      <c r="M70" s="26"/>
      <c r="N70" s="20"/>
      <c r="O70" s="7"/>
      <c r="P70" s="7"/>
    </row>
    <row r="71" spans="1:16" ht="24.75" customHeight="1" x14ac:dyDescent="0.25">
      <c r="A71" s="14" t="str">
        <f t="shared" si="0"/>
        <v>VISTOS BUENOS</v>
      </c>
      <c r="B71" s="11">
        <v>3</v>
      </c>
      <c r="C71" s="11">
        <v>20</v>
      </c>
      <c r="D71" s="22">
        <v>63</v>
      </c>
      <c r="E71" s="10" t="s">
        <v>132</v>
      </c>
      <c r="F71" s="14" t="s">
        <v>198</v>
      </c>
      <c r="G71" s="11" t="s">
        <v>30</v>
      </c>
      <c r="H71" s="17" t="s">
        <v>330</v>
      </c>
      <c r="I71" s="17" t="s">
        <v>320</v>
      </c>
      <c r="J71" s="11">
        <v>14</v>
      </c>
      <c r="K71" s="14" t="s">
        <v>31</v>
      </c>
      <c r="L71" s="10" t="s">
        <v>32</v>
      </c>
      <c r="M71" s="20"/>
      <c r="N71" s="20"/>
      <c r="O71" s="7"/>
      <c r="P71" s="7"/>
    </row>
    <row r="72" spans="1:16" ht="24.75" customHeight="1" x14ac:dyDescent="0.25">
      <c r="A72" s="14" t="str">
        <f t="shared" si="0"/>
        <v>VISTOS BUENOS</v>
      </c>
      <c r="B72" s="11">
        <v>3</v>
      </c>
      <c r="C72" s="11">
        <v>20</v>
      </c>
      <c r="D72" s="11">
        <v>64</v>
      </c>
      <c r="E72" s="27" t="s">
        <v>95</v>
      </c>
      <c r="F72" s="28" t="s">
        <v>199</v>
      </c>
      <c r="G72" s="29" t="s">
        <v>30</v>
      </c>
      <c r="H72" s="30" t="s">
        <v>331</v>
      </c>
      <c r="I72" s="30" t="s">
        <v>332</v>
      </c>
      <c r="J72" s="29">
        <v>27</v>
      </c>
      <c r="K72" s="28" t="s">
        <v>31</v>
      </c>
      <c r="L72" s="10" t="s">
        <v>32</v>
      </c>
      <c r="M72" s="31"/>
      <c r="N72" s="20"/>
      <c r="O72" s="7"/>
      <c r="P72" s="7"/>
    </row>
    <row r="73" spans="1:16" ht="24.75" customHeight="1" x14ac:dyDescent="0.25">
      <c r="A73" s="14" t="str">
        <f t="shared" si="0"/>
        <v>VISTOS BUENOS</v>
      </c>
      <c r="B73" s="11">
        <v>3</v>
      </c>
      <c r="C73" s="11">
        <v>21</v>
      </c>
      <c r="D73" s="11">
        <v>65</v>
      </c>
      <c r="E73" s="10" t="s">
        <v>96</v>
      </c>
      <c r="F73" s="14" t="s">
        <v>200</v>
      </c>
      <c r="G73" s="11" t="s">
        <v>30</v>
      </c>
      <c r="H73" s="17" t="s">
        <v>331</v>
      </c>
      <c r="I73" s="17" t="s">
        <v>333</v>
      </c>
      <c r="J73" s="11">
        <v>78</v>
      </c>
      <c r="K73" s="14" t="s">
        <v>31</v>
      </c>
      <c r="L73" s="10" t="s">
        <v>32</v>
      </c>
      <c r="M73" s="20"/>
      <c r="N73" s="20"/>
      <c r="O73" s="7"/>
      <c r="P73" s="7"/>
    </row>
    <row r="74" spans="1:16" ht="24.75" customHeight="1" x14ac:dyDescent="0.25">
      <c r="A74" s="14" t="str">
        <f t="shared" si="0"/>
        <v>VISTOS BUENOS</v>
      </c>
      <c r="B74" s="11">
        <v>3</v>
      </c>
      <c r="C74" s="11">
        <v>22</v>
      </c>
      <c r="D74" s="11">
        <v>66</v>
      </c>
      <c r="E74" s="10" t="s">
        <v>97</v>
      </c>
      <c r="F74" s="14" t="s">
        <v>201</v>
      </c>
      <c r="G74" s="11" t="s">
        <v>30</v>
      </c>
      <c r="H74" s="17" t="s">
        <v>329</v>
      </c>
      <c r="I74" s="17" t="s">
        <v>309</v>
      </c>
      <c r="J74" s="11">
        <v>20</v>
      </c>
      <c r="K74" s="14" t="s">
        <v>31</v>
      </c>
      <c r="L74" s="10" t="s">
        <v>32</v>
      </c>
      <c r="M74" s="20"/>
      <c r="N74" s="20"/>
      <c r="O74" s="7"/>
      <c r="P74" s="7"/>
    </row>
    <row r="75" spans="1:16" ht="24.75" customHeight="1" x14ac:dyDescent="0.25">
      <c r="A75" s="14" t="str">
        <f t="shared" ref="A75:A107" si="1">A74</f>
        <v>VISTOS BUENOS</v>
      </c>
      <c r="B75" s="11">
        <v>3</v>
      </c>
      <c r="C75" s="11">
        <v>23</v>
      </c>
      <c r="D75" s="11">
        <v>67</v>
      </c>
      <c r="E75" s="10" t="s">
        <v>98</v>
      </c>
      <c r="F75" s="14" t="s">
        <v>202</v>
      </c>
      <c r="G75" s="11" t="s">
        <v>30</v>
      </c>
      <c r="H75" s="17" t="s">
        <v>334</v>
      </c>
      <c r="I75" s="17" t="s">
        <v>335</v>
      </c>
      <c r="J75" s="11">
        <v>89</v>
      </c>
      <c r="K75" s="14" t="s">
        <v>31</v>
      </c>
      <c r="L75" s="10" t="s">
        <v>32</v>
      </c>
      <c r="M75" s="20"/>
      <c r="N75" s="20"/>
      <c r="O75" s="7"/>
      <c r="P75" s="7"/>
    </row>
    <row r="76" spans="1:16" ht="24.75" customHeight="1" x14ac:dyDescent="0.25">
      <c r="A76" s="14" t="str">
        <f t="shared" si="1"/>
        <v>VISTOS BUENOS</v>
      </c>
      <c r="B76" s="11">
        <v>3</v>
      </c>
      <c r="C76" s="11">
        <v>23</v>
      </c>
      <c r="D76" s="11">
        <v>68</v>
      </c>
      <c r="E76" s="10" t="s">
        <v>99</v>
      </c>
      <c r="F76" s="14" t="s">
        <v>203</v>
      </c>
      <c r="G76" s="11" t="s">
        <v>30</v>
      </c>
      <c r="H76" s="17" t="s">
        <v>336</v>
      </c>
      <c r="I76" s="17" t="s">
        <v>337</v>
      </c>
      <c r="J76" s="11">
        <v>18</v>
      </c>
      <c r="K76" s="14" t="s">
        <v>31</v>
      </c>
      <c r="L76" s="10" t="s">
        <v>32</v>
      </c>
      <c r="M76" s="20"/>
      <c r="N76" s="20"/>
      <c r="O76" s="7"/>
      <c r="P76" s="7"/>
    </row>
    <row r="77" spans="1:16" ht="24.75" customHeight="1" x14ac:dyDescent="0.25">
      <c r="A77" s="14" t="str">
        <f t="shared" si="1"/>
        <v>VISTOS BUENOS</v>
      </c>
      <c r="B77" s="11">
        <v>3</v>
      </c>
      <c r="C77" s="11">
        <v>24</v>
      </c>
      <c r="D77" s="11">
        <v>69</v>
      </c>
      <c r="E77" s="10" t="s">
        <v>100</v>
      </c>
      <c r="F77" s="14" t="s">
        <v>204</v>
      </c>
      <c r="G77" s="11" t="s">
        <v>30</v>
      </c>
      <c r="H77" s="17" t="s">
        <v>339</v>
      </c>
      <c r="I77" s="17" t="s">
        <v>338</v>
      </c>
      <c r="J77" s="11">
        <v>12</v>
      </c>
      <c r="K77" s="14" t="s">
        <v>31</v>
      </c>
      <c r="L77" s="10" t="s">
        <v>32</v>
      </c>
      <c r="M77" s="20"/>
      <c r="N77" s="20"/>
      <c r="O77" s="7"/>
      <c r="P77" s="7"/>
    </row>
    <row r="78" spans="1:16" ht="24.75" customHeight="1" x14ac:dyDescent="0.25">
      <c r="A78" s="14" t="str">
        <f t="shared" si="1"/>
        <v>VISTOS BUENOS</v>
      </c>
      <c r="B78" s="11">
        <v>3</v>
      </c>
      <c r="C78" s="11">
        <v>24</v>
      </c>
      <c r="D78" s="11">
        <v>70</v>
      </c>
      <c r="E78" s="10" t="s">
        <v>101</v>
      </c>
      <c r="F78" s="14" t="s">
        <v>205</v>
      </c>
      <c r="G78" s="11" t="s">
        <v>30</v>
      </c>
      <c r="H78" s="17" t="s">
        <v>339</v>
      </c>
      <c r="I78" s="17" t="s">
        <v>340</v>
      </c>
      <c r="J78" s="11">
        <v>25</v>
      </c>
      <c r="K78" s="14" t="s">
        <v>31</v>
      </c>
      <c r="L78" s="10" t="s">
        <v>32</v>
      </c>
      <c r="M78" s="20"/>
      <c r="N78" s="20"/>
      <c r="O78" s="7"/>
      <c r="P78" s="7"/>
    </row>
    <row r="79" spans="1:16" ht="24.75" customHeight="1" x14ac:dyDescent="0.25">
      <c r="A79" s="14" t="str">
        <f t="shared" si="1"/>
        <v>VISTOS BUENOS</v>
      </c>
      <c r="B79" s="11">
        <v>3</v>
      </c>
      <c r="C79" s="11">
        <v>25</v>
      </c>
      <c r="D79" s="11">
        <v>71</v>
      </c>
      <c r="E79" s="10" t="s">
        <v>102</v>
      </c>
      <c r="F79" s="14" t="s">
        <v>206</v>
      </c>
      <c r="G79" s="11" t="s">
        <v>30</v>
      </c>
      <c r="H79" s="17" t="s">
        <v>341</v>
      </c>
      <c r="I79" s="17" t="s">
        <v>335</v>
      </c>
      <c r="J79" s="11">
        <v>39</v>
      </c>
      <c r="K79" s="14" t="s">
        <v>31</v>
      </c>
      <c r="L79" s="10" t="s">
        <v>32</v>
      </c>
      <c r="M79" s="20"/>
      <c r="N79" s="20"/>
      <c r="O79" s="7"/>
      <c r="P79" s="7"/>
    </row>
    <row r="80" spans="1:16" ht="24.75" customHeight="1" x14ac:dyDescent="0.25">
      <c r="A80" s="14" t="str">
        <f t="shared" si="1"/>
        <v>VISTOS BUENOS</v>
      </c>
      <c r="B80" s="11">
        <v>3</v>
      </c>
      <c r="C80" s="11">
        <v>26</v>
      </c>
      <c r="D80" s="11">
        <v>72</v>
      </c>
      <c r="E80" s="10" t="s">
        <v>103</v>
      </c>
      <c r="F80" s="14" t="s">
        <v>207</v>
      </c>
      <c r="G80" s="11" t="s">
        <v>30</v>
      </c>
      <c r="H80" s="17" t="s">
        <v>342</v>
      </c>
      <c r="I80" s="17" t="s">
        <v>343</v>
      </c>
      <c r="J80" s="11">
        <v>39</v>
      </c>
      <c r="K80" s="14" t="s">
        <v>31</v>
      </c>
      <c r="L80" s="10" t="s">
        <v>32</v>
      </c>
      <c r="M80" s="20"/>
      <c r="N80" s="20"/>
      <c r="O80" s="7"/>
      <c r="P80" s="7"/>
    </row>
    <row r="81" spans="1:16" ht="24.75" customHeight="1" x14ac:dyDescent="0.25">
      <c r="A81" s="14" t="str">
        <f t="shared" si="1"/>
        <v>VISTOS BUENOS</v>
      </c>
      <c r="B81" s="11">
        <v>3</v>
      </c>
      <c r="C81" s="11">
        <v>27</v>
      </c>
      <c r="D81" s="11">
        <v>73</v>
      </c>
      <c r="E81" s="10" t="s">
        <v>104</v>
      </c>
      <c r="F81" s="14" t="s">
        <v>208</v>
      </c>
      <c r="G81" s="11" t="s">
        <v>30</v>
      </c>
      <c r="H81" s="17" t="s">
        <v>344</v>
      </c>
      <c r="I81" s="17" t="s">
        <v>335</v>
      </c>
      <c r="J81" s="11">
        <v>74</v>
      </c>
      <c r="K81" s="14" t="s">
        <v>31</v>
      </c>
      <c r="L81" s="10" t="s">
        <v>32</v>
      </c>
      <c r="M81" s="20"/>
      <c r="N81" s="20"/>
      <c r="O81" s="7"/>
      <c r="P81" s="7"/>
    </row>
    <row r="82" spans="1:16" ht="24.75" customHeight="1" x14ac:dyDescent="0.25">
      <c r="A82" s="14" t="str">
        <f t="shared" si="1"/>
        <v>VISTOS BUENOS</v>
      </c>
      <c r="B82" s="11">
        <v>3</v>
      </c>
      <c r="C82" s="11">
        <v>28</v>
      </c>
      <c r="D82" s="11">
        <v>74</v>
      </c>
      <c r="E82" s="10" t="s">
        <v>105</v>
      </c>
      <c r="F82" s="14" t="s">
        <v>209</v>
      </c>
      <c r="G82" s="11" t="s">
        <v>30</v>
      </c>
      <c r="H82" s="17" t="s">
        <v>345</v>
      </c>
      <c r="I82" s="17" t="s">
        <v>346</v>
      </c>
      <c r="J82" s="11">
        <v>53</v>
      </c>
      <c r="K82" s="14" t="s">
        <v>31</v>
      </c>
      <c r="L82" s="10" t="s">
        <v>32</v>
      </c>
      <c r="M82" s="20"/>
      <c r="N82" s="20"/>
      <c r="O82" s="7"/>
      <c r="P82" s="7"/>
    </row>
    <row r="83" spans="1:16" ht="24.75" customHeight="1" x14ac:dyDescent="0.25">
      <c r="A83" s="14" t="str">
        <f t="shared" si="1"/>
        <v>VISTOS BUENOS</v>
      </c>
      <c r="B83" s="11">
        <v>3</v>
      </c>
      <c r="C83" s="11">
        <v>28</v>
      </c>
      <c r="D83" s="11">
        <v>75</v>
      </c>
      <c r="E83" s="10" t="s">
        <v>106</v>
      </c>
      <c r="F83" s="14" t="s">
        <v>210</v>
      </c>
      <c r="G83" s="11" t="s">
        <v>30</v>
      </c>
      <c r="H83" s="17" t="s">
        <v>347</v>
      </c>
      <c r="I83" s="17" t="s">
        <v>348</v>
      </c>
      <c r="J83" s="11">
        <v>26</v>
      </c>
      <c r="K83" s="14" t="s">
        <v>31</v>
      </c>
      <c r="L83" s="10" t="s">
        <v>32</v>
      </c>
      <c r="M83" s="20"/>
      <c r="N83" s="20"/>
      <c r="O83" s="7"/>
      <c r="P83" s="7"/>
    </row>
    <row r="84" spans="1:16" ht="24.75" customHeight="1" x14ac:dyDescent="0.25">
      <c r="A84" s="14" t="str">
        <f t="shared" si="1"/>
        <v>VISTOS BUENOS</v>
      </c>
      <c r="B84" s="11">
        <v>3</v>
      </c>
      <c r="C84" s="11">
        <v>29</v>
      </c>
      <c r="D84" s="11">
        <v>76</v>
      </c>
      <c r="E84" s="10" t="s">
        <v>107</v>
      </c>
      <c r="F84" s="14" t="s">
        <v>211</v>
      </c>
      <c r="G84" s="11" t="s">
        <v>30</v>
      </c>
      <c r="H84" s="17" t="s">
        <v>346</v>
      </c>
      <c r="I84" s="17" t="s">
        <v>309</v>
      </c>
      <c r="J84" s="11">
        <v>8</v>
      </c>
      <c r="K84" s="14" t="s">
        <v>31</v>
      </c>
      <c r="L84" s="10" t="s">
        <v>32</v>
      </c>
      <c r="M84" s="20"/>
      <c r="N84" s="20"/>
      <c r="O84" s="7"/>
      <c r="P84" s="7"/>
    </row>
    <row r="85" spans="1:16" ht="24.75" customHeight="1" x14ac:dyDescent="0.25">
      <c r="A85" s="14" t="str">
        <f t="shared" si="1"/>
        <v>VISTOS BUENOS</v>
      </c>
      <c r="B85" s="11">
        <v>3</v>
      </c>
      <c r="C85" s="11">
        <v>30</v>
      </c>
      <c r="D85" s="11">
        <v>77</v>
      </c>
      <c r="E85" s="10" t="s">
        <v>108</v>
      </c>
      <c r="F85" s="14" t="s">
        <v>212</v>
      </c>
      <c r="G85" s="11" t="s">
        <v>30</v>
      </c>
      <c r="H85" s="17" t="s">
        <v>350</v>
      </c>
      <c r="I85" s="17" t="s">
        <v>349</v>
      </c>
      <c r="J85" s="11">
        <v>38</v>
      </c>
      <c r="K85" s="14" t="s">
        <v>31</v>
      </c>
      <c r="L85" s="10" t="s">
        <v>32</v>
      </c>
      <c r="M85" s="20"/>
      <c r="N85" s="20"/>
      <c r="O85" s="7"/>
      <c r="P85" s="7"/>
    </row>
    <row r="86" spans="1:16" ht="24.75" customHeight="1" x14ac:dyDescent="0.25">
      <c r="A86" s="14" t="str">
        <f t="shared" si="1"/>
        <v>VISTOS BUENOS</v>
      </c>
      <c r="B86" s="11">
        <v>3</v>
      </c>
      <c r="C86" s="11">
        <v>30</v>
      </c>
      <c r="D86" s="11">
        <v>78</v>
      </c>
      <c r="E86" s="10" t="s">
        <v>109</v>
      </c>
      <c r="F86" s="14" t="s">
        <v>213</v>
      </c>
      <c r="G86" s="11" t="s">
        <v>30</v>
      </c>
      <c r="H86" s="17" t="s">
        <v>351</v>
      </c>
      <c r="I86" s="17" t="s">
        <v>352</v>
      </c>
      <c r="J86" s="11">
        <v>20</v>
      </c>
      <c r="K86" s="14" t="s">
        <v>31</v>
      </c>
      <c r="L86" s="10" t="s">
        <v>32</v>
      </c>
      <c r="M86" s="20"/>
      <c r="N86" s="20"/>
      <c r="O86" s="7"/>
      <c r="P86" s="7"/>
    </row>
    <row r="87" spans="1:16" ht="24.75" customHeight="1" x14ac:dyDescent="0.25">
      <c r="A87" s="14" t="str">
        <f t="shared" si="1"/>
        <v>VISTOS BUENOS</v>
      </c>
      <c r="B87" s="11">
        <v>3</v>
      </c>
      <c r="C87" s="11">
        <v>31</v>
      </c>
      <c r="D87" s="11">
        <v>79</v>
      </c>
      <c r="E87" s="10" t="s">
        <v>110</v>
      </c>
      <c r="F87" s="14" t="s">
        <v>214</v>
      </c>
      <c r="G87" s="11" t="s">
        <v>30</v>
      </c>
      <c r="H87" s="17" t="s">
        <v>354</v>
      </c>
      <c r="I87" s="17" t="s">
        <v>353</v>
      </c>
      <c r="J87" s="11">
        <v>20</v>
      </c>
      <c r="K87" s="14" t="s">
        <v>31</v>
      </c>
      <c r="L87" s="10" t="s">
        <v>32</v>
      </c>
      <c r="M87" s="20"/>
      <c r="N87" s="20"/>
      <c r="O87" s="7"/>
      <c r="P87" s="7"/>
    </row>
    <row r="88" spans="1:16" ht="24.75" customHeight="1" x14ac:dyDescent="0.25">
      <c r="A88" s="14" t="str">
        <f t="shared" si="1"/>
        <v>VISTOS BUENOS</v>
      </c>
      <c r="B88" s="11">
        <v>3</v>
      </c>
      <c r="C88" s="11">
        <v>31</v>
      </c>
      <c r="D88" s="11">
        <v>80</v>
      </c>
      <c r="E88" s="10" t="s">
        <v>111</v>
      </c>
      <c r="F88" s="14" t="s">
        <v>215</v>
      </c>
      <c r="G88" s="11" t="s">
        <v>30</v>
      </c>
      <c r="H88" s="17" t="s">
        <v>354</v>
      </c>
      <c r="I88" s="17" t="s">
        <v>355</v>
      </c>
      <c r="J88" s="11">
        <v>27</v>
      </c>
      <c r="K88" s="14" t="s">
        <v>31</v>
      </c>
      <c r="L88" s="10" t="s">
        <v>32</v>
      </c>
      <c r="M88" s="20"/>
      <c r="N88" s="20"/>
      <c r="O88" s="7"/>
      <c r="P88" s="7"/>
    </row>
    <row r="89" spans="1:16" ht="24.75" customHeight="1" x14ac:dyDescent="0.25">
      <c r="A89" s="14" t="str">
        <f t="shared" si="1"/>
        <v>VISTOS BUENOS</v>
      </c>
      <c r="B89" s="11">
        <v>3</v>
      </c>
      <c r="C89" s="11">
        <v>32</v>
      </c>
      <c r="D89" s="11">
        <v>81</v>
      </c>
      <c r="E89" s="10" t="s">
        <v>112</v>
      </c>
      <c r="F89" s="14" t="s">
        <v>216</v>
      </c>
      <c r="G89" s="11" t="s">
        <v>30</v>
      </c>
      <c r="H89" s="17" t="s">
        <v>356</v>
      </c>
      <c r="I89" s="17" t="s">
        <v>320</v>
      </c>
      <c r="J89" s="11">
        <v>15</v>
      </c>
      <c r="K89" s="14" t="s">
        <v>31</v>
      </c>
      <c r="L89" s="10" t="s">
        <v>32</v>
      </c>
      <c r="M89" s="20"/>
      <c r="N89" s="20"/>
      <c r="O89" s="7"/>
      <c r="P89" s="7"/>
    </row>
    <row r="90" spans="1:16" ht="24.75" customHeight="1" x14ac:dyDescent="0.25">
      <c r="A90" s="14" t="str">
        <f t="shared" si="1"/>
        <v>VISTOS BUENOS</v>
      </c>
      <c r="B90" s="11">
        <v>3</v>
      </c>
      <c r="C90" s="11">
        <v>32</v>
      </c>
      <c r="D90" s="11">
        <v>82</v>
      </c>
      <c r="E90" s="10" t="s">
        <v>113</v>
      </c>
      <c r="F90" s="14" t="s">
        <v>217</v>
      </c>
      <c r="G90" s="11" t="s">
        <v>30</v>
      </c>
      <c r="H90" s="17" t="s">
        <v>357</v>
      </c>
      <c r="I90" s="17" t="s">
        <v>358</v>
      </c>
      <c r="J90" s="11">
        <v>12</v>
      </c>
      <c r="K90" s="14" t="s">
        <v>31</v>
      </c>
      <c r="L90" s="10" t="s">
        <v>32</v>
      </c>
      <c r="M90" s="20"/>
      <c r="N90" s="20"/>
      <c r="O90" s="7"/>
      <c r="P90" s="7"/>
    </row>
    <row r="91" spans="1:16" ht="24.75" customHeight="1" x14ac:dyDescent="0.25">
      <c r="A91" s="14" t="str">
        <f t="shared" si="1"/>
        <v>VISTOS BUENOS</v>
      </c>
      <c r="B91" s="11">
        <v>3</v>
      </c>
      <c r="C91" s="11">
        <v>33</v>
      </c>
      <c r="D91" s="11">
        <v>83</v>
      </c>
      <c r="E91" s="10" t="s">
        <v>114</v>
      </c>
      <c r="F91" s="14" t="s">
        <v>218</v>
      </c>
      <c r="G91" s="11" t="s">
        <v>30</v>
      </c>
      <c r="H91" s="17" t="s">
        <v>360</v>
      </c>
      <c r="I91" s="17" t="s">
        <v>359</v>
      </c>
      <c r="J91" s="11">
        <v>43</v>
      </c>
      <c r="K91" s="14" t="s">
        <v>31</v>
      </c>
      <c r="L91" s="10" t="s">
        <v>32</v>
      </c>
      <c r="M91" s="20"/>
      <c r="N91" s="20"/>
      <c r="O91" s="7"/>
      <c r="P91" s="7"/>
    </row>
    <row r="92" spans="1:16" ht="24.75" customHeight="1" x14ac:dyDescent="0.25">
      <c r="A92" s="14" t="str">
        <f t="shared" si="1"/>
        <v>VISTOS BUENOS</v>
      </c>
      <c r="B92" s="11">
        <v>3</v>
      </c>
      <c r="C92" s="11">
        <v>34</v>
      </c>
      <c r="D92" s="11">
        <v>84</v>
      </c>
      <c r="E92" s="10" t="s">
        <v>115</v>
      </c>
      <c r="F92" s="14" t="s">
        <v>219</v>
      </c>
      <c r="G92" s="11" t="s">
        <v>30</v>
      </c>
      <c r="H92" s="17" t="s">
        <v>361</v>
      </c>
      <c r="I92" s="17" t="s">
        <v>362</v>
      </c>
      <c r="J92" s="11">
        <v>17</v>
      </c>
      <c r="K92" s="14" t="s">
        <v>31</v>
      </c>
      <c r="L92" s="10" t="s">
        <v>32</v>
      </c>
      <c r="M92" s="20"/>
      <c r="N92" s="20"/>
      <c r="O92" s="7"/>
      <c r="P92" s="7"/>
    </row>
    <row r="93" spans="1:16" ht="24.75" customHeight="1" x14ac:dyDescent="0.25">
      <c r="A93" s="14" t="str">
        <f t="shared" si="1"/>
        <v>VISTOS BUENOS</v>
      </c>
      <c r="B93" s="11">
        <v>3</v>
      </c>
      <c r="C93" s="11">
        <v>34</v>
      </c>
      <c r="D93" s="11">
        <v>85</v>
      </c>
      <c r="E93" s="10" t="s">
        <v>116</v>
      </c>
      <c r="F93" s="14" t="s">
        <v>220</v>
      </c>
      <c r="G93" s="11" t="s">
        <v>30</v>
      </c>
      <c r="H93" s="17" t="s">
        <v>364</v>
      </c>
      <c r="I93" s="17" t="s">
        <v>363</v>
      </c>
      <c r="J93" s="11">
        <v>11</v>
      </c>
      <c r="K93" s="14" t="s">
        <v>31</v>
      </c>
      <c r="L93" s="10" t="s">
        <v>32</v>
      </c>
      <c r="M93" s="20"/>
      <c r="N93" s="20"/>
      <c r="O93" s="7"/>
      <c r="P93" s="7"/>
    </row>
    <row r="94" spans="1:16" ht="24.75" customHeight="1" x14ac:dyDescent="0.25">
      <c r="A94" s="14" t="str">
        <f t="shared" si="1"/>
        <v>VISTOS BUENOS</v>
      </c>
      <c r="B94" s="11">
        <v>3</v>
      </c>
      <c r="C94" s="11">
        <v>35</v>
      </c>
      <c r="D94" s="11">
        <v>86</v>
      </c>
      <c r="E94" s="10" t="s">
        <v>117</v>
      </c>
      <c r="F94" s="14" t="s">
        <v>221</v>
      </c>
      <c r="G94" s="11" t="s">
        <v>30</v>
      </c>
      <c r="H94" s="17" t="s">
        <v>365</v>
      </c>
      <c r="I94" s="17" t="s">
        <v>366</v>
      </c>
      <c r="J94" s="11">
        <v>54</v>
      </c>
      <c r="K94" s="14" t="s">
        <v>31</v>
      </c>
      <c r="L94" s="10" t="s">
        <v>32</v>
      </c>
      <c r="M94" s="20"/>
      <c r="N94" s="20"/>
      <c r="O94" s="7"/>
      <c r="P94" s="7"/>
    </row>
    <row r="95" spans="1:16" ht="24.75" customHeight="1" x14ac:dyDescent="0.25">
      <c r="A95" s="14" t="str">
        <f t="shared" si="1"/>
        <v>VISTOS BUENOS</v>
      </c>
      <c r="B95" s="11">
        <v>3</v>
      </c>
      <c r="C95" s="11">
        <v>36</v>
      </c>
      <c r="D95" s="11">
        <v>87</v>
      </c>
      <c r="E95" s="10" t="s">
        <v>118</v>
      </c>
      <c r="F95" s="14" t="s">
        <v>222</v>
      </c>
      <c r="G95" s="11" t="s">
        <v>30</v>
      </c>
      <c r="H95" s="17" t="s">
        <v>332</v>
      </c>
      <c r="I95" s="17" t="s">
        <v>367</v>
      </c>
      <c r="J95" s="11">
        <v>32</v>
      </c>
      <c r="K95" s="14" t="s">
        <v>31</v>
      </c>
      <c r="L95" s="10" t="s">
        <v>32</v>
      </c>
      <c r="M95" s="20"/>
      <c r="N95" s="20"/>
      <c r="O95" s="7"/>
      <c r="P95" s="7"/>
    </row>
    <row r="96" spans="1:16" ht="24.75" customHeight="1" x14ac:dyDescent="0.25">
      <c r="A96" s="14" t="str">
        <f t="shared" si="1"/>
        <v>VISTOS BUENOS</v>
      </c>
      <c r="B96" s="11">
        <v>3</v>
      </c>
      <c r="C96" s="11">
        <v>37</v>
      </c>
      <c r="D96" s="11">
        <v>88</v>
      </c>
      <c r="E96" s="10" t="s">
        <v>119</v>
      </c>
      <c r="F96" s="14" t="s">
        <v>223</v>
      </c>
      <c r="G96" s="11" t="s">
        <v>30</v>
      </c>
      <c r="H96" s="17" t="s">
        <v>368</v>
      </c>
      <c r="I96" s="17" t="s">
        <v>369</v>
      </c>
      <c r="J96" s="11">
        <v>8</v>
      </c>
      <c r="K96" s="14" t="s">
        <v>31</v>
      </c>
      <c r="L96" s="10" t="s">
        <v>32</v>
      </c>
      <c r="M96" s="20"/>
      <c r="N96" s="20"/>
      <c r="O96" s="7"/>
      <c r="P96" s="7"/>
    </row>
    <row r="97" spans="1:16" ht="24.75" customHeight="1" x14ac:dyDescent="0.25">
      <c r="A97" s="14" t="str">
        <f t="shared" si="1"/>
        <v>VISTOS BUENOS</v>
      </c>
      <c r="B97" s="11">
        <v>3</v>
      </c>
      <c r="C97" s="11">
        <v>37</v>
      </c>
      <c r="D97" s="11">
        <v>89</v>
      </c>
      <c r="E97" s="10" t="s">
        <v>120</v>
      </c>
      <c r="F97" s="14" t="s">
        <v>224</v>
      </c>
      <c r="G97" s="11" t="s">
        <v>30</v>
      </c>
      <c r="H97" s="17" t="s">
        <v>362</v>
      </c>
      <c r="I97" s="17" t="s">
        <v>370</v>
      </c>
      <c r="J97" s="11">
        <v>11</v>
      </c>
      <c r="K97" s="14" t="s">
        <v>31</v>
      </c>
      <c r="L97" s="10" t="s">
        <v>32</v>
      </c>
      <c r="M97" s="20"/>
      <c r="N97" s="20"/>
      <c r="O97" s="7"/>
      <c r="P97" s="7"/>
    </row>
    <row r="98" spans="1:16" ht="24.75" customHeight="1" x14ac:dyDescent="0.25">
      <c r="A98" s="14" t="str">
        <f t="shared" si="1"/>
        <v>VISTOS BUENOS</v>
      </c>
      <c r="B98" s="11">
        <v>3</v>
      </c>
      <c r="C98" s="11">
        <v>37</v>
      </c>
      <c r="D98" s="11">
        <v>90</v>
      </c>
      <c r="E98" s="10" t="s">
        <v>121</v>
      </c>
      <c r="F98" s="14" t="s">
        <v>225</v>
      </c>
      <c r="G98" s="11" t="s">
        <v>30</v>
      </c>
      <c r="H98" s="17" t="s">
        <v>362</v>
      </c>
      <c r="I98" s="17" t="s">
        <v>330</v>
      </c>
      <c r="J98" s="11">
        <v>12</v>
      </c>
      <c r="K98" s="14" t="s">
        <v>31</v>
      </c>
      <c r="L98" s="10" t="s">
        <v>32</v>
      </c>
      <c r="M98" s="20"/>
      <c r="N98" s="20"/>
      <c r="O98" s="7"/>
      <c r="P98" s="7"/>
    </row>
    <row r="99" spans="1:16" ht="24.75" customHeight="1" x14ac:dyDescent="0.25">
      <c r="A99" s="14" t="str">
        <f t="shared" si="1"/>
        <v>VISTOS BUENOS</v>
      </c>
      <c r="B99" s="11">
        <v>4</v>
      </c>
      <c r="C99" s="11">
        <v>38</v>
      </c>
      <c r="D99" s="11">
        <v>91</v>
      </c>
      <c r="E99" s="10" t="s">
        <v>122</v>
      </c>
      <c r="F99" s="14" t="s">
        <v>226</v>
      </c>
      <c r="G99" s="11" t="s">
        <v>30</v>
      </c>
      <c r="H99" s="17" t="s">
        <v>371</v>
      </c>
      <c r="I99" s="17" t="s">
        <v>372</v>
      </c>
      <c r="J99" s="11">
        <v>11</v>
      </c>
      <c r="K99" s="14" t="s">
        <v>31</v>
      </c>
      <c r="L99" s="10" t="s">
        <v>32</v>
      </c>
      <c r="M99" s="20"/>
      <c r="N99" s="20"/>
      <c r="O99" s="7"/>
      <c r="P99" s="7"/>
    </row>
    <row r="100" spans="1:16" ht="24.75" customHeight="1" x14ac:dyDescent="0.25">
      <c r="A100" s="14" t="str">
        <f t="shared" si="1"/>
        <v>VISTOS BUENOS</v>
      </c>
      <c r="B100" s="11">
        <v>4</v>
      </c>
      <c r="C100" s="11">
        <v>38</v>
      </c>
      <c r="D100" s="11">
        <v>92</v>
      </c>
      <c r="E100" s="10" t="s">
        <v>130</v>
      </c>
      <c r="F100" s="14" t="s">
        <v>234</v>
      </c>
      <c r="G100" s="11" t="s">
        <v>30</v>
      </c>
      <c r="H100" s="17" t="s">
        <v>381</v>
      </c>
      <c r="I100" s="17" t="s">
        <v>324</v>
      </c>
      <c r="J100" s="11">
        <v>25</v>
      </c>
      <c r="K100" s="14" t="s">
        <v>31</v>
      </c>
      <c r="L100" s="10" t="s">
        <v>32</v>
      </c>
      <c r="M100" s="20"/>
      <c r="N100" s="20"/>
      <c r="O100" s="7"/>
      <c r="P100" s="7"/>
    </row>
    <row r="101" spans="1:16" ht="24.75" customHeight="1" x14ac:dyDescent="0.25">
      <c r="A101" s="14" t="str">
        <f t="shared" si="1"/>
        <v>VISTOS BUENOS</v>
      </c>
      <c r="B101" s="11">
        <v>4</v>
      </c>
      <c r="C101" s="11">
        <v>39</v>
      </c>
      <c r="D101" s="11">
        <v>93</v>
      </c>
      <c r="E101" s="10" t="s">
        <v>124</v>
      </c>
      <c r="F101" s="14" t="s">
        <v>227</v>
      </c>
      <c r="G101" s="11" t="s">
        <v>30</v>
      </c>
      <c r="H101" s="17" t="s">
        <v>373</v>
      </c>
      <c r="I101" s="17" t="s">
        <v>298</v>
      </c>
      <c r="J101" s="11">
        <v>20</v>
      </c>
      <c r="K101" s="14" t="s">
        <v>31</v>
      </c>
      <c r="L101" s="10" t="s">
        <v>32</v>
      </c>
      <c r="M101" s="20"/>
      <c r="N101" s="20"/>
      <c r="O101" s="7"/>
      <c r="P101" s="7"/>
    </row>
    <row r="102" spans="1:16" ht="24.75" customHeight="1" x14ac:dyDescent="0.25">
      <c r="A102" s="14" t="str">
        <f t="shared" si="1"/>
        <v>VISTOS BUENOS</v>
      </c>
      <c r="B102" s="11">
        <v>4</v>
      </c>
      <c r="C102" s="11">
        <v>39</v>
      </c>
      <c r="D102" s="11">
        <v>94</v>
      </c>
      <c r="E102" s="10" t="s">
        <v>119</v>
      </c>
      <c r="F102" s="14" t="s">
        <v>228</v>
      </c>
      <c r="G102" s="11" t="s">
        <v>30</v>
      </c>
      <c r="H102" s="17" t="s">
        <v>374</v>
      </c>
      <c r="I102" s="17" t="s">
        <v>361</v>
      </c>
      <c r="J102" s="11">
        <v>15</v>
      </c>
      <c r="K102" s="14" t="s">
        <v>31</v>
      </c>
      <c r="L102" s="10" t="s">
        <v>32</v>
      </c>
      <c r="M102" s="20"/>
      <c r="N102" s="20"/>
      <c r="O102" s="7"/>
      <c r="P102" s="7"/>
    </row>
    <row r="103" spans="1:16" ht="24.75" customHeight="1" x14ac:dyDescent="0.25">
      <c r="A103" s="14" t="str">
        <f t="shared" si="1"/>
        <v>VISTOS BUENOS</v>
      </c>
      <c r="B103" s="11">
        <v>4</v>
      </c>
      <c r="C103" s="11">
        <v>40</v>
      </c>
      <c r="D103" s="11">
        <v>95</v>
      </c>
      <c r="E103" s="10" t="s">
        <v>125</v>
      </c>
      <c r="F103" s="14" t="s">
        <v>229</v>
      </c>
      <c r="G103" s="11" t="s">
        <v>30</v>
      </c>
      <c r="H103" s="17" t="s">
        <v>356</v>
      </c>
      <c r="I103" s="17" t="s">
        <v>375</v>
      </c>
      <c r="J103" s="11">
        <v>11</v>
      </c>
      <c r="K103" s="14" t="s">
        <v>31</v>
      </c>
      <c r="L103" s="10" t="s">
        <v>32</v>
      </c>
      <c r="M103" s="20"/>
      <c r="N103" s="20"/>
      <c r="O103" s="7"/>
      <c r="P103" s="7"/>
    </row>
    <row r="104" spans="1:16" ht="24.75" customHeight="1" x14ac:dyDescent="0.25">
      <c r="A104" s="14" t="str">
        <f t="shared" si="1"/>
        <v>VISTOS BUENOS</v>
      </c>
      <c r="B104" s="11">
        <v>4</v>
      </c>
      <c r="C104" s="11">
        <v>41</v>
      </c>
      <c r="D104" s="11">
        <v>96</v>
      </c>
      <c r="E104" s="10" t="s">
        <v>126</v>
      </c>
      <c r="F104" s="14" t="s">
        <v>230</v>
      </c>
      <c r="G104" s="11" t="s">
        <v>30</v>
      </c>
      <c r="H104" s="17" t="s">
        <v>356</v>
      </c>
      <c r="I104" s="17" t="s">
        <v>375</v>
      </c>
      <c r="J104" s="11">
        <v>11</v>
      </c>
      <c r="K104" s="14" t="s">
        <v>31</v>
      </c>
      <c r="L104" s="10" t="s">
        <v>32</v>
      </c>
      <c r="M104" s="20"/>
      <c r="N104" s="20"/>
      <c r="O104" s="7"/>
      <c r="P104" s="7"/>
    </row>
    <row r="105" spans="1:16" ht="24.75" customHeight="1" x14ac:dyDescent="0.25">
      <c r="A105" s="14" t="str">
        <f t="shared" si="1"/>
        <v>VISTOS BUENOS</v>
      </c>
      <c r="B105" s="11">
        <v>4</v>
      </c>
      <c r="C105" s="11">
        <v>41</v>
      </c>
      <c r="D105" s="11">
        <v>97</v>
      </c>
      <c r="E105" s="10" t="s">
        <v>127</v>
      </c>
      <c r="F105" s="14" t="s">
        <v>231</v>
      </c>
      <c r="G105" s="11" t="s">
        <v>30</v>
      </c>
      <c r="H105" s="17" t="s">
        <v>378</v>
      </c>
      <c r="I105" s="17" t="s">
        <v>376</v>
      </c>
      <c r="J105" s="11">
        <v>37</v>
      </c>
      <c r="K105" s="14" t="s">
        <v>31</v>
      </c>
      <c r="L105" s="10" t="s">
        <v>32</v>
      </c>
      <c r="M105" s="20"/>
      <c r="N105" s="20"/>
      <c r="O105" s="7"/>
      <c r="P105" s="7"/>
    </row>
    <row r="106" spans="1:16" ht="24.75" customHeight="1" x14ac:dyDescent="0.25">
      <c r="A106" s="14" t="str">
        <f t="shared" si="1"/>
        <v>VISTOS BUENOS</v>
      </c>
      <c r="B106" s="11">
        <v>4</v>
      </c>
      <c r="C106" s="11">
        <v>42</v>
      </c>
      <c r="D106" s="11">
        <v>98</v>
      </c>
      <c r="E106" s="10" t="s">
        <v>128</v>
      </c>
      <c r="F106" s="14" t="s">
        <v>232</v>
      </c>
      <c r="G106" s="11" t="s">
        <v>30</v>
      </c>
      <c r="H106" s="17" t="s">
        <v>377</v>
      </c>
      <c r="I106" s="17" t="s">
        <v>379</v>
      </c>
      <c r="J106" s="11">
        <v>113</v>
      </c>
      <c r="K106" s="14" t="s">
        <v>31</v>
      </c>
      <c r="L106" s="10" t="s">
        <v>32</v>
      </c>
      <c r="M106" s="20"/>
      <c r="N106" s="20"/>
      <c r="O106" s="7"/>
      <c r="P106" s="7"/>
    </row>
    <row r="107" spans="1:16" ht="24.75" customHeight="1" x14ac:dyDescent="0.25">
      <c r="A107" s="14" t="str">
        <f t="shared" si="1"/>
        <v>VISTOS BUENOS</v>
      </c>
      <c r="B107" s="11">
        <v>4</v>
      </c>
      <c r="C107" s="11">
        <v>43</v>
      </c>
      <c r="D107" s="11">
        <v>99</v>
      </c>
      <c r="E107" s="10" t="s">
        <v>129</v>
      </c>
      <c r="F107" s="14" t="s">
        <v>233</v>
      </c>
      <c r="G107" s="11" t="s">
        <v>30</v>
      </c>
      <c r="H107" s="17" t="s">
        <v>377</v>
      </c>
      <c r="I107" s="17" t="s">
        <v>380</v>
      </c>
      <c r="J107" s="11">
        <v>186</v>
      </c>
      <c r="K107" s="14" t="s">
        <v>31</v>
      </c>
      <c r="L107" s="10" t="s">
        <v>32</v>
      </c>
      <c r="M107" s="20"/>
      <c r="N107" s="20"/>
      <c r="O107" s="7"/>
      <c r="P107" s="7"/>
    </row>
  </sheetData>
  <mergeCells count="24">
    <mergeCell ref="M7:O7"/>
    <mergeCell ref="P7:P8"/>
    <mergeCell ref="F7:G7"/>
    <mergeCell ref="H7:I7"/>
    <mergeCell ref="J7:J8"/>
    <mergeCell ref="K7:K8"/>
    <mergeCell ref="L7:L8"/>
    <mergeCell ref="A7:A8"/>
    <mergeCell ref="B7:B8"/>
    <mergeCell ref="C7:C8"/>
    <mergeCell ref="D7:D8"/>
    <mergeCell ref="E7:E8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6"/>
  <sheetViews>
    <sheetView zoomScale="130" zoomScaleNormal="130" workbookViewId="0">
      <selection activeCell="G12" sqref="G12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6" t="s">
        <v>13</v>
      </c>
      <c r="D8" s="83" t="s">
        <v>14</v>
      </c>
      <c r="E8" s="85" t="s">
        <v>15</v>
      </c>
      <c r="F8" s="13" t="s">
        <v>23</v>
      </c>
      <c r="G8" s="5" t="s">
        <v>24</v>
      </c>
      <c r="H8" s="12" t="s">
        <v>25</v>
      </c>
      <c r="I8" s="12" t="s">
        <v>26</v>
      </c>
      <c r="J8" s="85" t="s">
        <v>18</v>
      </c>
      <c r="K8" s="85" t="s">
        <v>19</v>
      </c>
      <c r="L8" s="85" t="s">
        <v>20</v>
      </c>
      <c r="M8" s="12" t="s">
        <v>27</v>
      </c>
      <c r="N8" s="12" t="s">
        <v>28</v>
      </c>
      <c r="O8" s="12" t="s">
        <v>29</v>
      </c>
      <c r="P8" s="85" t="s">
        <v>22</v>
      </c>
    </row>
    <row r="9" spans="1:16" ht="24.75" customHeight="1" x14ac:dyDescent="0.25">
      <c r="A9" s="14" t="str">
        <f>D6</f>
        <v>VISTOS BUENOS</v>
      </c>
      <c r="B9" s="11">
        <v>1</v>
      </c>
      <c r="C9" s="11">
        <v>1</v>
      </c>
      <c r="D9" s="11">
        <v>1</v>
      </c>
      <c r="E9" s="10" t="s">
        <v>123</v>
      </c>
      <c r="F9" s="33" t="s">
        <v>518</v>
      </c>
      <c r="G9" s="11" t="s">
        <v>30</v>
      </c>
      <c r="H9" s="17" t="s">
        <v>653</v>
      </c>
      <c r="I9" s="17" t="s">
        <v>654</v>
      </c>
      <c r="J9" s="11">
        <v>16</v>
      </c>
      <c r="K9" s="14" t="s">
        <v>31</v>
      </c>
      <c r="L9" s="10" t="s">
        <v>32</v>
      </c>
      <c r="M9" s="20"/>
      <c r="N9" s="20"/>
      <c r="O9" s="7"/>
      <c r="P9" s="7"/>
    </row>
    <row r="10" spans="1:16" ht="24.75" customHeight="1" x14ac:dyDescent="0.25">
      <c r="A10" s="14" t="str">
        <f>A9</f>
        <v>VISTOS BUENOS</v>
      </c>
      <c r="B10" s="11">
        <v>1</v>
      </c>
      <c r="C10" s="11">
        <v>1</v>
      </c>
      <c r="D10" s="11">
        <v>2</v>
      </c>
      <c r="E10" s="10" t="s">
        <v>54</v>
      </c>
      <c r="F10" s="33" t="s">
        <v>519</v>
      </c>
      <c r="G10" s="11" t="s">
        <v>30</v>
      </c>
      <c r="H10" s="17" t="s">
        <v>268</v>
      </c>
      <c r="I10" s="17" t="s">
        <v>654</v>
      </c>
      <c r="J10" s="11">
        <v>87</v>
      </c>
      <c r="K10" s="14" t="s">
        <v>31</v>
      </c>
      <c r="L10" s="10" t="s">
        <v>32</v>
      </c>
      <c r="M10" s="20"/>
      <c r="N10" s="20"/>
      <c r="O10" s="7"/>
      <c r="P10" s="7"/>
    </row>
    <row r="11" spans="1:16" ht="24.75" customHeight="1" x14ac:dyDescent="0.25">
      <c r="A11" s="14" t="str">
        <f t="shared" ref="A11:A72" si="0">A10</f>
        <v>VISTOS BUENOS</v>
      </c>
      <c r="B11" s="11">
        <v>1</v>
      </c>
      <c r="C11" s="11">
        <v>1</v>
      </c>
      <c r="D11" s="11">
        <v>3</v>
      </c>
      <c r="E11" s="10" t="s">
        <v>135</v>
      </c>
      <c r="F11" s="34" t="s">
        <v>520</v>
      </c>
      <c r="G11" s="11" t="s">
        <v>30</v>
      </c>
      <c r="H11" s="17" t="s">
        <v>656</v>
      </c>
      <c r="I11" s="17" t="s">
        <v>657</v>
      </c>
      <c r="J11" s="11">
        <v>88</v>
      </c>
      <c r="K11" s="14" t="s">
        <v>31</v>
      </c>
      <c r="L11" s="10" t="s">
        <v>32</v>
      </c>
      <c r="M11" s="20"/>
      <c r="O11" s="7"/>
      <c r="P11" s="7"/>
    </row>
    <row r="12" spans="1:16" ht="24.75" customHeight="1" x14ac:dyDescent="0.25">
      <c r="A12" s="23" t="str">
        <f t="shared" si="0"/>
        <v>VISTOS BUENOS</v>
      </c>
      <c r="B12" s="24">
        <v>1</v>
      </c>
      <c r="C12" s="24">
        <v>1</v>
      </c>
      <c r="D12" s="11">
        <v>4</v>
      </c>
      <c r="E12" s="10" t="s">
        <v>137</v>
      </c>
      <c r="F12" s="34" t="s">
        <v>521</v>
      </c>
      <c r="G12" s="11" t="s">
        <v>30</v>
      </c>
      <c r="H12" s="17" t="s">
        <v>658</v>
      </c>
      <c r="I12" s="17" t="s">
        <v>659</v>
      </c>
      <c r="J12" s="11">
        <v>106</v>
      </c>
      <c r="K12" s="14" t="s">
        <v>31</v>
      </c>
      <c r="L12" s="10" t="s">
        <v>32</v>
      </c>
      <c r="M12" s="20"/>
      <c r="N12" s="20"/>
      <c r="O12" s="7"/>
      <c r="P12" s="7"/>
    </row>
    <row r="13" spans="1:16" ht="24.75" customHeight="1" x14ac:dyDescent="0.25">
      <c r="A13" s="36" t="str">
        <f t="shared" si="0"/>
        <v>VISTOS BUENOS</v>
      </c>
      <c r="B13" s="37">
        <v>1</v>
      </c>
      <c r="C13" s="37">
        <v>2</v>
      </c>
      <c r="D13" s="11">
        <v>5</v>
      </c>
      <c r="E13" s="10" t="s">
        <v>138</v>
      </c>
      <c r="F13" s="33" t="s">
        <v>522</v>
      </c>
      <c r="G13" s="11" t="s">
        <v>30</v>
      </c>
      <c r="H13" s="17" t="s">
        <v>380</v>
      </c>
      <c r="I13" s="17" t="s">
        <v>662</v>
      </c>
      <c r="J13" s="11">
        <v>16</v>
      </c>
      <c r="K13" s="14" t="s">
        <v>31</v>
      </c>
      <c r="L13" s="10" t="s">
        <v>32</v>
      </c>
      <c r="M13" s="20"/>
      <c r="N13" s="20"/>
      <c r="O13" s="7"/>
      <c r="P13" s="7"/>
    </row>
    <row r="14" spans="1:16" ht="24.75" customHeight="1" x14ac:dyDescent="0.25">
      <c r="A14" s="36" t="str">
        <f t="shared" si="0"/>
        <v>VISTOS BUENOS</v>
      </c>
      <c r="B14" s="37">
        <v>1</v>
      </c>
      <c r="C14" s="37">
        <v>2</v>
      </c>
      <c r="D14" s="11">
        <v>6</v>
      </c>
      <c r="E14" s="10" t="s">
        <v>78</v>
      </c>
      <c r="F14" s="33" t="s">
        <v>523</v>
      </c>
      <c r="G14" s="11" t="s">
        <v>30</v>
      </c>
      <c r="H14" s="17" t="s">
        <v>303</v>
      </c>
      <c r="I14" s="17" t="s">
        <v>270</v>
      </c>
      <c r="J14" s="11">
        <v>93</v>
      </c>
      <c r="K14" s="14" t="s">
        <v>31</v>
      </c>
      <c r="L14" s="10" t="s">
        <v>32</v>
      </c>
      <c r="M14" s="20"/>
      <c r="N14" s="20"/>
      <c r="O14" s="7"/>
      <c r="P14" s="7"/>
    </row>
    <row r="15" spans="1:16" ht="24.75" customHeight="1" x14ac:dyDescent="0.25">
      <c r="A15" s="36" t="str">
        <f t="shared" si="0"/>
        <v>VISTOS BUENOS</v>
      </c>
      <c r="B15" s="37">
        <v>1</v>
      </c>
      <c r="C15" s="37">
        <v>2</v>
      </c>
      <c r="D15" s="11">
        <v>7</v>
      </c>
      <c r="E15" s="10" t="s">
        <v>131</v>
      </c>
      <c r="F15" s="34" t="s">
        <v>524</v>
      </c>
      <c r="G15" s="11" t="s">
        <v>30</v>
      </c>
      <c r="H15" s="17" t="s">
        <v>663</v>
      </c>
      <c r="I15" s="17" t="s">
        <v>664</v>
      </c>
      <c r="J15" s="11">
        <v>14</v>
      </c>
      <c r="K15" s="14" t="s">
        <v>31</v>
      </c>
      <c r="L15" s="10" t="s">
        <v>32</v>
      </c>
      <c r="M15" s="20"/>
      <c r="N15" s="20"/>
      <c r="O15" s="7"/>
      <c r="P15" s="7"/>
    </row>
    <row r="16" spans="1:16" ht="24.75" customHeight="1" x14ac:dyDescent="0.25">
      <c r="A16" s="36" t="str">
        <f t="shared" si="0"/>
        <v>VISTOS BUENOS</v>
      </c>
      <c r="B16" s="37">
        <v>1</v>
      </c>
      <c r="C16" s="37">
        <v>3</v>
      </c>
      <c r="D16" s="11">
        <v>8</v>
      </c>
      <c r="E16" s="10" t="s">
        <v>134</v>
      </c>
      <c r="F16" s="34" t="s">
        <v>525</v>
      </c>
      <c r="G16" s="11" t="s">
        <v>30</v>
      </c>
      <c r="H16" s="17" t="s">
        <v>665</v>
      </c>
      <c r="I16" s="17" t="s">
        <v>666</v>
      </c>
      <c r="J16" s="11">
        <v>164</v>
      </c>
      <c r="K16" s="14" t="s">
        <v>31</v>
      </c>
      <c r="L16" s="10" t="s">
        <v>32</v>
      </c>
      <c r="M16" s="20"/>
      <c r="N16" s="20"/>
      <c r="O16" s="7"/>
      <c r="P16" s="7"/>
    </row>
    <row r="17" spans="1:16" ht="24.75" customHeight="1" x14ac:dyDescent="0.25">
      <c r="A17" s="36" t="str">
        <f t="shared" si="0"/>
        <v>VISTOS BUENOS</v>
      </c>
      <c r="B17" s="37">
        <v>1</v>
      </c>
      <c r="C17" s="37">
        <v>3</v>
      </c>
      <c r="D17" s="11">
        <v>9</v>
      </c>
      <c r="E17" s="10" t="s">
        <v>382</v>
      </c>
      <c r="F17" s="33" t="s">
        <v>526</v>
      </c>
      <c r="G17" s="11" t="s">
        <v>30</v>
      </c>
      <c r="H17" s="17" t="s">
        <v>667</v>
      </c>
      <c r="I17" s="17" t="s">
        <v>668</v>
      </c>
      <c r="J17" s="11">
        <v>9</v>
      </c>
      <c r="K17" s="14" t="s">
        <v>31</v>
      </c>
      <c r="L17" s="10" t="s">
        <v>32</v>
      </c>
      <c r="M17" s="20"/>
      <c r="N17" s="20"/>
      <c r="O17" s="7"/>
      <c r="P17" s="7"/>
    </row>
    <row r="18" spans="1:16" ht="24.75" customHeight="1" x14ac:dyDescent="0.25">
      <c r="A18" s="36" t="str">
        <f t="shared" si="0"/>
        <v>VISTOS BUENOS</v>
      </c>
      <c r="B18" s="37">
        <v>1</v>
      </c>
      <c r="C18" s="37">
        <v>3</v>
      </c>
      <c r="D18" s="11">
        <v>10</v>
      </c>
      <c r="E18" s="10" t="s">
        <v>383</v>
      </c>
      <c r="F18" s="33" t="s">
        <v>527</v>
      </c>
      <c r="G18" s="11" t="s">
        <v>30</v>
      </c>
      <c r="H18" s="17" t="s">
        <v>669</v>
      </c>
      <c r="I18" s="17" t="s">
        <v>670</v>
      </c>
      <c r="J18" s="11">
        <v>16</v>
      </c>
      <c r="K18" s="14" t="s">
        <v>31</v>
      </c>
      <c r="L18" s="10" t="s">
        <v>32</v>
      </c>
      <c r="M18" s="20"/>
      <c r="N18" s="20"/>
      <c r="O18" s="7"/>
      <c r="P18" s="7"/>
    </row>
    <row r="19" spans="1:16" ht="24.75" customHeight="1" x14ac:dyDescent="0.25">
      <c r="A19" s="36" t="str">
        <f t="shared" si="0"/>
        <v>VISTOS BUENOS</v>
      </c>
      <c r="B19" s="37">
        <v>1</v>
      </c>
      <c r="C19" s="37">
        <v>3</v>
      </c>
      <c r="D19" s="11">
        <v>11</v>
      </c>
      <c r="E19" s="10" t="s">
        <v>384</v>
      </c>
      <c r="F19" s="33" t="s">
        <v>528</v>
      </c>
      <c r="G19" s="11" t="s">
        <v>30</v>
      </c>
      <c r="H19" s="17" t="s">
        <v>671</v>
      </c>
      <c r="I19" s="17" t="s">
        <v>672</v>
      </c>
      <c r="J19" s="11">
        <v>33</v>
      </c>
      <c r="K19" s="14" t="s">
        <v>31</v>
      </c>
      <c r="L19" s="10" t="s">
        <v>32</v>
      </c>
      <c r="M19" s="20"/>
      <c r="N19" s="20"/>
      <c r="O19" s="7"/>
      <c r="P19" s="7"/>
    </row>
    <row r="20" spans="1:16" ht="24.75" customHeight="1" x14ac:dyDescent="0.25">
      <c r="A20" s="36" t="str">
        <f t="shared" si="0"/>
        <v>VISTOS BUENOS</v>
      </c>
      <c r="B20" s="37">
        <v>1</v>
      </c>
      <c r="C20" s="37">
        <v>3</v>
      </c>
      <c r="D20" s="35">
        <v>12</v>
      </c>
      <c r="E20" s="10" t="s">
        <v>385</v>
      </c>
      <c r="F20" s="33" t="s">
        <v>529</v>
      </c>
      <c r="G20" s="11" t="s">
        <v>30</v>
      </c>
      <c r="H20" s="17" t="s">
        <v>307</v>
      </c>
      <c r="I20" s="17" t="s">
        <v>673</v>
      </c>
      <c r="J20" s="11">
        <v>51</v>
      </c>
      <c r="K20" s="14" t="s">
        <v>31</v>
      </c>
      <c r="L20" s="10" t="s">
        <v>32</v>
      </c>
      <c r="M20" s="20"/>
      <c r="N20" s="20"/>
      <c r="O20" s="7"/>
      <c r="P20" s="7"/>
    </row>
    <row r="21" spans="1:16" ht="24.75" customHeight="1" x14ac:dyDescent="0.25">
      <c r="A21" s="36" t="str">
        <f t="shared" si="0"/>
        <v>VISTOS BUENOS</v>
      </c>
      <c r="B21" s="37">
        <v>1</v>
      </c>
      <c r="C21" s="37">
        <v>4</v>
      </c>
      <c r="D21" s="35">
        <v>13</v>
      </c>
      <c r="E21" s="10" t="s">
        <v>386</v>
      </c>
      <c r="F21" s="34" t="s">
        <v>530</v>
      </c>
      <c r="G21" s="11" t="s">
        <v>30</v>
      </c>
      <c r="H21" s="17" t="s">
        <v>674</v>
      </c>
      <c r="I21" s="17" t="s">
        <v>675</v>
      </c>
      <c r="J21" s="11">
        <v>13</v>
      </c>
      <c r="K21" s="14" t="s">
        <v>31</v>
      </c>
      <c r="L21" s="10" t="s">
        <v>32</v>
      </c>
      <c r="M21" s="20"/>
      <c r="N21" s="20"/>
      <c r="O21" s="7"/>
      <c r="P21" s="7"/>
    </row>
    <row r="22" spans="1:16" ht="24.75" customHeight="1" x14ac:dyDescent="0.25">
      <c r="A22" s="14" t="str">
        <f t="shared" si="0"/>
        <v>VISTOS BUENOS</v>
      </c>
      <c r="B22" s="37">
        <v>1</v>
      </c>
      <c r="C22" s="37">
        <v>4</v>
      </c>
      <c r="D22" s="35">
        <v>14</v>
      </c>
      <c r="E22" s="10" t="s">
        <v>387</v>
      </c>
      <c r="F22" s="34" t="s">
        <v>531</v>
      </c>
      <c r="G22" s="11" t="s">
        <v>30</v>
      </c>
      <c r="H22" s="17" t="s">
        <v>676</v>
      </c>
      <c r="I22" s="17" t="s">
        <v>677</v>
      </c>
      <c r="J22" s="11">
        <v>45</v>
      </c>
      <c r="K22" s="14" t="s">
        <v>31</v>
      </c>
      <c r="L22" s="10" t="s">
        <v>32</v>
      </c>
      <c r="M22" s="20"/>
      <c r="N22" s="20"/>
      <c r="O22" s="7"/>
      <c r="P22" s="7"/>
    </row>
    <row r="23" spans="1:16" ht="24.75" customHeight="1" x14ac:dyDescent="0.25">
      <c r="A23" s="36" t="str">
        <f t="shared" ref="A23:A26" si="1">A22</f>
        <v>VISTOS BUENOS</v>
      </c>
      <c r="B23" s="37">
        <v>1</v>
      </c>
      <c r="C23" s="37">
        <v>4</v>
      </c>
      <c r="D23" s="35">
        <v>15</v>
      </c>
      <c r="E23" s="10" t="s">
        <v>678</v>
      </c>
      <c r="F23" s="14" t="s">
        <v>532</v>
      </c>
      <c r="G23" s="11" t="s">
        <v>30</v>
      </c>
      <c r="H23" s="17" t="s">
        <v>679</v>
      </c>
      <c r="I23" s="17" t="s">
        <v>673</v>
      </c>
      <c r="J23" s="11">
        <v>50</v>
      </c>
      <c r="K23" s="14"/>
      <c r="L23" s="10"/>
      <c r="M23" s="20"/>
      <c r="N23" s="20"/>
      <c r="O23" s="7"/>
      <c r="P23" s="7"/>
    </row>
    <row r="24" spans="1:16" ht="24.75" customHeight="1" x14ac:dyDescent="0.25">
      <c r="A24" s="14" t="str">
        <f t="shared" si="1"/>
        <v>VISTOS BUENOS</v>
      </c>
      <c r="B24" s="37">
        <v>1</v>
      </c>
      <c r="C24" s="37">
        <v>4</v>
      </c>
      <c r="D24" s="35">
        <v>16</v>
      </c>
      <c r="E24" s="10" t="s">
        <v>388</v>
      </c>
      <c r="F24" s="14" t="s">
        <v>533</v>
      </c>
      <c r="G24" s="11" t="s">
        <v>30</v>
      </c>
      <c r="H24" s="17" t="s">
        <v>680</v>
      </c>
      <c r="I24" s="17" t="s">
        <v>681</v>
      </c>
      <c r="J24" s="11">
        <v>31</v>
      </c>
      <c r="K24" s="14" t="s">
        <v>31</v>
      </c>
      <c r="L24" s="10" t="s">
        <v>32</v>
      </c>
      <c r="M24" s="20"/>
      <c r="N24" s="20"/>
      <c r="O24" s="7"/>
      <c r="P24" s="7"/>
    </row>
    <row r="25" spans="1:16" ht="24.75" customHeight="1" x14ac:dyDescent="0.25">
      <c r="A25" s="36" t="str">
        <f t="shared" si="1"/>
        <v>VISTOS BUENOS</v>
      </c>
      <c r="B25" s="37">
        <v>1</v>
      </c>
      <c r="C25" s="37">
        <v>5</v>
      </c>
      <c r="D25" s="35">
        <v>17</v>
      </c>
      <c r="E25" s="10" t="s">
        <v>389</v>
      </c>
      <c r="F25" s="14" t="s">
        <v>534</v>
      </c>
      <c r="G25" s="11" t="s">
        <v>30</v>
      </c>
      <c r="H25" s="17" t="s">
        <v>675</v>
      </c>
      <c r="I25" s="17" t="s">
        <v>682</v>
      </c>
      <c r="J25" s="11">
        <v>50</v>
      </c>
      <c r="K25" s="14" t="s">
        <v>31</v>
      </c>
      <c r="L25" s="10" t="s">
        <v>32</v>
      </c>
      <c r="M25" s="20"/>
      <c r="N25" s="20"/>
      <c r="O25" s="7"/>
      <c r="P25" s="7"/>
    </row>
    <row r="26" spans="1:16" ht="24.75" customHeight="1" x14ac:dyDescent="0.25">
      <c r="A26" s="14" t="str">
        <f t="shared" si="1"/>
        <v>VISTOS BUENOS</v>
      </c>
      <c r="B26" s="37">
        <v>1</v>
      </c>
      <c r="C26" s="37">
        <v>5</v>
      </c>
      <c r="D26" s="11">
        <v>18</v>
      </c>
      <c r="E26" s="10" t="s">
        <v>390</v>
      </c>
      <c r="F26" s="14" t="s">
        <v>535</v>
      </c>
      <c r="G26" s="11" t="s">
        <v>30</v>
      </c>
      <c r="H26" s="17" t="s">
        <v>683</v>
      </c>
      <c r="I26" s="17" t="s">
        <v>684</v>
      </c>
      <c r="J26" s="11">
        <v>50</v>
      </c>
      <c r="K26" s="14" t="s">
        <v>31</v>
      </c>
      <c r="L26" s="10" t="s">
        <v>32</v>
      </c>
      <c r="M26" s="20"/>
      <c r="N26" s="20"/>
      <c r="O26" s="7"/>
      <c r="P26" s="7"/>
    </row>
    <row r="27" spans="1:16" ht="24.75" customHeight="1" x14ac:dyDescent="0.25">
      <c r="A27" s="14" t="str">
        <f t="shared" si="0"/>
        <v>VISTOS BUENOS</v>
      </c>
      <c r="B27" s="37">
        <v>1</v>
      </c>
      <c r="C27" s="37">
        <v>5</v>
      </c>
      <c r="D27" s="11">
        <v>19</v>
      </c>
      <c r="E27" s="10" t="s">
        <v>391</v>
      </c>
      <c r="F27" s="14" t="s">
        <v>536</v>
      </c>
      <c r="G27" s="11" t="s">
        <v>30</v>
      </c>
      <c r="H27" s="17" t="s">
        <v>685</v>
      </c>
      <c r="I27" s="17" t="s">
        <v>686</v>
      </c>
      <c r="J27" s="11">
        <v>27</v>
      </c>
      <c r="K27" s="14" t="s">
        <v>31</v>
      </c>
      <c r="L27" s="10" t="s">
        <v>32</v>
      </c>
      <c r="M27" s="20"/>
      <c r="N27" s="20"/>
      <c r="O27" s="7"/>
      <c r="P27" s="7"/>
    </row>
    <row r="28" spans="1:16" ht="24.75" customHeight="1" x14ac:dyDescent="0.25">
      <c r="A28" s="14" t="str">
        <f t="shared" si="0"/>
        <v>VISTOS BUENOS</v>
      </c>
      <c r="B28" s="37">
        <v>1</v>
      </c>
      <c r="C28" s="37">
        <v>6</v>
      </c>
      <c r="D28" s="35">
        <v>20</v>
      </c>
      <c r="E28" s="10" t="s">
        <v>392</v>
      </c>
      <c r="F28" s="14" t="s">
        <v>537</v>
      </c>
      <c r="G28" s="11" t="s">
        <v>30</v>
      </c>
      <c r="H28" s="17" t="s">
        <v>687</v>
      </c>
      <c r="I28" s="17" t="s">
        <v>688</v>
      </c>
      <c r="J28" s="11">
        <v>37</v>
      </c>
      <c r="K28" s="14" t="s">
        <v>31</v>
      </c>
      <c r="L28" s="10" t="s">
        <v>32</v>
      </c>
      <c r="M28" s="20"/>
      <c r="N28" s="20"/>
      <c r="O28" s="7"/>
      <c r="P28" s="7"/>
    </row>
    <row r="29" spans="1:16" ht="24.75" customHeight="1" x14ac:dyDescent="0.25">
      <c r="A29" s="14" t="str">
        <f t="shared" si="0"/>
        <v>VISTOS BUENOS</v>
      </c>
      <c r="B29" s="37">
        <v>2</v>
      </c>
      <c r="C29" s="37">
        <v>7</v>
      </c>
      <c r="D29" s="35">
        <v>21</v>
      </c>
      <c r="E29" s="10" t="s">
        <v>393</v>
      </c>
      <c r="F29" s="14" t="s">
        <v>538</v>
      </c>
      <c r="G29" s="11" t="s">
        <v>30</v>
      </c>
      <c r="H29" s="17" t="s">
        <v>689</v>
      </c>
      <c r="I29" s="17" t="s">
        <v>690</v>
      </c>
      <c r="J29" s="11">
        <v>6</v>
      </c>
      <c r="K29" s="14" t="s">
        <v>31</v>
      </c>
      <c r="L29" s="10" t="s">
        <v>32</v>
      </c>
      <c r="M29" s="20"/>
      <c r="N29" s="20"/>
      <c r="O29" s="7"/>
      <c r="P29" s="7"/>
    </row>
    <row r="30" spans="1:16" ht="24.75" customHeight="1" x14ac:dyDescent="0.25">
      <c r="A30" s="14" t="str">
        <f t="shared" si="0"/>
        <v>VISTOS BUENOS</v>
      </c>
      <c r="B30" s="37">
        <v>2</v>
      </c>
      <c r="C30" s="37">
        <v>7</v>
      </c>
      <c r="D30" s="35">
        <v>22</v>
      </c>
      <c r="E30" s="10" t="s">
        <v>394</v>
      </c>
      <c r="F30" s="14" t="s">
        <v>539</v>
      </c>
      <c r="G30" s="11" t="s">
        <v>30</v>
      </c>
      <c r="H30" s="17" t="s">
        <v>691</v>
      </c>
      <c r="I30" s="17" t="s">
        <v>692</v>
      </c>
      <c r="J30" s="11">
        <v>9</v>
      </c>
      <c r="K30" s="14" t="s">
        <v>31</v>
      </c>
      <c r="L30" s="10" t="s">
        <v>32</v>
      </c>
      <c r="M30" s="20"/>
      <c r="N30" s="20"/>
      <c r="O30" s="7"/>
      <c r="P30" s="7"/>
    </row>
    <row r="31" spans="1:16" ht="24.75" customHeight="1" x14ac:dyDescent="0.25">
      <c r="A31" s="14" t="str">
        <f t="shared" si="0"/>
        <v>VISTOS BUENOS</v>
      </c>
      <c r="B31" s="37">
        <v>2</v>
      </c>
      <c r="C31" s="37">
        <v>7</v>
      </c>
      <c r="D31" s="35">
        <v>23</v>
      </c>
      <c r="E31" s="10" t="s">
        <v>395</v>
      </c>
      <c r="F31" s="40" t="s">
        <v>540</v>
      </c>
      <c r="G31" s="11" t="s">
        <v>30</v>
      </c>
      <c r="H31" s="17" t="s">
        <v>693</v>
      </c>
      <c r="I31" s="17" t="s">
        <v>694</v>
      </c>
      <c r="J31" s="11">
        <v>32</v>
      </c>
      <c r="K31" s="14" t="s">
        <v>31</v>
      </c>
      <c r="L31" s="10" t="s">
        <v>32</v>
      </c>
      <c r="M31" s="20"/>
      <c r="N31" s="20"/>
      <c r="O31" s="7"/>
      <c r="P31" s="7"/>
    </row>
    <row r="32" spans="1:16" ht="24.75" customHeight="1" x14ac:dyDescent="0.25">
      <c r="A32" s="14" t="str">
        <f t="shared" si="0"/>
        <v>VISTOS BUENOS</v>
      </c>
      <c r="B32" s="37">
        <v>2</v>
      </c>
      <c r="C32" s="37">
        <v>7</v>
      </c>
      <c r="D32" s="35">
        <v>24</v>
      </c>
      <c r="E32" s="10" t="s">
        <v>396</v>
      </c>
      <c r="F32" s="14" t="s">
        <v>541</v>
      </c>
      <c r="G32" s="11" t="s">
        <v>30</v>
      </c>
      <c r="H32" s="17" t="s">
        <v>695</v>
      </c>
      <c r="I32" s="17" t="s">
        <v>696</v>
      </c>
      <c r="J32" s="11">
        <v>13</v>
      </c>
      <c r="K32" s="14" t="s">
        <v>31</v>
      </c>
      <c r="L32" s="10" t="s">
        <v>32</v>
      </c>
      <c r="M32" s="20"/>
      <c r="N32" s="20"/>
      <c r="O32" s="7"/>
      <c r="P32" s="7"/>
    </row>
    <row r="33" spans="1:16" ht="24.75" customHeight="1" x14ac:dyDescent="0.25">
      <c r="A33" s="14" t="str">
        <f t="shared" si="0"/>
        <v>VISTOS BUENOS</v>
      </c>
      <c r="B33" s="37">
        <v>2</v>
      </c>
      <c r="C33" s="38">
        <v>7</v>
      </c>
      <c r="D33" s="11">
        <v>25</v>
      </c>
      <c r="E33" s="10" t="s">
        <v>397</v>
      </c>
      <c r="F33" s="14" t="s">
        <v>542</v>
      </c>
      <c r="G33" s="11" t="s">
        <v>30</v>
      </c>
      <c r="H33" s="17" t="s">
        <v>679</v>
      </c>
      <c r="I33" s="17" t="s">
        <v>696</v>
      </c>
      <c r="J33" s="11">
        <v>9</v>
      </c>
      <c r="K33" s="14" t="s">
        <v>31</v>
      </c>
      <c r="L33" s="10" t="s">
        <v>32</v>
      </c>
      <c r="M33" s="20"/>
      <c r="N33" s="20"/>
      <c r="O33" s="7"/>
      <c r="P33" s="7"/>
    </row>
    <row r="34" spans="1:16" ht="24.75" customHeight="1" x14ac:dyDescent="0.25">
      <c r="A34" s="14" t="str">
        <f t="shared" si="0"/>
        <v>VISTOS BUENOS</v>
      </c>
      <c r="B34" s="37">
        <v>2</v>
      </c>
      <c r="C34" s="37">
        <v>7</v>
      </c>
      <c r="D34" s="11">
        <v>26</v>
      </c>
      <c r="E34" s="10" t="s">
        <v>398</v>
      </c>
      <c r="F34" s="14" t="s">
        <v>543</v>
      </c>
      <c r="G34" s="11" t="s">
        <v>30</v>
      </c>
      <c r="H34" s="17" t="s">
        <v>679</v>
      </c>
      <c r="I34" s="17" t="s">
        <v>697</v>
      </c>
      <c r="J34" s="11">
        <v>26</v>
      </c>
      <c r="K34" s="14" t="s">
        <v>31</v>
      </c>
      <c r="L34" s="10" t="s">
        <v>32</v>
      </c>
      <c r="M34" s="20"/>
      <c r="N34" s="20"/>
      <c r="O34" s="7"/>
      <c r="P34" s="7"/>
    </row>
    <row r="35" spans="1:16" ht="24.75" customHeight="1" x14ac:dyDescent="0.25">
      <c r="A35" s="14" t="str">
        <f t="shared" si="0"/>
        <v>VISTOS BUENOS</v>
      </c>
      <c r="B35" s="37">
        <v>2</v>
      </c>
      <c r="C35" s="38">
        <v>7</v>
      </c>
      <c r="D35" s="11">
        <v>27</v>
      </c>
      <c r="E35" s="10" t="s">
        <v>399</v>
      </c>
      <c r="F35" s="14" t="s">
        <v>544</v>
      </c>
      <c r="G35" s="11" t="s">
        <v>30</v>
      </c>
      <c r="H35" s="17" t="s">
        <v>699</v>
      </c>
      <c r="I35" s="17" t="s">
        <v>698</v>
      </c>
      <c r="J35" s="11">
        <v>29</v>
      </c>
      <c r="K35" s="14" t="s">
        <v>31</v>
      </c>
      <c r="L35" s="10" t="s">
        <v>32</v>
      </c>
      <c r="M35" s="20"/>
      <c r="N35" s="20"/>
      <c r="O35" s="7"/>
      <c r="P35" s="7"/>
    </row>
    <row r="36" spans="1:16" ht="24.75" customHeight="1" x14ac:dyDescent="0.25">
      <c r="A36" s="14" t="str">
        <f t="shared" si="0"/>
        <v>VISTOS BUENOS</v>
      </c>
      <c r="B36" s="37">
        <v>2</v>
      </c>
      <c r="C36" s="37">
        <v>8</v>
      </c>
      <c r="D36" s="35">
        <v>28</v>
      </c>
      <c r="E36" s="10" t="s">
        <v>400</v>
      </c>
      <c r="F36" s="14" t="s">
        <v>545</v>
      </c>
      <c r="G36" s="11" t="s">
        <v>30</v>
      </c>
      <c r="H36" s="17" t="s">
        <v>699</v>
      </c>
      <c r="I36" s="17" t="s">
        <v>698</v>
      </c>
      <c r="J36" s="11">
        <v>19</v>
      </c>
      <c r="K36" s="14" t="s">
        <v>31</v>
      </c>
      <c r="L36" s="10" t="s">
        <v>32</v>
      </c>
      <c r="M36" s="20"/>
      <c r="N36" s="20"/>
      <c r="O36" s="7"/>
      <c r="P36" s="7"/>
    </row>
    <row r="37" spans="1:16" ht="24.75" customHeight="1" x14ac:dyDescent="0.25">
      <c r="A37" s="14" t="str">
        <f t="shared" si="0"/>
        <v>VISTOS BUENOS</v>
      </c>
      <c r="B37" s="37">
        <v>2</v>
      </c>
      <c r="C37" s="37">
        <v>8</v>
      </c>
      <c r="D37" s="35">
        <v>29</v>
      </c>
      <c r="E37" s="10" t="s">
        <v>401</v>
      </c>
      <c r="F37" s="14" t="s">
        <v>546</v>
      </c>
      <c r="G37" s="11" t="s">
        <v>30</v>
      </c>
      <c r="H37" s="17" t="s">
        <v>700</v>
      </c>
      <c r="I37" s="17" t="s">
        <v>701</v>
      </c>
      <c r="J37" s="11">
        <v>18</v>
      </c>
      <c r="K37" s="14" t="s">
        <v>31</v>
      </c>
      <c r="L37" s="10" t="s">
        <v>32</v>
      </c>
      <c r="M37" s="20"/>
      <c r="N37" s="20"/>
      <c r="O37" s="7"/>
      <c r="P37" s="7"/>
    </row>
    <row r="38" spans="1:16" ht="24.75" customHeight="1" x14ac:dyDescent="0.25">
      <c r="A38" s="14" t="str">
        <f t="shared" si="0"/>
        <v>VISTOS BUENOS</v>
      </c>
      <c r="B38" s="37">
        <v>2</v>
      </c>
      <c r="C38" s="37">
        <v>8</v>
      </c>
      <c r="D38" s="35">
        <v>30</v>
      </c>
      <c r="E38" s="10" t="s">
        <v>402</v>
      </c>
      <c r="F38" s="14" t="s">
        <v>547</v>
      </c>
      <c r="G38" s="11" t="s">
        <v>30</v>
      </c>
      <c r="H38" s="17" t="s">
        <v>702</v>
      </c>
      <c r="I38" s="17" t="s">
        <v>694</v>
      </c>
      <c r="J38" s="11">
        <v>4</v>
      </c>
      <c r="K38" s="14" t="s">
        <v>31</v>
      </c>
      <c r="L38" s="10" t="s">
        <v>32</v>
      </c>
      <c r="M38" s="20"/>
      <c r="N38" s="20"/>
      <c r="O38" s="7"/>
      <c r="P38" s="7"/>
    </row>
    <row r="39" spans="1:16" ht="24.75" customHeight="1" x14ac:dyDescent="0.25">
      <c r="A39" s="14" t="str">
        <f t="shared" si="0"/>
        <v>VISTOS BUENOS</v>
      </c>
      <c r="B39" s="37">
        <v>2</v>
      </c>
      <c r="C39" s="37">
        <v>8</v>
      </c>
      <c r="D39" s="35">
        <v>31</v>
      </c>
      <c r="E39" s="10" t="s">
        <v>403</v>
      </c>
      <c r="F39" s="14" t="s">
        <v>548</v>
      </c>
      <c r="G39" s="11" t="s">
        <v>30</v>
      </c>
      <c r="H39" s="17" t="s">
        <v>704</v>
      </c>
      <c r="I39" s="17" t="s">
        <v>703</v>
      </c>
      <c r="J39" s="11">
        <v>29</v>
      </c>
      <c r="K39" s="14" t="s">
        <v>31</v>
      </c>
      <c r="L39" s="10" t="s">
        <v>32</v>
      </c>
      <c r="M39" s="20"/>
      <c r="N39" s="20"/>
      <c r="O39" s="7"/>
      <c r="P39" s="7"/>
    </row>
    <row r="40" spans="1:16" ht="24.75" customHeight="1" x14ac:dyDescent="0.25">
      <c r="A40" s="14" t="str">
        <f t="shared" si="0"/>
        <v>VISTOS BUENOS</v>
      </c>
      <c r="B40" s="37">
        <v>2</v>
      </c>
      <c r="C40" s="37">
        <v>9</v>
      </c>
      <c r="D40" s="35">
        <v>32</v>
      </c>
      <c r="E40" s="10" t="s">
        <v>404</v>
      </c>
      <c r="F40" s="14" t="s">
        <v>549</v>
      </c>
      <c r="G40" s="11" t="s">
        <v>30</v>
      </c>
      <c r="H40" s="17" t="s">
        <v>705</v>
      </c>
      <c r="I40" s="17" t="s">
        <v>706</v>
      </c>
      <c r="J40" s="11">
        <v>18</v>
      </c>
      <c r="K40" s="14" t="s">
        <v>31</v>
      </c>
      <c r="L40" s="10" t="s">
        <v>32</v>
      </c>
      <c r="M40" s="20"/>
      <c r="N40" s="20"/>
      <c r="O40" s="7"/>
      <c r="P40" s="7"/>
    </row>
    <row r="41" spans="1:16" ht="24.75" customHeight="1" x14ac:dyDescent="0.25">
      <c r="A41" s="14" t="str">
        <f t="shared" si="0"/>
        <v>VISTOS BUENOS</v>
      </c>
      <c r="B41" s="37">
        <v>2</v>
      </c>
      <c r="C41" s="37">
        <v>9</v>
      </c>
      <c r="D41" s="11">
        <v>33</v>
      </c>
      <c r="E41" s="10" t="s">
        <v>405</v>
      </c>
      <c r="F41" s="14" t="s">
        <v>550</v>
      </c>
      <c r="G41" s="11" t="s">
        <v>30</v>
      </c>
      <c r="H41" s="17" t="s">
        <v>707</v>
      </c>
      <c r="I41" s="17" t="s">
        <v>707</v>
      </c>
      <c r="J41" s="11">
        <v>8</v>
      </c>
      <c r="K41" s="14" t="s">
        <v>31</v>
      </c>
      <c r="L41" s="10" t="s">
        <v>32</v>
      </c>
      <c r="M41" s="20"/>
      <c r="N41" s="20"/>
      <c r="O41" s="7"/>
      <c r="P41" s="7"/>
    </row>
    <row r="42" spans="1:16" ht="24.75" customHeight="1" x14ac:dyDescent="0.25">
      <c r="A42" s="14" t="str">
        <f t="shared" si="0"/>
        <v>VISTOS BUENOS</v>
      </c>
      <c r="B42" s="37">
        <v>2</v>
      </c>
      <c r="C42" s="37">
        <v>10</v>
      </c>
      <c r="D42" s="35">
        <v>34</v>
      </c>
      <c r="E42" s="10" t="s">
        <v>407</v>
      </c>
      <c r="F42" s="41" t="s">
        <v>708</v>
      </c>
      <c r="G42" s="11" t="s">
        <v>30</v>
      </c>
      <c r="H42" s="17" t="s">
        <v>709</v>
      </c>
      <c r="I42" s="17" t="s">
        <v>710</v>
      </c>
      <c r="J42" s="42" t="s">
        <v>711</v>
      </c>
      <c r="K42" s="14" t="s">
        <v>31</v>
      </c>
      <c r="L42" s="10" t="s">
        <v>32</v>
      </c>
      <c r="M42" s="20"/>
      <c r="N42" s="20"/>
      <c r="O42" s="7"/>
      <c r="P42" s="7"/>
    </row>
    <row r="43" spans="1:16" ht="24.75" customHeight="1" x14ac:dyDescent="0.25">
      <c r="A43" s="14" t="str">
        <f t="shared" si="0"/>
        <v>VISTOS BUENOS</v>
      </c>
      <c r="B43" s="37">
        <v>2</v>
      </c>
      <c r="C43" s="37">
        <v>10</v>
      </c>
      <c r="D43" s="35">
        <v>35</v>
      </c>
      <c r="E43" s="10" t="s">
        <v>408</v>
      </c>
      <c r="F43" s="14" t="s">
        <v>551</v>
      </c>
      <c r="G43" s="11" t="s">
        <v>30</v>
      </c>
      <c r="H43" s="17" t="s">
        <v>712</v>
      </c>
      <c r="I43" s="17" t="s">
        <v>713</v>
      </c>
      <c r="J43" s="11">
        <v>13</v>
      </c>
      <c r="K43" s="14" t="s">
        <v>31</v>
      </c>
      <c r="L43" s="10" t="s">
        <v>32</v>
      </c>
      <c r="M43" s="20"/>
      <c r="N43" s="20"/>
      <c r="O43" s="7"/>
      <c r="P43" s="7"/>
    </row>
    <row r="44" spans="1:16" ht="24.75" customHeight="1" x14ac:dyDescent="0.25">
      <c r="A44" s="14" t="str">
        <f t="shared" si="0"/>
        <v>VISTOS BUENOS</v>
      </c>
      <c r="B44" s="37">
        <v>2</v>
      </c>
      <c r="C44" s="37">
        <v>10</v>
      </c>
      <c r="D44" s="35">
        <v>36</v>
      </c>
      <c r="E44" s="10" t="s">
        <v>409</v>
      </c>
      <c r="F44" s="14" t="s">
        <v>552</v>
      </c>
      <c r="G44" s="11" t="s">
        <v>30</v>
      </c>
      <c r="H44" s="17" t="s">
        <v>714</v>
      </c>
      <c r="I44" s="17" t="s">
        <v>715</v>
      </c>
      <c r="J44" s="11">
        <v>15</v>
      </c>
      <c r="K44" s="14" t="s">
        <v>31</v>
      </c>
      <c r="L44" s="10" t="s">
        <v>32</v>
      </c>
      <c r="M44" s="20"/>
      <c r="N44" s="20"/>
      <c r="O44" s="7"/>
      <c r="P44" s="7"/>
    </row>
    <row r="45" spans="1:16" ht="24.75" customHeight="1" x14ac:dyDescent="0.25">
      <c r="A45" s="14" t="str">
        <f t="shared" si="0"/>
        <v>VISTOS BUENOS</v>
      </c>
      <c r="B45" s="37">
        <v>2</v>
      </c>
      <c r="C45" s="37">
        <v>10</v>
      </c>
      <c r="D45" s="35">
        <v>37</v>
      </c>
      <c r="E45" s="10" t="s">
        <v>410</v>
      </c>
      <c r="F45" s="14" t="s">
        <v>553</v>
      </c>
      <c r="G45" s="11" t="s">
        <v>30</v>
      </c>
      <c r="H45" s="17" t="s">
        <v>716</v>
      </c>
      <c r="I45" s="17" t="s">
        <v>717</v>
      </c>
      <c r="J45" s="11">
        <v>6</v>
      </c>
      <c r="K45" s="14" t="s">
        <v>31</v>
      </c>
      <c r="L45" s="10" t="s">
        <v>32</v>
      </c>
      <c r="M45" s="20"/>
      <c r="N45" s="20"/>
      <c r="O45" s="7"/>
      <c r="P45" s="7"/>
    </row>
    <row r="46" spans="1:16" ht="24.75" customHeight="1" x14ac:dyDescent="0.25">
      <c r="A46" s="14" t="str">
        <f t="shared" si="0"/>
        <v>VISTOS BUENOS</v>
      </c>
      <c r="B46" s="37">
        <v>2</v>
      </c>
      <c r="C46" s="37">
        <v>10</v>
      </c>
      <c r="D46" s="35">
        <v>38</v>
      </c>
      <c r="E46" s="10" t="s">
        <v>411</v>
      </c>
      <c r="F46" s="14" t="s">
        <v>554</v>
      </c>
      <c r="G46" s="11" t="s">
        <v>30</v>
      </c>
      <c r="H46" s="17" t="s">
        <v>719</v>
      </c>
      <c r="I46" s="17" t="s">
        <v>718</v>
      </c>
      <c r="J46" s="11">
        <v>20</v>
      </c>
      <c r="K46" s="14" t="s">
        <v>31</v>
      </c>
      <c r="L46" s="10" t="s">
        <v>32</v>
      </c>
      <c r="M46" s="20"/>
      <c r="N46" s="20"/>
      <c r="O46" s="7"/>
      <c r="P46" s="7"/>
    </row>
    <row r="47" spans="1:16" ht="24.75" customHeight="1" x14ac:dyDescent="0.25">
      <c r="A47" s="14" t="str">
        <f t="shared" si="0"/>
        <v>VISTOS BUENOS</v>
      </c>
      <c r="B47" s="37">
        <v>2</v>
      </c>
      <c r="C47" s="37">
        <v>10</v>
      </c>
      <c r="D47" s="35">
        <v>39</v>
      </c>
      <c r="E47" s="10" t="s">
        <v>412</v>
      </c>
      <c r="F47" s="14" t="s">
        <v>555</v>
      </c>
      <c r="G47" s="11" t="s">
        <v>30</v>
      </c>
      <c r="H47" s="17" t="s">
        <v>720</v>
      </c>
      <c r="I47" s="17" t="s">
        <v>721</v>
      </c>
      <c r="J47" s="11">
        <v>22</v>
      </c>
      <c r="K47" s="14" t="s">
        <v>31</v>
      </c>
      <c r="L47" s="10" t="s">
        <v>32</v>
      </c>
      <c r="M47" s="20"/>
      <c r="N47" s="20"/>
      <c r="O47" s="7"/>
      <c r="P47" s="7"/>
    </row>
    <row r="48" spans="1:16" ht="24.75" customHeight="1" x14ac:dyDescent="0.25">
      <c r="A48" s="14" t="str">
        <f t="shared" si="0"/>
        <v>VISTOS BUENOS</v>
      </c>
      <c r="B48" s="37">
        <v>2</v>
      </c>
      <c r="C48" s="37">
        <v>11</v>
      </c>
      <c r="D48" s="35">
        <v>40</v>
      </c>
      <c r="E48" s="10" t="s">
        <v>413</v>
      </c>
      <c r="F48" s="14" t="s">
        <v>556</v>
      </c>
      <c r="G48" s="11" t="s">
        <v>30</v>
      </c>
      <c r="H48" s="17" t="s">
        <v>722</v>
      </c>
      <c r="I48" s="17" t="s">
        <v>717</v>
      </c>
      <c r="J48" s="11">
        <v>10</v>
      </c>
      <c r="K48" s="14" t="s">
        <v>31</v>
      </c>
      <c r="L48" s="10" t="s">
        <v>32</v>
      </c>
      <c r="M48" s="20"/>
      <c r="N48" s="20"/>
      <c r="O48" s="7"/>
      <c r="P48" s="7"/>
    </row>
    <row r="49" spans="1:16" ht="24.75" customHeight="1" x14ac:dyDescent="0.25">
      <c r="A49" s="14" t="str">
        <f t="shared" si="0"/>
        <v>VISTOS BUENOS</v>
      </c>
      <c r="B49" s="37">
        <v>2</v>
      </c>
      <c r="C49" s="37">
        <v>11</v>
      </c>
      <c r="D49" s="35">
        <v>41</v>
      </c>
      <c r="E49" s="10" t="s">
        <v>414</v>
      </c>
      <c r="F49" s="14" t="s">
        <v>557</v>
      </c>
      <c r="G49" s="11" t="s">
        <v>30</v>
      </c>
      <c r="H49" s="17" t="s">
        <v>722</v>
      </c>
      <c r="I49" s="17" t="s">
        <v>717</v>
      </c>
      <c r="J49" s="11">
        <v>14</v>
      </c>
      <c r="K49" s="14" t="s">
        <v>31</v>
      </c>
      <c r="L49" s="10" t="s">
        <v>32</v>
      </c>
      <c r="M49" s="20"/>
      <c r="N49" s="20"/>
      <c r="O49" s="7"/>
      <c r="P49" s="7"/>
    </row>
    <row r="50" spans="1:16" ht="24.75" customHeight="1" x14ac:dyDescent="0.25">
      <c r="A50" s="14" t="str">
        <f t="shared" si="0"/>
        <v>VISTOS BUENOS</v>
      </c>
      <c r="B50" s="37">
        <v>2</v>
      </c>
      <c r="C50" s="37">
        <v>11</v>
      </c>
      <c r="D50" s="35">
        <v>42</v>
      </c>
      <c r="E50" s="10" t="s">
        <v>415</v>
      </c>
      <c r="F50" s="14" t="s">
        <v>558</v>
      </c>
      <c r="G50" s="11" t="s">
        <v>30</v>
      </c>
      <c r="H50" s="17" t="s">
        <v>722</v>
      </c>
      <c r="I50" s="17" t="s">
        <v>717</v>
      </c>
      <c r="J50" s="11">
        <v>11</v>
      </c>
      <c r="K50" s="14" t="s">
        <v>31</v>
      </c>
      <c r="L50" s="10" t="s">
        <v>32</v>
      </c>
      <c r="M50" s="20"/>
      <c r="N50" s="20"/>
      <c r="O50" s="7"/>
      <c r="P50" s="7"/>
    </row>
    <row r="51" spans="1:16" ht="24.75" customHeight="1" x14ac:dyDescent="0.25">
      <c r="A51" s="14" t="str">
        <f t="shared" si="0"/>
        <v>VISTOS BUENOS</v>
      </c>
      <c r="B51" s="37">
        <v>2</v>
      </c>
      <c r="C51" s="37">
        <v>11</v>
      </c>
      <c r="D51" s="11">
        <v>43</v>
      </c>
      <c r="E51" s="10" t="s">
        <v>416</v>
      </c>
      <c r="F51" s="14" t="s">
        <v>559</v>
      </c>
      <c r="G51" s="11" t="s">
        <v>30</v>
      </c>
      <c r="H51" s="17" t="s">
        <v>723</v>
      </c>
      <c r="I51" s="17" t="s">
        <v>724</v>
      </c>
      <c r="J51" s="11">
        <v>15</v>
      </c>
      <c r="K51" s="14" t="s">
        <v>31</v>
      </c>
      <c r="L51" s="10" t="s">
        <v>32</v>
      </c>
      <c r="M51" s="20"/>
      <c r="N51" s="20"/>
      <c r="O51" s="7"/>
      <c r="P51" s="7"/>
    </row>
    <row r="52" spans="1:16" ht="24.75" customHeight="1" x14ac:dyDescent="0.25">
      <c r="A52" s="14" t="str">
        <f t="shared" si="0"/>
        <v>VISTOS BUENOS</v>
      </c>
      <c r="B52" s="37">
        <v>2</v>
      </c>
      <c r="C52" s="37">
        <v>11</v>
      </c>
      <c r="D52" s="35">
        <v>44</v>
      </c>
      <c r="E52" s="10" t="s">
        <v>417</v>
      </c>
      <c r="F52" s="14" t="s">
        <v>560</v>
      </c>
      <c r="G52" s="11" t="s">
        <v>30</v>
      </c>
      <c r="H52" s="17" t="s">
        <v>725</v>
      </c>
      <c r="I52" s="17" t="s">
        <v>726</v>
      </c>
      <c r="J52" s="11">
        <v>14</v>
      </c>
      <c r="K52" s="14" t="s">
        <v>31</v>
      </c>
      <c r="L52" s="10" t="s">
        <v>32</v>
      </c>
      <c r="M52" s="20"/>
      <c r="N52" s="20"/>
      <c r="O52" s="7"/>
      <c r="P52" s="7"/>
    </row>
    <row r="53" spans="1:16" ht="24.75" customHeight="1" x14ac:dyDescent="0.25">
      <c r="A53" s="14" t="str">
        <f t="shared" si="0"/>
        <v>VISTOS BUENOS</v>
      </c>
      <c r="B53" s="37">
        <v>2</v>
      </c>
      <c r="C53" s="37">
        <v>11</v>
      </c>
      <c r="D53" s="35">
        <v>45</v>
      </c>
      <c r="E53" s="10" t="s">
        <v>418</v>
      </c>
      <c r="F53" s="14" t="s">
        <v>561</v>
      </c>
      <c r="G53" s="11" t="s">
        <v>30</v>
      </c>
      <c r="H53" s="17" t="s">
        <v>727</v>
      </c>
      <c r="I53" s="17" t="s">
        <v>728</v>
      </c>
      <c r="J53" s="11">
        <v>13</v>
      </c>
      <c r="K53" s="14" t="s">
        <v>31</v>
      </c>
      <c r="L53" s="10" t="s">
        <v>32</v>
      </c>
      <c r="M53" s="20"/>
      <c r="N53" s="20"/>
      <c r="O53" s="7"/>
      <c r="P53" s="7"/>
    </row>
    <row r="54" spans="1:16" ht="24.75" customHeight="1" x14ac:dyDescent="0.25">
      <c r="A54" s="14" t="str">
        <f t="shared" si="0"/>
        <v>VISTOS BUENOS</v>
      </c>
      <c r="B54" s="37">
        <v>2</v>
      </c>
      <c r="C54" s="37">
        <v>12</v>
      </c>
      <c r="D54" s="35">
        <v>46</v>
      </c>
      <c r="E54" s="10" t="s">
        <v>419</v>
      </c>
      <c r="F54" s="14" t="s">
        <v>562</v>
      </c>
      <c r="G54" s="11" t="s">
        <v>30</v>
      </c>
      <c r="H54" s="17" t="s">
        <v>729</v>
      </c>
      <c r="I54" s="17" t="s">
        <v>730</v>
      </c>
      <c r="J54" s="11">
        <v>11</v>
      </c>
      <c r="K54" s="14" t="s">
        <v>31</v>
      </c>
      <c r="L54" s="10" t="s">
        <v>32</v>
      </c>
      <c r="M54" s="20"/>
      <c r="N54" s="20"/>
      <c r="O54" s="7"/>
      <c r="P54" s="7"/>
    </row>
    <row r="55" spans="1:16" ht="24.75" customHeight="1" x14ac:dyDescent="0.25">
      <c r="A55" s="14" t="str">
        <f t="shared" si="0"/>
        <v>VISTOS BUENOS</v>
      </c>
      <c r="B55" s="37">
        <v>2</v>
      </c>
      <c r="C55" s="37">
        <v>12</v>
      </c>
      <c r="D55" s="35">
        <v>47</v>
      </c>
      <c r="E55" s="10" t="s">
        <v>420</v>
      </c>
      <c r="F55" s="14" t="s">
        <v>563</v>
      </c>
      <c r="G55" s="11" t="s">
        <v>30</v>
      </c>
      <c r="H55" s="17" t="s">
        <v>721</v>
      </c>
      <c r="I55" s="17" t="s">
        <v>718</v>
      </c>
      <c r="J55" s="11">
        <v>9</v>
      </c>
      <c r="K55" s="14" t="s">
        <v>31</v>
      </c>
      <c r="L55" s="10" t="s">
        <v>32</v>
      </c>
      <c r="M55" s="20"/>
      <c r="N55" s="20"/>
      <c r="O55" s="7"/>
      <c r="P55" s="7"/>
    </row>
    <row r="56" spans="1:16" ht="24.75" customHeight="1" x14ac:dyDescent="0.25">
      <c r="A56" s="14" t="str">
        <f t="shared" si="0"/>
        <v>VISTOS BUENOS</v>
      </c>
      <c r="B56" s="37">
        <v>2</v>
      </c>
      <c r="C56" s="37">
        <v>12</v>
      </c>
      <c r="D56" s="35">
        <v>48</v>
      </c>
      <c r="E56" s="10" t="s">
        <v>421</v>
      </c>
      <c r="F56" s="14" t="s">
        <v>564</v>
      </c>
      <c r="G56" s="11" t="s">
        <v>30</v>
      </c>
      <c r="H56" s="17" t="s">
        <v>731</v>
      </c>
      <c r="I56" s="17" t="s">
        <v>730</v>
      </c>
      <c r="J56" s="11">
        <v>13</v>
      </c>
      <c r="K56" s="14" t="s">
        <v>31</v>
      </c>
      <c r="L56" s="10" t="s">
        <v>32</v>
      </c>
      <c r="M56" s="20"/>
      <c r="N56" s="20"/>
      <c r="O56" s="7"/>
      <c r="P56" s="7"/>
    </row>
    <row r="57" spans="1:16" ht="24.75" customHeight="1" x14ac:dyDescent="0.25">
      <c r="A57" s="14" t="str">
        <f t="shared" si="0"/>
        <v>VISTOS BUENOS</v>
      </c>
      <c r="B57" s="37">
        <v>2</v>
      </c>
      <c r="C57" s="37">
        <v>12</v>
      </c>
      <c r="D57" s="11">
        <v>49</v>
      </c>
      <c r="E57" s="10" t="s">
        <v>422</v>
      </c>
      <c r="F57" s="14" t="s">
        <v>565</v>
      </c>
      <c r="G57" s="11" t="s">
        <v>30</v>
      </c>
      <c r="H57" s="17" t="s">
        <v>732</v>
      </c>
      <c r="I57" s="17" t="s">
        <v>733</v>
      </c>
      <c r="J57" s="11">
        <v>10</v>
      </c>
      <c r="K57" s="14" t="s">
        <v>31</v>
      </c>
      <c r="L57" s="10" t="s">
        <v>32</v>
      </c>
      <c r="M57" s="20"/>
      <c r="N57" s="20"/>
      <c r="O57" s="7"/>
      <c r="P57" s="7"/>
    </row>
    <row r="58" spans="1:16" ht="24.75" customHeight="1" x14ac:dyDescent="0.25">
      <c r="A58" s="14" t="str">
        <f t="shared" si="0"/>
        <v>VISTOS BUENOS</v>
      </c>
      <c r="B58" s="37">
        <v>2</v>
      </c>
      <c r="C58" s="37">
        <v>12</v>
      </c>
      <c r="D58" s="11">
        <v>50</v>
      </c>
      <c r="E58" s="10" t="s">
        <v>423</v>
      </c>
      <c r="F58" s="14" t="s">
        <v>566</v>
      </c>
      <c r="G58" s="11" t="s">
        <v>30</v>
      </c>
      <c r="H58" s="17" t="s">
        <v>732</v>
      </c>
      <c r="I58" s="17" t="s">
        <v>734</v>
      </c>
      <c r="J58" s="11">
        <v>5</v>
      </c>
      <c r="K58" s="14" t="s">
        <v>31</v>
      </c>
      <c r="L58" s="10" t="s">
        <v>32</v>
      </c>
      <c r="M58" s="20"/>
      <c r="N58" s="20"/>
      <c r="O58" s="7"/>
      <c r="P58" s="7"/>
    </row>
    <row r="59" spans="1:16" ht="24.75" customHeight="1" x14ac:dyDescent="0.25">
      <c r="A59" s="14" t="str">
        <f t="shared" si="0"/>
        <v>VISTOS BUENOS</v>
      </c>
      <c r="B59" s="37">
        <v>2</v>
      </c>
      <c r="C59" s="39">
        <v>12</v>
      </c>
      <c r="D59" s="11">
        <v>51</v>
      </c>
      <c r="E59" s="10" t="s">
        <v>424</v>
      </c>
      <c r="F59" s="14" t="s">
        <v>567</v>
      </c>
      <c r="G59" s="11" t="s">
        <v>30</v>
      </c>
      <c r="H59" s="17" t="s">
        <v>735</v>
      </c>
      <c r="I59" s="17" t="s">
        <v>736</v>
      </c>
      <c r="J59" s="11">
        <v>10</v>
      </c>
      <c r="K59" s="14" t="s">
        <v>31</v>
      </c>
      <c r="L59" s="10" t="s">
        <v>32</v>
      </c>
      <c r="M59" s="20"/>
      <c r="N59" s="20"/>
      <c r="O59" s="7"/>
      <c r="P59" s="7"/>
    </row>
    <row r="60" spans="1:16" ht="24.75" customHeight="1" x14ac:dyDescent="0.25">
      <c r="A60" s="14" t="str">
        <f t="shared" si="0"/>
        <v>VISTOS BUENOS</v>
      </c>
      <c r="B60" s="37">
        <v>2</v>
      </c>
      <c r="C60" s="37">
        <v>13</v>
      </c>
      <c r="D60" s="35">
        <v>52</v>
      </c>
      <c r="E60" s="10" t="s">
        <v>425</v>
      </c>
      <c r="F60" s="14" t="s">
        <v>568</v>
      </c>
      <c r="G60" s="11" t="s">
        <v>30</v>
      </c>
      <c r="H60" s="17" t="s">
        <v>737</v>
      </c>
      <c r="I60" s="17" t="s">
        <v>736</v>
      </c>
      <c r="J60" s="11">
        <v>8</v>
      </c>
      <c r="K60" s="14" t="s">
        <v>31</v>
      </c>
      <c r="L60" s="10" t="s">
        <v>32</v>
      </c>
      <c r="M60" s="20"/>
      <c r="N60" s="20"/>
      <c r="O60" s="7"/>
      <c r="P60" s="7"/>
    </row>
    <row r="61" spans="1:16" ht="24.75" customHeight="1" x14ac:dyDescent="0.25">
      <c r="A61" s="14" t="str">
        <f t="shared" si="0"/>
        <v>VISTOS BUENOS</v>
      </c>
      <c r="B61" s="37">
        <v>2</v>
      </c>
      <c r="C61" s="37">
        <v>13</v>
      </c>
      <c r="D61" s="35">
        <v>53</v>
      </c>
      <c r="E61" s="10" t="s">
        <v>426</v>
      </c>
      <c r="F61" s="14" t="s">
        <v>569</v>
      </c>
      <c r="G61" s="11" t="s">
        <v>30</v>
      </c>
      <c r="H61" s="17" t="s">
        <v>732</v>
      </c>
      <c r="I61" s="17" t="s">
        <v>736</v>
      </c>
      <c r="J61" s="11">
        <v>5</v>
      </c>
      <c r="K61" s="14" t="s">
        <v>31</v>
      </c>
      <c r="L61" s="10" t="s">
        <v>32</v>
      </c>
      <c r="M61" s="20"/>
      <c r="N61" s="20"/>
      <c r="O61" s="7"/>
      <c r="P61" s="7"/>
    </row>
    <row r="62" spans="1:16" ht="24.75" customHeight="1" x14ac:dyDescent="0.25">
      <c r="A62" s="14" t="str">
        <f t="shared" si="0"/>
        <v>VISTOS BUENOS</v>
      </c>
      <c r="B62" s="37">
        <v>2</v>
      </c>
      <c r="C62" s="37">
        <v>13</v>
      </c>
      <c r="D62" s="35">
        <v>54</v>
      </c>
      <c r="E62" s="10" t="s">
        <v>427</v>
      </c>
      <c r="F62" s="14" t="s">
        <v>570</v>
      </c>
      <c r="G62" s="11" t="s">
        <v>30</v>
      </c>
      <c r="H62" s="17" t="s">
        <v>732</v>
      </c>
      <c r="I62" s="17" t="s">
        <v>738</v>
      </c>
      <c r="J62" s="11">
        <v>7</v>
      </c>
      <c r="K62" s="14" t="s">
        <v>31</v>
      </c>
      <c r="L62" s="10" t="s">
        <v>32</v>
      </c>
      <c r="M62" s="20"/>
      <c r="N62" s="20"/>
      <c r="O62" s="7"/>
      <c r="P62" s="7"/>
    </row>
    <row r="63" spans="1:16" ht="24.75" customHeight="1" x14ac:dyDescent="0.25">
      <c r="A63" s="14" t="str">
        <f t="shared" si="0"/>
        <v>VISTOS BUENOS</v>
      </c>
      <c r="B63" s="37">
        <v>2</v>
      </c>
      <c r="C63" s="37">
        <v>13</v>
      </c>
      <c r="D63" s="11">
        <v>55</v>
      </c>
      <c r="E63" s="10" t="s">
        <v>428</v>
      </c>
      <c r="F63" s="14" t="s">
        <v>571</v>
      </c>
      <c r="G63" s="11" t="s">
        <v>30</v>
      </c>
      <c r="H63" s="17" t="s">
        <v>732</v>
      </c>
      <c r="I63" s="17" t="s">
        <v>736</v>
      </c>
      <c r="J63" s="11">
        <v>10</v>
      </c>
      <c r="K63" s="14" t="s">
        <v>31</v>
      </c>
      <c r="L63" s="10" t="s">
        <v>32</v>
      </c>
      <c r="M63" s="20"/>
      <c r="N63" s="20"/>
      <c r="O63" s="7"/>
      <c r="P63" s="7"/>
    </row>
    <row r="64" spans="1:16" ht="24.75" customHeight="1" x14ac:dyDescent="0.25">
      <c r="A64" s="14" t="str">
        <f t="shared" si="0"/>
        <v>VISTOS BUENOS</v>
      </c>
      <c r="B64" s="37">
        <v>2</v>
      </c>
      <c r="C64" s="37">
        <v>13</v>
      </c>
      <c r="D64" s="11">
        <v>56</v>
      </c>
      <c r="E64" s="10" t="s">
        <v>429</v>
      </c>
      <c r="F64" s="14" t="s">
        <v>572</v>
      </c>
      <c r="G64" s="11" t="s">
        <v>30</v>
      </c>
      <c r="H64" s="17" t="s">
        <v>732</v>
      </c>
      <c r="I64" s="17" t="s">
        <v>736</v>
      </c>
      <c r="J64" s="11">
        <v>5</v>
      </c>
      <c r="K64" s="14" t="s">
        <v>31</v>
      </c>
      <c r="L64" s="10" t="s">
        <v>32</v>
      </c>
      <c r="M64" s="20"/>
      <c r="N64" s="20"/>
      <c r="O64" s="7"/>
      <c r="P64" s="7"/>
    </row>
    <row r="65" spans="1:16" ht="24.75" customHeight="1" x14ac:dyDescent="0.25">
      <c r="A65" s="14" t="str">
        <f t="shared" si="0"/>
        <v>VISTOS BUENOS</v>
      </c>
      <c r="B65" s="37">
        <v>2</v>
      </c>
      <c r="C65" s="37">
        <v>13</v>
      </c>
      <c r="D65" s="11">
        <v>57</v>
      </c>
      <c r="E65" s="10" t="s">
        <v>430</v>
      </c>
      <c r="F65" s="14" t="s">
        <v>573</v>
      </c>
      <c r="G65" s="11" t="s">
        <v>30</v>
      </c>
      <c r="H65" s="17" t="s">
        <v>732</v>
      </c>
      <c r="I65" s="17" t="s">
        <v>739</v>
      </c>
      <c r="J65" s="11">
        <v>5</v>
      </c>
      <c r="K65" s="14" t="s">
        <v>31</v>
      </c>
      <c r="L65" s="10" t="s">
        <v>32</v>
      </c>
      <c r="M65" s="20"/>
      <c r="N65" s="20"/>
      <c r="O65" s="7"/>
      <c r="P65" s="7"/>
    </row>
    <row r="66" spans="1:16" ht="24.75" customHeight="1" x14ac:dyDescent="0.25">
      <c r="A66" s="14" t="str">
        <f t="shared" si="0"/>
        <v>VISTOS BUENOS</v>
      </c>
      <c r="B66" s="37">
        <v>2</v>
      </c>
      <c r="C66" s="44">
        <v>13</v>
      </c>
      <c r="D66" s="45">
        <v>58</v>
      </c>
      <c r="E66" s="10" t="s">
        <v>431</v>
      </c>
      <c r="F66" s="14" t="s">
        <v>574</v>
      </c>
      <c r="G66" s="11" t="s">
        <v>30</v>
      </c>
      <c r="H66" s="17" t="s">
        <v>732</v>
      </c>
      <c r="I66" s="17" t="s">
        <v>738</v>
      </c>
      <c r="J66" s="11">
        <v>6</v>
      </c>
      <c r="K66" s="14" t="s">
        <v>31</v>
      </c>
      <c r="L66" s="10" t="s">
        <v>32</v>
      </c>
      <c r="M66" s="20"/>
      <c r="N66" s="20"/>
      <c r="O66" s="7"/>
      <c r="P66" s="7"/>
    </row>
    <row r="67" spans="1:16" ht="24.75" customHeight="1" x14ac:dyDescent="0.25">
      <c r="A67" s="14" t="str">
        <f t="shared" si="0"/>
        <v>VISTOS BUENOS</v>
      </c>
      <c r="B67" s="37">
        <v>2</v>
      </c>
      <c r="C67" s="37">
        <v>14</v>
      </c>
      <c r="D67" s="46">
        <v>59</v>
      </c>
      <c r="E67" s="43" t="s">
        <v>432</v>
      </c>
      <c r="F67" s="14" t="s">
        <v>575</v>
      </c>
      <c r="G67" s="11" t="s">
        <v>30</v>
      </c>
      <c r="H67" s="17" t="s">
        <v>732</v>
      </c>
      <c r="I67" s="17" t="s">
        <v>734</v>
      </c>
      <c r="J67" s="11">
        <v>5</v>
      </c>
      <c r="K67" s="14" t="s">
        <v>31</v>
      </c>
      <c r="L67" s="10" t="s">
        <v>32</v>
      </c>
      <c r="M67" s="20"/>
      <c r="N67" s="20"/>
      <c r="O67" s="7"/>
      <c r="P67" s="7"/>
    </row>
    <row r="68" spans="1:16" ht="24.75" customHeight="1" x14ac:dyDescent="0.25">
      <c r="A68" s="14" t="str">
        <f t="shared" si="0"/>
        <v>VISTOS BUENOS</v>
      </c>
      <c r="B68" s="37">
        <v>2</v>
      </c>
      <c r="C68" s="37">
        <v>14</v>
      </c>
      <c r="D68" s="46">
        <v>60</v>
      </c>
      <c r="E68" s="43" t="s">
        <v>433</v>
      </c>
      <c r="F68" s="14" t="s">
        <v>576</v>
      </c>
      <c r="G68" s="11" t="s">
        <v>30</v>
      </c>
      <c r="H68" s="17" t="s">
        <v>732</v>
      </c>
      <c r="I68" s="17" t="s">
        <v>740</v>
      </c>
      <c r="J68" s="11">
        <v>5</v>
      </c>
      <c r="K68" s="14" t="s">
        <v>31</v>
      </c>
      <c r="L68" s="10" t="s">
        <v>32</v>
      </c>
      <c r="M68" s="20"/>
      <c r="N68" s="20"/>
      <c r="O68" s="7"/>
      <c r="P68" s="7"/>
    </row>
    <row r="69" spans="1:16" ht="24.75" customHeight="1" x14ac:dyDescent="0.25">
      <c r="A69" s="14" t="str">
        <f t="shared" si="0"/>
        <v>VISTOS BUENOS</v>
      </c>
      <c r="B69" s="37">
        <v>2</v>
      </c>
      <c r="C69" s="37">
        <v>14</v>
      </c>
      <c r="D69" s="46">
        <v>61</v>
      </c>
      <c r="E69" s="43" t="s">
        <v>434</v>
      </c>
      <c r="F69" s="14" t="s">
        <v>577</v>
      </c>
      <c r="G69" s="11" t="s">
        <v>30</v>
      </c>
      <c r="H69" s="17" t="s">
        <v>732</v>
      </c>
      <c r="I69" s="17" t="s">
        <v>738</v>
      </c>
      <c r="J69" s="11">
        <v>7</v>
      </c>
      <c r="K69" s="14" t="s">
        <v>31</v>
      </c>
      <c r="L69" s="10" t="s">
        <v>32</v>
      </c>
      <c r="M69" s="20"/>
      <c r="N69" s="20"/>
      <c r="O69" s="7"/>
      <c r="P69" s="7"/>
    </row>
    <row r="70" spans="1:16" ht="24.75" customHeight="1" x14ac:dyDescent="0.25">
      <c r="A70" s="14" t="str">
        <f t="shared" si="0"/>
        <v>VISTOS BUENOS</v>
      </c>
      <c r="B70" s="37">
        <v>2</v>
      </c>
      <c r="C70" s="37">
        <v>14</v>
      </c>
      <c r="D70" s="29">
        <v>62</v>
      </c>
      <c r="E70" s="10" t="s">
        <v>436</v>
      </c>
      <c r="F70" s="40" t="s">
        <v>578</v>
      </c>
      <c r="G70" s="21" t="s">
        <v>30</v>
      </c>
      <c r="H70" s="17" t="s">
        <v>732</v>
      </c>
      <c r="I70" s="17" t="s">
        <v>734</v>
      </c>
      <c r="J70" s="21">
        <v>5</v>
      </c>
      <c r="K70" s="14" t="s">
        <v>31</v>
      </c>
      <c r="L70" s="10" t="s">
        <v>32</v>
      </c>
      <c r="M70" s="47"/>
      <c r="N70" s="20"/>
      <c r="O70" s="7"/>
      <c r="P70" s="7"/>
    </row>
    <row r="71" spans="1:16" ht="24.75" customHeight="1" x14ac:dyDescent="0.25">
      <c r="A71" s="14" t="str">
        <f t="shared" si="0"/>
        <v>VISTOS BUENOS</v>
      </c>
      <c r="B71" s="37">
        <v>2</v>
      </c>
      <c r="C71" s="37">
        <v>14</v>
      </c>
      <c r="D71" s="35">
        <v>63</v>
      </c>
      <c r="E71" s="10" t="s">
        <v>437</v>
      </c>
      <c r="F71" s="14" t="s">
        <v>579</v>
      </c>
      <c r="G71" s="11" t="s">
        <v>30</v>
      </c>
      <c r="H71" s="17" t="s">
        <v>727</v>
      </c>
      <c r="I71" s="17" t="s">
        <v>736</v>
      </c>
      <c r="J71" s="11">
        <v>9</v>
      </c>
      <c r="K71" s="14" t="s">
        <v>31</v>
      </c>
      <c r="L71" s="10" t="s">
        <v>32</v>
      </c>
      <c r="M71" s="20"/>
      <c r="N71" s="20"/>
      <c r="O71" s="7"/>
      <c r="P71" s="7"/>
    </row>
    <row r="72" spans="1:16" ht="24.75" customHeight="1" x14ac:dyDescent="0.25">
      <c r="A72" s="14" t="str">
        <f t="shared" si="0"/>
        <v>VISTOS BUENOS</v>
      </c>
      <c r="B72" s="37">
        <v>2</v>
      </c>
      <c r="C72" s="37">
        <v>14</v>
      </c>
      <c r="D72" s="35">
        <v>64</v>
      </c>
      <c r="E72" s="10" t="s">
        <v>438</v>
      </c>
      <c r="F72" s="14" t="s">
        <v>580</v>
      </c>
      <c r="G72" s="11" t="s">
        <v>30</v>
      </c>
      <c r="H72" s="17" t="s">
        <v>732</v>
      </c>
      <c r="I72" s="17" t="s">
        <v>734</v>
      </c>
      <c r="J72" s="11">
        <v>5</v>
      </c>
      <c r="K72" s="14" t="s">
        <v>31</v>
      </c>
      <c r="L72" s="10" t="s">
        <v>32</v>
      </c>
      <c r="M72" s="20"/>
      <c r="N72" s="20"/>
      <c r="O72" s="7"/>
      <c r="P72" s="7"/>
    </row>
    <row r="73" spans="1:16" ht="24.75" customHeight="1" x14ac:dyDescent="0.25">
      <c r="A73" s="14" t="str">
        <f t="shared" ref="A73:A136" si="2">A72</f>
        <v>VISTOS BUENOS</v>
      </c>
      <c r="B73" s="37">
        <v>2</v>
      </c>
      <c r="C73" s="37">
        <v>14</v>
      </c>
      <c r="D73" s="11">
        <v>65</v>
      </c>
      <c r="E73" s="10" t="s">
        <v>439</v>
      </c>
      <c r="F73" s="14" t="s">
        <v>581</v>
      </c>
      <c r="G73" s="11" t="s">
        <v>30</v>
      </c>
      <c r="H73" s="17" t="s">
        <v>735</v>
      </c>
      <c r="I73" s="17" t="s">
        <v>736</v>
      </c>
      <c r="J73" s="11">
        <v>10</v>
      </c>
      <c r="K73" s="14" t="s">
        <v>31</v>
      </c>
      <c r="L73" s="10" t="s">
        <v>32</v>
      </c>
      <c r="M73" s="20"/>
      <c r="N73" s="20"/>
      <c r="O73" s="7"/>
      <c r="P73" s="7"/>
    </row>
    <row r="74" spans="1:16" ht="24.75" customHeight="1" x14ac:dyDescent="0.25">
      <c r="A74" s="14" t="str">
        <f t="shared" si="2"/>
        <v>VISTOS BUENOS</v>
      </c>
      <c r="B74" s="37">
        <v>2</v>
      </c>
      <c r="C74" s="37">
        <v>14</v>
      </c>
      <c r="D74" s="11">
        <v>66</v>
      </c>
      <c r="E74" s="10" t="s">
        <v>440</v>
      </c>
      <c r="F74" s="14" t="s">
        <v>582</v>
      </c>
      <c r="G74" s="11" t="s">
        <v>30</v>
      </c>
      <c r="H74" s="17" t="s">
        <v>733</v>
      </c>
      <c r="I74" s="17" t="s">
        <v>736</v>
      </c>
      <c r="J74" s="11">
        <v>9</v>
      </c>
      <c r="K74" s="14" t="s">
        <v>31</v>
      </c>
      <c r="L74" s="10" t="s">
        <v>32</v>
      </c>
      <c r="M74" s="20"/>
      <c r="N74" s="20"/>
      <c r="O74" s="7"/>
      <c r="P74" s="7"/>
    </row>
    <row r="75" spans="1:16" ht="24.75" customHeight="1" x14ac:dyDescent="0.25">
      <c r="A75" s="14" t="str">
        <f t="shared" si="2"/>
        <v>VISTOS BUENOS</v>
      </c>
      <c r="B75" s="37">
        <v>2</v>
      </c>
      <c r="C75" s="37">
        <v>14</v>
      </c>
      <c r="D75" s="11">
        <v>67</v>
      </c>
      <c r="E75" s="10" t="s">
        <v>441</v>
      </c>
      <c r="F75" s="14" t="s">
        <v>583</v>
      </c>
      <c r="G75" s="11" t="s">
        <v>30</v>
      </c>
      <c r="H75" s="17" t="s">
        <v>728</v>
      </c>
      <c r="I75" s="17" t="s">
        <v>736</v>
      </c>
      <c r="J75" s="11">
        <v>3</v>
      </c>
      <c r="K75" s="14" t="s">
        <v>31</v>
      </c>
      <c r="L75" s="10" t="s">
        <v>32</v>
      </c>
      <c r="M75" s="20"/>
      <c r="N75" s="20"/>
      <c r="O75" s="7"/>
      <c r="P75" s="7"/>
    </row>
    <row r="76" spans="1:16" ht="24.75" customHeight="1" x14ac:dyDescent="0.25">
      <c r="A76" s="14" t="str">
        <f t="shared" si="2"/>
        <v>VISTOS BUENOS</v>
      </c>
      <c r="B76" s="37">
        <v>2</v>
      </c>
      <c r="C76" s="37">
        <v>14</v>
      </c>
      <c r="D76" s="35">
        <v>68</v>
      </c>
      <c r="E76" s="10" t="s">
        <v>442</v>
      </c>
      <c r="F76" s="14" t="s">
        <v>584</v>
      </c>
      <c r="G76" s="11" t="s">
        <v>30</v>
      </c>
      <c r="H76" s="17" t="s">
        <v>728</v>
      </c>
      <c r="I76" s="17" t="s">
        <v>739</v>
      </c>
      <c r="J76" s="11">
        <v>4</v>
      </c>
      <c r="K76" s="14" t="s">
        <v>31</v>
      </c>
      <c r="L76" s="10" t="s">
        <v>32</v>
      </c>
      <c r="M76" s="20"/>
      <c r="N76" s="20"/>
      <c r="O76" s="7"/>
      <c r="P76" s="7"/>
    </row>
    <row r="77" spans="1:16" ht="24.75" customHeight="1" x14ac:dyDescent="0.25">
      <c r="A77" s="14" t="str">
        <f t="shared" si="2"/>
        <v>VISTOS BUENOS</v>
      </c>
      <c r="B77" s="37">
        <v>2</v>
      </c>
      <c r="C77" s="37">
        <v>14</v>
      </c>
      <c r="D77" s="35">
        <v>69</v>
      </c>
      <c r="E77" s="10" t="s">
        <v>443</v>
      </c>
      <c r="F77" s="14" t="s">
        <v>585</v>
      </c>
      <c r="G77" s="11" t="s">
        <v>30</v>
      </c>
      <c r="H77" s="17" t="s">
        <v>728</v>
      </c>
      <c r="I77" s="17" t="s">
        <v>736</v>
      </c>
      <c r="J77" s="11">
        <v>4</v>
      </c>
      <c r="K77" s="14" t="s">
        <v>31</v>
      </c>
      <c r="L77" s="10" t="s">
        <v>32</v>
      </c>
      <c r="M77" s="20"/>
      <c r="N77" s="20"/>
      <c r="O77" s="7"/>
      <c r="P77" s="7"/>
    </row>
    <row r="78" spans="1:16" ht="24.75" customHeight="1" x14ac:dyDescent="0.25">
      <c r="A78" s="14" t="str">
        <f t="shared" si="2"/>
        <v>VISTOS BUENOS</v>
      </c>
      <c r="B78" s="37">
        <v>2</v>
      </c>
      <c r="C78" s="37">
        <v>14</v>
      </c>
      <c r="D78" s="11">
        <v>70</v>
      </c>
      <c r="E78" s="10" t="s">
        <v>444</v>
      </c>
      <c r="F78" s="14" t="s">
        <v>586</v>
      </c>
      <c r="G78" s="11" t="s">
        <v>30</v>
      </c>
      <c r="H78" s="17" t="s">
        <v>728</v>
      </c>
      <c r="I78" s="17" t="s">
        <v>741</v>
      </c>
      <c r="J78" s="11">
        <v>3</v>
      </c>
      <c r="K78" s="14" t="s">
        <v>31</v>
      </c>
      <c r="L78" s="10" t="s">
        <v>32</v>
      </c>
      <c r="M78" s="20"/>
      <c r="N78" s="20"/>
      <c r="O78" s="7"/>
      <c r="P78" s="7"/>
    </row>
    <row r="79" spans="1:16" ht="24.75" customHeight="1" x14ac:dyDescent="0.25">
      <c r="A79" s="18" t="str">
        <f t="shared" si="2"/>
        <v>VISTOS BUENOS</v>
      </c>
      <c r="B79" s="37">
        <v>3</v>
      </c>
      <c r="C79" s="37">
        <v>15</v>
      </c>
      <c r="D79" s="35">
        <v>71</v>
      </c>
      <c r="E79" s="10" t="s">
        <v>445</v>
      </c>
      <c r="F79" s="14" t="s">
        <v>587</v>
      </c>
      <c r="G79" s="11" t="s">
        <v>30</v>
      </c>
      <c r="H79" s="17" t="s">
        <v>728</v>
      </c>
      <c r="I79" s="17" t="s">
        <v>739</v>
      </c>
      <c r="J79" s="11">
        <v>3</v>
      </c>
      <c r="K79" s="14" t="s">
        <v>31</v>
      </c>
      <c r="L79" s="10" t="s">
        <v>32</v>
      </c>
      <c r="M79" s="20"/>
      <c r="N79" s="20"/>
      <c r="O79" s="7"/>
      <c r="P79" s="7"/>
    </row>
    <row r="80" spans="1:16" ht="24.75" customHeight="1" x14ac:dyDescent="0.25">
      <c r="A80" s="18" t="str">
        <f t="shared" si="2"/>
        <v>VISTOS BUENOS</v>
      </c>
      <c r="B80" s="37">
        <v>3</v>
      </c>
      <c r="C80" s="37">
        <v>15</v>
      </c>
      <c r="D80" s="35">
        <v>72</v>
      </c>
      <c r="E80" s="10" t="s">
        <v>446</v>
      </c>
      <c r="F80" s="14" t="s">
        <v>588</v>
      </c>
      <c r="G80" s="11" t="s">
        <v>30</v>
      </c>
      <c r="H80" s="17" t="s">
        <v>728</v>
      </c>
      <c r="I80" s="17" t="s">
        <v>741</v>
      </c>
      <c r="J80" s="11">
        <v>3</v>
      </c>
      <c r="K80" s="14" t="s">
        <v>31</v>
      </c>
      <c r="L80" s="10" t="s">
        <v>32</v>
      </c>
      <c r="M80" s="20"/>
      <c r="N80" s="20"/>
      <c r="O80" s="7"/>
      <c r="P80" s="7"/>
    </row>
    <row r="81" spans="1:16" ht="24.75" customHeight="1" x14ac:dyDescent="0.25">
      <c r="A81" s="18" t="str">
        <f t="shared" si="2"/>
        <v>VISTOS BUENOS</v>
      </c>
      <c r="B81" s="37">
        <v>3</v>
      </c>
      <c r="C81" s="37">
        <v>15</v>
      </c>
      <c r="D81" s="35">
        <v>73</v>
      </c>
      <c r="E81" s="10" t="s">
        <v>447</v>
      </c>
      <c r="F81" s="14" t="s">
        <v>589</v>
      </c>
      <c r="G81" s="11" t="s">
        <v>30</v>
      </c>
      <c r="H81" s="17" t="s">
        <v>728</v>
      </c>
      <c r="I81" s="17" t="s">
        <v>741</v>
      </c>
      <c r="J81" s="11">
        <v>3</v>
      </c>
      <c r="K81" s="14" t="s">
        <v>31</v>
      </c>
      <c r="L81" s="10" t="s">
        <v>32</v>
      </c>
      <c r="M81" s="20"/>
      <c r="N81" s="20"/>
      <c r="O81" s="7"/>
      <c r="P81" s="7"/>
    </row>
    <row r="82" spans="1:16" ht="24.75" customHeight="1" x14ac:dyDescent="0.25">
      <c r="A82" s="18" t="str">
        <f t="shared" si="2"/>
        <v>VISTOS BUENOS</v>
      </c>
      <c r="B82" s="37">
        <v>3</v>
      </c>
      <c r="C82" s="37">
        <v>15</v>
      </c>
      <c r="D82" s="35">
        <v>74</v>
      </c>
      <c r="E82" s="10" t="s">
        <v>448</v>
      </c>
      <c r="F82" s="14" t="s">
        <v>590</v>
      </c>
      <c r="G82" s="11" t="s">
        <v>30</v>
      </c>
      <c r="H82" s="17" t="s">
        <v>728</v>
      </c>
      <c r="I82" s="17" t="s">
        <v>739</v>
      </c>
      <c r="J82" s="11">
        <v>4</v>
      </c>
      <c r="K82" s="14" t="s">
        <v>31</v>
      </c>
      <c r="L82" s="10" t="s">
        <v>32</v>
      </c>
      <c r="M82" s="20"/>
      <c r="N82" s="20"/>
      <c r="O82" s="7"/>
      <c r="P82" s="7"/>
    </row>
    <row r="83" spans="1:16" ht="24.75" customHeight="1" x14ac:dyDescent="0.25">
      <c r="A83" s="18" t="str">
        <f t="shared" si="2"/>
        <v>VISTOS BUENOS</v>
      </c>
      <c r="B83" s="37">
        <v>3</v>
      </c>
      <c r="C83" s="37">
        <v>15</v>
      </c>
      <c r="D83" s="35">
        <v>75</v>
      </c>
      <c r="E83" s="10" t="s">
        <v>449</v>
      </c>
      <c r="F83" s="14" t="s">
        <v>591</v>
      </c>
      <c r="G83" s="11" t="s">
        <v>30</v>
      </c>
      <c r="H83" s="17" t="s">
        <v>728</v>
      </c>
      <c r="I83" s="17" t="s">
        <v>739</v>
      </c>
      <c r="J83" s="11">
        <v>5</v>
      </c>
      <c r="K83" s="14" t="s">
        <v>31</v>
      </c>
      <c r="L83" s="10" t="s">
        <v>32</v>
      </c>
      <c r="M83" s="20"/>
      <c r="N83" s="20"/>
      <c r="O83" s="7"/>
      <c r="P83" s="7"/>
    </row>
    <row r="84" spans="1:16" ht="24.75" customHeight="1" x14ac:dyDescent="0.25">
      <c r="A84" s="18" t="str">
        <f t="shared" si="2"/>
        <v>VISTOS BUENOS</v>
      </c>
      <c r="B84" s="37">
        <v>3</v>
      </c>
      <c r="C84" s="37">
        <v>15</v>
      </c>
      <c r="D84" s="35">
        <v>76</v>
      </c>
      <c r="E84" s="10" t="s">
        <v>450</v>
      </c>
      <c r="F84" s="14" t="s">
        <v>592</v>
      </c>
      <c r="G84" s="11" t="s">
        <v>30</v>
      </c>
      <c r="H84" s="17" t="s">
        <v>728</v>
      </c>
      <c r="I84" s="17" t="s">
        <v>739</v>
      </c>
      <c r="J84" s="11">
        <v>5</v>
      </c>
      <c r="K84" s="14" t="s">
        <v>31</v>
      </c>
      <c r="L84" s="10" t="s">
        <v>32</v>
      </c>
      <c r="M84" s="20"/>
      <c r="N84" s="20"/>
      <c r="O84" s="7"/>
      <c r="P84" s="7"/>
    </row>
    <row r="85" spans="1:16" ht="24.75" customHeight="1" x14ac:dyDescent="0.25">
      <c r="A85" s="14" t="str">
        <f t="shared" si="2"/>
        <v>VISTOS BUENOS</v>
      </c>
      <c r="B85" s="37">
        <v>3</v>
      </c>
      <c r="C85" s="37">
        <v>15</v>
      </c>
      <c r="D85" s="11">
        <v>77</v>
      </c>
      <c r="E85" s="10" t="s">
        <v>451</v>
      </c>
      <c r="F85" s="14" t="s">
        <v>593</v>
      </c>
      <c r="G85" s="11" t="s">
        <v>30</v>
      </c>
      <c r="H85" s="17" t="s">
        <v>728</v>
      </c>
      <c r="I85" s="17" t="s">
        <v>736</v>
      </c>
      <c r="J85" s="11">
        <v>4</v>
      </c>
      <c r="K85" s="14" t="s">
        <v>31</v>
      </c>
      <c r="L85" s="10" t="s">
        <v>32</v>
      </c>
      <c r="M85" s="20"/>
      <c r="N85" s="20"/>
      <c r="O85" s="7"/>
      <c r="P85" s="7"/>
    </row>
    <row r="86" spans="1:16" ht="24.75" customHeight="1" x14ac:dyDescent="0.25">
      <c r="A86" s="14" t="str">
        <f t="shared" si="2"/>
        <v>VISTOS BUENOS</v>
      </c>
      <c r="B86" s="37">
        <v>3</v>
      </c>
      <c r="C86" s="37">
        <v>15</v>
      </c>
      <c r="D86" s="35">
        <v>78</v>
      </c>
      <c r="E86" s="10" t="s">
        <v>452</v>
      </c>
      <c r="F86" s="14" t="s">
        <v>594</v>
      </c>
      <c r="G86" s="11" t="s">
        <v>30</v>
      </c>
      <c r="H86" s="17" t="s">
        <v>728</v>
      </c>
      <c r="I86" s="17" t="s">
        <v>736</v>
      </c>
      <c r="J86" s="11">
        <v>4</v>
      </c>
      <c r="K86" s="14" t="s">
        <v>31</v>
      </c>
      <c r="L86" s="10" t="s">
        <v>32</v>
      </c>
      <c r="M86" s="20"/>
      <c r="N86" s="20"/>
      <c r="O86" s="7"/>
      <c r="P86" s="7"/>
    </row>
    <row r="87" spans="1:16" ht="24.75" customHeight="1" x14ac:dyDescent="0.25">
      <c r="A87" s="14" t="str">
        <f t="shared" si="2"/>
        <v>VISTOS BUENOS</v>
      </c>
      <c r="B87" s="37">
        <v>3</v>
      </c>
      <c r="C87" s="37">
        <v>15</v>
      </c>
      <c r="D87" s="35">
        <v>79</v>
      </c>
      <c r="E87" s="10" t="s">
        <v>453</v>
      </c>
      <c r="F87" s="14" t="s">
        <v>595</v>
      </c>
      <c r="G87" s="11" t="s">
        <v>30</v>
      </c>
      <c r="H87" s="17" t="s">
        <v>728</v>
      </c>
      <c r="I87" s="17" t="s">
        <v>741</v>
      </c>
      <c r="J87" s="11">
        <v>3</v>
      </c>
      <c r="K87" s="14" t="s">
        <v>31</v>
      </c>
      <c r="L87" s="10" t="s">
        <v>32</v>
      </c>
      <c r="M87" s="20"/>
      <c r="N87" s="20"/>
      <c r="O87" s="7"/>
      <c r="P87" s="7"/>
    </row>
    <row r="88" spans="1:16" ht="24.75" customHeight="1" x14ac:dyDescent="0.25">
      <c r="A88" s="14" t="str">
        <f t="shared" si="2"/>
        <v>VISTOS BUENOS</v>
      </c>
      <c r="B88" s="37">
        <v>3</v>
      </c>
      <c r="C88" s="37">
        <v>15</v>
      </c>
      <c r="D88" s="11">
        <v>80</v>
      </c>
      <c r="E88" s="10" t="s">
        <v>454</v>
      </c>
      <c r="F88" s="14" t="s">
        <v>596</v>
      </c>
      <c r="G88" s="11" t="s">
        <v>30</v>
      </c>
      <c r="H88" s="17" t="s">
        <v>728</v>
      </c>
      <c r="I88" s="17" t="s">
        <v>741</v>
      </c>
      <c r="J88" s="11">
        <v>3</v>
      </c>
      <c r="K88" s="14" t="s">
        <v>31</v>
      </c>
      <c r="L88" s="10" t="s">
        <v>32</v>
      </c>
      <c r="M88" s="20"/>
      <c r="N88" s="20"/>
      <c r="O88" s="7"/>
      <c r="P88" s="7"/>
    </row>
    <row r="89" spans="1:16" ht="24.75" customHeight="1" x14ac:dyDescent="0.25">
      <c r="A89" s="14" t="str">
        <f t="shared" si="2"/>
        <v>VISTOS BUENOS</v>
      </c>
      <c r="B89" s="37">
        <v>3</v>
      </c>
      <c r="C89" s="37">
        <v>15</v>
      </c>
      <c r="D89" s="11">
        <v>81</v>
      </c>
      <c r="E89" s="10" t="s">
        <v>455</v>
      </c>
      <c r="F89" s="14" t="s">
        <v>597</v>
      </c>
      <c r="G89" s="11" t="s">
        <v>30</v>
      </c>
      <c r="H89" s="17" t="s">
        <v>728</v>
      </c>
      <c r="I89" s="17" t="s">
        <v>741</v>
      </c>
      <c r="J89" s="11">
        <v>3</v>
      </c>
      <c r="K89" s="14" t="s">
        <v>31</v>
      </c>
      <c r="L89" s="10" t="s">
        <v>32</v>
      </c>
      <c r="M89" s="20"/>
      <c r="N89" s="20"/>
      <c r="O89" s="7"/>
      <c r="P89" s="7"/>
    </row>
    <row r="90" spans="1:16" ht="24.75" customHeight="1" x14ac:dyDescent="0.25">
      <c r="A90" s="14" t="str">
        <f t="shared" si="2"/>
        <v>VISTOS BUENOS</v>
      </c>
      <c r="B90" s="37">
        <v>3</v>
      </c>
      <c r="C90" s="37">
        <v>15</v>
      </c>
      <c r="D90" s="11">
        <v>82</v>
      </c>
      <c r="E90" s="10" t="s">
        <v>456</v>
      </c>
      <c r="F90" s="14" t="s">
        <v>598</v>
      </c>
      <c r="G90" s="11" t="s">
        <v>30</v>
      </c>
      <c r="H90" s="17" t="s">
        <v>728</v>
      </c>
      <c r="I90" s="17" t="s">
        <v>736</v>
      </c>
      <c r="J90" s="11">
        <v>3</v>
      </c>
      <c r="K90" s="14" t="s">
        <v>31</v>
      </c>
      <c r="L90" s="10" t="s">
        <v>32</v>
      </c>
      <c r="M90" s="20"/>
      <c r="N90" s="20"/>
      <c r="O90" s="7"/>
      <c r="P90" s="7"/>
    </row>
    <row r="91" spans="1:16" ht="24.75" customHeight="1" x14ac:dyDescent="0.25">
      <c r="A91" s="14" t="str">
        <f t="shared" si="2"/>
        <v>VISTOS BUENOS</v>
      </c>
      <c r="B91" s="37">
        <v>3</v>
      </c>
      <c r="C91" s="37">
        <v>15</v>
      </c>
      <c r="D91" s="35">
        <v>83</v>
      </c>
      <c r="E91" s="10" t="s">
        <v>457</v>
      </c>
      <c r="F91" s="14" t="s">
        <v>599</v>
      </c>
      <c r="G91" s="11" t="s">
        <v>30</v>
      </c>
      <c r="H91" s="17" t="s">
        <v>728</v>
      </c>
      <c r="I91" s="17" t="s">
        <v>736</v>
      </c>
      <c r="J91" s="11">
        <v>4</v>
      </c>
      <c r="K91" s="14" t="s">
        <v>31</v>
      </c>
      <c r="L91" s="10" t="s">
        <v>32</v>
      </c>
      <c r="M91" s="20"/>
      <c r="N91" s="20"/>
      <c r="O91" s="7"/>
      <c r="P91" s="7"/>
    </row>
    <row r="92" spans="1:16" ht="24.75" customHeight="1" x14ac:dyDescent="0.25">
      <c r="A92" s="14" t="str">
        <f t="shared" si="2"/>
        <v>VISTOS BUENOS</v>
      </c>
      <c r="B92" s="37">
        <v>3</v>
      </c>
      <c r="C92" s="37">
        <v>15</v>
      </c>
      <c r="D92" s="35">
        <v>84</v>
      </c>
      <c r="E92" s="10" t="s">
        <v>458</v>
      </c>
      <c r="F92" s="14" t="s">
        <v>600</v>
      </c>
      <c r="G92" s="11" t="s">
        <v>30</v>
      </c>
      <c r="H92" s="17" t="s">
        <v>728</v>
      </c>
      <c r="I92" s="17" t="s">
        <v>736</v>
      </c>
      <c r="J92" s="11">
        <v>4</v>
      </c>
      <c r="K92" s="14" t="s">
        <v>31</v>
      </c>
      <c r="L92" s="10" t="s">
        <v>32</v>
      </c>
      <c r="M92" s="20"/>
      <c r="N92" s="20"/>
      <c r="O92" s="7"/>
      <c r="P92" s="7"/>
    </row>
    <row r="93" spans="1:16" ht="24.75" customHeight="1" x14ac:dyDescent="0.25">
      <c r="A93" s="14" t="str">
        <f t="shared" si="2"/>
        <v>VISTOS BUENOS</v>
      </c>
      <c r="B93" s="37">
        <v>3</v>
      </c>
      <c r="C93" s="37">
        <v>15</v>
      </c>
      <c r="D93" s="11">
        <v>85</v>
      </c>
      <c r="E93" s="10" t="s">
        <v>459</v>
      </c>
      <c r="F93" s="14" t="s">
        <v>601</v>
      </c>
      <c r="G93" s="11" t="s">
        <v>30</v>
      </c>
      <c r="H93" s="17" t="s">
        <v>728</v>
      </c>
      <c r="I93" s="17" t="s">
        <v>734</v>
      </c>
      <c r="J93" s="11">
        <v>4</v>
      </c>
      <c r="K93" s="14" t="s">
        <v>31</v>
      </c>
      <c r="L93" s="10" t="s">
        <v>32</v>
      </c>
      <c r="M93" s="20"/>
      <c r="N93" s="20"/>
      <c r="O93" s="7"/>
      <c r="P93" s="7"/>
    </row>
    <row r="94" spans="1:16" ht="24.75" customHeight="1" x14ac:dyDescent="0.25">
      <c r="A94" s="14" t="str">
        <f t="shared" si="2"/>
        <v>VISTOS BUENOS</v>
      </c>
      <c r="B94" s="37">
        <v>3</v>
      </c>
      <c r="C94" s="37">
        <v>15</v>
      </c>
      <c r="D94" s="11">
        <v>86</v>
      </c>
      <c r="E94" s="10" t="s">
        <v>460</v>
      </c>
      <c r="F94" s="14" t="s">
        <v>602</v>
      </c>
      <c r="G94" s="11" t="s">
        <v>30</v>
      </c>
      <c r="H94" s="17" t="s">
        <v>728</v>
      </c>
      <c r="I94" s="17" t="s">
        <v>736</v>
      </c>
      <c r="J94" s="11">
        <v>4</v>
      </c>
      <c r="K94" s="14" t="s">
        <v>31</v>
      </c>
      <c r="L94" s="10" t="s">
        <v>32</v>
      </c>
      <c r="M94" s="20"/>
      <c r="N94" s="20"/>
      <c r="O94" s="7"/>
      <c r="P94" s="7"/>
    </row>
    <row r="95" spans="1:16" ht="24.75" customHeight="1" x14ac:dyDescent="0.25">
      <c r="A95" s="14" t="str">
        <f t="shared" si="2"/>
        <v>VISTOS BUENOS</v>
      </c>
      <c r="B95" s="37">
        <v>3</v>
      </c>
      <c r="C95" s="37">
        <v>15</v>
      </c>
      <c r="D95" s="11">
        <v>87</v>
      </c>
      <c r="E95" s="10" t="s">
        <v>461</v>
      </c>
      <c r="F95" s="14" t="s">
        <v>603</v>
      </c>
      <c r="G95" s="11" t="s">
        <v>30</v>
      </c>
      <c r="H95" s="17" t="s">
        <v>728</v>
      </c>
      <c r="I95" s="17" t="s">
        <v>734</v>
      </c>
      <c r="J95" s="11">
        <v>4</v>
      </c>
      <c r="K95" s="14" t="s">
        <v>31</v>
      </c>
      <c r="L95" s="10" t="s">
        <v>32</v>
      </c>
      <c r="M95" s="20"/>
      <c r="N95" s="20"/>
      <c r="O95" s="7"/>
      <c r="P95" s="7"/>
    </row>
    <row r="96" spans="1:16" ht="24.75" customHeight="1" x14ac:dyDescent="0.25">
      <c r="A96" s="18" t="str">
        <f t="shared" si="2"/>
        <v>VISTOS BUENOS</v>
      </c>
      <c r="B96" s="37">
        <v>3</v>
      </c>
      <c r="C96" s="37">
        <v>16</v>
      </c>
      <c r="D96" s="35">
        <v>88</v>
      </c>
      <c r="E96" s="10" t="s">
        <v>462</v>
      </c>
      <c r="F96" s="14" t="s">
        <v>604</v>
      </c>
      <c r="G96" s="11" t="s">
        <v>30</v>
      </c>
      <c r="H96" s="17" t="s">
        <v>740</v>
      </c>
      <c r="I96" s="17" t="s">
        <v>742</v>
      </c>
      <c r="J96" s="11">
        <v>22</v>
      </c>
      <c r="K96" s="14" t="s">
        <v>31</v>
      </c>
      <c r="L96" s="10" t="s">
        <v>32</v>
      </c>
      <c r="M96" s="20"/>
      <c r="N96" s="20"/>
      <c r="O96" s="7"/>
      <c r="P96" s="7"/>
    </row>
    <row r="97" spans="1:16" ht="24.75" customHeight="1" x14ac:dyDescent="0.25">
      <c r="A97" s="18" t="str">
        <f t="shared" si="2"/>
        <v>VISTOS BUENOS</v>
      </c>
      <c r="B97" s="37">
        <v>3</v>
      </c>
      <c r="C97" s="37">
        <v>16</v>
      </c>
      <c r="D97" s="35">
        <v>89</v>
      </c>
      <c r="E97" s="10" t="s">
        <v>464</v>
      </c>
      <c r="F97" s="40" t="s">
        <v>605</v>
      </c>
      <c r="G97" s="11" t="s">
        <v>30</v>
      </c>
      <c r="H97" s="17" t="s">
        <v>743</v>
      </c>
      <c r="I97" s="17" t="s">
        <v>744</v>
      </c>
      <c r="J97" s="11">
        <v>21</v>
      </c>
      <c r="K97" s="14" t="s">
        <v>31</v>
      </c>
      <c r="L97" s="10" t="s">
        <v>32</v>
      </c>
      <c r="M97" s="20"/>
      <c r="N97" s="20"/>
      <c r="O97" s="7"/>
      <c r="P97" s="7"/>
    </row>
    <row r="98" spans="1:16" ht="24.75" customHeight="1" x14ac:dyDescent="0.25">
      <c r="A98" s="18" t="str">
        <f t="shared" si="2"/>
        <v>VISTOS BUENOS</v>
      </c>
      <c r="B98" s="37">
        <v>3</v>
      </c>
      <c r="C98" s="37">
        <v>16</v>
      </c>
      <c r="D98" s="35">
        <v>90</v>
      </c>
      <c r="E98" s="10" t="s">
        <v>465</v>
      </c>
      <c r="F98" s="14" t="s">
        <v>606</v>
      </c>
      <c r="G98" s="11" t="s">
        <v>30</v>
      </c>
      <c r="H98" s="17" t="s">
        <v>739</v>
      </c>
      <c r="I98" s="17" t="s">
        <v>745</v>
      </c>
      <c r="J98" s="11">
        <v>9</v>
      </c>
      <c r="K98" s="14" t="s">
        <v>31</v>
      </c>
      <c r="L98" s="10" t="s">
        <v>32</v>
      </c>
      <c r="M98" s="20"/>
      <c r="N98" s="20"/>
      <c r="O98" s="7"/>
      <c r="P98" s="7"/>
    </row>
    <row r="99" spans="1:16" ht="24.75" customHeight="1" x14ac:dyDescent="0.25">
      <c r="A99" s="18" t="str">
        <f t="shared" si="2"/>
        <v>VISTOS BUENOS</v>
      </c>
      <c r="B99" s="37">
        <v>3</v>
      </c>
      <c r="C99" s="37">
        <v>16</v>
      </c>
      <c r="D99" s="35">
        <v>91</v>
      </c>
      <c r="E99" s="10" t="s">
        <v>466</v>
      </c>
      <c r="F99" s="14" t="s">
        <v>607</v>
      </c>
      <c r="G99" s="11" t="s">
        <v>30</v>
      </c>
      <c r="H99" s="17" t="s">
        <v>734</v>
      </c>
      <c r="I99" s="17" t="s">
        <v>736</v>
      </c>
      <c r="J99" s="11">
        <v>7</v>
      </c>
      <c r="K99" s="14" t="s">
        <v>31</v>
      </c>
      <c r="L99" s="10" t="s">
        <v>32</v>
      </c>
      <c r="M99" s="20"/>
      <c r="N99" s="20"/>
      <c r="O99" s="7"/>
      <c r="P99" s="7"/>
    </row>
    <row r="100" spans="1:16" ht="24.75" customHeight="1" x14ac:dyDescent="0.25">
      <c r="A100" s="18" t="str">
        <f t="shared" si="2"/>
        <v>VISTOS BUENOS</v>
      </c>
      <c r="B100" s="37">
        <v>3</v>
      </c>
      <c r="C100" s="37">
        <v>16</v>
      </c>
      <c r="D100" s="35">
        <v>92</v>
      </c>
      <c r="E100" s="10" t="s">
        <v>468</v>
      </c>
      <c r="F100" s="14" t="s">
        <v>608</v>
      </c>
      <c r="G100" s="11" t="s">
        <v>30</v>
      </c>
      <c r="H100" s="17" t="s">
        <v>746</v>
      </c>
      <c r="I100" s="17" t="s">
        <v>742</v>
      </c>
      <c r="J100" s="11">
        <v>22</v>
      </c>
      <c r="K100" s="14" t="s">
        <v>31</v>
      </c>
      <c r="L100" s="10" t="s">
        <v>32</v>
      </c>
      <c r="M100" s="47"/>
      <c r="N100" s="20"/>
      <c r="O100" s="7"/>
      <c r="P100" s="7"/>
    </row>
    <row r="101" spans="1:16" ht="24.75" customHeight="1" x14ac:dyDescent="0.25">
      <c r="A101" s="18" t="str">
        <f t="shared" si="2"/>
        <v>VISTOS BUENOS</v>
      </c>
      <c r="B101" s="37">
        <v>3</v>
      </c>
      <c r="C101" s="37">
        <v>16</v>
      </c>
      <c r="D101" s="35">
        <v>93</v>
      </c>
      <c r="E101" s="10" t="s">
        <v>469</v>
      </c>
      <c r="F101" s="14" t="s">
        <v>609</v>
      </c>
      <c r="G101" s="11" t="s">
        <v>30</v>
      </c>
      <c r="H101" s="17" t="s">
        <v>747</v>
      </c>
      <c r="I101" s="17" t="s">
        <v>748</v>
      </c>
      <c r="J101" s="11">
        <v>9</v>
      </c>
      <c r="K101" s="14" t="s">
        <v>31</v>
      </c>
      <c r="L101" s="10" t="s">
        <v>32</v>
      </c>
      <c r="M101" s="20"/>
      <c r="N101" s="20"/>
      <c r="O101" s="7"/>
      <c r="P101" s="7"/>
    </row>
    <row r="102" spans="1:16" ht="24.75" customHeight="1" x14ac:dyDescent="0.25">
      <c r="A102" s="18" t="str">
        <f t="shared" si="2"/>
        <v>VISTOS BUENOS</v>
      </c>
      <c r="B102" s="37">
        <v>3</v>
      </c>
      <c r="C102" s="37">
        <v>16</v>
      </c>
      <c r="D102" s="35">
        <v>94</v>
      </c>
      <c r="E102" s="10" t="s">
        <v>470</v>
      </c>
      <c r="F102" s="23" t="s">
        <v>610</v>
      </c>
      <c r="G102" s="11" t="s">
        <v>30</v>
      </c>
      <c r="H102" s="17" t="s">
        <v>747</v>
      </c>
      <c r="I102" s="17" t="s">
        <v>749</v>
      </c>
      <c r="J102" s="11">
        <v>8</v>
      </c>
      <c r="K102" s="14" t="s">
        <v>31</v>
      </c>
      <c r="L102" s="10" t="s">
        <v>32</v>
      </c>
      <c r="M102" s="20"/>
      <c r="N102" s="20"/>
      <c r="O102" s="7"/>
      <c r="P102" s="7"/>
    </row>
    <row r="103" spans="1:16" ht="24.75" customHeight="1" x14ac:dyDescent="0.25">
      <c r="A103" s="18" t="str">
        <f t="shared" si="2"/>
        <v>VISTOS BUENOS</v>
      </c>
      <c r="B103" s="37">
        <v>3</v>
      </c>
      <c r="C103" s="37">
        <v>16</v>
      </c>
      <c r="D103" s="35">
        <v>95</v>
      </c>
      <c r="E103" s="48" t="s">
        <v>472</v>
      </c>
      <c r="F103" s="49" t="s">
        <v>611</v>
      </c>
      <c r="G103" s="35" t="s">
        <v>30</v>
      </c>
      <c r="H103" s="17" t="s">
        <v>749</v>
      </c>
      <c r="I103" s="17" t="s">
        <v>750</v>
      </c>
      <c r="J103" s="11">
        <v>11</v>
      </c>
      <c r="K103" s="14" t="s">
        <v>31</v>
      </c>
      <c r="L103" s="10" t="s">
        <v>32</v>
      </c>
      <c r="M103" s="20"/>
      <c r="N103" s="20"/>
      <c r="O103" s="7"/>
      <c r="P103" s="7"/>
    </row>
    <row r="104" spans="1:16" ht="24.75" customHeight="1" x14ac:dyDescent="0.25">
      <c r="A104" s="18" t="str">
        <f t="shared" si="2"/>
        <v>VISTOS BUENOS</v>
      </c>
      <c r="B104" s="37">
        <v>3</v>
      </c>
      <c r="C104" s="37">
        <v>16</v>
      </c>
      <c r="D104" s="35">
        <v>96</v>
      </c>
      <c r="E104" s="48" t="s">
        <v>473</v>
      </c>
      <c r="F104" s="49" t="s">
        <v>612</v>
      </c>
      <c r="G104" s="35" t="s">
        <v>30</v>
      </c>
      <c r="H104" s="17" t="s">
        <v>751</v>
      </c>
      <c r="I104" s="17" t="s">
        <v>752</v>
      </c>
      <c r="J104" s="11">
        <v>13</v>
      </c>
      <c r="K104" s="14" t="s">
        <v>31</v>
      </c>
      <c r="L104" s="10" t="s">
        <v>32</v>
      </c>
      <c r="M104" s="20"/>
      <c r="N104" s="20"/>
      <c r="O104" s="7"/>
      <c r="P104" s="7"/>
    </row>
    <row r="105" spans="1:16" ht="24.75" customHeight="1" x14ac:dyDescent="0.25">
      <c r="A105" s="14" t="str">
        <f t="shared" si="2"/>
        <v>VISTOS BUENOS</v>
      </c>
      <c r="B105" s="50">
        <v>3</v>
      </c>
      <c r="C105" s="37">
        <v>17</v>
      </c>
      <c r="D105" s="35">
        <v>97</v>
      </c>
      <c r="E105" s="48" t="s">
        <v>474</v>
      </c>
      <c r="F105" s="36" t="s">
        <v>613</v>
      </c>
      <c r="G105" s="35" t="s">
        <v>30</v>
      </c>
      <c r="H105" s="17" t="s">
        <v>751</v>
      </c>
      <c r="I105" s="17" t="s">
        <v>748</v>
      </c>
      <c r="J105" s="11">
        <v>6</v>
      </c>
      <c r="K105" s="14" t="s">
        <v>31</v>
      </c>
      <c r="L105" s="10" t="s">
        <v>32</v>
      </c>
      <c r="M105" s="20"/>
      <c r="N105" s="20"/>
      <c r="O105" s="7"/>
      <c r="P105" s="7"/>
    </row>
    <row r="106" spans="1:16" ht="24.75" customHeight="1" x14ac:dyDescent="0.25">
      <c r="A106" s="14" t="str">
        <f t="shared" si="2"/>
        <v>VISTOS BUENOS</v>
      </c>
      <c r="B106" s="50">
        <v>3</v>
      </c>
      <c r="C106" s="37">
        <v>17</v>
      </c>
      <c r="D106" s="35">
        <v>98</v>
      </c>
      <c r="E106" s="10" t="s">
        <v>753</v>
      </c>
      <c r="F106" s="14" t="s">
        <v>754</v>
      </c>
      <c r="G106" s="11" t="s">
        <v>30</v>
      </c>
      <c r="H106" s="25" t="s">
        <v>755</v>
      </c>
      <c r="I106" s="25" t="s">
        <v>756</v>
      </c>
      <c r="J106" s="51" t="s">
        <v>757</v>
      </c>
      <c r="K106" s="14" t="s">
        <v>31</v>
      </c>
      <c r="L106" s="10" t="s">
        <v>32</v>
      </c>
      <c r="M106" s="20"/>
      <c r="N106" s="20"/>
      <c r="O106" s="7"/>
      <c r="P106" s="7"/>
    </row>
    <row r="107" spans="1:16" ht="24.75" customHeight="1" x14ac:dyDescent="0.25">
      <c r="A107" s="14" t="str">
        <f t="shared" si="2"/>
        <v>VISTOS BUENOS</v>
      </c>
      <c r="B107" s="50">
        <v>3</v>
      </c>
      <c r="C107" s="37">
        <v>17</v>
      </c>
      <c r="D107" s="35">
        <v>99</v>
      </c>
      <c r="E107" s="10" t="s">
        <v>479</v>
      </c>
      <c r="F107" s="14" t="s">
        <v>615</v>
      </c>
      <c r="G107" s="22" t="s">
        <v>30</v>
      </c>
      <c r="H107" s="52" t="s">
        <v>758</v>
      </c>
      <c r="I107" s="52" t="s">
        <v>759</v>
      </c>
      <c r="J107" s="37">
        <v>10</v>
      </c>
      <c r="K107" s="19" t="s">
        <v>31</v>
      </c>
      <c r="L107" s="10" t="s">
        <v>32</v>
      </c>
      <c r="M107" s="20"/>
      <c r="N107" s="20"/>
      <c r="O107" s="7"/>
      <c r="P107" s="7"/>
    </row>
    <row r="108" spans="1:16" ht="24.75" customHeight="1" x14ac:dyDescent="0.25">
      <c r="A108" s="14" t="str">
        <f t="shared" si="2"/>
        <v>VISTOS BUENOS</v>
      </c>
      <c r="B108" s="50">
        <v>3</v>
      </c>
      <c r="C108" s="37">
        <v>17</v>
      </c>
      <c r="D108" s="35">
        <v>100</v>
      </c>
      <c r="E108" s="10" t="s">
        <v>480</v>
      </c>
      <c r="F108" s="14" t="s">
        <v>616</v>
      </c>
      <c r="G108" s="22" t="s">
        <v>30</v>
      </c>
      <c r="H108" s="52" t="s">
        <v>760</v>
      </c>
      <c r="I108" s="52" t="s">
        <v>761</v>
      </c>
      <c r="J108" s="37">
        <v>11</v>
      </c>
      <c r="K108" s="19" t="s">
        <v>31</v>
      </c>
      <c r="L108" s="10" t="s">
        <v>32</v>
      </c>
      <c r="M108" s="20"/>
      <c r="N108" s="20"/>
      <c r="O108" s="7"/>
      <c r="P108" s="7"/>
    </row>
    <row r="109" spans="1:16" ht="24.75" customHeight="1" x14ac:dyDescent="0.25">
      <c r="A109" s="14" t="str">
        <f t="shared" si="2"/>
        <v>VISTOS BUENOS</v>
      </c>
      <c r="B109" s="50">
        <v>3</v>
      </c>
      <c r="C109" s="37">
        <v>18</v>
      </c>
      <c r="D109" s="35">
        <v>101</v>
      </c>
      <c r="E109" s="10" t="s">
        <v>481</v>
      </c>
      <c r="F109" s="14" t="s">
        <v>762</v>
      </c>
      <c r="G109" s="22" t="s">
        <v>30</v>
      </c>
      <c r="H109" s="52" t="s">
        <v>763</v>
      </c>
      <c r="I109" s="52" t="s">
        <v>684</v>
      </c>
      <c r="J109" s="53" t="s">
        <v>764</v>
      </c>
      <c r="K109" s="19" t="s">
        <v>31</v>
      </c>
      <c r="L109" s="10" t="s">
        <v>32</v>
      </c>
      <c r="M109" s="20"/>
      <c r="N109" s="20"/>
      <c r="O109" s="7"/>
      <c r="P109" s="7"/>
    </row>
    <row r="110" spans="1:16" ht="24.75" customHeight="1" x14ac:dyDescent="0.25">
      <c r="A110" s="14" t="str">
        <f t="shared" si="2"/>
        <v>VISTOS BUENOS</v>
      </c>
      <c r="B110" s="50">
        <v>3</v>
      </c>
      <c r="C110" s="37">
        <v>18</v>
      </c>
      <c r="D110" s="35">
        <v>102</v>
      </c>
      <c r="E110" s="10" t="s">
        <v>482</v>
      </c>
      <c r="F110" s="14" t="s">
        <v>617</v>
      </c>
      <c r="G110" s="22" t="s">
        <v>30</v>
      </c>
      <c r="H110" s="52" t="s">
        <v>270</v>
      </c>
      <c r="I110" s="52" t="s">
        <v>668</v>
      </c>
      <c r="J110" s="53" t="s">
        <v>765</v>
      </c>
      <c r="K110" s="19" t="s">
        <v>31</v>
      </c>
      <c r="L110" s="10" t="s">
        <v>32</v>
      </c>
      <c r="M110" s="20"/>
      <c r="N110" s="20"/>
      <c r="O110" s="7"/>
      <c r="P110" s="7"/>
    </row>
    <row r="111" spans="1:16" ht="24.75" customHeight="1" x14ac:dyDescent="0.25">
      <c r="A111" s="14" t="str">
        <f t="shared" si="2"/>
        <v>VISTOS BUENOS</v>
      </c>
      <c r="B111" s="50">
        <v>3</v>
      </c>
      <c r="C111" s="37">
        <v>18</v>
      </c>
      <c r="D111" s="35">
        <v>103</v>
      </c>
      <c r="E111" s="10" t="s">
        <v>483</v>
      </c>
      <c r="F111" s="14" t="s">
        <v>618</v>
      </c>
      <c r="G111" s="11" t="s">
        <v>30</v>
      </c>
      <c r="H111" s="30" t="s">
        <v>766</v>
      </c>
      <c r="I111" s="52" t="s">
        <v>767</v>
      </c>
      <c r="J111" s="53" t="s">
        <v>757</v>
      </c>
      <c r="K111" s="14" t="s">
        <v>31</v>
      </c>
      <c r="L111" s="10" t="s">
        <v>32</v>
      </c>
      <c r="M111" s="20"/>
      <c r="N111" s="20"/>
      <c r="O111" s="7"/>
      <c r="P111" s="7"/>
    </row>
    <row r="112" spans="1:16" ht="24.75" customHeight="1" x14ac:dyDescent="0.25">
      <c r="A112" s="14" t="str">
        <f t="shared" si="2"/>
        <v>VISTOS BUENOS</v>
      </c>
      <c r="B112" s="50">
        <v>3</v>
      </c>
      <c r="C112" s="37">
        <v>18</v>
      </c>
      <c r="D112" s="35">
        <v>104</v>
      </c>
      <c r="E112" s="10" t="s">
        <v>484</v>
      </c>
      <c r="F112" s="14" t="s">
        <v>619</v>
      </c>
      <c r="G112" s="11" t="s">
        <v>30</v>
      </c>
      <c r="H112" s="17" t="s">
        <v>672</v>
      </c>
      <c r="I112" s="52" t="s">
        <v>768</v>
      </c>
      <c r="J112" s="53" t="s">
        <v>769</v>
      </c>
      <c r="K112" s="14" t="s">
        <v>31</v>
      </c>
      <c r="L112" s="10" t="s">
        <v>32</v>
      </c>
      <c r="M112" s="20"/>
      <c r="N112" s="20"/>
      <c r="O112" s="7"/>
      <c r="P112" s="7"/>
    </row>
    <row r="113" spans="1:16" ht="24.75" customHeight="1" x14ac:dyDescent="0.25">
      <c r="A113" s="14" t="str">
        <f t="shared" si="2"/>
        <v>VISTOS BUENOS</v>
      </c>
      <c r="B113" s="50">
        <v>3</v>
      </c>
      <c r="C113" s="37">
        <v>18</v>
      </c>
      <c r="D113" s="35">
        <v>105</v>
      </c>
      <c r="E113" s="10" t="s">
        <v>485</v>
      </c>
      <c r="F113" s="14" t="s">
        <v>620</v>
      </c>
      <c r="G113" s="11" t="s">
        <v>30</v>
      </c>
      <c r="H113" s="17" t="s">
        <v>770</v>
      </c>
      <c r="I113" s="52" t="s">
        <v>771</v>
      </c>
      <c r="J113" s="53" t="s">
        <v>769</v>
      </c>
      <c r="K113" s="14" t="s">
        <v>31</v>
      </c>
      <c r="L113" s="10" t="s">
        <v>32</v>
      </c>
      <c r="M113" s="20"/>
      <c r="N113" s="20"/>
      <c r="O113" s="7"/>
      <c r="P113" s="7"/>
    </row>
    <row r="114" spans="1:16" ht="24.75" customHeight="1" x14ac:dyDescent="0.25">
      <c r="A114" s="14" t="str">
        <f t="shared" si="2"/>
        <v>VISTOS BUENOS</v>
      </c>
      <c r="B114" s="50">
        <v>3</v>
      </c>
      <c r="C114" s="37">
        <v>18</v>
      </c>
      <c r="D114" s="35">
        <v>106</v>
      </c>
      <c r="E114" s="10" t="s">
        <v>486</v>
      </c>
      <c r="F114" s="14" t="s">
        <v>621</v>
      </c>
      <c r="G114" s="11" t="s">
        <v>30</v>
      </c>
      <c r="H114" s="17" t="s">
        <v>772</v>
      </c>
      <c r="I114" s="52" t="s">
        <v>773</v>
      </c>
      <c r="J114" s="53" t="s">
        <v>774</v>
      </c>
      <c r="K114" s="14" t="s">
        <v>31</v>
      </c>
      <c r="L114" s="10" t="s">
        <v>32</v>
      </c>
      <c r="M114" s="20"/>
      <c r="N114" s="20"/>
      <c r="O114" s="7"/>
      <c r="P114" s="7"/>
    </row>
    <row r="115" spans="1:16" ht="24.75" customHeight="1" x14ac:dyDescent="0.25">
      <c r="A115" s="14" t="str">
        <f t="shared" si="2"/>
        <v>VISTOS BUENOS</v>
      </c>
      <c r="B115" s="50">
        <v>3</v>
      </c>
      <c r="C115" s="37">
        <v>18</v>
      </c>
      <c r="D115" s="35">
        <v>107</v>
      </c>
      <c r="E115" s="10" t="s">
        <v>487</v>
      </c>
      <c r="F115" s="14" t="s">
        <v>622</v>
      </c>
      <c r="G115" s="11" t="s">
        <v>30</v>
      </c>
      <c r="H115" s="17" t="s">
        <v>775</v>
      </c>
      <c r="I115" s="52" t="s">
        <v>760</v>
      </c>
      <c r="J115" s="42" t="s">
        <v>776</v>
      </c>
      <c r="K115" s="14" t="s">
        <v>31</v>
      </c>
      <c r="L115" s="10" t="s">
        <v>32</v>
      </c>
      <c r="M115" s="20"/>
      <c r="N115" s="20"/>
      <c r="O115" s="7"/>
      <c r="P115" s="7"/>
    </row>
    <row r="116" spans="1:16" ht="24.75" customHeight="1" x14ac:dyDescent="0.25">
      <c r="A116" s="14" t="str">
        <f t="shared" si="2"/>
        <v>VISTOS BUENOS</v>
      </c>
      <c r="B116" s="50">
        <v>3</v>
      </c>
      <c r="C116" s="37">
        <v>19</v>
      </c>
      <c r="D116" s="35">
        <v>108</v>
      </c>
      <c r="E116" s="10" t="s">
        <v>488</v>
      </c>
      <c r="F116" s="23" t="s">
        <v>623</v>
      </c>
      <c r="G116" s="11" t="s">
        <v>30</v>
      </c>
      <c r="H116" s="17" t="s">
        <v>270</v>
      </c>
      <c r="I116" s="52" t="s">
        <v>777</v>
      </c>
      <c r="J116" s="42" t="s">
        <v>778</v>
      </c>
      <c r="K116" s="14" t="s">
        <v>31</v>
      </c>
      <c r="L116" s="10" t="s">
        <v>32</v>
      </c>
      <c r="M116" s="20"/>
      <c r="N116" s="20"/>
      <c r="O116" s="7"/>
      <c r="P116" s="7"/>
    </row>
    <row r="117" spans="1:16" ht="24.75" customHeight="1" x14ac:dyDescent="0.25">
      <c r="A117" s="14" t="str">
        <f t="shared" si="2"/>
        <v>VISTOS BUENOS</v>
      </c>
      <c r="B117" s="50">
        <v>3</v>
      </c>
      <c r="C117" s="37">
        <v>19</v>
      </c>
      <c r="D117" s="35">
        <v>109</v>
      </c>
      <c r="E117" s="48" t="s">
        <v>489</v>
      </c>
      <c r="F117" s="54" t="s">
        <v>624</v>
      </c>
      <c r="G117" s="35" t="s">
        <v>30</v>
      </c>
      <c r="H117" s="17" t="s">
        <v>779</v>
      </c>
      <c r="I117" s="52" t="s">
        <v>780</v>
      </c>
      <c r="J117" s="42" t="s">
        <v>781</v>
      </c>
      <c r="K117" s="14" t="s">
        <v>31</v>
      </c>
      <c r="L117" s="10" t="s">
        <v>32</v>
      </c>
      <c r="M117" s="20"/>
      <c r="N117" s="20"/>
      <c r="O117" s="7"/>
      <c r="P117" s="7"/>
    </row>
    <row r="118" spans="1:16" ht="24.75" customHeight="1" x14ac:dyDescent="0.25">
      <c r="A118" s="14" t="str">
        <f t="shared" si="2"/>
        <v>VISTOS BUENOS</v>
      </c>
      <c r="B118" s="50">
        <v>3</v>
      </c>
      <c r="C118" s="37">
        <v>19</v>
      </c>
      <c r="D118" s="35">
        <v>110</v>
      </c>
      <c r="E118" s="48" t="s">
        <v>490</v>
      </c>
      <c r="F118" s="54" t="s">
        <v>625</v>
      </c>
      <c r="G118" s="35" t="s">
        <v>30</v>
      </c>
      <c r="H118" s="17" t="s">
        <v>782</v>
      </c>
      <c r="I118" s="52" t="s">
        <v>783</v>
      </c>
      <c r="J118" s="42" t="s">
        <v>784</v>
      </c>
      <c r="K118" s="14" t="s">
        <v>31</v>
      </c>
      <c r="L118" s="10" t="s">
        <v>32</v>
      </c>
      <c r="M118" s="20"/>
      <c r="N118" s="20"/>
      <c r="O118" s="7"/>
      <c r="P118" s="7"/>
    </row>
    <row r="119" spans="1:16" ht="24.75" customHeight="1" x14ac:dyDescent="0.25">
      <c r="A119" s="14" t="str">
        <f t="shared" si="2"/>
        <v>VISTOS BUENOS</v>
      </c>
      <c r="B119" s="50">
        <v>3</v>
      </c>
      <c r="C119" s="37">
        <v>19</v>
      </c>
      <c r="D119" s="35">
        <v>111</v>
      </c>
      <c r="E119" s="10" t="s">
        <v>491</v>
      </c>
      <c r="F119" s="54" t="s">
        <v>626</v>
      </c>
      <c r="G119" s="11" t="s">
        <v>30</v>
      </c>
      <c r="H119" s="17" t="s">
        <v>786</v>
      </c>
      <c r="I119" s="52" t="s">
        <v>668</v>
      </c>
      <c r="J119" s="42" t="s">
        <v>787</v>
      </c>
      <c r="K119" s="14" t="s">
        <v>31</v>
      </c>
      <c r="L119" s="10" t="s">
        <v>32</v>
      </c>
      <c r="M119" s="20"/>
      <c r="N119" s="20"/>
      <c r="O119" s="7"/>
      <c r="P119" s="7"/>
    </row>
    <row r="120" spans="1:16" ht="24.75" customHeight="1" x14ac:dyDescent="0.25">
      <c r="A120" s="14" t="str">
        <f t="shared" si="2"/>
        <v>VISTOS BUENOS</v>
      </c>
      <c r="B120" s="50">
        <v>3</v>
      </c>
      <c r="C120" s="37">
        <v>20</v>
      </c>
      <c r="D120" s="35">
        <v>112</v>
      </c>
      <c r="E120" s="10" t="s">
        <v>492</v>
      </c>
      <c r="F120" s="54" t="s">
        <v>627</v>
      </c>
      <c r="G120" s="11" t="s">
        <v>30</v>
      </c>
      <c r="H120" s="17" t="s">
        <v>782</v>
      </c>
      <c r="I120" s="52" t="s">
        <v>782</v>
      </c>
      <c r="J120" s="42" t="s">
        <v>785</v>
      </c>
      <c r="K120" s="14" t="s">
        <v>31</v>
      </c>
      <c r="L120" s="10" t="s">
        <v>32</v>
      </c>
      <c r="M120" s="20"/>
      <c r="N120" s="20"/>
      <c r="O120" s="7"/>
      <c r="P120" s="7"/>
    </row>
    <row r="121" spans="1:16" ht="24.75" customHeight="1" x14ac:dyDescent="0.25">
      <c r="A121" s="14" t="str">
        <f t="shared" si="2"/>
        <v>VISTOS BUENOS</v>
      </c>
      <c r="B121" s="50">
        <v>3</v>
      </c>
      <c r="C121" s="37">
        <v>20</v>
      </c>
      <c r="D121" s="35">
        <v>113</v>
      </c>
      <c r="E121" s="10" t="s">
        <v>493</v>
      </c>
      <c r="F121" s="54" t="s">
        <v>628</v>
      </c>
      <c r="G121" s="11" t="s">
        <v>30</v>
      </c>
      <c r="H121" s="17" t="s">
        <v>669</v>
      </c>
      <c r="I121" s="17" t="s">
        <v>788</v>
      </c>
      <c r="J121" s="11">
        <v>14</v>
      </c>
      <c r="K121" s="14" t="s">
        <v>31</v>
      </c>
      <c r="L121" s="10" t="s">
        <v>32</v>
      </c>
      <c r="M121" s="20"/>
      <c r="N121" s="20"/>
      <c r="O121" s="7"/>
      <c r="P121" s="7"/>
    </row>
    <row r="122" spans="1:16" ht="24.75" customHeight="1" x14ac:dyDescent="0.25">
      <c r="A122" s="14" t="str">
        <f t="shared" si="2"/>
        <v>VISTOS BUENOS</v>
      </c>
      <c r="B122" s="50">
        <v>3</v>
      </c>
      <c r="C122" s="37">
        <v>20</v>
      </c>
      <c r="D122" s="35">
        <v>114</v>
      </c>
      <c r="E122" s="10" t="s">
        <v>494</v>
      </c>
      <c r="F122" s="14" t="s">
        <v>629</v>
      </c>
      <c r="G122" s="11" t="s">
        <v>30</v>
      </c>
      <c r="H122" s="17" t="s">
        <v>763</v>
      </c>
      <c r="I122" s="17" t="s">
        <v>789</v>
      </c>
      <c r="J122" s="11">
        <v>43</v>
      </c>
      <c r="K122" s="14" t="s">
        <v>31</v>
      </c>
      <c r="L122" s="10" t="s">
        <v>32</v>
      </c>
      <c r="M122" s="20"/>
      <c r="N122" s="20"/>
      <c r="O122" s="7"/>
      <c r="P122" s="7"/>
    </row>
    <row r="123" spans="1:16" ht="24.75" customHeight="1" x14ac:dyDescent="0.25">
      <c r="A123" s="14" t="str">
        <f t="shared" si="2"/>
        <v>VISTOS BUENOS</v>
      </c>
      <c r="B123" s="50">
        <v>3</v>
      </c>
      <c r="C123" s="37">
        <v>20</v>
      </c>
      <c r="D123" s="35">
        <v>115</v>
      </c>
      <c r="E123" s="10" t="s">
        <v>495</v>
      </c>
      <c r="F123" s="14" t="s">
        <v>630</v>
      </c>
      <c r="G123" s="11" t="s">
        <v>30</v>
      </c>
      <c r="H123" s="17" t="s">
        <v>761</v>
      </c>
      <c r="I123" s="17" t="s">
        <v>790</v>
      </c>
      <c r="J123" s="11">
        <v>56</v>
      </c>
      <c r="K123" s="14" t="s">
        <v>31</v>
      </c>
      <c r="L123" s="10" t="s">
        <v>32</v>
      </c>
      <c r="M123" s="20"/>
      <c r="N123" s="20"/>
      <c r="O123" s="7"/>
      <c r="P123" s="7"/>
    </row>
    <row r="124" spans="1:16" ht="24.75" customHeight="1" x14ac:dyDescent="0.25">
      <c r="A124" s="14" t="str">
        <f t="shared" si="2"/>
        <v>VISTOS BUENOS</v>
      </c>
      <c r="B124" s="50">
        <v>3</v>
      </c>
      <c r="C124" s="37">
        <v>20</v>
      </c>
      <c r="D124" s="35">
        <v>116</v>
      </c>
      <c r="E124" s="10" t="s">
        <v>496</v>
      </c>
      <c r="F124" s="14" t="s">
        <v>631</v>
      </c>
      <c r="G124" s="11" t="s">
        <v>30</v>
      </c>
      <c r="H124" s="17" t="s">
        <v>791</v>
      </c>
      <c r="I124" s="17" t="s">
        <v>773</v>
      </c>
      <c r="J124" s="11">
        <v>17</v>
      </c>
      <c r="K124" s="14" t="s">
        <v>31</v>
      </c>
      <c r="L124" s="10" t="s">
        <v>32</v>
      </c>
      <c r="M124" s="20"/>
      <c r="N124" s="20"/>
      <c r="O124" s="7"/>
      <c r="P124" s="7"/>
    </row>
    <row r="125" spans="1:16" ht="24.75" customHeight="1" x14ac:dyDescent="0.25">
      <c r="A125" s="14" t="str">
        <f t="shared" si="2"/>
        <v>VISTOS BUENOS</v>
      </c>
      <c r="B125" s="50">
        <v>3</v>
      </c>
      <c r="C125" s="37">
        <v>20</v>
      </c>
      <c r="D125" s="11">
        <v>117</v>
      </c>
      <c r="E125" s="10" t="s">
        <v>497</v>
      </c>
      <c r="F125" s="14" t="s">
        <v>632</v>
      </c>
      <c r="G125" s="11" t="s">
        <v>30</v>
      </c>
      <c r="H125" s="17" t="s">
        <v>792</v>
      </c>
      <c r="I125" s="17" t="s">
        <v>793</v>
      </c>
      <c r="J125" s="11">
        <v>40</v>
      </c>
      <c r="K125" s="14" t="s">
        <v>31</v>
      </c>
      <c r="L125" s="10" t="s">
        <v>32</v>
      </c>
      <c r="M125" s="20"/>
      <c r="N125" s="20"/>
      <c r="O125" s="7"/>
      <c r="P125" s="7"/>
    </row>
    <row r="126" spans="1:16" ht="24.75" customHeight="1" x14ac:dyDescent="0.25">
      <c r="A126" s="14" t="str">
        <f t="shared" si="2"/>
        <v>VISTOS BUENOS</v>
      </c>
      <c r="B126" s="50">
        <v>3</v>
      </c>
      <c r="C126" s="37">
        <v>20</v>
      </c>
      <c r="D126" s="11">
        <v>118</v>
      </c>
      <c r="E126" s="10" t="s">
        <v>498</v>
      </c>
      <c r="F126" s="14" t="s">
        <v>633</v>
      </c>
      <c r="G126" s="11" t="s">
        <v>30</v>
      </c>
      <c r="H126" s="17" t="s">
        <v>668</v>
      </c>
      <c r="I126" s="17" t="s">
        <v>793</v>
      </c>
      <c r="J126" s="11">
        <v>49</v>
      </c>
      <c r="K126" s="14" t="s">
        <v>31</v>
      </c>
      <c r="L126" s="10" t="s">
        <v>32</v>
      </c>
      <c r="M126" s="20"/>
      <c r="N126" s="20"/>
      <c r="O126" s="7"/>
      <c r="P126" s="7"/>
    </row>
    <row r="127" spans="1:16" ht="24.75" customHeight="1" x14ac:dyDescent="0.25">
      <c r="A127" s="14" t="str">
        <f t="shared" si="2"/>
        <v>VISTOS BUENOS</v>
      </c>
      <c r="B127" s="50">
        <v>3</v>
      </c>
      <c r="C127" s="37">
        <v>20</v>
      </c>
      <c r="D127" s="11">
        <v>119</v>
      </c>
      <c r="E127" s="10" t="s">
        <v>499</v>
      </c>
      <c r="F127" s="14" t="s">
        <v>634</v>
      </c>
      <c r="G127" s="11" t="s">
        <v>30</v>
      </c>
      <c r="H127" s="17" t="s">
        <v>794</v>
      </c>
      <c r="I127" s="17" t="s">
        <v>789</v>
      </c>
      <c r="J127" s="11">
        <v>47</v>
      </c>
      <c r="K127" s="14" t="s">
        <v>31</v>
      </c>
      <c r="L127" s="10" t="s">
        <v>32</v>
      </c>
      <c r="M127" s="20"/>
      <c r="N127" s="20"/>
      <c r="O127" s="7"/>
      <c r="P127" s="7"/>
    </row>
    <row r="128" spans="1:16" ht="24.75" customHeight="1" x14ac:dyDescent="0.25">
      <c r="A128" s="14" t="str">
        <f t="shared" si="2"/>
        <v>VISTOS BUENOS</v>
      </c>
      <c r="B128" s="50">
        <v>3</v>
      </c>
      <c r="C128" s="37">
        <v>20</v>
      </c>
      <c r="D128" s="11">
        <v>120</v>
      </c>
      <c r="E128" s="10" t="s">
        <v>500</v>
      </c>
      <c r="F128" s="14" t="s">
        <v>635</v>
      </c>
      <c r="G128" s="11" t="s">
        <v>30</v>
      </c>
      <c r="H128" s="17" t="s">
        <v>763</v>
      </c>
      <c r="I128" s="17" t="s">
        <v>768</v>
      </c>
      <c r="J128" s="11">
        <v>45</v>
      </c>
      <c r="K128" s="14" t="s">
        <v>31</v>
      </c>
      <c r="L128" s="10" t="s">
        <v>32</v>
      </c>
      <c r="M128" s="20"/>
      <c r="N128" s="20"/>
      <c r="O128" s="7"/>
      <c r="P128" s="7"/>
    </row>
    <row r="129" spans="1:16" ht="24.75" customHeight="1" x14ac:dyDescent="0.25">
      <c r="A129" s="14" t="str">
        <f t="shared" si="2"/>
        <v>VISTOS BUENOS</v>
      </c>
      <c r="B129" s="50">
        <v>4</v>
      </c>
      <c r="C129" s="37">
        <v>21</v>
      </c>
      <c r="D129" s="35">
        <v>121</v>
      </c>
      <c r="E129" s="10" t="s">
        <v>501</v>
      </c>
      <c r="F129" s="14" t="s">
        <v>636</v>
      </c>
      <c r="G129" s="11" t="s">
        <v>30</v>
      </c>
      <c r="H129" s="17" t="s">
        <v>795</v>
      </c>
      <c r="I129" s="17" t="s">
        <v>756</v>
      </c>
      <c r="J129" s="11">
        <v>31</v>
      </c>
      <c r="K129" s="14" t="s">
        <v>31</v>
      </c>
      <c r="L129" s="10" t="s">
        <v>32</v>
      </c>
      <c r="M129" s="20"/>
      <c r="N129" s="20"/>
      <c r="O129" s="7"/>
      <c r="P129" s="7"/>
    </row>
    <row r="130" spans="1:16" ht="24.75" customHeight="1" x14ac:dyDescent="0.25">
      <c r="A130" s="14" t="str">
        <f t="shared" si="2"/>
        <v>VISTOS BUENOS</v>
      </c>
      <c r="B130" s="50">
        <v>4</v>
      </c>
      <c r="C130" s="37">
        <v>21</v>
      </c>
      <c r="D130" s="11">
        <v>122</v>
      </c>
      <c r="E130" s="10" t="s">
        <v>135</v>
      </c>
      <c r="F130" s="14" t="s">
        <v>796</v>
      </c>
      <c r="G130" s="11" t="s">
        <v>30</v>
      </c>
      <c r="H130" s="17" t="s">
        <v>659</v>
      </c>
      <c r="I130" s="17" t="s">
        <v>792</v>
      </c>
      <c r="J130" s="11">
        <v>56</v>
      </c>
      <c r="K130" s="14" t="s">
        <v>31</v>
      </c>
      <c r="L130" s="10" t="s">
        <v>32</v>
      </c>
      <c r="M130" s="20"/>
      <c r="N130" s="20"/>
      <c r="O130" s="7"/>
      <c r="P130" s="7"/>
    </row>
    <row r="131" spans="1:16" ht="24.75" customHeight="1" x14ac:dyDescent="0.25">
      <c r="A131" s="14" t="str">
        <f t="shared" si="2"/>
        <v>VISTOS BUENOS</v>
      </c>
      <c r="B131" s="50">
        <v>4</v>
      </c>
      <c r="C131" s="37">
        <v>21</v>
      </c>
      <c r="D131" s="11">
        <v>123</v>
      </c>
      <c r="E131" s="10" t="s">
        <v>502</v>
      </c>
      <c r="F131" s="14" t="s">
        <v>637</v>
      </c>
      <c r="G131" s="11" t="s">
        <v>30</v>
      </c>
      <c r="H131" s="17" t="s">
        <v>670</v>
      </c>
      <c r="I131" s="17" t="s">
        <v>795</v>
      </c>
      <c r="J131" s="11">
        <v>58</v>
      </c>
      <c r="K131" s="14" t="s">
        <v>31</v>
      </c>
      <c r="L131" s="10" t="s">
        <v>32</v>
      </c>
      <c r="M131" s="20"/>
      <c r="N131" s="20"/>
      <c r="O131" s="7"/>
      <c r="P131" s="7"/>
    </row>
    <row r="132" spans="1:16" ht="24.75" customHeight="1" x14ac:dyDescent="0.25">
      <c r="A132" s="14" t="str">
        <f t="shared" si="2"/>
        <v>VISTOS BUENOS</v>
      </c>
      <c r="B132" s="50">
        <v>4</v>
      </c>
      <c r="C132" s="37">
        <v>21</v>
      </c>
      <c r="D132" s="24">
        <v>124</v>
      </c>
      <c r="E132" s="10" t="s">
        <v>503</v>
      </c>
      <c r="F132" s="14" t="s">
        <v>638</v>
      </c>
      <c r="G132" s="11" t="s">
        <v>30</v>
      </c>
      <c r="H132" s="17" t="s">
        <v>755</v>
      </c>
      <c r="I132" s="17" t="s">
        <v>797</v>
      </c>
      <c r="J132" s="11">
        <v>22</v>
      </c>
      <c r="K132" s="14" t="s">
        <v>31</v>
      </c>
      <c r="L132" s="10" t="s">
        <v>32</v>
      </c>
      <c r="M132" s="20"/>
      <c r="N132" s="20"/>
      <c r="O132" s="7"/>
      <c r="P132" s="7"/>
    </row>
    <row r="133" spans="1:16" ht="24.75" customHeight="1" x14ac:dyDescent="0.25">
      <c r="A133" s="14" t="str">
        <f t="shared" si="2"/>
        <v>VISTOS BUENOS</v>
      </c>
      <c r="B133" s="50">
        <v>4</v>
      </c>
      <c r="C133" s="37">
        <v>22</v>
      </c>
      <c r="D133" s="46">
        <v>125</v>
      </c>
      <c r="E133" s="43" t="s">
        <v>504</v>
      </c>
      <c r="F133" s="14" t="s">
        <v>639</v>
      </c>
      <c r="G133" s="11" t="s">
        <v>30</v>
      </c>
      <c r="H133" s="17" t="s">
        <v>673</v>
      </c>
      <c r="I133" s="17" t="s">
        <v>673</v>
      </c>
      <c r="J133" s="11">
        <v>9</v>
      </c>
      <c r="K133" s="14" t="s">
        <v>31</v>
      </c>
      <c r="L133" s="10" t="s">
        <v>32</v>
      </c>
      <c r="M133" s="20"/>
      <c r="N133" s="20"/>
      <c r="O133" s="7"/>
      <c r="P133" s="7"/>
    </row>
    <row r="134" spans="1:16" ht="24.75" customHeight="1" x14ac:dyDescent="0.25">
      <c r="A134" s="14" t="str">
        <f t="shared" si="2"/>
        <v>VISTOS BUENOS</v>
      </c>
      <c r="B134" s="50">
        <v>4</v>
      </c>
      <c r="C134" s="37">
        <v>22</v>
      </c>
      <c r="D134" s="46">
        <v>126</v>
      </c>
      <c r="E134" s="43" t="s">
        <v>505</v>
      </c>
      <c r="F134" s="14" t="s">
        <v>640</v>
      </c>
      <c r="G134" s="11" t="s">
        <v>30</v>
      </c>
      <c r="H134" s="17" t="s">
        <v>798</v>
      </c>
      <c r="I134" s="17" t="s">
        <v>770</v>
      </c>
      <c r="J134" s="11">
        <v>21</v>
      </c>
      <c r="K134" s="14" t="s">
        <v>31</v>
      </c>
      <c r="L134" s="10" t="s">
        <v>32</v>
      </c>
      <c r="M134" s="20"/>
      <c r="N134" s="20"/>
      <c r="O134" s="7"/>
      <c r="P134" s="7"/>
    </row>
    <row r="135" spans="1:16" ht="24.75" customHeight="1" x14ac:dyDescent="0.25">
      <c r="A135" s="14" t="str">
        <f t="shared" si="2"/>
        <v>VISTOS BUENOS</v>
      </c>
      <c r="B135" s="50">
        <v>4</v>
      </c>
      <c r="C135" s="37">
        <v>22</v>
      </c>
      <c r="D135" s="46">
        <v>127</v>
      </c>
      <c r="E135" s="43" t="s">
        <v>506</v>
      </c>
      <c r="F135" s="14" t="s">
        <v>641</v>
      </c>
      <c r="G135" s="11" t="s">
        <v>30</v>
      </c>
      <c r="H135" s="17" t="s">
        <v>800</v>
      </c>
      <c r="I135" s="17" t="s">
        <v>799</v>
      </c>
      <c r="J135" s="11">
        <v>16</v>
      </c>
      <c r="K135" s="14" t="s">
        <v>31</v>
      </c>
      <c r="L135" s="10" t="s">
        <v>32</v>
      </c>
      <c r="M135" s="20"/>
      <c r="N135" s="20"/>
      <c r="O135" s="7"/>
      <c r="P135" s="7"/>
    </row>
    <row r="136" spans="1:16" ht="24.75" customHeight="1" x14ac:dyDescent="0.25">
      <c r="A136" s="14" t="str">
        <f t="shared" si="2"/>
        <v>VISTOS BUENOS</v>
      </c>
      <c r="B136" s="50">
        <v>4</v>
      </c>
      <c r="C136" s="37">
        <v>22</v>
      </c>
      <c r="D136" s="46">
        <v>128</v>
      </c>
      <c r="E136" s="43" t="s">
        <v>507</v>
      </c>
      <c r="F136" s="14" t="s">
        <v>642</v>
      </c>
      <c r="G136" s="11" t="s">
        <v>30</v>
      </c>
      <c r="H136" s="17" t="s">
        <v>792</v>
      </c>
      <c r="I136" s="17" t="s">
        <v>793</v>
      </c>
      <c r="J136" s="11">
        <v>43</v>
      </c>
      <c r="K136" s="14" t="s">
        <v>31</v>
      </c>
      <c r="L136" s="10" t="s">
        <v>32</v>
      </c>
      <c r="M136" s="20"/>
      <c r="N136" s="20"/>
      <c r="O136" s="7"/>
      <c r="P136" s="7"/>
    </row>
    <row r="137" spans="1:16" ht="24.75" customHeight="1" x14ac:dyDescent="0.25">
      <c r="A137" s="14" t="str">
        <f t="shared" ref="A137:A146" si="3">A136</f>
        <v>VISTOS BUENOS</v>
      </c>
      <c r="B137" s="50">
        <v>4</v>
      </c>
      <c r="C137" s="37">
        <v>22</v>
      </c>
      <c r="D137" s="55">
        <v>129</v>
      </c>
      <c r="E137" s="43" t="s">
        <v>508</v>
      </c>
      <c r="F137" s="14" t="s">
        <v>643</v>
      </c>
      <c r="G137" s="11" t="s">
        <v>30</v>
      </c>
      <c r="H137" s="17" t="s">
        <v>801</v>
      </c>
      <c r="I137" s="17" t="s">
        <v>755</v>
      </c>
      <c r="J137" s="11">
        <v>19</v>
      </c>
      <c r="K137" s="14" t="s">
        <v>31</v>
      </c>
      <c r="L137" s="10" t="s">
        <v>32</v>
      </c>
      <c r="M137" s="20"/>
      <c r="N137" s="20"/>
      <c r="O137" s="7"/>
      <c r="P137" s="7"/>
    </row>
    <row r="138" spans="1:16" ht="24.75" customHeight="1" x14ac:dyDescent="0.25">
      <c r="A138" s="14" t="str">
        <f t="shared" si="3"/>
        <v>VISTOS BUENOS</v>
      </c>
      <c r="B138" s="50">
        <v>4</v>
      </c>
      <c r="C138" s="37">
        <v>23</v>
      </c>
      <c r="D138" s="55">
        <v>130</v>
      </c>
      <c r="E138" s="43" t="s">
        <v>509</v>
      </c>
      <c r="F138" s="14" t="s">
        <v>644</v>
      </c>
      <c r="G138" s="11" t="s">
        <v>30</v>
      </c>
      <c r="H138" s="17" t="s">
        <v>798</v>
      </c>
      <c r="I138" s="17" t="s">
        <v>802</v>
      </c>
      <c r="J138" s="11">
        <v>31</v>
      </c>
      <c r="K138" s="14" t="s">
        <v>31</v>
      </c>
      <c r="L138" s="10" t="s">
        <v>32</v>
      </c>
      <c r="M138" s="20"/>
      <c r="N138" s="20"/>
      <c r="O138" s="7"/>
      <c r="P138" s="7"/>
    </row>
    <row r="139" spans="1:16" ht="24.75" customHeight="1" x14ac:dyDescent="0.25">
      <c r="A139" s="14" t="str">
        <f t="shared" si="3"/>
        <v>VISTOS BUENOS</v>
      </c>
      <c r="B139" s="50">
        <v>4</v>
      </c>
      <c r="C139" s="37">
        <v>24</v>
      </c>
      <c r="D139" s="55">
        <v>131</v>
      </c>
      <c r="E139" s="43" t="s">
        <v>58</v>
      </c>
      <c r="F139" s="14" t="s">
        <v>645</v>
      </c>
      <c r="G139" s="11" t="s">
        <v>30</v>
      </c>
      <c r="H139" s="17" t="s">
        <v>797</v>
      </c>
      <c r="I139" s="17" t="s">
        <v>803</v>
      </c>
      <c r="J139" s="11">
        <v>283</v>
      </c>
      <c r="K139" s="14" t="s">
        <v>31</v>
      </c>
      <c r="L139" s="10" t="s">
        <v>32</v>
      </c>
      <c r="M139" s="20"/>
      <c r="N139" s="20"/>
      <c r="O139" s="7"/>
      <c r="P139" s="7"/>
    </row>
    <row r="140" spans="1:16" ht="24.75" customHeight="1" x14ac:dyDescent="0.25">
      <c r="A140" s="14" t="str">
        <f t="shared" si="3"/>
        <v>VISTOS BUENOS</v>
      </c>
      <c r="B140" s="50">
        <v>4</v>
      </c>
      <c r="C140" s="37">
        <v>25</v>
      </c>
      <c r="D140" s="56">
        <v>132</v>
      </c>
      <c r="E140" s="10" t="s">
        <v>510</v>
      </c>
      <c r="F140" s="14" t="s">
        <v>646</v>
      </c>
      <c r="G140" s="11" t="s">
        <v>30</v>
      </c>
      <c r="H140" s="17" t="s">
        <v>804</v>
      </c>
      <c r="I140" s="17" t="s">
        <v>767</v>
      </c>
      <c r="J140" s="11">
        <v>52</v>
      </c>
      <c r="K140" s="14" t="s">
        <v>31</v>
      </c>
      <c r="L140" s="10" t="s">
        <v>32</v>
      </c>
      <c r="M140" s="20"/>
      <c r="N140" s="20"/>
      <c r="O140" s="7"/>
      <c r="P140" s="7"/>
    </row>
    <row r="141" spans="1:16" ht="24.75" customHeight="1" x14ac:dyDescent="0.25">
      <c r="A141" s="14" t="str">
        <f t="shared" si="3"/>
        <v>VISTOS BUENOS</v>
      </c>
      <c r="B141" s="50">
        <v>4</v>
      </c>
      <c r="C141" s="37">
        <v>25</v>
      </c>
      <c r="D141" s="35">
        <v>133</v>
      </c>
      <c r="E141" s="10" t="s">
        <v>511</v>
      </c>
      <c r="F141" s="14" t="s">
        <v>647</v>
      </c>
      <c r="G141" s="11" t="s">
        <v>30</v>
      </c>
      <c r="H141" s="17" t="s">
        <v>670</v>
      </c>
      <c r="I141" s="17" t="s">
        <v>795</v>
      </c>
      <c r="J141" s="11">
        <v>32</v>
      </c>
      <c r="K141" s="14" t="s">
        <v>31</v>
      </c>
      <c r="L141" s="10" t="s">
        <v>32</v>
      </c>
      <c r="M141" s="20"/>
      <c r="N141" s="20"/>
      <c r="O141" s="7"/>
      <c r="P141" s="7"/>
    </row>
    <row r="142" spans="1:16" ht="24.75" customHeight="1" x14ac:dyDescent="0.25">
      <c r="A142" s="14" t="str">
        <f t="shared" si="3"/>
        <v>VISTOS BUENOS</v>
      </c>
      <c r="B142" s="50">
        <v>4</v>
      </c>
      <c r="C142" s="37">
        <v>25</v>
      </c>
      <c r="D142" s="35">
        <v>134</v>
      </c>
      <c r="E142" s="10" t="s">
        <v>512</v>
      </c>
      <c r="F142" s="14" t="s">
        <v>648</v>
      </c>
      <c r="G142" s="11" t="s">
        <v>30</v>
      </c>
      <c r="H142" s="17" t="s">
        <v>802</v>
      </c>
      <c r="I142" s="17" t="s">
        <v>802</v>
      </c>
      <c r="J142" s="11">
        <v>8</v>
      </c>
      <c r="K142" s="14" t="s">
        <v>31</v>
      </c>
      <c r="L142" s="10" t="s">
        <v>32</v>
      </c>
      <c r="M142" s="20"/>
      <c r="N142" s="20"/>
      <c r="O142" s="7"/>
      <c r="P142" s="7"/>
    </row>
    <row r="143" spans="1:16" ht="24.75" customHeight="1" x14ac:dyDescent="0.25">
      <c r="A143" s="14" t="str">
        <f t="shared" si="3"/>
        <v>VISTOS BUENOS</v>
      </c>
      <c r="B143" s="50">
        <v>4</v>
      </c>
      <c r="C143" s="37">
        <v>26</v>
      </c>
      <c r="D143" s="35">
        <v>135</v>
      </c>
      <c r="E143" s="10" t="s">
        <v>513</v>
      </c>
      <c r="F143" s="14" t="s">
        <v>649</v>
      </c>
      <c r="G143" s="11" t="s">
        <v>30</v>
      </c>
      <c r="H143" s="17" t="s">
        <v>805</v>
      </c>
      <c r="I143" s="17" t="s">
        <v>676</v>
      </c>
      <c r="J143" s="11">
        <v>49</v>
      </c>
      <c r="K143" s="14" t="s">
        <v>31</v>
      </c>
      <c r="L143" s="10" t="s">
        <v>32</v>
      </c>
      <c r="M143" s="20"/>
      <c r="N143" s="20"/>
      <c r="O143" s="7"/>
      <c r="P143" s="7"/>
    </row>
    <row r="144" spans="1:16" ht="24.75" customHeight="1" x14ac:dyDescent="0.25">
      <c r="A144" s="14" t="str">
        <f t="shared" si="3"/>
        <v>VISTOS BUENOS</v>
      </c>
      <c r="B144" s="50">
        <v>4</v>
      </c>
      <c r="C144" s="37">
        <v>27</v>
      </c>
      <c r="D144" s="35">
        <v>136</v>
      </c>
      <c r="E144" s="10" t="s">
        <v>514</v>
      </c>
      <c r="F144" s="14" t="s">
        <v>650</v>
      </c>
      <c r="G144" s="11" t="s">
        <v>30</v>
      </c>
      <c r="H144" s="17" t="s">
        <v>806</v>
      </c>
      <c r="I144" s="17" t="s">
        <v>766</v>
      </c>
      <c r="J144" s="11">
        <v>401</v>
      </c>
      <c r="K144" s="14" t="s">
        <v>31</v>
      </c>
      <c r="L144" s="10" t="s">
        <v>32</v>
      </c>
      <c r="M144" s="20"/>
      <c r="N144" s="20"/>
      <c r="O144" s="7"/>
      <c r="P144" s="7"/>
    </row>
    <row r="145" spans="1:16" ht="24.75" customHeight="1" x14ac:dyDescent="0.25">
      <c r="A145" s="14" t="str">
        <f t="shared" si="3"/>
        <v>VISTOS BUENOS</v>
      </c>
      <c r="B145" s="50">
        <v>4</v>
      </c>
      <c r="C145" s="37">
        <v>28</v>
      </c>
      <c r="D145" s="11">
        <v>137</v>
      </c>
      <c r="E145" s="10" t="s">
        <v>515</v>
      </c>
      <c r="F145" s="14" t="s">
        <v>651</v>
      </c>
      <c r="G145" s="11" t="s">
        <v>30</v>
      </c>
      <c r="H145" s="17" t="s">
        <v>704</v>
      </c>
      <c r="I145" s="17" t="s">
        <v>705</v>
      </c>
      <c r="J145" s="11">
        <v>19</v>
      </c>
      <c r="K145" s="14" t="s">
        <v>31</v>
      </c>
      <c r="L145" s="10" t="s">
        <v>32</v>
      </c>
      <c r="M145" s="20"/>
      <c r="N145" s="20"/>
      <c r="O145" s="7"/>
      <c r="P145" s="7"/>
    </row>
    <row r="146" spans="1:16" ht="24.75" customHeight="1" x14ac:dyDescent="0.25">
      <c r="A146" s="14" t="str">
        <f t="shared" si="3"/>
        <v>VISTOS BUENOS</v>
      </c>
      <c r="B146" s="50">
        <v>4</v>
      </c>
      <c r="C146" s="37">
        <v>28</v>
      </c>
      <c r="D146" s="11">
        <v>138</v>
      </c>
      <c r="E146" s="10" t="s">
        <v>517</v>
      </c>
      <c r="F146" s="14" t="s">
        <v>652</v>
      </c>
      <c r="G146" s="11" t="s">
        <v>30</v>
      </c>
      <c r="H146" s="17" t="s">
        <v>808</v>
      </c>
      <c r="I146" s="17" t="s">
        <v>807</v>
      </c>
      <c r="J146" s="11">
        <v>38</v>
      </c>
      <c r="K146" s="14" t="s">
        <v>31</v>
      </c>
      <c r="L146" s="10" t="s">
        <v>32</v>
      </c>
      <c r="M146" s="20"/>
      <c r="N146" s="20"/>
      <c r="O146" s="7"/>
      <c r="P146" s="7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"/>
  <sheetViews>
    <sheetView topLeftCell="A164" zoomScale="145" zoomScaleNormal="145" workbookViewId="0">
      <selection activeCell="E172" sqref="E172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22">
        <v>1</v>
      </c>
      <c r="C9" s="46">
        <v>1</v>
      </c>
      <c r="D9" s="46">
        <v>1</v>
      </c>
      <c r="E9" s="60" t="s">
        <v>822</v>
      </c>
      <c r="F9" s="61" t="s">
        <v>655</v>
      </c>
      <c r="G9" s="46" t="s">
        <v>30</v>
      </c>
      <c r="H9" s="52" t="s">
        <v>1125</v>
      </c>
      <c r="I9" s="52" t="s">
        <v>820</v>
      </c>
      <c r="J9" s="46">
        <v>62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>A9</f>
        <v>VISTOS BUENOS</v>
      </c>
      <c r="B10" s="22">
        <v>1</v>
      </c>
      <c r="C10" s="46">
        <v>1</v>
      </c>
      <c r="D10" s="46">
        <v>2</v>
      </c>
      <c r="E10" s="60" t="s">
        <v>823</v>
      </c>
      <c r="F10" s="61" t="s">
        <v>974</v>
      </c>
      <c r="G10" s="46" t="s">
        <v>30</v>
      </c>
      <c r="H10" s="52" t="s">
        <v>1126</v>
      </c>
      <c r="I10" s="52" t="s">
        <v>1127</v>
      </c>
      <c r="J10" s="46">
        <v>23</v>
      </c>
      <c r="K10" s="36" t="s">
        <v>31</v>
      </c>
      <c r="L10" s="60" t="s">
        <v>32</v>
      </c>
      <c r="M10" s="62"/>
      <c r="N10" s="32"/>
      <c r="O10" s="63"/>
      <c r="P10" s="63"/>
    </row>
    <row r="11" spans="1:16" ht="24.75" customHeight="1" x14ac:dyDescent="0.25">
      <c r="A11" s="11" t="str">
        <f t="shared" ref="A11:A74" si="0">A10</f>
        <v>VISTOS BUENOS</v>
      </c>
      <c r="B11" s="22">
        <v>1</v>
      </c>
      <c r="C11" s="46">
        <v>1</v>
      </c>
      <c r="D11" s="46">
        <v>3</v>
      </c>
      <c r="E11" s="60" t="s">
        <v>824</v>
      </c>
      <c r="F11" s="61" t="s">
        <v>660</v>
      </c>
      <c r="G11" s="46" t="s">
        <v>30</v>
      </c>
      <c r="H11" s="52" t="s">
        <v>1128</v>
      </c>
      <c r="I11" s="52" t="s">
        <v>1129</v>
      </c>
      <c r="J11" s="46">
        <v>21</v>
      </c>
      <c r="K11" s="36" t="s">
        <v>31</v>
      </c>
      <c r="L11" s="60" t="s">
        <v>32</v>
      </c>
      <c r="M11" s="62"/>
      <c r="N11" s="32"/>
      <c r="O11" s="63"/>
      <c r="P11" s="63"/>
    </row>
    <row r="12" spans="1:16" ht="24.75" customHeight="1" x14ac:dyDescent="0.25">
      <c r="A12" s="11" t="str">
        <f t="shared" si="0"/>
        <v>VISTOS BUENOS</v>
      </c>
      <c r="B12" s="22">
        <v>1</v>
      </c>
      <c r="C12" s="46">
        <v>1</v>
      </c>
      <c r="D12" s="46">
        <v>4</v>
      </c>
      <c r="E12" s="60" t="s">
        <v>825</v>
      </c>
      <c r="F12" s="61" t="s">
        <v>661</v>
      </c>
      <c r="G12" s="46" t="s">
        <v>30</v>
      </c>
      <c r="H12" s="52" t="s">
        <v>1128</v>
      </c>
      <c r="I12" s="52" t="s">
        <v>1130</v>
      </c>
      <c r="J12" s="46">
        <v>21</v>
      </c>
      <c r="K12" s="36" t="s">
        <v>31</v>
      </c>
      <c r="L12" s="60" t="s">
        <v>32</v>
      </c>
      <c r="M12" s="62"/>
      <c r="N12" s="32"/>
      <c r="O12" s="63"/>
      <c r="P12" s="63"/>
    </row>
    <row r="13" spans="1:16" ht="24.75" customHeight="1" x14ac:dyDescent="0.25">
      <c r="A13" s="11" t="str">
        <f t="shared" si="0"/>
        <v>VISTOS BUENOS</v>
      </c>
      <c r="B13" s="22">
        <v>1</v>
      </c>
      <c r="C13" s="46">
        <v>1</v>
      </c>
      <c r="D13" s="46">
        <v>5</v>
      </c>
      <c r="E13" s="60" t="s">
        <v>826</v>
      </c>
      <c r="F13" s="61" t="s">
        <v>975</v>
      </c>
      <c r="G13" s="46" t="s">
        <v>30</v>
      </c>
      <c r="H13" s="52" t="s">
        <v>1131</v>
      </c>
      <c r="I13" s="52" t="s">
        <v>1132</v>
      </c>
      <c r="J13" s="46">
        <v>22</v>
      </c>
      <c r="K13" s="36" t="s">
        <v>31</v>
      </c>
      <c r="L13" s="60" t="s">
        <v>32</v>
      </c>
      <c r="M13" s="62"/>
      <c r="N13" s="32"/>
      <c r="O13" s="32"/>
      <c r="P13" s="32"/>
    </row>
    <row r="14" spans="1:16" ht="24.75" customHeight="1" x14ac:dyDescent="0.25">
      <c r="A14" s="11" t="str">
        <f t="shared" si="0"/>
        <v>VISTOS BUENOS</v>
      </c>
      <c r="B14" s="22">
        <v>1</v>
      </c>
      <c r="C14" s="46">
        <v>1</v>
      </c>
      <c r="D14" s="46">
        <v>6</v>
      </c>
      <c r="E14" s="60" t="s">
        <v>827</v>
      </c>
      <c r="F14" s="61" t="s">
        <v>976</v>
      </c>
      <c r="G14" s="46" t="s">
        <v>30</v>
      </c>
      <c r="H14" s="52" t="s">
        <v>1133</v>
      </c>
      <c r="I14" s="52" t="s">
        <v>1134</v>
      </c>
      <c r="J14" s="46">
        <v>23</v>
      </c>
      <c r="K14" s="36" t="s">
        <v>31</v>
      </c>
      <c r="L14" s="60" t="s">
        <v>32</v>
      </c>
      <c r="M14" s="62"/>
      <c r="N14" s="32"/>
      <c r="O14" s="32"/>
      <c r="P14" s="32"/>
    </row>
    <row r="15" spans="1:16" ht="24.75" customHeight="1" x14ac:dyDescent="0.25">
      <c r="A15" s="11" t="str">
        <f t="shared" si="0"/>
        <v>VISTOS BUENOS</v>
      </c>
      <c r="B15" s="22">
        <v>1</v>
      </c>
      <c r="C15" s="46">
        <v>1</v>
      </c>
      <c r="D15" s="46">
        <v>7</v>
      </c>
      <c r="E15" s="60" t="s">
        <v>58</v>
      </c>
      <c r="F15" s="61" t="s">
        <v>977</v>
      </c>
      <c r="G15" s="46" t="s">
        <v>30</v>
      </c>
      <c r="H15" s="52" t="s">
        <v>1135</v>
      </c>
      <c r="I15" s="52" t="s">
        <v>1136</v>
      </c>
      <c r="J15" s="46">
        <v>31</v>
      </c>
      <c r="K15" s="36" t="s">
        <v>31</v>
      </c>
      <c r="L15" s="60" t="s">
        <v>32</v>
      </c>
      <c r="M15" s="62"/>
      <c r="N15" s="32"/>
      <c r="O15" s="32"/>
      <c r="P15" s="32"/>
    </row>
    <row r="16" spans="1:16" ht="24.75" customHeight="1" x14ac:dyDescent="0.25">
      <c r="A16" s="11" t="str">
        <f t="shared" si="0"/>
        <v>VISTOS BUENOS</v>
      </c>
      <c r="B16" s="22">
        <v>1</v>
      </c>
      <c r="C16" s="46">
        <v>1</v>
      </c>
      <c r="D16" s="46">
        <v>8</v>
      </c>
      <c r="E16" s="60" t="s">
        <v>828</v>
      </c>
      <c r="F16" s="61" t="s">
        <v>978</v>
      </c>
      <c r="G16" s="46" t="s">
        <v>30</v>
      </c>
      <c r="H16" s="52" t="s">
        <v>1137</v>
      </c>
      <c r="I16" s="52" t="s">
        <v>1138</v>
      </c>
      <c r="J16" s="46">
        <v>58</v>
      </c>
      <c r="K16" s="36" t="s">
        <v>31</v>
      </c>
      <c r="L16" s="60" t="s">
        <v>32</v>
      </c>
      <c r="M16" s="62"/>
      <c r="N16" s="32"/>
      <c r="O16" s="32"/>
      <c r="P16" s="32"/>
    </row>
    <row r="17" spans="1:16" ht="24.75" customHeight="1" x14ac:dyDescent="0.25">
      <c r="A17" s="11" t="str">
        <f t="shared" si="0"/>
        <v>VISTOS BUENOS</v>
      </c>
      <c r="B17" s="22">
        <v>1</v>
      </c>
      <c r="C17" s="46">
        <v>1</v>
      </c>
      <c r="D17" s="46">
        <v>9</v>
      </c>
      <c r="E17" s="60" t="s">
        <v>829</v>
      </c>
      <c r="F17" s="61" t="s">
        <v>979</v>
      </c>
      <c r="G17" s="46" t="s">
        <v>30</v>
      </c>
      <c r="H17" s="52" t="s">
        <v>1139</v>
      </c>
      <c r="I17" s="52" t="s">
        <v>1134</v>
      </c>
      <c r="J17" s="46">
        <v>42</v>
      </c>
      <c r="K17" s="36" t="s">
        <v>31</v>
      </c>
      <c r="L17" s="60" t="s">
        <v>32</v>
      </c>
      <c r="M17" s="62"/>
      <c r="N17" s="32"/>
      <c r="O17" s="32"/>
      <c r="P17" s="32"/>
    </row>
    <row r="18" spans="1:16" ht="24.75" customHeight="1" x14ac:dyDescent="0.25">
      <c r="A18" s="11" t="str">
        <f t="shared" si="0"/>
        <v>VISTOS BUENOS</v>
      </c>
      <c r="B18" s="22">
        <v>1</v>
      </c>
      <c r="C18" s="37">
        <v>2</v>
      </c>
      <c r="D18" s="46">
        <v>10</v>
      </c>
      <c r="E18" s="60" t="s">
        <v>830</v>
      </c>
      <c r="F18" s="61" t="s">
        <v>980</v>
      </c>
      <c r="G18" s="46" t="s">
        <v>30</v>
      </c>
      <c r="H18" s="52" t="s">
        <v>820</v>
      </c>
      <c r="I18" s="52" t="s">
        <v>1129</v>
      </c>
      <c r="J18" s="46">
        <v>8</v>
      </c>
      <c r="K18" s="36" t="s">
        <v>31</v>
      </c>
      <c r="L18" s="60" t="s">
        <v>32</v>
      </c>
      <c r="M18" s="62"/>
      <c r="N18" s="32"/>
      <c r="O18" s="32"/>
      <c r="P18" s="32"/>
    </row>
    <row r="19" spans="1:16" ht="24.75" customHeight="1" x14ac:dyDescent="0.25">
      <c r="A19" s="11" t="str">
        <f t="shared" si="0"/>
        <v>VISTOS BUENOS</v>
      </c>
      <c r="B19" s="22">
        <v>1</v>
      </c>
      <c r="C19" s="37">
        <v>2</v>
      </c>
      <c r="D19" s="46">
        <v>11</v>
      </c>
      <c r="E19" s="60" t="s">
        <v>831</v>
      </c>
      <c r="F19" s="61" t="s">
        <v>981</v>
      </c>
      <c r="G19" s="46" t="s">
        <v>30</v>
      </c>
      <c r="H19" s="52" t="s">
        <v>1140</v>
      </c>
      <c r="I19" s="52" t="s">
        <v>1141</v>
      </c>
      <c r="J19" s="46">
        <v>36</v>
      </c>
      <c r="K19" s="36" t="s">
        <v>31</v>
      </c>
      <c r="L19" s="60" t="s">
        <v>32</v>
      </c>
      <c r="M19" s="62"/>
      <c r="N19" s="32"/>
      <c r="O19" s="32"/>
      <c r="P19" s="32"/>
    </row>
    <row r="20" spans="1:16" ht="24.75" customHeight="1" x14ac:dyDescent="0.25">
      <c r="A20" s="11" t="str">
        <f t="shared" si="0"/>
        <v>VISTOS BUENOS</v>
      </c>
      <c r="B20" s="22">
        <v>1</v>
      </c>
      <c r="C20" s="37">
        <v>2</v>
      </c>
      <c r="D20" s="46">
        <v>12</v>
      </c>
      <c r="E20" s="60" t="s">
        <v>832</v>
      </c>
      <c r="F20" s="61" t="s">
        <v>982</v>
      </c>
      <c r="G20" s="46" t="s">
        <v>30</v>
      </c>
      <c r="H20" s="52" t="s">
        <v>1129</v>
      </c>
      <c r="I20" s="52" t="s">
        <v>1129</v>
      </c>
      <c r="J20" s="46">
        <v>17</v>
      </c>
      <c r="K20" s="36" t="s">
        <v>31</v>
      </c>
      <c r="L20" s="60" t="s">
        <v>32</v>
      </c>
      <c r="M20" s="62"/>
      <c r="N20" s="32"/>
      <c r="O20" s="32"/>
      <c r="P20" s="32"/>
    </row>
    <row r="21" spans="1:16" ht="24.75" customHeight="1" x14ac:dyDescent="0.25">
      <c r="A21" s="11" t="str">
        <f t="shared" si="0"/>
        <v>VISTOS BUENOS</v>
      </c>
      <c r="B21" s="22">
        <v>1</v>
      </c>
      <c r="C21" s="37">
        <v>2</v>
      </c>
      <c r="D21" s="46">
        <v>13</v>
      </c>
      <c r="E21" s="60" t="s">
        <v>833</v>
      </c>
      <c r="F21" s="61" t="s">
        <v>983</v>
      </c>
      <c r="G21" s="46" t="s">
        <v>30</v>
      </c>
      <c r="H21" s="52" t="s">
        <v>1129</v>
      </c>
      <c r="I21" s="52" t="s">
        <v>1142</v>
      </c>
      <c r="J21" s="46">
        <v>22</v>
      </c>
      <c r="K21" s="36" t="s">
        <v>31</v>
      </c>
      <c r="L21" s="60" t="s">
        <v>32</v>
      </c>
      <c r="M21" s="62"/>
      <c r="N21" s="32"/>
      <c r="O21" s="32"/>
      <c r="P21" s="32"/>
    </row>
    <row r="22" spans="1:16" ht="24.75" customHeight="1" x14ac:dyDescent="0.25">
      <c r="A22" s="11" t="str">
        <f t="shared" si="0"/>
        <v>VISTOS BUENOS</v>
      </c>
      <c r="B22" s="22">
        <v>1</v>
      </c>
      <c r="C22" s="37">
        <v>2</v>
      </c>
      <c r="D22" s="46">
        <v>14</v>
      </c>
      <c r="E22" s="60" t="s">
        <v>834</v>
      </c>
      <c r="F22" s="61" t="s">
        <v>984</v>
      </c>
      <c r="G22" s="46" t="s">
        <v>30</v>
      </c>
      <c r="H22" s="52" t="s">
        <v>1129</v>
      </c>
      <c r="I22" s="52" t="s">
        <v>1143</v>
      </c>
      <c r="J22" s="46">
        <v>43</v>
      </c>
      <c r="K22" s="36" t="s">
        <v>31</v>
      </c>
      <c r="L22" s="60" t="s">
        <v>32</v>
      </c>
      <c r="M22" s="62"/>
      <c r="N22" s="62"/>
      <c r="O22" s="32"/>
      <c r="P22" s="32"/>
    </row>
    <row r="23" spans="1:16" ht="24.75" customHeight="1" x14ac:dyDescent="0.25">
      <c r="A23" s="11" t="str">
        <f t="shared" si="0"/>
        <v>VISTOS BUENOS</v>
      </c>
      <c r="B23" s="22">
        <v>1</v>
      </c>
      <c r="C23" s="37">
        <v>2</v>
      </c>
      <c r="D23" s="46">
        <v>15</v>
      </c>
      <c r="E23" s="60" t="s">
        <v>835</v>
      </c>
      <c r="F23" s="61" t="s">
        <v>985</v>
      </c>
      <c r="G23" s="46" t="s">
        <v>30</v>
      </c>
      <c r="H23" s="52" t="s">
        <v>1144</v>
      </c>
      <c r="I23" s="52" t="s">
        <v>1145</v>
      </c>
      <c r="J23" s="46">
        <v>24</v>
      </c>
      <c r="K23" s="36" t="s">
        <v>31</v>
      </c>
      <c r="L23" s="60" t="s">
        <v>32</v>
      </c>
      <c r="M23" s="62"/>
      <c r="N23" s="62"/>
      <c r="O23" s="32"/>
      <c r="P23" s="32"/>
    </row>
    <row r="24" spans="1:16" ht="24.75" customHeight="1" x14ac:dyDescent="0.25">
      <c r="A24" s="11" t="str">
        <f t="shared" si="0"/>
        <v>VISTOS BUENOS</v>
      </c>
      <c r="B24" s="22">
        <v>1</v>
      </c>
      <c r="C24" s="37">
        <v>2</v>
      </c>
      <c r="D24" s="46">
        <v>16</v>
      </c>
      <c r="E24" s="60" t="s">
        <v>836</v>
      </c>
      <c r="F24" s="61" t="s">
        <v>986</v>
      </c>
      <c r="G24" s="46" t="s">
        <v>30</v>
      </c>
      <c r="H24" s="52" t="s">
        <v>1143</v>
      </c>
      <c r="I24" s="52" t="s">
        <v>1146</v>
      </c>
      <c r="J24" s="46">
        <v>94</v>
      </c>
      <c r="K24" s="36" t="s">
        <v>31</v>
      </c>
      <c r="L24" s="60" t="s">
        <v>32</v>
      </c>
      <c r="M24" s="62"/>
      <c r="N24" s="62"/>
      <c r="O24" s="32"/>
      <c r="P24" s="32"/>
    </row>
    <row r="25" spans="1:16" ht="24.75" customHeight="1" x14ac:dyDescent="0.25">
      <c r="A25" s="11" t="str">
        <f t="shared" si="0"/>
        <v>VISTOS BUENOS</v>
      </c>
      <c r="B25" s="22">
        <v>1</v>
      </c>
      <c r="C25" s="37">
        <v>2</v>
      </c>
      <c r="D25" s="46">
        <v>17</v>
      </c>
      <c r="E25" s="60" t="s">
        <v>837</v>
      </c>
      <c r="F25" s="61" t="s">
        <v>987</v>
      </c>
      <c r="G25" s="46" t="s">
        <v>30</v>
      </c>
      <c r="H25" s="52" t="s">
        <v>1143</v>
      </c>
      <c r="I25" s="52" t="s">
        <v>1147</v>
      </c>
      <c r="J25" s="46">
        <v>15</v>
      </c>
      <c r="K25" s="36" t="s">
        <v>31</v>
      </c>
      <c r="L25" s="60" t="s">
        <v>32</v>
      </c>
      <c r="M25" s="62"/>
      <c r="N25" s="62"/>
      <c r="O25" s="32"/>
      <c r="P25" s="32"/>
    </row>
    <row r="26" spans="1:16" ht="24.75" customHeight="1" x14ac:dyDescent="0.25">
      <c r="A26" s="11" t="str">
        <f t="shared" si="0"/>
        <v>VISTOS BUENOS</v>
      </c>
      <c r="B26" s="22">
        <v>1</v>
      </c>
      <c r="C26" s="37">
        <v>3</v>
      </c>
      <c r="D26" s="46">
        <v>18</v>
      </c>
      <c r="E26" s="60" t="s">
        <v>838</v>
      </c>
      <c r="F26" s="61" t="s">
        <v>988</v>
      </c>
      <c r="G26" s="46" t="s">
        <v>30</v>
      </c>
      <c r="H26" s="52" t="s">
        <v>1148</v>
      </c>
      <c r="I26" s="52" t="s">
        <v>1149</v>
      </c>
      <c r="J26" s="46">
        <v>12</v>
      </c>
      <c r="K26" s="36" t="s">
        <v>31</v>
      </c>
      <c r="L26" s="60" t="s">
        <v>32</v>
      </c>
      <c r="M26" s="62"/>
      <c r="N26" s="62"/>
      <c r="O26" s="32"/>
      <c r="P26" s="32"/>
    </row>
    <row r="27" spans="1:16" ht="24.75" customHeight="1" x14ac:dyDescent="0.25">
      <c r="A27" s="11" t="str">
        <f t="shared" si="0"/>
        <v>VISTOS BUENOS</v>
      </c>
      <c r="B27" s="22">
        <v>1</v>
      </c>
      <c r="C27" s="37">
        <v>3</v>
      </c>
      <c r="D27" s="46">
        <v>19</v>
      </c>
      <c r="E27" s="60" t="s">
        <v>839</v>
      </c>
      <c r="F27" s="61" t="s">
        <v>989</v>
      </c>
      <c r="G27" s="46" t="s">
        <v>30</v>
      </c>
      <c r="H27" s="52" t="s">
        <v>1150</v>
      </c>
      <c r="I27" s="52" t="s">
        <v>1151</v>
      </c>
      <c r="J27" s="46">
        <v>21</v>
      </c>
      <c r="K27" s="36" t="s">
        <v>31</v>
      </c>
      <c r="L27" s="60" t="s">
        <v>32</v>
      </c>
      <c r="M27" s="62"/>
      <c r="N27" s="62"/>
      <c r="O27" s="32"/>
      <c r="P27" s="32"/>
    </row>
    <row r="28" spans="1:16" ht="24.75" customHeight="1" x14ac:dyDescent="0.25">
      <c r="A28" s="11" t="str">
        <f t="shared" si="0"/>
        <v>VISTOS BUENOS</v>
      </c>
      <c r="B28" s="22">
        <v>1</v>
      </c>
      <c r="C28" s="37">
        <v>3</v>
      </c>
      <c r="D28" s="46">
        <v>20</v>
      </c>
      <c r="E28" s="60" t="s">
        <v>840</v>
      </c>
      <c r="F28" s="61" t="s">
        <v>990</v>
      </c>
      <c r="G28" s="46" t="s">
        <v>30</v>
      </c>
      <c r="H28" s="52" t="s">
        <v>1150</v>
      </c>
      <c r="I28" s="52" t="s">
        <v>1152</v>
      </c>
      <c r="J28" s="46">
        <v>26</v>
      </c>
      <c r="K28" s="36" t="s">
        <v>31</v>
      </c>
      <c r="L28" s="60" t="s">
        <v>32</v>
      </c>
      <c r="M28" s="62"/>
      <c r="N28" s="62"/>
      <c r="O28" s="32"/>
      <c r="P28" s="32"/>
    </row>
    <row r="29" spans="1:16" ht="24.75" customHeight="1" x14ac:dyDescent="0.25">
      <c r="A29" s="11" t="str">
        <f t="shared" si="0"/>
        <v>VISTOS BUENOS</v>
      </c>
      <c r="B29" s="22">
        <v>1</v>
      </c>
      <c r="C29" s="37">
        <v>3</v>
      </c>
      <c r="D29" s="46">
        <v>21</v>
      </c>
      <c r="E29" s="60" t="s">
        <v>841</v>
      </c>
      <c r="F29" s="61" t="s">
        <v>991</v>
      </c>
      <c r="G29" s="46" t="s">
        <v>30</v>
      </c>
      <c r="H29" s="52" t="s">
        <v>1151</v>
      </c>
      <c r="I29" s="52" t="s">
        <v>1153</v>
      </c>
      <c r="J29" s="46">
        <v>82</v>
      </c>
      <c r="K29" s="36" t="s">
        <v>31</v>
      </c>
      <c r="L29" s="60" t="s">
        <v>32</v>
      </c>
      <c r="M29" s="62"/>
      <c r="N29" s="62"/>
      <c r="O29" s="32"/>
      <c r="P29" s="32"/>
    </row>
    <row r="30" spans="1:16" ht="24.75" customHeight="1" x14ac:dyDescent="0.25">
      <c r="A30" s="11" t="str">
        <f t="shared" si="0"/>
        <v>VISTOS BUENOS</v>
      </c>
      <c r="B30" s="22">
        <v>1</v>
      </c>
      <c r="C30" s="37">
        <v>3</v>
      </c>
      <c r="D30" s="46">
        <v>22</v>
      </c>
      <c r="E30" s="60" t="s">
        <v>842</v>
      </c>
      <c r="F30" s="61" t="s">
        <v>992</v>
      </c>
      <c r="G30" s="46" t="s">
        <v>30</v>
      </c>
      <c r="H30" s="52" t="s">
        <v>1154</v>
      </c>
      <c r="I30" s="52" t="s">
        <v>1155</v>
      </c>
      <c r="J30" s="46">
        <v>17</v>
      </c>
      <c r="K30" s="36" t="s">
        <v>31</v>
      </c>
      <c r="L30" s="60" t="s">
        <v>32</v>
      </c>
      <c r="M30" s="62"/>
      <c r="N30" s="62"/>
      <c r="O30" s="32"/>
      <c r="P30" s="32"/>
    </row>
    <row r="31" spans="1:16" ht="24.75" customHeight="1" x14ac:dyDescent="0.25">
      <c r="A31" s="11" t="str">
        <f t="shared" si="0"/>
        <v>VISTOS BUENOS</v>
      </c>
      <c r="B31" s="22">
        <v>1</v>
      </c>
      <c r="C31" s="37">
        <v>3</v>
      </c>
      <c r="D31" s="46">
        <v>23</v>
      </c>
      <c r="E31" s="60" t="s">
        <v>843</v>
      </c>
      <c r="F31" s="61" t="s">
        <v>993</v>
      </c>
      <c r="G31" s="46" t="s">
        <v>30</v>
      </c>
      <c r="H31" s="52" t="s">
        <v>1141</v>
      </c>
      <c r="I31" s="52" t="s">
        <v>1155</v>
      </c>
      <c r="J31" s="46">
        <v>22</v>
      </c>
      <c r="K31" s="36" t="s">
        <v>31</v>
      </c>
      <c r="L31" s="60" t="s">
        <v>32</v>
      </c>
      <c r="M31" s="62"/>
      <c r="N31" s="62"/>
      <c r="O31" s="32"/>
      <c r="P31" s="32"/>
    </row>
    <row r="32" spans="1:16" ht="24.75" customHeight="1" x14ac:dyDescent="0.25">
      <c r="A32" s="11" t="str">
        <f t="shared" si="0"/>
        <v>VISTOS BUENOS</v>
      </c>
      <c r="B32" s="22">
        <v>1</v>
      </c>
      <c r="C32" s="37">
        <v>3</v>
      </c>
      <c r="D32" s="46">
        <v>24</v>
      </c>
      <c r="E32" s="60" t="s">
        <v>844</v>
      </c>
      <c r="F32" s="61" t="s">
        <v>994</v>
      </c>
      <c r="G32" s="46" t="s">
        <v>30</v>
      </c>
      <c r="H32" s="52" t="s">
        <v>1156</v>
      </c>
      <c r="I32" s="52" t="s">
        <v>1157</v>
      </c>
      <c r="J32" s="46">
        <v>13</v>
      </c>
      <c r="K32" s="36" t="s">
        <v>31</v>
      </c>
      <c r="L32" s="60" t="s">
        <v>32</v>
      </c>
      <c r="M32" s="62"/>
      <c r="N32" s="62"/>
      <c r="O32" s="32"/>
      <c r="P32" s="32"/>
    </row>
    <row r="33" spans="1:16" ht="24.75" customHeight="1" x14ac:dyDescent="0.25">
      <c r="A33" s="11" t="str">
        <f t="shared" si="0"/>
        <v>VISTOS BUENOS</v>
      </c>
      <c r="B33" s="22">
        <v>1</v>
      </c>
      <c r="C33" s="37">
        <v>4</v>
      </c>
      <c r="D33" s="46">
        <v>25</v>
      </c>
      <c r="E33" s="60" t="s">
        <v>845</v>
      </c>
      <c r="F33" s="61" t="s">
        <v>995</v>
      </c>
      <c r="G33" s="46" t="s">
        <v>30</v>
      </c>
      <c r="H33" s="52" t="s">
        <v>1158</v>
      </c>
      <c r="I33" s="52" t="s">
        <v>1159</v>
      </c>
      <c r="J33" s="46">
        <v>14</v>
      </c>
      <c r="K33" s="36" t="s">
        <v>31</v>
      </c>
      <c r="L33" s="60" t="s">
        <v>32</v>
      </c>
      <c r="M33" s="62"/>
      <c r="N33" s="62"/>
      <c r="O33" s="32"/>
      <c r="P33" s="32"/>
    </row>
    <row r="34" spans="1:16" ht="24.75" customHeight="1" x14ac:dyDescent="0.25">
      <c r="A34" s="11" t="str">
        <f t="shared" si="0"/>
        <v>VISTOS BUENOS</v>
      </c>
      <c r="B34" s="22">
        <v>1</v>
      </c>
      <c r="C34" s="37">
        <v>4</v>
      </c>
      <c r="D34" s="46">
        <v>26</v>
      </c>
      <c r="E34" s="60" t="s">
        <v>846</v>
      </c>
      <c r="F34" s="61" t="s">
        <v>996</v>
      </c>
      <c r="G34" s="46" t="s">
        <v>30</v>
      </c>
      <c r="H34" s="52" t="s">
        <v>1147</v>
      </c>
      <c r="I34" s="52" t="s">
        <v>1160</v>
      </c>
      <c r="J34" s="46">
        <v>9</v>
      </c>
      <c r="K34" s="36" t="s">
        <v>31</v>
      </c>
      <c r="L34" s="60" t="s">
        <v>32</v>
      </c>
      <c r="M34" s="62"/>
      <c r="N34" s="62"/>
      <c r="O34" s="32"/>
      <c r="P34" s="32"/>
    </row>
    <row r="35" spans="1:16" ht="24.75" customHeight="1" x14ac:dyDescent="0.25">
      <c r="A35" s="11" t="str">
        <f t="shared" si="0"/>
        <v>VISTOS BUENOS</v>
      </c>
      <c r="B35" s="22">
        <v>1</v>
      </c>
      <c r="C35" s="37">
        <v>4</v>
      </c>
      <c r="D35" s="46">
        <v>27</v>
      </c>
      <c r="E35" s="60" t="s">
        <v>847</v>
      </c>
      <c r="F35" s="61" t="s">
        <v>997</v>
      </c>
      <c r="G35" s="46" t="s">
        <v>30</v>
      </c>
      <c r="H35" s="52" t="s">
        <v>1147</v>
      </c>
      <c r="I35" s="52" t="s">
        <v>1161</v>
      </c>
      <c r="J35" s="46">
        <v>9</v>
      </c>
      <c r="K35" s="36" t="s">
        <v>31</v>
      </c>
      <c r="L35" s="60" t="s">
        <v>32</v>
      </c>
      <c r="M35" s="62"/>
      <c r="N35" s="62"/>
      <c r="O35" s="32"/>
      <c r="P35" s="32"/>
    </row>
    <row r="36" spans="1:16" ht="24.75" customHeight="1" x14ac:dyDescent="0.25">
      <c r="A36" s="11" t="str">
        <f t="shared" si="0"/>
        <v>VISTOS BUENOS</v>
      </c>
      <c r="B36" s="22">
        <v>1</v>
      </c>
      <c r="C36" s="37">
        <v>4</v>
      </c>
      <c r="D36" s="46">
        <v>28</v>
      </c>
      <c r="E36" s="60" t="s">
        <v>848</v>
      </c>
      <c r="F36" s="61" t="s">
        <v>998</v>
      </c>
      <c r="G36" s="46" t="s">
        <v>30</v>
      </c>
      <c r="H36" s="52" t="s">
        <v>1151</v>
      </c>
      <c r="I36" s="52" t="s">
        <v>1162</v>
      </c>
      <c r="J36" s="46">
        <v>48</v>
      </c>
      <c r="K36" s="36" t="s">
        <v>31</v>
      </c>
      <c r="L36" s="60" t="s">
        <v>32</v>
      </c>
      <c r="M36" s="62"/>
      <c r="N36" s="62"/>
      <c r="O36" s="32"/>
      <c r="P36" s="32"/>
    </row>
    <row r="37" spans="1:16" ht="24.75" customHeight="1" x14ac:dyDescent="0.25">
      <c r="A37" s="11" t="str">
        <f t="shared" si="0"/>
        <v>VISTOS BUENOS</v>
      </c>
      <c r="B37" s="22">
        <v>1</v>
      </c>
      <c r="C37" s="37">
        <v>4</v>
      </c>
      <c r="D37" s="46">
        <v>29</v>
      </c>
      <c r="E37" s="60" t="s">
        <v>849</v>
      </c>
      <c r="F37" s="61" t="s">
        <v>999</v>
      </c>
      <c r="G37" s="46" t="s">
        <v>30</v>
      </c>
      <c r="H37" s="52" t="s">
        <v>1163</v>
      </c>
      <c r="I37" s="52" t="s">
        <v>1164</v>
      </c>
      <c r="J37" s="46">
        <v>19</v>
      </c>
      <c r="K37" s="36" t="s">
        <v>31</v>
      </c>
      <c r="L37" s="60" t="s">
        <v>32</v>
      </c>
      <c r="M37" s="62"/>
      <c r="N37" s="62"/>
      <c r="O37" s="32"/>
      <c r="P37" s="32"/>
    </row>
    <row r="38" spans="1:16" ht="24.75" customHeight="1" x14ac:dyDescent="0.25">
      <c r="A38" s="11" t="str">
        <f t="shared" si="0"/>
        <v>VISTOS BUENOS</v>
      </c>
      <c r="B38" s="22">
        <v>1</v>
      </c>
      <c r="C38" s="37">
        <v>4</v>
      </c>
      <c r="D38" s="46">
        <v>30</v>
      </c>
      <c r="E38" s="60" t="s">
        <v>850</v>
      </c>
      <c r="F38" s="61" t="s">
        <v>1000</v>
      </c>
      <c r="G38" s="46" t="s">
        <v>30</v>
      </c>
      <c r="H38" s="52" t="s">
        <v>1163</v>
      </c>
      <c r="I38" s="52" t="s">
        <v>1164</v>
      </c>
      <c r="J38" s="46">
        <v>19</v>
      </c>
      <c r="K38" s="36" t="s">
        <v>31</v>
      </c>
      <c r="L38" s="60" t="s">
        <v>32</v>
      </c>
      <c r="M38" s="62"/>
      <c r="N38" s="62"/>
      <c r="O38" s="32"/>
      <c r="P38" s="32"/>
    </row>
    <row r="39" spans="1:16" ht="24.75" customHeight="1" x14ac:dyDescent="0.25">
      <c r="A39" s="11" t="str">
        <f t="shared" si="0"/>
        <v>VISTOS BUENOS</v>
      </c>
      <c r="B39" s="22">
        <v>2</v>
      </c>
      <c r="C39" s="37">
        <v>4</v>
      </c>
      <c r="D39" s="46">
        <v>31</v>
      </c>
      <c r="E39" s="60" t="s">
        <v>851</v>
      </c>
      <c r="F39" s="61" t="s">
        <v>1001</v>
      </c>
      <c r="G39" s="46" t="s">
        <v>30</v>
      </c>
      <c r="H39" s="52" t="s">
        <v>1165</v>
      </c>
      <c r="I39" s="52" t="s">
        <v>1166</v>
      </c>
      <c r="J39" s="46">
        <v>14</v>
      </c>
      <c r="K39" s="36" t="s">
        <v>31</v>
      </c>
      <c r="L39" s="60" t="s">
        <v>32</v>
      </c>
      <c r="M39" s="62"/>
      <c r="N39" s="62"/>
      <c r="O39" s="32"/>
      <c r="P39" s="32"/>
    </row>
    <row r="40" spans="1:16" ht="24.75" customHeight="1" x14ac:dyDescent="0.25">
      <c r="A40" s="11" t="str">
        <f t="shared" si="0"/>
        <v>VISTOS BUENOS</v>
      </c>
      <c r="B40" s="22">
        <v>2</v>
      </c>
      <c r="C40" s="37">
        <v>4</v>
      </c>
      <c r="D40" s="46">
        <v>32</v>
      </c>
      <c r="E40" s="60" t="s">
        <v>852</v>
      </c>
      <c r="F40" s="61" t="s">
        <v>1002</v>
      </c>
      <c r="G40" s="46" t="s">
        <v>30</v>
      </c>
      <c r="H40" s="52" t="s">
        <v>1167</v>
      </c>
      <c r="I40" s="52" t="s">
        <v>1168</v>
      </c>
      <c r="J40" s="46">
        <v>11</v>
      </c>
      <c r="K40" s="36" t="s">
        <v>31</v>
      </c>
      <c r="L40" s="60" t="s">
        <v>32</v>
      </c>
      <c r="M40" s="62"/>
      <c r="N40" s="62"/>
      <c r="O40" s="32"/>
      <c r="P40" s="32"/>
    </row>
    <row r="41" spans="1:16" ht="24.75" customHeight="1" x14ac:dyDescent="0.25">
      <c r="A41" s="11" t="str">
        <f t="shared" si="0"/>
        <v>VISTOS BUENOS</v>
      </c>
      <c r="B41" s="22">
        <v>2</v>
      </c>
      <c r="C41" s="37">
        <v>4</v>
      </c>
      <c r="D41" s="46">
        <v>33</v>
      </c>
      <c r="E41" s="60" t="s">
        <v>853</v>
      </c>
      <c r="F41" s="61" t="s">
        <v>1003</v>
      </c>
      <c r="G41" s="46" t="s">
        <v>30</v>
      </c>
      <c r="H41" s="52" t="s">
        <v>1169</v>
      </c>
      <c r="I41" s="52" t="s">
        <v>1170</v>
      </c>
      <c r="J41" s="46">
        <v>13</v>
      </c>
      <c r="K41" s="36" t="s">
        <v>31</v>
      </c>
      <c r="L41" s="60" t="s">
        <v>32</v>
      </c>
      <c r="M41" s="62"/>
      <c r="N41" s="62"/>
      <c r="O41" s="32"/>
      <c r="P41" s="32"/>
    </row>
    <row r="42" spans="1:16" ht="24.75" customHeight="1" x14ac:dyDescent="0.25">
      <c r="A42" s="11" t="str">
        <f t="shared" si="0"/>
        <v>VISTOS BUENOS</v>
      </c>
      <c r="B42" s="22">
        <v>2</v>
      </c>
      <c r="C42" s="37">
        <v>4</v>
      </c>
      <c r="D42" s="46">
        <v>34</v>
      </c>
      <c r="E42" s="60" t="s">
        <v>831</v>
      </c>
      <c r="F42" s="61" t="s">
        <v>1004</v>
      </c>
      <c r="G42" s="46" t="s">
        <v>30</v>
      </c>
      <c r="H42" s="52" t="s">
        <v>1167</v>
      </c>
      <c r="I42" s="52" t="s">
        <v>1171</v>
      </c>
      <c r="J42" s="46">
        <v>29</v>
      </c>
      <c r="K42" s="36" t="s">
        <v>31</v>
      </c>
      <c r="L42" s="60" t="s">
        <v>32</v>
      </c>
      <c r="M42" s="62"/>
      <c r="N42" s="62"/>
      <c r="O42" s="32"/>
      <c r="P42" s="32"/>
    </row>
    <row r="43" spans="1:16" ht="24.75" customHeight="1" x14ac:dyDescent="0.25">
      <c r="A43" s="11" t="str">
        <f t="shared" si="0"/>
        <v>VISTOS BUENOS</v>
      </c>
      <c r="B43" s="22">
        <v>2</v>
      </c>
      <c r="C43" s="37">
        <v>4</v>
      </c>
      <c r="D43" s="46">
        <v>35</v>
      </c>
      <c r="E43" s="60" t="s">
        <v>854</v>
      </c>
      <c r="F43" s="61" t="s">
        <v>1005</v>
      </c>
      <c r="G43" s="46" t="s">
        <v>30</v>
      </c>
      <c r="H43" s="52" t="s">
        <v>1167</v>
      </c>
      <c r="I43" s="52" t="s">
        <v>1172</v>
      </c>
      <c r="J43" s="46">
        <v>29</v>
      </c>
      <c r="K43" s="36" t="s">
        <v>31</v>
      </c>
      <c r="L43" s="60" t="s">
        <v>32</v>
      </c>
      <c r="M43" s="62"/>
      <c r="N43" s="62"/>
      <c r="O43" s="32"/>
      <c r="P43" s="32"/>
    </row>
    <row r="44" spans="1:16" ht="24.75" customHeight="1" x14ac:dyDescent="0.25">
      <c r="A44" s="11" t="str">
        <f t="shared" si="0"/>
        <v>VISTOS BUENOS</v>
      </c>
      <c r="B44" s="22">
        <v>2</v>
      </c>
      <c r="C44" s="37">
        <v>4</v>
      </c>
      <c r="D44" s="46">
        <v>36</v>
      </c>
      <c r="E44" s="60" t="s">
        <v>855</v>
      </c>
      <c r="F44" s="61" t="s">
        <v>1006</v>
      </c>
      <c r="G44" s="46" t="s">
        <v>30</v>
      </c>
      <c r="H44" s="52" t="s">
        <v>1169</v>
      </c>
      <c r="I44" s="52" t="s">
        <v>1173</v>
      </c>
      <c r="J44" s="46">
        <v>30</v>
      </c>
      <c r="K44" s="36" t="s">
        <v>31</v>
      </c>
      <c r="L44" s="60" t="s">
        <v>32</v>
      </c>
      <c r="M44" s="62"/>
      <c r="N44" s="62"/>
      <c r="O44" s="32"/>
      <c r="P44" s="32"/>
    </row>
    <row r="45" spans="1:16" ht="24.75" customHeight="1" x14ac:dyDescent="0.25">
      <c r="A45" s="11" t="str">
        <f t="shared" si="0"/>
        <v>VISTOS BUENOS</v>
      </c>
      <c r="B45" s="22">
        <v>2</v>
      </c>
      <c r="C45" s="37">
        <v>4</v>
      </c>
      <c r="D45" s="46">
        <v>37</v>
      </c>
      <c r="E45" s="60" t="s">
        <v>856</v>
      </c>
      <c r="F45" s="61" t="s">
        <v>1007</v>
      </c>
      <c r="G45" s="46" t="s">
        <v>30</v>
      </c>
      <c r="H45" s="52" t="s">
        <v>1169</v>
      </c>
      <c r="I45" s="52" t="s">
        <v>1174</v>
      </c>
      <c r="J45" s="46">
        <v>31</v>
      </c>
      <c r="K45" s="36" t="s">
        <v>31</v>
      </c>
      <c r="L45" s="60" t="s">
        <v>32</v>
      </c>
      <c r="M45" s="62"/>
      <c r="N45" s="62"/>
      <c r="O45" s="32"/>
      <c r="P45" s="32"/>
    </row>
    <row r="46" spans="1:16" ht="24.75" customHeight="1" x14ac:dyDescent="0.25">
      <c r="A46" s="11" t="str">
        <f t="shared" si="0"/>
        <v>VISTOS BUENOS</v>
      </c>
      <c r="B46" s="22">
        <v>2</v>
      </c>
      <c r="C46" s="37">
        <v>5</v>
      </c>
      <c r="D46" s="46">
        <v>38</v>
      </c>
      <c r="E46" s="60" t="s">
        <v>857</v>
      </c>
      <c r="F46" s="61" t="s">
        <v>1008</v>
      </c>
      <c r="G46" s="46" t="s">
        <v>30</v>
      </c>
      <c r="H46" s="52" t="s">
        <v>1175</v>
      </c>
      <c r="I46" s="52" t="s">
        <v>1176</v>
      </c>
      <c r="J46" s="46">
        <v>234</v>
      </c>
      <c r="K46" s="36" t="s">
        <v>31</v>
      </c>
      <c r="L46" s="60" t="s">
        <v>32</v>
      </c>
      <c r="M46" s="62"/>
      <c r="N46" s="62"/>
      <c r="O46" s="32"/>
      <c r="P46" s="32"/>
    </row>
    <row r="47" spans="1:16" ht="24.75" customHeight="1" x14ac:dyDescent="0.25">
      <c r="A47" s="11" t="str">
        <f t="shared" si="0"/>
        <v>VISTOS BUENOS</v>
      </c>
      <c r="B47" s="22">
        <v>2</v>
      </c>
      <c r="C47" s="37">
        <v>6</v>
      </c>
      <c r="D47" s="46">
        <v>39</v>
      </c>
      <c r="E47" s="60" t="s">
        <v>858</v>
      </c>
      <c r="F47" s="61" t="s">
        <v>1009</v>
      </c>
      <c r="G47" s="46" t="s">
        <v>30</v>
      </c>
      <c r="H47" s="52" t="s">
        <v>1166</v>
      </c>
      <c r="I47" s="52" t="s">
        <v>1177</v>
      </c>
      <c r="J47" s="46">
        <v>6</v>
      </c>
      <c r="K47" s="36" t="s">
        <v>31</v>
      </c>
      <c r="L47" s="60" t="s">
        <v>32</v>
      </c>
      <c r="M47" s="62"/>
      <c r="N47" s="62"/>
      <c r="O47" s="32"/>
      <c r="P47" s="32"/>
    </row>
    <row r="48" spans="1:16" ht="24.75" customHeight="1" x14ac:dyDescent="0.25">
      <c r="A48" s="11" t="str">
        <f t="shared" si="0"/>
        <v>VISTOS BUENOS</v>
      </c>
      <c r="B48" s="22">
        <v>2</v>
      </c>
      <c r="C48" s="37">
        <v>6</v>
      </c>
      <c r="D48" s="46">
        <v>40</v>
      </c>
      <c r="E48" s="60" t="s">
        <v>859</v>
      </c>
      <c r="F48" s="61" t="s">
        <v>1010</v>
      </c>
      <c r="G48" s="46" t="s">
        <v>30</v>
      </c>
      <c r="H48" s="52" t="s">
        <v>1178</v>
      </c>
      <c r="I48" s="52" t="s">
        <v>1179</v>
      </c>
      <c r="J48" s="46">
        <v>32</v>
      </c>
      <c r="K48" s="36" t="s">
        <v>31</v>
      </c>
      <c r="L48" s="60" t="s">
        <v>32</v>
      </c>
      <c r="M48" s="62"/>
      <c r="N48" s="62"/>
      <c r="O48" s="32"/>
      <c r="P48" s="32"/>
    </row>
    <row r="49" spans="1:16" ht="24.75" customHeight="1" x14ac:dyDescent="0.25">
      <c r="A49" s="11" t="str">
        <f t="shared" si="0"/>
        <v>VISTOS BUENOS</v>
      </c>
      <c r="B49" s="22">
        <v>2</v>
      </c>
      <c r="C49" s="37">
        <v>6</v>
      </c>
      <c r="D49" s="46">
        <v>41</v>
      </c>
      <c r="E49" s="60" t="s">
        <v>860</v>
      </c>
      <c r="F49" s="61" t="s">
        <v>1011</v>
      </c>
      <c r="G49" s="46" t="s">
        <v>30</v>
      </c>
      <c r="H49" s="52" t="s">
        <v>1178</v>
      </c>
      <c r="I49" s="52" t="s">
        <v>1179</v>
      </c>
      <c r="J49" s="46">
        <v>33</v>
      </c>
      <c r="K49" s="36" t="s">
        <v>31</v>
      </c>
      <c r="L49" s="60" t="s">
        <v>32</v>
      </c>
      <c r="M49" s="62"/>
      <c r="N49" s="62"/>
      <c r="O49" s="32"/>
      <c r="P49" s="32"/>
    </row>
    <row r="50" spans="1:16" ht="24.75" customHeight="1" x14ac:dyDescent="0.25">
      <c r="A50" s="11" t="str">
        <f t="shared" si="0"/>
        <v>VISTOS BUENOS</v>
      </c>
      <c r="B50" s="22">
        <v>2</v>
      </c>
      <c r="C50" s="37">
        <v>6</v>
      </c>
      <c r="D50" s="46">
        <v>42</v>
      </c>
      <c r="E50" s="60" t="s">
        <v>861</v>
      </c>
      <c r="F50" s="61" t="s">
        <v>1012</v>
      </c>
      <c r="G50" s="46" t="s">
        <v>30</v>
      </c>
      <c r="H50" s="52" t="s">
        <v>1178</v>
      </c>
      <c r="I50" s="52" t="s">
        <v>1179</v>
      </c>
      <c r="J50" s="46">
        <v>31</v>
      </c>
      <c r="K50" s="36" t="s">
        <v>31</v>
      </c>
      <c r="L50" s="60" t="s">
        <v>32</v>
      </c>
      <c r="M50" s="62"/>
      <c r="N50" s="62"/>
      <c r="O50" s="32"/>
      <c r="P50" s="32"/>
    </row>
    <row r="51" spans="1:16" ht="24.75" customHeight="1" x14ac:dyDescent="0.25">
      <c r="A51" s="11" t="str">
        <f t="shared" si="0"/>
        <v>VISTOS BUENOS</v>
      </c>
      <c r="B51" s="22">
        <v>2</v>
      </c>
      <c r="C51" s="37">
        <v>6</v>
      </c>
      <c r="D51" s="46">
        <v>43</v>
      </c>
      <c r="E51" s="60" t="s">
        <v>862</v>
      </c>
      <c r="F51" s="61" t="s">
        <v>1013</v>
      </c>
      <c r="G51" s="46" t="s">
        <v>30</v>
      </c>
      <c r="H51" s="52" t="s">
        <v>1178</v>
      </c>
      <c r="I51" s="52" t="s">
        <v>1179</v>
      </c>
      <c r="J51" s="46">
        <v>31</v>
      </c>
      <c r="K51" s="36" t="s">
        <v>31</v>
      </c>
      <c r="L51" s="60" t="s">
        <v>32</v>
      </c>
      <c r="M51" s="62"/>
      <c r="N51" s="62"/>
      <c r="O51" s="32"/>
      <c r="P51" s="32"/>
    </row>
    <row r="52" spans="1:16" ht="24.75" customHeight="1" x14ac:dyDescent="0.25">
      <c r="A52" s="11" t="str">
        <f t="shared" si="0"/>
        <v>VISTOS BUENOS</v>
      </c>
      <c r="B52" s="22">
        <v>2</v>
      </c>
      <c r="C52" s="37">
        <v>6</v>
      </c>
      <c r="D52" s="46">
        <v>44</v>
      </c>
      <c r="E52" s="60" t="s">
        <v>863</v>
      </c>
      <c r="F52" s="61" t="s">
        <v>1014</v>
      </c>
      <c r="G52" s="46" t="s">
        <v>30</v>
      </c>
      <c r="H52" s="52" t="s">
        <v>1178</v>
      </c>
      <c r="I52" s="52" t="s">
        <v>1179</v>
      </c>
      <c r="J52" s="46">
        <v>33</v>
      </c>
      <c r="K52" s="36" t="s">
        <v>31</v>
      </c>
      <c r="L52" s="60" t="s">
        <v>32</v>
      </c>
      <c r="M52" s="62"/>
      <c r="N52" s="62"/>
      <c r="O52" s="32"/>
      <c r="P52" s="32"/>
    </row>
    <row r="53" spans="1:16" ht="24.75" customHeight="1" x14ac:dyDescent="0.25">
      <c r="A53" s="11" t="str">
        <f t="shared" si="0"/>
        <v>VISTOS BUENOS</v>
      </c>
      <c r="B53" s="22">
        <v>2</v>
      </c>
      <c r="C53" s="37">
        <v>6</v>
      </c>
      <c r="D53" s="46">
        <v>45</v>
      </c>
      <c r="E53" s="60" t="s">
        <v>864</v>
      </c>
      <c r="F53" s="61" t="s">
        <v>1015</v>
      </c>
      <c r="G53" s="46" t="s">
        <v>30</v>
      </c>
      <c r="H53" s="52" t="s">
        <v>1178</v>
      </c>
      <c r="I53" s="52" t="s">
        <v>1179</v>
      </c>
      <c r="J53" s="46">
        <v>32</v>
      </c>
      <c r="K53" s="36" t="s">
        <v>31</v>
      </c>
      <c r="L53" s="60" t="s">
        <v>32</v>
      </c>
      <c r="M53" s="62"/>
      <c r="N53" s="62"/>
      <c r="O53" s="32"/>
      <c r="P53" s="32"/>
    </row>
    <row r="54" spans="1:16" ht="24.75" customHeight="1" x14ac:dyDescent="0.25">
      <c r="A54" s="11" t="str">
        <f t="shared" si="0"/>
        <v>VISTOS BUENOS</v>
      </c>
      <c r="B54" s="22">
        <v>2</v>
      </c>
      <c r="C54" s="37">
        <v>6</v>
      </c>
      <c r="D54" s="46">
        <v>46</v>
      </c>
      <c r="E54" s="60" t="s">
        <v>865</v>
      </c>
      <c r="F54" s="61" t="s">
        <v>1016</v>
      </c>
      <c r="G54" s="46" t="s">
        <v>30</v>
      </c>
      <c r="H54" s="52" t="s">
        <v>1178</v>
      </c>
      <c r="I54" s="52" t="s">
        <v>1179</v>
      </c>
      <c r="J54" s="46">
        <v>28</v>
      </c>
      <c r="K54" s="36" t="s">
        <v>31</v>
      </c>
      <c r="L54" s="60" t="s">
        <v>32</v>
      </c>
      <c r="M54" s="62"/>
      <c r="N54" s="62"/>
      <c r="O54" s="32"/>
      <c r="P54" s="32"/>
    </row>
    <row r="55" spans="1:16" ht="24.75" customHeight="1" x14ac:dyDescent="0.25">
      <c r="A55" s="11" t="str">
        <f t="shared" si="0"/>
        <v>VISTOS BUENOS</v>
      </c>
      <c r="B55" s="22">
        <v>2</v>
      </c>
      <c r="C55" s="37">
        <v>6</v>
      </c>
      <c r="D55" s="46">
        <v>47</v>
      </c>
      <c r="E55" s="60" t="s">
        <v>866</v>
      </c>
      <c r="F55" s="61" t="s">
        <v>1017</v>
      </c>
      <c r="G55" s="46" t="s">
        <v>30</v>
      </c>
      <c r="H55" s="52" t="s">
        <v>1178</v>
      </c>
      <c r="I55" s="52" t="s">
        <v>1179</v>
      </c>
      <c r="J55" s="46">
        <v>29</v>
      </c>
      <c r="K55" s="36" t="s">
        <v>31</v>
      </c>
      <c r="L55" s="60" t="s">
        <v>32</v>
      </c>
      <c r="M55" s="62"/>
      <c r="N55" s="62"/>
      <c r="O55" s="32"/>
      <c r="P55" s="32"/>
    </row>
    <row r="56" spans="1:16" ht="24.75" customHeight="1" x14ac:dyDescent="0.25">
      <c r="A56" s="11" t="str">
        <f t="shared" si="0"/>
        <v>VISTOS BUENOS</v>
      </c>
      <c r="B56" s="22">
        <v>2</v>
      </c>
      <c r="C56" s="37">
        <v>6</v>
      </c>
      <c r="D56" s="46">
        <v>48</v>
      </c>
      <c r="E56" s="60" t="s">
        <v>867</v>
      </c>
      <c r="F56" s="61" t="s">
        <v>1018</v>
      </c>
      <c r="G56" s="46" t="s">
        <v>30</v>
      </c>
      <c r="H56" s="52" t="s">
        <v>1178</v>
      </c>
      <c r="I56" s="52" t="s">
        <v>1179</v>
      </c>
      <c r="J56" s="46">
        <v>29</v>
      </c>
      <c r="K56" s="36" t="s">
        <v>31</v>
      </c>
      <c r="L56" s="60" t="s">
        <v>32</v>
      </c>
      <c r="M56" s="62"/>
      <c r="N56" s="62"/>
      <c r="O56" s="32"/>
      <c r="P56" s="32"/>
    </row>
    <row r="57" spans="1:16" ht="24.75" customHeight="1" x14ac:dyDescent="0.25">
      <c r="A57" s="11" t="str">
        <f t="shared" si="0"/>
        <v>VISTOS BUENOS</v>
      </c>
      <c r="B57" s="22">
        <v>2</v>
      </c>
      <c r="C57" s="37">
        <v>7</v>
      </c>
      <c r="D57" s="46">
        <v>49</v>
      </c>
      <c r="E57" s="60" t="s">
        <v>868</v>
      </c>
      <c r="F57" s="61" t="s">
        <v>1019</v>
      </c>
      <c r="G57" s="46" t="s">
        <v>30</v>
      </c>
      <c r="H57" s="52" t="s">
        <v>1178</v>
      </c>
      <c r="I57" s="52" t="s">
        <v>1179</v>
      </c>
      <c r="J57" s="46">
        <v>32</v>
      </c>
      <c r="K57" s="36" t="s">
        <v>31</v>
      </c>
      <c r="L57" s="60" t="s">
        <v>32</v>
      </c>
      <c r="M57" s="62"/>
      <c r="N57" s="62"/>
      <c r="O57" s="32"/>
      <c r="P57" s="32"/>
    </row>
    <row r="58" spans="1:16" ht="24.75" customHeight="1" x14ac:dyDescent="0.25">
      <c r="A58" s="11" t="str">
        <f t="shared" si="0"/>
        <v>VISTOS BUENOS</v>
      </c>
      <c r="B58" s="22">
        <v>2</v>
      </c>
      <c r="C58" s="37">
        <v>7</v>
      </c>
      <c r="D58" s="46">
        <v>50</v>
      </c>
      <c r="E58" s="60" t="s">
        <v>869</v>
      </c>
      <c r="F58" s="61" t="s">
        <v>1020</v>
      </c>
      <c r="G58" s="46" t="s">
        <v>30</v>
      </c>
      <c r="H58" s="52" t="s">
        <v>1178</v>
      </c>
      <c r="I58" s="52" t="s">
        <v>1179</v>
      </c>
      <c r="J58" s="46">
        <v>32</v>
      </c>
      <c r="K58" s="36" t="s">
        <v>31</v>
      </c>
      <c r="L58" s="60" t="s">
        <v>32</v>
      </c>
      <c r="M58" s="62"/>
      <c r="N58" s="62"/>
      <c r="O58" s="32"/>
      <c r="P58" s="32"/>
    </row>
    <row r="59" spans="1:16" ht="24.75" customHeight="1" x14ac:dyDescent="0.25">
      <c r="A59" s="11" t="str">
        <f t="shared" si="0"/>
        <v>VISTOS BUENOS</v>
      </c>
      <c r="B59" s="22">
        <v>2</v>
      </c>
      <c r="C59" s="37">
        <v>7</v>
      </c>
      <c r="D59" s="46">
        <v>51</v>
      </c>
      <c r="E59" s="60" t="s">
        <v>870</v>
      </c>
      <c r="F59" s="61" t="s">
        <v>1021</v>
      </c>
      <c r="G59" s="46" t="s">
        <v>30</v>
      </c>
      <c r="H59" s="52" t="s">
        <v>1178</v>
      </c>
      <c r="I59" s="52" t="s">
        <v>1179</v>
      </c>
      <c r="J59" s="46">
        <v>30</v>
      </c>
      <c r="K59" s="36" t="s">
        <v>31</v>
      </c>
      <c r="L59" s="60" t="s">
        <v>32</v>
      </c>
      <c r="M59" s="62"/>
      <c r="N59" s="62"/>
      <c r="O59" s="32"/>
      <c r="P59" s="32"/>
    </row>
    <row r="60" spans="1:16" ht="24.75" customHeight="1" x14ac:dyDescent="0.25">
      <c r="A60" s="11" t="str">
        <f t="shared" si="0"/>
        <v>VISTOS BUENOS</v>
      </c>
      <c r="B60" s="22">
        <v>2</v>
      </c>
      <c r="C60" s="37">
        <v>7</v>
      </c>
      <c r="D60" s="46">
        <v>52</v>
      </c>
      <c r="E60" s="60" t="s">
        <v>871</v>
      </c>
      <c r="F60" s="61" t="s">
        <v>1022</v>
      </c>
      <c r="G60" s="46" t="s">
        <v>30</v>
      </c>
      <c r="H60" s="52" t="s">
        <v>1163</v>
      </c>
      <c r="I60" s="52" t="s">
        <v>1164</v>
      </c>
      <c r="J60" s="46">
        <v>18</v>
      </c>
      <c r="K60" s="36" t="s">
        <v>31</v>
      </c>
      <c r="L60" s="60" t="s">
        <v>32</v>
      </c>
      <c r="M60" s="62"/>
      <c r="N60" s="62"/>
      <c r="O60" s="32"/>
      <c r="P60" s="32"/>
    </row>
    <row r="61" spans="1:16" ht="24.75" customHeight="1" x14ac:dyDescent="0.25">
      <c r="A61" s="11" t="str">
        <f t="shared" si="0"/>
        <v>VISTOS BUENOS</v>
      </c>
      <c r="B61" s="22">
        <v>2</v>
      </c>
      <c r="C61" s="37">
        <v>7</v>
      </c>
      <c r="D61" s="46">
        <v>53</v>
      </c>
      <c r="E61" s="60" t="s">
        <v>872</v>
      </c>
      <c r="F61" s="61" t="s">
        <v>1023</v>
      </c>
      <c r="G61" s="46" t="s">
        <v>30</v>
      </c>
      <c r="H61" s="52" t="s">
        <v>1163</v>
      </c>
      <c r="I61" s="52" t="s">
        <v>1164</v>
      </c>
      <c r="J61" s="46">
        <v>19</v>
      </c>
      <c r="K61" s="36" t="s">
        <v>31</v>
      </c>
      <c r="L61" s="60" t="s">
        <v>32</v>
      </c>
      <c r="M61" s="62"/>
      <c r="N61" s="62"/>
      <c r="O61" s="32"/>
      <c r="P61" s="32"/>
    </row>
    <row r="62" spans="1:16" ht="24.75" customHeight="1" x14ac:dyDescent="0.25">
      <c r="A62" s="11" t="str">
        <f t="shared" si="0"/>
        <v>VISTOS BUENOS</v>
      </c>
      <c r="B62" s="22">
        <v>2</v>
      </c>
      <c r="C62" s="37">
        <v>7</v>
      </c>
      <c r="D62" s="46">
        <v>54</v>
      </c>
      <c r="E62" s="60" t="s">
        <v>873</v>
      </c>
      <c r="F62" s="61" t="s">
        <v>1024</v>
      </c>
      <c r="G62" s="46" t="s">
        <v>30</v>
      </c>
      <c r="H62" s="52" t="s">
        <v>1180</v>
      </c>
      <c r="I62" s="52" t="s">
        <v>1181</v>
      </c>
      <c r="J62" s="46">
        <v>60</v>
      </c>
      <c r="K62" s="36" t="s">
        <v>31</v>
      </c>
      <c r="L62" s="60" t="s">
        <v>32</v>
      </c>
      <c r="M62" s="62"/>
      <c r="N62" s="62"/>
      <c r="O62" s="32"/>
      <c r="P62" s="32"/>
    </row>
    <row r="63" spans="1:16" ht="24.75" customHeight="1" x14ac:dyDescent="0.25">
      <c r="A63" s="11" t="str">
        <f t="shared" si="0"/>
        <v>VISTOS BUENOS</v>
      </c>
      <c r="B63" s="22">
        <v>2</v>
      </c>
      <c r="C63" s="37">
        <v>7</v>
      </c>
      <c r="D63" s="46">
        <v>55</v>
      </c>
      <c r="E63" s="60" t="s">
        <v>874</v>
      </c>
      <c r="F63" s="61" t="s">
        <v>1025</v>
      </c>
      <c r="G63" s="46" t="s">
        <v>30</v>
      </c>
      <c r="H63" s="52" t="s">
        <v>1182</v>
      </c>
      <c r="I63" s="52" t="s">
        <v>1183</v>
      </c>
      <c r="J63" s="46">
        <v>22</v>
      </c>
      <c r="K63" s="36" t="s">
        <v>31</v>
      </c>
      <c r="L63" s="60" t="s">
        <v>32</v>
      </c>
      <c r="M63" s="62"/>
      <c r="N63" s="62"/>
      <c r="O63" s="32"/>
      <c r="P63" s="32"/>
    </row>
    <row r="64" spans="1:16" ht="24.75" customHeight="1" x14ac:dyDescent="0.25">
      <c r="A64" s="11" t="str">
        <f t="shared" si="0"/>
        <v>VISTOS BUENOS</v>
      </c>
      <c r="B64" s="22">
        <v>2</v>
      </c>
      <c r="C64" s="37">
        <v>8</v>
      </c>
      <c r="D64" s="46">
        <v>56</v>
      </c>
      <c r="E64" s="60" t="s">
        <v>875</v>
      </c>
      <c r="F64" s="61" t="s">
        <v>1026</v>
      </c>
      <c r="G64" s="46" t="s">
        <v>30</v>
      </c>
      <c r="H64" s="52" t="s">
        <v>1163</v>
      </c>
      <c r="I64" s="52" t="s">
        <v>1164</v>
      </c>
      <c r="J64" s="46">
        <v>19</v>
      </c>
      <c r="K64" s="36" t="s">
        <v>31</v>
      </c>
      <c r="L64" s="60" t="s">
        <v>32</v>
      </c>
      <c r="M64" s="62"/>
      <c r="N64" s="62"/>
      <c r="O64" s="32"/>
      <c r="P64" s="32"/>
    </row>
    <row r="65" spans="1:16" ht="24.75" customHeight="1" x14ac:dyDescent="0.25">
      <c r="A65" s="11" t="str">
        <f t="shared" si="0"/>
        <v>VISTOS BUENOS</v>
      </c>
      <c r="B65" s="22">
        <v>2</v>
      </c>
      <c r="C65" s="37">
        <v>8</v>
      </c>
      <c r="D65" s="46">
        <v>57</v>
      </c>
      <c r="E65" s="60" t="s">
        <v>876</v>
      </c>
      <c r="F65" s="61" t="s">
        <v>1027</v>
      </c>
      <c r="G65" s="46" t="s">
        <v>30</v>
      </c>
      <c r="H65" s="52" t="s">
        <v>1163</v>
      </c>
      <c r="I65" s="52" t="s">
        <v>1164</v>
      </c>
      <c r="J65" s="46">
        <v>19</v>
      </c>
      <c r="K65" s="36" t="s">
        <v>31</v>
      </c>
      <c r="L65" s="60" t="s">
        <v>32</v>
      </c>
      <c r="M65" s="62"/>
      <c r="N65" s="62"/>
      <c r="O65" s="32"/>
      <c r="P65" s="32"/>
    </row>
    <row r="66" spans="1:16" ht="24.75" customHeight="1" x14ac:dyDescent="0.25">
      <c r="A66" s="11" t="str">
        <f t="shared" si="0"/>
        <v>VISTOS BUENOS</v>
      </c>
      <c r="B66" s="22">
        <v>2</v>
      </c>
      <c r="C66" s="37">
        <v>8</v>
      </c>
      <c r="D66" s="46">
        <v>58</v>
      </c>
      <c r="E66" s="60" t="s">
        <v>877</v>
      </c>
      <c r="F66" s="61" t="s">
        <v>1028</v>
      </c>
      <c r="G66" s="46" t="s">
        <v>30</v>
      </c>
      <c r="H66" s="52" t="s">
        <v>1163</v>
      </c>
      <c r="I66" s="52" t="s">
        <v>1164</v>
      </c>
      <c r="J66" s="46">
        <v>19</v>
      </c>
      <c r="K66" s="36" t="s">
        <v>31</v>
      </c>
      <c r="L66" s="60" t="s">
        <v>32</v>
      </c>
      <c r="M66" s="62"/>
      <c r="N66" s="62"/>
      <c r="O66" s="32"/>
      <c r="P66" s="32"/>
    </row>
    <row r="67" spans="1:16" ht="24.75" customHeight="1" x14ac:dyDescent="0.25">
      <c r="A67" s="11" t="str">
        <f t="shared" si="0"/>
        <v>VISTOS BUENOS</v>
      </c>
      <c r="B67" s="22">
        <v>2</v>
      </c>
      <c r="C67" s="37">
        <v>8</v>
      </c>
      <c r="D67" s="46">
        <v>59</v>
      </c>
      <c r="E67" s="60" t="s">
        <v>878</v>
      </c>
      <c r="F67" s="61" t="s">
        <v>1029</v>
      </c>
      <c r="G67" s="46" t="s">
        <v>30</v>
      </c>
      <c r="H67" s="52" t="s">
        <v>1184</v>
      </c>
      <c r="I67" s="52" t="s">
        <v>1185</v>
      </c>
      <c r="J67" s="46">
        <v>58</v>
      </c>
      <c r="K67" s="36" t="s">
        <v>31</v>
      </c>
      <c r="L67" s="60" t="s">
        <v>32</v>
      </c>
      <c r="M67" s="62"/>
      <c r="N67" s="62"/>
      <c r="O67" s="32"/>
      <c r="P67" s="32"/>
    </row>
    <row r="68" spans="1:16" ht="24.75" customHeight="1" x14ac:dyDescent="0.25">
      <c r="A68" s="11" t="str">
        <f t="shared" si="0"/>
        <v>VISTOS BUENOS</v>
      </c>
      <c r="B68" s="22">
        <v>2</v>
      </c>
      <c r="C68" s="37">
        <v>8</v>
      </c>
      <c r="D68" s="46">
        <v>60</v>
      </c>
      <c r="E68" s="60" t="s">
        <v>879</v>
      </c>
      <c r="F68" s="61" t="s">
        <v>1030</v>
      </c>
      <c r="G68" s="46" t="s">
        <v>30</v>
      </c>
      <c r="H68" s="52" t="s">
        <v>1186</v>
      </c>
      <c r="I68" s="52" t="s">
        <v>1187</v>
      </c>
      <c r="J68" s="46">
        <v>43</v>
      </c>
      <c r="K68" s="36" t="s">
        <v>31</v>
      </c>
      <c r="L68" s="60" t="s">
        <v>32</v>
      </c>
      <c r="M68" s="62"/>
      <c r="N68" s="62"/>
      <c r="O68" s="32"/>
      <c r="P68" s="32"/>
    </row>
    <row r="69" spans="1:16" ht="24.75" customHeight="1" x14ac:dyDescent="0.25">
      <c r="A69" s="11" t="str">
        <f t="shared" si="0"/>
        <v>VISTOS BUENOS</v>
      </c>
      <c r="B69" s="22">
        <v>3</v>
      </c>
      <c r="C69" s="37">
        <v>8</v>
      </c>
      <c r="D69" s="46">
        <v>61</v>
      </c>
      <c r="E69" s="60" t="s">
        <v>880</v>
      </c>
      <c r="F69" s="61" t="s">
        <v>1031</v>
      </c>
      <c r="G69" s="46" t="s">
        <v>30</v>
      </c>
      <c r="H69" s="52" t="s">
        <v>1188</v>
      </c>
      <c r="I69" s="52" t="s">
        <v>1189</v>
      </c>
      <c r="J69" s="46">
        <v>17</v>
      </c>
      <c r="K69" s="36" t="s">
        <v>31</v>
      </c>
      <c r="L69" s="60" t="s">
        <v>32</v>
      </c>
      <c r="M69" s="62"/>
      <c r="N69" s="62"/>
      <c r="O69" s="32"/>
      <c r="P69" s="32"/>
    </row>
    <row r="70" spans="1:16" ht="24.75" customHeight="1" x14ac:dyDescent="0.25">
      <c r="A70" s="11" t="str">
        <f t="shared" si="0"/>
        <v>VISTOS BUENOS</v>
      </c>
      <c r="B70" s="22">
        <v>3</v>
      </c>
      <c r="C70" s="37">
        <v>8</v>
      </c>
      <c r="D70" s="46">
        <v>62</v>
      </c>
      <c r="E70" s="60" t="s">
        <v>881</v>
      </c>
      <c r="F70" s="61" t="s">
        <v>1032</v>
      </c>
      <c r="G70" s="46" t="s">
        <v>30</v>
      </c>
      <c r="H70" s="52" t="s">
        <v>1190</v>
      </c>
      <c r="I70" s="52" t="s">
        <v>1191</v>
      </c>
      <c r="J70" s="46">
        <v>14</v>
      </c>
      <c r="K70" s="36" t="s">
        <v>31</v>
      </c>
      <c r="L70" s="60" t="s">
        <v>32</v>
      </c>
      <c r="M70" s="62"/>
      <c r="N70" s="62"/>
      <c r="O70" s="32"/>
      <c r="P70" s="32"/>
    </row>
    <row r="71" spans="1:16" ht="24.75" customHeight="1" x14ac:dyDescent="0.25">
      <c r="A71" s="11" t="str">
        <f t="shared" si="0"/>
        <v>VISTOS BUENOS</v>
      </c>
      <c r="B71" s="22">
        <v>3</v>
      </c>
      <c r="C71" s="37">
        <v>8</v>
      </c>
      <c r="D71" s="46">
        <v>63</v>
      </c>
      <c r="E71" s="60" t="s">
        <v>882</v>
      </c>
      <c r="F71" s="61" t="s">
        <v>1033</v>
      </c>
      <c r="G71" s="46" t="s">
        <v>30</v>
      </c>
      <c r="H71" s="52" t="s">
        <v>1192</v>
      </c>
      <c r="I71" s="52" t="s">
        <v>1193</v>
      </c>
      <c r="J71" s="46">
        <v>15</v>
      </c>
      <c r="K71" s="36" t="s">
        <v>31</v>
      </c>
      <c r="L71" s="60" t="s">
        <v>32</v>
      </c>
      <c r="M71" s="62"/>
      <c r="N71" s="62"/>
      <c r="O71" s="32"/>
      <c r="P71" s="32"/>
    </row>
    <row r="72" spans="1:16" ht="24.75" customHeight="1" x14ac:dyDescent="0.25">
      <c r="A72" s="11" t="str">
        <f t="shared" si="0"/>
        <v>VISTOS BUENOS</v>
      </c>
      <c r="B72" s="22">
        <v>3</v>
      </c>
      <c r="C72" s="37">
        <v>8</v>
      </c>
      <c r="D72" s="46">
        <v>64</v>
      </c>
      <c r="E72" s="60" t="s">
        <v>883</v>
      </c>
      <c r="F72" s="61" t="s">
        <v>1034</v>
      </c>
      <c r="G72" s="46" t="s">
        <v>30</v>
      </c>
      <c r="H72" s="52" t="s">
        <v>1192</v>
      </c>
      <c r="I72" s="52" t="s">
        <v>1170</v>
      </c>
      <c r="J72" s="46">
        <v>14</v>
      </c>
      <c r="K72" s="36" t="s">
        <v>31</v>
      </c>
      <c r="L72" s="60" t="s">
        <v>32</v>
      </c>
      <c r="M72" s="62"/>
      <c r="N72" s="62"/>
      <c r="O72" s="32"/>
      <c r="P72" s="32"/>
    </row>
    <row r="73" spans="1:16" ht="24.75" customHeight="1" x14ac:dyDescent="0.25">
      <c r="A73" s="11" t="str">
        <f t="shared" si="0"/>
        <v>VISTOS BUENOS</v>
      </c>
      <c r="B73" s="22">
        <v>3</v>
      </c>
      <c r="C73" s="37">
        <v>8</v>
      </c>
      <c r="D73" s="46">
        <v>65</v>
      </c>
      <c r="E73" s="60" t="s">
        <v>884</v>
      </c>
      <c r="F73" s="61" t="s">
        <v>1035</v>
      </c>
      <c r="G73" s="46" t="s">
        <v>30</v>
      </c>
      <c r="H73" s="52" t="s">
        <v>1192</v>
      </c>
      <c r="I73" s="52" t="s">
        <v>1194</v>
      </c>
      <c r="J73" s="46">
        <v>38</v>
      </c>
      <c r="K73" s="36" t="s">
        <v>31</v>
      </c>
      <c r="L73" s="60" t="s">
        <v>32</v>
      </c>
      <c r="M73" s="62"/>
      <c r="N73" s="62"/>
      <c r="O73" s="32"/>
      <c r="P73" s="32"/>
    </row>
    <row r="74" spans="1:16" ht="24.75" customHeight="1" x14ac:dyDescent="0.25">
      <c r="A74" s="11" t="str">
        <f t="shared" si="0"/>
        <v>VISTOS BUENOS</v>
      </c>
      <c r="B74" s="22">
        <v>3</v>
      </c>
      <c r="C74" s="37">
        <v>9</v>
      </c>
      <c r="D74" s="46">
        <v>66</v>
      </c>
      <c r="E74" s="60" t="s">
        <v>885</v>
      </c>
      <c r="F74" s="61" t="s">
        <v>1036</v>
      </c>
      <c r="G74" s="46" t="s">
        <v>30</v>
      </c>
      <c r="H74" s="52" t="s">
        <v>1195</v>
      </c>
      <c r="I74" s="52" t="s">
        <v>1172</v>
      </c>
      <c r="J74" s="46">
        <v>28</v>
      </c>
      <c r="K74" s="36" t="s">
        <v>31</v>
      </c>
      <c r="L74" s="60" t="s">
        <v>32</v>
      </c>
      <c r="M74" s="62"/>
      <c r="N74" s="62"/>
      <c r="O74" s="32"/>
      <c r="P74" s="32"/>
    </row>
    <row r="75" spans="1:16" ht="24.75" customHeight="1" x14ac:dyDescent="0.25">
      <c r="A75" s="11" t="str">
        <f t="shared" ref="A75:A138" si="1">A74</f>
        <v>VISTOS BUENOS</v>
      </c>
      <c r="B75" s="22">
        <v>3</v>
      </c>
      <c r="C75" s="37">
        <v>9</v>
      </c>
      <c r="D75" s="46">
        <v>67</v>
      </c>
      <c r="E75" s="60" t="s">
        <v>886</v>
      </c>
      <c r="F75" s="61" t="s">
        <v>1037</v>
      </c>
      <c r="G75" s="46" t="s">
        <v>30</v>
      </c>
      <c r="H75" s="52" t="s">
        <v>1196</v>
      </c>
      <c r="I75" s="52" t="s">
        <v>1197</v>
      </c>
      <c r="J75" s="46">
        <v>44</v>
      </c>
      <c r="K75" s="36" t="s">
        <v>31</v>
      </c>
      <c r="L75" s="60" t="s">
        <v>32</v>
      </c>
      <c r="M75" s="62"/>
      <c r="N75" s="62"/>
      <c r="O75" s="32"/>
      <c r="P75" s="32"/>
    </row>
    <row r="76" spans="1:16" ht="24.75" customHeight="1" x14ac:dyDescent="0.25">
      <c r="A76" s="11" t="str">
        <f t="shared" si="1"/>
        <v>VISTOS BUENOS</v>
      </c>
      <c r="B76" s="22">
        <v>3</v>
      </c>
      <c r="C76" s="37">
        <v>9</v>
      </c>
      <c r="D76" s="46">
        <v>68</v>
      </c>
      <c r="E76" s="60" t="s">
        <v>887</v>
      </c>
      <c r="F76" s="61" t="s">
        <v>1038</v>
      </c>
      <c r="G76" s="46" t="s">
        <v>30</v>
      </c>
      <c r="H76" s="52" t="s">
        <v>1198</v>
      </c>
      <c r="I76" s="52" t="s">
        <v>1199</v>
      </c>
      <c r="J76" s="46">
        <v>37</v>
      </c>
      <c r="K76" s="36" t="s">
        <v>31</v>
      </c>
      <c r="L76" s="60" t="s">
        <v>32</v>
      </c>
      <c r="M76" s="62"/>
      <c r="N76" s="62"/>
      <c r="O76" s="32"/>
      <c r="P76" s="32"/>
    </row>
    <row r="77" spans="1:16" ht="24.75" customHeight="1" x14ac:dyDescent="0.25">
      <c r="A77" s="11" t="str">
        <f t="shared" si="1"/>
        <v>VISTOS BUENOS</v>
      </c>
      <c r="B77" s="22">
        <v>3</v>
      </c>
      <c r="C77" s="37">
        <v>9</v>
      </c>
      <c r="D77" s="46">
        <v>69</v>
      </c>
      <c r="E77" s="60" t="s">
        <v>888</v>
      </c>
      <c r="F77" s="61" t="s">
        <v>1039</v>
      </c>
      <c r="G77" s="46" t="s">
        <v>30</v>
      </c>
      <c r="H77" s="52" t="s">
        <v>1178</v>
      </c>
      <c r="I77" s="52" t="s">
        <v>1179</v>
      </c>
      <c r="J77" s="46">
        <v>42</v>
      </c>
      <c r="K77" s="36" t="s">
        <v>31</v>
      </c>
      <c r="L77" s="60" t="s">
        <v>32</v>
      </c>
      <c r="M77" s="62"/>
      <c r="N77" s="62"/>
      <c r="O77" s="32"/>
      <c r="P77" s="32"/>
    </row>
    <row r="78" spans="1:16" ht="24.75" customHeight="1" x14ac:dyDescent="0.25">
      <c r="A78" s="11" t="str">
        <f t="shared" si="1"/>
        <v>VISTOS BUENOS</v>
      </c>
      <c r="B78" s="22">
        <v>3</v>
      </c>
      <c r="C78" s="37">
        <v>9</v>
      </c>
      <c r="D78" s="46">
        <v>70</v>
      </c>
      <c r="E78" s="60" t="s">
        <v>889</v>
      </c>
      <c r="F78" s="61" t="s">
        <v>1040</v>
      </c>
      <c r="G78" s="46" t="s">
        <v>30</v>
      </c>
      <c r="H78" s="52" t="s">
        <v>1162</v>
      </c>
      <c r="I78" s="52" t="s">
        <v>1196</v>
      </c>
      <c r="J78" s="46">
        <v>19</v>
      </c>
      <c r="K78" s="36" t="s">
        <v>31</v>
      </c>
      <c r="L78" s="60" t="s">
        <v>32</v>
      </c>
      <c r="M78" s="62"/>
      <c r="N78" s="62"/>
      <c r="O78" s="32"/>
      <c r="P78" s="32"/>
    </row>
    <row r="79" spans="1:16" ht="24.75" customHeight="1" x14ac:dyDescent="0.25">
      <c r="A79" s="11" t="str">
        <f t="shared" si="1"/>
        <v>VISTOS BUENOS</v>
      </c>
      <c r="B79" s="22">
        <v>3</v>
      </c>
      <c r="C79" s="37">
        <v>9</v>
      </c>
      <c r="D79" s="46">
        <v>71</v>
      </c>
      <c r="E79" s="60" t="s">
        <v>890</v>
      </c>
      <c r="F79" s="61" t="s">
        <v>1041</v>
      </c>
      <c r="G79" s="46" t="s">
        <v>30</v>
      </c>
      <c r="H79" s="52" t="s">
        <v>1200</v>
      </c>
      <c r="I79" s="52" t="s">
        <v>1170</v>
      </c>
      <c r="J79" s="46">
        <v>14</v>
      </c>
      <c r="K79" s="36" t="s">
        <v>31</v>
      </c>
      <c r="L79" s="60" t="s">
        <v>32</v>
      </c>
      <c r="M79" s="62"/>
      <c r="N79" s="62"/>
      <c r="O79" s="32"/>
      <c r="P79" s="32"/>
    </row>
    <row r="80" spans="1:16" ht="24.75" customHeight="1" x14ac:dyDescent="0.25">
      <c r="A80" s="11" t="str">
        <f t="shared" si="1"/>
        <v>VISTOS BUENOS</v>
      </c>
      <c r="B80" s="22">
        <v>3</v>
      </c>
      <c r="C80" s="37">
        <v>9</v>
      </c>
      <c r="D80" s="46">
        <v>72</v>
      </c>
      <c r="E80" s="60" t="s">
        <v>891</v>
      </c>
      <c r="F80" s="61" t="s">
        <v>1042</v>
      </c>
      <c r="G80" s="46" t="s">
        <v>30</v>
      </c>
      <c r="H80" s="52" t="s">
        <v>1201</v>
      </c>
      <c r="I80" s="52" t="s">
        <v>1202</v>
      </c>
      <c r="J80" s="46">
        <v>17</v>
      </c>
      <c r="K80" s="36" t="s">
        <v>31</v>
      </c>
      <c r="L80" s="60" t="s">
        <v>32</v>
      </c>
      <c r="M80" s="62"/>
      <c r="N80" s="62"/>
      <c r="O80" s="32"/>
      <c r="P80" s="32"/>
    </row>
    <row r="81" spans="1:16" ht="24.75" customHeight="1" x14ac:dyDescent="0.25">
      <c r="A81" s="11" t="str">
        <f t="shared" si="1"/>
        <v>VISTOS BUENOS</v>
      </c>
      <c r="B81" s="22">
        <v>3</v>
      </c>
      <c r="C81" s="37">
        <v>10</v>
      </c>
      <c r="D81" s="46">
        <v>73</v>
      </c>
      <c r="E81" s="60" t="s">
        <v>892</v>
      </c>
      <c r="F81" s="61" t="s">
        <v>1043</v>
      </c>
      <c r="G81" s="46" t="s">
        <v>30</v>
      </c>
      <c r="H81" s="52" t="s">
        <v>1162</v>
      </c>
      <c r="I81" s="52" t="s">
        <v>1201</v>
      </c>
      <c r="J81" s="46">
        <v>50</v>
      </c>
      <c r="K81" s="36" t="s">
        <v>31</v>
      </c>
      <c r="L81" s="60" t="s">
        <v>32</v>
      </c>
      <c r="M81" s="62"/>
      <c r="N81" s="62"/>
      <c r="O81" s="32"/>
      <c r="P81" s="32"/>
    </row>
    <row r="82" spans="1:16" ht="24.75" customHeight="1" x14ac:dyDescent="0.25">
      <c r="A82" s="11" t="str">
        <f t="shared" si="1"/>
        <v>VISTOS BUENOS</v>
      </c>
      <c r="B82" s="22">
        <v>3</v>
      </c>
      <c r="C82" s="37">
        <v>10</v>
      </c>
      <c r="D82" s="46">
        <v>74</v>
      </c>
      <c r="E82" s="60" t="s">
        <v>893</v>
      </c>
      <c r="F82" s="61" t="s">
        <v>1044</v>
      </c>
      <c r="G82" s="46" t="s">
        <v>30</v>
      </c>
      <c r="H82" s="52" t="s">
        <v>1162</v>
      </c>
      <c r="I82" s="52" t="s">
        <v>1203</v>
      </c>
      <c r="J82" s="46">
        <v>27</v>
      </c>
      <c r="K82" s="36" t="s">
        <v>31</v>
      </c>
      <c r="L82" s="60" t="s">
        <v>32</v>
      </c>
      <c r="M82" s="62"/>
      <c r="N82" s="62"/>
      <c r="O82" s="32"/>
      <c r="P82" s="32"/>
    </row>
    <row r="83" spans="1:16" ht="24.75" customHeight="1" x14ac:dyDescent="0.25">
      <c r="A83" s="11" t="str">
        <f t="shared" si="1"/>
        <v>VISTOS BUENOS</v>
      </c>
      <c r="B83" s="22">
        <v>3</v>
      </c>
      <c r="C83" s="37">
        <v>10</v>
      </c>
      <c r="D83" s="46">
        <v>75</v>
      </c>
      <c r="E83" s="60" t="s">
        <v>894</v>
      </c>
      <c r="F83" s="61" t="s">
        <v>1045</v>
      </c>
      <c r="G83" s="46" t="s">
        <v>30</v>
      </c>
      <c r="H83" s="52" t="s">
        <v>1204</v>
      </c>
      <c r="I83" s="52" t="s">
        <v>1145</v>
      </c>
      <c r="J83" s="46">
        <v>31</v>
      </c>
      <c r="K83" s="36" t="s">
        <v>31</v>
      </c>
      <c r="L83" s="60" t="s">
        <v>32</v>
      </c>
      <c r="M83" s="62"/>
      <c r="N83" s="62"/>
      <c r="O83" s="32"/>
      <c r="P83" s="32"/>
    </row>
    <row r="84" spans="1:16" ht="24.75" customHeight="1" x14ac:dyDescent="0.25">
      <c r="A84" s="11" t="str">
        <f t="shared" si="1"/>
        <v>VISTOS BUENOS</v>
      </c>
      <c r="B84" s="22">
        <v>3</v>
      </c>
      <c r="C84" s="37">
        <v>10</v>
      </c>
      <c r="D84" s="46">
        <v>76</v>
      </c>
      <c r="E84" s="60" t="s">
        <v>894</v>
      </c>
      <c r="F84" s="61" t="s">
        <v>1046</v>
      </c>
      <c r="G84" s="46" t="s">
        <v>30</v>
      </c>
      <c r="H84" s="52" t="s">
        <v>1205</v>
      </c>
      <c r="I84" s="52" t="s">
        <v>1206</v>
      </c>
      <c r="J84" s="46">
        <v>1</v>
      </c>
      <c r="K84" s="36" t="s">
        <v>31</v>
      </c>
      <c r="L84" s="60" t="s">
        <v>32</v>
      </c>
      <c r="M84" s="62"/>
      <c r="N84" s="62"/>
      <c r="O84" s="32"/>
      <c r="P84" s="32"/>
    </row>
    <row r="85" spans="1:16" ht="24.75" customHeight="1" x14ac:dyDescent="0.25">
      <c r="A85" s="11" t="str">
        <f t="shared" si="1"/>
        <v>VISTOS BUENOS</v>
      </c>
      <c r="B85" s="22">
        <v>3</v>
      </c>
      <c r="C85" s="37">
        <v>10</v>
      </c>
      <c r="D85" s="46">
        <v>77</v>
      </c>
      <c r="E85" s="60" t="s">
        <v>895</v>
      </c>
      <c r="F85" s="61" t="s">
        <v>1047</v>
      </c>
      <c r="G85" s="46" t="s">
        <v>30</v>
      </c>
      <c r="H85" s="52" t="s">
        <v>1207</v>
      </c>
      <c r="I85" s="52" t="s">
        <v>1208</v>
      </c>
      <c r="J85" s="46">
        <v>18</v>
      </c>
      <c r="K85" s="36" t="s">
        <v>31</v>
      </c>
      <c r="L85" s="60" t="s">
        <v>32</v>
      </c>
      <c r="M85" s="62"/>
      <c r="N85" s="62"/>
      <c r="O85" s="32"/>
      <c r="P85" s="32"/>
    </row>
    <row r="86" spans="1:16" ht="24.75" customHeight="1" x14ac:dyDescent="0.25">
      <c r="A86" s="11" t="str">
        <f t="shared" si="1"/>
        <v>VISTOS BUENOS</v>
      </c>
      <c r="B86" s="22">
        <v>3</v>
      </c>
      <c r="C86" s="37">
        <v>10</v>
      </c>
      <c r="D86" s="46">
        <v>78</v>
      </c>
      <c r="E86" s="60" t="s">
        <v>896</v>
      </c>
      <c r="F86" s="61" t="s">
        <v>1048</v>
      </c>
      <c r="G86" s="46" t="s">
        <v>30</v>
      </c>
      <c r="H86" s="52" t="s">
        <v>1207</v>
      </c>
      <c r="I86" s="52" t="s">
        <v>1209</v>
      </c>
      <c r="J86" s="46">
        <v>18</v>
      </c>
      <c r="K86" s="36" t="s">
        <v>31</v>
      </c>
      <c r="L86" s="60" t="s">
        <v>32</v>
      </c>
      <c r="M86" s="62"/>
      <c r="N86" s="62"/>
      <c r="O86" s="32"/>
      <c r="P86" s="32"/>
    </row>
    <row r="87" spans="1:16" ht="24.75" customHeight="1" x14ac:dyDescent="0.25">
      <c r="A87" s="11" t="str">
        <f t="shared" si="1"/>
        <v>VISTOS BUENOS</v>
      </c>
      <c r="B87" s="22">
        <v>3</v>
      </c>
      <c r="C87" s="37">
        <v>10</v>
      </c>
      <c r="D87" s="46">
        <v>79</v>
      </c>
      <c r="E87" s="60" t="s">
        <v>897</v>
      </c>
      <c r="F87" s="61" t="s">
        <v>1049</v>
      </c>
      <c r="G87" s="46" t="s">
        <v>30</v>
      </c>
      <c r="H87" s="52" t="s">
        <v>1202</v>
      </c>
      <c r="I87" s="52" t="s">
        <v>1210</v>
      </c>
      <c r="J87" s="46">
        <v>13</v>
      </c>
      <c r="K87" s="36" t="s">
        <v>31</v>
      </c>
      <c r="L87" s="60" t="s">
        <v>32</v>
      </c>
      <c r="M87" s="62"/>
      <c r="N87" s="62"/>
      <c r="O87" s="32"/>
      <c r="P87" s="32"/>
    </row>
    <row r="88" spans="1:16" ht="24.75" customHeight="1" x14ac:dyDescent="0.25">
      <c r="A88" s="11" t="str">
        <f t="shared" si="1"/>
        <v>VISTOS BUENOS</v>
      </c>
      <c r="B88" s="22">
        <v>3</v>
      </c>
      <c r="C88" s="37">
        <v>10</v>
      </c>
      <c r="D88" s="46">
        <v>80</v>
      </c>
      <c r="E88" s="60" t="s">
        <v>898</v>
      </c>
      <c r="F88" s="61" t="s">
        <v>1050</v>
      </c>
      <c r="G88" s="46" t="s">
        <v>30</v>
      </c>
      <c r="H88" s="52" t="s">
        <v>1211</v>
      </c>
      <c r="I88" s="52" t="s">
        <v>1208</v>
      </c>
      <c r="J88" s="46">
        <v>16</v>
      </c>
      <c r="K88" s="36" t="s">
        <v>31</v>
      </c>
      <c r="L88" s="60" t="s">
        <v>32</v>
      </c>
      <c r="M88" s="62"/>
      <c r="N88" s="62"/>
      <c r="O88" s="32"/>
      <c r="P88" s="32"/>
    </row>
    <row r="89" spans="1:16" ht="24.75" customHeight="1" x14ac:dyDescent="0.25">
      <c r="A89" s="11" t="str">
        <f t="shared" si="1"/>
        <v>VISTOS BUENOS</v>
      </c>
      <c r="B89" s="22">
        <v>3</v>
      </c>
      <c r="C89" s="37">
        <v>10</v>
      </c>
      <c r="D89" s="46">
        <v>81</v>
      </c>
      <c r="E89" s="60" t="s">
        <v>899</v>
      </c>
      <c r="F89" s="61" t="s">
        <v>1051</v>
      </c>
      <c r="G89" s="46" t="s">
        <v>30</v>
      </c>
      <c r="H89" s="52" t="s">
        <v>1212</v>
      </c>
      <c r="I89" s="52" t="s">
        <v>1213</v>
      </c>
      <c r="J89" s="46">
        <v>58</v>
      </c>
      <c r="K89" s="36" t="s">
        <v>31</v>
      </c>
      <c r="L89" s="60" t="s">
        <v>32</v>
      </c>
      <c r="M89" s="62"/>
      <c r="N89" s="62"/>
      <c r="O89" s="32"/>
      <c r="P89" s="32"/>
    </row>
    <row r="90" spans="1:16" ht="24.75" customHeight="1" x14ac:dyDescent="0.25">
      <c r="A90" s="11" t="str">
        <f t="shared" si="1"/>
        <v>VISTOS BUENOS</v>
      </c>
      <c r="B90" s="22">
        <v>3</v>
      </c>
      <c r="C90" s="37">
        <v>11</v>
      </c>
      <c r="D90" s="46">
        <v>82</v>
      </c>
      <c r="E90" s="60" t="s">
        <v>900</v>
      </c>
      <c r="F90" s="61" t="s">
        <v>1052</v>
      </c>
      <c r="G90" s="46" t="s">
        <v>30</v>
      </c>
      <c r="H90" s="52" t="s">
        <v>1214</v>
      </c>
      <c r="I90" s="52" t="s">
        <v>1215</v>
      </c>
      <c r="J90" s="46">
        <v>51</v>
      </c>
      <c r="K90" s="36" t="s">
        <v>31</v>
      </c>
      <c r="L90" s="60" t="s">
        <v>32</v>
      </c>
      <c r="M90" s="62"/>
      <c r="N90" s="62"/>
      <c r="O90" s="32"/>
      <c r="P90" s="32"/>
    </row>
    <row r="91" spans="1:16" ht="24.75" customHeight="1" x14ac:dyDescent="0.25">
      <c r="A91" s="11" t="str">
        <f t="shared" si="1"/>
        <v>VISTOS BUENOS</v>
      </c>
      <c r="B91" s="22">
        <v>3</v>
      </c>
      <c r="C91" s="37">
        <v>11</v>
      </c>
      <c r="D91" s="46">
        <v>83</v>
      </c>
      <c r="E91" s="60" t="s">
        <v>901</v>
      </c>
      <c r="F91" s="61" t="s">
        <v>1053</v>
      </c>
      <c r="G91" s="46" t="s">
        <v>30</v>
      </c>
      <c r="H91" s="52" t="s">
        <v>1216</v>
      </c>
      <c r="I91" s="52" t="s">
        <v>1208</v>
      </c>
      <c r="J91" s="46">
        <v>53</v>
      </c>
      <c r="K91" s="36" t="s">
        <v>31</v>
      </c>
      <c r="L91" s="60" t="s">
        <v>32</v>
      </c>
      <c r="M91" s="62"/>
      <c r="N91" s="62"/>
      <c r="O91" s="32"/>
      <c r="P91" s="32"/>
    </row>
    <row r="92" spans="1:16" ht="24.75" customHeight="1" x14ac:dyDescent="0.25">
      <c r="A92" s="11" t="str">
        <f t="shared" si="1"/>
        <v>VISTOS BUENOS</v>
      </c>
      <c r="B92" s="22">
        <v>3</v>
      </c>
      <c r="C92" s="37">
        <v>11</v>
      </c>
      <c r="D92" s="46">
        <v>84</v>
      </c>
      <c r="E92" s="60" t="s">
        <v>902</v>
      </c>
      <c r="F92" s="61" t="s">
        <v>1054</v>
      </c>
      <c r="G92" s="46" t="s">
        <v>30</v>
      </c>
      <c r="H92" s="52" t="s">
        <v>1194</v>
      </c>
      <c r="I92" s="52" t="s">
        <v>1180</v>
      </c>
      <c r="J92" s="46">
        <v>56</v>
      </c>
      <c r="K92" s="36" t="s">
        <v>31</v>
      </c>
      <c r="L92" s="60" t="s">
        <v>32</v>
      </c>
      <c r="M92" s="62"/>
      <c r="N92" s="62"/>
      <c r="O92" s="32"/>
      <c r="P92" s="32"/>
    </row>
    <row r="93" spans="1:16" ht="24.75" customHeight="1" x14ac:dyDescent="0.25">
      <c r="A93" s="11" t="str">
        <f t="shared" si="1"/>
        <v>VISTOS BUENOS</v>
      </c>
      <c r="B93" s="22">
        <v>3</v>
      </c>
      <c r="C93" s="37">
        <v>11</v>
      </c>
      <c r="D93" s="46">
        <v>85</v>
      </c>
      <c r="E93" s="60" t="s">
        <v>903</v>
      </c>
      <c r="F93" s="61" t="s">
        <v>1055</v>
      </c>
      <c r="G93" s="46" t="s">
        <v>30</v>
      </c>
      <c r="H93" s="52" t="s">
        <v>1185</v>
      </c>
      <c r="I93" s="52" t="s">
        <v>1217</v>
      </c>
      <c r="J93" s="46">
        <v>37</v>
      </c>
      <c r="K93" s="36" t="s">
        <v>31</v>
      </c>
      <c r="L93" s="60" t="s">
        <v>32</v>
      </c>
      <c r="M93" s="62"/>
      <c r="N93" s="62"/>
      <c r="O93" s="32"/>
      <c r="P93" s="32"/>
    </row>
    <row r="94" spans="1:16" ht="24.75" customHeight="1" x14ac:dyDescent="0.25">
      <c r="A94" s="11" t="str">
        <f t="shared" si="1"/>
        <v>VISTOS BUENOS</v>
      </c>
      <c r="B94" s="22">
        <v>3</v>
      </c>
      <c r="C94" s="37">
        <v>11</v>
      </c>
      <c r="D94" s="46">
        <v>86</v>
      </c>
      <c r="E94" s="60" t="s">
        <v>904</v>
      </c>
      <c r="F94" s="61" t="s">
        <v>1056</v>
      </c>
      <c r="G94" s="46" t="s">
        <v>30</v>
      </c>
      <c r="H94" s="52" t="s">
        <v>1218</v>
      </c>
      <c r="I94" s="52" t="s">
        <v>1219</v>
      </c>
      <c r="J94" s="46">
        <v>17</v>
      </c>
      <c r="K94" s="36" t="s">
        <v>31</v>
      </c>
      <c r="L94" s="60" t="s">
        <v>32</v>
      </c>
      <c r="M94" s="62"/>
      <c r="N94" s="62"/>
      <c r="O94" s="32"/>
      <c r="P94" s="32"/>
    </row>
    <row r="95" spans="1:16" ht="24.75" customHeight="1" x14ac:dyDescent="0.25">
      <c r="A95" s="11" t="str">
        <f t="shared" si="1"/>
        <v>VISTOS BUENOS</v>
      </c>
      <c r="B95" s="22">
        <v>3</v>
      </c>
      <c r="C95" s="37">
        <v>11</v>
      </c>
      <c r="D95" s="46">
        <v>87</v>
      </c>
      <c r="E95" s="60" t="s">
        <v>905</v>
      </c>
      <c r="F95" s="61" t="s">
        <v>1057</v>
      </c>
      <c r="G95" s="46" t="s">
        <v>30</v>
      </c>
      <c r="H95" s="52" t="s">
        <v>1220</v>
      </c>
      <c r="I95" s="52" t="s">
        <v>1211</v>
      </c>
      <c r="J95" s="46">
        <v>35</v>
      </c>
      <c r="K95" s="36" t="s">
        <v>31</v>
      </c>
      <c r="L95" s="60" t="s">
        <v>32</v>
      </c>
      <c r="M95" s="62"/>
      <c r="N95" s="62"/>
      <c r="O95" s="32"/>
      <c r="P95" s="32"/>
    </row>
    <row r="96" spans="1:16" ht="24.75" customHeight="1" x14ac:dyDescent="0.25">
      <c r="A96" s="11" t="str">
        <f t="shared" si="1"/>
        <v>VISTOS BUENOS</v>
      </c>
      <c r="B96" s="22">
        <v>3</v>
      </c>
      <c r="C96" s="37">
        <v>11</v>
      </c>
      <c r="D96" s="46">
        <v>88</v>
      </c>
      <c r="E96" s="60" t="s">
        <v>906</v>
      </c>
      <c r="F96" s="61" t="s">
        <v>1058</v>
      </c>
      <c r="G96" s="46" t="s">
        <v>30</v>
      </c>
      <c r="H96" s="52" t="s">
        <v>1185</v>
      </c>
      <c r="I96" s="52" t="s">
        <v>1164</v>
      </c>
      <c r="J96" s="46">
        <v>16</v>
      </c>
      <c r="K96" s="36" t="s">
        <v>31</v>
      </c>
      <c r="L96" s="60" t="s">
        <v>32</v>
      </c>
      <c r="M96" s="62"/>
      <c r="N96" s="62"/>
      <c r="O96" s="32"/>
      <c r="P96" s="32"/>
    </row>
    <row r="97" spans="1:16" ht="24.75" customHeight="1" x14ac:dyDescent="0.25">
      <c r="A97" s="11" t="str">
        <f t="shared" si="1"/>
        <v>VISTOS BUENOS</v>
      </c>
      <c r="B97" s="22">
        <v>3</v>
      </c>
      <c r="C97" s="37">
        <v>11</v>
      </c>
      <c r="D97" s="46">
        <v>89</v>
      </c>
      <c r="E97" s="60" t="s">
        <v>907</v>
      </c>
      <c r="F97" s="61" t="s">
        <v>1059</v>
      </c>
      <c r="G97" s="46" t="s">
        <v>30</v>
      </c>
      <c r="H97" s="52" t="s">
        <v>1199</v>
      </c>
      <c r="I97" s="52" t="s">
        <v>1211</v>
      </c>
      <c r="J97" s="46">
        <v>46</v>
      </c>
      <c r="K97" s="36" t="s">
        <v>31</v>
      </c>
      <c r="L97" s="60" t="s">
        <v>32</v>
      </c>
      <c r="M97" s="62"/>
      <c r="N97" s="62"/>
      <c r="O97" s="32"/>
      <c r="P97" s="32"/>
    </row>
    <row r="98" spans="1:16" ht="24.75" customHeight="1" x14ac:dyDescent="0.25">
      <c r="A98" s="11" t="str">
        <f t="shared" si="1"/>
        <v>VISTOS BUENOS</v>
      </c>
      <c r="B98" s="22">
        <v>3</v>
      </c>
      <c r="C98" s="37">
        <v>12</v>
      </c>
      <c r="D98" s="46">
        <v>90</v>
      </c>
      <c r="E98" s="60" t="s">
        <v>908</v>
      </c>
      <c r="F98" s="61" t="s">
        <v>1060</v>
      </c>
      <c r="G98" s="46" t="s">
        <v>30</v>
      </c>
      <c r="H98" s="52" t="s">
        <v>1221</v>
      </c>
      <c r="I98" s="52" t="s">
        <v>1219</v>
      </c>
      <c r="J98" s="46">
        <v>8</v>
      </c>
      <c r="K98" s="36" t="s">
        <v>31</v>
      </c>
      <c r="L98" s="60" t="s">
        <v>32</v>
      </c>
      <c r="M98" s="62"/>
      <c r="N98" s="62"/>
      <c r="O98" s="32"/>
      <c r="P98" s="32"/>
    </row>
    <row r="99" spans="1:16" ht="24.75" customHeight="1" x14ac:dyDescent="0.25">
      <c r="A99" s="11" t="str">
        <f t="shared" si="1"/>
        <v>VISTOS BUENOS</v>
      </c>
      <c r="B99" s="22">
        <v>4</v>
      </c>
      <c r="C99" s="37">
        <v>12</v>
      </c>
      <c r="D99" s="46">
        <v>91</v>
      </c>
      <c r="E99" s="60" t="s">
        <v>909</v>
      </c>
      <c r="F99" s="61" t="s">
        <v>1061</v>
      </c>
      <c r="G99" s="46" t="s">
        <v>30</v>
      </c>
      <c r="H99" s="52" t="s">
        <v>1164</v>
      </c>
      <c r="I99" s="52" t="s">
        <v>1208</v>
      </c>
      <c r="J99" s="46">
        <v>34</v>
      </c>
      <c r="K99" s="36" t="s">
        <v>31</v>
      </c>
      <c r="L99" s="60" t="s">
        <v>32</v>
      </c>
      <c r="M99" s="62"/>
      <c r="N99" s="62"/>
      <c r="O99" s="32"/>
      <c r="P99" s="32"/>
    </row>
    <row r="100" spans="1:16" ht="24.75" customHeight="1" x14ac:dyDescent="0.25">
      <c r="A100" s="11" t="str">
        <f t="shared" si="1"/>
        <v>VISTOS BUENOS</v>
      </c>
      <c r="B100" s="22">
        <v>4</v>
      </c>
      <c r="C100" s="37">
        <v>12</v>
      </c>
      <c r="D100" s="46">
        <v>92</v>
      </c>
      <c r="E100" s="60" t="s">
        <v>910</v>
      </c>
      <c r="F100" s="61" t="s">
        <v>1062</v>
      </c>
      <c r="G100" s="46" t="s">
        <v>30</v>
      </c>
      <c r="H100" s="52" t="s">
        <v>1222</v>
      </c>
      <c r="I100" s="52" t="s">
        <v>1223</v>
      </c>
      <c r="J100" s="46">
        <v>54</v>
      </c>
      <c r="K100" s="36" t="s">
        <v>31</v>
      </c>
      <c r="L100" s="60" t="s">
        <v>32</v>
      </c>
      <c r="M100" s="62"/>
      <c r="N100" s="62"/>
      <c r="O100" s="32"/>
      <c r="P100" s="32"/>
    </row>
    <row r="101" spans="1:16" ht="24.75" customHeight="1" x14ac:dyDescent="0.25">
      <c r="A101" s="11" t="str">
        <f t="shared" si="1"/>
        <v>VISTOS BUENOS</v>
      </c>
      <c r="B101" s="22">
        <v>4</v>
      </c>
      <c r="C101" s="37">
        <v>12</v>
      </c>
      <c r="D101" s="46">
        <v>93</v>
      </c>
      <c r="E101" s="60" t="s">
        <v>911</v>
      </c>
      <c r="F101" s="61" t="s">
        <v>1063</v>
      </c>
      <c r="G101" s="46" t="s">
        <v>30</v>
      </c>
      <c r="H101" s="52" t="s">
        <v>1194</v>
      </c>
      <c r="I101" s="52" t="s">
        <v>1224</v>
      </c>
      <c r="J101" s="46">
        <v>16</v>
      </c>
      <c r="K101" s="36" t="s">
        <v>31</v>
      </c>
      <c r="L101" s="60" t="s">
        <v>32</v>
      </c>
      <c r="M101" s="62"/>
      <c r="N101" s="62"/>
      <c r="O101" s="32"/>
      <c r="P101" s="32"/>
    </row>
    <row r="102" spans="1:16" ht="24.75" customHeight="1" x14ac:dyDescent="0.25">
      <c r="A102" s="11" t="str">
        <f t="shared" si="1"/>
        <v>VISTOS BUENOS</v>
      </c>
      <c r="B102" s="22">
        <v>4</v>
      </c>
      <c r="C102" s="37">
        <v>12</v>
      </c>
      <c r="D102" s="46">
        <v>94</v>
      </c>
      <c r="E102" s="60" t="s">
        <v>912</v>
      </c>
      <c r="F102" s="61" t="s">
        <v>1064</v>
      </c>
      <c r="G102" s="46" t="s">
        <v>30</v>
      </c>
      <c r="H102" s="52" t="s">
        <v>1225</v>
      </c>
      <c r="I102" s="52" t="s">
        <v>1216</v>
      </c>
      <c r="J102" s="46">
        <v>26</v>
      </c>
      <c r="K102" s="36" t="s">
        <v>31</v>
      </c>
      <c r="L102" s="60" t="s">
        <v>32</v>
      </c>
      <c r="M102" s="62"/>
      <c r="N102" s="62"/>
      <c r="O102" s="32"/>
      <c r="P102" s="32"/>
    </row>
    <row r="103" spans="1:16" ht="24.75" customHeight="1" x14ac:dyDescent="0.25">
      <c r="A103" s="11" t="str">
        <f t="shared" si="1"/>
        <v>VISTOS BUENOS</v>
      </c>
      <c r="B103" s="22">
        <v>4</v>
      </c>
      <c r="C103" s="37">
        <v>12</v>
      </c>
      <c r="D103" s="46">
        <v>95</v>
      </c>
      <c r="E103" s="60" t="s">
        <v>913</v>
      </c>
      <c r="F103" s="61" t="s">
        <v>1065</v>
      </c>
      <c r="G103" s="46" t="s">
        <v>30</v>
      </c>
      <c r="H103" s="52" t="s">
        <v>1226</v>
      </c>
      <c r="I103" s="52" t="s">
        <v>1227</v>
      </c>
      <c r="J103" s="46">
        <v>57</v>
      </c>
      <c r="K103" s="36" t="s">
        <v>31</v>
      </c>
      <c r="L103" s="60" t="s">
        <v>32</v>
      </c>
      <c r="M103" s="62"/>
      <c r="N103" s="62"/>
      <c r="O103" s="32"/>
      <c r="P103" s="32"/>
    </row>
    <row r="104" spans="1:16" ht="24.75" customHeight="1" x14ac:dyDescent="0.25">
      <c r="A104" s="11" t="str">
        <f t="shared" si="1"/>
        <v>VISTOS BUENOS</v>
      </c>
      <c r="B104" s="22">
        <v>4</v>
      </c>
      <c r="C104" s="37">
        <v>12</v>
      </c>
      <c r="D104" s="46">
        <v>96</v>
      </c>
      <c r="E104" s="60" t="s">
        <v>914</v>
      </c>
      <c r="F104" s="61" t="s">
        <v>1066</v>
      </c>
      <c r="G104" s="46" t="s">
        <v>30</v>
      </c>
      <c r="H104" s="52" t="s">
        <v>1193</v>
      </c>
      <c r="I104" s="52" t="s">
        <v>1224</v>
      </c>
      <c r="J104" s="46">
        <v>21</v>
      </c>
      <c r="K104" s="36" t="s">
        <v>31</v>
      </c>
      <c r="L104" s="60" t="s">
        <v>32</v>
      </c>
      <c r="M104" s="62"/>
      <c r="N104" s="62"/>
      <c r="O104" s="32"/>
      <c r="P104" s="32"/>
    </row>
    <row r="105" spans="1:16" ht="24.75" customHeight="1" x14ac:dyDescent="0.25">
      <c r="A105" s="11" t="str">
        <f t="shared" si="1"/>
        <v>VISTOS BUENOS</v>
      </c>
      <c r="B105" s="22">
        <v>4</v>
      </c>
      <c r="C105" s="37">
        <v>12</v>
      </c>
      <c r="D105" s="46">
        <v>97</v>
      </c>
      <c r="E105" s="60" t="s">
        <v>915</v>
      </c>
      <c r="F105" s="61" t="s">
        <v>1067</v>
      </c>
      <c r="G105" s="46" t="s">
        <v>30</v>
      </c>
      <c r="H105" s="52" t="s">
        <v>1193</v>
      </c>
      <c r="I105" s="52" t="s">
        <v>1185</v>
      </c>
      <c r="J105" s="46">
        <v>18</v>
      </c>
      <c r="K105" s="36" t="s">
        <v>31</v>
      </c>
      <c r="L105" s="60" t="s">
        <v>32</v>
      </c>
      <c r="M105" s="62"/>
      <c r="N105" s="62"/>
      <c r="O105" s="32"/>
      <c r="P105" s="32"/>
    </row>
    <row r="106" spans="1:16" ht="24.75" customHeight="1" x14ac:dyDescent="0.25">
      <c r="A106" s="11" t="str">
        <f t="shared" si="1"/>
        <v>VISTOS BUENOS</v>
      </c>
      <c r="B106" s="22">
        <v>4</v>
      </c>
      <c r="C106" s="37">
        <v>13</v>
      </c>
      <c r="D106" s="46">
        <v>98</v>
      </c>
      <c r="E106" s="60" t="s">
        <v>916</v>
      </c>
      <c r="F106" s="36" t="s">
        <v>1068</v>
      </c>
      <c r="G106" s="46" t="s">
        <v>30</v>
      </c>
      <c r="H106" s="52" t="s">
        <v>1228</v>
      </c>
      <c r="I106" s="52" t="s">
        <v>1229</v>
      </c>
      <c r="J106" s="46">
        <v>15</v>
      </c>
      <c r="K106" s="36" t="s">
        <v>31</v>
      </c>
      <c r="L106" s="60" t="s">
        <v>32</v>
      </c>
      <c r="M106" s="62"/>
      <c r="N106" s="62"/>
      <c r="O106" s="32"/>
      <c r="P106" s="32"/>
    </row>
    <row r="107" spans="1:16" ht="24.75" customHeight="1" x14ac:dyDescent="0.25">
      <c r="A107" s="11" t="str">
        <f t="shared" si="1"/>
        <v>VISTOS BUENOS</v>
      </c>
      <c r="B107" s="22">
        <v>4</v>
      </c>
      <c r="C107" s="37">
        <v>13</v>
      </c>
      <c r="D107" s="46">
        <v>99</v>
      </c>
      <c r="E107" s="60" t="s">
        <v>917</v>
      </c>
      <c r="F107" s="36" t="s">
        <v>1069</v>
      </c>
      <c r="G107" s="46" t="s">
        <v>30</v>
      </c>
      <c r="H107" s="52" t="s">
        <v>1230</v>
      </c>
      <c r="I107" s="52" t="s">
        <v>1231</v>
      </c>
      <c r="J107" s="46">
        <v>29</v>
      </c>
      <c r="K107" s="36" t="s">
        <v>31</v>
      </c>
      <c r="L107" s="60" t="s">
        <v>32</v>
      </c>
      <c r="M107" s="62"/>
      <c r="N107" s="62"/>
      <c r="O107" s="32"/>
      <c r="P107" s="32"/>
    </row>
    <row r="108" spans="1:16" ht="24.75" customHeight="1" x14ac:dyDescent="0.25">
      <c r="A108" s="11" t="str">
        <f t="shared" si="1"/>
        <v>VISTOS BUENOS</v>
      </c>
      <c r="B108" s="22">
        <v>4</v>
      </c>
      <c r="C108" s="37">
        <v>13</v>
      </c>
      <c r="D108" s="46">
        <v>100</v>
      </c>
      <c r="E108" s="60" t="s">
        <v>918</v>
      </c>
      <c r="F108" s="36" t="s">
        <v>1070</v>
      </c>
      <c r="G108" s="46" t="s">
        <v>30</v>
      </c>
      <c r="H108" s="52" t="s">
        <v>1203</v>
      </c>
      <c r="I108" s="52" t="s">
        <v>1232</v>
      </c>
      <c r="J108" s="46">
        <v>58</v>
      </c>
      <c r="K108" s="36" t="s">
        <v>31</v>
      </c>
      <c r="L108" s="60" t="s">
        <v>32</v>
      </c>
      <c r="M108" s="62"/>
      <c r="N108" s="62"/>
      <c r="O108" s="32"/>
      <c r="P108" s="32"/>
    </row>
    <row r="109" spans="1:16" ht="24.75" customHeight="1" x14ac:dyDescent="0.25">
      <c r="A109" s="11" t="str">
        <f t="shared" si="1"/>
        <v>VISTOS BUENOS</v>
      </c>
      <c r="B109" s="22">
        <v>4</v>
      </c>
      <c r="C109" s="37">
        <v>13</v>
      </c>
      <c r="D109" s="46">
        <v>101</v>
      </c>
      <c r="E109" s="60" t="s">
        <v>919</v>
      </c>
      <c r="F109" s="36" t="s">
        <v>1071</v>
      </c>
      <c r="G109" s="46" t="s">
        <v>30</v>
      </c>
      <c r="H109" s="52" t="s">
        <v>1233</v>
      </c>
      <c r="I109" s="52" t="s">
        <v>1234</v>
      </c>
      <c r="J109" s="46">
        <v>23</v>
      </c>
      <c r="K109" s="36" t="s">
        <v>31</v>
      </c>
      <c r="L109" s="60" t="s">
        <v>32</v>
      </c>
      <c r="M109" s="62"/>
      <c r="N109" s="62"/>
      <c r="O109" s="32"/>
      <c r="P109" s="32"/>
    </row>
    <row r="110" spans="1:16" ht="24.75" customHeight="1" x14ac:dyDescent="0.25">
      <c r="A110" s="11" t="str">
        <f t="shared" si="1"/>
        <v>VISTOS BUENOS</v>
      </c>
      <c r="B110" s="22">
        <v>4</v>
      </c>
      <c r="C110" s="37">
        <v>13</v>
      </c>
      <c r="D110" s="46">
        <v>102</v>
      </c>
      <c r="E110" s="60" t="s">
        <v>920</v>
      </c>
      <c r="F110" s="36" t="s">
        <v>1072</v>
      </c>
      <c r="G110" s="46" t="s">
        <v>30</v>
      </c>
      <c r="H110" s="52" t="s">
        <v>1235</v>
      </c>
      <c r="I110" s="52" t="s">
        <v>1235</v>
      </c>
      <c r="J110" s="46">
        <v>35</v>
      </c>
      <c r="K110" s="36" t="s">
        <v>31</v>
      </c>
      <c r="L110" s="60" t="s">
        <v>32</v>
      </c>
      <c r="M110" s="62"/>
      <c r="N110" s="62"/>
      <c r="O110" s="32"/>
      <c r="P110" s="32"/>
    </row>
    <row r="111" spans="1:16" ht="24.75" customHeight="1" x14ac:dyDescent="0.25">
      <c r="A111" s="11" t="str">
        <f t="shared" si="1"/>
        <v>VISTOS BUENOS</v>
      </c>
      <c r="B111" s="22">
        <v>4</v>
      </c>
      <c r="C111" s="37">
        <v>13</v>
      </c>
      <c r="D111" s="46">
        <v>103</v>
      </c>
      <c r="E111" s="60" t="s">
        <v>921</v>
      </c>
      <c r="F111" s="36" t="s">
        <v>1073</v>
      </c>
      <c r="G111" s="46" t="s">
        <v>30</v>
      </c>
      <c r="H111" s="52" t="s">
        <v>1236</v>
      </c>
      <c r="I111" s="52" t="s">
        <v>1235</v>
      </c>
      <c r="J111" s="46">
        <v>30</v>
      </c>
      <c r="K111" s="36" t="s">
        <v>31</v>
      </c>
      <c r="L111" s="60" t="s">
        <v>32</v>
      </c>
      <c r="M111" s="62"/>
      <c r="N111" s="62"/>
      <c r="O111" s="32"/>
      <c r="P111" s="32"/>
    </row>
    <row r="112" spans="1:16" ht="24.75" customHeight="1" x14ac:dyDescent="0.25">
      <c r="A112" s="11" t="str">
        <f t="shared" si="1"/>
        <v>VISTOS BUENOS</v>
      </c>
      <c r="B112" s="22">
        <v>4</v>
      </c>
      <c r="C112" s="37">
        <v>13</v>
      </c>
      <c r="D112" s="46">
        <v>104</v>
      </c>
      <c r="E112" s="60" t="s">
        <v>922</v>
      </c>
      <c r="F112" s="36" t="s">
        <v>1074</v>
      </c>
      <c r="G112" s="46" t="s">
        <v>30</v>
      </c>
      <c r="H112" s="52" t="s">
        <v>1237</v>
      </c>
      <c r="I112" s="52" t="s">
        <v>1238</v>
      </c>
      <c r="J112" s="46">
        <v>56</v>
      </c>
      <c r="K112" s="36" t="s">
        <v>31</v>
      </c>
      <c r="L112" s="60" t="s">
        <v>32</v>
      </c>
      <c r="M112" s="62"/>
      <c r="N112" s="62"/>
      <c r="O112" s="32"/>
      <c r="P112" s="32"/>
    </row>
    <row r="113" spans="1:16" ht="24.75" customHeight="1" x14ac:dyDescent="0.25">
      <c r="A113" s="11" t="str">
        <f t="shared" si="1"/>
        <v>VISTOS BUENOS</v>
      </c>
      <c r="B113" s="22">
        <v>4</v>
      </c>
      <c r="C113" s="37">
        <v>13</v>
      </c>
      <c r="D113" s="46">
        <v>105</v>
      </c>
      <c r="E113" s="60" t="s">
        <v>923</v>
      </c>
      <c r="F113" s="36" t="s">
        <v>1075</v>
      </c>
      <c r="G113" s="46" t="s">
        <v>30</v>
      </c>
      <c r="H113" s="52" t="s">
        <v>1237</v>
      </c>
      <c r="I113" s="52" t="s">
        <v>1238</v>
      </c>
      <c r="J113" s="46">
        <v>34</v>
      </c>
      <c r="K113" s="36" t="s">
        <v>31</v>
      </c>
      <c r="L113" s="60" t="s">
        <v>32</v>
      </c>
      <c r="M113" s="62"/>
      <c r="N113" s="62"/>
      <c r="O113" s="32"/>
      <c r="P113" s="32"/>
    </row>
    <row r="114" spans="1:16" ht="24.75" customHeight="1" x14ac:dyDescent="0.25">
      <c r="A114" s="11" t="str">
        <f t="shared" si="1"/>
        <v>VISTOS BUENOS</v>
      </c>
      <c r="B114" s="22">
        <v>4</v>
      </c>
      <c r="C114" s="37">
        <v>14</v>
      </c>
      <c r="D114" s="46">
        <v>106</v>
      </c>
      <c r="E114" s="60" t="s">
        <v>924</v>
      </c>
      <c r="F114" s="36" t="s">
        <v>1076</v>
      </c>
      <c r="G114" s="46" t="s">
        <v>30</v>
      </c>
      <c r="H114" s="52" t="s">
        <v>1234</v>
      </c>
      <c r="I114" s="52" t="s">
        <v>1239</v>
      </c>
      <c r="J114" s="46">
        <v>13</v>
      </c>
      <c r="K114" s="36" t="s">
        <v>31</v>
      </c>
      <c r="L114" s="60" t="s">
        <v>32</v>
      </c>
      <c r="M114" s="62"/>
      <c r="N114" s="62"/>
      <c r="O114" s="32"/>
      <c r="P114" s="32"/>
    </row>
    <row r="115" spans="1:16" ht="24.75" customHeight="1" x14ac:dyDescent="0.25">
      <c r="A115" s="11" t="str">
        <f t="shared" si="1"/>
        <v>VISTOS BUENOS</v>
      </c>
      <c r="B115" s="22">
        <v>4</v>
      </c>
      <c r="C115" s="37">
        <v>14</v>
      </c>
      <c r="D115" s="46">
        <v>107</v>
      </c>
      <c r="E115" s="60" t="s">
        <v>925</v>
      </c>
      <c r="F115" s="36" t="s">
        <v>1077</v>
      </c>
      <c r="G115" s="46" t="s">
        <v>30</v>
      </c>
      <c r="H115" s="52" t="s">
        <v>1217</v>
      </c>
      <c r="I115" s="52" t="s">
        <v>1234</v>
      </c>
      <c r="J115" s="46">
        <v>24</v>
      </c>
      <c r="K115" s="36" t="s">
        <v>31</v>
      </c>
      <c r="L115" s="60" t="s">
        <v>32</v>
      </c>
      <c r="M115" s="62"/>
      <c r="N115" s="62"/>
      <c r="O115" s="32"/>
      <c r="P115" s="32"/>
    </row>
    <row r="116" spans="1:16" ht="24.75" customHeight="1" x14ac:dyDescent="0.25">
      <c r="A116" s="11" t="str">
        <f t="shared" si="1"/>
        <v>VISTOS BUENOS</v>
      </c>
      <c r="B116" s="22">
        <v>4</v>
      </c>
      <c r="C116" s="37">
        <v>14</v>
      </c>
      <c r="D116" s="46">
        <v>108</v>
      </c>
      <c r="E116" s="60" t="s">
        <v>926</v>
      </c>
      <c r="F116" s="36" t="s">
        <v>1078</v>
      </c>
      <c r="G116" s="46" t="s">
        <v>30</v>
      </c>
      <c r="H116" s="52" t="s">
        <v>1240</v>
      </c>
      <c r="I116" s="52" t="s">
        <v>1241</v>
      </c>
      <c r="J116" s="46">
        <v>17</v>
      </c>
      <c r="K116" s="36" t="s">
        <v>31</v>
      </c>
      <c r="L116" s="60" t="s">
        <v>32</v>
      </c>
      <c r="M116" s="62"/>
      <c r="N116" s="62"/>
      <c r="O116" s="32"/>
      <c r="P116" s="32"/>
    </row>
    <row r="117" spans="1:16" ht="24.75" customHeight="1" x14ac:dyDescent="0.25">
      <c r="A117" s="11" t="str">
        <f t="shared" si="1"/>
        <v>VISTOS BUENOS</v>
      </c>
      <c r="B117" s="22">
        <v>4</v>
      </c>
      <c r="C117" s="37">
        <v>14</v>
      </c>
      <c r="D117" s="46">
        <v>109</v>
      </c>
      <c r="E117" s="60" t="s">
        <v>927</v>
      </c>
      <c r="F117" s="36" t="s">
        <v>1079</v>
      </c>
      <c r="G117" s="46" t="s">
        <v>30</v>
      </c>
      <c r="H117" s="52" t="s">
        <v>1242</v>
      </c>
      <c r="I117" s="52" t="s">
        <v>1243</v>
      </c>
      <c r="J117" s="46">
        <v>19</v>
      </c>
      <c r="K117" s="36" t="s">
        <v>31</v>
      </c>
      <c r="L117" s="60" t="s">
        <v>32</v>
      </c>
      <c r="M117" s="62"/>
      <c r="N117" s="62"/>
      <c r="O117" s="32"/>
      <c r="P117" s="32"/>
    </row>
    <row r="118" spans="1:16" ht="24.75" customHeight="1" x14ac:dyDescent="0.25">
      <c r="A118" s="11" t="str">
        <f t="shared" si="1"/>
        <v>VISTOS BUENOS</v>
      </c>
      <c r="B118" s="22">
        <v>4</v>
      </c>
      <c r="C118" s="37">
        <v>14</v>
      </c>
      <c r="D118" s="46">
        <v>110</v>
      </c>
      <c r="E118" s="60" t="s">
        <v>928</v>
      </c>
      <c r="F118" s="36" t="s">
        <v>1080</v>
      </c>
      <c r="G118" s="46" t="s">
        <v>30</v>
      </c>
      <c r="H118" s="52" t="s">
        <v>1203</v>
      </c>
      <c r="I118" s="52" t="s">
        <v>1244</v>
      </c>
      <c r="J118" s="46">
        <v>33</v>
      </c>
      <c r="K118" s="36" t="s">
        <v>31</v>
      </c>
      <c r="L118" s="60" t="s">
        <v>32</v>
      </c>
      <c r="M118" s="62"/>
      <c r="N118" s="62"/>
      <c r="O118" s="32"/>
      <c r="P118" s="32"/>
    </row>
    <row r="119" spans="1:16" ht="24.75" customHeight="1" x14ac:dyDescent="0.25">
      <c r="A119" s="11" t="str">
        <f t="shared" si="1"/>
        <v>VISTOS BUENOS</v>
      </c>
      <c r="B119" s="22">
        <v>4</v>
      </c>
      <c r="C119" s="37">
        <v>14</v>
      </c>
      <c r="D119" s="46">
        <v>111</v>
      </c>
      <c r="E119" s="60" t="s">
        <v>929</v>
      </c>
      <c r="F119" s="36" t="s">
        <v>1081</v>
      </c>
      <c r="G119" s="46" t="s">
        <v>30</v>
      </c>
      <c r="H119" s="52" t="s">
        <v>1208</v>
      </c>
      <c r="I119" s="52" t="s">
        <v>1235</v>
      </c>
      <c r="J119" s="46">
        <v>48</v>
      </c>
      <c r="K119" s="36" t="s">
        <v>31</v>
      </c>
      <c r="L119" s="60" t="s">
        <v>32</v>
      </c>
      <c r="M119" s="62"/>
      <c r="N119" s="62"/>
      <c r="O119" s="32"/>
      <c r="P119" s="32"/>
    </row>
    <row r="120" spans="1:16" ht="24.75" customHeight="1" x14ac:dyDescent="0.25">
      <c r="A120" s="11" t="str">
        <f t="shared" si="1"/>
        <v>VISTOS BUENOS</v>
      </c>
      <c r="B120" s="22">
        <v>4</v>
      </c>
      <c r="C120" s="37">
        <v>14</v>
      </c>
      <c r="D120" s="46">
        <v>112</v>
      </c>
      <c r="E120" s="60" t="s">
        <v>930</v>
      </c>
      <c r="F120" s="36" t="s">
        <v>1082</v>
      </c>
      <c r="G120" s="46" t="s">
        <v>30</v>
      </c>
      <c r="H120" s="52" t="s">
        <v>1245</v>
      </c>
      <c r="I120" s="52" t="s">
        <v>1246</v>
      </c>
      <c r="J120" s="46">
        <v>22</v>
      </c>
      <c r="K120" s="36" t="s">
        <v>31</v>
      </c>
      <c r="L120" s="60" t="s">
        <v>32</v>
      </c>
      <c r="M120" s="62"/>
      <c r="N120" s="62"/>
      <c r="O120" s="32"/>
      <c r="P120" s="32"/>
    </row>
    <row r="121" spans="1:16" ht="24.75" customHeight="1" x14ac:dyDescent="0.25">
      <c r="A121" s="11" t="str">
        <f t="shared" si="1"/>
        <v>VISTOS BUENOS</v>
      </c>
      <c r="B121" s="22">
        <v>4</v>
      </c>
      <c r="C121" s="37">
        <v>14</v>
      </c>
      <c r="D121" s="46">
        <v>113</v>
      </c>
      <c r="E121" s="60" t="s">
        <v>931</v>
      </c>
      <c r="F121" s="36" t="s">
        <v>1083</v>
      </c>
      <c r="G121" s="46" t="s">
        <v>30</v>
      </c>
      <c r="H121" s="52" t="s">
        <v>1233</v>
      </c>
      <c r="I121" s="52" t="s">
        <v>1234</v>
      </c>
      <c r="J121" s="46">
        <v>34</v>
      </c>
      <c r="K121" s="36" t="s">
        <v>31</v>
      </c>
      <c r="L121" s="60" t="s">
        <v>32</v>
      </c>
      <c r="M121" s="62"/>
      <c r="N121" s="62"/>
      <c r="O121" s="32"/>
      <c r="P121" s="32"/>
    </row>
    <row r="122" spans="1:16" ht="24.75" customHeight="1" x14ac:dyDescent="0.25">
      <c r="A122" s="11" t="str">
        <f t="shared" si="1"/>
        <v>VISTOS BUENOS</v>
      </c>
      <c r="B122" s="22">
        <v>4</v>
      </c>
      <c r="C122" s="37">
        <v>14</v>
      </c>
      <c r="D122" s="46">
        <v>114</v>
      </c>
      <c r="E122" s="60" t="s">
        <v>932</v>
      </c>
      <c r="F122" s="36" t="s">
        <v>1084</v>
      </c>
      <c r="G122" s="46" t="s">
        <v>30</v>
      </c>
      <c r="H122" s="52" t="s">
        <v>1231</v>
      </c>
      <c r="I122" s="52" t="s">
        <v>1219</v>
      </c>
      <c r="J122" s="46">
        <v>15</v>
      </c>
      <c r="K122" s="36" t="s">
        <v>31</v>
      </c>
      <c r="L122" s="60" t="s">
        <v>32</v>
      </c>
      <c r="M122" s="62"/>
      <c r="N122" s="62"/>
      <c r="O122" s="32"/>
      <c r="P122" s="32"/>
    </row>
    <row r="123" spans="1:16" ht="24.75" customHeight="1" x14ac:dyDescent="0.25">
      <c r="A123" s="11" t="str">
        <f t="shared" si="1"/>
        <v>VISTOS BUENOS</v>
      </c>
      <c r="B123" s="22">
        <v>4</v>
      </c>
      <c r="C123" s="37">
        <v>15</v>
      </c>
      <c r="D123" s="46">
        <v>115</v>
      </c>
      <c r="E123" s="60" t="s">
        <v>933</v>
      </c>
      <c r="F123" s="36" t="s">
        <v>1085</v>
      </c>
      <c r="G123" s="46" t="s">
        <v>30</v>
      </c>
      <c r="H123" s="52" t="s">
        <v>1247</v>
      </c>
      <c r="I123" s="52" t="s">
        <v>1248</v>
      </c>
      <c r="J123" s="46">
        <v>24</v>
      </c>
      <c r="K123" s="36" t="s">
        <v>31</v>
      </c>
      <c r="L123" s="60" t="s">
        <v>32</v>
      </c>
      <c r="M123" s="62"/>
      <c r="N123" s="62"/>
      <c r="O123" s="32"/>
      <c r="P123" s="32"/>
    </row>
    <row r="124" spans="1:16" ht="24.75" customHeight="1" x14ac:dyDescent="0.25">
      <c r="A124" s="11" t="str">
        <f t="shared" si="1"/>
        <v>VISTOS BUENOS</v>
      </c>
      <c r="B124" s="22">
        <v>4</v>
      </c>
      <c r="C124" s="37">
        <v>15</v>
      </c>
      <c r="D124" s="46">
        <v>116</v>
      </c>
      <c r="E124" s="60" t="s">
        <v>934</v>
      </c>
      <c r="F124" s="36" t="s">
        <v>1086</v>
      </c>
      <c r="G124" s="46" t="s">
        <v>30</v>
      </c>
      <c r="H124" s="52" t="s">
        <v>1247</v>
      </c>
      <c r="I124" s="52" t="s">
        <v>1242</v>
      </c>
      <c r="J124" s="46">
        <v>17</v>
      </c>
      <c r="K124" s="36" t="s">
        <v>31</v>
      </c>
      <c r="L124" s="60" t="s">
        <v>32</v>
      </c>
      <c r="M124" s="62"/>
      <c r="N124" s="62"/>
      <c r="O124" s="32"/>
      <c r="P124" s="32"/>
    </row>
    <row r="125" spans="1:16" ht="24.75" customHeight="1" x14ac:dyDescent="0.25">
      <c r="A125" s="11" t="str">
        <f t="shared" si="1"/>
        <v>VISTOS BUENOS</v>
      </c>
      <c r="B125" s="22">
        <v>4</v>
      </c>
      <c r="C125" s="37">
        <v>15</v>
      </c>
      <c r="D125" s="46">
        <v>117</v>
      </c>
      <c r="E125" s="60" t="s">
        <v>926</v>
      </c>
      <c r="F125" s="36" t="s">
        <v>1078</v>
      </c>
      <c r="G125" s="46" t="s">
        <v>30</v>
      </c>
      <c r="H125" s="52" t="s">
        <v>1240</v>
      </c>
      <c r="I125" s="52" t="s">
        <v>1249</v>
      </c>
      <c r="J125" s="46">
        <v>21</v>
      </c>
      <c r="K125" s="36" t="s">
        <v>31</v>
      </c>
      <c r="L125" s="60" t="s">
        <v>32</v>
      </c>
      <c r="M125" s="62"/>
      <c r="N125" s="62"/>
      <c r="O125" s="32"/>
      <c r="P125" s="32"/>
    </row>
    <row r="126" spans="1:16" ht="24.75" customHeight="1" x14ac:dyDescent="0.25">
      <c r="A126" s="11" t="str">
        <f t="shared" si="1"/>
        <v>VISTOS BUENOS</v>
      </c>
      <c r="B126" s="22">
        <v>4</v>
      </c>
      <c r="C126" s="37">
        <v>15</v>
      </c>
      <c r="D126" s="46">
        <v>118</v>
      </c>
      <c r="E126" s="60" t="s">
        <v>935</v>
      </c>
      <c r="F126" s="36" t="s">
        <v>1087</v>
      </c>
      <c r="G126" s="46" t="s">
        <v>30</v>
      </c>
      <c r="H126" s="52" t="s">
        <v>1250</v>
      </c>
      <c r="I126" s="52" t="s">
        <v>1238</v>
      </c>
      <c r="J126" s="46">
        <v>16</v>
      </c>
      <c r="K126" s="36" t="s">
        <v>31</v>
      </c>
      <c r="L126" s="60" t="s">
        <v>32</v>
      </c>
      <c r="M126" s="62"/>
      <c r="N126" s="62"/>
      <c r="O126" s="32"/>
      <c r="P126" s="32"/>
    </row>
    <row r="127" spans="1:16" ht="24.75" customHeight="1" x14ac:dyDescent="0.25">
      <c r="A127" s="11" t="str">
        <f t="shared" si="1"/>
        <v>VISTOS BUENOS</v>
      </c>
      <c r="B127" s="22">
        <v>4</v>
      </c>
      <c r="C127" s="37">
        <v>15</v>
      </c>
      <c r="D127" s="46">
        <v>119</v>
      </c>
      <c r="E127" s="60" t="s">
        <v>936</v>
      </c>
      <c r="F127" s="36" t="s">
        <v>1088</v>
      </c>
      <c r="G127" s="46" t="s">
        <v>30</v>
      </c>
      <c r="H127" s="52" t="s">
        <v>1250</v>
      </c>
      <c r="I127" s="52" t="s">
        <v>1251</v>
      </c>
      <c r="J127" s="46">
        <v>33</v>
      </c>
      <c r="K127" s="36" t="s">
        <v>31</v>
      </c>
      <c r="L127" s="60" t="s">
        <v>32</v>
      </c>
      <c r="M127" s="62"/>
      <c r="N127" s="62"/>
      <c r="O127" s="32"/>
      <c r="P127" s="32"/>
    </row>
    <row r="128" spans="1:16" ht="24.75" customHeight="1" x14ac:dyDescent="0.25">
      <c r="A128" s="11" t="str">
        <f t="shared" si="1"/>
        <v>VISTOS BUENOS</v>
      </c>
      <c r="B128" s="22">
        <v>4</v>
      </c>
      <c r="C128" s="37">
        <v>15</v>
      </c>
      <c r="D128" s="46">
        <v>120</v>
      </c>
      <c r="E128" s="60" t="s">
        <v>937</v>
      </c>
      <c r="F128" s="36" t="s">
        <v>1089</v>
      </c>
      <c r="G128" s="46" t="s">
        <v>30</v>
      </c>
      <c r="H128" s="52" t="s">
        <v>1248</v>
      </c>
      <c r="I128" s="52" t="s">
        <v>1252</v>
      </c>
      <c r="J128" s="46">
        <v>29</v>
      </c>
      <c r="K128" s="36" t="s">
        <v>31</v>
      </c>
      <c r="L128" s="60" t="s">
        <v>32</v>
      </c>
      <c r="M128" s="62"/>
      <c r="N128" s="62"/>
      <c r="O128" s="32"/>
      <c r="P128" s="32"/>
    </row>
    <row r="129" spans="1:16" ht="24.75" customHeight="1" x14ac:dyDescent="0.25">
      <c r="A129" s="11" t="str">
        <f t="shared" si="1"/>
        <v>VISTOS BUENOS</v>
      </c>
      <c r="B129" s="22">
        <v>5</v>
      </c>
      <c r="C129" s="37">
        <v>15</v>
      </c>
      <c r="D129" s="46">
        <v>121</v>
      </c>
      <c r="E129" s="60" t="s">
        <v>938</v>
      </c>
      <c r="F129" s="36" t="s">
        <v>1090</v>
      </c>
      <c r="G129" s="46" t="s">
        <v>30</v>
      </c>
      <c r="H129" s="52" t="s">
        <v>1248</v>
      </c>
      <c r="I129" s="52" t="s">
        <v>1253</v>
      </c>
      <c r="J129" s="46">
        <v>150</v>
      </c>
      <c r="K129" s="36" t="s">
        <v>31</v>
      </c>
      <c r="L129" s="60" t="s">
        <v>32</v>
      </c>
      <c r="M129" s="62"/>
      <c r="N129" s="62"/>
      <c r="O129" s="32"/>
      <c r="P129" s="32"/>
    </row>
    <row r="130" spans="1:16" ht="24.75" customHeight="1" x14ac:dyDescent="0.25">
      <c r="A130" s="11" t="str">
        <f t="shared" si="1"/>
        <v>VISTOS BUENOS</v>
      </c>
      <c r="B130" s="22">
        <v>5</v>
      </c>
      <c r="C130" s="37">
        <v>15</v>
      </c>
      <c r="D130" s="46">
        <v>122</v>
      </c>
      <c r="E130" s="60" t="s">
        <v>939</v>
      </c>
      <c r="F130" s="36" t="s">
        <v>1091</v>
      </c>
      <c r="G130" s="46" t="s">
        <v>1281</v>
      </c>
      <c r="H130" s="52" t="s">
        <v>1248</v>
      </c>
      <c r="I130" s="52" t="s">
        <v>1280</v>
      </c>
      <c r="J130" s="46">
        <v>22</v>
      </c>
      <c r="K130" s="36" t="s">
        <v>31</v>
      </c>
      <c r="L130" s="60" t="s">
        <v>32</v>
      </c>
      <c r="M130" s="62"/>
      <c r="N130" s="62"/>
      <c r="O130" s="32"/>
      <c r="P130" s="32"/>
    </row>
    <row r="131" spans="1:16" ht="24.75" customHeight="1" x14ac:dyDescent="0.25">
      <c r="A131" s="11" t="str">
        <f t="shared" si="1"/>
        <v>VISTOS BUENOS</v>
      </c>
      <c r="B131" s="22">
        <v>5</v>
      </c>
      <c r="C131" s="37">
        <v>16</v>
      </c>
      <c r="D131" s="46">
        <v>123</v>
      </c>
      <c r="E131" s="60" t="s">
        <v>940</v>
      </c>
      <c r="F131" s="36" t="s">
        <v>1092</v>
      </c>
      <c r="G131" s="46" t="s">
        <v>30</v>
      </c>
      <c r="H131" s="52" t="s">
        <v>1248</v>
      </c>
      <c r="I131" s="52" t="s">
        <v>1254</v>
      </c>
      <c r="J131" s="46">
        <v>55</v>
      </c>
      <c r="K131" s="36" t="s">
        <v>31</v>
      </c>
      <c r="L131" s="60" t="s">
        <v>32</v>
      </c>
      <c r="M131" s="62"/>
      <c r="N131" s="62"/>
      <c r="O131" s="32"/>
      <c r="P131" s="32"/>
    </row>
    <row r="132" spans="1:16" ht="24.75" customHeight="1" x14ac:dyDescent="0.25">
      <c r="A132" s="11" t="str">
        <f t="shared" si="1"/>
        <v>VISTOS BUENOS</v>
      </c>
      <c r="B132" s="22">
        <v>5</v>
      </c>
      <c r="C132" s="37">
        <v>16</v>
      </c>
      <c r="D132" s="46">
        <v>124</v>
      </c>
      <c r="E132" s="60" t="s">
        <v>941</v>
      </c>
      <c r="F132" s="36" t="s">
        <v>1093</v>
      </c>
      <c r="G132" s="46" t="s">
        <v>30</v>
      </c>
      <c r="H132" s="52" t="s">
        <v>1242</v>
      </c>
      <c r="I132" s="52" t="s">
        <v>1253</v>
      </c>
      <c r="J132" s="46">
        <v>36</v>
      </c>
      <c r="K132" s="36" t="s">
        <v>31</v>
      </c>
      <c r="L132" s="60" t="s">
        <v>32</v>
      </c>
      <c r="M132" s="62"/>
      <c r="N132" s="62"/>
      <c r="O132" s="32"/>
      <c r="P132" s="32"/>
    </row>
    <row r="133" spans="1:16" ht="24.75" customHeight="1" x14ac:dyDescent="0.25">
      <c r="A133" s="11" t="str">
        <f t="shared" si="1"/>
        <v>VISTOS BUENOS</v>
      </c>
      <c r="B133" s="22">
        <v>5</v>
      </c>
      <c r="C133" s="37">
        <v>16</v>
      </c>
      <c r="D133" s="46">
        <v>125</v>
      </c>
      <c r="E133" s="60" t="s">
        <v>942</v>
      </c>
      <c r="F133" s="36" t="s">
        <v>1079</v>
      </c>
      <c r="G133" s="46" t="s">
        <v>30</v>
      </c>
      <c r="H133" s="52" t="s">
        <v>1242</v>
      </c>
      <c r="I133" s="52" t="s">
        <v>1241</v>
      </c>
      <c r="J133" s="46">
        <v>11</v>
      </c>
      <c r="K133" s="36" t="s">
        <v>31</v>
      </c>
      <c r="L133" s="60" t="s">
        <v>32</v>
      </c>
      <c r="M133" s="62"/>
      <c r="N133" s="62"/>
      <c r="O133" s="32"/>
      <c r="P133" s="32"/>
    </row>
    <row r="134" spans="1:16" ht="24.75" customHeight="1" x14ac:dyDescent="0.25">
      <c r="A134" s="11" t="str">
        <f t="shared" si="1"/>
        <v>VISTOS BUENOS</v>
      </c>
      <c r="B134" s="22">
        <v>5</v>
      </c>
      <c r="C134" s="37">
        <v>16</v>
      </c>
      <c r="D134" s="46">
        <v>126</v>
      </c>
      <c r="E134" s="60" t="s">
        <v>943</v>
      </c>
      <c r="F134" s="36" t="s">
        <v>1094</v>
      </c>
      <c r="G134" s="46" t="s">
        <v>30</v>
      </c>
      <c r="H134" s="52" t="s">
        <v>1242</v>
      </c>
      <c r="I134" s="52" t="s">
        <v>1255</v>
      </c>
      <c r="J134" s="46">
        <v>32</v>
      </c>
      <c r="K134" s="36" t="s">
        <v>31</v>
      </c>
      <c r="L134" s="60" t="s">
        <v>32</v>
      </c>
      <c r="M134" s="62"/>
      <c r="N134" s="62"/>
      <c r="O134" s="32"/>
      <c r="P134" s="32"/>
    </row>
    <row r="135" spans="1:16" ht="24.75" customHeight="1" x14ac:dyDescent="0.25">
      <c r="A135" s="11" t="str">
        <f t="shared" si="1"/>
        <v>VISTOS BUENOS</v>
      </c>
      <c r="B135" s="22">
        <v>5</v>
      </c>
      <c r="C135" s="37">
        <v>17</v>
      </c>
      <c r="D135" s="46">
        <v>127</v>
      </c>
      <c r="E135" s="60" t="s">
        <v>944</v>
      </c>
      <c r="F135" s="36" t="s">
        <v>1095</v>
      </c>
      <c r="G135" s="46" t="s">
        <v>30</v>
      </c>
      <c r="H135" s="52" t="s">
        <v>1256</v>
      </c>
      <c r="I135" s="52" t="s">
        <v>1257</v>
      </c>
      <c r="J135" s="46">
        <v>243</v>
      </c>
      <c r="K135" s="36" t="s">
        <v>31</v>
      </c>
      <c r="L135" s="60" t="s">
        <v>32</v>
      </c>
      <c r="M135" s="62"/>
      <c r="N135" s="62"/>
      <c r="O135" s="32"/>
      <c r="P135" s="32"/>
    </row>
    <row r="136" spans="1:16" ht="24.75" customHeight="1" x14ac:dyDescent="0.25">
      <c r="A136" s="11" t="str">
        <f t="shared" si="1"/>
        <v>VISTOS BUENOS</v>
      </c>
      <c r="B136" s="22">
        <v>5</v>
      </c>
      <c r="C136" s="37">
        <v>18</v>
      </c>
      <c r="D136" s="46">
        <v>128</v>
      </c>
      <c r="E136" s="60" t="s">
        <v>945</v>
      </c>
      <c r="F136" s="36" t="s">
        <v>1096</v>
      </c>
      <c r="G136" s="46" t="s">
        <v>30</v>
      </c>
      <c r="H136" s="52" t="s">
        <v>1255</v>
      </c>
      <c r="I136" s="52" t="s">
        <v>1258</v>
      </c>
      <c r="J136" s="46">
        <v>11</v>
      </c>
      <c r="K136" s="36" t="s">
        <v>31</v>
      </c>
      <c r="L136" s="60" t="s">
        <v>32</v>
      </c>
      <c r="M136" s="62"/>
      <c r="N136" s="62"/>
      <c r="O136" s="32"/>
      <c r="P136" s="32"/>
    </row>
    <row r="137" spans="1:16" ht="24.75" customHeight="1" x14ac:dyDescent="0.25">
      <c r="A137" s="11" t="str">
        <f t="shared" si="1"/>
        <v>VISTOS BUENOS</v>
      </c>
      <c r="B137" s="22">
        <v>5</v>
      </c>
      <c r="C137" s="37">
        <v>18</v>
      </c>
      <c r="D137" s="46">
        <v>129</v>
      </c>
      <c r="E137" s="60" t="s">
        <v>946</v>
      </c>
      <c r="F137" s="36" t="s">
        <v>1097</v>
      </c>
      <c r="G137" s="46" t="s">
        <v>30</v>
      </c>
      <c r="H137" s="52" t="s">
        <v>1258</v>
      </c>
      <c r="I137" s="52" t="s">
        <v>1259</v>
      </c>
      <c r="J137" s="46">
        <v>21</v>
      </c>
      <c r="K137" s="36" t="s">
        <v>31</v>
      </c>
      <c r="L137" s="60" t="s">
        <v>32</v>
      </c>
      <c r="M137" s="62"/>
      <c r="N137" s="62"/>
      <c r="O137" s="32"/>
      <c r="P137" s="32"/>
    </row>
    <row r="138" spans="1:16" ht="24.75" customHeight="1" x14ac:dyDescent="0.25">
      <c r="A138" s="11" t="str">
        <f t="shared" si="1"/>
        <v>VISTOS BUENOS</v>
      </c>
      <c r="B138" s="22">
        <v>5</v>
      </c>
      <c r="C138" s="37">
        <v>18</v>
      </c>
      <c r="D138" s="46">
        <v>130</v>
      </c>
      <c r="E138" s="60" t="s">
        <v>947</v>
      </c>
      <c r="F138" s="36" t="s">
        <v>1098</v>
      </c>
      <c r="G138" s="46" t="s">
        <v>30</v>
      </c>
      <c r="H138" s="52" t="s">
        <v>1243</v>
      </c>
      <c r="I138" s="52" t="s">
        <v>1260</v>
      </c>
      <c r="J138" s="46">
        <v>24</v>
      </c>
      <c r="K138" s="36" t="s">
        <v>31</v>
      </c>
      <c r="L138" s="60" t="s">
        <v>32</v>
      </c>
      <c r="M138" s="62"/>
      <c r="N138" s="62"/>
      <c r="O138" s="32"/>
      <c r="P138" s="32"/>
    </row>
    <row r="139" spans="1:16" ht="24.75" customHeight="1" x14ac:dyDescent="0.25">
      <c r="A139" s="11" t="str">
        <f t="shared" ref="A139:A175" si="2">A138</f>
        <v>VISTOS BUENOS</v>
      </c>
      <c r="B139" s="22">
        <v>5</v>
      </c>
      <c r="C139" s="37">
        <v>18</v>
      </c>
      <c r="D139" s="46">
        <v>131</v>
      </c>
      <c r="E139" s="60" t="s">
        <v>948</v>
      </c>
      <c r="F139" s="36" t="s">
        <v>1099</v>
      </c>
      <c r="G139" s="46" t="s">
        <v>30</v>
      </c>
      <c r="H139" s="52" t="s">
        <v>1261</v>
      </c>
      <c r="I139" s="52" t="s">
        <v>1262</v>
      </c>
      <c r="J139" s="46">
        <v>31</v>
      </c>
      <c r="K139" s="36" t="s">
        <v>31</v>
      </c>
      <c r="L139" s="60" t="s">
        <v>32</v>
      </c>
      <c r="M139" s="62"/>
      <c r="N139" s="62"/>
      <c r="O139" s="32"/>
      <c r="P139" s="32"/>
    </row>
    <row r="140" spans="1:16" ht="24.75" customHeight="1" x14ac:dyDescent="0.25">
      <c r="A140" s="11" t="str">
        <f t="shared" si="2"/>
        <v>VISTOS BUENOS</v>
      </c>
      <c r="B140" s="22">
        <v>5</v>
      </c>
      <c r="C140" s="37">
        <v>18</v>
      </c>
      <c r="D140" s="46">
        <v>132</v>
      </c>
      <c r="E140" s="60" t="s">
        <v>949</v>
      </c>
      <c r="F140" s="36" t="s">
        <v>1100</v>
      </c>
      <c r="G140" s="46" t="s">
        <v>30</v>
      </c>
      <c r="H140" s="52" t="s">
        <v>1261</v>
      </c>
      <c r="I140" s="52" t="s">
        <v>1263</v>
      </c>
      <c r="J140" s="46">
        <v>33</v>
      </c>
      <c r="K140" s="36" t="s">
        <v>31</v>
      </c>
      <c r="L140" s="60" t="s">
        <v>32</v>
      </c>
      <c r="M140" s="62"/>
      <c r="N140" s="62"/>
      <c r="O140" s="32"/>
      <c r="P140" s="32"/>
    </row>
    <row r="141" spans="1:16" ht="24.75" customHeight="1" x14ac:dyDescent="0.25">
      <c r="A141" s="11" t="str">
        <f t="shared" si="2"/>
        <v>VISTOS BUENOS</v>
      </c>
      <c r="B141" s="22">
        <v>5</v>
      </c>
      <c r="C141" s="37">
        <v>18</v>
      </c>
      <c r="D141" s="46">
        <v>133</v>
      </c>
      <c r="E141" s="60" t="s">
        <v>950</v>
      </c>
      <c r="F141" s="36" t="s">
        <v>1101</v>
      </c>
      <c r="G141" s="46" t="s">
        <v>30</v>
      </c>
      <c r="H141" s="52" t="s">
        <v>1261</v>
      </c>
      <c r="I141" s="52" t="s">
        <v>1256</v>
      </c>
      <c r="J141" s="46">
        <v>37</v>
      </c>
      <c r="K141" s="36" t="s">
        <v>31</v>
      </c>
      <c r="L141" s="60" t="s">
        <v>32</v>
      </c>
      <c r="M141" s="62"/>
      <c r="N141" s="62"/>
      <c r="O141" s="32"/>
      <c r="P141" s="32"/>
    </row>
    <row r="142" spans="1:16" ht="24.75" customHeight="1" x14ac:dyDescent="0.25">
      <c r="A142" s="11" t="str">
        <f t="shared" si="2"/>
        <v>VISTOS BUENOS</v>
      </c>
      <c r="B142" s="22">
        <v>5</v>
      </c>
      <c r="C142" s="37">
        <v>18</v>
      </c>
      <c r="D142" s="46">
        <v>134</v>
      </c>
      <c r="E142" s="60" t="s">
        <v>951</v>
      </c>
      <c r="F142" s="36" t="s">
        <v>1102</v>
      </c>
      <c r="G142" s="46" t="s">
        <v>30</v>
      </c>
      <c r="H142" s="52" t="s">
        <v>1261</v>
      </c>
      <c r="I142" s="52" t="s">
        <v>1263</v>
      </c>
      <c r="J142" s="46">
        <v>40</v>
      </c>
      <c r="K142" s="36" t="s">
        <v>31</v>
      </c>
      <c r="L142" s="60" t="s">
        <v>32</v>
      </c>
      <c r="M142" s="62"/>
      <c r="N142" s="62"/>
      <c r="O142" s="32"/>
      <c r="P142" s="32"/>
    </row>
    <row r="143" spans="1:16" ht="24.75" customHeight="1" x14ac:dyDescent="0.25">
      <c r="A143" s="11" t="str">
        <f t="shared" si="2"/>
        <v>VISTOS BUENOS</v>
      </c>
      <c r="B143" s="22">
        <v>5</v>
      </c>
      <c r="C143" s="37">
        <v>18</v>
      </c>
      <c r="D143" s="46">
        <v>135</v>
      </c>
      <c r="E143" s="60" t="s">
        <v>952</v>
      </c>
      <c r="F143" s="36" t="s">
        <v>1103</v>
      </c>
      <c r="G143" s="46" t="s">
        <v>30</v>
      </c>
      <c r="H143" s="52" t="s">
        <v>1261</v>
      </c>
      <c r="I143" s="52" t="s">
        <v>1256</v>
      </c>
      <c r="J143" s="46">
        <v>50</v>
      </c>
      <c r="K143" s="36" t="s">
        <v>31</v>
      </c>
      <c r="L143" s="60" t="s">
        <v>32</v>
      </c>
      <c r="M143" s="62"/>
      <c r="N143" s="62"/>
      <c r="O143" s="32"/>
      <c r="P143" s="32"/>
    </row>
    <row r="144" spans="1:16" ht="24.75" customHeight="1" x14ac:dyDescent="0.25">
      <c r="A144" s="11" t="str">
        <f t="shared" si="2"/>
        <v>VISTOS BUENOS</v>
      </c>
      <c r="B144" s="22">
        <v>5</v>
      </c>
      <c r="C144" s="37">
        <v>18</v>
      </c>
      <c r="D144" s="46">
        <v>136</v>
      </c>
      <c r="E144" s="60" t="s">
        <v>953</v>
      </c>
      <c r="F144" s="36" t="s">
        <v>1104</v>
      </c>
      <c r="G144" s="46" t="s">
        <v>30</v>
      </c>
      <c r="H144" s="52" t="s">
        <v>1261</v>
      </c>
      <c r="I144" s="52" t="s">
        <v>1264</v>
      </c>
      <c r="J144" s="46">
        <v>28</v>
      </c>
      <c r="K144" s="36" t="s">
        <v>31</v>
      </c>
      <c r="L144" s="60" t="s">
        <v>32</v>
      </c>
      <c r="M144" s="62"/>
      <c r="N144" s="62"/>
      <c r="O144" s="32"/>
      <c r="P144" s="32"/>
    </row>
    <row r="145" spans="1:16" ht="24.75" customHeight="1" x14ac:dyDescent="0.25">
      <c r="A145" s="11" t="str">
        <f t="shared" si="2"/>
        <v>VISTOS BUENOS</v>
      </c>
      <c r="B145" s="22">
        <v>5</v>
      </c>
      <c r="C145" s="37">
        <v>19</v>
      </c>
      <c r="D145" s="46">
        <v>137</v>
      </c>
      <c r="E145" s="60" t="s">
        <v>954</v>
      </c>
      <c r="F145" s="36" t="s">
        <v>1105</v>
      </c>
      <c r="G145" s="46" t="s">
        <v>30</v>
      </c>
      <c r="H145" s="52" t="s">
        <v>1261</v>
      </c>
      <c r="I145" s="52" t="s">
        <v>1265</v>
      </c>
      <c r="J145" s="46">
        <v>35</v>
      </c>
      <c r="K145" s="36" t="s">
        <v>31</v>
      </c>
      <c r="L145" s="60" t="s">
        <v>32</v>
      </c>
      <c r="M145" s="62"/>
      <c r="N145" s="62"/>
      <c r="O145" s="32"/>
      <c r="P145" s="32"/>
    </row>
    <row r="146" spans="1:16" ht="24.75" customHeight="1" x14ac:dyDescent="0.25">
      <c r="A146" s="11" t="str">
        <f t="shared" si="2"/>
        <v>VISTOS BUENOS</v>
      </c>
      <c r="B146" s="22">
        <v>5</v>
      </c>
      <c r="C146" s="37">
        <v>19</v>
      </c>
      <c r="D146" s="46">
        <v>138</v>
      </c>
      <c r="E146" s="60" t="s">
        <v>955</v>
      </c>
      <c r="F146" s="36" t="s">
        <v>1106</v>
      </c>
      <c r="G146" s="46" t="s">
        <v>30</v>
      </c>
      <c r="H146" s="52" t="s">
        <v>1261</v>
      </c>
      <c r="I146" s="52" t="s">
        <v>1263</v>
      </c>
      <c r="J146" s="46">
        <v>23</v>
      </c>
      <c r="K146" s="36" t="s">
        <v>31</v>
      </c>
      <c r="L146" s="60" t="s">
        <v>32</v>
      </c>
      <c r="M146" s="62"/>
      <c r="N146" s="62"/>
      <c r="O146" s="32"/>
      <c r="P146" s="32"/>
    </row>
    <row r="147" spans="1:16" ht="24.75" customHeight="1" x14ac:dyDescent="0.25">
      <c r="A147" s="11" t="str">
        <f t="shared" si="2"/>
        <v>VISTOS BUENOS</v>
      </c>
      <c r="B147" s="22">
        <v>5</v>
      </c>
      <c r="C147" s="37">
        <v>19</v>
      </c>
      <c r="D147" s="46">
        <v>139</v>
      </c>
      <c r="E147" s="60" t="s">
        <v>956</v>
      </c>
      <c r="F147" s="36" t="s">
        <v>1107</v>
      </c>
      <c r="G147" s="46" t="s">
        <v>30</v>
      </c>
      <c r="H147" s="52" t="s">
        <v>1266</v>
      </c>
      <c r="I147" s="52" t="s">
        <v>1264</v>
      </c>
      <c r="J147" s="46">
        <v>37</v>
      </c>
      <c r="K147" s="36" t="s">
        <v>31</v>
      </c>
      <c r="L147" s="60" t="s">
        <v>32</v>
      </c>
      <c r="M147" s="62"/>
      <c r="N147" s="62"/>
      <c r="O147" s="32"/>
      <c r="P147" s="32"/>
    </row>
    <row r="148" spans="1:16" ht="24.75" customHeight="1" x14ac:dyDescent="0.25">
      <c r="A148" s="11" t="str">
        <f t="shared" si="2"/>
        <v>VISTOS BUENOS</v>
      </c>
      <c r="B148" s="22">
        <v>5</v>
      </c>
      <c r="C148" s="37">
        <v>19</v>
      </c>
      <c r="D148" s="46">
        <v>140</v>
      </c>
      <c r="E148" s="60" t="s">
        <v>957</v>
      </c>
      <c r="F148" s="36" t="s">
        <v>1108</v>
      </c>
      <c r="G148" s="46" t="s">
        <v>30</v>
      </c>
      <c r="H148" s="52" t="s">
        <v>1267</v>
      </c>
      <c r="I148" s="52" t="s">
        <v>1264</v>
      </c>
      <c r="J148" s="46">
        <v>23</v>
      </c>
      <c r="K148" s="36" t="s">
        <v>31</v>
      </c>
      <c r="L148" s="60" t="s">
        <v>32</v>
      </c>
      <c r="M148" s="62"/>
      <c r="N148" s="62"/>
      <c r="O148" s="32"/>
      <c r="P148" s="32"/>
    </row>
    <row r="149" spans="1:16" ht="24.75" customHeight="1" x14ac:dyDescent="0.25">
      <c r="A149" s="11" t="str">
        <f t="shared" si="2"/>
        <v>VISTOS BUENOS</v>
      </c>
      <c r="B149" s="22">
        <v>6</v>
      </c>
      <c r="C149" s="37">
        <v>19</v>
      </c>
      <c r="D149" s="46">
        <v>141</v>
      </c>
      <c r="E149" s="60" t="s">
        <v>958</v>
      </c>
      <c r="F149" s="36" t="s">
        <v>1109</v>
      </c>
      <c r="G149" s="46" t="s">
        <v>30</v>
      </c>
      <c r="H149" s="52" t="s">
        <v>1267</v>
      </c>
      <c r="I149" s="52" t="s">
        <v>1268</v>
      </c>
      <c r="J149" s="46">
        <v>29</v>
      </c>
      <c r="K149" s="36" t="s">
        <v>31</v>
      </c>
      <c r="L149" s="60" t="s">
        <v>32</v>
      </c>
      <c r="M149" s="62"/>
      <c r="N149" s="62"/>
      <c r="O149" s="32"/>
      <c r="P149" s="32"/>
    </row>
    <row r="150" spans="1:16" ht="24.75" customHeight="1" x14ac:dyDescent="0.25">
      <c r="A150" s="11" t="str">
        <f t="shared" si="2"/>
        <v>VISTOS BUENOS</v>
      </c>
      <c r="B150" s="22">
        <v>6</v>
      </c>
      <c r="C150" s="37">
        <v>19</v>
      </c>
      <c r="D150" s="46">
        <v>142</v>
      </c>
      <c r="E150" s="60" t="s">
        <v>959</v>
      </c>
      <c r="F150" s="36" t="s">
        <v>1110</v>
      </c>
      <c r="G150" s="46" t="s">
        <v>30</v>
      </c>
      <c r="H150" s="52" t="s">
        <v>1267</v>
      </c>
      <c r="I150" s="52" t="s">
        <v>1257</v>
      </c>
      <c r="J150" s="46">
        <v>32</v>
      </c>
      <c r="K150" s="36" t="s">
        <v>31</v>
      </c>
      <c r="L150" s="60" t="s">
        <v>32</v>
      </c>
      <c r="M150" s="62"/>
      <c r="N150" s="62"/>
      <c r="O150" s="32"/>
      <c r="P150" s="32"/>
    </row>
    <row r="151" spans="1:16" ht="24.75" customHeight="1" x14ac:dyDescent="0.25">
      <c r="A151" s="11" t="str">
        <f t="shared" si="2"/>
        <v>VISTOS BUENOS</v>
      </c>
      <c r="B151" s="22">
        <v>6</v>
      </c>
      <c r="C151" s="37">
        <v>19</v>
      </c>
      <c r="D151" s="46">
        <v>143</v>
      </c>
      <c r="E151" s="60" t="s">
        <v>960</v>
      </c>
      <c r="F151" s="36" t="s">
        <v>1107</v>
      </c>
      <c r="G151" s="46" t="s">
        <v>30</v>
      </c>
      <c r="H151" s="52" t="s">
        <v>1267</v>
      </c>
      <c r="I151" s="52" t="s">
        <v>1268</v>
      </c>
      <c r="J151" s="46">
        <v>27</v>
      </c>
      <c r="K151" s="36" t="s">
        <v>31</v>
      </c>
      <c r="L151" s="60" t="s">
        <v>32</v>
      </c>
      <c r="M151" s="62"/>
      <c r="N151" s="62"/>
      <c r="O151" s="32"/>
      <c r="P151" s="32"/>
    </row>
    <row r="152" spans="1:16" ht="24.75" customHeight="1" x14ac:dyDescent="0.25">
      <c r="A152" s="11" t="str">
        <f t="shared" si="2"/>
        <v>VISTOS BUENOS</v>
      </c>
      <c r="B152" s="22">
        <v>6</v>
      </c>
      <c r="C152" s="37">
        <v>19</v>
      </c>
      <c r="D152" s="46">
        <v>144</v>
      </c>
      <c r="E152" s="60" t="s">
        <v>961</v>
      </c>
      <c r="F152" s="36" t="s">
        <v>1111</v>
      </c>
      <c r="G152" s="46" t="s">
        <v>30</v>
      </c>
      <c r="H152" s="52" t="s">
        <v>1269</v>
      </c>
      <c r="I152" s="52" t="s">
        <v>1270</v>
      </c>
      <c r="J152" s="46">
        <v>19</v>
      </c>
      <c r="K152" s="36" t="s">
        <v>31</v>
      </c>
      <c r="L152" s="60" t="s">
        <v>32</v>
      </c>
      <c r="M152" s="62"/>
      <c r="N152" s="62"/>
      <c r="O152" s="32"/>
      <c r="P152" s="32"/>
    </row>
    <row r="153" spans="1:16" ht="24.75" customHeight="1" x14ac:dyDescent="0.25">
      <c r="A153" s="24" t="str">
        <f t="shared" si="2"/>
        <v>VISTOS BUENOS</v>
      </c>
      <c r="B153" s="22">
        <v>6</v>
      </c>
      <c r="C153" s="37">
        <v>19</v>
      </c>
      <c r="D153" s="46">
        <v>145</v>
      </c>
      <c r="E153" s="60" t="s">
        <v>962</v>
      </c>
      <c r="F153" s="36" t="s">
        <v>1112</v>
      </c>
      <c r="G153" s="46" t="s">
        <v>30</v>
      </c>
      <c r="H153" s="52" t="s">
        <v>1269</v>
      </c>
      <c r="I153" s="52" t="s">
        <v>1271</v>
      </c>
      <c r="J153" s="46">
        <v>32</v>
      </c>
      <c r="K153" s="36" t="s">
        <v>31</v>
      </c>
      <c r="L153" s="60" t="s">
        <v>32</v>
      </c>
      <c r="M153" s="62"/>
      <c r="N153" s="62"/>
      <c r="O153" s="32"/>
      <c r="P153" s="32"/>
    </row>
    <row r="154" spans="1:16" ht="24.75" customHeight="1" x14ac:dyDescent="0.25">
      <c r="A154" s="46" t="str">
        <f t="shared" si="2"/>
        <v>VISTOS BUENOS</v>
      </c>
      <c r="B154" s="22">
        <v>6</v>
      </c>
      <c r="C154" s="37">
        <v>19</v>
      </c>
      <c r="D154" s="46">
        <v>146</v>
      </c>
      <c r="E154" s="60" t="s">
        <v>963</v>
      </c>
      <c r="F154" s="36" t="s">
        <v>1113</v>
      </c>
      <c r="G154" s="46" t="s">
        <v>30</v>
      </c>
      <c r="H154" s="52" t="s">
        <v>1269</v>
      </c>
      <c r="I154" s="52" t="s">
        <v>1264</v>
      </c>
      <c r="J154" s="46">
        <v>21</v>
      </c>
      <c r="K154" s="36" t="s">
        <v>31</v>
      </c>
      <c r="L154" s="60" t="s">
        <v>32</v>
      </c>
      <c r="M154" s="62"/>
      <c r="N154" s="62"/>
      <c r="O154" s="32"/>
      <c r="P154" s="32"/>
    </row>
    <row r="155" spans="1:16" ht="24.75" customHeight="1" x14ac:dyDescent="0.25">
      <c r="A155" s="46" t="str">
        <f t="shared" si="2"/>
        <v>VISTOS BUENOS</v>
      </c>
      <c r="B155" s="22">
        <v>6</v>
      </c>
      <c r="C155" s="37">
        <v>19</v>
      </c>
      <c r="D155" s="46">
        <v>147</v>
      </c>
      <c r="E155" s="60" t="s">
        <v>964</v>
      </c>
      <c r="F155" s="36" t="s">
        <v>1114</v>
      </c>
      <c r="G155" s="46" t="s">
        <v>30</v>
      </c>
      <c r="H155" s="52" t="s">
        <v>1260</v>
      </c>
      <c r="I155" s="52" t="s">
        <v>1260</v>
      </c>
      <c r="J155" s="46">
        <v>35</v>
      </c>
      <c r="K155" s="36" t="s">
        <v>31</v>
      </c>
      <c r="L155" s="60" t="s">
        <v>32</v>
      </c>
      <c r="M155" s="62"/>
      <c r="N155" s="62"/>
      <c r="O155" s="32"/>
      <c r="P155" s="32"/>
    </row>
    <row r="156" spans="1:16" ht="24.75" customHeight="1" x14ac:dyDescent="0.25">
      <c r="A156" s="46" t="str">
        <f t="shared" si="2"/>
        <v>VISTOS BUENOS</v>
      </c>
      <c r="B156" s="22">
        <v>6</v>
      </c>
      <c r="C156" s="37">
        <v>20</v>
      </c>
      <c r="D156" s="46">
        <v>148</v>
      </c>
      <c r="E156" s="60" t="s">
        <v>965</v>
      </c>
      <c r="F156" s="36" t="s">
        <v>1115</v>
      </c>
      <c r="G156" s="46" t="s">
        <v>30</v>
      </c>
      <c r="H156" s="52" t="s">
        <v>1260</v>
      </c>
      <c r="I156" s="52" t="s">
        <v>1270</v>
      </c>
      <c r="J156" s="46">
        <v>31</v>
      </c>
      <c r="K156" s="36" t="s">
        <v>31</v>
      </c>
      <c r="L156" s="60" t="s">
        <v>32</v>
      </c>
      <c r="M156" s="62"/>
      <c r="N156" s="62"/>
      <c r="O156" s="32"/>
      <c r="P156" s="32"/>
    </row>
    <row r="157" spans="1:16" ht="24.75" customHeight="1" x14ac:dyDescent="0.25">
      <c r="A157" s="46" t="str">
        <f t="shared" si="2"/>
        <v>VISTOS BUENOS</v>
      </c>
      <c r="B157" s="22">
        <v>6</v>
      </c>
      <c r="C157" s="37">
        <v>20</v>
      </c>
      <c r="D157" s="46">
        <v>149</v>
      </c>
      <c r="E157" s="60" t="s">
        <v>966</v>
      </c>
      <c r="F157" s="36" t="s">
        <v>1116</v>
      </c>
      <c r="G157" s="46" t="s">
        <v>30</v>
      </c>
      <c r="H157" s="52" t="s">
        <v>1254</v>
      </c>
      <c r="I157" s="52" t="s">
        <v>1268</v>
      </c>
      <c r="J157" s="46">
        <v>45</v>
      </c>
      <c r="K157" s="36" t="s">
        <v>31</v>
      </c>
      <c r="L157" s="60" t="s">
        <v>32</v>
      </c>
      <c r="M157" s="62"/>
      <c r="N157" s="62"/>
      <c r="O157" s="32"/>
      <c r="P157" s="32"/>
    </row>
    <row r="158" spans="1:16" x14ac:dyDescent="0.25">
      <c r="A158" s="46" t="str">
        <f t="shared" si="2"/>
        <v>VISTOS BUENOS</v>
      </c>
      <c r="B158" s="22">
        <v>6</v>
      </c>
      <c r="C158" s="37">
        <v>20</v>
      </c>
      <c r="D158" s="46">
        <v>150</v>
      </c>
      <c r="E158" s="60" t="s">
        <v>967</v>
      </c>
      <c r="F158" s="36" t="s">
        <v>1117</v>
      </c>
      <c r="G158" s="46" t="s">
        <v>30</v>
      </c>
      <c r="H158" s="52" t="s">
        <v>1259</v>
      </c>
      <c r="I158" s="52" t="s">
        <v>1272</v>
      </c>
      <c r="J158" s="46">
        <v>19</v>
      </c>
      <c r="K158" s="36" t="s">
        <v>31</v>
      </c>
      <c r="L158" s="60" t="s">
        <v>32</v>
      </c>
      <c r="M158" s="62"/>
      <c r="N158" s="62"/>
      <c r="O158" s="32"/>
      <c r="P158" s="32"/>
    </row>
    <row r="159" spans="1:16" x14ac:dyDescent="0.25">
      <c r="A159" s="46" t="str">
        <f t="shared" si="2"/>
        <v>VISTOS BUENOS</v>
      </c>
      <c r="B159" s="22">
        <v>6</v>
      </c>
      <c r="C159" s="37">
        <v>20</v>
      </c>
      <c r="D159" s="46">
        <v>151</v>
      </c>
      <c r="E159" s="60" t="s">
        <v>922</v>
      </c>
      <c r="F159" s="36" t="s">
        <v>1118</v>
      </c>
      <c r="G159" s="46" t="s">
        <v>30</v>
      </c>
      <c r="H159" s="52" t="s">
        <v>1273</v>
      </c>
      <c r="I159" s="52" t="s">
        <v>1274</v>
      </c>
      <c r="J159" s="46">
        <v>68</v>
      </c>
      <c r="K159" s="36" t="s">
        <v>31</v>
      </c>
      <c r="L159" s="60" t="s">
        <v>32</v>
      </c>
      <c r="M159" s="62"/>
      <c r="N159" s="32"/>
      <c r="O159" s="32"/>
      <c r="P159" s="32"/>
    </row>
    <row r="160" spans="1:16" x14ac:dyDescent="0.25">
      <c r="A160" s="46" t="str">
        <f t="shared" si="2"/>
        <v>VISTOS BUENOS</v>
      </c>
      <c r="B160" s="22">
        <v>6</v>
      </c>
      <c r="C160" s="37">
        <v>20</v>
      </c>
      <c r="D160" s="46">
        <v>152</v>
      </c>
      <c r="E160" s="60" t="s">
        <v>968</v>
      </c>
      <c r="F160" s="36" t="s">
        <v>1119</v>
      </c>
      <c r="G160" s="46" t="s">
        <v>30</v>
      </c>
      <c r="H160" s="52" t="s">
        <v>1256</v>
      </c>
      <c r="I160" s="52" t="s">
        <v>1275</v>
      </c>
      <c r="J160" s="46">
        <v>79</v>
      </c>
      <c r="K160" s="36" t="s">
        <v>31</v>
      </c>
      <c r="L160" s="60" t="s">
        <v>32</v>
      </c>
      <c r="M160" s="62"/>
      <c r="N160" s="32"/>
      <c r="O160" s="32"/>
      <c r="P160" s="32"/>
    </row>
    <row r="161" spans="1:16" x14ac:dyDescent="0.25">
      <c r="A161" s="46" t="str">
        <f t="shared" si="2"/>
        <v>VISTOS BUENOS</v>
      </c>
      <c r="B161" s="22">
        <v>6</v>
      </c>
      <c r="C161" s="37">
        <v>20</v>
      </c>
      <c r="D161" s="46">
        <v>153</v>
      </c>
      <c r="E161" s="60" t="s">
        <v>969</v>
      </c>
      <c r="F161" s="36" t="s">
        <v>1120</v>
      </c>
      <c r="G161" s="46" t="s">
        <v>30</v>
      </c>
      <c r="H161" s="52" t="s">
        <v>1276</v>
      </c>
      <c r="I161" s="52" t="s">
        <v>1271</v>
      </c>
      <c r="J161" s="46">
        <v>12</v>
      </c>
      <c r="K161" s="36" t="s">
        <v>31</v>
      </c>
      <c r="L161" s="60" t="s">
        <v>32</v>
      </c>
      <c r="M161" s="62"/>
      <c r="N161" s="32"/>
      <c r="O161" s="32"/>
      <c r="P161" s="32"/>
    </row>
    <row r="162" spans="1:16" x14ac:dyDescent="0.25">
      <c r="A162" s="46" t="str">
        <f t="shared" si="2"/>
        <v>VISTOS BUENOS</v>
      </c>
      <c r="B162" s="22">
        <v>6</v>
      </c>
      <c r="C162" s="37">
        <v>20</v>
      </c>
      <c r="D162" s="46">
        <v>154</v>
      </c>
      <c r="E162" s="60" t="s">
        <v>970</v>
      </c>
      <c r="F162" s="36" t="s">
        <v>1121</v>
      </c>
      <c r="G162" s="46" t="s">
        <v>30</v>
      </c>
      <c r="H162" s="52" t="s">
        <v>1277</v>
      </c>
      <c r="I162" s="52" t="s">
        <v>1274</v>
      </c>
      <c r="J162" s="46">
        <v>39</v>
      </c>
      <c r="K162" s="36" t="s">
        <v>31</v>
      </c>
      <c r="L162" s="60" t="s">
        <v>32</v>
      </c>
      <c r="M162" s="62"/>
      <c r="N162" s="32"/>
      <c r="O162" s="32"/>
      <c r="P162" s="32"/>
    </row>
    <row r="163" spans="1:16" ht="20.25" x14ac:dyDescent="0.25">
      <c r="A163" s="46" t="str">
        <f t="shared" si="2"/>
        <v>VISTOS BUENOS</v>
      </c>
      <c r="B163" s="22">
        <v>6</v>
      </c>
      <c r="C163" s="37">
        <v>20</v>
      </c>
      <c r="D163" s="46">
        <v>155</v>
      </c>
      <c r="E163" s="60" t="s">
        <v>971</v>
      </c>
      <c r="F163" s="36" t="s">
        <v>1122</v>
      </c>
      <c r="G163" s="46" t="s">
        <v>30</v>
      </c>
      <c r="H163" s="52" t="s">
        <v>1257</v>
      </c>
      <c r="I163" s="52" t="s">
        <v>1274</v>
      </c>
      <c r="J163" s="46">
        <v>78</v>
      </c>
      <c r="K163" s="36" t="s">
        <v>31</v>
      </c>
      <c r="L163" s="60" t="s">
        <v>32</v>
      </c>
      <c r="M163" s="62"/>
      <c r="N163" s="32"/>
      <c r="O163" s="32"/>
      <c r="P163" s="32"/>
    </row>
    <row r="164" spans="1:16" x14ac:dyDescent="0.25">
      <c r="A164" s="46" t="str">
        <f t="shared" si="2"/>
        <v>VISTOS BUENOS</v>
      </c>
      <c r="B164" s="22">
        <v>6</v>
      </c>
      <c r="C164" s="37">
        <v>20</v>
      </c>
      <c r="D164" s="46">
        <v>156</v>
      </c>
      <c r="E164" s="60" t="s">
        <v>972</v>
      </c>
      <c r="F164" s="36" t="s">
        <v>1123</v>
      </c>
      <c r="G164" s="46" t="s">
        <v>30</v>
      </c>
      <c r="H164" s="52" t="s">
        <v>1265</v>
      </c>
      <c r="I164" s="52" t="s">
        <v>1278</v>
      </c>
      <c r="J164" s="46">
        <v>14</v>
      </c>
      <c r="K164" s="36" t="s">
        <v>31</v>
      </c>
      <c r="L164" s="60" t="s">
        <v>32</v>
      </c>
      <c r="M164" s="62"/>
      <c r="N164" s="32"/>
      <c r="O164" s="32"/>
      <c r="P164" s="32"/>
    </row>
    <row r="165" spans="1:16" x14ac:dyDescent="0.25">
      <c r="A165" s="46" t="str">
        <f t="shared" si="2"/>
        <v>VISTOS BUENOS</v>
      </c>
      <c r="B165" s="22">
        <v>6</v>
      </c>
      <c r="C165" s="37">
        <v>20</v>
      </c>
      <c r="D165" s="46">
        <v>157</v>
      </c>
      <c r="E165" s="60" t="s">
        <v>973</v>
      </c>
      <c r="F165" s="36" t="s">
        <v>1124</v>
      </c>
      <c r="G165" s="46" t="s">
        <v>30</v>
      </c>
      <c r="H165" s="52" t="s">
        <v>1270</v>
      </c>
      <c r="I165" s="52" t="s">
        <v>1279</v>
      </c>
      <c r="J165" s="46">
        <v>17</v>
      </c>
      <c r="K165" s="36" t="s">
        <v>31</v>
      </c>
      <c r="L165" s="60" t="s">
        <v>32</v>
      </c>
      <c r="M165" s="62"/>
      <c r="N165" s="32"/>
      <c r="O165" s="32"/>
      <c r="P165" s="32"/>
    </row>
    <row r="166" spans="1:16" x14ac:dyDescent="0.25">
      <c r="A166" s="46" t="str">
        <f t="shared" si="2"/>
        <v>VISTOS BUENOS</v>
      </c>
      <c r="B166" s="22">
        <v>6</v>
      </c>
      <c r="C166" s="37">
        <v>20</v>
      </c>
      <c r="D166" s="46">
        <v>158</v>
      </c>
      <c r="E166" s="60" t="s">
        <v>477</v>
      </c>
      <c r="F166" s="36" t="s">
        <v>613</v>
      </c>
      <c r="G166" s="46" t="s">
        <v>30</v>
      </c>
      <c r="H166" s="52" t="s">
        <v>750</v>
      </c>
      <c r="I166" s="52" t="s">
        <v>819</v>
      </c>
      <c r="J166" s="46">
        <v>39</v>
      </c>
      <c r="K166" s="36" t="s">
        <v>31</v>
      </c>
      <c r="L166" s="60" t="s">
        <v>32</v>
      </c>
      <c r="M166" s="62"/>
      <c r="N166" s="32"/>
      <c r="O166" s="32"/>
      <c r="P166" s="32"/>
    </row>
    <row r="167" spans="1:16" x14ac:dyDescent="0.25">
      <c r="A167" s="46" t="str">
        <f t="shared" si="2"/>
        <v>VISTOS BUENOS</v>
      </c>
      <c r="B167" s="22">
        <v>6</v>
      </c>
      <c r="C167" s="37">
        <v>20</v>
      </c>
      <c r="D167" s="46">
        <v>159</v>
      </c>
      <c r="E167" s="60" t="s">
        <v>478</v>
      </c>
      <c r="F167" s="36" t="s">
        <v>614</v>
      </c>
      <c r="G167" s="46" t="s">
        <v>30</v>
      </c>
      <c r="H167" s="52" t="s">
        <v>742</v>
      </c>
      <c r="I167" s="52" t="s">
        <v>820</v>
      </c>
      <c r="J167" s="46">
        <v>57</v>
      </c>
      <c r="K167" s="36" t="s">
        <v>31</v>
      </c>
      <c r="L167" s="60" t="s">
        <v>32</v>
      </c>
      <c r="M167" s="62"/>
      <c r="N167" s="62"/>
      <c r="O167" s="32"/>
      <c r="P167" s="32"/>
    </row>
    <row r="168" spans="1:16" x14ac:dyDescent="0.25">
      <c r="A168" s="46" t="str">
        <f t="shared" si="2"/>
        <v>VISTOS BUENOS</v>
      </c>
      <c r="B168" s="22">
        <v>6</v>
      </c>
      <c r="C168" s="37">
        <v>20</v>
      </c>
      <c r="D168" s="46">
        <v>160</v>
      </c>
      <c r="E168" s="60" t="s">
        <v>516</v>
      </c>
      <c r="F168" s="76">
        <v>45621</v>
      </c>
      <c r="G168" s="46" t="s">
        <v>30</v>
      </c>
      <c r="H168" s="52" t="s">
        <v>709</v>
      </c>
      <c r="I168" s="52" t="s">
        <v>821</v>
      </c>
      <c r="J168" s="46">
        <v>27</v>
      </c>
      <c r="K168" s="36" t="s">
        <v>31</v>
      </c>
      <c r="L168" s="60" t="s">
        <v>32</v>
      </c>
      <c r="M168" s="62"/>
      <c r="N168" s="62"/>
      <c r="O168" s="32"/>
      <c r="P168" s="32"/>
    </row>
    <row r="169" spans="1:16" x14ac:dyDescent="0.25">
      <c r="A169" s="46" t="str">
        <f t="shared" si="2"/>
        <v>VISTOS BUENOS</v>
      </c>
      <c r="B169" s="22">
        <v>6</v>
      </c>
      <c r="C169" s="37">
        <v>20</v>
      </c>
      <c r="D169" s="46">
        <v>161</v>
      </c>
      <c r="E169" s="60" t="s">
        <v>406</v>
      </c>
      <c r="F169" s="36" t="s">
        <v>809</v>
      </c>
      <c r="G169" s="46" t="s">
        <v>30</v>
      </c>
      <c r="H169" s="52" t="s">
        <v>810</v>
      </c>
      <c r="I169" s="52" t="s">
        <v>811</v>
      </c>
      <c r="J169" s="46">
        <v>120</v>
      </c>
      <c r="K169" s="36" t="s">
        <v>31</v>
      </c>
      <c r="L169" s="60" t="s">
        <v>32</v>
      </c>
      <c r="M169" s="62"/>
      <c r="N169" s="62"/>
      <c r="O169" s="32"/>
      <c r="P169" s="32"/>
    </row>
    <row r="170" spans="1:16" x14ac:dyDescent="0.25">
      <c r="A170" s="46" t="str">
        <f t="shared" si="2"/>
        <v>VISTOS BUENOS</v>
      </c>
      <c r="B170" s="22">
        <v>6</v>
      </c>
      <c r="C170" s="37">
        <v>21</v>
      </c>
      <c r="D170" s="46">
        <v>162</v>
      </c>
      <c r="E170" s="60" t="s">
        <v>435</v>
      </c>
      <c r="F170" s="36" t="s">
        <v>570</v>
      </c>
      <c r="G170" s="46" t="s">
        <v>30</v>
      </c>
      <c r="H170" s="52" t="s">
        <v>732</v>
      </c>
      <c r="I170" s="52" t="s">
        <v>812</v>
      </c>
      <c r="J170" s="46">
        <v>88</v>
      </c>
      <c r="K170" s="36" t="s">
        <v>31</v>
      </c>
      <c r="L170" s="60" t="s">
        <v>32</v>
      </c>
      <c r="M170" s="62"/>
      <c r="N170" s="62"/>
      <c r="O170" s="32"/>
      <c r="P170" s="32"/>
    </row>
    <row r="171" spans="1:16" ht="20.25" x14ac:dyDescent="0.25">
      <c r="A171" s="46" t="str">
        <f t="shared" si="2"/>
        <v>VISTOS BUENOS</v>
      </c>
      <c r="B171" s="22">
        <v>6</v>
      </c>
      <c r="C171" s="37">
        <v>21</v>
      </c>
      <c r="D171" s="46">
        <v>163</v>
      </c>
      <c r="E171" s="60" t="s">
        <v>463</v>
      </c>
      <c r="F171" s="36" t="s">
        <v>814</v>
      </c>
      <c r="G171" s="46" t="s">
        <v>30</v>
      </c>
      <c r="H171" s="52" t="s">
        <v>378</v>
      </c>
      <c r="I171" s="52" t="s">
        <v>813</v>
      </c>
      <c r="J171" s="46">
        <v>22</v>
      </c>
      <c r="K171" s="36" t="s">
        <v>31</v>
      </c>
      <c r="L171" s="60" t="s">
        <v>32</v>
      </c>
      <c r="M171" s="62"/>
      <c r="N171" s="62"/>
      <c r="O171" s="32"/>
      <c r="P171" s="32"/>
    </row>
    <row r="172" spans="1:16" x14ac:dyDescent="0.25">
      <c r="A172" s="46" t="str">
        <f t="shared" si="2"/>
        <v>VISTOS BUENOS</v>
      </c>
      <c r="B172" s="22">
        <v>6</v>
      </c>
      <c r="C172" s="37">
        <v>21</v>
      </c>
      <c r="D172" s="46">
        <v>164</v>
      </c>
      <c r="E172" s="60" t="s">
        <v>467</v>
      </c>
      <c r="F172" s="36" t="s">
        <v>602</v>
      </c>
      <c r="G172" s="46" t="s">
        <v>30</v>
      </c>
      <c r="H172" s="52" t="s">
        <v>736</v>
      </c>
      <c r="I172" s="52" t="s">
        <v>813</v>
      </c>
      <c r="J172" s="46">
        <v>32</v>
      </c>
      <c r="K172" s="36" t="s">
        <v>31</v>
      </c>
      <c r="L172" s="60" t="s">
        <v>32</v>
      </c>
      <c r="M172" s="62"/>
      <c r="N172" s="62"/>
      <c r="O172" s="32"/>
      <c r="P172" s="32"/>
    </row>
    <row r="173" spans="1:16" x14ac:dyDescent="0.25">
      <c r="A173" s="46" t="str">
        <f t="shared" si="2"/>
        <v>VISTOS BUENOS</v>
      </c>
      <c r="B173" s="22">
        <v>6</v>
      </c>
      <c r="C173" s="37">
        <v>21</v>
      </c>
      <c r="D173" s="46">
        <v>165</v>
      </c>
      <c r="E173" s="60" t="s">
        <v>471</v>
      </c>
      <c r="F173" s="36" t="s">
        <v>815</v>
      </c>
      <c r="G173" s="46" t="s">
        <v>30</v>
      </c>
      <c r="H173" s="52" t="s">
        <v>749</v>
      </c>
      <c r="I173" s="52" t="s">
        <v>812</v>
      </c>
      <c r="J173" s="46">
        <v>16</v>
      </c>
      <c r="K173" s="36" t="s">
        <v>31</v>
      </c>
      <c r="L173" s="60" t="s">
        <v>32</v>
      </c>
      <c r="M173" s="62"/>
      <c r="N173" s="62"/>
      <c r="O173" s="32"/>
      <c r="P173" s="32"/>
    </row>
    <row r="174" spans="1:16" x14ac:dyDescent="0.25">
      <c r="A174" s="46" t="str">
        <f t="shared" si="2"/>
        <v>VISTOS BUENOS</v>
      </c>
      <c r="B174" s="22">
        <v>6</v>
      </c>
      <c r="C174" s="37">
        <v>21</v>
      </c>
      <c r="D174" s="46">
        <v>166</v>
      </c>
      <c r="E174" s="60" t="s">
        <v>475</v>
      </c>
      <c r="F174" s="36" t="s">
        <v>610</v>
      </c>
      <c r="G174" s="46" t="s">
        <v>30</v>
      </c>
      <c r="H174" s="52" t="s">
        <v>816</v>
      </c>
      <c r="I174" s="52" t="s">
        <v>817</v>
      </c>
      <c r="J174" s="46">
        <v>47</v>
      </c>
      <c r="K174" s="36" t="s">
        <v>31</v>
      </c>
      <c r="L174" s="60" t="s">
        <v>32</v>
      </c>
      <c r="M174" s="62"/>
      <c r="N174" s="62"/>
      <c r="O174" s="32"/>
      <c r="P174" s="32"/>
    </row>
    <row r="175" spans="1:16" x14ac:dyDescent="0.25">
      <c r="A175" s="46" t="str">
        <f t="shared" si="2"/>
        <v>VISTOS BUENOS</v>
      </c>
      <c r="B175" s="22">
        <v>6</v>
      </c>
      <c r="C175" s="37">
        <v>21</v>
      </c>
      <c r="D175" s="46">
        <v>167</v>
      </c>
      <c r="E175" s="60" t="s">
        <v>476</v>
      </c>
      <c r="F175" s="36" t="s">
        <v>611</v>
      </c>
      <c r="G175" s="46" t="s">
        <v>30</v>
      </c>
      <c r="H175" s="52" t="s">
        <v>816</v>
      </c>
      <c r="I175" s="52" t="s">
        <v>818</v>
      </c>
      <c r="J175" s="46">
        <v>23</v>
      </c>
      <c r="K175" s="36" t="s">
        <v>31</v>
      </c>
      <c r="L175" s="60" t="s">
        <v>32</v>
      </c>
      <c r="M175" s="62"/>
      <c r="N175" s="62"/>
      <c r="O175" s="32"/>
      <c r="P175" s="32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opLeftCell="B121" zoomScale="145" zoomScaleNormal="145" workbookViewId="0">
      <selection activeCell="P125" sqref="P125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22">
        <v>1</v>
      </c>
      <c r="C9" s="46">
        <v>1</v>
      </c>
      <c r="D9" s="46">
        <v>1</v>
      </c>
      <c r="E9" s="60" t="s">
        <v>1282</v>
      </c>
      <c r="F9" s="61" t="s">
        <v>1398</v>
      </c>
      <c r="G9" s="46" t="s">
        <v>30</v>
      </c>
      <c r="H9" s="64">
        <v>41279</v>
      </c>
      <c r="I9" s="64">
        <v>41281</v>
      </c>
      <c r="J9" s="46">
        <v>26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>A9</f>
        <v>VISTOS BUENOS</v>
      </c>
      <c r="B10" s="22">
        <v>1</v>
      </c>
      <c r="C10" s="46">
        <v>2</v>
      </c>
      <c r="D10" s="46">
        <v>2</v>
      </c>
      <c r="E10" s="60" t="s">
        <v>1283</v>
      </c>
      <c r="F10" s="61" t="s">
        <v>1399</v>
      </c>
      <c r="G10" s="46" t="s">
        <v>30</v>
      </c>
      <c r="H10" s="64">
        <v>41284</v>
      </c>
      <c r="I10" s="64">
        <v>41311</v>
      </c>
      <c r="J10" s="46">
        <v>158</v>
      </c>
      <c r="K10" s="36" t="s">
        <v>31</v>
      </c>
      <c r="L10" s="60" t="s">
        <v>32</v>
      </c>
      <c r="M10" s="62"/>
      <c r="N10" s="32"/>
      <c r="O10" s="63"/>
      <c r="P10" s="63"/>
    </row>
    <row r="11" spans="1:16" ht="24.75" customHeight="1" x14ac:dyDescent="0.25">
      <c r="A11" s="11" t="str">
        <f t="shared" ref="A11:A74" si="0">A10</f>
        <v>VISTOS BUENOS</v>
      </c>
      <c r="B11" s="22">
        <v>1</v>
      </c>
      <c r="C11" s="46">
        <v>3</v>
      </c>
      <c r="D11" s="46">
        <v>3</v>
      </c>
      <c r="E11" s="60" t="s">
        <v>1284</v>
      </c>
      <c r="F11" s="61" t="s">
        <v>1400</v>
      </c>
      <c r="G11" s="46" t="s">
        <v>30</v>
      </c>
      <c r="H11" s="64">
        <v>41285</v>
      </c>
      <c r="I11" s="64">
        <v>40933</v>
      </c>
      <c r="J11" s="46">
        <v>52</v>
      </c>
      <c r="K11" s="36" t="s">
        <v>31</v>
      </c>
      <c r="L11" s="60" t="s">
        <v>32</v>
      </c>
      <c r="M11" s="62"/>
      <c r="N11" s="32"/>
      <c r="O11" s="63"/>
      <c r="P11" s="63"/>
    </row>
    <row r="12" spans="1:16" ht="24.75" customHeight="1" x14ac:dyDescent="0.25">
      <c r="A12" s="11" t="str">
        <f t="shared" si="0"/>
        <v>VISTOS BUENOS</v>
      </c>
      <c r="B12" s="22">
        <v>1</v>
      </c>
      <c r="C12" s="46">
        <v>3</v>
      </c>
      <c r="D12" s="46">
        <v>4</v>
      </c>
      <c r="E12" s="60" t="s">
        <v>1285</v>
      </c>
      <c r="F12" s="61" t="s">
        <v>1401</v>
      </c>
      <c r="G12" s="46" t="s">
        <v>30</v>
      </c>
      <c r="H12" s="64">
        <v>41290</v>
      </c>
      <c r="I12" s="64">
        <v>41296</v>
      </c>
      <c r="J12" s="46">
        <v>20</v>
      </c>
      <c r="K12" s="36" t="s">
        <v>31</v>
      </c>
      <c r="L12" s="60" t="s">
        <v>32</v>
      </c>
      <c r="M12" s="62"/>
      <c r="N12" s="32"/>
      <c r="O12" s="63"/>
      <c r="P12" s="63"/>
    </row>
    <row r="13" spans="1:16" ht="24.75" customHeight="1" x14ac:dyDescent="0.25">
      <c r="A13" s="11" t="str">
        <f t="shared" si="0"/>
        <v>VISTOS BUENOS</v>
      </c>
      <c r="B13" s="22">
        <v>1</v>
      </c>
      <c r="C13" s="46">
        <v>4</v>
      </c>
      <c r="D13" s="46">
        <v>5</v>
      </c>
      <c r="E13" s="60" t="s">
        <v>1285</v>
      </c>
      <c r="F13" s="61" t="s">
        <v>1402</v>
      </c>
      <c r="G13" s="46" t="s">
        <v>30</v>
      </c>
      <c r="H13" s="64">
        <v>41299</v>
      </c>
      <c r="I13" s="64">
        <v>41326</v>
      </c>
      <c r="J13" s="46">
        <v>87</v>
      </c>
      <c r="K13" s="36" t="s">
        <v>31</v>
      </c>
      <c r="L13" s="60" t="s">
        <v>32</v>
      </c>
      <c r="M13" s="62"/>
      <c r="N13" s="32"/>
      <c r="O13" s="32"/>
      <c r="P13" s="32"/>
    </row>
    <row r="14" spans="1:16" ht="24.75" customHeight="1" x14ac:dyDescent="0.25">
      <c r="A14" s="11" t="str">
        <f t="shared" si="0"/>
        <v>VISTOS BUENOS</v>
      </c>
      <c r="B14" s="22">
        <v>1</v>
      </c>
      <c r="C14" s="46">
        <v>4</v>
      </c>
      <c r="D14" s="46">
        <v>6</v>
      </c>
      <c r="E14" s="60" t="s">
        <v>1286</v>
      </c>
      <c r="F14" s="61" t="s">
        <v>1403</v>
      </c>
      <c r="G14" s="46" t="s">
        <v>30</v>
      </c>
      <c r="H14" s="64">
        <v>41304</v>
      </c>
      <c r="I14" s="64">
        <v>41320</v>
      </c>
      <c r="J14" s="46">
        <v>22</v>
      </c>
      <c r="K14" s="36" t="s">
        <v>31</v>
      </c>
      <c r="L14" s="60" t="s">
        <v>32</v>
      </c>
      <c r="M14" s="62"/>
      <c r="N14" s="32"/>
      <c r="O14" s="32"/>
      <c r="P14" s="32"/>
    </row>
    <row r="15" spans="1:16" ht="24.75" customHeight="1" x14ac:dyDescent="0.25">
      <c r="A15" s="11" t="str">
        <f t="shared" si="0"/>
        <v>VISTOS BUENOS</v>
      </c>
      <c r="B15" s="22">
        <v>1</v>
      </c>
      <c r="C15" s="46">
        <v>5</v>
      </c>
      <c r="D15" s="46">
        <v>7</v>
      </c>
      <c r="E15" s="60" t="s">
        <v>1287</v>
      </c>
      <c r="F15" s="61" t="s">
        <v>1404</v>
      </c>
      <c r="G15" s="46" t="s">
        <v>30</v>
      </c>
      <c r="H15" s="64">
        <v>41304</v>
      </c>
      <c r="I15" s="64">
        <v>41319</v>
      </c>
      <c r="J15" s="46">
        <v>40</v>
      </c>
      <c r="K15" s="36" t="s">
        <v>31</v>
      </c>
      <c r="L15" s="60" t="s">
        <v>32</v>
      </c>
      <c r="M15" s="62"/>
      <c r="N15" s="32"/>
      <c r="O15" s="32"/>
      <c r="P15" s="32"/>
    </row>
    <row r="16" spans="1:16" ht="24.75" customHeight="1" x14ac:dyDescent="0.25">
      <c r="A16" s="11" t="str">
        <f t="shared" si="0"/>
        <v>VISTOS BUENOS</v>
      </c>
      <c r="B16" s="22">
        <v>1</v>
      </c>
      <c r="C16" s="46">
        <v>5</v>
      </c>
      <c r="D16" s="46">
        <v>8</v>
      </c>
      <c r="E16" s="60" t="s">
        <v>1288</v>
      </c>
      <c r="F16" s="61" t="s">
        <v>1405</v>
      </c>
      <c r="G16" s="46" t="s">
        <v>30</v>
      </c>
      <c r="H16" s="64">
        <v>41305</v>
      </c>
      <c r="I16" s="64">
        <v>41323</v>
      </c>
      <c r="J16" s="46">
        <v>87</v>
      </c>
      <c r="K16" s="36" t="s">
        <v>31</v>
      </c>
      <c r="L16" s="60" t="s">
        <v>32</v>
      </c>
      <c r="M16" s="62"/>
      <c r="N16" s="32"/>
      <c r="O16" s="32"/>
      <c r="P16" s="32"/>
    </row>
    <row r="17" spans="1:16" ht="24.75" customHeight="1" x14ac:dyDescent="0.25">
      <c r="A17" s="11" t="str">
        <f t="shared" si="0"/>
        <v>VISTOS BUENOS</v>
      </c>
      <c r="B17" s="22">
        <v>1</v>
      </c>
      <c r="C17" s="46">
        <v>6</v>
      </c>
      <c r="D17" s="46">
        <v>9</v>
      </c>
      <c r="E17" s="60" t="s">
        <v>1289</v>
      </c>
      <c r="F17" s="61" t="s">
        <v>1406</v>
      </c>
      <c r="G17" s="46" t="s">
        <v>30</v>
      </c>
      <c r="H17" s="64">
        <v>41313</v>
      </c>
      <c r="I17" s="64">
        <v>41339</v>
      </c>
      <c r="J17" s="46">
        <v>76</v>
      </c>
      <c r="K17" s="36" t="s">
        <v>31</v>
      </c>
      <c r="L17" s="60" t="s">
        <v>32</v>
      </c>
      <c r="M17" s="62"/>
      <c r="N17" s="32"/>
      <c r="O17" s="32"/>
      <c r="P17" s="32"/>
    </row>
    <row r="18" spans="1:16" ht="24.75" customHeight="1" x14ac:dyDescent="0.25">
      <c r="A18" s="11" t="str">
        <f t="shared" si="0"/>
        <v>VISTOS BUENOS</v>
      </c>
      <c r="B18" s="22">
        <v>1</v>
      </c>
      <c r="C18" s="37">
        <v>7</v>
      </c>
      <c r="D18" s="46">
        <v>10</v>
      </c>
      <c r="E18" s="60" t="s">
        <v>1290</v>
      </c>
      <c r="F18" s="61" t="s">
        <v>1407</v>
      </c>
      <c r="G18" s="46" t="s">
        <v>30</v>
      </c>
      <c r="H18" s="64">
        <v>41319</v>
      </c>
      <c r="I18" s="64">
        <v>41340</v>
      </c>
      <c r="J18" s="46">
        <v>90</v>
      </c>
      <c r="K18" s="36" t="s">
        <v>31</v>
      </c>
      <c r="L18" s="60" t="s">
        <v>32</v>
      </c>
      <c r="M18" s="62"/>
      <c r="N18" s="32"/>
      <c r="O18" s="32"/>
      <c r="P18" s="32"/>
    </row>
    <row r="19" spans="1:16" ht="24.75" customHeight="1" x14ac:dyDescent="0.25">
      <c r="A19" s="11" t="str">
        <f t="shared" si="0"/>
        <v>VISTOS BUENOS</v>
      </c>
      <c r="B19" s="22">
        <v>1</v>
      </c>
      <c r="C19" s="37">
        <v>8</v>
      </c>
      <c r="D19" s="46">
        <v>11</v>
      </c>
      <c r="E19" s="60" t="s">
        <v>1291</v>
      </c>
      <c r="F19" s="61" t="s">
        <v>1408</v>
      </c>
      <c r="G19" s="46" t="s">
        <v>30</v>
      </c>
      <c r="H19" s="64">
        <v>41330</v>
      </c>
      <c r="I19" s="64">
        <v>41330</v>
      </c>
      <c r="J19" s="46">
        <v>27</v>
      </c>
      <c r="K19" s="36" t="s">
        <v>31</v>
      </c>
      <c r="L19" s="60" t="s">
        <v>32</v>
      </c>
      <c r="M19" s="62"/>
      <c r="N19" s="32"/>
      <c r="O19" s="32"/>
      <c r="P19" s="32"/>
    </row>
    <row r="20" spans="1:16" ht="24.75" customHeight="1" x14ac:dyDescent="0.25">
      <c r="A20" s="11" t="str">
        <f t="shared" si="0"/>
        <v>VISTOS BUENOS</v>
      </c>
      <c r="B20" s="22">
        <v>1</v>
      </c>
      <c r="C20" s="37">
        <v>8</v>
      </c>
      <c r="D20" s="46">
        <v>12</v>
      </c>
      <c r="E20" s="60" t="s">
        <v>1292</v>
      </c>
      <c r="F20" s="61" t="s">
        <v>1409</v>
      </c>
      <c r="G20" s="46" t="s">
        <v>30</v>
      </c>
      <c r="H20" s="64">
        <v>41340</v>
      </c>
      <c r="I20" s="64">
        <v>41346</v>
      </c>
      <c r="J20" s="46">
        <v>13</v>
      </c>
      <c r="K20" s="36" t="s">
        <v>31</v>
      </c>
      <c r="L20" s="60" t="s">
        <v>32</v>
      </c>
      <c r="M20" s="62"/>
      <c r="N20" s="32"/>
      <c r="O20" s="32"/>
      <c r="P20" s="32"/>
    </row>
    <row r="21" spans="1:16" ht="24.75" customHeight="1" x14ac:dyDescent="0.25">
      <c r="A21" s="11" t="str">
        <f t="shared" si="0"/>
        <v>VISTOS BUENOS</v>
      </c>
      <c r="B21" s="22">
        <v>1</v>
      </c>
      <c r="C21" s="37">
        <v>8</v>
      </c>
      <c r="D21" s="46">
        <v>13</v>
      </c>
      <c r="E21" s="60" t="s">
        <v>1293</v>
      </c>
      <c r="F21" s="61" t="s">
        <v>1410</v>
      </c>
      <c r="G21" s="46" t="s">
        <v>30</v>
      </c>
      <c r="H21" s="64">
        <v>41351</v>
      </c>
      <c r="I21" s="64">
        <v>41359</v>
      </c>
      <c r="J21" s="46">
        <v>14</v>
      </c>
      <c r="K21" s="36" t="s">
        <v>31</v>
      </c>
      <c r="L21" s="60" t="s">
        <v>32</v>
      </c>
      <c r="M21" s="62"/>
      <c r="N21" s="32"/>
      <c r="O21" s="32"/>
      <c r="P21" s="32"/>
    </row>
    <row r="22" spans="1:16" ht="24.75" customHeight="1" x14ac:dyDescent="0.25">
      <c r="A22" s="11" t="str">
        <f t="shared" si="0"/>
        <v>VISTOS BUENOS</v>
      </c>
      <c r="B22" s="22">
        <v>1</v>
      </c>
      <c r="C22" s="37">
        <v>8</v>
      </c>
      <c r="D22" s="46">
        <v>14</v>
      </c>
      <c r="E22" s="60" t="s">
        <v>1294</v>
      </c>
      <c r="F22" s="61" t="s">
        <v>1411</v>
      </c>
      <c r="G22" s="46" t="s">
        <v>30</v>
      </c>
      <c r="H22" s="64">
        <v>41354</v>
      </c>
      <c r="I22" s="64">
        <v>41369</v>
      </c>
      <c r="J22" s="46">
        <v>31</v>
      </c>
      <c r="K22" s="36" t="s">
        <v>31</v>
      </c>
      <c r="L22" s="60" t="s">
        <v>32</v>
      </c>
      <c r="M22" s="62"/>
      <c r="N22" s="62"/>
      <c r="O22" s="32"/>
      <c r="P22" s="32"/>
    </row>
    <row r="23" spans="1:16" ht="24.75" customHeight="1" x14ac:dyDescent="0.25">
      <c r="A23" s="11" t="str">
        <f t="shared" si="0"/>
        <v>VISTOS BUENOS</v>
      </c>
      <c r="B23" s="22">
        <v>1</v>
      </c>
      <c r="C23" s="37">
        <v>9</v>
      </c>
      <c r="D23" s="46">
        <v>15</v>
      </c>
      <c r="E23" s="60" t="s">
        <v>1295</v>
      </c>
      <c r="F23" s="61" t="s">
        <v>1412</v>
      </c>
      <c r="G23" s="46" t="s">
        <v>30</v>
      </c>
      <c r="H23" s="64">
        <v>41354</v>
      </c>
      <c r="I23" s="64">
        <v>41370</v>
      </c>
      <c r="J23" s="46">
        <v>49</v>
      </c>
      <c r="K23" s="36" t="s">
        <v>31</v>
      </c>
      <c r="L23" s="60" t="s">
        <v>32</v>
      </c>
      <c r="M23" s="62"/>
      <c r="N23" s="62"/>
      <c r="O23" s="32"/>
      <c r="P23" s="32"/>
    </row>
    <row r="24" spans="1:16" ht="24.75" customHeight="1" x14ac:dyDescent="0.25">
      <c r="A24" s="11" t="str">
        <f t="shared" si="0"/>
        <v>VISTOS BUENOS</v>
      </c>
      <c r="B24" s="22">
        <v>1</v>
      </c>
      <c r="C24" s="37">
        <v>9</v>
      </c>
      <c r="D24" s="46">
        <v>16</v>
      </c>
      <c r="E24" s="60" t="s">
        <v>1296</v>
      </c>
      <c r="F24" s="61" t="s">
        <v>1413</v>
      </c>
      <c r="G24" s="46" t="s">
        <v>30</v>
      </c>
      <c r="H24" s="64">
        <v>41355</v>
      </c>
      <c r="I24" s="64">
        <v>41355</v>
      </c>
      <c r="J24" s="46">
        <v>33</v>
      </c>
      <c r="K24" s="36" t="s">
        <v>31</v>
      </c>
      <c r="L24" s="60" t="s">
        <v>32</v>
      </c>
      <c r="M24" s="62"/>
      <c r="N24" s="62"/>
      <c r="O24" s="32"/>
      <c r="P24" s="32"/>
    </row>
    <row r="25" spans="1:16" ht="24.75" customHeight="1" x14ac:dyDescent="0.25">
      <c r="A25" s="11" t="str">
        <f t="shared" si="0"/>
        <v>VISTOS BUENOS</v>
      </c>
      <c r="B25" s="22">
        <v>1</v>
      </c>
      <c r="C25" s="37">
        <v>10</v>
      </c>
      <c r="D25" s="46">
        <v>17</v>
      </c>
      <c r="E25" s="60" t="s">
        <v>1297</v>
      </c>
      <c r="F25" s="61" t="s">
        <v>1414</v>
      </c>
      <c r="G25" s="46" t="s">
        <v>30</v>
      </c>
      <c r="H25" s="64">
        <v>41358</v>
      </c>
      <c r="I25" s="64">
        <v>41373</v>
      </c>
      <c r="J25" s="46">
        <v>113</v>
      </c>
      <c r="K25" s="36" t="s">
        <v>31</v>
      </c>
      <c r="L25" s="60" t="s">
        <v>32</v>
      </c>
      <c r="M25" s="62"/>
      <c r="N25" s="62"/>
      <c r="O25" s="32"/>
      <c r="P25" s="32"/>
    </row>
    <row r="26" spans="1:16" ht="24.75" customHeight="1" x14ac:dyDescent="0.25">
      <c r="A26" s="11" t="str">
        <f t="shared" si="0"/>
        <v>VISTOS BUENOS</v>
      </c>
      <c r="B26" s="22">
        <v>1</v>
      </c>
      <c r="C26" s="37">
        <v>11</v>
      </c>
      <c r="D26" s="46">
        <v>18</v>
      </c>
      <c r="E26" s="60" t="s">
        <v>1298</v>
      </c>
      <c r="F26" s="61">
        <v>74918</v>
      </c>
      <c r="G26" s="46" t="s">
        <v>30</v>
      </c>
      <c r="H26" s="64">
        <v>41361</v>
      </c>
      <c r="I26" s="64">
        <v>41374</v>
      </c>
      <c r="J26" s="46">
        <v>152</v>
      </c>
      <c r="K26" s="36" t="s">
        <v>31</v>
      </c>
      <c r="L26" s="60" t="s">
        <v>32</v>
      </c>
      <c r="M26" s="62"/>
      <c r="N26" s="62"/>
      <c r="O26" s="32"/>
      <c r="P26" s="32"/>
    </row>
    <row r="27" spans="1:16" ht="24.75" customHeight="1" x14ac:dyDescent="0.25">
      <c r="A27" s="11" t="str">
        <f t="shared" si="0"/>
        <v>VISTOS BUENOS</v>
      </c>
      <c r="B27" s="22">
        <v>1</v>
      </c>
      <c r="C27" s="37">
        <v>12</v>
      </c>
      <c r="D27" s="46">
        <v>19</v>
      </c>
      <c r="E27" s="60" t="s">
        <v>1299</v>
      </c>
      <c r="F27" s="61" t="s">
        <v>1415</v>
      </c>
      <c r="G27" s="46" t="s">
        <v>30</v>
      </c>
      <c r="H27" s="64">
        <v>41369</v>
      </c>
      <c r="I27" s="64">
        <v>41388</v>
      </c>
      <c r="J27" s="46">
        <v>43</v>
      </c>
      <c r="K27" s="36" t="s">
        <v>31</v>
      </c>
      <c r="L27" s="60" t="s">
        <v>32</v>
      </c>
      <c r="M27" s="62"/>
      <c r="N27" s="62"/>
      <c r="O27" s="32"/>
      <c r="P27" s="32"/>
    </row>
    <row r="28" spans="1:16" ht="24.75" customHeight="1" x14ac:dyDescent="0.25">
      <c r="A28" s="11" t="str">
        <f t="shared" si="0"/>
        <v>VISTOS BUENOS</v>
      </c>
      <c r="B28" s="22">
        <v>1</v>
      </c>
      <c r="C28" s="37">
        <v>12</v>
      </c>
      <c r="D28" s="46">
        <v>20</v>
      </c>
      <c r="E28" s="60" t="s">
        <v>1300</v>
      </c>
      <c r="F28" s="61" t="s">
        <v>1416</v>
      </c>
      <c r="G28" s="46" t="s">
        <v>30</v>
      </c>
      <c r="H28" s="64">
        <v>41372</v>
      </c>
      <c r="I28" s="64">
        <v>41380</v>
      </c>
      <c r="J28" s="46">
        <v>25</v>
      </c>
      <c r="K28" s="36" t="s">
        <v>31</v>
      </c>
      <c r="L28" s="60" t="s">
        <v>32</v>
      </c>
      <c r="M28" s="62"/>
      <c r="N28" s="62"/>
      <c r="O28" s="32"/>
      <c r="P28" s="32"/>
    </row>
    <row r="29" spans="1:16" ht="24.75" customHeight="1" x14ac:dyDescent="0.25">
      <c r="A29" s="11" t="str">
        <f t="shared" si="0"/>
        <v>VISTOS BUENOS</v>
      </c>
      <c r="B29" s="22">
        <v>1</v>
      </c>
      <c r="C29" s="37">
        <v>12</v>
      </c>
      <c r="D29" s="46">
        <v>21</v>
      </c>
      <c r="E29" s="60" t="s">
        <v>1301</v>
      </c>
      <c r="F29" s="61" t="s">
        <v>1417</v>
      </c>
      <c r="G29" s="46" t="s">
        <v>30</v>
      </c>
      <c r="H29" s="64">
        <v>41376</v>
      </c>
      <c r="I29" s="64">
        <v>41380</v>
      </c>
      <c r="J29" s="46">
        <v>13</v>
      </c>
      <c r="K29" s="36" t="s">
        <v>31</v>
      </c>
      <c r="L29" s="60" t="s">
        <v>32</v>
      </c>
      <c r="M29" s="62"/>
      <c r="N29" s="62"/>
      <c r="O29" s="32"/>
      <c r="P29" s="32"/>
    </row>
    <row r="30" spans="1:16" ht="24.75" customHeight="1" x14ac:dyDescent="0.25">
      <c r="A30" s="11" t="str">
        <f t="shared" si="0"/>
        <v>VISTOS BUENOS</v>
      </c>
      <c r="B30" s="22">
        <v>1</v>
      </c>
      <c r="C30" s="37">
        <v>13</v>
      </c>
      <c r="D30" s="46">
        <v>22</v>
      </c>
      <c r="E30" s="60" t="s">
        <v>1302</v>
      </c>
      <c r="F30" s="61" t="s">
        <v>1418</v>
      </c>
      <c r="G30" s="46" t="s">
        <v>30</v>
      </c>
      <c r="H30" s="64">
        <v>41379</v>
      </c>
      <c r="I30" s="64">
        <v>41409</v>
      </c>
      <c r="J30" s="46">
        <v>62</v>
      </c>
      <c r="K30" s="36" t="s">
        <v>31</v>
      </c>
      <c r="L30" s="60" t="s">
        <v>32</v>
      </c>
      <c r="M30" s="62"/>
      <c r="N30" s="62"/>
      <c r="O30" s="32"/>
      <c r="P30" s="32"/>
    </row>
    <row r="31" spans="1:16" ht="24.75" customHeight="1" x14ac:dyDescent="0.25">
      <c r="A31" s="11" t="str">
        <f t="shared" si="0"/>
        <v>VISTOS BUENOS</v>
      </c>
      <c r="B31" s="22">
        <v>2</v>
      </c>
      <c r="C31" s="37">
        <v>14</v>
      </c>
      <c r="D31" s="46">
        <v>23</v>
      </c>
      <c r="E31" s="60" t="s">
        <v>1303</v>
      </c>
      <c r="F31" s="61" t="s">
        <v>1419</v>
      </c>
      <c r="G31" s="46" t="s">
        <v>30</v>
      </c>
      <c r="H31" s="64">
        <v>41382</v>
      </c>
      <c r="I31" s="64">
        <v>41400</v>
      </c>
      <c r="J31" s="46">
        <v>76</v>
      </c>
      <c r="K31" s="36" t="s">
        <v>31</v>
      </c>
      <c r="L31" s="60" t="s">
        <v>32</v>
      </c>
      <c r="M31" s="62"/>
      <c r="N31" s="62"/>
      <c r="O31" s="32"/>
      <c r="P31" s="32"/>
    </row>
    <row r="32" spans="1:16" ht="24.75" customHeight="1" x14ac:dyDescent="0.25">
      <c r="A32" s="11" t="str">
        <f t="shared" si="0"/>
        <v>VISTOS BUENOS</v>
      </c>
      <c r="B32" s="22">
        <v>2</v>
      </c>
      <c r="C32" s="37">
        <v>15</v>
      </c>
      <c r="D32" s="46">
        <v>24</v>
      </c>
      <c r="E32" s="60" t="s">
        <v>1304</v>
      </c>
      <c r="F32" s="61" t="s">
        <v>1420</v>
      </c>
      <c r="G32" s="46" t="s">
        <v>30</v>
      </c>
      <c r="H32" s="64">
        <v>41382</v>
      </c>
      <c r="I32" s="64">
        <v>41410</v>
      </c>
      <c r="J32" s="46">
        <v>83</v>
      </c>
      <c r="K32" s="36" t="s">
        <v>31</v>
      </c>
      <c r="L32" s="60" t="s">
        <v>32</v>
      </c>
      <c r="M32" s="62"/>
      <c r="N32" s="62"/>
      <c r="O32" s="32"/>
      <c r="P32" s="32"/>
    </row>
    <row r="33" spans="1:16" ht="24.75" customHeight="1" x14ac:dyDescent="0.25">
      <c r="A33" s="11" t="str">
        <f t="shared" si="0"/>
        <v>VISTOS BUENOS</v>
      </c>
      <c r="B33" s="22">
        <v>2</v>
      </c>
      <c r="C33" s="37">
        <v>16</v>
      </c>
      <c r="D33" s="46">
        <v>25</v>
      </c>
      <c r="E33" s="60" t="s">
        <v>1305</v>
      </c>
      <c r="F33" s="61" t="s">
        <v>1421</v>
      </c>
      <c r="G33" s="46" t="s">
        <v>30</v>
      </c>
      <c r="H33" s="64">
        <v>41397</v>
      </c>
      <c r="I33" s="64">
        <v>41414</v>
      </c>
      <c r="J33" s="46">
        <v>19</v>
      </c>
      <c r="K33" s="36" t="s">
        <v>31</v>
      </c>
      <c r="L33" s="60" t="s">
        <v>32</v>
      </c>
      <c r="M33" s="62"/>
      <c r="N33" s="62"/>
      <c r="O33" s="32"/>
      <c r="P33" s="32"/>
    </row>
    <row r="34" spans="1:16" ht="24.75" customHeight="1" x14ac:dyDescent="0.25">
      <c r="A34" s="11" t="str">
        <f t="shared" si="0"/>
        <v>VISTOS BUENOS</v>
      </c>
      <c r="B34" s="22">
        <v>2</v>
      </c>
      <c r="C34" s="37">
        <v>16</v>
      </c>
      <c r="D34" s="46">
        <v>26</v>
      </c>
      <c r="E34" s="60" t="s">
        <v>1306</v>
      </c>
      <c r="F34" s="61" t="s">
        <v>1422</v>
      </c>
      <c r="G34" s="46" t="s">
        <v>30</v>
      </c>
      <c r="H34" s="64">
        <v>41407</v>
      </c>
      <c r="I34" s="64">
        <v>41423</v>
      </c>
      <c r="J34" s="46">
        <v>30</v>
      </c>
      <c r="K34" s="36" t="s">
        <v>31</v>
      </c>
      <c r="L34" s="60" t="s">
        <v>32</v>
      </c>
      <c r="M34" s="62"/>
      <c r="N34" s="62"/>
      <c r="O34" s="32"/>
      <c r="P34" s="32"/>
    </row>
    <row r="35" spans="1:16" ht="24.75" customHeight="1" x14ac:dyDescent="0.25">
      <c r="A35" s="11" t="str">
        <f t="shared" si="0"/>
        <v>VISTOS BUENOS</v>
      </c>
      <c r="B35" s="22">
        <v>2</v>
      </c>
      <c r="C35" s="37">
        <v>16</v>
      </c>
      <c r="D35" s="46">
        <v>27</v>
      </c>
      <c r="E35" s="60" t="s">
        <v>1307</v>
      </c>
      <c r="F35" s="61" t="s">
        <v>1423</v>
      </c>
      <c r="G35" s="46" t="s">
        <v>30</v>
      </c>
      <c r="H35" s="64">
        <v>41407</v>
      </c>
      <c r="I35" s="64">
        <v>41435</v>
      </c>
      <c r="J35" s="46">
        <v>31</v>
      </c>
      <c r="K35" s="36" t="s">
        <v>31</v>
      </c>
      <c r="L35" s="60" t="s">
        <v>32</v>
      </c>
      <c r="M35" s="62"/>
      <c r="N35" s="62"/>
      <c r="O35" s="32"/>
      <c r="P35" s="32"/>
    </row>
    <row r="36" spans="1:16" ht="24.75" customHeight="1" x14ac:dyDescent="0.25">
      <c r="A36" s="11" t="str">
        <f t="shared" si="0"/>
        <v>VISTOS BUENOS</v>
      </c>
      <c r="B36" s="22">
        <v>2</v>
      </c>
      <c r="C36" s="37">
        <v>16</v>
      </c>
      <c r="D36" s="46">
        <v>28</v>
      </c>
      <c r="E36" s="60" t="s">
        <v>1308</v>
      </c>
      <c r="F36" s="61" t="s">
        <v>1424</v>
      </c>
      <c r="G36" s="46" t="s">
        <v>30</v>
      </c>
      <c r="H36" s="64">
        <v>41409</v>
      </c>
      <c r="I36" s="64">
        <v>41431</v>
      </c>
      <c r="J36" s="46">
        <v>28</v>
      </c>
      <c r="K36" s="36" t="s">
        <v>31</v>
      </c>
      <c r="L36" s="60" t="s">
        <v>32</v>
      </c>
      <c r="M36" s="62"/>
      <c r="N36" s="62"/>
      <c r="O36" s="32"/>
      <c r="P36" s="32"/>
    </row>
    <row r="37" spans="1:16" ht="24.75" customHeight="1" x14ac:dyDescent="0.25">
      <c r="A37" s="11" t="str">
        <f t="shared" si="0"/>
        <v>VISTOS BUENOS</v>
      </c>
      <c r="B37" s="22">
        <v>2</v>
      </c>
      <c r="C37" s="37">
        <v>17</v>
      </c>
      <c r="D37" s="46">
        <v>29</v>
      </c>
      <c r="E37" s="60" t="s">
        <v>1309</v>
      </c>
      <c r="F37" s="61" t="s">
        <v>1425</v>
      </c>
      <c r="G37" s="46" t="s">
        <v>30</v>
      </c>
      <c r="H37" s="64">
        <v>41414</v>
      </c>
      <c r="I37" s="64">
        <v>41416</v>
      </c>
      <c r="J37" s="46">
        <v>19</v>
      </c>
      <c r="K37" s="36" t="s">
        <v>31</v>
      </c>
      <c r="L37" s="60" t="s">
        <v>32</v>
      </c>
      <c r="M37" s="62"/>
      <c r="N37" s="62"/>
      <c r="O37" s="32"/>
      <c r="P37" s="32"/>
    </row>
    <row r="38" spans="1:16" ht="24.75" customHeight="1" x14ac:dyDescent="0.25">
      <c r="A38" s="11" t="str">
        <f t="shared" si="0"/>
        <v>VISTOS BUENOS</v>
      </c>
      <c r="B38" s="22">
        <v>2</v>
      </c>
      <c r="C38" s="37">
        <v>17</v>
      </c>
      <c r="D38" s="46">
        <v>30</v>
      </c>
      <c r="E38" s="60" t="s">
        <v>1310</v>
      </c>
      <c r="F38" s="61" t="s">
        <v>1426</v>
      </c>
      <c r="G38" s="46" t="s">
        <v>30</v>
      </c>
      <c r="H38" s="64">
        <v>41415</v>
      </c>
      <c r="I38" s="64">
        <v>41437</v>
      </c>
      <c r="J38" s="46">
        <v>57</v>
      </c>
      <c r="K38" s="36" t="s">
        <v>31</v>
      </c>
      <c r="L38" s="60" t="s">
        <v>32</v>
      </c>
      <c r="M38" s="62"/>
      <c r="N38" s="62"/>
      <c r="O38" s="32"/>
      <c r="P38" s="32"/>
    </row>
    <row r="39" spans="1:16" ht="24.75" customHeight="1" x14ac:dyDescent="0.25">
      <c r="A39" s="11" t="str">
        <f t="shared" si="0"/>
        <v>VISTOS BUENOS</v>
      </c>
      <c r="B39" s="22">
        <v>2</v>
      </c>
      <c r="C39" s="37">
        <v>17</v>
      </c>
      <c r="D39" s="46">
        <v>31</v>
      </c>
      <c r="E39" s="60" t="s">
        <v>1311</v>
      </c>
      <c r="F39" s="61" t="s">
        <v>1427</v>
      </c>
      <c r="G39" s="46" t="s">
        <v>30</v>
      </c>
      <c r="H39" s="64">
        <v>41415</v>
      </c>
      <c r="I39" s="64">
        <v>41429</v>
      </c>
      <c r="J39" s="46">
        <v>24</v>
      </c>
      <c r="K39" s="36" t="s">
        <v>31</v>
      </c>
      <c r="L39" s="60" t="s">
        <v>32</v>
      </c>
      <c r="M39" s="62"/>
      <c r="N39" s="62"/>
      <c r="O39" s="32"/>
      <c r="P39" s="32"/>
    </row>
    <row r="40" spans="1:16" ht="24.75" customHeight="1" x14ac:dyDescent="0.25">
      <c r="A40" s="11" t="str">
        <f t="shared" si="0"/>
        <v>VISTOS BUENOS</v>
      </c>
      <c r="B40" s="22">
        <v>2</v>
      </c>
      <c r="C40" s="37">
        <v>18</v>
      </c>
      <c r="D40" s="46">
        <v>32</v>
      </c>
      <c r="E40" s="60" t="s">
        <v>1312</v>
      </c>
      <c r="F40" s="61" t="s">
        <v>1428</v>
      </c>
      <c r="G40" s="46" t="s">
        <v>30</v>
      </c>
      <c r="H40" s="64">
        <v>41421</v>
      </c>
      <c r="I40" s="64">
        <v>41450</v>
      </c>
      <c r="J40" s="46">
        <v>44</v>
      </c>
      <c r="K40" s="36" t="s">
        <v>31</v>
      </c>
      <c r="L40" s="60" t="s">
        <v>32</v>
      </c>
      <c r="M40" s="62"/>
      <c r="N40" s="62"/>
      <c r="O40" s="32"/>
      <c r="P40" s="32"/>
    </row>
    <row r="41" spans="1:16" ht="24.75" customHeight="1" x14ac:dyDescent="0.25">
      <c r="A41" s="11" t="str">
        <f t="shared" si="0"/>
        <v>VISTOS BUENOS</v>
      </c>
      <c r="B41" s="22">
        <v>2</v>
      </c>
      <c r="C41" s="37">
        <v>18</v>
      </c>
      <c r="D41" s="46">
        <v>33</v>
      </c>
      <c r="E41" s="60" t="s">
        <v>1313</v>
      </c>
      <c r="F41" s="61" t="s">
        <v>1429</v>
      </c>
      <c r="G41" s="46" t="s">
        <v>30</v>
      </c>
      <c r="H41" s="64">
        <v>41455</v>
      </c>
      <c r="I41" s="64">
        <v>41452</v>
      </c>
      <c r="J41" s="46">
        <v>48</v>
      </c>
      <c r="K41" s="36" t="s">
        <v>31</v>
      </c>
      <c r="L41" s="60" t="s">
        <v>32</v>
      </c>
      <c r="M41" s="62"/>
      <c r="N41" s="62"/>
      <c r="O41" s="32"/>
      <c r="P41" s="32"/>
    </row>
    <row r="42" spans="1:16" ht="24.75" customHeight="1" x14ac:dyDescent="0.25">
      <c r="A42" s="11" t="str">
        <f t="shared" si="0"/>
        <v>VISTOS BUENOS</v>
      </c>
      <c r="B42" s="22">
        <v>2</v>
      </c>
      <c r="C42" s="37">
        <v>18</v>
      </c>
      <c r="D42" s="46">
        <v>34</v>
      </c>
      <c r="E42" s="60" t="s">
        <v>1314</v>
      </c>
      <c r="F42" s="61" t="s">
        <v>1430</v>
      </c>
      <c r="G42" s="46" t="s">
        <v>30</v>
      </c>
      <c r="H42" s="64">
        <v>41425</v>
      </c>
      <c r="I42" s="64">
        <v>41432</v>
      </c>
      <c r="J42" s="46">
        <v>15</v>
      </c>
      <c r="K42" s="36" t="s">
        <v>31</v>
      </c>
      <c r="L42" s="60" t="s">
        <v>32</v>
      </c>
      <c r="M42" s="62"/>
      <c r="N42" s="62"/>
      <c r="O42" s="32"/>
      <c r="P42" s="32"/>
    </row>
    <row r="43" spans="1:16" ht="24.75" customHeight="1" x14ac:dyDescent="0.25">
      <c r="A43" s="11" t="str">
        <f t="shared" si="0"/>
        <v>VISTOS BUENOS</v>
      </c>
      <c r="B43" s="22">
        <v>2</v>
      </c>
      <c r="C43" s="37">
        <v>19</v>
      </c>
      <c r="D43" s="46">
        <v>35</v>
      </c>
      <c r="E43" s="60" t="s">
        <v>1315</v>
      </c>
      <c r="F43" s="61" t="s">
        <v>1431</v>
      </c>
      <c r="G43" s="46" t="s">
        <v>30</v>
      </c>
      <c r="H43" s="64">
        <v>41436</v>
      </c>
      <c r="I43" s="64">
        <v>41463</v>
      </c>
      <c r="J43" s="46">
        <v>42</v>
      </c>
      <c r="K43" s="36" t="s">
        <v>31</v>
      </c>
      <c r="L43" s="60" t="s">
        <v>32</v>
      </c>
      <c r="M43" s="62"/>
      <c r="N43" s="62"/>
      <c r="O43" s="32"/>
      <c r="P43" s="32"/>
    </row>
    <row r="44" spans="1:16" ht="24.75" customHeight="1" x14ac:dyDescent="0.25">
      <c r="A44" s="11" t="str">
        <f t="shared" si="0"/>
        <v>VISTOS BUENOS</v>
      </c>
      <c r="B44" s="22">
        <v>2</v>
      </c>
      <c r="C44" s="37">
        <v>19</v>
      </c>
      <c r="D44" s="46">
        <v>36</v>
      </c>
      <c r="E44" s="60" t="s">
        <v>1316</v>
      </c>
      <c r="F44" s="61" t="s">
        <v>1432</v>
      </c>
      <c r="G44" s="46" t="s">
        <v>30</v>
      </c>
      <c r="H44" s="64">
        <v>41436</v>
      </c>
      <c r="I44" s="64">
        <v>41457</v>
      </c>
      <c r="J44" s="46">
        <v>22</v>
      </c>
      <c r="K44" s="36" t="s">
        <v>31</v>
      </c>
      <c r="L44" s="60" t="s">
        <v>32</v>
      </c>
      <c r="M44" s="62"/>
      <c r="N44" s="62"/>
      <c r="O44" s="32"/>
      <c r="P44" s="32"/>
    </row>
    <row r="45" spans="1:16" ht="24.75" customHeight="1" x14ac:dyDescent="0.25">
      <c r="A45" s="11" t="str">
        <f t="shared" si="0"/>
        <v>VISTOS BUENOS</v>
      </c>
      <c r="B45" s="22">
        <v>2</v>
      </c>
      <c r="C45" s="37">
        <v>19</v>
      </c>
      <c r="D45" s="46">
        <v>37</v>
      </c>
      <c r="E45" s="60" t="s">
        <v>1317</v>
      </c>
      <c r="F45" s="61" t="s">
        <v>1433</v>
      </c>
      <c r="G45" s="46" t="s">
        <v>30</v>
      </c>
      <c r="H45" s="64">
        <v>41437</v>
      </c>
      <c r="I45" s="64">
        <v>41456</v>
      </c>
      <c r="J45" s="46">
        <v>23</v>
      </c>
      <c r="K45" s="36" t="s">
        <v>31</v>
      </c>
      <c r="L45" s="60" t="s">
        <v>32</v>
      </c>
      <c r="M45" s="62"/>
      <c r="N45" s="62"/>
      <c r="O45" s="32"/>
      <c r="P45" s="32"/>
    </row>
    <row r="46" spans="1:16" ht="24.75" customHeight="1" x14ac:dyDescent="0.25">
      <c r="A46" s="11" t="str">
        <f t="shared" si="0"/>
        <v>VISTOS BUENOS</v>
      </c>
      <c r="B46" s="22">
        <v>2</v>
      </c>
      <c r="C46" s="37">
        <v>19</v>
      </c>
      <c r="D46" s="46">
        <v>38</v>
      </c>
      <c r="E46" s="60" t="s">
        <v>1318</v>
      </c>
      <c r="F46" s="61" t="s">
        <v>1434</v>
      </c>
      <c r="G46" s="46" t="s">
        <v>30</v>
      </c>
      <c r="H46" s="64">
        <v>41437</v>
      </c>
      <c r="I46" s="64">
        <v>41453</v>
      </c>
      <c r="J46" s="46">
        <v>19</v>
      </c>
      <c r="K46" s="36" t="s">
        <v>31</v>
      </c>
      <c r="L46" s="60" t="s">
        <v>32</v>
      </c>
      <c r="M46" s="62"/>
      <c r="N46" s="62"/>
      <c r="O46" s="32"/>
      <c r="P46" s="32"/>
    </row>
    <row r="47" spans="1:16" ht="24.75" customHeight="1" x14ac:dyDescent="0.25">
      <c r="A47" s="11" t="str">
        <f t="shared" si="0"/>
        <v>VISTOS BUENOS</v>
      </c>
      <c r="B47" s="22">
        <v>2</v>
      </c>
      <c r="C47" s="37">
        <v>20</v>
      </c>
      <c r="D47" s="46">
        <v>39</v>
      </c>
      <c r="E47" s="60" t="s">
        <v>1319</v>
      </c>
      <c r="F47" s="61" t="s">
        <v>1435</v>
      </c>
      <c r="G47" s="46" t="s">
        <v>30</v>
      </c>
      <c r="H47" s="64">
        <v>41437</v>
      </c>
      <c r="I47" s="64">
        <v>41453</v>
      </c>
      <c r="J47" s="46">
        <v>19</v>
      </c>
      <c r="K47" s="36" t="s">
        <v>31</v>
      </c>
      <c r="L47" s="60" t="s">
        <v>32</v>
      </c>
      <c r="M47" s="62"/>
      <c r="N47" s="62"/>
      <c r="O47" s="32"/>
      <c r="P47" s="32"/>
    </row>
    <row r="48" spans="1:16" ht="24.75" customHeight="1" x14ac:dyDescent="0.25">
      <c r="A48" s="11" t="str">
        <f t="shared" si="0"/>
        <v>VISTOS BUENOS</v>
      </c>
      <c r="B48" s="22">
        <v>2</v>
      </c>
      <c r="C48" s="37">
        <v>20</v>
      </c>
      <c r="D48" s="46">
        <v>40</v>
      </c>
      <c r="E48" s="60" t="s">
        <v>1320</v>
      </c>
      <c r="F48" s="61" t="s">
        <v>1436</v>
      </c>
      <c r="G48" s="46" t="s">
        <v>30</v>
      </c>
      <c r="H48" s="64">
        <v>41439</v>
      </c>
      <c r="I48" s="64">
        <v>41443</v>
      </c>
      <c r="J48" s="46">
        <v>26</v>
      </c>
      <c r="K48" s="36" t="s">
        <v>31</v>
      </c>
      <c r="L48" s="60" t="s">
        <v>32</v>
      </c>
      <c r="M48" s="62"/>
      <c r="N48" s="62"/>
      <c r="O48" s="32"/>
      <c r="P48" s="32"/>
    </row>
    <row r="49" spans="1:16" ht="24.75" customHeight="1" x14ac:dyDescent="0.25">
      <c r="A49" s="11" t="str">
        <f t="shared" si="0"/>
        <v>VISTOS BUENOS</v>
      </c>
      <c r="B49" s="22">
        <v>2</v>
      </c>
      <c r="C49" s="37">
        <v>20</v>
      </c>
      <c r="D49" s="46">
        <v>41</v>
      </c>
      <c r="E49" s="60" t="s">
        <v>1321</v>
      </c>
      <c r="F49" s="61" t="s">
        <v>1437</v>
      </c>
      <c r="G49" s="46" t="s">
        <v>30</v>
      </c>
      <c r="H49" s="64">
        <v>41442</v>
      </c>
      <c r="I49" s="64">
        <v>41463</v>
      </c>
      <c r="J49" s="46">
        <v>63</v>
      </c>
      <c r="K49" s="36" t="s">
        <v>31</v>
      </c>
      <c r="L49" s="60" t="s">
        <v>32</v>
      </c>
      <c r="M49" s="62"/>
      <c r="N49" s="62"/>
      <c r="O49" s="32"/>
      <c r="P49" s="32"/>
    </row>
    <row r="50" spans="1:16" ht="24.75" customHeight="1" x14ac:dyDescent="0.25">
      <c r="A50" s="11" t="str">
        <f t="shared" si="0"/>
        <v>VISTOS BUENOS</v>
      </c>
      <c r="B50" s="22">
        <v>2</v>
      </c>
      <c r="C50" s="37">
        <v>21</v>
      </c>
      <c r="D50" s="46">
        <v>42</v>
      </c>
      <c r="E50" s="60" t="s">
        <v>1322</v>
      </c>
      <c r="F50" s="61" t="s">
        <v>1438</v>
      </c>
      <c r="G50" s="46" t="s">
        <v>30</v>
      </c>
      <c r="H50" s="64">
        <v>41439</v>
      </c>
      <c r="I50" s="64">
        <v>41459</v>
      </c>
      <c r="J50" s="46">
        <v>20</v>
      </c>
      <c r="K50" s="36" t="s">
        <v>31</v>
      </c>
      <c r="L50" s="60" t="s">
        <v>32</v>
      </c>
      <c r="M50" s="62"/>
      <c r="N50" s="62"/>
      <c r="O50" s="32"/>
      <c r="P50" s="32"/>
    </row>
    <row r="51" spans="1:16" ht="24.75" customHeight="1" x14ac:dyDescent="0.25">
      <c r="A51" s="11" t="str">
        <f t="shared" si="0"/>
        <v>VISTOS BUENOS</v>
      </c>
      <c r="B51" s="22">
        <v>2</v>
      </c>
      <c r="C51" s="37">
        <v>21</v>
      </c>
      <c r="D51" s="46">
        <v>43</v>
      </c>
      <c r="E51" s="60" t="s">
        <v>1323</v>
      </c>
      <c r="F51" s="61" t="s">
        <v>1439</v>
      </c>
      <c r="G51" s="46" t="s">
        <v>30</v>
      </c>
      <c r="H51" s="64">
        <v>41442</v>
      </c>
      <c r="I51" s="64">
        <v>41458</v>
      </c>
      <c r="J51" s="46">
        <v>70</v>
      </c>
      <c r="K51" s="36" t="s">
        <v>31</v>
      </c>
      <c r="L51" s="60" t="s">
        <v>32</v>
      </c>
      <c r="M51" s="62"/>
      <c r="N51" s="62"/>
      <c r="O51" s="32"/>
      <c r="P51" s="32"/>
    </row>
    <row r="52" spans="1:16" ht="24.75" customHeight="1" x14ac:dyDescent="0.25">
      <c r="A52" s="11" t="str">
        <f t="shared" si="0"/>
        <v>VISTOS BUENOS</v>
      </c>
      <c r="B52" s="22">
        <v>2</v>
      </c>
      <c r="C52" s="37" t="s">
        <v>1518</v>
      </c>
      <c r="D52" s="46">
        <v>44</v>
      </c>
      <c r="E52" s="60" t="s">
        <v>1324</v>
      </c>
      <c r="F52" s="61" t="s">
        <v>1440</v>
      </c>
      <c r="G52" s="46" t="s">
        <v>30</v>
      </c>
      <c r="H52" s="64" t="s">
        <v>1514</v>
      </c>
      <c r="I52" s="64">
        <v>41488</v>
      </c>
      <c r="J52" s="46">
        <v>461</v>
      </c>
      <c r="K52" s="36" t="s">
        <v>31</v>
      </c>
      <c r="L52" s="60" t="s">
        <v>32</v>
      </c>
      <c r="M52" s="62"/>
      <c r="N52" s="62"/>
      <c r="O52" s="32"/>
      <c r="P52" s="32"/>
    </row>
    <row r="53" spans="1:16" ht="24.75" customHeight="1" x14ac:dyDescent="0.25">
      <c r="A53" s="11" t="str">
        <f t="shared" si="0"/>
        <v>VISTOS BUENOS</v>
      </c>
      <c r="B53" s="22">
        <v>3</v>
      </c>
      <c r="C53" s="37">
        <v>27</v>
      </c>
      <c r="D53" s="46">
        <v>45</v>
      </c>
      <c r="E53" s="60" t="s">
        <v>1325</v>
      </c>
      <c r="F53" s="61" t="s">
        <v>1441</v>
      </c>
      <c r="G53" s="46" t="s">
        <v>30</v>
      </c>
      <c r="H53" s="64">
        <v>41444</v>
      </c>
      <c r="I53" s="64">
        <v>41463</v>
      </c>
      <c r="J53" s="46">
        <v>24</v>
      </c>
      <c r="K53" s="36" t="s">
        <v>31</v>
      </c>
      <c r="L53" s="60" t="s">
        <v>32</v>
      </c>
      <c r="M53" s="62"/>
      <c r="N53" s="62"/>
      <c r="O53" s="32"/>
      <c r="P53" s="32"/>
    </row>
    <row r="54" spans="1:16" ht="24.75" customHeight="1" x14ac:dyDescent="0.25">
      <c r="A54" s="11" t="str">
        <f t="shared" si="0"/>
        <v>VISTOS BUENOS</v>
      </c>
      <c r="B54" s="22">
        <v>3</v>
      </c>
      <c r="C54" s="37">
        <v>27</v>
      </c>
      <c r="D54" s="46">
        <v>46</v>
      </c>
      <c r="E54" s="60" t="s">
        <v>1326</v>
      </c>
      <c r="F54" s="61" t="s">
        <v>1442</v>
      </c>
      <c r="G54" s="46" t="s">
        <v>30</v>
      </c>
      <c r="H54" s="64">
        <v>41449</v>
      </c>
      <c r="I54" s="64">
        <v>41472</v>
      </c>
      <c r="J54" s="46">
        <v>46</v>
      </c>
      <c r="K54" s="36" t="s">
        <v>31</v>
      </c>
      <c r="L54" s="60" t="s">
        <v>32</v>
      </c>
      <c r="M54" s="62"/>
      <c r="N54" s="62"/>
      <c r="O54" s="32"/>
      <c r="P54" s="32"/>
    </row>
    <row r="55" spans="1:16" ht="24.75" customHeight="1" x14ac:dyDescent="0.25">
      <c r="A55" s="11" t="str">
        <f t="shared" si="0"/>
        <v>VISTOS BUENOS</v>
      </c>
      <c r="B55" s="22">
        <v>3</v>
      </c>
      <c r="C55" s="37">
        <v>27</v>
      </c>
      <c r="D55" s="46">
        <v>47</v>
      </c>
      <c r="E55" s="60" t="s">
        <v>1327</v>
      </c>
      <c r="F55" s="61" t="s">
        <v>1443</v>
      </c>
      <c r="G55" s="46" t="s">
        <v>30</v>
      </c>
      <c r="H55" s="64">
        <v>41450</v>
      </c>
      <c r="I55" s="64">
        <v>41473</v>
      </c>
      <c r="J55" s="46">
        <v>64</v>
      </c>
      <c r="K55" s="36" t="s">
        <v>31</v>
      </c>
      <c r="L55" s="60" t="s">
        <v>32</v>
      </c>
      <c r="M55" s="62"/>
      <c r="N55" s="62"/>
      <c r="O55" s="32"/>
      <c r="P55" s="32"/>
    </row>
    <row r="56" spans="1:16" ht="24.75" customHeight="1" x14ac:dyDescent="0.25">
      <c r="A56" s="11" t="str">
        <f t="shared" si="0"/>
        <v>VISTOS BUENOS</v>
      </c>
      <c r="B56" s="22">
        <v>3</v>
      </c>
      <c r="C56" s="37">
        <v>28</v>
      </c>
      <c r="D56" s="46">
        <v>48</v>
      </c>
      <c r="E56" s="60" t="s">
        <v>1328</v>
      </c>
      <c r="F56" s="61" t="s">
        <v>1444</v>
      </c>
      <c r="G56" s="46" t="s">
        <v>30</v>
      </c>
      <c r="H56" s="64">
        <v>41451</v>
      </c>
      <c r="I56" s="64">
        <v>41479</v>
      </c>
      <c r="J56" s="46">
        <v>36</v>
      </c>
      <c r="K56" s="36" t="s">
        <v>31</v>
      </c>
      <c r="L56" s="60" t="s">
        <v>32</v>
      </c>
      <c r="M56" s="62"/>
      <c r="N56" s="62"/>
      <c r="O56" s="32"/>
      <c r="P56" s="32"/>
    </row>
    <row r="57" spans="1:16" ht="24.75" customHeight="1" x14ac:dyDescent="0.25">
      <c r="A57" s="11" t="str">
        <f t="shared" si="0"/>
        <v>VISTOS BUENOS</v>
      </c>
      <c r="B57" s="22">
        <v>3</v>
      </c>
      <c r="C57" s="37">
        <v>28</v>
      </c>
      <c r="D57" s="46">
        <v>49</v>
      </c>
      <c r="E57" s="60" t="s">
        <v>1329</v>
      </c>
      <c r="F57" s="61" t="s">
        <v>1445</v>
      </c>
      <c r="G57" s="46" t="s">
        <v>30</v>
      </c>
      <c r="H57" s="64">
        <v>41445</v>
      </c>
      <c r="I57" s="64">
        <v>41485</v>
      </c>
      <c r="J57" s="46">
        <v>19</v>
      </c>
      <c r="K57" s="36" t="s">
        <v>31</v>
      </c>
      <c r="L57" s="60" t="s">
        <v>32</v>
      </c>
      <c r="M57" s="62"/>
      <c r="N57" s="62"/>
      <c r="O57" s="32"/>
      <c r="P57" s="32"/>
    </row>
    <row r="58" spans="1:16" ht="24.75" customHeight="1" x14ac:dyDescent="0.25">
      <c r="A58" s="11" t="str">
        <f t="shared" si="0"/>
        <v>VISTOS BUENOS</v>
      </c>
      <c r="B58" s="22">
        <v>3</v>
      </c>
      <c r="C58" s="37">
        <v>28</v>
      </c>
      <c r="D58" s="46">
        <v>50</v>
      </c>
      <c r="E58" s="60" t="s">
        <v>1330</v>
      </c>
      <c r="F58" s="61" t="s">
        <v>1446</v>
      </c>
      <c r="G58" s="46" t="s">
        <v>30</v>
      </c>
      <c r="H58" s="64">
        <v>41457</v>
      </c>
      <c r="I58" s="64">
        <v>41479</v>
      </c>
      <c r="J58" s="46">
        <v>27</v>
      </c>
      <c r="K58" s="36" t="s">
        <v>31</v>
      </c>
      <c r="L58" s="60" t="s">
        <v>32</v>
      </c>
      <c r="M58" s="62"/>
      <c r="N58" s="62"/>
      <c r="O58" s="32"/>
      <c r="P58" s="32"/>
    </row>
    <row r="59" spans="1:16" ht="24.75" customHeight="1" x14ac:dyDescent="0.25">
      <c r="A59" s="11" t="str">
        <f t="shared" si="0"/>
        <v>VISTOS BUENOS</v>
      </c>
      <c r="B59" s="22">
        <v>3</v>
      </c>
      <c r="C59" s="37">
        <v>28</v>
      </c>
      <c r="D59" s="46">
        <v>51</v>
      </c>
      <c r="E59" s="60" t="s">
        <v>1331</v>
      </c>
      <c r="F59" s="61" t="s">
        <v>1447</v>
      </c>
      <c r="G59" s="46" t="s">
        <v>30</v>
      </c>
      <c r="H59" s="64">
        <v>41464</v>
      </c>
      <c r="I59" s="64">
        <v>41488</v>
      </c>
      <c r="J59" s="46">
        <v>26</v>
      </c>
      <c r="K59" s="36" t="s">
        <v>31</v>
      </c>
      <c r="L59" s="60" t="s">
        <v>32</v>
      </c>
      <c r="M59" s="62"/>
      <c r="N59" s="62"/>
      <c r="O59" s="32"/>
      <c r="P59" s="32"/>
    </row>
    <row r="60" spans="1:16" ht="24.75" customHeight="1" x14ac:dyDescent="0.25">
      <c r="A60" s="11" t="str">
        <f t="shared" si="0"/>
        <v>VISTOS BUENOS</v>
      </c>
      <c r="B60" s="22">
        <v>3</v>
      </c>
      <c r="C60" s="37">
        <v>29</v>
      </c>
      <c r="D60" s="46">
        <v>52</v>
      </c>
      <c r="E60" s="60" t="s">
        <v>1332</v>
      </c>
      <c r="F60" s="61" t="s">
        <v>1448</v>
      </c>
      <c r="G60" s="46" t="s">
        <v>30</v>
      </c>
      <c r="H60" s="64">
        <v>41464</v>
      </c>
      <c r="I60" s="64">
        <v>41485</v>
      </c>
      <c r="J60" s="46">
        <v>14</v>
      </c>
      <c r="K60" s="36" t="s">
        <v>31</v>
      </c>
      <c r="L60" s="60" t="s">
        <v>32</v>
      </c>
      <c r="M60" s="62"/>
      <c r="N60" s="62"/>
      <c r="O60" s="32"/>
      <c r="P60" s="32"/>
    </row>
    <row r="61" spans="1:16" ht="24.75" customHeight="1" x14ac:dyDescent="0.25">
      <c r="A61" s="11" t="str">
        <f t="shared" si="0"/>
        <v>VISTOS BUENOS</v>
      </c>
      <c r="B61" s="22">
        <v>3</v>
      </c>
      <c r="C61" s="37">
        <v>29</v>
      </c>
      <c r="D61" s="46">
        <v>53</v>
      </c>
      <c r="E61" s="60" t="s">
        <v>1333</v>
      </c>
      <c r="F61" s="61" t="s">
        <v>1449</v>
      </c>
      <c r="G61" s="46" t="s">
        <v>30</v>
      </c>
      <c r="H61" s="64">
        <v>41466</v>
      </c>
      <c r="I61" s="64">
        <v>41499</v>
      </c>
      <c r="J61" s="46">
        <v>55</v>
      </c>
      <c r="K61" s="36" t="s">
        <v>31</v>
      </c>
      <c r="L61" s="60" t="s">
        <v>32</v>
      </c>
      <c r="M61" s="62"/>
      <c r="N61" s="62"/>
      <c r="O61" s="32"/>
      <c r="P61" s="32"/>
    </row>
    <row r="62" spans="1:16" ht="24.75" customHeight="1" x14ac:dyDescent="0.25">
      <c r="A62" s="11" t="str">
        <f t="shared" si="0"/>
        <v>VISTOS BUENOS</v>
      </c>
      <c r="B62" s="22">
        <v>3</v>
      </c>
      <c r="C62" s="37">
        <v>29</v>
      </c>
      <c r="D62" s="46">
        <v>54</v>
      </c>
      <c r="E62" s="60" t="s">
        <v>1334</v>
      </c>
      <c r="F62" s="61" t="s">
        <v>1450</v>
      </c>
      <c r="G62" s="46" t="s">
        <v>30</v>
      </c>
      <c r="H62" s="64">
        <v>41467</v>
      </c>
      <c r="I62" s="64">
        <v>41485</v>
      </c>
      <c r="J62" s="46">
        <v>14</v>
      </c>
      <c r="K62" s="36" t="s">
        <v>31</v>
      </c>
      <c r="L62" s="60" t="s">
        <v>32</v>
      </c>
      <c r="M62" s="62"/>
      <c r="N62" s="62"/>
      <c r="O62" s="32"/>
      <c r="P62" s="32"/>
    </row>
    <row r="63" spans="1:16" ht="24.75" customHeight="1" x14ac:dyDescent="0.25">
      <c r="A63" s="11" t="str">
        <f t="shared" si="0"/>
        <v>VISTOS BUENOS</v>
      </c>
      <c r="B63" s="22">
        <v>3</v>
      </c>
      <c r="C63" s="37">
        <v>29</v>
      </c>
      <c r="D63" s="46">
        <v>55</v>
      </c>
      <c r="E63" s="60" t="s">
        <v>1335</v>
      </c>
      <c r="F63" s="61" t="s">
        <v>1451</v>
      </c>
      <c r="G63" s="46" t="s">
        <v>30</v>
      </c>
      <c r="H63" s="64">
        <v>41467</v>
      </c>
      <c r="I63" s="64">
        <v>41477</v>
      </c>
      <c r="J63" s="46">
        <v>15</v>
      </c>
      <c r="K63" s="36" t="s">
        <v>31</v>
      </c>
      <c r="L63" s="60" t="s">
        <v>32</v>
      </c>
      <c r="M63" s="62"/>
      <c r="N63" s="62"/>
      <c r="O63" s="32"/>
      <c r="P63" s="32"/>
    </row>
    <row r="64" spans="1:16" ht="24.75" customHeight="1" x14ac:dyDescent="0.25">
      <c r="A64" s="11" t="str">
        <f t="shared" si="0"/>
        <v>VISTOS BUENOS</v>
      </c>
      <c r="B64" s="22">
        <v>3</v>
      </c>
      <c r="C64" s="37">
        <v>30</v>
      </c>
      <c r="D64" s="46">
        <v>56</v>
      </c>
      <c r="E64" s="60" t="s">
        <v>1336</v>
      </c>
      <c r="F64" s="61" t="s">
        <v>1452</v>
      </c>
      <c r="G64" s="46" t="s">
        <v>30</v>
      </c>
      <c r="H64" s="64">
        <v>41467</v>
      </c>
      <c r="I64" s="64">
        <v>41519</v>
      </c>
      <c r="J64" s="46">
        <v>96</v>
      </c>
      <c r="K64" s="36" t="s">
        <v>31</v>
      </c>
      <c r="L64" s="60" t="s">
        <v>32</v>
      </c>
      <c r="M64" s="62"/>
      <c r="N64" s="62"/>
      <c r="O64" s="32"/>
      <c r="P64" s="32"/>
    </row>
    <row r="65" spans="1:16" ht="24.75" customHeight="1" x14ac:dyDescent="0.25">
      <c r="A65" s="11" t="str">
        <f t="shared" si="0"/>
        <v>VISTOS BUENOS</v>
      </c>
      <c r="B65" s="22">
        <v>3</v>
      </c>
      <c r="C65" s="37">
        <v>31</v>
      </c>
      <c r="D65" s="46">
        <v>57</v>
      </c>
      <c r="E65" s="60" t="s">
        <v>1337</v>
      </c>
      <c r="F65" s="61" t="s">
        <v>1453</v>
      </c>
      <c r="G65" s="46" t="s">
        <v>30</v>
      </c>
      <c r="H65" s="64">
        <v>41474</v>
      </c>
      <c r="I65" s="64">
        <v>41493</v>
      </c>
      <c r="J65" s="46">
        <v>49</v>
      </c>
      <c r="K65" s="36" t="s">
        <v>31</v>
      </c>
      <c r="L65" s="60" t="s">
        <v>32</v>
      </c>
      <c r="M65" s="62"/>
      <c r="N65" s="62"/>
      <c r="O65" s="32"/>
      <c r="P65" s="32"/>
    </row>
    <row r="66" spans="1:16" ht="24.75" customHeight="1" x14ac:dyDescent="0.25">
      <c r="A66" s="11" t="str">
        <f t="shared" si="0"/>
        <v>VISTOS BUENOS</v>
      </c>
      <c r="B66" s="22">
        <v>3</v>
      </c>
      <c r="C66" s="37">
        <v>31</v>
      </c>
      <c r="D66" s="46">
        <v>58</v>
      </c>
      <c r="E66" s="60" t="s">
        <v>1338</v>
      </c>
      <c r="F66" s="61" t="s">
        <v>1454</v>
      </c>
      <c r="G66" s="46" t="s">
        <v>30</v>
      </c>
      <c r="H66" s="64">
        <v>41480</v>
      </c>
      <c r="I66" s="64">
        <v>41500</v>
      </c>
      <c r="J66" s="46">
        <v>23</v>
      </c>
      <c r="K66" s="36" t="s">
        <v>31</v>
      </c>
      <c r="L66" s="60" t="s">
        <v>32</v>
      </c>
      <c r="M66" s="62"/>
      <c r="N66" s="62"/>
      <c r="O66" s="32"/>
      <c r="P66" s="32"/>
    </row>
    <row r="67" spans="1:16" ht="24.75" customHeight="1" x14ac:dyDescent="0.25">
      <c r="A67" s="11" t="str">
        <f t="shared" si="0"/>
        <v>VISTOS BUENOS</v>
      </c>
      <c r="B67" s="22">
        <v>3</v>
      </c>
      <c r="C67" s="37">
        <v>31</v>
      </c>
      <c r="D67" s="46">
        <v>59</v>
      </c>
      <c r="E67" s="60" t="s">
        <v>1339</v>
      </c>
      <c r="F67" s="61" t="s">
        <v>1455</v>
      </c>
      <c r="G67" s="46" t="s">
        <v>30</v>
      </c>
      <c r="H67" s="64">
        <v>41480</v>
      </c>
      <c r="I67" s="64">
        <v>41492</v>
      </c>
      <c r="J67" s="46">
        <v>12</v>
      </c>
      <c r="K67" s="36" t="s">
        <v>31</v>
      </c>
      <c r="L67" s="60" t="s">
        <v>32</v>
      </c>
      <c r="M67" s="62"/>
      <c r="N67" s="62"/>
      <c r="O67" s="32"/>
      <c r="P67" s="32"/>
    </row>
    <row r="68" spans="1:16" ht="24.75" customHeight="1" x14ac:dyDescent="0.25">
      <c r="A68" s="11" t="str">
        <f t="shared" si="0"/>
        <v>VISTOS BUENOS</v>
      </c>
      <c r="B68" s="22">
        <v>3</v>
      </c>
      <c r="C68" s="37">
        <v>31</v>
      </c>
      <c r="D68" s="46">
        <v>60</v>
      </c>
      <c r="E68" s="60" t="s">
        <v>1340</v>
      </c>
      <c r="F68" s="61" t="s">
        <v>1456</v>
      </c>
      <c r="G68" s="46" t="s">
        <v>30</v>
      </c>
      <c r="H68" s="64">
        <v>41485</v>
      </c>
      <c r="I68" s="64">
        <v>41502</v>
      </c>
      <c r="J68" s="46">
        <v>24</v>
      </c>
      <c r="K68" s="36" t="s">
        <v>31</v>
      </c>
      <c r="L68" s="60" t="s">
        <v>32</v>
      </c>
      <c r="M68" s="62"/>
      <c r="N68" s="62"/>
      <c r="O68" s="32"/>
      <c r="P68" s="32"/>
    </row>
    <row r="69" spans="1:16" ht="24.75" customHeight="1" x14ac:dyDescent="0.25">
      <c r="A69" s="11" t="str">
        <f t="shared" si="0"/>
        <v>VISTOS BUENOS</v>
      </c>
      <c r="B69" s="22">
        <v>3</v>
      </c>
      <c r="C69" s="37">
        <v>32</v>
      </c>
      <c r="D69" s="46">
        <v>61</v>
      </c>
      <c r="E69" s="60" t="s">
        <v>1341</v>
      </c>
      <c r="F69" s="61" t="s">
        <v>1457</v>
      </c>
      <c r="G69" s="46" t="s">
        <v>30</v>
      </c>
      <c r="H69" s="64">
        <v>41486</v>
      </c>
      <c r="I69" s="64">
        <v>41515</v>
      </c>
      <c r="J69" s="46">
        <v>29</v>
      </c>
      <c r="K69" s="36" t="s">
        <v>31</v>
      </c>
      <c r="L69" s="60" t="s">
        <v>32</v>
      </c>
      <c r="M69" s="62"/>
      <c r="N69" s="62"/>
      <c r="O69" s="32"/>
      <c r="P69" s="32"/>
    </row>
    <row r="70" spans="1:16" ht="24.75" customHeight="1" x14ac:dyDescent="0.25">
      <c r="A70" s="11" t="str">
        <f t="shared" si="0"/>
        <v>VISTOS BUENOS</v>
      </c>
      <c r="B70" s="22">
        <v>3</v>
      </c>
      <c r="C70" s="37">
        <v>32</v>
      </c>
      <c r="D70" s="46">
        <v>62</v>
      </c>
      <c r="E70" s="60" t="s">
        <v>1342</v>
      </c>
      <c r="F70" s="61" t="s">
        <v>1458</v>
      </c>
      <c r="G70" s="46" t="s">
        <v>30</v>
      </c>
      <c r="H70" s="64">
        <v>41491</v>
      </c>
      <c r="I70" s="64">
        <v>41528</v>
      </c>
      <c r="J70" s="46">
        <v>23</v>
      </c>
      <c r="K70" s="36" t="s">
        <v>31</v>
      </c>
      <c r="L70" s="60" t="s">
        <v>32</v>
      </c>
      <c r="M70" s="62"/>
      <c r="N70" s="62"/>
      <c r="O70" s="32"/>
      <c r="P70" s="32"/>
    </row>
    <row r="71" spans="1:16" ht="24.75" customHeight="1" x14ac:dyDescent="0.25">
      <c r="A71" s="11" t="str">
        <f t="shared" si="0"/>
        <v>VISTOS BUENOS</v>
      </c>
      <c r="B71" s="22">
        <v>3</v>
      </c>
      <c r="C71" s="37">
        <v>32</v>
      </c>
      <c r="D71" s="46">
        <v>63</v>
      </c>
      <c r="E71" s="60" t="s">
        <v>1343</v>
      </c>
      <c r="F71" s="61" t="s">
        <v>1459</v>
      </c>
      <c r="G71" s="46" t="s">
        <v>30</v>
      </c>
      <c r="H71" s="64" t="s">
        <v>1515</v>
      </c>
      <c r="I71" s="64">
        <v>41503</v>
      </c>
      <c r="J71" s="46">
        <v>25</v>
      </c>
      <c r="K71" s="36" t="s">
        <v>31</v>
      </c>
      <c r="L71" s="60" t="s">
        <v>32</v>
      </c>
      <c r="M71" s="62"/>
      <c r="N71" s="62"/>
      <c r="O71" s="32"/>
      <c r="P71" s="32"/>
    </row>
    <row r="72" spans="1:16" ht="24.75" customHeight="1" x14ac:dyDescent="0.25">
      <c r="A72" s="11" t="str">
        <f t="shared" si="0"/>
        <v>VISTOS BUENOS</v>
      </c>
      <c r="B72" s="22">
        <v>3</v>
      </c>
      <c r="C72" s="37">
        <v>32</v>
      </c>
      <c r="D72" s="46">
        <v>64</v>
      </c>
      <c r="E72" s="60" t="s">
        <v>1344</v>
      </c>
      <c r="F72" s="61" t="s">
        <v>1460</v>
      </c>
      <c r="G72" s="46" t="s">
        <v>30</v>
      </c>
      <c r="H72" s="64">
        <v>41494</v>
      </c>
      <c r="I72" s="64">
        <v>41508</v>
      </c>
      <c r="J72" s="46">
        <v>15</v>
      </c>
      <c r="K72" s="36" t="s">
        <v>31</v>
      </c>
      <c r="L72" s="60" t="s">
        <v>32</v>
      </c>
      <c r="M72" s="62"/>
      <c r="N72" s="62"/>
      <c r="O72" s="32"/>
      <c r="P72" s="32"/>
    </row>
    <row r="73" spans="1:16" ht="24.75" customHeight="1" x14ac:dyDescent="0.25">
      <c r="A73" s="11" t="str">
        <f t="shared" si="0"/>
        <v>VISTOS BUENOS</v>
      </c>
      <c r="B73" s="22">
        <v>3</v>
      </c>
      <c r="C73" s="37">
        <v>32</v>
      </c>
      <c r="D73" s="46">
        <v>65</v>
      </c>
      <c r="E73" s="60" t="s">
        <v>1345</v>
      </c>
      <c r="F73" s="61" t="s">
        <v>1461</v>
      </c>
      <c r="G73" s="46" t="s">
        <v>30</v>
      </c>
      <c r="H73" s="64">
        <v>41498</v>
      </c>
      <c r="I73" s="64">
        <v>41519</v>
      </c>
      <c r="J73" s="46">
        <v>17</v>
      </c>
      <c r="K73" s="36" t="s">
        <v>31</v>
      </c>
      <c r="L73" s="60" t="s">
        <v>32</v>
      </c>
      <c r="M73" s="62"/>
      <c r="N73" s="62"/>
      <c r="O73" s="32"/>
      <c r="P73" s="32"/>
    </row>
    <row r="74" spans="1:16" ht="24.75" customHeight="1" x14ac:dyDescent="0.25">
      <c r="A74" s="11" t="str">
        <f t="shared" si="0"/>
        <v>VISTOS BUENOS</v>
      </c>
      <c r="B74" s="22">
        <v>3</v>
      </c>
      <c r="C74" s="37">
        <v>33</v>
      </c>
      <c r="D74" s="46">
        <v>66</v>
      </c>
      <c r="E74" s="60" t="s">
        <v>1346</v>
      </c>
      <c r="F74" s="61" t="s">
        <v>1462</v>
      </c>
      <c r="G74" s="46" t="s">
        <v>30</v>
      </c>
      <c r="H74" s="64">
        <v>41500</v>
      </c>
      <c r="I74" s="64">
        <v>41550</v>
      </c>
      <c r="J74" s="46">
        <v>40</v>
      </c>
      <c r="K74" s="36" t="s">
        <v>31</v>
      </c>
      <c r="L74" s="60" t="s">
        <v>32</v>
      </c>
      <c r="M74" s="62"/>
      <c r="N74" s="62"/>
      <c r="O74" s="32"/>
      <c r="P74" s="32"/>
    </row>
    <row r="75" spans="1:16" ht="24.75" customHeight="1" x14ac:dyDescent="0.25">
      <c r="A75" s="11" t="str">
        <f t="shared" ref="A75:A125" si="1">A74</f>
        <v>VISTOS BUENOS</v>
      </c>
      <c r="B75" s="22">
        <v>3</v>
      </c>
      <c r="C75" s="37">
        <v>33</v>
      </c>
      <c r="D75" s="46">
        <v>67</v>
      </c>
      <c r="E75" s="60" t="s">
        <v>1347</v>
      </c>
      <c r="F75" s="61" t="s">
        <v>1463</v>
      </c>
      <c r="G75" s="46" t="s">
        <v>30</v>
      </c>
      <c r="H75" s="64">
        <v>41506</v>
      </c>
      <c r="I75" s="64">
        <v>41523</v>
      </c>
      <c r="J75" s="46">
        <v>29</v>
      </c>
      <c r="K75" s="36" t="s">
        <v>31</v>
      </c>
      <c r="L75" s="60" t="s">
        <v>32</v>
      </c>
      <c r="M75" s="62"/>
      <c r="N75" s="62"/>
      <c r="O75" s="32"/>
      <c r="P75" s="32"/>
    </row>
    <row r="76" spans="1:16" ht="24.75" customHeight="1" x14ac:dyDescent="0.25">
      <c r="A76" s="11" t="str">
        <f t="shared" si="1"/>
        <v>VISTOS BUENOS</v>
      </c>
      <c r="B76" s="22">
        <v>3</v>
      </c>
      <c r="C76" s="37">
        <v>34</v>
      </c>
      <c r="D76" s="46">
        <v>68</v>
      </c>
      <c r="E76" s="60" t="s">
        <v>1348</v>
      </c>
      <c r="F76" s="61" t="s">
        <v>1464</v>
      </c>
      <c r="G76" s="46" t="s">
        <v>30</v>
      </c>
      <c r="H76" s="64">
        <v>41508</v>
      </c>
      <c r="I76" s="64">
        <v>41555</v>
      </c>
      <c r="J76" s="46">
        <v>85</v>
      </c>
      <c r="K76" s="36" t="s">
        <v>31</v>
      </c>
      <c r="L76" s="60" t="s">
        <v>32</v>
      </c>
      <c r="M76" s="62"/>
      <c r="N76" s="62"/>
      <c r="O76" s="32"/>
      <c r="P76" s="32"/>
    </row>
    <row r="77" spans="1:16" ht="24.75" customHeight="1" x14ac:dyDescent="0.25">
      <c r="A77" s="11" t="str">
        <f t="shared" si="1"/>
        <v>VISTOS BUENOS</v>
      </c>
      <c r="B77" s="22">
        <v>3</v>
      </c>
      <c r="C77" s="37">
        <v>34</v>
      </c>
      <c r="D77" s="46">
        <v>69</v>
      </c>
      <c r="E77" s="60" t="s">
        <v>1349</v>
      </c>
      <c r="F77" s="61" t="s">
        <v>1465</v>
      </c>
      <c r="G77" s="46" t="s">
        <v>30</v>
      </c>
      <c r="H77" s="64">
        <v>41509</v>
      </c>
      <c r="I77" s="64">
        <v>41522</v>
      </c>
      <c r="J77" s="46">
        <v>21</v>
      </c>
      <c r="K77" s="36" t="s">
        <v>31</v>
      </c>
      <c r="L77" s="60" t="s">
        <v>32</v>
      </c>
      <c r="M77" s="62"/>
      <c r="N77" s="62"/>
      <c r="O77" s="32"/>
      <c r="P77" s="32"/>
    </row>
    <row r="78" spans="1:16" ht="24.75" customHeight="1" x14ac:dyDescent="0.25">
      <c r="A78" s="11" t="str">
        <f t="shared" si="1"/>
        <v>VISTOS BUENOS</v>
      </c>
      <c r="B78" s="22">
        <v>3</v>
      </c>
      <c r="C78" s="37">
        <v>35</v>
      </c>
      <c r="D78" s="46">
        <v>70</v>
      </c>
      <c r="E78" s="60" t="s">
        <v>1350</v>
      </c>
      <c r="F78" s="61" t="s">
        <v>1466</v>
      </c>
      <c r="G78" s="46" t="s">
        <v>30</v>
      </c>
      <c r="H78" s="64">
        <v>41509</v>
      </c>
      <c r="I78" s="64">
        <v>41530</v>
      </c>
      <c r="J78" s="46">
        <v>30</v>
      </c>
      <c r="K78" s="36" t="s">
        <v>31</v>
      </c>
      <c r="L78" s="60" t="s">
        <v>32</v>
      </c>
      <c r="M78" s="62"/>
      <c r="N78" s="62"/>
      <c r="O78" s="32"/>
      <c r="P78" s="32"/>
    </row>
    <row r="79" spans="1:16" ht="24.75" customHeight="1" x14ac:dyDescent="0.25">
      <c r="A79" s="11" t="str">
        <f t="shared" si="1"/>
        <v>VISTOS BUENOS</v>
      </c>
      <c r="B79" s="22">
        <v>3</v>
      </c>
      <c r="C79" s="37">
        <v>35</v>
      </c>
      <c r="D79" s="46">
        <v>71</v>
      </c>
      <c r="E79" s="60" t="s">
        <v>1351</v>
      </c>
      <c r="F79" s="61" t="s">
        <v>1467</v>
      </c>
      <c r="G79" s="46" t="s">
        <v>30</v>
      </c>
      <c r="H79" s="64">
        <v>41509</v>
      </c>
      <c r="I79" s="64">
        <v>41512</v>
      </c>
      <c r="J79" s="46">
        <v>32</v>
      </c>
      <c r="K79" s="36" t="s">
        <v>31</v>
      </c>
      <c r="L79" s="60" t="s">
        <v>32</v>
      </c>
      <c r="M79" s="62"/>
      <c r="N79" s="62"/>
      <c r="O79" s="32"/>
      <c r="P79" s="32"/>
    </row>
    <row r="80" spans="1:16" ht="24.75" customHeight="1" x14ac:dyDescent="0.25">
      <c r="A80" s="11" t="str">
        <f t="shared" si="1"/>
        <v>VISTOS BUENOS</v>
      </c>
      <c r="B80" s="22">
        <v>3</v>
      </c>
      <c r="C80" s="37">
        <v>35</v>
      </c>
      <c r="D80" s="46">
        <v>72</v>
      </c>
      <c r="E80" s="60" t="s">
        <v>1352</v>
      </c>
      <c r="F80" s="61" t="s">
        <v>1468</v>
      </c>
      <c r="G80" s="46" t="s">
        <v>30</v>
      </c>
      <c r="H80" s="64">
        <v>41513</v>
      </c>
      <c r="I80" s="64">
        <v>41557</v>
      </c>
      <c r="J80" s="46">
        <v>29</v>
      </c>
      <c r="K80" s="36" t="s">
        <v>31</v>
      </c>
      <c r="L80" s="60" t="s">
        <v>32</v>
      </c>
      <c r="M80" s="62"/>
      <c r="N80" s="62"/>
      <c r="O80" s="32"/>
      <c r="P80" s="32"/>
    </row>
    <row r="81" spans="1:16" ht="24.75" customHeight="1" x14ac:dyDescent="0.25">
      <c r="A81" s="11" t="str">
        <f t="shared" si="1"/>
        <v>VISTOS BUENOS</v>
      </c>
      <c r="B81" s="22">
        <v>3</v>
      </c>
      <c r="C81" s="37">
        <v>35</v>
      </c>
      <c r="D81" s="46">
        <v>73</v>
      </c>
      <c r="E81" s="60" t="s">
        <v>1353</v>
      </c>
      <c r="F81" s="61" t="s">
        <v>1469</v>
      </c>
      <c r="G81" s="46" t="s">
        <v>30</v>
      </c>
      <c r="H81" s="64">
        <v>41514</v>
      </c>
      <c r="I81" s="64">
        <v>41561</v>
      </c>
      <c r="J81" s="46">
        <v>27</v>
      </c>
      <c r="K81" s="36" t="s">
        <v>31</v>
      </c>
      <c r="L81" s="60" t="s">
        <v>32</v>
      </c>
      <c r="M81" s="62"/>
      <c r="N81" s="62"/>
      <c r="O81" s="32"/>
      <c r="P81" s="32"/>
    </row>
    <row r="82" spans="1:16" ht="24.75" customHeight="1" x14ac:dyDescent="0.25">
      <c r="A82" s="11" t="str">
        <f t="shared" si="1"/>
        <v>VISTOS BUENOS</v>
      </c>
      <c r="B82" s="22">
        <v>3</v>
      </c>
      <c r="C82" s="37">
        <v>36</v>
      </c>
      <c r="D82" s="46">
        <v>74</v>
      </c>
      <c r="E82" s="60" t="s">
        <v>1354</v>
      </c>
      <c r="F82" s="61" t="s">
        <v>1470</v>
      </c>
      <c r="G82" s="46" t="s">
        <v>30</v>
      </c>
      <c r="H82" s="64">
        <v>41521</v>
      </c>
      <c r="I82" s="64">
        <v>41555</v>
      </c>
      <c r="J82" s="46">
        <v>136</v>
      </c>
      <c r="K82" s="36" t="s">
        <v>31</v>
      </c>
      <c r="L82" s="60" t="s">
        <v>32</v>
      </c>
      <c r="M82" s="62"/>
      <c r="N82" s="62"/>
      <c r="O82" s="32"/>
      <c r="P82" s="32"/>
    </row>
    <row r="83" spans="1:16" ht="24.75" customHeight="1" x14ac:dyDescent="0.25">
      <c r="A83" s="11" t="str">
        <f t="shared" si="1"/>
        <v>VISTOS BUENOS</v>
      </c>
      <c r="B83" s="22">
        <v>3</v>
      </c>
      <c r="C83" s="37">
        <v>37</v>
      </c>
      <c r="D83" s="46">
        <v>75</v>
      </c>
      <c r="E83" s="60" t="s">
        <v>1355</v>
      </c>
      <c r="F83" s="61" t="s">
        <v>1471</v>
      </c>
      <c r="G83" s="46" t="s">
        <v>30</v>
      </c>
      <c r="H83" s="64">
        <v>41522</v>
      </c>
      <c r="I83" s="64">
        <v>41523</v>
      </c>
      <c r="J83" s="46">
        <v>23</v>
      </c>
      <c r="K83" s="36" t="s">
        <v>31</v>
      </c>
      <c r="L83" s="60" t="s">
        <v>32</v>
      </c>
      <c r="M83" s="62"/>
      <c r="N83" s="62"/>
      <c r="O83" s="32"/>
      <c r="P83" s="32"/>
    </row>
    <row r="84" spans="1:16" ht="24.75" customHeight="1" x14ac:dyDescent="0.25">
      <c r="A84" s="11" t="str">
        <f t="shared" si="1"/>
        <v>VISTOS BUENOS</v>
      </c>
      <c r="B84" s="22">
        <v>3</v>
      </c>
      <c r="C84" s="37">
        <v>37</v>
      </c>
      <c r="D84" s="46">
        <v>76</v>
      </c>
      <c r="E84" s="60" t="s">
        <v>1356</v>
      </c>
      <c r="F84" s="61" t="s">
        <v>1472</v>
      </c>
      <c r="G84" s="46" t="s">
        <v>30</v>
      </c>
      <c r="H84" s="64">
        <v>41526</v>
      </c>
      <c r="I84" s="64">
        <v>41554</v>
      </c>
      <c r="J84" s="46">
        <v>60</v>
      </c>
      <c r="K84" s="36" t="s">
        <v>31</v>
      </c>
      <c r="L84" s="60" t="s">
        <v>32</v>
      </c>
      <c r="M84" s="62"/>
      <c r="N84" s="62"/>
      <c r="O84" s="32"/>
      <c r="P84" s="32"/>
    </row>
    <row r="85" spans="1:16" ht="24.75" customHeight="1" x14ac:dyDescent="0.25">
      <c r="A85" s="11" t="str">
        <f t="shared" si="1"/>
        <v>VISTOS BUENOS</v>
      </c>
      <c r="B85" s="22">
        <v>3</v>
      </c>
      <c r="C85" s="37">
        <v>37</v>
      </c>
      <c r="D85" s="46">
        <v>77</v>
      </c>
      <c r="E85" s="60" t="s">
        <v>1357</v>
      </c>
      <c r="F85" s="61" t="s">
        <v>1473</v>
      </c>
      <c r="G85" s="46" t="s">
        <v>30</v>
      </c>
      <c r="H85" s="64">
        <v>41526</v>
      </c>
      <c r="I85" s="64">
        <v>41554</v>
      </c>
      <c r="J85" s="46">
        <v>15</v>
      </c>
      <c r="K85" s="36" t="s">
        <v>31</v>
      </c>
      <c r="L85" s="60" t="s">
        <v>32</v>
      </c>
      <c r="M85" s="62"/>
      <c r="N85" s="62"/>
      <c r="O85" s="32"/>
      <c r="P85" s="32"/>
    </row>
    <row r="86" spans="1:16" ht="24.75" customHeight="1" x14ac:dyDescent="0.25">
      <c r="A86" s="11" t="str">
        <f t="shared" si="1"/>
        <v>VISTOS BUENOS</v>
      </c>
      <c r="B86" s="22">
        <v>3</v>
      </c>
      <c r="C86" s="37">
        <v>38</v>
      </c>
      <c r="D86" s="46">
        <v>78</v>
      </c>
      <c r="E86" s="60" t="s">
        <v>1358</v>
      </c>
      <c r="F86" s="61" t="s">
        <v>1474</v>
      </c>
      <c r="G86" s="46" t="s">
        <v>30</v>
      </c>
      <c r="H86" s="64">
        <v>41528</v>
      </c>
      <c r="I86" s="64">
        <v>41555</v>
      </c>
      <c r="J86" s="46">
        <v>48</v>
      </c>
      <c r="K86" s="36" t="s">
        <v>31</v>
      </c>
      <c r="L86" s="60" t="s">
        <v>32</v>
      </c>
      <c r="M86" s="62"/>
      <c r="N86" s="62"/>
      <c r="O86" s="32"/>
      <c r="P86" s="32"/>
    </row>
    <row r="87" spans="1:16" ht="24.75" customHeight="1" x14ac:dyDescent="0.25">
      <c r="A87" s="11" t="str">
        <f t="shared" si="1"/>
        <v>VISTOS BUENOS</v>
      </c>
      <c r="B87" s="22">
        <v>3</v>
      </c>
      <c r="C87" s="37">
        <v>38</v>
      </c>
      <c r="D87" s="46">
        <v>79</v>
      </c>
      <c r="E87" s="60" t="s">
        <v>1359</v>
      </c>
      <c r="F87" s="61" t="s">
        <v>1475</v>
      </c>
      <c r="G87" s="46" t="s">
        <v>30</v>
      </c>
      <c r="H87" s="64">
        <v>41529</v>
      </c>
      <c r="I87" s="64">
        <v>41530</v>
      </c>
      <c r="J87" s="46">
        <v>16</v>
      </c>
      <c r="K87" s="36" t="s">
        <v>31</v>
      </c>
      <c r="L87" s="60" t="s">
        <v>32</v>
      </c>
      <c r="M87" s="62"/>
      <c r="N87" s="62"/>
      <c r="O87" s="32"/>
      <c r="P87" s="32"/>
    </row>
    <row r="88" spans="1:16" ht="24.75" customHeight="1" x14ac:dyDescent="0.25">
      <c r="A88" s="11" t="str">
        <f t="shared" si="1"/>
        <v>VISTOS BUENOS</v>
      </c>
      <c r="B88" s="22">
        <v>4</v>
      </c>
      <c r="C88" s="37">
        <v>39</v>
      </c>
      <c r="D88" s="46">
        <v>80</v>
      </c>
      <c r="E88" s="60" t="s">
        <v>1360</v>
      </c>
      <c r="F88" s="61" t="s">
        <v>1476</v>
      </c>
      <c r="G88" s="46" t="s">
        <v>30</v>
      </c>
      <c r="H88" s="64">
        <v>41548</v>
      </c>
      <c r="I88" s="64">
        <v>41572</v>
      </c>
      <c r="J88" s="46">
        <v>103</v>
      </c>
      <c r="K88" s="36" t="s">
        <v>31</v>
      </c>
      <c r="L88" s="60" t="s">
        <v>32</v>
      </c>
      <c r="M88" s="62"/>
      <c r="N88" s="62"/>
      <c r="O88" s="32"/>
      <c r="P88" s="32"/>
    </row>
    <row r="89" spans="1:16" ht="24.75" customHeight="1" x14ac:dyDescent="0.25">
      <c r="A89" s="11" t="str">
        <f t="shared" si="1"/>
        <v>VISTOS BUENOS</v>
      </c>
      <c r="B89" s="22">
        <v>4</v>
      </c>
      <c r="C89" s="37">
        <v>40</v>
      </c>
      <c r="D89" s="46">
        <v>81</v>
      </c>
      <c r="E89" s="60" t="s">
        <v>1361</v>
      </c>
      <c r="F89" s="61" t="s">
        <v>1477</v>
      </c>
      <c r="G89" s="46" t="s">
        <v>30</v>
      </c>
      <c r="H89" s="64">
        <v>41551</v>
      </c>
      <c r="I89" s="64">
        <v>41584</v>
      </c>
      <c r="J89" s="46">
        <v>23</v>
      </c>
      <c r="K89" s="36" t="s">
        <v>31</v>
      </c>
      <c r="L89" s="60" t="s">
        <v>32</v>
      </c>
      <c r="M89" s="62"/>
      <c r="N89" s="62"/>
      <c r="O89" s="32"/>
      <c r="P89" s="32"/>
    </row>
    <row r="90" spans="1:16" ht="24.75" customHeight="1" x14ac:dyDescent="0.25">
      <c r="A90" s="11" t="str">
        <f t="shared" si="1"/>
        <v>VISTOS BUENOS</v>
      </c>
      <c r="B90" s="22">
        <v>4</v>
      </c>
      <c r="C90" s="37">
        <v>40</v>
      </c>
      <c r="D90" s="46">
        <v>82</v>
      </c>
      <c r="E90" s="60" t="s">
        <v>1362</v>
      </c>
      <c r="F90" s="61" t="s">
        <v>1478</v>
      </c>
      <c r="G90" s="46" t="s">
        <v>30</v>
      </c>
      <c r="H90" s="64">
        <v>41551</v>
      </c>
      <c r="I90" s="64">
        <v>41556</v>
      </c>
      <c r="J90" s="46">
        <v>19</v>
      </c>
      <c r="K90" s="36" t="s">
        <v>31</v>
      </c>
      <c r="L90" s="60" t="s">
        <v>32</v>
      </c>
      <c r="M90" s="62"/>
      <c r="N90" s="62"/>
      <c r="O90" s="32"/>
      <c r="P90" s="32"/>
    </row>
    <row r="91" spans="1:16" ht="24.75" customHeight="1" x14ac:dyDescent="0.25">
      <c r="A91" s="11" t="str">
        <f t="shared" si="1"/>
        <v>VISTOS BUENOS</v>
      </c>
      <c r="B91" s="22">
        <v>4</v>
      </c>
      <c r="C91" s="37">
        <v>40</v>
      </c>
      <c r="D91" s="46">
        <v>83</v>
      </c>
      <c r="E91" s="60" t="s">
        <v>1363</v>
      </c>
      <c r="F91" s="61" t="s">
        <v>1479</v>
      </c>
      <c r="G91" s="46" t="s">
        <v>30</v>
      </c>
      <c r="H91" s="64">
        <v>41554</v>
      </c>
      <c r="I91" s="64">
        <v>41555</v>
      </c>
      <c r="J91" s="46">
        <v>9</v>
      </c>
      <c r="K91" s="36" t="s">
        <v>31</v>
      </c>
      <c r="L91" s="60" t="s">
        <v>32</v>
      </c>
      <c r="M91" s="62"/>
      <c r="N91" s="62"/>
      <c r="O91" s="32"/>
      <c r="P91" s="32"/>
    </row>
    <row r="92" spans="1:16" ht="24.75" customHeight="1" x14ac:dyDescent="0.25">
      <c r="A92" s="11" t="str">
        <f t="shared" si="1"/>
        <v>VISTOS BUENOS</v>
      </c>
      <c r="B92" s="22">
        <v>4</v>
      </c>
      <c r="C92" s="37">
        <v>40</v>
      </c>
      <c r="D92" s="46">
        <v>84</v>
      </c>
      <c r="E92" s="60" t="s">
        <v>1364</v>
      </c>
      <c r="F92" s="61" t="s">
        <v>1480</v>
      </c>
      <c r="G92" s="46" t="s">
        <v>30</v>
      </c>
      <c r="H92" s="64">
        <v>41557</v>
      </c>
      <c r="I92" s="64">
        <v>41563</v>
      </c>
      <c r="J92" s="46">
        <v>43</v>
      </c>
      <c r="K92" s="36" t="s">
        <v>31</v>
      </c>
      <c r="L92" s="60" t="s">
        <v>32</v>
      </c>
      <c r="M92" s="62"/>
      <c r="N92" s="62"/>
      <c r="O92" s="32"/>
      <c r="P92" s="32"/>
    </row>
    <row r="93" spans="1:16" ht="24.75" customHeight="1" x14ac:dyDescent="0.25">
      <c r="A93" s="11" t="str">
        <f t="shared" si="1"/>
        <v>VISTOS BUENOS</v>
      </c>
      <c r="B93" s="22">
        <v>4</v>
      </c>
      <c r="C93" s="37">
        <v>41</v>
      </c>
      <c r="D93" s="46">
        <v>85</v>
      </c>
      <c r="E93" s="60" t="s">
        <v>1365</v>
      </c>
      <c r="F93" s="61" t="s">
        <v>1481</v>
      </c>
      <c r="G93" s="46" t="s">
        <v>30</v>
      </c>
      <c r="H93" s="64">
        <v>41562</v>
      </c>
      <c r="I93" s="64">
        <v>41578</v>
      </c>
      <c r="J93" s="46">
        <v>117</v>
      </c>
      <c r="K93" s="36" t="s">
        <v>31</v>
      </c>
      <c r="L93" s="60" t="s">
        <v>32</v>
      </c>
      <c r="M93" s="62"/>
      <c r="N93" s="62"/>
      <c r="O93" s="32"/>
      <c r="P93" s="32"/>
    </row>
    <row r="94" spans="1:16" ht="24.75" customHeight="1" x14ac:dyDescent="0.25">
      <c r="A94" s="11" t="str">
        <f t="shared" si="1"/>
        <v>VISTOS BUENOS</v>
      </c>
      <c r="B94" s="22">
        <v>4</v>
      </c>
      <c r="C94" s="37">
        <v>41</v>
      </c>
      <c r="D94" s="46">
        <v>86</v>
      </c>
      <c r="E94" s="60" t="s">
        <v>1366</v>
      </c>
      <c r="F94" s="61" t="s">
        <v>1482</v>
      </c>
      <c r="G94" s="46" t="s">
        <v>30</v>
      </c>
      <c r="H94" s="64">
        <v>41562</v>
      </c>
      <c r="I94" s="64">
        <v>41582</v>
      </c>
      <c r="J94" s="46">
        <v>38</v>
      </c>
      <c r="K94" s="36" t="s">
        <v>31</v>
      </c>
      <c r="L94" s="60" t="s">
        <v>32</v>
      </c>
      <c r="M94" s="62"/>
      <c r="N94" s="62"/>
      <c r="O94" s="32"/>
      <c r="P94" s="32"/>
    </row>
    <row r="95" spans="1:16" ht="24.75" customHeight="1" x14ac:dyDescent="0.25">
      <c r="A95" s="11" t="str">
        <f t="shared" si="1"/>
        <v>VISTOS BUENOS</v>
      </c>
      <c r="B95" s="22">
        <v>4</v>
      </c>
      <c r="C95" s="37">
        <v>42</v>
      </c>
      <c r="D95" s="46">
        <v>87</v>
      </c>
      <c r="E95" s="60" t="s">
        <v>1367</v>
      </c>
      <c r="F95" s="61" t="s">
        <v>1483</v>
      </c>
      <c r="G95" s="46" t="s">
        <v>30</v>
      </c>
      <c r="H95" s="64">
        <v>41565</v>
      </c>
      <c r="I95" s="64">
        <v>41584</v>
      </c>
      <c r="J95" s="46">
        <v>119</v>
      </c>
      <c r="K95" s="36" t="s">
        <v>31</v>
      </c>
      <c r="L95" s="60" t="s">
        <v>32</v>
      </c>
      <c r="M95" s="62"/>
      <c r="N95" s="62"/>
      <c r="O95" s="32"/>
      <c r="P95" s="32"/>
    </row>
    <row r="96" spans="1:16" ht="24.75" customHeight="1" x14ac:dyDescent="0.25">
      <c r="A96" s="11" t="str">
        <f t="shared" si="1"/>
        <v>VISTOS BUENOS</v>
      </c>
      <c r="B96" s="22">
        <v>4</v>
      </c>
      <c r="C96" s="37">
        <v>43</v>
      </c>
      <c r="D96" s="46">
        <v>88</v>
      </c>
      <c r="E96" s="60" t="s">
        <v>1368</v>
      </c>
      <c r="F96" s="61" t="s">
        <v>1484</v>
      </c>
      <c r="G96" s="46" t="s">
        <v>30</v>
      </c>
      <c r="H96" s="64">
        <v>41568</v>
      </c>
      <c r="I96" s="64">
        <v>41584</v>
      </c>
      <c r="J96" s="46">
        <v>37</v>
      </c>
      <c r="K96" s="36" t="s">
        <v>31</v>
      </c>
      <c r="L96" s="60" t="s">
        <v>32</v>
      </c>
      <c r="M96" s="62"/>
      <c r="N96" s="62"/>
      <c r="O96" s="32"/>
      <c r="P96" s="32"/>
    </row>
    <row r="97" spans="1:16" ht="24.75" customHeight="1" x14ac:dyDescent="0.25">
      <c r="A97" s="11" t="str">
        <f t="shared" si="1"/>
        <v>VISTOS BUENOS</v>
      </c>
      <c r="B97" s="22">
        <v>4</v>
      </c>
      <c r="C97" s="37">
        <v>43</v>
      </c>
      <c r="D97" s="46">
        <v>89</v>
      </c>
      <c r="E97" s="60" t="s">
        <v>1369</v>
      </c>
      <c r="F97" s="61" t="s">
        <v>1485</v>
      </c>
      <c r="G97" s="46" t="s">
        <v>30</v>
      </c>
      <c r="H97" s="64">
        <v>41568</v>
      </c>
      <c r="I97" s="64">
        <v>41613</v>
      </c>
      <c r="J97" s="46">
        <v>51</v>
      </c>
      <c r="K97" s="36" t="s">
        <v>31</v>
      </c>
      <c r="L97" s="60" t="s">
        <v>32</v>
      </c>
      <c r="M97" s="62"/>
      <c r="N97" s="62"/>
      <c r="O97" s="32"/>
      <c r="P97" s="32"/>
    </row>
    <row r="98" spans="1:16" ht="24.75" customHeight="1" x14ac:dyDescent="0.25">
      <c r="A98" s="11" t="str">
        <f t="shared" si="1"/>
        <v>VISTOS BUENOS</v>
      </c>
      <c r="B98" s="22">
        <v>4</v>
      </c>
      <c r="C98" s="37">
        <v>44</v>
      </c>
      <c r="D98" s="46">
        <v>90</v>
      </c>
      <c r="E98" s="60" t="s">
        <v>1370</v>
      </c>
      <c r="F98" s="61" t="s">
        <v>1486</v>
      </c>
      <c r="G98" s="46" t="s">
        <v>30</v>
      </c>
      <c r="H98" s="64">
        <v>41569</v>
      </c>
      <c r="I98" s="64">
        <v>41586</v>
      </c>
      <c r="J98" s="46">
        <v>115</v>
      </c>
      <c r="K98" s="36" t="s">
        <v>31</v>
      </c>
      <c r="L98" s="60" t="s">
        <v>32</v>
      </c>
      <c r="M98" s="62"/>
      <c r="N98" s="62"/>
      <c r="O98" s="32"/>
      <c r="P98" s="32"/>
    </row>
    <row r="99" spans="1:16" ht="24.75" customHeight="1" x14ac:dyDescent="0.25">
      <c r="A99" s="11" t="str">
        <f t="shared" si="1"/>
        <v>VISTOS BUENOS</v>
      </c>
      <c r="B99" s="22">
        <v>4</v>
      </c>
      <c r="C99" s="37">
        <v>45</v>
      </c>
      <c r="D99" s="46">
        <v>91</v>
      </c>
      <c r="E99" s="60" t="s">
        <v>1371</v>
      </c>
      <c r="F99" s="61" t="s">
        <v>1487</v>
      </c>
      <c r="G99" s="46" t="s">
        <v>30</v>
      </c>
      <c r="H99" s="64">
        <v>41601</v>
      </c>
      <c r="I99" s="64">
        <v>41590</v>
      </c>
      <c r="J99" s="46">
        <v>15</v>
      </c>
      <c r="K99" s="36" t="s">
        <v>31</v>
      </c>
      <c r="L99" s="60" t="s">
        <v>32</v>
      </c>
      <c r="M99" s="62"/>
      <c r="N99" s="62"/>
      <c r="O99" s="32"/>
      <c r="P99" s="32"/>
    </row>
    <row r="100" spans="1:16" ht="24.75" customHeight="1" x14ac:dyDescent="0.25">
      <c r="A100" s="11" t="str">
        <f t="shared" si="1"/>
        <v>VISTOS BUENOS</v>
      </c>
      <c r="B100" s="22">
        <v>4</v>
      </c>
      <c r="C100" s="37">
        <v>45</v>
      </c>
      <c r="D100" s="46">
        <v>92</v>
      </c>
      <c r="E100" s="60" t="s">
        <v>1372</v>
      </c>
      <c r="F100" s="61" t="s">
        <v>1488</v>
      </c>
      <c r="G100" s="46" t="s">
        <v>30</v>
      </c>
      <c r="H100" s="64">
        <v>41571</v>
      </c>
      <c r="I100" s="64">
        <v>41592</v>
      </c>
      <c r="J100" s="46">
        <v>17</v>
      </c>
      <c r="K100" s="36" t="s">
        <v>31</v>
      </c>
      <c r="L100" s="60" t="s">
        <v>32</v>
      </c>
      <c r="M100" s="62"/>
      <c r="N100" s="62"/>
      <c r="O100" s="32"/>
      <c r="P100" s="32"/>
    </row>
    <row r="101" spans="1:16" ht="24.75" customHeight="1" x14ac:dyDescent="0.25">
      <c r="A101" s="11" t="str">
        <f t="shared" si="1"/>
        <v>VISTOS BUENOS</v>
      </c>
      <c r="B101" s="22">
        <v>4</v>
      </c>
      <c r="C101" s="37">
        <v>45</v>
      </c>
      <c r="D101" s="46">
        <v>93</v>
      </c>
      <c r="E101" s="60" t="s">
        <v>1373</v>
      </c>
      <c r="F101" s="61" t="s">
        <v>1489</v>
      </c>
      <c r="G101" s="46" t="s">
        <v>30</v>
      </c>
      <c r="H101" s="64">
        <v>41575</v>
      </c>
      <c r="I101" s="64">
        <v>41592</v>
      </c>
      <c r="J101" s="46">
        <v>31</v>
      </c>
      <c r="K101" s="36" t="s">
        <v>31</v>
      </c>
      <c r="L101" s="60" t="s">
        <v>32</v>
      </c>
      <c r="M101" s="62"/>
      <c r="N101" s="62"/>
      <c r="O101" s="32"/>
      <c r="P101" s="32"/>
    </row>
    <row r="102" spans="1:16" ht="24.75" customHeight="1" x14ac:dyDescent="0.25">
      <c r="A102" s="11" t="str">
        <f t="shared" si="1"/>
        <v>VISTOS BUENOS</v>
      </c>
      <c r="B102" s="22">
        <v>4</v>
      </c>
      <c r="C102" s="37">
        <v>45</v>
      </c>
      <c r="D102" s="46">
        <v>94</v>
      </c>
      <c r="E102" s="60" t="s">
        <v>1374</v>
      </c>
      <c r="F102" s="61" t="s">
        <v>1490</v>
      </c>
      <c r="G102" s="46" t="s">
        <v>30</v>
      </c>
      <c r="H102" s="64">
        <v>41577</v>
      </c>
      <c r="I102" s="64">
        <v>41583</v>
      </c>
      <c r="J102" s="46">
        <v>18</v>
      </c>
      <c r="K102" s="36" t="s">
        <v>31</v>
      </c>
      <c r="L102" s="60" t="s">
        <v>32</v>
      </c>
      <c r="M102" s="62"/>
      <c r="N102" s="62"/>
      <c r="O102" s="32"/>
      <c r="P102" s="32"/>
    </row>
    <row r="103" spans="1:16" ht="24.75" customHeight="1" x14ac:dyDescent="0.25">
      <c r="A103" s="11" t="str">
        <f t="shared" si="1"/>
        <v>VISTOS BUENOS</v>
      </c>
      <c r="B103" s="22">
        <v>4</v>
      </c>
      <c r="C103" s="37">
        <v>46</v>
      </c>
      <c r="D103" s="46">
        <v>95</v>
      </c>
      <c r="E103" s="60" t="s">
        <v>1375</v>
      </c>
      <c r="F103" s="61" t="s">
        <v>1491</v>
      </c>
      <c r="G103" s="46" t="s">
        <v>30</v>
      </c>
      <c r="H103" s="64">
        <v>41578</v>
      </c>
      <c r="I103" s="64">
        <v>41606</v>
      </c>
      <c r="J103" s="46">
        <v>69</v>
      </c>
      <c r="K103" s="36" t="s">
        <v>31</v>
      </c>
      <c r="L103" s="60" t="s">
        <v>32</v>
      </c>
      <c r="M103" s="62"/>
      <c r="N103" s="62"/>
      <c r="O103" s="32"/>
      <c r="P103" s="32"/>
    </row>
    <row r="104" spans="1:16" ht="24.75" customHeight="1" x14ac:dyDescent="0.25">
      <c r="A104" s="11" t="str">
        <f t="shared" si="1"/>
        <v>VISTOS BUENOS</v>
      </c>
      <c r="B104" s="22">
        <v>4</v>
      </c>
      <c r="C104" s="37">
        <v>46</v>
      </c>
      <c r="D104" s="46">
        <v>96</v>
      </c>
      <c r="E104" s="60" t="s">
        <v>1376</v>
      </c>
      <c r="F104" s="61" t="s">
        <v>1492</v>
      </c>
      <c r="G104" s="46" t="s">
        <v>30</v>
      </c>
      <c r="H104" s="64">
        <v>41578</v>
      </c>
      <c r="I104" s="64">
        <v>41604</v>
      </c>
      <c r="J104" s="46">
        <v>46</v>
      </c>
      <c r="K104" s="36" t="s">
        <v>31</v>
      </c>
      <c r="L104" s="60" t="s">
        <v>32</v>
      </c>
      <c r="M104" s="62"/>
      <c r="N104" s="62"/>
      <c r="O104" s="32"/>
      <c r="P104" s="32"/>
    </row>
    <row r="105" spans="1:16" ht="24.75" customHeight="1" x14ac:dyDescent="0.25">
      <c r="A105" s="11" t="str">
        <f t="shared" si="1"/>
        <v>VISTOS BUENOS</v>
      </c>
      <c r="B105" s="22">
        <v>4</v>
      </c>
      <c r="C105" s="37">
        <v>47</v>
      </c>
      <c r="D105" s="46">
        <v>97</v>
      </c>
      <c r="E105" s="60" t="s">
        <v>1377</v>
      </c>
      <c r="F105" s="61" t="s">
        <v>1493</v>
      </c>
      <c r="G105" s="46" t="s">
        <v>30</v>
      </c>
      <c r="H105" s="64">
        <v>41582</v>
      </c>
      <c r="I105" s="64">
        <v>41589</v>
      </c>
      <c r="J105" s="46">
        <v>16</v>
      </c>
      <c r="K105" s="36" t="s">
        <v>31</v>
      </c>
      <c r="L105" s="60" t="s">
        <v>32</v>
      </c>
      <c r="M105" s="62"/>
      <c r="N105" s="62"/>
      <c r="O105" s="32"/>
      <c r="P105" s="32"/>
    </row>
    <row r="106" spans="1:16" ht="24.75" customHeight="1" x14ac:dyDescent="0.25">
      <c r="A106" s="11" t="str">
        <f t="shared" si="1"/>
        <v>VISTOS BUENOS</v>
      </c>
      <c r="B106" s="22">
        <v>4</v>
      </c>
      <c r="C106" s="37">
        <v>47</v>
      </c>
      <c r="D106" s="46">
        <v>98</v>
      </c>
      <c r="E106" s="60" t="s">
        <v>1378</v>
      </c>
      <c r="F106" s="36" t="s">
        <v>1494</v>
      </c>
      <c r="G106" s="46" t="s">
        <v>30</v>
      </c>
      <c r="H106" s="64">
        <v>41585</v>
      </c>
      <c r="I106" s="64">
        <v>41603</v>
      </c>
      <c r="J106" s="46">
        <v>20</v>
      </c>
      <c r="K106" s="36" t="s">
        <v>31</v>
      </c>
      <c r="L106" s="60" t="s">
        <v>32</v>
      </c>
      <c r="M106" s="62"/>
      <c r="N106" s="62"/>
      <c r="O106" s="32"/>
      <c r="P106" s="32"/>
    </row>
    <row r="107" spans="1:16" ht="24.75" customHeight="1" x14ac:dyDescent="0.25">
      <c r="A107" s="11" t="str">
        <f t="shared" si="1"/>
        <v>VISTOS BUENOS</v>
      </c>
      <c r="B107" s="22">
        <v>4</v>
      </c>
      <c r="C107" s="37">
        <v>47</v>
      </c>
      <c r="D107" s="46">
        <v>99</v>
      </c>
      <c r="E107" s="60" t="s">
        <v>1379</v>
      </c>
      <c r="F107" s="36" t="s">
        <v>1495</v>
      </c>
      <c r="G107" s="46" t="s">
        <v>30</v>
      </c>
      <c r="H107" s="64">
        <v>41589</v>
      </c>
      <c r="I107" s="64">
        <v>41624</v>
      </c>
      <c r="J107" s="46">
        <v>29</v>
      </c>
      <c r="K107" s="36" t="s">
        <v>31</v>
      </c>
      <c r="L107" s="60" t="s">
        <v>32</v>
      </c>
      <c r="M107" s="62"/>
      <c r="N107" s="62"/>
      <c r="O107" s="32"/>
      <c r="P107" s="32"/>
    </row>
    <row r="108" spans="1:16" ht="24.75" customHeight="1" x14ac:dyDescent="0.25">
      <c r="A108" s="11" t="str">
        <f t="shared" si="1"/>
        <v>VISTOS BUENOS</v>
      </c>
      <c r="B108" s="22">
        <v>4</v>
      </c>
      <c r="C108" s="37">
        <v>47</v>
      </c>
      <c r="D108" s="46">
        <v>100</v>
      </c>
      <c r="E108" s="60" t="s">
        <v>1380</v>
      </c>
      <c r="F108" s="36" t="s">
        <v>1496</v>
      </c>
      <c r="G108" s="46" t="s">
        <v>30</v>
      </c>
      <c r="H108" s="64">
        <v>41590</v>
      </c>
      <c r="I108" s="64">
        <v>41590</v>
      </c>
      <c r="J108" s="46">
        <v>20</v>
      </c>
      <c r="K108" s="36" t="s">
        <v>31</v>
      </c>
      <c r="L108" s="60" t="s">
        <v>32</v>
      </c>
      <c r="M108" s="62"/>
      <c r="N108" s="62"/>
      <c r="O108" s="32"/>
      <c r="P108" s="32"/>
    </row>
    <row r="109" spans="1:16" ht="24.75" customHeight="1" x14ac:dyDescent="0.25">
      <c r="A109" s="11" t="str">
        <f t="shared" si="1"/>
        <v>VISTOS BUENOS</v>
      </c>
      <c r="B109" s="22">
        <v>4</v>
      </c>
      <c r="C109" s="37">
        <v>48</v>
      </c>
      <c r="D109" s="46">
        <v>101</v>
      </c>
      <c r="E109" s="60" t="s">
        <v>1381</v>
      </c>
      <c r="F109" s="36" t="s">
        <v>1497</v>
      </c>
      <c r="G109" s="46" t="s">
        <v>30</v>
      </c>
      <c r="H109" s="64">
        <v>41607</v>
      </c>
      <c r="I109" s="64">
        <v>41620</v>
      </c>
      <c r="J109" s="46">
        <v>76</v>
      </c>
      <c r="K109" s="36" t="s">
        <v>31</v>
      </c>
      <c r="L109" s="60" t="s">
        <v>32</v>
      </c>
      <c r="M109" s="62"/>
      <c r="N109" s="62"/>
      <c r="O109" s="32"/>
      <c r="P109" s="32"/>
    </row>
    <row r="110" spans="1:16" ht="24.75" customHeight="1" x14ac:dyDescent="0.25">
      <c r="A110" s="11" t="str">
        <f t="shared" si="1"/>
        <v>VISTOS BUENOS</v>
      </c>
      <c r="B110" s="22">
        <v>4</v>
      </c>
      <c r="C110" s="37">
        <v>48</v>
      </c>
      <c r="D110" s="46">
        <v>102</v>
      </c>
      <c r="E110" s="60" t="s">
        <v>1382</v>
      </c>
      <c r="F110" s="36" t="s">
        <v>1498</v>
      </c>
      <c r="G110" s="46" t="s">
        <v>30</v>
      </c>
      <c r="H110" s="64">
        <v>41610</v>
      </c>
      <c r="I110" s="64">
        <v>41631</v>
      </c>
      <c r="J110" s="46">
        <v>23</v>
      </c>
      <c r="K110" s="36" t="s">
        <v>31</v>
      </c>
      <c r="L110" s="60" t="s">
        <v>32</v>
      </c>
      <c r="M110" s="62"/>
      <c r="N110" s="62"/>
      <c r="O110" s="32"/>
      <c r="P110" s="32"/>
    </row>
    <row r="111" spans="1:16" ht="24.75" customHeight="1" x14ac:dyDescent="0.25">
      <c r="A111" s="11" t="str">
        <f t="shared" si="1"/>
        <v>VISTOS BUENOS</v>
      </c>
      <c r="B111" s="22">
        <v>4</v>
      </c>
      <c r="C111" s="37">
        <v>49</v>
      </c>
      <c r="D111" s="46">
        <v>103</v>
      </c>
      <c r="E111" s="60" t="s">
        <v>1383</v>
      </c>
      <c r="F111" s="36" t="s">
        <v>1499</v>
      </c>
      <c r="G111" s="46" t="s">
        <v>30</v>
      </c>
      <c r="H111" s="64">
        <v>41625</v>
      </c>
      <c r="I111" s="64">
        <v>41656</v>
      </c>
      <c r="J111" s="46">
        <v>48</v>
      </c>
      <c r="K111" s="36" t="s">
        <v>31</v>
      </c>
      <c r="L111" s="60" t="s">
        <v>32</v>
      </c>
      <c r="M111" s="62"/>
      <c r="N111" s="62"/>
      <c r="O111" s="32"/>
      <c r="P111" s="32"/>
    </row>
    <row r="112" spans="1:16" ht="24.75" customHeight="1" x14ac:dyDescent="0.25">
      <c r="A112" s="11" t="str">
        <f t="shared" si="1"/>
        <v>VISTOS BUENOS</v>
      </c>
      <c r="B112" s="22">
        <v>4</v>
      </c>
      <c r="C112" s="37">
        <v>49</v>
      </c>
      <c r="D112" s="46">
        <v>104</v>
      </c>
      <c r="E112" s="60" t="s">
        <v>1384</v>
      </c>
      <c r="F112" s="36" t="s">
        <v>1500</v>
      </c>
      <c r="G112" s="46" t="s">
        <v>30</v>
      </c>
      <c r="H112" s="64">
        <v>41625</v>
      </c>
      <c r="I112" s="64">
        <v>41656</v>
      </c>
      <c r="J112" s="46">
        <v>42</v>
      </c>
      <c r="K112" s="36" t="s">
        <v>31</v>
      </c>
      <c r="L112" s="60" t="s">
        <v>32</v>
      </c>
      <c r="M112" s="62"/>
      <c r="N112" s="62"/>
      <c r="O112" s="32"/>
      <c r="P112" s="32"/>
    </row>
    <row r="113" spans="1:16" ht="24.75" customHeight="1" x14ac:dyDescent="0.25">
      <c r="A113" s="11" t="str">
        <f t="shared" si="1"/>
        <v>VISTOS BUENOS</v>
      </c>
      <c r="B113" s="22">
        <v>4</v>
      </c>
      <c r="C113" s="37">
        <v>49</v>
      </c>
      <c r="D113" s="46">
        <v>105</v>
      </c>
      <c r="E113" s="60" t="s">
        <v>1385</v>
      </c>
      <c r="F113" s="36" t="s">
        <v>1501</v>
      </c>
      <c r="G113" s="46" t="s">
        <v>30</v>
      </c>
      <c r="H113" s="64">
        <v>41628</v>
      </c>
      <c r="I113" s="64">
        <v>41642</v>
      </c>
      <c r="J113" s="46">
        <v>8</v>
      </c>
      <c r="K113" s="36" t="s">
        <v>31</v>
      </c>
      <c r="L113" s="60" t="s">
        <v>32</v>
      </c>
      <c r="M113" s="62"/>
      <c r="N113" s="62"/>
      <c r="O113" s="32"/>
      <c r="P113" s="32"/>
    </row>
    <row r="114" spans="1:16" ht="24.75" customHeight="1" x14ac:dyDescent="0.25">
      <c r="A114" s="11" t="str">
        <f t="shared" si="1"/>
        <v>VISTOS BUENOS</v>
      </c>
      <c r="B114" s="22">
        <v>4</v>
      </c>
      <c r="C114" s="37">
        <v>49</v>
      </c>
      <c r="D114" s="46">
        <v>106</v>
      </c>
      <c r="E114" s="60" t="s">
        <v>1386</v>
      </c>
      <c r="F114" s="36" t="s">
        <v>1502</v>
      </c>
      <c r="G114" s="46" t="s">
        <v>30</v>
      </c>
      <c r="H114" s="64">
        <v>41530</v>
      </c>
      <c r="I114" s="64">
        <v>41542</v>
      </c>
      <c r="J114" s="46">
        <v>14</v>
      </c>
      <c r="K114" s="36" t="s">
        <v>31</v>
      </c>
      <c r="L114" s="60" t="s">
        <v>32</v>
      </c>
      <c r="M114" s="62"/>
      <c r="N114" s="62"/>
      <c r="O114" s="32"/>
      <c r="P114" s="32"/>
    </row>
    <row r="115" spans="1:16" ht="24.75" customHeight="1" x14ac:dyDescent="0.25">
      <c r="A115" s="11" t="str">
        <f t="shared" si="1"/>
        <v>VISTOS BUENOS</v>
      </c>
      <c r="B115" s="22">
        <v>4</v>
      </c>
      <c r="C115" s="37">
        <v>50</v>
      </c>
      <c r="D115" s="46">
        <v>107</v>
      </c>
      <c r="E115" s="60" t="s">
        <v>1387</v>
      </c>
      <c r="F115" s="36" t="s">
        <v>1503</v>
      </c>
      <c r="G115" s="46" t="s">
        <v>30</v>
      </c>
      <c r="H115" s="64">
        <v>41530</v>
      </c>
      <c r="I115" s="64">
        <v>41537</v>
      </c>
      <c r="J115" s="46">
        <v>12</v>
      </c>
      <c r="K115" s="36" t="s">
        <v>31</v>
      </c>
      <c r="L115" s="60" t="s">
        <v>32</v>
      </c>
      <c r="M115" s="62"/>
      <c r="N115" s="62"/>
      <c r="O115" s="32"/>
      <c r="P115" s="32"/>
    </row>
    <row r="116" spans="1:16" ht="24.75" customHeight="1" x14ac:dyDescent="0.25">
      <c r="A116" s="11" t="str">
        <f t="shared" si="1"/>
        <v>VISTOS BUENOS</v>
      </c>
      <c r="B116" s="22">
        <v>4</v>
      </c>
      <c r="C116" s="37">
        <v>50</v>
      </c>
      <c r="D116" s="46">
        <v>108</v>
      </c>
      <c r="E116" s="60" t="s">
        <v>1388</v>
      </c>
      <c r="F116" s="36" t="s">
        <v>1504</v>
      </c>
      <c r="G116" s="46" t="s">
        <v>30</v>
      </c>
      <c r="H116" s="64">
        <v>41530</v>
      </c>
      <c r="I116" s="64">
        <v>41537</v>
      </c>
      <c r="J116" s="46">
        <v>15</v>
      </c>
      <c r="K116" s="36" t="s">
        <v>31</v>
      </c>
      <c r="L116" s="60" t="s">
        <v>32</v>
      </c>
      <c r="M116" s="62"/>
      <c r="N116" s="62"/>
      <c r="O116" s="32"/>
      <c r="P116" s="32"/>
    </row>
    <row r="117" spans="1:16" ht="24.75" customHeight="1" x14ac:dyDescent="0.25">
      <c r="A117" s="11" t="str">
        <f t="shared" si="1"/>
        <v>VISTOS BUENOS</v>
      </c>
      <c r="B117" s="22">
        <v>4</v>
      </c>
      <c r="C117" s="37">
        <v>50</v>
      </c>
      <c r="D117" s="46">
        <v>109</v>
      </c>
      <c r="E117" s="60" t="s">
        <v>1389</v>
      </c>
      <c r="F117" s="36" t="s">
        <v>1505</v>
      </c>
      <c r="G117" s="46" t="s">
        <v>30</v>
      </c>
      <c r="H117" s="64">
        <v>41530</v>
      </c>
      <c r="I117" s="64">
        <v>41177</v>
      </c>
      <c r="J117" s="46">
        <v>14</v>
      </c>
      <c r="K117" s="36" t="s">
        <v>31</v>
      </c>
      <c r="L117" s="60" t="s">
        <v>32</v>
      </c>
      <c r="M117" s="62"/>
      <c r="N117" s="62"/>
      <c r="O117" s="32"/>
      <c r="P117" s="32"/>
    </row>
    <row r="118" spans="1:16" ht="24.75" customHeight="1" x14ac:dyDescent="0.25">
      <c r="A118" s="11" t="str">
        <f t="shared" si="1"/>
        <v>VISTOS BUENOS</v>
      </c>
      <c r="B118" s="22">
        <v>4</v>
      </c>
      <c r="C118" s="37">
        <v>50</v>
      </c>
      <c r="D118" s="46">
        <v>110</v>
      </c>
      <c r="E118" s="60" t="s">
        <v>1390</v>
      </c>
      <c r="F118" s="36" t="s">
        <v>1506</v>
      </c>
      <c r="G118" s="46" t="s">
        <v>30</v>
      </c>
      <c r="H118" s="64">
        <v>41533</v>
      </c>
      <c r="I118" s="64">
        <v>41551</v>
      </c>
      <c r="J118" s="46">
        <v>33</v>
      </c>
      <c r="K118" s="36" t="s">
        <v>31</v>
      </c>
      <c r="L118" s="60" t="s">
        <v>32</v>
      </c>
      <c r="M118" s="62"/>
      <c r="N118" s="62"/>
      <c r="O118" s="32"/>
      <c r="P118" s="32"/>
    </row>
    <row r="119" spans="1:16" ht="24.75" customHeight="1" x14ac:dyDescent="0.25">
      <c r="A119" s="11" t="str">
        <f t="shared" si="1"/>
        <v>VISTOS BUENOS</v>
      </c>
      <c r="B119" s="22">
        <v>4</v>
      </c>
      <c r="C119" s="37">
        <v>50</v>
      </c>
      <c r="D119" s="46">
        <v>111</v>
      </c>
      <c r="E119" s="60" t="s">
        <v>1391</v>
      </c>
      <c r="F119" s="36" t="s">
        <v>1507</v>
      </c>
      <c r="G119" s="46" t="s">
        <v>30</v>
      </c>
      <c r="H119" s="64">
        <v>41534</v>
      </c>
      <c r="I119" s="64">
        <v>41547</v>
      </c>
      <c r="J119" s="46">
        <v>22</v>
      </c>
      <c r="K119" s="36" t="s">
        <v>31</v>
      </c>
      <c r="L119" s="60" t="s">
        <v>32</v>
      </c>
      <c r="M119" s="62"/>
      <c r="N119" s="62"/>
      <c r="O119" s="32"/>
      <c r="P119" s="32"/>
    </row>
    <row r="120" spans="1:16" ht="24.75" customHeight="1" x14ac:dyDescent="0.25">
      <c r="A120" s="11" t="str">
        <f t="shared" si="1"/>
        <v>VISTOS BUENOS</v>
      </c>
      <c r="B120" s="22">
        <v>4</v>
      </c>
      <c r="C120" s="37">
        <v>50</v>
      </c>
      <c r="D120" s="46">
        <v>112</v>
      </c>
      <c r="E120" s="60" t="s">
        <v>1392</v>
      </c>
      <c r="F120" s="36" t="s">
        <v>1508</v>
      </c>
      <c r="G120" s="46" t="s">
        <v>30</v>
      </c>
      <c r="H120" s="64">
        <v>41537</v>
      </c>
      <c r="I120" s="64">
        <v>41592</v>
      </c>
      <c r="J120" s="46">
        <v>26</v>
      </c>
      <c r="K120" s="36" t="s">
        <v>31</v>
      </c>
      <c r="L120" s="60" t="s">
        <v>32</v>
      </c>
      <c r="M120" s="62"/>
      <c r="N120" s="62"/>
      <c r="O120" s="32"/>
      <c r="P120" s="32"/>
    </row>
    <row r="121" spans="1:16" ht="24.75" customHeight="1" x14ac:dyDescent="0.25">
      <c r="A121" s="11" t="str">
        <f t="shared" si="1"/>
        <v>VISTOS BUENOS</v>
      </c>
      <c r="B121" s="22">
        <v>4</v>
      </c>
      <c r="C121" s="37">
        <v>51</v>
      </c>
      <c r="D121" s="46">
        <v>113</v>
      </c>
      <c r="E121" s="60" t="s">
        <v>1393</v>
      </c>
      <c r="F121" s="36" t="s">
        <v>1509</v>
      </c>
      <c r="G121" s="46" t="s">
        <v>30</v>
      </c>
      <c r="H121" s="64">
        <v>41543</v>
      </c>
      <c r="I121" s="64">
        <v>41575</v>
      </c>
      <c r="J121" s="46">
        <v>20</v>
      </c>
      <c r="K121" s="36" t="s">
        <v>31</v>
      </c>
      <c r="L121" s="60" t="s">
        <v>32</v>
      </c>
      <c r="M121" s="62"/>
      <c r="N121" s="62"/>
      <c r="O121" s="32"/>
      <c r="P121" s="32"/>
    </row>
    <row r="122" spans="1:16" ht="24.75" customHeight="1" x14ac:dyDescent="0.25">
      <c r="A122" s="11" t="str">
        <f t="shared" si="1"/>
        <v>VISTOS BUENOS</v>
      </c>
      <c r="B122" s="22">
        <v>4</v>
      </c>
      <c r="C122" s="37">
        <v>51</v>
      </c>
      <c r="D122" s="46">
        <v>114</v>
      </c>
      <c r="E122" s="60" t="s">
        <v>1394</v>
      </c>
      <c r="F122" s="36" t="s">
        <v>1510</v>
      </c>
      <c r="G122" s="46" t="s">
        <v>30</v>
      </c>
      <c r="H122" s="64">
        <v>41544</v>
      </c>
      <c r="I122" s="64">
        <v>41569</v>
      </c>
      <c r="J122" s="46">
        <v>29</v>
      </c>
      <c r="K122" s="36" t="s">
        <v>31</v>
      </c>
      <c r="L122" s="60" t="s">
        <v>32</v>
      </c>
      <c r="M122" s="62"/>
      <c r="N122" s="62"/>
      <c r="O122" s="32"/>
      <c r="P122" s="32"/>
    </row>
    <row r="123" spans="1:16" ht="24.75" customHeight="1" x14ac:dyDescent="0.25">
      <c r="A123" s="11" t="str">
        <f t="shared" si="1"/>
        <v>VISTOS BUENOS</v>
      </c>
      <c r="B123" s="22">
        <v>4</v>
      </c>
      <c r="C123" s="37">
        <v>51</v>
      </c>
      <c r="D123" s="46">
        <v>115</v>
      </c>
      <c r="E123" s="60" t="s">
        <v>1395</v>
      </c>
      <c r="F123" s="36" t="s">
        <v>1511</v>
      </c>
      <c r="G123" s="46" t="s">
        <v>30</v>
      </c>
      <c r="H123" s="64">
        <v>41544</v>
      </c>
      <c r="I123" s="64">
        <v>41565</v>
      </c>
      <c r="J123" s="46">
        <v>52</v>
      </c>
      <c r="K123" s="36" t="s">
        <v>31</v>
      </c>
      <c r="L123" s="60" t="s">
        <v>32</v>
      </c>
      <c r="M123" s="62"/>
      <c r="N123" s="62"/>
      <c r="O123" s="32"/>
      <c r="P123" s="32"/>
    </row>
    <row r="124" spans="1:16" ht="24.75" customHeight="1" x14ac:dyDescent="0.25">
      <c r="A124" s="11" t="str">
        <f t="shared" si="1"/>
        <v>VISTOS BUENOS</v>
      </c>
      <c r="B124" s="22">
        <v>4</v>
      </c>
      <c r="C124" s="37">
        <v>51</v>
      </c>
      <c r="D124" s="46">
        <v>116</v>
      </c>
      <c r="E124" s="60" t="s">
        <v>1396</v>
      </c>
      <c r="F124" s="36" t="s">
        <v>1512</v>
      </c>
      <c r="G124" s="46" t="s">
        <v>30</v>
      </c>
      <c r="H124" s="64">
        <v>41547</v>
      </c>
      <c r="I124" s="64">
        <v>41555</v>
      </c>
      <c r="J124" s="46">
        <v>14</v>
      </c>
      <c r="K124" s="36" t="s">
        <v>31</v>
      </c>
      <c r="L124" s="60" t="s">
        <v>32</v>
      </c>
      <c r="M124" s="62"/>
      <c r="N124" s="62"/>
      <c r="O124" s="32"/>
      <c r="P124" s="32"/>
    </row>
    <row r="125" spans="1:16" ht="24.75" customHeight="1" x14ac:dyDescent="0.25">
      <c r="A125" s="11" t="str">
        <f t="shared" si="1"/>
        <v>VISTOS BUENOS</v>
      </c>
      <c r="B125" s="22">
        <v>4</v>
      </c>
      <c r="C125" s="37" t="s">
        <v>1520</v>
      </c>
      <c r="D125" s="46">
        <v>117</v>
      </c>
      <c r="E125" s="60" t="s">
        <v>1397</v>
      </c>
      <c r="F125" s="36" t="s">
        <v>1513</v>
      </c>
      <c r="G125" s="46" t="s">
        <v>30</v>
      </c>
      <c r="H125" s="64" t="s">
        <v>1278</v>
      </c>
      <c r="I125" s="64" t="s">
        <v>1516</v>
      </c>
      <c r="J125" s="46" t="s">
        <v>1517</v>
      </c>
      <c r="K125" s="36" t="s">
        <v>31</v>
      </c>
      <c r="L125" s="60" t="s">
        <v>32</v>
      </c>
      <c r="M125" s="62"/>
      <c r="N125" s="62"/>
      <c r="O125" s="32"/>
      <c r="P125" s="32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4"/>
  <sheetViews>
    <sheetView topLeftCell="B159" zoomScale="145" zoomScaleNormal="145" workbookViewId="0">
      <selection activeCell="E164" sqref="E164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22">
        <v>1</v>
      </c>
      <c r="C9" s="46">
        <v>1</v>
      </c>
      <c r="D9" s="46">
        <v>1</v>
      </c>
      <c r="E9" s="60" t="s">
        <v>1521</v>
      </c>
      <c r="F9" s="66" t="s">
        <v>1674</v>
      </c>
      <c r="G9" s="46" t="s">
        <v>30</v>
      </c>
      <c r="H9" s="65">
        <v>41641</v>
      </c>
      <c r="I9" s="64">
        <v>41670</v>
      </c>
      <c r="J9" s="46">
        <v>56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>A9</f>
        <v>VISTOS BUENOS</v>
      </c>
      <c r="B10" s="22">
        <v>1</v>
      </c>
      <c r="C10" s="46">
        <v>1</v>
      </c>
      <c r="D10" s="46">
        <v>2</v>
      </c>
      <c r="E10" s="60" t="s">
        <v>1522</v>
      </c>
      <c r="F10" s="66" t="s">
        <v>1675</v>
      </c>
      <c r="G10" s="46" t="s">
        <v>30</v>
      </c>
      <c r="H10" s="65">
        <v>41648</v>
      </c>
      <c r="I10" s="64">
        <v>41710</v>
      </c>
      <c r="J10" s="46">
        <v>54</v>
      </c>
      <c r="K10" s="36" t="s">
        <v>31</v>
      </c>
      <c r="L10" s="60" t="s">
        <v>32</v>
      </c>
      <c r="M10" s="62"/>
      <c r="N10" s="62"/>
      <c r="O10" s="63"/>
      <c r="P10" s="63"/>
    </row>
    <row r="11" spans="1:16" ht="24.75" customHeight="1" x14ac:dyDescent="0.25">
      <c r="A11" s="11" t="str">
        <f t="shared" ref="A11:A74" si="0">A10</f>
        <v>VISTOS BUENOS</v>
      </c>
      <c r="B11" s="22">
        <v>1</v>
      </c>
      <c r="C11" s="46">
        <v>2</v>
      </c>
      <c r="D11" s="46">
        <v>3</v>
      </c>
      <c r="E11" s="60" t="s">
        <v>1523</v>
      </c>
      <c r="F11" s="66" t="s">
        <v>1676</v>
      </c>
      <c r="G11" s="46" t="s">
        <v>30</v>
      </c>
      <c r="H11" s="65">
        <v>41653</v>
      </c>
      <c r="I11" s="64">
        <v>41673</v>
      </c>
      <c r="J11" s="46">
        <v>18</v>
      </c>
      <c r="K11" s="36" t="s">
        <v>31</v>
      </c>
      <c r="L11" s="60" t="s">
        <v>32</v>
      </c>
      <c r="M11" s="62"/>
      <c r="N11" s="62"/>
      <c r="O11" s="63"/>
      <c r="P11" s="63"/>
    </row>
    <row r="12" spans="1:16" ht="24.75" customHeight="1" x14ac:dyDescent="0.25">
      <c r="A12" s="11" t="str">
        <f t="shared" si="0"/>
        <v>VISTOS BUENOS</v>
      </c>
      <c r="B12" s="22">
        <v>1</v>
      </c>
      <c r="C12" s="46">
        <v>3</v>
      </c>
      <c r="D12" s="46">
        <v>4</v>
      </c>
      <c r="E12" s="60" t="s">
        <v>1524</v>
      </c>
      <c r="F12" s="66" t="s">
        <v>1677</v>
      </c>
      <c r="G12" s="46" t="s">
        <v>30</v>
      </c>
      <c r="H12" s="65">
        <v>41653</v>
      </c>
      <c r="I12" s="64">
        <v>41746</v>
      </c>
      <c r="J12" s="46">
        <v>109</v>
      </c>
      <c r="K12" s="36" t="s">
        <v>31</v>
      </c>
      <c r="L12" s="60" t="s">
        <v>32</v>
      </c>
      <c r="M12" s="62"/>
      <c r="N12" s="62"/>
      <c r="O12" s="63"/>
      <c r="P12" s="63"/>
    </row>
    <row r="13" spans="1:16" ht="24.75" customHeight="1" x14ac:dyDescent="0.25">
      <c r="A13" s="11" t="str">
        <f t="shared" si="0"/>
        <v>VISTOS BUENOS</v>
      </c>
      <c r="B13" s="22">
        <v>1</v>
      </c>
      <c r="C13" s="67" t="s">
        <v>1826</v>
      </c>
      <c r="D13" s="46">
        <v>5</v>
      </c>
      <c r="E13" s="60" t="s">
        <v>1525</v>
      </c>
      <c r="F13" s="66" t="s">
        <v>1678</v>
      </c>
      <c r="G13" s="46" t="s">
        <v>30</v>
      </c>
      <c r="H13" s="65">
        <v>41653</v>
      </c>
      <c r="I13" s="64">
        <v>41690</v>
      </c>
      <c r="J13" s="46">
        <v>254</v>
      </c>
      <c r="K13" s="36" t="s">
        <v>31</v>
      </c>
      <c r="L13" s="60" t="s">
        <v>32</v>
      </c>
      <c r="M13" s="62"/>
      <c r="N13" s="62"/>
      <c r="O13" s="63"/>
      <c r="P13" s="63"/>
    </row>
    <row r="14" spans="1:16" ht="24.75" customHeight="1" x14ac:dyDescent="0.25">
      <c r="A14" s="11" t="str">
        <f t="shared" si="0"/>
        <v>VISTOS BUENOS</v>
      </c>
      <c r="B14" s="22">
        <v>1</v>
      </c>
      <c r="C14" s="46">
        <v>6</v>
      </c>
      <c r="D14" s="46">
        <v>6</v>
      </c>
      <c r="E14" s="60" t="s">
        <v>1526</v>
      </c>
      <c r="F14" s="66" t="s">
        <v>1679</v>
      </c>
      <c r="G14" s="46" t="s">
        <v>30</v>
      </c>
      <c r="H14" s="65">
        <v>41653</v>
      </c>
      <c r="I14" s="64">
        <v>41660</v>
      </c>
      <c r="J14" s="46">
        <v>139</v>
      </c>
      <c r="K14" s="36" t="s">
        <v>31</v>
      </c>
      <c r="L14" s="60" t="s">
        <v>32</v>
      </c>
      <c r="M14" s="62"/>
      <c r="N14" s="62"/>
      <c r="O14" s="63"/>
      <c r="P14" s="63"/>
    </row>
    <row r="15" spans="1:16" ht="24.75" customHeight="1" x14ac:dyDescent="0.25">
      <c r="A15" s="11" t="str">
        <f t="shared" si="0"/>
        <v>VISTOS BUENOS</v>
      </c>
      <c r="B15" s="22">
        <v>1</v>
      </c>
      <c r="C15" s="46">
        <v>7</v>
      </c>
      <c r="D15" s="46">
        <v>7</v>
      </c>
      <c r="E15" s="60" t="s">
        <v>1527</v>
      </c>
      <c r="F15" s="66" t="s">
        <v>1680</v>
      </c>
      <c r="G15" s="46" t="s">
        <v>30</v>
      </c>
      <c r="H15" s="65">
        <v>41666</v>
      </c>
      <c r="I15" s="64">
        <v>41719</v>
      </c>
      <c r="J15" s="46">
        <v>52</v>
      </c>
      <c r="K15" s="36" t="s">
        <v>31</v>
      </c>
      <c r="L15" s="60" t="s">
        <v>32</v>
      </c>
      <c r="M15" s="62"/>
      <c r="N15" s="62"/>
      <c r="O15" s="63"/>
      <c r="P15" s="63"/>
    </row>
    <row r="16" spans="1:16" ht="24.75" customHeight="1" x14ac:dyDescent="0.25">
      <c r="A16" s="11" t="str">
        <f t="shared" si="0"/>
        <v>VISTOS BUENOS</v>
      </c>
      <c r="B16" s="22">
        <v>1</v>
      </c>
      <c r="C16" s="46">
        <v>8</v>
      </c>
      <c r="D16" s="46">
        <v>8</v>
      </c>
      <c r="E16" s="60" t="s">
        <v>1528</v>
      </c>
      <c r="F16" s="66" t="s">
        <v>1681</v>
      </c>
      <c r="G16" s="46" t="s">
        <v>30</v>
      </c>
      <c r="H16" s="65">
        <v>41670</v>
      </c>
      <c r="I16" s="64">
        <v>41689</v>
      </c>
      <c r="J16" s="46">
        <v>136</v>
      </c>
      <c r="K16" s="36" t="s">
        <v>31</v>
      </c>
      <c r="L16" s="60" t="s">
        <v>32</v>
      </c>
      <c r="M16" s="62"/>
      <c r="N16" s="62"/>
      <c r="O16" s="63"/>
      <c r="P16" s="63"/>
    </row>
    <row r="17" spans="1:16" ht="24.75" customHeight="1" x14ac:dyDescent="0.25">
      <c r="A17" s="11" t="str">
        <f t="shared" si="0"/>
        <v>VISTOS BUENOS</v>
      </c>
      <c r="B17" s="22">
        <v>1</v>
      </c>
      <c r="C17" s="46">
        <v>9</v>
      </c>
      <c r="D17" s="46">
        <v>9</v>
      </c>
      <c r="E17" s="60" t="s">
        <v>1529</v>
      </c>
      <c r="F17" s="66">
        <v>132660</v>
      </c>
      <c r="G17" s="46" t="s">
        <v>30</v>
      </c>
      <c r="H17" s="65" t="s">
        <v>1823</v>
      </c>
      <c r="I17" s="64">
        <v>41730</v>
      </c>
      <c r="J17" s="46">
        <v>36</v>
      </c>
      <c r="K17" s="36" t="s">
        <v>31</v>
      </c>
      <c r="L17" s="60" t="s">
        <v>32</v>
      </c>
      <c r="M17" s="62"/>
      <c r="N17" s="62"/>
      <c r="O17" s="63"/>
      <c r="P17" s="63"/>
    </row>
    <row r="18" spans="1:16" ht="24.75" customHeight="1" x14ac:dyDescent="0.25">
      <c r="A18" s="11" t="str">
        <f t="shared" si="0"/>
        <v>VISTOS BUENOS</v>
      </c>
      <c r="B18" s="22">
        <v>1</v>
      </c>
      <c r="C18" s="46">
        <v>9</v>
      </c>
      <c r="D18" s="46">
        <v>10</v>
      </c>
      <c r="E18" s="60" t="s">
        <v>1530</v>
      </c>
      <c r="F18" s="66" t="s">
        <v>1682</v>
      </c>
      <c r="G18" s="46" t="s">
        <v>30</v>
      </c>
      <c r="H18" s="65">
        <v>41681</v>
      </c>
      <c r="I18" s="64">
        <v>41704</v>
      </c>
      <c r="J18" s="46">
        <v>65</v>
      </c>
      <c r="K18" s="36" t="s">
        <v>31</v>
      </c>
      <c r="L18" s="60" t="s">
        <v>32</v>
      </c>
      <c r="M18" s="62"/>
      <c r="N18" s="62"/>
      <c r="O18" s="63"/>
      <c r="P18" s="63"/>
    </row>
    <row r="19" spans="1:16" ht="24.75" customHeight="1" x14ac:dyDescent="0.25">
      <c r="A19" s="11" t="str">
        <f t="shared" si="0"/>
        <v>VISTOS BUENOS</v>
      </c>
      <c r="B19" s="22">
        <v>1</v>
      </c>
      <c r="C19" s="46">
        <v>9</v>
      </c>
      <c r="D19" s="46">
        <v>11</v>
      </c>
      <c r="E19" s="60" t="s">
        <v>1531</v>
      </c>
      <c r="F19" s="66" t="s">
        <v>1683</v>
      </c>
      <c r="G19" s="46" t="s">
        <v>30</v>
      </c>
      <c r="H19" s="65">
        <v>41683</v>
      </c>
      <c r="I19" s="64">
        <v>41697</v>
      </c>
      <c r="J19" s="46">
        <v>42</v>
      </c>
      <c r="K19" s="36" t="s">
        <v>31</v>
      </c>
      <c r="L19" s="60" t="s">
        <v>32</v>
      </c>
      <c r="M19" s="62"/>
      <c r="N19" s="62"/>
      <c r="O19" s="63"/>
      <c r="P19" s="63"/>
    </row>
    <row r="20" spans="1:16" ht="24.75" customHeight="1" x14ac:dyDescent="0.25">
      <c r="A20" s="11" t="str">
        <f t="shared" si="0"/>
        <v>VISTOS BUENOS</v>
      </c>
      <c r="B20" s="22">
        <v>1</v>
      </c>
      <c r="C20" s="46">
        <v>10</v>
      </c>
      <c r="D20" s="46">
        <v>12</v>
      </c>
      <c r="E20" s="60" t="s">
        <v>1532</v>
      </c>
      <c r="F20" s="66" t="s">
        <v>1684</v>
      </c>
      <c r="G20" s="46" t="s">
        <v>30</v>
      </c>
      <c r="H20" s="65">
        <v>41684</v>
      </c>
      <c r="I20" s="64">
        <v>41712</v>
      </c>
      <c r="J20" s="46">
        <v>74</v>
      </c>
      <c r="K20" s="36" t="s">
        <v>31</v>
      </c>
      <c r="L20" s="60" t="s">
        <v>32</v>
      </c>
      <c r="M20" s="62"/>
      <c r="N20" s="62"/>
      <c r="O20" s="63"/>
      <c r="P20" s="63"/>
    </row>
    <row r="21" spans="1:16" ht="24.75" customHeight="1" x14ac:dyDescent="0.25">
      <c r="A21" s="11" t="str">
        <f t="shared" si="0"/>
        <v>VISTOS BUENOS</v>
      </c>
      <c r="B21" s="22">
        <v>1</v>
      </c>
      <c r="C21" s="46">
        <v>10</v>
      </c>
      <c r="D21" s="46">
        <v>13</v>
      </c>
      <c r="E21" s="60" t="s">
        <v>1533</v>
      </c>
      <c r="F21" s="66" t="s">
        <v>1685</v>
      </c>
      <c r="G21" s="46" t="s">
        <v>30</v>
      </c>
      <c r="H21" s="65">
        <v>41687</v>
      </c>
      <c r="I21" s="64">
        <v>41691</v>
      </c>
      <c r="J21" s="46">
        <v>47</v>
      </c>
      <c r="K21" s="36" t="s">
        <v>31</v>
      </c>
      <c r="L21" s="60" t="s">
        <v>32</v>
      </c>
      <c r="M21" s="62"/>
      <c r="N21" s="62"/>
      <c r="O21" s="63"/>
      <c r="P21" s="63"/>
    </row>
    <row r="22" spans="1:16" ht="24.75" customHeight="1" x14ac:dyDescent="0.25">
      <c r="A22" s="11" t="str">
        <f t="shared" si="0"/>
        <v>VISTOS BUENOS</v>
      </c>
      <c r="B22" s="22">
        <v>2</v>
      </c>
      <c r="C22" s="46">
        <v>11</v>
      </c>
      <c r="D22" s="46">
        <v>14</v>
      </c>
      <c r="E22" s="60" t="s">
        <v>1534</v>
      </c>
      <c r="F22" s="66" t="s">
        <v>1686</v>
      </c>
      <c r="G22" s="46" t="s">
        <v>30</v>
      </c>
      <c r="H22" s="65">
        <v>41691</v>
      </c>
      <c r="I22" s="64">
        <v>41716</v>
      </c>
      <c r="J22" s="46">
        <v>42</v>
      </c>
      <c r="K22" s="36" t="s">
        <v>31</v>
      </c>
      <c r="L22" s="60" t="s">
        <v>32</v>
      </c>
      <c r="M22" s="62"/>
      <c r="N22" s="62"/>
      <c r="O22" s="63"/>
      <c r="P22" s="63"/>
    </row>
    <row r="23" spans="1:16" ht="24.75" customHeight="1" x14ac:dyDescent="0.25">
      <c r="A23" s="11" t="str">
        <f t="shared" si="0"/>
        <v>VISTOS BUENOS</v>
      </c>
      <c r="B23" s="22">
        <v>2</v>
      </c>
      <c r="C23" s="46">
        <v>11</v>
      </c>
      <c r="D23" s="46">
        <v>15</v>
      </c>
      <c r="E23" s="60" t="s">
        <v>1535</v>
      </c>
      <c r="F23" s="66" t="s">
        <v>1687</v>
      </c>
      <c r="G23" s="46" t="s">
        <v>30</v>
      </c>
      <c r="H23" s="65">
        <v>41697</v>
      </c>
      <c r="I23" s="64">
        <v>41708</v>
      </c>
      <c r="J23" s="46">
        <v>15</v>
      </c>
      <c r="K23" s="36" t="s">
        <v>31</v>
      </c>
      <c r="L23" s="60" t="s">
        <v>32</v>
      </c>
      <c r="M23" s="62"/>
      <c r="N23" s="62"/>
      <c r="O23" s="63"/>
      <c r="P23" s="63"/>
    </row>
    <row r="24" spans="1:16" ht="24.75" customHeight="1" x14ac:dyDescent="0.25">
      <c r="A24" s="11" t="str">
        <f t="shared" si="0"/>
        <v>VISTOS BUENOS</v>
      </c>
      <c r="B24" s="22">
        <v>2</v>
      </c>
      <c r="C24" s="46">
        <v>11</v>
      </c>
      <c r="D24" s="46">
        <v>16</v>
      </c>
      <c r="E24" s="60" t="s">
        <v>1536</v>
      </c>
      <c r="F24" s="66">
        <v>137925</v>
      </c>
      <c r="G24" s="46" t="s">
        <v>30</v>
      </c>
      <c r="H24" s="65">
        <v>41698</v>
      </c>
      <c r="I24" s="64">
        <v>41744</v>
      </c>
      <c r="J24" s="46">
        <v>25</v>
      </c>
      <c r="K24" s="36" t="s">
        <v>31</v>
      </c>
      <c r="L24" s="60" t="s">
        <v>32</v>
      </c>
      <c r="M24" s="62"/>
      <c r="N24" s="62"/>
      <c r="O24" s="63"/>
      <c r="P24" s="63"/>
    </row>
    <row r="25" spans="1:16" ht="24.75" customHeight="1" x14ac:dyDescent="0.25">
      <c r="A25" s="11" t="str">
        <f t="shared" si="0"/>
        <v>VISTOS BUENOS</v>
      </c>
      <c r="B25" s="22">
        <v>2</v>
      </c>
      <c r="C25" s="46">
        <v>11</v>
      </c>
      <c r="D25" s="46">
        <v>17</v>
      </c>
      <c r="E25" s="60" t="s">
        <v>1537</v>
      </c>
      <c r="F25" s="66" t="s">
        <v>1688</v>
      </c>
      <c r="G25" s="46" t="s">
        <v>30</v>
      </c>
      <c r="H25" s="65">
        <v>41698</v>
      </c>
      <c r="I25" s="64">
        <v>41713</v>
      </c>
      <c r="J25" s="46">
        <v>20</v>
      </c>
      <c r="K25" s="36" t="s">
        <v>31</v>
      </c>
      <c r="L25" s="60" t="s">
        <v>32</v>
      </c>
      <c r="M25" s="62"/>
      <c r="N25" s="62"/>
      <c r="O25" s="63"/>
      <c r="P25" s="63"/>
    </row>
    <row r="26" spans="1:16" ht="24.75" customHeight="1" x14ac:dyDescent="0.25">
      <c r="A26" s="11" t="str">
        <f t="shared" si="0"/>
        <v>VISTOS BUENOS</v>
      </c>
      <c r="B26" s="22">
        <v>2</v>
      </c>
      <c r="C26" s="46">
        <v>11</v>
      </c>
      <c r="D26" s="46">
        <v>18</v>
      </c>
      <c r="E26" s="60" t="s">
        <v>1538</v>
      </c>
      <c r="F26" s="66" t="s">
        <v>1689</v>
      </c>
      <c r="G26" s="46" t="s">
        <v>30</v>
      </c>
      <c r="H26" s="65">
        <v>41698</v>
      </c>
      <c r="I26" s="64">
        <v>41719</v>
      </c>
      <c r="J26" s="46">
        <v>28</v>
      </c>
      <c r="K26" s="36" t="s">
        <v>31</v>
      </c>
      <c r="L26" s="60" t="s">
        <v>32</v>
      </c>
      <c r="M26" s="62"/>
      <c r="N26" s="62"/>
      <c r="O26" s="63"/>
      <c r="P26" s="63"/>
    </row>
    <row r="27" spans="1:16" ht="24.75" customHeight="1" x14ac:dyDescent="0.25">
      <c r="A27" s="11" t="str">
        <f t="shared" si="0"/>
        <v>VISTOS BUENOS</v>
      </c>
      <c r="B27" s="22">
        <v>2</v>
      </c>
      <c r="C27" s="46">
        <v>12</v>
      </c>
      <c r="D27" s="46">
        <v>19</v>
      </c>
      <c r="E27" s="60" t="s">
        <v>1539</v>
      </c>
      <c r="F27" s="66" t="s">
        <v>1690</v>
      </c>
      <c r="G27" s="46" t="s">
        <v>30</v>
      </c>
      <c r="H27" s="65">
        <v>41703</v>
      </c>
      <c r="I27" s="64">
        <v>41788</v>
      </c>
      <c r="J27" s="46">
        <v>82</v>
      </c>
      <c r="K27" s="36" t="s">
        <v>31</v>
      </c>
      <c r="L27" s="60" t="s">
        <v>32</v>
      </c>
      <c r="M27" s="62"/>
      <c r="N27" s="62"/>
      <c r="O27" s="63"/>
      <c r="P27" s="63"/>
    </row>
    <row r="28" spans="1:16" ht="24.75" customHeight="1" x14ac:dyDescent="0.25">
      <c r="A28" s="11" t="str">
        <f t="shared" si="0"/>
        <v>VISTOS BUENOS</v>
      </c>
      <c r="B28" s="22">
        <v>2</v>
      </c>
      <c r="C28" s="46">
        <v>13</v>
      </c>
      <c r="D28" s="46">
        <v>20</v>
      </c>
      <c r="E28" s="60" t="s">
        <v>1540</v>
      </c>
      <c r="F28" s="66" t="s">
        <v>1691</v>
      </c>
      <c r="G28" s="46" t="s">
        <v>30</v>
      </c>
      <c r="H28" s="65">
        <v>41708</v>
      </c>
      <c r="I28" s="64">
        <v>41712</v>
      </c>
      <c r="J28" s="46">
        <v>56</v>
      </c>
      <c r="K28" s="36" t="s">
        <v>31</v>
      </c>
      <c r="L28" s="60" t="s">
        <v>32</v>
      </c>
      <c r="M28" s="62"/>
      <c r="N28" s="62"/>
      <c r="O28" s="63"/>
      <c r="P28" s="63"/>
    </row>
    <row r="29" spans="1:16" ht="24.75" customHeight="1" x14ac:dyDescent="0.25">
      <c r="A29" s="11" t="str">
        <f t="shared" si="0"/>
        <v>VISTOS BUENOS</v>
      </c>
      <c r="B29" s="22">
        <v>2</v>
      </c>
      <c r="C29" s="46">
        <v>14</v>
      </c>
      <c r="D29" s="46">
        <v>21</v>
      </c>
      <c r="E29" s="60" t="s">
        <v>1541</v>
      </c>
      <c r="F29" s="66" t="s">
        <v>1692</v>
      </c>
      <c r="G29" s="46" t="s">
        <v>30</v>
      </c>
      <c r="H29" s="65">
        <v>41715</v>
      </c>
      <c r="I29" s="64">
        <v>41739</v>
      </c>
      <c r="J29" s="46">
        <v>18</v>
      </c>
      <c r="K29" s="36" t="s">
        <v>31</v>
      </c>
      <c r="L29" s="60" t="s">
        <v>32</v>
      </c>
      <c r="M29" s="62"/>
      <c r="N29" s="62"/>
      <c r="O29" s="63"/>
      <c r="P29" s="63"/>
    </row>
    <row r="30" spans="1:16" ht="24.75" customHeight="1" x14ac:dyDescent="0.25">
      <c r="A30" s="11" t="str">
        <f t="shared" si="0"/>
        <v>VISTOS BUENOS</v>
      </c>
      <c r="B30" s="22">
        <v>2</v>
      </c>
      <c r="C30" s="46">
        <v>14</v>
      </c>
      <c r="D30" s="46">
        <v>22</v>
      </c>
      <c r="E30" s="60" t="s">
        <v>1542</v>
      </c>
      <c r="F30" s="66" t="s">
        <v>1693</v>
      </c>
      <c r="G30" s="46" t="s">
        <v>30</v>
      </c>
      <c r="H30" s="65">
        <v>41716</v>
      </c>
      <c r="I30" s="64">
        <v>41773</v>
      </c>
      <c r="J30" s="46">
        <v>35</v>
      </c>
      <c r="K30" s="36" t="s">
        <v>31</v>
      </c>
      <c r="L30" s="60" t="s">
        <v>32</v>
      </c>
      <c r="M30" s="62"/>
      <c r="N30" s="62"/>
      <c r="O30" s="63"/>
      <c r="P30" s="63"/>
    </row>
    <row r="31" spans="1:16" ht="24.75" customHeight="1" x14ac:dyDescent="0.25">
      <c r="A31" s="11" t="str">
        <f t="shared" si="0"/>
        <v>VISTOS BUENOS</v>
      </c>
      <c r="B31" s="22">
        <v>2</v>
      </c>
      <c r="C31" s="46">
        <v>15</v>
      </c>
      <c r="D31" s="46">
        <v>23</v>
      </c>
      <c r="E31" s="60" t="s">
        <v>1543</v>
      </c>
      <c r="F31" s="66" t="s">
        <v>1694</v>
      </c>
      <c r="G31" s="46" t="s">
        <v>30</v>
      </c>
      <c r="H31" s="65">
        <v>41717</v>
      </c>
      <c r="I31" s="64">
        <v>41782</v>
      </c>
      <c r="J31" s="46">
        <v>119</v>
      </c>
      <c r="K31" s="36" t="s">
        <v>31</v>
      </c>
      <c r="L31" s="60" t="s">
        <v>32</v>
      </c>
      <c r="M31" s="62"/>
      <c r="N31" s="62"/>
      <c r="O31" s="63"/>
      <c r="P31" s="63"/>
    </row>
    <row r="32" spans="1:16" ht="24.75" customHeight="1" x14ac:dyDescent="0.25">
      <c r="A32" s="11" t="str">
        <f t="shared" si="0"/>
        <v>VISTOS BUENOS</v>
      </c>
      <c r="B32" s="22">
        <v>2</v>
      </c>
      <c r="C32" s="46">
        <v>16</v>
      </c>
      <c r="D32" s="46">
        <v>24</v>
      </c>
      <c r="E32" s="60" t="s">
        <v>1544</v>
      </c>
      <c r="F32" s="66" t="s">
        <v>1695</v>
      </c>
      <c r="G32" s="46" t="s">
        <v>30</v>
      </c>
      <c r="H32" s="65">
        <v>41717</v>
      </c>
      <c r="I32" s="64">
        <v>41738</v>
      </c>
      <c r="J32" s="46">
        <v>126</v>
      </c>
      <c r="K32" s="36" t="s">
        <v>31</v>
      </c>
      <c r="L32" s="60" t="s">
        <v>32</v>
      </c>
      <c r="M32" s="62"/>
      <c r="N32" s="62"/>
      <c r="O32" s="63"/>
      <c r="P32" s="63"/>
    </row>
    <row r="33" spans="1:16" ht="24.75" customHeight="1" x14ac:dyDescent="0.25">
      <c r="A33" s="11" t="str">
        <f t="shared" si="0"/>
        <v>VISTOS BUENOS</v>
      </c>
      <c r="B33" s="22">
        <v>2</v>
      </c>
      <c r="C33" s="46">
        <v>17</v>
      </c>
      <c r="D33" s="46">
        <v>25</v>
      </c>
      <c r="E33" s="60" t="s">
        <v>1535</v>
      </c>
      <c r="F33" s="66" t="s">
        <v>1696</v>
      </c>
      <c r="G33" s="46" t="s">
        <v>30</v>
      </c>
      <c r="H33" s="65">
        <v>41718.674189814818</v>
      </c>
      <c r="I33" s="64">
        <v>41775</v>
      </c>
      <c r="J33" s="46">
        <v>152</v>
      </c>
      <c r="K33" s="36" t="s">
        <v>31</v>
      </c>
      <c r="L33" s="60" t="s">
        <v>32</v>
      </c>
      <c r="M33" s="62"/>
      <c r="N33" s="62"/>
      <c r="O33" s="63"/>
      <c r="P33" s="63"/>
    </row>
    <row r="34" spans="1:16" ht="24.75" customHeight="1" x14ac:dyDescent="0.25">
      <c r="A34" s="11" t="str">
        <f t="shared" si="0"/>
        <v>VISTOS BUENOS</v>
      </c>
      <c r="B34" s="22">
        <v>2</v>
      </c>
      <c r="C34" s="46">
        <v>18</v>
      </c>
      <c r="D34" s="46">
        <v>26</v>
      </c>
      <c r="E34" s="60" t="s">
        <v>1545</v>
      </c>
      <c r="F34" s="66" t="s">
        <v>1697</v>
      </c>
      <c r="G34" s="46" t="s">
        <v>30</v>
      </c>
      <c r="H34" s="65">
        <v>41723.630069444444</v>
      </c>
      <c r="I34" s="64">
        <v>41737</v>
      </c>
      <c r="J34" s="46">
        <v>22</v>
      </c>
      <c r="K34" s="36" t="s">
        <v>31</v>
      </c>
      <c r="L34" s="60" t="s">
        <v>32</v>
      </c>
      <c r="M34" s="62"/>
      <c r="N34" s="62"/>
      <c r="O34" s="63"/>
      <c r="P34" s="63"/>
    </row>
    <row r="35" spans="1:16" ht="24.75" customHeight="1" x14ac:dyDescent="0.25">
      <c r="A35" s="11" t="str">
        <f t="shared" si="0"/>
        <v>VISTOS BUENOS</v>
      </c>
      <c r="B35" s="22">
        <v>2</v>
      </c>
      <c r="C35" s="46">
        <v>18</v>
      </c>
      <c r="D35" s="46">
        <v>27</v>
      </c>
      <c r="E35" s="60" t="s">
        <v>1540</v>
      </c>
      <c r="F35" s="66" t="s">
        <v>1698</v>
      </c>
      <c r="G35" s="46" t="s">
        <v>30</v>
      </c>
      <c r="H35" s="65">
        <v>41725.414768518516</v>
      </c>
      <c r="I35" s="64">
        <v>41730</v>
      </c>
      <c r="J35" s="46">
        <v>20</v>
      </c>
      <c r="K35" s="36" t="s">
        <v>31</v>
      </c>
      <c r="L35" s="60" t="s">
        <v>32</v>
      </c>
      <c r="M35" s="62"/>
      <c r="N35" s="62"/>
      <c r="O35" s="63"/>
      <c r="P35" s="63"/>
    </row>
    <row r="36" spans="1:16" ht="24.75" customHeight="1" x14ac:dyDescent="0.25">
      <c r="A36" s="11" t="str">
        <f t="shared" si="0"/>
        <v>VISTOS BUENOS</v>
      </c>
      <c r="B36" s="22">
        <v>2</v>
      </c>
      <c r="C36" s="46">
        <v>18</v>
      </c>
      <c r="D36" s="46">
        <v>28</v>
      </c>
      <c r="E36" s="60" t="s">
        <v>1546</v>
      </c>
      <c r="F36" s="66" t="s">
        <v>1699</v>
      </c>
      <c r="G36" s="46" t="s">
        <v>30</v>
      </c>
      <c r="H36" s="65">
        <v>41725.449282407404</v>
      </c>
      <c r="I36" s="64">
        <v>41743</v>
      </c>
      <c r="J36" s="46">
        <v>13</v>
      </c>
      <c r="K36" s="36" t="s">
        <v>31</v>
      </c>
      <c r="L36" s="60" t="s">
        <v>32</v>
      </c>
      <c r="M36" s="62"/>
      <c r="N36" s="62"/>
      <c r="O36" s="63"/>
      <c r="P36" s="63"/>
    </row>
    <row r="37" spans="1:16" ht="24.75" customHeight="1" x14ac:dyDescent="0.25">
      <c r="A37" s="11" t="str">
        <f t="shared" si="0"/>
        <v>VISTOS BUENOS</v>
      </c>
      <c r="B37" s="22">
        <v>2</v>
      </c>
      <c r="C37" s="46">
        <v>19</v>
      </c>
      <c r="D37" s="46">
        <v>29</v>
      </c>
      <c r="E37" s="60" t="s">
        <v>1547</v>
      </c>
      <c r="F37" s="66" t="s">
        <v>1700</v>
      </c>
      <c r="G37" s="46" t="s">
        <v>30</v>
      </c>
      <c r="H37" s="65">
        <v>41726.678194444445</v>
      </c>
      <c r="I37" s="64">
        <v>41772</v>
      </c>
      <c r="J37" s="46">
        <v>85</v>
      </c>
      <c r="K37" s="36" t="s">
        <v>31</v>
      </c>
      <c r="L37" s="60" t="s">
        <v>32</v>
      </c>
      <c r="M37" s="62"/>
      <c r="N37" s="62"/>
      <c r="O37" s="63"/>
      <c r="P37" s="63"/>
    </row>
    <row r="38" spans="1:16" ht="24.75" customHeight="1" x14ac:dyDescent="0.25">
      <c r="A38" s="11" t="str">
        <f t="shared" si="0"/>
        <v>VISTOS BUENOS</v>
      </c>
      <c r="B38" s="22">
        <v>2</v>
      </c>
      <c r="C38" s="46">
        <v>20</v>
      </c>
      <c r="D38" s="46">
        <v>30</v>
      </c>
      <c r="E38" s="60" t="s">
        <v>1548</v>
      </c>
      <c r="F38" s="66" t="s">
        <v>1701</v>
      </c>
      <c r="G38" s="46" t="s">
        <v>30</v>
      </c>
      <c r="H38" s="65">
        <v>41732.618761574071</v>
      </c>
      <c r="I38" s="64">
        <v>41739</v>
      </c>
      <c r="J38" s="46">
        <v>14</v>
      </c>
      <c r="K38" s="36" t="s">
        <v>31</v>
      </c>
      <c r="L38" s="60" t="s">
        <v>32</v>
      </c>
      <c r="M38" s="62"/>
      <c r="N38" s="62"/>
      <c r="O38" s="63"/>
      <c r="P38" s="63"/>
    </row>
    <row r="39" spans="1:16" ht="24.75" customHeight="1" x14ac:dyDescent="0.25">
      <c r="A39" s="11" t="str">
        <f t="shared" si="0"/>
        <v>VISTOS BUENOS</v>
      </c>
      <c r="B39" s="22">
        <v>2</v>
      </c>
      <c r="C39" s="46">
        <v>20</v>
      </c>
      <c r="D39" s="46">
        <v>31</v>
      </c>
      <c r="E39" s="60" t="s">
        <v>1549</v>
      </c>
      <c r="F39" s="66" t="s">
        <v>1702</v>
      </c>
      <c r="G39" s="46" t="s">
        <v>30</v>
      </c>
      <c r="H39" s="65">
        <v>41733.449780092589</v>
      </c>
      <c r="I39" s="64">
        <v>41752</v>
      </c>
      <c r="J39" s="46">
        <v>12</v>
      </c>
      <c r="K39" s="36" t="s">
        <v>31</v>
      </c>
      <c r="L39" s="60" t="s">
        <v>32</v>
      </c>
      <c r="M39" s="62"/>
      <c r="N39" s="62"/>
      <c r="O39" s="63"/>
      <c r="P39" s="63"/>
    </row>
    <row r="40" spans="1:16" ht="24.75" customHeight="1" x14ac:dyDescent="0.25">
      <c r="A40" s="11" t="str">
        <f t="shared" si="0"/>
        <v>VISTOS BUENOS</v>
      </c>
      <c r="B40" s="22">
        <v>2</v>
      </c>
      <c r="C40" s="46">
        <v>20</v>
      </c>
      <c r="D40" s="46">
        <v>32</v>
      </c>
      <c r="E40" s="60" t="s">
        <v>1550</v>
      </c>
      <c r="F40" s="66" t="s">
        <v>1703</v>
      </c>
      <c r="G40" s="46" t="s">
        <v>30</v>
      </c>
      <c r="H40" s="65">
        <v>41737.681469907409</v>
      </c>
      <c r="I40" s="64">
        <v>41753</v>
      </c>
      <c r="J40" s="46">
        <v>30</v>
      </c>
      <c r="K40" s="36" t="s">
        <v>31</v>
      </c>
      <c r="L40" s="60" t="s">
        <v>32</v>
      </c>
      <c r="M40" s="62"/>
      <c r="N40" s="62"/>
      <c r="O40" s="63"/>
      <c r="P40" s="63"/>
    </row>
    <row r="41" spans="1:16" ht="24.75" customHeight="1" x14ac:dyDescent="0.25">
      <c r="A41" s="11" t="str">
        <f t="shared" si="0"/>
        <v>VISTOS BUENOS</v>
      </c>
      <c r="B41" s="22">
        <v>2</v>
      </c>
      <c r="C41" s="46">
        <v>21</v>
      </c>
      <c r="D41" s="46">
        <v>33</v>
      </c>
      <c r="E41" s="60" t="s">
        <v>1551</v>
      </c>
      <c r="F41" s="66" t="s">
        <v>1704</v>
      </c>
      <c r="G41" s="46" t="s">
        <v>30</v>
      </c>
      <c r="H41" s="65">
        <v>41738.406898148147</v>
      </c>
      <c r="I41" s="64">
        <v>41768</v>
      </c>
      <c r="J41" s="46">
        <v>67</v>
      </c>
      <c r="K41" s="36" t="s">
        <v>31</v>
      </c>
      <c r="L41" s="60" t="s">
        <v>32</v>
      </c>
      <c r="M41" s="62"/>
      <c r="N41" s="62"/>
      <c r="O41" s="63"/>
      <c r="P41" s="63"/>
    </row>
    <row r="42" spans="1:16" ht="24.75" customHeight="1" x14ac:dyDescent="0.25">
      <c r="A42" s="11" t="str">
        <f t="shared" si="0"/>
        <v>VISTOS BUENOS</v>
      </c>
      <c r="B42" s="22">
        <v>2</v>
      </c>
      <c r="C42" s="46">
        <v>21</v>
      </c>
      <c r="D42" s="46">
        <v>34</v>
      </c>
      <c r="E42" s="60" t="s">
        <v>1552</v>
      </c>
      <c r="F42" s="66" t="s">
        <v>1705</v>
      </c>
      <c r="G42" s="46" t="s">
        <v>30</v>
      </c>
      <c r="H42" s="65">
        <v>41739.657557870371</v>
      </c>
      <c r="I42" s="64">
        <v>41747</v>
      </c>
      <c r="J42" s="46">
        <v>14</v>
      </c>
      <c r="K42" s="36" t="s">
        <v>31</v>
      </c>
      <c r="L42" s="60" t="s">
        <v>32</v>
      </c>
      <c r="M42" s="62"/>
      <c r="N42" s="62"/>
      <c r="O42" s="63"/>
      <c r="P42" s="63"/>
    </row>
    <row r="43" spans="1:16" ht="24.75" customHeight="1" x14ac:dyDescent="0.25">
      <c r="A43" s="11" t="str">
        <f t="shared" si="0"/>
        <v>VISTOS BUENOS</v>
      </c>
      <c r="B43" s="22">
        <v>2</v>
      </c>
      <c r="C43" s="46">
        <v>21</v>
      </c>
      <c r="D43" s="46">
        <v>35</v>
      </c>
      <c r="E43" s="60" t="s">
        <v>1553</v>
      </c>
      <c r="F43" s="66" t="s">
        <v>1706</v>
      </c>
      <c r="G43" s="46" t="s">
        <v>30</v>
      </c>
      <c r="H43" s="65">
        <v>41739.701145833336</v>
      </c>
      <c r="I43" s="64">
        <v>41757</v>
      </c>
      <c r="J43" s="46">
        <v>33</v>
      </c>
      <c r="K43" s="36" t="s">
        <v>31</v>
      </c>
      <c r="L43" s="60" t="s">
        <v>32</v>
      </c>
      <c r="M43" s="62"/>
      <c r="N43" s="62"/>
      <c r="O43" s="63"/>
      <c r="P43" s="63"/>
    </row>
    <row r="44" spans="1:16" ht="24.75" customHeight="1" x14ac:dyDescent="0.25">
      <c r="A44" s="11" t="str">
        <f t="shared" si="0"/>
        <v>VISTOS BUENOS</v>
      </c>
      <c r="B44" s="22">
        <v>2</v>
      </c>
      <c r="C44" s="46">
        <v>22</v>
      </c>
      <c r="D44" s="46">
        <v>36</v>
      </c>
      <c r="E44" s="60" t="s">
        <v>1554</v>
      </c>
      <c r="F44" s="66" t="s">
        <v>1707</v>
      </c>
      <c r="G44" s="46" t="s">
        <v>30</v>
      </c>
      <c r="H44" s="65">
        <v>41745.652789351851</v>
      </c>
      <c r="I44" s="64">
        <v>41766</v>
      </c>
      <c r="J44" s="46">
        <v>41</v>
      </c>
      <c r="K44" s="36" t="s">
        <v>31</v>
      </c>
      <c r="L44" s="60" t="s">
        <v>32</v>
      </c>
      <c r="M44" s="62"/>
      <c r="N44" s="62"/>
      <c r="O44" s="63"/>
      <c r="P44" s="63"/>
    </row>
    <row r="45" spans="1:16" ht="24.75" customHeight="1" x14ac:dyDescent="0.25">
      <c r="A45" s="11" t="str">
        <f t="shared" si="0"/>
        <v>VISTOS BUENOS</v>
      </c>
      <c r="B45" s="22">
        <v>2</v>
      </c>
      <c r="C45" s="46">
        <v>22</v>
      </c>
      <c r="D45" s="46">
        <v>37</v>
      </c>
      <c r="E45" s="60" t="s">
        <v>1555</v>
      </c>
      <c r="F45" s="66" t="s">
        <v>1708</v>
      </c>
      <c r="G45" s="46" t="s">
        <v>30</v>
      </c>
      <c r="H45" s="65">
        <v>41751.413206018522</v>
      </c>
      <c r="I45" s="64">
        <v>41785</v>
      </c>
      <c r="J45" s="46">
        <v>25</v>
      </c>
      <c r="K45" s="36" t="s">
        <v>31</v>
      </c>
      <c r="L45" s="60" t="s">
        <v>32</v>
      </c>
      <c r="M45" s="62"/>
      <c r="N45" s="62"/>
      <c r="O45" s="63"/>
      <c r="P45" s="63"/>
    </row>
    <row r="46" spans="1:16" ht="24.75" customHeight="1" x14ac:dyDescent="0.25">
      <c r="A46" s="11" t="str">
        <f t="shared" si="0"/>
        <v>VISTOS BUENOS</v>
      </c>
      <c r="B46" s="22">
        <v>2</v>
      </c>
      <c r="C46" s="46">
        <v>23</v>
      </c>
      <c r="D46" s="46">
        <v>38</v>
      </c>
      <c r="E46" s="60" t="s">
        <v>1556</v>
      </c>
      <c r="F46" s="66" t="s">
        <v>1709</v>
      </c>
      <c r="G46" s="46" t="s">
        <v>30</v>
      </c>
      <c r="H46" s="65">
        <v>41751.447152777779</v>
      </c>
      <c r="I46" s="64">
        <v>41808</v>
      </c>
      <c r="J46" s="46">
        <v>79</v>
      </c>
      <c r="K46" s="36" t="s">
        <v>31</v>
      </c>
      <c r="L46" s="60" t="s">
        <v>32</v>
      </c>
      <c r="M46" s="62"/>
      <c r="N46" s="62"/>
      <c r="O46" s="63"/>
      <c r="P46" s="63"/>
    </row>
    <row r="47" spans="1:16" ht="24.75" customHeight="1" x14ac:dyDescent="0.25">
      <c r="A47" s="11" t="str">
        <f t="shared" si="0"/>
        <v>VISTOS BUENOS</v>
      </c>
      <c r="B47" s="22">
        <v>3</v>
      </c>
      <c r="C47" s="46">
        <v>23</v>
      </c>
      <c r="D47" s="46">
        <v>39</v>
      </c>
      <c r="E47" s="60" t="s">
        <v>1557</v>
      </c>
      <c r="F47" s="66" t="s">
        <v>1710</v>
      </c>
      <c r="G47" s="46" t="s">
        <v>30</v>
      </c>
      <c r="H47" s="65">
        <v>41751.656724537039</v>
      </c>
      <c r="I47" s="64">
        <v>41817</v>
      </c>
      <c r="J47" s="46">
        <v>31</v>
      </c>
      <c r="K47" s="36" t="s">
        <v>31</v>
      </c>
      <c r="L47" s="60" t="s">
        <v>32</v>
      </c>
      <c r="M47" s="62"/>
      <c r="N47" s="62"/>
      <c r="O47" s="63"/>
      <c r="P47" s="63"/>
    </row>
    <row r="48" spans="1:16" ht="24.75" customHeight="1" x14ac:dyDescent="0.25">
      <c r="A48" s="11" t="str">
        <f t="shared" si="0"/>
        <v>VISTOS BUENOS</v>
      </c>
      <c r="B48" s="22">
        <v>3</v>
      </c>
      <c r="C48" s="46">
        <v>24</v>
      </c>
      <c r="D48" s="46">
        <v>40</v>
      </c>
      <c r="E48" s="60" t="s">
        <v>1558</v>
      </c>
      <c r="F48" s="66" t="s">
        <v>1711</v>
      </c>
      <c r="G48" s="46" t="s">
        <v>30</v>
      </c>
      <c r="H48" s="65">
        <v>41765.424467592595</v>
      </c>
      <c r="I48" s="64">
        <v>41773</v>
      </c>
      <c r="J48" s="46">
        <v>8</v>
      </c>
      <c r="K48" s="36" t="s">
        <v>31</v>
      </c>
      <c r="L48" s="60" t="s">
        <v>32</v>
      </c>
      <c r="M48" s="62"/>
      <c r="N48" s="62"/>
      <c r="O48" s="63"/>
      <c r="P48" s="63"/>
    </row>
    <row r="49" spans="1:16" ht="24.75" customHeight="1" x14ac:dyDescent="0.25">
      <c r="A49" s="11" t="str">
        <f t="shared" si="0"/>
        <v>VISTOS BUENOS</v>
      </c>
      <c r="B49" s="22">
        <v>3</v>
      </c>
      <c r="C49" s="46">
        <v>24</v>
      </c>
      <c r="D49" s="46">
        <v>41</v>
      </c>
      <c r="E49" s="60" t="s">
        <v>1559</v>
      </c>
      <c r="F49" s="66" t="s">
        <v>1712</v>
      </c>
      <c r="G49" s="46" t="s">
        <v>30</v>
      </c>
      <c r="H49" s="65">
        <v>41771.670266203706</v>
      </c>
      <c r="I49" s="64">
        <v>41795</v>
      </c>
      <c r="J49" s="46">
        <v>48</v>
      </c>
      <c r="K49" s="36" t="s">
        <v>31</v>
      </c>
      <c r="L49" s="60" t="s">
        <v>32</v>
      </c>
      <c r="M49" s="62"/>
      <c r="N49" s="62"/>
      <c r="O49" s="63"/>
      <c r="P49" s="63"/>
    </row>
    <row r="50" spans="1:16" ht="24.75" customHeight="1" x14ac:dyDescent="0.25">
      <c r="A50" s="11" t="str">
        <f t="shared" si="0"/>
        <v>VISTOS BUENOS</v>
      </c>
      <c r="B50" s="22">
        <v>3</v>
      </c>
      <c r="C50" s="46">
        <v>24</v>
      </c>
      <c r="D50" s="46">
        <v>42</v>
      </c>
      <c r="E50" s="60" t="s">
        <v>1560</v>
      </c>
      <c r="F50" s="66" t="s">
        <v>1713</v>
      </c>
      <c r="G50" s="46" t="s">
        <v>30</v>
      </c>
      <c r="H50" s="65">
        <v>41774.339004629626</v>
      </c>
      <c r="I50" s="64">
        <v>41779</v>
      </c>
      <c r="J50" s="46">
        <v>14</v>
      </c>
      <c r="K50" s="36" t="s">
        <v>31</v>
      </c>
      <c r="L50" s="60" t="s">
        <v>32</v>
      </c>
      <c r="M50" s="62"/>
      <c r="N50" s="62"/>
      <c r="O50" s="63"/>
      <c r="P50" s="63"/>
    </row>
    <row r="51" spans="1:16" ht="24.75" customHeight="1" x14ac:dyDescent="0.25">
      <c r="A51" s="11" t="str">
        <f t="shared" si="0"/>
        <v>VISTOS BUENOS</v>
      </c>
      <c r="B51" s="22">
        <v>3</v>
      </c>
      <c r="C51" s="46">
        <v>24</v>
      </c>
      <c r="D51" s="46">
        <v>43</v>
      </c>
      <c r="E51" s="60" t="s">
        <v>1561</v>
      </c>
      <c r="F51" s="66" t="s">
        <v>1714</v>
      </c>
      <c r="G51" s="46" t="s">
        <v>30</v>
      </c>
      <c r="H51" s="65">
        <v>41779.360810185186</v>
      </c>
      <c r="I51" s="64">
        <v>41788</v>
      </c>
      <c r="J51" s="46">
        <v>14</v>
      </c>
      <c r="K51" s="36" t="s">
        <v>31</v>
      </c>
      <c r="L51" s="60" t="s">
        <v>32</v>
      </c>
      <c r="M51" s="62"/>
      <c r="N51" s="62"/>
      <c r="O51" s="63"/>
      <c r="P51" s="63"/>
    </row>
    <row r="52" spans="1:16" ht="24.75" customHeight="1" x14ac:dyDescent="0.25">
      <c r="A52" s="11" t="str">
        <f t="shared" si="0"/>
        <v>VISTOS BUENOS</v>
      </c>
      <c r="B52" s="22">
        <v>3</v>
      </c>
      <c r="C52" s="46">
        <v>24</v>
      </c>
      <c r="D52" s="46">
        <v>44</v>
      </c>
      <c r="E52" s="60" t="s">
        <v>1562</v>
      </c>
      <c r="F52" s="66" t="s">
        <v>1715</v>
      </c>
      <c r="G52" s="46" t="s">
        <v>30</v>
      </c>
      <c r="H52" s="65">
        <v>41781.45721064815</v>
      </c>
      <c r="I52" s="64">
        <v>41788</v>
      </c>
      <c r="J52" s="46">
        <v>14</v>
      </c>
      <c r="K52" s="36" t="s">
        <v>31</v>
      </c>
      <c r="L52" s="60" t="s">
        <v>32</v>
      </c>
      <c r="M52" s="62"/>
      <c r="N52" s="62"/>
      <c r="O52" s="63"/>
      <c r="P52" s="63"/>
    </row>
    <row r="53" spans="1:16" ht="24.75" customHeight="1" x14ac:dyDescent="0.25">
      <c r="A53" s="11" t="str">
        <f t="shared" si="0"/>
        <v>VISTOS BUENOS</v>
      </c>
      <c r="B53" s="22">
        <v>3</v>
      </c>
      <c r="C53" s="46">
        <v>24</v>
      </c>
      <c r="D53" s="46">
        <v>45</v>
      </c>
      <c r="E53" s="60" t="s">
        <v>1563</v>
      </c>
      <c r="F53" s="66" t="s">
        <v>1716</v>
      </c>
      <c r="G53" s="46" t="s">
        <v>30</v>
      </c>
      <c r="H53" s="65">
        <v>41782.50236111111</v>
      </c>
      <c r="I53" s="64">
        <v>41788</v>
      </c>
      <c r="J53" s="46">
        <v>11</v>
      </c>
      <c r="K53" s="36" t="s">
        <v>31</v>
      </c>
      <c r="L53" s="60" t="s">
        <v>32</v>
      </c>
      <c r="M53" s="62"/>
      <c r="N53" s="62"/>
      <c r="O53" s="63"/>
      <c r="P53" s="63"/>
    </row>
    <row r="54" spans="1:16" ht="24.75" customHeight="1" x14ac:dyDescent="0.25">
      <c r="A54" s="11" t="str">
        <f t="shared" si="0"/>
        <v>VISTOS BUENOS</v>
      </c>
      <c r="B54" s="22">
        <v>3</v>
      </c>
      <c r="C54" s="46">
        <v>25</v>
      </c>
      <c r="D54" s="46">
        <v>46</v>
      </c>
      <c r="E54" s="60" t="s">
        <v>1564</v>
      </c>
      <c r="F54" s="66" t="s">
        <v>1717</v>
      </c>
      <c r="G54" s="46" t="s">
        <v>30</v>
      </c>
      <c r="H54" s="65">
        <v>41782.65729166667</v>
      </c>
      <c r="I54" s="64">
        <v>41855</v>
      </c>
      <c r="J54" s="46">
        <v>47</v>
      </c>
      <c r="K54" s="36" t="s">
        <v>31</v>
      </c>
      <c r="L54" s="60" t="s">
        <v>32</v>
      </c>
      <c r="M54" s="62"/>
      <c r="N54" s="62"/>
      <c r="O54" s="63"/>
      <c r="P54" s="63"/>
    </row>
    <row r="55" spans="1:16" ht="24.75" customHeight="1" x14ac:dyDescent="0.25">
      <c r="A55" s="11" t="str">
        <f t="shared" si="0"/>
        <v>VISTOS BUENOS</v>
      </c>
      <c r="B55" s="22">
        <v>3</v>
      </c>
      <c r="C55" s="46">
        <v>25</v>
      </c>
      <c r="D55" s="46">
        <v>47</v>
      </c>
      <c r="E55" s="60" t="s">
        <v>1565</v>
      </c>
      <c r="F55" s="66" t="s">
        <v>1718</v>
      </c>
      <c r="G55" s="46" t="s">
        <v>30</v>
      </c>
      <c r="H55" s="65">
        <v>41785.687465277777</v>
      </c>
      <c r="I55" s="64">
        <v>41799</v>
      </c>
      <c r="J55" s="46">
        <v>14</v>
      </c>
      <c r="K55" s="36" t="s">
        <v>31</v>
      </c>
      <c r="L55" s="60" t="s">
        <v>32</v>
      </c>
      <c r="M55" s="62"/>
      <c r="N55" s="62"/>
      <c r="O55" s="63"/>
      <c r="P55" s="63"/>
    </row>
    <row r="56" spans="1:16" ht="24.75" customHeight="1" x14ac:dyDescent="0.25">
      <c r="A56" s="11" t="str">
        <f t="shared" si="0"/>
        <v>VISTOS BUENOS</v>
      </c>
      <c r="B56" s="22">
        <v>3</v>
      </c>
      <c r="C56" s="46">
        <v>25</v>
      </c>
      <c r="D56" s="46">
        <v>48</v>
      </c>
      <c r="E56" s="60" t="s">
        <v>1566</v>
      </c>
      <c r="F56" s="66" t="s">
        <v>1719</v>
      </c>
      <c r="G56" s="46" t="s">
        <v>30</v>
      </c>
      <c r="H56" s="65">
        <v>41788.69023148148</v>
      </c>
      <c r="I56" s="64">
        <v>41813</v>
      </c>
      <c r="J56" s="46">
        <v>48</v>
      </c>
      <c r="K56" s="36" t="s">
        <v>31</v>
      </c>
      <c r="L56" s="60" t="s">
        <v>32</v>
      </c>
      <c r="M56" s="62"/>
      <c r="N56" s="62"/>
      <c r="O56" s="63"/>
      <c r="P56" s="63"/>
    </row>
    <row r="57" spans="1:16" ht="24.75" customHeight="1" x14ac:dyDescent="0.25">
      <c r="A57" s="11" t="str">
        <f t="shared" si="0"/>
        <v>VISTOS BUENOS</v>
      </c>
      <c r="B57" s="22">
        <v>3</v>
      </c>
      <c r="C57" s="46">
        <v>26</v>
      </c>
      <c r="D57" s="46">
        <v>49</v>
      </c>
      <c r="E57" s="60" t="s">
        <v>1567</v>
      </c>
      <c r="F57" s="66" t="s">
        <v>1720</v>
      </c>
      <c r="G57" s="46" t="s">
        <v>30</v>
      </c>
      <c r="H57" s="65">
        <v>41789.409155092595</v>
      </c>
      <c r="I57" s="64">
        <v>41800</v>
      </c>
      <c r="J57" s="46">
        <v>25</v>
      </c>
      <c r="K57" s="36" t="s">
        <v>31</v>
      </c>
      <c r="L57" s="60" t="s">
        <v>32</v>
      </c>
      <c r="M57" s="62"/>
      <c r="N57" s="62"/>
      <c r="O57" s="63"/>
      <c r="P57" s="63"/>
    </row>
    <row r="58" spans="1:16" ht="24.75" customHeight="1" x14ac:dyDescent="0.25">
      <c r="A58" s="11" t="str">
        <f t="shared" si="0"/>
        <v>VISTOS BUENOS</v>
      </c>
      <c r="B58" s="22">
        <v>3</v>
      </c>
      <c r="C58" s="46">
        <v>26</v>
      </c>
      <c r="D58" s="46">
        <v>50</v>
      </c>
      <c r="E58" s="60" t="s">
        <v>1568</v>
      </c>
      <c r="F58" s="66" t="s">
        <v>1721</v>
      </c>
      <c r="G58" s="46" t="s">
        <v>30</v>
      </c>
      <c r="H58" s="65">
        <v>41795.349432870367</v>
      </c>
      <c r="I58" s="64">
        <v>41832</v>
      </c>
      <c r="J58" s="46">
        <v>25</v>
      </c>
      <c r="K58" s="36" t="s">
        <v>31</v>
      </c>
      <c r="L58" s="60" t="s">
        <v>32</v>
      </c>
      <c r="M58" s="62"/>
      <c r="N58" s="62"/>
      <c r="O58" s="63"/>
      <c r="P58" s="63"/>
    </row>
    <row r="59" spans="1:16" ht="24.75" customHeight="1" x14ac:dyDescent="0.25">
      <c r="A59" s="11" t="str">
        <f t="shared" si="0"/>
        <v>VISTOS BUENOS</v>
      </c>
      <c r="B59" s="22">
        <v>3</v>
      </c>
      <c r="C59" s="46">
        <v>26</v>
      </c>
      <c r="D59" s="46">
        <v>51</v>
      </c>
      <c r="E59" s="60" t="s">
        <v>1569</v>
      </c>
      <c r="F59" s="66" t="s">
        <v>1722</v>
      </c>
      <c r="G59" s="46" t="s">
        <v>30</v>
      </c>
      <c r="H59" s="65">
        <v>41795.690763888888</v>
      </c>
      <c r="I59" s="64">
        <v>41817</v>
      </c>
      <c r="J59" s="46">
        <v>63</v>
      </c>
      <c r="K59" s="36" t="s">
        <v>31</v>
      </c>
      <c r="L59" s="60" t="s">
        <v>32</v>
      </c>
      <c r="M59" s="62"/>
      <c r="N59" s="62"/>
      <c r="O59" s="63"/>
      <c r="P59" s="63"/>
    </row>
    <row r="60" spans="1:16" ht="24.75" customHeight="1" x14ac:dyDescent="0.25">
      <c r="A60" s="11" t="str">
        <f t="shared" si="0"/>
        <v>VISTOS BUENOS</v>
      </c>
      <c r="B60" s="22">
        <v>3</v>
      </c>
      <c r="C60" s="46">
        <v>27</v>
      </c>
      <c r="D60" s="46">
        <v>52</v>
      </c>
      <c r="E60" s="60" t="s">
        <v>1570</v>
      </c>
      <c r="F60" s="66" t="s">
        <v>1723</v>
      </c>
      <c r="G60" s="46" t="s">
        <v>30</v>
      </c>
      <c r="H60" s="65">
        <v>41800.492129629631</v>
      </c>
      <c r="I60" s="64">
        <v>41825</v>
      </c>
      <c r="J60" s="46">
        <v>18</v>
      </c>
      <c r="K60" s="36" t="s">
        <v>31</v>
      </c>
      <c r="L60" s="60" t="s">
        <v>32</v>
      </c>
      <c r="M60" s="62"/>
      <c r="N60" s="62"/>
      <c r="O60" s="63"/>
      <c r="P60" s="63"/>
    </row>
    <row r="61" spans="1:16" ht="24.75" customHeight="1" x14ac:dyDescent="0.25">
      <c r="A61" s="11" t="str">
        <f t="shared" si="0"/>
        <v>VISTOS BUENOS</v>
      </c>
      <c r="B61" s="22">
        <v>3</v>
      </c>
      <c r="C61" s="46">
        <v>27</v>
      </c>
      <c r="D61" s="46">
        <v>53</v>
      </c>
      <c r="E61" s="60" t="s">
        <v>1571</v>
      </c>
      <c r="F61" s="66" t="s">
        <v>1724</v>
      </c>
      <c r="G61" s="46" t="s">
        <v>30</v>
      </c>
      <c r="H61" s="65">
        <v>41800.505173611113</v>
      </c>
      <c r="I61" s="64">
        <v>41824</v>
      </c>
      <c r="J61" s="46">
        <v>43</v>
      </c>
      <c r="K61" s="36" t="s">
        <v>31</v>
      </c>
      <c r="L61" s="60" t="s">
        <v>32</v>
      </c>
      <c r="M61" s="62"/>
      <c r="N61" s="62"/>
      <c r="O61" s="63"/>
      <c r="P61" s="63"/>
    </row>
    <row r="62" spans="1:16" ht="24.75" customHeight="1" x14ac:dyDescent="0.25">
      <c r="A62" s="11" t="str">
        <f t="shared" si="0"/>
        <v>VISTOS BUENOS</v>
      </c>
      <c r="B62" s="22">
        <v>3</v>
      </c>
      <c r="C62" s="46" t="s">
        <v>1827</v>
      </c>
      <c r="D62" s="46">
        <v>54</v>
      </c>
      <c r="E62" s="60" t="s">
        <v>1572</v>
      </c>
      <c r="F62" s="66" t="s">
        <v>1725</v>
      </c>
      <c r="G62" s="46" t="s">
        <v>30</v>
      </c>
      <c r="H62" s="65">
        <v>41801.382534722223</v>
      </c>
      <c r="I62" s="64">
        <v>1137543</v>
      </c>
      <c r="J62" s="46">
        <v>310</v>
      </c>
      <c r="K62" s="36" t="s">
        <v>31</v>
      </c>
      <c r="L62" s="60" t="s">
        <v>32</v>
      </c>
      <c r="M62" s="62"/>
      <c r="N62" s="62"/>
      <c r="O62" s="63"/>
      <c r="P62" s="63"/>
    </row>
    <row r="63" spans="1:16" ht="24.75" customHeight="1" x14ac:dyDescent="0.25">
      <c r="A63" s="11" t="str">
        <f t="shared" si="0"/>
        <v>VISTOS BUENOS</v>
      </c>
      <c r="B63" s="22">
        <v>3</v>
      </c>
      <c r="C63" s="46">
        <v>31</v>
      </c>
      <c r="D63" s="46">
        <v>55</v>
      </c>
      <c r="E63" s="60" t="s">
        <v>1573</v>
      </c>
      <c r="F63" s="66" t="s">
        <v>1726</v>
      </c>
      <c r="G63" s="46" t="s">
        <v>30</v>
      </c>
      <c r="H63" s="65">
        <v>41809.489432870374</v>
      </c>
      <c r="I63" s="64">
        <v>41838</v>
      </c>
      <c r="J63" s="46">
        <v>68</v>
      </c>
      <c r="K63" s="36" t="s">
        <v>31</v>
      </c>
      <c r="L63" s="60" t="s">
        <v>32</v>
      </c>
      <c r="M63" s="62"/>
      <c r="N63" s="62"/>
      <c r="O63" s="63"/>
      <c r="P63" s="63"/>
    </row>
    <row r="64" spans="1:16" ht="24.75" customHeight="1" x14ac:dyDescent="0.25">
      <c r="A64" s="11" t="str">
        <f t="shared" si="0"/>
        <v>VISTOS BUENOS</v>
      </c>
      <c r="B64" s="22">
        <v>3</v>
      </c>
      <c r="C64" s="46">
        <v>32</v>
      </c>
      <c r="D64" s="46">
        <v>56</v>
      </c>
      <c r="E64" s="60" t="s">
        <v>1574</v>
      </c>
      <c r="F64" s="66" t="s">
        <v>1727</v>
      </c>
      <c r="G64" s="46" t="s">
        <v>30</v>
      </c>
      <c r="H64" s="65">
        <v>41809.650636574072</v>
      </c>
      <c r="I64" s="64">
        <v>41829</v>
      </c>
      <c r="J64" s="46">
        <v>23</v>
      </c>
      <c r="K64" s="36" t="s">
        <v>31</v>
      </c>
      <c r="L64" s="60" t="s">
        <v>32</v>
      </c>
      <c r="M64" s="62"/>
      <c r="N64" s="62"/>
      <c r="O64" s="63"/>
      <c r="P64" s="63"/>
    </row>
    <row r="65" spans="1:16" ht="24.75" customHeight="1" x14ac:dyDescent="0.25">
      <c r="A65" s="11" t="str">
        <f t="shared" si="0"/>
        <v>VISTOS BUENOS</v>
      </c>
      <c r="B65" s="22">
        <v>3</v>
      </c>
      <c r="C65" s="46">
        <v>32</v>
      </c>
      <c r="D65" s="46">
        <v>57</v>
      </c>
      <c r="E65" s="60" t="s">
        <v>1575</v>
      </c>
      <c r="F65" s="66" t="s">
        <v>1728</v>
      </c>
      <c r="G65" s="46" t="s">
        <v>30</v>
      </c>
      <c r="H65" s="65">
        <v>41814.477870370371</v>
      </c>
      <c r="I65" s="64">
        <v>41843</v>
      </c>
      <c r="J65" s="46">
        <v>68</v>
      </c>
      <c r="K65" s="36" t="s">
        <v>31</v>
      </c>
      <c r="L65" s="60" t="s">
        <v>32</v>
      </c>
      <c r="M65" s="62"/>
      <c r="N65" s="62"/>
      <c r="O65" s="63"/>
      <c r="P65" s="63"/>
    </row>
    <row r="66" spans="1:16" ht="24.75" customHeight="1" x14ac:dyDescent="0.25">
      <c r="A66" s="11" t="str">
        <f t="shared" si="0"/>
        <v>VISTOS BUENOS</v>
      </c>
      <c r="B66" s="22">
        <v>3</v>
      </c>
      <c r="C66" s="46">
        <v>33</v>
      </c>
      <c r="D66" s="46">
        <v>58</v>
      </c>
      <c r="E66" s="60" t="s">
        <v>1576</v>
      </c>
      <c r="F66" s="66" t="s">
        <v>1729</v>
      </c>
      <c r="G66" s="46" t="s">
        <v>30</v>
      </c>
      <c r="H66" s="65">
        <v>41815.392824074072</v>
      </c>
      <c r="I66" s="64">
        <v>41828</v>
      </c>
      <c r="J66" s="46">
        <v>14</v>
      </c>
      <c r="K66" s="36" t="s">
        <v>31</v>
      </c>
      <c r="L66" s="60" t="s">
        <v>32</v>
      </c>
      <c r="M66" s="62"/>
      <c r="N66" s="62"/>
      <c r="O66" s="63"/>
      <c r="P66" s="63"/>
    </row>
    <row r="67" spans="1:16" ht="24.75" customHeight="1" x14ac:dyDescent="0.25">
      <c r="A67" s="11" t="str">
        <f t="shared" si="0"/>
        <v>VISTOS BUENOS</v>
      </c>
      <c r="B67" s="22">
        <v>3</v>
      </c>
      <c r="C67" s="46">
        <v>33</v>
      </c>
      <c r="D67" s="46">
        <v>59</v>
      </c>
      <c r="E67" s="60" t="s">
        <v>1577</v>
      </c>
      <c r="F67" s="66" t="s">
        <v>1730</v>
      </c>
      <c r="G67" s="46" t="s">
        <v>30</v>
      </c>
      <c r="H67" s="65">
        <v>41816.598217592589</v>
      </c>
      <c r="I67" s="64">
        <v>41824</v>
      </c>
      <c r="J67" s="46">
        <v>13</v>
      </c>
      <c r="K67" s="36" t="s">
        <v>31</v>
      </c>
      <c r="L67" s="60" t="s">
        <v>32</v>
      </c>
      <c r="M67" s="62"/>
      <c r="N67" s="62"/>
      <c r="O67" s="63"/>
      <c r="P67" s="63"/>
    </row>
    <row r="68" spans="1:16" ht="24.75" customHeight="1" x14ac:dyDescent="0.25">
      <c r="A68" s="11" t="str">
        <f t="shared" si="0"/>
        <v>VISTOS BUENOS</v>
      </c>
      <c r="B68" s="22">
        <v>3</v>
      </c>
      <c r="C68" s="46">
        <v>33</v>
      </c>
      <c r="D68" s="46">
        <v>60</v>
      </c>
      <c r="E68" s="60" t="s">
        <v>1578</v>
      </c>
      <c r="F68" s="66" t="s">
        <v>1731</v>
      </c>
      <c r="G68" s="46" t="s">
        <v>30</v>
      </c>
      <c r="H68" s="65">
        <v>41817.468240740738</v>
      </c>
      <c r="I68" s="64">
        <v>41842</v>
      </c>
      <c r="J68" s="46">
        <v>31</v>
      </c>
      <c r="K68" s="36" t="s">
        <v>31</v>
      </c>
      <c r="L68" s="60" t="s">
        <v>32</v>
      </c>
      <c r="M68" s="62"/>
      <c r="N68" s="62"/>
      <c r="O68" s="63"/>
      <c r="P68" s="63"/>
    </row>
    <row r="69" spans="1:16" ht="24.75" customHeight="1" x14ac:dyDescent="0.25">
      <c r="A69" s="11" t="str">
        <f t="shared" si="0"/>
        <v>VISTOS BUENOS</v>
      </c>
      <c r="B69" s="22">
        <v>3</v>
      </c>
      <c r="C69" s="46">
        <v>33</v>
      </c>
      <c r="D69" s="46">
        <v>61</v>
      </c>
      <c r="E69" s="60" t="s">
        <v>1579</v>
      </c>
      <c r="F69" s="66" t="s">
        <v>1732</v>
      </c>
      <c r="G69" s="46" t="s">
        <v>30</v>
      </c>
      <c r="H69" s="65">
        <v>41817.668009259258</v>
      </c>
      <c r="I69" s="64">
        <v>41837</v>
      </c>
      <c r="J69" s="46">
        <v>21</v>
      </c>
      <c r="K69" s="36" t="s">
        <v>31</v>
      </c>
      <c r="L69" s="60" t="s">
        <v>32</v>
      </c>
      <c r="M69" s="62"/>
      <c r="N69" s="62"/>
      <c r="O69" s="63"/>
      <c r="P69" s="63"/>
    </row>
    <row r="70" spans="1:16" ht="24.75" customHeight="1" x14ac:dyDescent="0.25">
      <c r="A70" s="11" t="str">
        <f t="shared" si="0"/>
        <v>VISTOS BUENOS</v>
      </c>
      <c r="B70" s="22">
        <v>3</v>
      </c>
      <c r="C70" s="46">
        <v>34</v>
      </c>
      <c r="D70" s="46">
        <v>62</v>
      </c>
      <c r="E70" s="60" t="s">
        <v>1580</v>
      </c>
      <c r="F70" s="66" t="s">
        <v>1733</v>
      </c>
      <c r="G70" s="46" t="s">
        <v>30</v>
      </c>
      <c r="H70" s="65">
        <v>41821.437719907408</v>
      </c>
      <c r="I70" s="64">
        <v>41822</v>
      </c>
      <c r="J70" s="46">
        <v>14</v>
      </c>
      <c r="K70" s="36" t="s">
        <v>31</v>
      </c>
      <c r="L70" s="60" t="s">
        <v>32</v>
      </c>
      <c r="M70" s="62"/>
      <c r="N70" s="62"/>
      <c r="O70" s="63"/>
      <c r="P70" s="63"/>
    </row>
    <row r="71" spans="1:16" ht="24.75" customHeight="1" x14ac:dyDescent="0.25">
      <c r="A71" s="11" t="str">
        <f t="shared" si="0"/>
        <v>VISTOS BUENOS</v>
      </c>
      <c r="B71" s="22">
        <v>3</v>
      </c>
      <c r="C71" s="46">
        <v>34</v>
      </c>
      <c r="D71" s="46">
        <v>63</v>
      </c>
      <c r="E71" s="60" t="s">
        <v>1581</v>
      </c>
      <c r="F71" s="66" t="s">
        <v>1734</v>
      </c>
      <c r="G71" s="46" t="s">
        <v>30</v>
      </c>
      <c r="H71" s="65">
        <v>41822.433993055558</v>
      </c>
      <c r="I71" s="64">
        <v>41845</v>
      </c>
      <c r="J71" s="46">
        <v>38</v>
      </c>
      <c r="K71" s="36" t="s">
        <v>31</v>
      </c>
      <c r="L71" s="60" t="s">
        <v>32</v>
      </c>
      <c r="M71" s="62"/>
      <c r="N71" s="62"/>
      <c r="O71" s="63"/>
      <c r="P71" s="63"/>
    </row>
    <row r="72" spans="1:16" ht="24.75" customHeight="1" x14ac:dyDescent="0.25">
      <c r="A72" s="11" t="str">
        <f t="shared" si="0"/>
        <v>VISTOS BUENOS</v>
      </c>
      <c r="B72" s="22">
        <v>3</v>
      </c>
      <c r="C72" s="46">
        <v>34</v>
      </c>
      <c r="D72" s="46">
        <v>64</v>
      </c>
      <c r="E72" s="60" t="s">
        <v>1582</v>
      </c>
      <c r="F72" s="66" t="s">
        <v>1735</v>
      </c>
      <c r="G72" s="46" t="s">
        <v>30</v>
      </c>
      <c r="H72" s="65">
        <v>41823.620428240742</v>
      </c>
      <c r="I72" s="64">
        <v>41824</v>
      </c>
      <c r="J72" s="46">
        <v>13</v>
      </c>
      <c r="K72" s="36" t="s">
        <v>31</v>
      </c>
      <c r="L72" s="60" t="s">
        <v>32</v>
      </c>
      <c r="M72" s="62"/>
      <c r="N72" s="62"/>
      <c r="O72" s="63"/>
      <c r="P72" s="63"/>
    </row>
    <row r="73" spans="1:16" ht="24.75" customHeight="1" x14ac:dyDescent="0.25">
      <c r="A73" s="11" t="str">
        <f t="shared" si="0"/>
        <v>VISTOS BUENOS</v>
      </c>
      <c r="B73" s="22">
        <v>3</v>
      </c>
      <c r="C73" s="46">
        <v>34</v>
      </c>
      <c r="D73" s="46">
        <v>65</v>
      </c>
      <c r="E73" s="60" t="s">
        <v>1583</v>
      </c>
      <c r="F73" s="66" t="s">
        <v>1736</v>
      </c>
      <c r="G73" s="46" t="s">
        <v>30</v>
      </c>
      <c r="H73" s="65">
        <v>41824.683009259257</v>
      </c>
      <c r="I73" s="64">
        <v>41830</v>
      </c>
      <c r="J73" s="46">
        <v>19</v>
      </c>
      <c r="K73" s="36" t="s">
        <v>31</v>
      </c>
      <c r="L73" s="60" t="s">
        <v>32</v>
      </c>
      <c r="M73" s="62"/>
      <c r="N73" s="62"/>
      <c r="O73" s="63"/>
      <c r="P73" s="63"/>
    </row>
    <row r="74" spans="1:16" ht="24.75" customHeight="1" x14ac:dyDescent="0.25">
      <c r="A74" s="11" t="str">
        <f t="shared" si="0"/>
        <v>VISTOS BUENOS</v>
      </c>
      <c r="B74" s="22">
        <v>3</v>
      </c>
      <c r="C74" s="46">
        <v>34</v>
      </c>
      <c r="D74" s="46">
        <v>66</v>
      </c>
      <c r="E74" s="60" t="s">
        <v>1584</v>
      </c>
      <c r="F74" s="66" t="s">
        <v>1737</v>
      </c>
      <c r="G74" s="46" t="s">
        <v>30</v>
      </c>
      <c r="H74" s="65">
        <v>41828.469780092593</v>
      </c>
      <c r="I74" s="64">
        <v>41852</v>
      </c>
      <c r="J74" s="46">
        <v>23</v>
      </c>
      <c r="K74" s="36" t="s">
        <v>31</v>
      </c>
      <c r="L74" s="60" t="s">
        <v>32</v>
      </c>
      <c r="M74" s="62"/>
      <c r="N74" s="62"/>
      <c r="O74" s="63"/>
      <c r="P74" s="63"/>
    </row>
    <row r="75" spans="1:16" ht="24.75" customHeight="1" x14ac:dyDescent="0.25">
      <c r="A75" s="11" t="str">
        <f t="shared" ref="A75:A138" si="1">A74</f>
        <v>VISTOS BUENOS</v>
      </c>
      <c r="B75" s="22">
        <v>4</v>
      </c>
      <c r="C75" s="46">
        <v>35</v>
      </c>
      <c r="D75" s="46">
        <v>67</v>
      </c>
      <c r="E75" s="60" t="s">
        <v>1585</v>
      </c>
      <c r="F75" s="66" t="s">
        <v>1738</v>
      </c>
      <c r="G75" s="46" t="s">
        <v>30</v>
      </c>
      <c r="H75" s="65">
        <v>41828.624490740738</v>
      </c>
      <c r="I75" s="64">
        <v>41856</v>
      </c>
      <c r="J75" s="46">
        <v>181</v>
      </c>
      <c r="K75" s="36" t="s">
        <v>31</v>
      </c>
      <c r="L75" s="60" t="s">
        <v>32</v>
      </c>
      <c r="M75" s="62"/>
      <c r="N75" s="62"/>
      <c r="O75" s="63"/>
      <c r="P75" s="63"/>
    </row>
    <row r="76" spans="1:16" ht="24.75" customHeight="1" x14ac:dyDescent="0.25">
      <c r="A76" s="11" t="str">
        <f t="shared" si="1"/>
        <v>VISTOS BUENOS</v>
      </c>
      <c r="B76" s="22">
        <v>4</v>
      </c>
      <c r="C76" s="46">
        <v>36</v>
      </c>
      <c r="D76" s="46">
        <v>68</v>
      </c>
      <c r="E76" s="60" t="s">
        <v>1586</v>
      </c>
      <c r="F76" s="66" t="s">
        <v>1739</v>
      </c>
      <c r="G76" s="46" t="s">
        <v>30</v>
      </c>
      <c r="H76" s="65">
        <v>41836.436238425929</v>
      </c>
      <c r="I76" s="64">
        <v>41841</v>
      </c>
      <c r="J76" s="46">
        <v>39</v>
      </c>
      <c r="K76" s="36" t="s">
        <v>31</v>
      </c>
      <c r="L76" s="60" t="s">
        <v>32</v>
      </c>
      <c r="M76" s="62"/>
      <c r="N76" s="62"/>
      <c r="O76" s="63"/>
      <c r="P76" s="63"/>
    </row>
    <row r="77" spans="1:16" ht="24.75" customHeight="1" x14ac:dyDescent="0.25">
      <c r="A77" s="11" t="str">
        <f t="shared" si="1"/>
        <v>VISTOS BUENOS</v>
      </c>
      <c r="B77" s="22">
        <v>4</v>
      </c>
      <c r="C77" s="46">
        <v>36</v>
      </c>
      <c r="D77" s="46">
        <v>69</v>
      </c>
      <c r="E77" s="60" t="s">
        <v>1587</v>
      </c>
      <c r="F77" s="66" t="s">
        <v>1740</v>
      </c>
      <c r="G77" s="46" t="s">
        <v>30</v>
      </c>
      <c r="H77" s="65">
        <v>41836.659328703703</v>
      </c>
      <c r="I77" s="64">
        <v>41862</v>
      </c>
      <c r="J77" s="46">
        <v>44</v>
      </c>
      <c r="K77" s="36" t="s">
        <v>31</v>
      </c>
      <c r="L77" s="60" t="s">
        <v>32</v>
      </c>
      <c r="M77" s="62"/>
      <c r="N77" s="62"/>
      <c r="O77" s="63"/>
      <c r="P77" s="63"/>
    </row>
    <row r="78" spans="1:16" ht="24.75" customHeight="1" x14ac:dyDescent="0.25">
      <c r="A78" s="11" t="str">
        <f t="shared" si="1"/>
        <v>VISTOS BUENOS</v>
      </c>
      <c r="B78" s="22">
        <v>4</v>
      </c>
      <c r="C78" s="46">
        <v>36</v>
      </c>
      <c r="D78" s="46">
        <v>70</v>
      </c>
      <c r="E78" s="60" t="s">
        <v>1588</v>
      </c>
      <c r="F78" s="66" t="s">
        <v>1741</v>
      </c>
      <c r="G78" s="46" t="s">
        <v>30</v>
      </c>
      <c r="H78" s="65">
        <v>41838.649918981479</v>
      </c>
      <c r="I78" s="64">
        <v>41855</v>
      </c>
      <c r="J78" s="46">
        <v>20</v>
      </c>
      <c r="K78" s="36" t="s">
        <v>31</v>
      </c>
      <c r="L78" s="60" t="s">
        <v>32</v>
      </c>
      <c r="M78" s="62"/>
      <c r="N78" s="62"/>
      <c r="O78" s="63"/>
      <c r="P78" s="63"/>
    </row>
    <row r="79" spans="1:16" ht="24.75" customHeight="1" x14ac:dyDescent="0.25">
      <c r="A79" s="11" t="str">
        <f t="shared" si="1"/>
        <v>VISTOS BUENOS</v>
      </c>
      <c r="B79" s="22">
        <v>4</v>
      </c>
      <c r="C79" s="46">
        <v>36</v>
      </c>
      <c r="D79" s="46">
        <v>71</v>
      </c>
      <c r="E79" s="60" t="s">
        <v>1589</v>
      </c>
      <c r="F79" s="66" t="s">
        <v>1742</v>
      </c>
      <c r="G79" s="46" t="s">
        <v>30</v>
      </c>
      <c r="H79" s="65">
        <v>41842.405763888892</v>
      </c>
      <c r="I79" s="64">
        <v>41865</v>
      </c>
      <c r="J79" s="46">
        <v>36</v>
      </c>
      <c r="K79" s="36" t="s">
        <v>31</v>
      </c>
      <c r="L79" s="60" t="s">
        <v>32</v>
      </c>
      <c r="M79" s="62"/>
      <c r="N79" s="62"/>
      <c r="O79" s="63"/>
      <c r="P79" s="63"/>
    </row>
    <row r="80" spans="1:16" ht="24.75" customHeight="1" x14ac:dyDescent="0.25">
      <c r="A80" s="11" t="str">
        <f t="shared" si="1"/>
        <v>VISTOS BUENOS</v>
      </c>
      <c r="B80" s="22">
        <v>4</v>
      </c>
      <c r="C80" s="46">
        <v>37</v>
      </c>
      <c r="D80" s="46">
        <v>72</v>
      </c>
      <c r="E80" s="60" t="s">
        <v>1590</v>
      </c>
      <c r="F80" s="66" t="s">
        <v>1743</v>
      </c>
      <c r="G80" s="46" t="s">
        <v>30</v>
      </c>
      <c r="H80" s="65">
        <v>41842.409710648149</v>
      </c>
      <c r="I80" s="64">
        <v>41869</v>
      </c>
      <c r="J80" s="46">
        <v>47</v>
      </c>
      <c r="K80" s="36" t="s">
        <v>31</v>
      </c>
      <c r="L80" s="60" t="s">
        <v>32</v>
      </c>
      <c r="M80" s="62"/>
      <c r="N80" s="62"/>
      <c r="O80" s="63"/>
      <c r="P80" s="63"/>
    </row>
    <row r="81" spans="1:16" ht="24.75" customHeight="1" x14ac:dyDescent="0.25">
      <c r="A81" s="11" t="str">
        <f t="shared" si="1"/>
        <v>VISTOS BUENOS</v>
      </c>
      <c r="B81" s="22">
        <v>4</v>
      </c>
      <c r="C81" s="46">
        <v>37</v>
      </c>
      <c r="D81" s="46">
        <v>73</v>
      </c>
      <c r="E81" s="60" t="s">
        <v>1591</v>
      </c>
      <c r="F81" s="66" t="s">
        <v>1744</v>
      </c>
      <c r="G81" s="46" t="s">
        <v>30</v>
      </c>
      <c r="H81" s="65">
        <v>41842.412534722222</v>
      </c>
      <c r="I81" s="64">
        <v>41869</v>
      </c>
      <c r="J81" s="46">
        <v>40</v>
      </c>
      <c r="K81" s="36" t="s">
        <v>31</v>
      </c>
      <c r="L81" s="60" t="s">
        <v>32</v>
      </c>
      <c r="M81" s="62"/>
      <c r="N81" s="62"/>
      <c r="O81" s="63"/>
      <c r="P81" s="63"/>
    </row>
    <row r="82" spans="1:16" ht="24.75" customHeight="1" x14ac:dyDescent="0.25">
      <c r="A82" s="11" t="str">
        <f t="shared" si="1"/>
        <v>VISTOS BUENOS</v>
      </c>
      <c r="B82" s="22">
        <v>4</v>
      </c>
      <c r="C82" s="46">
        <v>38</v>
      </c>
      <c r="D82" s="46">
        <v>74</v>
      </c>
      <c r="E82" s="60" t="s">
        <v>1592</v>
      </c>
      <c r="F82" s="66" t="s">
        <v>1745</v>
      </c>
      <c r="G82" s="46" t="s">
        <v>30</v>
      </c>
      <c r="H82" s="65">
        <v>41842.416817129626</v>
      </c>
      <c r="I82" s="64">
        <v>41865</v>
      </c>
      <c r="J82" s="46">
        <v>41</v>
      </c>
      <c r="K82" s="36" t="s">
        <v>31</v>
      </c>
      <c r="L82" s="60" t="s">
        <v>32</v>
      </c>
      <c r="M82" s="62"/>
      <c r="N82" s="62"/>
      <c r="O82" s="63"/>
      <c r="P82" s="63"/>
    </row>
    <row r="83" spans="1:16" ht="24.75" customHeight="1" x14ac:dyDescent="0.25">
      <c r="A83" s="11" t="str">
        <f t="shared" si="1"/>
        <v>VISTOS BUENOS</v>
      </c>
      <c r="B83" s="22">
        <v>4</v>
      </c>
      <c r="C83" s="46">
        <v>38</v>
      </c>
      <c r="D83" s="46">
        <v>75</v>
      </c>
      <c r="E83" s="60" t="s">
        <v>1593</v>
      </c>
      <c r="F83" s="66" t="s">
        <v>1746</v>
      </c>
      <c r="G83" s="46" t="s">
        <v>30</v>
      </c>
      <c r="H83" s="65">
        <v>41842.41951388889</v>
      </c>
      <c r="I83" s="64">
        <v>41869</v>
      </c>
      <c r="J83" s="46">
        <v>40</v>
      </c>
      <c r="K83" s="36" t="s">
        <v>31</v>
      </c>
      <c r="L83" s="60" t="s">
        <v>32</v>
      </c>
      <c r="M83" s="62"/>
      <c r="N83" s="62"/>
      <c r="O83" s="63"/>
      <c r="P83" s="63"/>
    </row>
    <row r="84" spans="1:16" ht="24.75" customHeight="1" x14ac:dyDescent="0.25">
      <c r="A84" s="11" t="str">
        <f t="shared" si="1"/>
        <v>VISTOS BUENOS</v>
      </c>
      <c r="B84" s="22">
        <v>4</v>
      </c>
      <c r="C84" s="46">
        <v>39</v>
      </c>
      <c r="D84" s="46">
        <v>76</v>
      </c>
      <c r="E84" s="60" t="s">
        <v>1594</v>
      </c>
      <c r="F84" s="66" t="s">
        <v>1747</v>
      </c>
      <c r="G84" s="46" t="s">
        <v>30</v>
      </c>
      <c r="H84" s="65">
        <v>41842.423888888887</v>
      </c>
      <c r="I84" s="64">
        <v>41850</v>
      </c>
      <c r="J84" s="46">
        <v>37</v>
      </c>
      <c r="K84" s="36" t="s">
        <v>31</v>
      </c>
      <c r="L84" s="60" t="s">
        <v>32</v>
      </c>
      <c r="M84" s="62"/>
      <c r="N84" s="62"/>
      <c r="O84" s="63"/>
      <c r="P84" s="63"/>
    </row>
    <row r="85" spans="1:16" ht="24.75" customHeight="1" x14ac:dyDescent="0.25">
      <c r="A85" s="11" t="str">
        <f t="shared" si="1"/>
        <v>VISTOS BUENOS</v>
      </c>
      <c r="B85" s="22">
        <v>4</v>
      </c>
      <c r="C85" s="46">
        <v>39</v>
      </c>
      <c r="D85" s="46">
        <v>77</v>
      </c>
      <c r="E85" s="60" t="s">
        <v>1595</v>
      </c>
      <c r="F85" s="66" t="s">
        <v>1748</v>
      </c>
      <c r="G85" s="46" t="s">
        <v>30</v>
      </c>
      <c r="H85" s="65">
        <v>41842.427210648151</v>
      </c>
      <c r="I85" s="64">
        <v>41858</v>
      </c>
      <c r="J85" s="46">
        <v>30</v>
      </c>
      <c r="K85" s="36" t="s">
        <v>31</v>
      </c>
      <c r="L85" s="60" t="s">
        <v>32</v>
      </c>
      <c r="M85" s="62"/>
      <c r="N85" s="62"/>
      <c r="O85" s="63"/>
      <c r="P85" s="63"/>
    </row>
    <row r="86" spans="1:16" ht="24.75" customHeight="1" x14ac:dyDescent="0.25">
      <c r="A86" s="11" t="str">
        <f t="shared" si="1"/>
        <v>VISTOS BUENOS</v>
      </c>
      <c r="B86" s="22">
        <v>4</v>
      </c>
      <c r="C86" s="46">
        <v>39</v>
      </c>
      <c r="D86" s="46">
        <v>78</v>
      </c>
      <c r="E86" s="60" t="s">
        <v>1596</v>
      </c>
      <c r="F86" s="66" t="s">
        <v>1749</v>
      </c>
      <c r="G86" s="46" t="s">
        <v>30</v>
      </c>
      <c r="H86" s="65">
        <v>41844.627685185187</v>
      </c>
      <c r="I86" s="64">
        <v>41870</v>
      </c>
      <c r="J86" s="46">
        <v>27</v>
      </c>
      <c r="K86" s="36" t="s">
        <v>31</v>
      </c>
      <c r="L86" s="60" t="s">
        <v>32</v>
      </c>
      <c r="M86" s="62"/>
      <c r="N86" s="62"/>
      <c r="O86" s="63"/>
      <c r="P86" s="63"/>
    </row>
    <row r="87" spans="1:16" ht="24.75" customHeight="1" x14ac:dyDescent="0.25">
      <c r="A87" s="11" t="str">
        <f t="shared" si="1"/>
        <v>VISTOS BUENOS</v>
      </c>
      <c r="B87" s="22">
        <v>4</v>
      </c>
      <c r="C87" s="46">
        <v>40</v>
      </c>
      <c r="D87" s="46">
        <v>79</v>
      </c>
      <c r="E87" s="60" t="s">
        <v>1597</v>
      </c>
      <c r="F87" s="66" t="s">
        <v>1750</v>
      </c>
      <c r="G87" s="46" t="s">
        <v>30</v>
      </c>
      <c r="H87" s="65">
        <v>41845.415034722224</v>
      </c>
      <c r="I87" s="64">
        <v>41855</v>
      </c>
      <c r="J87" s="46">
        <v>17</v>
      </c>
      <c r="K87" s="36" t="s">
        <v>31</v>
      </c>
      <c r="L87" s="60" t="s">
        <v>32</v>
      </c>
      <c r="M87" s="62"/>
      <c r="N87" s="62"/>
      <c r="O87" s="63"/>
      <c r="P87" s="63"/>
    </row>
    <row r="88" spans="1:16" ht="24.75" customHeight="1" x14ac:dyDescent="0.25">
      <c r="A88" s="11" t="str">
        <f t="shared" si="1"/>
        <v>VISTOS BUENOS</v>
      </c>
      <c r="B88" s="22">
        <v>4</v>
      </c>
      <c r="C88" s="46">
        <v>40</v>
      </c>
      <c r="D88" s="46">
        <v>80</v>
      </c>
      <c r="E88" s="60" t="s">
        <v>1598</v>
      </c>
      <c r="F88" s="66" t="s">
        <v>1751</v>
      </c>
      <c r="G88" s="46" t="s">
        <v>30</v>
      </c>
      <c r="H88" s="65">
        <v>41850.668599537035</v>
      </c>
      <c r="I88" s="64">
        <v>41876</v>
      </c>
      <c r="J88" s="46">
        <v>22</v>
      </c>
      <c r="K88" s="36" t="s">
        <v>31</v>
      </c>
      <c r="L88" s="60" t="s">
        <v>32</v>
      </c>
      <c r="M88" s="62"/>
      <c r="N88" s="62"/>
      <c r="O88" s="63"/>
      <c r="P88" s="63"/>
    </row>
    <row r="89" spans="1:16" ht="24.75" customHeight="1" x14ac:dyDescent="0.25">
      <c r="A89" s="11" t="str">
        <f t="shared" si="1"/>
        <v>VISTOS BUENOS</v>
      </c>
      <c r="B89" s="22">
        <v>4</v>
      </c>
      <c r="C89" s="46">
        <v>40</v>
      </c>
      <c r="D89" s="46">
        <v>81</v>
      </c>
      <c r="E89" s="60" t="s">
        <v>1599</v>
      </c>
      <c r="F89" s="66" t="s">
        <v>1752</v>
      </c>
      <c r="G89" s="46" t="s">
        <v>30</v>
      </c>
      <c r="H89" s="65">
        <v>41851.539675925924</v>
      </c>
      <c r="I89" s="64">
        <v>41870</v>
      </c>
      <c r="J89" s="46">
        <v>29</v>
      </c>
      <c r="K89" s="36" t="s">
        <v>31</v>
      </c>
      <c r="L89" s="60" t="s">
        <v>32</v>
      </c>
      <c r="M89" s="62"/>
      <c r="N89" s="62"/>
      <c r="O89" s="63"/>
      <c r="P89" s="63"/>
    </row>
    <row r="90" spans="1:16" ht="24.75" customHeight="1" x14ac:dyDescent="0.25">
      <c r="A90" s="11" t="str">
        <f t="shared" si="1"/>
        <v>VISTOS BUENOS</v>
      </c>
      <c r="B90" s="22">
        <v>4</v>
      </c>
      <c r="C90" s="46" t="s">
        <v>1828</v>
      </c>
      <c r="D90" s="46">
        <v>82</v>
      </c>
      <c r="E90" s="60" t="s">
        <v>1600</v>
      </c>
      <c r="F90" s="66" t="s">
        <v>1753</v>
      </c>
      <c r="G90" s="46" t="s">
        <v>30</v>
      </c>
      <c r="H90" s="65">
        <v>41856.656585648147</v>
      </c>
      <c r="I90" s="64">
        <v>41876</v>
      </c>
      <c r="J90" s="46">
        <v>215</v>
      </c>
      <c r="K90" s="36" t="s">
        <v>31</v>
      </c>
      <c r="L90" s="60" t="s">
        <v>32</v>
      </c>
      <c r="M90" s="62"/>
      <c r="N90" s="62"/>
      <c r="O90" s="63"/>
      <c r="P90" s="63"/>
    </row>
    <row r="91" spans="1:16" ht="24.75" customHeight="1" x14ac:dyDescent="0.25">
      <c r="A91" s="11" t="str">
        <f t="shared" si="1"/>
        <v>VISTOS BUENOS</v>
      </c>
      <c r="B91" s="22">
        <v>4</v>
      </c>
      <c r="C91" s="46">
        <v>52</v>
      </c>
      <c r="D91" s="46">
        <v>83</v>
      </c>
      <c r="E91" s="60" t="s">
        <v>1601</v>
      </c>
      <c r="F91" s="66" t="s">
        <v>1754</v>
      </c>
      <c r="G91" s="46" t="s">
        <v>30</v>
      </c>
      <c r="H91" s="65">
        <v>41857.448287037034</v>
      </c>
      <c r="I91" s="64">
        <v>41897</v>
      </c>
      <c r="J91" s="46">
        <v>40</v>
      </c>
      <c r="K91" s="36" t="s">
        <v>31</v>
      </c>
      <c r="L91" s="60" t="s">
        <v>32</v>
      </c>
      <c r="M91" s="62"/>
      <c r="N91" s="62"/>
      <c r="O91" s="63"/>
      <c r="P91" s="63"/>
    </row>
    <row r="92" spans="1:16" ht="24.75" customHeight="1" x14ac:dyDescent="0.25">
      <c r="A92" s="11" t="str">
        <f t="shared" si="1"/>
        <v>VISTOS BUENOS</v>
      </c>
      <c r="B92" s="22">
        <v>4</v>
      </c>
      <c r="C92" s="46">
        <v>52</v>
      </c>
      <c r="D92" s="46">
        <v>84</v>
      </c>
      <c r="E92" s="60" t="s">
        <v>1602</v>
      </c>
      <c r="F92" s="66" t="s">
        <v>1755</v>
      </c>
      <c r="G92" s="46" t="s">
        <v>30</v>
      </c>
      <c r="H92" s="65">
        <v>41862.504803240743</v>
      </c>
      <c r="I92" s="64">
        <v>41926</v>
      </c>
      <c r="J92" s="46">
        <v>37</v>
      </c>
      <c r="K92" s="36" t="s">
        <v>31</v>
      </c>
      <c r="L92" s="60" t="s">
        <v>32</v>
      </c>
      <c r="M92" s="62"/>
      <c r="N92" s="62"/>
      <c r="O92" s="63"/>
      <c r="P92" s="63"/>
    </row>
    <row r="93" spans="1:16" ht="24.75" customHeight="1" x14ac:dyDescent="0.25">
      <c r="A93" s="11" t="str">
        <f t="shared" si="1"/>
        <v>VISTOS BUENOS</v>
      </c>
      <c r="B93" s="22">
        <v>4</v>
      </c>
      <c r="C93" s="46">
        <v>52</v>
      </c>
      <c r="D93" s="46">
        <v>85</v>
      </c>
      <c r="E93" s="60" t="s">
        <v>1603</v>
      </c>
      <c r="F93" s="66" t="s">
        <v>1756</v>
      </c>
      <c r="G93" s="46" t="s">
        <v>30</v>
      </c>
      <c r="H93" s="65">
        <v>41862.661932870367</v>
      </c>
      <c r="I93" s="64">
        <v>41869</v>
      </c>
      <c r="J93" s="46">
        <v>9</v>
      </c>
      <c r="K93" s="36" t="s">
        <v>31</v>
      </c>
      <c r="L93" s="60" t="s">
        <v>32</v>
      </c>
      <c r="M93" s="62"/>
      <c r="N93" s="62"/>
      <c r="O93" s="63"/>
      <c r="P93" s="63"/>
    </row>
    <row r="94" spans="1:16" ht="24.75" customHeight="1" x14ac:dyDescent="0.25">
      <c r="A94" s="11" t="str">
        <f t="shared" si="1"/>
        <v>VISTOS BUENOS</v>
      </c>
      <c r="B94" s="22">
        <v>4</v>
      </c>
      <c r="C94" s="46">
        <v>53</v>
      </c>
      <c r="D94" s="46">
        <v>86</v>
      </c>
      <c r="E94" s="60" t="s">
        <v>1604</v>
      </c>
      <c r="F94" s="66" t="s">
        <v>1757</v>
      </c>
      <c r="G94" s="46" t="s">
        <v>30</v>
      </c>
      <c r="H94" s="65">
        <v>41863.507881944446</v>
      </c>
      <c r="I94" s="64">
        <v>41912</v>
      </c>
      <c r="J94" s="46">
        <v>57</v>
      </c>
      <c r="K94" s="36" t="s">
        <v>31</v>
      </c>
      <c r="L94" s="60" t="s">
        <v>32</v>
      </c>
      <c r="M94" s="62"/>
      <c r="N94" s="62"/>
      <c r="O94" s="63"/>
      <c r="P94" s="63"/>
    </row>
    <row r="95" spans="1:16" ht="24.75" customHeight="1" x14ac:dyDescent="0.25">
      <c r="A95" s="11" t="str">
        <f t="shared" si="1"/>
        <v>VISTOS BUENOS</v>
      </c>
      <c r="B95" s="22">
        <v>4</v>
      </c>
      <c r="C95" s="46">
        <v>53</v>
      </c>
      <c r="D95" s="46">
        <v>87</v>
      </c>
      <c r="E95" s="60" t="s">
        <v>1605</v>
      </c>
      <c r="F95" s="66" t="s">
        <v>1758</v>
      </c>
      <c r="G95" s="46" t="s">
        <v>30</v>
      </c>
      <c r="H95" s="65">
        <v>41864.3674537037</v>
      </c>
      <c r="I95" s="64">
        <v>41914</v>
      </c>
      <c r="J95" s="46">
        <v>41</v>
      </c>
      <c r="K95" s="36" t="s">
        <v>31</v>
      </c>
      <c r="L95" s="60" t="s">
        <v>32</v>
      </c>
      <c r="M95" s="62"/>
      <c r="N95" s="62"/>
      <c r="O95" s="63"/>
      <c r="P95" s="63"/>
    </row>
    <row r="96" spans="1:16" ht="24.75" customHeight="1" x14ac:dyDescent="0.25">
      <c r="A96" s="11" t="str">
        <f t="shared" si="1"/>
        <v>VISTOS BUENOS</v>
      </c>
      <c r="B96" s="22">
        <v>4</v>
      </c>
      <c r="C96" s="46">
        <v>54</v>
      </c>
      <c r="D96" s="46">
        <v>88</v>
      </c>
      <c r="E96" s="60" t="s">
        <v>1606</v>
      </c>
      <c r="F96" s="66" t="s">
        <v>1759</v>
      </c>
      <c r="G96" s="46" t="s">
        <v>30</v>
      </c>
      <c r="H96" s="65">
        <v>41866.569178240738</v>
      </c>
      <c r="I96" s="64">
        <v>41898</v>
      </c>
      <c r="J96" s="46">
        <v>32</v>
      </c>
      <c r="K96" s="36" t="s">
        <v>31</v>
      </c>
      <c r="L96" s="60" t="s">
        <v>32</v>
      </c>
      <c r="M96" s="62"/>
      <c r="N96" s="62"/>
      <c r="O96" s="63"/>
      <c r="P96" s="63"/>
    </row>
    <row r="97" spans="1:16" ht="24.75" customHeight="1" x14ac:dyDescent="0.25">
      <c r="A97" s="11" t="str">
        <f t="shared" si="1"/>
        <v>VISTOS BUENOS</v>
      </c>
      <c r="B97" s="22">
        <v>4</v>
      </c>
      <c r="C97" s="46">
        <v>54</v>
      </c>
      <c r="D97" s="46">
        <v>89</v>
      </c>
      <c r="E97" s="60" t="s">
        <v>1607</v>
      </c>
      <c r="F97" s="66" t="s">
        <v>1760</v>
      </c>
      <c r="G97" s="46" t="s">
        <v>30</v>
      </c>
      <c r="H97" s="65">
        <v>41872.659097222226</v>
      </c>
      <c r="I97" s="64">
        <v>41872</v>
      </c>
      <c r="J97" s="46">
        <v>8</v>
      </c>
      <c r="K97" s="36" t="s">
        <v>31</v>
      </c>
      <c r="L97" s="60" t="s">
        <v>32</v>
      </c>
      <c r="M97" s="62"/>
      <c r="N97" s="62"/>
      <c r="O97" s="63"/>
      <c r="P97" s="63"/>
    </row>
    <row r="98" spans="1:16" ht="24.75" customHeight="1" x14ac:dyDescent="0.25">
      <c r="A98" s="11" t="str">
        <f t="shared" si="1"/>
        <v>VISTOS BUENOS</v>
      </c>
      <c r="B98" s="22">
        <v>4</v>
      </c>
      <c r="C98" s="46">
        <v>54</v>
      </c>
      <c r="D98" s="46">
        <v>90</v>
      </c>
      <c r="E98" s="60" t="s">
        <v>1608</v>
      </c>
      <c r="F98" s="66" t="s">
        <v>1761</v>
      </c>
      <c r="G98" s="46" t="s">
        <v>30</v>
      </c>
      <c r="H98" s="65">
        <v>41873.46025462963</v>
      </c>
      <c r="I98" s="64">
        <v>41880</v>
      </c>
      <c r="J98" s="46">
        <v>26</v>
      </c>
      <c r="K98" s="36" t="s">
        <v>31</v>
      </c>
      <c r="L98" s="60" t="s">
        <v>32</v>
      </c>
      <c r="M98" s="62"/>
      <c r="N98" s="62"/>
      <c r="O98" s="63"/>
      <c r="P98" s="63"/>
    </row>
    <row r="99" spans="1:16" ht="24.75" customHeight="1" x14ac:dyDescent="0.25">
      <c r="A99" s="11" t="str">
        <f t="shared" si="1"/>
        <v>VISTOS BUENOS</v>
      </c>
      <c r="B99" s="22">
        <v>4</v>
      </c>
      <c r="C99" s="46">
        <v>55</v>
      </c>
      <c r="D99" s="46">
        <v>91</v>
      </c>
      <c r="E99" s="60" t="s">
        <v>1609</v>
      </c>
      <c r="F99" s="66" t="s">
        <v>1762</v>
      </c>
      <c r="G99" s="46" t="s">
        <v>30</v>
      </c>
      <c r="H99" s="65">
        <v>41873.465416666666</v>
      </c>
      <c r="I99" s="64">
        <v>41873</v>
      </c>
      <c r="J99" s="46">
        <v>28</v>
      </c>
      <c r="K99" s="36" t="s">
        <v>31</v>
      </c>
      <c r="L99" s="60" t="s">
        <v>32</v>
      </c>
      <c r="M99" s="62"/>
      <c r="N99" s="62"/>
      <c r="O99" s="63"/>
      <c r="P99" s="63"/>
    </row>
    <row r="100" spans="1:16" ht="24.75" customHeight="1" x14ac:dyDescent="0.25">
      <c r="A100" s="11" t="str">
        <f t="shared" si="1"/>
        <v>VISTOS BUENOS</v>
      </c>
      <c r="B100" s="22">
        <v>4</v>
      </c>
      <c r="C100" s="46">
        <v>55</v>
      </c>
      <c r="D100" s="46">
        <v>92</v>
      </c>
      <c r="E100" s="60" t="s">
        <v>1610</v>
      </c>
      <c r="F100" s="66" t="s">
        <v>1763</v>
      </c>
      <c r="G100" s="46" t="s">
        <v>30</v>
      </c>
      <c r="H100" s="65">
        <v>41873.47079861111</v>
      </c>
      <c r="I100" s="64">
        <v>41879</v>
      </c>
      <c r="J100" s="46">
        <v>22</v>
      </c>
      <c r="K100" s="36" t="s">
        <v>31</v>
      </c>
      <c r="L100" s="60" t="s">
        <v>32</v>
      </c>
      <c r="M100" s="62"/>
      <c r="N100" s="62"/>
      <c r="O100" s="63"/>
      <c r="P100" s="63"/>
    </row>
    <row r="101" spans="1:16" ht="24.75" customHeight="1" x14ac:dyDescent="0.25">
      <c r="A101" s="11" t="str">
        <f t="shared" si="1"/>
        <v>VISTOS BUENOS</v>
      </c>
      <c r="B101" s="22">
        <v>4</v>
      </c>
      <c r="C101" s="46">
        <v>55</v>
      </c>
      <c r="D101" s="46">
        <v>93</v>
      </c>
      <c r="E101" s="60" t="s">
        <v>1611</v>
      </c>
      <c r="F101" s="66" t="s">
        <v>1764</v>
      </c>
      <c r="G101" s="46" t="s">
        <v>30</v>
      </c>
      <c r="H101" s="65">
        <v>41873.476585648146</v>
      </c>
      <c r="I101" s="64">
        <v>41880</v>
      </c>
      <c r="J101" s="46">
        <v>22</v>
      </c>
      <c r="K101" s="36" t="s">
        <v>31</v>
      </c>
      <c r="L101" s="60" t="s">
        <v>32</v>
      </c>
      <c r="M101" s="62"/>
      <c r="N101" s="62"/>
      <c r="O101" s="63"/>
      <c r="P101" s="63"/>
    </row>
    <row r="102" spans="1:16" ht="24.75" customHeight="1" x14ac:dyDescent="0.25">
      <c r="A102" s="11" t="str">
        <f t="shared" si="1"/>
        <v>VISTOS BUENOS</v>
      </c>
      <c r="B102" s="22">
        <v>4</v>
      </c>
      <c r="C102" s="46">
        <v>56</v>
      </c>
      <c r="D102" s="46">
        <v>94</v>
      </c>
      <c r="E102" s="60" t="s">
        <v>1612</v>
      </c>
      <c r="F102" s="66" t="s">
        <v>1765</v>
      </c>
      <c r="G102" s="46" t="s">
        <v>30</v>
      </c>
      <c r="H102" s="65">
        <v>41873.590532407405</v>
      </c>
      <c r="I102" s="64">
        <v>41901</v>
      </c>
      <c r="J102" s="46">
        <v>64</v>
      </c>
      <c r="K102" s="36" t="s">
        <v>31</v>
      </c>
      <c r="L102" s="60" t="s">
        <v>32</v>
      </c>
      <c r="M102" s="62"/>
      <c r="N102" s="62"/>
      <c r="O102" s="63"/>
      <c r="P102" s="63"/>
    </row>
    <row r="103" spans="1:16" ht="24.75" customHeight="1" x14ac:dyDescent="0.25">
      <c r="A103" s="11" t="str">
        <f t="shared" si="1"/>
        <v>VISTOS BUENOS</v>
      </c>
      <c r="B103" s="22">
        <v>4</v>
      </c>
      <c r="C103" s="46">
        <v>56</v>
      </c>
      <c r="D103" s="46">
        <v>95</v>
      </c>
      <c r="E103" s="60" t="s">
        <v>1613</v>
      </c>
      <c r="F103" s="66" t="s">
        <v>1766</v>
      </c>
      <c r="G103" s="46" t="s">
        <v>30</v>
      </c>
      <c r="H103" s="65">
        <v>41879.341597222221</v>
      </c>
      <c r="I103" s="64">
        <v>41890</v>
      </c>
      <c r="J103" s="46">
        <v>22</v>
      </c>
      <c r="K103" s="36" t="s">
        <v>31</v>
      </c>
      <c r="L103" s="60" t="s">
        <v>32</v>
      </c>
      <c r="M103" s="62"/>
      <c r="N103" s="62"/>
      <c r="O103" s="63"/>
      <c r="P103" s="63"/>
    </row>
    <row r="104" spans="1:16" ht="24.75" customHeight="1" x14ac:dyDescent="0.25">
      <c r="A104" s="11" t="str">
        <f t="shared" si="1"/>
        <v>VISTOS BUENOS</v>
      </c>
      <c r="B104" s="22">
        <v>4</v>
      </c>
      <c r="C104" s="46">
        <v>57</v>
      </c>
      <c r="D104" s="46">
        <v>96</v>
      </c>
      <c r="E104" s="60" t="s">
        <v>1614</v>
      </c>
      <c r="F104" s="66" t="s">
        <v>1767</v>
      </c>
      <c r="G104" s="46" t="s">
        <v>30</v>
      </c>
      <c r="H104" s="65">
        <v>41879.654074074075</v>
      </c>
      <c r="I104" s="64">
        <v>41899</v>
      </c>
      <c r="J104" s="46">
        <v>96</v>
      </c>
      <c r="K104" s="36" t="s">
        <v>31</v>
      </c>
      <c r="L104" s="60" t="s">
        <v>32</v>
      </c>
      <c r="M104" s="62"/>
      <c r="N104" s="62"/>
      <c r="O104" s="63"/>
      <c r="P104" s="63"/>
    </row>
    <row r="105" spans="1:16" ht="24.75" customHeight="1" x14ac:dyDescent="0.25">
      <c r="A105" s="11" t="str">
        <f t="shared" si="1"/>
        <v>VISTOS BUENOS</v>
      </c>
      <c r="B105" s="22">
        <v>5</v>
      </c>
      <c r="C105" s="46">
        <v>57</v>
      </c>
      <c r="D105" s="46">
        <v>97</v>
      </c>
      <c r="E105" s="60" t="s">
        <v>1615</v>
      </c>
      <c r="F105" s="66" t="s">
        <v>1768</v>
      </c>
      <c r="G105" s="46" t="s">
        <v>30</v>
      </c>
      <c r="H105" s="65">
        <v>41879.657986111109</v>
      </c>
      <c r="I105" s="64">
        <v>41904</v>
      </c>
      <c r="J105" s="46">
        <v>34</v>
      </c>
      <c r="K105" s="36" t="s">
        <v>31</v>
      </c>
      <c r="L105" s="60" t="s">
        <v>32</v>
      </c>
      <c r="M105" s="62"/>
      <c r="N105" s="62"/>
      <c r="O105" s="63"/>
      <c r="P105" s="63"/>
    </row>
    <row r="106" spans="1:16" ht="24.75" customHeight="1" x14ac:dyDescent="0.25">
      <c r="A106" s="11" t="str">
        <f t="shared" si="1"/>
        <v>VISTOS BUENOS</v>
      </c>
      <c r="B106" s="22">
        <v>5</v>
      </c>
      <c r="C106" s="46">
        <v>58</v>
      </c>
      <c r="D106" s="46">
        <v>98</v>
      </c>
      <c r="E106" s="60" t="s">
        <v>1616</v>
      </c>
      <c r="F106" s="66" t="s">
        <v>1769</v>
      </c>
      <c r="G106" s="46" t="s">
        <v>30</v>
      </c>
      <c r="H106" s="65">
        <v>41883.462881944448</v>
      </c>
      <c r="I106" s="64" t="s">
        <v>1824</v>
      </c>
      <c r="J106" s="46">
        <v>26</v>
      </c>
      <c r="K106" s="36" t="s">
        <v>31</v>
      </c>
      <c r="L106" s="60" t="s">
        <v>32</v>
      </c>
      <c r="M106" s="62"/>
      <c r="N106" s="62"/>
      <c r="O106" s="63"/>
      <c r="P106" s="63"/>
    </row>
    <row r="107" spans="1:16" ht="24.75" customHeight="1" x14ac:dyDescent="0.25">
      <c r="A107" s="11" t="str">
        <f t="shared" si="1"/>
        <v>VISTOS BUENOS</v>
      </c>
      <c r="B107" s="22">
        <v>5</v>
      </c>
      <c r="C107" s="46">
        <v>58</v>
      </c>
      <c r="D107" s="46">
        <v>99</v>
      </c>
      <c r="E107" s="60" t="s">
        <v>1617</v>
      </c>
      <c r="F107" s="66" t="s">
        <v>1770</v>
      </c>
      <c r="G107" s="46" t="s">
        <v>30</v>
      </c>
      <c r="H107" s="65">
        <v>41883.686782407407</v>
      </c>
      <c r="I107" s="64">
        <v>41940</v>
      </c>
      <c r="J107" s="46">
        <v>50</v>
      </c>
      <c r="K107" s="36" t="s">
        <v>31</v>
      </c>
      <c r="L107" s="60" t="s">
        <v>32</v>
      </c>
      <c r="M107" s="62"/>
      <c r="N107" s="62"/>
      <c r="O107" s="63"/>
      <c r="P107" s="63"/>
    </row>
    <row r="108" spans="1:16" ht="24.75" customHeight="1" x14ac:dyDescent="0.25">
      <c r="A108" s="11" t="str">
        <f t="shared" si="1"/>
        <v>VISTOS BUENOS</v>
      </c>
      <c r="B108" s="22">
        <v>5</v>
      </c>
      <c r="C108" s="46">
        <v>58</v>
      </c>
      <c r="D108" s="46">
        <v>100</v>
      </c>
      <c r="E108" s="60" t="s">
        <v>1618</v>
      </c>
      <c r="F108" s="66" t="s">
        <v>1771</v>
      </c>
      <c r="G108" s="46" t="s">
        <v>30</v>
      </c>
      <c r="H108" s="65">
        <v>41884.384398148148</v>
      </c>
      <c r="I108" s="64">
        <v>41899</v>
      </c>
      <c r="J108" s="46">
        <v>32</v>
      </c>
      <c r="K108" s="36" t="s">
        <v>31</v>
      </c>
      <c r="L108" s="60" t="s">
        <v>32</v>
      </c>
      <c r="M108" s="62"/>
      <c r="N108" s="62"/>
      <c r="O108" s="63"/>
      <c r="P108" s="63"/>
    </row>
    <row r="109" spans="1:16" ht="24.75" customHeight="1" x14ac:dyDescent="0.25">
      <c r="A109" s="11" t="str">
        <f t="shared" si="1"/>
        <v>VISTOS BUENOS</v>
      </c>
      <c r="B109" s="22">
        <v>5</v>
      </c>
      <c r="C109" s="46">
        <v>59</v>
      </c>
      <c r="D109" s="46">
        <v>101</v>
      </c>
      <c r="E109" s="60" t="s">
        <v>1619</v>
      </c>
      <c r="F109" s="66" t="s">
        <v>1772</v>
      </c>
      <c r="G109" s="46" t="s">
        <v>30</v>
      </c>
      <c r="H109" s="65">
        <v>41885.660555555558</v>
      </c>
      <c r="I109" s="64">
        <v>41941</v>
      </c>
      <c r="J109" s="46">
        <v>19</v>
      </c>
      <c r="K109" s="36" t="s">
        <v>31</v>
      </c>
      <c r="L109" s="60" t="s">
        <v>32</v>
      </c>
      <c r="M109" s="62"/>
      <c r="N109" s="62"/>
      <c r="O109" s="63"/>
      <c r="P109" s="63"/>
    </row>
    <row r="110" spans="1:16" ht="24.75" customHeight="1" x14ac:dyDescent="0.25">
      <c r="A110" s="11" t="str">
        <f t="shared" si="1"/>
        <v>VISTOS BUENOS</v>
      </c>
      <c r="B110" s="22">
        <v>5</v>
      </c>
      <c r="C110" s="46">
        <v>59</v>
      </c>
      <c r="D110" s="46">
        <v>102</v>
      </c>
      <c r="E110" s="60" t="s">
        <v>1620</v>
      </c>
      <c r="F110" s="66" t="s">
        <v>1773</v>
      </c>
      <c r="G110" s="46" t="s">
        <v>30</v>
      </c>
      <c r="H110" s="65">
        <v>41886.647557870368</v>
      </c>
      <c r="I110" s="64">
        <v>41898</v>
      </c>
      <c r="J110" s="46">
        <v>20</v>
      </c>
      <c r="K110" s="36" t="s">
        <v>31</v>
      </c>
      <c r="L110" s="60" t="s">
        <v>32</v>
      </c>
      <c r="M110" s="62"/>
      <c r="N110" s="62"/>
      <c r="O110" s="63"/>
      <c r="P110" s="63"/>
    </row>
    <row r="111" spans="1:16" ht="24.75" customHeight="1" x14ac:dyDescent="0.25">
      <c r="A111" s="11" t="str">
        <f t="shared" si="1"/>
        <v>VISTOS BUENOS</v>
      </c>
      <c r="B111" s="22">
        <v>5</v>
      </c>
      <c r="C111" s="46">
        <v>59</v>
      </c>
      <c r="D111" s="46">
        <v>103</v>
      </c>
      <c r="E111" s="60" t="s">
        <v>1621</v>
      </c>
      <c r="F111" s="66" t="s">
        <v>1774</v>
      </c>
      <c r="G111" s="46" t="s">
        <v>30</v>
      </c>
      <c r="H111" s="65">
        <v>41891.461273148147</v>
      </c>
      <c r="I111" s="64">
        <v>41918</v>
      </c>
      <c r="J111" s="46">
        <v>67</v>
      </c>
      <c r="K111" s="36" t="s">
        <v>31</v>
      </c>
      <c r="L111" s="60" t="s">
        <v>32</v>
      </c>
      <c r="M111" s="62"/>
      <c r="N111" s="62"/>
      <c r="O111" s="63"/>
      <c r="P111" s="63"/>
    </row>
    <row r="112" spans="1:16" ht="24.75" customHeight="1" x14ac:dyDescent="0.25">
      <c r="A112" s="11" t="str">
        <f t="shared" si="1"/>
        <v>VISTOS BUENOS</v>
      </c>
      <c r="B112" s="22">
        <v>5</v>
      </c>
      <c r="C112" s="46">
        <v>60</v>
      </c>
      <c r="D112" s="46">
        <v>104</v>
      </c>
      <c r="E112" s="60" t="s">
        <v>1622</v>
      </c>
      <c r="F112" s="66" t="s">
        <v>1775</v>
      </c>
      <c r="G112" s="46" t="s">
        <v>30</v>
      </c>
      <c r="H112" s="65">
        <v>41892.367303240739</v>
      </c>
      <c r="I112" s="64">
        <v>41911</v>
      </c>
      <c r="J112" s="46">
        <v>30</v>
      </c>
      <c r="K112" s="36" t="s">
        <v>31</v>
      </c>
      <c r="L112" s="60" t="s">
        <v>32</v>
      </c>
      <c r="M112" s="62"/>
      <c r="N112" s="62"/>
      <c r="O112" s="63"/>
      <c r="P112" s="63"/>
    </row>
    <row r="113" spans="1:16" ht="24.75" customHeight="1" x14ac:dyDescent="0.25">
      <c r="A113" s="11" t="str">
        <f t="shared" si="1"/>
        <v>VISTOS BUENOS</v>
      </c>
      <c r="B113" s="22">
        <v>5</v>
      </c>
      <c r="C113" s="46">
        <v>60</v>
      </c>
      <c r="D113" s="46">
        <v>105</v>
      </c>
      <c r="E113" s="60" t="s">
        <v>1623</v>
      </c>
      <c r="F113" s="66" t="s">
        <v>1776</v>
      </c>
      <c r="G113" s="46" t="s">
        <v>30</v>
      </c>
      <c r="H113" s="65">
        <v>41894.597222222219</v>
      </c>
      <c r="I113" s="64">
        <v>41912</v>
      </c>
      <c r="J113" s="46">
        <v>19</v>
      </c>
      <c r="K113" s="36" t="s">
        <v>31</v>
      </c>
      <c r="L113" s="60" t="s">
        <v>32</v>
      </c>
      <c r="M113" s="62"/>
      <c r="N113" s="62"/>
      <c r="O113" s="63"/>
      <c r="P113" s="63"/>
    </row>
    <row r="114" spans="1:16" ht="24.75" customHeight="1" x14ac:dyDescent="0.25">
      <c r="A114" s="11" t="str">
        <f t="shared" si="1"/>
        <v>VISTOS BUENOS</v>
      </c>
      <c r="B114" s="22">
        <v>5</v>
      </c>
      <c r="C114" s="46">
        <v>60</v>
      </c>
      <c r="D114" s="46">
        <v>106</v>
      </c>
      <c r="E114" s="60" t="s">
        <v>1624</v>
      </c>
      <c r="F114" s="66" t="s">
        <v>1777</v>
      </c>
      <c r="G114" s="46" t="s">
        <v>30</v>
      </c>
      <c r="H114" s="65">
        <v>41897.682280092595</v>
      </c>
      <c r="I114" s="64">
        <v>41941</v>
      </c>
      <c r="J114" s="46">
        <v>51</v>
      </c>
      <c r="K114" s="36" t="s">
        <v>31</v>
      </c>
      <c r="L114" s="60" t="s">
        <v>32</v>
      </c>
      <c r="M114" s="62"/>
      <c r="N114" s="62"/>
      <c r="O114" s="63"/>
      <c r="P114" s="63"/>
    </row>
    <row r="115" spans="1:16" ht="24.75" customHeight="1" x14ac:dyDescent="0.25">
      <c r="A115" s="11" t="str">
        <f t="shared" si="1"/>
        <v>VISTOS BUENOS</v>
      </c>
      <c r="B115" s="22">
        <v>5</v>
      </c>
      <c r="C115" s="46">
        <v>61</v>
      </c>
      <c r="D115" s="46">
        <v>107</v>
      </c>
      <c r="E115" s="60" t="s">
        <v>1625</v>
      </c>
      <c r="F115" s="66" t="s">
        <v>1778</v>
      </c>
      <c r="G115" s="46" t="s">
        <v>30</v>
      </c>
      <c r="H115" s="65">
        <v>41898.409155092595</v>
      </c>
      <c r="I115" s="64">
        <v>41907</v>
      </c>
      <c r="J115" s="46">
        <v>49</v>
      </c>
      <c r="K115" s="36" t="s">
        <v>31</v>
      </c>
      <c r="L115" s="60" t="s">
        <v>32</v>
      </c>
      <c r="M115" s="62"/>
      <c r="N115" s="62"/>
      <c r="O115" s="63"/>
      <c r="P115" s="63"/>
    </row>
    <row r="116" spans="1:16" ht="24.75" customHeight="1" x14ac:dyDescent="0.25">
      <c r="A116" s="11" t="str">
        <f t="shared" si="1"/>
        <v>VISTOS BUENOS</v>
      </c>
      <c r="B116" s="22">
        <v>5</v>
      </c>
      <c r="C116" s="46">
        <v>61</v>
      </c>
      <c r="D116" s="46">
        <v>108</v>
      </c>
      <c r="E116" s="60" t="s">
        <v>1626</v>
      </c>
      <c r="F116" s="66" t="s">
        <v>1779</v>
      </c>
      <c r="G116" s="46" t="s">
        <v>30</v>
      </c>
      <c r="H116" s="65">
        <v>41899.512476851851</v>
      </c>
      <c r="I116" s="64">
        <v>41901</v>
      </c>
      <c r="J116" s="46">
        <v>13</v>
      </c>
      <c r="K116" s="36" t="s">
        <v>31</v>
      </c>
      <c r="L116" s="60" t="s">
        <v>32</v>
      </c>
      <c r="M116" s="62"/>
      <c r="N116" s="62"/>
      <c r="O116" s="63"/>
      <c r="P116" s="63"/>
    </row>
    <row r="117" spans="1:16" ht="24.75" customHeight="1" x14ac:dyDescent="0.25">
      <c r="A117" s="11" t="str">
        <f t="shared" si="1"/>
        <v>VISTOS BUENOS</v>
      </c>
      <c r="B117" s="22">
        <v>5</v>
      </c>
      <c r="C117" s="46">
        <v>61</v>
      </c>
      <c r="D117" s="46">
        <v>109</v>
      </c>
      <c r="E117" s="60" t="s">
        <v>1627</v>
      </c>
      <c r="F117" s="66" t="s">
        <v>1780</v>
      </c>
      <c r="G117" s="46" t="s">
        <v>30</v>
      </c>
      <c r="H117" s="65">
        <v>41901.573101851849</v>
      </c>
      <c r="I117" s="64">
        <v>41919</v>
      </c>
      <c r="J117" s="46">
        <v>26</v>
      </c>
      <c r="K117" s="36" t="s">
        <v>31</v>
      </c>
      <c r="L117" s="60" t="s">
        <v>32</v>
      </c>
      <c r="M117" s="62"/>
      <c r="N117" s="62"/>
      <c r="O117" s="63"/>
      <c r="P117" s="63"/>
    </row>
    <row r="118" spans="1:16" ht="24.75" customHeight="1" x14ac:dyDescent="0.25">
      <c r="A118" s="11" t="str">
        <f t="shared" si="1"/>
        <v>VISTOS BUENOS</v>
      </c>
      <c r="B118" s="22">
        <v>5</v>
      </c>
      <c r="C118" s="46">
        <v>62</v>
      </c>
      <c r="D118" s="46">
        <v>110</v>
      </c>
      <c r="E118" s="60" t="s">
        <v>1628</v>
      </c>
      <c r="F118" s="66" t="s">
        <v>1781</v>
      </c>
      <c r="G118" s="46" t="s">
        <v>30</v>
      </c>
      <c r="H118" s="65">
        <v>41901.581284722219</v>
      </c>
      <c r="I118" s="64">
        <v>41929</v>
      </c>
      <c r="J118" s="46">
        <v>23</v>
      </c>
      <c r="K118" s="36" t="s">
        <v>31</v>
      </c>
      <c r="L118" s="60" t="s">
        <v>32</v>
      </c>
      <c r="M118" s="62"/>
      <c r="N118" s="62"/>
      <c r="O118" s="63"/>
      <c r="P118" s="63"/>
    </row>
    <row r="119" spans="1:16" ht="24.75" customHeight="1" x14ac:dyDescent="0.25">
      <c r="A119" s="11" t="str">
        <f t="shared" si="1"/>
        <v>VISTOS BUENOS</v>
      </c>
      <c r="B119" s="22">
        <v>5</v>
      </c>
      <c r="C119" s="46">
        <v>62</v>
      </c>
      <c r="D119" s="46">
        <v>111</v>
      </c>
      <c r="E119" s="60" t="s">
        <v>1629</v>
      </c>
      <c r="F119" s="66" t="s">
        <v>1782</v>
      </c>
      <c r="G119" s="46" t="s">
        <v>30</v>
      </c>
      <c r="H119" s="65">
        <v>41901.63753472222</v>
      </c>
      <c r="I119" s="64">
        <v>41920</v>
      </c>
      <c r="J119" s="46">
        <v>35</v>
      </c>
      <c r="K119" s="36" t="s">
        <v>31</v>
      </c>
      <c r="L119" s="60" t="s">
        <v>32</v>
      </c>
      <c r="M119" s="62"/>
      <c r="N119" s="62"/>
      <c r="O119" s="63"/>
      <c r="P119" s="63"/>
    </row>
    <row r="120" spans="1:16" ht="24.75" customHeight="1" x14ac:dyDescent="0.25">
      <c r="A120" s="11" t="str">
        <f t="shared" si="1"/>
        <v>VISTOS BUENOS</v>
      </c>
      <c r="B120" s="22">
        <v>5</v>
      </c>
      <c r="C120" s="46">
        <v>63</v>
      </c>
      <c r="D120" s="46">
        <v>112</v>
      </c>
      <c r="E120" s="60" t="s">
        <v>1630</v>
      </c>
      <c r="F120" s="66" t="s">
        <v>1783</v>
      </c>
      <c r="G120" s="46" t="s">
        <v>30</v>
      </c>
      <c r="H120" s="65">
        <v>41901.651932870373</v>
      </c>
      <c r="I120" s="64">
        <v>41929</v>
      </c>
      <c r="J120" s="46">
        <v>87</v>
      </c>
      <c r="K120" s="36" t="s">
        <v>31</v>
      </c>
      <c r="L120" s="60" t="s">
        <v>32</v>
      </c>
      <c r="M120" s="62"/>
      <c r="N120" s="62"/>
      <c r="O120" s="63"/>
      <c r="P120" s="63"/>
    </row>
    <row r="121" spans="1:16" ht="24.75" customHeight="1" x14ac:dyDescent="0.25">
      <c r="A121" s="11" t="str">
        <f t="shared" si="1"/>
        <v>VISTOS BUENOS</v>
      </c>
      <c r="B121" s="22">
        <v>5</v>
      </c>
      <c r="C121" s="46">
        <v>64</v>
      </c>
      <c r="D121" s="46">
        <v>113</v>
      </c>
      <c r="E121" s="60" t="s">
        <v>1631</v>
      </c>
      <c r="F121" s="66" t="s">
        <v>1784</v>
      </c>
      <c r="G121" s="46" t="s">
        <v>30</v>
      </c>
      <c r="H121" s="65">
        <v>41905.427187499998</v>
      </c>
      <c r="I121" s="64">
        <v>41960</v>
      </c>
      <c r="J121" s="46">
        <v>28</v>
      </c>
      <c r="K121" s="36" t="s">
        <v>31</v>
      </c>
      <c r="L121" s="60" t="s">
        <v>32</v>
      </c>
      <c r="M121" s="62"/>
      <c r="N121" s="62"/>
      <c r="O121" s="63"/>
      <c r="P121" s="63"/>
    </row>
    <row r="122" spans="1:16" ht="24.75" customHeight="1" x14ac:dyDescent="0.25">
      <c r="A122" s="11" t="str">
        <f t="shared" si="1"/>
        <v>VISTOS BUENOS</v>
      </c>
      <c r="B122" s="22">
        <v>5</v>
      </c>
      <c r="C122" s="46">
        <v>64</v>
      </c>
      <c r="D122" s="46">
        <v>114</v>
      </c>
      <c r="E122" s="60" t="s">
        <v>1632</v>
      </c>
      <c r="F122" s="66" t="s">
        <v>1785</v>
      </c>
      <c r="G122" s="46" t="s">
        <v>30</v>
      </c>
      <c r="H122" s="65">
        <v>41905.50304398148</v>
      </c>
      <c r="I122" s="64">
        <v>41912</v>
      </c>
      <c r="J122" s="46">
        <v>30</v>
      </c>
      <c r="K122" s="36" t="s">
        <v>31</v>
      </c>
      <c r="L122" s="60" t="s">
        <v>32</v>
      </c>
      <c r="M122" s="62"/>
      <c r="N122" s="62"/>
      <c r="O122" s="63"/>
      <c r="P122" s="63"/>
    </row>
    <row r="123" spans="1:16" ht="24.75" customHeight="1" x14ac:dyDescent="0.25">
      <c r="A123" s="11" t="str">
        <f t="shared" si="1"/>
        <v>VISTOS BUENOS</v>
      </c>
      <c r="B123" s="22">
        <v>5</v>
      </c>
      <c r="C123" s="46">
        <v>64</v>
      </c>
      <c r="D123" s="46">
        <v>115</v>
      </c>
      <c r="E123" s="60" t="s">
        <v>1633</v>
      </c>
      <c r="F123" s="66" t="s">
        <v>1786</v>
      </c>
      <c r="G123" s="46" t="s">
        <v>30</v>
      </c>
      <c r="H123" s="65">
        <v>41876.488969907405</v>
      </c>
      <c r="I123" s="64">
        <v>41905</v>
      </c>
      <c r="J123" s="46">
        <v>32</v>
      </c>
      <c r="K123" s="36" t="s">
        <v>31</v>
      </c>
      <c r="L123" s="60" t="s">
        <v>32</v>
      </c>
      <c r="M123" s="62"/>
      <c r="N123" s="62"/>
      <c r="O123" s="63"/>
      <c r="P123" s="63"/>
    </row>
    <row r="124" spans="1:16" ht="24.75" customHeight="1" x14ac:dyDescent="0.25">
      <c r="A124" s="11" t="str">
        <f t="shared" si="1"/>
        <v>VISTOS BUENOS</v>
      </c>
      <c r="B124" s="22">
        <v>5</v>
      </c>
      <c r="C124" s="46">
        <v>65</v>
      </c>
      <c r="D124" s="46">
        <v>116</v>
      </c>
      <c r="E124" s="60" t="s">
        <v>1634</v>
      </c>
      <c r="F124" s="66" t="s">
        <v>1787</v>
      </c>
      <c r="G124" s="46" t="s">
        <v>30</v>
      </c>
      <c r="H124" s="65">
        <v>41877.392187500001</v>
      </c>
      <c r="I124" s="64">
        <v>41906</v>
      </c>
      <c r="J124" s="46">
        <v>124</v>
      </c>
      <c r="K124" s="36" t="s">
        <v>31</v>
      </c>
      <c r="L124" s="60" t="s">
        <v>32</v>
      </c>
      <c r="M124" s="62"/>
      <c r="N124" s="62"/>
      <c r="O124" s="63"/>
      <c r="P124" s="63"/>
    </row>
    <row r="125" spans="1:16" ht="24.75" customHeight="1" x14ac:dyDescent="0.25">
      <c r="A125" s="11" t="str">
        <f t="shared" si="1"/>
        <v>VISTOS BUENOS</v>
      </c>
      <c r="B125" s="22">
        <v>5</v>
      </c>
      <c r="C125" s="46">
        <v>66</v>
      </c>
      <c r="D125" s="46">
        <v>117</v>
      </c>
      <c r="E125" s="60" t="s">
        <v>1635</v>
      </c>
      <c r="F125" s="66" t="s">
        <v>1788</v>
      </c>
      <c r="G125" s="46" t="s">
        <v>30</v>
      </c>
      <c r="H125" s="65">
        <v>41908.622824074075</v>
      </c>
      <c r="I125" s="64">
        <v>41927</v>
      </c>
      <c r="J125" s="46">
        <v>32</v>
      </c>
      <c r="K125" s="36" t="s">
        <v>31</v>
      </c>
      <c r="L125" s="60" t="s">
        <v>32</v>
      </c>
      <c r="M125" s="62"/>
      <c r="N125" s="62"/>
      <c r="O125" s="63"/>
      <c r="P125" s="63"/>
    </row>
    <row r="126" spans="1:16" ht="24.75" customHeight="1" x14ac:dyDescent="0.25">
      <c r="A126" s="11" t="str">
        <f t="shared" si="1"/>
        <v>VISTOS BUENOS</v>
      </c>
      <c r="B126" s="22">
        <v>5</v>
      </c>
      <c r="C126" s="46">
        <v>66</v>
      </c>
      <c r="D126" s="46">
        <v>118</v>
      </c>
      <c r="E126" s="60" t="s">
        <v>1636</v>
      </c>
      <c r="F126" s="66" t="s">
        <v>1789</v>
      </c>
      <c r="G126" s="46" t="s">
        <v>30</v>
      </c>
      <c r="H126" s="65">
        <v>41914.518645833334</v>
      </c>
      <c r="I126" s="64">
        <v>41921</v>
      </c>
      <c r="J126" s="46">
        <v>21</v>
      </c>
      <c r="K126" s="36" t="s">
        <v>31</v>
      </c>
      <c r="L126" s="60" t="s">
        <v>32</v>
      </c>
      <c r="M126" s="62"/>
      <c r="N126" s="62"/>
      <c r="O126" s="63"/>
      <c r="P126" s="63"/>
    </row>
    <row r="127" spans="1:16" ht="24.75" customHeight="1" x14ac:dyDescent="0.25">
      <c r="A127" s="11" t="str">
        <f t="shared" si="1"/>
        <v>VISTOS BUENOS</v>
      </c>
      <c r="B127" s="22">
        <v>5</v>
      </c>
      <c r="C127" s="46">
        <v>66</v>
      </c>
      <c r="D127" s="46">
        <v>119</v>
      </c>
      <c r="E127" s="60" t="s">
        <v>1637</v>
      </c>
      <c r="F127" s="66" t="s">
        <v>1790</v>
      </c>
      <c r="G127" s="46" t="s">
        <v>30</v>
      </c>
      <c r="H127" s="65">
        <v>41914.690983796296</v>
      </c>
      <c r="I127" s="64">
        <v>41926</v>
      </c>
      <c r="J127" s="46">
        <v>25</v>
      </c>
      <c r="K127" s="36" t="s">
        <v>31</v>
      </c>
      <c r="L127" s="60" t="s">
        <v>32</v>
      </c>
      <c r="M127" s="62"/>
      <c r="N127" s="62"/>
      <c r="O127" s="63"/>
      <c r="P127" s="63"/>
    </row>
    <row r="128" spans="1:16" ht="24.75" customHeight="1" x14ac:dyDescent="0.25">
      <c r="A128" s="11" t="str">
        <f t="shared" si="1"/>
        <v>VISTOS BUENOS</v>
      </c>
      <c r="B128" s="22">
        <v>5</v>
      </c>
      <c r="C128" s="46">
        <v>67</v>
      </c>
      <c r="D128" s="46">
        <v>120</v>
      </c>
      <c r="E128" s="60" t="s">
        <v>1638</v>
      </c>
      <c r="F128" s="66" t="s">
        <v>1791</v>
      </c>
      <c r="G128" s="46" t="s">
        <v>30</v>
      </c>
      <c r="H128" s="65">
        <v>41918.633946759262</v>
      </c>
      <c r="I128" s="64">
        <v>42037</v>
      </c>
      <c r="J128" s="46" t="s">
        <v>1825</v>
      </c>
      <c r="K128" s="36" t="s">
        <v>31</v>
      </c>
      <c r="L128" s="60" t="s">
        <v>32</v>
      </c>
      <c r="M128" s="62"/>
      <c r="N128" s="62"/>
      <c r="O128" s="63"/>
      <c r="P128" s="63"/>
    </row>
    <row r="129" spans="1:16" ht="24.75" customHeight="1" x14ac:dyDescent="0.25">
      <c r="A129" s="11" t="str">
        <f t="shared" si="1"/>
        <v>VISTOS BUENOS</v>
      </c>
      <c r="B129" s="22">
        <v>5</v>
      </c>
      <c r="C129" s="46">
        <v>67</v>
      </c>
      <c r="D129" s="46">
        <v>121</v>
      </c>
      <c r="E129" s="60" t="s">
        <v>1639</v>
      </c>
      <c r="F129" s="66" t="s">
        <v>1792</v>
      </c>
      <c r="G129" s="46" t="s">
        <v>30</v>
      </c>
      <c r="H129" s="65">
        <v>41921.674884259257</v>
      </c>
      <c r="I129" s="64">
        <v>41932</v>
      </c>
      <c r="J129" s="46">
        <v>12</v>
      </c>
      <c r="K129" s="36" t="s">
        <v>31</v>
      </c>
      <c r="L129" s="60" t="s">
        <v>32</v>
      </c>
      <c r="M129" s="62"/>
      <c r="N129" s="62"/>
      <c r="O129" s="63"/>
      <c r="P129" s="63"/>
    </row>
    <row r="130" spans="1:16" ht="24.75" customHeight="1" x14ac:dyDescent="0.25">
      <c r="A130" s="11" t="str">
        <f t="shared" si="1"/>
        <v>VISTOS BUENOS</v>
      </c>
      <c r="B130" s="22">
        <v>5</v>
      </c>
      <c r="C130" s="46">
        <v>67</v>
      </c>
      <c r="D130" s="46">
        <v>122</v>
      </c>
      <c r="E130" s="60" t="s">
        <v>1640</v>
      </c>
      <c r="F130" s="66" t="s">
        <v>1793</v>
      </c>
      <c r="G130" s="46" t="s">
        <v>30</v>
      </c>
      <c r="H130" s="65">
        <v>41925.528692129628</v>
      </c>
      <c r="I130" s="64">
        <v>41982</v>
      </c>
      <c r="J130" s="46">
        <v>32</v>
      </c>
      <c r="K130" s="36" t="s">
        <v>31</v>
      </c>
      <c r="L130" s="60" t="s">
        <v>32</v>
      </c>
      <c r="M130" s="62"/>
      <c r="N130" s="62"/>
      <c r="O130" s="63"/>
      <c r="P130" s="63"/>
    </row>
    <row r="131" spans="1:16" ht="24.75" customHeight="1" x14ac:dyDescent="0.25">
      <c r="A131" s="11" t="str">
        <f t="shared" si="1"/>
        <v>VISTOS BUENOS</v>
      </c>
      <c r="B131" s="22">
        <v>5</v>
      </c>
      <c r="C131" s="46">
        <v>68</v>
      </c>
      <c r="D131" s="46">
        <v>123</v>
      </c>
      <c r="E131" s="60" t="s">
        <v>1641</v>
      </c>
      <c r="F131" s="66" t="s">
        <v>1794</v>
      </c>
      <c r="G131" s="46" t="s">
        <v>30</v>
      </c>
      <c r="H131" s="65">
        <v>41926.512824074074</v>
      </c>
      <c r="I131" s="64">
        <v>41959</v>
      </c>
      <c r="J131" s="46">
        <v>151</v>
      </c>
      <c r="K131" s="36" t="s">
        <v>31</v>
      </c>
      <c r="L131" s="60" t="s">
        <v>32</v>
      </c>
      <c r="M131" s="62"/>
      <c r="N131" s="62"/>
      <c r="O131" s="63"/>
      <c r="P131" s="63"/>
    </row>
    <row r="132" spans="1:16" ht="24.75" customHeight="1" x14ac:dyDescent="0.25">
      <c r="A132" s="11" t="str">
        <f t="shared" si="1"/>
        <v>VISTOS BUENOS</v>
      </c>
      <c r="B132" s="22">
        <v>5</v>
      </c>
      <c r="C132" s="46">
        <v>69</v>
      </c>
      <c r="D132" s="46">
        <v>124</v>
      </c>
      <c r="E132" s="60" t="s">
        <v>1642</v>
      </c>
      <c r="F132" s="66" t="s">
        <v>1795</v>
      </c>
      <c r="G132" s="46" t="s">
        <v>30</v>
      </c>
      <c r="H132" s="65">
        <v>41927.63008101852</v>
      </c>
      <c r="I132" s="64">
        <v>41934</v>
      </c>
      <c r="J132" s="46">
        <v>22</v>
      </c>
      <c r="K132" s="36" t="s">
        <v>31</v>
      </c>
      <c r="L132" s="60" t="s">
        <v>32</v>
      </c>
      <c r="M132" s="62"/>
      <c r="N132" s="62"/>
      <c r="O132" s="63"/>
      <c r="P132" s="63"/>
    </row>
    <row r="133" spans="1:16" ht="24.75" customHeight="1" x14ac:dyDescent="0.25">
      <c r="A133" s="11" t="str">
        <f t="shared" si="1"/>
        <v>VISTOS BUENOS</v>
      </c>
      <c r="B133" s="22">
        <v>5</v>
      </c>
      <c r="C133" s="46">
        <v>70</v>
      </c>
      <c r="D133" s="46">
        <v>125</v>
      </c>
      <c r="E133" s="60" t="s">
        <v>1643</v>
      </c>
      <c r="F133" s="66" t="s">
        <v>1796</v>
      </c>
      <c r="G133" s="46" t="s">
        <v>30</v>
      </c>
      <c r="H133" s="65">
        <v>41928.459849537037</v>
      </c>
      <c r="I133" s="64">
        <v>41976</v>
      </c>
      <c r="J133" s="46">
        <v>24</v>
      </c>
      <c r="K133" s="36" t="s">
        <v>31</v>
      </c>
      <c r="L133" s="60" t="s">
        <v>32</v>
      </c>
      <c r="M133" s="62"/>
      <c r="N133" s="62"/>
      <c r="O133" s="63"/>
      <c r="P133" s="63"/>
    </row>
    <row r="134" spans="1:16" ht="24.75" customHeight="1" x14ac:dyDescent="0.25">
      <c r="A134" s="11" t="str">
        <f t="shared" si="1"/>
        <v>VISTOS BUENOS</v>
      </c>
      <c r="B134" s="22">
        <v>6</v>
      </c>
      <c r="C134" s="46">
        <v>70</v>
      </c>
      <c r="D134" s="46">
        <v>126</v>
      </c>
      <c r="E134" s="60" t="s">
        <v>1644</v>
      </c>
      <c r="F134" s="66" t="s">
        <v>1797</v>
      </c>
      <c r="G134" s="46" t="s">
        <v>30</v>
      </c>
      <c r="H134" s="65">
        <v>41929.674675925926</v>
      </c>
      <c r="I134" s="64">
        <v>41963</v>
      </c>
      <c r="J134" s="46">
        <v>33</v>
      </c>
      <c r="K134" s="36" t="s">
        <v>31</v>
      </c>
      <c r="L134" s="60" t="s">
        <v>32</v>
      </c>
      <c r="M134" s="62"/>
      <c r="N134" s="62"/>
      <c r="O134" s="63"/>
      <c r="P134" s="63"/>
    </row>
    <row r="135" spans="1:16" ht="24.75" customHeight="1" x14ac:dyDescent="0.25">
      <c r="A135" s="11" t="str">
        <f t="shared" si="1"/>
        <v>VISTOS BUENOS</v>
      </c>
      <c r="B135" s="22">
        <v>6</v>
      </c>
      <c r="C135" s="46">
        <v>70</v>
      </c>
      <c r="D135" s="46">
        <v>127</v>
      </c>
      <c r="E135" s="60" t="s">
        <v>1645</v>
      </c>
      <c r="F135" s="66" t="s">
        <v>1798</v>
      </c>
      <c r="G135" s="46" t="s">
        <v>30</v>
      </c>
      <c r="H135" s="65">
        <v>41934.407395833332</v>
      </c>
      <c r="I135" s="64">
        <v>42020</v>
      </c>
      <c r="J135" s="46">
        <v>44</v>
      </c>
      <c r="K135" s="36" t="s">
        <v>31</v>
      </c>
      <c r="L135" s="60" t="s">
        <v>32</v>
      </c>
      <c r="M135" s="62"/>
      <c r="N135" s="62"/>
      <c r="O135" s="63"/>
      <c r="P135" s="63"/>
    </row>
    <row r="136" spans="1:16" ht="24.75" customHeight="1" x14ac:dyDescent="0.25">
      <c r="A136" s="11" t="str">
        <f t="shared" si="1"/>
        <v>VISTOS BUENOS</v>
      </c>
      <c r="B136" s="22">
        <v>6</v>
      </c>
      <c r="C136" s="46">
        <v>71</v>
      </c>
      <c r="D136" s="46">
        <v>128</v>
      </c>
      <c r="E136" s="60" t="s">
        <v>1646</v>
      </c>
      <c r="F136" s="66" t="s">
        <v>1799</v>
      </c>
      <c r="G136" s="46" t="s">
        <v>30</v>
      </c>
      <c r="H136" s="65">
        <v>41942.380949074075</v>
      </c>
      <c r="I136" s="64">
        <v>41942</v>
      </c>
      <c r="J136" s="46">
        <v>56</v>
      </c>
      <c r="K136" s="36" t="s">
        <v>31</v>
      </c>
      <c r="L136" s="60" t="s">
        <v>32</v>
      </c>
      <c r="M136" s="62"/>
      <c r="N136" s="62"/>
      <c r="O136" s="63"/>
      <c r="P136" s="63"/>
    </row>
    <row r="137" spans="1:16" ht="24.75" customHeight="1" x14ac:dyDescent="0.25">
      <c r="A137" s="11" t="str">
        <f t="shared" si="1"/>
        <v>VISTOS BUENOS</v>
      </c>
      <c r="B137" s="22">
        <v>6</v>
      </c>
      <c r="C137" s="46">
        <v>71</v>
      </c>
      <c r="D137" s="46">
        <v>129</v>
      </c>
      <c r="E137" s="60" t="s">
        <v>1647</v>
      </c>
      <c r="F137" s="66" t="s">
        <v>1800</v>
      </c>
      <c r="G137" s="46" t="s">
        <v>30</v>
      </c>
      <c r="H137" s="65">
        <v>41942.43241898148</v>
      </c>
      <c r="I137" s="64">
        <v>41982</v>
      </c>
      <c r="J137" s="46">
        <v>40</v>
      </c>
      <c r="K137" s="36" t="s">
        <v>31</v>
      </c>
      <c r="L137" s="60" t="s">
        <v>32</v>
      </c>
      <c r="M137" s="62"/>
      <c r="N137" s="62"/>
      <c r="O137" s="63"/>
      <c r="P137" s="63"/>
    </row>
    <row r="138" spans="1:16" ht="24.75" customHeight="1" x14ac:dyDescent="0.25">
      <c r="A138" s="11" t="str">
        <f t="shared" si="1"/>
        <v>VISTOS BUENOS</v>
      </c>
      <c r="B138" s="22">
        <v>6</v>
      </c>
      <c r="C138" s="46">
        <v>72</v>
      </c>
      <c r="D138" s="46">
        <v>130</v>
      </c>
      <c r="E138" s="60" t="s">
        <v>1648</v>
      </c>
      <c r="F138" s="66" t="s">
        <v>1801</v>
      </c>
      <c r="G138" s="46" t="s">
        <v>30</v>
      </c>
      <c r="H138" s="65">
        <v>41943.70239583333</v>
      </c>
      <c r="I138" s="64">
        <v>41943</v>
      </c>
      <c r="J138" s="46">
        <v>26</v>
      </c>
      <c r="K138" s="36" t="s">
        <v>31</v>
      </c>
      <c r="L138" s="60" t="s">
        <v>32</v>
      </c>
      <c r="M138" s="62"/>
      <c r="N138" s="62"/>
      <c r="O138" s="63"/>
      <c r="P138" s="63"/>
    </row>
    <row r="139" spans="1:16" ht="24.75" customHeight="1" x14ac:dyDescent="0.25">
      <c r="A139" s="11" t="str">
        <f t="shared" ref="A139:A164" si="2">A138</f>
        <v>VISTOS BUENOS</v>
      </c>
      <c r="B139" s="22">
        <v>6</v>
      </c>
      <c r="C139" s="46">
        <v>72</v>
      </c>
      <c r="D139" s="46">
        <v>131</v>
      </c>
      <c r="E139" s="60" t="s">
        <v>1649</v>
      </c>
      <c r="F139" s="66" t="s">
        <v>1802</v>
      </c>
      <c r="G139" s="46" t="s">
        <v>30</v>
      </c>
      <c r="H139" s="65">
        <v>41943.70689814815</v>
      </c>
      <c r="I139" s="64">
        <v>41943</v>
      </c>
      <c r="J139" s="46">
        <v>39</v>
      </c>
      <c r="K139" s="36" t="s">
        <v>31</v>
      </c>
      <c r="L139" s="60" t="s">
        <v>32</v>
      </c>
      <c r="M139" s="62"/>
      <c r="N139" s="62"/>
      <c r="O139" s="63"/>
      <c r="P139" s="63"/>
    </row>
    <row r="140" spans="1:16" ht="24.75" customHeight="1" x14ac:dyDescent="0.25">
      <c r="A140" s="11" t="str">
        <f t="shared" si="2"/>
        <v>VISTOS BUENOS</v>
      </c>
      <c r="B140" s="22">
        <v>6</v>
      </c>
      <c r="C140" s="46">
        <v>72</v>
      </c>
      <c r="D140" s="46">
        <v>132</v>
      </c>
      <c r="E140" s="60" t="s">
        <v>1650</v>
      </c>
      <c r="F140" s="66" t="s">
        <v>1803</v>
      </c>
      <c r="G140" s="46" t="s">
        <v>30</v>
      </c>
      <c r="H140" s="65">
        <v>41947.400625000002</v>
      </c>
      <c r="I140" s="64">
        <v>41947</v>
      </c>
      <c r="J140" s="46">
        <v>20</v>
      </c>
      <c r="K140" s="36" t="s">
        <v>31</v>
      </c>
      <c r="L140" s="60" t="s">
        <v>32</v>
      </c>
      <c r="M140" s="62"/>
      <c r="N140" s="62"/>
      <c r="O140" s="63"/>
      <c r="P140" s="63"/>
    </row>
    <row r="141" spans="1:16" ht="24.75" customHeight="1" x14ac:dyDescent="0.25">
      <c r="A141" s="11" t="str">
        <f t="shared" si="2"/>
        <v>VISTOS BUENOS</v>
      </c>
      <c r="B141" s="22">
        <v>6</v>
      </c>
      <c r="C141" s="46">
        <v>73</v>
      </c>
      <c r="D141" s="46">
        <v>133</v>
      </c>
      <c r="E141" s="60" t="s">
        <v>1651</v>
      </c>
      <c r="F141" s="66" t="s">
        <v>1804</v>
      </c>
      <c r="G141" s="46" t="s">
        <v>30</v>
      </c>
      <c r="H141" s="65">
        <v>41955.555034722223</v>
      </c>
      <c r="I141" s="64">
        <v>41982</v>
      </c>
      <c r="J141" s="46">
        <v>15</v>
      </c>
      <c r="K141" s="36" t="s">
        <v>31</v>
      </c>
      <c r="L141" s="60" t="s">
        <v>32</v>
      </c>
      <c r="M141" s="62"/>
      <c r="N141" s="62"/>
      <c r="O141" s="63"/>
      <c r="P141" s="63"/>
    </row>
    <row r="142" spans="1:16" ht="24.75" customHeight="1" x14ac:dyDescent="0.25">
      <c r="A142" s="11" t="str">
        <f t="shared" si="2"/>
        <v>VISTOS BUENOS</v>
      </c>
      <c r="B142" s="22">
        <v>6</v>
      </c>
      <c r="C142" s="46">
        <v>73</v>
      </c>
      <c r="D142" s="46">
        <v>134</v>
      </c>
      <c r="E142" s="60" t="s">
        <v>1652</v>
      </c>
      <c r="F142" s="66" t="s">
        <v>1805</v>
      </c>
      <c r="G142" s="46" t="s">
        <v>30</v>
      </c>
      <c r="H142" s="65">
        <v>41960.523761574077</v>
      </c>
      <c r="I142" s="64">
        <v>41989</v>
      </c>
      <c r="J142" s="46">
        <v>35</v>
      </c>
      <c r="K142" s="36" t="s">
        <v>31</v>
      </c>
      <c r="L142" s="60" t="s">
        <v>32</v>
      </c>
      <c r="M142" s="62"/>
      <c r="N142" s="62"/>
      <c r="O142" s="63"/>
      <c r="P142" s="63"/>
    </row>
    <row r="143" spans="1:16" ht="24.75" customHeight="1" x14ac:dyDescent="0.25">
      <c r="A143" s="11" t="str">
        <f t="shared" si="2"/>
        <v>VISTOS BUENOS</v>
      </c>
      <c r="B143" s="22">
        <v>6</v>
      </c>
      <c r="C143" s="46">
        <v>73</v>
      </c>
      <c r="D143" s="46">
        <v>135</v>
      </c>
      <c r="E143" s="60" t="s">
        <v>1653</v>
      </c>
      <c r="F143" s="66" t="s">
        <v>1806</v>
      </c>
      <c r="G143" s="46" t="s">
        <v>30</v>
      </c>
      <c r="H143" s="65">
        <v>41964.454930555556</v>
      </c>
      <c r="I143" s="64">
        <v>41652</v>
      </c>
      <c r="J143" s="46">
        <v>33</v>
      </c>
      <c r="K143" s="36" t="s">
        <v>31</v>
      </c>
      <c r="L143" s="60" t="s">
        <v>32</v>
      </c>
      <c r="M143" s="62"/>
      <c r="N143" s="62"/>
      <c r="O143" s="63"/>
      <c r="P143" s="63"/>
    </row>
    <row r="144" spans="1:16" ht="24.75" customHeight="1" x14ac:dyDescent="0.25">
      <c r="A144" s="11" t="str">
        <f t="shared" si="2"/>
        <v>VISTOS BUENOS</v>
      </c>
      <c r="B144" s="22">
        <v>6</v>
      </c>
      <c r="C144" s="46">
        <v>73</v>
      </c>
      <c r="D144" s="46">
        <v>136</v>
      </c>
      <c r="E144" s="60" t="s">
        <v>1654</v>
      </c>
      <c r="F144" s="66" t="s">
        <v>1807</v>
      </c>
      <c r="G144" s="46" t="s">
        <v>30</v>
      </c>
      <c r="H144" s="65">
        <v>41964.666759259257</v>
      </c>
      <c r="I144" s="64">
        <v>41974</v>
      </c>
      <c r="J144" s="46">
        <v>11</v>
      </c>
      <c r="K144" s="36" t="s">
        <v>31</v>
      </c>
      <c r="L144" s="60" t="s">
        <v>32</v>
      </c>
      <c r="M144" s="62"/>
      <c r="N144" s="62"/>
      <c r="O144" s="63"/>
      <c r="P144" s="63"/>
    </row>
    <row r="145" spans="1:16" ht="24.75" customHeight="1" x14ac:dyDescent="0.25">
      <c r="A145" s="11" t="str">
        <f t="shared" si="2"/>
        <v>VISTOS BUENOS</v>
      </c>
      <c r="B145" s="22">
        <v>6</v>
      </c>
      <c r="C145" s="46">
        <v>74</v>
      </c>
      <c r="D145" s="46">
        <v>137</v>
      </c>
      <c r="E145" s="60" t="s">
        <v>1655</v>
      </c>
      <c r="F145" s="66" t="s">
        <v>1808</v>
      </c>
      <c r="G145" s="46" t="s">
        <v>30</v>
      </c>
      <c r="H145" s="65">
        <v>41969.365023148152</v>
      </c>
      <c r="I145" s="64">
        <v>41996</v>
      </c>
      <c r="J145" s="46">
        <v>122</v>
      </c>
      <c r="K145" s="36" t="s">
        <v>31</v>
      </c>
      <c r="L145" s="60" t="s">
        <v>32</v>
      </c>
      <c r="M145" s="62"/>
      <c r="N145" s="62"/>
      <c r="O145" s="63"/>
      <c r="P145" s="63"/>
    </row>
    <row r="146" spans="1:16" ht="24.75" customHeight="1" x14ac:dyDescent="0.25">
      <c r="A146" s="11" t="str">
        <f t="shared" si="2"/>
        <v>VISTOS BUENOS</v>
      </c>
      <c r="B146" s="22">
        <v>6</v>
      </c>
      <c r="C146" s="46">
        <v>75</v>
      </c>
      <c r="D146" s="46">
        <v>138</v>
      </c>
      <c r="E146" s="60" t="s">
        <v>1656</v>
      </c>
      <c r="F146" s="66" t="s">
        <v>1809</v>
      </c>
      <c r="G146" s="46" t="s">
        <v>30</v>
      </c>
      <c r="H146" s="65">
        <v>41969.68990740741</v>
      </c>
      <c r="I146" s="64">
        <v>41981</v>
      </c>
      <c r="J146" s="46">
        <v>18</v>
      </c>
      <c r="K146" s="36" t="s">
        <v>31</v>
      </c>
      <c r="L146" s="60" t="s">
        <v>32</v>
      </c>
      <c r="M146" s="62"/>
      <c r="N146" s="62"/>
      <c r="O146" s="63"/>
      <c r="P146" s="63"/>
    </row>
    <row r="147" spans="1:16" ht="24.75" customHeight="1" x14ac:dyDescent="0.25">
      <c r="A147" s="11" t="str">
        <f t="shared" si="2"/>
        <v>VISTOS BUENOS</v>
      </c>
      <c r="B147" s="22">
        <v>6</v>
      </c>
      <c r="C147" s="46">
        <v>76</v>
      </c>
      <c r="D147" s="46">
        <v>139</v>
      </c>
      <c r="E147" s="60" t="s">
        <v>1657</v>
      </c>
      <c r="F147" s="66" t="s">
        <v>1810</v>
      </c>
      <c r="G147" s="46" t="s">
        <v>30</v>
      </c>
      <c r="H147" s="65">
        <v>41970.387141203704</v>
      </c>
      <c r="I147" s="64">
        <v>41803</v>
      </c>
      <c r="J147" s="46">
        <v>31</v>
      </c>
      <c r="K147" s="36" t="s">
        <v>31</v>
      </c>
      <c r="L147" s="60" t="s">
        <v>32</v>
      </c>
      <c r="M147" s="62"/>
      <c r="N147" s="62"/>
      <c r="O147" s="63"/>
      <c r="P147" s="63"/>
    </row>
    <row r="148" spans="1:16" ht="24.75" customHeight="1" x14ac:dyDescent="0.25">
      <c r="A148" s="11" t="str">
        <f t="shared" si="2"/>
        <v>VISTOS BUENOS</v>
      </c>
      <c r="B148" s="22">
        <v>6</v>
      </c>
      <c r="C148" s="46">
        <v>75</v>
      </c>
      <c r="D148" s="46">
        <v>140</v>
      </c>
      <c r="E148" s="60" t="s">
        <v>1658</v>
      </c>
      <c r="F148" s="66" t="s">
        <v>1811</v>
      </c>
      <c r="G148" s="46" t="s">
        <v>30</v>
      </c>
      <c r="H148" s="65">
        <v>41971.535104166665</v>
      </c>
      <c r="I148" s="64">
        <v>41982</v>
      </c>
      <c r="J148" s="46">
        <v>31</v>
      </c>
      <c r="K148" s="36" t="s">
        <v>31</v>
      </c>
      <c r="L148" s="60" t="s">
        <v>32</v>
      </c>
      <c r="M148" s="62"/>
      <c r="N148" s="62"/>
      <c r="O148" s="63"/>
      <c r="P148" s="63"/>
    </row>
    <row r="149" spans="1:16" ht="24.75" customHeight="1" x14ac:dyDescent="0.25">
      <c r="A149" s="11" t="str">
        <f t="shared" si="2"/>
        <v>VISTOS BUENOS</v>
      </c>
      <c r="B149" s="22">
        <v>6</v>
      </c>
      <c r="C149" s="46">
        <v>76</v>
      </c>
      <c r="D149" s="46">
        <v>141</v>
      </c>
      <c r="E149" s="60" t="s">
        <v>1659</v>
      </c>
      <c r="F149" s="66" t="s">
        <v>1812</v>
      </c>
      <c r="G149" s="46" t="s">
        <v>30</v>
      </c>
      <c r="H149" s="65">
        <v>41983.684293981481</v>
      </c>
      <c r="I149" s="64">
        <v>42010</v>
      </c>
      <c r="J149" s="46">
        <v>62</v>
      </c>
      <c r="K149" s="36" t="s">
        <v>31</v>
      </c>
      <c r="L149" s="60" t="s">
        <v>32</v>
      </c>
      <c r="M149" s="62"/>
      <c r="N149" s="62"/>
      <c r="O149" s="63"/>
      <c r="P149" s="63"/>
    </row>
    <row r="150" spans="1:16" ht="24.75" customHeight="1" x14ac:dyDescent="0.25">
      <c r="A150" s="11" t="str">
        <f t="shared" si="2"/>
        <v>VISTOS BUENOS</v>
      </c>
      <c r="B150" s="22">
        <v>6</v>
      </c>
      <c r="C150" s="46">
        <v>77</v>
      </c>
      <c r="D150" s="46">
        <v>142</v>
      </c>
      <c r="E150" s="60" t="s">
        <v>1660</v>
      </c>
      <c r="F150" s="66" t="s">
        <v>1813</v>
      </c>
      <c r="G150" s="46" t="s">
        <v>30</v>
      </c>
      <c r="H150" s="65">
        <v>41983.688414351855</v>
      </c>
      <c r="I150" s="64">
        <v>42344</v>
      </c>
      <c r="J150" s="46">
        <v>106</v>
      </c>
      <c r="K150" s="36" t="s">
        <v>31</v>
      </c>
      <c r="L150" s="60" t="s">
        <v>32</v>
      </c>
      <c r="M150" s="62"/>
      <c r="N150" s="62"/>
      <c r="O150" s="63"/>
      <c r="P150" s="63"/>
    </row>
    <row r="151" spans="1:16" ht="24.75" customHeight="1" x14ac:dyDescent="0.25">
      <c r="A151" s="11" t="str">
        <f t="shared" si="2"/>
        <v>VISTOS BUENOS</v>
      </c>
      <c r="B151" s="22">
        <v>6</v>
      </c>
      <c r="C151" s="46">
        <v>78</v>
      </c>
      <c r="D151" s="46">
        <v>143</v>
      </c>
      <c r="E151" s="60" t="s">
        <v>1651</v>
      </c>
      <c r="F151" s="66" t="s">
        <v>1814</v>
      </c>
      <c r="G151" s="46" t="s">
        <v>30</v>
      </c>
      <c r="H151" s="65">
        <v>41985.587291666663</v>
      </c>
      <c r="I151" s="64">
        <v>42054</v>
      </c>
      <c r="J151" s="46">
        <v>58</v>
      </c>
      <c r="K151" s="36" t="s">
        <v>31</v>
      </c>
      <c r="L151" s="60" t="s">
        <v>32</v>
      </c>
      <c r="M151" s="62"/>
      <c r="N151" s="62"/>
      <c r="O151" s="63"/>
      <c r="P151" s="63"/>
    </row>
    <row r="152" spans="1:16" ht="24.75" customHeight="1" x14ac:dyDescent="0.25">
      <c r="A152" s="11" t="str">
        <f t="shared" si="2"/>
        <v>VISTOS BUENOS</v>
      </c>
      <c r="B152" s="22">
        <v>6</v>
      </c>
      <c r="C152" s="46">
        <v>79</v>
      </c>
      <c r="D152" s="46">
        <v>144</v>
      </c>
      <c r="E152" s="60" t="s">
        <v>1661</v>
      </c>
      <c r="F152" s="66" t="s">
        <v>1815</v>
      </c>
      <c r="G152" s="46" t="s">
        <v>30</v>
      </c>
      <c r="H152" s="65">
        <v>41989.536261574074</v>
      </c>
      <c r="I152" s="64">
        <v>42014</v>
      </c>
      <c r="J152" s="46">
        <v>46</v>
      </c>
      <c r="K152" s="36" t="s">
        <v>31</v>
      </c>
      <c r="L152" s="60" t="s">
        <v>32</v>
      </c>
      <c r="M152" s="62"/>
      <c r="N152" s="62"/>
      <c r="O152" s="63"/>
      <c r="P152" s="63"/>
    </row>
    <row r="153" spans="1:16" ht="24.75" customHeight="1" x14ac:dyDescent="0.25">
      <c r="A153" s="11" t="str">
        <f t="shared" si="2"/>
        <v>VISTOS BUENOS</v>
      </c>
      <c r="B153" s="22">
        <v>6</v>
      </c>
      <c r="C153" s="46">
        <v>80</v>
      </c>
      <c r="D153" s="46">
        <v>145</v>
      </c>
      <c r="E153" s="60" t="s">
        <v>1662</v>
      </c>
      <c r="F153" s="66" t="s">
        <v>1816</v>
      </c>
      <c r="G153" s="46" t="s">
        <v>30</v>
      </c>
      <c r="H153" s="65">
        <v>42003.44730324074</v>
      </c>
      <c r="I153" s="64">
        <v>42017</v>
      </c>
      <c r="J153" s="46">
        <v>23</v>
      </c>
      <c r="K153" s="36" t="s">
        <v>31</v>
      </c>
      <c r="L153" s="60" t="s">
        <v>32</v>
      </c>
      <c r="M153" s="62"/>
      <c r="N153" s="62"/>
      <c r="O153" s="63"/>
      <c r="P153" s="63"/>
    </row>
    <row r="154" spans="1:16" ht="24.75" customHeight="1" x14ac:dyDescent="0.25">
      <c r="A154" s="11" t="str">
        <f t="shared" si="2"/>
        <v>VISTOS BUENOS</v>
      </c>
      <c r="B154" s="22">
        <v>6</v>
      </c>
      <c r="C154" s="46">
        <v>81</v>
      </c>
      <c r="D154" s="46">
        <v>146</v>
      </c>
      <c r="E154" s="60" t="s">
        <v>1663</v>
      </c>
      <c r="F154" s="66" t="s">
        <v>1817</v>
      </c>
      <c r="G154" s="46" t="s">
        <v>30</v>
      </c>
      <c r="H154" s="65">
        <v>42003.686261574076</v>
      </c>
      <c r="I154" s="64">
        <v>42039</v>
      </c>
      <c r="J154" s="46">
        <v>114</v>
      </c>
      <c r="K154" s="36" t="s">
        <v>31</v>
      </c>
      <c r="L154" s="60" t="s">
        <v>32</v>
      </c>
      <c r="M154" s="62"/>
      <c r="N154" s="62"/>
      <c r="O154" s="63"/>
      <c r="P154" s="63"/>
    </row>
    <row r="155" spans="1:16" ht="24.75" customHeight="1" x14ac:dyDescent="0.25">
      <c r="A155" s="11" t="str">
        <f t="shared" si="2"/>
        <v>VISTOS BUENOS</v>
      </c>
      <c r="B155" s="22">
        <v>6</v>
      </c>
      <c r="C155" s="46">
        <v>82</v>
      </c>
      <c r="D155" s="46">
        <v>147</v>
      </c>
      <c r="E155" s="60" t="s">
        <v>1664</v>
      </c>
      <c r="F155" s="66" t="s">
        <v>1818</v>
      </c>
      <c r="G155" s="46" t="s">
        <v>30</v>
      </c>
      <c r="H155" s="65">
        <v>41646</v>
      </c>
      <c r="I155" s="64">
        <v>41691</v>
      </c>
      <c r="J155" s="46">
        <v>18</v>
      </c>
      <c r="K155" s="36" t="s">
        <v>31</v>
      </c>
      <c r="L155" s="60" t="s">
        <v>32</v>
      </c>
      <c r="M155" s="62"/>
      <c r="N155" s="62"/>
      <c r="O155" s="63"/>
      <c r="P155" s="63"/>
    </row>
    <row r="156" spans="1:16" ht="24.75" customHeight="1" x14ac:dyDescent="0.25">
      <c r="A156" s="11" t="str">
        <f t="shared" si="2"/>
        <v>VISTOS BUENOS</v>
      </c>
      <c r="B156" s="22">
        <v>6</v>
      </c>
      <c r="C156" s="46">
        <v>82</v>
      </c>
      <c r="D156" s="46">
        <v>148</v>
      </c>
      <c r="E156" s="60" t="s">
        <v>1665</v>
      </c>
      <c r="F156" s="66">
        <v>175544</v>
      </c>
      <c r="G156" s="46" t="s">
        <v>30</v>
      </c>
      <c r="H156" s="65">
        <v>41864</v>
      </c>
      <c r="I156" s="64">
        <v>42056</v>
      </c>
      <c r="J156" s="46">
        <v>11</v>
      </c>
      <c r="K156" s="36" t="s">
        <v>31</v>
      </c>
      <c r="L156" s="60" t="s">
        <v>32</v>
      </c>
      <c r="M156" s="62"/>
      <c r="N156" s="62"/>
      <c r="O156" s="63"/>
      <c r="P156" s="63"/>
    </row>
    <row r="157" spans="1:16" ht="24.75" customHeight="1" x14ac:dyDescent="0.25">
      <c r="A157" s="11" t="str">
        <f t="shared" si="2"/>
        <v>VISTOS BUENOS</v>
      </c>
      <c r="B157" s="22">
        <v>6</v>
      </c>
      <c r="C157" s="46">
        <v>82</v>
      </c>
      <c r="D157" s="46">
        <v>149</v>
      </c>
      <c r="E157" s="60" t="s">
        <v>1666</v>
      </c>
      <c r="F157" s="66" t="s">
        <v>1819</v>
      </c>
      <c r="G157" s="46" t="s">
        <v>30</v>
      </c>
      <c r="H157" s="65">
        <v>41907.448935185188</v>
      </c>
      <c r="I157" s="64">
        <v>41925</v>
      </c>
      <c r="J157" s="46">
        <v>18</v>
      </c>
      <c r="K157" s="36" t="s">
        <v>31</v>
      </c>
      <c r="L157" s="60" t="s">
        <v>32</v>
      </c>
      <c r="M157" s="62"/>
      <c r="N157" s="62"/>
      <c r="O157" s="63"/>
      <c r="P157" s="63"/>
    </row>
    <row r="158" spans="1:16" ht="24.75" customHeight="1" x14ac:dyDescent="0.25">
      <c r="A158" s="11" t="str">
        <f t="shared" si="2"/>
        <v>VISTOS BUENOS</v>
      </c>
      <c r="B158" s="22">
        <v>6</v>
      </c>
      <c r="C158" s="46">
        <v>82</v>
      </c>
      <c r="D158" s="46">
        <v>150</v>
      </c>
      <c r="E158" s="60" t="s">
        <v>1667</v>
      </c>
      <c r="F158" s="66">
        <v>198818</v>
      </c>
      <c r="G158" s="46" t="s">
        <v>30</v>
      </c>
      <c r="H158" s="65">
        <v>41969</v>
      </c>
      <c r="I158" s="64">
        <v>41988</v>
      </c>
      <c r="J158" s="46">
        <v>25</v>
      </c>
      <c r="K158" s="36" t="s">
        <v>31</v>
      </c>
      <c r="L158" s="60" t="s">
        <v>32</v>
      </c>
      <c r="M158" s="62"/>
      <c r="N158" s="62"/>
      <c r="O158" s="63"/>
      <c r="P158" s="63"/>
    </row>
    <row r="159" spans="1:16" ht="24.75" customHeight="1" x14ac:dyDescent="0.25">
      <c r="A159" s="11" t="str">
        <f t="shared" si="2"/>
        <v>VISTOS BUENOS</v>
      </c>
      <c r="B159" s="22">
        <v>6</v>
      </c>
      <c r="C159" s="46">
        <v>83</v>
      </c>
      <c r="D159" s="46">
        <v>151</v>
      </c>
      <c r="E159" s="60" t="s">
        <v>1668</v>
      </c>
      <c r="F159" s="66">
        <v>199979</v>
      </c>
      <c r="G159" s="46" t="s">
        <v>30</v>
      </c>
      <c r="H159" s="65">
        <v>41971</v>
      </c>
      <c r="I159" s="64">
        <v>41989</v>
      </c>
      <c r="J159" s="46">
        <v>59</v>
      </c>
      <c r="K159" s="36" t="s">
        <v>31</v>
      </c>
      <c r="L159" s="60" t="s">
        <v>32</v>
      </c>
      <c r="M159" s="62"/>
      <c r="N159" s="62"/>
      <c r="O159" s="63"/>
      <c r="P159" s="63"/>
    </row>
    <row r="160" spans="1:16" ht="24.75" customHeight="1" x14ac:dyDescent="0.25">
      <c r="A160" s="11" t="str">
        <f t="shared" si="2"/>
        <v>VISTOS BUENOS</v>
      </c>
      <c r="B160" s="22">
        <v>6</v>
      </c>
      <c r="C160" s="46">
        <v>84</v>
      </c>
      <c r="D160" s="46">
        <v>152</v>
      </c>
      <c r="E160" s="60" t="s">
        <v>1669</v>
      </c>
      <c r="F160" s="66" t="s">
        <v>1820</v>
      </c>
      <c r="G160" s="46" t="s">
        <v>30</v>
      </c>
      <c r="H160" s="65">
        <v>41977.649641203701</v>
      </c>
      <c r="I160" s="64">
        <v>41994</v>
      </c>
      <c r="J160" s="46">
        <v>130</v>
      </c>
      <c r="K160" s="36" t="s">
        <v>31</v>
      </c>
      <c r="L160" s="60" t="s">
        <v>32</v>
      </c>
      <c r="M160" s="62"/>
      <c r="N160" s="62"/>
      <c r="O160" s="63"/>
      <c r="P160" s="63"/>
    </row>
    <row r="161" spans="1:16" ht="24.75" customHeight="1" x14ac:dyDescent="0.25">
      <c r="A161" s="11" t="str">
        <f t="shared" si="2"/>
        <v>VISTOS BUENOS</v>
      </c>
      <c r="B161" s="22">
        <v>6</v>
      </c>
      <c r="C161" s="46" t="s">
        <v>1829</v>
      </c>
      <c r="D161" s="46">
        <v>153</v>
      </c>
      <c r="E161" s="60" t="s">
        <v>1670</v>
      </c>
      <c r="F161" s="66" t="s">
        <v>1821</v>
      </c>
      <c r="G161" s="46" t="s">
        <v>30</v>
      </c>
      <c r="H161" s="65">
        <v>41982.455324074072</v>
      </c>
      <c r="I161" s="64">
        <v>41995</v>
      </c>
      <c r="J161" s="46">
        <v>299</v>
      </c>
      <c r="K161" s="36" t="s">
        <v>31</v>
      </c>
      <c r="L161" s="60" t="s">
        <v>32</v>
      </c>
      <c r="M161" s="62"/>
      <c r="N161" s="62"/>
      <c r="O161" s="63"/>
      <c r="P161" s="63"/>
    </row>
    <row r="162" spans="1:16" ht="24.75" customHeight="1" x14ac:dyDescent="0.25">
      <c r="A162" s="11" t="str">
        <f t="shared" si="2"/>
        <v>VISTOS BUENOS</v>
      </c>
      <c r="B162" s="22">
        <v>7</v>
      </c>
      <c r="C162" s="46">
        <v>88</v>
      </c>
      <c r="D162" s="46">
        <v>154</v>
      </c>
      <c r="E162" s="60" t="s">
        <v>1671</v>
      </c>
      <c r="F162" s="66" t="s">
        <v>1822</v>
      </c>
      <c r="G162" s="46" t="s">
        <v>30</v>
      </c>
      <c r="H162" s="65">
        <v>41960.469918981478</v>
      </c>
      <c r="I162" s="64">
        <v>41960</v>
      </c>
      <c r="J162" s="46">
        <v>61</v>
      </c>
      <c r="K162" s="36" t="s">
        <v>31</v>
      </c>
      <c r="L162" s="60" t="s">
        <v>32</v>
      </c>
      <c r="M162" s="62"/>
      <c r="N162" s="62"/>
      <c r="O162" s="63"/>
      <c r="P162" s="63"/>
    </row>
    <row r="163" spans="1:16" ht="24.75" customHeight="1" x14ac:dyDescent="0.25">
      <c r="A163" s="11" t="str">
        <f t="shared" si="2"/>
        <v>VISTOS BUENOS</v>
      </c>
      <c r="B163" s="22">
        <v>7</v>
      </c>
      <c r="C163" s="46">
        <v>89</v>
      </c>
      <c r="D163" s="46">
        <v>155</v>
      </c>
      <c r="E163" s="60" t="s">
        <v>1672</v>
      </c>
      <c r="F163" s="66">
        <v>202564</v>
      </c>
      <c r="G163" s="46" t="s">
        <v>30</v>
      </c>
      <c r="H163" s="65">
        <v>41983</v>
      </c>
      <c r="I163" s="64">
        <v>41995</v>
      </c>
      <c r="J163" s="46">
        <v>92</v>
      </c>
      <c r="K163" s="36" t="s">
        <v>31</v>
      </c>
      <c r="L163" s="60" t="s">
        <v>32</v>
      </c>
      <c r="M163" s="62"/>
      <c r="N163" s="62"/>
      <c r="O163" s="63"/>
      <c r="P163" s="63"/>
    </row>
    <row r="164" spans="1:16" ht="24.75" customHeight="1" x14ac:dyDescent="0.25">
      <c r="A164" s="11" t="str">
        <f t="shared" si="2"/>
        <v>VISTOS BUENOS</v>
      </c>
      <c r="B164" s="22">
        <v>7</v>
      </c>
      <c r="C164" s="46">
        <v>90</v>
      </c>
      <c r="D164" s="46">
        <v>156</v>
      </c>
      <c r="E164" s="60" t="s">
        <v>1673</v>
      </c>
      <c r="F164" s="66">
        <v>202871</v>
      </c>
      <c r="G164" s="46" t="s">
        <v>30</v>
      </c>
      <c r="H164" s="65">
        <v>41984</v>
      </c>
      <c r="I164" s="64">
        <v>41995</v>
      </c>
      <c r="J164" s="46">
        <v>36</v>
      </c>
      <c r="K164" s="36" t="s">
        <v>31</v>
      </c>
      <c r="L164" s="60" t="s">
        <v>32</v>
      </c>
      <c r="M164" s="62"/>
      <c r="N164" s="62"/>
      <c r="O164" s="63"/>
      <c r="P164" s="6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7"/>
  <sheetViews>
    <sheetView topLeftCell="A162" zoomScale="145" zoomScaleNormal="145" workbookViewId="0">
      <selection activeCell="B168" sqref="B168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22">
        <v>1</v>
      </c>
      <c r="C9" s="46">
        <v>1</v>
      </c>
      <c r="D9" s="46">
        <v>1</v>
      </c>
      <c r="E9" s="60" t="s">
        <v>1830</v>
      </c>
      <c r="F9" s="66" t="s">
        <v>1984</v>
      </c>
      <c r="G9" s="46" t="s">
        <v>30</v>
      </c>
      <c r="H9" s="65">
        <v>42009</v>
      </c>
      <c r="I9" s="64">
        <v>42010</v>
      </c>
      <c r="J9" s="46">
        <v>29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>A9</f>
        <v>VISTOS BUENOS</v>
      </c>
      <c r="B10" s="22">
        <v>1</v>
      </c>
      <c r="C10" s="46">
        <v>1</v>
      </c>
      <c r="D10" s="46">
        <v>2</v>
      </c>
      <c r="E10" s="60" t="s">
        <v>1831</v>
      </c>
      <c r="F10" s="66" t="s">
        <v>1985</v>
      </c>
      <c r="G10" s="46" t="s">
        <v>30</v>
      </c>
      <c r="H10" s="65">
        <v>42010</v>
      </c>
      <c r="I10" s="64">
        <v>42011</v>
      </c>
      <c r="J10" s="46">
        <v>45</v>
      </c>
      <c r="K10" s="36" t="s">
        <v>31</v>
      </c>
      <c r="L10" s="60" t="s">
        <v>32</v>
      </c>
      <c r="M10" s="62"/>
      <c r="N10" s="62"/>
      <c r="O10" s="63"/>
      <c r="P10" s="63"/>
    </row>
    <row r="11" spans="1:16" ht="24.75" customHeight="1" x14ac:dyDescent="0.25">
      <c r="A11" s="11" t="str">
        <f t="shared" ref="A11:A74" si="0">A10</f>
        <v>VISTOS BUENOS</v>
      </c>
      <c r="B11" s="22">
        <v>1</v>
      </c>
      <c r="C11" s="46">
        <v>1</v>
      </c>
      <c r="D11" s="46">
        <v>3</v>
      </c>
      <c r="E11" s="60" t="s">
        <v>1832</v>
      </c>
      <c r="F11" s="66" t="s">
        <v>1986</v>
      </c>
      <c r="G11" s="46" t="s">
        <v>30</v>
      </c>
      <c r="H11" s="65">
        <v>42011</v>
      </c>
      <c r="I11" s="64">
        <v>42012</v>
      </c>
      <c r="J11" s="46">
        <v>34</v>
      </c>
      <c r="K11" s="36" t="s">
        <v>31</v>
      </c>
      <c r="L11" s="60" t="s">
        <v>32</v>
      </c>
      <c r="M11" s="62"/>
      <c r="N11" s="62"/>
      <c r="O11" s="63"/>
      <c r="P11" s="63"/>
    </row>
    <row r="12" spans="1:16" ht="24.75" customHeight="1" x14ac:dyDescent="0.25">
      <c r="A12" s="11" t="str">
        <f t="shared" si="0"/>
        <v>VISTOS BUENOS</v>
      </c>
      <c r="B12" s="22">
        <v>1</v>
      </c>
      <c r="C12" s="67" t="s">
        <v>2144</v>
      </c>
      <c r="D12" s="46">
        <v>4</v>
      </c>
      <c r="E12" s="60" t="s">
        <v>1833</v>
      </c>
      <c r="F12" s="66" t="s">
        <v>1987</v>
      </c>
      <c r="G12" s="46" t="s">
        <v>30</v>
      </c>
      <c r="H12" s="65">
        <v>42011</v>
      </c>
      <c r="I12" s="64">
        <v>42011</v>
      </c>
      <c r="J12" s="46">
        <v>176</v>
      </c>
      <c r="K12" s="36" t="s">
        <v>31</v>
      </c>
      <c r="L12" s="60" t="s">
        <v>32</v>
      </c>
      <c r="M12" s="62"/>
      <c r="N12" s="62"/>
      <c r="O12" s="63"/>
      <c r="P12" s="63"/>
    </row>
    <row r="13" spans="1:16" ht="24.75" customHeight="1" x14ac:dyDescent="0.25">
      <c r="A13" s="11" t="str">
        <f t="shared" si="0"/>
        <v>VISTOS BUENOS</v>
      </c>
      <c r="B13" s="22">
        <v>1</v>
      </c>
      <c r="C13" s="67">
        <v>4</v>
      </c>
      <c r="D13" s="46">
        <v>5</v>
      </c>
      <c r="E13" s="60" t="s">
        <v>1834</v>
      </c>
      <c r="F13" s="66" t="s">
        <v>1988</v>
      </c>
      <c r="G13" s="46" t="s">
        <v>30</v>
      </c>
      <c r="H13" s="65">
        <v>42013</v>
      </c>
      <c r="I13" s="64">
        <v>42014</v>
      </c>
      <c r="J13" s="46">
        <v>8</v>
      </c>
      <c r="K13" s="36" t="s">
        <v>31</v>
      </c>
      <c r="L13" s="60" t="s">
        <v>32</v>
      </c>
      <c r="M13" s="62"/>
      <c r="N13" s="62"/>
      <c r="O13" s="63"/>
      <c r="P13" s="63"/>
    </row>
    <row r="14" spans="1:16" ht="24.75" customHeight="1" x14ac:dyDescent="0.25">
      <c r="A14" s="11" t="str">
        <f t="shared" si="0"/>
        <v>VISTOS BUENOS</v>
      </c>
      <c r="B14" s="22">
        <v>1</v>
      </c>
      <c r="C14" s="46">
        <v>4</v>
      </c>
      <c r="D14" s="46">
        <v>6</v>
      </c>
      <c r="E14" s="60" t="s">
        <v>1835</v>
      </c>
      <c r="F14" s="66" t="s">
        <v>1989</v>
      </c>
      <c r="G14" s="46" t="s">
        <v>30</v>
      </c>
      <c r="H14" s="65">
        <v>42016</v>
      </c>
      <c r="I14" s="64">
        <v>42016</v>
      </c>
      <c r="J14" s="46">
        <v>28</v>
      </c>
      <c r="K14" s="36" t="s">
        <v>31</v>
      </c>
      <c r="L14" s="60" t="s">
        <v>32</v>
      </c>
      <c r="M14" s="62"/>
      <c r="N14" s="62"/>
      <c r="O14" s="63"/>
      <c r="P14" s="63"/>
    </row>
    <row r="15" spans="1:16" ht="24.75" customHeight="1" x14ac:dyDescent="0.25">
      <c r="A15" s="11" t="str">
        <f t="shared" si="0"/>
        <v>VISTOS BUENOS</v>
      </c>
      <c r="B15" s="22">
        <v>1</v>
      </c>
      <c r="C15" s="46">
        <v>4</v>
      </c>
      <c r="D15" s="46">
        <v>7</v>
      </c>
      <c r="E15" s="60" t="s">
        <v>1836</v>
      </c>
      <c r="F15" s="66" t="s">
        <v>1990</v>
      </c>
      <c r="G15" s="46" t="s">
        <v>30</v>
      </c>
      <c r="H15" s="65">
        <v>42019</v>
      </c>
      <c r="I15" s="64">
        <v>42019</v>
      </c>
      <c r="J15" s="46">
        <v>22</v>
      </c>
      <c r="K15" s="36" t="s">
        <v>31</v>
      </c>
      <c r="L15" s="60" t="s">
        <v>32</v>
      </c>
      <c r="M15" s="62"/>
      <c r="N15" s="62"/>
      <c r="O15" s="63"/>
      <c r="P15" s="63"/>
    </row>
    <row r="16" spans="1:16" ht="24.75" customHeight="1" x14ac:dyDescent="0.25">
      <c r="A16" s="11" t="str">
        <f t="shared" si="0"/>
        <v>VISTOS BUENOS</v>
      </c>
      <c r="B16" s="22">
        <v>1</v>
      </c>
      <c r="C16" s="46">
        <v>4</v>
      </c>
      <c r="D16" s="46">
        <v>8</v>
      </c>
      <c r="E16" s="60" t="s">
        <v>1837</v>
      </c>
      <c r="F16" s="66" t="s">
        <v>1991</v>
      </c>
      <c r="G16" s="46" t="s">
        <v>30</v>
      </c>
      <c r="H16" s="65">
        <v>42019</v>
      </c>
      <c r="I16" s="64">
        <v>42020</v>
      </c>
      <c r="J16" s="46">
        <v>55</v>
      </c>
      <c r="K16" s="36" t="s">
        <v>31</v>
      </c>
      <c r="L16" s="60" t="s">
        <v>32</v>
      </c>
      <c r="M16" s="62"/>
      <c r="N16" s="62"/>
      <c r="O16" s="63"/>
      <c r="P16" s="63"/>
    </row>
    <row r="17" spans="1:16" ht="24.75" customHeight="1" x14ac:dyDescent="0.25">
      <c r="A17" s="11" t="str">
        <f t="shared" si="0"/>
        <v>VISTOS BUENOS</v>
      </c>
      <c r="B17" s="22">
        <v>1</v>
      </c>
      <c r="C17" s="46">
        <v>5</v>
      </c>
      <c r="D17" s="46">
        <v>9</v>
      </c>
      <c r="E17" s="60" t="s">
        <v>1838</v>
      </c>
      <c r="F17" s="66" t="s">
        <v>1992</v>
      </c>
      <c r="G17" s="46" t="s">
        <v>30</v>
      </c>
      <c r="H17" s="65">
        <v>42019</v>
      </c>
      <c r="I17" s="64">
        <v>42019</v>
      </c>
      <c r="J17" s="46">
        <v>51</v>
      </c>
      <c r="K17" s="36" t="s">
        <v>31</v>
      </c>
      <c r="L17" s="60" t="s">
        <v>32</v>
      </c>
      <c r="M17" s="62"/>
      <c r="N17" s="62"/>
      <c r="O17" s="63"/>
      <c r="P17" s="63"/>
    </row>
    <row r="18" spans="1:16" ht="24.75" customHeight="1" x14ac:dyDescent="0.25">
      <c r="A18" s="11" t="str">
        <f t="shared" si="0"/>
        <v>VISTOS BUENOS</v>
      </c>
      <c r="B18" s="22">
        <v>1</v>
      </c>
      <c r="C18" s="46">
        <v>6</v>
      </c>
      <c r="D18" s="46">
        <v>10</v>
      </c>
      <c r="E18" s="60" t="s">
        <v>1839</v>
      </c>
      <c r="F18" s="66" t="s">
        <v>1993</v>
      </c>
      <c r="G18" s="46" t="s">
        <v>30</v>
      </c>
      <c r="H18" s="65">
        <v>42020</v>
      </c>
      <c r="I18" s="64">
        <v>42023</v>
      </c>
      <c r="J18" s="46">
        <v>83</v>
      </c>
      <c r="K18" s="36" t="s">
        <v>31</v>
      </c>
      <c r="L18" s="60" t="s">
        <v>32</v>
      </c>
      <c r="M18" s="62"/>
      <c r="N18" s="62"/>
      <c r="O18" s="63"/>
      <c r="P18" s="63"/>
    </row>
    <row r="19" spans="1:16" ht="24.75" customHeight="1" x14ac:dyDescent="0.25">
      <c r="A19" s="11" t="str">
        <f t="shared" si="0"/>
        <v>VISTOS BUENOS</v>
      </c>
      <c r="B19" s="22">
        <v>1</v>
      </c>
      <c r="C19" s="68" t="s">
        <v>2145</v>
      </c>
      <c r="D19" s="46">
        <v>11</v>
      </c>
      <c r="E19" s="60" t="s">
        <v>1840</v>
      </c>
      <c r="F19" s="66" t="s">
        <v>1994</v>
      </c>
      <c r="G19" s="46" t="s">
        <v>30</v>
      </c>
      <c r="H19" s="65">
        <v>42024</v>
      </c>
      <c r="I19" s="64">
        <v>42025</v>
      </c>
      <c r="J19" s="46">
        <v>203</v>
      </c>
      <c r="K19" s="36" t="s">
        <v>31</v>
      </c>
      <c r="L19" s="60" t="s">
        <v>32</v>
      </c>
      <c r="M19" s="62"/>
      <c r="N19" s="62"/>
      <c r="O19" s="63"/>
      <c r="P19" s="63"/>
    </row>
    <row r="20" spans="1:16" ht="24.75" customHeight="1" x14ac:dyDescent="0.25">
      <c r="A20" s="11" t="str">
        <f t="shared" si="0"/>
        <v>VISTOS BUENOS</v>
      </c>
      <c r="B20" s="22">
        <v>1</v>
      </c>
      <c r="C20" s="46">
        <v>9</v>
      </c>
      <c r="D20" s="46">
        <v>12</v>
      </c>
      <c r="E20" s="60" t="s">
        <v>1841</v>
      </c>
      <c r="F20" s="66" t="s">
        <v>1995</v>
      </c>
      <c r="G20" s="46" t="s">
        <v>30</v>
      </c>
      <c r="H20" s="65">
        <v>42026</v>
      </c>
      <c r="I20" s="64">
        <v>42026</v>
      </c>
      <c r="J20" s="46">
        <v>29</v>
      </c>
      <c r="K20" s="36" t="s">
        <v>31</v>
      </c>
      <c r="L20" s="60" t="s">
        <v>32</v>
      </c>
      <c r="M20" s="62"/>
      <c r="N20" s="62"/>
      <c r="O20" s="63"/>
      <c r="P20" s="63"/>
    </row>
    <row r="21" spans="1:16" ht="24.75" customHeight="1" x14ac:dyDescent="0.25">
      <c r="A21" s="11" t="str">
        <f t="shared" si="0"/>
        <v>VISTOS BUENOS</v>
      </c>
      <c r="B21" s="22">
        <v>1</v>
      </c>
      <c r="C21" s="46">
        <v>9</v>
      </c>
      <c r="D21" s="46">
        <v>13</v>
      </c>
      <c r="E21" s="60" t="s">
        <v>1842</v>
      </c>
      <c r="F21" s="66" t="s">
        <v>1996</v>
      </c>
      <c r="G21" s="46" t="s">
        <v>30</v>
      </c>
      <c r="H21" s="65">
        <v>42027</v>
      </c>
      <c r="I21" s="64">
        <v>42030</v>
      </c>
      <c r="J21" s="46">
        <v>47</v>
      </c>
      <c r="K21" s="36" t="s">
        <v>31</v>
      </c>
      <c r="L21" s="60" t="s">
        <v>32</v>
      </c>
      <c r="M21" s="62"/>
      <c r="N21" s="62"/>
      <c r="O21" s="63"/>
      <c r="P21" s="63"/>
    </row>
    <row r="22" spans="1:16" ht="24.75" customHeight="1" x14ac:dyDescent="0.25">
      <c r="A22" s="11" t="str">
        <f t="shared" si="0"/>
        <v>VISTOS BUENOS</v>
      </c>
      <c r="B22" s="22">
        <v>1</v>
      </c>
      <c r="C22" s="46">
        <v>10</v>
      </c>
      <c r="D22" s="46">
        <v>14</v>
      </c>
      <c r="E22" s="60" t="s">
        <v>1843</v>
      </c>
      <c r="F22" s="66" t="s">
        <v>1997</v>
      </c>
      <c r="G22" s="46" t="s">
        <v>30</v>
      </c>
      <c r="H22" s="65">
        <v>42027</v>
      </c>
      <c r="I22" s="64">
        <v>42030</v>
      </c>
      <c r="J22" s="46">
        <v>61</v>
      </c>
      <c r="K22" s="36" t="s">
        <v>31</v>
      </c>
      <c r="L22" s="60" t="s">
        <v>32</v>
      </c>
      <c r="M22" s="62"/>
      <c r="N22" s="62"/>
      <c r="O22" s="63"/>
      <c r="P22" s="63"/>
    </row>
    <row r="23" spans="1:16" ht="24.75" customHeight="1" x14ac:dyDescent="0.25">
      <c r="A23" s="11" t="str">
        <f t="shared" si="0"/>
        <v>VISTOS BUENOS</v>
      </c>
      <c r="B23" s="22">
        <v>1</v>
      </c>
      <c r="C23" s="46">
        <v>10</v>
      </c>
      <c r="D23" s="46">
        <v>15</v>
      </c>
      <c r="E23" s="60" t="s">
        <v>1844</v>
      </c>
      <c r="F23" s="66" t="s">
        <v>1998</v>
      </c>
      <c r="G23" s="46" t="s">
        <v>30</v>
      </c>
      <c r="H23" s="65">
        <v>42027</v>
      </c>
      <c r="I23" s="64">
        <v>42030</v>
      </c>
      <c r="J23" s="46">
        <v>50</v>
      </c>
      <c r="K23" s="36" t="s">
        <v>31</v>
      </c>
      <c r="L23" s="60" t="s">
        <v>32</v>
      </c>
      <c r="M23" s="62"/>
      <c r="N23" s="62"/>
      <c r="O23" s="63"/>
      <c r="P23" s="63"/>
    </row>
    <row r="24" spans="1:16" ht="24.75" customHeight="1" x14ac:dyDescent="0.25">
      <c r="A24" s="11" t="str">
        <f t="shared" si="0"/>
        <v>VISTOS BUENOS</v>
      </c>
      <c r="B24" s="22">
        <v>1</v>
      </c>
      <c r="C24" s="46">
        <v>11</v>
      </c>
      <c r="D24" s="46">
        <v>16</v>
      </c>
      <c r="E24" s="60" t="s">
        <v>1845</v>
      </c>
      <c r="F24" s="66" t="s">
        <v>1999</v>
      </c>
      <c r="G24" s="46" t="s">
        <v>30</v>
      </c>
      <c r="H24" s="65">
        <v>42027</v>
      </c>
      <c r="I24" s="64">
        <v>42030</v>
      </c>
      <c r="J24" s="46">
        <v>15</v>
      </c>
      <c r="K24" s="36" t="s">
        <v>31</v>
      </c>
      <c r="L24" s="60" t="s">
        <v>32</v>
      </c>
      <c r="M24" s="62"/>
      <c r="N24" s="62"/>
      <c r="O24" s="63"/>
      <c r="P24" s="63"/>
    </row>
    <row r="25" spans="1:16" ht="24.75" customHeight="1" x14ac:dyDescent="0.25">
      <c r="A25" s="11" t="str">
        <f t="shared" si="0"/>
        <v>VISTOS BUENOS</v>
      </c>
      <c r="B25" s="22">
        <v>1</v>
      </c>
      <c r="C25" s="46">
        <v>11</v>
      </c>
      <c r="D25" s="46">
        <v>17</v>
      </c>
      <c r="E25" s="60" t="s">
        <v>1846</v>
      </c>
      <c r="F25" s="66" t="s">
        <v>2000</v>
      </c>
      <c r="G25" s="46" t="s">
        <v>30</v>
      </c>
      <c r="H25" s="65">
        <v>42034</v>
      </c>
      <c r="I25" s="64">
        <v>42037</v>
      </c>
      <c r="J25" s="46">
        <v>10</v>
      </c>
      <c r="K25" s="36" t="s">
        <v>31</v>
      </c>
      <c r="L25" s="60" t="s">
        <v>32</v>
      </c>
      <c r="M25" s="62"/>
      <c r="N25" s="62"/>
      <c r="O25" s="63"/>
      <c r="P25" s="63"/>
    </row>
    <row r="26" spans="1:16" ht="24.75" customHeight="1" x14ac:dyDescent="0.25">
      <c r="A26" s="11" t="str">
        <f t="shared" si="0"/>
        <v>VISTOS BUENOS</v>
      </c>
      <c r="B26" s="22">
        <v>1</v>
      </c>
      <c r="C26" s="46">
        <v>11</v>
      </c>
      <c r="D26" s="46">
        <v>18</v>
      </c>
      <c r="E26" s="60" t="s">
        <v>1847</v>
      </c>
      <c r="F26" s="66" t="s">
        <v>2001</v>
      </c>
      <c r="G26" s="46" t="s">
        <v>30</v>
      </c>
      <c r="H26" s="65">
        <v>42039</v>
      </c>
      <c r="I26" s="64">
        <v>42040</v>
      </c>
      <c r="J26" s="46">
        <v>16</v>
      </c>
      <c r="K26" s="36" t="s">
        <v>31</v>
      </c>
      <c r="L26" s="60" t="s">
        <v>32</v>
      </c>
      <c r="M26" s="62"/>
      <c r="N26" s="62"/>
      <c r="O26" s="63"/>
      <c r="P26" s="63"/>
    </row>
    <row r="27" spans="1:16" ht="24.75" customHeight="1" x14ac:dyDescent="0.25">
      <c r="A27" s="11" t="str">
        <f t="shared" si="0"/>
        <v>VISTOS BUENOS</v>
      </c>
      <c r="B27" s="22">
        <v>1</v>
      </c>
      <c r="C27" s="46">
        <v>11</v>
      </c>
      <c r="D27" s="46">
        <v>19</v>
      </c>
      <c r="E27" s="60" t="s">
        <v>1848</v>
      </c>
      <c r="F27" s="66" t="s">
        <v>2002</v>
      </c>
      <c r="G27" s="46" t="s">
        <v>30</v>
      </c>
      <c r="H27" s="65">
        <v>42040</v>
      </c>
      <c r="I27" s="64">
        <v>42041</v>
      </c>
      <c r="J27" s="46">
        <v>18</v>
      </c>
      <c r="K27" s="36" t="s">
        <v>31</v>
      </c>
      <c r="L27" s="60" t="s">
        <v>32</v>
      </c>
      <c r="M27" s="62"/>
      <c r="N27" s="62"/>
      <c r="O27" s="63"/>
      <c r="P27" s="63"/>
    </row>
    <row r="28" spans="1:16" ht="24.75" customHeight="1" x14ac:dyDescent="0.25">
      <c r="A28" s="11" t="str">
        <f t="shared" si="0"/>
        <v>VISTOS BUENOS</v>
      </c>
      <c r="B28" s="22">
        <v>2</v>
      </c>
      <c r="C28" s="46">
        <v>11</v>
      </c>
      <c r="D28" s="46">
        <v>20</v>
      </c>
      <c r="E28" s="60" t="s">
        <v>1849</v>
      </c>
      <c r="F28" s="66" t="s">
        <v>2003</v>
      </c>
      <c r="G28" s="46" t="s">
        <v>30</v>
      </c>
      <c r="H28" s="65">
        <v>42041</v>
      </c>
      <c r="I28" s="64">
        <v>42044</v>
      </c>
      <c r="J28" s="46">
        <v>17</v>
      </c>
      <c r="K28" s="36" t="s">
        <v>31</v>
      </c>
      <c r="L28" s="60" t="s">
        <v>32</v>
      </c>
      <c r="M28" s="62"/>
      <c r="N28" s="62"/>
      <c r="O28" s="63"/>
      <c r="P28" s="63"/>
    </row>
    <row r="29" spans="1:16" ht="24.75" customHeight="1" x14ac:dyDescent="0.25">
      <c r="A29" s="11" t="str">
        <f t="shared" si="0"/>
        <v>VISTOS BUENOS</v>
      </c>
      <c r="B29" s="22">
        <v>2</v>
      </c>
      <c r="C29" s="46">
        <v>12</v>
      </c>
      <c r="D29" s="46">
        <v>21</v>
      </c>
      <c r="E29" s="60" t="s">
        <v>1850</v>
      </c>
      <c r="F29" s="66" t="s">
        <v>2004</v>
      </c>
      <c r="G29" s="46" t="s">
        <v>30</v>
      </c>
      <c r="H29" s="65">
        <v>42041</v>
      </c>
      <c r="I29" s="64">
        <v>42044</v>
      </c>
      <c r="J29" s="46">
        <v>82</v>
      </c>
      <c r="K29" s="36" t="s">
        <v>31</v>
      </c>
      <c r="L29" s="60" t="s">
        <v>32</v>
      </c>
      <c r="M29" s="62"/>
      <c r="N29" s="62"/>
      <c r="O29" s="63"/>
      <c r="P29" s="63"/>
    </row>
    <row r="30" spans="1:16" ht="24.75" customHeight="1" x14ac:dyDescent="0.25">
      <c r="A30" s="11" t="str">
        <f t="shared" si="0"/>
        <v>VISTOS BUENOS</v>
      </c>
      <c r="B30" s="22">
        <v>2</v>
      </c>
      <c r="C30" s="46">
        <v>13</v>
      </c>
      <c r="D30" s="46">
        <v>22</v>
      </c>
      <c r="E30" s="60" t="s">
        <v>1846</v>
      </c>
      <c r="F30" s="66" t="s">
        <v>2005</v>
      </c>
      <c r="G30" s="46" t="s">
        <v>30</v>
      </c>
      <c r="H30" s="65">
        <v>42041</v>
      </c>
      <c r="I30" s="64">
        <v>42044</v>
      </c>
      <c r="J30" s="46">
        <v>12</v>
      </c>
      <c r="K30" s="36" t="s">
        <v>31</v>
      </c>
      <c r="L30" s="60" t="s">
        <v>32</v>
      </c>
      <c r="M30" s="62"/>
      <c r="N30" s="62"/>
      <c r="O30" s="63"/>
      <c r="P30" s="63"/>
    </row>
    <row r="31" spans="1:16" ht="24.75" customHeight="1" x14ac:dyDescent="0.25">
      <c r="A31" s="11" t="str">
        <f t="shared" si="0"/>
        <v>VISTOS BUENOS</v>
      </c>
      <c r="B31" s="22">
        <v>2</v>
      </c>
      <c r="C31" s="46">
        <v>13</v>
      </c>
      <c r="D31" s="46">
        <v>23</v>
      </c>
      <c r="E31" s="60" t="s">
        <v>1851</v>
      </c>
      <c r="F31" s="66" t="s">
        <v>2006</v>
      </c>
      <c r="G31" s="46" t="s">
        <v>30</v>
      </c>
      <c r="H31" s="65">
        <v>42048</v>
      </c>
      <c r="I31" s="64">
        <v>42053</v>
      </c>
      <c r="J31" s="46">
        <v>27</v>
      </c>
      <c r="K31" s="36" t="s">
        <v>31</v>
      </c>
      <c r="L31" s="60" t="s">
        <v>32</v>
      </c>
      <c r="M31" s="62"/>
      <c r="N31" s="62"/>
      <c r="O31" s="63"/>
      <c r="P31" s="63"/>
    </row>
    <row r="32" spans="1:16" ht="24.75" customHeight="1" x14ac:dyDescent="0.25">
      <c r="A32" s="11" t="str">
        <f t="shared" si="0"/>
        <v>VISTOS BUENOS</v>
      </c>
      <c r="B32" s="22">
        <v>2</v>
      </c>
      <c r="C32" s="46">
        <v>13</v>
      </c>
      <c r="D32" s="46">
        <v>24</v>
      </c>
      <c r="E32" s="60" t="s">
        <v>1852</v>
      </c>
      <c r="F32" s="66" t="s">
        <v>2007</v>
      </c>
      <c r="G32" s="46" t="s">
        <v>30</v>
      </c>
      <c r="H32" s="65">
        <v>42054</v>
      </c>
      <c r="I32" s="64">
        <v>42055</v>
      </c>
      <c r="J32" s="46">
        <v>42</v>
      </c>
      <c r="K32" s="36" t="s">
        <v>31</v>
      </c>
      <c r="L32" s="60" t="s">
        <v>32</v>
      </c>
      <c r="M32" s="62"/>
      <c r="N32" s="62"/>
      <c r="O32" s="63"/>
      <c r="P32" s="63"/>
    </row>
    <row r="33" spans="1:16" ht="24.75" customHeight="1" x14ac:dyDescent="0.25">
      <c r="A33" s="11" t="str">
        <f t="shared" si="0"/>
        <v>VISTOS BUENOS</v>
      </c>
      <c r="B33" s="22">
        <v>2</v>
      </c>
      <c r="C33" s="46">
        <v>13</v>
      </c>
      <c r="D33" s="46">
        <v>25</v>
      </c>
      <c r="E33" s="60" t="s">
        <v>1853</v>
      </c>
      <c r="F33" s="66" t="s">
        <v>2008</v>
      </c>
      <c r="G33" s="46" t="s">
        <v>30</v>
      </c>
      <c r="H33" s="65">
        <v>42054</v>
      </c>
      <c r="I33" s="64">
        <v>42055</v>
      </c>
      <c r="J33" s="46">
        <v>25</v>
      </c>
      <c r="K33" s="36" t="s">
        <v>31</v>
      </c>
      <c r="L33" s="60" t="s">
        <v>32</v>
      </c>
      <c r="M33" s="62"/>
      <c r="N33" s="62"/>
      <c r="O33" s="63"/>
      <c r="P33" s="63"/>
    </row>
    <row r="34" spans="1:16" ht="24.75" customHeight="1" x14ac:dyDescent="0.25">
      <c r="A34" s="11" t="str">
        <f t="shared" si="0"/>
        <v>VISTOS BUENOS</v>
      </c>
      <c r="B34" s="22">
        <v>2</v>
      </c>
      <c r="C34" s="46">
        <v>13</v>
      </c>
      <c r="D34" s="46">
        <v>26</v>
      </c>
      <c r="E34" s="60" t="s">
        <v>1854</v>
      </c>
      <c r="F34" s="66" t="s">
        <v>2009</v>
      </c>
      <c r="G34" s="46" t="s">
        <v>30</v>
      </c>
      <c r="H34" s="65">
        <v>42054</v>
      </c>
      <c r="I34" s="64">
        <v>42055</v>
      </c>
      <c r="J34" s="46">
        <v>21</v>
      </c>
      <c r="K34" s="36" t="s">
        <v>31</v>
      </c>
      <c r="L34" s="60" t="s">
        <v>32</v>
      </c>
      <c r="M34" s="62"/>
      <c r="N34" s="62"/>
      <c r="O34" s="63"/>
      <c r="P34" s="63"/>
    </row>
    <row r="35" spans="1:16" ht="24.75" customHeight="1" x14ac:dyDescent="0.25">
      <c r="A35" s="11" t="str">
        <f t="shared" si="0"/>
        <v>VISTOS BUENOS</v>
      </c>
      <c r="B35" s="22">
        <v>2</v>
      </c>
      <c r="C35" s="46">
        <v>14</v>
      </c>
      <c r="D35" s="46">
        <v>27</v>
      </c>
      <c r="E35" s="60" t="s">
        <v>1855</v>
      </c>
      <c r="F35" s="66" t="s">
        <v>2010</v>
      </c>
      <c r="G35" s="46" t="s">
        <v>30</v>
      </c>
      <c r="H35" s="65">
        <v>42055</v>
      </c>
      <c r="I35" s="64">
        <v>42055</v>
      </c>
      <c r="J35" s="46">
        <v>18</v>
      </c>
      <c r="K35" s="36" t="s">
        <v>31</v>
      </c>
      <c r="L35" s="60" t="s">
        <v>32</v>
      </c>
      <c r="M35" s="62"/>
      <c r="N35" s="62"/>
      <c r="O35" s="63"/>
      <c r="P35" s="63"/>
    </row>
    <row r="36" spans="1:16" ht="24.75" customHeight="1" x14ac:dyDescent="0.25">
      <c r="A36" s="11" t="str">
        <f t="shared" si="0"/>
        <v>VISTOS BUENOS</v>
      </c>
      <c r="B36" s="22">
        <v>2</v>
      </c>
      <c r="C36" s="46">
        <v>14</v>
      </c>
      <c r="D36" s="46">
        <v>28</v>
      </c>
      <c r="E36" s="60" t="s">
        <v>1856</v>
      </c>
      <c r="F36" s="66" t="s">
        <v>2011</v>
      </c>
      <c r="G36" s="46" t="s">
        <v>30</v>
      </c>
      <c r="H36" s="65">
        <v>42058</v>
      </c>
      <c r="I36" s="64">
        <v>42059</v>
      </c>
      <c r="J36" s="46">
        <v>65</v>
      </c>
      <c r="K36" s="36" t="s">
        <v>31</v>
      </c>
      <c r="L36" s="60" t="s">
        <v>32</v>
      </c>
      <c r="M36" s="62"/>
      <c r="N36" s="62"/>
      <c r="O36" s="63"/>
      <c r="P36" s="63"/>
    </row>
    <row r="37" spans="1:16" ht="24.75" customHeight="1" x14ac:dyDescent="0.25">
      <c r="A37" s="11" t="str">
        <f t="shared" si="0"/>
        <v>VISTOS BUENOS</v>
      </c>
      <c r="B37" s="22">
        <v>2</v>
      </c>
      <c r="C37" s="46">
        <v>15</v>
      </c>
      <c r="D37" s="46">
        <v>29</v>
      </c>
      <c r="E37" s="60" t="s">
        <v>1857</v>
      </c>
      <c r="F37" s="66" t="s">
        <v>2012</v>
      </c>
      <c r="G37" s="46" t="s">
        <v>30</v>
      </c>
      <c r="H37" s="65">
        <v>42059</v>
      </c>
      <c r="I37" s="64">
        <v>42059</v>
      </c>
      <c r="J37" s="46">
        <v>75</v>
      </c>
      <c r="K37" s="36" t="s">
        <v>31</v>
      </c>
      <c r="L37" s="60" t="s">
        <v>32</v>
      </c>
      <c r="M37" s="62"/>
      <c r="N37" s="62"/>
      <c r="O37" s="63"/>
      <c r="P37" s="63"/>
    </row>
    <row r="38" spans="1:16" ht="24.75" customHeight="1" x14ac:dyDescent="0.25">
      <c r="A38" s="11" t="str">
        <f t="shared" si="0"/>
        <v>VISTOS BUENOS</v>
      </c>
      <c r="B38" s="22">
        <v>2</v>
      </c>
      <c r="C38" s="46">
        <v>15</v>
      </c>
      <c r="D38" s="46">
        <v>30</v>
      </c>
      <c r="E38" s="60" t="s">
        <v>1858</v>
      </c>
      <c r="F38" s="66" t="s">
        <v>2013</v>
      </c>
      <c r="G38" s="46" t="s">
        <v>30</v>
      </c>
      <c r="H38" s="65">
        <v>42059</v>
      </c>
      <c r="I38" s="64">
        <v>42060</v>
      </c>
      <c r="J38" s="46">
        <v>30</v>
      </c>
      <c r="K38" s="36" t="s">
        <v>31</v>
      </c>
      <c r="L38" s="60" t="s">
        <v>32</v>
      </c>
      <c r="M38" s="62"/>
      <c r="N38" s="62"/>
      <c r="O38" s="63"/>
      <c r="P38" s="63"/>
    </row>
    <row r="39" spans="1:16" ht="24.75" customHeight="1" x14ac:dyDescent="0.25">
      <c r="A39" s="11" t="str">
        <f t="shared" si="0"/>
        <v>VISTOS BUENOS</v>
      </c>
      <c r="B39" s="22">
        <v>2</v>
      </c>
      <c r="C39" s="46">
        <v>13</v>
      </c>
      <c r="D39" s="46">
        <v>31</v>
      </c>
      <c r="E39" s="60" t="s">
        <v>1859</v>
      </c>
      <c r="F39" s="66" t="s">
        <v>2014</v>
      </c>
      <c r="G39" s="46" t="s">
        <v>30</v>
      </c>
      <c r="H39" s="65">
        <v>42069</v>
      </c>
      <c r="I39" s="64">
        <v>42072</v>
      </c>
      <c r="J39" s="46">
        <v>22</v>
      </c>
      <c r="K39" s="36" t="s">
        <v>31</v>
      </c>
      <c r="L39" s="60" t="s">
        <v>32</v>
      </c>
      <c r="M39" s="62"/>
      <c r="N39" s="62"/>
      <c r="O39" s="63"/>
      <c r="P39" s="63"/>
    </row>
    <row r="40" spans="1:16" ht="24.75" customHeight="1" x14ac:dyDescent="0.25">
      <c r="A40" s="11" t="str">
        <f t="shared" si="0"/>
        <v>VISTOS BUENOS</v>
      </c>
      <c r="B40" s="22">
        <v>2</v>
      </c>
      <c r="C40" s="46">
        <v>13</v>
      </c>
      <c r="D40" s="46">
        <v>32</v>
      </c>
      <c r="E40" s="60" t="s">
        <v>1860</v>
      </c>
      <c r="F40" s="66" t="s">
        <v>2015</v>
      </c>
      <c r="G40" s="46" t="s">
        <v>30</v>
      </c>
      <c r="H40" s="65">
        <v>42069</v>
      </c>
      <c r="I40" s="64">
        <v>42072</v>
      </c>
      <c r="J40" s="46">
        <v>48</v>
      </c>
      <c r="K40" s="36" t="s">
        <v>31</v>
      </c>
      <c r="L40" s="60" t="s">
        <v>32</v>
      </c>
      <c r="M40" s="62"/>
      <c r="N40" s="62"/>
      <c r="O40" s="63"/>
      <c r="P40" s="63"/>
    </row>
    <row r="41" spans="1:16" ht="24.75" customHeight="1" x14ac:dyDescent="0.25">
      <c r="A41" s="11" t="str">
        <f t="shared" si="0"/>
        <v>VISTOS BUENOS</v>
      </c>
      <c r="B41" s="22">
        <v>2</v>
      </c>
      <c r="C41" s="46" t="s">
        <v>2146</v>
      </c>
      <c r="D41" s="46">
        <v>33</v>
      </c>
      <c r="E41" s="60" t="s">
        <v>1861</v>
      </c>
      <c r="F41" s="66" t="s">
        <v>2016</v>
      </c>
      <c r="G41" s="46" t="s">
        <v>30</v>
      </c>
      <c r="H41" s="65">
        <v>42069</v>
      </c>
      <c r="I41" s="64">
        <v>42074</v>
      </c>
      <c r="J41" s="46">
        <v>442</v>
      </c>
      <c r="K41" s="36" t="s">
        <v>31</v>
      </c>
      <c r="L41" s="60" t="s">
        <v>32</v>
      </c>
      <c r="M41" s="62"/>
      <c r="N41" s="62"/>
      <c r="O41" s="63"/>
      <c r="P41" s="63"/>
    </row>
    <row r="42" spans="1:16" ht="24.75" customHeight="1" x14ac:dyDescent="0.25">
      <c r="A42" s="11" t="str">
        <f t="shared" si="0"/>
        <v>VISTOS BUENOS</v>
      </c>
      <c r="B42" s="22">
        <v>3</v>
      </c>
      <c r="C42" s="46">
        <v>21</v>
      </c>
      <c r="D42" s="46">
        <v>34</v>
      </c>
      <c r="E42" s="60" t="s">
        <v>1862</v>
      </c>
      <c r="F42" s="66" t="s">
        <v>2017</v>
      </c>
      <c r="G42" s="46" t="s">
        <v>30</v>
      </c>
      <c r="H42" s="65">
        <v>42073</v>
      </c>
      <c r="I42" s="64">
        <v>42073</v>
      </c>
      <c r="J42" s="46">
        <v>77</v>
      </c>
      <c r="K42" s="36" t="s">
        <v>31</v>
      </c>
      <c r="L42" s="60" t="s">
        <v>32</v>
      </c>
      <c r="M42" s="62"/>
      <c r="N42" s="62"/>
      <c r="O42" s="63"/>
      <c r="P42" s="63"/>
    </row>
    <row r="43" spans="1:16" ht="24.75" customHeight="1" x14ac:dyDescent="0.25">
      <c r="A43" s="11" t="str">
        <f t="shared" si="0"/>
        <v>VISTOS BUENOS</v>
      </c>
      <c r="B43" s="22">
        <v>3</v>
      </c>
      <c r="C43" s="46">
        <v>21</v>
      </c>
      <c r="D43" s="46">
        <v>35</v>
      </c>
      <c r="E43" s="60" t="s">
        <v>1863</v>
      </c>
      <c r="F43" s="66" t="s">
        <v>2018</v>
      </c>
      <c r="G43" s="46" t="s">
        <v>30</v>
      </c>
      <c r="H43" s="65">
        <v>42074</v>
      </c>
      <c r="I43" s="64">
        <v>42074</v>
      </c>
      <c r="J43" s="46">
        <v>22</v>
      </c>
      <c r="K43" s="36" t="s">
        <v>31</v>
      </c>
      <c r="L43" s="60" t="s">
        <v>32</v>
      </c>
      <c r="M43" s="62"/>
      <c r="N43" s="62"/>
      <c r="O43" s="63"/>
      <c r="P43" s="63"/>
    </row>
    <row r="44" spans="1:16" ht="24.75" customHeight="1" x14ac:dyDescent="0.25">
      <c r="A44" s="11" t="str">
        <f t="shared" si="0"/>
        <v>VISTOS BUENOS</v>
      </c>
      <c r="B44" s="22">
        <v>3</v>
      </c>
      <c r="C44" s="46">
        <v>22</v>
      </c>
      <c r="D44" s="46">
        <v>36</v>
      </c>
      <c r="E44" s="60" t="s">
        <v>1864</v>
      </c>
      <c r="F44" s="66" t="s">
        <v>2019</v>
      </c>
      <c r="G44" s="46" t="s">
        <v>30</v>
      </c>
      <c r="H44" s="65">
        <v>42079</v>
      </c>
      <c r="I44" s="64">
        <v>42079</v>
      </c>
      <c r="J44" s="46">
        <v>95</v>
      </c>
      <c r="K44" s="36" t="s">
        <v>31</v>
      </c>
      <c r="L44" s="60" t="s">
        <v>32</v>
      </c>
      <c r="M44" s="62"/>
      <c r="N44" s="62"/>
      <c r="O44" s="63"/>
      <c r="P44" s="63"/>
    </row>
    <row r="45" spans="1:16" ht="24.75" customHeight="1" x14ac:dyDescent="0.25">
      <c r="A45" s="11" t="str">
        <f t="shared" si="0"/>
        <v>VISTOS BUENOS</v>
      </c>
      <c r="B45" s="22">
        <v>3</v>
      </c>
      <c r="C45" s="46">
        <v>22</v>
      </c>
      <c r="D45" s="46">
        <v>37</v>
      </c>
      <c r="E45" s="60" t="s">
        <v>1865</v>
      </c>
      <c r="F45" s="66" t="s">
        <v>2020</v>
      </c>
      <c r="G45" s="46" t="s">
        <v>30</v>
      </c>
      <c r="H45" s="65">
        <v>42080</v>
      </c>
      <c r="I45" s="64">
        <v>42080</v>
      </c>
      <c r="J45" s="46">
        <v>19</v>
      </c>
      <c r="K45" s="36" t="s">
        <v>31</v>
      </c>
      <c r="L45" s="60" t="s">
        <v>32</v>
      </c>
      <c r="M45" s="62"/>
      <c r="N45" s="62"/>
      <c r="O45" s="63"/>
      <c r="P45" s="63"/>
    </row>
    <row r="46" spans="1:16" ht="24.75" customHeight="1" x14ac:dyDescent="0.25">
      <c r="A46" s="11" t="str">
        <f t="shared" si="0"/>
        <v>VISTOS BUENOS</v>
      </c>
      <c r="B46" s="22">
        <v>3</v>
      </c>
      <c r="C46" s="46">
        <v>22</v>
      </c>
      <c r="D46" s="46">
        <v>38</v>
      </c>
      <c r="E46" s="60" t="s">
        <v>1866</v>
      </c>
      <c r="F46" s="66" t="s">
        <v>2021</v>
      </c>
      <c r="G46" s="46" t="s">
        <v>30</v>
      </c>
      <c r="H46" s="65">
        <v>42087</v>
      </c>
      <c r="I46" s="64">
        <v>42088</v>
      </c>
      <c r="J46" s="46">
        <v>26</v>
      </c>
      <c r="K46" s="36" t="s">
        <v>31</v>
      </c>
      <c r="L46" s="60" t="s">
        <v>32</v>
      </c>
      <c r="M46" s="62"/>
      <c r="N46" s="62"/>
      <c r="O46" s="63"/>
      <c r="P46" s="63"/>
    </row>
    <row r="47" spans="1:16" ht="24.75" customHeight="1" x14ac:dyDescent="0.25">
      <c r="A47" s="11" t="str">
        <f t="shared" si="0"/>
        <v>VISTOS BUENOS</v>
      </c>
      <c r="B47" s="22">
        <v>3</v>
      </c>
      <c r="C47" s="46">
        <v>22</v>
      </c>
      <c r="D47" s="46">
        <v>39</v>
      </c>
      <c r="E47" s="60" t="s">
        <v>1867</v>
      </c>
      <c r="F47" s="66" t="s">
        <v>2022</v>
      </c>
      <c r="G47" s="46" t="s">
        <v>30</v>
      </c>
      <c r="H47" s="65">
        <v>42089</v>
      </c>
      <c r="I47" s="64">
        <v>42089</v>
      </c>
      <c r="J47" s="46">
        <v>19</v>
      </c>
      <c r="K47" s="36" t="s">
        <v>31</v>
      </c>
      <c r="L47" s="60" t="s">
        <v>32</v>
      </c>
      <c r="M47" s="62"/>
      <c r="N47" s="62"/>
      <c r="O47" s="63"/>
      <c r="P47" s="63"/>
    </row>
    <row r="48" spans="1:16" ht="24.75" customHeight="1" x14ac:dyDescent="0.25">
      <c r="A48" s="11" t="str">
        <f t="shared" si="0"/>
        <v>VISTOS BUENOS</v>
      </c>
      <c r="B48" s="22">
        <v>3</v>
      </c>
      <c r="C48" s="46">
        <v>23</v>
      </c>
      <c r="D48" s="46">
        <v>40</v>
      </c>
      <c r="E48" s="60" t="s">
        <v>1868</v>
      </c>
      <c r="F48" s="66" t="s">
        <v>2023</v>
      </c>
      <c r="G48" s="46" t="s">
        <v>30</v>
      </c>
      <c r="H48" s="65">
        <v>42090</v>
      </c>
      <c r="I48" s="64">
        <v>42093</v>
      </c>
      <c r="J48" s="46">
        <v>18</v>
      </c>
      <c r="K48" s="36" t="s">
        <v>31</v>
      </c>
      <c r="L48" s="60" t="s">
        <v>32</v>
      </c>
      <c r="M48" s="62"/>
      <c r="N48" s="62"/>
      <c r="O48" s="63"/>
      <c r="P48" s="63"/>
    </row>
    <row r="49" spans="1:16" ht="24.75" customHeight="1" x14ac:dyDescent="0.25">
      <c r="A49" s="11" t="str">
        <f t="shared" si="0"/>
        <v>VISTOS BUENOS</v>
      </c>
      <c r="B49" s="22">
        <v>3</v>
      </c>
      <c r="C49" s="46">
        <v>23</v>
      </c>
      <c r="D49" s="46">
        <v>41</v>
      </c>
      <c r="E49" s="60" t="s">
        <v>1869</v>
      </c>
      <c r="F49" s="66" t="s">
        <v>2024</v>
      </c>
      <c r="G49" s="46" t="s">
        <v>30</v>
      </c>
      <c r="H49" s="65">
        <v>42090</v>
      </c>
      <c r="I49" s="64">
        <v>42093</v>
      </c>
      <c r="J49" s="46">
        <v>24</v>
      </c>
      <c r="K49" s="36" t="s">
        <v>31</v>
      </c>
      <c r="L49" s="60" t="s">
        <v>32</v>
      </c>
      <c r="M49" s="62"/>
      <c r="N49" s="62"/>
      <c r="O49" s="63"/>
      <c r="P49" s="63"/>
    </row>
    <row r="50" spans="1:16" ht="24.75" customHeight="1" x14ac:dyDescent="0.25">
      <c r="A50" s="11" t="str">
        <f t="shared" si="0"/>
        <v>VISTOS BUENOS</v>
      </c>
      <c r="B50" s="22">
        <v>3</v>
      </c>
      <c r="C50" s="46">
        <v>23</v>
      </c>
      <c r="D50" s="46">
        <v>42</v>
      </c>
      <c r="E50" s="60" t="s">
        <v>1859</v>
      </c>
      <c r="F50" s="66" t="s">
        <v>2025</v>
      </c>
      <c r="G50" s="46" t="s">
        <v>30</v>
      </c>
      <c r="H50" s="65">
        <v>42093</v>
      </c>
      <c r="I50" s="64">
        <v>42093</v>
      </c>
      <c r="J50" s="46">
        <v>58</v>
      </c>
      <c r="K50" s="36" t="s">
        <v>31</v>
      </c>
      <c r="L50" s="60" t="s">
        <v>32</v>
      </c>
      <c r="M50" s="62"/>
      <c r="N50" s="62"/>
      <c r="O50" s="63"/>
      <c r="P50" s="63"/>
    </row>
    <row r="51" spans="1:16" ht="24.75" customHeight="1" x14ac:dyDescent="0.25">
      <c r="A51" s="11" t="str">
        <f t="shared" si="0"/>
        <v>VISTOS BUENOS</v>
      </c>
      <c r="B51" s="22">
        <v>3</v>
      </c>
      <c r="C51" s="46">
        <v>23</v>
      </c>
      <c r="D51" s="46">
        <v>43</v>
      </c>
      <c r="E51" s="60" t="s">
        <v>1870</v>
      </c>
      <c r="F51" s="66" t="s">
        <v>2026</v>
      </c>
      <c r="G51" s="46" t="s">
        <v>30</v>
      </c>
      <c r="H51" s="65">
        <v>42093</v>
      </c>
      <c r="I51" s="64">
        <v>42094</v>
      </c>
      <c r="J51" s="46">
        <v>17</v>
      </c>
      <c r="K51" s="36" t="s">
        <v>31</v>
      </c>
      <c r="L51" s="60" t="s">
        <v>32</v>
      </c>
      <c r="M51" s="62"/>
      <c r="N51" s="62"/>
      <c r="O51" s="63"/>
      <c r="P51" s="63"/>
    </row>
    <row r="52" spans="1:16" ht="24.75" customHeight="1" x14ac:dyDescent="0.25">
      <c r="A52" s="11" t="str">
        <f t="shared" si="0"/>
        <v>VISTOS BUENOS</v>
      </c>
      <c r="B52" s="22">
        <v>3</v>
      </c>
      <c r="C52" s="46">
        <v>24</v>
      </c>
      <c r="D52" s="46">
        <v>44</v>
      </c>
      <c r="E52" s="60" t="s">
        <v>1871</v>
      </c>
      <c r="F52" s="66" t="s">
        <v>2027</v>
      </c>
      <c r="G52" s="46" t="s">
        <v>30</v>
      </c>
      <c r="H52" s="65">
        <v>42102</v>
      </c>
      <c r="I52" s="64">
        <v>42103</v>
      </c>
      <c r="J52" s="46">
        <v>17</v>
      </c>
      <c r="K52" s="36" t="s">
        <v>31</v>
      </c>
      <c r="L52" s="60" t="s">
        <v>32</v>
      </c>
      <c r="M52" s="62"/>
      <c r="N52" s="62"/>
      <c r="O52" s="63"/>
      <c r="P52" s="63"/>
    </row>
    <row r="53" spans="1:16" ht="24.75" customHeight="1" x14ac:dyDescent="0.25">
      <c r="A53" s="11" t="str">
        <f t="shared" si="0"/>
        <v>VISTOS BUENOS</v>
      </c>
      <c r="B53" s="22">
        <v>3</v>
      </c>
      <c r="C53" s="46">
        <v>24</v>
      </c>
      <c r="D53" s="46">
        <v>45</v>
      </c>
      <c r="E53" s="60" t="s">
        <v>1872</v>
      </c>
      <c r="F53" s="66" t="s">
        <v>2028</v>
      </c>
      <c r="G53" s="46" t="s">
        <v>30</v>
      </c>
      <c r="H53" s="65">
        <v>42103</v>
      </c>
      <c r="I53" s="64">
        <v>42104</v>
      </c>
      <c r="J53" s="46">
        <v>9</v>
      </c>
      <c r="K53" s="36" t="s">
        <v>31</v>
      </c>
      <c r="L53" s="60" t="s">
        <v>32</v>
      </c>
      <c r="M53" s="62"/>
      <c r="N53" s="62"/>
      <c r="O53" s="63"/>
      <c r="P53" s="63"/>
    </row>
    <row r="54" spans="1:16" ht="24.75" customHeight="1" x14ac:dyDescent="0.25">
      <c r="A54" s="11" t="str">
        <f t="shared" si="0"/>
        <v>VISTOS BUENOS</v>
      </c>
      <c r="B54" s="22">
        <v>3</v>
      </c>
      <c r="C54" s="46">
        <v>24</v>
      </c>
      <c r="D54" s="46">
        <v>46</v>
      </c>
      <c r="E54" s="60" t="s">
        <v>1873</v>
      </c>
      <c r="F54" s="66" t="s">
        <v>2029</v>
      </c>
      <c r="G54" s="46" t="s">
        <v>30</v>
      </c>
      <c r="H54" s="65">
        <v>42103</v>
      </c>
      <c r="I54" s="64">
        <v>42103</v>
      </c>
      <c r="J54" s="46">
        <v>51</v>
      </c>
      <c r="K54" s="36" t="s">
        <v>31</v>
      </c>
      <c r="L54" s="60" t="s">
        <v>32</v>
      </c>
      <c r="M54" s="62"/>
      <c r="N54" s="62"/>
      <c r="O54" s="63"/>
      <c r="P54" s="63"/>
    </row>
    <row r="55" spans="1:16" ht="24.75" customHeight="1" x14ac:dyDescent="0.25">
      <c r="A55" s="11" t="str">
        <f t="shared" si="0"/>
        <v>VISTOS BUENOS</v>
      </c>
      <c r="B55" s="22">
        <v>3</v>
      </c>
      <c r="C55" s="46">
        <v>25</v>
      </c>
      <c r="D55" s="46">
        <v>47</v>
      </c>
      <c r="E55" s="60" t="s">
        <v>1874</v>
      </c>
      <c r="F55" s="66" t="s">
        <v>2030</v>
      </c>
      <c r="G55" s="46" t="s">
        <v>30</v>
      </c>
      <c r="H55" s="65">
        <v>42110</v>
      </c>
      <c r="I55" s="64">
        <v>42110</v>
      </c>
      <c r="J55" s="46">
        <v>42</v>
      </c>
      <c r="K55" s="36" t="s">
        <v>31</v>
      </c>
      <c r="L55" s="60" t="s">
        <v>32</v>
      </c>
      <c r="M55" s="62"/>
      <c r="N55" s="62"/>
      <c r="O55" s="63"/>
      <c r="P55" s="63"/>
    </row>
    <row r="56" spans="1:16" ht="24.75" customHeight="1" x14ac:dyDescent="0.25">
      <c r="A56" s="11" t="str">
        <f t="shared" si="0"/>
        <v>VISTOS BUENOS</v>
      </c>
      <c r="B56" s="22">
        <v>3</v>
      </c>
      <c r="C56" s="46">
        <v>25</v>
      </c>
      <c r="D56" s="46">
        <v>48</v>
      </c>
      <c r="E56" s="60" t="s">
        <v>1875</v>
      </c>
      <c r="F56" s="66" t="s">
        <v>2031</v>
      </c>
      <c r="G56" s="46" t="s">
        <v>30</v>
      </c>
      <c r="H56" s="65">
        <v>42111</v>
      </c>
      <c r="I56" s="64">
        <v>42114</v>
      </c>
      <c r="J56" s="46">
        <v>24</v>
      </c>
      <c r="K56" s="36" t="s">
        <v>31</v>
      </c>
      <c r="L56" s="60" t="s">
        <v>32</v>
      </c>
      <c r="M56" s="62"/>
      <c r="N56" s="62"/>
      <c r="O56" s="63"/>
      <c r="P56" s="63"/>
    </row>
    <row r="57" spans="1:16" ht="24.75" customHeight="1" x14ac:dyDescent="0.25">
      <c r="A57" s="11" t="str">
        <f t="shared" si="0"/>
        <v>VISTOS BUENOS</v>
      </c>
      <c r="B57" s="22">
        <v>3</v>
      </c>
      <c r="C57" s="46">
        <v>25</v>
      </c>
      <c r="D57" s="46">
        <v>49</v>
      </c>
      <c r="E57" s="60" t="s">
        <v>1876</v>
      </c>
      <c r="F57" s="66" t="s">
        <v>2032</v>
      </c>
      <c r="G57" s="46" t="s">
        <v>30</v>
      </c>
      <c r="H57" s="65">
        <v>42116</v>
      </c>
      <c r="I57" s="64">
        <v>42117</v>
      </c>
      <c r="J57" s="46">
        <v>23</v>
      </c>
      <c r="K57" s="36" t="s">
        <v>31</v>
      </c>
      <c r="L57" s="60" t="s">
        <v>32</v>
      </c>
      <c r="M57" s="62"/>
      <c r="N57" s="62"/>
      <c r="O57" s="63"/>
      <c r="P57" s="63"/>
    </row>
    <row r="58" spans="1:16" ht="24.75" customHeight="1" x14ac:dyDescent="0.25">
      <c r="A58" s="11" t="str">
        <f t="shared" si="0"/>
        <v>VISTOS BUENOS</v>
      </c>
      <c r="B58" s="22">
        <v>3</v>
      </c>
      <c r="C58" s="46">
        <v>26</v>
      </c>
      <c r="D58" s="46">
        <v>50</v>
      </c>
      <c r="E58" s="60" t="s">
        <v>1877</v>
      </c>
      <c r="F58" s="66" t="s">
        <v>2033</v>
      </c>
      <c r="G58" s="46" t="s">
        <v>30</v>
      </c>
      <c r="H58" s="65">
        <v>42117</v>
      </c>
      <c r="I58" s="64">
        <v>42142</v>
      </c>
      <c r="J58" s="46">
        <v>54</v>
      </c>
      <c r="K58" s="36" t="s">
        <v>31</v>
      </c>
      <c r="L58" s="60" t="s">
        <v>32</v>
      </c>
      <c r="M58" s="62"/>
      <c r="N58" s="62"/>
      <c r="O58" s="63"/>
      <c r="P58" s="63"/>
    </row>
    <row r="59" spans="1:16" ht="24.75" customHeight="1" x14ac:dyDescent="0.25">
      <c r="A59" s="11" t="str">
        <f t="shared" si="0"/>
        <v>VISTOS BUENOS</v>
      </c>
      <c r="B59" s="22">
        <v>3</v>
      </c>
      <c r="C59" s="46">
        <v>27</v>
      </c>
      <c r="D59" s="46">
        <v>51</v>
      </c>
      <c r="E59" s="60" t="s">
        <v>1878</v>
      </c>
      <c r="F59" s="66" t="s">
        <v>2034</v>
      </c>
      <c r="G59" s="46" t="s">
        <v>30</v>
      </c>
      <c r="H59" s="65">
        <v>42118</v>
      </c>
      <c r="I59" s="64">
        <v>42121</v>
      </c>
      <c r="J59" s="46">
        <v>123</v>
      </c>
      <c r="K59" s="36" t="s">
        <v>31</v>
      </c>
      <c r="L59" s="60" t="s">
        <v>32</v>
      </c>
      <c r="M59" s="62"/>
      <c r="N59" s="62"/>
      <c r="O59" s="63"/>
      <c r="P59" s="63"/>
    </row>
    <row r="60" spans="1:16" ht="24.75" customHeight="1" x14ac:dyDescent="0.25">
      <c r="A60" s="11" t="str">
        <f t="shared" si="0"/>
        <v>VISTOS BUENOS</v>
      </c>
      <c r="B60" s="22">
        <v>3</v>
      </c>
      <c r="C60" s="46">
        <v>28</v>
      </c>
      <c r="D60" s="46">
        <v>52</v>
      </c>
      <c r="E60" s="60" t="s">
        <v>1879</v>
      </c>
      <c r="F60" s="66" t="s">
        <v>2035</v>
      </c>
      <c r="G60" s="46" t="s">
        <v>30</v>
      </c>
      <c r="H60" s="65">
        <v>42135</v>
      </c>
      <c r="I60" s="64">
        <v>42135</v>
      </c>
      <c r="J60" s="46">
        <v>71</v>
      </c>
      <c r="K60" s="36" t="s">
        <v>31</v>
      </c>
      <c r="L60" s="60" t="s">
        <v>32</v>
      </c>
      <c r="M60" s="62"/>
      <c r="N60" s="62"/>
      <c r="O60" s="63"/>
      <c r="P60" s="63"/>
    </row>
    <row r="61" spans="1:16" ht="24.75" customHeight="1" x14ac:dyDescent="0.25">
      <c r="A61" s="11" t="str">
        <f t="shared" si="0"/>
        <v>VISTOS BUENOS</v>
      </c>
      <c r="B61" s="22">
        <v>3</v>
      </c>
      <c r="C61" s="46">
        <v>28</v>
      </c>
      <c r="D61" s="46">
        <v>53</v>
      </c>
      <c r="E61" s="60" t="s">
        <v>1880</v>
      </c>
      <c r="F61" s="66" t="s">
        <v>2036</v>
      </c>
      <c r="G61" s="46" t="s">
        <v>30</v>
      </c>
      <c r="H61" s="65">
        <v>42138</v>
      </c>
      <c r="I61" s="64">
        <v>42138</v>
      </c>
      <c r="J61" s="46">
        <v>28</v>
      </c>
      <c r="K61" s="36" t="s">
        <v>31</v>
      </c>
      <c r="L61" s="60" t="s">
        <v>32</v>
      </c>
      <c r="M61" s="62"/>
      <c r="N61" s="62"/>
      <c r="O61" s="63"/>
      <c r="P61" s="63"/>
    </row>
    <row r="62" spans="1:16" ht="24.75" customHeight="1" x14ac:dyDescent="0.25">
      <c r="A62" s="11" t="str">
        <f t="shared" si="0"/>
        <v>VISTOS BUENOS</v>
      </c>
      <c r="B62" s="22">
        <v>3</v>
      </c>
      <c r="C62" s="46">
        <v>29</v>
      </c>
      <c r="D62" s="46">
        <v>54</v>
      </c>
      <c r="E62" s="60" t="s">
        <v>1881</v>
      </c>
      <c r="F62" s="66" t="s">
        <v>2037</v>
      </c>
      <c r="G62" s="46" t="s">
        <v>30</v>
      </c>
      <c r="H62" s="65">
        <v>42144</v>
      </c>
      <c r="I62" s="64">
        <v>42145</v>
      </c>
      <c r="J62" s="46">
        <v>37</v>
      </c>
      <c r="K62" s="36" t="s">
        <v>31</v>
      </c>
      <c r="L62" s="60" t="s">
        <v>32</v>
      </c>
      <c r="M62" s="62"/>
      <c r="N62" s="62"/>
      <c r="O62" s="63"/>
      <c r="P62" s="63"/>
    </row>
    <row r="63" spans="1:16" ht="24.75" customHeight="1" x14ac:dyDescent="0.25">
      <c r="A63" s="11" t="str">
        <f t="shared" si="0"/>
        <v>VISTOS BUENOS</v>
      </c>
      <c r="B63" s="22">
        <v>4</v>
      </c>
      <c r="C63" s="46">
        <v>29</v>
      </c>
      <c r="D63" s="46">
        <v>55</v>
      </c>
      <c r="E63" s="60" t="s">
        <v>1882</v>
      </c>
      <c r="F63" s="66" t="s">
        <v>2038</v>
      </c>
      <c r="G63" s="46" t="s">
        <v>30</v>
      </c>
      <c r="H63" s="65">
        <v>42146</v>
      </c>
      <c r="I63" s="64">
        <v>42149</v>
      </c>
      <c r="J63" s="46">
        <v>18</v>
      </c>
      <c r="K63" s="36" t="s">
        <v>31</v>
      </c>
      <c r="L63" s="60" t="s">
        <v>32</v>
      </c>
      <c r="M63" s="62"/>
      <c r="N63" s="62"/>
      <c r="O63" s="63"/>
      <c r="P63" s="63"/>
    </row>
    <row r="64" spans="1:16" ht="24.75" customHeight="1" x14ac:dyDescent="0.25">
      <c r="A64" s="11" t="str">
        <f t="shared" si="0"/>
        <v>VISTOS BUENOS</v>
      </c>
      <c r="B64" s="22">
        <v>4</v>
      </c>
      <c r="C64" s="46">
        <v>29</v>
      </c>
      <c r="D64" s="46">
        <v>56</v>
      </c>
      <c r="E64" s="60" t="s">
        <v>1883</v>
      </c>
      <c r="F64" s="66" t="s">
        <v>2039</v>
      </c>
      <c r="G64" s="46" t="s">
        <v>30</v>
      </c>
      <c r="H64" s="65">
        <v>42151</v>
      </c>
      <c r="I64" s="64">
        <v>42152</v>
      </c>
      <c r="J64" s="46">
        <v>27</v>
      </c>
      <c r="K64" s="36" t="s">
        <v>31</v>
      </c>
      <c r="L64" s="60" t="s">
        <v>32</v>
      </c>
      <c r="M64" s="62"/>
      <c r="N64" s="62"/>
      <c r="O64" s="63"/>
      <c r="P64" s="63"/>
    </row>
    <row r="65" spans="1:16" ht="24.75" customHeight="1" x14ac:dyDescent="0.25">
      <c r="A65" s="11" t="str">
        <f t="shared" si="0"/>
        <v>VISTOS BUENOS</v>
      </c>
      <c r="B65" s="22">
        <v>4</v>
      </c>
      <c r="C65" s="46">
        <v>30</v>
      </c>
      <c r="D65" s="46">
        <v>57</v>
      </c>
      <c r="E65" s="60" t="s">
        <v>1884</v>
      </c>
      <c r="F65" s="66" t="s">
        <v>2040</v>
      </c>
      <c r="G65" s="46" t="s">
        <v>30</v>
      </c>
      <c r="H65" s="65">
        <v>42151</v>
      </c>
      <c r="I65" s="64">
        <v>42152</v>
      </c>
      <c r="J65" s="46">
        <v>44</v>
      </c>
      <c r="K65" s="36" t="s">
        <v>31</v>
      </c>
      <c r="L65" s="60" t="s">
        <v>32</v>
      </c>
      <c r="M65" s="62"/>
      <c r="N65" s="62"/>
      <c r="O65" s="63"/>
      <c r="P65" s="63"/>
    </row>
    <row r="66" spans="1:16" ht="24.75" customHeight="1" x14ac:dyDescent="0.25">
      <c r="A66" s="11" t="str">
        <f t="shared" si="0"/>
        <v>VISTOS BUENOS</v>
      </c>
      <c r="B66" s="22">
        <v>4</v>
      </c>
      <c r="C66" s="46">
        <v>31</v>
      </c>
      <c r="D66" s="46">
        <v>58</v>
      </c>
      <c r="E66" s="60" t="s">
        <v>1885</v>
      </c>
      <c r="F66" s="66" t="s">
        <v>2041</v>
      </c>
      <c r="G66" s="46" t="s">
        <v>30</v>
      </c>
      <c r="H66" s="65">
        <v>42152</v>
      </c>
      <c r="I66" s="64">
        <v>42156</v>
      </c>
      <c r="J66" s="46">
        <v>81</v>
      </c>
      <c r="K66" s="36" t="s">
        <v>31</v>
      </c>
      <c r="L66" s="60" t="s">
        <v>32</v>
      </c>
      <c r="M66" s="62"/>
      <c r="N66" s="62"/>
      <c r="O66" s="63"/>
      <c r="P66" s="63"/>
    </row>
    <row r="67" spans="1:16" ht="24.75" customHeight="1" x14ac:dyDescent="0.25">
      <c r="A67" s="11" t="str">
        <f t="shared" si="0"/>
        <v>VISTOS BUENOS</v>
      </c>
      <c r="B67" s="22">
        <v>4</v>
      </c>
      <c r="C67" s="46" t="s">
        <v>2147</v>
      </c>
      <c r="D67" s="46">
        <v>59</v>
      </c>
      <c r="E67" s="60" t="s">
        <v>1886</v>
      </c>
      <c r="F67" s="66" t="s">
        <v>2042</v>
      </c>
      <c r="G67" s="46" t="s">
        <v>30</v>
      </c>
      <c r="H67" s="65">
        <v>42153</v>
      </c>
      <c r="I67" s="64">
        <v>42156</v>
      </c>
      <c r="J67" s="46">
        <v>196</v>
      </c>
      <c r="K67" s="36" t="s">
        <v>31</v>
      </c>
      <c r="L67" s="60" t="s">
        <v>32</v>
      </c>
      <c r="M67" s="62"/>
      <c r="N67" s="62"/>
      <c r="O67" s="63"/>
      <c r="P67" s="63"/>
    </row>
    <row r="68" spans="1:16" ht="24.75" customHeight="1" x14ac:dyDescent="0.25">
      <c r="A68" s="11" t="str">
        <f t="shared" si="0"/>
        <v>VISTOS BUENOS</v>
      </c>
      <c r="B68" s="22">
        <v>4</v>
      </c>
      <c r="C68" s="46">
        <v>34</v>
      </c>
      <c r="D68" s="46">
        <v>60</v>
      </c>
      <c r="E68" s="60" t="s">
        <v>1887</v>
      </c>
      <c r="F68" s="66" t="s">
        <v>2043</v>
      </c>
      <c r="G68" s="46" t="s">
        <v>30</v>
      </c>
      <c r="H68" s="65">
        <v>42153</v>
      </c>
      <c r="I68" s="64">
        <v>42156</v>
      </c>
      <c r="J68" s="46">
        <v>59</v>
      </c>
      <c r="K68" s="36" t="s">
        <v>31</v>
      </c>
      <c r="L68" s="60" t="s">
        <v>32</v>
      </c>
      <c r="M68" s="62"/>
      <c r="N68" s="62"/>
      <c r="O68" s="63"/>
      <c r="P68" s="63"/>
    </row>
    <row r="69" spans="1:16" ht="24.75" customHeight="1" x14ac:dyDescent="0.25">
      <c r="A69" s="11" t="str">
        <f t="shared" si="0"/>
        <v>VISTOS BUENOS</v>
      </c>
      <c r="B69" s="22">
        <v>4</v>
      </c>
      <c r="C69" s="46">
        <v>35</v>
      </c>
      <c r="D69" s="46">
        <v>61</v>
      </c>
      <c r="E69" s="60" t="s">
        <v>1888</v>
      </c>
      <c r="F69" s="66" t="s">
        <v>2044</v>
      </c>
      <c r="G69" s="46" t="s">
        <v>30</v>
      </c>
      <c r="H69" s="65">
        <v>42156</v>
      </c>
      <c r="I69" s="64">
        <v>42157</v>
      </c>
      <c r="J69" s="46">
        <v>20</v>
      </c>
      <c r="K69" s="36" t="s">
        <v>31</v>
      </c>
      <c r="L69" s="60" t="s">
        <v>32</v>
      </c>
      <c r="M69" s="62"/>
      <c r="N69" s="62"/>
      <c r="O69" s="63"/>
      <c r="P69" s="63"/>
    </row>
    <row r="70" spans="1:16" ht="24.75" customHeight="1" x14ac:dyDescent="0.25">
      <c r="A70" s="11" t="str">
        <f t="shared" si="0"/>
        <v>VISTOS BUENOS</v>
      </c>
      <c r="B70" s="22">
        <v>4</v>
      </c>
      <c r="C70" s="46">
        <v>35</v>
      </c>
      <c r="D70" s="46">
        <v>62</v>
      </c>
      <c r="E70" s="60" t="s">
        <v>1889</v>
      </c>
      <c r="F70" s="66" t="s">
        <v>2045</v>
      </c>
      <c r="G70" s="46" t="s">
        <v>30</v>
      </c>
      <c r="H70" s="65">
        <v>42156</v>
      </c>
      <c r="I70" s="64">
        <v>42157</v>
      </c>
      <c r="J70" s="46">
        <v>18</v>
      </c>
      <c r="K70" s="36" t="s">
        <v>31</v>
      </c>
      <c r="L70" s="60" t="s">
        <v>32</v>
      </c>
      <c r="M70" s="62"/>
      <c r="N70" s="62"/>
      <c r="O70" s="63"/>
      <c r="P70" s="63"/>
    </row>
    <row r="71" spans="1:16" ht="24.75" customHeight="1" x14ac:dyDescent="0.25">
      <c r="A71" s="11" t="str">
        <f t="shared" si="0"/>
        <v>VISTOS BUENOS</v>
      </c>
      <c r="B71" s="22">
        <v>4</v>
      </c>
      <c r="C71" s="46">
        <v>35</v>
      </c>
      <c r="D71" s="46">
        <v>63</v>
      </c>
      <c r="E71" s="60" t="s">
        <v>1890</v>
      </c>
      <c r="F71" s="66" t="s">
        <v>2046</v>
      </c>
      <c r="G71" s="46" t="s">
        <v>30</v>
      </c>
      <c r="H71" s="65">
        <v>42157</v>
      </c>
      <c r="I71" s="64">
        <v>42158</v>
      </c>
      <c r="J71" s="46">
        <v>10</v>
      </c>
      <c r="K71" s="36" t="s">
        <v>31</v>
      </c>
      <c r="L71" s="60" t="s">
        <v>32</v>
      </c>
      <c r="M71" s="62"/>
      <c r="N71" s="62"/>
      <c r="O71" s="63"/>
      <c r="P71" s="63"/>
    </row>
    <row r="72" spans="1:16" ht="24.75" customHeight="1" x14ac:dyDescent="0.25">
      <c r="A72" s="11" t="str">
        <f t="shared" si="0"/>
        <v>VISTOS BUENOS</v>
      </c>
      <c r="B72" s="22">
        <v>4</v>
      </c>
      <c r="C72" s="46">
        <v>35</v>
      </c>
      <c r="D72" s="46">
        <v>64</v>
      </c>
      <c r="E72" s="60" t="s">
        <v>1891</v>
      </c>
      <c r="F72" s="66" t="s">
        <v>2047</v>
      </c>
      <c r="G72" s="46" t="s">
        <v>30</v>
      </c>
      <c r="H72" s="65">
        <v>42163</v>
      </c>
      <c r="I72" s="64">
        <v>42163</v>
      </c>
      <c r="J72" s="46">
        <v>36</v>
      </c>
      <c r="K72" s="36" t="s">
        <v>31</v>
      </c>
      <c r="L72" s="60" t="s">
        <v>32</v>
      </c>
      <c r="M72" s="62"/>
      <c r="N72" s="62"/>
      <c r="O72" s="63"/>
      <c r="P72" s="63"/>
    </row>
    <row r="73" spans="1:16" ht="24.75" customHeight="1" x14ac:dyDescent="0.25">
      <c r="A73" s="11" t="str">
        <f t="shared" si="0"/>
        <v>VISTOS BUENOS</v>
      </c>
      <c r="B73" s="22">
        <v>4</v>
      </c>
      <c r="C73" s="46">
        <v>36</v>
      </c>
      <c r="D73" s="46">
        <v>65</v>
      </c>
      <c r="E73" s="60" t="s">
        <v>1892</v>
      </c>
      <c r="F73" s="66" t="s">
        <v>2048</v>
      </c>
      <c r="G73" s="46" t="s">
        <v>30</v>
      </c>
      <c r="H73" s="65">
        <v>42165</v>
      </c>
      <c r="I73" s="64">
        <v>42166</v>
      </c>
      <c r="J73" s="46">
        <v>36</v>
      </c>
      <c r="K73" s="36" t="s">
        <v>31</v>
      </c>
      <c r="L73" s="60" t="s">
        <v>32</v>
      </c>
      <c r="M73" s="62"/>
      <c r="N73" s="62"/>
      <c r="O73" s="63"/>
      <c r="P73" s="63"/>
    </row>
    <row r="74" spans="1:16" ht="24.75" customHeight="1" x14ac:dyDescent="0.25">
      <c r="A74" s="11" t="str">
        <f t="shared" si="0"/>
        <v>VISTOS BUENOS</v>
      </c>
      <c r="B74" s="22">
        <v>4</v>
      </c>
      <c r="C74" s="46">
        <v>36</v>
      </c>
      <c r="D74" s="46">
        <v>66</v>
      </c>
      <c r="E74" s="60" t="s">
        <v>1893</v>
      </c>
      <c r="F74" s="66" t="s">
        <v>2049</v>
      </c>
      <c r="G74" s="46" t="s">
        <v>30</v>
      </c>
      <c r="H74" s="65">
        <v>42170</v>
      </c>
      <c r="I74" s="64">
        <v>42171</v>
      </c>
      <c r="J74" s="46">
        <v>21</v>
      </c>
      <c r="K74" s="36" t="s">
        <v>31</v>
      </c>
      <c r="L74" s="60" t="s">
        <v>32</v>
      </c>
      <c r="M74" s="62"/>
      <c r="N74" s="62"/>
      <c r="O74" s="63"/>
      <c r="P74" s="63"/>
    </row>
    <row r="75" spans="1:16" ht="24.75" customHeight="1" x14ac:dyDescent="0.25">
      <c r="A75" s="11" t="str">
        <f t="shared" ref="A75:A138" si="1">A74</f>
        <v>VISTOS BUENOS</v>
      </c>
      <c r="B75" s="22">
        <v>4</v>
      </c>
      <c r="C75" s="46">
        <v>36</v>
      </c>
      <c r="D75" s="46">
        <v>67</v>
      </c>
      <c r="E75" s="60" t="s">
        <v>1894</v>
      </c>
      <c r="F75" s="66" t="s">
        <v>2050</v>
      </c>
      <c r="G75" s="46" t="s">
        <v>30</v>
      </c>
      <c r="H75" s="65">
        <v>42171</v>
      </c>
      <c r="I75" s="64">
        <v>42172</v>
      </c>
      <c r="J75" s="46">
        <v>29</v>
      </c>
      <c r="K75" s="36" t="s">
        <v>31</v>
      </c>
      <c r="L75" s="60" t="s">
        <v>32</v>
      </c>
      <c r="M75" s="62"/>
      <c r="N75" s="62"/>
      <c r="O75" s="63"/>
      <c r="P75" s="63"/>
    </row>
    <row r="76" spans="1:16" ht="24.75" customHeight="1" x14ac:dyDescent="0.25">
      <c r="A76" s="11" t="str">
        <f t="shared" si="1"/>
        <v>VISTOS BUENOS</v>
      </c>
      <c r="B76" s="22">
        <v>4</v>
      </c>
      <c r="C76" s="46">
        <v>37</v>
      </c>
      <c r="D76" s="46">
        <v>68</v>
      </c>
      <c r="E76" s="60" t="s">
        <v>1895</v>
      </c>
      <c r="F76" s="66" t="s">
        <v>2051</v>
      </c>
      <c r="G76" s="46" t="s">
        <v>30</v>
      </c>
      <c r="H76" s="65">
        <v>42173</v>
      </c>
      <c r="I76" s="64">
        <v>42174</v>
      </c>
      <c r="J76" s="46">
        <v>29</v>
      </c>
      <c r="K76" s="36" t="s">
        <v>31</v>
      </c>
      <c r="L76" s="60" t="s">
        <v>32</v>
      </c>
      <c r="M76" s="62"/>
      <c r="N76" s="62"/>
      <c r="O76" s="63"/>
      <c r="P76" s="63"/>
    </row>
    <row r="77" spans="1:16" ht="24.75" customHeight="1" x14ac:dyDescent="0.25">
      <c r="A77" s="11" t="str">
        <f t="shared" si="1"/>
        <v>VISTOS BUENOS</v>
      </c>
      <c r="B77" s="22">
        <v>4</v>
      </c>
      <c r="C77" s="46">
        <v>37</v>
      </c>
      <c r="D77" s="46">
        <v>69</v>
      </c>
      <c r="E77" s="60" t="s">
        <v>1896</v>
      </c>
      <c r="F77" s="66" t="s">
        <v>2052</v>
      </c>
      <c r="G77" s="46" t="s">
        <v>30</v>
      </c>
      <c r="H77" s="65">
        <v>42173</v>
      </c>
      <c r="I77" s="64">
        <v>42174</v>
      </c>
      <c r="J77" s="46">
        <v>56</v>
      </c>
      <c r="K77" s="36" t="s">
        <v>31</v>
      </c>
      <c r="L77" s="60" t="s">
        <v>32</v>
      </c>
      <c r="M77" s="62"/>
      <c r="N77" s="62"/>
      <c r="O77" s="63"/>
      <c r="P77" s="63"/>
    </row>
    <row r="78" spans="1:16" ht="24.75" customHeight="1" x14ac:dyDescent="0.25">
      <c r="A78" s="11" t="str">
        <f t="shared" si="1"/>
        <v>VISTOS BUENOS</v>
      </c>
      <c r="B78" s="22">
        <v>4</v>
      </c>
      <c r="C78" s="46" t="s">
        <v>2148</v>
      </c>
      <c r="D78" s="46">
        <v>70</v>
      </c>
      <c r="E78" s="60" t="s">
        <v>1897</v>
      </c>
      <c r="F78" s="66" t="s">
        <v>2053</v>
      </c>
      <c r="G78" s="46" t="s">
        <v>30</v>
      </c>
      <c r="H78" s="65">
        <v>42173</v>
      </c>
      <c r="I78" s="64">
        <v>42174</v>
      </c>
      <c r="J78" s="46">
        <v>230</v>
      </c>
      <c r="K78" s="36" t="s">
        <v>31</v>
      </c>
      <c r="L78" s="60" t="s">
        <v>32</v>
      </c>
      <c r="M78" s="62"/>
      <c r="N78" s="62"/>
      <c r="O78" s="63"/>
      <c r="P78" s="63"/>
    </row>
    <row r="79" spans="1:16" ht="24.75" customHeight="1" x14ac:dyDescent="0.25">
      <c r="A79" s="11" t="str">
        <f t="shared" si="1"/>
        <v>VISTOS BUENOS</v>
      </c>
      <c r="B79" s="22">
        <v>4</v>
      </c>
      <c r="C79" s="46" t="s">
        <v>2149</v>
      </c>
      <c r="D79" s="46">
        <v>71</v>
      </c>
      <c r="E79" s="60" t="s">
        <v>1898</v>
      </c>
      <c r="F79" s="66" t="s">
        <v>2054</v>
      </c>
      <c r="G79" s="46" t="s">
        <v>30</v>
      </c>
      <c r="H79" s="65">
        <v>42177</v>
      </c>
      <c r="I79" s="64">
        <v>42178</v>
      </c>
      <c r="J79" s="46">
        <v>191</v>
      </c>
      <c r="K79" s="36" t="s">
        <v>31</v>
      </c>
      <c r="L79" s="60" t="s">
        <v>32</v>
      </c>
      <c r="M79" s="62"/>
      <c r="N79" s="62"/>
      <c r="O79" s="63"/>
      <c r="P79" s="63"/>
    </row>
    <row r="80" spans="1:16" ht="24.75" customHeight="1" x14ac:dyDescent="0.25">
      <c r="A80" s="11" t="str">
        <f t="shared" si="1"/>
        <v>VISTOS BUENOS</v>
      </c>
      <c r="B80" s="22">
        <v>5</v>
      </c>
      <c r="C80" s="46">
        <v>42</v>
      </c>
      <c r="D80" s="46">
        <v>72</v>
      </c>
      <c r="E80" s="60" t="s">
        <v>1899</v>
      </c>
      <c r="F80" s="66" t="s">
        <v>2055</v>
      </c>
      <c r="G80" s="46" t="s">
        <v>30</v>
      </c>
      <c r="H80" s="65">
        <v>42178</v>
      </c>
      <c r="I80" s="64">
        <v>42179</v>
      </c>
      <c r="J80" s="46">
        <v>110</v>
      </c>
      <c r="K80" s="36" t="s">
        <v>31</v>
      </c>
      <c r="L80" s="60" t="s">
        <v>32</v>
      </c>
      <c r="M80" s="62"/>
      <c r="N80" s="62"/>
      <c r="O80" s="63"/>
      <c r="P80" s="63"/>
    </row>
    <row r="81" spans="1:16" ht="24.75" customHeight="1" x14ac:dyDescent="0.25">
      <c r="A81" s="11" t="str">
        <f t="shared" si="1"/>
        <v>VISTOS BUENOS</v>
      </c>
      <c r="B81" s="22">
        <v>5</v>
      </c>
      <c r="C81" s="46">
        <v>43</v>
      </c>
      <c r="D81" s="46">
        <v>73</v>
      </c>
      <c r="E81" s="60" t="s">
        <v>1900</v>
      </c>
      <c r="F81" s="66" t="s">
        <v>2056</v>
      </c>
      <c r="G81" s="46" t="s">
        <v>30</v>
      </c>
      <c r="H81" s="65">
        <v>42180</v>
      </c>
      <c r="I81" s="64">
        <v>42180</v>
      </c>
      <c r="J81" s="46">
        <v>53</v>
      </c>
      <c r="K81" s="36" t="s">
        <v>31</v>
      </c>
      <c r="L81" s="60" t="s">
        <v>32</v>
      </c>
      <c r="M81" s="62"/>
      <c r="N81" s="62"/>
      <c r="O81" s="63"/>
      <c r="P81" s="63"/>
    </row>
    <row r="82" spans="1:16" ht="24.75" customHeight="1" x14ac:dyDescent="0.25">
      <c r="A82" s="11" t="str">
        <f t="shared" si="1"/>
        <v>VISTOS BUENOS</v>
      </c>
      <c r="B82" s="22">
        <v>5</v>
      </c>
      <c r="C82" s="46">
        <v>43</v>
      </c>
      <c r="D82" s="46">
        <v>74</v>
      </c>
      <c r="E82" s="60" t="s">
        <v>1901</v>
      </c>
      <c r="F82" s="66" t="s">
        <v>2057</v>
      </c>
      <c r="G82" s="46" t="s">
        <v>30</v>
      </c>
      <c r="H82" s="65">
        <v>42180</v>
      </c>
      <c r="I82" s="64">
        <v>42181</v>
      </c>
      <c r="J82" s="46">
        <v>25</v>
      </c>
      <c r="K82" s="36" t="s">
        <v>31</v>
      </c>
      <c r="L82" s="60" t="s">
        <v>32</v>
      </c>
      <c r="M82" s="62"/>
      <c r="N82" s="62"/>
      <c r="O82" s="63"/>
      <c r="P82" s="63"/>
    </row>
    <row r="83" spans="1:16" ht="24.75" customHeight="1" x14ac:dyDescent="0.25">
      <c r="A83" s="11" t="str">
        <f t="shared" si="1"/>
        <v>VISTOS BUENOS</v>
      </c>
      <c r="B83" s="22">
        <v>5</v>
      </c>
      <c r="C83" s="46">
        <v>44</v>
      </c>
      <c r="D83" s="46">
        <v>75</v>
      </c>
      <c r="E83" s="60" t="s">
        <v>1902</v>
      </c>
      <c r="F83" s="66" t="s">
        <v>2058</v>
      </c>
      <c r="G83" s="46" t="s">
        <v>30</v>
      </c>
      <c r="H83" s="65">
        <v>42184</v>
      </c>
      <c r="I83" s="64">
        <v>42185</v>
      </c>
      <c r="J83" s="46">
        <v>31</v>
      </c>
      <c r="K83" s="36" t="s">
        <v>31</v>
      </c>
      <c r="L83" s="60" t="s">
        <v>32</v>
      </c>
      <c r="M83" s="62"/>
      <c r="N83" s="62"/>
      <c r="O83" s="63"/>
      <c r="P83" s="63"/>
    </row>
    <row r="84" spans="1:16" ht="24.75" customHeight="1" x14ac:dyDescent="0.25">
      <c r="A84" s="11" t="str">
        <f t="shared" si="1"/>
        <v>VISTOS BUENOS</v>
      </c>
      <c r="B84" s="22">
        <v>5</v>
      </c>
      <c r="C84" s="46" t="s">
        <v>2150</v>
      </c>
      <c r="D84" s="46">
        <v>76</v>
      </c>
      <c r="E84" s="60" t="s">
        <v>1903</v>
      </c>
      <c r="F84" s="66" t="s">
        <v>2059</v>
      </c>
      <c r="G84" s="46" t="s">
        <v>30</v>
      </c>
      <c r="H84" s="65">
        <v>42185</v>
      </c>
      <c r="I84" s="64">
        <v>42185</v>
      </c>
      <c r="J84" s="46">
        <v>230</v>
      </c>
      <c r="K84" s="36" t="s">
        <v>31</v>
      </c>
      <c r="L84" s="60" t="s">
        <v>32</v>
      </c>
      <c r="M84" s="62"/>
      <c r="N84" s="62"/>
      <c r="O84" s="63"/>
      <c r="P84" s="63"/>
    </row>
    <row r="85" spans="1:16" ht="24.75" customHeight="1" x14ac:dyDescent="0.25">
      <c r="A85" s="11" t="str">
        <f t="shared" si="1"/>
        <v>VISTOS BUENOS</v>
      </c>
      <c r="B85" s="22">
        <v>5</v>
      </c>
      <c r="C85" s="46" t="s">
        <v>2151</v>
      </c>
      <c r="D85" s="46">
        <v>77</v>
      </c>
      <c r="E85" s="60" t="s">
        <v>1904</v>
      </c>
      <c r="F85" s="66" t="s">
        <v>2060</v>
      </c>
      <c r="G85" s="46" t="s">
        <v>30</v>
      </c>
      <c r="H85" s="65">
        <v>42185</v>
      </c>
      <c r="I85" s="64">
        <v>42186</v>
      </c>
      <c r="J85" s="46">
        <v>197</v>
      </c>
      <c r="K85" s="36" t="s">
        <v>31</v>
      </c>
      <c r="L85" s="60" t="s">
        <v>32</v>
      </c>
      <c r="M85" s="62"/>
      <c r="N85" s="62"/>
      <c r="O85" s="63"/>
      <c r="P85" s="63"/>
    </row>
    <row r="86" spans="1:16" ht="24.75" customHeight="1" x14ac:dyDescent="0.25">
      <c r="A86" s="11" t="str">
        <f t="shared" si="1"/>
        <v>VISTOS BUENOS</v>
      </c>
      <c r="B86" s="22">
        <v>5</v>
      </c>
      <c r="C86" s="46">
        <v>49</v>
      </c>
      <c r="D86" s="46">
        <v>78</v>
      </c>
      <c r="E86" s="60" t="s">
        <v>1905</v>
      </c>
      <c r="F86" s="66" t="s">
        <v>2061</v>
      </c>
      <c r="G86" s="46" t="s">
        <v>30</v>
      </c>
      <c r="H86" s="65">
        <v>42185</v>
      </c>
      <c r="I86" s="64">
        <v>42185</v>
      </c>
      <c r="J86" s="46">
        <v>73</v>
      </c>
      <c r="K86" s="36" t="s">
        <v>31</v>
      </c>
      <c r="L86" s="60" t="s">
        <v>32</v>
      </c>
      <c r="M86" s="62"/>
      <c r="N86" s="62"/>
      <c r="O86" s="63"/>
      <c r="P86" s="63"/>
    </row>
    <row r="87" spans="1:16" ht="24.75" customHeight="1" x14ac:dyDescent="0.25">
      <c r="A87" s="11" t="str">
        <f t="shared" si="1"/>
        <v>VISTOS BUENOS</v>
      </c>
      <c r="B87" s="22">
        <v>5</v>
      </c>
      <c r="C87" s="46" t="s">
        <v>1828</v>
      </c>
      <c r="D87" s="46">
        <v>79</v>
      </c>
      <c r="E87" s="60" t="s">
        <v>1906</v>
      </c>
      <c r="F87" s="66" t="s">
        <v>2062</v>
      </c>
      <c r="G87" s="46" t="s">
        <v>30</v>
      </c>
      <c r="H87" s="65">
        <v>42193</v>
      </c>
      <c r="I87" s="64">
        <v>42193</v>
      </c>
      <c r="J87" s="46">
        <v>210</v>
      </c>
      <c r="K87" s="36" t="s">
        <v>31</v>
      </c>
      <c r="L87" s="60" t="s">
        <v>32</v>
      </c>
      <c r="M87" s="62"/>
      <c r="N87" s="62"/>
      <c r="O87" s="63"/>
      <c r="P87" s="63"/>
    </row>
    <row r="88" spans="1:16" ht="24.75" customHeight="1" x14ac:dyDescent="0.25">
      <c r="A88" s="11" t="str">
        <f t="shared" si="1"/>
        <v>VISTOS BUENOS</v>
      </c>
      <c r="B88" s="22">
        <v>6</v>
      </c>
      <c r="C88" s="46" t="s">
        <v>1520</v>
      </c>
      <c r="D88" s="46">
        <v>80</v>
      </c>
      <c r="E88" s="60" t="s">
        <v>1907</v>
      </c>
      <c r="F88" s="66" t="s">
        <v>2063</v>
      </c>
      <c r="G88" s="46" t="s">
        <v>30</v>
      </c>
      <c r="H88" s="65">
        <v>42193</v>
      </c>
      <c r="I88" s="64">
        <v>42193</v>
      </c>
      <c r="J88" s="46">
        <v>176</v>
      </c>
      <c r="K88" s="36" t="s">
        <v>31</v>
      </c>
      <c r="L88" s="60" t="s">
        <v>32</v>
      </c>
      <c r="M88" s="62"/>
      <c r="N88" s="62"/>
      <c r="O88" s="63"/>
      <c r="P88" s="63"/>
    </row>
    <row r="89" spans="1:16" ht="24.75" customHeight="1" x14ac:dyDescent="0.25">
      <c r="A89" s="11" t="str">
        <f t="shared" si="1"/>
        <v>VISTOS BUENOS</v>
      </c>
      <c r="B89" s="22">
        <v>6</v>
      </c>
      <c r="C89" s="46">
        <v>54</v>
      </c>
      <c r="D89" s="46">
        <v>81</v>
      </c>
      <c r="E89" s="60" t="s">
        <v>1908</v>
      </c>
      <c r="F89" s="66" t="s">
        <v>2064</v>
      </c>
      <c r="G89" s="46" t="s">
        <v>30</v>
      </c>
      <c r="H89" s="65">
        <v>42193</v>
      </c>
      <c r="I89" s="64">
        <v>42194</v>
      </c>
      <c r="J89" s="46">
        <v>76</v>
      </c>
      <c r="K89" s="36" t="s">
        <v>31</v>
      </c>
      <c r="L89" s="60" t="s">
        <v>32</v>
      </c>
      <c r="M89" s="62"/>
      <c r="N89" s="62"/>
      <c r="O89" s="63"/>
      <c r="P89" s="63"/>
    </row>
    <row r="90" spans="1:16" ht="24.75" customHeight="1" x14ac:dyDescent="0.25">
      <c r="A90" s="11" t="str">
        <f t="shared" si="1"/>
        <v>VISTOS BUENOS</v>
      </c>
      <c r="B90" s="22">
        <v>6</v>
      </c>
      <c r="C90" s="46">
        <v>55</v>
      </c>
      <c r="D90" s="46">
        <v>82</v>
      </c>
      <c r="E90" s="60" t="s">
        <v>1909</v>
      </c>
      <c r="F90" s="66" t="s">
        <v>2065</v>
      </c>
      <c r="G90" s="46" t="s">
        <v>30</v>
      </c>
      <c r="H90" s="65">
        <v>42194</v>
      </c>
      <c r="I90" s="64">
        <v>42194</v>
      </c>
      <c r="J90" s="46">
        <v>94</v>
      </c>
      <c r="K90" s="36" t="s">
        <v>31</v>
      </c>
      <c r="L90" s="60" t="s">
        <v>32</v>
      </c>
      <c r="M90" s="62"/>
      <c r="N90" s="62"/>
      <c r="O90" s="63"/>
      <c r="P90" s="63"/>
    </row>
    <row r="91" spans="1:16" ht="24.75" customHeight="1" x14ac:dyDescent="0.25">
      <c r="A91" s="11" t="str">
        <f t="shared" si="1"/>
        <v>VISTOS BUENOS</v>
      </c>
      <c r="B91" s="22">
        <v>6</v>
      </c>
      <c r="C91" s="46">
        <v>56</v>
      </c>
      <c r="D91" s="46">
        <v>83</v>
      </c>
      <c r="E91" s="60" t="s">
        <v>1910</v>
      </c>
      <c r="F91" s="66" t="s">
        <v>2066</v>
      </c>
      <c r="G91" s="46" t="s">
        <v>30</v>
      </c>
      <c r="H91" s="65">
        <v>42194</v>
      </c>
      <c r="I91" s="64">
        <v>42196</v>
      </c>
      <c r="J91" s="46">
        <v>45</v>
      </c>
      <c r="K91" s="36" t="s">
        <v>31</v>
      </c>
      <c r="L91" s="60" t="s">
        <v>32</v>
      </c>
      <c r="M91" s="62"/>
      <c r="N91" s="62"/>
      <c r="O91" s="63"/>
      <c r="P91" s="63"/>
    </row>
    <row r="92" spans="1:16" ht="24.75" customHeight="1" x14ac:dyDescent="0.25">
      <c r="A92" s="11" t="str">
        <f t="shared" si="1"/>
        <v>VISTOS BUENOS</v>
      </c>
      <c r="B92" s="22">
        <v>6</v>
      </c>
      <c r="C92" s="46">
        <v>56</v>
      </c>
      <c r="D92" s="46">
        <v>84</v>
      </c>
      <c r="E92" s="60" t="s">
        <v>1911</v>
      </c>
      <c r="F92" s="66" t="s">
        <v>2067</v>
      </c>
      <c r="G92" s="46" t="s">
        <v>30</v>
      </c>
      <c r="H92" s="65">
        <v>42195</v>
      </c>
      <c r="I92" s="64">
        <v>42196</v>
      </c>
      <c r="J92" s="46">
        <v>68</v>
      </c>
      <c r="K92" s="36" t="s">
        <v>31</v>
      </c>
      <c r="L92" s="60" t="s">
        <v>32</v>
      </c>
      <c r="M92" s="62"/>
      <c r="N92" s="62"/>
      <c r="O92" s="63"/>
      <c r="P92" s="63"/>
    </row>
    <row r="93" spans="1:16" ht="24.75" customHeight="1" x14ac:dyDescent="0.25">
      <c r="A93" s="11" t="str">
        <f t="shared" si="1"/>
        <v>VISTOS BUENOS</v>
      </c>
      <c r="B93" s="22">
        <v>6</v>
      </c>
      <c r="C93" s="46">
        <v>57</v>
      </c>
      <c r="D93" s="46">
        <v>85</v>
      </c>
      <c r="E93" s="60" t="s">
        <v>1912</v>
      </c>
      <c r="F93" s="66" t="s">
        <v>2068</v>
      </c>
      <c r="G93" s="46" t="s">
        <v>30</v>
      </c>
      <c r="H93" s="65">
        <v>42195</v>
      </c>
      <c r="I93" s="64">
        <v>42196</v>
      </c>
      <c r="J93" s="46">
        <v>58</v>
      </c>
      <c r="K93" s="36" t="s">
        <v>31</v>
      </c>
      <c r="L93" s="60" t="s">
        <v>32</v>
      </c>
      <c r="M93" s="62"/>
      <c r="N93" s="62"/>
      <c r="O93" s="63"/>
      <c r="P93" s="63"/>
    </row>
    <row r="94" spans="1:16" ht="24.75" customHeight="1" x14ac:dyDescent="0.25">
      <c r="A94" s="11" t="str">
        <f t="shared" si="1"/>
        <v>VISTOS BUENOS</v>
      </c>
      <c r="B94" s="22">
        <v>6</v>
      </c>
      <c r="C94" s="46">
        <v>58</v>
      </c>
      <c r="D94" s="46">
        <v>86</v>
      </c>
      <c r="E94" s="60" t="s">
        <v>1913</v>
      </c>
      <c r="F94" s="66" t="s">
        <v>2069</v>
      </c>
      <c r="G94" s="46" t="s">
        <v>30</v>
      </c>
      <c r="H94" s="65">
        <v>42195</v>
      </c>
      <c r="I94" s="64">
        <v>42196</v>
      </c>
      <c r="J94" s="46">
        <v>71</v>
      </c>
      <c r="K94" s="36" t="s">
        <v>31</v>
      </c>
      <c r="L94" s="60" t="s">
        <v>32</v>
      </c>
      <c r="M94" s="62"/>
      <c r="N94" s="62"/>
      <c r="O94" s="63"/>
      <c r="P94" s="63"/>
    </row>
    <row r="95" spans="1:16" ht="24.75" customHeight="1" x14ac:dyDescent="0.25">
      <c r="A95" s="11" t="str">
        <f t="shared" si="1"/>
        <v>VISTOS BUENOS</v>
      </c>
      <c r="B95" s="22">
        <v>6</v>
      </c>
      <c r="C95" s="46">
        <v>59</v>
      </c>
      <c r="D95" s="46">
        <v>87</v>
      </c>
      <c r="E95" s="60" t="s">
        <v>1914</v>
      </c>
      <c r="F95" s="66" t="s">
        <v>2070</v>
      </c>
      <c r="G95" s="46" t="s">
        <v>30</v>
      </c>
      <c r="H95" s="65">
        <v>42196</v>
      </c>
      <c r="I95" s="64">
        <v>42196</v>
      </c>
      <c r="J95" s="46">
        <v>29</v>
      </c>
      <c r="K95" s="36" t="s">
        <v>31</v>
      </c>
      <c r="L95" s="60" t="s">
        <v>32</v>
      </c>
      <c r="M95" s="62"/>
      <c r="N95" s="62"/>
      <c r="O95" s="63"/>
      <c r="P95" s="63"/>
    </row>
    <row r="96" spans="1:16" ht="24.75" customHeight="1" x14ac:dyDescent="0.25">
      <c r="A96" s="11" t="str">
        <f t="shared" si="1"/>
        <v>VISTOS BUENOS</v>
      </c>
      <c r="B96" s="22">
        <v>6</v>
      </c>
      <c r="C96" s="46">
        <v>59</v>
      </c>
      <c r="D96" s="46">
        <v>88</v>
      </c>
      <c r="E96" s="60" t="s">
        <v>1886</v>
      </c>
      <c r="F96" s="66" t="s">
        <v>2071</v>
      </c>
      <c r="G96" s="46" t="s">
        <v>30</v>
      </c>
      <c r="H96" s="65">
        <v>42198</v>
      </c>
      <c r="I96" s="64">
        <v>42199</v>
      </c>
      <c r="J96" s="46">
        <v>22</v>
      </c>
      <c r="K96" s="36" t="s">
        <v>31</v>
      </c>
      <c r="L96" s="60" t="s">
        <v>32</v>
      </c>
      <c r="M96" s="62"/>
      <c r="N96" s="62"/>
      <c r="O96" s="63"/>
      <c r="P96" s="63"/>
    </row>
    <row r="97" spans="1:16" ht="24.75" customHeight="1" x14ac:dyDescent="0.25">
      <c r="A97" s="11" t="str">
        <f t="shared" si="1"/>
        <v>VISTOS BUENOS</v>
      </c>
      <c r="B97" s="22">
        <v>6</v>
      </c>
      <c r="C97" s="46">
        <v>59</v>
      </c>
      <c r="D97" s="46">
        <v>89</v>
      </c>
      <c r="E97" s="60" t="s">
        <v>1915</v>
      </c>
      <c r="F97" s="66" t="s">
        <v>2072</v>
      </c>
      <c r="G97" s="46" t="s">
        <v>30</v>
      </c>
      <c r="H97" s="65">
        <v>42199</v>
      </c>
      <c r="I97" s="64">
        <v>42199</v>
      </c>
      <c r="J97" s="46">
        <v>31</v>
      </c>
      <c r="K97" s="36" t="s">
        <v>31</v>
      </c>
      <c r="L97" s="60" t="s">
        <v>32</v>
      </c>
      <c r="M97" s="62"/>
      <c r="N97" s="62"/>
      <c r="O97" s="63"/>
      <c r="P97" s="63"/>
    </row>
    <row r="98" spans="1:16" ht="24.75" customHeight="1" x14ac:dyDescent="0.25">
      <c r="A98" s="11" t="str">
        <f t="shared" si="1"/>
        <v>VISTOS BUENOS</v>
      </c>
      <c r="B98" s="22">
        <v>6</v>
      </c>
      <c r="C98" s="46">
        <v>60</v>
      </c>
      <c r="D98" s="46">
        <v>90</v>
      </c>
      <c r="E98" s="60" t="s">
        <v>1916</v>
      </c>
      <c r="F98" s="66" t="s">
        <v>2073</v>
      </c>
      <c r="G98" s="46" t="s">
        <v>30</v>
      </c>
      <c r="H98" s="65">
        <v>42200</v>
      </c>
      <c r="I98" s="64">
        <v>42201</v>
      </c>
      <c r="J98" s="46">
        <v>133</v>
      </c>
      <c r="K98" s="36" t="s">
        <v>31</v>
      </c>
      <c r="L98" s="60" t="s">
        <v>32</v>
      </c>
      <c r="M98" s="62"/>
      <c r="N98" s="62"/>
      <c r="O98" s="63"/>
      <c r="P98" s="63"/>
    </row>
    <row r="99" spans="1:16" ht="24.75" customHeight="1" x14ac:dyDescent="0.25">
      <c r="A99" s="11" t="str">
        <f t="shared" si="1"/>
        <v>VISTOS BUENOS</v>
      </c>
      <c r="B99" s="22">
        <v>6</v>
      </c>
      <c r="C99" s="46">
        <v>61</v>
      </c>
      <c r="D99" s="46">
        <v>91</v>
      </c>
      <c r="E99" s="60" t="s">
        <v>1917</v>
      </c>
      <c r="F99" s="66" t="s">
        <v>2074</v>
      </c>
      <c r="G99" s="46" t="s">
        <v>30</v>
      </c>
      <c r="H99" s="65">
        <v>42202</v>
      </c>
      <c r="I99" s="64">
        <v>42205</v>
      </c>
      <c r="J99" s="46">
        <v>35</v>
      </c>
      <c r="K99" s="36" t="s">
        <v>31</v>
      </c>
      <c r="L99" s="60" t="s">
        <v>32</v>
      </c>
      <c r="M99" s="62"/>
      <c r="N99" s="62"/>
      <c r="O99" s="63"/>
      <c r="P99" s="63"/>
    </row>
    <row r="100" spans="1:16" ht="24.75" customHeight="1" x14ac:dyDescent="0.25">
      <c r="A100" s="11" t="str">
        <f t="shared" si="1"/>
        <v>VISTOS BUENOS</v>
      </c>
      <c r="B100" s="22">
        <v>6</v>
      </c>
      <c r="C100" s="46">
        <v>61</v>
      </c>
      <c r="D100" s="46">
        <v>92</v>
      </c>
      <c r="E100" s="60" t="s">
        <v>1918</v>
      </c>
      <c r="F100" s="66" t="s">
        <v>2075</v>
      </c>
      <c r="G100" s="46" t="s">
        <v>30</v>
      </c>
      <c r="H100" s="65">
        <v>42206</v>
      </c>
      <c r="I100" s="64">
        <v>42206</v>
      </c>
      <c r="J100" s="46">
        <v>45</v>
      </c>
      <c r="K100" s="36" t="s">
        <v>31</v>
      </c>
      <c r="L100" s="60" t="s">
        <v>32</v>
      </c>
      <c r="M100" s="62"/>
      <c r="N100" s="62"/>
      <c r="O100" s="63"/>
      <c r="P100" s="63"/>
    </row>
    <row r="101" spans="1:16" ht="24.75" customHeight="1" x14ac:dyDescent="0.25">
      <c r="A101" s="11" t="str">
        <f t="shared" si="1"/>
        <v>VISTOS BUENOS</v>
      </c>
      <c r="B101" s="22">
        <v>6</v>
      </c>
      <c r="C101" s="46">
        <v>62</v>
      </c>
      <c r="D101" s="46">
        <v>93</v>
      </c>
      <c r="E101" s="60" t="s">
        <v>1904</v>
      </c>
      <c r="F101" s="66" t="s">
        <v>2076</v>
      </c>
      <c r="G101" s="46" t="s">
        <v>30</v>
      </c>
      <c r="H101" s="65">
        <v>42207</v>
      </c>
      <c r="I101" s="64">
        <v>42208</v>
      </c>
      <c r="J101" s="46">
        <v>91</v>
      </c>
      <c r="K101" s="36" t="s">
        <v>31</v>
      </c>
      <c r="L101" s="60" t="s">
        <v>32</v>
      </c>
      <c r="M101" s="62"/>
      <c r="N101" s="62"/>
      <c r="O101" s="63"/>
      <c r="P101" s="63"/>
    </row>
    <row r="102" spans="1:16" ht="24.75" customHeight="1" x14ac:dyDescent="0.25">
      <c r="A102" s="11" t="str">
        <f t="shared" si="1"/>
        <v>VISTOS BUENOS</v>
      </c>
      <c r="B102" s="22">
        <v>6</v>
      </c>
      <c r="C102" s="46">
        <v>63</v>
      </c>
      <c r="D102" s="46">
        <v>94</v>
      </c>
      <c r="E102" s="60" t="s">
        <v>1919</v>
      </c>
      <c r="F102" s="66" t="s">
        <v>2077</v>
      </c>
      <c r="G102" s="46" t="s">
        <v>30</v>
      </c>
      <c r="H102" s="65">
        <v>42212</v>
      </c>
      <c r="I102" s="64">
        <v>42214</v>
      </c>
      <c r="J102" s="46">
        <v>25</v>
      </c>
      <c r="K102" s="36" t="s">
        <v>31</v>
      </c>
      <c r="L102" s="60" t="s">
        <v>32</v>
      </c>
      <c r="M102" s="62"/>
      <c r="N102" s="62"/>
      <c r="O102" s="63"/>
      <c r="P102" s="63"/>
    </row>
    <row r="103" spans="1:16" ht="24.75" customHeight="1" x14ac:dyDescent="0.25">
      <c r="A103" s="11" t="str">
        <f t="shared" si="1"/>
        <v>VISTOS BUENOS</v>
      </c>
      <c r="B103" s="22">
        <v>6</v>
      </c>
      <c r="C103" s="46">
        <v>63</v>
      </c>
      <c r="D103" s="46">
        <v>95</v>
      </c>
      <c r="E103" s="60" t="s">
        <v>1920</v>
      </c>
      <c r="F103" s="66" t="s">
        <v>2078</v>
      </c>
      <c r="G103" s="46" t="s">
        <v>30</v>
      </c>
      <c r="H103" s="65">
        <v>42214</v>
      </c>
      <c r="I103" s="64">
        <v>42215</v>
      </c>
      <c r="J103" s="46">
        <v>31</v>
      </c>
      <c r="K103" s="36" t="s">
        <v>31</v>
      </c>
      <c r="L103" s="60" t="s">
        <v>32</v>
      </c>
      <c r="M103" s="62"/>
      <c r="N103" s="62"/>
      <c r="O103" s="63"/>
      <c r="P103" s="63"/>
    </row>
    <row r="104" spans="1:16" ht="24.75" customHeight="1" x14ac:dyDescent="0.25">
      <c r="A104" s="11" t="str">
        <f t="shared" si="1"/>
        <v>VISTOS BUENOS</v>
      </c>
      <c r="B104" s="22">
        <v>6</v>
      </c>
      <c r="C104" s="46">
        <v>63</v>
      </c>
      <c r="D104" s="46">
        <v>96</v>
      </c>
      <c r="E104" s="60" t="s">
        <v>1921</v>
      </c>
      <c r="F104" s="66" t="s">
        <v>2079</v>
      </c>
      <c r="G104" s="46" t="s">
        <v>30</v>
      </c>
      <c r="H104" s="65">
        <v>42215</v>
      </c>
      <c r="I104" s="64">
        <v>42215</v>
      </c>
      <c r="J104" s="46">
        <v>37</v>
      </c>
      <c r="K104" s="36" t="s">
        <v>31</v>
      </c>
      <c r="L104" s="60" t="s">
        <v>32</v>
      </c>
      <c r="M104" s="62"/>
      <c r="N104" s="62"/>
      <c r="O104" s="63"/>
      <c r="P104" s="63"/>
    </row>
    <row r="105" spans="1:16" ht="24.75" customHeight="1" x14ac:dyDescent="0.25">
      <c r="A105" s="11" t="str">
        <f t="shared" si="1"/>
        <v>VISTOS BUENOS</v>
      </c>
      <c r="B105" s="22">
        <v>6</v>
      </c>
      <c r="C105" s="46">
        <v>64</v>
      </c>
      <c r="D105" s="46">
        <v>97</v>
      </c>
      <c r="E105" s="60" t="s">
        <v>1922</v>
      </c>
      <c r="F105" s="66" t="s">
        <v>2080</v>
      </c>
      <c r="G105" s="46" t="s">
        <v>30</v>
      </c>
      <c r="H105" s="65">
        <v>42215</v>
      </c>
      <c r="I105" s="64">
        <v>42216</v>
      </c>
      <c r="J105" s="46">
        <v>47</v>
      </c>
      <c r="K105" s="36" t="s">
        <v>31</v>
      </c>
      <c r="L105" s="60" t="s">
        <v>32</v>
      </c>
      <c r="M105" s="62"/>
      <c r="N105" s="62"/>
      <c r="O105" s="63"/>
      <c r="P105" s="63"/>
    </row>
    <row r="106" spans="1:16" ht="24.75" customHeight="1" x14ac:dyDescent="0.25">
      <c r="A106" s="11" t="str">
        <f t="shared" si="1"/>
        <v>VISTOS BUENOS</v>
      </c>
      <c r="B106" s="22">
        <v>6</v>
      </c>
      <c r="C106" s="46">
        <v>65</v>
      </c>
      <c r="D106" s="46">
        <v>98</v>
      </c>
      <c r="E106" s="60" t="s">
        <v>1923</v>
      </c>
      <c r="F106" s="66" t="s">
        <v>2081</v>
      </c>
      <c r="G106" s="46" t="s">
        <v>30</v>
      </c>
      <c r="H106" s="65">
        <v>42219</v>
      </c>
      <c r="I106" s="64">
        <v>42220</v>
      </c>
      <c r="J106" s="46">
        <v>141</v>
      </c>
      <c r="K106" s="36" t="s">
        <v>31</v>
      </c>
      <c r="L106" s="60" t="s">
        <v>32</v>
      </c>
      <c r="M106" s="62"/>
      <c r="N106" s="62"/>
      <c r="O106" s="63"/>
      <c r="P106" s="63"/>
    </row>
    <row r="107" spans="1:16" ht="24.75" customHeight="1" x14ac:dyDescent="0.25">
      <c r="A107" s="11" t="str">
        <f t="shared" si="1"/>
        <v>VISTOS BUENOS</v>
      </c>
      <c r="B107" s="22">
        <v>6</v>
      </c>
      <c r="C107" s="46">
        <v>66</v>
      </c>
      <c r="D107" s="46">
        <v>99</v>
      </c>
      <c r="E107" s="60" t="s">
        <v>1924</v>
      </c>
      <c r="F107" s="66" t="s">
        <v>2082</v>
      </c>
      <c r="G107" s="46" t="s">
        <v>30</v>
      </c>
      <c r="H107" s="65">
        <v>42230</v>
      </c>
      <c r="I107" s="64">
        <v>42233</v>
      </c>
      <c r="J107" s="46">
        <v>89</v>
      </c>
      <c r="K107" s="36" t="s">
        <v>31</v>
      </c>
      <c r="L107" s="60" t="s">
        <v>32</v>
      </c>
      <c r="M107" s="62"/>
      <c r="N107" s="62"/>
      <c r="O107" s="63"/>
      <c r="P107" s="63"/>
    </row>
    <row r="108" spans="1:16" ht="24.75" customHeight="1" x14ac:dyDescent="0.25">
      <c r="A108" s="11" t="str">
        <f t="shared" si="1"/>
        <v>VISTOS BUENOS</v>
      </c>
      <c r="B108" s="22">
        <v>6</v>
      </c>
      <c r="C108" s="46">
        <v>67</v>
      </c>
      <c r="D108" s="46">
        <v>100</v>
      </c>
      <c r="E108" s="60" t="s">
        <v>1925</v>
      </c>
      <c r="F108" s="66" t="s">
        <v>2083</v>
      </c>
      <c r="G108" s="46" t="s">
        <v>30</v>
      </c>
      <c r="H108" s="65">
        <v>42234</v>
      </c>
      <c r="I108" s="64">
        <v>42234</v>
      </c>
      <c r="J108" s="46">
        <v>27</v>
      </c>
      <c r="K108" s="36" t="s">
        <v>31</v>
      </c>
      <c r="L108" s="60" t="s">
        <v>32</v>
      </c>
      <c r="M108" s="62"/>
      <c r="N108" s="62"/>
      <c r="O108" s="63"/>
      <c r="P108" s="63"/>
    </row>
    <row r="109" spans="1:16" ht="24.75" customHeight="1" x14ac:dyDescent="0.25">
      <c r="A109" s="11" t="str">
        <f t="shared" si="1"/>
        <v>VISTOS BUENOS</v>
      </c>
      <c r="B109" s="22">
        <v>7</v>
      </c>
      <c r="C109" s="46">
        <v>67</v>
      </c>
      <c r="D109" s="46">
        <v>101</v>
      </c>
      <c r="E109" s="60" t="s">
        <v>1926</v>
      </c>
      <c r="F109" s="66" t="s">
        <v>2084</v>
      </c>
      <c r="G109" s="46" t="s">
        <v>30</v>
      </c>
      <c r="H109" s="65">
        <v>42237</v>
      </c>
      <c r="I109" s="64">
        <v>42244</v>
      </c>
      <c r="J109" s="46">
        <v>40</v>
      </c>
      <c r="K109" s="36" t="s">
        <v>31</v>
      </c>
      <c r="L109" s="60" t="s">
        <v>32</v>
      </c>
      <c r="M109" s="62"/>
      <c r="N109" s="62"/>
      <c r="O109" s="63"/>
      <c r="P109" s="63"/>
    </row>
    <row r="110" spans="1:16" ht="24.75" customHeight="1" x14ac:dyDescent="0.25">
      <c r="A110" s="11" t="str">
        <f t="shared" si="1"/>
        <v>VISTOS BUENOS</v>
      </c>
      <c r="B110" s="22">
        <v>7</v>
      </c>
      <c r="C110" s="46">
        <v>68</v>
      </c>
      <c r="D110" s="46">
        <v>102</v>
      </c>
      <c r="E110" s="60" t="s">
        <v>1927</v>
      </c>
      <c r="F110" s="66" t="s">
        <v>2085</v>
      </c>
      <c r="G110" s="46" t="s">
        <v>30</v>
      </c>
      <c r="H110" s="65">
        <v>42237</v>
      </c>
      <c r="I110" s="64">
        <v>42240</v>
      </c>
      <c r="J110" s="46">
        <v>97</v>
      </c>
      <c r="K110" s="36" t="s">
        <v>31</v>
      </c>
      <c r="L110" s="60" t="s">
        <v>32</v>
      </c>
      <c r="M110" s="62"/>
      <c r="N110" s="62"/>
      <c r="O110" s="63"/>
      <c r="P110" s="63"/>
    </row>
    <row r="111" spans="1:16" ht="24.75" customHeight="1" x14ac:dyDescent="0.25">
      <c r="A111" s="11" t="str">
        <f t="shared" si="1"/>
        <v>VISTOS BUENOS</v>
      </c>
      <c r="B111" s="22">
        <v>7</v>
      </c>
      <c r="C111" s="46">
        <v>69</v>
      </c>
      <c r="D111" s="46">
        <v>103</v>
      </c>
      <c r="E111" s="60" t="s">
        <v>1928</v>
      </c>
      <c r="F111" s="66" t="s">
        <v>2086</v>
      </c>
      <c r="G111" s="46" t="s">
        <v>30</v>
      </c>
      <c r="H111" s="65">
        <v>42237</v>
      </c>
      <c r="I111" s="64">
        <v>42241</v>
      </c>
      <c r="J111" s="46">
        <v>25</v>
      </c>
      <c r="K111" s="36" t="s">
        <v>31</v>
      </c>
      <c r="L111" s="60" t="s">
        <v>32</v>
      </c>
      <c r="M111" s="62"/>
      <c r="N111" s="62"/>
      <c r="O111" s="63"/>
      <c r="P111" s="63"/>
    </row>
    <row r="112" spans="1:16" ht="24.75" customHeight="1" x14ac:dyDescent="0.25">
      <c r="A112" s="11" t="str">
        <f t="shared" si="1"/>
        <v>VISTOS BUENOS</v>
      </c>
      <c r="B112" s="22">
        <v>7</v>
      </c>
      <c r="C112" s="46">
        <v>69</v>
      </c>
      <c r="D112" s="46">
        <v>104</v>
      </c>
      <c r="E112" s="60" t="s">
        <v>1929</v>
      </c>
      <c r="F112" s="66" t="s">
        <v>2087</v>
      </c>
      <c r="G112" s="46" t="s">
        <v>30</v>
      </c>
      <c r="H112" s="65">
        <v>42240</v>
      </c>
      <c r="I112" s="64">
        <v>42241</v>
      </c>
      <c r="J112" s="46">
        <v>25</v>
      </c>
      <c r="K112" s="36" t="s">
        <v>31</v>
      </c>
      <c r="L112" s="60" t="s">
        <v>32</v>
      </c>
      <c r="M112" s="62"/>
      <c r="N112" s="62"/>
      <c r="O112" s="63"/>
      <c r="P112" s="63"/>
    </row>
    <row r="113" spans="1:16" ht="24.75" customHeight="1" x14ac:dyDescent="0.25">
      <c r="A113" s="11" t="str">
        <f t="shared" si="1"/>
        <v>VISTOS BUENOS</v>
      </c>
      <c r="B113" s="22">
        <v>7</v>
      </c>
      <c r="C113" s="46">
        <v>69</v>
      </c>
      <c r="D113" s="46">
        <v>105</v>
      </c>
      <c r="E113" s="60" t="s">
        <v>1930</v>
      </c>
      <c r="F113" s="66" t="s">
        <v>2088</v>
      </c>
      <c r="G113" s="46" t="s">
        <v>30</v>
      </c>
      <c r="H113" s="65">
        <v>42243</v>
      </c>
      <c r="I113" s="64">
        <v>42243</v>
      </c>
      <c r="J113" s="46">
        <v>20</v>
      </c>
      <c r="K113" s="36" t="s">
        <v>31</v>
      </c>
      <c r="L113" s="60" t="s">
        <v>32</v>
      </c>
      <c r="M113" s="62"/>
      <c r="N113" s="62"/>
      <c r="O113" s="63"/>
      <c r="P113" s="63"/>
    </row>
    <row r="114" spans="1:16" ht="24.75" customHeight="1" x14ac:dyDescent="0.25">
      <c r="A114" s="11" t="str">
        <f t="shared" si="1"/>
        <v>VISTOS BUENOS</v>
      </c>
      <c r="B114" s="22">
        <v>7</v>
      </c>
      <c r="C114" s="46">
        <v>70</v>
      </c>
      <c r="D114" s="46">
        <v>106</v>
      </c>
      <c r="E114" s="60" t="s">
        <v>1931</v>
      </c>
      <c r="F114" s="66" t="s">
        <v>2089</v>
      </c>
      <c r="G114" s="46" t="s">
        <v>30</v>
      </c>
      <c r="H114" s="65">
        <v>42248</v>
      </c>
      <c r="I114" s="64">
        <v>42249</v>
      </c>
      <c r="J114" s="46">
        <v>11</v>
      </c>
      <c r="K114" s="36" t="s">
        <v>31</v>
      </c>
      <c r="L114" s="60" t="s">
        <v>32</v>
      </c>
      <c r="M114" s="62"/>
      <c r="N114" s="62"/>
      <c r="O114" s="63"/>
      <c r="P114" s="63"/>
    </row>
    <row r="115" spans="1:16" ht="24.75" customHeight="1" x14ac:dyDescent="0.25">
      <c r="A115" s="11" t="str">
        <f t="shared" si="1"/>
        <v>VISTOS BUENOS</v>
      </c>
      <c r="B115" s="22">
        <v>7</v>
      </c>
      <c r="C115" s="46">
        <v>70</v>
      </c>
      <c r="D115" s="46">
        <v>107</v>
      </c>
      <c r="E115" s="60" t="s">
        <v>1932</v>
      </c>
      <c r="F115" s="66" t="s">
        <v>2090</v>
      </c>
      <c r="G115" s="46" t="s">
        <v>30</v>
      </c>
      <c r="H115" s="65">
        <v>42250</v>
      </c>
      <c r="I115" s="64">
        <v>42251</v>
      </c>
      <c r="J115" s="46">
        <v>24</v>
      </c>
      <c r="K115" s="36" t="s">
        <v>31</v>
      </c>
      <c r="L115" s="60" t="s">
        <v>32</v>
      </c>
      <c r="M115" s="62"/>
      <c r="N115" s="62"/>
      <c r="O115" s="63"/>
      <c r="P115" s="63"/>
    </row>
    <row r="116" spans="1:16" ht="24.75" customHeight="1" x14ac:dyDescent="0.25">
      <c r="A116" s="11" t="str">
        <f t="shared" si="1"/>
        <v>VISTOS BUENOS</v>
      </c>
      <c r="B116" s="22">
        <v>7</v>
      </c>
      <c r="C116" s="46">
        <v>71</v>
      </c>
      <c r="D116" s="46">
        <v>108</v>
      </c>
      <c r="E116" s="60" t="s">
        <v>1933</v>
      </c>
      <c r="F116" s="66" t="s">
        <v>2091</v>
      </c>
      <c r="G116" s="46" t="s">
        <v>30</v>
      </c>
      <c r="H116" s="65">
        <v>42257</v>
      </c>
      <c r="I116" s="64">
        <v>42257</v>
      </c>
      <c r="J116" s="46">
        <v>60</v>
      </c>
      <c r="K116" s="36" t="s">
        <v>31</v>
      </c>
      <c r="L116" s="60" t="s">
        <v>32</v>
      </c>
      <c r="M116" s="62"/>
      <c r="N116" s="62"/>
      <c r="O116" s="63"/>
      <c r="P116" s="63"/>
    </row>
    <row r="117" spans="1:16" ht="24.75" customHeight="1" x14ac:dyDescent="0.25">
      <c r="A117" s="11" t="str">
        <f t="shared" si="1"/>
        <v>VISTOS BUENOS</v>
      </c>
      <c r="B117" s="22">
        <v>7</v>
      </c>
      <c r="C117" s="46">
        <v>71</v>
      </c>
      <c r="D117" s="46">
        <v>109</v>
      </c>
      <c r="E117" s="60" t="s">
        <v>1934</v>
      </c>
      <c r="F117" s="66" t="s">
        <v>2092</v>
      </c>
      <c r="G117" s="46" t="s">
        <v>30</v>
      </c>
      <c r="H117" s="65">
        <v>42257</v>
      </c>
      <c r="I117" s="64">
        <v>42257</v>
      </c>
      <c r="J117" s="46">
        <v>33</v>
      </c>
      <c r="K117" s="36" t="s">
        <v>31</v>
      </c>
      <c r="L117" s="60" t="s">
        <v>32</v>
      </c>
      <c r="M117" s="62"/>
      <c r="N117" s="62"/>
      <c r="O117" s="63"/>
      <c r="P117" s="63"/>
    </row>
    <row r="118" spans="1:16" ht="24.75" customHeight="1" x14ac:dyDescent="0.25">
      <c r="A118" s="11" t="str">
        <f t="shared" si="1"/>
        <v>VISTOS BUENOS</v>
      </c>
      <c r="B118" s="22">
        <v>7</v>
      </c>
      <c r="C118" s="46">
        <v>72</v>
      </c>
      <c r="D118" s="46">
        <v>110</v>
      </c>
      <c r="E118" s="60" t="s">
        <v>1935</v>
      </c>
      <c r="F118" s="66" t="s">
        <v>2093</v>
      </c>
      <c r="G118" s="46" t="s">
        <v>30</v>
      </c>
      <c r="H118" s="65">
        <v>42258</v>
      </c>
      <c r="I118" s="64">
        <v>42258</v>
      </c>
      <c r="J118" s="46">
        <v>33</v>
      </c>
      <c r="K118" s="36" t="s">
        <v>31</v>
      </c>
      <c r="L118" s="60" t="s">
        <v>32</v>
      </c>
      <c r="M118" s="62"/>
      <c r="N118" s="62"/>
      <c r="O118" s="63"/>
      <c r="P118" s="63"/>
    </row>
    <row r="119" spans="1:16" ht="24.75" customHeight="1" x14ac:dyDescent="0.25">
      <c r="A119" s="11" t="str">
        <f t="shared" si="1"/>
        <v>VISTOS BUENOS</v>
      </c>
      <c r="B119" s="22">
        <v>7</v>
      </c>
      <c r="C119" s="46">
        <v>72</v>
      </c>
      <c r="D119" s="46">
        <v>111</v>
      </c>
      <c r="E119" s="60" t="s">
        <v>1936</v>
      </c>
      <c r="F119" s="66" t="s">
        <v>2094</v>
      </c>
      <c r="G119" s="46" t="s">
        <v>30</v>
      </c>
      <c r="H119" s="65">
        <v>42263</v>
      </c>
      <c r="I119" s="64">
        <v>42263</v>
      </c>
      <c r="J119" s="46">
        <v>34</v>
      </c>
      <c r="K119" s="36" t="s">
        <v>31</v>
      </c>
      <c r="L119" s="60" t="s">
        <v>32</v>
      </c>
      <c r="M119" s="62"/>
      <c r="N119" s="62"/>
      <c r="O119" s="63"/>
      <c r="P119" s="63"/>
    </row>
    <row r="120" spans="1:16" ht="24.75" customHeight="1" x14ac:dyDescent="0.25">
      <c r="A120" s="11" t="str">
        <f t="shared" si="1"/>
        <v>VISTOS BUENOS</v>
      </c>
      <c r="B120" s="22">
        <v>7</v>
      </c>
      <c r="C120" s="46">
        <v>72</v>
      </c>
      <c r="D120" s="46">
        <v>112</v>
      </c>
      <c r="E120" s="60" t="s">
        <v>1937</v>
      </c>
      <c r="F120" s="66" t="s">
        <v>2095</v>
      </c>
      <c r="G120" s="46" t="s">
        <v>30</v>
      </c>
      <c r="H120" s="65">
        <v>42263</v>
      </c>
      <c r="I120" s="64">
        <v>42264</v>
      </c>
      <c r="J120" s="46">
        <v>17</v>
      </c>
      <c r="K120" s="36" t="s">
        <v>31</v>
      </c>
      <c r="L120" s="60" t="s">
        <v>32</v>
      </c>
      <c r="M120" s="62"/>
      <c r="N120" s="62"/>
      <c r="O120" s="63"/>
      <c r="P120" s="63"/>
    </row>
    <row r="121" spans="1:16" ht="24.75" customHeight="1" x14ac:dyDescent="0.25">
      <c r="A121" s="11" t="str">
        <f t="shared" si="1"/>
        <v>VISTOS BUENOS</v>
      </c>
      <c r="B121" s="22">
        <v>7</v>
      </c>
      <c r="C121" s="46">
        <v>72</v>
      </c>
      <c r="D121" s="46">
        <v>113</v>
      </c>
      <c r="E121" s="60" t="s">
        <v>1938</v>
      </c>
      <c r="F121" s="66" t="s">
        <v>2096</v>
      </c>
      <c r="G121" s="46" t="s">
        <v>30</v>
      </c>
      <c r="H121" s="65">
        <v>42263</v>
      </c>
      <c r="I121" s="64">
        <v>42264</v>
      </c>
      <c r="J121" s="46">
        <v>17</v>
      </c>
      <c r="K121" s="36" t="s">
        <v>31</v>
      </c>
      <c r="L121" s="60" t="s">
        <v>32</v>
      </c>
      <c r="M121" s="62"/>
      <c r="N121" s="62"/>
      <c r="O121" s="63"/>
      <c r="P121" s="63"/>
    </row>
    <row r="122" spans="1:16" ht="24.75" customHeight="1" x14ac:dyDescent="0.25">
      <c r="A122" s="11" t="str">
        <f t="shared" si="1"/>
        <v>VISTOS BUENOS</v>
      </c>
      <c r="B122" s="22">
        <v>7</v>
      </c>
      <c r="C122" s="46">
        <v>73</v>
      </c>
      <c r="D122" s="46">
        <v>114</v>
      </c>
      <c r="E122" s="60" t="s">
        <v>1939</v>
      </c>
      <c r="F122" s="66" t="s">
        <v>2097</v>
      </c>
      <c r="G122" s="46" t="s">
        <v>30</v>
      </c>
      <c r="H122" s="65">
        <v>42263</v>
      </c>
      <c r="I122" s="64">
        <v>42264</v>
      </c>
      <c r="J122" s="46">
        <v>16</v>
      </c>
      <c r="K122" s="36" t="s">
        <v>31</v>
      </c>
      <c r="L122" s="60" t="s">
        <v>32</v>
      </c>
      <c r="M122" s="62"/>
      <c r="N122" s="62"/>
      <c r="O122" s="63"/>
      <c r="P122" s="63"/>
    </row>
    <row r="123" spans="1:16" ht="24.75" customHeight="1" x14ac:dyDescent="0.25">
      <c r="A123" s="11" t="str">
        <f t="shared" si="1"/>
        <v>VISTOS BUENOS</v>
      </c>
      <c r="B123" s="22">
        <v>7</v>
      </c>
      <c r="C123" s="46">
        <v>73</v>
      </c>
      <c r="D123" s="46">
        <v>115</v>
      </c>
      <c r="E123" s="60" t="s">
        <v>1940</v>
      </c>
      <c r="F123" s="66" t="s">
        <v>2098</v>
      </c>
      <c r="G123" s="46" t="s">
        <v>30</v>
      </c>
      <c r="H123" s="65">
        <v>42263</v>
      </c>
      <c r="I123" s="64">
        <v>42264</v>
      </c>
      <c r="J123" s="46">
        <v>24</v>
      </c>
      <c r="K123" s="36" t="s">
        <v>31</v>
      </c>
      <c r="L123" s="60" t="s">
        <v>32</v>
      </c>
      <c r="M123" s="62"/>
      <c r="N123" s="62"/>
      <c r="O123" s="63"/>
      <c r="P123" s="63"/>
    </row>
    <row r="124" spans="1:16" ht="24.75" customHeight="1" x14ac:dyDescent="0.25">
      <c r="A124" s="11" t="str">
        <f t="shared" si="1"/>
        <v>VISTOS BUENOS</v>
      </c>
      <c r="B124" s="22">
        <v>7</v>
      </c>
      <c r="C124" s="46">
        <v>73</v>
      </c>
      <c r="D124" s="46">
        <v>116</v>
      </c>
      <c r="E124" s="60" t="s">
        <v>1941</v>
      </c>
      <c r="F124" s="66" t="s">
        <v>2099</v>
      </c>
      <c r="G124" s="46" t="s">
        <v>30</v>
      </c>
      <c r="H124" s="65">
        <v>42269</v>
      </c>
      <c r="I124" s="64">
        <v>42270</v>
      </c>
      <c r="J124" s="46">
        <v>44</v>
      </c>
      <c r="K124" s="36" t="s">
        <v>31</v>
      </c>
      <c r="L124" s="60" t="s">
        <v>32</v>
      </c>
      <c r="M124" s="62"/>
      <c r="N124" s="62"/>
      <c r="O124" s="63"/>
      <c r="P124" s="63"/>
    </row>
    <row r="125" spans="1:16" ht="24.75" customHeight="1" x14ac:dyDescent="0.25">
      <c r="A125" s="11" t="str">
        <f t="shared" si="1"/>
        <v>VISTOS BUENOS</v>
      </c>
      <c r="B125" s="22">
        <v>7</v>
      </c>
      <c r="C125" s="46">
        <v>74</v>
      </c>
      <c r="D125" s="46">
        <v>117</v>
      </c>
      <c r="E125" s="60" t="s">
        <v>1942</v>
      </c>
      <c r="F125" s="66" t="s">
        <v>2100</v>
      </c>
      <c r="G125" s="46" t="s">
        <v>30</v>
      </c>
      <c r="H125" s="65">
        <v>42269</v>
      </c>
      <c r="I125" s="64">
        <v>42271</v>
      </c>
      <c r="J125" s="46">
        <v>29</v>
      </c>
      <c r="K125" s="36" t="s">
        <v>31</v>
      </c>
      <c r="L125" s="60" t="s">
        <v>32</v>
      </c>
      <c r="M125" s="62"/>
      <c r="N125" s="62"/>
      <c r="O125" s="63"/>
      <c r="P125" s="63"/>
    </row>
    <row r="126" spans="1:16" ht="24.75" customHeight="1" x14ac:dyDescent="0.25">
      <c r="A126" s="11" t="str">
        <f t="shared" si="1"/>
        <v>VISTOS BUENOS</v>
      </c>
      <c r="B126" s="22">
        <v>7</v>
      </c>
      <c r="C126" s="46">
        <v>74</v>
      </c>
      <c r="D126" s="46">
        <v>118</v>
      </c>
      <c r="E126" s="60" t="s">
        <v>1943</v>
      </c>
      <c r="F126" s="66" t="s">
        <v>2101</v>
      </c>
      <c r="G126" s="46" t="s">
        <v>30</v>
      </c>
      <c r="H126" s="65">
        <v>42270</v>
      </c>
      <c r="I126" s="64">
        <v>42271</v>
      </c>
      <c r="J126" s="46">
        <v>34</v>
      </c>
      <c r="K126" s="36" t="s">
        <v>31</v>
      </c>
      <c r="L126" s="60" t="s">
        <v>32</v>
      </c>
      <c r="M126" s="62"/>
      <c r="N126" s="62"/>
      <c r="O126" s="63"/>
      <c r="P126" s="63"/>
    </row>
    <row r="127" spans="1:16" ht="24.75" customHeight="1" x14ac:dyDescent="0.25">
      <c r="A127" s="11" t="str">
        <f t="shared" si="1"/>
        <v>VISTOS BUENOS</v>
      </c>
      <c r="B127" s="22" t="s">
        <v>2155</v>
      </c>
      <c r="C127" s="46">
        <v>75</v>
      </c>
      <c r="D127" s="46">
        <v>119</v>
      </c>
      <c r="E127" s="60" t="s">
        <v>1982</v>
      </c>
      <c r="F127" s="66" t="s">
        <v>2142</v>
      </c>
      <c r="G127" s="46" t="s">
        <v>30</v>
      </c>
      <c r="H127" s="65">
        <v>42367</v>
      </c>
      <c r="I127" s="64">
        <v>42368</v>
      </c>
      <c r="J127" s="46">
        <v>44</v>
      </c>
      <c r="K127" s="36" t="s">
        <v>31</v>
      </c>
      <c r="L127" s="60" t="s">
        <v>32</v>
      </c>
      <c r="M127" s="62"/>
      <c r="N127" s="62"/>
      <c r="O127" s="63"/>
      <c r="P127" s="63"/>
    </row>
    <row r="128" spans="1:16" ht="24.75" customHeight="1" x14ac:dyDescent="0.25">
      <c r="A128" s="11" t="str">
        <f t="shared" si="1"/>
        <v>VISTOS BUENOS</v>
      </c>
      <c r="B128" s="22">
        <v>7</v>
      </c>
      <c r="C128" s="46">
        <v>75</v>
      </c>
      <c r="D128" s="46">
        <v>120</v>
      </c>
      <c r="E128" s="60" t="s">
        <v>1944</v>
      </c>
      <c r="F128" s="66" t="s">
        <v>2102</v>
      </c>
      <c r="G128" s="46" t="s">
        <v>30</v>
      </c>
      <c r="H128" s="65">
        <v>42270</v>
      </c>
      <c r="I128" s="64">
        <v>42271</v>
      </c>
      <c r="J128" s="46">
        <v>97</v>
      </c>
      <c r="K128" s="36" t="s">
        <v>31</v>
      </c>
      <c r="L128" s="60" t="s">
        <v>32</v>
      </c>
      <c r="M128" s="62"/>
      <c r="N128" s="62"/>
      <c r="O128" s="63"/>
      <c r="P128" s="63"/>
    </row>
    <row r="129" spans="1:16" ht="24.75" customHeight="1" x14ac:dyDescent="0.25">
      <c r="A129" s="11" t="str">
        <f t="shared" si="1"/>
        <v>VISTOS BUENOS</v>
      </c>
      <c r="B129" s="22">
        <v>7</v>
      </c>
      <c r="C129" s="46">
        <v>76</v>
      </c>
      <c r="D129" s="46">
        <v>121</v>
      </c>
      <c r="E129" s="60" t="s">
        <v>1945</v>
      </c>
      <c r="F129" s="66" t="s">
        <v>2103</v>
      </c>
      <c r="G129" s="46" t="s">
        <v>30</v>
      </c>
      <c r="H129" s="65">
        <v>42272</v>
      </c>
      <c r="I129" s="64">
        <v>42275</v>
      </c>
      <c r="J129" s="46">
        <v>45</v>
      </c>
      <c r="K129" s="36" t="s">
        <v>31</v>
      </c>
      <c r="L129" s="60" t="s">
        <v>32</v>
      </c>
      <c r="M129" s="62"/>
      <c r="N129" s="62"/>
      <c r="O129" s="63"/>
      <c r="P129" s="63"/>
    </row>
    <row r="130" spans="1:16" ht="24.75" customHeight="1" x14ac:dyDescent="0.25">
      <c r="A130" s="11" t="str">
        <f t="shared" si="1"/>
        <v>VISTOS BUENOS</v>
      </c>
      <c r="B130" s="22">
        <v>7</v>
      </c>
      <c r="C130" s="46">
        <v>76</v>
      </c>
      <c r="D130" s="46">
        <v>122</v>
      </c>
      <c r="E130" s="60" t="s">
        <v>1946</v>
      </c>
      <c r="F130" s="66" t="s">
        <v>2104</v>
      </c>
      <c r="G130" s="46" t="s">
        <v>30</v>
      </c>
      <c r="H130" s="65">
        <v>42275</v>
      </c>
      <c r="I130" s="64">
        <v>42276</v>
      </c>
      <c r="J130" s="46">
        <v>66</v>
      </c>
      <c r="K130" s="36" t="s">
        <v>31</v>
      </c>
      <c r="L130" s="60" t="s">
        <v>32</v>
      </c>
      <c r="M130" s="62"/>
      <c r="N130" s="62"/>
      <c r="O130" s="63"/>
      <c r="P130" s="63"/>
    </row>
    <row r="131" spans="1:16" ht="24.75" customHeight="1" x14ac:dyDescent="0.25">
      <c r="A131" s="11" t="str">
        <f t="shared" si="1"/>
        <v>VISTOS BUENOS</v>
      </c>
      <c r="B131" s="22">
        <v>7</v>
      </c>
      <c r="C131" s="46">
        <v>77</v>
      </c>
      <c r="D131" s="46">
        <v>123</v>
      </c>
      <c r="E131" s="60" t="s">
        <v>1947</v>
      </c>
      <c r="F131" s="66" t="s">
        <v>2105</v>
      </c>
      <c r="G131" s="46" t="s">
        <v>30</v>
      </c>
      <c r="H131" s="65">
        <v>42277</v>
      </c>
      <c r="I131" s="64">
        <v>42278</v>
      </c>
      <c r="J131" s="46">
        <v>104</v>
      </c>
      <c r="K131" s="36" t="s">
        <v>31</v>
      </c>
      <c r="L131" s="60" t="s">
        <v>32</v>
      </c>
      <c r="M131" s="62"/>
      <c r="N131" s="62"/>
      <c r="O131" s="63"/>
      <c r="P131" s="63"/>
    </row>
    <row r="132" spans="1:16" ht="24.75" customHeight="1" x14ac:dyDescent="0.25">
      <c r="A132" s="11" t="str">
        <f t="shared" si="1"/>
        <v>VISTOS BUENOS</v>
      </c>
      <c r="B132" s="22">
        <v>7</v>
      </c>
      <c r="C132" s="46">
        <v>78</v>
      </c>
      <c r="D132" s="46">
        <v>124</v>
      </c>
      <c r="E132" s="60" t="s">
        <v>1948</v>
      </c>
      <c r="F132" s="66" t="s">
        <v>2106</v>
      </c>
      <c r="G132" s="46" t="s">
        <v>30</v>
      </c>
      <c r="H132" s="65">
        <v>42278</v>
      </c>
      <c r="I132" s="64">
        <v>42279</v>
      </c>
      <c r="J132" s="46">
        <v>65</v>
      </c>
      <c r="K132" s="36" t="s">
        <v>31</v>
      </c>
      <c r="L132" s="60" t="s">
        <v>32</v>
      </c>
      <c r="M132" s="62"/>
      <c r="N132" s="62"/>
      <c r="O132" s="63"/>
      <c r="P132" s="63"/>
    </row>
    <row r="133" spans="1:16" ht="24.75" customHeight="1" x14ac:dyDescent="0.25">
      <c r="A133" s="11" t="str">
        <f t="shared" si="1"/>
        <v>VISTOS BUENOS</v>
      </c>
      <c r="B133" s="22">
        <v>7</v>
      </c>
      <c r="C133" s="46">
        <v>79</v>
      </c>
      <c r="D133" s="46">
        <v>125</v>
      </c>
      <c r="E133" s="60" t="s">
        <v>1949</v>
      </c>
      <c r="F133" s="66" t="s">
        <v>2107</v>
      </c>
      <c r="G133" s="46" t="s">
        <v>30</v>
      </c>
      <c r="H133" s="65">
        <v>42283</v>
      </c>
      <c r="I133" s="64">
        <v>42284</v>
      </c>
      <c r="J133" s="46">
        <v>44</v>
      </c>
      <c r="K133" s="36" t="s">
        <v>31</v>
      </c>
      <c r="L133" s="60" t="s">
        <v>32</v>
      </c>
      <c r="M133" s="62"/>
      <c r="N133" s="62"/>
      <c r="O133" s="63"/>
      <c r="P133" s="63"/>
    </row>
    <row r="134" spans="1:16" ht="24.75" customHeight="1" x14ac:dyDescent="0.25">
      <c r="A134" s="11" t="str">
        <f t="shared" si="1"/>
        <v>VISTOS BUENOS</v>
      </c>
      <c r="B134" s="22">
        <v>7</v>
      </c>
      <c r="C134" s="46">
        <v>79</v>
      </c>
      <c r="D134" s="46">
        <v>126</v>
      </c>
      <c r="E134" s="60" t="s">
        <v>1950</v>
      </c>
      <c r="F134" s="66" t="s">
        <v>2108</v>
      </c>
      <c r="G134" s="46" t="s">
        <v>30</v>
      </c>
      <c r="H134" s="65">
        <v>42283</v>
      </c>
      <c r="I134" s="64">
        <v>42284</v>
      </c>
      <c r="J134" s="46">
        <v>35</v>
      </c>
      <c r="K134" s="36" t="s">
        <v>31</v>
      </c>
      <c r="L134" s="60" t="s">
        <v>32</v>
      </c>
      <c r="M134" s="62"/>
      <c r="N134" s="62"/>
      <c r="O134" s="63"/>
      <c r="P134" s="63"/>
    </row>
    <row r="135" spans="1:16" ht="24.75" customHeight="1" x14ac:dyDescent="0.25">
      <c r="A135" s="11" t="str">
        <f t="shared" si="1"/>
        <v>VISTOS BUENOS</v>
      </c>
      <c r="B135" s="22">
        <v>7</v>
      </c>
      <c r="C135" s="46">
        <v>79</v>
      </c>
      <c r="D135" s="46">
        <v>127</v>
      </c>
      <c r="E135" s="60" t="s">
        <v>1951</v>
      </c>
      <c r="F135" s="66" t="s">
        <v>2109</v>
      </c>
      <c r="G135" s="46" t="s">
        <v>30</v>
      </c>
      <c r="H135" s="65">
        <v>42290</v>
      </c>
      <c r="I135" s="64">
        <v>42291</v>
      </c>
      <c r="J135" s="46">
        <v>13</v>
      </c>
      <c r="K135" s="36" t="s">
        <v>31</v>
      </c>
      <c r="L135" s="60" t="s">
        <v>32</v>
      </c>
      <c r="M135" s="62"/>
      <c r="N135" s="62"/>
      <c r="O135" s="63"/>
      <c r="P135" s="63"/>
    </row>
    <row r="136" spans="1:16" ht="24.75" customHeight="1" x14ac:dyDescent="0.25">
      <c r="A136" s="11" t="str">
        <f t="shared" si="1"/>
        <v>VISTOS BUENOS</v>
      </c>
      <c r="B136" s="22">
        <v>7</v>
      </c>
      <c r="C136" s="46">
        <v>80</v>
      </c>
      <c r="D136" s="46">
        <v>128</v>
      </c>
      <c r="E136" s="60" t="s">
        <v>1952</v>
      </c>
      <c r="F136" s="66" t="s">
        <v>2110</v>
      </c>
      <c r="G136" s="46" t="s">
        <v>30</v>
      </c>
      <c r="H136" s="65">
        <v>42292</v>
      </c>
      <c r="I136" s="64">
        <v>42292</v>
      </c>
      <c r="J136" s="46">
        <v>73</v>
      </c>
      <c r="K136" s="36" t="s">
        <v>31</v>
      </c>
      <c r="L136" s="60" t="s">
        <v>32</v>
      </c>
      <c r="M136" s="62"/>
      <c r="N136" s="62"/>
      <c r="O136" s="63"/>
      <c r="P136" s="63"/>
    </row>
    <row r="137" spans="1:16" ht="24.75" customHeight="1" x14ac:dyDescent="0.25">
      <c r="A137" s="11" t="str">
        <f t="shared" si="1"/>
        <v>VISTOS BUENOS</v>
      </c>
      <c r="B137" s="22">
        <v>7</v>
      </c>
      <c r="C137" s="46">
        <v>81</v>
      </c>
      <c r="D137" s="46">
        <v>129</v>
      </c>
      <c r="E137" s="60" t="s">
        <v>1953</v>
      </c>
      <c r="F137" s="66" t="s">
        <v>2111</v>
      </c>
      <c r="G137" s="46" t="s">
        <v>30</v>
      </c>
      <c r="H137" s="65">
        <v>42292</v>
      </c>
      <c r="I137" s="64">
        <v>42293</v>
      </c>
      <c r="J137" s="46">
        <v>42</v>
      </c>
      <c r="K137" s="36" t="s">
        <v>31</v>
      </c>
      <c r="L137" s="60" t="s">
        <v>32</v>
      </c>
      <c r="M137" s="62"/>
      <c r="N137" s="62"/>
      <c r="O137" s="63"/>
      <c r="P137" s="63"/>
    </row>
    <row r="138" spans="1:16" ht="24.75" customHeight="1" x14ac:dyDescent="0.25">
      <c r="A138" s="11" t="str">
        <f t="shared" si="1"/>
        <v>VISTOS BUENOS</v>
      </c>
      <c r="B138" s="22">
        <v>7</v>
      </c>
      <c r="C138" s="46">
        <v>82</v>
      </c>
      <c r="D138" s="46">
        <v>130</v>
      </c>
      <c r="E138" s="60" t="s">
        <v>1954</v>
      </c>
      <c r="F138" s="66" t="s">
        <v>2112</v>
      </c>
      <c r="G138" s="46" t="s">
        <v>30</v>
      </c>
      <c r="H138" s="65">
        <v>42292</v>
      </c>
      <c r="I138" s="64">
        <v>42293</v>
      </c>
      <c r="J138" s="46">
        <v>63</v>
      </c>
      <c r="K138" s="36" t="s">
        <v>31</v>
      </c>
      <c r="L138" s="60" t="s">
        <v>32</v>
      </c>
      <c r="M138" s="62"/>
      <c r="N138" s="62"/>
      <c r="O138" s="63"/>
      <c r="P138" s="63"/>
    </row>
    <row r="139" spans="1:16" ht="24.75" customHeight="1" x14ac:dyDescent="0.25">
      <c r="A139" s="11" t="str">
        <f t="shared" ref="A139:A167" si="2">A138</f>
        <v>VISTOS BUENOS</v>
      </c>
      <c r="B139" s="22">
        <v>7</v>
      </c>
      <c r="C139" s="46">
        <v>82</v>
      </c>
      <c r="D139" s="46">
        <v>131</v>
      </c>
      <c r="E139" s="60" t="s">
        <v>1955</v>
      </c>
      <c r="F139" s="66" t="s">
        <v>2113</v>
      </c>
      <c r="G139" s="46" t="s">
        <v>30</v>
      </c>
      <c r="H139" s="65">
        <v>42293</v>
      </c>
      <c r="I139" s="64">
        <v>42296</v>
      </c>
      <c r="J139" s="46">
        <v>11</v>
      </c>
      <c r="K139" s="36" t="s">
        <v>31</v>
      </c>
      <c r="L139" s="60" t="s">
        <v>32</v>
      </c>
      <c r="M139" s="62"/>
      <c r="N139" s="62"/>
      <c r="O139" s="63"/>
      <c r="P139" s="63"/>
    </row>
    <row r="140" spans="1:16" ht="24.75" customHeight="1" x14ac:dyDescent="0.25">
      <c r="A140" s="11" t="str">
        <f t="shared" si="2"/>
        <v>VISTOS BUENOS</v>
      </c>
      <c r="B140" s="22">
        <v>8</v>
      </c>
      <c r="C140" s="46" t="s">
        <v>2152</v>
      </c>
      <c r="D140" s="46">
        <v>132</v>
      </c>
      <c r="E140" s="60" t="s">
        <v>1956</v>
      </c>
      <c r="F140" s="66" t="s">
        <v>2114</v>
      </c>
      <c r="G140" s="46" t="s">
        <v>30</v>
      </c>
      <c r="H140" s="65">
        <v>42297</v>
      </c>
      <c r="I140" s="64">
        <v>42297</v>
      </c>
      <c r="J140" s="46">
        <v>218</v>
      </c>
      <c r="K140" s="36" t="s">
        <v>31</v>
      </c>
      <c r="L140" s="60" t="s">
        <v>32</v>
      </c>
      <c r="M140" s="62"/>
      <c r="N140" s="62"/>
      <c r="O140" s="63"/>
      <c r="P140" s="63"/>
    </row>
    <row r="141" spans="1:16" ht="24.75" customHeight="1" x14ac:dyDescent="0.25">
      <c r="A141" s="11" t="str">
        <f t="shared" si="2"/>
        <v>VISTOS BUENOS</v>
      </c>
      <c r="B141" s="22" t="s">
        <v>2155</v>
      </c>
      <c r="C141" s="46" t="s">
        <v>1829</v>
      </c>
      <c r="D141" s="46">
        <v>133</v>
      </c>
      <c r="E141" s="60" t="s">
        <v>1981</v>
      </c>
      <c r="F141" s="66" t="s">
        <v>2141</v>
      </c>
      <c r="G141" s="46" t="s">
        <v>30</v>
      </c>
      <c r="H141" s="65">
        <v>42362</v>
      </c>
      <c r="I141" s="64">
        <v>42366</v>
      </c>
      <c r="J141" s="46">
        <v>350</v>
      </c>
      <c r="K141" s="36" t="s">
        <v>31</v>
      </c>
      <c r="L141" s="60" t="s">
        <v>32</v>
      </c>
      <c r="M141" s="62"/>
      <c r="N141" s="62"/>
      <c r="O141" s="63"/>
      <c r="P141" s="63"/>
    </row>
    <row r="142" spans="1:16" ht="24.75" customHeight="1" x14ac:dyDescent="0.25">
      <c r="A142" s="11" t="str">
        <f t="shared" si="2"/>
        <v>VISTOS BUENOS</v>
      </c>
      <c r="B142" s="22">
        <v>8</v>
      </c>
      <c r="C142" s="46">
        <v>88</v>
      </c>
      <c r="D142" s="46">
        <v>134</v>
      </c>
      <c r="E142" s="60" t="s">
        <v>1957</v>
      </c>
      <c r="F142" s="66" t="s">
        <v>2115</v>
      </c>
      <c r="G142" s="46" t="s">
        <v>30</v>
      </c>
      <c r="H142" s="65">
        <v>42306</v>
      </c>
      <c r="I142" s="64">
        <v>42324</v>
      </c>
      <c r="J142" s="46">
        <v>107</v>
      </c>
      <c r="K142" s="36" t="s">
        <v>31</v>
      </c>
      <c r="L142" s="60" t="s">
        <v>32</v>
      </c>
      <c r="M142" s="62"/>
      <c r="N142" s="62"/>
      <c r="O142" s="63"/>
      <c r="P142" s="63"/>
    </row>
    <row r="143" spans="1:16" ht="24.75" customHeight="1" x14ac:dyDescent="0.25">
      <c r="A143" s="11" t="str">
        <f t="shared" si="2"/>
        <v>VISTOS BUENOS</v>
      </c>
      <c r="B143" s="22">
        <v>8</v>
      </c>
      <c r="C143" s="46">
        <v>89</v>
      </c>
      <c r="D143" s="46">
        <v>135</v>
      </c>
      <c r="E143" s="60" t="s">
        <v>1958</v>
      </c>
      <c r="F143" s="66" t="s">
        <v>2116</v>
      </c>
      <c r="G143" s="46" t="s">
        <v>30</v>
      </c>
      <c r="H143" s="65">
        <v>42312</v>
      </c>
      <c r="I143" s="64">
        <v>42313</v>
      </c>
      <c r="J143" s="46">
        <v>38</v>
      </c>
      <c r="K143" s="36" t="s">
        <v>31</v>
      </c>
      <c r="L143" s="60" t="s">
        <v>32</v>
      </c>
      <c r="M143" s="62"/>
      <c r="N143" s="62"/>
      <c r="O143" s="63"/>
      <c r="P143" s="63"/>
    </row>
    <row r="144" spans="1:16" ht="24.75" customHeight="1" x14ac:dyDescent="0.25">
      <c r="A144" s="11" t="str">
        <f t="shared" si="2"/>
        <v>VISTOS BUENOS</v>
      </c>
      <c r="B144" s="22">
        <v>8</v>
      </c>
      <c r="C144" s="46">
        <v>89</v>
      </c>
      <c r="D144" s="46">
        <v>136</v>
      </c>
      <c r="E144" s="60" t="s">
        <v>1959</v>
      </c>
      <c r="F144" s="66" t="s">
        <v>2117</v>
      </c>
      <c r="G144" s="46" t="s">
        <v>30</v>
      </c>
      <c r="H144" s="65">
        <v>42313</v>
      </c>
      <c r="I144" s="64">
        <v>42314</v>
      </c>
      <c r="J144" s="46">
        <v>61</v>
      </c>
      <c r="K144" s="36" t="s">
        <v>31</v>
      </c>
      <c r="L144" s="60" t="s">
        <v>32</v>
      </c>
      <c r="M144" s="62"/>
      <c r="N144" s="62"/>
      <c r="O144" s="63"/>
      <c r="P144" s="63"/>
    </row>
    <row r="145" spans="1:16" ht="24.75" customHeight="1" x14ac:dyDescent="0.25">
      <c r="A145" s="11" t="str">
        <f t="shared" si="2"/>
        <v>VISTOS BUENOS</v>
      </c>
      <c r="B145" s="22">
        <v>8</v>
      </c>
      <c r="C145" s="46">
        <v>89</v>
      </c>
      <c r="D145" s="46">
        <v>137</v>
      </c>
      <c r="E145" s="60" t="s">
        <v>1960</v>
      </c>
      <c r="F145" s="66" t="s">
        <v>2118</v>
      </c>
      <c r="G145" s="46" t="s">
        <v>30</v>
      </c>
      <c r="H145" s="65">
        <v>42314</v>
      </c>
      <c r="I145" s="64">
        <v>42317</v>
      </c>
      <c r="J145" s="46">
        <v>24</v>
      </c>
      <c r="K145" s="36" t="s">
        <v>31</v>
      </c>
      <c r="L145" s="60" t="s">
        <v>32</v>
      </c>
      <c r="M145" s="62"/>
      <c r="N145" s="62"/>
      <c r="O145" s="63"/>
      <c r="P145" s="63"/>
    </row>
    <row r="146" spans="1:16" ht="24.75" customHeight="1" x14ac:dyDescent="0.25">
      <c r="A146" s="11" t="str">
        <f t="shared" si="2"/>
        <v>VISTOS BUENOS</v>
      </c>
      <c r="B146" s="22">
        <v>8</v>
      </c>
      <c r="C146" s="46" t="s">
        <v>2153</v>
      </c>
      <c r="D146" s="46">
        <v>138</v>
      </c>
      <c r="E146" s="60" t="s">
        <v>1961</v>
      </c>
      <c r="F146" s="66" t="s">
        <v>2119</v>
      </c>
      <c r="G146" s="46" t="s">
        <v>30</v>
      </c>
      <c r="H146" s="65">
        <v>42317</v>
      </c>
      <c r="I146" s="64">
        <v>42319</v>
      </c>
      <c r="J146" s="46">
        <v>293</v>
      </c>
      <c r="K146" s="36" t="s">
        <v>31</v>
      </c>
      <c r="L146" s="60" t="s">
        <v>32</v>
      </c>
      <c r="M146" s="62"/>
      <c r="N146" s="62"/>
      <c r="O146" s="63"/>
      <c r="P146" s="63"/>
    </row>
    <row r="147" spans="1:16" ht="24.75" customHeight="1" x14ac:dyDescent="0.25">
      <c r="A147" s="11" t="str">
        <f t="shared" si="2"/>
        <v>VISTOS BUENOS</v>
      </c>
      <c r="B147" s="22">
        <v>8</v>
      </c>
      <c r="C147" s="46">
        <v>93</v>
      </c>
      <c r="D147" s="46">
        <v>139</v>
      </c>
      <c r="E147" s="60" t="s">
        <v>1962</v>
      </c>
      <c r="F147" s="66" t="s">
        <v>2120</v>
      </c>
      <c r="G147" s="46" t="s">
        <v>30</v>
      </c>
      <c r="H147" s="65">
        <v>42318</v>
      </c>
      <c r="I147" s="64">
        <v>42319</v>
      </c>
      <c r="J147" s="46">
        <v>43</v>
      </c>
      <c r="K147" s="36" t="s">
        <v>31</v>
      </c>
      <c r="L147" s="60" t="s">
        <v>32</v>
      </c>
      <c r="M147" s="62"/>
      <c r="N147" s="62"/>
      <c r="O147" s="63"/>
      <c r="P147" s="63"/>
    </row>
    <row r="148" spans="1:16" ht="24.75" customHeight="1" x14ac:dyDescent="0.25">
      <c r="A148" s="11" t="str">
        <f t="shared" si="2"/>
        <v>VISTOS BUENOS</v>
      </c>
      <c r="B148" s="22">
        <v>8</v>
      </c>
      <c r="C148" s="46">
        <v>93</v>
      </c>
      <c r="D148" s="46">
        <v>140</v>
      </c>
      <c r="E148" s="60" t="s">
        <v>1963</v>
      </c>
      <c r="F148" s="66" t="s">
        <v>2121</v>
      </c>
      <c r="G148" s="46" t="s">
        <v>30</v>
      </c>
      <c r="H148" s="65">
        <v>42318</v>
      </c>
      <c r="I148" s="64">
        <v>42319</v>
      </c>
      <c r="J148" s="46">
        <v>88</v>
      </c>
      <c r="K148" s="36" t="s">
        <v>31</v>
      </c>
      <c r="L148" s="60" t="s">
        <v>32</v>
      </c>
      <c r="M148" s="62"/>
      <c r="N148" s="62"/>
      <c r="O148" s="63"/>
      <c r="P148" s="63"/>
    </row>
    <row r="149" spans="1:16" ht="24.75" customHeight="1" x14ac:dyDescent="0.25">
      <c r="A149" s="11" t="str">
        <f t="shared" si="2"/>
        <v>VISTOS BUENOS</v>
      </c>
      <c r="B149" s="22">
        <v>8</v>
      </c>
      <c r="C149" s="46">
        <v>94</v>
      </c>
      <c r="D149" s="46">
        <v>141</v>
      </c>
      <c r="E149" s="60" t="s">
        <v>1964</v>
      </c>
      <c r="F149" s="66" t="s">
        <v>2122</v>
      </c>
      <c r="G149" s="46" t="s">
        <v>30</v>
      </c>
      <c r="H149" s="65">
        <v>42319</v>
      </c>
      <c r="I149" s="64">
        <v>42320</v>
      </c>
      <c r="J149" s="46">
        <v>24</v>
      </c>
      <c r="K149" s="36" t="s">
        <v>31</v>
      </c>
      <c r="L149" s="60" t="s">
        <v>32</v>
      </c>
      <c r="M149" s="62"/>
      <c r="N149" s="62"/>
      <c r="O149" s="63"/>
      <c r="P149" s="63"/>
    </row>
    <row r="150" spans="1:16" ht="24.75" customHeight="1" x14ac:dyDescent="0.25">
      <c r="A150" s="11" t="str">
        <f t="shared" si="2"/>
        <v>VISTOS BUENOS</v>
      </c>
      <c r="B150" s="22">
        <v>8</v>
      </c>
      <c r="C150" s="46">
        <v>94</v>
      </c>
      <c r="D150" s="46">
        <v>142</v>
      </c>
      <c r="E150" s="60" t="s">
        <v>1965</v>
      </c>
      <c r="F150" s="66" t="s">
        <v>2123</v>
      </c>
      <c r="G150" s="46" t="s">
        <v>30</v>
      </c>
      <c r="H150" s="65">
        <v>42321</v>
      </c>
      <c r="I150" s="64">
        <v>42327</v>
      </c>
      <c r="J150" s="46">
        <v>37</v>
      </c>
      <c r="K150" s="36" t="s">
        <v>31</v>
      </c>
      <c r="L150" s="60" t="s">
        <v>32</v>
      </c>
      <c r="M150" s="62"/>
      <c r="N150" s="62"/>
      <c r="O150" s="63"/>
      <c r="P150" s="63"/>
    </row>
    <row r="151" spans="1:16" ht="24.75" customHeight="1" x14ac:dyDescent="0.25">
      <c r="A151" s="11" t="str">
        <f t="shared" si="2"/>
        <v>VISTOS BUENOS</v>
      </c>
      <c r="B151" s="22">
        <v>8</v>
      </c>
      <c r="C151" s="46">
        <v>94</v>
      </c>
      <c r="D151" s="46">
        <v>143</v>
      </c>
      <c r="E151" s="60" t="s">
        <v>1861</v>
      </c>
      <c r="F151" s="66" t="s">
        <v>2124</v>
      </c>
      <c r="G151" s="46" t="s">
        <v>30</v>
      </c>
      <c r="H151" s="65">
        <v>42321</v>
      </c>
      <c r="I151" s="64">
        <v>42332</v>
      </c>
      <c r="J151" s="46">
        <v>51</v>
      </c>
      <c r="K151" s="36" t="s">
        <v>31</v>
      </c>
      <c r="L151" s="60" t="s">
        <v>32</v>
      </c>
      <c r="M151" s="62"/>
      <c r="N151" s="62"/>
      <c r="O151" s="63"/>
      <c r="P151" s="63"/>
    </row>
    <row r="152" spans="1:16" ht="24.75" customHeight="1" x14ac:dyDescent="0.25">
      <c r="A152" s="11" t="str">
        <f t="shared" si="2"/>
        <v>VISTOS BUENOS</v>
      </c>
      <c r="B152" s="22">
        <v>8</v>
      </c>
      <c r="C152" s="46">
        <v>95</v>
      </c>
      <c r="D152" s="46">
        <v>144</v>
      </c>
      <c r="E152" s="60" t="s">
        <v>1966</v>
      </c>
      <c r="F152" s="66" t="s">
        <v>2125</v>
      </c>
      <c r="G152" s="46" t="s">
        <v>30</v>
      </c>
      <c r="H152" s="65">
        <v>42324</v>
      </c>
      <c r="I152" s="64">
        <v>42325</v>
      </c>
      <c r="J152" s="46">
        <v>43</v>
      </c>
      <c r="K152" s="36" t="s">
        <v>31</v>
      </c>
      <c r="L152" s="60" t="s">
        <v>32</v>
      </c>
      <c r="M152" s="62"/>
      <c r="N152" s="62"/>
      <c r="O152" s="63"/>
      <c r="P152" s="63"/>
    </row>
    <row r="153" spans="1:16" ht="24.75" customHeight="1" x14ac:dyDescent="0.25">
      <c r="A153" s="11" t="str">
        <f t="shared" si="2"/>
        <v>VISTOS BUENOS</v>
      </c>
      <c r="B153" s="22">
        <v>8</v>
      </c>
      <c r="C153" s="46">
        <v>96</v>
      </c>
      <c r="D153" s="46">
        <v>145</v>
      </c>
      <c r="E153" s="60" t="s">
        <v>1967</v>
      </c>
      <c r="F153" s="66" t="s">
        <v>2126</v>
      </c>
      <c r="G153" s="46" t="s">
        <v>30</v>
      </c>
      <c r="H153" s="65">
        <v>42324</v>
      </c>
      <c r="I153" s="64">
        <v>42325</v>
      </c>
      <c r="J153" s="46">
        <v>101</v>
      </c>
      <c r="K153" s="36" t="s">
        <v>31</v>
      </c>
      <c r="L153" s="60" t="s">
        <v>32</v>
      </c>
      <c r="M153" s="62"/>
      <c r="N153" s="62"/>
      <c r="O153" s="63"/>
      <c r="P153" s="63"/>
    </row>
    <row r="154" spans="1:16" ht="24.75" customHeight="1" x14ac:dyDescent="0.25">
      <c r="A154" s="11" t="str">
        <f t="shared" si="2"/>
        <v>VISTOS BUENOS</v>
      </c>
      <c r="B154" s="22">
        <v>8</v>
      </c>
      <c r="C154" s="46">
        <v>97</v>
      </c>
      <c r="D154" s="46">
        <v>146</v>
      </c>
      <c r="E154" s="60" t="s">
        <v>1968</v>
      </c>
      <c r="F154" s="66" t="s">
        <v>2127</v>
      </c>
      <c r="G154" s="46" t="s">
        <v>30</v>
      </c>
      <c r="H154" s="65">
        <v>42325</v>
      </c>
      <c r="I154" s="64">
        <v>42327</v>
      </c>
      <c r="J154" s="46">
        <v>21</v>
      </c>
      <c r="K154" s="36" t="s">
        <v>31</v>
      </c>
      <c r="L154" s="60" t="s">
        <v>32</v>
      </c>
      <c r="M154" s="62"/>
      <c r="N154" s="62"/>
      <c r="O154" s="63"/>
      <c r="P154" s="63"/>
    </row>
    <row r="155" spans="1:16" ht="24.75" customHeight="1" x14ac:dyDescent="0.25">
      <c r="A155" s="11" t="str">
        <f t="shared" si="2"/>
        <v>VISTOS BUENOS</v>
      </c>
      <c r="B155" s="22">
        <v>8</v>
      </c>
      <c r="C155" s="46">
        <v>97</v>
      </c>
      <c r="D155" s="46">
        <v>147</v>
      </c>
      <c r="E155" s="60" t="s">
        <v>1969</v>
      </c>
      <c r="F155" s="66" t="s">
        <v>2128</v>
      </c>
      <c r="G155" s="46" t="s">
        <v>30</v>
      </c>
      <c r="H155" s="65">
        <v>42327</v>
      </c>
      <c r="I155" s="64">
        <v>42327</v>
      </c>
      <c r="J155" s="46">
        <v>12</v>
      </c>
      <c r="K155" s="36" t="s">
        <v>31</v>
      </c>
      <c r="L155" s="60" t="s">
        <v>32</v>
      </c>
      <c r="M155" s="62"/>
      <c r="N155" s="62"/>
      <c r="O155" s="63"/>
      <c r="P155" s="63"/>
    </row>
    <row r="156" spans="1:16" ht="24.75" customHeight="1" x14ac:dyDescent="0.25">
      <c r="A156" s="11" t="str">
        <f t="shared" si="2"/>
        <v>VISTOS BUENOS</v>
      </c>
      <c r="B156" s="22">
        <v>8</v>
      </c>
      <c r="C156" s="46">
        <v>97</v>
      </c>
      <c r="D156" s="46">
        <v>148</v>
      </c>
      <c r="E156" s="60" t="s">
        <v>1970</v>
      </c>
      <c r="F156" s="66" t="s">
        <v>2129</v>
      </c>
      <c r="G156" s="46" t="s">
        <v>30</v>
      </c>
      <c r="H156" s="65">
        <v>42331</v>
      </c>
      <c r="I156" s="64">
        <v>42331</v>
      </c>
      <c r="J156" s="46">
        <v>26</v>
      </c>
      <c r="K156" s="36" t="s">
        <v>31</v>
      </c>
      <c r="L156" s="60" t="s">
        <v>32</v>
      </c>
      <c r="M156" s="62"/>
      <c r="N156" s="62"/>
      <c r="O156" s="63"/>
      <c r="P156" s="63"/>
    </row>
    <row r="157" spans="1:16" ht="24.75" customHeight="1" x14ac:dyDescent="0.25">
      <c r="A157" s="11" t="str">
        <f t="shared" si="2"/>
        <v>VISTOS BUENOS</v>
      </c>
      <c r="B157" s="22">
        <v>9</v>
      </c>
      <c r="C157" s="46">
        <v>97</v>
      </c>
      <c r="D157" s="46">
        <v>149</v>
      </c>
      <c r="E157" s="60" t="s">
        <v>1964</v>
      </c>
      <c r="F157" s="66" t="s">
        <v>2130</v>
      </c>
      <c r="G157" s="46" t="s">
        <v>30</v>
      </c>
      <c r="H157" s="65">
        <v>42332</v>
      </c>
      <c r="I157" s="64">
        <v>42354</v>
      </c>
      <c r="J157" s="46">
        <v>22</v>
      </c>
      <c r="K157" s="36" t="s">
        <v>31</v>
      </c>
      <c r="L157" s="60" t="s">
        <v>32</v>
      </c>
      <c r="M157" s="62"/>
      <c r="N157" s="62"/>
      <c r="O157" s="63"/>
      <c r="P157" s="63"/>
    </row>
    <row r="158" spans="1:16" ht="24.75" customHeight="1" x14ac:dyDescent="0.25">
      <c r="A158" s="11" t="str">
        <f t="shared" si="2"/>
        <v>VISTOS BUENOS</v>
      </c>
      <c r="B158" s="22">
        <v>9</v>
      </c>
      <c r="C158" s="46">
        <v>98</v>
      </c>
      <c r="D158" s="46">
        <v>150</v>
      </c>
      <c r="E158" s="60" t="s">
        <v>1971</v>
      </c>
      <c r="F158" s="66" t="s">
        <v>2131</v>
      </c>
      <c r="G158" s="46" t="s">
        <v>30</v>
      </c>
      <c r="H158" s="65">
        <v>42334</v>
      </c>
      <c r="I158" s="64">
        <v>42334</v>
      </c>
      <c r="J158" s="46">
        <v>23</v>
      </c>
      <c r="K158" s="36" t="s">
        <v>31</v>
      </c>
      <c r="L158" s="60" t="s">
        <v>32</v>
      </c>
      <c r="M158" s="62"/>
      <c r="N158" s="62"/>
      <c r="O158" s="63"/>
      <c r="P158" s="63"/>
    </row>
    <row r="159" spans="1:16" ht="24.75" customHeight="1" x14ac:dyDescent="0.25">
      <c r="A159" s="11" t="str">
        <f t="shared" si="2"/>
        <v>VISTOS BUENOS</v>
      </c>
      <c r="B159" s="22">
        <v>9</v>
      </c>
      <c r="C159" s="46">
        <v>98</v>
      </c>
      <c r="D159" s="46">
        <v>151</v>
      </c>
      <c r="E159" s="60" t="s">
        <v>1972</v>
      </c>
      <c r="F159" s="66" t="s">
        <v>2132</v>
      </c>
      <c r="G159" s="46" t="s">
        <v>30</v>
      </c>
      <c r="H159" s="65">
        <v>42338</v>
      </c>
      <c r="I159" s="64">
        <v>42339</v>
      </c>
      <c r="J159" s="46">
        <v>66</v>
      </c>
      <c r="K159" s="36" t="s">
        <v>31</v>
      </c>
      <c r="L159" s="60" t="s">
        <v>32</v>
      </c>
      <c r="M159" s="62"/>
      <c r="N159" s="62"/>
      <c r="O159" s="63"/>
      <c r="P159" s="63"/>
    </row>
    <row r="160" spans="1:16" ht="24.75" customHeight="1" x14ac:dyDescent="0.25">
      <c r="A160" s="11" t="str">
        <f t="shared" si="2"/>
        <v>VISTOS BUENOS</v>
      </c>
      <c r="B160" s="22">
        <v>9</v>
      </c>
      <c r="C160" s="46">
        <v>99</v>
      </c>
      <c r="D160" s="46">
        <v>152</v>
      </c>
      <c r="E160" s="60" t="s">
        <v>1973</v>
      </c>
      <c r="F160" s="66" t="s">
        <v>2133</v>
      </c>
      <c r="G160" s="46" t="s">
        <v>30</v>
      </c>
      <c r="H160" s="65">
        <v>42339</v>
      </c>
      <c r="I160" s="64">
        <v>42340</v>
      </c>
      <c r="J160" s="46">
        <v>23</v>
      </c>
      <c r="K160" s="36" t="s">
        <v>31</v>
      </c>
      <c r="L160" s="60" t="s">
        <v>32</v>
      </c>
      <c r="M160" s="62"/>
      <c r="N160" s="62"/>
      <c r="O160" s="63"/>
      <c r="P160" s="63"/>
    </row>
    <row r="161" spans="1:16" ht="24.75" customHeight="1" x14ac:dyDescent="0.25">
      <c r="A161" s="11" t="str">
        <f t="shared" si="2"/>
        <v>VISTOS BUENOS</v>
      </c>
      <c r="B161" s="22">
        <v>9</v>
      </c>
      <c r="C161" s="46">
        <v>99</v>
      </c>
      <c r="D161" s="46">
        <v>153</v>
      </c>
      <c r="E161" s="60" t="s">
        <v>1974</v>
      </c>
      <c r="F161" s="66" t="s">
        <v>2134</v>
      </c>
      <c r="G161" s="46" t="s">
        <v>30</v>
      </c>
      <c r="H161" s="65">
        <v>42342</v>
      </c>
      <c r="I161" s="64">
        <v>42345</v>
      </c>
      <c r="J161" s="46">
        <v>28</v>
      </c>
      <c r="K161" s="36" t="s">
        <v>31</v>
      </c>
      <c r="L161" s="60" t="s">
        <v>32</v>
      </c>
      <c r="M161" s="62"/>
      <c r="N161" s="62"/>
      <c r="O161" s="63"/>
      <c r="P161" s="63"/>
    </row>
    <row r="162" spans="1:16" ht="24.75" customHeight="1" x14ac:dyDescent="0.25">
      <c r="A162" s="11" t="str">
        <f t="shared" si="2"/>
        <v>VISTOS BUENOS</v>
      </c>
      <c r="B162" s="22">
        <v>9</v>
      </c>
      <c r="C162" s="46" t="s">
        <v>2154</v>
      </c>
      <c r="D162" s="46">
        <v>154</v>
      </c>
      <c r="E162" s="60" t="s">
        <v>1975</v>
      </c>
      <c r="F162" s="66" t="s">
        <v>2135</v>
      </c>
      <c r="G162" s="46" t="s">
        <v>30</v>
      </c>
      <c r="H162" s="65">
        <v>42348</v>
      </c>
      <c r="I162" s="64">
        <v>42348</v>
      </c>
      <c r="J162" s="46">
        <v>338</v>
      </c>
      <c r="K162" s="36" t="s">
        <v>31</v>
      </c>
      <c r="L162" s="60" t="s">
        <v>32</v>
      </c>
      <c r="M162" s="62"/>
      <c r="N162" s="62"/>
      <c r="O162" s="63"/>
      <c r="P162" s="63"/>
    </row>
    <row r="163" spans="1:16" ht="24.75" customHeight="1" x14ac:dyDescent="0.25">
      <c r="A163" s="11" t="str">
        <f t="shared" si="2"/>
        <v>VISTOS BUENOS</v>
      </c>
      <c r="B163" s="22">
        <v>9</v>
      </c>
      <c r="C163" s="46">
        <v>103</v>
      </c>
      <c r="D163" s="46">
        <v>155</v>
      </c>
      <c r="E163" s="60" t="s">
        <v>1976</v>
      </c>
      <c r="F163" s="66" t="s">
        <v>2136</v>
      </c>
      <c r="G163" s="46" t="s">
        <v>30</v>
      </c>
      <c r="H163" s="65">
        <v>42353</v>
      </c>
      <c r="I163" s="64">
        <v>42354</v>
      </c>
      <c r="J163" s="46">
        <v>41</v>
      </c>
      <c r="K163" s="36" t="s">
        <v>31</v>
      </c>
      <c r="L163" s="60" t="s">
        <v>32</v>
      </c>
      <c r="M163" s="62"/>
      <c r="N163" s="62"/>
      <c r="O163" s="63"/>
      <c r="P163" s="63"/>
    </row>
    <row r="164" spans="1:16" ht="24.75" customHeight="1" x14ac:dyDescent="0.25">
      <c r="A164" s="11" t="str">
        <f t="shared" si="2"/>
        <v>VISTOS BUENOS</v>
      </c>
      <c r="B164" s="22">
        <v>9</v>
      </c>
      <c r="C164" s="46">
        <v>103</v>
      </c>
      <c r="D164" s="46">
        <v>156</v>
      </c>
      <c r="E164" s="60" t="s">
        <v>1977</v>
      </c>
      <c r="F164" s="66" t="s">
        <v>2137</v>
      </c>
      <c r="G164" s="46" t="s">
        <v>30</v>
      </c>
      <c r="H164" s="65">
        <v>42359</v>
      </c>
      <c r="I164" s="64">
        <v>42359</v>
      </c>
      <c r="J164" s="46">
        <v>11</v>
      </c>
      <c r="K164" s="36" t="s">
        <v>31</v>
      </c>
      <c r="L164" s="60" t="s">
        <v>32</v>
      </c>
      <c r="M164" s="62"/>
      <c r="N164" s="62"/>
      <c r="O164" s="63"/>
      <c r="P164" s="63"/>
    </row>
    <row r="165" spans="1:16" ht="24.75" customHeight="1" x14ac:dyDescent="0.25">
      <c r="A165" s="11" t="str">
        <f t="shared" si="2"/>
        <v>VISTOS BUENOS</v>
      </c>
      <c r="B165" s="22">
        <v>9</v>
      </c>
      <c r="C165" s="46">
        <v>103</v>
      </c>
      <c r="D165" s="46">
        <v>157</v>
      </c>
      <c r="E165" s="60" t="s">
        <v>1978</v>
      </c>
      <c r="F165" s="66" t="s">
        <v>2138</v>
      </c>
      <c r="G165" s="46" t="s">
        <v>30</v>
      </c>
      <c r="H165" s="65">
        <v>42359</v>
      </c>
      <c r="I165" s="64">
        <v>42360</v>
      </c>
      <c r="J165" s="46">
        <v>34</v>
      </c>
      <c r="K165" s="36" t="s">
        <v>31</v>
      </c>
      <c r="L165" s="60" t="s">
        <v>32</v>
      </c>
      <c r="M165" s="62"/>
      <c r="N165" s="62"/>
      <c r="O165" s="63"/>
      <c r="P165" s="63"/>
    </row>
    <row r="166" spans="1:16" ht="24.75" customHeight="1" x14ac:dyDescent="0.25">
      <c r="A166" s="11" t="str">
        <f t="shared" si="2"/>
        <v>VISTOS BUENOS</v>
      </c>
      <c r="B166" s="22">
        <v>9</v>
      </c>
      <c r="C166" s="46">
        <v>103</v>
      </c>
      <c r="D166" s="46">
        <v>158</v>
      </c>
      <c r="E166" s="60" t="s">
        <v>1979</v>
      </c>
      <c r="F166" s="66" t="s">
        <v>2139</v>
      </c>
      <c r="G166" s="46" t="s">
        <v>30</v>
      </c>
      <c r="H166" s="65">
        <v>42359</v>
      </c>
      <c r="I166" s="64">
        <v>42360</v>
      </c>
      <c r="J166" s="46">
        <v>24</v>
      </c>
      <c r="K166" s="36" t="s">
        <v>31</v>
      </c>
      <c r="L166" s="60" t="s">
        <v>32</v>
      </c>
      <c r="M166" s="62"/>
      <c r="N166" s="62"/>
      <c r="O166" s="63"/>
      <c r="P166" s="63"/>
    </row>
    <row r="167" spans="1:16" ht="24.75" customHeight="1" x14ac:dyDescent="0.25">
      <c r="A167" s="11" t="str">
        <f t="shared" si="2"/>
        <v>VISTOS BUENOS</v>
      </c>
      <c r="B167" s="22">
        <v>9</v>
      </c>
      <c r="C167" s="46">
        <v>104</v>
      </c>
      <c r="D167" s="46">
        <v>159</v>
      </c>
      <c r="E167" s="60" t="s">
        <v>1980</v>
      </c>
      <c r="F167" s="66" t="s">
        <v>2140</v>
      </c>
      <c r="G167" s="46" t="s">
        <v>30</v>
      </c>
      <c r="H167" s="65">
        <v>42361</v>
      </c>
      <c r="I167" s="64">
        <v>42362</v>
      </c>
      <c r="J167" s="46">
        <v>67</v>
      </c>
      <c r="K167" s="36" t="s">
        <v>31</v>
      </c>
      <c r="L167" s="60" t="s">
        <v>32</v>
      </c>
      <c r="M167" s="62"/>
      <c r="N167" s="62"/>
      <c r="O167" s="63"/>
      <c r="P167" s="6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"/>
  <sheetViews>
    <sheetView topLeftCell="A178" zoomScale="145" zoomScaleNormal="145" workbookViewId="0">
      <selection activeCell="D186" sqref="D186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22">
        <v>1</v>
      </c>
      <c r="C9" s="46">
        <v>1</v>
      </c>
      <c r="D9" s="46">
        <v>1</v>
      </c>
      <c r="E9" s="60" t="s">
        <v>2156</v>
      </c>
      <c r="F9" s="66" t="s">
        <v>2331</v>
      </c>
      <c r="G9" s="46" t="s">
        <v>30</v>
      </c>
      <c r="H9" s="65">
        <v>42374</v>
      </c>
      <c r="I9" s="64">
        <v>42395</v>
      </c>
      <c r="J9" s="46">
        <v>36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 t="shared" ref="A10:A41" si="0">A9</f>
        <v>VISTOS BUENOS</v>
      </c>
      <c r="B10" s="22">
        <v>1</v>
      </c>
      <c r="C10" s="46">
        <v>1</v>
      </c>
      <c r="D10" s="46">
        <v>2</v>
      </c>
      <c r="E10" s="60" t="s">
        <v>2157</v>
      </c>
      <c r="F10" s="66" t="s">
        <v>2332</v>
      </c>
      <c r="G10" s="46" t="s">
        <v>30</v>
      </c>
      <c r="H10" s="65">
        <v>42380</v>
      </c>
      <c r="I10" s="64">
        <v>42394</v>
      </c>
      <c r="J10" s="46">
        <v>32</v>
      </c>
      <c r="K10" s="36" t="s">
        <v>31</v>
      </c>
      <c r="L10" s="60" t="s">
        <v>32</v>
      </c>
      <c r="M10" s="62"/>
      <c r="N10" s="62"/>
      <c r="O10" s="63"/>
      <c r="P10" s="63"/>
    </row>
    <row r="11" spans="1:16" ht="24.75" customHeight="1" x14ac:dyDescent="0.25">
      <c r="A11" s="11" t="str">
        <f t="shared" si="0"/>
        <v>VISTOS BUENOS</v>
      </c>
      <c r="B11" s="22">
        <v>1</v>
      </c>
      <c r="C11" s="46">
        <v>2</v>
      </c>
      <c r="D11" s="46">
        <v>3</v>
      </c>
      <c r="E11" s="60" t="s">
        <v>2158</v>
      </c>
      <c r="F11" s="66" t="s">
        <v>2333</v>
      </c>
      <c r="G11" s="46" t="s">
        <v>30</v>
      </c>
      <c r="H11" s="65">
        <v>42380</v>
      </c>
      <c r="I11" s="64">
        <v>42396</v>
      </c>
      <c r="J11" s="46">
        <v>56</v>
      </c>
      <c r="K11" s="36" t="s">
        <v>31</v>
      </c>
      <c r="L11" s="60" t="s">
        <v>32</v>
      </c>
      <c r="M11" s="62"/>
      <c r="N11" s="62"/>
      <c r="O11" s="63"/>
      <c r="P11" s="63"/>
    </row>
    <row r="12" spans="1:16" ht="24.75" customHeight="1" x14ac:dyDescent="0.25">
      <c r="A12" s="11" t="str">
        <f t="shared" si="0"/>
        <v>VISTOS BUENOS</v>
      </c>
      <c r="B12" s="22">
        <v>1</v>
      </c>
      <c r="C12" s="46">
        <v>2</v>
      </c>
      <c r="D12" s="46">
        <v>4</v>
      </c>
      <c r="E12" s="60" t="s">
        <v>2159</v>
      </c>
      <c r="F12" s="66" t="s">
        <v>2334</v>
      </c>
      <c r="G12" s="46" t="s">
        <v>30</v>
      </c>
      <c r="H12" s="65">
        <v>42381</v>
      </c>
      <c r="I12" s="64">
        <v>42456</v>
      </c>
      <c r="J12" s="46">
        <v>33</v>
      </c>
      <c r="K12" s="36" t="s">
        <v>31</v>
      </c>
      <c r="L12" s="60" t="s">
        <v>32</v>
      </c>
      <c r="M12" s="62"/>
      <c r="N12" s="62"/>
      <c r="O12" s="63"/>
      <c r="P12" s="63"/>
    </row>
    <row r="13" spans="1:16" ht="24.75" customHeight="1" x14ac:dyDescent="0.25">
      <c r="A13" s="11" t="str">
        <f t="shared" si="0"/>
        <v>VISTOS BUENOS</v>
      </c>
      <c r="B13" s="22">
        <v>1</v>
      </c>
      <c r="C13" s="46">
        <v>2</v>
      </c>
      <c r="D13" s="46">
        <v>5</v>
      </c>
      <c r="E13" s="60" t="s">
        <v>2160</v>
      </c>
      <c r="F13" s="66" t="s">
        <v>2335</v>
      </c>
      <c r="G13" s="46" t="s">
        <v>30</v>
      </c>
      <c r="H13" s="65">
        <v>42383</v>
      </c>
      <c r="I13" s="64">
        <v>42390</v>
      </c>
      <c r="J13" s="46">
        <v>19</v>
      </c>
      <c r="K13" s="36" t="s">
        <v>31</v>
      </c>
      <c r="L13" s="60" t="s">
        <v>32</v>
      </c>
      <c r="M13" s="62"/>
      <c r="N13" s="62"/>
      <c r="O13" s="63"/>
      <c r="P13" s="63"/>
    </row>
    <row r="14" spans="1:16" ht="24.75" customHeight="1" x14ac:dyDescent="0.25">
      <c r="A14" s="11" t="str">
        <f t="shared" si="0"/>
        <v>VISTOS BUENOS</v>
      </c>
      <c r="B14" s="22">
        <v>1</v>
      </c>
      <c r="C14" s="46">
        <v>3</v>
      </c>
      <c r="D14" s="46">
        <v>6</v>
      </c>
      <c r="E14" s="60" t="s">
        <v>2161</v>
      </c>
      <c r="F14" s="66" t="s">
        <v>2336</v>
      </c>
      <c r="G14" s="46" t="s">
        <v>30</v>
      </c>
      <c r="H14" s="65">
        <v>42384</v>
      </c>
      <c r="I14" s="64">
        <v>42391</v>
      </c>
      <c r="J14" s="46">
        <v>20</v>
      </c>
      <c r="K14" s="36" t="s">
        <v>31</v>
      </c>
      <c r="L14" s="60" t="s">
        <v>32</v>
      </c>
      <c r="M14" s="62"/>
      <c r="N14" s="62"/>
      <c r="O14" s="63"/>
      <c r="P14" s="63"/>
    </row>
    <row r="15" spans="1:16" ht="24.75" customHeight="1" x14ac:dyDescent="0.25">
      <c r="A15" s="11" t="str">
        <f t="shared" si="0"/>
        <v>VISTOS BUENOS</v>
      </c>
      <c r="B15" s="22">
        <v>1</v>
      </c>
      <c r="C15" s="46">
        <v>4</v>
      </c>
      <c r="D15" s="46">
        <v>7</v>
      </c>
      <c r="E15" s="60" t="s">
        <v>2162</v>
      </c>
      <c r="F15" s="66" t="s">
        <v>2337</v>
      </c>
      <c r="G15" s="46" t="s">
        <v>30</v>
      </c>
      <c r="H15" s="65">
        <v>42384</v>
      </c>
      <c r="I15" s="64">
        <v>42405</v>
      </c>
      <c r="J15" s="46">
        <v>113</v>
      </c>
      <c r="K15" s="36" t="s">
        <v>31</v>
      </c>
      <c r="L15" s="60" t="s">
        <v>32</v>
      </c>
      <c r="M15" s="62"/>
      <c r="N15" s="62"/>
      <c r="O15" s="63"/>
      <c r="P15" s="63"/>
    </row>
    <row r="16" spans="1:16" ht="24.75" customHeight="1" x14ac:dyDescent="0.25">
      <c r="A16" s="11" t="str">
        <f t="shared" si="0"/>
        <v>VISTOS BUENOS</v>
      </c>
      <c r="B16" s="22">
        <v>1</v>
      </c>
      <c r="C16" s="46">
        <v>5</v>
      </c>
      <c r="D16" s="46">
        <v>8</v>
      </c>
      <c r="E16" s="60" t="s">
        <v>2163</v>
      </c>
      <c r="F16" s="66" t="s">
        <v>2338</v>
      </c>
      <c r="G16" s="46" t="s">
        <v>30</v>
      </c>
      <c r="H16" s="65">
        <v>42390</v>
      </c>
      <c r="I16" s="64">
        <v>42395</v>
      </c>
      <c r="J16" s="46">
        <v>24</v>
      </c>
      <c r="K16" s="36" t="s">
        <v>31</v>
      </c>
      <c r="L16" s="60" t="s">
        <v>32</v>
      </c>
      <c r="M16" s="62"/>
      <c r="N16" s="62"/>
      <c r="O16" s="63"/>
      <c r="P16" s="63"/>
    </row>
    <row r="17" spans="1:16" ht="24.75" customHeight="1" x14ac:dyDescent="0.25">
      <c r="A17" s="11" t="str">
        <f t="shared" si="0"/>
        <v>VISTOS BUENOS</v>
      </c>
      <c r="B17" s="22">
        <v>1</v>
      </c>
      <c r="C17" s="46">
        <v>5</v>
      </c>
      <c r="D17" s="46">
        <v>9</v>
      </c>
      <c r="E17" s="60" t="s">
        <v>2164</v>
      </c>
      <c r="F17" s="66" t="s">
        <v>2339</v>
      </c>
      <c r="G17" s="46" t="s">
        <v>30</v>
      </c>
      <c r="H17" s="65">
        <v>42390</v>
      </c>
      <c r="I17" s="64">
        <v>42395</v>
      </c>
      <c r="J17" s="46">
        <v>23</v>
      </c>
      <c r="K17" s="36" t="s">
        <v>31</v>
      </c>
      <c r="L17" s="60" t="s">
        <v>32</v>
      </c>
      <c r="M17" s="62"/>
      <c r="N17" s="62"/>
      <c r="O17" s="63"/>
      <c r="P17" s="63"/>
    </row>
    <row r="18" spans="1:16" ht="24.75" customHeight="1" x14ac:dyDescent="0.25">
      <c r="A18" s="11" t="str">
        <f t="shared" si="0"/>
        <v>VISTOS BUENOS</v>
      </c>
      <c r="B18" s="22">
        <v>1</v>
      </c>
      <c r="C18" s="46">
        <v>5</v>
      </c>
      <c r="D18" s="46">
        <v>10</v>
      </c>
      <c r="E18" s="60" t="s">
        <v>2165</v>
      </c>
      <c r="F18" s="66" t="s">
        <v>2340</v>
      </c>
      <c r="G18" s="46" t="s">
        <v>30</v>
      </c>
      <c r="H18" s="65">
        <v>42396</v>
      </c>
      <c r="I18" s="64">
        <v>42410</v>
      </c>
      <c r="J18" s="46">
        <v>41</v>
      </c>
      <c r="K18" s="36" t="s">
        <v>31</v>
      </c>
      <c r="L18" s="60" t="s">
        <v>32</v>
      </c>
      <c r="M18" s="62"/>
      <c r="N18" s="62"/>
      <c r="O18" s="63"/>
      <c r="P18" s="63"/>
    </row>
    <row r="19" spans="1:16" ht="24.75" customHeight="1" x14ac:dyDescent="0.25">
      <c r="A19" s="11" t="str">
        <f t="shared" si="0"/>
        <v>VISTOS BUENOS</v>
      </c>
      <c r="B19" s="22">
        <v>1</v>
      </c>
      <c r="C19" s="68">
        <v>6</v>
      </c>
      <c r="D19" s="46">
        <v>11</v>
      </c>
      <c r="E19" s="60" t="s">
        <v>2166</v>
      </c>
      <c r="F19" s="66" t="s">
        <v>2341</v>
      </c>
      <c r="G19" s="46" t="s">
        <v>30</v>
      </c>
      <c r="H19" s="65">
        <v>42397</v>
      </c>
      <c r="I19" s="64">
        <v>42429</v>
      </c>
      <c r="J19" s="46">
        <v>48</v>
      </c>
      <c r="K19" s="36" t="s">
        <v>31</v>
      </c>
      <c r="L19" s="60" t="s">
        <v>32</v>
      </c>
      <c r="M19" s="62"/>
      <c r="N19" s="62"/>
      <c r="O19" s="63"/>
      <c r="P19" s="63"/>
    </row>
    <row r="20" spans="1:16" ht="24.75" customHeight="1" x14ac:dyDescent="0.25">
      <c r="A20" s="11" t="str">
        <f t="shared" si="0"/>
        <v>VISTOS BUENOS</v>
      </c>
      <c r="B20" s="22">
        <v>1</v>
      </c>
      <c r="C20" s="46">
        <v>6</v>
      </c>
      <c r="D20" s="46">
        <v>12</v>
      </c>
      <c r="E20" s="60" t="s">
        <v>2167</v>
      </c>
      <c r="F20" s="66" t="s">
        <v>2342</v>
      </c>
      <c r="G20" s="46" t="s">
        <v>30</v>
      </c>
      <c r="H20" s="65">
        <v>42401</v>
      </c>
      <c r="I20" s="64">
        <v>42424</v>
      </c>
      <c r="J20" s="46">
        <v>45</v>
      </c>
      <c r="K20" s="36" t="s">
        <v>31</v>
      </c>
      <c r="L20" s="60" t="s">
        <v>32</v>
      </c>
      <c r="M20" s="62"/>
      <c r="N20" s="62"/>
      <c r="O20" s="63"/>
      <c r="P20" s="63"/>
    </row>
    <row r="21" spans="1:16" ht="24.75" customHeight="1" x14ac:dyDescent="0.25">
      <c r="A21" s="11" t="str">
        <f t="shared" si="0"/>
        <v>VISTOS BUENOS</v>
      </c>
      <c r="B21" s="22">
        <v>1</v>
      </c>
      <c r="C21" s="46">
        <v>6</v>
      </c>
      <c r="D21" s="46">
        <v>13</v>
      </c>
      <c r="E21" s="60" t="s">
        <v>2168</v>
      </c>
      <c r="F21" s="66" t="s">
        <v>2343</v>
      </c>
      <c r="G21" s="46" t="s">
        <v>30</v>
      </c>
      <c r="H21" s="65">
        <v>42402</v>
      </c>
      <c r="I21" s="64">
        <v>42417</v>
      </c>
      <c r="J21" s="46">
        <v>20</v>
      </c>
      <c r="K21" s="36" t="s">
        <v>31</v>
      </c>
      <c r="L21" s="60" t="s">
        <v>32</v>
      </c>
      <c r="M21" s="62"/>
      <c r="N21" s="62"/>
      <c r="O21" s="63"/>
      <c r="P21" s="63"/>
    </row>
    <row r="22" spans="1:16" ht="24.75" customHeight="1" x14ac:dyDescent="0.25">
      <c r="A22" s="11" t="str">
        <f t="shared" si="0"/>
        <v>VISTOS BUENOS</v>
      </c>
      <c r="B22" s="22">
        <v>1</v>
      </c>
      <c r="C22" s="68" t="s">
        <v>2145</v>
      </c>
      <c r="D22" s="46">
        <v>14</v>
      </c>
      <c r="E22" s="60" t="s">
        <v>2169</v>
      </c>
      <c r="F22" s="66" t="s">
        <v>2344</v>
      </c>
      <c r="G22" s="46" t="s">
        <v>30</v>
      </c>
      <c r="H22" s="65">
        <v>42405</v>
      </c>
      <c r="I22" s="64">
        <v>42423</v>
      </c>
      <c r="J22" s="46">
        <v>159</v>
      </c>
      <c r="K22" s="36" t="s">
        <v>31</v>
      </c>
      <c r="L22" s="60" t="s">
        <v>32</v>
      </c>
      <c r="M22" s="62"/>
      <c r="N22" s="62"/>
      <c r="O22" s="63"/>
      <c r="P22" s="63"/>
    </row>
    <row r="23" spans="1:16" ht="24.75" customHeight="1" x14ac:dyDescent="0.25">
      <c r="A23" s="11" t="str">
        <f t="shared" si="0"/>
        <v>VISTOS BUENOS</v>
      </c>
      <c r="B23" s="22">
        <v>1</v>
      </c>
      <c r="C23" s="46">
        <v>9</v>
      </c>
      <c r="D23" s="46">
        <v>15</v>
      </c>
      <c r="E23" s="60" t="s">
        <v>2170</v>
      </c>
      <c r="F23" s="66" t="s">
        <v>2345</v>
      </c>
      <c r="G23" s="46" t="s">
        <v>30</v>
      </c>
      <c r="H23" s="65">
        <v>42405</v>
      </c>
      <c r="I23" s="64">
        <v>42409</v>
      </c>
      <c r="J23" s="46">
        <v>26</v>
      </c>
      <c r="K23" s="36" t="s">
        <v>31</v>
      </c>
      <c r="L23" s="60" t="s">
        <v>32</v>
      </c>
      <c r="M23" s="62"/>
      <c r="N23" s="62"/>
      <c r="O23" s="63"/>
      <c r="P23" s="63"/>
    </row>
    <row r="24" spans="1:16" ht="24.75" customHeight="1" x14ac:dyDescent="0.25">
      <c r="A24" s="11" t="str">
        <f t="shared" si="0"/>
        <v>VISTOS BUENOS</v>
      </c>
      <c r="B24" s="22">
        <v>1</v>
      </c>
      <c r="C24" s="46">
        <v>9</v>
      </c>
      <c r="D24" s="46">
        <v>16</v>
      </c>
      <c r="E24" s="60" t="s">
        <v>2171</v>
      </c>
      <c r="F24" s="66" t="s">
        <v>2346</v>
      </c>
      <c r="G24" s="46" t="s">
        <v>30</v>
      </c>
      <c r="H24" s="65">
        <v>42410</v>
      </c>
      <c r="I24" s="64">
        <v>42436</v>
      </c>
      <c r="J24" s="46">
        <v>22</v>
      </c>
      <c r="K24" s="36" t="s">
        <v>31</v>
      </c>
      <c r="L24" s="60" t="s">
        <v>32</v>
      </c>
      <c r="M24" s="62"/>
      <c r="N24" s="62"/>
      <c r="O24" s="63"/>
      <c r="P24" s="63"/>
    </row>
    <row r="25" spans="1:16" ht="24.75" customHeight="1" x14ac:dyDescent="0.25">
      <c r="A25" s="11" t="str">
        <f t="shared" si="0"/>
        <v>VISTOS BUENOS</v>
      </c>
      <c r="B25" s="22">
        <v>1</v>
      </c>
      <c r="C25" s="46">
        <v>9</v>
      </c>
      <c r="D25" s="46">
        <v>17</v>
      </c>
      <c r="E25" s="60" t="s">
        <v>2172</v>
      </c>
      <c r="F25" s="66" t="s">
        <v>2347</v>
      </c>
      <c r="G25" s="46" t="s">
        <v>30</v>
      </c>
      <c r="H25" s="65">
        <v>42411</v>
      </c>
      <c r="I25" s="64">
        <v>42418</v>
      </c>
      <c r="J25" s="46">
        <v>28</v>
      </c>
      <c r="K25" s="36" t="s">
        <v>31</v>
      </c>
      <c r="L25" s="60" t="s">
        <v>32</v>
      </c>
      <c r="M25" s="62"/>
      <c r="N25" s="62"/>
      <c r="O25" s="63"/>
      <c r="P25" s="63"/>
    </row>
    <row r="26" spans="1:16" ht="24.75" customHeight="1" x14ac:dyDescent="0.25">
      <c r="A26" s="11" t="str">
        <f t="shared" si="0"/>
        <v>VISTOS BUENOS</v>
      </c>
      <c r="B26" s="22">
        <v>1</v>
      </c>
      <c r="C26" s="46">
        <v>9</v>
      </c>
      <c r="D26" s="46">
        <v>18</v>
      </c>
      <c r="E26" s="60" t="s">
        <v>2173</v>
      </c>
      <c r="F26" s="66" t="s">
        <v>2348</v>
      </c>
      <c r="G26" s="46" t="s">
        <v>30</v>
      </c>
      <c r="H26" s="65">
        <v>42412</v>
      </c>
      <c r="I26" s="64">
        <v>42424</v>
      </c>
      <c r="J26" s="46">
        <v>29</v>
      </c>
      <c r="K26" s="36" t="s">
        <v>31</v>
      </c>
      <c r="L26" s="60" t="s">
        <v>32</v>
      </c>
      <c r="M26" s="62"/>
      <c r="N26" s="62"/>
      <c r="O26" s="63"/>
      <c r="P26" s="63"/>
    </row>
    <row r="27" spans="1:16" ht="24.75" customHeight="1" x14ac:dyDescent="0.25">
      <c r="A27" s="11" t="str">
        <f t="shared" si="0"/>
        <v>VISTOS BUENOS</v>
      </c>
      <c r="B27" s="22">
        <v>1</v>
      </c>
      <c r="C27" s="46">
        <v>10</v>
      </c>
      <c r="D27" s="46">
        <v>19</v>
      </c>
      <c r="E27" s="60" t="s">
        <v>2174</v>
      </c>
      <c r="F27" s="66" t="s">
        <v>2349</v>
      </c>
      <c r="G27" s="46" t="s">
        <v>30</v>
      </c>
      <c r="H27" s="65">
        <v>42412</v>
      </c>
      <c r="I27" s="64">
        <v>42440</v>
      </c>
      <c r="J27" s="46">
        <v>47</v>
      </c>
      <c r="K27" s="36" t="s">
        <v>31</v>
      </c>
      <c r="L27" s="60" t="s">
        <v>32</v>
      </c>
      <c r="M27" s="62"/>
      <c r="N27" s="62"/>
      <c r="O27" s="63"/>
      <c r="P27" s="63"/>
    </row>
    <row r="28" spans="1:16" ht="24.75" customHeight="1" x14ac:dyDescent="0.25">
      <c r="A28" s="11" t="str">
        <f t="shared" si="0"/>
        <v>VISTOS BUENOS</v>
      </c>
      <c r="B28" s="22">
        <v>1</v>
      </c>
      <c r="C28" s="46">
        <v>10</v>
      </c>
      <c r="D28" s="46">
        <v>20</v>
      </c>
      <c r="E28" s="60" t="s">
        <v>2175</v>
      </c>
      <c r="F28" s="66" t="s">
        <v>2350</v>
      </c>
      <c r="G28" s="46" t="s">
        <v>30</v>
      </c>
      <c r="H28" s="65">
        <v>42412</v>
      </c>
      <c r="I28" s="64">
        <v>42430</v>
      </c>
      <c r="J28" s="46">
        <v>37</v>
      </c>
      <c r="K28" s="36" t="s">
        <v>31</v>
      </c>
      <c r="L28" s="60" t="s">
        <v>32</v>
      </c>
      <c r="M28" s="62"/>
      <c r="N28" s="62"/>
      <c r="O28" s="63"/>
      <c r="P28" s="63"/>
    </row>
    <row r="29" spans="1:16" ht="24.75" customHeight="1" x14ac:dyDescent="0.25">
      <c r="A29" s="11" t="str">
        <f t="shared" si="0"/>
        <v>VISTOS BUENOS</v>
      </c>
      <c r="B29" s="22">
        <v>1</v>
      </c>
      <c r="C29" s="46">
        <v>10</v>
      </c>
      <c r="D29" s="46">
        <v>21</v>
      </c>
      <c r="E29" s="60" t="s">
        <v>2176</v>
      </c>
      <c r="F29" s="66" t="s">
        <v>2351</v>
      </c>
      <c r="G29" s="46" t="s">
        <v>30</v>
      </c>
      <c r="H29" s="65">
        <v>42412</v>
      </c>
      <c r="I29" s="64">
        <v>42429</v>
      </c>
      <c r="J29" s="46">
        <v>21</v>
      </c>
      <c r="K29" s="36" t="s">
        <v>31</v>
      </c>
      <c r="L29" s="60" t="s">
        <v>32</v>
      </c>
      <c r="M29" s="62"/>
      <c r="N29" s="62"/>
      <c r="O29" s="63"/>
      <c r="P29" s="63"/>
    </row>
    <row r="30" spans="1:16" ht="24.75" customHeight="1" x14ac:dyDescent="0.25">
      <c r="A30" s="11" t="str">
        <f t="shared" si="0"/>
        <v>VISTOS BUENOS</v>
      </c>
      <c r="B30" s="22">
        <v>1</v>
      </c>
      <c r="C30" s="46">
        <v>10</v>
      </c>
      <c r="D30" s="46">
        <v>22</v>
      </c>
      <c r="E30" s="60" t="s">
        <v>2177</v>
      </c>
      <c r="F30" s="66" t="s">
        <v>2352</v>
      </c>
      <c r="G30" s="46" t="s">
        <v>30</v>
      </c>
      <c r="H30" s="65">
        <v>42417</v>
      </c>
      <c r="I30" s="64">
        <v>42425</v>
      </c>
      <c r="J30" s="46">
        <v>36</v>
      </c>
      <c r="K30" s="36" t="s">
        <v>31</v>
      </c>
      <c r="L30" s="60" t="s">
        <v>32</v>
      </c>
      <c r="M30" s="62"/>
      <c r="N30" s="62"/>
      <c r="O30" s="63"/>
      <c r="P30" s="63"/>
    </row>
    <row r="31" spans="1:16" ht="24.75" customHeight="1" x14ac:dyDescent="0.25">
      <c r="A31" s="11" t="str">
        <f t="shared" si="0"/>
        <v>VISTOS BUENOS</v>
      </c>
      <c r="B31" s="22">
        <v>1</v>
      </c>
      <c r="C31" s="67" t="s">
        <v>2515</v>
      </c>
      <c r="D31" s="46">
        <v>23</v>
      </c>
      <c r="E31" s="60" t="s">
        <v>2178</v>
      </c>
      <c r="F31" s="66" t="s">
        <v>2353</v>
      </c>
      <c r="G31" s="46" t="s">
        <v>30</v>
      </c>
      <c r="H31" s="65">
        <v>42426</v>
      </c>
      <c r="I31" s="64">
        <v>42481</v>
      </c>
      <c r="J31" s="46">
        <v>298</v>
      </c>
      <c r="K31" s="36" t="s">
        <v>31</v>
      </c>
      <c r="L31" s="60" t="s">
        <v>32</v>
      </c>
      <c r="M31" s="62"/>
      <c r="N31" s="62"/>
      <c r="O31" s="63"/>
      <c r="P31" s="63"/>
    </row>
    <row r="32" spans="1:16" ht="24.75" customHeight="1" x14ac:dyDescent="0.25">
      <c r="A32" s="11" t="str">
        <f t="shared" si="0"/>
        <v>VISTOS BUENOS</v>
      </c>
      <c r="B32" s="22">
        <v>1</v>
      </c>
      <c r="C32" s="46">
        <v>13</v>
      </c>
      <c r="D32" s="46">
        <v>24</v>
      </c>
      <c r="E32" s="60" t="s">
        <v>2179</v>
      </c>
      <c r="F32" s="66" t="s">
        <v>2354</v>
      </c>
      <c r="G32" s="46" t="s">
        <v>30</v>
      </c>
      <c r="H32" s="65">
        <v>42429</v>
      </c>
      <c r="I32" s="64">
        <v>42437</v>
      </c>
      <c r="J32" s="46">
        <v>149</v>
      </c>
      <c r="K32" s="36" t="s">
        <v>31</v>
      </c>
      <c r="L32" s="60" t="s">
        <v>32</v>
      </c>
      <c r="M32" s="62"/>
      <c r="N32" s="62"/>
      <c r="O32" s="63"/>
      <c r="P32" s="63"/>
    </row>
    <row r="33" spans="1:16" ht="24.75" customHeight="1" x14ac:dyDescent="0.25">
      <c r="A33" s="11" t="str">
        <f t="shared" si="0"/>
        <v>VISTOS BUENOS</v>
      </c>
      <c r="B33" s="22">
        <v>1</v>
      </c>
      <c r="C33" s="46">
        <v>14</v>
      </c>
      <c r="D33" s="46">
        <v>25</v>
      </c>
      <c r="E33" s="60" t="s">
        <v>2180</v>
      </c>
      <c r="F33" s="66" t="s">
        <v>2355</v>
      </c>
      <c r="G33" s="46" t="s">
        <v>30</v>
      </c>
      <c r="H33" s="65">
        <v>42429</v>
      </c>
      <c r="I33" s="64">
        <v>42436</v>
      </c>
      <c r="J33" s="46">
        <v>156</v>
      </c>
      <c r="K33" s="36" t="s">
        <v>31</v>
      </c>
      <c r="L33" s="60" t="s">
        <v>32</v>
      </c>
      <c r="M33" s="62"/>
      <c r="N33" s="62"/>
      <c r="O33" s="63"/>
      <c r="P33" s="63"/>
    </row>
    <row r="34" spans="1:16" ht="24.75" customHeight="1" x14ac:dyDescent="0.25">
      <c r="A34" s="11" t="str">
        <f t="shared" si="0"/>
        <v>VISTOS BUENOS</v>
      </c>
      <c r="B34" s="22">
        <v>2</v>
      </c>
      <c r="C34" s="46">
        <v>15</v>
      </c>
      <c r="D34" s="46">
        <v>26</v>
      </c>
      <c r="E34" s="60" t="s">
        <v>2181</v>
      </c>
      <c r="F34" s="66" t="s">
        <v>2356</v>
      </c>
      <c r="G34" s="46" t="s">
        <v>30</v>
      </c>
      <c r="H34" s="65">
        <v>42429</v>
      </c>
      <c r="I34" s="64">
        <v>42438</v>
      </c>
      <c r="J34" s="46">
        <v>156</v>
      </c>
      <c r="K34" s="36" t="s">
        <v>31</v>
      </c>
      <c r="L34" s="60" t="s">
        <v>32</v>
      </c>
      <c r="M34" s="62"/>
      <c r="N34" s="62"/>
      <c r="O34" s="63"/>
      <c r="P34" s="63"/>
    </row>
    <row r="35" spans="1:16" ht="24.75" customHeight="1" x14ac:dyDescent="0.25">
      <c r="A35" s="11" t="str">
        <f t="shared" si="0"/>
        <v>VISTOS BUENOS</v>
      </c>
      <c r="B35" s="22">
        <v>2</v>
      </c>
      <c r="C35" s="46">
        <v>16</v>
      </c>
      <c r="D35" s="46">
        <v>27</v>
      </c>
      <c r="E35" s="60" t="s">
        <v>2182</v>
      </c>
      <c r="F35" s="66" t="s">
        <v>2357</v>
      </c>
      <c r="G35" s="46" t="s">
        <v>30</v>
      </c>
      <c r="H35" s="65">
        <v>42430</v>
      </c>
      <c r="I35" s="64">
        <v>42437</v>
      </c>
      <c r="J35" s="46">
        <v>24</v>
      </c>
      <c r="K35" s="36" t="s">
        <v>31</v>
      </c>
      <c r="L35" s="60" t="s">
        <v>32</v>
      </c>
      <c r="M35" s="62"/>
      <c r="N35" s="62"/>
      <c r="O35" s="63"/>
      <c r="P35" s="63"/>
    </row>
    <row r="36" spans="1:16" ht="24.75" customHeight="1" x14ac:dyDescent="0.25">
      <c r="A36" s="11" t="str">
        <f t="shared" si="0"/>
        <v>VISTOS BUENOS</v>
      </c>
      <c r="B36" s="22">
        <v>2</v>
      </c>
      <c r="C36" s="46">
        <v>16</v>
      </c>
      <c r="D36" s="46">
        <v>28</v>
      </c>
      <c r="E36" s="60" t="s">
        <v>2183</v>
      </c>
      <c r="F36" s="66" t="s">
        <v>2358</v>
      </c>
      <c r="G36" s="46" t="s">
        <v>30</v>
      </c>
      <c r="H36" s="65">
        <v>42430</v>
      </c>
      <c r="I36" s="64">
        <v>42453</v>
      </c>
      <c r="J36" s="46">
        <v>85</v>
      </c>
      <c r="K36" s="36" t="s">
        <v>31</v>
      </c>
      <c r="L36" s="60" t="s">
        <v>32</v>
      </c>
      <c r="M36" s="62"/>
      <c r="N36" s="62"/>
      <c r="O36" s="63"/>
      <c r="P36" s="63"/>
    </row>
    <row r="37" spans="1:16" ht="24.75" customHeight="1" x14ac:dyDescent="0.25">
      <c r="A37" s="11" t="str">
        <f t="shared" si="0"/>
        <v>VISTOS BUENOS</v>
      </c>
      <c r="B37" s="22">
        <v>2</v>
      </c>
      <c r="C37" s="46">
        <v>17</v>
      </c>
      <c r="D37" s="46">
        <v>29</v>
      </c>
      <c r="E37" s="60" t="s">
        <v>2184</v>
      </c>
      <c r="F37" s="66" t="s">
        <v>2359</v>
      </c>
      <c r="G37" s="46" t="s">
        <v>30</v>
      </c>
      <c r="H37" s="65">
        <v>42436</v>
      </c>
      <c r="I37" s="64">
        <v>42447</v>
      </c>
      <c r="J37" s="46">
        <v>62</v>
      </c>
      <c r="K37" s="36" t="s">
        <v>31</v>
      </c>
      <c r="L37" s="60" t="s">
        <v>32</v>
      </c>
      <c r="M37" s="62"/>
      <c r="N37" s="62"/>
      <c r="O37" s="63"/>
      <c r="P37" s="63"/>
    </row>
    <row r="38" spans="1:16" ht="24.75" customHeight="1" x14ac:dyDescent="0.25">
      <c r="A38" s="11" t="str">
        <f t="shared" si="0"/>
        <v>VISTOS BUENOS</v>
      </c>
      <c r="B38" s="22">
        <v>2</v>
      </c>
      <c r="C38" s="46">
        <v>18</v>
      </c>
      <c r="D38" s="46">
        <v>30</v>
      </c>
      <c r="E38" s="60" t="s">
        <v>2185</v>
      </c>
      <c r="F38" s="66" t="s">
        <v>2360</v>
      </c>
      <c r="G38" s="46" t="s">
        <v>30</v>
      </c>
      <c r="H38" s="65">
        <v>42437</v>
      </c>
      <c r="I38" s="64">
        <v>42450</v>
      </c>
      <c r="J38" s="46">
        <v>16</v>
      </c>
      <c r="K38" s="36" t="s">
        <v>31</v>
      </c>
      <c r="L38" s="60" t="s">
        <v>32</v>
      </c>
      <c r="M38" s="62"/>
      <c r="N38" s="62"/>
      <c r="O38" s="63"/>
      <c r="P38" s="63"/>
    </row>
    <row r="39" spans="1:16" ht="24.75" customHeight="1" x14ac:dyDescent="0.25">
      <c r="A39" s="11" t="str">
        <f t="shared" si="0"/>
        <v>VISTOS BUENOS</v>
      </c>
      <c r="B39" s="22">
        <v>2</v>
      </c>
      <c r="C39" s="46">
        <v>18</v>
      </c>
      <c r="D39" s="37">
        <v>31</v>
      </c>
      <c r="E39" s="70" t="s">
        <v>2176</v>
      </c>
      <c r="F39" s="71" t="s">
        <v>2361</v>
      </c>
      <c r="G39" s="37" t="s">
        <v>30</v>
      </c>
      <c r="H39" s="65">
        <v>42438</v>
      </c>
      <c r="I39" s="64">
        <v>42450</v>
      </c>
      <c r="J39" s="46">
        <v>20</v>
      </c>
      <c r="K39" s="36" t="s">
        <v>31</v>
      </c>
      <c r="L39" s="60" t="s">
        <v>32</v>
      </c>
      <c r="M39" s="62"/>
      <c r="N39" s="62"/>
      <c r="O39" s="63"/>
      <c r="P39" s="63"/>
    </row>
    <row r="40" spans="1:16" ht="24.75" customHeight="1" x14ac:dyDescent="0.25">
      <c r="A40" s="11" t="str">
        <f t="shared" si="0"/>
        <v>VISTOS BUENOS</v>
      </c>
      <c r="B40" s="22">
        <v>2</v>
      </c>
      <c r="C40" s="46">
        <v>19</v>
      </c>
      <c r="D40" s="46">
        <v>32</v>
      </c>
      <c r="E40" s="60" t="s">
        <v>2186</v>
      </c>
      <c r="F40" s="66" t="s">
        <v>2362</v>
      </c>
      <c r="G40" s="46" t="s">
        <v>30</v>
      </c>
      <c r="H40" s="65">
        <v>42438</v>
      </c>
      <c r="I40" s="64">
        <v>42457</v>
      </c>
      <c r="J40" s="46">
        <v>161</v>
      </c>
      <c r="K40" s="36" t="s">
        <v>31</v>
      </c>
      <c r="L40" s="60" t="s">
        <v>32</v>
      </c>
      <c r="M40" s="62"/>
      <c r="N40" s="62"/>
      <c r="O40" s="63"/>
      <c r="P40" s="63"/>
    </row>
    <row r="41" spans="1:16" ht="24.75" customHeight="1" x14ac:dyDescent="0.25">
      <c r="A41" s="11" t="str">
        <f t="shared" si="0"/>
        <v>VISTOS BUENOS</v>
      </c>
      <c r="B41" s="22">
        <v>2</v>
      </c>
      <c r="C41" s="46">
        <v>20</v>
      </c>
      <c r="D41" s="46">
        <v>33</v>
      </c>
      <c r="E41" s="60" t="s">
        <v>2187</v>
      </c>
      <c r="F41" s="66" t="s">
        <v>2363</v>
      </c>
      <c r="G41" s="46" t="s">
        <v>30</v>
      </c>
      <c r="H41" s="65">
        <v>42445</v>
      </c>
      <c r="I41" s="64">
        <v>42468</v>
      </c>
      <c r="J41" s="46">
        <v>47</v>
      </c>
      <c r="K41" s="36" t="s">
        <v>31</v>
      </c>
      <c r="L41" s="60" t="s">
        <v>32</v>
      </c>
      <c r="M41" s="62"/>
      <c r="N41" s="62"/>
      <c r="O41" s="63"/>
      <c r="P41" s="63"/>
    </row>
    <row r="42" spans="1:16" ht="24.75" customHeight="1" x14ac:dyDescent="0.25">
      <c r="A42" s="11" t="str">
        <f t="shared" ref="A42:A73" si="1">A41</f>
        <v>VISTOS BUENOS</v>
      </c>
      <c r="B42" s="22">
        <v>2</v>
      </c>
      <c r="C42" s="46">
        <v>21</v>
      </c>
      <c r="D42" s="46">
        <v>34</v>
      </c>
      <c r="E42" s="60" t="s">
        <v>2188</v>
      </c>
      <c r="F42" s="66" t="s">
        <v>2364</v>
      </c>
      <c r="G42" s="46" t="s">
        <v>30</v>
      </c>
      <c r="H42" s="65">
        <v>42445</v>
      </c>
      <c r="I42" s="64">
        <v>42467</v>
      </c>
      <c r="J42" s="46">
        <v>175</v>
      </c>
      <c r="K42" s="36" t="s">
        <v>31</v>
      </c>
      <c r="L42" s="60" t="s">
        <v>32</v>
      </c>
      <c r="M42" s="62"/>
      <c r="N42" s="62"/>
      <c r="O42" s="63"/>
      <c r="P42" s="63"/>
    </row>
    <row r="43" spans="1:16" ht="24.75" customHeight="1" x14ac:dyDescent="0.25">
      <c r="A43" s="11" t="str">
        <f t="shared" si="1"/>
        <v>VISTOS BUENOS</v>
      </c>
      <c r="B43" s="22">
        <v>2</v>
      </c>
      <c r="C43" s="46">
        <v>22</v>
      </c>
      <c r="D43" s="46">
        <v>35</v>
      </c>
      <c r="E43" s="60" t="s">
        <v>2189</v>
      </c>
      <c r="F43" s="66" t="s">
        <v>2365</v>
      </c>
      <c r="G43" s="46" t="s">
        <v>30</v>
      </c>
      <c r="H43" s="65">
        <v>42447</v>
      </c>
      <c r="I43" s="64">
        <v>42452</v>
      </c>
      <c r="J43" s="46">
        <v>33</v>
      </c>
      <c r="K43" s="36" t="s">
        <v>31</v>
      </c>
      <c r="L43" s="60" t="s">
        <v>32</v>
      </c>
      <c r="M43" s="62"/>
      <c r="N43" s="62"/>
      <c r="O43" s="63"/>
      <c r="P43" s="63"/>
    </row>
    <row r="44" spans="1:16" ht="24.75" customHeight="1" x14ac:dyDescent="0.25">
      <c r="A44" s="11" t="str">
        <f t="shared" si="1"/>
        <v>VISTOS BUENOS</v>
      </c>
      <c r="B44" s="22">
        <v>2</v>
      </c>
      <c r="C44" s="46" t="s">
        <v>2816</v>
      </c>
      <c r="D44" s="46">
        <v>36</v>
      </c>
      <c r="E44" s="60" t="s">
        <v>2190</v>
      </c>
      <c r="F44" s="66" t="s">
        <v>2366</v>
      </c>
      <c r="G44" s="46" t="s">
        <v>30</v>
      </c>
      <c r="H44" s="65">
        <v>42451</v>
      </c>
      <c r="I44" s="64">
        <v>42466</v>
      </c>
      <c r="J44" s="46">
        <v>211</v>
      </c>
      <c r="K44" s="36" t="s">
        <v>31</v>
      </c>
      <c r="L44" s="60" t="s">
        <v>32</v>
      </c>
      <c r="M44" s="62"/>
      <c r="N44" s="62"/>
      <c r="O44" s="63"/>
      <c r="P44" s="63"/>
    </row>
    <row r="45" spans="1:16" ht="24.75" customHeight="1" x14ac:dyDescent="0.25">
      <c r="A45" s="11" t="str">
        <f t="shared" si="1"/>
        <v>VISTOS BUENOS</v>
      </c>
      <c r="B45" s="22">
        <v>2</v>
      </c>
      <c r="C45" s="46" t="s">
        <v>2817</v>
      </c>
      <c r="D45" s="46">
        <v>37</v>
      </c>
      <c r="E45" s="60" t="s">
        <v>2191</v>
      </c>
      <c r="F45" s="66" t="s">
        <v>2367</v>
      </c>
      <c r="G45" s="46" t="s">
        <v>30</v>
      </c>
      <c r="H45" s="65">
        <v>42452</v>
      </c>
      <c r="I45" s="64">
        <v>42472</v>
      </c>
      <c r="J45" s="46">
        <v>582</v>
      </c>
      <c r="K45" s="36" t="s">
        <v>31</v>
      </c>
      <c r="L45" s="60" t="s">
        <v>32</v>
      </c>
      <c r="M45" s="62"/>
      <c r="N45" s="62"/>
      <c r="O45" s="63"/>
      <c r="P45" s="63"/>
    </row>
    <row r="46" spans="1:16" ht="24.75" customHeight="1" x14ac:dyDescent="0.25">
      <c r="A46" s="11" t="str">
        <f t="shared" si="1"/>
        <v>VISTOS BUENOS</v>
      </c>
      <c r="B46" s="22">
        <v>2</v>
      </c>
      <c r="C46" s="46">
        <v>30</v>
      </c>
      <c r="D46" s="46">
        <v>38</v>
      </c>
      <c r="E46" s="60" t="s">
        <v>2192</v>
      </c>
      <c r="F46" s="66" t="s">
        <v>2368</v>
      </c>
      <c r="G46" s="46" t="s">
        <v>30</v>
      </c>
      <c r="H46" s="65">
        <v>42457</v>
      </c>
      <c r="I46" s="64">
        <v>42486</v>
      </c>
      <c r="J46" s="46">
        <v>72</v>
      </c>
      <c r="K46" s="36" t="s">
        <v>31</v>
      </c>
      <c r="L46" s="60" t="s">
        <v>32</v>
      </c>
      <c r="M46" s="62"/>
      <c r="N46" s="62"/>
      <c r="O46" s="63"/>
      <c r="P46" s="63"/>
    </row>
    <row r="47" spans="1:16" ht="24.75" customHeight="1" x14ac:dyDescent="0.25">
      <c r="A47" s="11" t="str">
        <f t="shared" si="1"/>
        <v>VISTOS BUENOS</v>
      </c>
      <c r="B47" s="22">
        <v>2</v>
      </c>
      <c r="C47" s="46">
        <v>31</v>
      </c>
      <c r="D47" s="46">
        <v>39</v>
      </c>
      <c r="E47" s="60" t="s">
        <v>2193</v>
      </c>
      <c r="F47" s="66" t="s">
        <v>2369</v>
      </c>
      <c r="G47" s="46" t="s">
        <v>30</v>
      </c>
      <c r="H47" s="65">
        <v>42457</v>
      </c>
      <c r="I47" s="64">
        <v>42486</v>
      </c>
      <c r="J47" s="46">
        <v>114</v>
      </c>
      <c r="K47" s="36" t="s">
        <v>31</v>
      </c>
      <c r="L47" s="60" t="s">
        <v>32</v>
      </c>
      <c r="M47" s="62"/>
      <c r="N47" s="62"/>
      <c r="O47" s="63"/>
      <c r="P47" s="63"/>
    </row>
    <row r="48" spans="1:16" ht="24.75" customHeight="1" x14ac:dyDescent="0.25">
      <c r="A48" s="11" t="str">
        <f t="shared" si="1"/>
        <v>VISTOS BUENOS</v>
      </c>
      <c r="B48" s="22">
        <v>3</v>
      </c>
      <c r="C48" s="46">
        <v>32</v>
      </c>
      <c r="D48" s="46">
        <v>40</v>
      </c>
      <c r="E48" s="60" t="s">
        <v>2194</v>
      </c>
      <c r="F48" s="66" t="s">
        <v>2370</v>
      </c>
      <c r="G48" s="46" t="s">
        <v>30</v>
      </c>
      <c r="H48" s="65">
        <v>42458</v>
      </c>
      <c r="I48" s="64">
        <v>42480</v>
      </c>
      <c r="J48" s="46">
        <v>69</v>
      </c>
      <c r="K48" s="36" t="s">
        <v>31</v>
      </c>
      <c r="L48" s="60" t="s">
        <v>32</v>
      </c>
      <c r="M48" s="62"/>
      <c r="N48" s="62"/>
      <c r="O48" s="63"/>
      <c r="P48" s="63"/>
    </row>
    <row r="49" spans="1:16" ht="24.75" customHeight="1" x14ac:dyDescent="0.25">
      <c r="A49" s="11" t="str">
        <f t="shared" si="1"/>
        <v>VISTOS BUENOS</v>
      </c>
      <c r="B49" s="22">
        <v>3</v>
      </c>
      <c r="C49" s="46">
        <v>33</v>
      </c>
      <c r="D49" s="46">
        <v>41</v>
      </c>
      <c r="E49" s="60" t="s">
        <v>2195</v>
      </c>
      <c r="F49" s="66" t="s">
        <v>2371</v>
      </c>
      <c r="G49" s="46" t="s">
        <v>30</v>
      </c>
      <c r="H49" s="65">
        <v>42458</v>
      </c>
      <c r="I49" s="64">
        <v>42480</v>
      </c>
      <c r="J49" s="46">
        <v>91</v>
      </c>
      <c r="K49" s="36" t="s">
        <v>31</v>
      </c>
      <c r="L49" s="60" t="s">
        <v>32</v>
      </c>
      <c r="M49" s="62"/>
      <c r="N49" s="62"/>
      <c r="O49" s="63"/>
      <c r="P49" s="63"/>
    </row>
    <row r="50" spans="1:16" ht="24.75" customHeight="1" x14ac:dyDescent="0.25">
      <c r="A50" s="11" t="str">
        <f t="shared" si="1"/>
        <v>VISTOS BUENOS</v>
      </c>
      <c r="B50" s="22">
        <v>3</v>
      </c>
      <c r="C50" s="46">
        <v>34</v>
      </c>
      <c r="D50" s="46">
        <v>42</v>
      </c>
      <c r="E50" s="60" t="s">
        <v>2196</v>
      </c>
      <c r="F50" s="66" t="s">
        <v>2372</v>
      </c>
      <c r="G50" s="46" t="s">
        <v>30</v>
      </c>
      <c r="H50" s="65">
        <v>42458</v>
      </c>
      <c r="I50" s="64">
        <v>42487</v>
      </c>
      <c r="J50" s="46">
        <v>98</v>
      </c>
      <c r="K50" s="36" t="s">
        <v>31</v>
      </c>
      <c r="L50" s="60" t="s">
        <v>32</v>
      </c>
      <c r="M50" s="62"/>
      <c r="N50" s="62"/>
      <c r="O50" s="63"/>
      <c r="P50" s="63"/>
    </row>
    <row r="51" spans="1:16" ht="24.75" customHeight="1" x14ac:dyDescent="0.25">
      <c r="A51" s="11" t="str">
        <f t="shared" si="1"/>
        <v>VISTOS BUENOS</v>
      </c>
      <c r="B51" s="22">
        <v>3</v>
      </c>
      <c r="C51" s="46">
        <v>35</v>
      </c>
      <c r="D51" s="46">
        <v>43</v>
      </c>
      <c r="E51" s="60" t="s">
        <v>2189</v>
      </c>
      <c r="F51" s="66" t="s">
        <v>2373</v>
      </c>
      <c r="G51" s="46" t="s">
        <v>30</v>
      </c>
      <c r="H51" s="65">
        <v>42458</v>
      </c>
      <c r="I51" s="64">
        <v>42481</v>
      </c>
      <c r="J51" s="46">
        <v>44</v>
      </c>
      <c r="K51" s="36" t="s">
        <v>31</v>
      </c>
      <c r="L51" s="60" t="s">
        <v>32</v>
      </c>
      <c r="M51" s="62"/>
      <c r="N51" s="62"/>
      <c r="O51" s="63"/>
      <c r="P51" s="63"/>
    </row>
    <row r="52" spans="1:16" ht="24.75" customHeight="1" x14ac:dyDescent="0.25">
      <c r="A52" s="11" t="str">
        <f t="shared" si="1"/>
        <v>VISTOS BUENOS</v>
      </c>
      <c r="B52" s="22">
        <v>3</v>
      </c>
      <c r="C52" s="46">
        <v>35</v>
      </c>
      <c r="D52" s="46">
        <v>44</v>
      </c>
      <c r="E52" s="60" t="s">
        <v>2197</v>
      </c>
      <c r="F52" s="66" t="s">
        <v>2374</v>
      </c>
      <c r="G52" s="46" t="s">
        <v>30</v>
      </c>
      <c r="H52" s="65">
        <v>42460</v>
      </c>
      <c r="I52" s="64">
        <v>42480</v>
      </c>
      <c r="J52" s="46">
        <v>45</v>
      </c>
      <c r="K52" s="36" t="s">
        <v>31</v>
      </c>
      <c r="L52" s="60" t="s">
        <v>32</v>
      </c>
      <c r="M52" s="62"/>
      <c r="N52" s="62"/>
      <c r="O52" s="63"/>
      <c r="P52" s="63"/>
    </row>
    <row r="53" spans="1:16" ht="24.75" customHeight="1" x14ac:dyDescent="0.25">
      <c r="A53" s="11" t="str">
        <f t="shared" si="1"/>
        <v>VISTOS BUENOS</v>
      </c>
      <c r="B53" s="22">
        <v>3</v>
      </c>
      <c r="C53" s="46">
        <v>36</v>
      </c>
      <c r="D53" s="46">
        <v>45</v>
      </c>
      <c r="E53" s="60" t="s">
        <v>2198</v>
      </c>
      <c r="F53" s="66" t="s">
        <v>2375</v>
      </c>
      <c r="G53" s="46" t="s">
        <v>30</v>
      </c>
      <c r="H53" s="65">
        <v>42466</v>
      </c>
      <c r="I53" s="64">
        <v>42482</v>
      </c>
      <c r="J53" s="46">
        <v>24</v>
      </c>
      <c r="K53" s="36" t="s">
        <v>31</v>
      </c>
      <c r="L53" s="60" t="s">
        <v>32</v>
      </c>
      <c r="M53" s="62"/>
      <c r="N53" s="62"/>
      <c r="O53" s="63"/>
      <c r="P53" s="63"/>
    </row>
    <row r="54" spans="1:16" ht="24.75" customHeight="1" x14ac:dyDescent="0.25">
      <c r="A54" s="11" t="str">
        <f t="shared" si="1"/>
        <v>VISTOS BUENOS</v>
      </c>
      <c r="B54" s="22">
        <v>3</v>
      </c>
      <c r="C54" s="46">
        <v>36</v>
      </c>
      <c r="D54" s="46">
        <v>46</v>
      </c>
      <c r="E54" s="60" t="s">
        <v>2199</v>
      </c>
      <c r="F54" s="66" t="s">
        <v>2376</v>
      </c>
      <c r="G54" s="46" t="s">
        <v>30</v>
      </c>
      <c r="H54" s="65">
        <v>42468</v>
      </c>
      <c r="I54" s="64">
        <v>42482</v>
      </c>
      <c r="J54" s="46">
        <v>31</v>
      </c>
      <c r="K54" s="36" t="s">
        <v>31</v>
      </c>
      <c r="L54" s="60" t="s">
        <v>32</v>
      </c>
      <c r="M54" s="62"/>
      <c r="N54" s="62"/>
      <c r="O54" s="63"/>
      <c r="P54" s="63"/>
    </row>
    <row r="55" spans="1:16" ht="24.75" customHeight="1" x14ac:dyDescent="0.25">
      <c r="A55" s="11" t="str">
        <f t="shared" si="1"/>
        <v>VISTOS BUENOS</v>
      </c>
      <c r="B55" s="22">
        <v>3</v>
      </c>
      <c r="C55" s="46">
        <v>37</v>
      </c>
      <c r="D55" s="46">
        <v>47</v>
      </c>
      <c r="E55" s="60" t="s">
        <v>2200</v>
      </c>
      <c r="F55" s="66" t="s">
        <v>2377</v>
      </c>
      <c r="G55" s="46" t="s">
        <v>30</v>
      </c>
      <c r="H55" s="65">
        <v>42471</v>
      </c>
      <c r="I55" s="64">
        <v>42488</v>
      </c>
      <c r="J55" s="46">
        <v>62</v>
      </c>
      <c r="K55" s="36" t="s">
        <v>31</v>
      </c>
      <c r="L55" s="60" t="s">
        <v>32</v>
      </c>
      <c r="M55" s="62"/>
      <c r="N55" s="62"/>
      <c r="O55" s="63"/>
      <c r="P55" s="63"/>
    </row>
    <row r="56" spans="1:16" ht="24.75" customHeight="1" x14ac:dyDescent="0.25">
      <c r="A56" s="11" t="str">
        <f t="shared" si="1"/>
        <v>VISTOS BUENOS</v>
      </c>
      <c r="B56" s="22">
        <v>3</v>
      </c>
      <c r="C56" s="46">
        <v>37</v>
      </c>
      <c r="D56" s="37">
        <v>48</v>
      </c>
      <c r="E56" s="70" t="s">
        <v>2201</v>
      </c>
      <c r="F56" s="71" t="s">
        <v>2378</v>
      </c>
      <c r="G56" s="46" t="s">
        <v>30</v>
      </c>
      <c r="H56" s="65">
        <v>42475</v>
      </c>
      <c r="I56" s="64">
        <v>42494</v>
      </c>
      <c r="J56" s="46">
        <v>26</v>
      </c>
      <c r="K56" s="36" t="s">
        <v>31</v>
      </c>
      <c r="L56" s="60" t="s">
        <v>32</v>
      </c>
      <c r="M56" s="62"/>
      <c r="N56" s="62"/>
      <c r="O56" s="63"/>
      <c r="P56" s="63"/>
    </row>
    <row r="57" spans="1:16" ht="24.75" customHeight="1" x14ac:dyDescent="0.25">
      <c r="A57" s="11" t="str">
        <f t="shared" si="1"/>
        <v>VISTOS BUENOS</v>
      </c>
      <c r="B57" s="22">
        <v>3</v>
      </c>
      <c r="C57" s="46">
        <v>38</v>
      </c>
      <c r="D57" s="46">
        <v>49</v>
      </c>
      <c r="E57" s="60" t="s">
        <v>2202</v>
      </c>
      <c r="F57" s="66" t="s">
        <v>2379</v>
      </c>
      <c r="G57" s="46" t="s">
        <v>30</v>
      </c>
      <c r="H57" s="65">
        <v>42475</v>
      </c>
      <c r="I57" s="64">
        <v>42481</v>
      </c>
      <c r="J57" s="46">
        <v>14</v>
      </c>
      <c r="K57" s="36" t="s">
        <v>31</v>
      </c>
      <c r="L57" s="60" t="s">
        <v>32</v>
      </c>
      <c r="M57" s="62"/>
      <c r="N57" s="62"/>
      <c r="O57" s="63"/>
      <c r="P57" s="63"/>
    </row>
    <row r="58" spans="1:16" ht="24.75" customHeight="1" x14ac:dyDescent="0.25">
      <c r="A58" s="11" t="str">
        <f t="shared" si="1"/>
        <v>VISTOS BUENOS</v>
      </c>
      <c r="B58" s="22">
        <v>3</v>
      </c>
      <c r="C58" s="46">
        <v>38</v>
      </c>
      <c r="D58" s="46">
        <v>50</v>
      </c>
      <c r="E58" s="60" t="s">
        <v>2203</v>
      </c>
      <c r="F58" s="66" t="s">
        <v>2380</v>
      </c>
      <c r="G58" s="46" t="s">
        <v>30</v>
      </c>
      <c r="H58" s="65">
        <v>42479</v>
      </c>
      <c r="I58" s="64">
        <v>42479</v>
      </c>
      <c r="J58" s="46">
        <v>88</v>
      </c>
      <c r="K58" s="36" t="s">
        <v>31</v>
      </c>
      <c r="L58" s="60" t="s">
        <v>32</v>
      </c>
      <c r="M58" s="62"/>
      <c r="N58" s="62"/>
      <c r="O58" s="63"/>
      <c r="P58" s="63"/>
    </row>
    <row r="59" spans="1:16" ht="24.75" customHeight="1" x14ac:dyDescent="0.25">
      <c r="A59" s="11" t="str">
        <f t="shared" si="1"/>
        <v>VISTOS BUENOS</v>
      </c>
      <c r="B59" s="22">
        <v>3</v>
      </c>
      <c r="C59" s="46">
        <v>39</v>
      </c>
      <c r="D59" s="46">
        <v>51</v>
      </c>
      <c r="E59" s="60" t="s">
        <v>2202</v>
      </c>
      <c r="F59" s="66" t="s">
        <v>2381</v>
      </c>
      <c r="G59" s="46" t="s">
        <v>30</v>
      </c>
      <c r="H59" s="65">
        <v>42485</v>
      </c>
      <c r="I59" s="64">
        <v>42502</v>
      </c>
      <c r="J59" s="46">
        <v>26</v>
      </c>
      <c r="K59" s="36" t="s">
        <v>31</v>
      </c>
      <c r="L59" s="60" t="s">
        <v>32</v>
      </c>
      <c r="M59" s="62"/>
      <c r="N59" s="62"/>
      <c r="O59" s="63"/>
      <c r="P59" s="63"/>
    </row>
    <row r="60" spans="1:16" ht="24.75" customHeight="1" x14ac:dyDescent="0.25">
      <c r="A60" s="11" t="str">
        <f t="shared" si="1"/>
        <v>VISTOS BUENOS</v>
      </c>
      <c r="B60" s="22">
        <v>3</v>
      </c>
      <c r="C60" s="46">
        <v>39</v>
      </c>
      <c r="D60" s="46">
        <v>52</v>
      </c>
      <c r="E60" s="60" t="s">
        <v>2204</v>
      </c>
      <c r="F60" s="66" t="s">
        <v>2382</v>
      </c>
      <c r="G60" s="46" t="s">
        <v>30</v>
      </c>
      <c r="H60" s="65">
        <v>42487</v>
      </c>
      <c r="I60" s="64">
        <v>42500</v>
      </c>
      <c r="J60" s="46">
        <v>29</v>
      </c>
      <c r="K60" s="36" t="s">
        <v>31</v>
      </c>
      <c r="L60" s="60" t="s">
        <v>32</v>
      </c>
      <c r="M60" s="62"/>
      <c r="N60" s="62"/>
      <c r="O60" s="63"/>
      <c r="P60" s="63"/>
    </row>
    <row r="61" spans="1:16" ht="24.75" customHeight="1" x14ac:dyDescent="0.25">
      <c r="A61" s="11" t="str">
        <f t="shared" si="1"/>
        <v>VISTOS BUENOS</v>
      </c>
      <c r="B61" s="22">
        <v>3</v>
      </c>
      <c r="C61" s="46">
        <v>39</v>
      </c>
      <c r="D61" s="46">
        <v>53</v>
      </c>
      <c r="E61" s="60" t="s">
        <v>2205</v>
      </c>
      <c r="F61" s="66" t="s">
        <v>2383</v>
      </c>
      <c r="G61" s="46" t="s">
        <v>30</v>
      </c>
      <c r="H61" s="65">
        <v>42488</v>
      </c>
      <c r="I61" s="64">
        <v>42508</v>
      </c>
      <c r="J61" s="46">
        <v>23</v>
      </c>
      <c r="K61" s="36" t="s">
        <v>31</v>
      </c>
      <c r="L61" s="60" t="s">
        <v>32</v>
      </c>
      <c r="M61" s="62"/>
      <c r="N61" s="62"/>
      <c r="O61" s="63"/>
      <c r="P61" s="63"/>
    </row>
    <row r="62" spans="1:16" ht="24.75" customHeight="1" x14ac:dyDescent="0.25">
      <c r="A62" s="11" t="str">
        <f t="shared" si="1"/>
        <v>VISTOS BUENOS</v>
      </c>
      <c r="B62" s="22">
        <v>3</v>
      </c>
      <c r="C62" s="46">
        <v>40</v>
      </c>
      <c r="D62" s="46">
        <v>54</v>
      </c>
      <c r="E62" s="60" t="s">
        <v>2206</v>
      </c>
      <c r="F62" s="66" t="s">
        <v>2384</v>
      </c>
      <c r="G62" s="46" t="s">
        <v>30</v>
      </c>
      <c r="H62" s="65">
        <v>42489</v>
      </c>
      <c r="I62" s="64">
        <v>42499</v>
      </c>
      <c r="J62" s="46">
        <v>21</v>
      </c>
      <c r="K62" s="36" t="s">
        <v>31</v>
      </c>
      <c r="L62" s="60" t="s">
        <v>32</v>
      </c>
      <c r="M62" s="62"/>
      <c r="N62" s="62"/>
      <c r="O62" s="63"/>
      <c r="P62" s="63"/>
    </row>
    <row r="63" spans="1:16" ht="24.75" customHeight="1" x14ac:dyDescent="0.25">
      <c r="A63" s="11" t="str">
        <f t="shared" si="1"/>
        <v>VISTOS BUENOS</v>
      </c>
      <c r="B63" s="22">
        <v>3</v>
      </c>
      <c r="C63" s="46">
        <v>40</v>
      </c>
      <c r="D63" s="46">
        <v>55</v>
      </c>
      <c r="E63" s="60" t="s">
        <v>2207</v>
      </c>
      <c r="F63" s="66" t="s">
        <v>2385</v>
      </c>
      <c r="G63" s="46" t="s">
        <v>30</v>
      </c>
      <c r="H63" s="65">
        <v>42493</v>
      </c>
      <c r="I63" s="64">
        <v>42499</v>
      </c>
      <c r="J63" s="46">
        <v>18</v>
      </c>
      <c r="K63" s="36" t="s">
        <v>31</v>
      </c>
      <c r="L63" s="60" t="s">
        <v>32</v>
      </c>
      <c r="M63" s="62"/>
      <c r="N63" s="62"/>
      <c r="O63" s="63"/>
      <c r="P63" s="63"/>
    </row>
    <row r="64" spans="1:16" ht="24.75" customHeight="1" x14ac:dyDescent="0.25">
      <c r="A64" s="11" t="str">
        <f t="shared" si="1"/>
        <v>VISTOS BUENOS</v>
      </c>
      <c r="B64" s="22">
        <v>3</v>
      </c>
      <c r="C64" s="46">
        <v>40</v>
      </c>
      <c r="D64" s="46">
        <v>56</v>
      </c>
      <c r="E64" s="60" t="s">
        <v>2208</v>
      </c>
      <c r="F64" s="66" t="s">
        <v>2386</v>
      </c>
      <c r="G64" s="46" t="s">
        <v>30</v>
      </c>
      <c r="H64" s="65">
        <v>42493</v>
      </c>
      <c r="I64" s="64">
        <v>42500</v>
      </c>
      <c r="J64" s="46">
        <v>17</v>
      </c>
      <c r="K64" s="36" t="s">
        <v>31</v>
      </c>
      <c r="L64" s="60" t="s">
        <v>32</v>
      </c>
      <c r="M64" s="62"/>
      <c r="N64" s="62"/>
      <c r="O64" s="63"/>
      <c r="P64" s="63"/>
    </row>
    <row r="65" spans="1:16" ht="24.75" customHeight="1" x14ac:dyDescent="0.25">
      <c r="A65" s="11" t="str">
        <f t="shared" si="1"/>
        <v>VISTOS BUENOS</v>
      </c>
      <c r="B65" s="22">
        <v>3</v>
      </c>
      <c r="C65" s="46">
        <v>40</v>
      </c>
      <c r="D65" s="46">
        <v>57</v>
      </c>
      <c r="E65" s="60" t="s">
        <v>2209</v>
      </c>
      <c r="F65" s="66" t="s">
        <v>2387</v>
      </c>
      <c r="G65" s="46" t="s">
        <v>30</v>
      </c>
      <c r="H65" s="65">
        <v>42494</v>
      </c>
      <c r="I65" s="64">
        <v>42499</v>
      </c>
      <c r="J65" s="46">
        <v>21</v>
      </c>
      <c r="K65" s="36" t="s">
        <v>31</v>
      </c>
      <c r="L65" s="60" t="s">
        <v>32</v>
      </c>
      <c r="M65" s="62"/>
      <c r="N65" s="62"/>
      <c r="O65" s="63"/>
      <c r="P65" s="63"/>
    </row>
    <row r="66" spans="1:16" ht="24.75" customHeight="1" x14ac:dyDescent="0.25">
      <c r="A66" s="11" t="str">
        <f t="shared" si="1"/>
        <v>VISTOS BUENOS</v>
      </c>
      <c r="B66" s="22">
        <v>3</v>
      </c>
      <c r="C66" s="46">
        <v>41</v>
      </c>
      <c r="D66" s="46">
        <v>58</v>
      </c>
      <c r="E66" s="60" t="s">
        <v>2210</v>
      </c>
      <c r="F66" s="66" t="s">
        <v>2388</v>
      </c>
      <c r="G66" s="46" t="s">
        <v>30</v>
      </c>
      <c r="H66" s="65">
        <v>42494</v>
      </c>
      <c r="I66" s="64">
        <v>42501</v>
      </c>
      <c r="J66" s="46">
        <v>10</v>
      </c>
      <c r="K66" s="36" t="s">
        <v>31</v>
      </c>
      <c r="L66" s="60" t="s">
        <v>32</v>
      </c>
      <c r="M66" s="62"/>
      <c r="N66" s="62"/>
      <c r="O66" s="63"/>
      <c r="P66" s="63"/>
    </row>
    <row r="67" spans="1:16" ht="24.75" customHeight="1" x14ac:dyDescent="0.25">
      <c r="A67" s="11" t="str">
        <f t="shared" si="1"/>
        <v>VISTOS BUENOS</v>
      </c>
      <c r="B67" s="22">
        <v>3</v>
      </c>
      <c r="C67" s="46">
        <v>41</v>
      </c>
      <c r="D67" s="46">
        <v>59</v>
      </c>
      <c r="E67" s="60" t="s">
        <v>2211</v>
      </c>
      <c r="F67" s="66" t="s">
        <v>2389</v>
      </c>
      <c r="G67" s="46" t="s">
        <v>30</v>
      </c>
      <c r="H67" s="65">
        <v>42495</v>
      </c>
      <c r="I67" s="64">
        <v>42520</v>
      </c>
      <c r="J67" s="46">
        <v>42</v>
      </c>
      <c r="K67" s="36" t="s">
        <v>31</v>
      </c>
      <c r="L67" s="60" t="s">
        <v>32</v>
      </c>
      <c r="M67" s="62"/>
      <c r="N67" s="62"/>
      <c r="O67" s="63"/>
      <c r="P67" s="63"/>
    </row>
    <row r="68" spans="1:16" ht="24.75" customHeight="1" x14ac:dyDescent="0.25">
      <c r="A68" s="11" t="str">
        <f t="shared" si="1"/>
        <v>VISTOS BUENOS</v>
      </c>
      <c r="B68" s="22">
        <v>3</v>
      </c>
      <c r="C68" s="46">
        <v>41</v>
      </c>
      <c r="D68" s="46">
        <v>60</v>
      </c>
      <c r="E68" s="60" t="s">
        <v>2212</v>
      </c>
      <c r="F68" s="66" t="s">
        <v>2390</v>
      </c>
      <c r="G68" s="46" t="s">
        <v>30</v>
      </c>
      <c r="H68" s="65">
        <v>42495</v>
      </c>
      <c r="I68" s="64">
        <v>42520</v>
      </c>
      <c r="J68" s="46">
        <v>40</v>
      </c>
      <c r="K68" s="36" t="s">
        <v>31</v>
      </c>
      <c r="L68" s="60" t="s">
        <v>32</v>
      </c>
      <c r="M68" s="62"/>
      <c r="N68" s="62"/>
      <c r="O68" s="63"/>
      <c r="P68" s="63"/>
    </row>
    <row r="69" spans="1:16" ht="24.75" customHeight="1" x14ac:dyDescent="0.25">
      <c r="A69" s="11" t="str">
        <f t="shared" si="1"/>
        <v>VISTOS BUENOS</v>
      </c>
      <c r="B69" s="22">
        <v>3</v>
      </c>
      <c r="C69" s="46">
        <v>42</v>
      </c>
      <c r="D69" s="46">
        <v>61</v>
      </c>
      <c r="E69" s="60" t="s">
        <v>2213</v>
      </c>
      <c r="F69" s="66" t="s">
        <v>2391</v>
      </c>
      <c r="G69" s="46" t="s">
        <v>30</v>
      </c>
      <c r="H69" s="65">
        <v>42495</v>
      </c>
      <c r="I69" s="64">
        <v>42515</v>
      </c>
      <c r="J69" s="46">
        <v>32</v>
      </c>
      <c r="K69" s="36" t="s">
        <v>31</v>
      </c>
      <c r="L69" s="60" t="s">
        <v>32</v>
      </c>
      <c r="M69" s="62"/>
      <c r="N69" s="62"/>
      <c r="O69" s="63"/>
      <c r="P69" s="63"/>
    </row>
    <row r="70" spans="1:16" ht="24.75" customHeight="1" x14ac:dyDescent="0.25">
      <c r="A70" s="11" t="str">
        <f t="shared" si="1"/>
        <v>VISTOS BUENOS</v>
      </c>
      <c r="B70" s="22">
        <v>3</v>
      </c>
      <c r="C70" s="46">
        <v>42</v>
      </c>
      <c r="D70" s="46">
        <v>62</v>
      </c>
      <c r="E70" s="60" t="s">
        <v>2214</v>
      </c>
      <c r="F70" s="66" t="s">
        <v>2392</v>
      </c>
      <c r="G70" s="46" t="s">
        <v>30</v>
      </c>
      <c r="H70" s="65">
        <v>42503</v>
      </c>
      <c r="I70" s="64">
        <v>42516</v>
      </c>
      <c r="J70" s="46">
        <v>30</v>
      </c>
      <c r="K70" s="36" t="s">
        <v>31</v>
      </c>
      <c r="L70" s="60" t="s">
        <v>32</v>
      </c>
      <c r="M70" s="62"/>
      <c r="N70" s="62"/>
      <c r="O70" s="63"/>
      <c r="P70" s="63"/>
    </row>
    <row r="71" spans="1:16" ht="24.75" customHeight="1" x14ac:dyDescent="0.25">
      <c r="A71" s="11" t="str">
        <f t="shared" si="1"/>
        <v>VISTOS BUENOS</v>
      </c>
      <c r="B71" s="22">
        <v>3</v>
      </c>
      <c r="C71" s="46">
        <v>43</v>
      </c>
      <c r="D71" s="46">
        <v>63</v>
      </c>
      <c r="E71" s="60" t="s">
        <v>2215</v>
      </c>
      <c r="F71" s="66" t="s">
        <v>2393</v>
      </c>
      <c r="G71" s="46" t="s">
        <v>30</v>
      </c>
      <c r="H71" s="65">
        <v>42503</v>
      </c>
      <c r="I71" s="64">
        <v>42516</v>
      </c>
      <c r="J71" s="46">
        <v>139</v>
      </c>
      <c r="K71" s="36" t="s">
        <v>31</v>
      </c>
      <c r="L71" s="60" t="s">
        <v>32</v>
      </c>
      <c r="M71" s="62"/>
      <c r="N71" s="62"/>
      <c r="O71" s="63"/>
      <c r="P71" s="63"/>
    </row>
    <row r="72" spans="1:16" ht="24.75" customHeight="1" x14ac:dyDescent="0.25">
      <c r="A72" s="11" t="str">
        <f t="shared" si="1"/>
        <v>VISTOS BUENOS</v>
      </c>
      <c r="B72" s="22">
        <v>3</v>
      </c>
      <c r="C72" s="46">
        <v>44</v>
      </c>
      <c r="D72" s="46">
        <v>64</v>
      </c>
      <c r="E72" s="60" t="s">
        <v>2202</v>
      </c>
      <c r="F72" s="66" t="s">
        <v>2394</v>
      </c>
      <c r="G72" s="46" t="s">
        <v>30</v>
      </c>
      <c r="H72" s="65">
        <v>42506</v>
      </c>
      <c r="I72" s="64">
        <v>42521</v>
      </c>
      <c r="J72" s="46">
        <v>34</v>
      </c>
      <c r="K72" s="36" t="s">
        <v>31</v>
      </c>
      <c r="L72" s="60" t="s">
        <v>32</v>
      </c>
      <c r="M72" s="62"/>
      <c r="N72" s="62"/>
      <c r="O72" s="63"/>
      <c r="P72" s="63"/>
    </row>
    <row r="73" spans="1:16" ht="24.75" customHeight="1" x14ac:dyDescent="0.25">
      <c r="A73" s="11" t="str">
        <f t="shared" si="1"/>
        <v>VISTOS BUENOS</v>
      </c>
      <c r="B73" s="22">
        <v>3</v>
      </c>
      <c r="C73" s="46">
        <v>45</v>
      </c>
      <c r="D73" s="46">
        <v>65</v>
      </c>
      <c r="E73" s="60" t="s">
        <v>2216</v>
      </c>
      <c r="F73" s="66" t="s">
        <v>2395</v>
      </c>
      <c r="G73" s="46" t="s">
        <v>30</v>
      </c>
      <c r="H73" s="65">
        <v>42506</v>
      </c>
      <c r="I73" s="64">
        <v>42513</v>
      </c>
      <c r="J73" s="46">
        <v>18</v>
      </c>
      <c r="K73" s="36" t="s">
        <v>31</v>
      </c>
      <c r="L73" s="60" t="s">
        <v>32</v>
      </c>
      <c r="M73" s="62"/>
      <c r="N73" s="62"/>
      <c r="O73" s="63"/>
      <c r="P73" s="63"/>
    </row>
    <row r="74" spans="1:16" ht="24.75" customHeight="1" x14ac:dyDescent="0.25">
      <c r="A74" s="11" t="str">
        <f t="shared" ref="A74:A105" si="2">A73</f>
        <v>VISTOS BUENOS</v>
      </c>
      <c r="B74" s="22">
        <v>3</v>
      </c>
      <c r="C74" s="46">
        <v>45</v>
      </c>
      <c r="D74" s="46">
        <v>66</v>
      </c>
      <c r="E74" s="60" t="s">
        <v>2217</v>
      </c>
      <c r="F74" s="66" t="s">
        <v>2396</v>
      </c>
      <c r="G74" s="46" t="s">
        <v>30</v>
      </c>
      <c r="H74" s="65">
        <v>42508</v>
      </c>
      <c r="I74" s="64">
        <v>42527</v>
      </c>
      <c r="J74" s="46">
        <v>48</v>
      </c>
      <c r="K74" s="36" t="s">
        <v>31</v>
      </c>
      <c r="L74" s="60" t="s">
        <v>32</v>
      </c>
      <c r="M74" s="62"/>
      <c r="N74" s="62"/>
      <c r="O74" s="63"/>
      <c r="P74" s="63"/>
    </row>
    <row r="75" spans="1:16" ht="24.75" customHeight="1" x14ac:dyDescent="0.25">
      <c r="A75" s="11" t="str">
        <f t="shared" si="2"/>
        <v>VISTOS BUENOS</v>
      </c>
      <c r="B75" s="22">
        <v>3</v>
      </c>
      <c r="C75" s="46">
        <v>45</v>
      </c>
      <c r="D75" s="46">
        <v>67</v>
      </c>
      <c r="E75" s="60" t="s">
        <v>2218</v>
      </c>
      <c r="F75" s="66" t="s">
        <v>2397</v>
      </c>
      <c r="G75" s="46" t="s">
        <v>30</v>
      </c>
      <c r="H75" s="65">
        <v>42527</v>
      </c>
      <c r="I75" s="64">
        <v>42542</v>
      </c>
      <c r="J75" s="46">
        <v>52</v>
      </c>
      <c r="K75" s="36" t="s">
        <v>31</v>
      </c>
      <c r="L75" s="60" t="s">
        <v>32</v>
      </c>
      <c r="M75" s="62"/>
      <c r="N75" s="62"/>
      <c r="O75" s="63"/>
      <c r="P75" s="63"/>
    </row>
    <row r="76" spans="1:16" ht="24.75" customHeight="1" x14ac:dyDescent="0.25">
      <c r="A76" s="11" t="str">
        <f t="shared" si="2"/>
        <v>VISTOS BUENOS</v>
      </c>
      <c r="B76" s="22">
        <v>3</v>
      </c>
      <c r="C76" s="46">
        <v>46</v>
      </c>
      <c r="D76" s="46">
        <v>68</v>
      </c>
      <c r="E76" s="60" t="s">
        <v>2219</v>
      </c>
      <c r="F76" s="66" t="s">
        <v>2398</v>
      </c>
      <c r="G76" s="46" t="s">
        <v>30</v>
      </c>
      <c r="H76" s="65">
        <v>42527</v>
      </c>
      <c r="I76" s="64">
        <v>42548</v>
      </c>
      <c r="J76" s="46">
        <v>24</v>
      </c>
      <c r="K76" s="36" t="s">
        <v>31</v>
      </c>
      <c r="L76" s="60" t="s">
        <v>32</v>
      </c>
      <c r="M76" s="62"/>
      <c r="N76" s="62"/>
      <c r="O76" s="63"/>
      <c r="P76" s="63"/>
    </row>
    <row r="77" spans="1:16" ht="24.75" customHeight="1" x14ac:dyDescent="0.25">
      <c r="A77" s="11" t="str">
        <f t="shared" si="2"/>
        <v>VISTOS BUENOS</v>
      </c>
      <c r="B77" s="22">
        <v>3</v>
      </c>
      <c r="C77" s="46">
        <v>46</v>
      </c>
      <c r="D77" s="46">
        <v>69</v>
      </c>
      <c r="E77" s="60" t="s">
        <v>2220</v>
      </c>
      <c r="F77" s="66" t="s">
        <v>2399</v>
      </c>
      <c r="G77" s="46" t="s">
        <v>30</v>
      </c>
      <c r="H77" s="65">
        <v>42528</v>
      </c>
      <c r="I77" s="64">
        <v>42538</v>
      </c>
      <c r="J77" s="46">
        <v>25</v>
      </c>
      <c r="K77" s="36" t="s">
        <v>31</v>
      </c>
      <c r="L77" s="60" t="s">
        <v>32</v>
      </c>
      <c r="M77" s="62"/>
      <c r="N77" s="62"/>
      <c r="O77" s="63"/>
      <c r="P77" s="63"/>
    </row>
    <row r="78" spans="1:16" ht="24.75" customHeight="1" x14ac:dyDescent="0.25">
      <c r="A78" s="11" t="str">
        <f t="shared" si="2"/>
        <v>VISTOS BUENOS</v>
      </c>
      <c r="B78" s="22">
        <v>3</v>
      </c>
      <c r="C78" s="46">
        <v>46</v>
      </c>
      <c r="D78" s="46">
        <v>70</v>
      </c>
      <c r="E78" s="60" t="s">
        <v>2221</v>
      </c>
      <c r="F78" s="66" t="s">
        <v>2400</v>
      </c>
      <c r="G78" s="46" t="s">
        <v>30</v>
      </c>
      <c r="H78" s="65">
        <v>42529</v>
      </c>
      <c r="I78" s="64">
        <v>42548</v>
      </c>
      <c r="J78" s="46">
        <v>97</v>
      </c>
      <c r="K78" s="36" t="s">
        <v>31</v>
      </c>
      <c r="L78" s="60" t="s">
        <v>32</v>
      </c>
      <c r="M78" s="62"/>
      <c r="N78" s="62"/>
      <c r="O78" s="63"/>
      <c r="P78" s="63"/>
    </row>
    <row r="79" spans="1:16" ht="24.75" customHeight="1" x14ac:dyDescent="0.25">
      <c r="A79" s="11" t="str">
        <f t="shared" si="2"/>
        <v>VISTOS BUENOS</v>
      </c>
      <c r="B79" s="22">
        <v>4</v>
      </c>
      <c r="C79" s="46">
        <v>47</v>
      </c>
      <c r="D79" s="46">
        <v>71</v>
      </c>
      <c r="E79" s="60" t="s">
        <v>2222</v>
      </c>
      <c r="F79" s="66" t="s">
        <v>2401</v>
      </c>
      <c r="G79" s="46" t="s">
        <v>30</v>
      </c>
      <c r="H79" s="65">
        <v>42530</v>
      </c>
      <c r="I79" s="64">
        <v>42548</v>
      </c>
      <c r="J79" s="46">
        <v>102</v>
      </c>
      <c r="K79" s="36" t="s">
        <v>31</v>
      </c>
      <c r="L79" s="60" t="s">
        <v>32</v>
      </c>
      <c r="M79" s="62"/>
      <c r="N79" s="62"/>
      <c r="O79" s="63"/>
      <c r="P79" s="63"/>
    </row>
    <row r="80" spans="1:16" ht="24.75" customHeight="1" x14ac:dyDescent="0.25">
      <c r="A80" s="11" t="str">
        <f t="shared" si="2"/>
        <v>VISTOS BUENOS</v>
      </c>
      <c r="B80" s="22">
        <v>4</v>
      </c>
      <c r="C80" s="46">
        <v>48</v>
      </c>
      <c r="D80" s="46">
        <v>72</v>
      </c>
      <c r="E80" s="60" t="s">
        <v>2223</v>
      </c>
      <c r="F80" s="66" t="s">
        <v>2402</v>
      </c>
      <c r="G80" s="46" t="s">
        <v>30</v>
      </c>
      <c r="H80" s="65">
        <v>42530</v>
      </c>
      <c r="I80" s="64">
        <v>42552</v>
      </c>
      <c r="J80" s="46">
        <v>178</v>
      </c>
      <c r="K80" s="36" t="s">
        <v>31</v>
      </c>
      <c r="L80" s="60" t="s">
        <v>32</v>
      </c>
      <c r="M80" s="62"/>
      <c r="N80" s="62"/>
      <c r="O80" s="63"/>
      <c r="P80" s="63"/>
    </row>
    <row r="81" spans="1:16" ht="24.75" customHeight="1" x14ac:dyDescent="0.25">
      <c r="A81" s="11" t="str">
        <f t="shared" si="2"/>
        <v>VISTOS BUENOS</v>
      </c>
      <c r="B81" s="22">
        <v>4</v>
      </c>
      <c r="C81" s="46">
        <v>49</v>
      </c>
      <c r="D81" s="46">
        <v>73</v>
      </c>
      <c r="E81" s="60" t="s">
        <v>2224</v>
      </c>
      <c r="F81" s="66" t="s">
        <v>2403</v>
      </c>
      <c r="G81" s="46" t="s">
        <v>30</v>
      </c>
      <c r="H81" s="65">
        <v>42531</v>
      </c>
      <c r="I81" s="64">
        <v>42550</v>
      </c>
      <c r="J81" s="46">
        <v>83</v>
      </c>
      <c r="K81" s="36" t="s">
        <v>31</v>
      </c>
      <c r="L81" s="60" t="s">
        <v>32</v>
      </c>
      <c r="M81" s="62"/>
      <c r="N81" s="62"/>
      <c r="O81" s="63"/>
      <c r="P81" s="63"/>
    </row>
    <row r="82" spans="1:16" ht="24.75" customHeight="1" x14ac:dyDescent="0.25">
      <c r="A82" s="11" t="str">
        <f t="shared" si="2"/>
        <v>VISTOS BUENOS</v>
      </c>
      <c r="B82" s="22">
        <v>4</v>
      </c>
      <c r="C82" s="46">
        <v>50</v>
      </c>
      <c r="D82" s="46">
        <v>74</v>
      </c>
      <c r="E82" s="60" t="s">
        <v>2225</v>
      </c>
      <c r="F82" s="66" t="s">
        <v>2404</v>
      </c>
      <c r="G82" s="46" t="s">
        <v>30</v>
      </c>
      <c r="H82" s="65">
        <v>42536</v>
      </c>
      <c r="I82" s="64">
        <v>42562</v>
      </c>
      <c r="J82" s="46">
        <v>22</v>
      </c>
      <c r="K82" s="36" t="s">
        <v>31</v>
      </c>
      <c r="L82" s="60" t="s">
        <v>32</v>
      </c>
      <c r="M82" s="62"/>
      <c r="N82" s="62"/>
      <c r="O82" s="63"/>
      <c r="P82" s="63"/>
    </row>
    <row r="83" spans="1:16" ht="24.75" customHeight="1" x14ac:dyDescent="0.25">
      <c r="A83" s="11" t="str">
        <f t="shared" si="2"/>
        <v>VISTOS BUENOS</v>
      </c>
      <c r="B83" s="22">
        <v>4</v>
      </c>
      <c r="C83" s="46">
        <v>50</v>
      </c>
      <c r="D83" s="46">
        <v>75</v>
      </c>
      <c r="E83" s="60" t="s">
        <v>2226</v>
      </c>
      <c r="F83" s="66" t="s">
        <v>2405</v>
      </c>
      <c r="G83" s="46" t="s">
        <v>30</v>
      </c>
      <c r="H83" s="65">
        <v>42538</v>
      </c>
      <c r="I83" s="64">
        <v>42558</v>
      </c>
      <c r="J83" s="46">
        <v>97</v>
      </c>
      <c r="K83" s="36" t="s">
        <v>31</v>
      </c>
      <c r="L83" s="60" t="s">
        <v>32</v>
      </c>
      <c r="M83" s="62"/>
      <c r="N83" s="62"/>
      <c r="O83" s="63"/>
      <c r="P83" s="63"/>
    </row>
    <row r="84" spans="1:16" ht="24.75" customHeight="1" x14ac:dyDescent="0.25">
      <c r="A84" s="11" t="str">
        <f t="shared" si="2"/>
        <v>VISTOS BUENOS</v>
      </c>
      <c r="B84" s="22">
        <v>4</v>
      </c>
      <c r="C84" s="46" t="s">
        <v>2818</v>
      </c>
      <c r="D84" s="46">
        <v>76</v>
      </c>
      <c r="E84" s="60" t="s">
        <v>2227</v>
      </c>
      <c r="F84" s="66" t="s">
        <v>2406</v>
      </c>
      <c r="G84" s="46" t="s">
        <v>30</v>
      </c>
      <c r="H84" s="65">
        <v>42542</v>
      </c>
      <c r="I84" s="64">
        <v>42535</v>
      </c>
      <c r="J84" s="46">
        <v>411</v>
      </c>
      <c r="K84" s="36" t="s">
        <v>31</v>
      </c>
      <c r="L84" s="60" t="s">
        <v>32</v>
      </c>
      <c r="M84" s="62"/>
      <c r="N84" s="62"/>
      <c r="O84" s="63"/>
      <c r="P84" s="63"/>
    </row>
    <row r="85" spans="1:16" ht="24.75" customHeight="1" x14ac:dyDescent="0.25">
      <c r="A85" s="11" t="str">
        <f t="shared" si="2"/>
        <v>VISTOS BUENOS</v>
      </c>
      <c r="B85" s="22">
        <v>4</v>
      </c>
      <c r="C85" s="46">
        <v>55</v>
      </c>
      <c r="D85" s="37">
        <v>77</v>
      </c>
      <c r="E85" s="70" t="s">
        <v>2228</v>
      </c>
      <c r="F85" s="71" t="s">
        <v>2407</v>
      </c>
      <c r="G85" s="46" t="s">
        <v>30</v>
      </c>
      <c r="H85" s="65">
        <v>42545</v>
      </c>
      <c r="I85" s="64">
        <v>42559</v>
      </c>
      <c r="J85" s="46">
        <v>23</v>
      </c>
      <c r="K85" s="36" t="s">
        <v>31</v>
      </c>
      <c r="L85" s="60" t="s">
        <v>32</v>
      </c>
      <c r="M85" s="62"/>
      <c r="N85" s="62"/>
      <c r="O85" s="63"/>
      <c r="P85" s="63"/>
    </row>
    <row r="86" spans="1:16" ht="24.75" customHeight="1" x14ac:dyDescent="0.25">
      <c r="A86" s="11" t="str">
        <f t="shared" si="2"/>
        <v>VISTOS BUENOS</v>
      </c>
      <c r="B86" s="22">
        <v>4</v>
      </c>
      <c r="C86" s="46">
        <v>55</v>
      </c>
      <c r="D86" s="46">
        <v>78</v>
      </c>
      <c r="E86" s="60" t="s">
        <v>2229</v>
      </c>
      <c r="F86" s="66" t="s">
        <v>2408</v>
      </c>
      <c r="G86" s="46" t="s">
        <v>30</v>
      </c>
      <c r="H86" s="65">
        <v>42549</v>
      </c>
      <c r="I86" s="64">
        <v>42566</v>
      </c>
      <c r="J86" s="46">
        <v>36</v>
      </c>
      <c r="K86" s="36" t="s">
        <v>31</v>
      </c>
      <c r="L86" s="60" t="s">
        <v>32</v>
      </c>
      <c r="M86" s="62"/>
      <c r="N86" s="62"/>
      <c r="O86" s="63"/>
      <c r="P86" s="63"/>
    </row>
    <row r="87" spans="1:16" ht="24.75" customHeight="1" x14ac:dyDescent="0.25">
      <c r="A87" s="11" t="str">
        <f t="shared" si="2"/>
        <v>VISTOS BUENOS</v>
      </c>
      <c r="B87" s="22">
        <v>4</v>
      </c>
      <c r="C87" s="46">
        <v>55</v>
      </c>
      <c r="D87" s="46">
        <v>79</v>
      </c>
      <c r="E87" s="60" t="s">
        <v>2230</v>
      </c>
      <c r="F87" s="66" t="s">
        <v>2409</v>
      </c>
      <c r="G87" s="46" t="s">
        <v>30</v>
      </c>
      <c r="H87" s="65">
        <v>42556</v>
      </c>
      <c r="I87" s="64">
        <v>42570</v>
      </c>
      <c r="J87" s="46">
        <v>23</v>
      </c>
      <c r="K87" s="36" t="s">
        <v>31</v>
      </c>
      <c r="L87" s="60" t="s">
        <v>32</v>
      </c>
      <c r="M87" s="62"/>
      <c r="N87" s="62"/>
      <c r="O87" s="63"/>
      <c r="P87" s="63"/>
    </row>
    <row r="88" spans="1:16" ht="24.75" customHeight="1" x14ac:dyDescent="0.25">
      <c r="A88" s="11" t="str">
        <f t="shared" si="2"/>
        <v>VISTOS BUENOS</v>
      </c>
      <c r="B88" s="22">
        <v>4</v>
      </c>
      <c r="C88" s="46">
        <v>55</v>
      </c>
      <c r="D88" s="46">
        <v>80</v>
      </c>
      <c r="E88" s="60" t="s">
        <v>2231</v>
      </c>
      <c r="F88" s="66" t="s">
        <v>2410</v>
      </c>
      <c r="G88" s="46" t="s">
        <v>30</v>
      </c>
      <c r="H88" s="65">
        <v>42562</v>
      </c>
      <c r="I88" s="64">
        <v>42579</v>
      </c>
      <c r="J88" s="46">
        <v>33</v>
      </c>
      <c r="K88" s="36" t="s">
        <v>31</v>
      </c>
      <c r="L88" s="60" t="s">
        <v>32</v>
      </c>
      <c r="M88" s="62"/>
      <c r="N88" s="62"/>
      <c r="O88" s="63"/>
      <c r="P88" s="63"/>
    </row>
    <row r="89" spans="1:16" ht="24.75" customHeight="1" x14ac:dyDescent="0.25">
      <c r="A89" s="11" t="str">
        <f t="shared" si="2"/>
        <v>VISTOS BUENOS</v>
      </c>
      <c r="B89" s="22">
        <v>4</v>
      </c>
      <c r="C89" s="46">
        <v>56</v>
      </c>
      <c r="D89" s="46">
        <v>81</v>
      </c>
      <c r="E89" s="60" t="s">
        <v>2232</v>
      </c>
      <c r="F89" s="66" t="s">
        <v>2411</v>
      </c>
      <c r="G89" s="46" t="s">
        <v>30</v>
      </c>
      <c r="H89" s="65">
        <v>42562</v>
      </c>
      <c r="I89" s="64">
        <v>42562</v>
      </c>
      <c r="J89" s="46">
        <v>97</v>
      </c>
      <c r="K89" s="36" t="s">
        <v>31</v>
      </c>
      <c r="L89" s="60" t="s">
        <v>32</v>
      </c>
      <c r="M89" s="62"/>
      <c r="N89" s="62"/>
      <c r="O89" s="63"/>
      <c r="P89" s="63"/>
    </row>
    <row r="90" spans="1:16" ht="24.75" customHeight="1" x14ac:dyDescent="0.25">
      <c r="A90" s="11" t="str">
        <f t="shared" si="2"/>
        <v>VISTOS BUENOS</v>
      </c>
      <c r="B90" s="22">
        <v>4</v>
      </c>
      <c r="C90" s="46">
        <v>57</v>
      </c>
      <c r="D90" s="46">
        <v>82</v>
      </c>
      <c r="E90" s="60" t="s">
        <v>2233</v>
      </c>
      <c r="F90" s="66" t="s">
        <v>2412</v>
      </c>
      <c r="G90" s="46" t="s">
        <v>30</v>
      </c>
      <c r="H90" s="65">
        <v>42569</v>
      </c>
      <c r="I90" s="64">
        <v>42573</v>
      </c>
      <c r="J90" s="46">
        <v>42</v>
      </c>
      <c r="K90" s="36" t="s">
        <v>31</v>
      </c>
      <c r="L90" s="60" t="s">
        <v>32</v>
      </c>
      <c r="M90" s="62"/>
      <c r="N90" s="62"/>
      <c r="O90" s="63"/>
      <c r="P90" s="63"/>
    </row>
    <row r="91" spans="1:16" ht="24.75" customHeight="1" x14ac:dyDescent="0.25">
      <c r="A91" s="11" t="str">
        <f t="shared" si="2"/>
        <v>VISTOS BUENOS</v>
      </c>
      <c r="B91" s="22">
        <v>4</v>
      </c>
      <c r="C91" s="46">
        <v>57</v>
      </c>
      <c r="D91" s="46">
        <v>83</v>
      </c>
      <c r="E91" s="60" t="s">
        <v>2234</v>
      </c>
      <c r="F91" s="66" t="s">
        <v>2413</v>
      </c>
      <c r="G91" s="46" t="s">
        <v>30</v>
      </c>
      <c r="H91" s="65">
        <v>42573</v>
      </c>
      <c r="I91" s="64">
        <v>42592</v>
      </c>
      <c r="J91" s="46">
        <v>29</v>
      </c>
      <c r="K91" s="36" t="s">
        <v>31</v>
      </c>
      <c r="L91" s="60" t="s">
        <v>32</v>
      </c>
      <c r="M91" s="62"/>
      <c r="N91" s="62"/>
      <c r="O91" s="63"/>
      <c r="P91" s="63"/>
    </row>
    <row r="92" spans="1:16" ht="24.75" customHeight="1" x14ac:dyDescent="0.25">
      <c r="A92" s="11" t="str">
        <f t="shared" si="2"/>
        <v>VISTOS BUENOS</v>
      </c>
      <c r="B92" s="22">
        <v>5</v>
      </c>
      <c r="C92" s="46" t="s">
        <v>2819</v>
      </c>
      <c r="D92" s="46">
        <v>84</v>
      </c>
      <c r="E92" s="60" t="s">
        <v>2235</v>
      </c>
      <c r="F92" s="66" t="s">
        <v>2414</v>
      </c>
      <c r="G92" s="46" t="s">
        <v>30</v>
      </c>
      <c r="H92" s="65">
        <v>42577</v>
      </c>
      <c r="I92" s="64">
        <v>42601</v>
      </c>
      <c r="J92" s="46">
        <v>710</v>
      </c>
      <c r="K92" s="36" t="s">
        <v>31</v>
      </c>
      <c r="L92" s="60" t="s">
        <v>32</v>
      </c>
      <c r="M92" s="62"/>
      <c r="N92" s="62"/>
      <c r="O92" s="63"/>
      <c r="P92" s="63"/>
    </row>
    <row r="93" spans="1:16" ht="24.75" customHeight="1" x14ac:dyDescent="0.25">
      <c r="A93" s="11" t="str">
        <f t="shared" si="2"/>
        <v>VISTOS BUENOS</v>
      </c>
      <c r="B93" s="22">
        <v>5</v>
      </c>
      <c r="C93" s="46" t="s">
        <v>2820</v>
      </c>
      <c r="D93" s="46">
        <v>85</v>
      </c>
      <c r="E93" s="60" t="s">
        <v>2236</v>
      </c>
      <c r="F93" s="66" t="s">
        <v>2415</v>
      </c>
      <c r="G93" s="46" t="s">
        <v>30</v>
      </c>
      <c r="H93" s="65">
        <v>42577</v>
      </c>
      <c r="I93" s="64">
        <v>42618</v>
      </c>
      <c r="J93" s="46">
        <v>882</v>
      </c>
      <c r="K93" s="36" t="s">
        <v>31</v>
      </c>
      <c r="L93" s="60" t="s">
        <v>32</v>
      </c>
      <c r="M93" s="62"/>
      <c r="N93" s="62"/>
      <c r="O93" s="63"/>
      <c r="P93" s="63"/>
    </row>
    <row r="94" spans="1:16" ht="24.75" customHeight="1" x14ac:dyDescent="0.25">
      <c r="A94" s="11" t="str">
        <f t="shared" si="2"/>
        <v>VISTOS BUENOS</v>
      </c>
      <c r="B94" s="22">
        <v>6</v>
      </c>
      <c r="C94" s="46">
        <v>73</v>
      </c>
      <c r="D94" s="46">
        <v>86</v>
      </c>
      <c r="E94" s="60" t="s">
        <v>2237</v>
      </c>
      <c r="F94" s="66" t="s">
        <v>2416</v>
      </c>
      <c r="G94" s="46" t="s">
        <v>30</v>
      </c>
      <c r="H94" s="65">
        <v>42577</v>
      </c>
      <c r="I94" s="64">
        <v>42592</v>
      </c>
      <c r="J94" s="46">
        <v>24</v>
      </c>
      <c r="K94" s="36" t="s">
        <v>31</v>
      </c>
      <c r="L94" s="60" t="s">
        <v>32</v>
      </c>
      <c r="M94" s="62"/>
      <c r="N94" s="62"/>
      <c r="O94" s="63"/>
      <c r="P94" s="63"/>
    </row>
    <row r="95" spans="1:16" ht="24.75" customHeight="1" x14ac:dyDescent="0.25">
      <c r="A95" s="11" t="str">
        <f t="shared" si="2"/>
        <v>VISTOS BUENOS</v>
      </c>
      <c r="B95" s="22">
        <v>6</v>
      </c>
      <c r="C95" s="46">
        <v>73</v>
      </c>
      <c r="D95" s="46">
        <v>87</v>
      </c>
      <c r="E95" s="60" t="s">
        <v>2238</v>
      </c>
      <c r="F95" s="66" t="s">
        <v>2417</v>
      </c>
      <c r="G95" s="46" t="s">
        <v>30</v>
      </c>
      <c r="H95" s="65">
        <v>42578</v>
      </c>
      <c r="I95" s="64">
        <v>42585</v>
      </c>
      <c r="J95" s="46">
        <v>11</v>
      </c>
      <c r="K95" s="36" t="s">
        <v>31</v>
      </c>
      <c r="L95" s="60" t="s">
        <v>32</v>
      </c>
      <c r="M95" s="62"/>
      <c r="N95" s="62"/>
      <c r="O95" s="63"/>
      <c r="P95" s="63"/>
    </row>
    <row r="96" spans="1:16" ht="24.75" customHeight="1" x14ac:dyDescent="0.25">
      <c r="A96" s="11" t="str">
        <f t="shared" si="2"/>
        <v>VISTOS BUENOS</v>
      </c>
      <c r="B96" s="22">
        <v>6</v>
      </c>
      <c r="C96" s="46">
        <v>73</v>
      </c>
      <c r="D96" s="46">
        <v>88</v>
      </c>
      <c r="E96" s="60" t="s">
        <v>2239</v>
      </c>
      <c r="F96" s="66" t="s">
        <v>2418</v>
      </c>
      <c r="G96" s="46" t="s">
        <v>30</v>
      </c>
      <c r="H96" s="65">
        <v>42580</v>
      </c>
      <c r="I96" s="64">
        <v>42606</v>
      </c>
      <c r="J96" s="46">
        <v>36</v>
      </c>
      <c r="K96" s="36" t="s">
        <v>31</v>
      </c>
      <c r="L96" s="60" t="s">
        <v>32</v>
      </c>
      <c r="M96" s="62"/>
      <c r="N96" s="62"/>
      <c r="O96" s="63"/>
      <c r="P96" s="63"/>
    </row>
    <row r="97" spans="1:16" ht="24.75" customHeight="1" x14ac:dyDescent="0.25">
      <c r="A97" s="11" t="str">
        <f t="shared" si="2"/>
        <v>VISTOS BUENOS</v>
      </c>
      <c r="B97" s="22">
        <v>6</v>
      </c>
      <c r="C97" s="46">
        <v>74</v>
      </c>
      <c r="D97" s="46">
        <v>89</v>
      </c>
      <c r="E97" s="60" t="s">
        <v>2240</v>
      </c>
      <c r="F97" s="66" t="s">
        <v>2419</v>
      </c>
      <c r="G97" s="46" t="s">
        <v>30</v>
      </c>
      <c r="H97" s="65">
        <v>42580</v>
      </c>
      <c r="I97" s="64">
        <v>42608</v>
      </c>
      <c r="J97" s="46">
        <v>47</v>
      </c>
      <c r="K97" s="36" t="s">
        <v>31</v>
      </c>
      <c r="L97" s="60" t="s">
        <v>32</v>
      </c>
      <c r="M97" s="62"/>
      <c r="N97" s="62"/>
      <c r="O97" s="63"/>
      <c r="P97" s="63"/>
    </row>
    <row r="98" spans="1:16" ht="24.75" customHeight="1" x14ac:dyDescent="0.25">
      <c r="A98" s="11" t="str">
        <f t="shared" si="2"/>
        <v>VISTOS BUENOS</v>
      </c>
      <c r="B98" s="22">
        <v>6</v>
      </c>
      <c r="C98" s="46">
        <v>74</v>
      </c>
      <c r="D98" s="46">
        <v>90</v>
      </c>
      <c r="E98" s="60" t="s">
        <v>2241</v>
      </c>
      <c r="F98" s="66" t="s">
        <v>2420</v>
      </c>
      <c r="G98" s="46" t="s">
        <v>30</v>
      </c>
      <c r="H98" s="65">
        <v>42580</v>
      </c>
      <c r="I98" s="64">
        <v>42605</v>
      </c>
      <c r="J98" s="46">
        <v>27</v>
      </c>
      <c r="K98" s="36" t="s">
        <v>31</v>
      </c>
      <c r="L98" s="60" t="s">
        <v>32</v>
      </c>
      <c r="M98" s="62"/>
      <c r="N98" s="62"/>
      <c r="O98" s="63"/>
      <c r="P98" s="63"/>
    </row>
    <row r="99" spans="1:16" ht="24.75" customHeight="1" x14ac:dyDescent="0.25">
      <c r="A99" s="11" t="str">
        <f t="shared" si="2"/>
        <v>VISTOS BUENOS</v>
      </c>
      <c r="B99" s="22">
        <v>6</v>
      </c>
      <c r="C99" s="46">
        <v>74</v>
      </c>
      <c r="D99" s="46">
        <v>91</v>
      </c>
      <c r="E99" s="60" t="s">
        <v>2242</v>
      </c>
      <c r="F99" s="66" t="s">
        <v>2421</v>
      </c>
      <c r="G99" s="46" t="s">
        <v>30</v>
      </c>
      <c r="H99" s="65">
        <v>42587</v>
      </c>
      <c r="I99" s="64">
        <v>42608</v>
      </c>
      <c r="J99" s="46">
        <v>41</v>
      </c>
      <c r="K99" s="36" t="s">
        <v>31</v>
      </c>
      <c r="L99" s="60" t="s">
        <v>32</v>
      </c>
      <c r="M99" s="62"/>
      <c r="N99" s="62"/>
      <c r="O99" s="63"/>
      <c r="P99" s="63"/>
    </row>
    <row r="100" spans="1:16" ht="24.75" customHeight="1" x14ac:dyDescent="0.25">
      <c r="A100" s="11" t="str">
        <f t="shared" si="2"/>
        <v>VISTOS BUENOS</v>
      </c>
      <c r="B100" s="22">
        <v>6</v>
      </c>
      <c r="C100" s="46">
        <v>75</v>
      </c>
      <c r="D100" s="46">
        <v>92</v>
      </c>
      <c r="E100" s="60" t="s">
        <v>2243</v>
      </c>
      <c r="F100" s="66" t="s">
        <v>2422</v>
      </c>
      <c r="G100" s="46" t="s">
        <v>30</v>
      </c>
      <c r="H100" s="65">
        <v>42587</v>
      </c>
      <c r="I100" s="64">
        <v>42590</v>
      </c>
      <c r="J100" s="46">
        <v>15</v>
      </c>
      <c r="K100" s="36" t="s">
        <v>31</v>
      </c>
      <c r="L100" s="60" t="s">
        <v>32</v>
      </c>
      <c r="M100" s="62"/>
      <c r="N100" s="62"/>
      <c r="O100" s="63"/>
      <c r="P100" s="63"/>
    </row>
    <row r="101" spans="1:16" ht="24.75" customHeight="1" x14ac:dyDescent="0.25">
      <c r="A101" s="11" t="str">
        <f t="shared" si="2"/>
        <v>VISTOS BUENOS</v>
      </c>
      <c r="B101" s="22">
        <v>6</v>
      </c>
      <c r="C101" s="46">
        <v>75</v>
      </c>
      <c r="D101" s="46">
        <v>93</v>
      </c>
      <c r="E101" s="60" t="s">
        <v>2244</v>
      </c>
      <c r="F101" s="66" t="s">
        <v>2423</v>
      </c>
      <c r="G101" s="46" t="s">
        <v>30</v>
      </c>
      <c r="H101" s="65">
        <v>42590</v>
      </c>
      <c r="I101" s="64">
        <v>42612</v>
      </c>
      <c r="J101" s="46">
        <v>32</v>
      </c>
      <c r="K101" s="36" t="s">
        <v>31</v>
      </c>
      <c r="L101" s="60" t="s">
        <v>32</v>
      </c>
      <c r="M101" s="62"/>
      <c r="N101" s="62"/>
      <c r="O101" s="63"/>
      <c r="P101" s="63"/>
    </row>
    <row r="102" spans="1:16" ht="24.75" customHeight="1" x14ac:dyDescent="0.25">
      <c r="A102" s="11" t="str">
        <f t="shared" si="2"/>
        <v>VISTOS BUENOS</v>
      </c>
      <c r="B102" s="22">
        <v>6</v>
      </c>
      <c r="C102" s="46">
        <v>75</v>
      </c>
      <c r="D102" s="46">
        <v>94</v>
      </c>
      <c r="E102" s="60" t="s">
        <v>2245</v>
      </c>
      <c r="F102" s="66" t="s">
        <v>2424</v>
      </c>
      <c r="G102" s="46" t="s">
        <v>30</v>
      </c>
      <c r="H102" s="65">
        <v>42591</v>
      </c>
      <c r="I102" s="64">
        <v>42622</v>
      </c>
      <c r="J102" s="46">
        <v>43</v>
      </c>
      <c r="K102" s="36" t="s">
        <v>31</v>
      </c>
      <c r="L102" s="60" t="s">
        <v>32</v>
      </c>
      <c r="M102" s="62"/>
      <c r="N102" s="62"/>
      <c r="O102" s="63"/>
      <c r="P102" s="63"/>
    </row>
    <row r="103" spans="1:16" ht="24.75" customHeight="1" x14ac:dyDescent="0.25">
      <c r="A103" s="11" t="str">
        <f t="shared" si="2"/>
        <v>VISTOS BUENOS</v>
      </c>
      <c r="B103" s="22">
        <v>6</v>
      </c>
      <c r="C103" s="46">
        <v>76</v>
      </c>
      <c r="D103" s="46">
        <v>95</v>
      </c>
      <c r="E103" s="60" t="s">
        <v>2246</v>
      </c>
      <c r="F103" s="66" t="s">
        <v>2425</v>
      </c>
      <c r="G103" s="46" t="s">
        <v>30</v>
      </c>
      <c r="H103" s="65">
        <v>42593</v>
      </c>
      <c r="I103" s="64">
        <v>42614</v>
      </c>
      <c r="J103" s="46">
        <v>114</v>
      </c>
      <c r="K103" s="36" t="s">
        <v>31</v>
      </c>
      <c r="L103" s="60" t="s">
        <v>32</v>
      </c>
      <c r="M103" s="62"/>
      <c r="N103" s="62"/>
      <c r="O103" s="63"/>
      <c r="P103" s="63"/>
    </row>
    <row r="104" spans="1:16" ht="24.75" customHeight="1" x14ac:dyDescent="0.25">
      <c r="A104" s="11" t="str">
        <f t="shared" si="2"/>
        <v>VISTOS BUENOS</v>
      </c>
      <c r="B104" s="22">
        <v>6</v>
      </c>
      <c r="C104" s="46">
        <v>77</v>
      </c>
      <c r="D104" s="46">
        <v>96</v>
      </c>
      <c r="E104" s="60" t="s">
        <v>2247</v>
      </c>
      <c r="F104" s="66" t="s">
        <v>2426</v>
      </c>
      <c r="G104" s="46" t="s">
        <v>30</v>
      </c>
      <c r="H104" s="65">
        <v>42597</v>
      </c>
      <c r="I104" s="64">
        <v>42604</v>
      </c>
      <c r="J104" s="46">
        <v>18</v>
      </c>
      <c r="K104" s="36" t="s">
        <v>31</v>
      </c>
      <c r="L104" s="60" t="s">
        <v>32</v>
      </c>
      <c r="M104" s="62"/>
      <c r="N104" s="62"/>
      <c r="O104" s="63"/>
      <c r="P104" s="63"/>
    </row>
    <row r="105" spans="1:16" ht="24.75" customHeight="1" x14ac:dyDescent="0.25">
      <c r="A105" s="11" t="str">
        <f t="shared" si="2"/>
        <v>VISTOS BUENOS</v>
      </c>
      <c r="B105" s="22">
        <v>6</v>
      </c>
      <c r="C105" s="46">
        <v>78</v>
      </c>
      <c r="D105" s="46">
        <v>97</v>
      </c>
      <c r="E105" s="60" t="s">
        <v>2248</v>
      </c>
      <c r="F105" s="66" t="s">
        <v>2427</v>
      </c>
      <c r="G105" s="46" t="s">
        <v>30</v>
      </c>
      <c r="H105" s="65">
        <v>42598</v>
      </c>
      <c r="I105" s="64">
        <v>42620</v>
      </c>
      <c r="J105" s="46">
        <v>161</v>
      </c>
      <c r="K105" s="36" t="s">
        <v>31</v>
      </c>
      <c r="L105" s="60" t="s">
        <v>32</v>
      </c>
      <c r="M105" s="62"/>
      <c r="N105" s="62"/>
      <c r="O105" s="63"/>
      <c r="P105" s="63"/>
    </row>
    <row r="106" spans="1:16" ht="24.75" customHeight="1" x14ac:dyDescent="0.25">
      <c r="A106" s="11" t="str">
        <f t="shared" ref="A106:A137" si="3">A105</f>
        <v>VISTOS BUENOS</v>
      </c>
      <c r="B106" s="22">
        <v>6</v>
      </c>
      <c r="C106" s="46">
        <v>79</v>
      </c>
      <c r="D106" s="46">
        <v>98</v>
      </c>
      <c r="E106" s="60" t="s">
        <v>2188</v>
      </c>
      <c r="F106" s="66" t="s">
        <v>2428</v>
      </c>
      <c r="G106" s="46" t="s">
        <v>30</v>
      </c>
      <c r="H106" s="65">
        <v>42598</v>
      </c>
      <c r="I106" s="64">
        <v>42618</v>
      </c>
      <c r="J106" s="46">
        <v>99</v>
      </c>
      <c r="K106" s="36" t="s">
        <v>31</v>
      </c>
      <c r="L106" s="60" t="s">
        <v>32</v>
      </c>
      <c r="M106" s="62"/>
      <c r="N106" s="62"/>
      <c r="O106" s="63"/>
      <c r="P106" s="63"/>
    </row>
    <row r="107" spans="1:16" ht="24.75" customHeight="1" x14ac:dyDescent="0.25">
      <c r="A107" s="11" t="str">
        <f t="shared" si="3"/>
        <v>VISTOS BUENOS</v>
      </c>
      <c r="B107" s="22">
        <v>6</v>
      </c>
      <c r="C107" s="46">
        <v>80</v>
      </c>
      <c r="D107" s="46">
        <v>99</v>
      </c>
      <c r="E107" s="60" t="s">
        <v>2249</v>
      </c>
      <c r="F107" s="66" t="s">
        <v>2429</v>
      </c>
      <c r="G107" s="46" t="s">
        <v>30</v>
      </c>
      <c r="H107" s="65">
        <v>42599</v>
      </c>
      <c r="I107" s="64">
        <v>42706</v>
      </c>
      <c r="J107" s="46">
        <v>76</v>
      </c>
      <c r="K107" s="36" t="s">
        <v>31</v>
      </c>
      <c r="L107" s="60" t="s">
        <v>32</v>
      </c>
      <c r="M107" s="62"/>
      <c r="N107" s="62"/>
      <c r="O107" s="63"/>
      <c r="P107" s="63"/>
    </row>
    <row r="108" spans="1:16" ht="24.75" customHeight="1" x14ac:dyDescent="0.25">
      <c r="A108" s="11" t="str">
        <f t="shared" si="3"/>
        <v>VISTOS BUENOS</v>
      </c>
      <c r="B108" s="22">
        <v>6</v>
      </c>
      <c r="C108" s="46">
        <v>81</v>
      </c>
      <c r="D108" s="46">
        <v>100</v>
      </c>
      <c r="E108" s="60" t="s">
        <v>2250</v>
      </c>
      <c r="F108" s="66" t="s">
        <v>2430</v>
      </c>
      <c r="G108" s="46" t="s">
        <v>30</v>
      </c>
      <c r="H108" s="65">
        <v>42606</v>
      </c>
      <c r="I108" s="64">
        <v>42621</v>
      </c>
      <c r="J108" s="46">
        <v>88</v>
      </c>
      <c r="K108" s="36" t="s">
        <v>31</v>
      </c>
      <c r="L108" s="60" t="s">
        <v>32</v>
      </c>
      <c r="M108" s="62"/>
      <c r="N108" s="62"/>
      <c r="O108" s="63"/>
      <c r="P108" s="63"/>
    </row>
    <row r="109" spans="1:16" ht="24.75" customHeight="1" x14ac:dyDescent="0.25">
      <c r="A109" s="11" t="str">
        <f t="shared" si="3"/>
        <v>VISTOS BUENOS</v>
      </c>
      <c r="B109" s="22">
        <v>6</v>
      </c>
      <c r="C109" s="46">
        <v>82</v>
      </c>
      <c r="D109" s="46">
        <v>101</v>
      </c>
      <c r="E109" s="60" t="s">
        <v>2251</v>
      </c>
      <c r="F109" s="66" t="s">
        <v>2431</v>
      </c>
      <c r="G109" s="46" t="s">
        <v>30</v>
      </c>
      <c r="H109" s="65">
        <v>42606</v>
      </c>
      <c r="I109" s="64">
        <v>42629</v>
      </c>
      <c r="J109" s="46">
        <v>97</v>
      </c>
      <c r="K109" s="36" t="s">
        <v>31</v>
      </c>
      <c r="L109" s="60" t="s">
        <v>32</v>
      </c>
      <c r="M109" s="62"/>
      <c r="N109" s="62"/>
      <c r="O109" s="63"/>
      <c r="P109" s="63"/>
    </row>
    <row r="110" spans="1:16" ht="24.75" customHeight="1" x14ac:dyDescent="0.25">
      <c r="A110" s="11" t="str">
        <f t="shared" si="3"/>
        <v>VISTOS BUENOS</v>
      </c>
      <c r="B110" s="22">
        <v>6</v>
      </c>
      <c r="C110" s="46">
        <v>83</v>
      </c>
      <c r="D110" s="46">
        <v>102</v>
      </c>
      <c r="E110" s="60" t="s">
        <v>2252</v>
      </c>
      <c r="F110" s="66" t="s">
        <v>2432</v>
      </c>
      <c r="G110" s="46" t="s">
        <v>30</v>
      </c>
      <c r="H110" s="65">
        <v>42607</v>
      </c>
      <c r="I110" s="64">
        <v>42642</v>
      </c>
      <c r="J110" s="46">
        <v>26</v>
      </c>
      <c r="K110" s="36" t="s">
        <v>31</v>
      </c>
      <c r="L110" s="60" t="s">
        <v>32</v>
      </c>
      <c r="M110" s="62"/>
      <c r="N110" s="62"/>
      <c r="O110" s="63"/>
      <c r="P110" s="63"/>
    </row>
    <row r="111" spans="1:16" ht="24.75" customHeight="1" x14ac:dyDescent="0.25">
      <c r="A111" s="11" t="str">
        <f t="shared" si="3"/>
        <v>VISTOS BUENOS</v>
      </c>
      <c r="B111" s="22">
        <v>6</v>
      </c>
      <c r="C111" s="46">
        <v>83</v>
      </c>
      <c r="D111" s="46">
        <v>103</v>
      </c>
      <c r="E111" s="60" t="s">
        <v>2253</v>
      </c>
      <c r="F111" s="66" t="s">
        <v>2433</v>
      </c>
      <c r="G111" s="46" t="s">
        <v>30</v>
      </c>
      <c r="H111" s="65">
        <v>42607</v>
      </c>
      <c r="I111" s="64">
        <v>42621</v>
      </c>
      <c r="J111" s="46">
        <v>39</v>
      </c>
      <c r="K111" s="36" t="s">
        <v>31</v>
      </c>
      <c r="L111" s="60" t="s">
        <v>32</v>
      </c>
      <c r="M111" s="62"/>
      <c r="N111" s="62"/>
      <c r="O111" s="63"/>
      <c r="P111" s="63"/>
    </row>
    <row r="112" spans="1:16" ht="24.75" customHeight="1" x14ac:dyDescent="0.25">
      <c r="A112" s="11" t="str">
        <f t="shared" si="3"/>
        <v>VISTOS BUENOS</v>
      </c>
      <c r="B112" s="22">
        <v>6</v>
      </c>
      <c r="C112" s="46">
        <v>84</v>
      </c>
      <c r="D112" s="46">
        <v>104</v>
      </c>
      <c r="E112" s="60" t="s">
        <v>2254</v>
      </c>
      <c r="F112" s="66" t="s">
        <v>2434</v>
      </c>
      <c r="G112" s="46" t="s">
        <v>30</v>
      </c>
      <c r="H112" s="65">
        <v>42608</v>
      </c>
      <c r="I112" s="64">
        <v>42628</v>
      </c>
      <c r="J112" s="46">
        <v>82</v>
      </c>
      <c r="K112" s="36" t="s">
        <v>31</v>
      </c>
      <c r="L112" s="60" t="s">
        <v>32</v>
      </c>
      <c r="M112" s="62"/>
      <c r="N112" s="62"/>
      <c r="O112" s="63"/>
      <c r="P112" s="63"/>
    </row>
    <row r="113" spans="1:16" ht="24.75" customHeight="1" x14ac:dyDescent="0.25">
      <c r="A113" s="11" t="str">
        <f t="shared" si="3"/>
        <v>VISTOS BUENOS</v>
      </c>
      <c r="B113" s="22">
        <v>6</v>
      </c>
      <c r="C113" s="46">
        <v>85</v>
      </c>
      <c r="D113" s="46">
        <v>105</v>
      </c>
      <c r="E113" s="60" t="s">
        <v>2255</v>
      </c>
      <c r="F113" s="66" t="s">
        <v>2435</v>
      </c>
      <c r="G113" s="46" t="s">
        <v>30</v>
      </c>
      <c r="H113" s="65">
        <v>42611</v>
      </c>
      <c r="I113" s="64">
        <v>42632</v>
      </c>
      <c r="J113" s="46">
        <v>37</v>
      </c>
      <c r="K113" s="36" t="s">
        <v>31</v>
      </c>
      <c r="L113" s="60" t="s">
        <v>32</v>
      </c>
      <c r="M113" s="62"/>
      <c r="N113" s="62"/>
      <c r="O113" s="63"/>
      <c r="P113" s="63"/>
    </row>
    <row r="114" spans="1:16" ht="24.75" customHeight="1" x14ac:dyDescent="0.25">
      <c r="A114" s="11" t="str">
        <f t="shared" si="3"/>
        <v>VISTOS BUENOS</v>
      </c>
      <c r="B114" s="22">
        <v>6</v>
      </c>
      <c r="C114" s="46">
        <v>86</v>
      </c>
      <c r="D114" s="46">
        <v>106</v>
      </c>
      <c r="E114" s="60" t="s">
        <v>2256</v>
      </c>
      <c r="F114" s="66" t="s">
        <v>2436</v>
      </c>
      <c r="G114" s="46" t="s">
        <v>30</v>
      </c>
      <c r="H114" s="65">
        <v>42615</v>
      </c>
      <c r="I114" s="64">
        <v>42615</v>
      </c>
      <c r="J114" s="46">
        <v>165</v>
      </c>
      <c r="K114" s="36" t="s">
        <v>31</v>
      </c>
      <c r="L114" s="60" t="s">
        <v>32</v>
      </c>
      <c r="M114" s="62"/>
      <c r="N114" s="62"/>
      <c r="O114" s="63"/>
      <c r="P114" s="63"/>
    </row>
    <row r="115" spans="1:16" ht="24.75" customHeight="1" x14ac:dyDescent="0.25">
      <c r="A115" s="11" t="str">
        <f t="shared" si="3"/>
        <v>VISTOS BUENOS</v>
      </c>
      <c r="B115" s="22">
        <v>6</v>
      </c>
      <c r="C115" s="46">
        <v>87</v>
      </c>
      <c r="D115" s="46">
        <v>107</v>
      </c>
      <c r="E115" s="60" t="s">
        <v>2257</v>
      </c>
      <c r="F115" s="66" t="s">
        <v>2437</v>
      </c>
      <c r="G115" s="46" t="s">
        <v>30</v>
      </c>
      <c r="H115" s="65">
        <v>42619</v>
      </c>
      <c r="I115" s="64">
        <v>42632</v>
      </c>
      <c r="J115" s="46">
        <v>28</v>
      </c>
      <c r="K115" s="36" t="s">
        <v>31</v>
      </c>
      <c r="L115" s="60" t="s">
        <v>32</v>
      </c>
      <c r="M115" s="62"/>
      <c r="N115" s="62"/>
      <c r="O115" s="63"/>
      <c r="P115" s="63"/>
    </row>
    <row r="116" spans="1:16" ht="24.75" customHeight="1" x14ac:dyDescent="0.25">
      <c r="A116" s="11" t="str">
        <f t="shared" si="3"/>
        <v>VISTOS BUENOS</v>
      </c>
      <c r="B116" s="22">
        <v>6</v>
      </c>
      <c r="C116" s="46">
        <v>88</v>
      </c>
      <c r="D116" s="46">
        <v>108</v>
      </c>
      <c r="E116" s="60" t="s">
        <v>2258</v>
      </c>
      <c r="F116" s="66" t="s">
        <v>2438</v>
      </c>
      <c r="G116" s="46" t="s">
        <v>30</v>
      </c>
      <c r="H116" s="65">
        <v>42621</v>
      </c>
      <c r="I116" s="64">
        <v>42639</v>
      </c>
      <c r="J116" s="46">
        <v>37</v>
      </c>
      <c r="K116" s="36" t="s">
        <v>31</v>
      </c>
      <c r="L116" s="60" t="s">
        <v>32</v>
      </c>
      <c r="M116" s="62"/>
      <c r="N116" s="62"/>
      <c r="O116" s="63"/>
      <c r="P116" s="63"/>
    </row>
    <row r="117" spans="1:16" ht="24.75" customHeight="1" x14ac:dyDescent="0.25">
      <c r="A117" s="11" t="str">
        <f t="shared" si="3"/>
        <v>VISTOS BUENOS</v>
      </c>
      <c r="B117" s="22">
        <v>6</v>
      </c>
      <c r="C117" s="46">
        <v>89</v>
      </c>
      <c r="D117" s="46">
        <v>109</v>
      </c>
      <c r="E117" s="60" t="s">
        <v>2246</v>
      </c>
      <c r="F117" s="66" t="s">
        <v>2439</v>
      </c>
      <c r="G117" s="46" t="s">
        <v>30</v>
      </c>
      <c r="H117" s="65">
        <v>42625</v>
      </c>
      <c r="I117" s="64">
        <v>42636</v>
      </c>
      <c r="J117" s="46">
        <v>92</v>
      </c>
      <c r="K117" s="36" t="s">
        <v>31</v>
      </c>
      <c r="L117" s="60" t="s">
        <v>32</v>
      </c>
      <c r="M117" s="62"/>
      <c r="N117" s="62"/>
      <c r="O117" s="63"/>
      <c r="P117" s="63"/>
    </row>
    <row r="118" spans="1:16" ht="24.75" customHeight="1" x14ac:dyDescent="0.25">
      <c r="A118" s="11" t="str">
        <f t="shared" si="3"/>
        <v>VISTOS BUENOS</v>
      </c>
      <c r="B118" s="22">
        <v>6</v>
      </c>
      <c r="C118" s="46">
        <v>90</v>
      </c>
      <c r="D118" s="46">
        <v>110</v>
      </c>
      <c r="E118" s="60" t="s">
        <v>2259</v>
      </c>
      <c r="F118" s="66" t="s">
        <v>2440</v>
      </c>
      <c r="G118" s="46" t="s">
        <v>30</v>
      </c>
      <c r="H118" s="65">
        <v>42626</v>
      </c>
      <c r="I118" s="64">
        <v>42653</v>
      </c>
      <c r="J118" s="46">
        <v>168</v>
      </c>
      <c r="K118" s="36" t="s">
        <v>31</v>
      </c>
      <c r="L118" s="60" t="s">
        <v>32</v>
      </c>
      <c r="M118" s="62"/>
      <c r="N118" s="62"/>
      <c r="O118" s="63"/>
      <c r="P118" s="63"/>
    </row>
    <row r="119" spans="1:16" ht="24.75" customHeight="1" x14ac:dyDescent="0.25">
      <c r="A119" s="11" t="str">
        <f t="shared" si="3"/>
        <v>VISTOS BUENOS</v>
      </c>
      <c r="B119" s="22">
        <v>6</v>
      </c>
      <c r="C119" s="46">
        <v>91</v>
      </c>
      <c r="D119" s="46">
        <v>111</v>
      </c>
      <c r="E119" s="60" t="s">
        <v>2260</v>
      </c>
      <c r="F119" s="66" t="s">
        <v>2441</v>
      </c>
      <c r="G119" s="46" t="s">
        <v>30</v>
      </c>
      <c r="H119" s="65">
        <v>42627</v>
      </c>
      <c r="I119" s="64">
        <v>42646</v>
      </c>
      <c r="J119" s="46">
        <v>85</v>
      </c>
      <c r="K119" s="36" t="s">
        <v>31</v>
      </c>
      <c r="L119" s="60" t="s">
        <v>32</v>
      </c>
      <c r="M119" s="62"/>
      <c r="N119" s="62"/>
      <c r="O119" s="63"/>
      <c r="P119" s="63"/>
    </row>
    <row r="120" spans="1:16" ht="24.75" customHeight="1" x14ac:dyDescent="0.25">
      <c r="A120" s="11" t="str">
        <f t="shared" si="3"/>
        <v>VISTOS BUENOS</v>
      </c>
      <c r="B120" s="22">
        <v>7</v>
      </c>
      <c r="C120" s="46">
        <v>92</v>
      </c>
      <c r="D120" s="46">
        <v>112</v>
      </c>
      <c r="E120" s="60" t="s">
        <v>2261</v>
      </c>
      <c r="F120" s="66" t="s">
        <v>2442</v>
      </c>
      <c r="G120" s="46" t="s">
        <v>30</v>
      </c>
      <c r="H120" s="65">
        <v>42628</v>
      </c>
      <c r="I120" s="64">
        <v>42686</v>
      </c>
      <c r="J120" s="46">
        <v>49</v>
      </c>
      <c r="K120" s="36" t="s">
        <v>31</v>
      </c>
      <c r="L120" s="60" t="s">
        <v>32</v>
      </c>
      <c r="M120" s="62"/>
      <c r="N120" s="62"/>
      <c r="O120" s="63"/>
      <c r="P120" s="63"/>
    </row>
    <row r="121" spans="1:16" ht="24.75" customHeight="1" x14ac:dyDescent="0.25">
      <c r="A121" s="11" t="str">
        <f t="shared" si="3"/>
        <v>VISTOS BUENOS</v>
      </c>
      <c r="B121" s="22">
        <v>7</v>
      </c>
      <c r="C121" s="46">
        <v>92</v>
      </c>
      <c r="D121" s="46">
        <v>113</v>
      </c>
      <c r="E121" s="60" t="s">
        <v>2262</v>
      </c>
      <c r="F121" s="66" t="s">
        <v>2443</v>
      </c>
      <c r="G121" s="46" t="s">
        <v>30</v>
      </c>
      <c r="H121" s="65">
        <v>42633</v>
      </c>
      <c r="I121" s="64">
        <v>42639</v>
      </c>
      <c r="J121" s="46">
        <v>17</v>
      </c>
      <c r="K121" s="36" t="s">
        <v>31</v>
      </c>
      <c r="L121" s="60" t="s">
        <v>32</v>
      </c>
      <c r="M121" s="62"/>
      <c r="N121" s="62"/>
      <c r="O121" s="63"/>
      <c r="P121" s="63"/>
    </row>
    <row r="122" spans="1:16" ht="24.75" customHeight="1" x14ac:dyDescent="0.25">
      <c r="A122" s="11" t="str">
        <f t="shared" si="3"/>
        <v>VISTOS BUENOS</v>
      </c>
      <c r="B122" s="22">
        <v>7</v>
      </c>
      <c r="C122" s="46">
        <v>92</v>
      </c>
      <c r="D122" s="46">
        <v>114</v>
      </c>
      <c r="E122" s="60" t="s">
        <v>2263</v>
      </c>
      <c r="F122" s="66" t="s">
        <v>2444</v>
      </c>
      <c r="G122" s="46" t="s">
        <v>30</v>
      </c>
      <c r="H122" s="65">
        <v>42634</v>
      </c>
      <c r="I122" s="64">
        <v>42649</v>
      </c>
      <c r="J122" s="46">
        <v>21</v>
      </c>
      <c r="K122" s="36" t="s">
        <v>31</v>
      </c>
      <c r="L122" s="60" t="s">
        <v>32</v>
      </c>
      <c r="M122" s="62"/>
      <c r="N122" s="62"/>
      <c r="O122" s="63"/>
      <c r="P122" s="63"/>
    </row>
    <row r="123" spans="1:16" ht="24.75" customHeight="1" x14ac:dyDescent="0.25">
      <c r="A123" s="11" t="str">
        <f t="shared" si="3"/>
        <v>VISTOS BUENOS</v>
      </c>
      <c r="B123" s="22">
        <v>7</v>
      </c>
      <c r="C123" s="46">
        <v>93</v>
      </c>
      <c r="D123" s="46">
        <v>115</v>
      </c>
      <c r="E123" s="60" t="s">
        <v>2264</v>
      </c>
      <c r="F123" s="66" t="s">
        <v>2445</v>
      </c>
      <c r="G123" s="46" t="s">
        <v>30</v>
      </c>
      <c r="H123" s="65">
        <v>42634</v>
      </c>
      <c r="I123" s="64">
        <v>42649</v>
      </c>
      <c r="J123" s="46">
        <v>16</v>
      </c>
      <c r="K123" s="36" t="s">
        <v>31</v>
      </c>
      <c r="L123" s="60" t="s">
        <v>32</v>
      </c>
      <c r="M123" s="62"/>
      <c r="N123" s="62"/>
      <c r="O123" s="63"/>
      <c r="P123" s="63"/>
    </row>
    <row r="124" spans="1:16" ht="24.75" customHeight="1" x14ac:dyDescent="0.25">
      <c r="A124" s="11" t="str">
        <f t="shared" si="3"/>
        <v>VISTOS BUENOS</v>
      </c>
      <c r="B124" s="22">
        <v>7</v>
      </c>
      <c r="C124" s="46">
        <v>93</v>
      </c>
      <c r="D124" s="46">
        <v>116</v>
      </c>
      <c r="E124" s="60" t="s">
        <v>2265</v>
      </c>
      <c r="F124" s="66" t="s">
        <v>2446</v>
      </c>
      <c r="G124" s="46" t="s">
        <v>30</v>
      </c>
      <c r="H124" s="65">
        <v>42635</v>
      </c>
      <c r="I124" s="64">
        <v>42663</v>
      </c>
      <c r="J124" s="46">
        <v>71</v>
      </c>
      <c r="K124" s="36" t="s">
        <v>31</v>
      </c>
      <c r="L124" s="60" t="s">
        <v>32</v>
      </c>
      <c r="M124" s="62"/>
      <c r="N124" s="62"/>
      <c r="O124" s="63"/>
      <c r="P124" s="63"/>
    </row>
    <row r="125" spans="1:16" ht="24.75" customHeight="1" x14ac:dyDescent="0.25">
      <c r="A125" s="11" t="str">
        <f t="shared" si="3"/>
        <v>VISTOS BUENOS</v>
      </c>
      <c r="B125" s="22">
        <v>7</v>
      </c>
      <c r="C125" s="46">
        <v>94</v>
      </c>
      <c r="D125" s="46">
        <v>117</v>
      </c>
      <c r="E125" s="60" t="s">
        <v>2266</v>
      </c>
      <c r="F125" s="66" t="s">
        <v>2447</v>
      </c>
      <c r="G125" s="46" t="s">
        <v>30</v>
      </c>
      <c r="H125" s="65">
        <v>42635</v>
      </c>
      <c r="I125" s="64">
        <v>42695</v>
      </c>
      <c r="J125" s="46">
        <v>77</v>
      </c>
      <c r="K125" s="36" t="s">
        <v>31</v>
      </c>
      <c r="L125" s="60" t="s">
        <v>32</v>
      </c>
      <c r="M125" s="62"/>
      <c r="N125" s="62"/>
      <c r="O125" s="63"/>
      <c r="P125" s="63"/>
    </row>
    <row r="126" spans="1:16" ht="24.75" customHeight="1" x14ac:dyDescent="0.25">
      <c r="A126" s="11" t="str">
        <f t="shared" si="3"/>
        <v>VISTOS BUENOS</v>
      </c>
      <c r="B126" s="22">
        <v>7</v>
      </c>
      <c r="C126" s="46">
        <v>94</v>
      </c>
      <c r="D126" s="46">
        <v>118</v>
      </c>
      <c r="E126" s="60" t="s">
        <v>2267</v>
      </c>
      <c r="F126" s="66" t="s">
        <v>2448</v>
      </c>
      <c r="G126" s="46" t="s">
        <v>30</v>
      </c>
      <c r="H126" s="65">
        <v>42641</v>
      </c>
      <c r="I126" s="64">
        <v>42661</v>
      </c>
      <c r="J126" s="46">
        <v>19</v>
      </c>
      <c r="K126" s="36" t="s">
        <v>31</v>
      </c>
      <c r="L126" s="60" t="s">
        <v>32</v>
      </c>
      <c r="M126" s="62"/>
      <c r="N126" s="62"/>
      <c r="O126" s="63"/>
      <c r="P126" s="63"/>
    </row>
    <row r="127" spans="1:16" ht="24.75" customHeight="1" x14ac:dyDescent="0.25">
      <c r="A127" s="11" t="str">
        <f t="shared" si="3"/>
        <v>VISTOS BUENOS</v>
      </c>
      <c r="B127" s="22">
        <v>7</v>
      </c>
      <c r="C127" s="46">
        <v>95</v>
      </c>
      <c r="D127" s="46">
        <v>119</v>
      </c>
      <c r="E127" s="60" t="s">
        <v>2268</v>
      </c>
      <c r="F127" s="66" t="s">
        <v>2449</v>
      </c>
      <c r="G127" s="46" t="s">
        <v>30</v>
      </c>
      <c r="H127" s="65">
        <v>42641</v>
      </c>
      <c r="I127" s="64">
        <v>42661</v>
      </c>
      <c r="J127" s="46">
        <v>20</v>
      </c>
      <c r="K127" s="36" t="s">
        <v>31</v>
      </c>
      <c r="L127" s="60" t="s">
        <v>32</v>
      </c>
      <c r="M127" s="62"/>
      <c r="N127" s="62"/>
      <c r="O127" s="63"/>
      <c r="P127" s="63"/>
    </row>
    <row r="128" spans="1:16" ht="24.75" customHeight="1" x14ac:dyDescent="0.25">
      <c r="A128" s="11" t="str">
        <f t="shared" si="3"/>
        <v>VISTOS BUENOS</v>
      </c>
      <c r="B128" s="22">
        <v>7</v>
      </c>
      <c r="C128" s="46">
        <v>95</v>
      </c>
      <c r="D128" s="46">
        <v>120</v>
      </c>
      <c r="E128" s="60" t="s">
        <v>2269</v>
      </c>
      <c r="F128" s="66" t="s">
        <v>2450</v>
      </c>
      <c r="G128" s="46" t="s">
        <v>30</v>
      </c>
      <c r="H128" s="65">
        <v>42641</v>
      </c>
      <c r="I128" s="64">
        <v>42661</v>
      </c>
      <c r="J128" s="46">
        <v>20</v>
      </c>
      <c r="K128" s="36" t="s">
        <v>31</v>
      </c>
      <c r="L128" s="60" t="s">
        <v>32</v>
      </c>
      <c r="M128" s="62"/>
      <c r="N128" s="62"/>
      <c r="O128" s="63"/>
      <c r="P128" s="63"/>
    </row>
    <row r="129" spans="1:16" ht="24.75" customHeight="1" x14ac:dyDescent="0.25">
      <c r="A129" s="11" t="str">
        <f t="shared" si="3"/>
        <v>VISTOS BUENOS</v>
      </c>
      <c r="B129" s="22">
        <v>7</v>
      </c>
      <c r="C129" s="46">
        <v>95</v>
      </c>
      <c r="D129" s="46">
        <v>121</v>
      </c>
      <c r="E129" s="60" t="s">
        <v>2270</v>
      </c>
      <c r="F129" s="66" t="s">
        <v>2451</v>
      </c>
      <c r="G129" s="46" t="s">
        <v>30</v>
      </c>
      <c r="H129" s="65">
        <v>42641</v>
      </c>
      <c r="I129" s="64">
        <v>42661</v>
      </c>
      <c r="J129" s="46">
        <v>20</v>
      </c>
      <c r="K129" s="36" t="s">
        <v>31</v>
      </c>
      <c r="L129" s="60" t="s">
        <v>32</v>
      </c>
      <c r="M129" s="62"/>
      <c r="N129" s="62"/>
      <c r="O129" s="63"/>
      <c r="P129" s="63"/>
    </row>
    <row r="130" spans="1:16" ht="24.75" customHeight="1" x14ac:dyDescent="0.25">
      <c r="A130" s="11" t="str">
        <f t="shared" si="3"/>
        <v>VISTOS BUENOS</v>
      </c>
      <c r="B130" s="22">
        <v>7</v>
      </c>
      <c r="C130" s="46">
        <v>95</v>
      </c>
      <c r="D130" s="46">
        <v>122</v>
      </c>
      <c r="E130" s="60" t="s">
        <v>2271</v>
      </c>
      <c r="F130" s="66" t="s">
        <v>2452</v>
      </c>
      <c r="G130" s="46" t="s">
        <v>30</v>
      </c>
      <c r="H130" s="65">
        <v>42641</v>
      </c>
      <c r="I130" s="64">
        <v>42661</v>
      </c>
      <c r="J130" s="46">
        <v>19</v>
      </c>
      <c r="K130" s="36" t="s">
        <v>31</v>
      </c>
      <c r="L130" s="60" t="s">
        <v>32</v>
      </c>
      <c r="M130" s="62"/>
      <c r="N130" s="62"/>
      <c r="O130" s="63"/>
      <c r="P130" s="63"/>
    </row>
    <row r="131" spans="1:16" ht="24.75" customHeight="1" x14ac:dyDescent="0.25">
      <c r="A131" s="11" t="str">
        <f t="shared" si="3"/>
        <v>VISTOS BUENOS</v>
      </c>
      <c r="B131" s="22">
        <v>7</v>
      </c>
      <c r="C131" s="46">
        <v>96</v>
      </c>
      <c r="D131" s="46">
        <v>123</v>
      </c>
      <c r="E131" s="60" t="s">
        <v>2272</v>
      </c>
      <c r="F131" s="66" t="s">
        <v>2453</v>
      </c>
      <c r="G131" s="46" t="s">
        <v>30</v>
      </c>
      <c r="H131" s="65">
        <v>42641</v>
      </c>
      <c r="I131" s="64">
        <v>42664</v>
      </c>
      <c r="J131" s="46">
        <v>31</v>
      </c>
      <c r="K131" s="36" t="s">
        <v>31</v>
      </c>
      <c r="L131" s="60" t="s">
        <v>32</v>
      </c>
      <c r="M131" s="62"/>
      <c r="N131" s="62"/>
      <c r="O131" s="63"/>
      <c r="P131" s="63"/>
    </row>
    <row r="132" spans="1:16" ht="24.75" customHeight="1" x14ac:dyDescent="0.25">
      <c r="A132" s="11" t="str">
        <f t="shared" si="3"/>
        <v>VISTOS BUENOS</v>
      </c>
      <c r="B132" s="22">
        <v>7</v>
      </c>
      <c r="C132" s="46">
        <v>96</v>
      </c>
      <c r="D132" s="46">
        <v>124</v>
      </c>
      <c r="E132" s="60" t="s">
        <v>2273</v>
      </c>
      <c r="F132" s="66" t="s">
        <v>2454</v>
      </c>
      <c r="G132" s="46" t="s">
        <v>30</v>
      </c>
      <c r="H132" s="65">
        <v>42641</v>
      </c>
      <c r="I132" s="64">
        <v>42664</v>
      </c>
      <c r="J132" s="46">
        <v>32</v>
      </c>
      <c r="K132" s="36" t="s">
        <v>31</v>
      </c>
      <c r="L132" s="60" t="s">
        <v>32</v>
      </c>
      <c r="M132" s="62"/>
      <c r="N132" s="62"/>
      <c r="O132" s="63"/>
      <c r="P132" s="63"/>
    </row>
    <row r="133" spans="1:16" ht="24.75" customHeight="1" x14ac:dyDescent="0.25">
      <c r="A133" s="11" t="str">
        <f t="shared" si="3"/>
        <v>VISTOS BUENOS</v>
      </c>
      <c r="B133" s="22">
        <v>7</v>
      </c>
      <c r="C133" s="46">
        <v>96</v>
      </c>
      <c r="D133" s="46">
        <v>125</v>
      </c>
      <c r="E133" s="60" t="s">
        <v>2274</v>
      </c>
      <c r="F133" s="66" t="s">
        <v>2455</v>
      </c>
      <c r="G133" s="46" t="s">
        <v>30</v>
      </c>
      <c r="H133" s="65">
        <v>42641</v>
      </c>
      <c r="I133" s="64">
        <v>42664</v>
      </c>
      <c r="J133" s="46">
        <v>32</v>
      </c>
      <c r="K133" s="36" t="s">
        <v>31</v>
      </c>
      <c r="L133" s="60" t="s">
        <v>32</v>
      </c>
      <c r="M133" s="62"/>
      <c r="N133" s="62"/>
      <c r="O133" s="63"/>
      <c r="P133" s="63"/>
    </row>
    <row r="134" spans="1:16" ht="24.75" customHeight="1" x14ac:dyDescent="0.25">
      <c r="A134" s="11" t="str">
        <f t="shared" si="3"/>
        <v>VISTOS BUENOS</v>
      </c>
      <c r="B134" s="22">
        <v>7</v>
      </c>
      <c r="C134" s="46">
        <v>97</v>
      </c>
      <c r="D134" s="46">
        <v>126</v>
      </c>
      <c r="E134" s="60" t="s">
        <v>2275</v>
      </c>
      <c r="F134" s="66" t="s">
        <v>2456</v>
      </c>
      <c r="G134" s="46" t="s">
        <v>30</v>
      </c>
      <c r="H134" s="65">
        <v>42641</v>
      </c>
      <c r="I134" s="64">
        <v>42664</v>
      </c>
      <c r="J134" s="46">
        <v>31</v>
      </c>
      <c r="K134" s="36" t="s">
        <v>31</v>
      </c>
      <c r="L134" s="60" t="s">
        <v>32</v>
      </c>
      <c r="M134" s="62"/>
      <c r="N134" s="62"/>
      <c r="O134" s="63"/>
      <c r="P134" s="63"/>
    </row>
    <row r="135" spans="1:16" ht="24.75" customHeight="1" x14ac:dyDescent="0.25">
      <c r="A135" s="11" t="str">
        <f t="shared" si="3"/>
        <v>VISTOS BUENOS</v>
      </c>
      <c r="B135" s="22">
        <v>7</v>
      </c>
      <c r="C135" s="46">
        <v>97</v>
      </c>
      <c r="D135" s="46">
        <v>127</v>
      </c>
      <c r="E135" s="60" t="s">
        <v>2276</v>
      </c>
      <c r="F135" s="66" t="s">
        <v>2457</v>
      </c>
      <c r="G135" s="46" t="s">
        <v>30</v>
      </c>
      <c r="H135" s="65">
        <v>42641</v>
      </c>
      <c r="I135" s="64">
        <v>42664</v>
      </c>
      <c r="J135" s="46">
        <v>31</v>
      </c>
      <c r="K135" s="36" t="s">
        <v>31</v>
      </c>
      <c r="L135" s="60" t="s">
        <v>32</v>
      </c>
      <c r="M135" s="62"/>
      <c r="N135" s="62"/>
      <c r="O135" s="63"/>
      <c r="P135" s="63"/>
    </row>
    <row r="136" spans="1:16" ht="24.75" customHeight="1" x14ac:dyDescent="0.25">
      <c r="A136" s="11" t="str">
        <f t="shared" si="3"/>
        <v>VISTOS BUENOS</v>
      </c>
      <c r="B136" s="22">
        <v>7</v>
      </c>
      <c r="C136" s="46">
        <v>97</v>
      </c>
      <c r="D136" s="46">
        <v>128</v>
      </c>
      <c r="E136" s="60" t="s">
        <v>2277</v>
      </c>
      <c r="F136" s="66" t="s">
        <v>2458</v>
      </c>
      <c r="G136" s="46" t="s">
        <v>30</v>
      </c>
      <c r="H136" s="65">
        <v>42641</v>
      </c>
      <c r="I136" s="64">
        <v>42664</v>
      </c>
      <c r="J136" s="46">
        <v>32</v>
      </c>
      <c r="K136" s="36" t="s">
        <v>31</v>
      </c>
      <c r="L136" s="60" t="s">
        <v>32</v>
      </c>
      <c r="M136" s="62"/>
      <c r="N136" s="62"/>
      <c r="O136" s="63"/>
      <c r="P136" s="63"/>
    </row>
    <row r="137" spans="1:16" ht="24.75" customHeight="1" x14ac:dyDescent="0.25">
      <c r="A137" s="11" t="str">
        <f t="shared" si="3"/>
        <v>VISTOS BUENOS</v>
      </c>
      <c r="B137" s="22">
        <v>7</v>
      </c>
      <c r="C137" s="46">
        <v>98</v>
      </c>
      <c r="D137" s="46">
        <v>129</v>
      </c>
      <c r="E137" s="60" t="s">
        <v>2278</v>
      </c>
      <c r="F137" s="66" t="s">
        <v>2459</v>
      </c>
      <c r="G137" s="46" t="s">
        <v>30</v>
      </c>
      <c r="H137" s="65">
        <v>42641</v>
      </c>
      <c r="I137" s="64">
        <v>42667</v>
      </c>
      <c r="J137" s="46">
        <v>28</v>
      </c>
      <c r="K137" s="36" t="s">
        <v>31</v>
      </c>
      <c r="L137" s="60" t="s">
        <v>32</v>
      </c>
      <c r="M137" s="62"/>
      <c r="N137" s="62"/>
      <c r="O137" s="63"/>
      <c r="P137" s="63"/>
    </row>
    <row r="138" spans="1:16" ht="24.75" customHeight="1" x14ac:dyDescent="0.25">
      <c r="A138" s="11" t="str">
        <f t="shared" ref="A138:A169" si="4">A137</f>
        <v>VISTOS BUENOS</v>
      </c>
      <c r="B138" s="22">
        <v>7</v>
      </c>
      <c r="C138" s="46">
        <v>98</v>
      </c>
      <c r="D138" s="46">
        <v>130</v>
      </c>
      <c r="E138" s="60" t="s">
        <v>2279</v>
      </c>
      <c r="F138" s="66" t="s">
        <v>2460</v>
      </c>
      <c r="G138" s="46" t="s">
        <v>30</v>
      </c>
      <c r="H138" s="65">
        <v>42641</v>
      </c>
      <c r="I138" s="64">
        <v>42667</v>
      </c>
      <c r="J138" s="46">
        <v>29</v>
      </c>
      <c r="K138" s="36" t="s">
        <v>31</v>
      </c>
      <c r="L138" s="60" t="s">
        <v>32</v>
      </c>
      <c r="M138" s="62"/>
      <c r="N138" s="62"/>
      <c r="O138" s="63"/>
      <c r="P138" s="63"/>
    </row>
    <row r="139" spans="1:16" ht="24.75" customHeight="1" x14ac:dyDescent="0.25">
      <c r="A139" s="11" t="str">
        <f t="shared" si="4"/>
        <v>VISTOS BUENOS</v>
      </c>
      <c r="B139" s="22">
        <v>7</v>
      </c>
      <c r="C139" s="46">
        <v>98</v>
      </c>
      <c r="D139" s="46">
        <v>131</v>
      </c>
      <c r="E139" s="60" t="s">
        <v>2280</v>
      </c>
      <c r="F139" s="66" t="s">
        <v>2461</v>
      </c>
      <c r="G139" s="46" t="s">
        <v>30</v>
      </c>
      <c r="H139" s="65">
        <v>42641</v>
      </c>
      <c r="I139" s="64">
        <v>42667</v>
      </c>
      <c r="J139" s="46">
        <v>34</v>
      </c>
      <c r="K139" s="36" t="s">
        <v>31</v>
      </c>
      <c r="L139" s="60" t="s">
        <v>32</v>
      </c>
      <c r="M139" s="62"/>
      <c r="N139" s="62"/>
      <c r="O139" s="63"/>
      <c r="P139" s="63"/>
    </row>
    <row r="140" spans="1:16" ht="24.75" customHeight="1" x14ac:dyDescent="0.25">
      <c r="A140" s="11" t="str">
        <f t="shared" si="4"/>
        <v>VISTOS BUENOS</v>
      </c>
      <c r="B140" s="22">
        <v>7</v>
      </c>
      <c r="C140" s="46">
        <v>99</v>
      </c>
      <c r="D140" s="46">
        <v>132</v>
      </c>
      <c r="E140" s="60" t="s">
        <v>2281</v>
      </c>
      <c r="F140" s="66" t="s">
        <v>2462</v>
      </c>
      <c r="G140" s="46" t="s">
        <v>30</v>
      </c>
      <c r="H140" s="65">
        <v>42641</v>
      </c>
      <c r="I140" s="64">
        <v>42663</v>
      </c>
      <c r="J140" s="46">
        <v>33</v>
      </c>
      <c r="K140" s="36" t="s">
        <v>31</v>
      </c>
      <c r="L140" s="60" t="s">
        <v>32</v>
      </c>
      <c r="M140" s="62"/>
      <c r="N140" s="62"/>
      <c r="O140" s="63"/>
      <c r="P140" s="63"/>
    </row>
    <row r="141" spans="1:16" ht="24.75" customHeight="1" x14ac:dyDescent="0.25">
      <c r="A141" s="11" t="str">
        <f t="shared" si="4"/>
        <v>VISTOS BUENOS</v>
      </c>
      <c r="B141" s="22">
        <v>7</v>
      </c>
      <c r="C141" s="46">
        <v>99</v>
      </c>
      <c r="D141" s="46">
        <v>133</v>
      </c>
      <c r="E141" s="60" t="s">
        <v>2282</v>
      </c>
      <c r="F141" s="66" t="s">
        <v>2463</v>
      </c>
      <c r="G141" s="46" t="s">
        <v>30</v>
      </c>
      <c r="H141" s="65">
        <v>42641</v>
      </c>
      <c r="I141" s="64">
        <v>42667</v>
      </c>
      <c r="J141" s="46">
        <v>31</v>
      </c>
      <c r="K141" s="36" t="s">
        <v>31</v>
      </c>
      <c r="L141" s="60" t="s">
        <v>32</v>
      </c>
      <c r="M141" s="62"/>
      <c r="N141" s="62"/>
      <c r="O141" s="63"/>
      <c r="P141" s="63"/>
    </row>
    <row r="142" spans="1:16" ht="24.75" customHeight="1" x14ac:dyDescent="0.25">
      <c r="A142" s="11" t="str">
        <f t="shared" si="4"/>
        <v>VISTOS BUENOS</v>
      </c>
      <c r="B142" s="22">
        <v>7</v>
      </c>
      <c r="C142" s="46">
        <v>99</v>
      </c>
      <c r="D142" s="46">
        <v>134</v>
      </c>
      <c r="E142" s="60" t="s">
        <v>2283</v>
      </c>
      <c r="F142" s="66" t="s">
        <v>2464</v>
      </c>
      <c r="G142" s="46" t="s">
        <v>30</v>
      </c>
      <c r="H142" s="65">
        <v>42641</v>
      </c>
      <c r="I142" s="64">
        <v>42667</v>
      </c>
      <c r="J142" s="46">
        <v>31</v>
      </c>
      <c r="K142" s="36" t="s">
        <v>31</v>
      </c>
      <c r="L142" s="60" t="s">
        <v>32</v>
      </c>
      <c r="M142" s="62"/>
      <c r="N142" s="62"/>
      <c r="O142" s="63"/>
      <c r="P142" s="63"/>
    </row>
    <row r="143" spans="1:16" ht="24.75" customHeight="1" x14ac:dyDescent="0.25">
      <c r="A143" s="11" t="str">
        <f t="shared" si="4"/>
        <v>VISTOS BUENOS</v>
      </c>
      <c r="B143" s="22">
        <v>7</v>
      </c>
      <c r="C143" s="46">
        <v>99</v>
      </c>
      <c r="D143" s="46">
        <v>135</v>
      </c>
      <c r="E143" s="60" t="s">
        <v>2284</v>
      </c>
      <c r="F143" s="66" t="s">
        <v>2465</v>
      </c>
      <c r="G143" s="46" t="s">
        <v>30</v>
      </c>
      <c r="H143" s="65">
        <v>42641</v>
      </c>
      <c r="I143" s="64">
        <v>42667</v>
      </c>
      <c r="J143" s="46">
        <v>32</v>
      </c>
      <c r="K143" s="36" t="s">
        <v>31</v>
      </c>
      <c r="L143" s="60" t="s">
        <v>32</v>
      </c>
      <c r="M143" s="62"/>
      <c r="N143" s="62"/>
      <c r="O143" s="63"/>
      <c r="P143" s="63"/>
    </row>
    <row r="144" spans="1:16" ht="24.75" customHeight="1" x14ac:dyDescent="0.25">
      <c r="A144" s="11" t="str">
        <f t="shared" si="4"/>
        <v>VISTOS BUENOS</v>
      </c>
      <c r="B144" s="22">
        <v>7</v>
      </c>
      <c r="C144" s="46">
        <v>100</v>
      </c>
      <c r="D144" s="46">
        <v>136</v>
      </c>
      <c r="E144" s="60" t="s">
        <v>2285</v>
      </c>
      <c r="F144" s="66" t="s">
        <v>2466</v>
      </c>
      <c r="G144" s="46" t="s">
        <v>30</v>
      </c>
      <c r="H144" s="65">
        <v>42641</v>
      </c>
      <c r="I144" s="64">
        <v>42656</v>
      </c>
      <c r="J144" s="46">
        <v>28</v>
      </c>
      <c r="K144" s="36" t="s">
        <v>31</v>
      </c>
      <c r="L144" s="60" t="s">
        <v>32</v>
      </c>
      <c r="M144" s="62"/>
      <c r="N144" s="62"/>
      <c r="O144" s="63"/>
      <c r="P144" s="63"/>
    </row>
    <row r="145" spans="1:16" ht="24.75" customHeight="1" x14ac:dyDescent="0.25">
      <c r="A145" s="11" t="str">
        <f t="shared" si="4"/>
        <v>VISTOS BUENOS</v>
      </c>
      <c r="B145" s="22">
        <v>7</v>
      </c>
      <c r="C145" s="46">
        <v>100</v>
      </c>
      <c r="D145" s="46">
        <v>137</v>
      </c>
      <c r="E145" s="60" t="s">
        <v>2286</v>
      </c>
      <c r="F145" s="66" t="s">
        <v>2467</v>
      </c>
      <c r="G145" s="46" t="s">
        <v>30</v>
      </c>
      <c r="H145" s="65">
        <v>42641</v>
      </c>
      <c r="I145" s="64">
        <v>42667</v>
      </c>
      <c r="J145" s="46">
        <v>31</v>
      </c>
      <c r="K145" s="36" t="s">
        <v>31</v>
      </c>
      <c r="L145" s="60" t="s">
        <v>32</v>
      </c>
      <c r="M145" s="62"/>
      <c r="N145" s="62"/>
      <c r="O145" s="63"/>
      <c r="P145" s="63"/>
    </row>
    <row r="146" spans="1:16" ht="24.75" customHeight="1" x14ac:dyDescent="0.25">
      <c r="A146" s="11" t="str">
        <f t="shared" si="4"/>
        <v>VISTOS BUENOS</v>
      </c>
      <c r="B146" s="22">
        <v>7</v>
      </c>
      <c r="C146" s="46">
        <v>100</v>
      </c>
      <c r="D146" s="46">
        <v>138</v>
      </c>
      <c r="E146" s="60" t="s">
        <v>2287</v>
      </c>
      <c r="F146" s="66" t="s">
        <v>2468</v>
      </c>
      <c r="G146" s="46" t="s">
        <v>30</v>
      </c>
      <c r="H146" s="65">
        <v>42641</v>
      </c>
      <c r="I146" s="64">
        <v>42663</v>
      </c>
      <c r="J146" s="46">
        <v>50</v>
      </c>
      <c r="K146" s="36" t="s">
        <v>31</v>
      </c>
      <c r="L146" s="60" t="s">
        <v>32</v>
      </c>
      <c r="M146" s="62"/>
      <c r="N146" s="62"/>
      <c r="O146" s="63"/>
      <c r="P146" s="63"/>
    </row>
    <row r="147" spans="1:16" ht="24.75" customHeight="1" x14ac:dyDescent="0.25">
      <c r="A147" s="11" t="str">
        <f t="shared" si="4"/>
        <v>VISTOS BUENOS</v>
      </c>
      <c r="B147" s="22">
        <v>7</v>
      </c>
      <c r="C147" s="46">
        <v>101</v>
      </c>
      <c r="D147" s="46">
        <v>139</v>
      </c>
      <c r="E147" s="60" t="s">
        <v>2288</v>
      </c>
      <c r="F147" s="66" t="s">
        <v>2469</v>
      </c>
      <c r="G147" s="46" t="s">
        <v>30</v>
      </c>
      <c r="H147" s="65">
        <v>42641</v>
      </c>
      <c r="I147" s="64">
        <v>42663</v>
      </c>
      <c r="J147" s="46">
        <v>53</v>
      </c>
      <c r="K147" s="36" t="s">
        <v>31</v>
      </c>
      <c r="L147" s="60" t="s">
        <v>32</v>
      </c>
      <c r="M147" s="62"/>
      <c r="N147" s="62"/>
      <c r="O147" s="63"/>
      <c r="P147" s="63"/>
    </row>
    <row r="148" spans="1:16" ht="24.75" customHeight="1" x14ac:dyDescent="0.25">
      <c r="A148" s="11" t="str">
        <f t="shared" si="4"/>
        <v>VISTOS BUENOS</v>
      </c>
      <c r="B148" s="22">
        <v>7</v>
      </c>
      <c r="C148" s="46">
        <v>101</v>
      </c>
      <c r="D148" s="46">
        <v>140</v>
      </c>
      <c r="E148" s="60" t="s">
        <v>2289</v>
      </c>
      <c r="F148" s="66" t="s">
        <v>2470</v>
      </c>
      <c r="G148" s="46" t="s">
        <v>30</v>
      </c>
      <c r="H148" s="65">
        <v>42641</v>
      </c>
      <c r="I148" s="64">
        <v>42663</v>
      </c>
      <c r="J148" s="46">
        <v>50</v>
      </c>
      <c r="K148" s="36" t="s">
        <v>31</v>
      </c>
      <c r="L148" s="60" t="s">
        <v>32</v>
      </c>
      <c r="M148" s="62"/>
      <c r="N148" s="62"/>
      <c r="O148" s="63"/>
      <c r="P148" s="63"/>
    </row>
    <row r="149" spans="1:16" ht="24.75" customHeight="1" x14ac:dyDescent="0.25">
      <c r="A149" s="11" t="str">
        <f t="shared" si="4"/>
        <v>VISTOS BUENOS</v>
      </c>
      <c r="B149" s="22">
        <v>7</v>
      </c>
      <c r="C149" s="46">
        <v>102</v>
      </c>
      <c r="D149" s="46">
        <v>141</v>
      </c>
      <c r="E149" s="60" t="s">
        <v>2290</v>
      </c>
      <c r="F149" s="66" t="s">
        <v>2471</v>
      </c>
      <c r="G149" s="46" t="s">
        <v>30</v>
      </c>
      <c r="H149" s="65">
        <v>42641</v>
      </c>
      <c r="I149" s="64">
        <v>42663</v>
      </c>
      <c r="J149" s="46">
        <v>48</v>
      </c>
      <c r="K149" s="36" t="s">
        <v>31</v>
      </c>
      <c r="L149" s="60" t="s">
        <v>32</v>
      </c>
      <c r="M149" s="62"/>
      <c r="N149" s="62"/>
      <c r="O149" s="63"/>
      <c r="P149" s="63"/>
    </row>
    <row r="150" spans="1:16" ht="24.75" customHeight="1" x14ac:dyDescent="0.25">
      <c r="A150" s="11" t="str">
        <f t="shared" si="4"/>
        <v>VISTOS BUENOS</v>
      </c>
      <c r="B150" s="22">
        <v>7</v>
      </c>
      <c r="C150" s="46">
        <v>102</v>
      </c>
      <c r="D150" s="46">
        <v>142</v>
      </c>
      <c r="E150" s="60" t="s">
        <v>2291</v>
      </c>
      <c r="F150" s="66" t="s">
        <v>2472</v>
      </c>
      <c r="G150" s="46" t="s">
        <v>30</v>
      </c>
      <c r="H150" s="65">
        <v>42643</v>
      </c>
      <c r="I150" s="64">
        <v>42648</v>
      </c>
      <c r="J150" s="46">
        <v>21</v>
      </c>
      <c r="K150" s="36" t="s">
        <v>31</v>
      </c>
      <c r="L150" s="60" t="s">
        <v>32</v>
      </c>
      <c r="M150" s="62"/>
      <c r="N150" s="62"/>
      <c r="O150" s="63"/>
      <c r="P150" s="63"/>
    </row>
    <row r="151" spans="1:16" ht="24.75" customHeight="1" x14ac:dyDescent="0.25">
      <c r="A151" s="11" t="str">
        <f t="shared" si="4"/>
        <v>VISTOS BUENOS</v>
      </c>
      <c r="B151" s="22">
        <v>7</v>
      </c>
      <c r="C151" s="46">
        <v>102</v>
      </c>
      <c r="D151" s="46">
        <v>143</v>
      </c>
      <c r="E151" s="60" t="s">
        <v>2292</v>
      </c>
      <c r="F151" s="66" t="s">
        <v>2473</v>
      </c>
      <c r="G151" s="46" t="s">
        <v>30</v>
      </c>
      <c r="H151" s="65">
        <v>42643</v>
      </c>
      <c r="I151" s="64">
        <v>42663</v>
      </c>
      <c r="J151" s="46">
        <v>40</v>
      </c>
      <c r="K151" s="36" t="s">
        <v>31</v>
      </c>
      <c r="L151" s="60" t="s">
        <v>32</v>
      </c>
      <c r="M151" s="62"/>
      <c r="N151" s="62"/>
      <c r="O151" s="63"/>
      <c r="P151" s="63"/>
    </row>
    <row r="152" spans="1:16" ht="24.75" customHeight="1" x14ac:dyDescent="0.25">
      <c r="A152" s="11" t="str">
        <f t="shared" si="4"/>
        <v>VISTOS BUENOS</v>
      </c>
      <c r="B152" s="22">
        <v>7</v>
      </c>
      <c r="C152" s="46">
        <v>103</v>
      </c>
      <c r="D152" s="46">
        <v>144</v>
      </c>
      <c r="E152" s="60" t="s">
        <v>2293</v>
      </c>
      <c r="F152" s="66" t="s">
        <v>2474</v>
      </c>
      <c r="G152" s="46" t="s">
        <v>30</v>
      </c>
      <c r="H152" s="65">
        <v>42643</v>
      </c>
      <c r="I152" s="64">
        <v>42667</v>
      </c>
      <c r="J152" s="46">
        <v>68</v>
      </c>
      <c r="K152" s="36" t="s">
        <v>31</v>
      </c>
      <c r="L152" s="60" t="s">
        <v>32</v>
      </c>
      <c r="M152" s="62"/>
      <c r="N152" s="62"/>
      <c r="O152" s="63"/>
      <c r="P152" s="63"/>
    </row>
    <row r="153" spans="1:16" ht="24.75" customHeight="1" x14ac:dyDescent="0.25">
      <c r="A153" s="11" t="str">
        <f t="shared" si="4"/>
        <v>VISTOS BUENOS</v>
      </c>
      <c r="B153" s="22">
        <v>7</v>
      </c>
      <c r="C153" s="46" t="s">
        <v>2821</v>
      </c>
      <c r="D153" s="46">
        <v>145</v>
      </c>
      <c r="E153" s="60" t="s">
        <v>2294</v>
      </c>
      <c r="F153" s="66" t="s">
        <v>2475</v>
      </c>
      <c r="G153" s="46" t="s">
        <v>30</v>
      </c>
      <c r="H153" s="65">
        <v>42646</v>
      </c>
      <c r="I153" s="64">
        <v>42681</v>
      </c>
      <c r="J153" s="46">
        <v>213</v>
      </c>
      <c r="K153" s="36" t="s">
        <v>31</v>
      </c>
      <c r="L153" s="60" t="s">
        <v>32</v>
      </c>
      <c r="M153" s="62"/>
      <c r="N153" s="62"/>
      <c r="O153" s="63"/>
      <c r="P153" s="63"/>
    </row>
    <row r="154" spans="1:16" ht="24.75" customHeight="1" x14ac:dyDescent="0.25">
      <c r="A154" s="11" t="str">
        <f t="shared" si="4"/>
        <v>VISTOS BUENOS</v>
      </c>
      <c r="B154" s="22">
        <v>7</v>
      </c>
      <c r="C154" s="46">
        <v>106</v>
      </c>
      <c r="D154" s="46">
        <v>146</v>
      </c>
      <c r="E154" s="60" t="s">
        <v>2295</v>
      </c>
      <c r="F154" s="66" t="s">
        <v>2476</v>
      </c>
      <c r="G154" s="46" t="s">
        <v>30</v>
      </c>
      <c r="H154" s="65">
        <v>42647</v>
      </c>
      <c r="I154" s="64">
        <v>42664</v>
      </c>
      <c r="J154" s="46">
        <v>17</v>
      </c>
      <c r="K154" s="36" t="s">
        <v>31</v>
      </c>
      <c r="L154" s="60" t="s">
        <v>32</v>
      </c>
      <c r="M154" s="62"/>
      <c r="N154" s="62"/>
      <c r="O154" s="63"/>
      <c r="P154" s="63"/>
    </row>
    <row r="155" spans="1:16" ht="24.75" customHeight="1" x14ac:dyDescent="0.25">
      <c r="A155" s="11" t="str">
        <f t="shared" si="4"/>
        <v>VISTOS BUENOS</v>
      </c>
      <c r="B155" s="22">
        <v>7</v>
      </c>
      <c r="C155" s="46">
        <v>106</v>
      </c>
      <c r="D155" s="46">
        <v>147</v>
      </c>
      <c r="E155" s="60" t="s">
        <v>2296</v>
      </c>
      <c r="F155" s="66" t="s">
        <v>2477</v>
      </c>
      <c r="G155" s="46" t="s">
        <v>30</v>
      </c>
      <c r="H155" s="65">
        <v>42650</v>
      </c>
      <c r="I155" s="64">
        <v>42671</v>
      </c>
      <c r="J155" s="46">
        <v>33</v>
      </c>
      <c r="K155" s="36" t="s">
        <v>31</v>
      </c>
      <c r="L155" s="60" t="s">
        <v>32</v>
      </c>
      <c r="M155" s="62"/>
      <c r="N155" s="62"/>
      <c r="O155" s="63"/>
      <c r="P155" s="63"/>
    </row>
    <row r="156" spans="1:16" ht="24.75" customHeight="1" x14ac:dyDescent="0.25">
      <c r="A156" s="11" t="str">
        <f t="shared" si="4"/>
        <v>VISTOS BUENOS</v>
      </c>
      <c r="B156" s="22">
        <v>7</v>
      </c>
      <c r="C156" s="46">
        <v>107</v>
      </c>
      <c r="D156" s="46">
        <v>148</v>
      </c>
      <c r="E156" s="60" t="s">
        <v>2297</v>
      </c>
      <c r="F156" s="66" t="s">
        <v>2478</v>
      </c>
      <c r="G156" s="46" t="s">
        <v>30</v>
      </c>
      <c r="H156" s="65">
        <v>42654</v>
      </c>
      <c r="I156" s="64">
        <v>42654</v>
      </c>
      <c r="J156" s="46">
        <v>96</v>
      </c>
      <c r="K156" s="36" t="s">
        <v>31</v>
      </c>
      <c r="L156" s="60" t="s">
        <v>32</v>
      </c>
      <c r="M156" s="62"/>
      <c r="N156" s="62"/>
      <c r="O156" s="63"/>
      <c r="P156" s="63"/>
    </row>
    <row r="157" spans="1:16" ht="24.75" customHeight="1" x14ac:dyDescent="0.25">
      <c r="A157" s="11" t="str">
        <f t="shared" si="4"/>
        <v>VISTOS BUENOS</v>
      </c>
      <c r="B157" s="22">
        <v>7</v>
      </c>
      <c r="C157" s="46">
        <v>108</v>
      </c>
      <c r="D157" s="46">
        <v>149</v>
      </c>
      <c r="E157" s="60" t="s">
        <v>2298</v>
      </c>
      <c r="F157" s="66" t="s">
        <v>2479</v>
      </c>
      <c r="G157" s="46" t="s">
        <v>30</v>
      </c>
      <c r="H157" s="65">
        <v>42655</v>
      </c>
      <c r="I157" s="64">
        <v>42667</v>
      </c>
      <c r="J157" s="46">
        <v>8</v>
      </c>
      <c r="K157" s="36" t="s">
        <v>31</v>
      </c>
      <c r="L157" s="60" t="s">
        <v>32</v>
      </c>
      <c r="M157" s="62"/>
      <c r="N157" s="62"/>
      <c r="O157" s="63"/>
      <c r="P157" s="63"/>
    </row>
    <row r="158" spans="1:16" ht="24.75" customHeight="1" x14ac:dyDescent="0.25">
      <c r="A158" s="11" t="str">
        <f t="shared" si="4"/>
        <v>VISTOS BUENOS</v>
      </c>
      <c r="B158" s="22">
        <v>7</v>
      </c>
      <c r="C158" s="46">
        <v>108</v>
      </c>
      <c r="D158" s="46">
        <v>150</v>
      </c>
      <c r="E158" s="60" t="s">
        <v>2299</v>
      </c>
      <c r="F158" s="66" t="s">
        <v>2480</v>
      </c>
      <c r="G158" s="46" t="s">
        <v>30</v>
      </c>
      <c r="H158" s="65">
        <v>42656</v>
      </c>
      <c r="I158" s="64">
        <v>42656</v>
      </c>
      <c r="J158" s="46">
        <v>69</v>
      </c>
      <c r="K158" s="36" t="s">
        <v>31</v>
      </c>
      <c r="L158" s="60" t="s">
        <v>32</v>
      </c>
      <c r="M158" s="62"/>
      <c r="N158" s="62"/>
      <c r="O158" s="63"/>
      <c r="P158" s="63"/>
    </row>
    <row r="159" spans="1:16" ht="24.75" customHeight="1" x14ac:dyDescent="0.25">
      <c r="A159" s="11" t="str">
        <f t="shared" si="4"/>
        <v>VISTOS BUENOS</v>
      </c>
      <c r="B159" s="22">
        <v>7</v>
      </c>
      <c r="C159" s="46">
        <v>109</v>
      </c>
      <c r="D159" s="46">
        <v>151</v>
      </c>
      <c r="E159" s="60" t="s">
        <v>2300</v>
      </c>
      <c r="F159" s="66" t="s">
        <v>2481</v>
      </c>
      <c r="G159" s="46" t="s">
        <v>30</v>
      </c>
      <c r="H159" s="65">
        <v>42657</v>
      </c>
      <c r="I159" s="64">
        <v>42667</v>
      </c>
      <c r="J159" s="46">
        <v>24</v>
      </c>
      <c r="K159" s="36" t="s">
        <v>31</v>
      </c>
      <c r="L159" s="60" t="s">
        <v>32</v>
      </c>
      <c r="M159" s="62"/>
      <c r="N159" s="62"/>
      <c r="O159" s="63"/>
      <c r="P159" s="63"/>
    </row>
    <row r="160" spans="1:16" ht="24.75" customHeight="1" x14ac:dyDescent="0.25">
      <c r="A160" s="11" t="str">
        <f t="shared" si="4"/>
        <v>VISTOS BUENOS</v>
      </c>
      <c r="B160" s="22">
        <v>8</v>
      </c>
      <c r="C160" s="46">
        <v>109</v>
      </c>
      <c r="D160" s="46">
        <v>152</v>
      </c>
      <c r="E160" s="60" t="s">
        <v>2301</v>
      </c>
      <c r="F160" s="66" t="s">
        <v>2482</v>
      </c>
      <c r="G160" s="46" t="s">
        <v>30</v>
      </c>
      <c r="H160" s="65">
        <v>42660</v>
      </c>
      <c r="I160" s="64">
        <v>42681</v>
      </c>
      <c r="J160" s="46">
        <v>69</v>
      </c>
      <c r="K160" s="36" t="s">
        <v>31</v>
      </c>
      <c r="L160" s="60" t="s">
        <v>32</v>
      </c>
      <c r="M160" s="62"/>
      <c r="N160" s="62"/>
      <c r="O160" s="63"/>
      <c r="P160" s="63"/>
    </row>
    <row r="161" spans="1:16" ht="24.75" customHeight="1" x14ac:dyDescent="0.25">
      <c r="A161" s="11" t="str">
        <f t="shared" si="4"/>
        <v>VISTOS BUENOS</v>
      </c>
      <c r="B161" s="22">
        <v>8</v>
      </c>
      <c r="C161" s="46">
        <v>110</v>
      </c>
      <c r="D161" s="46">
        <v>153</v>
      </c>
      <c r="E161" s="60" t="s">
        <v>2302</v>
      </c>
      <c r="F161" s="66" t="s">
        <v>2483</v>
      </c>
      <c r="G161" s="46" t="s">
        <v>30</v>
      </c>
      <c r="H161" s="65">
        <v>42661</v>
      </c>
      <c r="I161" s="64">
        <v>42691</v>
      </c>
      <c r="J161" s="46">
        <v>132</v>
      </c>
      <c r="K161" s="36" t="s">
        <v>31</v>
      </c>
      <c r="L161" s="60" t="s">
        <v>32</v>
      </c>
      <c r="M161" s="62"/>
      <c r="N161" s="62"/>
      <c r="O161" s="63"/>
      <c r="P161" s="63"/>
    </row>
    <row r="162" spans="1:16" ht="24.75" customHeight="1" x14ac:dyDescent="0.25">
      <c r="A162" s="11" t="str">
        <f t="shared" si="4"/>
        <v>VISTOS BUENOS</v>
      </c>
      <c r="B162" s="22">
        <v>8</v>
      </c>
      <c r="C162" s="46">
        <v>111</v>
      </c>
      <c r="D162" s="46">
        <v>154</v>
      </c>
      <c r="E162" s="60" t="s">
        <v>2303</v>
      </c>
      <c r="F162" s="66" t="s">
        <v>2484</v>
      </c>
      <c r="G162" s="46" t="s">
        <v>30</v>
      </c>
      <c r="H162" s="65">
        <v>42661</v>
      </c>
      <c r="I162" s="64">
        <v>42668</v>
      </c>
      <c r="J162" s="46">
        <v>13</v>
      </c>
      <c r="K162" s="36" t="s">
        <v>31</v>
      </c>
      <c r="L162" s="60" t="s">
        <v>32</v>
      </c>
      <c r="M162" s="62"/>
      <c r="N162" s="62"/>
      <c r="O162" s="63"/>
      <c r="P162" s="63"/>
    </row>
    <row r="163" spans="1:16" ht="24.75" customHeight="1" x14ac:dyDescent="0.25">
      <c r="A163" s="11" t="str">
        <f t="shared" si="4"/>
        <v>VISTOS BUENOS</v>
      </c>
      <c r="B163" s="22">
        <v>8</v>
      </c>
      <c r="C163" s="46">
        <v>111</v>
      </c>
      <c r="D163" s="46">
        <v>155</v>
      </c>
      <c r="E163" s="60" t="s">
        <v>2304</v>
      </c>
      <c r="F163" s="66" t="s">
        <v>2485</v>
      </c>
      <c r="G163" s="46" t="s">
        <v>30</v>
      </c>
      <c r="H163" s="65">
        <v>42668</v>
      </c>
      <c r="I163" s="64">
        <v>42697</v>
      </c>
      <c r="J163" s="46">
        <v>37</v>
      </c>
      <c r="K163" s="36" t="s">
        <v>31</v>
      </c>
      <c r="L163" s="60" t="s">
        <v>32</v>
      </c>
      <c r="M163" s="62"/>
      <c r="N163" s="62"/>
      <c r="O163" s="63"/>
      <c r="P163" s="63"/>
    </row>
    <row r="164" spans="1:16" ht="24.75" customHeight="1" x14ac:dyDescent="0.25">
      <c r="A164" s="11" t="str">
        <f t="shared" si="4"/>
        <v>VISTOS BUENOS</v>
      </c>
      <c r="B164" s="22">
        <v>8</v>
      </c>
      <c r="C164" s="46">
        <v>111</v>
      </c>
      <c r="D164" s="46">
        <v>156</v>
      </c>
      <c r="E164" s="60" t="s">
        <v>2305</v>
      </c>
      <c r="F164" s="66" t="s">
        <v>2486</v>
      </c>
      <c r="G164" s="46" t="s">
        <v>30</v>
      </c>
      <c r="H164" s="65">
        <v>42668</v>
      </c>
      <c r="I164" s="64">
        <v>42697</v>
      </c>
      <c r="J164" s="46">
        <v>28</v>
      </c>
      <c r="K164" s="36" t="s">
        <v>31</v>
      </c>
      <c r="L164" s="60" t="s">
        <v>32</v>
      </c>
      <c r="M164" s="62"/>
      <c r="N164" s="62"/>
      <c r="O164" s="63"/>
      <c r="P164" s="63"/>
    </row>
    <row r="165" spans="1:16" ht="24.75" customHeight="1" x14ac:dyDescent="0.25">
      <c r="A165" s="11" t="str">
        <f t="shared" si="4"/>
        <v>VISTOS BUENOS</v>
      </c>
      <c r="B165" s="22">
        <v>8</v>
      </c>
      <c r="C165" s="46">
        <v>112</v>
      </c>
      <c r="D165" s="46">
        <v>157</v>
      </c>
      <c r="E165" s="60" t="s">
        <v>2306</v>
      </c>
      <c r="F165" s="66" t="s">
        <v>2487</v>
      </c>
      <c r="G165" s="46" t="s">
        <v>30</v>
      </c>
      <c r="H165" s="65">
        <v>42675</v>
      </c>
      <c r="I165" s="64">
        <v>42704</v>
      </c>
      <c r="J165" s="46">
        <v>82</v>
      </c>
      <c r="K165" s="36" t="s">
        <v>31</v>
      </c>
      <c r="L165" s="60" t="s">
        <v>32</v>
      </c>
      <c r="M165" s="62"/>
      <c r="N165" s="62"/>
      <c r="O165" s="63"/>
      <c r="P165" s="63"/>
    </row>
    <row r="166" spans="1:16" ht="24.75" customHeight="1" x14ac:dyDescent="0.25">
      <c r="A166" s="11" t="str">
        <f t="shared" si="4"/>
        <v>VISTOS BUENOS</v>
      </c>
      <c r="B166" s="22">
        <v>8</v>
      </c>
      <c r="C166" s="46">
        <v>112</v>
      </c>
      <c r="D166" s="46">
        <v>158</v>
      </c>
      <c r="E166" s="60" t="s">
        <v>2307</v>
      </c>
      <c r="F166" s="66" t="s">
        <v>2488</v>
      </c>
      <c r="G166" s="46" t="s">
        <v>30</v>
      </c>
      <c r="H166" s="65">
        <v>42675</v>
      </c>
      <c r="I166" s="64">
        <v>42703</v>
      </c>
      <c r="J166" s="46">
        <v>33</v>
      </c>
      <c r="K166" s="36" t="s">
        <v>31</v>
      </c>
      <c r="L166" s="60" t="s">
        <v>32</v>
      </c>
      <c r="M166" s="62"/>
      <c r="N166" s="62"/>
      <c r="O166" s="63"/>
      <c r="P166" s="63"/>
    </row>
    <row r="167" spans="1:16" ht="24.75" customHeight="1" x14ac:dyDescent="0.25">
      <c r="A167" s="11" t="str">
        <f t="shared" si="4"/>
        <v>VISTOS BUENOS</v>
      </c>
      <c r="B167" s="22">
        <v>8</v>
      </c>
      <c r="C167" s="46">
        <v>113</v>
      </c>
      <c r="D167" s="46">
        <v>159</v>
      </c>
      <c r="E167" s="60" t="s">
        <v>2308</v>
      </c>
      <c r="F167" s="66" t="s">
        <v>2489</v>
      </c>
      <c r="G167" s="46" t="s">
        <v>30</v>
      </c>
      <c r="H167" s="65">
        <v>42675</v>
      </c>
      <c r="I167" s="64">
        <v>42703</v>
      </c>
      <c r="J167" s="46">
        <v>20</v>
      </c>
      <c r="K167" s="36" t="s">
        <v>31</v>
      </c>
      <c r="L167" s="60" t="s">
        <v>32</v>
      </c>
      <c r="M167" s="62"/>
      <c r="N167" s="62"/>
      <c r="O167" s="63"/>
      <c r="P167" s="63"/>
    </row>
    <row r="168" spans="1:16" ht="24.75" customHeight="1" x14ac:dyDescent="0.25">
      <c r="A168" s="11" t="str">
        <f t="shared" si="4"/>
        <v>VISTOS BUENOS</v>
      </c>
      <c r="B168" s="22">
        <v>8</v>
      </c>
      <c r="C168" s="46">
        <v>113</v>
      </c>
      <c r="D168" s="46">
        <v>160</v>
      </c>
      <c r="E168" s="60" t="s">
        <v>2309</v>
      </c>
      <c r="F168" s="66" t="s">
        <v>2490</v>
      </c>
      <c r="G168" s="46" t="s">
        <v>30</v>
      </c>
      <c r="H168" s="65">
        <v>42675</v>
      </c>
      <c r="I168" s="64">
        <v>42698</v>
      </c>
      <c r="J168" s="46">
        <v>20</v>
      </c>
      <c r="K168" s="36" t="s">
        <v>31</v>
      </c>
      <c r="L168" s="60" t="s">
        <v>32</v>
      </c>
      <c r="M168" s="62"/>
      <c r="N168" s="62"/>
      <c r="O168" s="63"/>
      <c r="P168" s="63"/>
    </row>
    <row r="169" spans="1:16" ht="24.75" customHeight="1" x14ac:dyDescent="0.25">
      <c r="A169" s="11" t="str">
        <f t="shared" si="4"/>
        <v>VISTOS BUENOS</v>
      </c>
      <c r="B169" s="22">
        <v>8</v>
      </c>
      <c r="C169" s="46">
        <v>113</v>
      </c>
      <c r="D169" s="46">
        <v>161</v>
      </c>
      <c r="E169" s="60" t="s">
        <v>2310</v>
      </c>
      <c r="F169" s="66" t="s">
        <v>2491</v>
      </c>
      <c r="G169" s="46" t="s">
        <v>30</v>
      </c>
      <c r="H169" s="65">
        <v>42682</v>
      </c>
      <c r="I169" s="64">
        <v>42683</v>
      </c>
      <c r="J169" s="46">
        <v>17</v>
      </c>
      <c r="K169" s="36" t="s">
        <v>31</v>
      </c>
      <c r="L169" s="60" t="s">
        <v>32</v>
      </c>
      <c r="M169" s="62"/>
      <c r="N169" s="62"/>
      <c r="O169" s="63"/>
      <c r="P169" s="63"/>
    </row>
    <row r="170" spans="1:16" ht="24.75" customHeight="1" x14ac:dyDescent="0.25">
      <c r="A170" s="11" t="str">
        <f t="shared" ref="A170:A183" si="5">A169</f>
        <v>VISTOS BUENOS</v>
      </c>
      <c r="B170" s="22">
        <v>8</v>
      </c>
      <c r="C170" s="46">
        <v>113</v>
      </c>
      <c r="D170" s="46">
        <v>162</v>
      </c>
      <c r="E170" s="60" t="s">
        <v>2311</v>
      </c>
      <c r="F170" s="66" t="s">
        <v>2492</v>
      </c>
      <c r="G170" s="46" t="s">
        <v>30</v>
      </c>
      <c r="H170" s="65">
        <v>42682</v>
      </c>
      <c r="I170" s="64">
        <v>42688</v>
      </c>
      <c r="J170" s="46">
        <v>16</v>
      </c>
      <c r="K170" s="36" t="s">
        <v>31</v>
      </c>
      <c r="L170" s="60" t="s">
        <v>32</v>
      </c>
      <c r="M170" s="62"/>
      <c r="N170" s="62"/>
      <c r="O170" s="63"/>
      <c r="P170" s="63"/>
    </row>
    <row r="171" spans="1:16" ht="24.75" customHeight="1" x14ac:dyDescent="0.25">
      <c r="A171" s="11" t="str">
        <f t="shared" si="5"/>
        <v>VISTOS BUENOS</v>
      </c>
      <c r="B171" s="22">
        <v>8</v>
      </c>
      <c r="C171" s="46">
        <v>113</v>
      </c>
      <c r="D171" s="46">
        <v>163</v>
      </c>
      <c r="E171" s="60" t="s">
        <v>2312</v>
      </c>
      <c r="F171" s="66" t="s">
        <v>2493</v>
      </c>
      <c r="G171" s="46" t="s">
        <v>30</v>
      </c>
      <c r="H171" s="65">
        <v>42683</v>
      </c>
      <c r="I171" s="64">
        <v>42710</v>
      </c>
      <c r="J171" s="46">
        <v>46</v>
      </c>
      <c r="K171" s="36" t="s">
        <v>31</v>
      </c>
      <c r="L171" s="60" t="s">
        <v>32</v>
      </c>
      <c r="M171" s="62"/>
      <c r="N171" s="62"/>
      <c r="O171" s="63"/>
      <c r="P171" s="63"/>
    </row>
    <row r="172" spans="1:16" ht="24.75" customHeight="1" x14ac:dyDescent="0.25">
      <c r="A172" s="11" t="str">
        <f t="shared" si="5"/>
        <v>VISTOS BUENOS</v>
      </c>
      <c r="B172" s="22">
        <v>8</v>
      </c>
      <c r="C172" s="46">
        <v>114</v>
      </c>
      <c r="D172" s="46">
        <v>164</v>
      </c>
      <c r="E172" s="60" t="s">
        <v>2313</v>
      </c>
      <c r="F172" s="66" t="s">
        <v>2494</v>
      </c>
      <c r="G172" s="46" t="s">
        <v>30</v>
      </c>
      <c r="H172" s="65">
        <v>42688</v>
      </c>
      <c r="I172" s="64">
        <v>42732</v>
      </c>
      <c r="J172" s="46">
        <v>59</v>
      </c>
      <c r="K172" s="36" t="s">
        <v>31</v>
      </c>
      <c r="L172" s="60" t="s">
        <v>32</v>
      </c>
      <c r="M172" s="62"/>
      <c r="N172" s="62"/>
      <c r="O172" s="63"/>
      <c r="P172" s="63"/>
    </row>
    <row r="173" spans="1:16" ht="24.75" customHeight="1" x14ac:dyDescent="0.25">
      <c r="A173" s="11" t="str">
        <f t="shared" si="5"/>
        <v>VISTOS BUENOS</v>
      </c>
      <c r="B173" s="22">
        <v>8</v>
      </c>
      <c r="C173" s="46" t="s">
        <v>2822</v>
      </c>
      <c r="D173" s="46">
        <v>165</v>
      </c>
      <c r="E173" s="60" t="s">
        <v>2314</v>
      </c>
      <c r="F173" s="66" t="s">
        <v>2495</v>
      </c>
      <c r="G173" s="46" t="s">
        <v>30</v>
      </c>
      <c r="H173" s="65">
        <v>42691</v>
      </c>
      <c r="I173" s="64">
        <v>42718</v>
      </c>
      <c r="J173" s="46">
        <v>469</v>
      </c>
      <c r="K173" s="36" t="s">
        <v>31</v>
      </c>
      <c r="L173" s="60" t="s">
        <v>32</v>
      </c>
      <c r="M173" s="62"/>
      <c r="N173" s="62"/>
      <c r="O173" s="63"/>
      <c r="P173" s="63"/>
    </row>
    <row r="174" spans="1:16" ht="24.75" customHeight="1" x14ac:dyDescent="0.25">
      <c r="A174" s="11" t="str">
        <f t="shared" si="5"/>
        <v>VISTOS BUENOS</v>
      </c>
      <c r="B174" s="22">
        <v>8</v>
      </c>
      <c r="C174" s="46">
        <v>119</v>
      </c>
      <c r="D174" s="46">
        <v>166</v>
      </c>
      <c r="E174" s="60" t="s">
        <v>2315</v>
      </c>
      <c r="F174" s="66" t="s">
        <v>2496</v>
      </c>
      <c r="G174" s="46" t="s">
        <v>30</v>
      </c>
      <c r="H174" s="65">
        <v>42691</v>
      </c>
      <c r="I174" s="64">
        <v>42709</v>
      </c>
      <c r="J174" s="46">
        <v>46</v>
      </c>
      <c r="K174" s="36" t="s">
        <v>31</v>
      </c>
      <c r="L174" s="60" t="s">
        <v>32</v>
      </c>
      <c r="M174" s="62"/>
      <c r="N174" s="62"/>
      <c r="O174" s="63"/>
      <c r="P174" s="63"/>
    </row>
    <row r="175" spans="1:16" ht="24.75" customHeight="1" x14ac:dyDescent="0.25">
      <c r="A175" s="11" t="str">
        <f t="shared" si="5"/>
        <v>VISTOS BUENOS</v>
      </c>
      <c r="B175" s="22">
        <v>8</v>
      </c>
      <c r="C175" s="46">
        <v>119</v>
      </c>
      <c r="D175" s="46">
        <v>167</v>
      </c>
      <c r="E175" s="60" t="s">
        <v>2310</v>
      </c>
      <c r="F175" s="66" t="s">
        <v>2497</v>
      </c>
      <c r="G175" s="46" t="s">
        <v>30</v>
      </c>
      <c r="H175" s="65">
        <v>42696</v>
      </c>
      <c r="I175" s="64">
        <v>42703</v>
      </c>
      <c r="J175" s="46">
        <v>19</v>
      </c>
      <c r="K175" s="36" t="s">
        <v>31</v>
      </c>
      <c r="L175" s="60" t="s">
        <v>32</v>
      </c>
      <c r="M175" s="62"/>
      <c r="N175" s="62"/>
      <c r="O175" s="63"/>
      <c r="P175" s="63"/>
    </row>
    <row r="176" spans="1:16" ht="24.75" customHeight="1" x14ac:dyDescent="0.25">
      <c r="A176" s="11" t="str">
        <f t="shared" si="5"/>
        <v>VISTOS BUENOS</v>
      </c>
      <c r="B176" s="22">
        <v>8</v>
      </c>
      <c r="C176" s="46">
        <v>119</v>
      </c>
      <c r="D176" s="46">
        <v>168</v>
      </c>
      <c r="E176" s="60" t="s">
        <v>2311</v>
      </c>
      <c r="F176" s="66" t="s">
        <v>2498</v>
      </c>
      <c r="G176" s="46" t="s">
        <v>30</v>
      </c>
      <c r="H176" s="65">
        <v>42696</v>
      </c>
      <c r="I176" s="64">
        <v>42703</v>
      </c>
      <c r="J176" s="46">
        <v>15</v>
      </c>
      <c r="K176" s="36" t="s">
        <v>31</v>
      </c>
      <c r="L176" s="60" t="s">
        <v>32</v>
      </c>
      <c r="M176" s="62"/>
      <c r="N176" s="62"/>
      <c r="O176" s="63"/>
      <c r="P176" s="63"/>
    </row>
    <row r="177" spans="1:16" ht="24.75" customHeight="1" x14ac:dyDescent="0.25">
      <c r="A177" s="11" t="str">
        <f t="shared" si="5"/>
        <v>VISTOS BUENOS</v>
      </c>
      <c r="B177" s="22">
        <v>8</v>
      </c>
      <c r="C177" s="46">
        <v>119</v>
      </c>
      <c r="D177" s="37">
        <v>169</v>
      </c>
      <c r="E177" s="70" t="s">
        <v>2316</v>
      </c>
      <c r="F177" s="71" t="s">
        <v>2499</v>
      </c>
      <c r="G177" s="46" t="s">
        <v>30</v>
      </c>
      <c r="H177" s="65">
        <v>42698</v>
      </c>
      <c r="I177" s="64">
        <v>42719</v>
      </c>
      <c r="J177" s="46">
        <v>57</v>
      </c>
      <c r="K177" s="36" t="s">
        <v>31</v>
      </c>
      <c r="L177" s="60" t="s">
        <v>32</v>
      </c>
      <c r="M177" s="62"/>
      <c r="N177" s="62"/>
      <c r="O177" s="63"/>
      <c r="P177" s="63"/>
    </row>
    <row r="178" spans="1:16" ht="24.75" customHeight="1" x14ac:dyDescent="0.25">
      <c r="A178" s="11" t="str">
        <f t="shared" si="5"/>
        <v>VISTOS BUENOS</v>
      </c>
      <c r="B178" s="22">
        <v>8</v>
      </c>
      <c r="C178" s="46">
        <v>120</v>
      </c>
      <c r="D178" s="46">
        <v>170</v>
      </c>
      <c r="E178" s="60" t="s">
        <v>2317</v>
      </c>
      <c r="F178" s="66" t="s">
        <v>2500</v>
      </c>
      <c r="G178" s="46" t="s">
        <v>30</v>
      </c>
      <c r="H178" s="65">
        <v>42703</v>
      </c>
      <c r="I178" s="64">
        <v>42706</v>
      </c>
      <c r="J178" s="46">
        <v>117</v>
      </c>
      <c r="K178" s="36" t="s">
        <v>31</v>
      </c>
      <c r="L178" s="60" t="s">
        <v>32</v>
      </c>
      <c r="M178" s="62"/>
      <c r="N178" s="62"/>
      <c r="O178" s="63"/>
      <c r="P178" s="63"/>
    </row>
    <row r="179" spans="1:16" ht="24.75" customHeight="1" x14ac:dyDescent="0.25">
      <c r="A179" s="11" t="str">
        <f t="shared" si="5"/>
        <v>VISTOS BUENOS</v>
      </c>
      <c r="B179" s="22">
        <v>8</v>
      </c>
      <c r="C179" s="46">
        <v>121</v>
      </c>
      <c r="D179" s="46">
        <v>171</v>
      </c>
      <c r="E179" s="60" t="s">
        <v>2310</v>
      </c>
      <c r="F179" s="66" t="s">
        <v>2501</v>
      </c>
      <c r="G179" s="46" t="s">
        <v>30</v>
      </c>
      <c r="H179" s="65">
        <v>42703</v>
      </c>
      <c r="I179" s="64">
        <v>42706</v>
      </c>
      <c r="J179" s="46">
        <v>124</v>
      </c>
      <c r="K179" s="36" t="s">
        <v>31</v>
      </c>
      <c r="L179" s="60" t="s">
        <v>32</v>
      </c>
      <c r="M179" s="62"/>
      <c r="N179" s="62"/>
      <c r="O179" s="63"/>
      <c r="P179" s="63"/>
    </row>
    <row r="180" spans="1:16" ht="24.75" customHeight="1" x14ac:dyDescent="0.25">
      <c r="A180" s="11" t="str">
        <f t="shared" si="5"/>
        <v>VISTOS BUENOS</v>
      </c>
      <c r="B180" s="22">
        <v>9</v>
      </c>
      <c r="C180" s="46">
        <v>122</v>
      </c>
      <c r="D180" s="46">
        <v>172</v>
      </c>
      <c r="E180" s="60" t="s">
        <v>2318</v>
      </c>
      <c r="F180" s="66" t="s">
        <v>2502</v>
      </c>
      <c r="G180" s="46" t="s">
        <v>30</v>
      </c>
      <c r="H180" s="65">
        <v>42710</v>
      </c>
      <c r="I180" s="64">
        <v>42719</v>
      </c>
      <c r="J180" s="46">
        <v>61</v>
      </c>
      <c r="K180" s="36" t="s">
        <v>31</v>
      </c>
      <c r="L180" s="60" t="s">
        <v>32</v>
      </c>
      <c r="M180" s="62"/>
      <c r="N180" s="62"/>
      <c r="O180" s="63"/>
      <c r="P180" s="63"/>
    </row>
    <row r="181" spans="1:16" ht="24.75" customHeight="1" x14ac:dyDescent="0.25">
      <c r="A181" s="11" t="str">
        <f t="shared" si="5"/>
        <v>VISTOS BUENOS</v>
      </c>
      <c r="B181" s="22">
        <v>9</v>
      </c>
      <c r="C181" s="46">
        <v>122</v>
      </c>
      <c r="D181" s="46">
        <v>173</v>
      </c>
      <c r="E181" s="60" t="s">
        <v>2319</v>
      </c>
      <c r="F181" s="66" t="s">
        <v>2503</v>
      </c>
      <c r="G181" s="46" t="s">
        <v>30</v>
      </c>
      <c r="H181" s="65">
        <v>42711</v>
      </c>
      <c r="I181" s="64">
        <v>42717</v>
      </c>
      <c r="J181" s="46">
        <v>18</v>
      </c>
      <c r="K181" s="36" t="s">
        <v>31</v>
      </c>
      <c r="L181" s="60" t="s">
        <v>32</v>
      </c>
      <c r="M181" s="62"/>
      <c r="N181" s="62"/>
      <c r="O181" s="63"/>
      <c r="P181" s="63"/>
    </row>
    <row r="182" spans="1:16" ht="24.75" customHeight="1" x14ac:dyDescent="0.25">
      <c r="A182" s="11" t="str">
        <f t="shared" si="5"/>
        <v>VISTOS BUENOS</v>
      </c>
      <c r="B182" s="22">
        <v>9</v>
      </c>
      <c r="C182" s="46">
        <v>122</v>
      </c>
      <c r="D182" s="46">
        <v>174</v>
      </c>
      <c r="E182" s="60" t="s">
        <v>2320</v>
      </c>
      <c r="F182" s="66" t="s">
        <v>2504</v>
      </c>
      <c r="G182" s="46" t="s">
        <v>30</v>
      </c>
      <c r="H182" s="65">
        <v>42716</v>
      </c>
      <c r="I182" s="64">
        <v>42720</v>
      </c>
      <c r="J182" s="46">
        <v>18</v>
      </c>
      <c r="K182" s="36" t="s">
        <v>31</v>
      </c>
      <c r="L182" s="60" t="s">
        <v>32</v>
      </c>
      <c r="M182" s="62"/>
      <c r="N182" s="62"/>
      <c r="O182" s="63"/>
      <c r="P182" s="63"/>
    </row>
    <row r="183" spans="1:16" ht="24.75" customHeight="1" x14ac:dyDescent="0.25">
      <c r="A183" s="11" t="str">
        <f t="shared" si="5"/>
        <v>VISTOS BUENOS</v>
      </c>
      <c r="B183" s="22">
        <v>9</v>
      </c>
      <c r="C183" s="46">
        <v>122</v>
      </c>
      <c r="D183" s="46">
        <v>175</v>
      </c>
      <c r="E183" s="60" t="s">
        <v>2321</v>
      </c>
      <c r="F183" s="66" t="s">
        <v>2505</v>
      </c>
      <c r="G183" s="46" t="s">
        <v>30</v>
      </c>
      <c r="H183" s="65">
        <v>42717</v>
      </c>
      <c r="I183" s="64">
        <v>42725</v>
      </c>
      <c r="J183" s="46">
        <v>15</v>
      </c>
      <c r="K183" s="36" t="s">
        <v>31</v>
      </c>
      <c r="L183" s="60" t="s">
        <v>32</v>
      </c>
      <c r="M183" s="62"/>
      <c r="N183" s="62"/>
      <c r="O183" s="63"/>
      <c r="P183" s="63"/>
    </row>
    <row r="184" spans="1:16" ht="24.75" customHeight="1" x14ac:dyDescent="0.25">
      <c r="A184" s="11" t="str">
        <f>'2017'!A88</f>
        <v>VISTOS BUENOS</v>
      </c>
      <c r="B184" s="22">
        <v>9</v>
      </c>
      <c r="C184" s="46">
        <v>123</v>
      </c>
      <c r="D184" s="46">
        <v>716</v>
      </c>
      <c r="E184" s="60" t="s">
        <v>2326</v>
      </c>
      <c r="F184" s="66" t="s">
        <v>2511</v>
      </c>
      <c r="G184" s="46" t="s">
        <v>30</v>
      </c>
      <c r="H184" s="65">
        <v>42725</v>
      </c>
      <c r="I184" s="64">
        <v>42734</v>
      </c>
      <c r="J184" s="46">
        <v>72</v>
      </c>
      <c r="K184" s="36" t="s">
        <v>31</v>
      </c>
      <c r="L184" s="60" t="s">
        <v>32</v>
      </c>
      <c r="M184" s="62"/>
      <c r="N184" s="62"/>
      <c r="O184" s="63"/>
      <c r="P184" s="63"/>
    </row>
    <row r="185" spans="1:16" ht="24.75" customHeight="1" x14ac:dyDescent="0.25">
      <c r="A185" s="11" t="str">
        <f>'2017'!A91</f>
        <v>VISTOS BUENOS</v>
      </c>
      <c r="B185" s="22">
        <v>9</v>
      </c>
      <c r="C185" s="46">
        <v>124</v>
      </c>
      <c r="D185" s="46">
        <v>177</v>
      </c>
      <c r="E185" s="60" t="s">
        <v>1983</v>
      </c>
      <c r="F185" s="66" t="s">
        <v>2143</v>
      </c>
      <c r="G185" s="46" t="s">
        <v>30</v>
      </c>
      <c r="H185" s="65">
        <v>42369</v>
      </c>
      <c r="I185" s="64">
        <v>42373</v>
      </c>
      <c r="J185" s="46">
        <v>46</v>
      </c>
      <c r="K185" s="36" t="s">
        <v>31</v>
      </c>
      <c r="L185" s="60" t="s">
        <v>32</v>
      </c>
      <c r="M185" s="62"/>
      <c r="N185" s="62"/>
      <c r="O185" s="63"/>
      <c r="P185" s="63"/>
    </row>
    <row r="186" spans="1:16" ht="20.25" x14ac:dyDescent="0.25">
      <c r="A186" s="11" t="str">
        <f>A185</f>
        <v>VISTOS BUENOS</v>
      </c>
      <c r="B186" s="22">
        <v>9</v>
      </c>
      <c r="C186" s="46" t="s">
        <v>2823</v>
      </c>
      <c r="D186" s="46">
        <v>178</v>
      </c>
      <c r="E186" s="60" t="s">
        <v>2330</v>
      </c>
      <c r="F186" s="66">
        <v>250993</v>
      </c>
      <c r="G186" s="46" t="s">
        <v>30</v>
      </c>
      <c r="H186" s="65">
        <v>42613</v>
      </c>
      <c r="I186" s="64">
        <v>42639</v>
      </c>
      <c r="J186" s="46">
        <v>77</v>
      </c>
      <c r="K186" s="36" t="s">
        <v>31</v>
      </c>
      <c r="L186" s="60" t="s">
        <v>32</v>
      </c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opLeftCell="A84" zoomScale="145" zoomScaleNormal="145" workbookViewId="0">
      <selection activeCell="D89" sqref="D89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69">
        <v>1</v>
      </c>
      <c r="C9" s="75" t="s">
        <v>2587</v>
      </c>
      <c r="D9" s="37">
        <v>1</v>
      </c>
      <c r="E9" s="70" t="s">
        <v>2516</v>
      </c>
      <c r="F9" s="71">
        <v>254933</v>
      </c>
      <c r="G9" s="37" t="s">
        <v>30</v>
      </c>
      <c r="H9" s="72">
        <v>42738</v>
      </c>
      <c r="I9" s="73">
        <v>42756</v>
      </c>
      <c r="J9" s="37">
        <v>282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1" t="str">
        <f t="shared" ref="A10:A41" si="0">A9</f>
        <v>VISTOS BUENOS</v>
      </c>
      <c r="B10" s="69">
        <v>1</v>
      </c>
      <c r="C10" s="37">
        <v>4</v>
      </c>
      <c r="D10" s="37">
        <v>2</v>
      </c>
      <c r="E10" s="70" t="s">
        <v>2517</v>
      </c>
      <c r="F10" s="71">
        <v>255084</v>
      </c>
      <c r="G10" s="37" t="s">
        <v>30</v>
      </c>
      <c r="H10" s="72">
        <v>42741</v>
      </c>
      <c r="I10" s="73">
        <v>42762</v>
      </c>
      <c r="J10" s="37">
        <v>42</v>
      </c>
      <c r="K10" s="36" t="s">
        <v>31</v>
      </c>
      <c r="L10" s="60" t="s">
        <v>32</v>
      </c>
      <c r="M10" s="62"/>
      <c r="N10" s="62"/>
      <c r="O10" s="63"/>
      <c r="P10" s="63"/>
    </row>
    <row r="11" spans="1:16" ht="24.75" customHeight="1" x14ac:dyDescent="0.25">
      <c r="A11" s="11" t="str">
        <f t="shared" si="0"/>
        <v>VISTOS BUENOS</v>
      </c>
      <c r="B11" s="69">
        <v>1</v>
      </c>
      <c r="C11" s="37">
        <v>5</v>
      </c>
      <c r="D11" s="37">
        <v>3</v>
      </c>
      <c r="E11" s="70" t="s">
        <v>2518</v>
      </c>
      <c r="F11" s="71">
        <v>255096</v>
      </c>
      <c r="G11" s="37" t="s">
        <v>30</v>
      </c>
      <c r="H11" s="72">
        <v>42741</v>
      </c>
      <c r="I11" s="73">
        <v>42773</v>
      </c>
      <c r="J11" s="37">
        <v>90</v>
      </c>
      <c r="K11" s="36" t="s">
        <v>31</v>
      </c>
      <c r="L11" s="60" t="s">
        <v>32</v>
      </c>
      <c r="M11" s="62"/>
      <c r="N11" s="62"/>
      <c r="O11" s="63"/>
      <c r="P11" s="63"/>
    </row>
    <row r="12" spans="1:16" ht="24.75" customHeight="1" x14ac:dyDescent="0.25">
      <c r="A12" s="11" t="str">
        <f t="shared" si="0"/>
        <v>VISTOS BUENOS</v>
      </c>
      <c r="B12" s="69">
        <v>1</v>
      </c>
      <c r="C12" s="37">
        <v>6</v>
      </c>
      <c r="D12" s="37">
        <v>4</v>
      </c>
      <c r="E12" s="70" t="s">
        <v>2519</v>
      </c>
      <c r="F12" s="71">
        <v>255098</v>
      </c>
      <c r="G12" s="37" t="s">
        <v>30</v>
      </c>
      <c r="H12" s="72">
        <v>42741</v>
      </c>
      <c r="I12" s="73">
        <v>42751</v>
      </c>
      <c r="J12" s="37">
        <v>85</v>
      </c>
      <c r="K12" s="36" t="s">
        <v>31</v>
      </c>
      <c r="L12" s="60" t="s">
        <v>32</v>
      </c>
      <c r="M12" s="62"/>
      <c r="N12" s="62"/>
      <c r="O12" s="63"/>
      <c r="P12" s="63"/>
    </row>
    <row r="13" spans="1:16" ht="24.75" customHeight="1" x14ac:dyDescent="0.25">
      <c r="A13" s="11" t="str">
        <f t="shared" si="0"/>
        <v>VISTOS BUENOS</v>
      </c>
      <c r="B13" s="69">
        <v>1</v>
      </c>
      <c r="C13" s="74" t="s">
        <v>2145</v>
      </c>
      <c r="D13" s="37">
        <v>5</v>
      </c>
      <c r="E13" s="70" t="s">
        <v>2520</v>
      </c>
      <c r="F13" s="71">
        <v>255173</v>
      </c>
      <c r="G13" s="37" t="s">
        <v>30</v>
      </c>
      <c r="H13" s="72">
        <v>42745</v>
      </c>
      <c r="I13" s="73">
        <v>42772</v>
      </c>
      <c r="J13" s="37">
        <v>247</v>
      </c>
      <c r="K13" s="36" t="s">
        <v>31</v>
      </c>
      <c r="L13" s="60" t="s">
        <v>32</v>
      </c>
      <c r="M13" s="62"/>
      <c r="N13" s="62"/>
      <c r="O13" s="63"/>
      <c r="P13" s="63"/>
    </row>
    <row r="14" spans="1:16" ht="24.75" customHeight="1" x14ac:dyDescent="0.25">
      <c r="A14" s="11" t="str">
        <f t="shared" si="0"/>
        <v>VISTOS BUENOS</v>
      </c>
      <c r="B14" s="69">
        <v>1</v>
      </c>
      <c r="C14" s="37">
        <v>9</v>
      </c>
      <c r="D14" s="37">
        <v>6</v>
      </c>
      <c r="E14" s="70" t="s">
        <v>2521</v>
      </c>
      <c r="F14" s="71">
        <v>255271</v>
      </c>
      <c r="G14" s="37" t="s">
        <v>30</v>
      </c>
      <c r="H14" s="72">
        <v>42748</v>
      </c>
      <c r="I14" s="73">
        <v>42761</v>
      </c>
      <c r="J14" s="37">
        <v>110</v>
      </c>
      <c r="K14" s="36" t="s">
        <v>31</v>
      </c>
      <c r="L14" s="60" t="s">
        <v>32</v>
      </c>
      <c r="M14" s="62"/>
      <c r="N14" s="62"/>
      <c r="O14" s="63"/>
      <c r="P14" s="63"/>
    </row>
    <row r="15" spans="1:16" ht="24.75" customHeight="1" x14ac:dyDescent="0.25">
      <c r="A15" s="11" t="str">
        <f t="shared" si="0"/>
        <v>VISTOS BUENOS</v>
      </c>
      <c r="B15" s="69">
        <v>1</v>
      </c>
      <c r="C15" s="75" t="s">
        <v>2588</v>
      </c>
      <c r="D15" s="37">
        <v>7</v>
      </c>
      <c r="E15" s="70" t="s">
        <v>2522</v>
      </c>
      <c r="F15" s="71">
        <v>255309</v>
      </c>
      <c r="G15" s="37" t="s">
        <v>30</v>
      </c>
      <c r="H15" s="72">
        <v>42748</v>
      </c>
      <c r="I15" s="73">
        <v>42772</v>
      </c>
      <c r="J15" s="37">
        <v>294</v>
      </c>
      <c r="K15" s="36" t="s">
        <v>31</v>
      </c>
      <c r="L15" s="60" t="s">
        <v>32</v>
      </c>
      <c r="M15" s="62"/>
      <c r="N15" s="62"/>
      <c r="O15" s="63"/>
      <c r="P15" s="63"/>
    </row>
    <row r="16" spans="1:16" ht="24.75" customHeight="1" x14ac:dyDescent="0.25">
      <c r="A16" s="11" t="str">
        <f t="shared" si="0"/>
        <v>VISTOS BUENOS</v>
      </c>
      <c r="B16" s="69">
        <v>1</v>
      </c>
      <c r="C16" s="37">
        <v>13</v>
      </c>
      <c r="D16" s="37">
        <v>8</v>
      </c>
      <c r="E16" s="70" t="s">
        <v>2523</v>
      </c>
      <c r="F16" s="71">
        <v>255484</v>
      </c>
      <c r="G16" s="37" t="s">
        <v>30</v>
      </c>
      <c r="H16" s="72">
        <v>42754</v>
      </c>
      <c r="I16" s="73">
        <v>42773</v>
      </c>
      <c r="J16" s="37">
        <v>25</v>
      </c>
      <c r="K16" s="36" t="s">
        <v>31</v>
      </c>
      <c r="L16" s="60" t="s">
        <v>32</v>
      </c>
      <c r="M16" s="62"/>
      <c r="N16" s="62"/>
      <c r="O16" s="63"/>
      <c r="P16" s="63"/>
    </row>
    <row r="17" spans="1:16" ht="24.75" customHeight="1" x14ac:dyDescent="0.25">
      <c r="A17" s="11" t="str">
        <f t="shared" si="0"/>
        <v>VISTOS BUENOS</v>
      </c>
      <c r="B17" s="69">
        <v>1</v>
      </c>
      <c r="C17" s="37">
        <v>13</v>
      </c>
      <c r="D17" s="37">
        <v>9</v>
      </c>
      <c r="E17" s="70" t="s">
        <v>2524</v>
      </c>
      <c r="F17" s="71">
        <v>255565</v>
      </c>
      <c r="G17" s="37" t="s">
        <v>30</v>
      </c>
      <c r="H17" s="72">
        <v>42758</v>
      </c>
      <c r="I17" s="73">
        <v>42780</v>
      </c>
      <c r="J17" s="37">
        <v>12</v>
      </c>
      <c r="K17" s="36" t="s">
        <v>31</v>
      </c>
      <c r="L17" s="60" t="s">
        <v>32</v>
      </c>
      <c r="M17" s="62"/>
      <c r="N17" s="62"/>
      <c r="O17" s="63"/>
      <c r="P17" s="63"/>
    </row>
    <row r="18" spans="1:16" ht="24.75" customHeight="1" x14ac:dyDescent="0.25">
      <c r="A18" s="11" t="str">
        <f t="shared" si="0"/>
        <v>VISTOS BUENOS</v>
      </c>
      <c r="B18" s="69">
        <v>1</v>
      </c>
      <c r="C18" s="37">
        <v>13</v>
      </c>
      <c r="D18" s="37">
        <v>10</v>
      </c>
      <c r="E18" s="70" t="s">
        <v>2525</v>
      </c>
      <c r="F18" s="71">
        <v>255600</v>
      </c>
      <c r="G18" s="37" t="s">
        <v>30</v>
      </c>
      <c r="H18" s="72">
        <v>42759</v>
      </c>
      <c r="I18" s="73">
        <v>42767</v>
      </c>
      <c r="J18" s="37">
        <v>26</v>
      </c>
      <c r="K18" s="36" t="s">
        <v>31</v>
      </c>
      <c r="L18" s="60" t="s">
        <v>32</v>
      </c>
      <c r="M18" s="62"/>
      <c r="N18" s="62"/>
      <c r="O18" s="63"/>
      <c r="P18" s="63"/>
    </row>
    <row r="19" spans="1:16" ht="24.75" customHeight="1" x14ac:dyDescent="0.25">
      <c r="A19" s="11" t="str">
        <f t="shared" si="0"/>
        <v>VISTOS BUENOS</v>
      </c>
      <c r="B19" s="69">
        <v>1</v>
      </c>
      <c r="C19" s="75">
        <v>13</v>
      </c>
      <c r="D19" s="37">
        <v>11</v>
      </c>
      <c r="E19" s="70" t="s">
        <v>2526</v>
      </c>
      <c r="F19" s="71">
        <v>255735</v>
      </c>
      <c r="G19" s="37" t="s">
        <v>30</v>
      </c>
      <c r="H19" s="72">
        <v>42762</v>
      </c>
      <c r="I19" s="73">
        <v>42786</v>
      </c>
      <c r="J19" s="37">
        <v>52</v>
      </c>
      <c r="K19" s="36" t="s">
        <v>31</v>
      </c>
      <c r="L19" s="60" t="s">
        <v>32</v>
      </c>
      <c r="M19" s="62"/>
      <c r="N19" s="62"/>
      <c r="O19" s="63"/>
      <c r="P19" s="63"/>
    </row>
    <row r="20" spans="1:16" ht="24.75" customHeight="1" x14ac:dyDescent="0.25">
      <c r="A20" s="11" t="str">
        <f t="shared" si="0"/>
        <v>VISTOS BUENOS</v>
      </c>
      <c r="B20" s="69">
        <v>1</v>
      </c>
      <c r="C20" s="37">
        <v>14</v>
      </c>
      <c r="D20" s="37">
        <v>12</v>
      </c>
      <c r="E20" s="70" t="s">
        <v>2527</v>
      </c>
      <c r="F20" s="71">
        <v>255747</v>
      </c>
      <c r="G20" s="37" t="s">
        <v>30</v>
      </c>
      <c r="H20" s="72">
        <v>42762</v>
      </c>
      <c r="I20" s="73">
        <v>42768</v>
      </c>
      <c r="J20" s="37">
        <v>22</v>
      </c>
      <c r="K20" s="36" t="s">
        <v>31</v>
      </c>
      <c r="L20" s="60" t="s">
        <v>32</v>
      </c>
      <c r="M20" s="62"/>
      <c r="N20" s="62"/>
      <c r="O20" s="63"/>
      <c r="P20" s="63"/>
    </row>
    <row r="21" spans="1:16" ht="24.75" customHeight="1" x14ac:dyDescent="0.25">
      <c r="A21" s="11" t="str">
        <f t="shared" si="0"/>
        <v>VISTOS BUENOS</v>
      </c>
      <c r="B21" s="69">
        <v>1</v>
      </c>
      <c r="C21" s="37">
        <v>14</v>
      </c>
      <c r="D21" s="37">
        <v>13</v>
      </c>
      <c r="E21" s="70" t="s">
        <v>2528</v>
      </c>
      <c r="F21" s="71">
        <v>256251</v>
      </c>
      <c r="G21" s="37" t="s">
        <v>30</v>
      </c>
      <c r="H21" s="72">
        <v>42780</v>
      </c>
      <c r="I21" s="73">
        <v>42797</v>
      </c>
      <c r="J21" s="37">
        <v>56</v>
      </c>
      <c r="K21" s="36" t="s">
        <v>31</v>
      </c>
      <c r="L21" s="60" t="s">
        <v>32</v>
      </c>
      <c r="M21" s="62"/>
      <c r="N21" s="62"/>
      <c r="O21" s="63"/>
      <c r="P21" s="63"/>
    </row>
    <row r="22" spans="1:16" ht="24.75" customHeight="1" x14ac:dyDescent="0.25">
      <c r="A22" s="11" t="str">
        <f t="shared" si="0"/>
        <v>VISTOS BUENOS</v>
      </c>
      <c r="B22" s="69">
        <v>1</v>
      </c>
      <c r="C22" s="75">
        <v>15</v>
      </c>
      <c r="D22" s="37">
        <v>14</v>
      </c>
      <c r="E22" s="70" t="s">
        <v>2529</v>
      </c>
      <c r="F22" s="71">
        <v>256492</v>
      </c>
      <c r="G22" s="37" t="s">
        <v>30</v>
      </c>
      <c r="H22" s="72">
        <v>42788</v>
      </c>
      <c r="I22" s="73">
        <v>42808</v>
      </c>
      <c r="J22" s="37">
        <v>43</v>
      </c>
      <c r="K22" s="36" t="s">
        <v>31</v>
      </c>
      <c r="L22" s="60" t="s">
        <v>32</v>
      </c>
      <c r="M22" s="62"/>
      <c r="N22" s="62"/>
      <c r="O22" s="63"/>
      <c r="P22" s="63"/>
    </row>
    <row r="23" spans="1:16" ht="24.75" customHeight="1" x14ac:dyDescent="0.25">
      <c r="A23" s="11" t="str">
        <f t="shared" si="0"/>
        <v>VISTOS BUENOS</v>
      </c>
      <c r="B23" s="69">
        <v>1</v>
      </c>
      <c r="C23" s="37">
        <v>15</v>
      </c>
      <c r="D23" s="37">
        <v>15</v>
      </c>
      <c r="E23" s="70" t="s">
        <v>2530</v>
      </c>
      <c r="F23" s="71">
        <v>256815</v>
      </c>
      <c r="G23" s="37" t="s">
        <v>30</v>
      </c>
      <c r="H23" s="72">
        <v>42801</v>
      </c>
      <c r="I23" s="73">
        <v>42817</v>
      </c>
      <c r="J23" s="37">
        <v>20</v>
      </c>
      <c r="K23" s="36" t="s">
        <v>31</v>
      </c>
      <c r="L23" s="60" t="s">
        <v>32</v>
      </c>
      <c r="M23" s="62"/>
      <c r="N23" s="62"/>
      <c r="O23" s="63"/>
      <c r="P23" s="63"/>
    </row>
    <row r="24" spans="1:16" ht="24.75" customHeight="1" x14ac:dyDescent="0.25">
      <c r="A24" s="11" t="str">
        <f t="shared" si="0"/>
        <v>VISTOS BUENOS</v>
      </c>
      <c r="B24" s="69">
        <v>1</v>
      </c>
      <c r="C24" s="37">
        <v>15</v>
      </c>
      <c r="D24" s="37">
        <v>16</v>
      </c>
      <c r="E24" s="70" t="s">
        <v>2531</v>
      </c>
      <c r="F24" s="71">
        <v>256943</v>
      </c>
      <c r="G24" s="37" t="s">
        <v>30</v>
      </c>
      <c r="H24" s="72">
        <v>42804</v>
      </c>
      <c r="I24" s="73">
        <v>42816</v>
      </c>
      <c r="J24" s="37">
        <v>26</v>
      </c>
      <c r="K24" s="36" t="s">
        <v>31</v>
      </c>
      <c r="L24" s="60" t="s">
        <v>32</v>
      </c>
      <c r="M24" s="62"/>
      <c r="N24" s="62"/>
      <c r="O24" s="63"/>
      <c r="P24" s="63"/>
    </row>
    <row r="25" spans="1:16" ht="24.75" customHeight="1" x14ac:dyDescent="0.25">
      <c r="A25" s="11" t="str">
        <f t="shared" si="0"/>
        <v>VISTOS BUENOS</v>
      </c>
      <c r="B25" s="69">
        <v>1</v>
      </c>
      <c r="C25" s="37">
        <v>16</v>
      </c>
      <c r="D25" s="37">
        <v>17</v>
      </c>
      <c r="E25" s="70" t="s">
        <v>2532</v>
      </c>
      <c r="F25" s="71">
        <v>256950</v>
      </c>
      <c r="G25" s="37" t="s">
        <v>30</v>
      </c>
      <c r="H25" s="72">
        <v>42804</v>
      </c>
      <c r="I25" s="73">
        <v>42825</v>
      </c>
      <c r="J25" s="37">
        <v>47</v>
      </c>
      <c r="K25" s="36" t="s">
        <v>31</v>
      </c>
      <c r="L25" s="60" t="s">
        <v>32</v>
      </c>
      <c r="M25" s="62"/>
      <c r="N25" s="62"/>
      <c r="O25" s="63"/>
      <c r="P25" s="63"/>
    </row>
    <row r="26" spans="1:16" ht="24.75" customHeight="1" x14ac:dyDescent="0.25">
      <c r="A26" s="11" t="str">
        <f t="shared" si="0"/>
        <v>VISTOS BUENOS</v>
      </c>
      <c r="B26" s="69">
        <v>1</v>
      </c>
      <c r="C26" s="37">
        <v>16</v>
      </c>
      <c r="D26" s="37">
        <v>18</v>
      </c>
      <c r="E26" s="70" t="s">
        <v>2533</v>
      </c>
      <c r="F26" s="71">
        <v>257194</v>
      </c>
      <c r="G26" s="37" t="s">
        <v>30</v>
      </c>
      <c r="H26" s="72">
        <v>42814</v>
      </c>
      <c r="I26" s="73">
        <v>42821</v>
      </c>
      <c r="J26" s="37">
        <v>19</v>
      </c>
      <c r="K26" s="36" t="s">
        <v>31</v>
      </c>
      <c r="L26" s="60" t="s">
        <v>32</v>
      </c>
      <c r="M26" s="62"/>
      <c r="N26" s="62"/>
      <c r="O26" s="63"/>
      <c r="P26" s="63"/>
    </row>
    <row r="27" spans="1:16" ht="24.75" customHeight="1" x14ac:dyDescent="0.25">
      <c r="A27" s="11" t="str">
        <f t="shared" si="0"/>
        <v>VISTOS BUENOS</v>
      </c>
      <c r="B27" s="69">
        <v>1</v>
      </c>
      <c r="C27" s="37">
        <v>16</v>
      </c>
      <c r="D27" s="37">
        <v>19</v>
      </c>
      <c r="E27" s="70" t="s">
        <v>2534</v>
      </c>
      <c r="F27" s="71">
        <v>257321</v>
      </c>
      <c r="G27" s="37" t="s">
        <v>30</v>
      </c>
      <c r="H27" s="72">
        <v>42817</v>
      </c>
      <c r="I27" s="73">
        <v>42837</v>
      </c>
      <c r="J27" s="37">
        <v>47</v>
      </c>
      <c r="K27" s="36" t="s">
        <v>31</v>
      </c>
      <c r="L27" s="60" t="s">
        <v>32</v>
      </c>
      <c r="M27" s="62"/>
      <c r="N27" s="62"/>
      <c r="O27" s="63"/>
      <c r="P27" s="63"/>
    </row>
    <row r="28" spans="1:16" ht="24.75" customHeight="1" x14ac:dyDescent="0.25">
      <c r="A28" s="11" t="str">
        <f t="shared" si="0"/>
        <v>VISTOS BUENOS</v>
      </c>
      <c r="B28" s="69">
        <v>1</v>
      </c>
      <c r="C28" s="37">
        <v>17</v>
      </c>
      <c r="D28" s="37">
        <v>20</v>
      </c>
      <c r="E28" s="70" t="s">
        <v>2535</v>
      </c>
      <c r="F28" s="71">
        <v>257394</v>
      </c>
      <c r="G28" s="37" t="s">
        <v>30</v>
      </c>
      <c r="H28" s="72">
        <v>42818</v>
      </c>
      <c r="I28" s="73">
        <v>42838</v>
      </c>
      <c r="J28" s="37">
        <v>73</v>
      </c>
      <c r="K28" s="36" t="s">
        <v>31</v>
      </c>
      <c r="L28" s="60" t="s">
        <v>32</v>
      </c>
      <c r="M28" s="62"/>
      <c r="N28" s="62"/>
      <c r="O28" s="63"/>
      <c r="P28" s="63"/>
    </row>
    <row r="29" spans="1:16" ht="24.75" customHeight="1" x14ac:dyDescent="0.25">
      <c r="A29" s="11" t="str">
        <f t="shared" si="0"/>
        <v>VISTOS BUENOS</v>
      </c>
      <c r="B29" s="69">
        <v>1</v>
      </c>
      <c r="C29" s="37">
        <v>17</v>
      </c>
      <c r="D29" s="37">
        <v>21</v>
      </c>
      <c r="E29" s="70" t="s">
        <v>2536</v>
      </c>
      <c r="F29" s="71">
        <v>257629</v>
      </c>
      <c r="G29" s="37" t="s">
        <v>30</v>
      </c>
      <c r="H29" s="72">
        <v>42828</v>
      </c>
      <c r="I29" s="73">
        <v>42846</v>
      </c>
      <c r="J29" s="37">
        <v>26</v>
      </c>
      <c r="K29" s="36" t="s">
        <v>31</v>
      </c>
      <c r="L29" s="60" t="s">
        <v>32</v>
      </c>
      <c r="M29" s="62"/>
      <c r="N29" s="62"/>
      <c r="O29" s="63"/>
      <c r="P29" s="63"/>
    </row>
    <row r="30" spans="1:16" ht="24.75" customHeight="1" x14ac:dyDescent="0.25">
      <c r="A30" s="11" t="str">
        <f t="shared" si="0"/>
        <v>VISTOS BUENOS</v>
      </c>
      <c r="B30" s="69">
        <v>1</v>
      </c>
      <c r="C30" s="37">
        <v>18</v>
      </c>
      <c r="D30" s="37">
        <v>22</v>
      </c>
      <c r="E30" s="70" t="s">
        <v>2537</v>
      </c>
      <c r="F30" s="71">
        <v>257714</v>
      </c>
      <c r="G30" s="37" t="s">
        <v>30</v>
      </c>
      <c r="H30" s="72">
        <v>42831</v>
      </c>
      <c r="I30" s="73">
        <v>42857</v>
      </c>
      <c r="J30" s="37">
        <v>106</v>
      </c>
      <c r="K30" s="36" t="s">
        <v>31</v>
      </c>
      <c r="L30" s="60" t="s">
        <v>32</v>
      </c>
      <c r="M30" s="62"/>
      <c r="N30" s="62"/>
      <c r="O30" s="63"/>
      <c r="P30" s="63"/>
    </row>
    <row r="31" spans="1:16" ht="24.75" customHeight="1" x14ac:dyDescent="0.25">
      <c r="A31" s="11" t="str">
        <f t="shared" si="0"/>
        <v>VISTOS BUENOS</v>
      </c>
      <c r="B31" s="69">
        <v>1</v>
      </c>
      <c r="C31" s="37">
        <v>19</v>
      </c>
      <c r="D31" s="37">
        <v>23</v>
      </c>
      <c r="E31" s="70" t="s">
        <v>2538</v>
      </c>
      <c r="F31" s="71">
        <v>257960</v>
      </c>
      <c r="G31" s="37" t="s">
        <v>30</v>
      </c>
      <c r="H31" s="72">
        <v>42843</v>
      </c>
      <c r="I31" s="73">
        <v>42858</v>
      </c>
      <c r="J31" s="37">
        <v>70</v>
      </c>
      <c r="K31" s="36" t="s">
        <v>31</v>
      </c>
      <c r="L31" s="60" t="s">
        <v>32</v>
      </c>
      <c r="M31" s="62"/>
      <c r="N31" s="62"/>
      <c r="O31" s="63"/>
      <c r="P31" s="63"/>
    </row>
    <row r="32" spans="1:16" ht="24.75" customHeight="1" x14ac:dyDescent="0.25">
      <c r="A32" s="11" t="str">
        <f t="shared" si="0"/>
        <v>VISTOS BUENOS</v>
      </c>
      <c r="B32" s="69">
        <v>2</v>
      </c>
      <c r="C32" s="37" t="s">
        <v>2589</v>
      </c>
      <c r="D32" s="37">
        <v>24</v>
      </c>
      <c r="E32" s="70" t="s">
        <v>2539</v>
      </c>
      <c r="F32" s="71">
        <v>258091</v>
      </c>
      <c r="G32" s="37" t="s">
        <v>30</v>
      </c>
      <c r="H32" s="72">
        <v>42845</v>
      </c>
      <c r="I32" s="73">
        <v>42867</v>
      </c>
      <c r="J32" s="37">
        <v>444</v>
      </c>
      <c r="K32" s="36" t="s">
        <v>31</v>
      </c>
      <c r="L32" s="60" t="s">
        <v>32</v>
      </c>
      <c r="M32" s="62"/>
      <c r="N32" s="62"/>
      <c r="O32" s="63"/>
      <c r="P32" s="63"/>
    </row>
    <row r="33" spans="1:16" ht="24.75" customHeight="1" x14ac:dyDescent="0.25">
      <c r="A33" s="11" t="str">
        <f t="shared" si="0"/>
        <v>VISTOS BUENOS</v>
      </c>
      <c r="B33" s="69">
        <v>2</v>
      </c>
      <c r="C33" s="37">
        <v>24</v>
      </c>
      <c r="D33" s="37">
        <v>25</v>
      </c>
      <c r="E33" s="70" t="s">
        <v>2540</v>
      </c>
      <c r="F33" s="71">
        <v>258166</v>
      </c>
      <c r="G33" s="37" t="s">
        <v>30</v>
      </c>
      <c r="H33" s="72">
        <v>42849</v>
      </c>
      <c r="I33" s="73">
        <v>42857</v>
      </c>
      <c r="J33" s="37">
        <v>133</v>
      </c>
      <c r="K33" s="36" t="s">
        <v>31</v>
      </c>
      <c r="L33" s="60" t="s">
        <v>32</v>
      </c>
      <c r="M33" s="62"/>
      <c r="N33" s="62"/>
      <c r="O33" s="63"/>
      <c r="P33" s="63"/>
    </row>
    <row r="34" spans="1:16" ht="24.75" customHeight="1" x14ac:dyDescent="0.25">
      <c r="A34" s="11" t="str">
        <f t="shared" si="0"/>
        <v>VISTOS BUENOS</v>
      </c>
      <c r="B34" s="69">
        <v>2</v>
      </c>
      <c r="C34" s="37">
        <v>25</v>
      </c>
      <c r="D34" s="37">
        <v>26</v>
      </c>
      <c r="E34" s="70" t="s">
        <v>2529</v>
      </c>
      <c r="F34" s="71">
        <v>259128</v>
      </c>
      <c r="G34" s="37" t="s">
        <v>30</v>
      </c>
      <c r="H34" s="72">
        <v>42874</v>
      </c>
      <c r="I34" s="73">
        <v>42874</v>
      </c>
      <c r="J34" s="37">
        <v>51</v>
      </c>
      <c r="K34" s="36" t="s">
        <v>31</v>
      </c>
      <c r="L34" s="60" t="s">
        <v>32</v>
      </c>
      <c r="M34" s="62"/>
      <c r="N34" s="62"/>
      <c r="O34" s="63"/>
      <c r="P34" s="63"/>
    </row>
    <row r="35" spans="1:16" ht="24.75" customHeight="1" x14ac:dyDescent="0.25">
      <c r="A35" s="11" t="str">
        <f t="shared" si="0"/>
        <v>VISTOS BUENOS</v>
      </c>
      <c r="B35" s="69">
        <v>2</v>
      </c>
      <c r="C35" s="37">
        <v>25</v>
      </c>
      <c r="D35" s="37">
        <v>27</v>
      </c>
      <c r="E35" s="70" t="s">
        <v>2541</v>
      </c>
      <c r="F35" s="71">
        <v>259129</v>
      </c>
      <c r="G35" s="37" t="s">
        <v>30</v>
      </c>
      <c r="H35" s="72">
        <v>42874</v>
      </c>
      <c r="I35" s="73">
        <v>42874</v>
      </c>
      <c r="J35" s="37">
        <v>49</v>
      </c>
      <c r="K35" s="36" t="s">
        <v>31</v>
      </c>
      <c r="L35" s="60" t="s">
        <v>32</v>
      </c>
      <c r="M35" s="62"/>
      <c r="N35" s="62"/>
      <c r="O35" s="63"/>
      <c r="P35" s="63"/>
    </row>
    <row r="36" spans="1:16" ht="24.75" customHeight="1" x14ac:dyDescent="0.25">
      <c r="A36" s="11" t="str">
        <f t="shared" si="0"/>
        <v>VISTOS BUENOS</v>
      </c>
      <c r="B36" s="69">
        <v>2</v>
      </c>
      <c r="C36" s="37">
        <v>26</v>
      </c>
      <c r="D36" s="37">
        <v>28</v>
      </c>
      <c r="E36" s="70" t="s">
        <v>2542</v>
      </c>
      <c r="F36" s="71">
        <v>259278</v>
      </c>
      <c r="G36" s="37" t="s">
        <v>30</v>
      </c>
      <c r="H36" s="72">
        <v>42878</v>
      </c>
      <c r="I36" s="73">
        <v>42906</v>
      </c>
      <c r="J36" s="37">
        <v>48</v>
      </c>
      <c r="K36" s="36" t="s">
        <v>31</v>
      </c>
      <c r="L36" s="60" t="s">
        <v>32</v>
      </c>
      <c r="M36" s="62"/>
      <c r="N36" s="62"/>
      <c r="O36" s="63"/>
      <c r="P36" s="63"/>
    </row>
    <row r="37" spans="1:16" ht="24.75" customHeight="1" x14ac:dyDescent="0.25">
      <c r="A37" s="11" t="str">
        <f t="shared" si="0"/>
        <v>VISTOS BUENOS</v>
      </c>
      <c r="B37" s="69">
        <v>2</v>
      </c>
      <c r="C37" s="37">
        <v>26</v>
      </c>
      <c r="D37" s="37">
        <v>29</v>
      </c>
      <c r="E37" s="70" t="s">
        <v>2543</v>
      </c>
      <c r="F37" s="71">
        <v>259369</v>
      </c>
      <c r="G37" s="37" t="s">
        <v>30</v>
      </c>
      <c r="H37" s="72">
        <v>42884</v>
      </c>
      <c r="I37" s="73">
        <v>42908</v>
      </c>
      <c r="J37" s="37">
        <v>40</v>
      </c>
      <c r="K37" s="36" t="s">
        <v>31</v>
      </c>
      <c r="L37" s="60" t="s">
        <v>32</v>
      </c>
      <c r="M37" s="62"/>
      <c r="N37" s="62"/>
      <c r="O37" s="63"/>
      <c r="P37" s="63"/>
    </row>
    <row r="38" spans="1:16" ht="24.75" customHeight="1" x14ac:dyDescent="0.25">
      <c r="A38" s="11" t="str">
        <f t="shared" si="0"/>
        <v>VISTOS BUENOS</v>
      </c>
      <c r="B38" s="69">
        <v>2</v>
      </c>
      <c r="C38" s="37">
        <v>27</v>
      </c>
      <c r="D38" s="37">
        <v>30</v>
      </c>
      <c r="E38" s="70" t="s">
        <v>2544</v>
      </c>
      <c r="F38" s="71">
        <v>259420</v>
      </c>
      <c r="G38" s="37" t="s">
        <v>30</v>
      </c>
      <c r="H38" s="72">
        <v>42884</v>
      </c>
      <c r="I38" s="73">
        <v>42906</v>
      </c>
      <c r="J38" s="37">
        <v>130</v>
      </c>
      <c r="K38" s="36" t="s">
        <v>31</v>
      </c>
      <c r="L38" s="60" t="s">
        <v>32</v>
      </c>
      <c r="M38" s="62"/>
      <c r="N38" s="62"/>
      <c r="O38" s="63"/>
      <c r="P38" s="63"/>
    </row>
    <row r="39" spans="1:16" ht="24.75" customHeight="1" x14ac:dyDescent="0.25">
      <c r="A39" s="11" t="str">
        <f t="shared" si="0"/>
        <v>VISTOS BUENOS</v>
      </c>
      <c r="B39" s="69">
        <v>2</v>
      </c>
      <c r="C39" s="37">
        <v>28</v>
      </c>
      <c r="D39" s="37">
        <v>31</v>
      </c>
      <c r="E39" s="70" t="s">
        <v>2545</v>
      </c>
      <c r="F39" s="71">
        <v>259815</v>
      </c>
      <c r="G39" s="37" t="s">
        <v>30</v>
      </c>
      <c r="H39" s="72">
        <v>42893</v>
      </c>
      <c r="I39" s="73">
        <v>42908</v>
      </c>
      <c r="J39" s="37">
        <v>37</v>
      </c>
      <c r="K39" s="36" t="s">
        <v>31</v>
      </c>
      <c r="L39" s="60" t="s">
        <v>32</v>
      </c>
      <c r="M39" s="62"/>
      <c r="N39" s="62"/>
      <c r="O39" s="63"/>
      <c r="P39" s="63"/>
    </row>
    <row r="40" spans="1:16" ht="24.75" customHeight="1" x14ac:dyDescent="0.25">
      <c r="A40" s="11" t="str">
        <f t="shared" si="0"/>
        <v>VISTOS BUENOS</v>
      </c>
      <c r="B40" s="69">
        <v>2</v>
      </c>
      <c r="C40" s="37">
        <v>28</v>
      </c>
      <c r="D40" s="37">
        <v>32</v>
      </c>
      <c r="E40" s="70" t="s">
        <v>2546</v>
      </c>
      <c r="F40" s="71">
        <v>260013</v>
      </c>
      <c r="G40" s="37" t="s">
        <v>30</v>
      </c>
      <c r="H40" s="72">
        <v>42898</v>
      </c>
      <c r="I40" s="73">
        <v>42928</v>
      </c>
      <c r="J40" s="37">
        <v>63</v>
      </c>
      <c r="K40" s="36" t="s">
        <v>31</v>
      </c>
      <c r="L40" s="60" t="s">
        <v>32</v>
      </c>
      <c r="M40" s="62"/>
      <c r="N40" s="62"/>
      <c r="O40" s="63"/>
      <c r="P40" s="63"/>
    </row>
    <row r="41" spans="1:16" ht="24.75" customHeight="1" x14ac:dyDescent="0.25">
      <c r="A41" s="11" t="str">
        <f t="shared" si="0"/>
        <v>VISTOS BUENOS</v>
      </c>
      <c r="B41" s="69">
        <v>2</v>
      </c>
      <c r="C41" s="37">
        <v>29</v>
      </c>
      <c r="D41" s="37">
        <v>33</v>
      </c>
      <c r="E41" s="70" t="s">
        <v>2547</v>
      </c>
      <c r="F41" s="71">
        <v>260015</v>
      </c>
      <c r="G41" s="37" t="s">
        <v>30</v>
      </c>
      <c r="H41" s="72">
        <v>42898</v>
      </c>
      <c r="I41" s="73">
        <v>42920</v>
      </c>
      <c r="J41" s="37">
        <v>69</v>
      </c>
      <c r="K41" s="36" t="s">
        <v>31</v>
      </c>
      <c r="L41" s="60" t="s">
        <v>32</v>
      </c>
      <c r="M41" s="62"/>
      <c r="N41" s="62"/>
      <c r="O41" s="63"/>
      <c r="P41" s="63"/>
    </row>
    <row r="42" spans="1:16" ht="24.75" customHeight="1" x14ac:dyDescent="0.25">
      <c r="A42" s="11" t="str">
        <f t="shared" ref="A42:A73" si="1">A41</f>
        <v>VISTOS BUENOS</v>
      </c>
      <c r="B42" s="69">
        <v>2</v>
      </c>
      <c r="C42" s="37">
        <v>29</v>
      </c>
      <c r="D42" s="37">
        <v>34</v>
      </c>
      <c r="E42" s="70" t="s">
        <v>2548</v>
      </c>
      <c r="F42" s="71">
        <v>260045</v>
      </c>
      <c r="G42" s="37" t="s">
        <v>30</v>
      </c>
      <c r="H42" s="72">
        <v>42899</v>
      </c>
      <c r="I42" s="73">
        <v>42933</v>
      </c>
      <c r="J42" s="37">
        <v>20</v>
      </c>
      <c r="K42" s="36" t="s">
        <v>31</v>
      </c>
      <c r="L42" s="60" t="s">
        <v>32</v>
      </c>
      <c r="M42" s="62"/>
      <c r="N42" s="62"/>
      <c r="O42" s="63"/>
      <c r="P42" s="63"/>
    </row>
    <row r="43" spans="1:16" ht="24.75" customHeight="1" x14ac:dyDescent="0.25">
      <c r="A43" s="11" t="str">
        <f t="shared" si="1"/>
        <v>VISTOS BUENOS</v>
      </c>
      <c r="B43" s="69">
        <v>2</v>
      </c>
      <c r="C43" s="37">
        <v>30</v>
      </c>
      <c r="D43" s="37">
        <v>35</v>
      </c>
      <c r="E43" s="70" t="s">
        <v>2549</v>
      </c>
      <c r="F43" s="71">
        <v>260084</v>
      </c>
      <c r="G43" s="37" t="s">
        <v>30</v>
      </c>
      <c r="H43" s="72">
        <v>42900</v>
      </c>
      <c r="I43" s="73">
        <v>42900</v>
      </c>
      <c r="J43" s="37">
        <v>34</v>
      </c>
      <c r="K43" s="36" t="s">
        <v>31</v>
      </c>
      <c r="L43" s="60" t="s">
        <v>32</v>
      </c>
      <c r="M43" s="62"/>
      <c r="N43" s="62"/>
      <c r="O43" s="63"/>
      <c r="P43" s="63"/>
    </row>
    <row r="44" spans="1:16" ht="24.75" customHeight="1" x14ac:dyDescent="0.25">
      <c r="A44" s="11" t="str">
        <f t="shared" si="1"/>
        <v>VISTOS BUENOS</v>
      </c>
      <c r="B44" s="69">
        <v>2</v>
      </c>
      <c r="C44" s="37">
        <v>30</v>
      </c>
      <c r="D44" s="37">
        <v>36</v>
      </c>
      <c r="E44" s="70" t="s">
        <v>2550</v>
      </c>
      <c r="F44" s="71">
        <v>260096</v>
      </c>
      <c r="G44" s="37" t="s">
        <v>30</v>
      </c>
      <c r="H44" s="72">
        <v>42901</v>
      </c>
      <c r="I44" s="73">
        <v>42923</v>
      </c>
      <c r="J44" s="37">
        <v>34</v>
      </c>
      <c r="K44" s="36" t="s">
        <v>31</v>
      </c>
      <c r="L44" s="60" t="s">
        <v>32</v>
      </c>
      <c r="M44" s="62"/>
      <c r="N44" s="62"/>
      <c r="O44" s="63"/>
      <c r="P44" s="63"/>
    </row>
    <row r="45" spans="1:16" ht="24.75" customHeight="1" x14ac:dyDescent="0.25">
      <c r="A45" s="11" t="str">
        <f t="shared" si="1"/>
        <v>VISTOS BUENOS</v>
      </c>
      <c r="B45" s="69">
        <v>2</v>
      </c>
      <c r="C45" s="37">
        <v>31</v>
      </c>
      <c r="D45" s="37">
        <v>37</v>
      </c>
      <c r="E45" s="70" t="s">
        <v>2551</v>
      </c>
      <c r="F45" s="71">
        <v>260221</v>
      </c>
      <c r="G45" s="37" t="s">
        <v>30</v>
      </c>
      <c r="H45" s="72">
        <v>42906</v>
      </c>
      <c r="I45" s="73">
        <v>42920</v>
      </c>
      <c r="J45" s="37">
        <v>75</v>
      </c>
      <c r="K45" s="36" t="s">
        <v>31</v>
      </c>
      <c r="L45" s="60" t="s">
        <v>32</v>
      </c>
      <c r="M45" s="62"/>
      <c r="N45" s="62"/>
      <c r="O45" s="63"/>
      <c r="P45" s="63"/>
    </row>
    <row r="46" spans="1:16" ht="24.75" customHeight="1" x14ac:dyDescent="0.25">
      <c r="A46" s="11" t="str">
        <f t="shared" si="1"/>
        <v>VISTOS BUENOS</v>
      </c>
      <c r="B46" s="69">
        <v>2</v>
      </c>
      <c r="C46" s="37">
        <v>32</v>
      </c>
      <c r="D46" s="37">
        <v>38</v>
      </c>
      <c r="E46" s="70" t="s">
        <v>2552</v>
      </c>
      <c r="F46" s="71">
        <v>260463</v>
      </c>
      <c r="G46" s="37" t="s">
        <v>30</v>
      </c>
      <c r="H46" s="72">
        <v>42913</v>
      </c>
      <c r="I46" s="73">
        <v>42936</v>
      </c>
      <c r="J46" s="37">
        <v>39</v>
      </c>
      <c r="K46" s="36" t="s">
        <v>31</v>
      </c>
      <c r="L46" s="60" t="s">
        <v>32</v>
      </c>
      <c r="M46" s="62"/>
      <c r="N46" s="62"/>
      <c r="O46" s="63"/>
      <c r="P46" s="63"/>
    </row>
    <row r="47" spans="1:16" ht="24.75" customHeight="1" x14ac:dyDescent="0.25">
      <c r="A47" s="11" t="str">
        <f t="shared" si="1"/>
        <v>VISTOS BUENOS</v>
      </c>
      <c r="B47" s="69">
        <v>2</v>
      </c>
      <c r="C47" s="37" t="s">
        <v>2590</v>
      </c>
      <c r="D47" s="37">
        <v>39</v>
      </c>
      <c r="E47" s="70" t="s">
        <v>2553</v>
      </c>
      <c r="F47" s="71">
        <v>260957</v>
      </c>
      <c r="G47" s="37" t="s">
        <v>30</v>
      </c>
      <c r="H47" s="72">
        <v>42927</v>
      </c>
      <c r="I47" s="73">
        <v>42955</v>
      </c>
      <c r="J47" s="37">
        <v>357</v>
      </c>
      <c r="K47" s="36" t="s">
        <v>31</v>
      </c>
      <c r="L47" s="60" t="s">
        <v>32</v>
      </c>
      <c r="M47" s="62"/>
      <c r="N47" s="62"/>
      <c r="O47" s="63"/>
      <c r="P47" s="63"/>
    </row>
    <row r="48" spans="1:16" ht="24.75" customHeight="1" x14ac:dyDescent="0.25">
      <c r="A48" s="11" t="str">
        <f t="shared" si="1"/>
        <v>VISTOS BUENOS</v>
      </c>
      <c r="B48" s="69">
        <v>2</v>
      </c>
      <c r="C48" s="37">
        <v>36</v>
      </c>
      <c r="D48" s="37">
        <v>40</v>
      </c>
      <c r="E48" s="70" t="s">
        <v>2554</v>
      </c>
      <c r="F48" s="71">
        <v>261228</v>
      </c>
      <c r="G48" s="37" t="s">
        <v>30</v>
      </c>
      <c r="H48" s="72">
        <v>42934</v>
      </c>
      <c r="I48" s="73">
        <v>42940</v>
      </c>
      <c r="J48" s="37">
        <v>19</v>
      </c>
      <c r="K48" s="36" t="s">
        <v>31</v>
      </c>
      <c r="L48" s="60" t="s">
        <v>32</v>
      </c>
      <c r="M48" s="62"/>
      <c r="N48" s="62"/>
      <c r="O48" s="63"/>
      <c r="P48" s="63"/>
    </row>
    <row r="49" spans="1:16" ht="24.75" customHeight="1" x14ac:dyDescent="0.25">
      <c r="A49" s="11" t="str">
        <f t="shared" si="1"/>
        <v>VISTOS BUENOS</v>
      </c>
      <c r="B49" s="69">
        <v>2</v>
      </c>
      <c r="C49" s="37">
        <v>36</v>
      </c>
      <c r="D49" s="37">
        <v>41</v>
      </c>
      <c r="E49" s="70" t="s">
        <v>2555</v>
      </c>
      <c r="F49" s="71">
        <v>261247</v>
      </c>
      <c r="G49" s="37" t="s">
        <v>30</v>
      </c>
      <c r="H49" s="72">
        <v>42935</v>
      </c>
      <c r="I49" s="73">
        <v>42941</v>
      </c>
      <c r="J49" s="37">
        <v>19</v>
      </c>
      <c r="K49" s="36" t="s">
        <v>31</v>
      </c>
      <c r="L49" s="60" t="s">
        <v>32</v>
      </c>
      <c r="M49" s="62"/>
      <c r="N49" s="62"/>
      <c r="O49" s="63"/>
      <c r="P49" s="63"/>
    </row>
    <row r="50" spans="1:16" ht="24.75" customHeight="1" x14ac:dyDescent="0.25">
      <c r="A50" s="11" t="str">
        <f t="shared" si="1"/>
        <v>VISTOS BUENOS</v>
      </c>
      <c r="B50" s="69">
        <v>2</v>
      </c>
      <c r="C50" s="37">
        <v>36</v>
      </c>
      <c r="D50" s="37">
        <v>42</v>
      </c>
      <c r="E50" s="70" t="s">
        <v>2556</v>
      </c>
      <c r="F50" s="71">
        <v>261332</v>
      </c>
      <c r="G50" s="37" t="s">
        <v>30</v>
      </c>
      <c r="H50" s="72">
        <v>42936</v>
      </c>
      <c r="I50" s="73">
        <v>42944</v>
      </c>
      <c r="J50" s="37">
        <v>18</v>
      </c>
      <c r="K50" s="36" t="s">
        <v>31</v>
      </c>
      <c r="L50" s="60" t="s">
        <v>32</v>
      </c>
      <c r="M50" s="62"/>
      <c r="N50" s="62"/>
      <c r="O50" s="63"/>
      <c r="P50" s="63"/>
    </row>
    <row r="51" spans="1:16" ht="24.75" customHeight="1" x14ac:dyDescent="0.25">
      <c r="A51" s="11" t="str">
        <f t="shared" si="1"/>
        <v>VISTOS BUENOS</v>
      </c>
      <c r="B51" s="69">
        <v>2</v>
      </c>
      <c r="C51" s="37">
        <v>36</v>
      </c>
      <c r="D51" s="37">
        <v>43</v>
      </c>
      <c r="E51" s="70" t="s">
        <v>2557</v>
      </c>
      <c r="F51" s="71">
        <v>261412</v>
      </c>
      <c r="G51" s="37" t="s">
        <v>30</v>
      </c>
      <c r="H51" s="72">
        <v>42940</v>
      </c>
      <c r="I51" s="73">
        <v>42944</v>
      </c>
      <c r="J51" s="37">
        <v>23</v>
      </c>
      <c r="K51" s="36" t="s">
        <v>31</v>
      </c>
      <c r="L51" s="60" t="s">
        <v>32</v>
      </c>
      <c r="M51" s="62"/>
      <c r="N51" s="62"/>
      <c r="O51" s="63"/>
      <c r="P51" s="63"/>
    </row>
    <row r="52" spans="1:16" ht="24.75" customHeight="1" x14ac:dyDescent="0.25">
      <c r="A52" s="11" t="str">
        <f t="shared" si="1"/>
        <v>VISTOS BUENOS</v>
      </c>
      <c r="B52" s="69">
        <v>2</v>
      </c>
      <c r="C52" s="37">
        <v>36</v>
      </c>
      <c r="D52" s="37">
        <v>44</v>
      </c>
      <c r="E52" s="70" t="s">
        <v>2556</v>
      </c>
      <c r="F52" s="71">
        <v>261590</v>
      </c>
      <c r="G52" s="37" t="s">
        <v>30</v>
      </c>
      <c r="H52" s="72">
        <v>42944</v>
      </c>
      <c r="I52" s="73">
        <v>42957</v>
      </c>
      <c r="J52" s="37">
        <v>39</v>
      </c>
      <c r="K52" s="36" t="s">
        <v>31</v>
      </c>
      <c r="L52" s="60" t="s">
        <v>32</v>
      </c>
      <c r="M52" s="62"/>
      <c r="N52" s="62"/>
      <c r="O52" s="63"/>
      <c r="P52" s="63"/>
    </row>
    <row r="53" spans="1:16" ht="24.75" customHeight="1" x14ac:dyDescent="0.25">
      <c r="A53" s="11" t="str">
        <f t="shared" si="1"/>
        <v>VISTOS BUENOS</v>
      </c>
      <c r="B53" s="69">
        <v>2</v>
      </c>
      <c r="C53" s="37">
        <v>37</v>
      </c>
      <c r="D53" s="37">
        <v>45</v>
      </c>
      <c r="E53" s="70" t="s">
        <v>2557</v>
      </c>
      <c r="F53" s="71">
        <v>261633</v>
      </c>
      <c r="G53" s="37" t="s">
        <v>30</v>
      </c>
      <c r="H53" s="72">
        <v>42948</v>
      </c>
      <c r="I53" s="73">
        <v>42957</v>
      </c>
      <c r="J53" s="37">
        <v>27</v>
      </c>
      <c r="K53" s="36" t="s">
        <v>31</v>
      </c>
      <c r="L53" s="60" t="s">
        <v>32</v>
      </c>
      <c r="M53" s="62"/>
      <c r="N53" s="62"/>
      <c r="O53" s="63"/>
      <c r="P53" s="63"/>
    </row>
    <row r="54" spans="1:16" ht="24.75" customHeight="1" x14ac:dyDescent="0.25">
      <c r="A54" s="11" t="str">
        <f t="shared" si="1"/>
        <v>VISTOS BUENOS</v>
      </c>
      <c r="B54" s="69">
        <v>2</v>
      </c>
      <c r="C54" s="37">
        <v>37</v>
      </c>
      <c r="D54" s="37">
        <v>46</v>
      </c>
      <c r="E54" s="70" t="s">
        <v>2558</v>
      </c>
      <c r="F54" s="71">
        <v>261756</v>
      </c>
      <c r="G54" s="37" t="s">
        <v>30</v>
      </c>
      <c r="H54" s="72">
        <v>42951</v>
      </c>
      <c r="I54" s="73">
        <v>42954</v>
      </c>
      <c r="J54" s="37">
        <v>8</v>
      </c>
      <c r="K54" s="36" t="s">
        <v>31</v>
      </c>
      <c r="L54" s="60" t="s">
        <v>32</v>
      </c>
      <c r="M54" s="62"/>
      <c r="N54" s="62"/>
      <c r="O54" s="63"/>
      <c r="P54" s="63"/>
    </row>
    <row r="55" spans="1:16" ht="24.75" customHeight="1" x14ac:dyDescent="0.25">
      <c r="A55" s="11" t="str">
        <f t="shared" si="1"/>
        <v>VISTOS BUENOS</v>
      </c>
      <c r="B55" s="69">
        <v>2</v>
      </c>
      <c r="C55" s="37" t="s">
        <v>2148</v>
      </c>
      <c r="D55" s="37">
        <v>47</v>
      </c>
      <c r="E55" s="70" t="s">
        <v>2559</v>
      </c>
      <c r="F55" s="71">
        <v>261762</v>
      </c>
      <c r="G55" s="37" t="s">
        <v>30</v>
      </c>
      <c r="H55" s="72">
        <v>42951</v>
      </c>
      <c r="I55" s="73">
        <v>42984</v>
      </c>
      <c r="J55" s="37">
        <v>181</v>
      </c>
      <c r="K55" s="36" t="s">
        <v>31</v>
      </c>
      <c r="L55" s="60" t="s">
        <v>32</v>
      </c>
      <c r="M55" s="62"/>
      <c r="N55" s="62"/>
      <c r="O55" s="63"/>
      <c r="P55" s="63"/>
    </row>
    <row r="56" spans="1:16" ht="24.75" customHeight="1" x14ac:dyDescent="0.25">
      <c r="A56" s="11" t="str">
        <f t="shared" si="1"/>
        <v>VISTOS BUENOS</v>
      </c>
      <c r="B56" s="69">
        <v>3</v>
      </c>
      <c r="C56" s="37">
        <v>40</v>
      </c>
      <c r="D56" s="37">
        <v>48</v>
      </c>
      <c r="E56" s="70" t="s">
        <v>2558</v>
      </c>
      <c r="F56" s="71">
        <v>262011</v>
      </c>
      <c r="G56" s="37" t="s">
        <v>30</v>
      </c>
      <c r="H56" s="72">
        <v>42957</v>
      </c>
      <c r="I56" s="73">
        <v>42984</v>
      </c>
      <c r="J56" s="37">
        <v>80</v>
      </c>
      <c r="K56" s="36" t="s">
        <v>31</v>
      </c>
      <c r="L56" s="60" t="s">
        <v>32</v>
      </c>
      <c r="M56" s="62"/>
      <c r="N56" s="62"/>
      <c r="O56" s="63"/>
      <c r="P56" s="63"/>
    </row>
    <row r="57" spans="1:16" ht="24.75" customHeight="1" x14ac:dyDescent="0.25">
      <c r="A57" s="11" t="str">
        <f t="shared" si="1"/>
        <v>VISTOS BUENOS</v>
      </c>
      <c r="B57" s="69">
        <v>3</v>
      </c>
      <c r="C57" s="37">
        <v>41</v>
      </c>
      <c r="D57" s="37">
        <v>49</v>
      </c>
      <c r="E57" s="70" t="s">
        <v>2560</v>
      </c>
      <c r="F57" s="71">
        <v>262017</v>
      </c>
      <c r="G57" s="37" t="s">
        <v>30</v>
      </c>
      <c r="H57" s="72">
        <v>42957</v>
      </c>
      <c r="I57" s="73">
        <v>42965</v>
      </c>
      <c r="J57" s="37">
        <v>27</v>
      </c>
      <c r="K57" s="36" t="s">
        <v>31</v>
      </c>
      <c r="L57" s="60" t="s">
        <v>32</v>
      </c>
      <c r="M57" s="62"/>
      <c r="N57" s="62"/>
      <c r="O57" s="63"/>
      <c r="P57" s="63"/>
    </row>
    <row r="58" spans="1:16" ht="24.75" customHeight="1" x14ac:dyDescent="0.25">
      <c r="A58" s="11" t="str">
        <f t="shared" si="1"/>
        <v>VISTOS BUENOS</v>
      </c>
      <c r="B58" s="69">
        <v>3</v>
      </c>
      <c r="C58" s="37">
        <v>41</v>
      </c>
      <c r="D58" s="37">
        <v>50</v>
      </c>
      <c r="E58" s="70" t="s">
        <v>2561</v>
      </c>
      <c r="F58" s="71">
        <v>262058</v>
      </c>
      <c r="G58" s="37" t="s">
        <v>30</v>
      </c>
      <c r="H58" s="72">
        <v>42962</v>
      </c>
      <c r="I58" s="73">
        <v>42977</v>
      </c>
      <c r="J58" s="37">
        <v>27</v>
      </c>
      <c r="K58" s="36" t="s">
        <v>31</v>
      </c>
      <c r="L58" s="60" t="s">
        <v>32</v>
      </c>
      <c r="M58" s="62"/>
      <c r="N58" s="62"/>
      <c r="O58" s="63"/>
      <c r="P58" s="63"/>
    </row>
    <row r="59" spans="1:16" ht="24.75" customHeight="1" x14ac:dyDescent="0.25">
      <c r="A59" s="11" t="str">
        <f t="shared" si="1"/>
        <v>VISTOS BUENOS</v>
      </c>
      <c r="B59" s="69">
        <v>3</v>
      </c>
      <c r="C59" s="37">
        <v>41</v>
      </c>
      <c r="D59" s="37">
        <v>51</v>
      </c>
      <c r="E59" s="70" t="s">
        <v>2562</v>
      </c>
      <c r="F59" s="71">
        <v>262475</v>
      </c>
      <c r="G59" s="37" t="s">
        <v>30</v>
      </c>
      <c r="H59" s="72">
        <v>42975</v>
      </c>
      <c r="I59" s="73">
        <v>42976</v>
      </c>
      <c r="J59" s="37">
        <v>55</v>
      </c>
      <c r="K59" s="36" t="s">
        <v>31</v>
      </c>
      <c r="L59" s="60" t="s">
        <v>32</v>
      </c>
      <c r="M59" s="62"/>
      <c r="N59" s="62"/>
      <c r="O59" s="63"/>
      <c r="P59" s="63"/>
    </row>
    <row r="60" spans="1:16" ht="24.75" customHeight="1" x14ac:dyDescent="0.25">
      <c r="A60" s="11" t="str">
        <f t="shared" si="1"/>
        <v>VISTOS BUENOS</v>
      </c>
      <c r="B60" s="69">
        <v>3</v>
      </c>
      <c r="C60" s="37">
        <v>42</v>
      </c>
      <c r="D60" s="37">
        <v>52</v>
      </c>
      <c r="E60" s="70" t="s">
        <v>2563</v>
      </c>
      <c r="F60" s="71">
        <v>262627</v>
      </c>
      <c r="G60" s="37" t="s">
        <v>30</v>
      </c>
      <c r="H60" s="72">
        <v>42978</v>
      </c>
      <c r="I60" s="73">
        <v>43006</v>
      </c>
      <c r="J60" s="37">
        <v>89</v>
      </c>
      <c r="K60" s="36" t="s">
        <v>31</v>
      </c>
      <c r="L60" s="60" t="s">
        <v>32</v>
      </c>
      <c r="M60" s="62"/>
      <c r="N60" s="62"/>
      <c r="O60" s="63"/>
      <c r="P60" s="63"/>
    </row>
    <row r="61" spans="1:16" ht="24.75" customHeight="1" x14ac:dyDescent="0.25">
      <c r="A61" s="11" t="str">
        <f t="shared" si="1"/>
        <v>VISTOS BUENOS</v>
      </c>
      <c r="B61" s="69">
        <v>3</v>
      </c>
      <c r="C61" s="37">
        <v>43</v>
      </c>
      <c r="D61" s="37">
        <v>53</v>
      </c>
      <c r="E61" s="70" t="s">
        <v>2564</v>
      </c>
      <c r="F61" s="71">
        <v>262945</v>
      </c>
      <c r="G61" s="37" t="s">
        <v>30</v>
      </c>
      <c r="H61" s="72">
        <v>42989</v>
      </c>
      <c r="I61" s="73">
        <v>43003</v>
      </c>
      <c r="J61" s="37">
        <v>41</v>
      </c>
      <c r="K61" s="36" t="s">
        <v>31</v>
      </c>
      <c r="L61" s="60" t="s">
        <v>32</v>
      </c>
      <c r="M61" s="62"/>
      <c r="N61" s="62"/>
      <c r="O61" s="63"/>
      <c r="P61" s="63"/>
    </row>
    <row r="62" spans="1:16" ht="24.75" customHeight="1" x14ac:dyDescent="0.25">
      <c r="A62" s="11" t="str">
        <f t="shared" si="1"/>
        <v>VISTOS BUENOS</v>
      </c>
      <c r="B62" s="69">
        <v>3</v>
      </c>
      <c r="C62" s="37" t="s">
        <v>2591</v>
      </c>
      <c r="D62" s="37">
        <v>54</v>
      </c>
      <c r="E62" s="70" t="s">
        <v>2565</v>
      </c>
      <c r="F62" s="71">
        <v>263067</v>
      </c>
      <c r="G62" s="37" t="s">
        <v>30</v>
      </c>
      <c r="H62" s="72">
        <v>42992</v>
      </c>
      <c r="I62" s="73">
        <v>43018</v>
      </c>
      <c r="J62" s="37">
        <v>530</v>
      </c>
      <c r="K62" s="36" t="s">
        <v>31</v>
      </c>
      <c r="L62" s="60" t="s">
        <v>32</v>
      </c>
      <c r="M62" s="62"/>
      <c r="N62" s="62"/>
      <c r="O62" s="63"/>
      <c r="P62" s="63"/>
    </row>
    <row r="63" spans="1:16" ht="24.75" customHeight="1" x14ac:dyDescent="0.25">
      <c r="A63" s="11" t="str">
        <f t="shared" si="1"/>
        <v>VISTOS BUENOS</v>
      </c>
      <c r="B63" s="69">
        <v>3</v>
      </c>
      <c r="C63" s="37" t="s">
        <v>2592</v>
      </c>
      <c r="D63" s="37">
        <v>55</v>
      </c>
      <c r="E63" s="70" t="s">
        <v>2566</v>
      </c>
      <c r="F63" s="71">
        <v>263167</v>
      </c>
      <c r="G63" s="37" t="s">
        <v>30</v>
      </c>
      <c r="H63" s="72">
        <v>42996</v>
      </c>
      <c r="I63" s="73">
        <v>43025</v>
      </c>
      <c r="J63" s="37">
        <v>221</v>
      </c>
      <c r="K63" s="36" t="s">
        <v>31</v>
      </c>
      <c r="L63" s="60" t="s">
        <v>32</v>
      </c>
      <c r="M63" s="62"/>
      <c r="N63" s="62"/>
      <c r="O63" s="63"/>
      <c r="P63" s="63"/>
    </row>
    <row r="64" spans="1:16" ht="24.75" customHeight="1" x14ac:dyDescent="0.25">
      <c r="A64" s="11" t="str">
        <f t="shared" si="1"/>
        <v>VISTOS BUENOS</v>
      </c>
      <c r="B64" s="69">
        <v>3</v>
      </c>
      <c r="C64" s="37" t="s">
        <v>2593</v>
      </c>
      <c r="D64" s="37">
        <v>56</v>
      </c>
      <c r="E64" s="70" t="s">
        <v>2567</v>
      </c>
      <c r="F64" s="71">
        <v>263505</v>
      </c>
      <c r="G64" s="37" t="s">
        <v>30</v>
      </c>
      <c r="H64" s="72">
        <v>43005</v>
      </c>
      <c r="I64" s="73">
        <v>43024</v>
      </c>
      <c r="J64" s="37">
        <v>192</v>
      </c>
      <c r="K64" s="36" t="s">
        <v>31</v>
      </c>
      <c r="L64" s="60" t="s">
        <v>32</v>
      </c>
      <c r="M64" s="62"/>
      <c r="N64" s="62"/>
      <c r="O64" s="63"/>
      <c r="P64" s="63"/>
    </row>
    <row r="65" spans="1:16" ht="24.75" customHeight="1" x14ac:dyDescent="0.25">
      <c r="A65" s="11" t="str">
        <f t="shared" si="1"/>
        <v>VISTOS BUENOS</v>
      </c>
      <c r="B65" s="69">
        <v>3</v>
      </c>
      <c r="C65" s="37">
        <v>53</v>
      </c>
      <c r="D65" s="37">
        <v>57</v>
      </c>
      <c r="E65" s="70" t="s">
        <v>2568</v>
      </c>
      <c r="F65" s="71">
        <v>263932</v>
      </c>
      <c r="G65" s="37" t="s">
        <v>30</v>
      </c>
      <c r="H65" s="72">
        <v>43020</v>
      </c>
      <c r="I65" s="73">
        <v>43034</v>
      </c>
      <c r="J65" s="37">
        <v>23</v>
      </c>
      <c r="K65" s="36" t="s">
        <v>31</v>
      </c>
      <c r="L65" s="60" t="s">
        <v>32</v>
      </c>
      <c r="M65" s="62"/>
      <c r="N65" s="62"/>
      <c r="O65" s="63"/>
      <c r="P65" s="63"/>
    </row>
    <row r="66" spans="1:16" ht="24.75" customHeight="1" x14ac:dyDescent="0.25">
      <c r="A66" s="11" t="str">
        <f t="shared" si="1"/>
        <v>VISTOS BUENOS</v>
      </c>
      <c r="B66" s="69">
        <v>3</v>
      </c>
      <c r="C66" s="37">
        <v>53</v>
      </c>
      <c r="D66" s="37">
        <v>58</v>
      </c>
      <c r="E66" s="70" t="s">
        <v>2569</v>
      </c>
      <c r="F66" s="71">
        <v>264000</v>
      </c>
      <c r="G66" s="37" t="s">
        <v>30</v>
      </c>
      <c r="H66" s="72">
        <v>43021</v>
      </c>
      <c r="I66" s="73">
        <v>43033</v>
      </c>
      <c r="J66" s="37">
        <v>29</v>
      </c>
      <c r="K66" s="36" t="s">
        <v>31</v>
      </c>
      <c r="L66" s="60" t="s">
        <v>32</v>
      </c>
      <c r="M66" s="62"/>
      <c r="N66" s="62"/>
      <c r="O66" s="63"/>
      <c r="P66" s="63"/>
    </row>
    <row r="67" spans="1:16" ht="24.75" customHeight="1" x14ac:dyDescent="0.25">
      <c r="A67" s="11" t="str">
        <f t="shared" si="1"/>
        <v>VISTOS BUENOS</v>
      </c>
      <c r="B67" s="69">
        <v>3</v>
      </c>
      <c r="C67" s="37" t="s">
        <v>2594</v>
      </c>
      <c r="D67" s="37">
        <v>59</v>
      </c>
      <c r="E67" s="70" t="s">
        <v>2570</v>
      </c>
      <c r="F67" s="71">
        <v>264003</v>
      </c>
      <c r="G67" s="37" t="s">
        <v>30</v>
      </c>
      <c r="H67" s="72">
        <v>43021</v>
      </c>
      <c r="I67" s="73">
        <v>43040</v>
      </c>
      <c r="J67" s="37">
        <v>198</v>
      </c>
      <c r="K67" s="36" t="s">
        <v>31</v>
      </c>
      <c r="L67" s="60" t="s">
        <v>32</v>
      </c>
      <c r="M67" s="62"/>
      <c r="N67" s="62"/>
      <c r="O67" s="63"/>
      <c r="P67" s="63"/>
    </row>
    <row r="68" spans="1:16" ht="24.75" customHeight="1" x14ac:dyDescent="0.25">
      <c r="A68" s="11" t="str">
        <f t="shared" si="1"/>
        <v>VISTOS BUENOS</v>
      </c>
      <c r="B68" s="69">
        <v>3</v>
      </c>
      <c r="C68" s="37">
        <v>56</v>
      </c>
      <c r="D68" s="37">
        <v>60</v>
      </c>
      <c r="E68" s="70" t="s">
        <v>2571</v>
      </c>
      <c r="F68" s="71">
        <v>264109</v>
      </c>
      <c r="G68" s="37" t="s">
        <v>30</v>
      </c>
      <c r="H68" s="72">
        <v>43026</v>
      </c>
      <c r="I68" s="73">
        <v>43046</v>
      </c>
      <c r="J68" s="37">
        <v>32</v>
      </c>
      <c r="K68" s="36" t="s">
        <v>31</v>
      </c>
      <c r="L68" s="60" t="s">
        <v>32</v>
      </c>
      <c r="M68" s="62"/>
      <c r="N68" s="62"/>
      <c r="O68" s="63"/>
      <c r="P68" s="63"/>
    </row>
    <row r="69" spans="1:16" ht="24.75" customHeight="1" x14ac:dyDescent="0.25">
      <c r="A69" s="11" t="str">
        <f t="shared" si="1"/>
        <v>VISTOS BUENOS</v>
      </c>
      <c r="B69" s="69">
        <v>3</v>
      </c>
      <c r="C69" s="37">
        <v>57</v>
      </c>
      <c r="D69" s="37">
        <v>61</v>
      </c>
      <c r="E69" s="70" t="s">
        <v>2572</v>
      </c>
      <c r="F69" s="71">
        <v>264206</v>
      </c>
      <c r="G69" s="37" t="s">
        <v>30</v>
      </c>
      <c r="H69" s="72">
        <v>43028</v>
      </c>
      <c r="I69" s="73">
        <v>43047</v>
      </c>
      <c r="J69" s="37">
        <v>93</v>
      </c>
      <c r="K69" s="36" t="s">
        <v>31</v>
      </c>
      <c r="L69" s="60" t="s">
        <v>32</v>
      </c>
      <c r="M69" s="62"/>
      <c r="N69" s="62"/>
      <c r="O69" s="63"/>
      <c r="P69" s="63"/>
    </row>
    <row r="70" spans="1:16" ht="24.75" customHeight="1" x14ac:dyDescent="0.25">
      <c r="A70" s="11" t="str">
        <f t="shared" si="1"/>
        <v>VISTOS BUENOS</v>
      </c>
      <c r="B70" s="69">
        <v>3</v>
      </c>
      <c r="C70" s="37">
        <v>58</v>
      </c>
      <c r="D70" s="37">
        <v>62</v>
      </c>
      <c r="E70" s="70" t="s">
        <v>2573</v>
      </c>
      <c r="F70" s="71">
        <v>264419</v>
      </c>
      <c r="G70" s="37" t="s">
        <v>30</v>
      </c>
      <c r="H70" s="72">
        <v>43034</v>
      </c>
      <c r="I70" s="73">
        <v>43048</v>
      </c>
      <c r="J70" s="37">
        <v>48</v>
      </c>
      <c r="K70" s="36" t="s">
        <v>31</v>
      </c>
      <c r="L70" s="60" t="s">
        <v>32</v>
      </c>
      <c r="M70" s="62"/>
      <c r="N70" s="62"/>
      <c r="O70" s="63"/>
      <c r="P70" s="63"/>
    </row>
    <row r="71" spans="1:16" ht="24.75" customHeight="1" x14ac:dyDescent="0.25">
      <c r="A71" s="11" t="str">
        <f t="shared" si="1"/>
        <v>VISTOS BUENOS</v>
      </c>
      <c r="B71" s="69">
        <v>3</v>
      </c>
      <c r="C71" s="37" t="s">
        <v>2595</v>
      </c>
      <c r="D71" s="37">
        <v>63</v>
      </c>
      <c r="E71" s="70" t="s">
        <v>2574</v>
      </c>
      <c r="F71" s="71">
        <v>264523</v>
      </c>
      <c r="G71" s="37" t="s">
        <v>30</v>
      </c>
      <c r="H71" s="72">
        <v>43039</v>
      </c>
      <c r="I71" s="73">
        <v>43062</v>
      </c>
      <c r="J71" s="37">
        <v>169</v>
      </c>
      <c r="K71" s="36" t="s">
        <v>31</v>
      </c>
      <c r="L71" s="60" t="s">
        <v>32</v>
      </c>
      <c r="M71" s="62"/>
      <c r="N71" s="62"/>
      <c r="O71" s="63"/>
      <c r="P71" s="63"/>
    </row>
    <row r="72" spans="1:16" ht="24.75" customHeight="1" x14ac:dyDescent="0.25">
      <c r="A72" s="11" t="str">
        <f t="shared" si="1"/>
        <v>VISTOS BUENOS</v>
      </c>
      <c r="B72" s="69">
        <v>3</v>
      </c>
      <c r="C72" s="37">
        <v>61</v>
      </c>
      <c r="D72" s="37">
        <v>64</v>
      </c>
      <c r="E72" s="70" t="s">
        <v>2575</v>
      </c>
      <c r="F72" s="71">
        <v>264618</v>
      </c>
      <c r="G72" s="37" t="s">
        <v>30</v>
      </c>
      <c r="H72" s="72">
        <v>43046</v>
      </c>
      <c r="I72" s="73">
        <v>43063</v>
      </c>
      <c r="J72" s="37">
        <v>40</v>
      </c>
      <c r="K72" s="36" t="s">
        <v>31</v>
      </c>
      <c r="L72" s="60" t="s">
        <v>32</v>
      </c>
      <c r="M72" s="62"/>
      <c r="N72" s="62"/>
      <c r="O72" s="63"/>
      <c r="P72" s="63"/>
    </row>
    <row r="73" spans="1:16" ht="24.75" customHeight="1" x14ac:dyDescent="0.25">
      <c r="A73" s="11" t="str">
        <f t="shared" si="1"/>
        <v>VISTOS BUENOS</v>
      </c>
      <c r="B73" s="69">
        <v>3</v>
      </c>
      <c r="C73" s="37">
        <v>61</v>
      </c>
      <c r="D73" s="37">
        <v>65</v>
      </c>
      <c r="E73" s="70" t="s">
        <v>2576</v>
      </c>
      <c r="F73" s="71">
        <v>264622</v>
      </c>
      <c r="G73" s="37" t="s">
        <v>30</v>
      </c>
      <c r="H73" s="72">
        <v>43046</v>
      </c>
      <c r="I73" s="73">
        <v>43053</v>
      </c>
      <c r="J73" s="37">
        <v>26</v>
      </c>
      <c r="K73" s="36" t="s">
        <v>31</v>
      </c>
      <c r="L73" s="60" t="s">
        <v>32</v>
      </c>
      <c r="M73" s="62"/>
      <c r="N73" s="62"/>
      <c r="O73" s="63"/>
      <c r="P73" s="63"/>
    </row>
    <row r="74" spans="1:16" ht="24.75" customHeight="1" x14ac:dyDescent="0.25">
      <c r="A74" s="11" t="str">
        <f t="shared" ref="A74:A82" si="2">A73</f>
        <v>VISTOS BUENOS</v>
      </c>
      <c r="B74" s="69">
        <v>4</v>
      </c>
      <c r="C74" s="37">
        <v>62</v>
      </c>
      <c r="D74" s="37">
        <v>66</v>
      </c>
      <c r="E74" s="70" t="s">
        <v>2576</v>
      </c>
      <c r="F74" s="71">
        <v>264930</v>
      </c>
      <c r="G74" s="37" t="s">
        <v>30</v>
      </c>
      <c r="H74" s="72">
        <v>43054</v>
      </c>
      <c r="I74" s="73">
        <v>43084</v>
      </c>
      <c r="J74" s="37">
        <v>40</v>
      </c>
      <c r="K74" s="36" t="s">
        <v>31</v>
      </c>
      <c r="L74" s="60" t="s">
        <v>32</v>
      </c>
      <c r="M74" s="62"/>
      <c r="N74" s="62"/>
      <c r="O74" s="63"/>
      <c r="P74" s="63"/>
    </row>
    <row r="75" spans="1:16" ht="24.75" customHeight="1" x14ac:dyDescent="0.25">
      <c r="A75" s="11" t="str">
        <f t="shared" si="2"/>
        <v>VISTOS BUENOS</v>
      </c>
      <c r="B75" s="69">
        <v>4</v>
      </c>
      <c r="C75" s="37">
        <v>62</v>
      </c>
      <c r="D75" s="37">
        <v>67</v>
      </c>
      <c r="E75" s="70" t="s">
        <v>2577</v>
      </c>
      <c r="F75" s="71">
        <v>265211</v>
      </c>
      <c r="G75" s="37" t="s">
        <v>30</v>
      </c>
      <c r="H75" s="72">
        <v>43062</v>
      </c>
      <c r="I75" s="73">
        <v>43069</v>
      </c>
      <c r="J75" s="37">
        <v>25</v>
      </c>
      <c r="K75" s="36" t="s">
        <v>31</v>
      </c>
      <c r="L75" s="60" t="s">
        <v>32</v>
      </c>
      <c r="M75" s="62"/>
      <c r="N75" s="62"/>
      <c r="O75" s="63"/>
      <c r="P75" s="63"/>
    </row>
    <row r="76" spans="1:16" ht="24.75" customHeight="1" x14ac:dyDescent="0.25">
      <c r="A76" s="11" t="str">
        <f t="shared" si="2"/>
        <v>VISTOS BUENOS</v>
      </c>
      <c r="B76" s="69">
        <v>4</v>
      </c>
      <c r="C76" s="37" t="s">
        <v>2596</v>
      </c>
      <c r="D76" s="37">
        <v>68</v>
      </c>
      <c r="E76" s="70" t="s">
        <v>2578</v>
      </c>
      <c r="F76" s="71">
        <v>265229</v>
      </c>
      <c r="G76" s="37" t="s">
        <v>30</v>
      </c>
      <c r="H76" s="72">
        <v>43062</v>
      </c>
      <c r="I76" s="73">
        <v>43080</v>
      </c>
      <c r="J76" s="37">
        <v>222</v>
      </c>
      <c r="K76" s="36" t="s">
        <v>31</v>
      </c>
      <c r="L76" s="60" t="s">
        <v>32</v>
      </c>
      <c r="M76" s="62"/>
      <c r="N76" s="62"/>
      <c r="O76" s="63"/>
      <c r="P76" s="63"/>
    </row>
    <row r="77" spans="1:16" ht="24.75" customHeight="1" x14ac:dyDescent="0.25">
      <c r="A77" s="11" t="str">
        <f t="shared" si="2"/>
        <v>VISTOS BUENOS</v>
      </c>
      <c r="B77" s="69">
        <v>4</v>
      </c>
      <c r="C77" s="37" t="s">
        <v>2597</v>
      </c>
      <c r="D77" s="37">
        <v>69</v>
      </c>
      <c r="E77" s="70" t="s">
        <v>2579</v>
      </c>
      <c r="F77" s="71">
        <v>265230</v>
      </c>
      <c r="G77" s="37" t="s">
        <v>30</v>
      </c>
      <c r="H77" s="72">
        <v>43062</v>
      </c>
      <c r="I77" s="73">
        <v>43076</v>
      </c>
      <c r="J77" s="37">
        <v>161</v>
      </c>
      <c r="K77" s="36" t="s">
        <v>31</v>
      </c>
      <c r="L77" s="60" t="s">
        <v>32</v>
      </c>
      <c r="M77" s="62"/>
      <c r="N77" s="62"/>
      <c r="O77" s="63"/>
      <c r="P77" s="63"/>
    </row>
    <row r="78" spans="1:16" ht="24.75" customHeight="1" x14ac:dyDescent="0.25">
      <c r="A78" s="11" t="str">
        <f t="shared" si="2"/>
        <v>VISTOS BUENOS</v>
      </c>
      <c r="B78" s="69">
        <v>4</v>
      </c>
      <c r="C78" s="37">
        <v>67</v>
      </c>
      <c r="D78" s="37">
        <v>70</v>
      </c>
      <c r="E78" s="70" t="s">
        <v>2580</v>
      </c>
      <c r="F78" s="71">
        <v>265264</v>
      </c>
      <c r="G78" s="37" t="s">
        <v>30</v>
      </c>
      <c r="H78" s="72">
        <v>43063</v>
      </c>
      <c r="I78" s="73">
        <v>43082</v>
      </c>
      <c r="J78" s="37">
        <v>84</v>
      </c>
      <c r="K78" s="36" t="s">
        <v>31</v>
      </c>
      <c r="L78" s="60" t="s">
        <v>32</v>
      </c>
      <c r="M78" s="62"/>
      <c r="N78" s="62"/>
      <c r="O78" s="63"/>
      <c r="P78" s="63"/>
    </row>
    <row r="79" spans="1:16" ht="24.75" customHeight="1" x14ac:dyDescent="0.25">
      <c r="A79" s="11" t="str">
        <f t="shared" si="2"/>
        <v>VISTOS BUENOS</v>
      </c>
      <c r="B79" s="69">
        <v>4</v>
      </c>
      <c r="C79" s="37">
        <v>68</v>
      </c>
      <c r="D79" s="37">
        <v>71</v>
      </c>
      <c r="E79" s="70" t="s">
        <v>2581</v>
      </c>
      <c r="F79" s="71">
        <v>265492</v>
      </c>
      <c r="G79" s="37" t="s">
        <v>30</v>
      </c>
      <c r="H79" s="72">
        <v>43073</v>
      </c>
      <c r="I79" s="73">
        <v>43097</v>
      </c>
      <c r="J79" s="37">
        <v>100</v>
      </c>
      <c r="K79" s="36" t="s">
        <v>31</v>
      </c>
      <c r="L79" s="60" t="s">
        <v>32</v>
      </c>
      <c r="M79" s="62"/>
      <c r="N79" s="62"/>
      <c r="O79" s="63"/>
      <c r="P79" s="63"/>
    </row>
    <row r="80" spans="1:16" ht="24.75" customHeight="1" x14ac:dyDescent="0.25">
      <c r="A80" s="11" t="str">
        <f t="shared" si="2"/>
        <v>VISTOS BUENOS</v>
      </c>
      <c r="B80" s="69">
        <v>4</v>
      </c>
      <c r="C80" s="37">
        <v>69</v>
      </c>
      <c r="D80" s="37">
        <v>72</v>
      </c>
      <c r="E80" s="70" t="s">
        <v>2582</v>
      </c>
      <c r="F80" s="71">
        <v>265572</v>
      </c>
      <c r="G80" s="37" t="s">
        <v>30</v>
      </c>
      <c r="H80" s="72">
        <v>43074</v>
      </c>
      <c r="I80" s="73">
        <v>43082</v>
      </c>
      <c r="J80" s="37">
        <v>78</v>
      </c>
      <c r="K80" s="36" t="s">
        <v>31</v>
      </c>
      <c r="L80" s="60" t="s">
        <v>32</v>
      </c>
      <c r="M80" s="62"/>
      <c r="N80" s="62"/>
      <c r="O80" s="63"/>
      <c r="P80" s="63"/>
    </row>
    <row r="81" spans="1:16" ht="24.75" customHeight="1" x14ac:dyDescent="0.25">
      <c r="A81" s="11" t="str">
        <f t="shared" si="2"/>
        <v>VISTOS BUENOS</v>
      </c>
      <c r="B81" s="69">
        <v>4</v>
      </c>
      <c r="C81" s="37">
        <v>70</v>
      </c>
      <c r="D81" s="37">
        <v>73</v>
      </c>
      <c r="E81" s="70" t="s">
        <v>2583</v>
      </c>
      <c r="F81" s="71">
        <v>265575</v>
      </c>
      <c r="G81" s="37" t="s">
        <v>30</v>
      </c>
      <c r="H81" s="72">
        <v>43074</v>
      </c>
      <c r="I81" s="73">
        <v>43081</v>
      </c>
      <c r="J81" s="37">
        <v>81</v>
      </c>
      <c r="K81" s="36" t="s">
        <v>31</v>
      </c>
      <c r="L81" s="60" t="s">
        <v>32</v>
      </c>
      <c r="M81" s="62"/>
      <c r="N81" s="62"/>
      <c r="O81" s="63"/>
      <c r="P81" s="63"/>
    </row>
    <row r="82" spans="1:16" ht="24.75" customHeight="1" x14ac:dyDescent="0.25">
      <c r="A82" s="11" t="str">
        <f t="shared" si="2"/>
        <v>VISTOS BUENOS</v>
      </c>
      <c r="B82" s="69">
        <v>4</v>
      </c>
      <c r="C82" s="37" t="s">
        <v>2598</v>
      </c>
      <c r="D82" s="37">
        <v>74</v>
      </c>
      <c r="E82" s="70" t="s">
        <v>2584</v>
      </c>
      <c r="F82" s="71">
        <v>265584</v>
      </c>
      <c r="G82" s="37" t="s">
        <v>30</v>
      </c>
      <c r="H82" s="72">
        <v>43075</v>
      </c>
      <c r="I82" s="73">
        <v>43097</v>
      </c>
      <c r="J82" s="37">
        <v>245</v>
      </c>
      <c r="K82" s="36" t="s">
        <v>31</v>
      </c>
      <c r="L82" s="60" t="s">
        <v>32</v>
      </c>
      <c r="M82" s="62"/>
      <c r="N82" s="62"/>
      <c r="O82" s="63"/>
      <c r="P82" s="63"/>
    </row>
    <row r="83" spans="1:16" ht="24.75" customHeight="1" x14ac:dyDescent="0.25">
      <c r="A83" s="11" t="e">
        <f>'2019'!#REF!</f>
        <v>#REF!</v>
      </c>
      <c r="B83" s="69">
        <v>4</v>
      </c>
      <c r="C83" s="37">
        <v>73</v>
      </c>
      <c r="D83" s="37">
        <v>75</v>
      </c>
      <c r="E83" s="70" t="s">
        <v>2586</v>
      </c>
      <c r="F83" s="71">
        <v>256490</v>
      </c>
      <c r="G83" s="37" t="s">
        <v>30</v>
      </c>
      <c r="H83" s="72">
        <v>42788</v>
      </c>
      <c r="I83" s="73">
        <v>42796</v>
      </c>
      <c r="J83" s="37">
        <v>37</v>
      </c>
      <c r="K83" s="36" t="s">
        <v>31</v>
      </c>
      <c r="L83" s="60" t="s">
        <v>32</v>
      </c>
      <c r="M83" s="62"/>
      <c r="N83" s="62"/>
      <c r="O83" s="63"/>
      <c r="P83" s="63"/>
    </row>
    <row r="84" spans="1:16" ht="24.75" customHeight="1" x14ac:dyDescent="0.25">
      <c r="A84" s="11" t="str">
        <f>'2016'!A183</f>
        <v>VISTOS BUENOS</v>
      </c>
      <c r="B84" s="22">
        <v>9</v>
      </c>
      <c r="C84" s="46" t="s">
        <v>2824</v>
      </c>
      <c r="D84" s="37">
        <v>76</v>
      </c>
      <c r="E84" s="70" t="s">
        <v>2322</v>
      </c>
      <c r="F84" s="71" t="s">
        <v>2506</v>
      </c>
      <c r="G84" s="46" t="s">
        <v>30</v>
      </c>
      <c r="H84" s="65">
        <v>42718</v>
      </c>
      <c r="I84" s="64">
        <v>42751</v>
      </c>
      <c r="J84" s="46">
        <v>215</v>
      </c>
      <c r="K84" s="36" t="s">
        <v>31</v>
      </c>
      <c r="L84" s="60" t="s">
        <v>32</v>
      </c>
      <c r="M84" s="62"/>
      <c r="N84" s="62"/>
      <c r="O84" s="63"/>
      <c r="P84" s="63"/>
    </row>
    <row r="85" spans="1:16" ht="24.75" customHeight="1" x14ac:dyDescent="0.25">
      <c r="A85" s="11" t="str">
        <f>A84</f>
        <v>VISTOS BUENOS</v>
      </c>
      <c r="B85" s="22">
        <v>9</v>
      </c>
      <c r="C85" s="46">
        <v>76</v>
      </c>
      <c r="D85" s="37">
        <v>77</v>
      </c>
      <c r="E85" s="70" t="s">
        <v>2323</v>
      </c>
      <c r="F85" s="71" t="s">
        <v>2507</v>
      </c>
      <c r="G85" s="46" t="s">
        <v>30</v>
      </c>
      <c r="H85" s="65">
        <v>42719</v>
      </c>
      <c r="I85" s="64">
        <v>42748</v>
      </c>
      <c r="J85" s="46">
        <v>115</v>
      </c>
      <c r="K85" s="36" t="s">
        <v>31</v>
      </c>
      <c r="L85" s="60" t="s">
        <v>32</v>
      </c>
      <c r="M85" s="62"/>
      <c r="N85" s="62"/>
      <c r="O85" s="63"/>
      <c r="P85" s="63"/>
    </row>
    <row r="86" spans="1:16" ht="24.75" customHeight="1" x14ac:dyDescent="0.25">
      <c r="A86" s="11" t="str">
        <f>A85</f>
        <v>VISTOS BUENOS</v>
      </c>
      <c r="B86" s="22">
        <v>9</v>
      </c>
      <c r="C86" s="46">
        <v>77</v>
      </c>
      <c r="D86" s="37">
        <v>78</v>
      </c>
      <c r="E86" s="70" t="s">
        <v>2324</v>
      </c>
      <c r="F86" s="71" t="s">
        <v>2508</v>
      </c>
      <c r="G86" s="46" t="s">
        <v>30</v>
      </c>
      <c r="H86" s="65">
        <v>42724</v>
      </c>
      <c r="I86" s="64">
        <v>42751</v>
      </c>
      <c r="J86" s="46">
        <v>94</v>
      </c>
      <c r="K86" s="36" t="s">
        <v>31</v>
      </c>
      <c r="L86" s="60" t="s">
        <v>32</v>
      </c>
      <c r="M86" s="62"/>
      <c r="N86" s="62"/>
      <c r="O86" s="63"/>
      <c r="P86" s="63"/>
    </row>
    <row r="87" spans="1:16" ht="24.75" customHeight="1" x14ac:dyDescent="0.25">
      <c r="A87" s="11" t="str">
        <f>A86</f>
        <v>VISTOS BUENOS</v>
      </c>
      <c r="B87" s="22">
        <v>9</v>
      </c>
      <c r="C87" s="46">
        <v>78</v>
      </c>
      <c r="D87" s="37">
        <v>79</v>
      </c>
      <c r="E87" s="70" t="s">
        <v>2310</v>
      </c>
      <c r="F87" s="71" t="s">
        <v>2509</v>
      </c>
      <c r="G87" s="46" t="s">
        <v>30</v>
      </c>
      <c r="H87" s="65">
        <v>42725</v>
      </c>
      <c r="I87" s="64">
        <v>42746</v>
      </c>
      <c r="J87" s="46">
        <v>153</v>
      </c>
      <c r="K87" s="36" t="s">
        <v>31</v>
      </c>
      <c r="L87" s="60" t="s">
        <v>32</v>
      </c>
      <c r="M87" s="62"/>
      <c r="N87" s="62"/>
      <c r="O87" s="63"/>
      <c r="P87" s="63"/>
    </row>
    <row r="88" spans="1:16" ht="24.75" customHeight="1" x14ac:dyDescent="0.25">
      <c r="A88" s="11" t="str">
        <f>A87</f>
        <v>VISTOS BUENOS</v>
      </c>
      <c r="B88" s="22">
        <v>9</v>
      </c>
      <c r="C88" s="46">
        <v>79</v>
      </c>
      <c r="D88" s="37">
        <v>80</v>
      </c>
      <c r="E88" s="70" t="s">
        <v>2325</v>
      </c>
      <c r="F88" s="71" t="s">
        <v>2510</v>
      </c>
      <c r="G88" s="46" t="s">
        <v>30</v>
      </c>
      <c r="H88" s="65">
        <v>42725</v>
      </c>
      <c r="I88" s="64">
        <v>42746</v>
      </c>
      <c r="J88" s="46">
        <v>150</v>
      </c>
      <c r="K88" s="36" t="s">
        <v>31</v>
      </c>
      <c r="L88" s="60" t="s">
        <v>32</v>
      </c>
      <c r="M88" s="62"/>
      <c r="N88" s="62"/>
      <c r="O88" s="63"/>
      <c r="P88" s="63"/>
    </row>
    <row r="89" spans="1:16" ht="24.75" customHeight="1" x14ac:dyDescent="0.25">
      <c r="A89" s="11" t="str">
        <f>'2016'!A184</f>
        <v>VISTOS BUENOS</v>
      </c>
      <c r="B89" s="22">
        <v>9</v>
      </c>
      <c r="C89" s="46">
        <v>80</v>
      </c>
      <c r="D89" s="37">
        <v>81</v>
      </c>
      <c r="E89" s="70" t="s">
        <v>2327</v>
      </c>
      <c r="F89" s="71" t="s">
        <v>2512</v>
      </c>
      <c r="G89" s="46" t="s">
        <v>30</v>
      </c>
      <c r="H89" s="65">
        <v>42726</v>
      </c>
      <c r="I89" s="64">
        <v>42741</v>
      </c>
      <c r="J89" s="46">
        <v>55</v>
      </c>
      <c r="K89" s="36" t="s">
        <v>31</v>
      </c>
      <c r="L89" s="60" t="s">
        <v>32</v>
      </c>
      <c r="M89" s="62"/>
      <c r="N89" s="62"/>
      <c r="O89" s="63"/>
      <c r="P89" s="63"/>
    </row>
    <row r="90" spans="1:16" ht="24.75" customHeight="1" x14ac:dyDescent="0.25">
      <c r="A90" s="11" t="str">
        <f>A89</f>
        <v>VISTOS BUENOS</v>
      </c>
      <c r="B90" s="22">
        <v>9</v>
      </c>
      <c r="C90" s="46">
        <v>81</v>
      </c>
      <c r="D90" s="37">
        <v>82</v>
      </c>
      <c r="E90" s="70" t="s">
        <v>2328</v>
      </c>
      <c r="F90" s="71" t="s">
        <v>2513</v>
      </c>
      <c r="G90" s="46" t="s">
        <v>30</v>
      </c>
      <c r="H90" s="65">
        <v>42733</v>
      </c>
      <c r="I90" s="64">
        <v>42760</v>
      </c>
      <c r="J90" s="46">
        <v>102</v>
      </c>
      <c r="K90" s="36" t="s">
        <v>31</v>
      </c>
      <c r="L90" s="60" t="s">
        <v>32</v>
      </c>
      <c r="M90" s="62"/>
      <c r="N90" s="62"/>
      <c r="O90" s="63"/>
      <c r="P90" s="63"/>
    </row>
    <row r="91" spans="1:16" ht="24.75" customHeight="1" x14ac:dyDescent="0.25">
      <c r="A91" s="11" t="str">
        <f>A90</f>
        <v>VISTOS BUENOS</v>
      </c>
      <c r="B91" s="22">
        <v>9</v>
      </c>
      <c r="C91" s="46">
        <v>82</v>
      </c>
      <c r="D91" s="37">
        <v>83</v>
      </c>
      <c r="E91" s="70" t="s">
        <v>2329</v>
      </c>
      <c r="F91" s="71" t="s">
        <v>2514</v>
      </c>
      <c r="G91" s="46" t="s">
        <v>30</v>
      </c>
      <c r="H91" s="65">
        <v>42734</v>
      </c>
      <c r="I91" s="64">
        <v>42740</v>
      </c>
      <c r="J91" s="46">
        <v>36</v>
      </c>
      <c r="K91" s="36" t="s">
        <v>31</v>
      </c>
      <c r="L91" s="60" t="s">
        <v>32</v>
      </c>
      <c r="M91" s="62"/>
      <c r="N91" s="62"/>
      <c r="O91" s="63"/>
      <c r="P91" s="63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opLeftCell="A85" zoomScale="145" zoomScaleNormal="145" workbookViewId="0">
      <selection activeCell="E90" sqref="E90"/>
    </sheetView>
  </sheetViews>
  <sheetFormatPr baseColWidth="10" defaultColWidth="9.140625" defaultRowHeight="15" x14ac:dyDescent="0.25"/>
  <cols>
    <col min="1" max="1" width="9.28515625" style="16" customWidth="1"/>
    <col min="2" max="2" width="5" style="16" customWidth="1"/>
    <col min="3" max="3" width="9.140625" style="16" customWidth="1"/>
    <col min="4" max="4" width="4.140625" style="16" customWidth="1"/>
    <col min="5" max="5" width="27.42578125" style="16" customWidth="1"/>
    <col min="6" max="6" width="14.42578125" style="16" customWidth="1"/>
    <col min="7" max="7" width="6.42578125" style="16" customWidth="1"/>
    <col min="8" max="8" width="6.28515625" style="16" customWidth="1"/>
    <col min="9" max="15" width="6.42578125" style="16" customWidth="1"/>
    <col min="16" max="16" width="6.28515625" style="16" customWidth="1"/>
    <col min="17" max="16384" width="9.140625" style="16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5" t="str">
        <f>D6</f>
        <v>VISTOS BUENOS</v>
      </c>
      <c r="B9" s="69">
        <v>1</v>
      </c>
      <c r="C9" s="75" t="s">
        <v>2811</v>
      </c>
      <c r="D9" s="37">
        <v>1</v>
      </c>
      <c r="E9" s="70" t="s">
        <v>2599</v>
      </c>
      <c r="F9" s="71">
        <v>266310</v>
      </c>
      <c r="G9" s="37" t="s">
        <v>30</v>
      </c>
      <c r="H9" s="72" t="s">
        <v>2690</v>
      </c>
      <c r="I9" s="73" t="s">
        <v>2757</v>
      </c>
      <c r="J9" s="37">
        <v>204</v>
      </c>
      <c r="K9" s="36" t="s">
        <v>31</v>
      </c>
      <c r="L9" s="60" t="s">
        <v>32</v>
      </c>
      <c r="M9" s="62"/>
      <c r="N9" s="62"/>
      <c r="O9" s="63"/>
      <c r="P9" s="63"/>
    </row>
    <row r="10" spans="1:16" ht="24.75" customHeight="1" x14ac:dyDescent="0.25">
      <c r="A10" s="15" t="str">
        <f>A9</f>
        <v>VISTOS BUENOS</v>
      </c>
      <c r="B10" s="69">
        <v>1</v>
      </c>
      <c r="C10" s="37">
        <v>3</v>
      </c>
      <c r="D10" s="37">
        <v>2</v>
      </c>
      <c r="E10" s="70" t="s">
        <v>2600</v>
      </c>
      <c r="F10" s="71">
        <v>266655</v>
      </c>
      <c r="G10" s="37" t="s">
        <v>30</v>
      </c>
      <c r="H10" s="72" t="s">
        <v>2691</v>
      </c>
      <c r="I10" s="73" t="s">
        <v>2758</v>
      </c>
      <c r="J10" s="37">
        <v>36</v>
      </c>
      <c r="K10" s="36" t="s">
        <v>31</v>
      </c>
      <c r="L10" s="60" t="s">
        <v>32</v>
      </c>
      <c r="M10" s="62"/>
      <c r="N10" s="62"/>
      <c r="O10" s="63"/>
      <c r="P10" s="63"/>
    </row>
    <row r="11" spans="1:16" ht="24.75" customHeight="1" x14ac:dyDescent="0.25">
      <c r="A11" s="15" t="str">
        <f t="shared" ref="A11:A74" si="0">A10</f>
        <v>VISTOS BUENOS</v>
      </c>
      <c r="B11" s="69">
        <v>1</v>
      </c>
      <c r="C11" s="37">
        <v>3</v>
      </c>
      <c r="D11" s="37">
        <v>3</v>
      </c>
      <c r="E11" s="70" t="s">
        <v>2601</v>
      </c>
      <c r="F11" s="71">
        <v>266822</v>
      </c>
      <c r="G11" s="37" t="s">
        <v>30</v>
      </c>
      <c r="H11" s="72" t="s">
        <v>2692</v>
      </c>
      <c r="I11" s="73" t="s">
        <v>2759</v>
      </c>
      <c r="J11" s="37">
        <v>77</v>
      </c>
      <c r="K11" s="36" t="s">
        <v>31</v>
      </c>
      <c r="L11" s="60" t="s">
        <v>32</v>
      </c>
      <c r="M11" s="62"/>
      <c r="N11" s="62"/>
      <c r="O11" s="63"/>
      <c r="P11" s="63"/>
    </row>
    <row r="12" spans="1:16" ht="24.75" customHeight="1" x14ac:dyDescent="0.25">
      <c r="A12" s="15" t="str">
        <f t="shared" si="0"/>
        <v>VISTOS BUENOS</v>
      </c>
      <c r="B12" s="69">
        <v>1</v>
      </c>
      <c r="C12" s="37">
        <v>4</v>
      </c>
      <c r="D12" s="37">
        <v>4</v>
      </c>
      <c r="E12" s="70" t="s">
        <v>2602</v>
      </c>
      <c r="F12" s="71">
        <v>266837</v>
      </c>
      <c r="G12" s="37" t="s">
        <v>30</v>
      </c>
      <c r="H12" s="72" t="s">
        <v>2692</v>
      </c>
      <c r="I12" s="73" t="s">
        <v>2759</v>
      </c>
      <c r="J12" s="37">
        <v>90</v>
      </c>
      <c r="K12" s="36" t="s">
        <v>31</v>
      </c>
      <c r="L12" s="60" t="s">
        <v>32</v>
      </c>
      <c r="M12" s="62"/>
      <c r="N12" s="62"/>
      <c r="O12" s="63"/>
      <c r="P12" s="63"/>
    </row>
    <row r="13" spans="1:16" ht="24.75" customHeight="1" x14ac:dyDescent="0.25">
      <c r="A13" s="15" t="str">
        <f t="shared" si="0"/>
        <v>VISTOS BUENOS</v>
      </c>
      <c r="B13" s="69">
        <v>1</v>
      </c>
      <c r="C13" s="37">
        <v>5</v>
      </c>
      <c r="D13" s="37">
        <v>5</v>
      </c>
      <c r="E13" s="70" t="s">
        <v>2603</v>
      </c>
      <c r="F13" s="71">
        <v>266996</v>
      </c>
      <c r="G13" s="37" t="s">
        <v>30</v>
      </c>
      <c r="H13" s="72" t="s">
        <v>2693</v>
      </c>
      <c r="I13" s="73" t="s">
        <v>2701</v>
      </c>
      <c r="J13" s="37">
        <v>90</v>
      </c>
      <c r="K13" s="36" t="s">
        <v>31</v>
      </c>
      <c r="L13" s="60" t="s">
        <v>32</v>
      </c>
      <c r="M13" s="62"/>
      <c r="N13" s="62"/>
      <c r="O13" s="63"/>
      <c r="P13" s="63"/>
    </row>
    <row r="14" spans="1:16" ht="24.75" customHeight="1" x14ac:dyDescent="0.25">
      <c r="A14" s="15" t="str">
        <f t="shared" si="0"/>
        <v>VISTOS BUENOS</v>
      </c>
      <c r="B14" s="69">
        <v>1</v>
      </c>
      <c r="C14" s="37">
        <v>6</v>
      </c>
      <c r="D14" s="37">
        <v>6</v>
      </c>
      <c r="E14" s="70" t="s">
        <v>2604</v>
      </c>
      <c r="F14" s="71">
        <v>267430</v>
      </c>
      <c r="G14" s="37" t="s">
        <v>30</v>
      </c>
      <c r="H14" s="72" t="s">
        <v>2694</v>
      </c>
      <c r="I14" s="73" t="s">
        <v>2760</v>
      </c>
      <c r="J14" s="37">
        <v>34</v>
      </c>
      <c r="K14" s="36" t="s">
        <v>31</v>
      </c>
      <c r="L14" s="60" t="s">
        <v>32</v>
      </c>
      <c r="M14" s="62"/>
      <c r="N14" s="62"/>
      <c r="O14" s="63"/>
      <c r="P14" s="63"/>
    </row>
    <row r="15" spans="1:16" ht="24.75" customHeight="1" x14ac:dyDescent="0.25">
      <c r="A15" s="15" t="str">
        <f t="shared" si="0"/>
        <v>VISTOS BUENOS</v>
      </c>
      <c r="B15" s="69">
        <v>1</v>
      </c>
      <c r="C15" s="75">
        <v>6</v>
      </c>
      <c r="D15" s="37">
        <v>7</v>
      </c>
      <c r="E15" s="70" t="s">
        <v>2605</v>
      </c>
      <c r="F15" s="71">
        <v>267477</v>
      </c>
      <c r="G15" s="37" t="s">
        <v>30</v>
      </c>
      <c r="H15" s="72" t="s">
        <v>2694</v>
      </c>
      <c r="I15" s="73" t="s">
        <v>2760</v>
      </c>
      <c r="J15" s="37">
        <v>52</v>
      </c>
      <c r="K15" s="36" t="s">
        <v>31</v>
      </c>
      <c r="L15" s="60" t="s">
        <v>32</v>
      </c>
      <c r="M15" s="62"/>
      <c r="N15" s="62"/>
      <c r="O15" s="63"/>
      <c r="P15" s="63"/>
    </row>
    <row r="16" spans="1:16" ht="24.75" customHeight="1" x14ac:dyDescent="0.25">
      <c r="A16" s="15" t="str">
        <f t="shared" si="0"/>
        <v>VISTOS BUENOS</v>
      </c>
      <c r="B16" s="69">
        <v>1</v>
      </c>
      <c r="C16" s="37">
        <v>7</v>
      </c>
      <c r="D16" s="37">
        <v>8</v>
      </c>
      <c r="E16" s="70" t="s">
        <v>2606</v>
      </c>
      <c r="F16" s="71">
        <v>267493</v>
      </c>
      <c r="G16" s="37" t="s">
        <v>30</v>
      </c>
      <c r="H16" s="72" t="s">
        <v>2695</v>
      </c>
      <c r="I16" s="73" t="s">
        <v>2694</v>
      </c>
      <c r="J16" s="37">
        <v>62</v>
      </c>
      <c r="K16" s="36" t="s">
        <v>31</v>
      </c>
      <c r="L16" s="60" t="s">
        <v>32</v>
      </c>
      <c r="M16" s="62"/>
      <c r="N16" s="62"/>
      <c r="O16" s="63"/>
      <c r="P16" s="63"/>
    </row>
    <row r="17" spans="1:16" ht="24.75" customHeight="1" x14ac:dyDescent="0.25">
      <c r="A17" s="15" t="str">
        <f t="shared" si="0"/>
        <v>VISTOS BUENOS</v>
      </c>
      <c r="B17" s="69">
        <v>1</v>
      </c>
      <c r="C17" s="37">
        <v>8</v>
      </c>
      <c r="D17" s="37">
        <v>9</v>
      </c>
      <c r="E17" s="70" t="s">
        <v>2607</v>
      </c>
      <c r="F17" s="71">
        <v>267684</v>
      </c>
      <c r="G17" s="37" t="s">
        <v>30</v>
      </c>
      <c r="H17" s="72" t="s">
        <v>2696</v>
      </c>
      <c r="I17" s="73" t="s">
        <v>2761</v>
      </c>
      <c r="J17" s="37">
        <v>57</v>
      </c>
      <c r="K17" s="36" t="s">
        <v>31</v>
      </c>
      <c r="L17" s="60" t="s">
        <v>32</v>
      </c>
      <c r="M17" s="62"/>
      <c r="N17" s="62"/>
      <c r="O17" s="63"/>
      <c r="P17" s="63"/>
    </row>
    <row r="18" spans="1:16" ht="24.75" customHeight="1" x14ac:dyDescent="0.25">
      <c r="A18" s="15" t="str">
        <f t="shared" si="0"/>
        <v>VISTOS BUENOS</v>
      </c>
      <c r="B18" s="69">
        <v>1</v>
      </c>
      <c r="C18" s="37">
        <v>9</v>
      </c>
      <c r="D18" s="37">
        <v>10</v>
      </c>
      <c r="E18" s="70" t="s">
        <v>2608</v>
      </c>
      <c r="F18" s="71">
        <v>267745</v>
      </c>
      <c r="G18" s="37" t="s">
        <v>30</v>
      </c>
      <c r="H18" s="72" t="s">
        <v>2697</v>
      </c>
      <c r="I18" s="73" t="s">
        <v>2707</v>
      </c>
      <c r="J18" s="37">
        <v>63</v>
      </c>
      <c r="K18" s="36" t="s">
        <v>31</v>
      </c>
      <c r="L18" s="60" t="s">
        <v>32</v>
      </c>
      <c r="M18" s="62"/>
      <c r="N18" s="62"/>
      <c r="O18" s="63"/>
      <c r="P18" s="63"/>
    </row>
    <row r="19" spans="1:16" ht="24.75" customHeight="1" x14ac:dyDescent="0.25">
      <c r="A19" s="15" t="str">
        <f t="shared" si="0"/>
        <v>VISTOS BUENOS</v>
      </c>
      <c r="B19" s="69">
        <v>1</v>
      </c>
      <c r="C19" s="75" t="s">
        <v>2812</v>
      </c>
      <c r="D19" s="37">
        <v>11</v>
      </c>
      <c r="E19" s="70" t="s">
        <v>2609</v>
      </c>
      <c r="F19" s="71">
        <v>267753</v>
      </c>
      <c r="G19" s="37" t="s">
        <v>30</v>
      </c>
      <c r="H19" s="72" t="s">
        <v>2697</v>
      </c>
      <c r="I19" s="73" t="s">
        <v>2707</v>
      </c>
      <c r="J19" s="37">
        <v>255</v>
      </c>
      <c r="K19" s="36" t="s">
        <v>31</v>
      </c>
      <c r="L19" s="60" t="s">
        <v>32</v>
      </c>
      <c r="M19" s="62"/>
      <c r="N19" s="62"/>
      <c r="O19" s="63"/>
      <c r="P19" s="63"/>
    </row>
    <row r="20" spans="1:16" ht="24.75" customHeight="1" x14ac:dyDescent="0.25">
      <c r="A20" s="15" t="str">
        <f t="shared" si="0"/>
        <v>VISTOS BUENOS</v>
      </c>
      <c r="B20" s="69">
        <v>1</v>
      </c>
      <c r="C20" s="37">
        <v>12</v>
      </c>
      <c r="D20" s="37">
        <v>12</v>
      </c>
      <c r="E20" s="70" t="s">
        <v>2610</v>
      </c>
      <c r="F20" s="71">
        <v>268006</v>
      </c>
      <c r="G20" s="37" t="s">
        <v>30</v>
      </c>
      <c r="H20" s="72" t="s">
        <v>2698</v>
      </c>
      <c r="I20" s="73" t="s">
        <v>2708</v>
      </c>
      <c r="J20" s="37">
        <v>117</v>
      </c>
      <c r="K20" s="36" t="s">
        <v>31</v>
      </c>
      <c r="L20" s="60" t="s">
        <v>32</v>
      </c>
      <c r="M20" s="62"/>
      <c r="N20" s="62"/>
      <c r="O20" s="63"/>
      <c r="P20" s="63"/>
    </row>
    <row r="21" spans="1:16" ht="24.75" customHeight="1" x14ac:dyDescent="0.25">
      <c r="A21" s="15" t="str">
        <f t="shared" si="0"/>
        <v>VISTOS BUENOS</v>
      </c>
      <c r="B21" s="69">
        <v>1</v>
      </c>
      <c r="C21" s="37">
        <v>13</v>
      </c>
      <c r="D21" s="37">
        <v>13</v>
      </c>
      <c r="E21" s="70" t="s">
        <v>2611</v>
      </c>
      <c r="F21" s="71">
        <v>268118</v>
      </c>
      <c r="G21" s="37" t="s">
        <v>30</v>
      </c>
      <c r="H21" s="72" t="s">
        <v>2699</v>
      </c>
      <c r="I21" s="73" t="s">
        <v>2709</v>
      </c>
      <c r="J21" s="37">
        <v>155</v>
      </c>
      <c r="K21" s="36" t="s">
        <v>31</v>
      </c>
      <c r="L21" s="60" t="s">
        <v>32</v>
      </c>
      <c r="M21" s="62"/>
      <c r="N21" s="62"/>
      <c r="O21" s="63"/>
      <c r="P21" s="63"/>
    </row>
    <row r="22" spans="1:16" ht="24.75" customHeight="1" x14ac:dyDescent="0.25">
      <c r="A22" s="15" t="str">
        <f t="shared" si="0"/>
        <v>VISTOS BUENOS</v>
      </c>
      <c r="B22" s="69">
        <v>1</v>
      </c>
      <c r="C22" s="75">
        <v>14</v>
      </c>
      <c r="D22" s="37">
        <v>14</v>
      </c>
      <c r="E22" s="70" t="s">
        <v>2612</v>
      </c>
      <c r="F22" s="71">
        <v>268241</v>
      </c>
      <c r="G22" s="37" t="s">
        <v>30</v>
      </c>
      <c r="H22" s="72" t="s">
        <v>2700</v>
      </c>
      <c r="I22" s="73" t="s">
        <v>2762</v>
      </c>
      <c r="J22" s="37">
        <v>140</v>
      </c>
      <c r="K22" s="36" t="s">
        <v>31</v>
      </c>
      <c r="L22" s="60" t="s">
        <v>32</v>
      </c>
      <c r="M22" s="62"/>
      <c r="N22" s="62"/>
      <c r="O22" s="63"/>
      <c r="P22" s="63"/>
    </row>
    <row r="23" spans="1:16" ht="24.75" customHeight="1" x14ac:dyDescent="0.25">
      <c r="A23" s="15" t="str">
        <f t="shared" si="0"/>
        <v>VISTOS BUENOS</v>
      </c>
      <c r="B23" s="69">
        <v>1</v>
      </c>
      <c r="C23" s="37">
        <v>15</v>
      </c>
      <c r="D23" s="37">
        <v>15</v>
      </c>
      <c r="E23" s="70" t="s">
        <v>2613</v>
      </c>
      <c r="F23" s="71">
        <v>268248</v>
      </c>
      <c r="G23" s="37" t="s">
        <v>30</v>
      </c>
      <c r="H23" s="72" t="s">
        <v>2701</v>
      </c>
      <c r="I23" s="73" t="s">
        <v>2763</v>
      </c>
      <c r="J23" s="37">
        <v>14</v>
      </c>
      <c r="K23" s="36" t="s">
        <v>31</v>
      </c>
      <c r="L23" s="60" t="s">
        <v>32</v>
      </c>
      <c r="M23" s="62"/>
      <c r="N23" s="62"/>
      <c r="O23" s="63"/>
      <c r="P23" s="63"/>
    </row>
    <row r="24" spans="1:16" ht="24.75" customHeight="1" x14ac:dyDescent="0.25">
      <c r="A24" s="15" t="str">
        <f t="shared" si="0"/>
        <v>VISTOS BUENOS</v>
      </c>
      <c r="B24" s="69">
        <v>1</v>
      </c>
      <c r="C24" s="37">
        <v>16</v>
      </c>
      <c r="D24" s="37">
        <v>16</v>
      </c>
      <c r="E24" s="70" t="s">
        <v>2614</v>
      </c>
      <c r="F24" s="71">
        <v>268276</v>
      </c>
      <c r="G24" s="37" t="s">
        <v>30</v>
      </c>
      <c r="H24" s="72" t="s">
        <v>2701</v>
      </c>
      <c r="I24" s="73" t="s">
        <v>2763</v>
      </c>
      <c r="J24" s="37">
        <v>131</v>
      </c>
      <c r="K24" s="36" t="s">
        <v>31</v>
      </c>
      <c r="L24" s="60" t="s">
        <v>32</v>
      </c>
      <c r="M24" s="62"/>
      <c r="N24" s="62"/>
      <c r="O24" s="63"/>
      <c r="P24" s="63"/>
    </row>
    <row r="25" spans="1:16" ht="24.75" customHeight="1" x14ac:dyDescent="0.25">
      <c r="A25" s="15" t="str">
        <f t="shared" si="0"/>
        <v>VISTOS BUENOS</v>
      </c>
      <c r="B25" s="69">
        <v>2</v>
      </c>
      <c r="C25" s="37">
        <v>17</v>
      </c>
      <c r="D25" s="37">
        <v>17</v>
      </c>
      <c r="E25" s="70" t="s">
        <v>2615</v>
      </c>
      <c r="F25" s="71">
        <v>268403</v>
      </c>
      <c r="G25" s="37" t="s">
        <v>30</v>
      </c>
      <c r="H25" s="72" t="s">
        <v>2702</v>
      </c>
      <c r="I25" s="73" t="s">
        <v>2764</v>
      </c>
      <c r="J25" s="37">
        <v>121</v>
      </c>
      <c r="K25" s="36" t="s">
        <v>31</v>
      </c>
      <c r="L25" s="60" t="s">
        <v>32</v>
      </c>
      <c r="M25" s="62"/>
      <c r="N25" s="62"/>
      <c r="O25" s="63"/>
      <c r="P25" s="63"/>
    </row>
    <row r="26" spans="1:16" ht="24.75" customHeight="1" x14ac:dyDescent="0.25">
      <c r="A26" s="15" t="str">
        <f t="shared" si="0"/>
        <v>VISTOS BUENOS</v>
      </c>
      <c r="B26" s="69">
        <v>2</v>
      </c>
      <c r="C26" s="37">
        <v>18</v>
      </c>
      <c r="D26" s="37">
        <v>18</v>
      </c>
      <c r="E26" s="70" t="s">
        <v>2616</v>
      </c>
      <c r="F26" s="71">
        <v>268465</v>
      </c>
      <c r="G26" s="37" t="s">
        <v>30</v>
      </c>
      <c r="H26" s="72" t="s">
        <v>2703</v>
      </c>
      <c r="I26" s="73" t="s">
        <v>2765</v>
      </c>
      <c r="J26" s="37">
        <v>37</v>
      </c>
      <c r="K26" s="36" t="s">
        <v>31</v>
      </c>
      <c r="L26" s="60" t="s">
        <v>32</v>
      </c>
      <c r="M26" s="62"/>
      <c r="N26" s="62"/>
      <c r="O26" s="63"/>
      <c r="P26" s="63"/>
    </row>
    <row r="27" spans="1:16" ht="24.75" customHeight="1" x14ac:dyDescent="0.25">
      <c r="A27" s="15" t="str">
        <f t="shared" si="0"/>
        <v>VISTOS BUENOS</v>
      </c>
      <c r="B27" s="69">
        <v>2</v>
      </c>
      <c r="C27" s="37" t="s">
        <v>2813</v>
      </c>
      <c r="D27" s="37">
        <v>19</v>
      </c>
      <c r="E27" s="70" t="s">
        <v>2617</v>
      </c>
      <c r="F27" s="71">
        <v>268523</v>
      </c>
      <c r="G27" s="37" t="s">
        <v>30</v>
      </c>
      <c r="H27" s="72" t="s">
        <v>2703</v>
      </c>
      <c r="I27" s="73" t="s">
        <v>2765</v>
      </c>
      <c r="J27" s="37">
        <v>233</v>
      </c>
      <c r="K27" s="36" t="s">
        <v>31</v>
      </c>
      <c r="L27" s="60" t="s">
        <v>32</v>
      </c>
      <c r="M27" s="62"/>
      <c r="N27" s="62"/>
      <c r="O27" s="63"/>
      <c r="P27" s="63"/>
    </row>
    <row r="28" spans="1:16" ht="24.75" customHeight="1" x14ac:dyDescent="0.25">
      <c r="A28" s="15" t="str">
        <f t="shared" si="0"/>
        <v>VISTOS BUENOS</v>
      </c>
      <c r="B28" s="69">
        <v>2</v>
      </c>
      <c r="C28" s="37">
        <v>21</v>
      </c>
      <c r="D28" s="37">
        <v>20</v>
      </c>
      <c r="E28" s="70" t="s">
        <v>2618</v>
      </c>
      <c r="F28" s="71">
        <v>268752</v>
      </c>
      <c r="G28" s="37" t="s">
        <v>30</v>
      </c>
      <c r="H28" s="72" t="s">
        <v>2704</v>
      </c>
      <c r="I28" s="73" t="s">
        <v>2766</v>
      </c>
      <c r="J28" s="37">
        <v>100</v>
      </c>
      <c r="K28" s="36" t="s">
        <v>31</v>
      </c>
      <c r="L28" s="60" t="s">
        <v>32</v>
      </c>
      <c r="M28" s="62"/>
      <c r="N28" s="62"/>
      <c r="O28" s="63"/>
      <c r="P28" s="63"/>
    </row>
    <row r="29" spans="1:16" ht="24.75" customHeight="1" x14ac:dyDescent="0.25">
      <c r="A29" s="15" t="str">
        <f t="shared" si="0"/>
        <v>VISTOS BUENOS</v>
      </c>
      <c r="B29" s="69">
        <v>2</v>
      </c>
      <c r="C29" s="37">
        <v>22</v>
      </c>
      <c r="D29" s="37">
        <v>21</v>
      </c>
      <c r="E29" s="70" t="s">
        <v>2619</v>
      </c>
      <c r="F29" s="71">
        <v>268894</v>
      </c>
      <c r="G29" s="37" t="s">
        <v>30</v>
      </c>
      <c r="H29" s="72" t="s">
        <v>2705</v>
      </c>
      <c r="I29" s="73" t="s">
        <v>2767</v>
      </c>
      <c r="J29" s="37">
        <v>30</v>
      </c>
      <c r="K29" s="36" t="s">
        <v>31</v>
      </c>
      <c r="L29" s="60" t="s">
        <v>32</v>
      </c>
      <c r="M29" s="62"/>
      <c r="N29" s="62"/>
      <c r="O29" s="63"/>
      <c r="P29" s="63"/>
    </row>
    <row r="30" spans="1:16" ht="24.75" customHeight="1" x14ac:dyDescent="0.25">
      <c r="A30" s="15" t="str">
        <f t="shared" si="0"/>
        <v>VISTOS BUENOS</v>
      </c>
      <c r="B30" s="69">
        <v>2</v>
      </c>
      <c r="C30" s="37">
        <v>23</v>
      </c>
      <c r="D30" s="37">
        <v>22</v>
      </c>
      <c r="E30" s="70" t="s">
        <v>2620</v>
      </c>
      <c r="F30" s="71">
        <v>269010</v>
      </c>
      <c r="G30" s="37" t="s">
        <v>30</v>
      </c>
      <c r="H30" s="72" t="s">
        <v>2706</v>
      </c>
      <c r="I30" s="73" t="s">
        <v>2768</v>
      </c>
      <c r="J30" s="37">
        <v>152</v>
      </c>
      <c r="K30" s="36" t="s">
        <v>31</v>
      </c>
      <c r="L30" s="60" t="s">
        <v>32</v>
      </c>
      <c r="M30" s="62"/>
      <c r="N30" s="62"/>
      <c r="O30" s="63"/>
      <c r="P30" s="63"/>
    </row>
    <row r="31" spans="1:16" ht="24.75" customHeight="1" x14ac:dyDescent="0.25">
      <c r="A31" s="15" t="str">
        <f t="shared" si="0"/>
        <v>VISTOS BUENOS</v>
      </c>
      <c r="B31" s="69">
        <v>2</v>
      </c>
      <c r="C31" s="37">
        <v>24</v>
      </c>
      <c r="D31" s="37">
        <v>23</v>
      </c>
      <c r="E31" s="70" t="s">
        <v>2621</v>
      </c>
      <c r="F31" s="71">
        <v>269098</v>
      </c>
      <c r="G31" s="37" t="s">
        <v>30</v>
      </c>
      <c r="H31" s="72" t="s">
        <v>2707</v>
      </c>
      <c r="I31" s="73" t="s">
        <v>2769</v>
      </c>
      <c r="J31" s="37">
        <v>28</v>
      </c>
      <c r="K31" s="36" t="s">
        <v>31</v>
      </c>
      <c r="L31" s="60" t="s">
        <v>32</v>
      </c>
      <c r="M31" s="62"/>
      <c r="N31" s="62"/>
      <c r="O31" s="63"/>
      <c r="P31" s="63"/>
    </row>
    <row r="32" spans="1:16" ht="24.75" customHeight="1" x14ac:dyDescent="0.25">
      <c r="A32" s="15" t="str">
        <f t="shared" si="0"/>
        <v>VISTOS BUENOS</v>
      </c>
      <c r="B32" s="69">
        <v>2</v>
      </c>
      <c r="C32" s="37">
        <v>24</v>
      </c>
      <c r="D32" s="37">
        <v>24</v>
      </c>
      <c r="E32" s="70" t="s">
        <v>2622</v>
      </c>
      <c r="F32" s="71">
        <v>269296</v>
      </c>
      <c r="G32" s="37" t="s">
        <v>30</v>
      </c>
      <c r="H32" s="72" t="s">
        <v>2708</v>
      </c>
      <c r="I32" s="73" t="s">
        <v>2770</v>
      </c>
      <c r="J32" s="37">
        <v>66</v>
      </c>
      <c r="K32" s="36" t="s">
        <v>31</v>
      </c>
      <c r="L32" s="60" t="s">
        <v>32</v>
      </c>
      <c r="M32" s="62"/>
      <c r="N32" s="62"/>
      <c r="O32" s="63"/>
      <c r="P32" s="63"/>
    </row>
    <row r="33" spans="1:16" ht="24.75" customHeight="1" x14ac:dyDescent="0.25">
      <c r="A33" s="15" t="str">
        <f t="shared" si="0"/>
        <v>VISTOS BUENOS</v>
      </c>
      <c r="B33" s="69">
        <v>2</v>
      </c>
      <c r="C33" s="37">
        <v>25</v>
      </c>
      <c r="D33" s="37">
        <v>25</v>
      </c>
      <c r="E33" s="70" t="s">
        <v>2623</v>
      </c>
      <c r="F33" s="71">
        <v>269417</v>
      </c>
      <c r="G33" s="37" t="s">
        <v>30</v>
      </c>
      <c r="H33" s="72" t="s">
        <v>2709</v>
      </c>
      <c r="I33" s="73" t="s">
        <v>2715</v>
      </c>
      <c r="J33" s="37">
        <v>8</v>
      </c>
      <c r="K33" s="36" t="s">
        <v>31</v>
      </c>
      <c r="L33" s="60" t="s">
        <v>32</v>
      </c>
      <c r="M33" s="62"/>
      <c r="N33" s="62"/>
      <c r="O33" s="63"/>
      <c r="P33" s="63"/>
    </row>
    <row r="34" spans="1:16" ht="24.75" customHeight="1" x14ac:dyDescent="0.25">
      <c r="A34" s="15" t="str">
        <f t="shared" si="0"/>
        <v>VISTOS BUENOS</v>
      </c>
      <c r="B34" s="69">
        <v>2</v>
      </c>
      <c r="C34" s="37">
        <v>25</v>
      </c>
      <c r="D34" s="37">
        <v>26</v>
      </c>
      <c r="E34" s="70" t="s">
        <v>2624</v>
      </c>
      <c r="F34" s="71">
        <v>269475</v>
      </c>
      <c r="G34" s="37" t="s">
        <v>30</v>
      </c>
      <c r="H34" s="72" t="s">
        <v>2710</v>
      </c>
      <c r="I34" s="73" t="s">
        <v>2771</v>
      </c>
      <c r="J34" s="37">
        <v>90</v>
      </c>
      <c r="K34" s="36" t="s">
        <v>31</v>
      </c>
      <c r="L34" s="60" t="s">
        <v>32</v>
      </c>
      <c r="M34" s="62"/>
      <c r="N34" s="62"/>
      <c r="O34" s="63"/>
      <c r="P34" s="63"/>
    </row>
    <row r="35" spans="1:16" ht="24.75" customHeight="1" x14ac:dyDescent="0.25">
      <c r="A35" s="15" t="str">
        <f t="shared" si="0"/>
        <v>VISTOS BUENOS</v>
      </c>
      <c r="B35" s="69">
        <v>2</v>
      </c>
      <c r="C35" s="37">
        <v>26</v>
      </c>
      <c r="D35" s="37">
        <v>27</v>
      </c>
      <c r="E35" s="70" t="s">
        <v>2625</v>
      </c>
      <c r="F35" s="71">
        <v>269855</v>
      </c>
      <c r="G35" s="37" t="s">
        <v>30</v>
      </c>
      <c r="H35" s="72" t="s">
        <v>2711</v>
      </c>
      <c r="I35" s="73" t="s">
        <v>2717</v>
      </c>
      <c r="J35" s="37">
        <v>65</v>
      </c>
      <c r="K35" s="36" t="s">
        <v>31</v>
      </c>
      <c r="L35" s="60" t="s">
        <v>32</v>
      </c>
      <c r="M35" s="62"/>
      <c r="N35" s="62"/>
      <c r="O35" s="63"/>
      <c r="P35" s="63"/>
    </row>
    <row r="36" spans="1:16" ht="24.75" customHeight="1" x14ac:dyDescent="0.25">
      <c r="A36" s="15" t="str">
        <f t="shared" si="0"/>
        <v>VISTOS BUENOS</v>
      </c>
      <c r="B36" s="69">
        <v>2</v>
      </c>
      <c r="C36" s="37">
        <v>26</v>
      </c>
      <c r="D36" s="37">
        <v>28</v>
      </c>
      <c r="E36" s="70" t="s">
        <v>2626</v>
      </c>
      <c r="F36" s="71">
        <v>269962</v>
      </c>
      <c r="G36" s="37" t="s">
        <v>30</v>
      </c>
      <c r="H36" s="72" t="s">
        <v>2712</v>
      </c>
      <c r="I36" s="73" t="s">
        <v>2772</v>
      </c>
      <c r="J36" s="37">
        <v>14</v>
      </c>
      <c r="K36" s="36" t="s">
        <v>31</v>
      </c>
      <c r="L36" s="60" t="s">
        <v>32</v>
      </c>
      <c r="M36" s="62"/>
      <c r="N36" s="62"/>
      <c r="O36" s="63"/>
      <c r="P36" s="63"/>
    </row>
    <row r="37" spans="1:16" ht="24.75" customHeight="1" x14ac:dyDescent="0.25">
      <c r="A37" s="15" t="str">
        <f t="shared" si="0"/>
        <v>VISTOS BUENOS</v>
      </c>
      <c r="B37" s="69">
        <v>2</v>
      </c>
      <c r="C37" s="37">
        <v>27</v>
      </c>
      <c r="D37" s="37">
        <v>29</v>
      </c>
      <c r="E37" s="70" t="s">
        <v>2627</v>
      </c>
      <c r="F37" s="71">
        <v>269979</v>
      </c>
      <c r="G37" s="37" t="s">
        <v>30</v>
      </c>
      <c r="H37" s="72" t="s">
        <v>2712</v>
      </c>
      <c r="I37" s="73" t="s">
        <v>2772</v>
      </c>
      <c r="J37" s="37">
        <v>40</v>
      </c>
      <c r="K37" s="36" t="s">
        <v>31</v>
      </c>
      <c r="L37" s="60" t="s">
        <v>32</v>
      </c>
      <c r="M37" s="62"/>
      <c r="N37" s="62"/>
      <c r="O37" s="63"/>
      <c r="P37" s="63"/>
    </row>
    <row r="38" spans="1:16" ht="24.75" customHeight="1" x14ac:dyDescent="0.25">
      <c r="A38" s="15" t="str">
        <f t="shared" si="0"/>
        <v>VISTOS BUENOS</v>
      </c>
      <c r="B38" s="69">
        <v>2</v>
      </c>
      <c r="C38" s="37">
        <v>27</v>
      </c>
      <c r="D38" s="37">
        <v>30</v>
      </c>
      <c r="E38" s="70" t="s">
        <v>2628</v>
      </c>
      <c r="F38" s="71">
        <v>270106</v>
      </c>
      <c r="G38" s="37" t="s">
        <v>30</v>
      </c>
      <c r="H38" s="72" t="s">
        <v>2713</v>
      </c>
      <c r="I38" s="73" t="s">
        <v>2773</v>
      </c>
      <c r="J38" s="37">
        <v>20</v>
      </c>
      <c r="K38" s="36" t="s">
        <v>31</v>
      </c>
      <c r="L38" s="60" t="s">
        <v>32</v>
      </c>
      <c r="M38" s="62"/>
      <c r="N38" s="62"/>
      <c r="O38" s="63"/>
      <c r="P38" s="63"/>
    </row>
    <row r="39" spans="1:16" ht="24.75" customHeight="1" x14ac:dyDescent="0.25">
      <c r="A39" s="15" t="str">
        <f t="shared" si="0"/>
        <v>VISTOS BUENOS</v>
      </c>
      <c r="B39" s="69">
        <v>2</v>
      </c>
      <c r="C39" s="37">
        <v>27</v>
      </c>
      <c r="D39" s="37">
        <v>31</v>
      </c>
      <c r="E39" s="70" t="s">
        <v>2629</v>
      </c>
      <c r="F39" s="71">
        <v>270116</v>
      </c>
      <c r="G39" s="37" t="s">
        <v>30</v>
      </c>
      <c r="H39" s="72" t="s">
        <v>2713</v>
      </c>
      <c r="I39" s="73" t="s">
        <v>2773</v>
      </c>
      <c r="J39" s="37">
        <v>47</v>
      </c>
      <c r="K39" s="36" t="s">
        <v>31</v>
      </c>
      <c r="L39" s="60" t="s">
        <v>32</v>
      </c>
      <c r="M39" s="62"/>
      <c r="N39" s="62"/>
      <c r="O39" s="63"/>
      <c r="P39" s="63"/>
    </row>
    <row r="40" spans="1:16" ht="24.75" customHeight="1" x14ac:dyDescent="0.25">
      <c r="A40" s="15" t="str">
        <f t="shared" si="0"/>
        <v>VISTOS BUENOS</v>
      </c>
      <c r="B40" s="69">
        <v>2</v>
      </c>
      <c r="C40" s="37">
        <v>28</v>
      </c>
      <c r="D40" s="37">
        <v>32</v>
      </c>
      <c r="E40" s="70" t="s">
        <v>2630</v>
      </c>
      <c r="F40" s="71">
        <v>270254</v>
      </c>
      <c r="G40" s="37" t="s">
        <v>30</v>
      </c>
      <c r="H40" s="72" t="s">
        <v>2714</v>
      </c>
      <c r="I40" s="73" t="s">
        <v>2721</v>
      </c>
      <c r="J40" s="37">
        <v>150</v>
      </c>
      <c r="K40" s="36" t="s">
        <v>31</v>
      </c>
      <c r="L40" s="60" t="s">
        <v>32</v>
      </c>
      <c r="M40" s="62"/>
      <c r="N40" s="62"/>
      <c r="O40" s="63"/>
      <c r="P40" s="63"/>
    </row>
    <row r="41" spans="1:16" ht="24.75" customHeight="1" x14ac:dyDescent="0.25">
      <c r="A41" s="15" t="str">
        <f t="shared" si="0"/>
        <v>VISTOS BUENOS</v>
      </c>
      <c r="B41" s="69">
        <v>2</v>
      </c>
      <c r="C41" s="37">
        <v>29</v>
      </c>
      <c r="D41" s="37">
        <v>33</v>
      </c>
      <c r="E41" s="70" t="s">
        <v>2631</v>
      </c>
      <c r="F41" s="71">
        <v>270765</v>
      </c>
      <c r="G41" s="37" t="s">
        <v>30</v>
      </c>
      <c r="H41" s="72" t="s">
        <v>2715</v>
      </c>
      <c r="I41" s="73" t="s">
        <v>2774</v>
      </c>
      <c r="J41" s="37">
        <v>34</v>
      </c>
      <c r="K41" s="36" t="s">
        <v>31</v>
      </c>
      <c r="L41" s="60" t="s">
        <v>32</v>
      </c>
      <c r="M41" s="62"/>
      <c r="N41" s="62"/>
      <c r="O41" s="63"/>
      <c r="P41" s="63"/>
    </row>
    <row r="42" spans="1:16" ht="24.75" customHeight="1" x14ac:dyDescent="0.25">
      <c r="A42" s="15" t="str">
        <f t="shared" si="0"/>
        <v>VISTOS BUENOS</v>
      </c>
      <c r="B42" s="69">
        <v>2</v>
      </c>
      <c r="C42" s="37" t="s">
        <v>2814</v>
      </c>
      <c r="D42" s="37">
        <v>34</v>
      </c>
      <c r="E42" s="70" t="s">
        <v>2632</v>
      </c>
      <c r="F42" s="71">
        <v>270775</v>
      </c>
      <c r="G42" s="37" t="s">
        <v>30</v>
      </c>
      <c r="H42" s="72" t="s">
        <v>2715</v>
      </c>
      <c r="I42" s="73" t="s">
        <v>2774</v>
      </c>
      <c r="J42" s="37">
        <v>320</v>
      </c>
      <c r="K42" s="36" t="s">
        <v>31</v>
      </c>
      <c r="L42" s="60" t="s">
        <v>32</v>
      </c>
      <c r="M42" s="62"/>
      <c r="N42" s="62"/>
      <c r="O42" s="63"/>
      <c r="P42" s="63"/>
    </row>
    <row r="43" spans="1:16" ht="24.75" customHeight="1" x14ac:dyDescent="0.25">
      <c r="A43" s="15" t="str">
        <f t="shared" si="0"/>
        <v>VISTOS BUENOS</v>
      </c>
      <c r="B43" s="69">
        <v>3</v>
      </c>
      <c r="C43" s="37">
        <v>33</v>
      </c>
      <c r="D43" s="37">
        <v>35</v>
      </c>
      <c r="E43" s="70" t="s">
        <v>2633</v>
      </c>
      <c r="F43" s="71">
        <v>270794</v>
      </c>
      <c r="G43" s="37" t="s">
        <v>30</v>
      </c>
      <c r="H43" s="72" t="s">
        <v>2715</v>
      </c>
      <c r="I43" s="73" t="s">
        <v>2774</v>
      </c>
      <c r="J43" s="37">
        <v>75</v>
      </c>
      <c r="K43" s="36" t="s">
        <v>31</v>
      </c>
      <c r="L43" s="60" t="s">
        <v>32</v>
      </c>
      <c r="M43" s="62"/>
      <c r="N43" s="62"/>
      <c r="O43" s="63"/>
      <c r="P43" s="63"/>
    </row>
    <row r="44" spans="1:16" ht="24.75" customHeight="1" x14ac:dyDescent="0.25">
      <c r="A44" s="15" t="str">
        <f t="shared" si="0"/>
        <v>VISTOS BUENOS</v>
      </c>
      <c r="B44" s="69">
        <v>3</v>
      </c>
      <c r="C44" s="37">
        <v>34</v>
      </c>
      <c r="D44" s="37">
        <v>36</v>
      </c>
      <c r="E44" s="70" t="s">
        <v>2634</v>
      </c>
      <c r="F44" s="71">
        <v>271098</v>
      </c>
      <c r="G44" s="37" t="s">
        <v>30</v>
      </c>
      <c r="H44" s="72" t="s">
        <v>2716</v>
      </c>
      <c r="I44" s="73" t="s">
        <v>2775</v>
      </c>
      <c r="J44" s="37">
        <v>51</v>
      </c>
      <c r="K44" s="36" t="s">
        <v>31</v>
      </c>
      <c r="L44" s="60" t="s">
        <v>32</v>
      </c>
      <c r="M44" s="62"/>
      <c r="N44" s="62"/>
      <c r="O44" s="63"/>
      <c r="P44" s="63"/>
    </row>
    <row r="45" spans="1:16" ht="24.75" customHeight="1" x14ac:dyDescent="0.25">
      <c r="A45" s="15" t="str">
        <f t="shared" si="0"/>
        <v>VISTOS BUENOS</v>
      </c>
      <c r="B45" s="69">
        <v>3</v>
      </c>
      <c r="C45" s="37">
        <v>34</v>
      </c>
      <c r="D45" s="37">
        <v>37</v>
      </c>
      <c r="E45" s="70" t="s">
        <v>2635</v>
      </c>
      <c r="F45" s="71">
        <v>271186</v>
      </c>
      <c r="G45" s="37" t="s">
        <v>30</v>
      </c>
      <c r="H45" s="72" t="s">
        <v>2717</v>
      </c>
      <c r="I45" s="73" t="s">
        <v>2776</v>
      </c>
      <c r="J45" s="37">
        <v>16</v>
      </c>
      <c r="K45" s="36" t="s">
        <v>31</v>
      </c>
      <c r="L45" s="60" t="s">
        <v>32</v>
      </c>
      <c r="M45" s="62"/>
      <c r="N45" s="62"/>
      <c r="O45" s="63"/>
      <c r="P45" s="63"/>
    </row>
    <row r="46" spans="1:16" ht="24.75" customHeight="1" x14ac:dyDescent="0.25">
      <c r="A46" s="15" t="str">
        <f t="shared" si="0"/>
        <v>VISTOS BUENOS</v>
      </c>
      <c r="B46" s="69">
        <v>3</v>
      </c>
      <c r="C46" s="37">
        <v>34</v>
      </c>
      <c r="D46" s="37">
        <v>38</v>
      </c>
      <c r="E46" s="70" t="s">
        <v>2636</v>
      </c>
      <c r="F46" s="71">
        <v>271298</v>
      </c>
      <c r="G46" s="37" t="s">
        <v>30</v>
      </c>
      <c r="H46" s="72" t="s">
        <v>2718</v>
      </c>
      <c r="I46" s="73" t="s">
        <v>2777</v>
      </c>
      <c r="J46" s="37">
        <v>11</v>
      </c>
      <c r="K46" s="36" t="s">
        <v>31</v>
      </c>
      <c r="L46" s="60" t="s">
        <v>32</v>
      </c>
      <c r="M46" s="62"/>
      <c r="N46" s="62"/>
      <c r="O46" s="63"/>
      <c r="P46" s="63"/>
    </row>
    <row r="47" spans="1:16" ht="24.75" customHeight="1" x14ac:dyDescent="0.25">
      <c r="A47" s="15" t="str">
        <f t="shared" si="0"/>
        <v>VISTOS BUENOS</v>
      </c>
      <c r="B47" s="69">
        <v>3</v>
      </c>
      <c r="C47" s="37">
        <v>35</v>
      </c>
      <c r="D47" s="37">
        <v>39</v>
      </c>
      <c r="E47" s="70" t="s">
        <v>2637</v>
      </c>
      <c r="F47" s="71">
        <v>271347</v>
      </c>
      <c r="G47" s="37" t="s">
        <v>30</v>
      </c>
      <c r="H47" s="72" t="s">
        <v>2719</v>
      </c>
      <c r="I47" s="73" t="s">
        <v>2778</v>
      </c>
      <c r="J47" s="37">
        <v>45</v>
      </c>
      <c r="K47" s="36" t="s">
        <v>31</v>
      </c>
      <c r="L47" s="60" t="s">
        <v>32</v>
      </c>
      <c r="M47" s="62"/>
      <c r="N47" s="62"/>
      <c r="O47" s="63"/>
      <c r="P47" s="63"/>
    </row>
    <row r="48" spans="1:16" ht="24.75" customHeight="1" x14ac:dyDescent="0.25">
      <c r="A48" s="15" t="str">
        <f t="shared" si="0"/>
        <v>VISTOS BUENOS</v>
      </c>
      <c r="B48" s="69">
        <v>3</v>
      </c>
      <c r="C48" s="37">
        <v>35</v>
      </c>
      <c r="D48" s="37">
        <v>40</v>
      </c>
      <c r="E48" s="70" t="s">
        <v>2638</v>
      </c>
      <c r="F48" s="71">
        <v>271521</v>
      </c>
      <c r="G48" s="37" t="s">
        <v>30</v>
      </c>
      <c r="H48" s="72" t="s">
        <v>2720</v>
      </c>
      <c r="I48" s="73" t="s">
        <v>2779</v>
      </c>
      <c r="J48" s="37">
        <v>31</v>
      </c>
      <c r="K48" s="36" t="s">
        <v>31</v>
      </c>
      <c r="L48" s="60" t="s">
        <v>32</v>
      </c>
      <c r="M48" s="62"/>
      <c r="N48" s="62"/>
      <c r="O48" s="63"/>
      <c r="P48" s="63"/>
    </row>
    <row r="49" spans="1:16" ht="24.75" customHeight="1" x14ac:dyDescent="0.25">
      <c r="A49" s="15" t="str">
        <f t="shared" si="0"/>
        <v>VISTOS BUENOS</v>
      </c>
      <c r="B49" s="69">
        <v>3</v>
      </c>
      <c r="C49" s="37">
        <v>36</v>
      </c>
      <c r="D49" s="37">
        <v>41</v>
      </c>
      <c r="E49" s="70" t="s">
        <v>2639</v>
      </c>
      <c r="F49" s="71">
        <v>271564</v>
      </c>
      <c r="G49" s="37" t="s">
        <v>30</v>
      </c>
      <c r="H49" s="72" t="s">
        <v>2721</v>
      </c>
      <c r="I49" s="73" t="s">
        <v>2780</v>
      </c>
      <c r="J49" s="37">
        <v>83</v>
      </c>
      <c r="K49" s="36" t="s">
        <v>31</v>
      </c>
      <c r="L49" s="60" t="s">
        <v>32</v>
      </c>
      <c r="M49" s="62"/>
      <c r="N49" s="62"/>
      <c r="O49" s="63"/>
      <c r="P49" s="63"/>
    </row>
    <row r="50" spans="1:16" ht="24.75" customHeight="1" x14ac:dyDescent="0.25">
      <c r="A50" s="15" t="str">
        <f t="shared" si="0"/>
        <v>VISTOS BUENOS</v>
      </c>
      <c r="B50" s="69">
        <v>3</v>
      </c>
      <c r="C50" s="37">
        <v>37</v>
      </c>
      <c r="D50" s="37">
        <v>42</v>
      </c>
      <c r="E50" s="70" t="s">
        <v>2640</v>
      </c>
      <c r="F50" s="71">
        <v>271569</v>
      </c>
      <c r="G50" s="37" t="s">
        <v>30</v>
      </c>
      <c r="H50" s="72" t="s">
        <v>2721</v>
      </c>
      <c r="I50" s="73" t="s">
        <v>2730</v>
      </c>
      <c r="J50" s="37">
        <v>47</v>
      </c>
      <c r="K50" s="36" t="s">
        <v>31</v>
      </c>
      <c r="L50" s="60" t="s">
        <v>32</v>
      </c>
      <c r="M50" s="62"/>
      <c r="N50" s="62"/>
      <c r="O50" s="63"/>
      <c r="P50" s="63"/>
    </row>
    <row r="51" spans="1:16" ht="24.75" customHeight="1" x14ac:dyDescent="0.25">
      <c r="A51" s="15" t="str">
        <f t="shared" si="0"/>
        <v>VISTOS BUENOS</v>
      </c>
      <c r="B51" s="69">
        <v>3</v>
      </c>
      <c r="C51" s="37">
        <v>37</v>
      </c>
      <c r="D51" s="37">
        <v>43</v>
      </c>
      <c r="E51" s="70" t="s">
        <v>2641</v>
      </c>
      <c r="F51" s="71">
        <v>271749</v>
      </c>
      <c r="G51" s="37" t="s">
        <v>30</v>
      </c>
      <c r="H51" s="72" t="s">
        <v>2722</v>
      </c>
      <c r="I51" s="73" t="s">
        <v>2781</v>
      </c>
      <c r="J51" s="37">
        <v>10</v>
      </c>
      <c r="K51" s="36" t="s">
        <v>31</v>
      </c>
      <c r="L51" s="60" t="s">
        <v>32</v>
      </c>
      <c r="M51" s="62"/>
      <c r="N51" s="62"/>
      <c r="O51" s="63"/>
      <c r="P51" s="63"/>
    </row>
    <row r="52" spans="1:16" ht="24.75" customHeight="1" x14ac:dyDescent="0.25">
      <c r="A52" s="15" t="str">
        <f t="shared" si="0"/>
        <v>VISTOS BUENOS</v>
      </c>
      <c r="B52" s="69">
        <v>3</v>
      </c>
      <c r="C52" s="37">
        <v>38</v>
      </c>
      <c r="D52" s="37">
        <v>44</v>
      </c>
      <c r="E52" s="70" t="s">
        <v>2642</v>
      </c>
      <c r="F52" s="71">
        <v>271818</v>
      </c>
      <c r="G52" s="37" t="s">
        <v>30</v>
      </c>
      <c r="H52" s="72" t="s">
        <v>2723</v>
      </c>
      <c r="I52" s="73" t="s">
        <v>2732</v>
      </c>
      <c r="J52" s="37">
        <v>121</v>
      </c>
      <c r="K52" s="36" t="s">
        <v>31</v>
      </c>
      <c r="L52" s="60" t="s">
        <v>32</v>
      </c>
      <c r="M52" s="62"/>
      <c r="N52" s="62"/>
      <c r="O52" s="63"/>
      <c r="P52" s="63"/>
    </row>
    <row r="53" spans="1:16" ht="24.75" customHeight="1" x14ac:dyDescent="0.25">
      <c r="A53" s="15" t="str">
        <f t="shared" si="0"/>
        <v>VISTOS BUENOS</v>
      </c>
      <c r="B53" s="69">
        <v>3</v>
      </c>
      <c r="C53" s="37">
        <v>39</v>
      </c>
      <c r="D53" s="37">
        <v>45</v>
      </c>
      <c r="E53" s="70" t="s">
        <v>2643</v>
      </c>
      <c r="F53" s="71">
        <v>271875</v>
      </c>
      <c r="G53" s="37" t="s">
        <v>30</v>
      </c>
      <c r="H53" s="72" t="s">
        <v>2724</v>
      </c>
      <c r="I53" s="73" t="s">
        <v>2782</v>
      </c>
      <c r="J53" s="37">
        <v>43</v>
      </c>
      <c r="K53" s="36" t="s">
        <v>31</v>
      </c>
      <c r="L53" s="60" t="s">
        <v>32</v>
      </c>
      <c r="M53" s="62"/>
      <c r="N53" s="62"/>
      <c r="O53" s="63"/>
      <c r="P53" s="63"/>
    </row>
    <row r="54" spans="1:16" ht="24.75" customHeight="1" x14ac:dyDescent="0.25">
      <c r="A54" s="15" t="str">
        <f t="shared" si="0"/>
        <v>VISTOS BUENOS</v>
      </c>
      <c r="B54" s="69">
        <v>3</v>
      </c>
      <c r="C54" s="37">
        <v>39</v>
      </c>
      <c r="D54" s="37">
        <v>46</v>
      </c>
      <c r="E54" s="70" t="s">
        <v>2644</v>
      </c>
      <c r="F54" s="71">
        <v>272350</v>
      </c>
      <c r="G54" s="37" t="s">
        <v>30</v>
      </c>
      <c r="H54" s="72" t="s">
        <v>2725</v>
      </c>
      <c r="I54" s="73" t="s">
        <v>2783</v>
      </c>
      <c r="J54" s="37">
        <v>39</v>
      </c>
      <c r="K54" s="36" t="s">
        <v>31</v>
      </c>
      <c r="L54" s="60" t="s">
        <v>32</v>
      </c>
      <c r="M54" s="62"/>
      <c r="N54" s="62"/>
      <c r="O54" s="63"/>
      <c r="P54" s="63"/>
    </row>
    <row r="55" spans="1:16" ht="24.75" customHeight="1" x14ac:dyDescent="0.25">
      <c r="A55" s="15" t="str">
        <f t="shared" si="0"/>
        <v>VISTOS BUENOS</v>
      </c>
      <c r="B55" s="69">
        <v>3</v>
      </c>
      <c r="C55" s="37">
        <v>40</v>
      </c>
      <c r="D55" s="37">
        <v>47</v>
      </c>
      <c r="E55" s="70" t="s">
        <v>2645</v>
      </c>
      <c r="F55" s="71">
        <v>272403</v>
      </c>
      <c r="G55" s="37" t="s">
        <v>30</v>
      </c>
      <c r="H55" s="72" t="s">
        <v>2726</v>
      </c>
      <c r="I55" s="73" t="s">
        <v>2784</v>
      </c>
      <c r="J55" s="37">
        <v>48</v>
      </c>
      <c r="K55" s="36" t="s">
        <v>31</v>
      </c>
      <c r="L55" s="60" t="s">
        <v>32</v>
      </c>
      <c r="M55" s="62"/>
      <c r="N55" s="62"/>
      <c r="O55" s="63"/>
      <c r="P55" s="63"/>
    </row>
    <row r="56" spans="1:16" ht="24.75" customHeight="1" x14ac:dyDescent="0.25">
      <c r="A56" s="15" t="str">
        <f t="shared" si="0"/>
        <v>VISTOS BUENOS</v>
      </c>
      <c r="B56" s="69">
        <v>3</v>
      </c>
      <c r="C56" s="37">
        <v>40</v>
      </c>
      <c r="D56" s="37">
        <v>48</v>
      </c>
      <c r="E56" s="70" t="s">
        <v>2646</v>
      </c>
      <c r="F56" s="71">
        <v>272545</v>
      </c>
      <c r="G56" s="37" t="s">
        <v>30</v>
      </c>
      <c r="H56" s="72" t="s">
        <v>2727</v>
      </c>
      <c r="I56" s="73" t="s">
        <v>2785</v>
      </c>
      <c r="J56" s="37">
        <v>14</v>
      </c>
      <c r="K56" s="36" t="s">
        <v>31</v>
      </c>
      <c r="L56" s="60" t="s">
        <v>32</v>
      </c>
      <c r="M56" s="62"/>
      <c r="N56" s="62"/>
      <c r="O56" s="63"/>
      <c r="P56" s="63"/>
    </row>
    <row r="57" spans="1:16" ht="24.75" customHeight="1" x14ac:dyDescent="0.25">
      <c r="A57" s="15" t="str">
        <f t="shared" si="0"/>
        <v>VISTOS BUENOS</v>
      </c>
      <c r="B57" s="69">
        <v>3</v>
      </c>
      <c r="C57" s="37">
        <v>41</v>
      </c>
      <c r="D57" s="37">
        <v>49</v>
      </c>
      <c r="E57" s="70" t="s">
        <v>2647</v>
      </c>
      <c r="F57" s="71">
        <v>272669</v>
      </c>
      <c r="G57" s="37" t="s">
        <v>30</v>
      </c>
      <c r="H57" s="72" t="s">
        <v>2728</v>
      </c>
      <c r="I57" s="73" t="s">
        <v>2786</v>
      </c>
      <c r="J57" s="37">
        <v>36</v>
      </c>
      <c r="K57" s="36" t="s">
        <v>31</v>
      </c>
      <c r="L57" s="60" t="s">
        <v>32</v>
      </c>
      <c r="M57" s="62"/>
      <c r="N57" s="62"/>
      <c r="O57" s="63"/>
      <c r="P57" s="63"/>
    </row>
    <row r="58" spans="1:16" ht="24.75" customHeight="1" x14ac:dyDescent="0.25">
      <c r="A58" s="15" t="str">
        <f t="shared" si="0"/>
        <v>VISTOS BUENOS</v>
      </c>
      <c r="B58" s="69">
        <v>3</v>
      </c>
      <c r="C58" s="37">
        <v>41</v>
      </c>
      <c r="D58" s="37">
        <v>50</v>
      </c>
      <c r="E58" s="70" t="s">
        <v>2648</v>
      </c>
      <c r="F58" s="71">
        <v>272851</v>
      </c>
      <c r="G58" s="37" t="s">
        <v>30</v>
      </c>
      <c r="H58" s="72" t="s">
        <v>2729</v>
      </c>
      <c r="I58" s="73" t="s">
        <v>2787</v>
      </c>
      <c r="J58" s="37">
        <v>18</v>
      </c>
      <c r="K58" s="36" t="s">
        <v>31</v>
      </c>
      <c r="L58" s="60" t="s">
        <v>32</v>
      </c>
      <c r="M58" s="62"/>
      <c r="N58" s="62"/>
      <c r="O58" s="63"/>
      <c r="P58" s="63"/>
    </row>
    <row r="59" spans="1:16" ht="24.75" customHeight="1" x14ac:dyDescent="0.25">
      <c r="A59" s="15" t="str">
        <f t="shared" si="0"/>
        <v>VISTOS BUENOS</v>
      </c>
      <c r="B59" s="69">
        <v>3</v>
      </c>
      <c r="C59" s="37">
        <v>41</v>
      </c>
      <c r="D59" s="37">
        <v>51</v>
      </c>
      <c r="E59" s="70" t="s">
        <v>2649</v>
      </c>
      <c r="F59" s="71">
        <v>272864</v>
      </c>
      <c r="G59" s="37" t="s">
        <v>30</v>
      </c>
      <c r="H59" s="72" t="s">
        <v>2729</v>
      </c>
      <c r="I59" s="73" t="s">
        <v>2787</v>
      </c>
      <c r="J59" s="37">
        <v>41</v>
      </c>
      <c r="K59" s="36" t="s">
        <v>31</v>
      </c>
      <c r="L59" s="60" t="s">
        <v>32</v>
      </c>
      <c r="M59" s="62"/>
      <c r="N59" s="62"/>
      <c r="O59" s="63"/>
      <c r="P59" s="63"/>
    </row>
    <row r="60" spans="1:16" ht="24.75" customHeight="1" x14ac:dyDescent="0.25">
      <c r="A60" s="15" t="str">
        <f t="shared" si="0"/>
        <v>VISTOS BUENOS</v>
      </c>
      <c r="B60" s="69">
        <v>3</v>
      </c>
      <c r="C60" s="37">
        <v>42</v>
      </c>
      <c r="D60" s="37">
        <v>52</v>
      </c>
      <c r="E60" s="70" t="s">
        <v>2650</v>
      </c>
      <c r="F60" s="71">
        <v>272904</v>
      </c>
      <c r="G60" s="37" t="s">
        <v>30</v>
      </c>
      <c r="H60" s="72" t="s">
        <v>2730</v>
      </c>
      <c r="I60" s="73" t="s">
        <v>2739</v>
      </c>
      <c r="J60" s="37">
        <v>21</v>
      </c>
      <c r="K60" s="36" t="s">
        <v>31</v>
      </c>
      <c r="L60" s="60" t="s">
        <v>32</v>
      </c>
      <c r="M60" s="62"/>
      <c r="N60" s="62"/>
      <c r="O60" s="63"/>
      <c r="P60" s="63"/>
    </row>
    <row r="61" spans="1:16" ht="24.75" customHeight="1" x14ac:dyDescent="0.25">
      <c r="A61" s="15" t="str">
        <f t="shared" si="0"/>
        <v>VISTOS BUENOS</v>
      </c>
      <c r="B61" s="69">
        <v>3</v>
      </c>
      <c r="C61" s="37">
        <v>42</v>
      </c>
      <c r="D61" s="37">
        <v>53</v>
      </c>
      <c r="E61" s="70" t="s">
        <v>2651</v>
      </c>
      <c r="F61" s="71">
        <v>272972</v>
      </c>
      <c r="G61" s="37" t="s">
        <v>30</v>
      </c>
      <c r="H61" s="72" t="s">
        <v>2731</v>
      </c>
      <c r="I61" s="73" t="s">
        <v>2788</v>
      </c>
      <c r="J61" s="37">
        <v>12</v>
      </c>
      <c r="K61" s="36" t="s">
        <v>31</v>
      </c>
      <c r="L61" s="60" t="s">
        <v>32</v>
      </c>
      <c r="M61" s="62"/>
      <c r="N61" s="62"/>
      <c r="O61" s="63"/>
      <c r="P61" s="63"/>
    </row>
    <row r="62" spans="1:16" ht="24.75" customHeight="1" x14ac:dyDescent="0.25">
      <c r="A62" s="15" t="str">
        <f t="shared" si="0"/>
        <v>VISTOS BUENOS</v>
      </c>
      <c r="B62" s="69">
        <v>3</v>
      </c>
      <c r="C62" s="37">
        <v>42</v>
      </c>
      <c r="D62" s="37">
        <v>54</v>
      </c>
      <c r="E62" s="70" t="s">
        <v>2652</v>
      </c>
      <c r="F62" s="71">
        <v>272975</v>
      </c>
      <c r="G62" s="37" t="s">
        <v>30</v>
      </c>
      <c r="H62" s="72" t="s">
        <v>2731</v>
      </c>
      <c r="I62" s="73" t="s">
        <v>2788</v>
      </c>
      <c r="J62" s="37">
        <v>12</v>
      </c>
      <c r="K62" s="36" t="s">
        <v>31</v>
      </c>
      <c r="L62" s="60" t="s">
        <v>32</v>
      </c>
      <c r="M62" s="62"/>
      <c r="N62" s="62"/>
      <c r="O62" s="63"/>
      <c r="P62" s="63"/>
    </row>
    <row r="63" spans="1:16" ht="24.75" customHeight="1" x14ac:dyDescent="0.25">
      <c r="A63" s="15" t="str">
        <f t="shared" si="0"/>
        <v>VISTOS BUENOS</v>
      </c>
      <c r="B63" s="69">
        <v>3</v>
      </c>
      <c r="C63" s="37">
        <v>42</v>
      </c>
      <c r="D63" s="37">
        <v>55</v>
      </c>
      <c r="E63" s="70" t="s">
        <v>2653</v>
      </c>
      <c r="F63" s="71">
        <v>272977</v>
      </c>
      <c r="G63" s="37" t="s">
        <v>30</v>
      </c>
      <c r="H63" s="72" t="s">
        <v>2731</v>
      </c>
      <c r="I63" s="73" t="s">
        <v>2788</v>
      </c>
      <c r="J63" s="37">
        <v>12</v>
      </c>
      <c r="K63" s="36" t="s">
        <v>31</v>
      </c>
      <c r="L63" s="60" t="s">
        <v>32</v>
      </c>
      <c r="M63" s="62"/>
      <c r="N63" s="62"/>
      <c r="O63" s="63"/>
      <c r="P63" s="63"/>
    </row>
    <row r="64" spans="1:16" ht="24.75" customHeight="1" x14ac:dyDescent="0.25">
      <c r="A64" s="15" t="str">
        <f t="shared" si="0"/>
        <v>VISTOS BUENOS</v>
      </c>
      <c r="B64" s="69">
        <v>3</v>
      </c>
      <c r="C64" s="37">
        <v>42</v>
      </c>
      <c r="D64" s="37">
        <v>56</v>
      </c>
      <c r="E64" s="70" t="s">
        <v>2654</v>
      </c>
      <c r="F64" s="71">
        <v>272978</v>
      </c>
      <c r="G64" s="37" t="s">
        <v>30</v>
      </c>
      <c r="H64" s="72" t="s">
        <v>2731</v>
      </c>
      <c r="I64" s="73" t="s">
        <v>2788</v>
      </c>
      <c r="J64" s="37">
        <v>12</v>
      </c>
      <c r="K64" s="36" t="s">
        <v>31</v>
      </c>
      <c r="L64" s="60" t="s">
        <v>32</v>
      </c>
      <c r="M64" s="62"/>
      <c r="N64" s="62"/>
      <c r="O64" s="63"/>
      <c r="P64" s="63"/>
    </row>
    <row r="65" spans="1:16" ht="24.75" customHeight="1" x14ac:dyDescent="0.25">
      <c r="A65" s="15" t="str">
        <f t="shared" si="0"/>
        <v>VISTOS BUENOS</v>
      </c>
      <c r="B65" s="69">
        <v>3</v>
      </c>
      <c r="C65" s="37">
        <v>43</v>
      </c>
      <c r="D65" s="37">
        <v>57</v>
      </c>
      <c r="E65" s="70" t="s">
        <v>2655</v>
      </c>
      <c r="F65" s="71">
        <v>272980</v>
      </c>
      <c r="G65" s="37" t="s">
        <v>30</v>
      </c>
      <c r="H65" s="72" t="s">
        <v>2731</v>
      </c>
      <c r="I65" s="73" t="s">
        <v>2788</v>
      </c>
      <c r="J65" s="37">
        <v>12</v>
      </c>
      <c r="K65" s="36" t="s">
        <v>31</v>
      </c>
      <c r="L65" s="60" t="s">
        <v>32</v>
      </c>
      <c r="M65" s="62"/>
      <c r="N65" s="62"/>
      <c r="O65" s="63"/>
      <c r="P65" s="63"/>
    </row>
    <row r="66" spans="1:16" ht="24.75" customHeight="1" x14ac:dyDescent="0.25">
      <c r="A66" s="15" t="str">
        <f t="shared" si="0"/>
        <v>VISTOS BUENOS</v>
      </c>
      <c r="B66" s="69">
        <v>3</v>
      </c>
      <c r="C66" s="37">
        <v>43</v>
      </c>
      <c r="D66" s="37">
        <v>58</v>
      </c>
      <c r="E66" s="70" t="s">
        <v>2656</v>
      </c>
      <c r="F66" s="71">
        <v>273102</v>
      </c>
      <c r="G66" s="37" t="s">
        <v>30</v>
      </c>
      <c r="H66" s="72" t="s">
        <v>2732</v>
      </c>
      <c r="I66" s="73" t="s">
        <v>2789</v>
      </c>
      <c r="J66" s="37">
        <v>30</v>
      </c>
      <c r="K66" s="36" t="s">
        <v>31</v>
      </c>
      <c r="L66" s="60" t="s">
        <v>32</v>
      </c>
      <c r="M66" s="62"/>
      <c r="N66" s="62"/>
      <c r="O66" s="63"/>
      <c r="P66" s="63"/>
    </row>
    <row r="67" spans="1:16" ht="24.75" customHeight="1" x14ac:dyDescent="0.25">
      <c r="A67" s="15" t="str">
        <f t="shared" si="0"/>
        <v>VISTOS BUENOS</v>
      </c>
      <c r="B67" s="69">
        <v>3</v>
      </c>
      <c r="C67" s="37">
        <v>43</v>
      </c>
      <c r="D67" s="37">
        <v>59</v>
      </c>
      <c r="E67" s="70" t="s">
        <v>2657</v>
      </c>
      <c r="F67" s="71">
        <v>273284</v>
      </c>
      <c r="G67" s="37" t="s">
        <v>30</v>
      </c>
      <c r="H67" s="72" t="s">
        <v>2733</v>
      </c>
      <c r="I67" s="73" t="s">
        <v>2790</v>
      </c>
      <c r="J67" s="37">
        <v>45</v>
      </c>
      <c r="K67" s="36" t="s">
        <v>31</v>
      </c>
      <c r="L67" s="60" t="s">
        <v>32</v>
      </c>
      <c r="M67" s="62"/>
      <c r="N67" s="62"/>
      <c r="O67" s="63"/>
      <c r="P67" s="63"/>
    </row>
    <row r="68" spans="1:16" ht="24.75" customHeight="1" x14ac:dyDescent="0.25">
      <c r="A68" s="15" t="str">
        <f t="shared" si="0"/>
        <v>VISTOS BUENOS</v>
      </c>
      <c r="B68" s="69">
        <v>3</v>
      </c>
      <c r="C68" s="37">
        <v>43</v>
      </c>
      <c r="D68" s="37">
        <v>60</v>
      </c>
      <c r="E68" s="70" t="s">
        <v>2658</v>
      </c>
      <c r="F68" s="71">
        <v>273436</v>
      </c>
      <c r="G68" s="37" t="s">
        <v>30</v>
      </c>
      <c r="H68" s="72" t="s">
        <v>2734</v>
      </c>
      <c r="I68" s="73" t="s">
        <v>2791</v>
      </c>
      <c r="J68" s="37">
        <v>39</v>
      </c>
      <c r="K68" s="36" t="s">
        <v>31</v>
      </c>
      <c r="L68" s="60" t="s">
        <v>32</v>
      </c>
      <c r="M68" s="62"/>
      <c r="N68" s="62"/>
      <c r="O68" s="63"/>
      <c r="P68" s="63"/>
    </row>
    <row r="69" spans="1:16" ht="24.75" customHeight="1" x14ac:dyDescent="0.25">
      <c r="A69" s="15" t="str">
        <f t="shared" si="0"/>
        <v>VISTOS BUENOS</v>
      </c>
      <c r="B69" s="69">
        <v>3</v>
      </c>
      <c r="C69" s="37">
        <v>44</v>
      </c>
      <c r="D69" s="37">
        <v>61</v>
      </c>
      <c r="E69" s="70" t="s">
        <v>2659</v>
      </c>
      <c r="F69" s="71">
        <v>273870</v>
      </c>
      <c r="G69" s="37" t="s">
        <v>30</v>
      </c>
      <c r="H69" s="72" t="s">
        <v>2735</v>
      </c>
      <c r="I69" s="73" t="s">
        <v>2792</v>
      </c>
      <c r="J69" s="37">
        <v>158</v>
      </c>
      <c r="K69" s="36" t="s">
        <v>31</v>
      </c>
      <c r="L69" s="60" t="s">
        <v>32</v>
      </c>
      <c r="M69" s="62"/>
      <c r="N69" s="62"/>
      <c r="O69" s="63"/>
      <c r="P69" s="63"/>
    </row>
    <row r="70" spans="1:16" ht="24.75" customHeight="1" x14ac:dyDescent="0.25">
      <c r="A70" s="15" t="str">
        <f t="shared" si="0"/>
        <v>VISTOS BUENOS</v>
      </c>
      <c r="B70" s="69">
        <v>3</v>
      </c>
      <c r="C70" s="37" t="s">
        <v>2150</v>
      </c>
      <c r="D70" s="37">
        <v>62</v>
      </c>
      <c r="E70" s="70" t="s">
        <v>2660</v>
      </c>
      <c r="F70" s="71">
        <v>274060</v>
      </c>
      <c r="G70" s="37" t="s">
        <v>30</v>
      </c>
      <c r="H70" s="72" t="s">
        <v>2736</v>
      </c>
      <c r="I70" s="73" t="s">
        <v>2793</v>
      </c>
      <c r="J70" s="37">
        <v>172</v>
      </c>
      <c r="K70" s="36" t="s">
        <v>31</v>
      </c>
      <c r="L70" s="60" t="s">
        <v>32</v>
      </c>
      <c r="M70" s="62"/>
      <c r="N70" s="62"/>
      <c r="O70" s="63"/>
      <c r="P70" s="63"/>
    </row>
    <row r="71" spans="1:16" ht="24.75" customHeight="1" x14ac:dyDescent="0.25">
      <c r="A71" s="15" t="str">
        <f t="shared" si="0"/>
        <v>VISTOS BUENOS</v>
      </c>
      <c r="B71" s="69">
        <v>3</v>
      </c>
      <c r="C71" s="37">
        <v>47</v>
      </c>
      <c r="D71" s="37">
        <v>63</v>
      </c>
      <c r="E71" s="70" t="s">
        <v>2661</v>
      </c>
      <c r="F71" s="71">
        <v>274073</v>
      </c>
      <c r="G71" s="37" t="s">
        <v>30</v>
      </c>
      <c r="H71" s="72" t="s">
        <v>2737</v>
      </c>
      <c r="I71" s="73" t="s">
        <v>2793</v>
      </c>
      <c r="J71" s="37">
        <v>10</v>
      </c>
      <c r="K71" s="36" t="s">
        <v>31</v>
      </c>
      <c r="L71" s="60" t="s">
        <v>32</v>
      </c>
      <c r="M71" s="62"/>
      <c r="N71" s="62"/>
      <c r="O71" s="63"/>
      <c r="P71" s="63"/>
    </row>
    <row r="72" spans="1:16" ht="24.75" customHeight="1" x14ac:dyDescent="0.25">
      <c r="A72" s="15" t="str">
        <f t="shared" si="0"/>
        <v>VISTOS BUENOS</v>
      </c>
      <c r="B72" s="69">
        <v>3</v>
      </c>
      <c r="C72" s="37">
        <v>47</v>
      </c>
      <c r="D72" s="37">
        <v>64</v>
      </c>
      <c r="E72" s="70" t="s">
        <v>2662</v>
      </c>
      <c r="F72" s="71">
        <v>274103</v>
      </c>
      <c r="G72" s="37" t="s">
        <v>30</v>
      </c>
      <c r="H72" s="72" t="s">
        <v>2738</v>
      </c>
      <c r="I72" s="73" t="s">
        <v>2793</v>
      </c>
      <c r="J72" s="37">
        <v>31</v>
      </c>
      <c r="K72" s="36" t="s">
        <v>31</v>
      </c>
      <c r="L72" s="60" t="s">
        <v>32</v>
      </c>
      <c r="M72" s="62"/>
      <c r="N72" s="62"/>
      <c r="O72" s="63"/>
      <c r="P72" s="63"/>
    </row>
    <row r="73" spans="1:16" ht="24.75" customHeight="1" x14ac:dyDescent="0.25">
      <c r="A73" s="15" t="str">
        <f t="shared" si="0"/>
        <v>VISTOS BUENOS</v>
      </c>
      <c r="B73" s="69">
        <v>3</v>
      </c>
      <c r="C73" s="37">
        <v>47</v>
      </c>
      <c r="D73" s="37">
        <v>65</v>
      </c>
      <c r="E73" s="70" t="s">
        <v>2663</v>
      </c>
      <c r="F73" s="71">
        <v>274222</v>
      </c>
      <c r="G73" s="37" t="s">
        <v>30</v>
      </c>
      <c r="H73" s="72" t="s">
        <v>2739</v>
      </c>
      <c r="I73" s="73" t="s">
        <v>2749</v>
      </c>
      <c r="J73" s="37">
        <v>54</v>
      </c>
      <c r="K73" s="36" t="s">
        <v>31</v>
      </c>
      <c r="L73" s="60" t="s">
        <v>32</v>
      </c>
      <c r="M73" s="62"/>
      <c r="N73" s="62"/>
      <c r="O73" s="63"/>
      <c r="P73" s="63"/>
    </row>
    <row r="74" spans="1:16" ht="24.75" customHeight="1" x14ac:dyDescent="0.25">
      <c r="A74" s="15" t="str">
        <f t="shared" si="0"/>
        <v>VISTOS BUENOS</v>
      </c>
      <c r="B74" s="69">
        <v>3</v>
      </c>
      <c r="C74" s="37">
        <v>48</v>
      </c>
      <c r="D74" s="37">
        <v>66</v>
      </c>
      <c r="E74" s="70" t="s">
        <v>2664</v>
      </c>
      <c r="F74" s="71">
        <v>274312</v>
      </c>
      <c r="G74" s="37" t="s">
        <v>30</v>
      </c>
      <c r="H74" s="72" t="s">
        <v>2740</v>
      </c>
      <c r="I74" s="73" t="s">
        <v>2794</v>
      </c>
      <c r="J74" s="37">
        <v>77</v>
      </c>
      <c r="K74" s="36" t="s">
        <v>31</v>
      </c>
      <c r="L74" s="60" t="s">
        <v>32</v>
      </c>
      <c r="M74" s="62"/>
      <c r="N74" s="62"/>
      <c r="O74" s="63"/>
      <c r="P74" s="63"/>
    </row>
    <row r="75" spans="1:16" ht="24.75" customHeight="1" x14ac:dyDescent="0.25">
      <c r="A75" s="15" t="str">
        <f t="shared" ref="A75:A91" si="1">A74</f>
        <v>VISTOS BUENOS</v>
      </c>
      <c r="B75" s="69">
        <v>4</v>
      </c>
      <c r="C75" s="37">
        <v>49</v>
      </c>
      <c r="D75" s="37">
        <v>67</v>
      </c>
      <c r="E75" s="70" t="s">
        <v>2665</v>
      </c>
      <c r="F75" s="71">
        <v>274515</v>
      </c>
      <c r="G75" s="37" t="s">
        <v>30</v>
      </c>
      <c r="H75" s="72" t="s">
        <v>2741</v>
      </c>
      <c r="I75" s="73" t="s">
        <v>2795</v>
      </c>
      <c r="J75" s="37">
        <v>59</v>
      </c>
      <c r="K75" s="36" t="s">
        <v>31</v>
      </c>
      <c r="L75" s="60" t="s">
        <v>32</v>
      </c>
      <c r="M75" s="62"/>
      <c r="N75" s="62"/>
      <c r="O75" s="63"/>
      <c r="P75" s="63"/>
    </row>
    <row r="76" spans="1:16" ht="24.75" customHeight="1" x14ac:dyDescent="0.25">
      <c r="A76" s="15" t="str">
        <f t="shared" si="1"/>
        <v>VISTOS BUENOS</v>
      </c>
      <c r="B76" s="69">
        <v>4</v>
      </c>
      <c r="C76" s="37">
        <v>49</v>
      </c>
      <c r="D76" s="37">
        <v>68</v>
      </c>
      <c r="E76" s="70" t="s">
        <v>2666</v>
      </c>
      <c r="F76" s="71">
        <v>274673</v>
      </c>
      <c r="G76" s="37" t="s">
        <v>30</v>
      </c>
      <c r="H76" s="72" t="s">
        <v>2742</v>
      </c>
      <c r="I76" s="73" t="s">
        <v>2796</v>
      </c>
      <c r="J76" s="37">
        <v>59</v>
      </c>
      <c r="K76" s="36" t="s">
        <v>31</v>
      </c>
      <c r="L76" s="60" t="s">
        <v>32</v>
      </c>
      <c r="M76" s="62"/>
      <c r="N76" s="62"/>
      <c r="O76" s="63"/>
      <c r="P76" s="63"/>
    </row>
    <row r="77" spans="1:16" ht="24.75" customHeight="1" x14ac:dyDescent="0.25">
      <c r="A77" s="15" t="str">
        <f t="shared" si="1"/>
        <v>VISTOS BUENOS</v>
      </c>
      <c r="B77" s="69">
        <v>4</v>
      </c>
      <c r="C77" s="37">
        <v>50</v>
      </c>
      <c r="D77" s="37">
        <v>69</v>
      </c>
      <c r="E77" s="70" t="s">
        <v>2667</v>
      </c>
      <c r="F77" s="71">
        <v>274765</v>
      </c>
      <c r="G77" s="37" t="s">
        <v>30</v>
      </c>
      <c r="H77" s="72" t="s">
        <v>2743</v>
      </c>
      <c r="I77" s="73" t="s">
        <v>2797</v>
      </c>
      <c r="J77" s="37">
        <v>53</v>
      </c>
      <c r="K77" s="36" t="s">
        <v>31</v>
      </c>
      <c r="L77" s="60" t="s">
        <v>32</v>
      </c>
      <c r="M77" s="62"/>
      <c r="N77" s="62"/>
      <c r="O77" s="63"/>
      <c r="P77" s="63"/>
    </row>
    <row r="78" spans="1:16" ht="24.75" customHeight="1" x14ac:dyDescent="0.25">
      <c r="A78" s="15" t="str">
        <f t="shared" si="1"/>
        <v>VISTOS BUENOS</v>
      </c>
      <c r="B78" s="69">
        <v>4</v>
      </c>
      <c r="C78" s="37">
        <v>50</v>
      </c>
      <c r="D78" s="37">
        <v>70</v>
      </c>
      <c r="E78" s="70" t="s">
        <v>2668</v>
      </c>
      <c r="F78" s="71">
        <v>274846</v>
      </c>
      <c r="G78" s="37" t="s">
        <v>30</v>
      </c>
      <c r="H78" s="72" t="s">
        <v>2744</v>
      </c>
      <c r="I78" s="73" t="s">
        <v>2798</v>
      </c>
      <c r="J78" s="37">
        <v>34</v>
      </c>
      <c r="K78" s="36" t="s">
        <v>31</v>
      </c>
      <c r="L78" s="60" t="s">
        <v>32</v>
      </c>
      <c r="M78" s="62"/>
      <c r="N78" s="62"/>
      <c r="O78" s="63"/>
      <c r="P78" s="63"/>
    </row>
    <row r="79" spans="1:16" ht="24.75" customHeight="1" x14ac:dyDescent="0.25">
      <c r="A79" s="15" t="str">
        <f t="shared" si="1"/>
        <v>VISTOS BUENOS</v>
      </c>
      <c r="B79" s="69">
        <v>4</v>
      </c>
      <c r="C79" s="37">
        <v>51</v>
      </c>
      <c r="D79" s="37">
        <v>71</v>
      </c>
      <c r="E79" s="70" t="s">
        <v>2669</v>
      </c>
      <c r="F79" s="71">
        <v>275071</v>
      </c>
      <c r="G79" s="37" t="s">
        <v>30</v>
      </c>
      <c r="H79" s="72" t="s">
        <v>2745</v>
      </c>
      <c r="I79" s="73" t="s">
        <v>2799</v>
      </c>
      <c r="J79" s="37">
        <v>29</v>
      </c>
      <c r="K79" s="36" t="s">
        <v>31</v>
      </c>
      <c r="L79" s="60" t="s">
        <v>32</v>
      </c>
      <c r="M79" s="62"/>
      <c r="N79" s="62"/>
      <c r="O79" s="63"/>
      <c r="P79" s="63"/>
    </row>
    <row r="80" spans="1:16" ht="24.75" customHeight="1" x14ac:dyDescent="0.25">
      <c r="A80" s="15" t="str">
        <f t="shared" si="1"/>
        <v>VISTOS BUENOS</v>
      </c>
      <c r="B80" s="69">
        <v>4</v>
      </c>
      <c r="C80" s="37">
        <v>51</v>
      </c>
      <c r="D80" s="37">
        <v>72</v>
      </c>
      <c r="E80" s="70" t="s">
        <v>2670</v>
      </c>
      <c r="F80" s="71">
        <v>275113</v>
      </c>
      <c r="G80" s="37" t="s">
        <v>30</v>
      </c>
      <c r="H80" s="72" t="s">
        <v>2746</v>
      </c>
      <c r="I80" s="73" t="s">
        <v>2800</v>
      </c>
      <c r="J80" s="37">
        <v>23</v>
      </c>
      <c r="K80" s="36" t="s">
        <v>31</v>
      </c>
      <c r="L80" s="60" t="s">
        <v>32</v>
      </c>
      <c r="M80" s="62"/>
      <c r="N80" s="62"/>
      <c r="O80" s="63"/>
      <c r="P80" s="63"/>
    </row>
    <row r="81" spans="1:16" ht="24.75" customHeight="1" x14ac:dyDescent="0.25">
      <c r="A81" s="15" t="str">
        <f t="shared" si="1"/>
        <v>VISTOS BUENOS</v>
      </c>
      <c r="B81" s="69">
        <v>4</v>
      </c>
      <c r="C81" s="37">
        <v>51</v>
      </c>
      <c r="D81" s="37">
        <v>73</v>
      </c>
      <c r="E81" s="70" t="s">
        <v>2671</v>
      </c>
      <c r="F81" s="71">
        <v>275114</v>
      </c>
      <c r="G81" s="37" t="s">
        <v>30</v>
      </c>
      <c r="H81" s="72" t="s">
        <v>2746</v>
      </c>
      <c r="I81" s="73" t="s">
        <v>2800</v>
      </c>
      <c r="J81" s="37">
        <v>28</v>
      </c>
      <c r="K81" s="36" t="s">
        <v>31</v>
      </c>
      <c r="L81" s="60" t="s">
        <v>32</v>
      </c>
      <c r="M81" s="62"/>
      <c r="N81" s="62"/>
      <c r="O81" s="63"/>
      <c r="P81" s="63"/>
    </row>
    <row r="82" spans="1:16" ht="24.75" customHeight="1" x14ac:dyDescent="0.25">
      <c r="A82" s="15" t="str">
        <f t="shared" si="1"/>
        <v>VISTOS BUENOS</v>
      </c>
      <c r="B82" s="69">
        <v>4</v>
      </c>
      <c r="C82" s="37" t="s">
        <v>1519</v>
      </c>
      <c r="D82" s="37">
        <v>74</v>
      </c>
      <c r="E82" s="70" t="s">
        <v>2672</v>
      </c>
      <c r="F82" s="71">
        <v>275133</v>
      </c>
      <c r="G82" s="37" t="s">
        <v>30</v>
      </c>
      <c r="H82" s="72" t="s">
        <v>2747</v>
      </c>
      <c r="I82" s="73" t="s">
        <v>2801</v>
      </c>
      <c r="J82" s="37">
        <v>332</v>
      </c>
      <c r="K82" s="36" t="s">
        <v>31</v>
      </c>
      <c r="L82" s="60" t="s">
        <v>32</v>
      </c>
      <c r="M82" s="62"/>
      <c r="N82" s="62"/>
      <c r="O82" s="63"/>
      <c r="P82" s="63"/>
    </row>
    <row r="83" spans="1:16" ht="24.75" customHeight="1" x14ac:dyDescent="0.25">
      <c r="A83" s="15" t="str">
        <f t="shared" si="1"/>
        <v>VISTOS BUENOS</v>
      </c>
      <c r="B83" s="69">
        <v>4</v>
      </c>
      <c r="C83" s="37">
        <v>55</v>
      </c>
      <c r="D83" s="37">
        <v>75</v>
      </c>
      <c r="E83" s="70" t="s">
        <v>2673</v>
      </c>
      <c r="F83" s="71">
        <v>275182</v>
      </c>
      <c r="G83" s="37" t="s">
        <v>30</v>
      </c>
      <c r="H83" s="72" t="s">
        <v>2748</v>
      </c>
      <c r="I83" s="73" t="s">
        <v>2802</v>
      </c>
      <c r="J83" s="37">
        <v>84</v>
      </c>
      <c r="K83" s="36" t="s">
        <v>31</v>
      </c>
      <c r="L83" s="60" t="s">
        <v>32</v>
      </c>
      <c r="M83" s="62"/>
      <c r="N83" s="62"/>
      <c r="O83" s="63"/>
      <c r="P83" s="63"/>
    </row>
    <row r="84" spans="1:16" ht="24.75" customHeight="1" x14ac:dyDescent="0.25">
      <c r="A84" s="15" t="str">
        <f t="shared" si="1"/>
        <v>VISTOS BUENOS</v>
      </c>
      <c r="B84" s="69">
        <v>4</v>
      </c>
      <c r="C84" s="37">
        <v>56</v>
      </c>
      <c r="D84" s="37">
        <v>76</v>
      </c>
      <c r="E84" s="70" t="s">
        <v>2674</v>
      </c>
      <c r="F84" s="71">
        <v>275454</v>
      </c>
      <c r="G84" s="37" t="s">
        <v>30</v>
      </c>
      <c r="H84" s="72" t="s">
        <v>2749</v>
      </c>
      <c r="I84" s="73" t="s">
        <v>2803</v>
      </c>
      <c r="J84" s="37">
        <v>44</v>
      </c>
      <c r="K84" s="36" t="s">
        <v>31</v>
      </c>
      <c r="L84" s="60" t="s">
        <v>32</v>
      </c>
      <c r="M84" s="62"/>
      <c r="N84" s="62"/>
      <c r="O84" s="63"/>
      <c r="P84" s="63"/>
    </row>
    <row r="85" spans="1:16" ht="24.75" customHeight="1" x14ac:dyDescent="0.25">
      <c r="A85" s="15" t="str">
        <f t="shared" si="1"/>
        <v>VISTOS BUENOS</v>
      </c>
      <c r="B85" s="69">
        <v>4</v>
      </c>
      <c r="C85" s="37" t="s">
        <v>2815</v>
      </c>
      <c r="D85" s="37">
        <v>77</v>
      </c>
      <c r="E85" s="70" t="s">
        <v>2675</v>
      </c>
      <c r="F85" s="71">
        <v>275469</v>
      </c>
      <c r="G85" s="37" t="s">
        <v>30</v>
      </c>
      <c r="H85" s="72" t="s">
        <v>2749</v>
      </c>
      <c r="I85" s="73" t="s">
        <v>2803</v>
      </c>
      <c r="J85" s="37">
        <v>175</v>
      </c>
      <c r="K85" s="36" t="s">
        <v>31</v>
      </c>
      <c r="L85" s="60" t="s">
        <v>32</v>
      </c>
      <c r="M85" s="62"/>
      <c r="N85" s="62"/>
      <c r="O85" s="63"/>
      <c r="P85" s="63"/>
    </row>
    <row r="86" spans="1:16" ht="24.75" customHeight="1" x14ac:dyDescent="0.25">
      <c r="A86" s="15" t="str">
        <f t="shared" si="1"/>
        <v>VISTOS BUENOS</v>
      </c>
      <c r="B86" s="69">
        <v>4</v>
      </c>
      <c r="C86" s="37">
        <v>59</v>
      </c>
      <c r="D86" s="37">
        <v>78</v>
      </c>
      <c r="E86" s="70" t="s">
        <v>2676</v>
      </c>
      <c r="F86" s="71">
        <v>275885</v>
      </c>
      <c r="G86" s="37" t="s">
        <v>30</v>
      </c>
      <c r="H86" s="72" t="s">
        <v>2750</v>
      </c>
      <c r="I86" s="73" t="s">
        <v>2804</v>
      </c>
      <c r="J86" s="37">
        <v>90</v>
      </c>
      <c r="K86" s="36" t="s">
        <v>31</v>
      </c>
      <c r="L86" s="60" t="s">
        <v>32</v>
      </c>
      <c r="M86" s="62"/>
      <c r="N86" s="62"/>
      <c r="O86" s="63"/>
      <c r="P86" s="63"/>
    </row>
    <row r="87" spans="1:16" ht="24.75" customHeight="1" x14ac:dyDescent="0.25">
      <c r="A87" s="15" t="str">
        <f t="shared" si="1"/>
        <v>VISTOS BUENOS</v>
      </c>
      <c r="B87" s="69">
        <v>4</v>
      </c>
      <c r="C87" s="37">
        <v>60</v>
      </c>
      <c r="D87" s="37">
        <v>79</v>
      </c>
      <c r="E87" s="70" t="s">
        <v>2677</v>
      </c>
      <c r="F87" s="71">
        <v>275891</v>
      </c>
      <c r="G87" s="37" t="s">
        <v>30</v>
      </c>
      <c r="H87" s="72" t="s">
        <v>2750</v>
      </c>
      <c r="I87" s="73" t="s">
        <v>2804</v>
      </c>
      <c r="J87" s="37">
        <v>54</v>
      </c>
      <c r="K87" s="36" t="s">
        <v>31</v>
      </c>
      <c r="L87" s="60" t="s">
        <v>32</v>
      </c>
      <c r="M87" s="62"/>
      <c r="N87" s="62"/>
      <c r="O87" s="63"/>
      <c r="P87" s="63"/>
    </row>
    <row r="88" spans="1:16" ht="24.75" customHeight="1" x14ac:dyDescent="0.25">
      <c r="A88" s="15" t="str">
        <f t="shared" si="1"/>
        <v>VISTOS BUENOS</v>
      </c>
      <c r="B88" s="69">
        <v>4</v>
      </c>
      <c r="C88" s="37">
        <v>60</v>
      </c>
      <c r="D88" s="37">
        <v>80</v>
      </c>
      <c r="E88" s="70" t="s">
        <v>2678</v>
      </c>
      <c r="F88" s="71">
        <v>276239</v>
      </c>
      <c r="G88" s="37" t="s">
        <v>30</v>
      </c>
      <c r="H88" s="72" t="s">
        <v>2751</v>
      </c>
      <c r="I88" s="73" t="s">
        <v>2756</v>
      </c>
      <c r="J88" s="37">
        <v>16</v>
      </c>
      <c r="K88" s="36" t="s">
        <v>31</v>
      </c>
      <c r="L88" s="60" t="s">
        <v>32</v>
      </c>
      <c r="M88" s="62"/>
      <c r="N88" s="62"/>
      <c r="O88" s="63"/>
      <c r="P88" s="63"/>
    </row>
    <row r="89" spans="1:16" ht="24.75" customHeight="1" x14ac:dyDescent="0.25">
      <c r="A89" s="15" t="str">
        <f t="shared" si="1"/>
        <v>VISTOS BUENOS</v>
      </c>
      <c r="B89" s="69">
        <v>4</v>
      </c>
      <c r="C89" s="37">
        <v>61</v>
      </c>
      <c r="D89" s="37">
        <v>81</v>
      </c>
      <c r="E89" s="70" t="s">
        <v>2679</v>
      </c>
      <c r="F89" s="71">
        <v>276242</v>
      </c>
      <c r="G89" s="37" t="s">
        <v>30</v>
      </c>
      <c r="H89" s="72" t="s">
        <v>2751</v>
      </c>
      <c r="I89" s="73" t="s">
        <v>2756</v>
      </c>
      <c r="J89" s="37">
        <v>41</v>
      </c>
      <c r="K89" s="36" t="s">
        <v>31</v>
      </c>
      <c r="L89" s="60" t="s">
        <v>32</v>
      </c>
      <c r="M89" s="62"/>
      <c r="N89" s="62"/>
      <c r="O89" s="63"/>
      <c r="P89" s="63"/>
    </row>
    <row r="90" spans="1:16" ht="24.75" customHeight="1" x14ac:dyDescent="0.25">
      <c r="A90" s="15" t="str">
        <f t="shared" si="1"/>
        <v>VISTOS BUENOS</v>
      </c>
      <c r="B90" s="69">
        <v>4</v>
      </c>
      <c r="C90" s="37">
        <v>62</v>
      </c>
      <c r="D90" s="37">
        <v>82</v>
      </c>
      <c r="E90" s="70" t="s">
        <v>2689</v>
      </c>
      <c r="F90" s="71">
        <v>268402</v>
      </c>
      <c r="G90" s="37" t="s">
        <v>30</v>
      </c>
      <c r="H90" s="72">
        <v>43173</v>
      </c>
      <c r="I90" s="73">
        <v>43185</v>
      </c>
      <c r="J90" s="37">
        <v>118</v>
      </c>
      <c r="K90" s="36" t="s">
        <v>31</v>
      </c>
      <c r="L90" s="60" t="s">
        <v>32</v>
      </c>
      <c r="M90" s="62"/>
      <c r="N90" s="62"/>
      <c r="O90" s="63"/>
      <c r="P90" s="63"/>
    </row>
    <row r="91" spans="1:16" ht="24.75" customHeight="1" x14ac:dyDescent="0.25">
      <c r="A91" s="15" t="str">
        <f t="shared" si="1"/>
        <v>VISTOS BUENOS</v>
      </c>
      <c r="B91" s="69">
        <v>4</v>
      </c>
      <c r="C91" s="37">
        <v>63</v>
      </c>
      <c r="D91" s="37">
        <v>83</v>
      </c>
      <c r="E91" s="70" t="s">
        <v>2585</v>
      </c>
      <c r="F91" s="71">
        <v>266147</v>
      </c>
      <c r="G91" s="37" t="s">
        <v>30</v>
      </c>
      <c r="H91" s="72">
        <v>43097</v>
      </c>
      <c r="I91" s="73">
        <v>43112</v>
      </c>
      <c r="J91" s="37">
        <v>79</v>
      </c>
      <c r="K91" s="36" t="s">
        <v>31</v>
      </c>
      <c r="L91" s="60" t="s">
        <v>32</v>
      </c>
      <c r="M91" s="62"/>
      <c r="N91" s="62"/>
      <c r="O91" s="63"/>
      <c r="P91" s="63"/>
    </row>
  </sheetData>
  <mergeCells count="24">
    <mergeCell ref="H7:I7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G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topLeftCell="A97" zoomScale="145" zoomScaleNormal="145" workbookViewId="0">
      <selection activeCell="G104" sqref="G104"/>
    </sheetView>
  </sheetViews>
  <sheetFormatPr baseColWidth="10" defaultColWidth="9.140625" defaultRowHeight="15" x14ac:dyDescent="0.25"/>
  <cols>
    <col min="1" max="1" width="9.28515625" style="8" customWidth="1"/>
    <col min="2" max="2" width="5" style="8" customWidth="1"/>
    <col min="3" max="3" width="9.140625" style="8" customWidth="1"/>
    <col min="4" max="4" width="4.140625" style="8" customWidth="1"/>
    <col min="5" max="5" width="27.42578125" style="8" customWidth="1"/>
    <col min="6" max="6" width="14.42578125" style="8" customWidth="1"/>
    <col min="7" max="7" width="6.42578125" style="8" customWidth="1"/>
    <col min="8" max="8" width="6.28515625" style="8" customWidth="1"/>
    <col min="9" max="15" width="6.42578125" style="8" customWidth="1"/>
    <col min="16" max="16" width="6.28515625" style="8" customWidth="1"/>
    <col min="17" max="16384" width="9.140625" style="8"/>
  </cols>
  <sheetData>
    <row r="1" spans="1:16" ht="7.35" customHeight="1" x14ac:dyDescent="0.25">
      <c r="A1" s="77" t="s">
        <v>0</v>
      </c>
      <c r="B1" s="77"/>
      <c r="C1" s="77"/>
      <c r="D1" s="79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80" t="s">
        <v>2</v>
      </c>
      <c r="O1" s="80"/>
      <c r="P1" s="80"/>
    </row>
    <row r="2" spans="1:16" ht="11.1" customHeight="1" x14ac:dyDescent="0.25">
      <c r="A2" s="77" t="s">
        <v>0</v>
      </c>
      <c r="B2" s="78"/>
      <c r="C2" s="78"/>
      <c r="D2" s="79" t="s">
        <v>1</v>
      </c>
      <c r="E2" s="78"/>
      <c r="F2" s="78"/>
      <c r="G2" s="78"/>
      <c r="H2" s="78"/>
      <c r="I2" s="78"/>
      <c r="J2" s="78"/>
      <c r="K2" s="78"/>
      <c r="L2" s="78"/>
      <c r="M2" s="78"/>
      <c r="N2" s="80" t="s">
        <v>3</v>
      </c>
      <c r="O2" s="80"/>
      <c r="P2" s="80"/>
    </row>
    <row r="3" spans="1:16" ht="14.85" customHeight="1" x14ac:dyDescent="0.25">
      <c r="A3" s="77" t="s">
        <v>0</v>
      </c>
      <c r="B3" s="78"/>
      <c r="C3" s="78"/>
      <c r="D3" s="81" t="s">
        <v>4</v>
      </c>
      <c r="E3" s="81"/>
      <c r="F3" s="82" t="s">
        <v>5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7.35" customHeight="1" x14ac:dyDescent="0.25">
      <c r="A4" s="83" t="s">
        <v>6</v>
      </c>
      <c r="B4" s="83"/>
      <c r="C4" s="83"/>
      <c r="D4" s="82" t="s">
        <v>7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7.35" customHeight="1" x14ac:dyDescent="0.25">
      <c r="A5" s="83" t="s">
        <v>8</v>
      </c>
      <c r="B5" s="83"/>
      <c r="C5" s="83"/>
      <c r="D5" s="82" t="s">
        <v>9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7.35" customHeight="1" x14ac:dyDescent="0.25">
      <c r="A6" s="84" t="s">
        <v>10</v>
      </c>
      <c r="B6" s="84"/>
      <c r="C6" s="84"/>
      <c r="D6" s="82" t="s">
        <v>139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7.35" customHeight="1" x14ac:dyDescent="0.25">
      <c r="A7" s="85" t="s">
        <v>11</v>
      </c>
      <c r="B7" s="85" t="s">
        <v>12</v>
      </c>
      <c r="C7" s="86" t="s">
        <v>13</v>
      </c>
      <c r="D7" s="83" t="s">
        <v>14</v>
      </c>
      <c r="E7" s="85" t="s">
        <v>15</v>
      </c>
      <c r="F7" s="87" t="s">
        <v>16</v>
      </c>
      <c r="G7" s="87"/>
      <c r="H7" s="84" t="s">
        <v>17</v>
      </c>
      <c r="I7" s="84"/>
      <c r="J7" s="85" t="s">
        <v>18</v>
      </c>
      <c r="K7" s="85" t="s">
        <v>19</v>
      </c>
      <c r="L7" s="85" t="s">
        <v>20</v>
      </c>
      <c r="M7" s="84" t="s">
        <v>21</v>
      </c>
      <c r="N7" s="84"/>
      <c r="O7" s="84"/>
      <c r="P7" s="85" t="s">
        <v>22</v>
      </c>
    </row>
    <row r="8" spans="1:16" ht="16.7" customHeight="1" x14ac:dyDescent="0.25">
      <c r="A8" s="85" t="s">
        <v>11</v>
      </c>
      <c r="B8" s="85" t="s">
        <v>12</v>
      </c>
      <c r="C8" s="89" t="s">
        <v>13</v>
      </c>
      <c r="D8" s="90" t="s">
        <v>14</v>
      </c>
      <c r="E8" s="88" t="s">
        <v>15</v>
      </c>
      <c r="F8" s="57" t="s">
        <v>23</v>
      </c>
      <c r="G8" s="58" t="s">
        <v>24</v>
      </c>
      <c r="H8" s="59" t="s">
        <v>25</v>
      </c>
      <c r="I8" s="59" t="s">
        <v>26</v>
      </c>
      <c r="J8" s="88" t="s">
        <v>18</v>
      </c>
      <c r="K8" s="88" t="s">
        <v>19</v>
      </c>
      <c r="L8" s="88" t="s">
        <v>20</v>
      </c>
      <c r="M8" s="59" t="s">
        <v>27</v>
      </c>
      <c r="N8" s="59" t="s">
        <v>28</v>
      </c>
      <c r="O8" s="59" t="s">
        <v>29</v>
      </c>
      <c r="P8" s="88" t="s">
        <v>22</v>
      </c>
    </row>
    <row r="9" spans="1:16" ht="24.75" customHeight="1" x14ac:dyDescent="0.25">
      <c r="A9" s="11" t="str">
        <f>D6</f>
        <v>VISTOS BUENOS</v>
      </c>
      <c r="B9" s="69">
        <v>1</v>
      </c>
      <c r="C9" s="75"/>
      <c r="D9" s="37">
        <v>1</v>
      </c>
      <c r="E9" s="70" t="s">
        <v>2825</v>
      </c>
      <c r="F9" s="71">
        <v>277537</v>
      </c>
      <c r="G9" s="37" t="s">
        <v>30</v>
      </c>
      <c r="H9" s="72" t="s">
        <v>2906</v>
      </c>
      <c r="I9" s="73" t="s">
        <v>2911</v>
      </c>
      <c r="J9" s="37">
        <v>72</v>
      </c>
      <c r="K9" s="36" t="s">
        <v>31</v>
      </c>
      <c r="L9" s="60" t="s">
        <v>32</v>
      </c>
      <c r="M9" s="62" t="s">
        <v>2975</v>
      </c>
      <c r="N9" s="62" t="s">
        <v>2974</v>
      </c>
      <c r="O9" s="62">
        <v>4</v>
      </c>
      <c r="P9" s="63"/>
    </row>
    <row r="10" spans="1:16" ht="24.75" customHeight="1" x14ac:dyDescent="0.25">
      <c r="A10" s="11" t="str">
        <f>A9</f>
        <v>VISTOS BUENOS</v>
      </c>
      <c r="B10" s="69">
        <v>1</v>
      </c>
      <c r="C10" s="37"/>
      <c r="D10" s="37">
        <v>2</v>
      </c>
      <c r="E10" s="70" t="s">
        <v>2826</v>
      </c>
      <c r="F10" s="71">
        <v>277680</v>
      </c>
      <c r="G10" s="37" t="s">
        <v>30</v>
      </c>
      <c r="H10" s="72" t="s">
        <v>2805</v>
      </c>
      <c r="I10" s="73">
        <v>43475</v>
      </c>
      <c r="J10" s="37">
        <v>26</v>
      </c>
      <c r="K10" s="36" t="s">
        <v>31</v>
      </c>
      <c r="L10" s="60" t="s">
        <v>32</v>
      </c>
      <c r="M10" s="62" t="s">
        <v>2975</v>
      </c>
      <c r="N10" s="62" t="s">
        <v>2974</v>
      </c>
      <c r="O10" s="62">
        <v>4</v>
      </c>
      <c r="P10" s="63"/>
    </row>
    <row r="11" spans="1:16" ht="24.75" customHeight="1" x14ac:dyDescent="0.25">
      <c r="A11" s="11" t="str">
        <f t="shared" ref="A11:A74" si="0">A10</f>
        <v>VISTOS BUENOS</v>
      </c>
      <c r="B11" s="69">
        <v>1</v>
      </c>
      <c r="C11" s="37"/>
      <c r="D11" s="37">
        <v>3</v>
      </c>
      <c r="E11" s="70" t="s">
        <v>2827</v>
      </c>
      <c r="F11" s="71">
        <v>277992</v>
      </c>
      <c r="G11" s="37" t="s">
        <v>30</v>
      </c>
      <c r="H11" s="72" t="s">
        <v>2907</v>
      </c>
      <c r="I11" s="73">
        <v>43501</v>
      </c>
      <c r="J11" s="37">
        <v>66</v>
      </c>
      <c r="K11" s="36" t="s">
        <v>31</v>
      </c>
      <c r="L11" s="60" t="s">
        <v>32</v>
      </c>
      <c r="M11" s="62" t="s">
        <v>2975</v>
      </c>
      <c r="N11" s="62" t="s">
        <v>2974</v>
      </c>
      <c r="O11" s="62">
        <v>4</v>
      </c>
      <c r="P11" s="63"/>
    </row>
    <row r="12" spans="1:16" ht="24.75" customHeight="1" x14ac:dyDescent="0.25">
      <c r="A12" s="11" t="str">
        <f t="shared" si="0"/>
        <v>VISTOS BUENOS</v>
      </c>
      <c r="B12" s="69">
        <v>1</v>
      </c>
      <c r="C12" s="37"/>
      <c r="D12" s="37">
        <v>4</v>
      </c>
      <c r="E12" s="70" t="s">
        <v>2828</v>
      </c>
      <c r="F12" s="71">
        <v>278269</v>
      </c>
      <c r="G12" s="37" t="s">
        <v>30</v>
      </c>
      <c r="H12" s="72" t="s">
        <v>2908</v>
      </c>
      <c r="I12" s="73">
        <v>43524</v>
      </c>
      <c r="J12" s="37">
        <v>20</v>
      </c>
      <c r="K12" s="36" t="s">
        <v>31</v>
      </c>
      <c r="L12" s="60" t="s">
        <v>32</v>
      </c>
      <c r="M12" s="62" t="s">
        <v>2975</v>
      </c>
      <c r="N12" s="62" t="s">
        <v>2974</v>
      </c>
      <c r="O12" s="62">
        <v>4</v>
      </c>
      <c r="P12" s="63"/>
    </row>
    <row r="13" spans="1:16" ht="24.75" customHeight="1" x14ac:dyDescent="0.25">
      <c r="A13" s="11" t="str">
        <f t="shared" si="0"/>
        <v>VISTOS BUENOS</v>
      </c>
      <c r="B13" s="69">
        <v>1</v>
      </c>
      <c r="C13" s="37"/>
      <c r="D13" s="37">
        <v>5</v>
      </c>
      <c r="E13" s="70" t="s">
        <v>2829</v>
      </c>
      <c r="F13" s="71">
        <v>278426</v>
      </c>
      <c r="G13" s="37" t="s">
        <v>30</v>
      </c>
      <c r="H13" s="72">
        <v>43495</v>
      </c>
      <c r="I13" s="73">
        <v>43507</v>
      </c>
      <c r="J13" s="37">
        <v>19</v>
      </c>
      <c r="K13" s="36" t="s">
        <v>31</v>
      </c>
      <c r="L13" s="60" t="s">
        <v>32</v>
      </c>
      <c r="M13" s="62" t="s">
        <v>2975</v>
      </c>
      <c r="N13" s="62" t="s">
        <v>2974</v>
      </c>
      <c r="O13" s="62">
        <v>4</v>
      </c>
      <c r="P13" s="63"/>
    </row>
    <row r="14" spans="1:16" ht="24.75" customHeight="1" x14ac:dyDescent="0.25">
      <c r="A14" s="11" t="str">
        <f t="shared" si="0"/>
        <v>VISTOS BUENOS</v>
      </c>
      <c r="B14" s="69">
        <v>1</v>
      </c>
      <c r="C14" s="37"/>
      <c r="D14" s="37">
        <v>6</v>
      </c>
      <c r="E14" s="70" t="s">
        <v>2830</v>
      </c>
      <c r="F14" s="71">
        <v>278478</v>
      </c>
      <c r="G14" s="37" t="s">
        <v>30</v>
      </c>
      <c r="H14" s="72" t="s">
        <v>2909</v>
      </c>
      <c r="I14" s="73">
        <v>43497</v>
      </c>
      <c r="J14" s="37">
        <v>22</v>
      </c>
      <c r="K14" s="36" t="s">
        <v>31</v>
      </c>
      <c r="L14" s="60" t="s">
        <v>32</v>
      </c>
      <c r="M14" s="62" t="s">
        <v>2975</v>
      </c>
      <c r="N14" s="62" t="s">
        <v>2974</v>
      </c>
      <c r="O14" s="62">
        <v>4</v>
      </c>
      <c r="P14" s="63"/>
    </row>
    <row r="15" spans="1:16" ht="24.75" customHeight="1" x14ac:dyDescent="0.25">
      <c r="A15" s="11" t="str">
        <f t="shared" si="0"/>
        <v>VISTOS BUENOS</v>
      </c>
      <c r="B15" s="69">
        <v>1</v>
      </c>
      <c r="C15" s="75"/>
      <c r="D15" s="37">
        <v>7</v>
      </c>
      <c r="E15" s="70" t="s">
        <v>2831</v>
      </c>
      <c r="F15" s="71">
        <v>278754</v>
      </c>
      <c r="G15" s="37" t="s">
        <v>30</v>
      </c>
      <c r="H15" s="72" t="s">
        <v>2910</v>
      </c>
      <c r="I15" s="73">
        <v>43510</v>
      </c>
      <c r="J15" s="37">
        <v>10</v>
      </c>
      <c r="K15" s="36" t="s">
        <v>31</v>
      </c>
      <c r="L15" s="60" t="s">
        <v>32</v>
      </c>
      <c r="M15" s="62" t="s">
        <v>2975</v>
      </c>
      <c r="N15" s="62" t="s">
        <v>2974</v>
      </c>
      <c r="O15" s="62">
        <v>4</v>
      </c>
      <c r="P15" s="63"/>
    </row>
    <row r="16" spans="1:16" ht="24.75" customHeight="1" x14ac:dyDescent="0.25">
      <c r="A16" s="11" t="str">
        <f t="shared" si="0"/>
        <v>VISTOS BUENOS</v>
      </c>
      <c r="B16" s="69">
        <v>1</v>
      </c>
      <c r="C16" s="37"/>
      <c r="D16" s="37">
        <v>8</v>
      </c>
      <c r="E16" s="70" t="s">
        <v>2832</v>
      </c>
      <c r="F16" s="71">
        <v>278765</v>
      </c>
      <c r="G16" s="37" t="s">
        <v>30</v>
      </c>
      <c r="H16" s="72" t="s">
        <v>2911</v>
      </c>
      <c r="I16" s="73">
        <v>43535</v>
      </c>
      <c r="J16" s="37">
        <v>67</v>
      </c>
      <c r="K16" s="36" t="s">
        <v>31</v>
      </c>
      <c r="L16" s="60" t="s">
        <v>32</v>
      </c>
      <c r="M16" s="62" t="s">
        <v>2975</v>
      </c>
      <c r="N16" s="62" t="s">
        <v>2974</v>
      </c>
      <c r="O16" s="62">
        <v>4</v>
      </c>
      <c r="P16" s="63"/>
    </row>
    <row r="17" spans="1:16" ht="24.75" customHeight="1" x14ac:dyDescent="0.25">
      <c r="A17" s="11" t="str">
        <f t="shared" si="0"/>
        <v>VISTOS BUENOS</v>
      </c>
      <c r="B17" s="69">
        <v>1</v>
      </c>
      <c r="C17" s="37"/>
      <c r="D17" s="37">
        <v>9</v>
      </c>
      <c r="E17" s="70" t="s">
        <v>2833</v>
      </c>
      <c r="F17" s="71">
        <v>278928</v>
      </c>
      <c r="G17" s="37" t="s">
        <v>30</v>
      </c>
      <c r="H17" s="72" t="s">
        <v>2912</v>
      </c>
      <c r="I17" s="73">
        <v>43544</v>
      </c>
      <c r="J17" s="37">
        <v>71</v>
      </c>
      <c r="K17" s="36" t="s">
        <v>31</v>
      </c>
      <c r="L17" s="60" t="s">
        <v>32</v>
      </c>
      <c r="M17" s="62" t="s">
        <v>2975</v>
      </c>
      <c r="N17" s="62" t="s">
        <v>2974</v>
      </c>
      <c r="O17" s="62">
        <v>4</v>
      </c>
      <c r="P17" s="63"/>
    </row>
    <row r="18" spans="1:16" ht="24.75" customHeight="1" x14ac:dyDescent="0.25">
      <c r="A18" s="11" t="str">
        <f t="shared" si="0"/>
        <v>VISTOS BUENOS</v>
      </c>
      <c r="B18" s="69">
        <v>1</v>
      </c>
      <c r="C18" s="37"/>
      <c r="D18" s="37">
        <v>10</v>
      </c>
      <c r="E18" s="70" t="s">
        <v>2834</v>
      </c>
      <c r="F18" s="71">
        <v>279144</v>
      </c>
      <c r="G18" s="37" t="s">
        <v>30</v>
      </c>
      <c r="H18" s="72" t="s">
        <v>2913</v>
      </c>
      <c r="I18" s="73">
        <v>43545</v>
      </c>
      <c r="J18" s="37">
        <v>30</v>
      </c>
      <c r="K18" s="36" t="s">
        <v>31</v>
      </c>
      <c r="L18" s="60" t="s">
        <v>32</v>
      </c>
      <c r="M18" s="62" t="s">
        <v>2975</v>
      </c>
      <c r="N18" s="62" t="s">
        <v>2974</v>
      </c>
      <c r="O18" s="62">
        <v>4</v>
      </c>
      <c r="P18" s="63"/>
    </row>
    <row r="19" spans="1:16" ht="24.75" customHeight="1" x14ac:dyDescent="0.25">
      <c r="A19" s="11" t="str">
        <f t="shared" si="0"/>
        <v>VISTOS BUENOS</v>
      </c>
      <c r="B19" s="69">
        <v>1</v>
      </c>
      <c r="C19" s="75"/>
      <c r="D19" s="37">
        <v>11</v>
      </c>
      <c r="E19" s="70" t="s">
        <v>2835</v>
      </c>
      <c r="F19" s="71">
        <v>279330</v>
      </c>
      <c r="G19" s="37" t="s">
        <v>30</v>
      </c>
      <c r="H19" s="72" t="s">
        <v>2914</v>
      </c>
      <c r="I19" s="73">
        <v>43542</v>
      </c>
      <c r="J19" s="37">
        <v>80</v>
      </c>
      <c r="K19" s="36" t="s">
        <v>31</v>
      </c>
      <c r="L19" s="60" t="s">
        <v>32</v>
      </c>
      <c r="M19" s="62" t="s">
        <v>2975</v>
      </c>
      <c r="N19" s="62" t="s">
        <v>2974</v>
      </c>
      <c r="O19" s="62">
        <v>4</v>
      </c>
      <c r="P19" s="63"/>
    </row>
    <row r="20" spans="1:16" ht="24.75" customHeight="1" x14ac:dyDescent="0.25">
      <c r="A20" s="11" t="str">
        <f t="shared" si="0"/>
        <v>VISTOS BUENOS</v>
      </c>
      <c r="B20" s="69">
        <v>1</v>
      </c>
      <c r="C20" s="37"/>
      <c r="D20" s="37">
        <v>12</v>
      </c>
      <c r="E20" s="70" t="s">
        <v>2836</v>
      </c>
      <c r="F20" s="71">
        <v>279635</v>
      </c>
      <c r="G20" s="37" t="s">
        <v>30</v>
      </c>
      <c r="H20" s="72" t="s">
        <v>2915</v>
      </c>
      <c r="I20" s="73" t="s">
        <v>2967</v>
      </c>
      <c r="J20" s="37">
        <v>99</v>
      </c>
      <c r="K20" s="36" t="s">
        <v>31</v>
      </c>
      <c r="L20" s="60" t="s">
        <v>32</v>
      </c>
      <c r="M20" s="62" t="s">
        <v>2975</v>
      </c>
      <c r="N20" s="62" t="s">
        <v>2974</v>
      </c>
      <c r="O20" s="62">
        <v>4</v>
      </c>
      <c r="P20" s="63"/>
    </row>
    <row r="21" spans="1:16" ht="24.75" customHeight="1" x14ac:dyDescent="0.25">
      <c r="A21" s="11" t="str">
        <f t="shared" si="0"/>
        <v>VISTOS BUENOS</v>
      </c>
      <c r="B21" s="69">
        <v>1</v>
      </c>
      <c r="C21" s="37"/>
      <c r="D21" s="37">
        <v>13</v>
      </c>
      <c r="E21" s="70" t="s">
        <v>2837</v>
      </c>
      <c r="F21" s="71">
        <v>279637</v>
      </c>
      <c r="G21" s="37" t="s">
        <v>30</v>
      </c>
      <c r="H21" s="72" t="s">
        <v>2915</v>
      </c>
      <c r="I21" s="73">
        <v>43563</v>
      </c>
      <c r="J21" s="37">
        <v>80</v>
      </c>
      <c r="K21" s="36" t="s">
        <v>31</v>
      </c>
      <c r="L21" s="60" t="s">
        <v>32</v>
      </c>
      <c r="M21" s="62" t="s">
        <v>2975</v>
      </c>
      <c r="N21" s="62" t="s">
        <v>2974</v>
      </c>
      <c r="O21" s="62">
        <v>4</v>
      </c>
      <c r="P21" s="63"/>
    </row>
    <row r="22" spans="1:16" ht="24.75" customHeight="1" x14ac:dyDescent="0.25">
      <c r="A22" s="11" t="str">
        <f t="shared" si="0"/>
        <v>VISTOS BUENOS</v>
      </c>
      <c r="B22" s="69">
        <v>1</v>
      </c>
      <c r="C22" s="75"/>
      <c r="D22" s="37">
        <v>14</v>
      </c>
      <c r="E22" s="70" t="s">
        <v>2838</v>
      </c>
      <c r="F22" s="71">
        <v>279680</v>
      </c>
      <c r="G22" s="37" t="s">
        <v>30</v>
      </c>
      <c r="H22" s="72" t="s">
        <v>2915</v>
      </c>
      <c r="I22" s="73">
        <v>43567</v>
      </c>
      <c r="J22" s="37">
        <v>164</v>
      </c>
      <c r="K22" s="36" t="s">
        <v>31</v>
      </c>
      <c r="L22" s="60" t="s">
        <v>32</v>
      </c>
      <c r="M22" s="62" t="s">
        <v>2975</v>
      </c>
      <c r="N22" s="62" t="s">
        <v>2974</v>
      </c>
      <c r="O22" s="62">
        <v>4</v>
      </c>
      <c r="P22" s="63"/>
    </row>
    <row r="23" spans="1:16" ht="24.75" customHeight="1" x14ac:dyDescent="0.25">
      <c r="A23" s="11" t="str">
        <f t="shared" si="0"/>
        <v>VISTOS BUENOS</v>
      </c>
      <c r="B23" s="69">
        <v>1</v>
      </c>
      <c r="C23" s="37"/>
      <c r="D23" s="37">
        <v>15</v>
      </c>
      <c r="E23" s="70" t="s">
        <v>2839</v>
      </c>
      <c r="F23" s="71">
        <v>279758</v>
      </c>
      <c r="G23" s="37" t="s">
        <v>30</v>
      </c>
      <c r="H23" s="72" t="s">
        <v>2916</v>
      </c>
      <c r="I23" s="73">
        <v>43545</v>
      </c>
      <c r="J23" s="37">
        <v>178</v>
      </c>
      <c r="K23" s="36" t="s">
        <v>31</v>
      </c>
      <c r="L23" s="60" t="s">
        <v>32</v>
      </c>
      <c r="M23" s="62" t="s">
        <v>2975</v>
      </c>
      <c r="N23" s="62" t="s">
        <v>2974</v>
      </c>
      <c r="O23" s="62">
        <v>4</v>
      </c>
      <c r="P23" s="63"/>
    </row>
    <row r="24" spans="1:16" ht="24.75" customHeight="1" x14ac:dyDescent="0.25">
      <c r="A24" s="11" t="str">
        <f t="shared" si="0"/>
        <v>VISTOS BUENOS</v>
      </c>
      <c r="B24" s="69">
        <v>1</v>
      </c>
      <c r="C24" s="37"/>
      <c r="D24" s="37">
        <v>16</v>
      </c>
      <c r="E24" s="70" t="s">
        <v>2840</v>
      </c>
      <c r="F24" s="71">
        <v>279760</v>
      </c>
      <c r="G24" s="37" t="s">
        <v>30</v>
      </c>
      <c r="H24" s="72" t="s">
        <v>2916</v>
      </c>
      <c r="I24" s="73">
        <v>43563</v>
      </c>
      <c r="J24" s="37">
        <v>323</v>
      </c>
      <c r="K24" s="36" t="s">
        <v>31</v>
      </c>
      <c r="L24" s="60" t="s">
        <v>32</v>
      </c>
      <c r="M24" s="62" t="s">
        <v>2975</v>
      </c>
      <c r="N24" s="62" t="s">
        <v>2974</v>
      </c>
      <c r="O24" s="62">
        <v>4</v>
      </c>
      <c r="P24" s="63"/>
    </row>
    <row r="25" spans="1:16" ht="24.75" customHeight="1" x14ac:dyDescent="0.25">
      <c r="A25" s="11" t="str">
        <f t="shared" si="0"/>
        <v>VISTOS BUENOS</v>
      </c>
      <c r="B25" s="69">
        <v>1</v>
      </c>
      <c r="C25" s="37"/>
      <c r="D25" s="37">
        <v>17</v>
      </c>
      <c r="E25" s="70" t="s">
        <v>2841</v>
      </c>
      <c r="F25" s="71">
        <v>279791</v>
      </c>
      <c r="G25" s="37" t="s">
        <v>30</v>
      </c>
      <c r="H25" s="72" t="s">
        <v>2917</v>
      </c>
      <c r="I25" s="73">
        <v>43572</v>
      </c>
      <c r="J25" s="37">
        <v>85</v>
      </c>
      <c r="K25" s="36" t="s">
        <v>31</v>
      </c>
      <c r="L25" s="60" t="s">
        <v>32</v>
      </c>
      <c r="M25" s="62" t="s">
        <v>2975</v>
      </c>
      <c r="N25" s="62" t="s">
        <v>2974</v>
      </c>
      <c r="O25" s="62">
        <v>4</v>
      </c>
      <c r="P25" s="63"/>
    </row>
    <row r="26" spans="1:16" ht="24.75" customHeight="1" x14ac:dyDescent="0.25">
      <c r="A26" s="11" t="str">
        <f t="shared" si="0"/>
        <v>VISTOS BUENOS</v>
      </c>
      <c r="B26" s="69">
        <v>1</v>
      </c>
      <c r="C26" s="37"/>
      <c r="D26" s="37">
        <v>18</v>
      </c>
      <c r="E26" s="70" t="s">
        <v>2842</v>
      </c>
      <c r="F26" s="71">
        <v>279821</v>
      </c>
      <c r="G26" s="37" t="s">
        <v>30</v>
      </c>
      <c r="H26" s="72" t="s">
        <v>2917</v>
      </c>
      <c r="I26" s="73">
        <v>43580</v>
      </c>
      <c r="J26" s="37">
        <v>238</v>
      </c>
      <c r="K26" s="36" t="s">
        <v>31</v>
      </c>
      <c r="L26" s="60" t="s">
        <v>32</v>
      </c>
      <c r="M26" s="62" t="s">
        <v>2975</v>
      </c>
      <c r="N26" s="62" t="s">
        <v>2974</v>
      </c>
      <c r="O26" s="62">
        <v>4</v>
      </c>
      <c r="P26" s="63"/>
    </row>
    <row r="27" spans="1:16" ht="24.75" customHeight="1" x14ac:dyDescent="0.25">
      <c r="A27" s="11" t="str">
        <f t="shared" si="0"/>
        <v>VISTOS BUENOS</v>
      </c>
      <c r="B27" s="69">
        <v>1</v>
      </c>
      <c r="C27" s="37"/>
      <c r="D27" s="37">
        <v>19</v>
      </c>
      <c r="E27" s="70" t="s">
        <v>2843</v>
      </c>
      <c r="F27" s="71">
        <v>279826</v>
      </c>
      <c r="G27" s="37" t="s">
        <v>30</v>
      </c>
      <c r="H27" s="72" t="s">
        <v>2917</v>
      </c>
      <c r="I27" s="73">
        <v>43565</v>
      </c>
      <c r="J27" s="37">
        <v>42</v>
      </c>
      <c r="K27" s="36" t="s">
        <v>31</v>
      </c>
      <c r="L27" s="60" t="s">
        <v>32</v>
      </c>
      <c r="M27" s="62" t="s">
        <v>2975</v>
      </c>
      <c r="N27" s="62" t="s">
        <v>2974</v>
      </c>
      <c r="O27" s="62">
        <v>4</v>
      </c>
      <c r="P27" s="63"/>
    </row>
    <row r="28" spans="1:16" ht="24.75" customHeight="1" x14ac:dyDescent="0.25">
      <c r="A28" s="11" t="str">
        <f t="shared" si="0"/>
        <v>VISTOS BUENOS</v>
      </c>
      <c r="B28" s="69">
        <v>1</v>
      </c>
      <c r="C28" s="37"/>
      <c r="D28" s="37">
        <v>20</v>
      </c>
      <c r="E28" s="70" t="s">
        <v>2844</v>
      </c>
      <c r="F28" s="71">
        <v>279902</v>
      </c>
      <c r="G28" s="37" t="s">
        <v>30</v>
      </c>
      <c r="H28" s="72" t="s">
        <v>2918</v>
      </c>
      <c r="I28" s="73">
        <v>43573</v>
      </c>
      <c r="J28" s="37">
        <v>36</v>
      </c>
      <c r="K28" s="36" t="s">
        <v>31</v>
      </c>
      <c r="L28" s="60" t="s">
        <v>32</v>
      </c>
      <c r="M28" s="62" t="s">
        <v>2975</v>
      </c>
      <c r="N28" s="62" t="s">
        <v>2974</v>
      </c>
      <c r="O28" s="62">
        <v>4</v>
      </c>
      <c r="P28" s="63"/>
    </row>
    <row r="29" spans="1:16" ht="24.75" customHeight="1" x14ac:dyDescent="0.25">
      <c r="A29" s="11" t="str">
        <f t="shared" si="0"/>
        <v>VISTOS BUENOS</v>
      </c>
      <c r="B29" s="69">
        <v>1</v>
      </c>
      <c r="C29" s="37"/>
      <c r="D29" s="37">
        <v>21</v>
      </c>
      <c r="E29" s="70" t="s">
        <v>2845</v>
      </c>
      <c r="F29" s="71">
        <v>280054</v>
      </c>
      <c r="G29" s="37" t="s">
        <v>30</v>
      </c>
      <c r="H29" s="72" t="s">
        <v>2919</v>
      </c>
      <c r="I29" s="73">
        <v>43573</v>
      </c>
      <c r="J29" s="37">
        <v>36</v>
      </c>
      <c r="K29" s="36" t="s">
        <v>31</v>
      </c>
      <c r="L29" s="60" t="s">
        <v>32</v>
      </c>
      <c r="M29" s="62" t="s">
        <v>2975</v>
      </c>
      <c r="N29" s="62" t="s">
        <v>2974</v>
      </c>
      <c r="O29" s="62">
        <v>4</v>
      </c>
      <c r="P29" s="63"/>
    </row>
    <row r="30" spans="1:16" ht="24.75" customHeight="1" x14ac:dyDescent="0.25">
      <c r="A30" s="11" t="str">
        <f t="shared" si="0"/>
        <v>VISTOS BUENOS</v>
      </c>
      <c r="B30" s="69">
        <v>1</v>
      </c>
      <c r="C30" s="37"/>
      <c r="D30" s="37">
        <v>22</v>
      </c>
      <c r="E30" s="70" t="s">
        <v>2846</v>
      </c>
      <c r="F30" s="71">
        <v>280065</v>
      </c>
      <c r="G30" s="37" t="s">
        <v>30</v>
      </c>
      <c r="H30" s="72" t="s">
        <v>2919</v>
      </c>
      <c r="I30" s="73" t="s">
        <v>2968</v>
      </c>
      <c r="J30" s="37">
        <v>152</v>
      </c>
      <c r="K30" s="36" t="s">
        <v>31</v>
      </c>
      <c r="L30" s="60" t="s">
        <v>32</v>
      </c>
      <c r="M30" s="62" t="s">
        <v>2975</v>
      </c>
      <c r="N30" s="62" t="s">
        <v>2974</v>
      </c>
      <c r="O30" s="62">
        <v>4</v>
      </c>
      <c r="P30" s="63"/>
    </row>
    <row r="31" spans="1:16" ht="24.75" customHeight="1" x14ac:dyDescent="0.25">
      <c r="A31" s="11" t="str">
        <f t="shared" si="0"/>
        <v>VISTOS BUENOS</v>
      </c>
      <c r="B31" s="69">
        <v>2</v>
      </c>
      <c r="C31" s="37"/>
      <c r="D31" s="37">
        <v>23</v>
      </c>
      <c r="E31" s="70" t="s">
        <v>2847</v>
      </c>
      <c r="F31" s="71">
        <v>280113</v>
      </c>
      <c r="G31" s="37" t="s">
        <v>30</v>
      </c>
      <c r="H31" s="72" t="s">
        <v>2920</v>
      </c>
      <c r="I31" s="73">
        <v>43567</v>
      </c>
      <c r="J31" s="37">
        <v>38</v>
      </c>
      <c r="K31" s="36" t="s">
        <v>31</v>
      </c>
      <c r="L31" s="60" t="s">
        <v>32</v>
      </c>
      <c r="M31" s="62" t="s">
        <v>2975</v>
      </c>
      <c r="N31" s="62" t="s">
        <v>2974</v>
      </c>
      <c r="O31" s="62">
        <v>4</v>
      </c>
      <c r="P31" s="63"/>
    </row>
    <row r="32" spans="1:16" ht="24.75" customHeight="1" x14ac:dyDescent="0.25">
      <c r="A32" s="11" t="str">
        <f t="shared" si="0"/>
        <v>VISTOS BUENOS</v>
      </c>
      <c r="B32" s="69">
        <v>2</v>
      </c>
      <c r="C32" s="37"/>
      <c r="D32" s="37">
        <v>24</v>
      </c>
      <c r="E32" s="70" t="s">
        <v>2848</v>
      </c>
      <c r="F32" s="71">
        <v>280146</v>
      </c>
      <c r="G32" s="37" t="s">
        <v>30</v>
      </c>
      <c r="H32" s="72" t="s">
        <v>2921</v>
      </c>
      <c r="I32" s="73">
        <v>43577</v>
      </c>
      <c r="J32" s="37">
        <v>25</v>
      </c>
      <c r="K32" s="36" t="s">
        <v>31</v>
      </c>
      <c r="L32" s="60" t="s">
        <v>32</v>
      </c>
      <c r="M32" s="62" t="s">
        <v>2975</v>
      </c>
      <c r="N32" s="62" t="s">
        <v>2974</v>
      </c>
      <c r="O32" s="62">
        <v>4</v>
      </c>
      <c r="P32" s="63"/>
    </row>
    <row r="33" spans="1:16" ht="24.75" customHeight="1" x14ac:dyDescent="0.25">
      <c r="A33" s="11" t="str">
        <f t="shared" si="0"/>
        <v>VISTOS BUENOS</v>
      </c>
      <c r="B33" s="69">
        <v>2</v>
      </c>
      <c r="C33" s="37"/>
      <c r="D33" s="37">
        <v>25</v>
      </c>
      <c r="E33" s="70" t="s">
        <v>2849</v>
      </c>
      <c r="F33" s="71">
        <v>280521</v>
      </c>
      <c r="G33" s="37" t="s">
        <v>30</v>
      </c>
      <c r="H33" s="72">
        <v>43565</v>
      </c>
      <c r="I33" s="73">
        <v>43598</v>
      </c>
      <c r="J33" s="37">
        <v>129</v>
      </c>
      <c r="K33" s="36" t="s">
        <v>31</v>
      </c>
      <c r="L33" s="60" t="s">
        <v>32</v>
      </c>
      <c r="M33" s="62" t="s">
        <v>2975</v>
      </c>
      <c r="N33" s="62" t="s">
        <v>2974</v>
      </c>
      <c r="O33" s="62">
        <v>4</v>
      </c>
      <c r="P33" s="63"/>
    </row>
    <row r="34" spans="1:16" ht="24.75" customHeight="1" x14ac:dyDescent="0.25">
      <c r="A34" s="11" t="str">
        <f t="shared" si="0"/>
        <v>VISTOS BUENOS</v>
      </c>
      <c r="B34" s="69">
        <v>2</v>
      </c>
      <c r="C34" s="37"/>
      <c r="D34" s="37">
        <v>26</v>
      </c>
      <c r="E34" s="70" t="s">
        <v>2850</v>
      </c>
      <c r="F34" s="71">
        <v>280608</v>
      </c>
      <c r="G34" s="37" t="s">
        <v>30</v>
      </c>
      <c r="H34" s="72" t="s">
        <v>2922</v>
      </c>
      <c r="I34" s="73">
        <v>43585</v>
      </c>
      <c r="J34" s="37">
        <v>83</v>
      </c>
      <c r="K34" s="36" t="s">
        <v>31</v>
      </c>
      <c r="L34" s="60" t="s">
        <v>32</v>
      </c>
      <c r="M34" s="62" t="s">
        <v>2975</v>
      </c>
      <c r="N34" s="62" t="s">
        <v>2974</v>
      </c>
      <c r="O34" s="62">
        <v>4</v>
      </c>
      <c r="P34" s="63"/>
    </row>
    <row r="35" spans="1:16" ht="24.75" customHeight="1" x14ac:dyDescent="0.25">
      <c r="A35" s="11" t="str">
        <f t="shared" si="0"/>
        <v>VISTOS BUENOS</v>
      </c>
      <c r="B35" s="69">
        <v>2</v>
      </c>
      <c r="C35" s="37"/>
      <c r="D35" s="37">
        <v>27</v>
      </c>
      <c r="E35" s="70" t="s">
        <v>2851</v>
      </c>
      <c r="F35" s="71">
        <v>280641</v>
      </c>
      <c r="G35" s="37" t="s">
        <v>30</v>
      </c>
      <c r="H35" s="72" t="s">
        <v>2923</v>
      </c>
      <c r="I35" s="73">
        <v>43587</v>
      </c>
      <c r="J35" s="37">
        <v>32</v>
      </c>
      <c r="K35" s="36" t="s">
        <v>31</v>
      </c>
      <c r="L35" s="60" t="s">
        <v>32</v>
      </c>
      <c r="M35" s="62" t="s">
        <v>2975</v>
      </c>
      <c r="N35" s="62" t="s">
        <v>2974</v>
      </c>
      <c r="O35" s="62">
        <v>4</v>
      </c>
      <c r="P35" s="63"/>
    </row>
    <row r="36" spans="1:16" ht="24.75" customHeight="1" x14ac:dyDescent="0.25">
      <c r="A36" s="11" t="str">
        <f t="shared" si="0"/>
        <v>VISTOS BUENOS</v>
      </c>
      <c r="B36" s="69">
        <v>2</v>
      </c>
      <c r="C36" s="37"/>
      <c r="D36" s="37">
        <v>28</v>
      </c>
      <c r="E36" s="70" t="s">
        <v>2852</v>
      </c>
      <c r="F36" s="71">
        <v>281076</v>
      </c>
      <c r="G36" s="37" t="s">
        <v>30</v>
      </c>
      <c r="H36" s="72" t="s">
        <v>2924</v>
      </c>
      <c r="I36" s="73">
        <v>43585</v>
      </c>
      <c r="J36" s="37">
        <v>30</v>
      </c>
      <c r="K36" s="36" t="s">
        <v>31</v>
      </c>
      <c r="L36" s="60" t="s">
        <v>32</v>
      </c>
      <c r="M36" s="62" t="s">
        <v>2975</v>
      </c>
      <c r="N36" s="62" t="s">
        <v>2974</v>
      </c>
      <c r="O36" s="62">
        <v>4</v>
      </c>
      <c r="P36" s="63"/>
    </row>
    <row r="37" spans="1:16" ht="24.75" customHeight="1" x14ac:dyDescent="0.25">
      <c r="A37" s="11" t="str">
        <f t="shared" si="0"/>
        <v>VISTOS BUENOS</v>
      </c>
      <c r="B37" s="69">
        <v>2</v>
      </c>
      <c r="C37" s="37"/>
      <c r="D37" s="37">
        <v>29</v>
      </c>
      <c r="E37" s="70" t="s">
        <v>2853</v>
      </c>
      <c r="F37" s="71">
        <v>281142</v>
      </c>
      <c r="G37" s="37" t="s">
        <v>30</v>
      </c>
      <c r="H37" s="72" t="s">
        <v>2925</v>
      </c>
      <c r="I37" s="73" t="s">
        <v>2969</v>
      </c>
      <c r="J37" s="37">
        <v>80</v>
      </c>
      <c r="K37" s="36" t="s">
        <v>31</v>
      </c>
      <c r="L37" s="60" t="s">
        <v>32</v>
      </c>
      <c r="M37" s="62" t="s">
        <v>2975</v>
      </c>
      <c r="N37" s="62" t="s">
        <v>2974</v>
      </c>
      <c r="O37" s="62">
        <v>4</v>
      </c>
      <c r="P37" s="63"/>
    </row>
    <row r="38" spans="1:16" ht="24.75" customHeight="1" x14ac:dyDescent="0.25">
      <c r="A38" s="11" t="str">
        <f t="shared" si="0"/>
        <v>VISTOS BUENOS</v>
      </c>
      <c r="B38" s="69">
        <v>2</v>
      </c>
      <c r="C38" s="37"/>
      <c r="D38" s="37">
        <v>30</v>
      </c>
      <c r="E38" s="70" t="s">
        <v>2854</v>
      </c>
      <c r="F38" s="71">
        <v>281379</v>
      </c>
      <c r="G38" s="37" t="s">
        <v>30</v>
      </c>
      <c r="H38" s="72" t="s">
        <v>2926</v>
      </c>
      <c r="I38" s="73">
        <v>43612</v>
      </c>
      <c r="J38" s="37">
        <v>49</v>
      </c>
      <c r="K38" s="36" t="s">
        <v>31</v>
      </c>
      <c r="L38" s="60" t="s">
        <v>32</v>
      </c>
      <c r="M38" s="62" t="s">
        <v>2975</v>
      </c>
      <c r="N38" s="62" t="s">
        <v>2974</v>
      </c>
      <c r="O38" s="62">
        <v>4</v>
      </c>
      <c r="P38" s="63"/>
    </row>
    <row r="39" spans="1:16" ht="24.75" customHeight="1" x14ac:dyDescent="0.25">
      <c r="A39" s="11" t="str">
        <f t="shared" si="0"/>
        <v>VISTOS BUENOS</v>
      </c>
      <c r="B39" s="69">
        <v>2</v>
      </c>
      <c r="C39" s="37"/>
      <c r="D39" s="37">
        <v>31</v>
      </c>
      <c r="E39" s="70" t="s">
        <v>2855</v>
      </c>
      <c r="F39" s="71">
        <v>281385</v>
      </c>
      <c r="G39" s="37" t="s">
        <v>30</v>
      </c>
      <c r="H39" s="72" t="s">
        <v>2926</v>
      </c>
      <c r="I39" s="73">
        <v>43614</v>
      </c>
      <c r="J39" s="37">
        <v>96</v>
      </c>
      <c r="K39" s="36" t="s">
        <v>31</v>
      </c>
      <c r="L39" s="60" t="s">
        <v>32</v>
      </c>
      <c r="M39" s="62" t="s">
        <v>2975</v>
      </c>
      <c r="N39" s="62" t="s">
        <v>2974</v>
      </c>
      <c r="O39" s="62">
        <v>4</v>
      </c>
      <c r="P39" s="63"/>
    </row>
    <row r="40" spans="1:16" ht="24.75" customHeight="1" x14ac:dyDescent="0.25">
      <c r="A40" s="11" t="str">
        <f t="shared" si="0"/>
        <v>VISTOS BUENOS</v>
      </c>
      <c r="B40" s="69">
        <v>2</v>
      </c>
      <c r="C40" s="37"/>
      <c r="D40" s="37">
        <v>32</v>
      </c>
      <c r="E40" s="70" t="s">
        <v>2856</v>
      </c>
      <c r="F40" s="71">
        <v>281559</v>
      </c>
      <c r="G40" s="37" t="s">
        <v>30</v>
      </c>
      <c r="H40" s="72" t="s">
        <v>2927</v>
      </c>
      <c r="I40" s="73" t="s">
        <v>2970</v>
      </c>
      <c r="J40" s="37">
        <v>33</v>
      </c>
      <c r="K40" s="36" t="s">
        <v>31</v>
      </c>
      <c r="L40" s="60" t="s">
        <v>32</v>
      </c>
      <c r="M40" s="62" t="s">
        <v>2975</v>
      </c>
      <c r="N40" s="62" t="s">
        <v>2974</v>
      </c>
      <c r="O40" s="62">
        <v>4</v>
      </c>
      <c r="P40" s="63"/>
    </row>
    <row r="41" spans="1:16" ht="24.75" customHeight="1" x14ac:dyDescent="0.25">
      <c r="A41" s="11" t="str">
        <f t="shared" si="0"/>
        <v>VISTOS BUENOS</v>
      </c>
      <c r="B41" s="69">
        <v>2</v>
      </c>
      <c r="C41" s="37"/>
      <c r="D41" s="37">
        <v>33</v>
      </c>
      <c r="E41" s="70" t="s">
        <v>2857</v>
      </c>
      <c r="F41" s="71">
        <v>281601</v>
      </c>
      <c r="G41" s="37" t="s">
        <v>30</v>
      </c>
      <c r="H41" s="72" t="s">
        <v>2928</v>
      </c>
      <c r="I41" s="73">
        <v>43619</v>
      </c>
      <c r="J41" s="37">
        <v>64</v>
      </c>
      <c r="K41" s="36" t="s">
        <v>31</v>
      </c>
      <c r="L41" s="60" t="s">
        <v>32</v>
      </c>
      <c r="M41" s="62" t="s">
        <v>2975</v>
      </c>
      <c r="N41" s="62" t="s">
        <v>2974</v>
      </c>
      <c r="O41" s="62">
        <v>4</v>
      </c>
      <c r="P41" s="63"/>
    </row>
    <row r="42" spans="1:16" ht="24.75" customHeight="1" x14ac:dyDescent="0.25">
      <c r="A42" s="11" t="str">
        <f t="shared" si="0"/>
        <v>VISTOS BUENOS</v>
      </c>
      <c r="B42" s="69">
        <v>2</v>
      </c>
      <c r="C42" s="37"/>
      <c r="D42" s="37">
        <v>34</v>
      </c>
      <c r="E42" s="70" t="s">
        <v>2858</v>
      </c>
      <c r="F42" s="71">
        <v>281602</v>
      </c>
      <c r="G42" s="37" t="s">
        <v>30</v>
      </c>
      <c r="H42" s="72" t="s">
        <v>2928</v>
      </c>
      <c r="I42" s="73">
        <v>43614</v>
      </c>
      <c r="J42" s="37">
        <v>29</v>
      </c>
      <c r="K42" s="36" t="s">
        <v>31</v>
      </c>
      <c r="L42" s="60" t="s">
        <v>32</v>
      </c>
      <c r="M42" s="62" t="s">
        <v>2975</v>
      </c>
      <c r="N42" s="62" t="s">
        <v>2974</v>
      </c>
      <c r="O42" s="62">
        <v>4</v>
      </c>
      <c r="P42" s="63"/>
    </row>
    <row r="43" spans="1:16" ht="24.75" customHeight="1" x14ac:dyDescent="0.25">
      <c r="A43" s="11" t="str">
        <f t="shared" si="0"/>
        <v>VISTOS BUENOS</v>
      </c>
      <c r="B43" s="69">
        <v>2</v>
      </c>
      <c r="C43" s="37"/>
      <c r="D43" s="37">
        <v>35</v>
      </c>
      <c r="E43" s="70" t="s">
        <v>2859</v>
      </c>
      <c r="F43" s="71">
        <v>281657</v>
      </c>
      <c r="G43" s="37" t="s">
        <v>30</v>
      </c>
      <c r="H43" s="72" t="s">
        <v>2929</v>
      </c>
      <c r="I43" s="73">
        <v>43634</v>
      </c>
      <c r="J43" s="37">
        <v>105</v>
      </c>
      <c r="K43" s="36" t="s">
        <v>31</v>
      </c>
      <c r="L43" s="60" t="s">
        <v>32</v>
      </c>
      <c r="M43" s="62" t="s">
        <v>2975</v>
      </c>
      <c r="N43" s="62" t="s">
        <v>2974</v>
      </c>
      <c r="O43" s="62">
        <v>4</v>
      </c>
      <c r="P43" s="63"/>
    </row>
    <row r="44" spans="1:16" ht="24.75" customHeight="1" x14ac:dyDescent="0.25">
      <c r="A44" s="11" t="str">
        <f t="shared" si="0"/>
        <v>VISTOS BUENOS</v>
      </c>
      <c r="B44" s="69">
        <v>2</v>
      </c>
      <c r="C44" s="37"/>
      <c r="D44" s="37">
        <v>36</v>
      </c>
      <c r="E44" s="70" t="s">
        <v>2860</v>
      </c>
      <c r="F44" s="71">
        <v>281727</v>
      </c>
      <c r="G44" s="37" t="s">
        <v>30</v>
      </c>
      <c r="H44" s="72" t="s">
        <v>2930</v>
      </c>
      <c r="I44" s="73">
        <v>43663</v>
      </c>
      <c r="J44" s="37">
        <v>111</v>
      </c>
      <c r="K44" s="36" t="s">
        <v>31</v>
      </c>
      <c r="L44" s="60" t="s">
        <v>32</v>
      </c>
      <c r="M44" s="62" t="s">
        <v>2975</v>
      </c>
      <c r="N44" s="62" t="s">
        <v>2974</v>
      </c>
      <c r="O44" s="62">
        <v>4</v>
      </c>
      <c r="P44" s="63"/>
    </row>
    <row r="45" spans="1:16" ht="24.75" customHeight="1" x14ac:dyDescent="0.25">
      <c r="A45" s="11" t="str">
        <f t="shared" si="0"/>
        <v>VISTOS BUENOS</v>
      </c>
      <c r="B45" s="69">
        <v>2</v>
      </c>
      <c r="C45" s="37"/>
      <c r="D45" s="37">
        <v>37</v>
      </c>
      <c r="E45" s="70" t="s">
        <v>2861</v>
      </c>
      <c r="F45" s="71">
        <v>281838</v>
      </c>
      <c r="G45" s="37" t="s">
        <v>30</v>
      </c>
      <c r="H45" s="72" t="s">
        <v>2931</v>
      </c>
      <c r="I45" s="73">
        <v>43626</v>
      </c>
      <c r="J45" s="37">
        <v>22</v>
      </c>
      <c r="K45" s="36" t="s">
        <v>31</v>
      </c>
      <c r="L45" s="60" t="s">
        <v>32</v>
      </c>
      <c r="M45" s="62" t="s">
        <v>2975</v>
      </c>
      <c r="N45" s="62" t="s">
        <v>2974</v>
      </c>
      <c r="O45" s="62">
        <v>4</v>
      </c>
      <c r="P45" s="63"/>
    </row>
    <row r="46" spans="1:16" ht="24.75" customHeight="1" x14ac:dyDescent="0.25">
      <c r="A46" s="11" t="str">
        <f t="shared" si="0"/>
        <v>VISTOS BUENOS</v>
      </c>
      <c r="B46" s="69">
        <v>2</v>
      </c>
      <c r="C46" s="37"/>
      <c r="D46" s="37">
        <v>38</v>
      </c>
      <c r="E46" s="70" t="s">
        <v>2862</v>
      </c>
      <c r="F46" s="71">
        <v>282249</v>
      </c>
      <c r="G46" s="37" t="s">
        <v>30</v>
      </c>
      <c r="H46" s="72" t="s">
        <v>2932</v>
      </c>
      <c r="I46" s="73">
        <v>43641</v>
      </c>
      <c r="J46" s="37">
        <v>40</v>
      </c>
      <c r="K46" s="36" t="s">
        <v>31</v>
      </c>
      <c r="L46" s="60" t="s">
        <v>32</v>
      </c>
      <c r="M46" s="62" t="s">
        <v>2975</v>
      </c>
      <c r="N46" s="62" t="s">
        <v>2974</v>
      </c>
      <c r="O46" s="62">
        <v>4</v>
      </c>
      <c r="P46" s="63"/>
    </row>
    <row r="47" spans="1:16" ht="24.75" customHeight="1" x14ac:dyDescent="0.25">
      <c r="A47" s="11" t="str">
        <f t="shared" si="0"/>
        <v>VISTOS BUENOS</v>
      </c>
      <c r="B47" s="69">
        <v>2</v>
      </c>
      <c r="C47" s="37"/>
      <c r="D47" s="37">
        <v>39</v>
      </c>
      <c r="E47" s="70" t="s">
        <v>2863</v>
      </c>
      <c r="F47" s="71">
        <v>282251</v>
      </c>
      <c r="G47" s="37" t="s">
        <v>30</v>
      </c>
      <c r="H47" s="72" t="s">
        <v>2932</v>
      </c>
      <c r="I47" s="73">
        <v>43637</v>
      </c>
      <c r="J47" s="37">
        <v>19</v>
      </c>
      <c r="K47" s="36" t="s">
        <v>31</v>
      </c>
      <c r="L47" s="60" t="s">
        <v>32</v>
      </c>
      <c r="M47" s="62" t="s">
        <v>2975</v>
      </c>
      <c r="N47" s="62" t="s">
        <v>2974</v>
      </c>
      <c r="O47" s="62">
        <v>4</v>
      </c>
      <c r="P47" s="63"/>
    </row>
    <row r="48" spans="1:16" ht="24.75" customHeight="1" x14ac:dyDescent="0.25">
      <c r="A48" s="11" t="str">
        <f t="shared" si="0"/>
        <v>VISTOS BUENOS</v>
      </c>
      <c r="B48" s="69">
        <v>2</v>
      </c>
      <c r="C48" s="37"/>
      <c r="D48" s="37">
        <v>40</v>
      </c>
      <c r="E48" s="70" t="s">
        <v>2864</v>
      </c>
      <c r="F48" s="71">
        <v>282701</v>
      </c>
      <c r="G48" s="37" t="s">
        <v>30</v>
      </c>
      <c r="H48" s="72" t="s">
        <v>2933</v>
      </c>
      <c r="I48" s="73">
        <v>43665</v>
      </c>
      <c r="J48" s="37">
        <v>61</v>
      </c>
      <c r="K48" s="36" t="s">
        <v>31</v>
      </c>
      <c r="L48" s="60" t="s">
        <v>32</v>
      </c>
      <c r="M48" s="62" t="s">
        <v>2975</v>
      </c>
      <c r="N48" s="62" t="s">
        <v>2974</v>
      </c>
      <c r="O48" s="62">
        <v>4</v>
      </c>
      <c r="P48" s="63"/>
    </row>
    <row r="49" spans="1:16" ht="24.75" customHeight="1" x14ac:dyDescent="0.25">
      <c r="A49" s="11" t="str">
        <f t="shared" si="0"/>
        <v>VISTOS BUENOS</v>
      </c>
      <c r="B49" s="69">
        <v>2</v>
      </c>
      <c r="C49" s="37"/>
      <c r="D49" s="37">
        <v>41</v>
      </c>
      <c r="E49" s="70" t="s">
        <v>2865</v>
      </c>
      <c r="F49" s="71">
        <v>282744</v>
      </c>
      <c r="G49" s="37" t="s">
        <v>30</v>
      </c>
      <c r="H49" s="72" t="s">
        <v>2934</v>
      </c>
      <c r="I49" s="73" t="s">
        <v>2971</v>
      </c>
      <c r="J49" s="37">
        <v>166</v>
      </c>
      <c r="K49" s="36" t="s">
        <v>31</v>
      </c>
      <c r="L49" s="60" t="s">
        <v>32</v>
      </c>
      <c r="M49" s="62" t="s">
        <v>2975</v>
      </c>
      <c r="N49" s="62" t="s">
        <v>2974</v>
      </c>
      <c r="O49" s="62">
        <v>4</v>
      </c>
      <c r="P49" s="63"/>
    </row>
    <row r="50" spans="1:16" ht="24.75" customHeight="1" x14ac:dyDescent="0.25">
      <c r="A50" s="11" t="str">
        <f t="shared" si="0"/>
        <v>VISTOS BUENOS</v>
      </c>
      <c r="B50" s="69">
        <v>2</v>
      </c>
      <c r="C50" s="37"/>
      <c r="D50" s="37">
        <v>42</v>
      </c>
      <c r="E50" s="70" t="s">
        <v>2866</v>
      </c>
      <c r="F50" s="71">
        <v>282907</v>
      </c>
      <c r="G50" s="37" t="s">
        <v>30</v>
      </c>
      <c r="H50" s="72" t="s">
        <v>2935</v>
      </c>
      <c r="I50" s="73">
        <v>43663</v>
      </c>
      <c r="J50" s="37">
        <v>96</v>
      </c>
      <c r="K50" s="36" t="s">
        <v>31</v>
      </c>
      <c r="L50" s="60" t="s">
        <v>32</v>
      </c>
      <c r="M50" s="62" t="s">
        <v>2975</v>
      </c>
      <c r="N50" s="62" t="s">
        <v>2974</v>
      </c>
      <c r="O50" s="62">
        <v>4</v>
      </c>
      <c r="P50" s="63"/>
    </row>
    <row r="51" spans="1:16" ht="24.75" customHeight="1" x14ac:dyDescent="0.25">
      <c r="A51" s="11" t="str">
        <f t="shared" si="0"/>
        <v>VISTOS BUENOS</v>
      </c>
      <c r="B51" s="69">
        <v>2</v>
      </c>
      <c r="C51" s="37"/>
      <c r="D51" s="37">
        <v>43</v>
      </c>
      <c r="E51" s="70" t="s">
        <v>2867</v>
      </c>
      <c r="F51" s="71">
        <v>282984</v>
      </c>
      <c r="G51" s="37" t="s">
        <v>30</v>
      </c>
      <c r="H51" s="72" t="s">
        <v>2936</v>
      </c>
      <c r="I51" s="73">
        <v>43685</v>
      </c>
      <c r="J51" s="37">
        <v>76</v>
      </c>
      <c r="K51" s="36" t="s">
        <v>31</v>
      </c>
      <c r="L51" s="60" t="s">
        <v>32</v>
      </c>
      <c r="M51" s="62" t="s">
        <v>2975</v>
      </c>
      <c r="N51" s="62" t="s">
        <v>2974</v>
      </c>
      <c r="O51" s="62">
        <v>4</v>
      </c>
      <c r="P51" s="63"/>
    </row>
    <row r="52" spans="1:16" ht="24.75" customHeight="1" x14ac:dyDescent="0.25">
      <c r="A52" s="11" t="str">
        <f t="shared" si="0"/>
        <v>VISTOS BUENOS</v>
      </c>
      <c r="B52" s="69">
        <v>2</v>
      </c>
      <c r="C52" s="37"/>
      <c r="D52" s="37">
        <v>44</v>
      </c>
      <c r="E52" s="70" t="s">
        <v>2868</v>
      </c>
      <c r="F52" s="71">
        <v>283090</v>
      </c>
      <c r="G52" s="37" t="s">
        <v>30</v>
      </c>
      <c r="H52" s="72" t="s">
        <v>2937</v>
      </c>
      <c r="I52" s="73">
        <v>43671</v>
      </c>
      <c r="J52" s="37">
        <v>79</v>
      </c>
      <c r="K52" s="36" t="s">
        <v>31</v>
      </c>
      <c r="L52" s="60" t="s">
        <v>32</v>
      </c>
      <c r="M52" s="62" t="s">
        <v>2975</v>
      </c>
      <c r="N52" s="62" t="s">
        <v>2974</v>
      </c>
      <c r="O52" s="62">
        <v>4</v>
      </c>
      <c r="P52" s="63"/>
    </row>
    <row r="53" spans="1:16" ht="24.75" customHeight="1" x14ac:dyDescent="0.25">
      <c r="A53" s="11" t="str">
        <f t="shared" si="0"/>
        <v>VISTOS BUENOS</v>
      </c>
      <c r="B53" s="69">
        <v>3</v>
      </c>
      <c r="C53" s="37"/>
      <c r="D53" s="37">
        <v>45</v>
      </c>
      <c r="E53" s="70" t="s">
        <v>2869</v>
      </c>
      <c r="F53" s="71">
        <v>283222</v>
      </c>
      <c r="G53" s="37" t="s">
        <v>30</v>
      </c>
      <c r="H53" s="72" t="s">
        <v>2938</v>
      </c>
      <c r="I53" s="73">
        <v>43684</v>
      </c>
      <c r="J53" s="37">
        <v>95</v>
      </c>
      <c r="K53" s="36" t="s">
        <v>31</v>
      </c>
      <c r="L53" s="60" t="s">
        <v>32</v>
      </c>
      <c r="M53" s="62" t="s">
        <v>2975</v>
      </c>
      <c r="N53" s="62" t="s">
        <v>2974</v>
      </c>
      <c r="O53" s="62">
        <v>4</v>
      </c>
      <c r="P53" s="63"/>
    </row>
    <row r="54" spans="1:16" ht="24.75" customHeight="1" x14ac:dyDescent="0.25">
      <c r="A54" s="11" t="str">
        <f t="shared" si="0"/>
        <v>VISTOS BUENOS</v>
      </c>
      <c r="B54" s="69">
        <v>3</v>
      </c>
      <c r="C54" s="37"/>
      <c r="D54" s="37">
        <v>46</v>
      </c>
      <c r="E54" s="70" t="s">
        <v>2870</v>
      </c>
      <c r="F54" s="71">
        <v>283223</v>
      </c>
      <c r="G54" s="37" t="s">
        <v>30</v>
      </c>
      <c r="H54" s="72" t="s">
        <v>2938</v>
      </c>
      <c r="I54" s="73" t="s">
        <v>2972</v>
      </c>
      <c r="J54" s="37">
        <v>82</v>
      </c>
      <c r="K54" s="36" t="s">
        <v>31</v>
      </c>
      <c r="L54" s="60" t="s">
        <v>32</v>
      </c>
      <c r="M54" s="62" t="s">
        <v>2975</v>
      </c>
      <c r="N54" s="62" t="s">
        <v>2974</v>
      </c>
      <c r="O54" s="62">
        <v>4</v>
      </c>
      <c r="P54" s="63"/>
    </row>
    <row r="55" spans="1:16" ht="24.75" customHeight="1" x14ac:dyDescent="0.25">
      <c r="A55" s="11" t="str">
        <f t="shared" si="0"/>
        <v>VISTOS BUENOS</v>
      </c>
      <c r="B55" s="69">
        <v>3</v>
      </c>
      <c r="C55" s="37"/>
      <c r="D55" s="37">
        <v>47</v>
      </c>
      <c r="E55" s="70" t="s">
        <v>2871</v>
      </c>
      <c r="F55" s="71">
        <v>283270</v>
      </c>
      <c r="G55" s="37" t="s">
        <v>30</v>
      </c>
      <c r="H55" s="72" t="s">
        <v>2939</v>
      </c>
      <c r="I55" s="73">
        <v>43683</v>
      </c>
      <c r="J55" s="37">
        <v>84</v>
      </c>
      <c r="K55" s="36" t="s">
        <v>31</v>
      </c>
      <c r="L55" s="60" t="s">
        <v>32</v>
      </c>
      <c r="M55" s="62" t="s">
        <v>2975</v>
      </c>
      <c r="N55" s="62" t="s">
        <v>2974</v>
      </c>
      <c r="O55" s="62">
        <v>4</v>
      </c>
      <c r="P55" s="63"/>
    </row>
    <row r="56" spans="1:16" ht="24.75" customHeight="1" x14ac:dyDescent="0.25">
      <c r="A56" s="11" t="str">
        <f t="shared" si="0"/>
        <v>VISTOS BUENOS</v>
      </c>
      <c r="B56" s="69">
        <v>3</v>
      </c>
      <c r="C56" s="37"/>
      <c r="D56" s="37">
        <v>48</v>
      </c>
      <c r="E56" s="70" t="s">
        <v>2872</v>
      </c>
      <c r="F56" s="71">
        <v>283439</v>
      </c>
      <c r="G56" s="37" t="s">
        <v>30</v>
      </c>
      <c r="H56" s="72" t="s">
        <v>2940</v>
      </c>
      <c r="I56" s="73">
        <v>43670</v>
      </c>
      <c r="J56" s="37">
        <v>51</v>
      </c>
      <c r="K56" s="36" t="s">
        <v>31</v>
      </c>
      <c r="L56" s="60" t="s">
        <v>32</v>
      </c>
      <c r="M56" s="62" t="s">
        <v>2975</v>
      </c>
      <c r="N56" s="62" t="s">
        <v>2974</v>
      </c>
      <c r="O56" s="62">
        <v>4</v>
      </c>
      <c r="P56" s="63"/>
    </row>
    <row r="57" spans="1:16" ht="24.75" customHeight="1" x14ac:dyDescent="0.25">
      <c r="A57" s="11" t="str">
        <f t="shared" si="0"/>
        <v>VISTOS BUENOS</v>
      </c>
      <c r="B57" s="69">
        <v>3</v>
      </c>
      <c r="C57" s="37"/>
      <c r="D57" s="37">
        <v>49</v>
      </c>
      <c r="E57" s="70" t="s">
        <v>2873</v>
      </c>
      <c r="F57" s="71">
        <v>283608</v>
      </c>
      <c r="G57" s="37" t="s">
        <v>30</v>
      </c>
      <c r="H57" s="72" t="s">
        <v>2941</v>
      </c>
      <c r="I57" s="73">
        <v>43683</v>
      </c>
      <c r="J57" s="37">
        <v>19</v>
      </c>
      <c r="K57" s="36" t="s">
        <v>31</v>
      </c>
      <c r="L57" s="60" t="s">
        <v>32</v>
      </c>
      <c r="M57" s="62" t="s">
        <v>2975</v>
      </c>
      <c r="N57" s="62" t="s">
        <v>2974</v>
      </c>
      <c r="O57" s="62">
        <v>4</v>
      </c>
      <c r="P57" s="63"/>
    </row>
    <row r="58" spans="1:16" ht="24.75" customHeight="1" x14ac:dyDescent="0.25">
      <c r="A58" s="11" t="str">
        <f t="shared" si="0"/>
        <v>VISTOS BUENOS</v>
      </c>
      <c r="B58" s="69">
        <v>3</v>
      </c>
      <c r="C58" s="37"/>
      <c r="D58" s="37">
        <v>50</v>
      </c>
      <c r="E58" s="70" t="s">
        <v>2874</v>
      </c>
      <c r="F58" s="71">
        <v>283727</v>
      </c>
      <c r="G58" s="37" t="s">
        <v>30</v>
      </c>
      <c r="H58" s="72" t="s">
        <v>2942</v>
      </c>
      <c r="I58" s="73">
        <v>43679</v>
      </c>
      <c r="J58" s="37">
        <v>56</v>
      </c>
      <c r="K58" s="36" t="s">
        <v>31</v>
      </c>
      <c r="L58" s="60" t="s">
        <v>32</v>
      </c>
      <c r="M58" s="62" t="s">
        <v>2975</v>
      </c>
      <c r="N58" s="62" t="s">
        <v>2974</v>
      </c>
      <c r="O58" s="62">
        <v>4</v>
      </c>
      <c r="P58" s="63"/>
    </row>
    <row r="59" spans="1:16" ht="24.75" customHeight="1" x14ac:dyDescent="0.25">
      <c r="A59" s="11" t="str">
        <f t="shared" si="0"/>
        <v>VISTOS BUENOS</v>
      </c>
      <c r="B59" s="69">
        <v>3</v>
      </c>
      <c r="C59" s="37"/>
      <c r="D59" s="37">
        <v>51</v>
      </c>
      <c r="E59" s="70" t="s">
        <v>2875</v>
      </c>
      <c r="F59" s="71">
        <v>283745</v>
      </c>
      <c r="G59" s="37" t="s">
        <v>30</v>
      </c>
      <c r="H59" s="72" t="s">
        <v>2943</v>
      </c>
      <c r="I59" s="73">
        <v>43698</v>
      </c>
      <c r="J59" s="37">
        <v>120</v>
      </c>
      <c r="K59" s="36" t="s">
        <v>31</v>
      </c>
      <c r="L59" s="60" t="s">
        <v>32</v>
      </c>
      <c r="M59" s="62" t="s">
        <v>2975</v>
      </c>
      <c r="N59" s="62" t="s">
        <v>2974</v>
      </c>
      <c r="O59" s="62">
        <v>4</v>
      </c>
      <c r="P59" s="63"/>
    </row>
    <row r="60" spans="1:16" ht="24.75" customHeight="1" x14ac:dyDescent="0.25">
      <c r="A60" s="11" t="str">
        <f t="shared" si="0"/>
        <v>VISTOS BUENOS</v>
      </c>
      <c r="B60" s="69">
        <v>3</v>
      </c>
      <c r="C60" s="37"/>
      <c r="D60" s="37">
        <v>52</v>
      </c>
      <c r="E60" s="70" t="s">
        <v>2876</v>
      </c>
      <c r="F60" s="71">
        <v>283938</v>
      </c>
      <c r="G60" s="37" t="s">
        <v>30</v>
      </c>
      <c r="H60" s="72" t="s">
        <v>2944</v>
      </c>
      <c r="I60" s="73">
        <v>43689</v>
      </c>
      <c r="J60" s="37">
        <v>35</v>
      </c>
      <c r="K60" s="36" t="s">
        <v>31</v>
      </c>
      <c r="L60" s="60" t="s">
        <v>32</v>
      </c>
      <c r="M60" s="62" t="s">
        <v>2975</v>
      </c>
      <c r="N60" s="62" t="s">
        <v>2974</v>
      </c>
      <c r="O60" s="62">
        <v>4</v>
      </c>
      <c r="P60" s="63"/>
    </row>
    <row r="61" spans="1:16" ht="24.75" customHeight="1" x14ac:dyDescent="0.25">
      <c r="A61" s="11" t="str">
        <f t="shared" si="0"/>
        <v>VISTOS BUENOS</v>
      </c>
      <c r="B61" s="69">
        <v>3</v>
      </c>
      <c r="C61" s="37"/>
      <c r="D61" s="37">
        <v>53</v>
      </c>
      <c r="E61" s="70" t="s">
        <v>2877</v>
      </c>
      <c r="F61" s="71">
        <v>284007</v>
      </c>
      <c r="G61" s="37" t="s">
        <v>30</v>
      </c>
      <c r="H61" s="72" t="s">
        <v>2945</v>
      </c>
      <c r="I61" s="73">
        <v>43705</v>
      </c>
      <c r="J61" s="37">
        <v>212</v>
      </c>
      <c r="K61" s="36" t="s">
        <v>31</v>
      </c>
      <c r="L61" s="60" t="s">
        <v>32</v>
      </c>
      <c r="M61" s="62" t="s">
        <v>2975</v>
      </c>
      <c r="N61" s="62" t="s">
        <v>2974</v>
      </c>
      <c r="O61" s="62">
        <v>4</v>
      </c>
      <c r="P61" s="63"/>
    </row>
    <row r="62" spans="1:16" ht="24.75" customHeight="1" x14ac:dyDescent="0.25">
      <c r="A62" s="11" t="str">
        <f t="shared" si="0"/>
        <v>VISTOS BUENOS</v>
      </c>
      <c r="B62" s="69">
        <v>3</v>
      </c>
      <c r="C62" s="37"/>
      <c r="D62" s="37">
        <v>54</v>
      </c>
      <c r="E62" s="70" t="s">
        <v>2878</v>
      </c>
      <c r="F62" s="71">
        <v>284011</v>
      </c>
      <c r="G62" s="37" t="s">
        <v>30</v>
      </c>
      <c r="H62" s="72" t="s">
        <v>2945</v>
      </c>
      <c r="I62" s="73">
        <v>43703</v>
      </c>
      <c r="J62" s="37">
        <v>39</v>
      </c>
      <c r="K62" s="36" t="s">
        <v>31</v>
      </c>
      <c r="L62" s="60" t="s">
        <v>32</v>
      </c>
      <c r="M62" s="62" t="s">
        <v>2975</v>
      </c>
      <c r="N62" s="62" t="s">
        <v>2974</v>
      </c>
      <c r="O62" s="62">
        <v>4</v>
      </c>
      <c r="P62" s="63"/>
    </row>
    <row r="63" spans="1:16" ht="24.75" customHeight="1" x14ac:dyDescent="0.25">
      <c r="A63" s="11" t="str">
        <f t="shared" si="0"/>
        <v>VISTOS BUENOS</v>
      </c>
      <c r="B63" s="69">
        <v>3</v>
      </c>
      <c r="C63" s="37"/>
      <c r="D63" s="37">
        <v>55</v>
      </c>
      <c r="E63" s="70" t="s">
        <v>2879</v>
      </c>
      <c r="F63" s="71">
        <v>284074</v>
      </c>
      <c r="G63" s="37" t="s">
        <v>30</v>
      </c>
      <c r="H63" s="72" t="s">
        <v>2946</v>
      </c>
      <c r="I63" s="73">
        <v>44444</v>
      </c>
      <c r="J63" s="37">
        <v>51</v>
      </c>
      <c r="K63" s="36" t="s">
        <v>31</v>
      </c>
      <c r="L63" s="60" t="s">
        <v>32</v>
      </c>
      <c r="M63" s="62" t="s">
        <v>2975</v>
      </c>
      <c r="N63" s="62" t="s">
        <v>2974</v>
      </c>
      <c r="O63" s="62">
        <v>4</v>
      </c>
      <c r="P63" s="63"/>
    </row>
    <row r="64" spans="1:16" ht="24.75" customHeight="1" x14ac:dyDescent="0.25">
      <c r="A64" s="11" t="str">
        <f t="shared" si="0"/>
        <v>VISTOS BUENOS</v>
      </c>
      <c r="B64" s="69">
        <v>3</v>
      </c>
      <c r="C64" s="37"/>
      <c r="D64" s="37">
        <v>56</v>
      </c>
      <c r="E64" s="70" t="s">
        <v>2880</v>
      </c>
      <c r="F64" s="71">
        <v>284087</v>
      </c>
      <c r="G64" s="37" t="s">
        <v>30</v>
      </c>
      <c r="H64" s="72" t="s">
        <v>2946</v>
      </c>
      <c r="I64" s="73">
        <v>43698</v>
      </c>
      <c r="J64" s="37">
        <v>42</v>
      </c>
      <c r="K64" s="36" t="s">
        <v>31</v>
      </c>
      <c r="L64" s="60" t="s">
        <v>32</v>
      </c>
      <c r="M64" s="62" t="s">
        <v>2975</v>
      </c>
      <c r="N64" s="62" t="s">
        <v>2974</v>
      </c>
      <c r="O64" s="62">
        <v>4</v>
      </c>
      <c r="P64" s="63"/>
    </row>
    <row r="65" spans="1:16" ht="24.75" customHeight="1" x14ac:dyDescent="0.25">
      <c r="A65" s="11" t="str">
        <f t="shared" si="0"/>
        <v>VISTOS BUENOS</v>
      </c>
      <c r="B65" s="69">
        <v>3</v>
      </c>
      <c r="C65" s="37"/>
      <c r="D65" s="37">
        <v>57</v>
      </c>
      <c r="E65" s="70" t="s">
        <v>2881</v>
      </c>
      <c r="F65" s="71">
        <v>284192</v>
      </c>
      <c r="G65" s="37" t="s">
        <v>30</v>
      </c>
      <c r="H65" s="72" t="s">
        <v>2947</v>
      </c>
      <c r="I65" s="73">
        <v>43691</v>
      </c>
      <c r="J65" s="37">
        <v>28</v>
      </c>
      <c r="K65" s="36" t="s">
        <v>31</v>
      </c>
      <c r="L65" s="60" t="s">
        <v>32</v>
      </c>
      <c r="M65" s="62" t="s">
        <v>2975</v>
      </c>
      <c r="N65" s="62" t="s">
        <v>2974</v>
      </c>
      <c r="O65" s="62">
        <v>4</v>
      </c>
      <c r="P65" s="63"/>
    </row>
    <row r="66" spans="1:16" ht="24.75" customHeight="1" x14ac:dyDescent="0.25">
      <c r="A66" s="11" t="str">
        <f t="shared" si="0"/>
        <v>VISTOS BUENOS</v>
      </c>
      <c r="B66" s="69">
        <v>3</v>
      </c>
      <c r="C66" s="37"/>
      <c r="D66" s="37">
        <v>58</v>
      </c>
      <c r="E66" s="70" t="s">
        <v>2882</v>
      </c>
      <c r="F66" s="71">
        <v>585700</v>
      </c>
      <c r="G66" s="37" t="s">
        <v>30</v>
      </c>
      <c r="H66" s="72">
        <v>43726</v>
      </c>
      <c r="I66" s="73" t="s">
        <v>2973</v>
      </c>
      <c r="J66" s="37">
        <v>146</v>
      </c>
      <c r="K66" s="36" t="s">
        <v>31</v>
      </c>
      <c r="L66" s="60" t="s">
        <v>32</v>
      </c>
      <c r="M66" s="62" t="s">
        <v>2975</v>
      </c>
      <c r="N66" s="62" t="s">
        <v>2974</v>
      </c>
      <c r="O66" s="62">
        <v>4</v>
      </c>
      <c r="P66" s="63"/>
    </row>
    <row r="67" spans="1:16" ht="24.75" customHeight="1" x14ac:dyDescent="0.25">
      <c r="A67" s="11" t="str">
        <f t="shared" si="0"/>
        <v>VISTOS BUENOS</v>
      </c>
      <c r="B67" s="69">
        <v>3</v>
      </c>
      <c r="C67" s="37"/>
      <c r="D67" s="37">
        <v>59</v>
      </c>
      <c r="E67" s="70" t="s">
        <v>2883</v>
      </c>
      <c r="F67" s="71">
        <v>285113</v>
      </c>
      <c r="G67" s="37" t="s">
        <v>30</v>
      </c>
      <c r="H67" s="72" t="s">
        <v>2948</v>
      </c>
      <c r="I67" s="73">
        <v>43737</v>
      </c>
      <c r="J67" s="37">
        <v>40</v>
      </c>
      <c r="K67" s="36" t="s">
        <v>31</v>
      </c>
      <c r="L67" s="60" t="s">
        <v>32</v>
      </c>
      <c r="M67" s="62" t="s">
        <v>2975</v>
      </c>
      <c r="N67" s="62" t="s">
        <v>2974</v>
      </c>
      <c r="O67" s="62">
        <v>4</v>
      </c>
      <c r="P67" s="63"/>
    </row>
    <row r="68" spans="1:16" ht="24.75" customHeight="1" x14ac:dyDescent="0.25">
      <c r="A68" s="11" t="str">
        <f t="shared" si="0"/>
        <v>VISTOS BUENOS</v>
      </c>
      <c r="B68" s="69">
        <v>3</v>
      </c>
      <c r="C68" s="37"/>
      <c r="D68" s="37">
        <v>60</v>
      </c>
      <c r="E68" s="70" t="s">
        <v>2884</v>
      </c>
      <c r="F68" s="71">
        <v>285186</v>
      </c>
      <c r="G68" s="37" t="s">
        <v>30</v>
      </c>
      <c r="H68" s="72">
        <v>43714</v>
      </c>
      <c r="I68" s="73">
        <v>44458</v>
      </c>
      <c r="J68" s="37">
        <v>45</v>
      </c>
      <c r="K68" s="36" t="s">
        <v>31</v>
      </c>
      <c r="L68" s="60" t="s">
        <v>32</v>
      </c>
      <c r="M68" s="62" t="s">
        <v>2975</v>
      </c>
      <c r="N68" s="62" t="s">
        <v>2974</v>
      </c>
      <c r="O68" s="62">
        <v>4</v>
      </c>
      <c r="P68" s="63"/>
    </row>
    <row r="69" spans="1:16" ht="24.75" customHeight="1" x14ac:dyDescent="0.25">
      <c r="A69" s="11" t="str">
        <f t="shared" si="0"/>
        <v>VISTOS BUENOS</v>
      </c>
      <c r="B69" s="69">
        <v>3</v>
      </c>
      <c r="C69" s="37"/>
      <c r="D69" s="37">
        <v>61</v>
      </c>
      <c r="E69" s="70" t="s">
        <v>2885</v>
      </c>
      <c r="F69" s="71">
        <v>285391</v>
      </c>
      <c r="G69" s="37" t="s">
        <v>30</v>
      </c>
      <c r="H69" s="72" t="s">
        <v>2949</v>
      </c>
      <c r="I69" s="73">
        <v>44522</v>
      </c>
      <c r="J69" s="37">
        <v>133</v>
      </c>
      <c r="K69" s="36" t="s">
        <v>31</v>
      </c>
      <c r="L69" s="60" t="s">
        <v>32</v>
      </c>
      <c r="M69" s="62" t="s">
        <v>2975</v>
      </c>
      <c r="N69" s="62" t="s">
        <v>2974</v>
      </c>
      <c r="O69" s="62">
        <v>4</v>
      </c>
      <c r="P69" s="63"/>
    </row>
    <row r="70" spans="1:16" ht="24.75" customHeight="1" x14ac:dyDescent="0.25">
      <c r="A70" s="11" t="str">
        <f t="shared" si="0"/>
        <v>VISTOS BUENOS</v>
      </c>
      <c r="B70" s="69">
        <v>3</v>
      </c>
      <c r="C70" s="37"/>
      <c r="D70" s="37">
        <v>62</v>
      </c>
      <c r="E70" s="70" t="s">
        <v>2886</v>
      </c>
      <c r="F70" s="71">
        <v>285518</v>
      </c>
      <c r="G70" s="37" t="s">
        <v>30</v>
      </c>
      <c r="H70" s="72" t="s">
        <v>2950</v>
      </c>
      <c r="I70" s="73">
        <v>43732</v>
      </c>
      <c r="J70" s="37">
        <v>24</v>
      </c>
      <c r="K70" s="36" t="s">
        <v>31</v>
      </c>
      <c r="L70" s="60" t="s">
        <v>32</v>
      </c>
      <c r="M70" s="62" t="s">
        <v>2975</v>
      </c>
      <c r="N70" s="62" t="s">
        <v>2974</v>
      </c>
      <c r="O70" s="62">
        <v>4</v>
      </c>
      <c r="P70" s="63"/>
    </row>
    <row r="71" spans="1:16" ht="24.75" customHeight="1" x14ac:dyDescent="0.25">
      <c r="A71" s="11" t="str">
        <f t="shared" si="0"/>
        <v>VISTOS BUENOS</v>
      </c>
      <c r="B71" s="69">
        <v>3</v>
      </c>
      <c r="C71" s="37"/>
      <c r="D71" s="37">
        <v>63</v>
      </c>
      <c r="E71" s="70" t="s">
        <v>2887</v>
      </c>
      <c r="F71" s="71">
        <v>285621</v>
      </c>
      <c r="G71" s="37" t="s">
        <v>30</v>
      </c>
      <c r="H71" s="72" t="s">
        <v>2951</v>
      </c>
      <c r="I71" s="73" t="s">
        <v>2951</v>
      </c>
      <c r="J71" s="37">
        <v>31</v>
      </c>
      <c r="K71" s="36" t="s">
        <v>31</v>
      </c>
      <c r="L71" s="60" t="s">
        <v>32</v>
      </c>
      <c r="M71" s="62" t="s">
        <v>2975</v>
      </c>
      <c r="N71" s="62" t="s">
        <v>2974</v>
      </c>
      <c r="O71" s="62">
        <v>4</v>
      </c>
      <c r="P71" s="63"/>
    </row>
    <row r="72" spans="1:16" ht="24.75" customHeight="1" x14ac:dyDescent="0.25">
      <c r="A72" s="11" t="str">
        <f t="shared" si="0"/>
        <v>VISTOS BUENOS</v>
      </c>
      <c r="B72" s="69">
        <v>3</v>
      </c>
      <c r="C72" s="37"/>
      <c r="D72" s="37">
        <v>64</v>
      </c>
      <c r="E72" s="70" t="s">
        <v>2888</v>
      </c>
      <c r="F72" s="71">
        <v>285647</v>
      </c>
      <c r="G72" s="37" t="s">
        <v>30</v>
      </c>
      <c r="H72" s="72" t="s">
        <v>2951</v>
      </c>
      <c r="I72" s="73">
        <v>43748</v>
      </c>
      <c r="J72" s="37">
        <v>230</v>
      </c>
      <c r="K72" s="36" t="s">
        <v>31</v>
      </c>
      <c r="L72" s="60" t="s">
        <v>32</v>
      </c>
      <c r="M72" s="62" t="s">
        <v>2975</v>
      </c>
      <c r="N72" s="62" t="s">
        <v>2974</v>
      </c>
      <c r="O72" s="62">
        <v>4</v>
      </c>
      <c r="P72" s="63"/>
    </row>
    <row r="73" spans="1:16" ht="24.75" customHeight="1" x14ac:dyDescent="0.25">
      <c r="A73" s="11" t="str">
        <f t="shared" si="0"/>
        <v>VISTOS BUENOS</v>
      </c>
      <c r="B73" s="69">
        <v>3</v>
      </c>
      <c r="C73" s="37"/>
      <c r="D73" s="37">
        <v>65</v>
      </c>
      <c r="E73" s="70" t="s">
        <v>2889</v>
      </c>
      <c r="F73" s="71">
        <v>286043</v>
      </c>
      <c r="G73" s="37" t="s">
        <v>30</v>
      </c>
      <c r="H73" s="72" t="s">
        <v>2952</v>
      </c>
      <c r="I73" s="73">
        <v>43759</v>
      </c>
      <c r="J73" s="37">
        <v>115</v>
      </c>
      <c r="K73" s="36" t="s">
        <v>31</v>
      </c>
      <c r="L73" s="60" t="s">
        <v>32</v>
      </c>
      <c r="M73" s="62" t="s">
        <v>2975</v>
      </c>
      <c r="N73" s="62" t="s">
        <v>2974</v>
      </c>
      <c r="O73" s="62">
        <v>4</v>
      </c>
      <c r="P73" s="63"/>
    </row>
    <row r="74" spans="1:16" ht="24.75" customHeight="1" x14ac:dyDescent="0.25">
      <c r="A74" s="11" t="str">
        <f t="shared" si="0"/>
        <v>VISTOS BUENOS</v>
      </c>
      <c r="B74" s="69">
        <v>4</v>
      </c>
      <c r="C74" s="37"/>
      <c r="D74" s="37">
        <v>66</v>
      </c>
      <c r="E74" s="70" t="s">
        <v>2890</v>
      </c>
      <c r="F74" s="71">
        <v>286144</v>
      </c>
      <c r="G74" s="37" t="s">
        <v>30</v>
      </c>
      <c r="H74" s="72" t="s">
        <v>2953</v>
      </c>
      <c r="I74" s="73">
        <v>43763</v>
      </c>
      <c r="J74" s="37">
        <v>26</v>
      </c>
      <c r="K74" s="36" t="s">
        <v>31</v>
      </c>
      <c r="L74" s="60" t="s">
        <v>32</v>
      </c>
      <c r="M74" s="62" t="s">
        <v>2975</v>
      </c>
      <c r="N74" s="62" t="s">
        <v>2974</v>
      </c>
      <c r="O74" s="62">
        <v>4</v>
      </c>
      <c r="P74" s="63"/>
    </row>
    <row r="75" spans="1:16" ht="24.75" customHeight="1" x14ac:dyDescent="0.25">
      <c r="A75" s="11" t="str">
        <f t="shared" ref="A75:A101" si="1">A74</f>
        <v>VISTOS BUENOS</v>
      </c>
      <c r="B75" s="69">
        <v>4</v>
      </c>
      <c r="C75" s="37"/>
      <c r="D75" s="37">
        <v>67</v>
      </c>
      <c r="E75" s="70" t="s">
        <v>2891</v>
      </c>
      <c r="F75" s="71">
        <v>286279</v>
      </c>
      <c r="G75" s="37" t="s">
        <v>30</v>
      </c>
      <c r="H75" s="72" t="s">
        <v>2954</v>
      </c>
      <c r="I75" s="73">
        <v>43755</v>
      </c>
      <c r="J75" s="37">
        <v>27</v>
      </c>
      <c r="K75" s="36" t="s">
        <v>31</v>
      </c>
      <c r="L75" s="60" t="s">
        <v>32</v>
      </c>
      <c r="M75" s="62" t="s">
        <v>2975</v>
      </c>
      <c r="N75" s="62" t="s">
        <v>2974</v>
      </c>
      <c r="O75" s="62">
        <v>4</v>
      </c>
      <c r="P75" s="63"/>
    </row>
    <row r="76" spans="1:16" ht="24.75" customHeight="1" x14ac:dyDescent="0.25">
      <c r="A76" s="11" t="str">
        <f t="shared" si="1"/>
        <v>VISTOS BUENOS</v>
      </c>
      <c r="B76" s="69">
        <v>4</v>
      </c>
      <c r="C76" s="37"/>
      <c r="D76" s="37">
        <v>68</v>
      </c>
      <c r="E76" s="70" t="s">
        <v>2892</v>
      </c>
      <c r="F76" s="71">
        <v>286468</v>
      </c>
      <c r="G76" s="37" t="s">
        <v>30</v>
      </c>
      <c r="H76" s="72" t="s">
        <v>2955</v>
      </c>
      <c r="I76" s="73">
        <v>43774</v>
      </c>
      <c r="J76" s="37">
        <v>45</v>
      </c>
      <c r="K76" s="36" t="s">
        <v>31</v>
      </c>
      <c r="L76" s="60" t="s">
        <v>32</v>
      </c>
      <c r="M76" s="62" t="s">
        <v>2975</v>
      </c>
      <c r="N76" s="62" t="s">
        <v>2974</v>
      </c>
      <c r="O76" s="62">
        <v>4</v>
      </c>
      <c r="P76" s="63"/>
    </row>
    <row r="77" spans="1:16" ht="24.75" customHeight="1" x14ac:dyDescent="0.25">
      <c r="A77" s="11" t="str">
        <f t="shared" si="1"/>
        <v>VISTOS BUENOS</v>
      </c>
      <c r="B77" s="69">
        <v>4</v>
      </c>
      <c r="C77" s="37"/>
      <c r="D77" s="37">
        <v>69</v>
      </c>
      <c r="E77" s="70" t="s">
        <v>2893</v>
      </c>
      <c r="F77" s="71">
        <v>286608</v>
      </c>
      <c r="G77" s="37" t="s">
        <v>30</v>
      </c>
      <c r="H77" s="72" t="s">
        <v>2956</v>
      </c>
      <c r="I77" s="73">
        <v>43769</v>
      </c>
      <c r="J77" s="37">
        <v>38</v>
      </c>
      <c r="K77" s="36" t="s">
        <v>31</v>
      </c>
      <c r="L77" s="60" t="s">
        <v>32</v>
      </c>
      <c r="M77" s="62" t="s">
        <v>2975</v>
      </c>
      <c r="N77" s="62" t="s">
        <v>2974</v>
      </c>
      <c r="O77" s="62">
        <v>4</v>
      </c>
      <c r="P77" s="63"/>
    </row>
    <row r="78" spans="1:16" ht="24.75" customHeight="1" x14ac:dyDescent="0.25">
      <c r="A78" s="11" t="str">
        <f t="shared" si="1"/>
        <v>VISTOS BUENOS</v>
      </c>
      <c r="B78" s="69">
        <v>4</v>
      </c>
      <c r="C78" s="37"/>
      <c r="D78" s="37">
        <v>70</v>
      </c>
      <c r="E78" s="70" t="s">
        <v>2894</v>
      </c>
      <c r="F78" s="71">
        <v>287243</v>
      </c>
      <c r="G78" s="37" t="s">
        <v>30</v>
      </c>
      <c r="H78" s="72" t="s">
        <v>2957</v>
      </c>
      <c r="I78" s="73">
        <v>43794</v>
      </c>
      <c r="J78" s="37">
        <v>36</v>
      </c>
      <c r="K78" s="36" t="s">
        <v>31</v>
      </c>
      <c r="L78" s="60" t="s">
        <v>32</v>
      </c>
      <c r="M78" s="62" t="s">
        <v>2975</v>
      </c>
      <c r="N78" s="62" t="s">
        <v>2974</v>
      </c>
      <c r="O78" s="62">
        <v>4</v>
      </c>
      <c r="P78" s="63"/>
    </row>
    <row r="79" spans="1:16" ht="24.75" customHeight="1" x14ac:dyDescent="0.25">
      <c r="A79" s="11" t="str">
        <f t="shared" si="1"/>
        <v>VISTOS BUENOS</v>
      </c>
      <c r="B79" s="69">
        <v>4</v>
      </c>
      <c r="C79" s="37"/>
      <c r="D79" s="37">
        <v>71</v>
      </c>
      <c r="E79" s="70" t="s">
        <v>2895</v>
      </c>
      <c r="F79" s="71">
        <v>287267</v>
      </c>
      <c r="G79" s="37" t="s">
        <v>30</v>
      </c>
      <c r="H79" s="72" t="s">
        <v>2957</v>
      </c>
      <c r="I79" s="73">
        <v>43781</v>
      </c>
      <c r="J79" s="37">
        <v>104</v>
      </c>
      <c r="K79" s="36" t="s">
        <v>31</v>
      </c>
      <c r="L79" s="60" t="s">
        <v>32</v>
      </c>
      <c r="M79" s="62" t="s">
        <v>2975</v>
      </c>
      <c r="N79" s="62" t="s">
        <v>2974</v>
      </c>
      <c r="O79" s="62">
        <v>4</v>
      </c>
      <c r="P79" s="63"/>
    </row>
    <row r="80" spans="1:16" ht="24.75" customHeight="1" x14ac:dyDescent="0.25">
      <c r="A80" s="11" t="str">
        <f t="shared" si="1"/>
        <v>VISTOS BUENOS</v>
      </c>
      <c r="B80" s="69">
        <v>4</v>
      </c>
      <c r="C80" s="37"/>
      <c r="D80" s="37">
        <v>72</v>
      </c>
      <c r="E80" s="70" t="s">
        <v>2838</v>
      </c>
      <c r="F80" s="71">
        <v>287348</v>
      </c>
      <c r="G80" s="37" t="s">
        <v>30</v>
      </c>
      <c r="H80" s="72" t="s">
        <v>2958</v>
      </c>
      <c r="I80" s="73">
        <v>43777</v>
      </c>
      <c r="J80" s="37">
        <v>101</v>
      </c>
      <c r="K80" s="36" t="s">
        <v>31</v>
      </c>
      <c r="L80" s="60" t="s">
        <v>32</v>
      </c>
      <c r="M80" s="62" t="s">
        <v>2975</v>
      </c>
      <c r="N80" s="62" t="s">
        <v>2974</v>
      </c>
      <c r="O80" s="62">
        <v>4</v>
      </c>
      <c r="P80" s="63"/>
    </row>
    <row r="81" spans="1:16" ht="24.75" customHeight="1" x14ac:dyDescent="0.25">
      <c r="A81" s="11" t="str">
        <f t="shared" si="1"/>
        <v>VISTOS BUENOS</v>
      </c>
      <c r="B81" s="69">
        <v>4</v>
      </c>
      <c r="C81" s="37"/>
      <c r="D81" s="37">
        <v>73</v>
      </c>
      <c r="E81" s="70" t="s">
        <v>2896</v>
      </c>
      <c r="F81" s="71">
        <v>287416</v>
      </c>
      <c r="G81" s="37" t="s">
        <v>30</v>
      </c>
      <c r="H81" s="72" t="s">
        <v>2959</v>
      </c>
      <c r="I81" s="73">
        <v>43775</v>
      </c>
      <c r="J81" s="37">
        <v>56</v>
      </c>
      <c r="K81" s="36" t="s">
        <v>31</v>
      </c>
      <c r="L81" s="60" t="s">
        <v>32</v>
      </c>
      <c r="M81" s="62" t="s">
        <v>2975</v>
      </c>
      <c r="N81" s="62" t="s">
        <v>2974</v>
      </c>
      <c r="O81" s="62">
        <v>4</v>
      </c>
      <c r="P81" s="63"/>
    </row>
    <row r="82" spans="1:16" ht="24.75" customHeight="1" x14ac:dyDescent="0.25">
      <c r="A82" s="11" t="str">
        <f t="shared" si="1"/>
        <v>VISTOS BUENOS</v>
      </c>
      <c r="B82" s="69">
        <v>4</v>
      </c>
      <c r="C82" s="37"/>
      <c r="D82" s="37">
        <v>74</v>
      </c>
      <c r="E82" s="70" t="s">
        <v>2897</v>
      </c>
      <c r="F82" s="71">
        <v>287426</v>
      </c>
      <c r="G82" s="37" t="s">
        <v>30</v>
      </c>
      <c r="H82" s="72" t="s">
        <v>2960</v>
      </c>
      <c r="I82" s="73">
        <v>43636</v>
      </c>
      <c r="J82" s="37">
        <v>32</v>
      </c>
      <c r="K82" s="36" t="s">
        <v>31</v>
      </c>
      <c r="L82" s="60" t="s">
        <v>32</v>
      </c>
      <c r="M82" s="62" t="s">
        <v>2975</v>
      </c>
      <c r="N82" s="62" t="s">
        <v>2974</v>
      </c>
      <c r="O82" s="62">
        <v>4</v>
      </c>
      <c r="P82" s="63"/>
    </row>
    <row r="83" spans="1:16" ht="24.75" customHeight="1" x14ac:dyDescent="0.25">
      <c r="A83" s="11" t="str">
        <f t="shared" si="1"/>
        <v>VISTOS BUENOS</v>
      </c>
      <c r="B83" s="69">
        <v>4</v>
      </c>
      <c r="C83" s="37"/>
      <c r="D83" s="37">
        <v>75</v>
      </c>
      <c r="E83" s="70" t="s">
        <v>2898</v>
      </c>
      <c r="F83" s="71">
        <v>287489</v>
      </c>
      <c r="G83" s="37" t="s">
        <v>30</v>
      </c>
      <c r="H83" s="72" t="s">
        <v>2960</v>
      </c>
      <c r="I83" s="73">
        <v>43784</v>
      </c>
      <c r="J83" s="37">
        <v>41</v>
      </c>
      <c r="K83" s="36" t="s">
        <v>31</v>
      </c>
      <c r="L83" s="60" t="s">
        <v>32</v>
      </c>
      <c r="M83" s="62" t="s">
        <v>2975</v>
      </c>
      <c r="N83" s="62" t="s">
        <v>2974</v>
      </c>
      <c r="O83" s="62">
        <v>4</v>
      </c>
      <c r="P83" s="63"/>
    </row>
    <row r="84" spans="1:16" ht="24.75" customHeight="1" x14ac:dyDescent="0.25">
      <c r="A84" s="11" t="str">
        <f t="shared" si="1"/>
        <v>VISTOS BUENOS</v>
      </c>
      <c r="B84" s="69">
        <v>4</v>
      </c>
      <c r="C84" s="37"/>
      <c r="D84" s="37">
        <v>76</v>
      </c>
      <c r="E84" s="70" t="s">
        <v>2859</v>
      </c>
      <c r="F84" s="71">
        <v>287580</v>
      </c>
      <c r="G84" s="37" t="s">
        <v>30</v>
      </c>
      <c r="H84" s="72">
        <v>43776</v>
      </c>
      <c r="I84" s="73">
        <v>43780</v>
      </c>
      <c r="J84" s="37">
        <v>49</v>
      </c>
      <c r="K84" s="36" t="s">
        <v>31</v>
      </c>
      <c r="L84" s="60" t="s">
        <v>32</v>
      </c>
      <c r="M84" s="62" t="s">
        <v>2975</v>
      </c>
      <c r="N84" s="62" t="s">
        <v>2974</v>
      </c>
      <c r="O84" s="62">
        <v>4</v>
      </c>
      <c r="P84" s="63"/>
    </row>
    <row r="85" spans="1:16" ht="24.75" customHeight="1" x14ac:dyDescent="0.25">
      <c r="A85" s="11" t="str">
        <f t="shared" si="1"/>
        <v>VISTOS BUENOS</v>
      </c>
      <c r="B85" s="69">
        <v>4</v>
      </c>
      <c r="C85" s="37"/>
      <c r="D85" s="37">
        <v>77</v>
      </c>
      <c r="E85" s="70" t="s">
        <v>2899</v>
      </c>
      <c r="F85" s="71">
        <v>287640</v>
      </c>
      <c r="G85" s="37" t="s">
        <v>30</v>
      </c>
      <c r="H85" s="72" t="s">
        <v>2961</v>
      </c>
      <c r="I85" s="73">
        <v>43791</v>
      </c>
      <c r="J85" s="37">
        <v>22</v>
      </c>
      <c r="K85" s="36" t="s">
        <v>31</v>
      </c>
      <c r="L85" s="60" t="s">
        <v>32</v>
      </c>
      <c r="M85" s="62" t="s">
        <v>2975</v>
      </c>
      <c r="N85" s="62" t="s">
        <v>2974</v>
      </c>
      <c r="O85" s="62">
        <v>4</v>
      </c>
      <c r="P85" s="63"/>
    </row>
    <row r="86" spans="1:16" ht="24.75" customHeight="1" x14ac:dyDescent="0.25">
      <c r="A86" s="11" t="str">
        <f t="shared" si="1"/>
        <v>VISTOS BUENOS</v>
      </c>
      <c r="B86" s="69">
        <v>4</v>
      </c>
      <c r="C86" s="37"/>
      <c r="D86" s="37">
        <v>78</v>
      </c>
      <c r="E86" s="70" t="s">
        <v>2899</v>
      </c>
      <c r="F86" s="71">
        <v>287756</v>
      </c>
      <c r="G86" s="37" t="s">
        <v>30</v>
      </c>
      <c r="H86" s="72" t="s">
        <v>2962</v>
      </c>
      <c r="I86" s="73">
        <v>43802</v>
      </c>
      <c r="J86" s="37">
        <v>114</v>
      </c>
      <c r="K86" s="36" t="s">
        <v>31</v>
      </c>
      <c r="L86" s="60" t="s">
        <v>32</v>
      </c>
      <c r="M86" s="62" t="s">
        <v>2975</v>
      </c>
      <c r="N86" s="62" t="s">
        <v>2974</v>
      </c>
      <c r="O86" s="62">
        <v>4</v>
      </c>
      <c r="P86" s="63"/>
    </row>
    <row r="87" spans="1:16" ht="24.75" customHeight="1" x14ac:dyDescent="0.25">
      <c r="A87" s="11" t="str">
        <f t="shared" si="1"/>
        <v>VISTOS BUENOS</v>
      </c>
      <c r="B87" s="69">
        <v>4</v>
      </c>
      <c r="C87" s="37"/>
      <c r="D87" s="37">
        <v>79</v>
      </c>
      <c r="E87" s="70" t="s">
        <v>2900</v>
      </c>
      <c r="F87" s="71">
        <v>287943</v>
      </c>
      <c r="G87" s="37" t="s">
        <v>30</v>
      </c>
      <c r="H87" s="72" t="s">
        <v>2963</v>
      </c>
      <c r="I87" s="73">
        <v>43815</v>
      </c>
      <c r="J87" s="37">
        <v>84</v>
      </c>
      <c r="K87" s="36" t="s">
        <v>31</v>
      </c>
      <c r="L87" s="60" t="s">
        <v>32</v>
      </c>
      <c r="M87" s="62" t="s">
        <v>2975</v>
      </c>
      <c r="N87" s="62" t="s">
        <v>2974</v>
      </c>
      <c r="O87" s="62">
        <v>4</v>
      </c>
      <c r="P87" s="63"/>
    </row>
    <row r="88" spans="1:16" ht="24.75" customHeight="1" x14ac:dyDescent="0.25">
      <c r="A88" s="11" t="str">
        <f t="shared" si="1"/>
        <v>VISTOS BUENOS</v>
      </c>
      <c r="B88" s="69">
        <v>4</v>
      </c>
      <c r="C88" s="37"/>
      <c r="D88" s="37">
        <v>80</v>
      </c>
      <c r="E88" s="70" t="s">
        <v>2901</v>
      </c>
      <c r="F88" s="71">
        <v>288292</v>
      </c>
      <c r="G88" s="37" t="s">
        <v>30</v>
      </c>
      <c r="H88" s="72" t="s">
        <v>2964</v>
      </c>
      <c r="I88" s="73">
        <v>43796</v>
      </c>
      <c r="J88" s="37">
        <v>14</v>
      </c>
      <c r="K88" s="36" t="s">
        <v>31</v>
      </c>
      <c r="L88" s="60" t="s">
        <v>32</v>
      </c>
      <c r="M88" s="62" t="s">
        <v>2975</v>
      </c>
      <c r="N88" s="62" t="s">
        <v>2974</v>
      </c>
      <c r="O88" s="62">
        <v>4</v>
      </c>
      <c r="P88" s="63"/>
    </row>
    <row r="89" spans="1:16" ht="24.75" customHeight="1" x14ac:dyDescent="0.25">
      <c r="A89" s="11" t="str">
        <f t="shared" si="1"/>
        <v>VISTOS BUENOS</v>
      </c>
      <c r="B89" s="69">
        <v>4</v>
      </c>
      <c r="C89" s="37"/>
      <c r="D89" s="37">
        <v>81</v>
      </c>
      <c r="E89" s="70" t="s">
        <v>2902</v>
      </c>
      <c r="F89" s="71">
        <v>288315</v>
      </c>
      <c r="G89" s="37" t="s">
        <v>30</v>
      </c>
      <c r="H89" s="72" t="s">
        <v>2965</v>
      </c>
      <c r="I89" s="73">
        <v>43827</v>
      </c>
      <c r="J89" s="37">
        <v>46</v>
      </c>
      <c r="K89" s="36" t="s">
        <v>31</v>
      </c>
      <c r="L89" s="60" t="s">
        <v>32</v>
      </c>
      <c r="M89" s="62" t="s">
        <v>2975</v>
      </c>
      <c r="N89" s="62" t="s">
        <v>2974</v>
      </c>
      <c r="O89" s="62">
        <v>4</v>
      </c>
      <c r="P89" s="63"/>
    </row>
    <row r="90" spans="1:16" s="16" customFormat="1" ht="24.75" customHeight="1" x14ac:dyDescent="0.25">
      <c r="A90" s="15" t="str">
        <f t="shared" si="1"/>
        <v>VISTOS BUENOS</v>
      </c>
      <c r="B90" s="69">
        <v>4</v>
      </c>
      <c r="C90" s="37"/>
      <c r="D90" s="37">
        <v>82</v>
      </c>
      <c r="E90" s="70" t="s">
        <v>2903</v>
      </c>
      <c r="F90" s="71">
        <v>288532</v>
      </c>
      <c r="G90" s="37" t="s">
        <v>30</v>
      </c>
      <c r="H90" s="72" t="s">
        <v>2966</v>
      </c>
      <c r="I90" s="73">
        <v>43826</v>
      </c>
      <c r="J90" s="37">
        <v>13</v>
      </c>
      <c r="K90" s="36" t="s">
        <v>31</v>
      </c>
      <c r="L90" s="60" t="s">
        <v>32</v>
      </c>
      <c r="M90" s="62" t="s">
        <v>2975</v>
      </c>
      <c r="N90" s="62" t="s">
        <v>2974</v>
      </c>
      <c r="O90" s="62">
        <v>4</v>
      </c>
      <c r="P90" s="63"/>
    </row>
    <row r="91" spans="1:16" s="16" customFormat="1" ht="24.75" customHeight="1" x14ac:dyDescent="0.25">
      <c r="A91" s="15" t="str">
        <f t="shared" si="1"/>
        <v>VISTOS BUENOS</v>
      </c>
      <c r="B91" s="69">
        <v>4</v>
      </c>
      <c r="C91" s="37"/>
      <c r="D91" s="37">
        <v>83</v>
      </c>
      <c r="E91" s="70" t="s">
        <v>2904</v>
      </c>
      <c r="F91" s="71" t="s">
        <v>2905</v>
      </c>
      <c r="G91" s="37" t="s">
        <v>30</v>
      </c>
      <c r="H91" s="72">
        <v>43542</v>
      </c>
      <c r="I91" s="73">
        <v>43570</v>
      </c>
      <c r="J91" s="37">
        <v>290</v>
      </c>
      <c r="K91" s="36" t="s">
        <v>31</v>
      </c>
      <c r="L91" s="60" t="s">
        <v>32</v>
      </c>
      <c r="M91" s="62" t="s">
        <v>2975</v>
      </c>
      <c r="N91" s="62" t="s">
        <v>2974</v>
      </c>
      <c r="O91" s="62">
        <v>4</v>
      </c>
      <c r="P91" s="63"/>
    </row>
    <row r="92" spans="1:16" ht="24.75" customHeight="1" x14ac:dyDescent="0.25">
      <c r="A92" s="11" t="str">
        <f>A89</f>
        <v>VISTOS BUENOS</v>
      </c>
      <c r="B92" s="69">
        <v>5</v>
      </c>
      <c r="C92" s="37"/>
      <c r="D92" s="37">
        <v>84</v>
      </c>
      <c r="E92" s="70" t="s">
        <v>2680</v>
      </c>
      <c r="F92" s="71">
        <v>276570</v>
      </c>
      <c r="G92" s="37" t="s">
        <v>30</v>
      </c>
      <c r="H92" s="72">
        <v>43430</v>
      </c>
      <c r="I92" s="73" t="s">
        <v>2805</v>
      </c>
      <c r="J92" s="37">
        <v>94</v>
      </c>
      <c r="K92" s="36" t="s">
        <v>31</v>
      </c>
      <c r="L92" s="60" t="s">
        <v>32</v>
      </c>
      <c r="M92" s="62" t="s">
        <v>2975</v>
      </c>
      <c r="N92" s="62" t="s">
        <v>2974</v>
      </c>
      <c r="O92" s="62">
        <v>4</v>
      </c>
      <c r="P92" s="63"/>
    </row>
    <row r="93" spans="1:16" ht="24.75" customHeight="1" x14ac:dyDescent="0.25">
      <c r="A93" s="11" t="str">
        <f t="shared" si="1"/>
        <v>VISTOS BUENOS</v>
      </c>
      <c r="B93" s="69">
        <v>5</v>
      </c>
      <c r="C93" s="37"/>
      <c r="D93" s="37">
        <v>85</v>
      </c>
      <c r="E93" s="70" t="s">
        <v>2678</v>
      </c>
      <c r="F93" s="71">
        <v>276597</v>
      </c>
      <c r="G93" s="37" t="s">
        <v>30</v>
      </c>
      <c r="H93" s="72" t="s">
        <v>2752</v>
      </c>
      <c r="I93" s="73" t="s">
        <v>2806</v>
      </c>
      <c r="J93" s="37">
        <v>117</v>
      </c>
      <c r="K93" s="36" t="s">
        <v>31</v>
      </c>
      <c r="L93" s="60" t="s">
        <v>32</v>
      </c>
      <c r="M93" s="62" t="s">
        <v>2975</v>
      </c>
      <c r="N93" s="62" t="s">
        <v>2974</v>
      </c>
      <c r="O93" s="62">
        <v>4</v>
      </c>
      <c r="P93" s="63"/>
    </row>
    <row r="94" spans="1:16" ht="24.75" customHeight="1" x14ac:dyDescent="0.25">
      <c r="A94" s="11" t="str">
        <f t="shared" si="1"/>
        <v>VISTOS BUENOS</v>
      </c>
      <c r="B94" s="69">
        <v>5</v>
      </c>
      <c r="C94" s="37"/>
      <c r="D94" s="37">
        <v>86</v>
      </c>
      <c r="E94" s="70" t="s">
        <v>2681</v>
      </c>
      <c r="F94" s="71">
        <v>276802</v>
      </c>
      <c r="G94" s="37" t="s">
        <v>30</v>
      </c>
      <c r="H94" s="72" t="s">
        <v>2753</v>
      </c>
      <c r="I94" s="73" t="s">
        <v>2807</v>
      </c>
      <c r="J94" s="37">
        <v>18</v>
      </c>
      <c r="K94" s="36" t="s">
        <v>31</v>
      </c>
      <c r="L94" s="60" t="s">
        <v>32</v>
      </c>
      <c r="M94" s="62" t="s">
        <v>2975</v>
      </c>
      <c r="N94" s="62" t="s">
        <v>2974</v>
      </c>
      <c r="O94" s="62">
        <v>4</v>
      </c>
      <c r="P94" s="63"/>
    </row>
    <row r="95" spans="1:16" ht="24.75" customHeight="1" x14ac:dyDescent="0.25">
      <c r="A95" s="11" t="str">
        <f t="shared" si="1"/>
        <v>VISTOS BUENOS</v>
      </c>
      <c r="B95" s="69">
        <v>5</v>
      </c>
      <c r="C95" s="37"/>
      <c r="D95" s="37">
        <v>87</v>
      </c>
      <c r="E95" s="70" t="s">
        <v>2682</v>
      </c>
      <c r="F95" s="71">
        <v>277098</v>
      </c>
      <c r="G95" s="37" t="s">
        <v>30</v>
      </c>
      <c r="H95" s="72" t="s">
        <v>2754</v>
      </c>
      <c r="I95" s="73" t="s">
        <v>2808</v>
      </c>
      <c r="J95" s="37">
        <v>47</v>
      </c>
      <c r="K95" s="36" t="s">
        <v>31</v>
      </c>
      <c r="L95" s="60" t="s">
        <v>32</v>
      </c>
      <c r="M95" s="62" t="s">
        <v>2975</v>
      </c>
      <c r="N95" s="62" t="s">
        <v>2974</v>
      </c>
      <c r="O95" s="62">
        <v>4</v>
      </c>
      <c r="P95" s="63"/>
    </row>
    <row r="96" spans="1:16" ht="24.75" customHeight="1" x14ac:dyDescent="0.25">
      <c r="A96" s="11" t="str">
        <f t="shared" si="1"/>
        <v>VISTOS BUENOS</v>
      </c>
      <c r="B96" s="69">
        <v>5</v>
      </c>
      <c r="C96" s="37"/>
      <c r="D96" s="37">
        <v>88</v>
      </c>
      <c r="E96" s="70" t="s">
        <v>2683</v>
      </c>
      <c r="F96" s="71">
        <v>277106</v>
      </c>
      <c r="G96" s="37" t="s">
        <v>30</v>
      </c>
      <c r="H96" s="72" t="s">
        <v>2754</v>
      </c>
      <c r="I96" s="73" t="s">
        <v>2808</v>
      </c>
      <c r="J96" s="37">
        <v>31</v>
      </c>
      <c r="K96" s="36" t="s">
        <v>31</v>
      </c>
      <c r="L96" s="60" t="s">
        <v>32</v>
      </c>
      <c r="M96" s="62" t="s">
        <v>2975</v>
      </c>
      <c r="N96" s="62" t="s">
        <v>2974</v>
      </c>
      <c r="O96" s="62">
        <v>4</v>
      </c>
      <c r="P96" s="63"/>
    </row>
    <row r="97" spans="1:16" ht="24.75" customHeight="1" x14ac:dyDescent="0.25">
      <c r="A97" s="11" t="str">
        <f t="shared" si="1"/>
        <v>VISTOS BUENOS</v>
      </c>
      <c r="B97" s="69">
        <v>5</v>
      </c>
      <c r="C97" s="37"/>
      <c r="D97" s="37">
        <v>89</v>
      </c>
      <c r="E97" s="70" t="s">
        <v>2684</v>
      </c>
      <c r="F97" s="71">
        <v>277290</v>
      </c>
      <c r="G97" s="37" t="s">
        <v>30</v>
      </c>
      <c r="H97" s="72" t="s">
        <v>2755</v>
      </c>
      <c r="I97" s="73" t="s">
        <v>2809</v>
      </c>
      <c r="J97" s="37">
        <v>17</v>
      </c>
      <c r="K97" s="36" t="s">
        <v>31</v>
      </c>
      <c r="L97" s="60" t="s">
        <v>32</v>
      </c>
      <c r="M97" s="62" t="s">
        <v>2975</v>
      </c>
      <c r="N97" s="62" t="s">
        <v>2974</v>
      </c>
      <c r="O97" s="62">
        <v>4</v>
      </c>
      <c r="P97" s="63"/>
    </row>
    <row r="98" spans="1:16" ht="24.75" customHeight="1" x14ac:dyDescent="0.25">
      <c r="A98" s="11" t="str">
        <f t="shared" si="1"/>
        <v>VISTOS BUENOS</v>
      </c>
      <c r="B98" s="69">
        <v>5</v>
      </c>
      <c r="C98" s="37"/>
      <c r="D98" s="37">
        <v>90</v>
      </c>
      <c r="E98" s="70" t="s">
        <v>2685</v>
      </c>
      <c r="F98" s="71">
        <v>277291</v>
      </c>
      <c r="G98" s="37" t="s">
        <v>30</v>
      </c>
      <c r="H98" s="72" t="s">
        <v>2755</v>
      </c>
      <c r="I98" s="73" t="s">
        <v>2809</v>
      </c>
      <c r="J98" s="37">
        <v>16</v>
      </c>
      <c r="K98" s="36" t="s">
        <v>31</v>
      </c>
      <c r="L98" s="60" t="s">
        <v>32</v>
      </c>
      <c r="M98" s="62" t="s">
        <v>2975</v>
      </c>
      <c r="N98" s="62" t="s">
        <v>2974</v>
      </c>
      <c r="O98" s="62">
        <v>4</v>
      </c>
      <c r="P98" s="63"/>
    </row>
    <row r="99" spans="1:16" ht="24.75" customHeight="1" x14ac:dyDescent="0.25">
      <c r="A99" s="11" t="str">
        <f t="shared" si="1"/>
        <v>VISTOS BUENOS</v>
      </c>
      <c r="B99" s="69">
        <v>5</v>
      </c>
      <c r="C99" s="37"/>
      <c r="D99" s="37">
        <v>91</v>
      </c>
      <c r="E99" s="70" t="s">
        <v>2686</v>
      </c>
      <c r="F99" s="71">
        <v>277295</v>
      </c>
      <c r="G99" s="37" t="s">
        <v>30</v>
      </c>
      <c r="H99" s="72" t="s">
        <v>2755</v>
      </c>
      <c r="I99" s="73" t="s">
        <v>2809</v>
      </c>
      <c r="J99" s="37">
        <v>14</v>
      </c>
      <c r="K99" s="36" t="s">
        <v>31</v>
      </c>
      <c r="L99" s="60" t="s">
        <v>32</v>
      </c>
      <c r="M99" s="62" t="s">
        <v>2975</v>
      </c>
      <c r="N99" s="62" t="s">
        <v>2974</v>
      </c>
      <c r="O99" s="62">
        <v>4</v>
      </c>
      <c r="P99" s="63"/>
    </row>
    <row r="100" spans="1:16" ht="24.75" customHeight="1" x14ac:dyDescent="0.25">
      <c r="A100" s="11" t="str">
        <f t="shared" si="1"/>
        <v>VISTOS BUENOS</v>
      </c>
      <c r="B100" s="69">
        <v>5</v>
      </c>
      <c r="C100" s="37"/>
      <c r="D100" s="37">
        <v>92</v>
      </c>
      <c r="E100" s="70" t="s">
        <v>2687</v>
      </c>
      <c r="F100" s="71">
        <v>277404</v>
      </c>
      <c r="G100" s="37" t="s">
        <v>30</v>
      </c>
      <c r="H100" s="72" t="s">
        <v>2756</v>
      </c>
      <c r="I100" s="73" t="s">
        <v>2810</v>
      </c>
      <c r="J100" s="37">
        <v>61</v>
      </c>
      <c r="K100" s="36" t="s">
        <v>31</v>
      </c>
      <c r="L100" s="60" t="s">
        <v>32</v>
      </c>
      <c r="M100" s="62" t="s">
        <v>2975</v>
      </c>
      <c r="N100" s="62" t="s">
        <v>2974</v>
      </c>
      <c r="O100" s="62">
        <v>4</v>
      </c>
      <c r="P100" s="63"/>
    </row>
    <row r="101" spans="1:16" ht="24.75" customHeight="1" x14ac:dyDescent="0.25">
      <c r="A101" s="11" t="str">
        <f t="shared" si="1"/>
        <v>VISTOS BUENOS</v>
      </c>
      <c r="B101" s="69">
        <v>5</v>
      </c>
      <c r="C101" s="37"/>
      <c r="D101" s="37">
        <v>93</v>
      </c>
      <c r="E101" s="70" t="s">
        <v>2688</v>
      </c>
      <c r="F101" s="71">
        <v>267135</v>
      </c>
      <c r="G101" s="37" t="s">
        <v>30</v>
      </c>
      <c r="H101" s="72">
        <v>43130</v>
      </c>
      <c r="I101" s="73">
        <v>43515</v>
      </c>
      <c r="J101" s="37">
        <v>134</v>
      </c>
      <c r="K101" s="36" t="s">
        <v>31</v>
      </c>
      <c r="L101" s="60" t="s">
        <v>32</v>
      </c>
      <c r="M101" s="62" t="s">
        <v>2975</v>
      </c>
      <c r="N101" s="62" t="s">
        <v>2974</v>
      </c>
      <c r="O101" s="62">
        <v>4</v>
      </c>
      <c r="P101" s="63"/>
    </row>
    <row r="102" spans="1:16" x14ac:dyDescent="0.25">
      <c r="D102" s="91"/>
      <c r="E102" s="91"/>
      <c r="F102" s="91"/>
    </row>
  </sheetData>
  <mergeCells count="24">
    <mergeCell ref="A1:C3"/>
    <mergeCell ref="D1:M2"/>
    <mergeCell ref="N1:P1"/>
    <mergeCell ref="N2:P2"/>
    <mergeCell ref="D3:E3"/>
    <mergeCell ref="F3:P3"/>
    <mergeCell ref="A4:C4"/>
    <mergeCell ref="D4:P4"/>
    <mergeCell ref="A5:C5"/>
    <mergeCell ref="D5:P5"/>
    <mergeCell ref="A6:C6"/>
    <mergeCell ref="D6:P6"/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2024-08-14T19:01:58Z</dcterms:created>
  <dcterms:modified xsi:type="dcterms:W3CDTF">2024-08-16T18:59:35Z</dcterms:modified>
</cp:coreProperties>
</file>